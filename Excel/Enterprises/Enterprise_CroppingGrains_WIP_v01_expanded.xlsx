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tables/table85.xml" ContentType="application/vnd.openxmlformats-officedocument.spreadsheetml.table+xml"/>
  <Override PartName="/xl/tables/table86.xml" ContentType="application/vnd.openxmlformats-officedocument.spreadsheetml.table+xml"/>
  <Override PartName="/xl/tables/table87.xml" ContentType="application/vnd.openxmlformats-officedocument.spreadsheetml.table+xml"/>
  <Override PartName="/xl/tables/table88.xml" ContentType="application/vnd.openxmlformats-officedocument.spreadsheetml.table+xml"/>
  <Override PartName="/xl/tables/table89.xml" ContentType="application/vnd.openxmlformats-officedocument.spreadsheetml.table+xml"/>
  <Override PartName="/xl/tables/table90.xml" ContentType="application/vnd.openxmlformats-officedocument.spreadsheetml.table+xml"/>
  <Override PartName="/xl/tables/table91.xml" ContentType="application/vnd.openxmlformats-officedocument.spreadsheetml.table+xml"/>
  <Override PartName="/xl/tables/table92.xml" ContentType="application/vnd.openxmlformats-officedocument.spreadsheetml.table+xml"/>
  <Override PartName="/xl/tables/table93.xml" ContentType="application/vnd.openxmlformats-officedocument.spreadsheetml.table+xml"/>
  <Override PartName="/xl/tables/table94.xml" ContentType="application/vnd.openxmlformats-officedocument.spreadsheetml.table+xml"/>
  <Override PartName="/xl/tables/table95.xml" ContentType="application/vnd.openxmlformats-officedocument.spreadsheetml.table+xml"/>
  <Override PartName="/xl/tables/table96.xml" ContentType="application/vnd.openxmlformats-officedocument.spreadsheetml.table+xml"/>
  <Override PartName="/xl/tables/table97.xml" ContentType="application/vnd.openxmlformats-officedocument.spreadsheetml.table+xml"/>
  <Override PartName="/xl/tables/table98.xml" ContentType="application/vnd.openxmlformats-officedocument.spreadsheetml.table+xml"/>
  <Override PartName="/xl/tables/table99.xml" ContentType="application/vnd.openxmlformats-officedocument.spreadsheetml.table+xml"/>
  <Override PartName="/xl/tables/table100.xml" ContentType="application/vnd.openxmlformats-officedocument.spreadsheetml.table+xml"/>
  <Override PartName="/xl/tables/table101.xml" ContentType="application/vnd.openxmlformats-officedocument.spreadsheetml.table+xml"/>
  <Override PartName="/xl/tables/table102.xml" ContentType="application/vnd.openxmlformats-officedocument.spreadsheetml.table+xml"/>
  <Override PartName="/xl/tables/table103.xml" ContentType="application/vnd.openxmlformats-officedocument.spreadsheetml.table+xml"/>
  <Override PartName="/xl/tables/table104.xml" ContentType="application/vnd.openxmlformats-officedocument.spreadsheetml.table+xml"/>
  <Override PartName="/xl/tables/table105.xml" ContentType="application/vnd.openxmlformats-officedocument.spreadsheetml.table+xml"/>
  <Override PartName="/xl/tables/table106.xml" ContentType="application/vnd.openxmlformats-officedocument.spreadsheetml.table+xml"/>
  <Override PartName="/xl/tables/table107.xml" ContentType="application/vnd.openxmlformats-officedocument.spreadsheetml.table+xml"/>
  <Override PartName="/xl/tables/table108.xml" ContentType="application/vnd.openxmlformats-officedocument.spreadsheetml.table+xml"/>
  <Override PartName="/xl/tables/table109.xml" ContentType="application/vnd.openxmlformats-officedocument.spreadsheetml.table+xml"/>
  <Override PartName="/xl/tables/table110.xml" ContentType="application/vnd.openxmlformats-officedocument.spreadsheetml.table+xml"/>
  <Override PartName="/xl/tables/table111.xml" ContentType="application/vnd.openxmlformats-officedocument.spreadsheetml.table+xml"/>
  <Override PartName="/xl/tables/table112.xml" ContentType="application/vnd.openxmlformats-officedocument.spreadsheetml.table+xml"/>
  <Override PartName="/xl/tables/table11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htdocs\zneagcrc\GAF-VEERG-Functions\Excel\Enterprises\"/>
    </mc:Choice>
  </mc:AlternateContent>
  <xr:revisionPtr revIDLastSave="0" documentId="13_ncr:1_{E9550213-1124-48BC-BB3B-52923DEB21D9}" xr6:coauthVersionLast="47" xr6:coauthVersionMax="47" xr10:uidLastSave="{00000000-0000-0000-0000-000000000000}"/>
  <bookViews>
    <workbookView xWindow="390" yWindow="390" windowWidth="36330" windowHeight="19530" firstSheet="27" activeTab="30" xr2:uid="{992023F3-CAB7-4E5B-A348-08D563A0EF40}"/>
  </bookViews>
  <sheets>
    <sheet name="Home" sheetId="71" r:id="rId1"/>
    <sheet name="Results - Activity period" sheetId="13" r:id="rId2"/>
    <sheet name="Results - Product EI" sheetId="80" r:id="rId3"/>
    <sheet name="Input - Enterprise" sheetId="72" r:id="rId4"/>
    <sheet name="Input - Site" sheetId="75" r:id="rId5"/>
    <sheet name="Input - Crop" sheetId="99" r:id="rId6"/>
    <sheet name="Input - Fert Prod System" sheetId="76" r:id="rId7"/>
    <sheet name="Input - Fertiliser" sheetId="81" r:id="rId8"/>
    <sheet name="Input - Fuel" sheetId="92" r:id="rId9"/>
    <sheet name="Input - Electricity" sheetId="89" r:id="rId10"/>
    <sheet name="Input - Common farm inputs" sheetId="104" r:id="rId11"/>
    <sheet name="Input - Crop pasture farm input" sheetId="105" r:id="rId12"/>
    <sheet name="Input - Freight" sheetId="106" r:id="rId13"/>
    <sheet name="Input - Solid waste" sheetId="96" r:id="rId14"/>
    <sheet name="5.1.1.1-2 Inorganic fert N2O" sheetId="82" r:id="rId15"/>
    <sheet name="5.1.1.3-4 Inorganic fert CO2" sheetId="83" r:id="rId16"/>
    <sheet name="5.2.1.1-2 Organic Fert N2O" sheetId="84" r:id="rId17"/>
    <sheet name="5.3.1.1-2 Lime CO2" sheetId="85" r:id="rId18"/>
    <sheet name="5.4.1.1-4 Atmos deposition" sheetId="86" r:id="rId19"/>
    <sheet name="5.5.1.1-2 Leaching and runoff" sheetId="87" r:id="rId20"/>
    <sheet name="6.1.1.1-2 Crop residue N2O" sheetId="100" r:id="rId21"/>
    <sheet name="6.3.1.1-2 Leach runoff crop" sheetId="101" r:id="rId22"/>
    <sheet name="6.4.1.1-2 Residue burning" sheetId="102" r:id="rId23"/>
    <sheet name="8.1.1.1-2 Transport fuel" sheetId="93" r:id="rId24"/>
    <sheet name="8.2.1.1-2 Stationary fuel" sheetId="94" r:id="rId25"/>
    <sheet name="10.1.1-2 Solid waste treatment" sheetId="97" r:id="rId26"/>
    <sheet name="14.1.1-2 Purchased electricity" sheetId="90" r:id="rId27"/>
    <sheet name="15 Scope 3" sheetId="107" r:id="rId28"/>
    <sheet name="Constants - Ag Residue" sheetId="103" r:id="rId29"/>
    <sheet name="Constants - Electricity" sheetId="91" r:id="rId30"/>
    <sheet name="Constants - Fertiliser" sheetId="88" r:id="rId31"/>
    <sheet name="Constants - Fuel" sheetId="95" r:id="rId32"/>
    <sheet name="Constants - Scope 3" sheetId="108" r:id="rId33"/>
    <sheet name="Constants - Solid Waste" sheetId="98" r:id="rId34"/>
    <sheet name="Constants - Common" sheetId="79" r:id="rId35"/>
    <sheet name="Input - Data quality" sheetId="78" r:id="rId36"/>
    <sheet name="Constants - Common Livestock" sheetId="109" r:id="rId37"/>
  </sheets>
  <definedNames>
    <definedName name="_Toc225350871" localSheetId="18">'5.4.1.1-4 Atmos deposition'!$C$1</definedName>
    <definedName name="_Toc225350871" localSheetId="19">'5.5.1.1-2 Leaching and runoff'!$C$1</definedName>
    <definedName name="AgResidue_Equations_CropResidue.VEERG_6_1_1_1__1__NitrousOxideEmissionsFromCropResidues">_xlfn.LAMBDA(_xlpm.M_c,_xlpm.EF_Ni,_xlpm.C_N2O, _xlpm.M_c * _xlpm.EF_Ni * _xlpm.C_N2O * 10 ^ (-3))</definedName>
    <definedName name="AgResidue_Equations_CropResidue.VEERG_6_1_1_1__1__NitrousOxideEmissionsFromCropResidues_Arguments">_xlfn.LAMBDA(_xlfn.MAKEARRAY(5, 4, _xlfn.LAMBDA(_xlpm.r,_xlpm.c, INDEX({"M_c","mass of nitrogen in crop c residues returned to the soil","kg N","Calculated from 6.1.1.1 (2)";"EF_Ni","emission factor for crop residues returned to the soil","kg N2O-N/kg N","Constant";"C_N2O","factor to convert elemental mass of nitrous oxide to molecular mass","dimensionless","Constant";"c","Crop type","","Input";"i","Wet or dry climate zone","","Input"}, _xlpm.r, _xlpm.c))))</definedName>
    <definedName name="AgResidue_Equations_CropResidue.VEERG_6_1_1_1__1__NitrousOxideEmissionsFromCropResidues_FunctionName">_xlfn.LAMBDA("VEERG_6_1_1_1__1__NitrousOxideEmissionsFromCropResidues")</definedName>
    <definedName name="AgResidue_Equations_CropResidue.VEERG_6_1_1_1__1__NitrousOxideEmissionsFromCropResidues_LatexEquation">_xlfn.LAMBDA("E=\sum\nolimits_c\left(M_{c}\times EF_{N}\right)\times C_{g,N2O}\times 10^{-3}")</definedName>
    <definedName name="AgResidue_Equations_CropResidue.VEERG_6_1_1_1__1__NitrousOxideEmissionsFromCropResidues_NIRReference">_xlfn.LAMBDA("")</definedName>
    <definedName name="AgResidue_Equations_CropResidue.VEERG_6_1_1_1__1__NitrousOxideEmissionsFromCropResidues_Source">_xlfn.LAMBDA("VEERG 2026: 6.1.1.1, Equation (1)")</definedName>
    <definedName name="AgResidue_Equations_CropResidue.VEERG_6_1_1_1__1__NitrousOxideEmissionsFromCropResidues_Title">_xlfn.LAMBDA("Nitrous oxide emissions from the return of crop residues across all crops c to the soil")</definedName>
    <definedName name="AgResidue_Equations_CropResidue.VEERG_6_1_1_1__1__NitrousOxideEmissionsFromCropResidues_Unit">_xlfn.LAMBDA("t N2O")</definedName>
    <definedName name="AgResidue_Equations_CropResidue.VEERG_6_1_1_1__1__NitrousOxideEmissionsFromCropResidues_Variable">_xlfn.LAMBDA("E")</definedName>
    <definedName name="AgResidue_Equations_CropResidue.VEERG_6_1_1_1__2__MassOfNitrogenInCropResidues">_xlfn.LAMBDA(_xlpm.P_c,_xlpm.R_AGc,_xlpm.F_c,_xlpm.FFOD_c,_xlpm.DM_c,_xlpm.NC_AGc,_xlpm.R_BGc,_xlpm.NC_BGc, (_xlpm.P_c * _xlpm.R_AGc * (1 - _xlpm.F_c - _xlpm.FFOD_c) * _xlpm.DM_c * _xlpm.NC_AGc) + (_xlpm.P_c * _xlpm.R_AGc * _xlpm.R_BGc * _xlpm.DM_c * _xlpm.NC_BGc))</definedName>
    <definedName name="AgResidue_Equations_CropResidue.VEERG_6_1_1_1__2__MassOfNitrogenInCropResidues_Arguments">_xlfn.LAMBDA(_xlfn.MAKEARRAY(10, 4, _xlfn.LAMBDA(_xlpm.r,_xlpm.c, INDEX({"P_c","annual production of crop c","kg","Input";"R_AGc","residue to crop ratio for crop c","","Constant";"R_BGc","below ground-residue to above ground residue ratio for crop c","","Constant";"F_c","fraction of crop residue that is burnt for crop c","fraction","Input";"FFOD_c","fraction of the crop residue that is removed for crop c","fraction","Constant";"DM_c","dry matter content of crop c","kg dry weight/kg crop residue","Constant";"NC_AGc","nitrogen content of above-ground crop residue of crop c","kg N/kg DM","Constant";"NC_BGc","nitrogen content of below-ground crop residue of crop c","kg N/kg DM","Constant";"c","Crop type","","Input";"State","State or territory","","Input"}, _xlpm.r, _xlpm.c))))</definedName>
    <definedName name="AgResidue_Equations_CropResidue.VEERG_6_1_1_1__2__MassOfNitrogenInCropResidues_Arguments_Method2">_xlfn.LAMBDA(_xlfn.MAKEARRAY(10, 4, _xlfn.LAMBDA(_xlpm.r,_xlpm.c, INDEX({"P_c","annual production of crop c","kg","Input";"R_AGc","residue to crop ratio for crop c","","Constant";"R_BGc","below ground-residue to above ground residue ratio for crop c","","Constant";"F_c","fraction of crop residue that is burnt for crop c","fraction","Input";"FFOD_c","fraction of the crop residue that is removed for crop c","fraction","Calculated from 6.1.1.2 (1)";"DM_c","dry matter content of crop c","kg dry weight/kg crop residue","Constant";"NC_AGc","nitrogen content of above-ground crop residue of crop c","kg N/kg DM","Constant";"NC_BGc","nitrogen content of below-ground crop residue of crop c","kg N/kg DM","Constant";"c","Crop type","","Input";"State","State or territory","","Input"}, _xlpm.r, _xlpm.c))))</definedName>
    <definedName name="AgResidue_Equations_CropResidue.VEERG_6_1_1_1__2__MassOfNitrogenInCropResidues_LatexEquation">_xlfn.LAMBDA("M_{c}=(P_{c}\times R_{AGc}\times(1-F_{c}-FFOD_{c})\times DM_{c}\times NC_{AGc})+(P_{c}\times R_{AGc}\times R_{BGc}\times DM_{c}\times NC_{BGc})")</definedName>
    <definedName name="AgResidue_Equations_CropResidue.VEERG_6_1_1_1__2__MassOfNitrogenInCropResidues_NIRReference">_xlfn.LAMBDA("")</definedName>
    <definedName name="AgResidue_Equations_CropResidue.VEERG_6_1_1_1__2__MassOfNitrogenInCropResidues_Source">_xlfn.LAMBDA("VEERG 2026: 6.1.1.1, Equation (2)")</definedName>
    <definedName name="AgResidue_Equations_CropResidue.VEERG_6_1_1_1__2__MassOfNitrogenInCropResidues_Title">_xlfn.LAMBDA("Mass of nitrogen in crop residues returned to the soil")</definedName>
    <definedName name="AgResidue_Equations_CropResidue.VEERG_6_1_1_1__2__MassOfNitrogenInCropResidues_Unit">_xlfn.LAMBDA("kg N")</definedName>
    <definedName name="AgResidue_Equations_CropResidue.VEERG_6_1_1_1__2__MassOfNitrogenInCropResidues_Variable">_xlfn.LAMBDA("M_c")</definedName>
    <definedName name="AgResidue_Equations_CropResidue.VEERG_6_1_1_2__1__FractionOfCropResidueRemovedBaled">_xlfn.LAMBDA(_xlpm.B,_xlpm.M_B,_xlpm.P_c,_xlpm.R_AGc, IFERROR((_xlpm.B * _xlpm.M_B) / (_xlpm.P_c * _xlpm.R_AGc), 0))</definedName>
    <definedName name="AgResidue_Equations_CropResidue.VEERG_6_1_1_2__1__FractionOfCropResidueRemovedBaled_Arguments">_xlfn.LAMBDA(_xlfn.MAKEARRAY(5, 4, _xlfn.LAMBDA(_xlpm.r,_xlpm.c, INDEX({"B","number of bales generated","","Input";"M_B","mass of each bale","kg","Input";"P_c","annual production of crop c","kg","Input";"R_AGc","residue to crop ratio for crop c","","Constant";"c","Crop type","","Input"}, _xlpm.r, _xlpm.c))))</definedName>
    <definedName name="AgResidue_Equations_CropResidue.VEERG_6_1_1_2__1__FractionOfCropResidueRemovedBaled_LatexEquation">_xlfn.LAMBDA("FFOD_{c}=\frac{B\times M_{B}}{P_{c}\times R_{AG,c}}")</definedName>
    <definedName name="AgResidue_Equations_CropResidue.VEERG_6_1_1_2__1__FractionOfCropResidueRemovedBaled_NIRReference">_xlfn.LAMBDA("")</definedName>
    <definedName name="AgResidue_Equations_CropResidue.VEERG_6_1_1_2__1__FractionOfCropResidueRemovedBaled_Source">_xlfn.LAMBDA("VEERG 2026: 6.1.1.2, Equation (1)")</definedName>
    <definedName name="AgResidue_Equations_CropResidue.VEERG_6_1_1_2__1__FractionOfCropResidueRemovedBaled_Title">_xlfn.LAMBDA("Fraction of crop residue that is removed for crop c, calculated where residues are baled")</definedName>
    <definedName name="AgResidue_Equations_CropResidue.VEERG_6_1_1_2__1__FractionOfCropResidueRemovedBaled_Unit">_xlfn.LAMBDA("fraction")</definedName>
    <definedName name="AgResidue_Equations_CropResidue.VEERG_6_1_1_2__1__FractionOfCropResidueRemovedBaled_Variable">_xlfn.LAMBDA("FFOD_c")</definedName>
    <definedName name="AgResidue_Equations_CropResidue.VEERG_6_1_1_2__1__FractionOfCropResidueRemovedBaled_Variation">_xlfn.LAMBDA("")</definedName>
    <definedName name="AgResidue_Equations_FieldBurning.VEERG_6_4_1_1__1__MethaneEmissionsFromBurningOfCropResidues">_xlfn.LAMBDA(_xlpm.M_burnc,_xlpm.CC_c,_xlpm.EF_CH4,_xlpm.C_CH4, (_xlpm.M_burnc * _xlpm.CC_c) * _xlpm.EF_CH4 * _xlpm.C_CH4 * 10 ^ (-3))</definedName>
    <definedName name="AgResidue_Equations_FieldBurning.VEERG_6_4_1_1__1__MethaneEmissionsFromBurningOfCropResidues_Arguments">_xlfn.LAMBDA(_xlfn.MAKEARRAY(5, 4, _xlfn.LAMBDA(_xlpm.r,_xlpm.c, INDEX({"M_burnc","mass of residue burnt for crop type c","kg","Calculated from 6.4.1.1 (3)";"CC_c","carbon mass fraction in the residues of crop type c","fraction","Constant";"EF_CH4","emission factor for methane from burning of crop residues","kg CH4 / kg CH4 burnt","Constant";"C_CH4","factor to convert elemental mass of methane to molecular mass","dimensionless","Constant";"c","Crop type","","Input"}, _xlpm.r, _xlpm.c))))</definedName>
    <definedName name="AgResidue_Equations_FieldBurning.VEERG_6_4_1_1__1__MethaneEmissionsFromBurningOfCropResidues_FunctionName">_xlfn.LAMBDA("VEERG_6_4_1_1__1__MethaneEmissionsFromBurningOfCropResidues")</definedName>
    <definedName name="AgResidue_Equations_FieldBurning.VEERG_6_4_1_1__1__MethaneEmissionsFromBurningOfCropResidues_LatexEquation">_xlfn.LAMBDA("E_{CH4}=\sum\nolimits_c(M_{burn,c}\times CC_{c})\times EF_{CH4}\times C_{CH4}\times 10^{-3}")</definedName>
    <definedName name="AgResidue_Equations_FieldBurning.VEERG_6_4_1_1__1__MethaneEmissionsFromBurningOfCropResidues_NIRReference">_xlfn.LAMBDA("")</definedName>
    <definedName name="AgResidue_Equations_FieldBurning.VEERG_6_4_1_1__1__MethaneEmissionsFromBurningOfCropResidues_Source">_xlfn.LAMBDA("VEERG 2026: 6.4.1.1, Equation (1)")</definedName>
    <definedName name="AgResidue_Equations_FieldBurning.VEERG_6_4_1_1__1__MethaneEmissionsFromBurningOfCropResidues_Title">_xlfn.LAMBDA("Methane emissions from the burning of crop residues")</definedName>
    <definedName name="AgResidue_Equations_FieldBurning.VEERG_6_4_1_1__1__MethaneEmissionsFromBurningOfCropResidues_Unit">_xlfn.LAMBDA("t CH4")</definedName>
    <definedName name="AgResidue_Equations_FieldBurning.VEERG_6_4_1_1__1__MethaneEmissionsFromBurningOfCropResidues_Variable">_xlfn.LAMBDA("ECH4")</definedName>
    <definedName name="AgResidue_Equations_FieldBurning.VEERG_6_4_1_1__2__NitrousOxideEmissionsFromBurningOfCropResidues">_xlfn.LAMBDA(_xlpm.M_burnc,_xlpm.NC_AGc,_xlpm.EF_N2O,_xlpm.C_N2O, (_xlpm.M_burnc * _xlpm.NC_AGc) * _xlpm.EF_N2O * _xlpm.C_N2O * 10 ^ (-3))</definedName>
    <definedName name="AgResidue_Equations_FieldBurning.VEERG_6_4_1_1__2__NitrousOxideEmissionsFromBurningOfCropResidues_Arguments">_xlfn.LAMBDA(_xlfn.MAKEARRAY(5, 4, _xlfn.LAMBDA(_xlpm.r,_xlpm.c, INDEX({"M_burnc","mass of residue burnt for crop type c","kg","Calculated from 6.4.1.1 (3)";"NC_AGc","nitrogen content in the above-ground residue of crop type c","kg N/kg DM","Constant";"EF_N2O","emission factor for nitrous oxide from burning of crop residues","kg N2O/kg N2O burnt","Constant";"C_N2O","factor to convert elemental mass of nitrous oxide to molecular mass","dimensionless","Constant";"c","Crop type","","Input"}, _xlpm.r, _xlpm.c))))</definedName>
    <definedName name="AgResidue_Equations_FieldBurning.VEERG_6_4_1_1__2__NitrousOxideEmissionsFromBurningOfCropResidues_FunctionName">_xlfn.LAMBDA("VEERG_6_4_1_1__2__NitrousOxideEmissionsFromBurningOfCropResidues")</definedName>
    <definedName name="AgResidue_Equations_FieldBurning.VEERG_6_4_1_1__2__NitrousOxideEmissionsFromBurningOfCropResidues_LatexEquation">_xlfn.LAMBDA("E_{N2O}=\sum\nolimits_c(M_{burn,c}\times NC_{AGc})\times EF_{N2O}\times C_{N2O}\times 10^{-3}")</definedName>
    <definedName name="AgResidue_Equations_FieldBurning.VEERG_6_4_1_1__2__NitrousOxideEmissionsFromBurningOfCropResidues_NIRReference">_xlfn.LAMBDA("")</definedName>
    <definedName name="AgResidue_Equations_FieldBurning.VEERG_6_4_1_1__2__NitrousOxideEmissionsFromBurningOfCropResidues_Source">_xlfn.LAMBDA("VEERG 2026: 6.4.1.1, Equation (2)")</definedName>
    <definedName name="AgResidue_Equations_FieldBurning.VEERG_6_4_1_1__2__NitrousOxideEmissionsFromBurningOfCropResidues_Title">_xlfn.LAMBDA("Nitrous oxide emissions from the burning of crop residues")</definedName>
    <definedName name="AgResidue_Equations_FieldBurning.VEERG_6_4_1_1__2__NitrousOxideEmissionsFromBurningOfCropResidues_Unit">_xlfn.LAMBDA("t N2O")</definedName>
    <definedName name="AgResidue_Equations_FieldBurning.VEERG_6_4_1_1__2__NitrousOxideEmissionsFromBurningOfCropResidues_Variable">_xlfn.LAMBDA("EN2O")</definedName>
    <definedName name="AgResidue_Equations_FieldBurning.VEERG_6_4_1_1__3__MassOfCropResidueBurnt">_xlfn.LAMBDA(_xlpm.P_c,_xlpm.R_AGc,_xlpm.S_c,_xlpm.DM_c,_xlpm.Z_c,_xlpm.F_c, _xlpm.P_c * _xlpm.R_AGc * _xlpm.S_c * _xlpm.DM_c * _xlpm.Z_c * _xlpm.F_c)</definedName>
    <definedName name="AgResidue_Equations_FieldBurning.VEERG_6_4_1_1__3__MassOfCropResidueBurnt_Arguments">_xlfn.LAMBDA(_xlfn.MAKEARRAY(7, 4, _xlfn.LAMBDA(_xlpm.r,_xlpm.c, INDEX({"P_c","annual production of crop type c","kg","Input";"R_AGc","residue to crop ratio of crop type c","kg crop residue/kg crop","Constant";"S_c","fraction of residues of crop type c remaining at burning","fraction","Constant";"DM_c","dry matter content of crop type c","kg dry weight/kg crop residue","Constant";"Z_c","burning efficiency (ratio of fuel burnt to fuel load) of crop type c","","Constant";"F_c","fraction of the annual production of crop type c that is burnt","fraction","Constant";"c","Crop type","","Input"}, _xlpm.r, _xlpm.c))))</definedName>
    <definedName name="AgResidue_Equations_FieldBurning.VEERG_6_4_1_1__3__MassOfCropResidueBurnt_FunctionName">_xlfn.LAMBDA("VEERG_6_4_1_1__3__MassOfCropResidueBurnt")</definedName>
    <definedName name="AgResidue_Equations_FieldBurning.VEERG_6_4_1_1__3__MassOfCropResidueBurnt_LatexEquation">_xlfn.LAMBDA("M_{burn,c}=P_{c}\times R_{AGc}\times S_{c}\times DM_{c}\times Z_{c}\times F_{c}")</definedName>
    <definedName name="AgResidue_Equations_FieldBurning.VEERG_6_4_1_1__3__MassOfCropResidueBurnt_NIRReference">_xlfn.LAMBDA("")</definedName>
    <definedName name="AgResidue_Equations_FieldBurning.VEERG_6_4_1_1__3__MassOfCropResidueBurnt_Source">_xlfn.LAMBDA("VEERG 2026: 6.4.1.1, Equation (3)")</definedName>
    <definedName name="AgResidue_Equations_FieldBurning.VEERG_6_4_1_1__3__MassOfCropResidueBurnt_Title">_xlfn.LAMBDA("Mass of residue of crop c burnt")</definedName>
    <definedName name="AgResidue_Equations_FieldBurning.VEERG_6_4_1_1__3__MassOfCropResidueBurnt_Unit">_xlfn.LAMBDA("kg")</definedName>
    <definedName name="AgResidue_Equations_FieldBurning.VEERG_6_4_1_1__3__MassOfCropResidueBurnt_Variable">_xlfn.LAMBDA("M_burnc")</definedName>
    <definedName name="AgResidue_Equations_Leaching.VEERG_6_3_1_1__1__LeachingAndRunoffEmissionsCropAndPastureResidue">_xlfn.LAMBDA(_xlpm.M_leachcp,_xlpm.EF_leach,_xlpm.C_N2O, (_xlpm.M_leachcp * _xlpm.EF_leach) * _xlpm.C_N2O * 10 ^ (-3))</definedName>
    <definedName name="AgResidue_Equations_Leaching.VEERG_6_3_1_1__1__LeachingAndRunoffEmissionsCropAndPastureResidue_Arguments">_xlfn.LAMBDA(_xlfn.MAKEARRAY(5, 4, _xlfn.LAMBDA(_xlpm.r,_xlpm.c, INDEX({"M_leachcp","mass of nitrogen lost through leaching and runoff from the crop residue c or pasture residue p","kg N","Calculated from 6.3.1.1 (2)";"EF_leach","emission factor for leaching and runoff","kg N2O-N/kg N","Constant";"C_N2O","factor to convert elemental mass of nitrous oxide to molecular mass","dimensionless","Constant";"c","Crop residue type","","Input";"p","Pasture residue type","","Input"}, _xlpm.r, _xlpm.c))))</definedName>
    <definedName name="AgResidue_Equations_Leaching.VEERG_6_3_1_1__1__LeachingAndRunoffEmissionsCropAndPastureResidue_LatexEquation">_xlfn.LAMBDA("E_{N2O}=\sum\nolimits_c\sum\nolimits_p(M_{leach,cp}\times EF_{leach}\times C_{N2O}\times 10^{-3})")</definedName>
    <definedName name="AgResidue_Equations_Leaching.VEERG_6_3_1_1__1__LeachingAndRunoffEmissionsCropAndPastureResidue_NIRReference">_xlfn.LAMBDA("")</definedName>
    <definedName name="AgResidue_Equations_Leaching.VEERG_6_3_1_1__1__LeachingAndRunoffEmissionsCropAndPastureResidue_Source">_xlfn.LAMBDA("VEERG 2026: 6.3.1.1, Equation (1)")</definedName>
    <definedName name="AgResidue_Equations_Leaching.VEERG_6_3_1_1__1__LeachingAndRunoffEmissionsCropAndPastureResidue_Title">_xlfn.LAMBDA("Nitrous oxide leaching and runoff emissions from crop and pasture residues returned to the soil")</definedName>
    <definedName name="AgResidue_Equations_Leaching.VEERG_6_3_1_1__1__LeachingAndRunoffEmissionsCropAndPastureResidue_Unit">_xlfn.LAMBDA("t N2O")</definedName>
    <definedName name="AgResidue_Equations_Leaching.VEERG_6_3_1_1__1__LeachingAndRunoffEmissionsCropAndPastureResidue_Variable">_xlfn.LAMBDA("EN2O")</definedName>
    <definedName name="AgResidue_Equations_Leaching.VEERG_6_3_1_1__2__MassOfNitrogenLostThroughLeachingAndRunoff">_xlfn.LAMBDA(_xlpm.M_cp,_xlpm.FracWET_j,_xlpm.FracLEACH, _xlpm.M_cp * _xlpm.FracWET_j * _xlpm.FracLEACH)</definedName>
    <definedName name="AgResidue_Equations_Leaching.VEERG_6_3_1_1__2__MassOfNitrogenLostThroughLeachingAndRunoff_Arguments">_xlfn.LAMBDA(_xlfn.MAKEARRAY(7, 4, _xlfn.LAMBDA(_xlpm.r,_xlpm.c, INDEX({"M_cp","mass of nitrogen in crop residues c or pasture residues p applied to soils","kg N","Calc from 6.1.1.1 (2) and 6.2.1.1 (2)";"FracWET_j","fraction of N that is available for leaching and runoff from the leaching zone z and irrigation type ir","fraction","Constant";"FracLEACH","fraction of N that is lost through leaching and runoff","fraction","Constant";"z","Location in leaching zone","","Input";"c","Crop residue type","","Input";"p","Pasture residue type","","Input";"ir","Irrigation type","","Input"}, _xlpm.r, _xlpm.c))))</definedName>
    <definedName name="AgResidue_Equations_Leaching.VEERG_6_3_1_1__2__MassOfNitrogenLostThroughLeachingAndRunoff_LatexEquation">_xlfn.LAMBDA("M_{leach,cp}=M_{cp}\times FracWET_{j}\times FracLEACH")</definedName>
    <definedName name="AgResidue_Equations_Leaching.VEERG_6_3_1_1__2__MassOfNitrogenLostThroughLeachingAndRunoff_NIRReference">_xlfn.LAMBDA("")</definedName>
    <definedName name="AgResidue_Equations_Leaching.VEERG_6_3_1_1__2__MassOfNitrogenLostThroughLeachingAndRunoff_Source">_xlfn.LAMBDA("VEERG 2026: 6.3.1.1, Equation (2)")</definedName>
    <definedName name="AgResidue_Equations_Leaching.VEERG_6_3_1_1__2__MassOfNitrogenLostThroughLeachingAndRunoff_Title">_xlfn.LAMBDA("Mass of nitrogen lost through leaching and runoff")</definedName>
    <definedName name="AgResidue_Equations_Leaching.VEERG_6_3_1_1__2__MassOfNitrogenLostThroughLeachingAndRunoff_Unit">_xlfn.LAMBDA("kg N")</definedName>
    <definedName name="AgResidue_Equations_Leaching.VEERG_6_3_1_1__2__MassOfNitrogenLostThroughLeachingAndRunoff_Variable">_xlfn.LAMBDA("M_leachcp")</definedName>
    <definedName name="AgResidue_Equations_Leaching.VEERG_6_3_1_1__2__MassOfNitrogenLostThroughLeachingAndRunoff_Variation">_xlfn.LAMBDA("")</definedName>
    <definedName name="AgResidue_Equations_PastureResidue.VEERG_6_2_1_1__1__NitrousOxideEmissionsFromPastureResidues">_xlfn.LAMBDA(_xlpm.M_p,_xlpm.EF_Ni,_xlpm.C_N2O, (_xlpm.M_p * _xlpm.EF_Ni) * _xlpm.C_N2O * 10 ^ (-3))</definedName>
    <definedName name="AgResidue_Equations_PastureResidue.VEERG_6_2_1_1__1__NitrousOxideEmissionsFromPastureResidues_Arguments">_xlfn.LAMBDA(_xlfn.MAKEARRAY(5, 4, _xlfn.LAMBDA(_xlpm.r,_xlpm.c, INDEX({"M_p","mass of nitrogen in pasture p residues returned to the soil","kg N","Calculated from 6.2.1.1 (2)";"EF_Ni","emission factor for crop residues returned to the soil in climate zone i","kg N2O-N/kg N","Constant";"C_N2O","factor to convert elemental mass of nitrous oxide to molecular mass","dimensionless","Constant";"p","Pasture type","","Input";"i","Wet or dry climate zone","","Input"}, _xlpm.r, _xlpm.c))))</definedName>
    <definedName name="AgResidue_Equations_PastureResidue.VEERG_6_2_1_1__1__NitrousOxideEmissionsFromPastureResidues_LatexEquation">_xlfn.LAMBDA("E_{N2O}=\sum\nolimits_p\left(M_p\times EF_{Ni}\right)\times C_{N2O}\times{10}^{-3}")</definedName>
    <definedName name="AgResidue_Equations_PastureResidue.VEERG_6_2_1_1__1__NitrousOxideEmissionsFromPastureResidues_NIRReference">_xlfn.LAMBDA("")</definedName>
    <definedName name="AgResidue_Equations_PastureResidue.VEERG_6_2_1_1__1__NitrousOxideEmissionsFromPastureResidues_Source">_xlfn.LAMBDA("VEERG 2026: 6.2.1.1, Equation (1)")</definedName>
    <definedName name="AgResidue_Equations_PastureResidue.VEERG_6_2_1_1__1__NitrousOxideEmissionsFromPastureResidues_Title">_xlfn.LAMBDA("Nitrous oxide emissions from the return of pasture residues from all pasture types to the soil")</definedName>
    <definedName name="AgResidue_Equations_PastureResidue.VEERG_6_2_1_1__1__NitrousOxideEmissionsFromPastureResidues_Unit">_xlfn.LAMBDA("t N2O")</definedName>
    <definedName name="AgResidue_Equations_PastureResidue.VEERG_6_2_1_1__1__NitrousOxideEmissionsFromPastureResidues_Variable">_xlfn.LAMBDA("EN2O")</definedName>
    <definedName name="AgResidue_Equations_PastureResidue.VEERG_6_2_1_1__2__MassOfNitrogenInPastureResidues">_xlfn.LAMBDA(_xlpm.A_p,_xlpm.Y_p,_xlpm.FFOD_p,_xlpm.NC_AGp,_xlpm.R_BGp,_xlpm.NC_BGp, (_xlpm.A_p * (_xlpm.Y_p * 10 ^ (-3)) * (1 - _xlpm.FFOD_p) * _xlpm.NC_AGp) + (_xlpm.A_p * (_xlpm.Y_p * 10 ^ (-3)) * _xlpm.R_BGp * _xlpm.NC_BGp))</definedName>
    <definedName name="AgResidue_Equations_PastureResidue.VEERG_6_2_1_1__2__MassOfNitrogenInPastureResidues_Arguments">_xlfn.LAMBDA(_xlfn.MAKEARRAY(7, 4, _xlfn.LAMBDA(_xlpm.r,_xlpm.c, INDEX({"A_p","area of pasture renewed or removed","ha","Input";"Y_p","average yield of pasture crop","t DM/ha","Constant";"NC_AGp","N content of above-ground pasture residue","kg N/kg DM","Constant";"R_BGp","below-ground residue to above-ground residue ratio for pasture crop","","Constant";"NC_BGp","N content of below-ground pasture crop residue","kg N/kg DM","Constant";"FFOD_p","fraction of pasture yield that is removed","fraction","Constant";"p","Pasture type","","Input"}, _xlpm.r, _xlpm.c))))</definedName>
    <definedName name="AgResidue_Equations_PastureResidue.VEERG_6_2_1_1__2__MassOfNitrogenInPastureResidues_Arguments_Method2">_xlfn.LAMBDA(_xlfn.MAKEARRAY(7, 4, _xlfn.LAMBDA(_xlpm.r,_xlpm.c, INDEX({"A_p","area of pasture renewed or removed","ha","Input";"Y_p","average yield of pasture crop","t DM/ha","Input";"NC_AGp","N content of above-ground pasture residue","kg N/kg DM","Constant";"R_BGp","below-ground residue to above-ground residue ratio for pasture crop","","Constant";"NC_BGp","N content of below-ground pasture crop residue","kg N/kg DM","Constant";"FFOD_p","fraction of pasture yield that is removed","fraction","Constant";"p","Pasture type","","Input"}, _xlpm.r, _xlpm.c))))</definedName>
    <definedName name="AgResidue_Equations_PastureResidue.VEERG_6_2_1_1__2__MassOfNitrogenInPastureResidues_LatexEquation">_xlfn.LAMBDA("M_p = (A_p \times (Y_p \times 10^{-3}) \times (1- FFOD_p) \times NC_{AGp}) + (A_p \times (Y_p \times 10^{-3})\times R_{BGp} \times NC_{BGp})")</definedName>
    <definedName name="AgResidue_Equations_PastureResidue.VEERG_6_2_1_1__2__MassOfNitrogenInPastureResidues_NIRReference">_xlfn.LAMBDA("")</definedName>
    <definedName name="AgResidue_Equations_PastureResidue.VEERG_6_2_1_1__2__MassOfNitrogenInPastureResidues_Source">_xlfn.LAMBDA("VEERG 2026: 6.2.1.1, Equation (2)")</definedName>
    <definedName name="AgResidue_Equations_PastureResidue.VEERG_6_2_1_1__2__MassOfNitrogenInPastureResidues_Title">_xlfn.LAMBDA("Mass of nitrogen in pasture residues returned to the soil")</definedName>
    <definedName name="AgResidue_Equations_PastureResidue.VEERG_6_2_1_1__2__MassOfNitrogenInPastureResidues_Unit">_xlfn.LAMBDA("kg N")</definedName>
    <definedName name="AgResidue_Equations_PastureResidue.VEERG_6_2_1_1__2__MassOfNitrogenInPastureResidues_Variable">_xlfn.LAMBDA("Mp")</definedName>
    <definedName name="Agresidue_SourceData.BurningOfAgriculturalResiduesEFs_Data">_xlfn.LAMBDA(
  _xlfn.MAKEARRAY(6, 3,
    _xlfn.LAMBDA(_xlpm.r,_xlpm.c,
      INDEX({"Gas species","Emission factor EFg (Gg element in species/ Gg element in fuel burnt)","Elemental to molecular mass conversion factor (Cg)";"CH4",0.0035,"16/12";"N2O",0.0076,"44/28";"NOx",0.21,"46/14";"CO",0.078,"28/12";"NMVOC",0.0091,"14/12"}, _xlpm.r, _xlpm.c)
)))</definedName>
    <definedName name="Agresidue_SourceData.BurningOfAgriculturalResiduesEFs_Description">_xlfn.LAMBDA(("Burning of agricultural residues - EFs"))</definedName>
    <definedName name="Agresidue_SourceData.BurningOfAgriculturalResiduesEFs_Source">_xlfn.LAMBDA(("National Inventory Report 2023 volume 2: Table 5.31: Burning of agricultural residues - EFs"))</definedName>
    <definedName name="Agresidue_SourceData.BurningOfAgriculturalResiduesEFs_Title">_xlfn.LAMBDA(("Table 5.31 Burning of agricultural residues - EFs"))</definedName>
    <definedName name="Agresidue_SourceData.CropAttributes_Data">_xlfn.LAMBDA(
  _xlfn.MAKEARRAY(20, 9,
    _xlfn.LAMBDA(_xlpm.r,_xlpm.c,
      INDEX({"Crop type","Residue: Crop ratio","Below-ground: above-ground residue ratio","Dry matter content","Carbon fraction in dry matter","N content above-ground","N content below-ground","Fraction of residue remaining at time of burning","Burning efficiencyt";"c","RAGc","RBGc","DMc","CCc","NCAGc","NCBGc","Sc","Zc";"Wheat",1.5,0.29,0.88,0.4,0.006,0.01,0.5,0.9;"Barley",1.24,0.32,0.88,0.4,0.007,0.01,0.5,0.85;"Maize",0.81,0.39,0.85,0.42,0.005,0.007,1,0.8;"Oats",1.42,0.43,0.88,0.4,0.006,0.01,0.5,0.85;"Rice",1.31,0.16,0.8,0.42,0.007,0.01,1,0.8;"Sorghum",1.5,0.22,0.8,0.4,0.008,0.007,0.5,0.85;"Triticale",1.5,0.42,0.88,0.4,0.006,0.01,0.5,0.85;"Other cereals",1.46,0.36,0.88,0.4,0.006,0.01,0.5,0.85;"Pulses",1.37,0.51,0.87,0.4,0.009,0.01,0.5,0.85;"Tubers and roots",0.34,0.43,0.25,0.4,0.02,0.01,"n/a",0.85;"Peanuts",1.07,0.2,0.8,0.42,0.016,0.014,0.5,0.85;"Sugar cane",0.25,0.45,0.2,0.4,0.005,0.007,1,0.8;"Cotton",1.9,0.3,0.9,0.4,0.01,0.01,"n/a",0.85;"Hops",1.5,0.29,0.88,0.4,0.006,"n/a","n/a",0.85;"Oilseeds",2.08,0.33,0.96,0.4,0.009,0.01,0.5,0.85;"Forage crops",1.34,0.37,0.88,0.4,0.006,0.01,"n/a",0.85;"Other annual crops",1,0.22,0.85,0.4,0.008,0.009,"n/a","n/a";"Other perennial crops",1.5,0.29,0.88,0.4,0.006,"n/a","n/a","n/a"}, _xlpm.r, _xlpm.c)
)))</definedName>
    <definedName name="Agresidue_SourceData.CropAttributes_Description">_xlfn.LAMBDA(("Crop attributes"))</definedName>
    <definedName name="Agresidue_SourceData.CropAttributes_Source">_xlfn.LAMBDA(("VEERG 2026: Table A.2.1.1: Crop attributes"))</definedName>
    <definedName name="Agresidue_SourceData.CropAttributes_Title">_xlfn.LAMBDA(("Table A.2.1.1: Crop attributes"))</definedName>
    <definedName name="Agresidue_SourceData.CropAttributes_Variation">_xlfn.LAMBDA(("VARIATION FROM SOURCE: 'N/A' values passed as zero for calculations."))</definedName>
    <definedName name="Agresidue_SourceData.CropFractionRemoved_CustomisedData">_xlfn.LAMBDA(
  _xlfn.MAKEARRAY(144, 3,
    _xlfn.LAMBDA(_xlpm.r,_xlpm.c,
      INDEX({"Crop type c","State","Fraction removed FFODc";"Rice","NSW",0.06;"Rice","VIC",0.06;"Rice","QLD",0.06;"Rice","SA",0.06;"Rice","WA",0.06;"Rice","TAS",0.06;"Rice","NT",0.06;"Rice","ACT",0.06;"Tubers and roots","NSW",1;"Tubers and roots","VIC",1;"Tubers and roots","QLD",1;"Tubers and roots","SA",1;"Tubers and roots","WA",1;"Tubers and roots","TAS",1;"Tubers and roots","NT",1;"Tubers and roots","ACT",1;"Cotton","NSW",0;"Cotton","VIC",0;"Cotton","QLD",0;"Cotton","SA",0;"Cotton","WA",0;"Cotton","TAS",0;"Cotton","NT",0;"Cotton","ACT",0;"Hops","NSW",0;"Hops","VIC",0;"Hops","QLD",0;"Hops","SA",0;"Hops","WA",0;"Hops","TAS",0;"Hops","NT",0;"Hops","ACT",0;"Forage crops","NSW",0.8;"Forage crops","VIC",0.8;"Forage crops","QLD",0.8;"Forage crops","SA",0.8;"Forage crops","WA",0.8;"Forage crops","TAS",0.8;"Forage crops","NT",0.8;"Forage crops","ACT",0.8;"Sugar Cane","NSW",0;"Sugar Cane","VIC","N/A";"Sugar Cane","QLD",0.03;"Sugar Cane","SA","N/A";"Sugar Cane","WA",0;"Sugar Cane","TAS","N/A";"Sugar Cane","NT","N/A";"Sugar Cane","ACT","N/A";"Wheat","NSW",0.05;"Wheat","VIC",0.07;"Wheat","QLD",0.04;"Wheat","SA",0.09;"Wheat","WA",0.11;"Wheat","TAS",0.16;"Wheat","NT",0.01;"Wheat","ACT",0;"Barley","NSW",0.05;"Barley","VIC",0.07;"Barley","QLD",0.04;"Barley","SA",0.09;"Barley","WA",0.11;"Barley","TAS",0.16;"Barley","NT",0.01;"Barley","ACT",0;"Maize","NSW",0.05;"Maize","VIC",0.07;"Maize","QLD",0.04;"Maize","SA",0.09;"Maize","WA",0.11;"Maize","TAS",0.16;"Maize","NT",0.01;"Maize","ACT",0;"Oats","NSW",0.05;"Oats","VIC",0.07;"Oats","QLD",0.04;"Oats","SA",0.09;"Oats","WA",0.11;"Oats","TAS",0.16;"Oats","NT",0.01;"Oats","ACT",0;"Sorghum","NSW",0.05;"Sorghum","VIC",0.07;"Sorghum","QLD",0.04;"Sorghum","SA",0.09;"Sorghum","WA",0.11;"Sorghum","TAS",0.16;"Sorghum","NT",0.01;"Sorghum","ACT",0;"Triticale","NSW",0.05;"Triticale","VIC",0.07;"Triticale","QLD",0.04;"Triticale","SA",0.09;"Triticale","WA",0.11;"Triticale","TAS",0.16;"Triticale","NT",0.01;"Triticale","ACT",0;"Other cereals","NSW",0.05;"Other cereals","VIC",0.07;"Other cereals","QLD",0.04;"Other cereals","SA",0.09;"Other cereals","WA",0.11;"Other cereals","TAS",0.16;"Other cereals","NT",0.01;"Other cereals","ACT",0;"Pulses","NSW",0.05;"Pulses","VIC",0.07;"Pulses","QLD",0.04;"Pulses","SA",0.09;"Pulses","WA",0.11;"Pulses","TAS",0.16;"Pulses","NT",0.01;"Pulses","ACT",0;"Peanuts","NSW",0.05;"Peanuts","VIC",0.07;"Peanuts","QLD",0.04;"Peanuts","SA",0.09;"Peanuts","WA",0.11;"Peanuts","TAS",0.16;"Peanuts","NT",0.01;"Peanuts","ACT",0;"Oilseeds","NSW",0.05;"Oilseeds","VIC",0.07;"Oilseeds","QLD",0.04;"Oilseeds","SA",0.09;"Oilseeds","WA",0.11;"Oilseeds","TAS",0.16;"Oilseeds","NT",0.01;"Oilseeds","ACT",0;"Other annual crops","NSW",0.05;"Other annual crops","VIC",0.07;"Other annual crops","QLD",0.04;"Other annual crops","SA",0.09;"Other annual crops","WA",0.11;"Other annual crops","TAS",0.16;"Other annual crops","NT",0.01;"Other annual crops","ACT",0;"Other perennial crops","NSW",0.05;"Other perennial crops","VIC",0.07;"Other perennial crops","QLD",0.04;"Other perennial crops","SA",0.09;"Other perennial crops","WA",0.11;"Other perennial crops","TAS",0.16;"Other perennial crops","NT",0.01;"Other perennial crops","ACT",0}, _xlpm.r, _xlpm.c)
)))</definedName>
    <definedName name="Agresidue_SourceData.CropFractionRemoved_Data">_xlfn.LAMBDA(
  _xlfn.MAKEARRAY(17, 3,
    _xlfn.LAMBDA(_xlpm.r,_xlpm.c,
      INDEX({"Crop type c","State","Fraction removed FFODc";"Rice","All states",0.06;"Tubers and roots","All states",1;"Cotton","All states",0;"Hops","All states",0;"Forage crops","All states",0.8;"Sugar Cane","NSW",0;"Sugar Cane","QLD",0.03;"Sugar Cane","WA",0;"All other crop types","NSW",0.05;"All other crop types","VIC",0.07;"All other crop types","QLD",0.04;"All other crop types","SA",0.09;"All other crop types","WA",0.11;"All other crop types","TAS",0.16;"All other crop types","NT",0.01;"All other crop types","ACT",0}, _xlpm.r, _xlpm.c)
)))</definedName>
    <definedName name="Agresidue_SourceData.CropFractionRemoved_Description">_xlfn.LAMBDA(("Crop attributes - Fraction removed (FFODc)"))</definedName>
    <definedName name="Agresidue_SourceData.CropFractionRemoved_Source">_xlfn.LAMBDA(("VEERG 2026: Table A.2.1.2: Crop attributes - Fraction removed (FFODc)"))</definedName>
    <definedName name="Agresidue_SourceData.CropFractionRemoved_Title">_xlfn.LAMBDA(("Table A.2.1.2: Crop attributes - Fraction removed (FFODc)"))</definedName>
    <definedName name="Agresidue_SourceData.CropFractionRemoved_Variation">_xlfn.LAMBDA(("VARIATION OF SOURCE DATA: Split 'All other crop types' into individual crop types for each state. Listed all states for Sugar Cane, with 'N/A' for states where it is not grown."))</definedName>
    <definedName name="Agresidue_SourceData.CropPurposeAndYield_Data">_xlfn.LAMBDA(_xlfn.MAKEARRAY(4, 8, _xlfn.LAMBDA(_xlpm.r,_xlpm.c, INDEX({"Purpose","Per hectare unit","harvest term","harvest endpoint","Harvest uit","Yield note","Residue crop ratio note","Total production note";"Cash grain crop","grain","yield","harvest","grain","Yield is the grain harvested from the plant","Residue to crop ratio is provided from default values","Total production is the total grain harvested";"Cash crop for hay/silage","above ground biomass","yield","harvest","plant biomass","Yield is the whole plant harvested for hay/silage","Residue to crop ratio is 0 assuming the whole plant is harvested for hay/silage","Total production is the total whole plant biomass harvested as hay/silage";"Cover crop","above ground biomass","mass","end of crop cycle","above ground biomass","Yield is the whole plant kept as cover crop","Residue to crop ratio is 1 assuming the whole plant is kept as cover crop","Total production is the total whole plant biomass kept as cover crop"}, _xlpm.r, _xlpm.c))))</definedName>
    <definedName name="Agresidue_SourceData.CropPurposeAndYield_Title">_xlfn.LAMBDA(("Crop purpose and yield"))</definedName>
    <definedName name="Agresidue_SourceData.N2OEFOrganicFertiliser_Data">_xlfn.LAMBDA(_xlfn.MAKEARRAY(3, 2, _xlfn.LAMBDA(_xlpm.r,_xlpm.c, INDEX({"Climate zone i","EF i N2O";"Wet climate zone",0.006;"Dry climate zone",0.005}, _xlpm.r, _xlpm.c))))</definedName>
    <definedName name="Agresidue_SourceData.N2OEFOrganicFertiliser_NIRReference">_xlfn.LAMBDA("IPCC 2019 Refinement Volume 4 Table 11.1 [1, p. 11]")</definedName>
    <definedName name="Agresidue_SourceData.N2OEFOrganicFertiliser_Source">_xlfn.LAMBDA("VEERG 2026: Table A.2.1.4")</definedName>
    <definedName name="Agresidue_SourceData.N2OEFOrganicFertiliser_Title">_xlfn.LAMBDA("Emission factor for organic fertiliser and crop residues returned to the soil")</definedName>
    <definedName name="Agresidue_SourceData.N2OEFOrganicFertiliser_Unit">_xlfn.LAMBDA("kg N2O - N / kg N")</definedName>
    <definedName name="Agresidue_SourceData.PastureAttributes_Data">_xlfn.LAMBDA(_xlfn.MAKEARRAY(6, 6, _xlfn.LAMBDA(_xlpm.r,_xlpm.c, INDEX({"Pasture type","Average Yield (t DM ha) Yp","Below-ground: above-ground residue ratio RBGp","N content Above-ground NCAGp","N content Below-ground NCBGp","Fraction of pasture yield that is removed FFODp";"Annual grass",4.41,0.4,0.015,0.012,0.8;"Grass clover mixture",8.34,0.8,0.025,0.016,0.8;"Lucerne",8.62,0.4,0.027,0.019,0.8;"Other legume",5.62,0.4,0.027,0.022,0.8;"Perennial pasture",8.35,0.8,0.015,0.012,0.8}, _xlpm.r, _xlpm.c))))</definedName>
    <definedName name="Agresidue_SourceData.PastureAttributes_Description">_xlfn.LAMBDA(("Pasture attributes"))</definedName>
    <definedName name="Agresidue_SourceData.PastureAttributes_Source">_xlfn.LAMBDA(("VEERG 2026: Table A.2.1.3: Pasture attributes"))</definedName>
    <definedName name="Agresidue_SourceData.PastureAttributes_Title">_xlfn.LAMBDA(("Table A.2.1.3 Pasture attributes"))</definedName>
    <definedName name="AgResidues_Equations_CropResidues.VEERG_6_1_1_1__1__NitrousOxideEmissionsFromCropResidues">_xlfn.LAMBDA(_xlpm.Mc,_xlpm.EFNi,_xlpm.CgN2O, _xlpm.Mc * _xlpm.EFNi * _xlpm.CgN2O * 10 ^ (-3))</definedName>
    <definedName name="AgResidues_Equations_CropResidues.VEERG_6_1_1_1__1__NitrousOxideEmissionsFromCropResidues_Arguments">_xlfn.LAMBDA(_xlfn.MAKEARRAY(5, 2, _xlfn.LAMBDA(_xlpm.r,_xlpm.c, INDEX({"Mc","mass of nitrogen in crop c residues returned to the soil (kg N)";"EFNi","emission factor for crop residues returned to the soil (kg N2O-N/kg N)";"CgN2O","factor to convert elemental mass of nitrous oxide to molecular mass (dimensionless)";"c","Crop type";"i","Climate zone"}, _xlpm.r, _xlpm.c))))</definedName>
    <definedName name="AgResidues_Equations_CropResidues.VEERG_6_1_1_1__1__NitrousOxideEmissionsFromCropResidues_FunctionName">_xlfn.LAMBDA("VEERG_6_1_1_1__1__NitrousOxideEmissionsFromCropResidues")</definedName>
    <definedName name="AgResidues_Equations_CropResidues.VEERG_6_1_1_1__1__NitrousOxideEmissionsFromCropResidues_LatexEquation">_xlfn.LAMBDA("E=\sum_{c}{M_{c}\times EF_{N}\times C_{g,N2O}\times 10^{-3}}")</definedName>
    <definedName name="AgResidues_Equations_CropResidues.VEERG_6_1_1_1__1__NitrousOxideEmissionsFromCropResidues_NIRReference">_xlfn.LAMBDA("")</definedName>
    <definedName name="AgResidues_Equations_CropResidues.VEERG_6_1_1_1__1__NitrousOxideEmissionsFromCropResidues_Source">_xlfn.LAMBDA("VEERG 2026: 6.1.1.1, Equation (1)")</definedName>
    <definedName name="AgResidues_Equations_CropResidues.VEERG_6_1_1_1__1__NitrousOxideEmissionsFromCropResidues_Title">_xlfn.LAMBDA("Nitrous oxide emissions from the return of crop residues across all crops c to the soil")</definedName>
    <definedName name="AgResidues_Equations_CropResidues.VEERG_6_1_1_1__1__NitrousOxideEmissionsFromCropResidues_Unit">_xlfn.LAMBDA("t N2O")</definedName>
    <definedName name="AgResidues_Equations_CropResidues.VEERG_6_1_1_1__1__NitrousOxideEmissionsFromCropResidues_Variable">_xlfn.LAMBDA("E")</definedName>
    <definedName name="AgResidues_Equations_CropResidues.VEERG_6_1_1_1__2__MassOfNitrogenInCropResidues">_xlfn.LAMBDA(_xlpm.Pc,_xlpm.RAGc,_xlpm.Fc,_xlpm.FFODc,_xlpm.DMc,_xlpm.NCAGc,_xlpm.RBGc,_xlpm.NCBGc, (_xlpm.Pc * _xlpm.RAGc * (1 - _xlpm.Fc - _xlpm.FFODc) * _xlpm.DMc * _xlpm.NCAGc) + (_xlpm.Pc * _xlpm.RAGc * _xlpm.RBGc * _xlpm.DMc * _xlpm.NCBGc))</definedName>
    <definedName name="AgResidues_Equations_CropResidues.VEERG_6_1_1_1__2__MassOfNitrogenInCropResidues_Arguments">_xlfn.LAMBDA(_xlfn.MAKEARRAY(10, 2, _xlfn.LAMBDA(_xlpm.r,_xlpm.c, INDEX({"Pc","annual production of crop c (kg)";"RAGc","residue to crop ratio for crop c (dimensionless)";"RBGc","below ground-residue to above ground residue ratio for crop c (dimensionless)";"Fc","fraction of crop residue that is burnt for crop c (dimensionless)";"FFODc","fraction of the crop residue that is removed for crop c (dimensionless)";"DMc","dry matter content of crop c (kg dry weight/kg crop residue)";"NCAGc","nitrogen content of above-ground crop residue of crop c (kg N/kg DM)";"NCBGc","nitrogen content of below-ground crop residue of crop c (kg N/kg DM)";"c","Crop type";"State","State or territory"}, _xlpm.r, _xlpm.c))))</definedName>
    <definedName name="AgResidues_Equations_CropResidues.VEERG_6_1_1_1__2__MassOfNitrogenInCropResidues_LatexEquation">_xlfn.LAMBDA("M_{c}=(P_{c}\times R_{AGc}\times(1-F_{c}-FFOD_{c})\times DM_{c}\times NC_{AGc})+(P_{c}\times R_{AGc}\times R_{BGc}\times DM_{c}\times NC_{BGc})")</definedName>
    <definedName name="AgResidues_Equations_CropResidues.VEERG_6_1_1_1__2__MassOfNitrogenInCropResidues_NIRReference">_xlfn.LAMBDA("")</definedName>
    <definedName name="AgResidues_Equations_CropResidues.VEERG_6_1_1_1__2__MassOfNitrogenInCropResidues_Source">_xlfn.LAMBDA("VEERG 2026: 6.1.1.1, Equation (2)")</definedName>
    <definedName name="AgResidues_Equations_CropResidues.VEERG_6_1_1_1__2__MassOfNitrogenInCropResidues_Title">_xlfn.LAMBDA("Mass of nitrogen in crop residues returned to the soil")</definedName>
    <definedName name="AgResidues_Equations_CropResidues.VEERG_6_1_1_1__2__MassOfNitrogenInCropResidues_Unit">_xlfn.LAMBDA("kg N")</definedName>
    <definedName name="AgResidues_Equations_CropResidues.VEERG_6_1_1_1__2__MassOfNitrogenInCropResidues_Variable">_xlfn.LAMBDA("Mc")</definedName>
    <definedName name="AgResidues_Equations_CropResidues.VEERG_6_1_1_2__1__FractionOfCropResidueRemovedBaled">_xlfn.LAMBDA(_xlpm.B,_xlpm.MB,_xlpm.Pc,_xlpm.RAGc, IFERROR((_xlpm.B * _xlpm.MB) / (_xlpm.Pc * _xlpm.RAGc), 0))</definedName>
    <definedName name="AgResidues_Equations_CropResidues.VEERG_6_1_1_2__1__FractionOfCropResidueRemovedBaled_Arguments">_xlfn.LAMBDA(_xlfn.MAKEARRAY(5, 2, _xlfn.LAMBDA(_xlpm.r,_xlpm.c, INDEX({"B","number of bales generated (dimensionless)";"MB","mass of each bale (kg)";"Pc","annual production of crop c (kg)";"RAGc","residue to crop ratio for crop c (dimensionless)";"c","Crop type"}, _xlpm.r, _xlpm.c))))</definedName>
    <definedName name="AgResidues_Equations_CropResidues.VEERG_6_1_1_2__1__FractionOfCropResidueRemovedBaled_LatexEquation">_xlfn.LAMBDA("FFOD_{c,baled}=\frac{B\times M_{B}}{P_{c}\times R_{AG,c}}")</definedName>
    <definedName name="AgResidues_Equations_CropResidues.VEERG_6_1_1_2__1__FractionOfCropResidueRemovedBaled_NIRReference">_xlfn.LAMBDA("")</definedName>
    <definedName name="AgResidues_Equations_CropResidues.VEERG_6_1_1_2__1__FractionOfCropResidueRemovedBaled_Source">_xlfn.LAMBDA("VEERG 2026: 6.1.1.2, Equation (1)")</definedName>
    <definedName name="AgResidues_Equations_CropResidues.VEERG_6_1_1_2__1__FractionOfCropResidueRemovedBaled_Title">_xlfn.LAMBDA("Fraction of crop residue that is removed for crop c, calculated where residues are baled")</definedName>
    <definedName name="AgResidues_Equations_CropResidues.VEERG_6_1_1_2__1__FractionOfCropResidueRemovedBaled_Unit">_xlfn.LAMBDA("dimensionless")</definedName>
    <definedName name="AgResidues_Equations_CropResidues.VEERG_6_1_1_2__1__FractionOfCropResidueRemovedBaled_Variable">_xlfn.LAMBDA("FFODcbaled")</definedName>
    <definedName name="AgResidues_Equations_CropResidues.VEERG_6_1_1_2__1__FractionOfCropResidueRemovedBaled_Variation">_xlfn.LAMBDA("VARIATION FROM SOURCE: Added 'baled' to variable subscript")</definedName>
    <definedName name="AgResidues_Equations_CropResidues.VEERG_6_1_1_2__1a__FractionOfCropResidueRemoved">_xlfn.LAMBDA(_xlpm.FFODcbaled,_xlpm.FFODcother, _xlpm.FFODcbaled + _xlpm.FFODcother)</definedName>
    <definedName name="AgResidues_Equations_CropResidues.VEERG_6_1_1_2__1a__FractionOfCropResidueRemoved_Arguments">_xlfn.LAMBDA(_xlfn.MAKEARRAY(2, 2, _xlfn.LAMBDA(_xlpm.r,_xlpm.c, INDEX({"FFODcbaled","Fraction of crop residue that is removed for crop c, calculated where residues are baled";"FFODcother","Fraction of crop residue that is removed for crop c, calculated where residues are removed by other means"}, _xlpm.r, _xlpm.c))))</definedName>
    <definedName name="AgResidues_Equations_CropResidues.VEERG_6_1_1_2__1a__FractionOfCropResidueRemoved_LatexEquation">_xlfn.LAMBDA("FFOD_{c} = FFOD_{c,baled} + FFOD_{c,other}")</definedName>
    <definedName name="AgResidues_Equations_CropResidues.VEERG_6_1_1_2__1a__FractionOfCropResidueRemoved_NIRReference">_xlfn.LAMBDA("")</definedName>
    <definedName name="AgResidues_Equations_CropResidues.VEERG_6_1_1_2__1a__FractionOfCropResidueRemoved_Source">_xlfn.LAMBDA("")</definedName>
    <definedName name="AgResidues_Equations_CropResidues.VEERG_6_1_1_2__1a__FractionOfCropResidueRemoved_Title">_xlfn.LAMBDA("Fraction of crop residue that is removed for crop c")</definedName>
    <definedName name="AgResidues_Equations_CropResidues.VEERG_6_1_1_2__1a__FractionOfCropResidueRemoved_Unit">_xlfn.LAMBDA("dimensionless")</definedName>
    <definedName name="AgResidues_Equations_CropResidues.VEERG_6_1_1_2__1a__FractionOfCropResidueRemoved_Variable">_xlfn.LAMBDA("FFODc")</definedName>
    <definedName name="AgResidues_Equations_CropResidues.VEERG_6_1_1_2__1a__FractionOfCropResidueRemoved_Variation">_xlfn.LAMBDA("VARIATION FROM SOURCE: Added this equation to accommodate user-defined residue removal other than baling.")</definedName>
    <definedName name="AgResidues_Equations_Leaching.VEERG_6_3_1_1__1__LeachingAndRunoffEmissionsCropAndPastureResidue">_xlfn.LAMBDA(_xlpm.Mleachcp,_xlpm.EFleach,_xlpm.CgN2O, _xlpm.Mleachcp * _xlpm.EFleach * _xlpm.CgN2O * 10 ^ (-3))</definedName>
    <definedName name="AgResidues_Equations_Leaching.VEERG_6_3_1_1__1__LeachingAndRunoffEmissionsCropAndPastureResidue_Arguments">_xlfn.LAMBDA(_xlfn.MAKEARRAY(5, 2, _xlfn.LAMBDA(_xlpm.r,_xlpm.c, INDEX({"Mleachcp","mass of nitrogen lost through leaching and runoff from the crop residue c or pasture residue p (kg N)";"EFleach","emission factor for leaching and runoff (kg N2O-N/kg N)";"CgN2O","factor to convert elemental mass of nitrous oxide to molecular mass (dimensionless)";"c","Crop residue type";"p","Pasture residue type"}, _xlpm.r, _xlpm.c))))</definedName>
    <definedName name="AgResidues_Equations_Leaching.VEERG_6_3_1_1__1__LeachingAndRunoffEmissionsCropAndPastureResidue_LatexEquation">_xlfn.LAMBDA("E_{N2O}=\sum_{c}\sum_{p}(M_{leach,cp}\times EF_{leach}\times Cg_{N2O}\times 10^{-3})")</definedName>
    <definedName name="AgResidues_Equations_Leaching.VEERG_6_3_1_1__1__LeachingAndRunoffEmissionsCropAndPastureResidue_NIRReference">_xlfn.LAMBDA("")</definedName>
    <definedName name="AgResidues_Equations_Leaching.VEERG_6_3_1_1__1__LeachingAndRunoffEmissionsCropAndPastureResidue_Source">_xlfn.LAMBDA("VEERG 2026: 6.3.1.1, Equation (1)")</definedName>
    <definedName name="AgResidues_Equations_Leaching.VEERG_6_3_1_1__1__LeachingAndRunoffEmissionsCropAndPastureResidue_Title">_xlfn.LAMBDA("Nitrous oxide leaching and runoff emissions from crop and pasture residues returned to the soil")</definedName>
    <definedName name="AgResidues_Equations_Leaching.VEERG_6_3_1_1__1__LeachingAndRunoffEmissionsCropAndPastureResidue_Unit">_xlfn.LAMBDA("t N2O")</definedName>
    <definedName name="AgResidues_Equations_Leaching.VEERG_6_3_1_1__1__LeachingAndRunoffEmissionsCropAndPastureResidue_Variable">_xlfn.LAMBDA("EN2O")</definedName>
    <definedName name="AgResidues_Equations_Leaching.VEERG_6_3_1_1__2__MassOfNitrogenLostThroughLeachingAndRunoff">_xlfn.LAMBDA(_xlpm.Mcp,_xlpm.FracWETzir,_xlpm.FracLEACH, _xlpm.Mcp * _xlpm.FracWETzir * _xlpm.FracLEACH)</definedName>
    <definedName name="AgResidues_Equations_Leaching.VEERG_6_3_1_1__2__MassOfNitrogenLostThroughLeachingAndRunoff_Arguments">_xlfn.LAMBDA(_xlfn.MAKEARRAY(7, 2, _xlfn.LAMBDA(_xlpm.r,_xlpm.c, INDEX({"Mcp","mass of nitrogen in crop residues c or pasture residues p applied to soils (kg N)";"FracWETzir","fraction of N that is available for leaching and runoff from the leaching zone z and irrigation type ir (dimensionless)";"FracLEACH","fraction of N that is lost through leaching and runoff (dimensionless)";"z","Location in leaching zone (dimensionless)";"c","Crop residue type";"p","Pasture residue type";"ir","Irrigation type"}, _xlpm.r, _xlpm.c))))</definedName>
    <definedName name="AgResidues_Equations_Leaching.VEERG_6_3_1_1__2__MassOfNitrogenLostThroughLeachingAndRunoff_LatexEquation">_xlfn.LAMBDA("M_{leach,cp}=M_{cp}\times FracWET_{z,ir}\times FracLEACH")</definedName>
    <definedName name="AgResidues_Equations_Leaching.VEERG_6_3_1_1__2__MassOfNitrogenLostThroughLeachingAndRunoff_NIRReference">_xlfn.LAMBDA("")</definedName>
    <definedName name="AgResidues_Equations_Leaching.VEERG_6_3_1_1__2__MassOfNitrogenLostThroughLeachingAndRunoff_Source">_xlfn.LAMBDA("VEERG 2026: 6.3.1.1, Equation (2)")</definedName>
    <definedName name="AgResidues_Equations_Leaching.VEERG_6_3_1_1__2__MassOfNitrogenLostThroughLeachingAndRunoff_Title">_xlfn.LAMBDA("Mass of nitrogen lost through leaching and runoff")</definedName>
    <definedName name="AgResidues_Equations_Leaching.VEERG_6_3_1_1__2__MassOfNitrogenLostThroughLeachingAndRunoff_Unit">_xlfn.LAMBDA("kg N")</definedName>
    <definedName name="AgResidues_Equations_Leaching.VEERG_6_3_1_1__2__MassOfNitrogenLostThroughLeachingAndRunoff_Variable">_xlfn.LAMBDA("Mleachcp")</definedName>
    <definedName name="AgResidues_Equations_Leaching.VEERG_6_3_1_1__2__MassOfNitrogenLostThroughLeachingAndRunoff_Variation">_xlfn.LAMBDA("VARIATION FROM SOURCE: Added criteria for leaching zone z and irrigation type ir. Removed production system criteria j.")</definedName>
    <definedName name="AgResidues_Equations_PastureResidues.VEERG_6_2_1_1__1__NitrousOxideEmissionsFromPastureResidues">_xlfn.LAMBDA(_xlpm.Mp,_xlpm.EFNi,_xlpm.CN2O, _xlpm.Mp * _xlpm.EFNi * _xlpm.CN2O * 10 ^ (-3))</definedName>
    <definedName name="AgResidues_Equations_PastureResidues.VEERG_6_2_1_1__1__NitrousOxideEmissionsFromPastureResidues_Arguments">_xlfn.LAMBDA(_xlfn.MAKEARRAY(5, 2, _xlfn.LAMBDA(_xlpm.r,_xlpm.c, INDEX({"Mp","mass of nitrogen in pasture p residues returned to the soil (kg N)";"EFNi","emission factor for crop residues returned to the soil in climate zone i (kg N2O-N/kg N)";"CgN2O","factor to convert elemental mass of nitrous oxide to molecular mass (dimensionless)";"p","Pasture type";"i","Climate zone"}, _xlpm.r, _xlpm.c))))</definedName>
    <definedName name="AgResidues_Equations_PastureResidues.VEERG_6_2_1_1__1__NitrousOxideEmissionsFromPastureResidues_FunctionName">_xlfn.LAMBDA("VEERG_6_2_1_1__1__NitrousOxideEmissionsFromPastureResidues")</definedName>
    <definedName name="AgResidues_Equations_PastureResidues.VEERG_6_2_1_1__1__NitrousOxideEmissionsFromPastureResidues_LatexEquation">_xlfn.LAMBDA("E_{N2O}=\sum_{p}\left(M_p\times EF_{Ni}\times C_{N2O}\times{10}^{-3}\right)")</definedName>
    <definedName name="AgResidues_Equations_PastureResidues.VEERG_6_2_1_1__1__NitrousOxideEmissionsFromPastureResidues_NIRReference">_xlfn.LAMBDA("")</definedName>
    <definedName name="AgResidues_Equations_PastureResidues.VEERG_6_2_1_1__1__NitrousOxideEmissionsFromPastureResidues_Source">_xlfn.LAMBDA("VEERG 2026: 6.2.1.1, Equation (1)")</definedName>
    <definedName name="AgResidues_Equations_PastureResidues.VEERG_6_2_1_1__1__NitrousOxideEmissionsFromPastureResidues_Title">_xlfn.LAMBDA("Nitrous oxide emissions from the return of pasture residues from all pasture types to the soil")</definedName>
    <definedName name="AgResidues_Equations_PastureResidues.VEERG_6_2_1_1__1__NitrousOxideEmissionsFromPastureResidues_Unit">_xlfn.LAMBDA("t N2O")</definedName>
    <definedName name="AgResidues_Equations_PastureResidues.VEERG_6_2_1_1__1__NitrousOxideEmissionsFromPastureResidues_Variable">_xlfn.LAMBDA("EN2O")</definedName>
    <definedName name="AgResidues_Equations_PastureResidues.VEERG_6_2_1_1__2__MassOfNitrogenInPastureResidues">_xlfn.LAMBDA(_xlpm.Ap,_xlpm.Yp,_xlpm.FFODp,_xlpm.NCAGp,_xlpm.RBGp,_xlpm.NCBGp, (_xlpm.Ap * (_xlpm.Yp * 10 ^ (-3)) * (1 - _xlpm.FFODp) * _xlpm.NCAGp) + (_xlpm.Ap * (_xlpm.Yp * 10 ^ (-3)) * _xlpm.RBGp * _xlpm.NCBGp))</definedName>
    <definedName name="AgResidues_Equations_PastureResidues.VEERG_6_2_1_1__2__MassOfNitrogenInPastureResidues_Arguments">_xlfn.LAMBDA(_xlfn.MAKEARRAY(7, 2, _xlfn.LAMBDA(_xlpm.r,_xlpm.c, INDEX({"Ap","area of pasture renewed or removed (ha)";"Yp","average yield of pasture crop (t DM/ha)";"NCAGp","N content of above-ground pasture residue (kg N/kg DM)";"RBGp","below-ground residue to above-ground residue ratio for pasture crop (dimensionless)";"NCBGp","N content of below-ground pasture crop residue (kg N/kg DM)";"FFODp","fraction of pasture yield that is removed (dimensionless)";"p","Pasture type"}, _xlpm.r, _xlpm.c))))</definedName>
    <definedName name="AgResidues_Equations_PastureResidues.VEERG_6_2_1_1__2__MassOfNitrogenInPastureResidues_FunctionName">_xlfn.LAMBDA("VEERG_6_2_1_1__2__MassOfNitrogenInPastureResidues")</definedName>
    <definedName name="AgResidues_Equations_PastureResidues.VEERG_6_2_1_1__2__MassOfNitrogenInPastureResidues_LatexEquation">_xlfn.LAMBDA("M_p = (A_p \times (Y_p \times 10^{-3}) \times (1- FFOD_p) \times NC_{AGp}) + (A_p \times (Y_p \times 10^{-3})\times R_{BGp} \times NC_{BGp})")</definedName>
    <definedName name="AgResidues_Equations_PastureResidues.VEERG_6_2_1_1__2__MassOfNitrogenInPastureResidues_NIRReference">_xlfn.LAMBDA("")</definedName>
    <definedName name="AgResidues_Equations_PastureResidues.VEERG_6_2_1_1__2__MassOfNitrogenInPastureResidues_Source">_xlfn.LAMBDA("VEERG 2026: 6.2.1.1, Equation (2)")</definedName>
    <definedName name="AgResidues_Equations_PastureResidues.VEERG_6_2_1_1__2__MassOfNitrogenInPastureResidues_Title">_xlfn.LAMBDA("Mass of nitrogen in pasture residues returned to the soil")</definedName>
    <definedName name="AgResidues_Equations_PastureResidues.VEERG_6_2_1_1__2__MassOfNitrogenInPastureResidues_Unit">_xlfn.LAMBDA("kg N")</definedName>
    <definedName name="AgResidues_Equations_PastureResidues.VEERG_6_2_1_1__2__MassOfNitrogenInPastureResidues_Variable">_xlfn.LAMBDA("Mp")</definedName>
    <definedName name="AgResidues_SourceData.BurningOfAgriculturalResiduesEFs_Data">_xlfn.LAMBDA(_xlfn.MAKEARRAY(6, 3, _xlfn.LAMBDA(_xlpm.r,_xlpm.c, INDEX({"Gas species","Emission factor EFg (Gg element in species/ Gg element in fuel burnt)","Elemental to molecular mass conversion factor (Cg)";"CH4",0.0035,"16/12";"N2O",0.0076,"44/28";"NOx",0.21,"46/14";"CO",0.078,"28/12";"NMVOC",0.0091,"14/12"}, _xlpm.r, _xlpm.c))))</definedName>
    <definedName name="AgResidues_SourceData.BurningOfAgriculturalResiduesEFs_Description">_xlfn.LAMBDA(("Burning of agricultural residues - EFs"))</definedName>
    <definedName name="AgResidues_SourceData.BurningOfAgriculturalResiduesEFs_Source">_xlfn.LAMBDA(("National Inventory Report 2023 volume 2: Table 5.31: Burning of agricultural residues - EFs"))</definedName>
    <definedName name="AgResidues_SourceData.BurningOfAgriculturalResiduesEFs_Title">_xlfn.LAMBDA(("Table 5.31 Burning of agricultural residues - EFs"))</definedName>
    <definedName name="AgResidues_SourceData.CropAttributes_Data">_xlfn.LAMBDA(_xlfn.MAKEARRAY(20, 9, _xlfn.LAMBDA(_xlpm.r,_xlpm.c, INDEX({"Crop type","Residue: Crop ratio","Below-ground: above-ground residue ratio","Dry matter content","Carbon fraction in dry matter","N content above-ground","N content below-ground","Fraction of residue remaining at time of burning","Burning efficiencyt";"c","RAGc","RBGc","DMc","CCc","NCAGc","NCBGc","Sc","Zc";"Wheat",1.5,0.29,0.88,0.4,0.006,0.01,0.5,0.9;"Barley",1.24,0.32,0.88,0.4,0.007,0.01,0.5,0.85;"Maize",0.81,0.39,0.85,0.42,0.005,0.007,1,0.8;"Oats",1.42,0.43,0.88,0.4,0.006,0.01,0.5,0.85;"Rice",1.31,0.16,0.8,0.42,0.007,0.01,1,0.8;"Sorghum",1.5,0.22,0.8,0.4,0.008,0.007,0.5,0.85;"Triticale",1.5,0.42,0.88,0.4,0.006,0.01,0.5,0.85;"Other cereals",1.46,0.36,0.88,0.4,0.006,0.01,0.5,0.85;"Pulses",1.37,0.51,0.87,0.4,0.009,0.01,0.5,0.85;"Tubers and roots",0.34,0.43,0.25,0.4,0.02,0.01,"n/a",0.85;"Peanuts",1.07,0.2,0.8,0.42,0.016,0.014,0.5,0.85;"Sugar cane",0.25,0.45,0.2,0.4,0.005,0.007,1,0.8;"Cotton",1.9,0.3,0.9,0.4,0.01,0.01,"n/a",0.85;"Hops",1.5,0.29,0.88,0.4,0.006,"n/a","n/a",0.85;"Oilseeds",2.08,0.33,0.96,0.4,0.009,0.01,0.5,0.85;"Forage crops",1.34,0.37,0.88,0.4,0.006,0.01,"n/a",0.85;"Other annual crops",1,0.22,0.85,0.4,0.008,0.009,"n/a","n/a";"Other perennial crops",1.5,0.29,0.88,0.4,0.006,"n/a","n/a","n/a"}, _xlpm.r, _xlpm.c))))</definedName>
    <definedName name="AgResidues_SourceData.CropAttributes_Description">_xlfn.LAMBDA(("Crop attributes"))</definedName>
    <definedName name="AgResidues_SourceData.CropAttributes_Source">_xlfn.LAMBDA(("VEERG 2026: Table A.2.1.1: Crop attributes"))</definedName>
    <definedName name="AgResidues_SourceData.CropAttributes_Title">_xlfn.LAMBDA(("Table A.2.1.1: Crop attributes"))</definedName>
    <definedName name="AgResidues_SourceData.CropAttributes_Variation">_xlfn.LAMBDA(("VARIATION FROM SOURCE: 'N/A' values passed as zero for calculations."))</definedName>
    <definedName name="AgResidues_SourceData.CropFractionRemoved_CustomisedData">_xlfn.LAMBDA(_xlfn.MAKEARRAY(144, 3, _xlfn.LAMBDA(_xlpm.r,_xlpm.c, INDEX({"Crop type c","State","Fraction removed FFODc";"Rice","NSW",0.06;"Rice","VIC",0.06;"Rice","QLD",0.06;"Rice","SA",0.06;"Rice","WA",0.06;"Rice","TAS",0.06;"Rice","NT",0.06;"Rice","ACT",0.06;"Tubers and roots","NSW",1;"Tubers and roots","VIC",1;"Tubers and roots","QLD",1;"Tubers and roots","SA",1;"Tubers and roots","WA",1;"Tubers and roots","TAS",1;"Tubers and roots","NT",1;"Tubers and roots","ACT",1;"Cotton","NSW",0;"Cotton","VIC",0;"Cotton","QLD",0;"Cotton","SA",0;"Cotton","WA",0;"Cotton","TAS",0;"Cotton","NT",0;"Cotton","ACT",0;"Hops","NSW",0;"Hops","VIC",0;"Hops","QLD",0;"Hops","SA",0;"Hops","WA",0;"Hops","TAS",0;"Hops","NT",0;"Hops","ACT",0;"Forage crops","NSW",0.8;"Forage crops","VIC",0.8;"Forage crops","QLD",0.8;"Forage crops","SA",0.8;"Forage crops","WA",0.8;"Forage crops","TAS",0.8;"Forage crops","NT",0.8;"Forage crops","ACT",0.8;"Sugar Cane","NSW",0;"Sugar Cane","VIC","N/A";"Sugar Cane","QLD",0.03;"Sugar Cane","SA","N/A";"Sugar Cane","WA",0;"Sugar Cane","TAS","N/A";"Sugar Cane","NT","N/A";"Sugar Cane","ACT","N/A";"Wheat","NSW",0.05;"Wheat","VIC",0.07;"Wheat","QLD",0.04;"Wheat","SA",0.09;"Wheat","WA",0.11;"Wheat","TAS",0.16;"Wheat","NT",0.01;"Wheat","ACT",0;"Barley","NSW",0.05;"Barley","VIC",0.07;"Barley","QLD",0.04;"Barley","SA",0.09;"Barley","WA",0.11;"Barley","TAS",0.16;"Barley","NT",0.01;"Barley","ACT",0;"Maize","NSW",0.05;"Maize","VIC",0.07;"Maize","QLD",0.04;"Maize","SA",0.09;"Maize","WA",0.11;"Maize","TAS",0.16;"Maize","NT",0.01;"Maize","ACT",0;"Oats","NSW",0.05;"Oats","VIC",0.07;"Oats","QLD",0.04;"Oats","SA",0.09;"Oats","WA",0.11;"Oats","TAS",0.16;"Oats","NT",0.01;"Oats","ACT",0;"Sorghum","NSW",0.05;"Sorghum","VIC",0.07;"Sorghum","QLD",0.04;"Sorghum","SA",0.09;"Sorghum","WA",0.11;"Sorghum","TAS",0.16;"Sorghum","NT",0.01;"Sorghum","ACT",0;"Triticale","NSW",0.05;"Triticale","VIC",0.07;"Triticale","QLD",0.04;"Triticale","SA",0.09;"Triticale","WA",0.11;"Triticale","TAS",0.16;"Triticale","NT",0.01;"Triticale","ACT",0;"Other cereals","NSW",0.05;"Other cereals","VIC",0.07;"Other cereals","QLD",0.04;"Other cereals","SA",0.09;"Other cereals","WA",0.11;"Other cereals","TAS",0.16;"Other cereals","NT",0.01;"Other cereals","ACT",0;"Pulses","NSW",0.05;"Pulses","VIC",0.07;"Pulses","QLD",0.04;"Pulses","SA",0.09;"Pulses","WA",0.11;"Pulses","TAS",0.16;"Pulses","NT",0.01;"Pulses","ACT",0;"Peanuts","NSW",0.05;"Peanuts","VIC",0.07;"Peanuts","QLD",0.04;"Peanuts","SA",0.09;"Peanuts","WA",0.11;"Peanuts","TAS",0.16;"Peanuts","NT",0.01;"Peanuts","ACT",0;"Oilseeds","NSW",0.05;"Oilseeds","VIC",0.07;"Oilseeds","QLD",0.04;"Oilseeds","SA",0.09;"Oilseeds","WA",0.11;"Oilseeds","TAS",0.16;"Oilseeds","NT",0.01;"Oilseeds","ACT",0;"Other annual crops","NSW",0.05;"Other annual crops","VIC",0.07;"Other annual crops","QLD",0.04;"Other annual crops","SA",0.09;"Other annual crops","WA",0.11;"Other annual crops","TAS",0.16;"Other annual crops","NT",0.01;"Other annual crops","ACT",0;"Other perennial crops","NSW",0.05;"Other perennial crops","VIC",0.07;"Other perennial crops","QLD",0.04;"Other perennial crops","SA",0.09;"Other perennial crops","WA",0.11;"Other perennial crops","TAS",0.16;"Other perennial crops","NT",0.01;"Other perennial crops","ACT",0}, _xlpm.r, _xlpm.c))))</definedName>
    <definedName name="AgResidues_SourceData.CropFractionRemoved_Data">_xlfn.LAMBDA(_xlfn.MAKEARRAY(20, 3, _xlfn.LAMBDA(_xlpm.r,_xlpm.c, INDEX({"Crop type c","State","Fraction removed FFODc";"Rice","All states",0.06;"Tubers and roots","All states",1;"Cotton","All states",0;"Hops","All states",0;"Forage crops","All states",0.8;"Sugar Cane","NSW",0;"Sugar Cane","QLD",0.03;"Sugar Cane","WA",0;"All other crop types","NSW",0.05;"All other crop types","VIC",0.07;"All other crop types","QLD",0.04;"All other crop types","SA",0.09;"All other crop types","WA",0.11;"All other crop types","TAS",0.16;"All other crop types","NT",0.01;"All other crop types","ACT",0}, _xlpm.r, _xlpm.c))))</definedName>
    <definedName name="AgResidues_SourceData.CropFractionRemoved_Description">_xlfn.LAMBDA(("Crop attributes - Fraction removed (FFODc)"))</definedName>
    <definedName name="AgResidues_SourceData.CropFractionRemoved_Source">_xlfn.LAMBDA(("VEERG 2026: Table A.2.1.2: Crop attributes - Fraction removed (FFODc)"))</definedName>
    <definedName name="AgResidues_SourceData.CropFractionRemoved_Title">_xlfn.LAMBDA(("Table A.2.1.2: Crop attributes - Fraction removed (FFODc)"))</definedName>
    <definedName name="AgResidues_SourceData.CropFractionRemoved_Variation">_xlfn.LAMBDA(("VARIATION OF SOURCE DATA: Split 'All other crop types' into individual crop types for each state. Listed all states for Sugar Cane, with 'N/A' for states where it is not grown."))</definedName>
    <definedName name="AgResidues_SourceData.PastureAttributes_Data">_xlfn.LAMBDA(_xlfn.MAKEARRAY(6, 6, _xlfn.LAMBDA(_xlpm.r,_xlpm.c, INDEX({"Pasture type","Average Yield (t DM ha) Yp","Below-ground: above-ground residue ratio RBGp","N content Above-ground NCAGp","N content Below-ground NCBGp","Fraction of pasture yield that is removed FFODp";"Annual grass",4.41,0.4,0.015,0.012,0.8;"Grass clover mixture",8.34,0.8,0.025,0.016,0.8;"Lucerne",8.62,0.4,0.027,0.019,0.8;"Other legume",5.62,0.4,0.027,0.022,0.8;"Perennial pasture",8.35,0.8,0.015,0.012,0.8}, _xlpm.r, _xlpm.c))))</definedName>
    <definedName name="AgResidues_SourceData.PastureAttributes_Description">_xlfn.LAMBDA(("Pasture attributes"))</definedName>
    <definedName name="AgResidues_SourceData.PastureAttributes_Source">_xlfn.LAMBDA(("VEERG 2026: Table A.2.1.3: Pasture attributes"))</definedName>
    <definedName name="AgResidues_SourceData.PastureAttributes_Title">_xlfn.LAMBDA(("Table A.2.1.3 Pasture attributes"))</definedName>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
        MEDIAN(
            ROUND(_xlpm.Temperature, 0),
            MIN(_xlpm.TemperatureArray),
            MAX(_xlpm.TemperatureArray)
        ),
        _xlpm.TemperatureArray,
        _xlfn.XLOOKUP(_xlpm.MMS, _xlpm.MMSArray, _xlpm.ReturnArray)
    )
)</definedName>
    <definedName name="Common_InputFunctions.CommonCropping_GetFracWET">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
        _xlpm.S,_xlpm.ProductionCycleStart,
        _xlpm.E,_xlpm.ProductionCycleEnd,
        _xlpm.m,MONTH(_xlpm.ReportingCycleStart),
        _xlpm.d,DAY(_xlpm.ReportingCycleStart),
        _xlpm.PeriodEnd,_xlfn.LAMBDA(_xlpm.st,EDATE(_xlpm.st,12)-1),
        _xlpm.A,_xlpm.S-365,
        _xlpm.ya,YEAR(_xlpm.A),
        _xlpm.yb,YEAR(_xlpm.E),
        _xlpm.firstYear,_xlpm.ya+(_xlpm.PeriodEnd(DATE(_xlpm.ya,_xlpm.m,_xlpm.d))&lt;_xlpm.S),
        _xlpm.lastYear,_xlpm.yb-(DATE(_xlpm.yb,_xlpm.m,_xlpm.d)&gt;_xlpm.E),
        _xlpm.n,MAX(0,_xlpm.lastYear-_xlpm.firstYear+1),
        _xlpm.yrs,_xlfn.SEQUENCE(_xlpm.n,1,_xlpm.firstYear,1),
        _xlpm.starts,DATE(_xlpm.yrs,_xlpm.m,_xlpm.d),
        _xlpm.ends,_xlfn.MAP(_xlpm.starts,_xlpm.PeriodEnd),
        _xlpm.tag,IF(_xlpm.starts=_xlpm.ReportingCycleStart," (This reporting cycle)",""),
        _xlpm.startsText,TEXT(_xlpm.starts,"dd mmm yyyy"),
        _xlpm.endsText,TEXT(_xlpm.ends,"dd mmm yyyy"),
        IF(_xlpm.n=0,"",_xlfn.HSTACK(_xlpm.startsText &amp; " to " &amp; _xlpm.endsText &amp; _xlpm.tag))
    )
)</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[0]!Common_InputFunctions.Utility_GetArrayTableRowStartNumber(_xlpm.TableheaderCell, _xlpm.RowsBetweenHeaderandArray), COLUMN() - [0]!Common_InputFunctions.Utility_GetArrayTableColumnStartNumber(_xlpm.TableheaderCell)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IFERROR(_xlfn.XLOOKUP(_xlpm.LookupValue1, _xlpm.LookupArray1, _xlfn.XLOOKUP(_xlpm.LookupValue2, _xlpm.LookupArray2, _xlpm.ReturnArray)), IF(_xlfn.ISOMITTED(_xlpm.ValueIfFalse), "", _xlpm.ValueIfFalse)))</definedName>
    <definedName name="Common_InputFunctions.Utility_LookupValueInTableTwoColumns">_xlfn.LAMBDA(_xlpm.LookupValue1,_xlpm.LookupValue2,_xlpm.LookupArray1,_xlpm.LookupArray2,_xlpm.ReturnArray,_xlop.ValueIFFalse, _xlfn.XLOOKUP(1, (_xlpm.LookupArray1 = _xlpm.LookupValue1) * (_xlpm.LookupArray2 = _xlpm.LookupValue2), _xlpm.ReturnArray, IF(_xlfn.ISOMITTED(_xlpm.ValueIFFalse), "", _xlpm.ValueIFFalse)))</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
    _xlfn.MAKEARRAY(14,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
      )
    )
  )</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
    _xlfn.MAKEARRAY(3,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
      )
    )
  )</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
    _xlfn.MAKEARRAY(21,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
      )
    )
  )</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AgSoils_Equations.AgSoils_AtmosphericDeposition">_xlfn.LAMBDA(_xlpm.Mvolm,_xlpm.Efad,_xlpm.CgN2O, (_xlpm.Mvolm * _xlpm.Efad * _xlpm.CgN2O * 10 ^ -3))</definedName>
    <definedName name="CommonAgSoils_Equations.AgSoils_AtmosphericDeposition_Arguments">_xlfn.LAMBDA(_xlfn.MAKEARRAY(3, 3, _xlfn.LAMBDA(_xlpm.r,_xlpm.c, INDEX({"Mvolm","Mass of nitrogen volatilised from urine and faeces deposited on pasture","kg N";"EFad","Emission factor for atmospheric deposition","kg N2O-N/kg N";"CgN2O","Factor to convert elemental mass of N2O to molecular mass",""}, _xlpm.r, _xlpm.c))))</definedName>
    <definedName name="CommonAgSoils_Equations.AgSoils_AtmosphericDeposition_GWP">_xlfn.LAMBDA(_xlpm.EN2Oad,_xlpm.GWPN2O, (_xlpm.EN2Oad * _xlpm.GWPN2O))</definedName>
    <definedName name="CommonAgSoils_Equations.AgSoils_AtmosphericDeposition_NIRReference">_xlfn.LAMBDA("National Inventory Report Volume 1, 2023: 3.D.B_4")</definedName>
    <definedName name="CommonAgSoils_Equations.AgSoils_AtmosphericDeposition_ReadableEquation">_xlfn.LAMBDA("EN2Oad = Mvolm * EFad * CgN2O * 10 ^ - 3")</definedName>
    <definedName name="CommonAgSoils_Equations.AgSoils_AtmosphericDeposition_Title">_xlfn.LAMBDA("Atmospheric deposition emissions from urine and dung deposited by grazing animals on pasture, range and paddock")</definedName>
    <definedName name="CommonAgSoils_Equations.AgSoils_AtmosphericDeposition_Unit">_xlfn.LAMBDA("t N2O")</definedName>
    <definedName name="CommonAgSoils_Equations.AgSoils_AtmosphericDeposition_Variable">_xlfn.LAMBDA("EN2Oad")</definedName>
    <definedName name="CommonAgSoils_Equations.AgSoils_LeachingAndRunoff">_xlfn.LAMBDA(_xlpm.Mleach,_xlpm.EFleach,_xlpm.CgN2O, (_xlpm.Mleach * _xlpm.EFleach * _xlpm.CgN2O * 10 ^ -3))</definedName>
    <definedName name="CommonAgSoils_Equations.AgSoils_LeachingAndRunoff_Arguments">_xlfn.LAMBDA(_xlfn.MAKEARRAY(3, 3, _xlfn.LAMBDA(_xlpm.r,_xlpm.c, INDEX({"Mleach","Mass of nitrogen lost to leached and run off","kg N";"EFleach","Emission factor for leaching and runoff","kg N2O-N/kg N";"CgN2O","Factor to convert elemental mass of N2O to molecular mass",""}, _xlpm.r, _xlpm.c))))</definedName>
    <definedName name="CommonAgSoils_Equations.AgSoils_LeachingAndRunoff_GWP">_xlfn.LAMBDA(_xlpm.EN2Oleach,_xlpm.GWPN2O, (_xlpm.EN2Oleach * _xlpm.GWPN2O))</definedName>
    <definedName name="CommonAgSoils_Equations.AgSoils_LeachingAndRunoff_NIRReference">_xlfn.LAMBDA("National Inventory Report Volume 1, 2023: 3.D.B_10")</definedName>
    <definedName name="CommonAgSoils_Equations.AgSoils_LeachingAndRunoff_ReadableEquation">_xlfn.LAMBDA("EN2Oleach = Mleach * EFleach * CgN2O * 10 ^ - 3")</definedName>
    <definedName name="CommonAgSoils_Equations.AgSoils_LeachingAndRunoff_Title">_xlfn.LAMBDA("Leaching and runoff emissions from crop residue,inorganic and organic fertiliser applied to soil, urine and dung deposited on pasture")</definedName>
    <definedName name="CommonAgSoils_Equations.AgSoils_LeachingAndRunoff_Unit">_xlfn.LAMBDA("t N2O")</definedName>
    <definedName name="CommonAgSoils_Equations.AgSoils_LeachingAndRunoff_Variable">_xlfn.LAMBDA("EN2Oleach")</definedName>
    <definedName name="CommonAgSoils_Equations.AgSoils_MassAnimalWasteNLost">_xlfn.LAMBDA(_xlpm.MNjm,_xlpm.UNjm,_xlpm.FNjm,_xlpm.FracWET,_xlpm.FracLEACH, (_xlpm.MNjm + _xlpm.UNjm + _xlpm.FNjm) * _xlpm.FracWET * _xlpm.FracLEACH)</definedName>
    <definedName name="CommonAgSoils_Equations.AgSoils_MassAnimalWasteNLost_Arguments">_xlfn.LAMBDA(_xlfn.MAKEARRAY(3, 3, _xlfn.LAMBDA(_xlpm.r,_xlpm.c, INDEX({"MNjm","Mass of nitrogen in manure applied to soils","kg N";"UNjm","Mass of nitrogen in urine deposited on pasture, range and paddock","kg N";"FNjm","Mass of nitrogen in dung deposited on pasture,range and paddock","kg N";"FracWET","Fraction of nitrogen available for leaching and runoff in the climate zone of the entity","fraction";"FracLEACH","Fraction of nitrogen that is lost through leaching and runoff","fraction"}, _xlpm.r, _xlpm.c))))</definedName>
    <definedName name="CommonAgSoils_Equations.AgSoils_MassAnimalWasteNLost_NIRReference">_xlfn.LAMBDA("National Inventory Report Volume 1, 2023: 3.D.B_6")</definedName>
    <definedName name="CommonAgSoils_Equations.AgSoils_MassAnimalWasteNLost_ReadableEquation">_xlfn.LAMBDA("Mleachanimalwaste=(MNjm+UNjm+FNjm)*FracWET*FracLEACH")</definedName>
    <definedName name="CommonAgSoils_Equations.AgSoils_MassAnimalWasteNLost_Title">_xlfn.LAMBDA("Mass of nitrogen lost from manure, urine and dung to leaching and runoff")</definedName>
    <definedName name="CommonAgSoils_Equations.AgSoils_MassAnimalWasteNLost_Unit">_xlfn.LAMBDA("kg N")</definedName>
    <definedName name="CommonAgSoils_Equations.AgSoils_MassAnimalWasteNLost_Variable">_xlfn.LAMBDA("Mleachanimalwaste")</definedName>
    <definedName name="CommonAgSoils_Equations.AgSoils_MassCropResidueNLost">_xlfn.LAMBDA(_xlpm.M,_xlpm.FracWET,_xlpm.FracLEACH, _xlpm.M * _xlpm.FracWET * _xlpm.FracLEACH)</definedName>
    <definedName name="CommonAgSoils_Equations.AgSoils_MassCropResidueNLost_Arguments">_xlfn.LAMBDA(_xlfn.MAKEARRAY(3, 3, _xlfn.LAMBDA(_xlpm.r,_xlpm.c, INDEX({"M","Mass of nitrogen in crop residue applied to soils","kg N";"FracWET","Fraction of nitrogen available for leaching and runoff in the climate zone of the entity","fraction";"FracLEACH","Fraction of nitrogen that is lost through leaching and runoff","fraction"}, _xlpm.r, _xlpm.c))))</definedName>
    <definedName name="CommonAgSoils_Equations.AgSoils_MassCropResidueNLost_NIRReference">_xlfn.LAMBDA("National Inventory Report Volume 1, 2023: 3.D.B_8")</definedName>
    <definedName name="CommonAgSoils_Equations.AgSoils_MassCropResidueNLost_ReadableEquation">_xlfn.LAMBDA("Mleachresidue = M * FracWET * FracLEACH")</definedName>
    <definedName name="CommonAgSoils_Equations.AgSoils_MassCropResidueNLost_Title">_xlfn.LAMBDA("Mass of nitrogen lost from crop residue to leaching and runoff")</definedName>
    <definedName name="CommonAgSoils_Equations.AgSoils_MassCropResidueNLost_Unit">_xlfn.LAMBDA("kg N")</definedName>
    <definedName name="CommonAgSoils_Equations.AgSoils_MassCropResidueNLost_Variable">_xlfn.LAMBDA("Mleachresidue")</definedName>
    <definedName name="CommonAgSoils_Equations.AgSoils_MassInorganicFertiliserNLost">_xlfn.LAMBDA(_xlpm.M,_xlpm.FracWET,_xlpm.FracLEACH, _xlpm.M * _xlpm.FracWET * _xlpm.FracLEACH)</definedName>
    <definedName name="CommonAgSoils_Equations.AgSoils_MassInorganicFertiliserNLost_Arguments">_xlfn.LAMBDA(_xlfn.MAKEARRAY(3, 3, _xlfn.LAMBDA(_xlpm.r,_xlpm.c, INDEX({"M","Mass of nitrogen in inorganic fertiliser applied to soils","kg N";"FracWET","Fraction of nitrogen available for leaching and runoff in the climate zone of the entity","fraction";"FracLEACH","Fraction of nitrogen that is lost through leaching and runoff","fraction"}, _xlpm.r, _xlpm.c))))</definedName>
    <definedName name="CommonAgSoils_Equations.AgSoils_MassInorganicFertiliserNLost_NIRReference">_xlfn.LAMBDA("National Inventory Report Volume 1, 2023: 3.D.B_5")</definedName>
    <definedName name="CommonAgSoils_Equations.AgSoils_MassInorganicFertiliserNLost_ReadableEquation">_xlfn.LAMBDA("Mleachinorganic = M * FracWET * FracLEACH")</definedName>
    <definedName name="CommonAgSoils_Equations.AgSoils_MassInorganicFertiliserNLost_Title">_xlfn.LAMBDA("Mass of nitrogen lost from inorganic fertiliser to leaching and runoff")</definedName>
    <definedName name="CommonAgSoils_Equations.AgSoils_MassInorganicFertiliserNLost_Unit">_xlfn.LAMBDA("kg N")</definedName>
    <definedName name="CommonAgSoils_Equations.AgSoils_MassInorganicFertiliserNLost_Variable">_xlfn.LAMBDA("Mleachinorganic")</definedName>
    <definedName name="CommonAgSoils_Equations.AgSoils_MassVolatilisedAnimalWaste">_xlfn.LAMBDA(_xlpm.MNjm,_xlpm.UNjm,_xlpm.FNjm,_xlpm.FracGASMsoil, (_xlpm.MNjm + _xlpm.UNjm + _xlpm.FNjm) * _xlpm.FracGASMsoil)</definedName>
    <definedName name="CommonAgSoils_Equations.AgSoils_MassVolatilisedAnimalWaste_Arguments">_xlfn.LAMBDA(_xlfn.MAKEARRAY(4, 3, _xlfn.LAMBDA(_xlpm.r,_xlpm.c, INDEX({"MNjm","Mass of manure nitrogen applied to soils","kg N";"UNjm","Mass of urine nitrogen excreted on pasture, range and paddock for each dairy cattle class","kg N";"FNjm","Mass of faecal nitrogen excreted on pasture, range and paddock for each dairy cattle class","kg N";"FracGASMsoil","Fraction of nitrogen volatilised from urine and faeces deposited on pasture","(kg NH3-N + NOx-N)/kg N"}, _xlpm.r, _xlpm.c))))</definedName>
    <definedName name="CommonAgSoils_Equations.AgSoils_MassVolatilisedAnimalWaste_NIRReference">_xlfn.LAMBDA("National Inventory Report Volume 1, 2023: 3.D.B_2")</definedName>
    <definedName name="CommonAgSoils_Equations.AgSoils_MassVolatilisedAnimalWaste_ReadableEquation">_xlfn.LAMBDA("Mvolm = (MNjm + UNjm + FNjm) * FracGASMsoil")</definedName>
    <definedName name="CommonAgSoils_Equations.AgSoils_MassVolatilisedAnimalWaste_Title">_xlfn.LAMBDA("Mass of nitrogen volatilised from manure, urine and faeces deposited on soils")</definedName>
    <definedName name="CommonAgSoils_Equations.AgSoils_MassVolatilisedAnimalWaste_Unit">_xlfn.LAMBDA("kg N")</definedName>
    <definedName name="CommonAgSoils_Equations.AgSoils_MassVolatilisedAnimalWaste_Variable">_xlfn.LAMBDA("Mvolm")</definedName>
    <definedName name="CommonAgSoils_Equations.Agsoils_MassVolatilisedInorganicFertiliser">_xlfn.LAMBDA(_xlpm.MNf,_xlpm.FracGASFf, _xlpm.MNf * _xlpm.FracGASFf)</definedName>
    <definedName name="CommonAgSoils_Equations.Agsoils_MassVolatilisedInorganicFertiliser_Arguments">_xlfn.LAMBDA(_xlfn.MAKEARRAY(2, 3, _xlfn.LAMBDA(_xlpm.r,_xlpm.c, INDEX({"MNf","Mass of nitrogen in inorganic fertiliser applied","kg N";"FracGASFf","Fraction of inorganic fertiliser that volatilises","(kg NH3–N + NOx–N)/kg N"}, _xlpm.r, _xlpm.c))))</definedName>
    <definedName name="CommonAgSoils_Equations.Agsoils_MassVolatilisedInorganicFertiliser_NIRReference">_xlfn.LAMBDA("National Inventory Report Volume 1, 2023: 3.D.B_1")</definedName>
    <definedName name="CommonAgSoils_Equations.Agsoils_MassVolatilisedInorganicFertiliser_ReadableEquation">_xlfn.LAMBDA("Mvolinorganic = MNf * FracGASFf")</definedName>
    <definedName name="CommonAgSoils_Equations.Agsoils_MassVolatilisedInorganicFertiliser_Title">_xlfn.LAMBDA("Mass of nitrogen volatilised from inorganic fertiliser deposited on soils")</definedName>
    <definedName name="CommonAgSoils_Equations.Agsoils_MassVolatilisedInorganicFertiliser_Unit">_xlfn.LAMBDA("kg N")</definedName>
    <definedName name="CommonAgSoils_Equations.Agsoils_MassVolatilisedInorganicFertiliser_Variable">_xlfn.LAMBDA("Mvolinorganic")</definedName>
    <definedName name="CommonAgSoils_Equations.AgSoils_UrineAndDungDeposited">_xlfn.LAMBDA(_xlpm.AFjm,_xlpm.AUjm,_xlpm.EFPRP,_xlpm.CgN2O, ((_xlpm.AFjm * _xlpm.EFPRP * _xlpm.CgN2O) + (_xlpm.AUjm * _xlpm.EFPRP * _xlpm.CgN2O)) * 10 ^ -3)</definedName>
    <definedName name="CommonAgSoils_Equations.AgSoils_UrineAndDungDeposited_Arguments">_xlfn.LAMBDA(_xlfn.MAKEARRAY(4, 3, _xlfn.LAMBDA(_xlpm.r,_xlpm.c, INDEX({"AFjm","mass of N in dung deposited on pasture, range and paddock","kg N";"AUjm","mass of N in urine deposited on pasture, range and paddock","kg N";"EFPRP","direct N2O emission factor for pasture, range and paddock","kg N2O-N/kg N";"CgN2O","factor to convert elemental mass of N2O to molecular mass",""}, _xlpm.r, _xlpm.c))))</definedName>
    <definedName name="CommonAgSoils_Equations.AgSoils_UrineAndDungDeposited_GWP">_xlfn.LAMBDA(_xlpm.EN2Odir,_xlpm.GWPN2O, (_xlpm.EN2Odir * _xlpm.GWPN2O))</definedName>
    <definedName name="CommonAgSoils_Equations.AgSoils_UrineAndDungDeposited_NIRReference">_xlfn.LAMBDA("National Inventory Report Volume 1, 2023: 3.D.a.3")</definedName>
    <definedName name="CommonAgSoils_Equations.AgSoils_UrineAndDungDeposited_ReadableEquation">_xlfn.LAMBDA("EN2Odir = ((AFjm=14 * EFPRP * CgN2O) + (AUjm=14 * EFPRP * CgN2O)) * 10^-3")</definedName>
    <definedName name="CommonAgSoils_Equations.AgSoils_UrineAndDungDeposited_Title">_xlfn.LAMBDA("Nitrous oxide production from urine and dung deposited by grazing animals on pasture, range and paddock")</definedName>
    <definedName name="CommonAgSoils_Equations.AgSoils_UrineAndDungDeposited_Unit">_xlfn.LAMBDA("t N2O")</definedName>
    <definedName name="CommonAgSoils_Equations.AgSoils_UrineAndDungDeposited_Variable">_xlfn.LAMBDA("EN2Odir")</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1/(1+Common_InputFunctions.Utility_LookupValueInTableNumber(_xlpm.CropType, _xlpm.CropTypeArray, _xlpm.ResidueCropRatioArray))
)</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
        _xlpm.LeachingZoneFracWET,
        Common_InputFunctions.Utility_LookupValueInTableNumber(
            _xlpm.LeachingZone,_xlpm.LeachingZoneLookup,_xlpm.LeachingZoneFracWETLookup
        ),
        _xlpm.ProductionSystemFracWET,
        Common_InputFunctions.Utility_LookupValueInTableNumber(
            _xlpm.ProductionSystem,_xlpm.ProductionSystemLookup,_xlpm.ProductionSystemFracWETLookup
        ),
        IF(_xlpm.LeachingZoneFracWET + _xlpm.ProductionSystemFracWET&gt;0, 1, 0)
    ))</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Cropping_SourceData.CommonCropping_SourceData_FracWETIrrigation_Data">_xlfn.LAMBDA(_xlfn.MAKEARRAY(6, 2, _xlfn.LAMBDA(_xlpm.r,_xlpm.c, INDEX({"Irrigation type ir","FracWET";"Not irrigated",0;"Drip irrigation",0;"Sprinkler irrigation",1;"Surface irrigation",1;"Other irrigation",1}, _xlpm.r, _xlpm.c))))</definedName>
    <definedName name="CommonCropping_SourceData.CommonCropping_SourceData_FracWETIrrigation_NIRReference">_xlfn.LAMBDA("IPCC 2019 Refinement Volume 4: Chapter 11: N2O Emissions from Managed Soils, and CO2 Emissions from Lime and Urea Application")</definedName>
    <definedName name="CommonCropping_SourceData.CommonCropping_SourceData_FracWETIrrigation_Source">_xlfn.LAMBDA("VEERG 2026: Chapter 1, section 1.8.2 Leaching, climate and rainfall zones")</definedName>
    <definedName name="CommonCropping_SourceData.CommonCropping_SourceData_FracWETIrrigation_Title">_xlfn.LAMBDA("FracWET for irrigation types")</definedName>
    <definedName name="CommonCropping_SourceData.CommonCropping_SourceData_FracWETIrrigation_Unit">_xlfn.LAMBDA("dimensionless")</definedName>
    <definedName name="CommonCropping_SourceData.CommonCropping_SourceData_FracWETIrrigation_Variation">_xlfn.LAMBDA("VARIATION FROM SOURCE DATA: Table created based on VEERG text 'Areas are subject to leaching (i.e., in the leaching zone) when... the land is irrigated (except drip irrigation).'")</definedName>
    <definedName name="CommonCropping_SourceData.CommonCropping_SourceData_N2OEFOrganicFertiliser_Data">_xlfn.LAMBDA(_xlfn.MAKEARRAY(3, 2, _xlfn.LAMBDA(_xlpm.r,_xlpm.c, INDEX({"Climate zone i","EF i N2O";"Wet climate zone",0.006;"Dry climate zone",0.005}, _xlpm.r, _xlpm.c))))</definedName>
    <definedName name="CommonCropping_SourceData.CommonCropping_SourceData_N2OEFOrganicFertiliser_NIRReference">_xlfn.LAMBDA("IPCC 2019 Refinement Volume 4 Table 11.1 [1, p. 11]")</definedName>
    <definedName name="CommonCropping_SourceData.CommonCropping_SourceData_N2OEFOrganicFertiliser_Source">_xlfn.LAMBDA("VEERG 2026: Table A.2.1.4")</definedName>
    <definedName name="CommonCropping_SourceData.CommonCropping_SourceData_N2OEFOrganicFertiliser_Title">_xlfn.LAMBDA("Emission factor for organic fertiliser and crop residues returned to the soil")</definedName>
    <definedName name="CommonCropping_SourceData.CommonCropping_SourceData_N2OEFOrganicFertiliser_Unit">_xlfn.LAMBDA("kg N2O - N / kg N")</definedName>
    <definedName name="CommonCropping_SourceData.CommonCropping_SourceData_N2OEFsInorganicFertiliser_Data">_xlfn.LAMBDA(_xlfn.MAKEARRAY(8, 2, _xlfn.LAMBDA(_xlpm.r,_xlpm.c, INDEX({"Production system","Emission factor";"Irrigated pasture",0.0059;"Irrigated crop",0.007;"Non-irrigated pasture",0.0018;"Non-irrigated crop",0.0041;"Sugar cane",0.0199;"Cotton",0.0053;"Horticulture",0.0064}, _xlpm.r, _xlpm.c))))</definedName>
    <definedName name="CommonCropping_SourceData.CommonCropping_SourceData_N2OEFsInorganicFertiliser_Source">_xlfn.LAMBDA("National Inventory Report 2023 Volume 1: Table 5.21")</definedName>
    <definedName name="CommonCropping_SourceData.CommonCropping_SourceData_N2OEFsInorganicFertiliser_Title">_xlfn.LAMBDA("Nitrous oxide EFs for inorganic fertiliser")</definedName>
    <definedName name="CommonCropping_SourceData.CommonCropping_SourceData_N2OEFsInorganicFertiliser_Unit">_xlfn.LAMBDA("Gg N2O-N/ Gg N")</definedName>
    <definedName name="CommonCropping_SourceData.CommonCropping_SourceData_UreaCO2EF_Data">_xlfn.LAMBDA(0.2)</definedName>
    <definedName name="CommonCropping_SourceData.CommonCropping_SourceData_UreaCO2EF_Source">_xlfn.LAMBDA("National Inventory Report 2023 Volume 1: Equation 3.H_1")</definedName>
    <definedName name="CommonCropping_SourceData.CommonCropping_SourceData_UreaCO2EF_Title">_xlfn.LAMBDA("Emission factor for carbon emissions from urea application")</definedName>
    <definedName name="CommonCropping_SourceData.CommonCropping_SourceData_UreaCO2EF_Unit">_xlfn.LAMBDA("tonne C/tonne urea")</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25">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26">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27">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14">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15">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16">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17">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18">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19">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20">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21">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22">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23">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24">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28">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34">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36">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29">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30">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31">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32">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33">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10">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5">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11">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9">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7">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12">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8">_xlfn.LAMBDA(_xlpm.LivestockClass,_xlpm.MovementDate, _xlfn.LET(_xlpm.ym, TEXT(_xlpm.MovementDate, "yyyymm"), IFERROR(INDEX(_xlfn._xlws.FILTER(#REF!, (TEXT(#REF!, "yyyymm") = _xlpm.ym) * (#REF! = _xlpm.LivestockClass)), 1), "")))</definedName>
    <definedName name="CommonLivestock_InputFunctions.LivestockMovement_GetMovementLiveweightGain" localSheetId="13">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25">_xlfn.LAMBDA(_xlpm.Month,_xlpm.LivestockClass, IFERROR(SUM(_xlfn._xlws.FILTER(#REF!, (#REF! &gt;= EOMONTH(_xlpm.Month, -1) + 1) * (#REF! &lt;= EOMONTH(_xlpm.Month, 0)) * (#REF! = _xlpm.LivestockClass))), 0))</definedName>
    <definedName name="CommonLivestock_InputFunctions.LivestockMovement_HeadAddedDuringMonth" localSheetId="26">_xlfn.LAMBDA(_xlpm.Month,_xlpm.LivestockClass, IFERROR(SUM(_xlfn._xlws.FILTER(#REF!, (#REF! &gt;= EOMONTH(_xlpm.Month, -1) + 1) * (#REF! &lt;= EOMONTH(_xlpm.Month, 0)) * (#REF! = _xlpm.LivestockClass))), 0))</definedName>
    <definedName name="CommonLivestock_InputFunctions.LivestockMovement_HeadAddedDuringMonth" localSheetId="27">_xlfn.LAMBDA(_xlpm.Month,_xlpm.LivestockClass, IFERROR(SUM(_xlfn._xlws.FILTER(#REF!, (#REF! &gt;= EOMONTH(_xlpm.Month, -1) + 1) * (#REF! &lt;= EOMONTH(_xlpm.Month, 0)) * (#REF! = _xlpm.LivestockClass))), 0))</definedName>
    <definedName name="CommonLivestock_InputFunctions.LivestockMovement_HeadAddedDuringMonth" localSheetId="14">_xlfn.LAMBDA(_xlpm.Month,_xlpm.LivestockClass, IFERROR(SUM(_xlfn._xlws.FILTER(#REF!, (#REF! &gt;= EOMONTH(_xlpm.Month, -1) + 1) * (#REF! &lt;= EOMONTH(_xlpm.Month, 0)) * (#REF! = _xlpm.LivestockClass))), 0))</definedName>
    <definedName name="CommonLivestock_InputFunctions.LivestockMovement_HeadAddedDuringMonth" localSheetId="15">_xlfn.LAMBDA(_xlpm.Month,_xlpm.LivestockClass, IFERROR(SUM(_xlfn._xlws.FILTER(#REF!, (#REF! &gt;= EOMONTH(_xlpm.Month, -1) + 1) * (#REF! &lt;= EOMONTH(_xlpm.Month, 0)) * (#REF! = _xlpm.LivestockClass))), 0))</definedName>
    <definedName name="CommonLivestock_InputFunctions.LivestockMovement_HeadAddedDuringMonth" localSheetId="16">_xlfn.LAMBDA(_xlpm.Month,_xlpm.LivestockClass, IFERROR(SUM(_xlfn._xlws.FILTER(#REF!, (#REF! &gt;= EOMONTH(_xlpm.Month, -1) + 1) * (#REF! &lt;= EOMONTH(_xlpm.Month, 0)) * (#REF! = _xlpm.LivestockClass))), 0))</definedName>
    <definedName name="CommonLivestock_InputFunctions.LivestockMovement_HeadAddedDuringMonth" localSheetId="17">_xlfn.LAMBDA(_xlpm.Month,_xlpm.LivestockClass, IFERROR(SUM(_xlfn._xlws.FILTER(#REF!, (#REF! &gt;= EOMONTH(_xlpm.Month, -1) + 1) * (#REF! &lt;= EOMONTH(_xlpm.Month, 0)) * (#REF! = _xlpm.LivestockClass))), 0))</definedName>
    <definedName name="CommonLivestock_InputFunctions.LivestockMovement_HeadAddedDuringMonth" localSheetId="18">_xlfn.LAMBDA(_xlpm.Month,_xlpm.LivestockClass, IFERROR(SUM(_xlfn._xlws.FILTER(#REF!, (#REF! &gt;= EOMONTH(_xlpm.Month, -1) + 1) * (#REF! &lt;= EOMONTH(_xlpm.Month, 0)) * (#REF! = _xlpm.LivestockClass))), 0))</definedName>
    <definedName name="CommonLivestock_InputFunctions.LivestockMovement_HeadAddedDuringMonth" localSheetId="19">_xlfn.LAMBDA(_xlpm.Month,_xlpm.LivestockClass, IFERROR(SUM(_xlfn._xlws.FILTER(#REF!, (#REF! &gt;= EOMONTH(_xlpm.Month, -1) + 1) * (#REF! &lt;= EOMONTH(_xlpm.Month, 0)) * (#REF! = _xlpm.LivestockClass))), 0))</definedName>
    <definedName name="CommonLivestock_InputFunctions.LivestockMovement_HeadAddedDuringMonth" localSheetId="20">_xlfn.LAMBDA(_xlpm.Month,_xlpm.LivestockClass, IFERROR(SUM(_xlfn._xlws.FILTER(#REF!, (#REF! &gt;= EOMONTH(_xlpm.Month, -1) + 1) * (#REF! &lt;= EOMONTH(_xlpm.Month, 0)) * (#REF! = _xlpm.LivestockClass))), 0))</definedName>
    <definedName name="CommonLivestock_InputFunctions.LivestockMovement_HeadAddedDuringMonth" localSheetId="21">_xlfn.LAMBDA(_xlpm.Month,_xlpm.LivestockClass, IFERROR(SUM(_xlfn._xlws.FILTER(#REF!, (#REF! &gt;= EOMONTH(_xlpm.Month, -1) + 1) * (#REF! &lt;= EOMONTH(_xlpm.Month, 0)) * (#REF! = _xlpm.LivestockClass))), 0))</definedName>
    <definedName name="CommonLivestock_InputFunctions.LivestockMovement_HeadAddedDuringMonth" localSheetId="22">_xlfn.LAMBDA(_xlpm.Month,_xlpm.LivestockClass, IFERROR(SUM(_xlfn._xlws.FILTER(#REF!, (#REF! &gt;= EOMONTH(_xlpm.Month, -1) + 1) * (#REF! &lt;= EOMONTH(_xlpm.Month, 0)) * (#REF! = _xlpm.LivestockClass))), 0))</definedName>
    <definedName name="CommonLivestock_InputFunctions.LivestockMovement_HeadAddedDuringMonth" localSheetId="23">_xlfn.LAMBDA(_xlpm.Month,_xlpm.LivestockClass, IFERROR(SUM(_xlfn._xlws.FILTER(#REF!, (#REF! &gt;= EOMONTH(_xlpm.Month, -1) + 1) * (#REF! &lt;= EOMONTH(_xlpm.Month, 0)) * (#REF! = _xlpm.LivestockClass))), 0))</definedName>
    <definedName name="CommonLivestock_InputFunctions.LivestockMovement_HeadAddedDuringMonth" localSheetId="24">_xlfn.LAMBDA(_xlpm.Month,_xlpm.LivestockClass, IFERROR(SUM(_xlfn._xlws.FILTER(#REF!, (#REF! &gt;= EOMONTH(_xlpm.Month, -1) + 1) * (#REF! &lt;= EOMONTH(_xlpm.Month, 0)) * (#REF! = _xlpm.LivestockClass))), 0))</definedName>
    <definedName name="CommonLivestock_InputFunctions.LivestockMovement_HeadAddedDuringMonth" localSheetId="28">_xlfn.LAMBDA(_xlpm.Month,_xlpm.LivestockClass, IFERROR(SUM(_xlfn._xlws.FILTER(#REF!, (#REF! &gt;= EOMONTH(_xlpm.Month, -1) + 1) * (#REF! &lt;= EOMONTH(_xlpm.Month, 0)) * (#REF! = _xlpm.LivestockClass))), 0))</definedName>
    <definedName name="CommonLivestock_InputFunctions.LivestockMovement_HeadAddedDuringMonth" localSheetId="34">_xlfn.LAMBDA(_xlpm.Month,_xlpm.LivestockClass, IFERROR(SUM(_xlfn._xlws.FILTER(#REF!, (#REF! &gt;= EOMONTH(_xlpm.Month, -1) + 1) * (#REF! &lt;= EOMONTH(_xlpm.Month, 0)) * (#REF! = _xlpm.LivestockClass))), 0))</definedName>
    <definedName name="CommonLivestock_InputFunctions.LivestockMovement_HeadAddedDuringMonth" localSheetId="36">_xlfn.LAMBDA(_xlpm.Month,_xlpm.LivestockClass, IFERROR(SUM(_xlfn._xlws.FILTER(#REF!, (#REF! &gt;= EOMONTH(_xlpm.Month, -1) + 1) * (#REF! &lt;= EOMONTH(_xlpm.Month, 0)) * (#REF! = _xlpm.LivestockClass))), 0))</definedName>
    <definedName name="CommonLivestock_InputFunctions.LivestockMovement_HeadAddedDuringMonth" localSheetId="29">_xlfn.LAMBDA(_xlpm.Month,_xlpm.LivestockClass, IFERROR(SUM(_xlfn._xlws.FILTER(#REF!, (#REF! &gt;= EOMONTH(_xlpm.Month, -1) + 1) * (#REF! &lt;= EOMONTH(_xlpm.Month, 0)) * (#REF! = _xlpm.LivestockClass))), 0))</definedName>
    <definedName name="CommonLivestock_InputFunctions.LivestockMovement_HeadAddedDuringMonth" localSheetId="30">_xlfn.LAMBDA(_xlpm.Month,_xlpm.LivestockClass, IFERROR(SUM(_xlfn._xlws.FILTER(#REF!, (#REF! &gt;= EOMONTH(_xlpm.Month, -1) + 1) * (#REF! &lt;= EOMONTH(_xlpm.Month, 0)) * (#REF! = _xlpm.LivestockClass))), 0))</definedName>
    <definedName name="CommonLivestock_InputFunctions.LivestockMovement_HeadAddedDuringMonth" localSheetId="31">_xlfn.LAMBDA(_xlpm.Month,_xlpm.LivestockClass, IFERROR(SUM(_xlfn._xlws.FILTER(#REF!, (#REF! &gt;= EOMONTH(_xlpm.Month, -1) + 1) * (#REF! &lt;= EOMONTH(_xlpm.Month, 0)) * (#REF! = _xlpm.LivestockClass))), 0))</definedName>
    <definedName name="CommonLivestock_InputFunctions.LivestockMovement_HeadAddedDuringMonth" localSheetId="32">_xlfn.LAMBDA(_xlpm.Month,_xlpm.LivestockClass, IFERROR(SUM(_xlfn._xlws.FILTER(#REF!, (#REF! &gt;= EOMONTH(_xlpm.Month, -1) + 1) * (#REF! &lt;= EOMONTH(_xlpm.Month, 0)) * (#REF! = _xlpm.LivestockClass))), 0))</definedName>
    <definedName name="CommonLivestock_InputFunctions.LivestockMovement_HeadAddedDuringMonth" localSheetId="33">_xlfn.LAMBDA(_xlpm.Month,_xlpm.LivestockClass, IFERROR(SUM(_xlfn._xlws.FILTER(#REF!, (#REF! &gt;= EOMONTH(_xlpm.Month, -1) + 1) * (#REF! &lt;= EOMONTH(_xlpm.Month, 0)) * (#REF! = _xlpm.LivestockClass))), 0))</definedName>
    <definedName name="CommonLivestock_InputFunctions.LivestockMovement_HeadAddedDuringMonth" localSheetId="10">_xlfn.LAMBDA(_xlpm.Month,_xlpm.LivestockClass, IFERROR(SUM(_xlfn._xlws.FILTER(#REF!, (#REF! &gt;= EOMONTH(_xlpm.Month, -1) + 1) * (#REF! &lt;= EOMONTH(_xlpm.Month, 0)) * (#REF! = _xlpm.LivestockClass))), 0))</definedName>
    <definedName name="CommonLivestock_InputFunctions.LivestockMovement_HeadAddedDuringMonth" localSheetId="5">_xlfn.LAMBDA(_xlpm.Month,_xlpm.LivestockClass, IFERROR(SUM(_xlfn._xlws.FILTER(#REF!, (#REF! &gt;= EOMONTH(_xlpm.Month, -1) + 1) * (#REF! &lt;= EOMONTH(_xlpm.Month, 0)) * (#REF! = _xlpm.LivestockClass))), 0))</definedName>
    <definedName name="CommonLivestock_InputFunctions.LivestockMovement_HeadAddedDuringMonth" localSheetId="11">_xlfn.LAMBDA(_xlpm.Month,_xlpm.LivestockClass, IFERROR(SUM(_xlfn._xlws.FILTER(#REF!, (#REF! &gt;= EOMONTH(_xlpm.Month, -1) + 1) * (#REF! &lt;= EOMONTH(_xlpm.Month, 0)) * (#REF! = _xlpm.LivestockClass))), 0))</definedName>
    <definedName name="CommonLivestock_InputFunctions.LivestockMovement_HeadAddedDuringMonth" localSheetId="9">_xlfn.LAMBDA(_xlpm.Month,_xlpm.LivestockClass, IFERROR(SUM(_xlfn._xlws.FILTER(#REF!, (#REF! &gt;= EOMONTH(_xlpm.Month, -1) + 1) * (#REF! &lt;= EOMONTH(_xlpm.Month, 0)) * (#REF! = _xlpm.LivestockClass))), 0))</definedName>
    <definedName name="CommonLivestock_InputFunctions.LivestockMovement_HeadAddedDuringMonth" localSheetId="7">_xlfn.LAMBDA(_xlpm.Month,_xlpm.LivestockClass, IFERROR(SUM(_xlfn._xlws.FILTER(#REF!, (#REF! &gt;= EOMONTH(_xlpm.Month, -1) + 1) * (#REF! &lt;= EOMONTH(_xlpm.Month, 0)) * (#REF! = _xlpm.LivestockClass))), 0))</definedName>
    <definedName name="CommonLivestock_InputFunctions.LivestockMovement_HeadAddedDuringMonth" localSheetId="12">_xlfn.LAMBDA(_xlpm.Month,_xlpm.LivestockClass, IFERROR(SUM(_xlfn._xlws.FILTER(#REF!, (#REF! &gt;= EOMONTH(_xlpm.Month, -1) + 1) * (#REF! &lt;= EOMONTH(_xlpm.Month, 0)) * (#REF! = _xlpm.LivestockClass))), 0))</definedName>
    <definedName name="CommonLivestock_InputFunctions.LivestockMovement_HeadAddedDuringMonth" localSheetId="8">_xlfn.LAMBDA(_xlpm.Month,_xlpm.LivestockClass, IFERROR(SUM(_xlfn._xlws.FILTER(#REF!, (#REF! &gt;= EOMONTH(_xlpm.Month, -1) + 1) * (#REF! &lt;= EOMONTH(_xlpm.Month, 0)) * (#REF! = _xlpm.LivestockClass))), 0))</definedName>
    <definedName name="CommonLivestock_InputFunctions.LivestockMovement_HeadAddedDuringMonth" localSheetId="13">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25">_xlfn.LAMBDA(_xlpm.Month,_xlpm.LivestockClass, IFERROR(SUM(_xlfn._xlws.FILTER(#REF!, (#REF! &gt;= EOMONTH(_xlpm.Month, -1) + 1) * (#REF! &lt;= EOMONTH(_xlpm.Month, 0)) * (#REF! = _xlpm.LivestockClass))), 0))</definedName>
    <definedName name="CommonLivestock_InputFunctions.LivestockMovement_HeadLostDuringMonth" localSheetId="26">_xlfn.LAMBDA(_xlpm.Month,_xlpm.LivestockClass, IFERROR(SUM(_xlfn._xlws.FILTER(#REF!, (#REF! &gt;= EOMONTH(_xlpm.Month, -1) + 1) * (#REF! &lt;= EOMONTH(_xlpm.Month, 0)) * (#REF! = _xlpm.LivestockClass))), 0))</definedName>
    <definedName name="CommonLivestock_InputFunctions.LivestockMovement_HeadLostDuringMonth" localSheetId="27">_xlfn.LAMBDA(_xlpm.Month,_xlpm.LivestockClass, IFERROR(SUM(_xlfn._xlws.FILTER(#REF!, (#REF! &gt;= EOMONTH(_xlpm.Month, -1) + 1) * (#REF! &lt;= EOMONTH(_xlpm.Month, 0)) * (#REF! = _xlpm.LivestockClass))), 0))</definedName>
    <definedName name="CommonLivestock_InputFunctions.LivestockMovement_HeadLostDuringMonth" localSheetId="14">_xlfn.LAMBDA(_xlpm.Month,_xlpm.LivestockClass, IFERROR(SUM(_xlfn._xlws.FILTER(#REF!, (#REF! &gt;= EOMONTH(_xlpm.Month, -1) + 1) * (#REF! &lt;= EOMONTH(_xlpm.Month, 0)) * (#REF! = _xlpm.LivestockClass))), 0))</definedName>
    <definedName name="CommonLivestock_InputFunctions.LivestockMovement_HeadLostDuringMonth" localSheetId="15">_xlfn.LAMBDA(_xlpm.Month,_xlpm.LivestockClass, IFERROR(SUM(_xlfn._xlws.FILTER(#REF!, (#REF! &gt;= EOMONTH(_xlpm.Month, -1) + 1) * (#REF! &lt;= EOMONTH(_xlpm.Month, 0)) * (#REF! = _xlpm.LivestockClass))), 0))</definedName>
    <definedName name="CommonLivestock_InputFunctions.LivestockMovement_HeadLostDuringMonth" localSheetId="16">_xlfn.LAMBDA(_xlpm.Month,_xlpm.LivestockClass, IFERROR(SUM(_xlfn._xlws.FILTER(#REF!, (#REF! &gt;= EOMONTH(_xlpm.Month, -1) + 1) * (#REF! &lt;= EOMONTH(_xlpm.Month, 0)) * (#REF! = _xlpm.LivestockClass))), 0))</definedName>
    <definedName name="CommonLivestock_InputFunctions.LivestockMovement_HeadLostDuringMonth" localSheetId="17">_xlfn.LAMBDA(_xlpm.Month,_xlpm.LivestockClass, IFERROR(SUM(_xlfn._xlws.FILTER(#REF!, (#REF! &gt;= EOMONTH(_xlpm.Month, -1) + 1) * (#REF! &lt;= EOMONTH(_xlpm.Month, 0)) * (#REF! = _xlpm.LivestockClass))), 0))</definedName>
    <definedName name="CommonLivestock_InputFunctions.LivestockMovement_HeadLostDuringMonth" localSheetId="18">_xlfn.LAMBDA(_xlpm.Month,_xlpm.LivestockClass, IFERROR(SUM(_xlfn._xlws.FILTER(#REF!, (#REF! &gt;= EOMONTH(_xlpm.Month, -1) + 1) * (#REF! &lt;= EOMONTH(_xlpm.Month, 0)) * (#REF! = _xlpm.LivestockClass))), 0))</definedName>
    <definedName name="CommonLivestock_InputFunctions.LivestockMovement_HeadLostDuringMonth" localSheetId="19">_xlfn.LAMBDA(_xlpm.Month,_xlpm.LivestockClass, IFERROR(SUM(_xlfn._xlws.FILTER(#REF!, (#REF! &gt;= EOMONTH(_xlpm.Month, -1) + 1) * (#REF! &lt;= EOMONTH(_xlpm.Month, 0)) * (#REF! = _xlpm.LivestockClass))), 0))</definedName>
    <definedName name="CommonLivestock_InputFunctions.LivestockMovement_HeadLostDuringMonth" localSheetId="20">_xlfn.LAMBDA(_xlpm.Month,_xlpm.LivestockClass, IFERROR(SUM(_xlfn._xlws.FILTER(#REF!, (#REF! &gt;= EOMONTH(_xlpm.Month, -1) + 1) * (#REF! &lt;= EOMONTH(_xlpm.Month, 0)) * (#REF! = _xlpm.LivestockClass))), 0))</definedName>
    <definedName name="CommonLivestock_InputFunctions.LivestockMovement_HeadLostDuringMonth" localSheetId="21">_xlfn.LAMBDA(_xlpm.Month,_xlpm.LivestockClass, IFERROR(SUM(_xlfn._xlws.FILTER(#REF!, (#REF! &gt;= EOMONTH(_xlpm.Month, -1) + 1) * (#REF! &lt;= EOMONTH(_xlpm.Month, 0)) * (#REF! = _xlpm.LivestockClass))), 0))</definedName>
    <definedName name="CommonLivestock_InputFunctions.LivestockMovement_HeadLostDuringMonth" localSheetId="22">_xlfn.LAMBDA(_xlpm.Month,_xlpm.LivestockClass, IFERROR(SUM(_xlfn._xlws.FILTER(#REF!, (#REF! &gt;= EOMONTH(_xlpm.Month, -1) + 1) * (#REF! &lt;= EOMONTH(_xlpm.Month, 0)) * (#REF! = _xlpm.LivestockClass))), 0))</definedName>
    <definedName name="CommonLivestock_InputFunctions.LivestockMovement_HeadLostDuringMonth" localSheetId="23">_xlfn.LAMBDA(_xlpm.Month,_xlpm.LivestockClass, IFERROR(SUM(_xlfn._xlws.FILTER(#REF!, (#REF! &gt;= EOMONTH(_xlpm.Month, -1) + 1) * (#REF! &lt;= EOMONTH(_xlpm.Month, 0)) * (#REF! = _xlpm.LivestockClass))), 0))</definedName>
    <definedName name="CommonLivestock_InputFunctions.LivestockMovement_HeadLostDuringMonth" localSheetId="24">_xlfn.LAMBDA(_xlpm.Month,_xlpm.LivestockClass, IFERROR(SUM(_xlfn._xlws.FILTER(#REF!, (#REF! &gt;= EOMONTH(_xlpm.Month, -1) + 1) * (#REF! &lt;= EOMONTH(_xlpm.Month, 0)) * (#REF! = _xlpm.LivestockClass))), 0))</definedName>
    <definedName name="CommonLivestock_InputFunctions.LivestockMovement_HeadLostDuringMonth" localSheetId="28">_xlfn.LAMBDA(_xlpm.Month,_xlpm.LivestockClass, IFERROR(SUM(_xlfn._xlws.FILTER(#REF!, (#REF! &gt;= EOMONTH(_xlpm.Month, -1) + 1) * (#REF! &lt;= EOMONTH(_xlpm.Month, 0)) * (#REF! = _xlpm.LivestockClass))), 0))</definedName>
    <definedName name="CommonLivestock_InputFunctions.LivestockMovement_HeadLostDuringMonth" localSheetId="34">_xlfn.LAMBDA(_xlpm.Month,_xlpm.LivestockClass, IFERROR(SUM(_xlfn._xlws.FILTER(#REF!, (#REF! &gt;= EOMONTH(_xlpm.Month, -1) + 1) * (#REF! &lt;= EOMONTH(_xlpm.Month, 0)) * (#REF! = _xlpm.LivestockClass))), 0))</definedName>
    <definedName name="CommonLivestock_InputFunctions.LivestockMovement_HeadLostDuringMonth" localSheetId="36">_xlfn.LAMBDA(_xlpm.Month,_xlpm.LivestockClass, IFERROR(SUM(_xlfn._xlws.FILTER(#REF!, (#REF! &gt;= EOMONTH(_xlpm.Month, -1) + 1) * (#REF! &lt;= EOMONTH(_xlpm.Month, 0)) * (#REF! = _xlpm.LivestockClass))), 0))</definedName>
    <definedName name="CommonLivestock_InputFunctions.LivestockMovement_HeadLostDuringMonth" localSheetId="29">_xlfn.LAMBDA(_xlpm.Month,_xlpm.LivestockClass, IFERROR(SUM(_xlfn._xlws.FILTER(#REF!, (#REF! &gt;= EOMONTH(_xlpm.Month, -1) + 1) * (#REF! &lt;= EOMONTH(_xlpm.Month, 0)) * (#REF! = _xlpm.LivestockClass))), 0))</definedName>
    <definedName name="CommonLivestock_InputFunctions.LivestockMovement_HeadLostDuringMonth" localSheetId="30">_xlfn.LAMBDA(_xlpm.Month,_xlpm.LivestockClass, IFERROR(SUM(_xlfn._xlws.FILTER(#REF!, (#REF! &gt;= EOMONTH(_xlpm.Month, -1) + 1) * (#REF! &lt;= EOMONTH(_xlpm.Month, 0)) * (#REF! = _xlpm.LivestockClass))), 0))</definedName>
    <definedName name="CommonLivestock_InputFunctions.LivestockMovement_HeadLostDuringMonth" localSheetId="31">_xlfn.LAMBDA(_xlpm.Month,_xlpm.LivestockClass, IFERROR(SUM(_xlfn._xlws.FILTER(#REF!, (#REF! &gt;= EOMONTH(_xlpm.Month, -1) + 1) * (#REF! &lt;= EOMONTH(_xlpm.Month, 0)) * (#REF! = _xlpm.LivestockClass))), 0))</definedName>
    <definedName name="CommonLivestock_InputFunctions.LivestockMovement_HeadLostDuringMonth" localSheetId="32">_xlfn.LAMBDA(_xlpm.Month,_xlpm.LivestockClass, IFERROR(SUM(_xlfn._xlws.FILTER(#REF!, (#REF! &gt;= EOMONTH(_xlpm.Month, -1) + 1) * (#REF! &lt;= EOMONTH(_xlpm.Month, 0)) * (#REF! = _xlpm.LivestockClass))), 0))</definedName>
    <definedName name="CommonLivestock_InputFunctions.LivestockMovement_HeadLostDuringMonth" localSheetId="33">_xlfn.LAMBDA(_xlpm.Month,_xlpm.LivestockClass, IFERROR(SUM(_xlfn._xlws.FILTER(#REF!, (#REF! &gt;= EOMONTH(_xlpm.Month, -1) + 1) * (#REF! &lt;= EOMONTH(_xlpm.Month, 0)) * (#REF! = _xlpm.LivestockClass))), 0))</definedName>
    <definedName name="CommonLivestock_InputFunctions.LivestockMovement_HeadLostDuringMonth" localSheetId="10">_xlfn.LAMBDA(_xlpm.Month,_xlpm.LivestockClass, IFERROR(SUM(_xlfn._xlws.FILTER(#REF!, (#REF! &gt;= EOMONTH(_xlpm.Month, -1) + 1) * (#REF! &lt;= EOMONTH(_xlpm.Month, 0)) * (#REF! = _xlpm.LivestockClass))), 0))</definedName>
    <definedName name="CommonLivestock_InputFunctions.LivestockMovement_HeadLostDuringMonth" localSheetId="5">_xlfn.LAMBDA(_xlpm.Month,_xlpm.LivestockClass, IFERROR(SUM(_xlfn._xlws.FILTER(#REF!, (#REF! &gt;= EOMONTH(_xlpm.Month, -1) + 1) * (#REF! &lt;= EOMONTH(_xlpm.Month, 0)) * (#REF! = _xlpm.LivestockClass))), 0))</definedName>
    <definedName name="CommonLivestock_InputFunctions.LivestockMovement_HeadLostDuringMonth" localSheetId="11">_xlfn.LAMBDA(_xlpm.Month,_xlpm.LivestockClass, IFERROR(SUM(_xlfn._xlws.FILTER(#REF!, (#REF! &gt;= EOMONTH(_xlpm.Month, -1) + 1) * (#REF! &lt;= EOMONTH(_xlpm.Month, 0)) * (#REF! = _xlpm.LivestockClass))), 0))</definedName>
    <definedName name="CommonLivestock_InputFunctions.LivestockMovement_HeadLostDuringMonth" localSheetId="9">_xlfn.LAMBDA(_xlpm.Month,_xlpm.LivestockClass, IFERROR(SUM(_xlfn._xlws.FILTER(#REF!, (#REF! &gt;= EOMONTH(_xlpm.Month, -1) + 1) * (#REF! &lt;= EOMONTH(_xlpm.Month, 0)) * (#REF! = _xlpm.LivestockClass))), 0))</definedName>
    <definedName name="CommonLivestock_InputFunctions.LivestockMovement_HeadLostDuringMonth" localSheetId="7">_xlfn.LAMBDA(_xlpm.Month,_xlpm.LivestockClass, IFERROR(SUM(_xlfn._xlws.FILTER(#REF!, (#REF! &gt;= EOMONTH(_xlpm.Month, -1) + 1) * (#REF! &lt;= EOMONTH(_xlpm.Month, 0)) * (#REF! = _xlpm.LivestockClass))), 0))</definedName>
    <definedName name="CommonLivestock_InputFunctions.LivestockMovement_HeadLostDuringMonth" localSheetId="12">_xlfn.LAMBDA(_xlpm.Month,_xlpm.LivestockClass, IFERROR(SUM(_xlfn._xlws.FILTER(#REF!, (#REF! &gt;= EOMONTH(_xlpm.Month, -1) + 1) * (#REF! &lt;= EOMONTH(_xlpm.Month, 0)) * (#REF! = _xlpm.LivestockClass))), 0))</definedName>
    <definedName name="CommonLivestock_InputFunctions.LivestockMovement_HeadLostDuringMonth" localSheetId="8">_xlfn.LAMBDA(_xlpm.Month,_xlpm.LivestockClass, IFERROR(SUM(_xlfn._xlws.FILTER(#REF!, (#REF! &gt;= EOMONTH(_xlpm.Month, -1) + 1) * (#REF! &lt;= EOMONTH(_xlpm.Month, 0)) * (#REF! = _xlpm.LivestockClass))), 0))</definedName>
    <definedName name="CommonLivestock_InputFunctions.LivestockMovement_HeadLostDuringMonth" localSheetId="13">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25">_xlfn.LAMBDA(_xlpm.Month,_xlpm.LivestockClass, IFERROR(SUM(_xlfn._xlws.FILTER(#REF!, (#REF! &gt;= EOMONTH(_xlpm.Month, -1) + 1) * (#REF! &lt;= EOMONTH(_xlpm.Month, 0)) * (#REF! = _xlpm.LivestockClass))), 0))</definedName>
    <definedName name="CommonLivestock_InputFunctions.LivestockMovement_TotalLiveweightAddedDuringMonth" localSheetId="26">_xlfn.LAMBDA(_xlpm.Month,_xlpm.LivestockClass, IFERROR(SUM(_xlfn._xlws.FILTER(#REF!, (#REF! &gt;= EOMONTH(_xlpm.Month, -1) + 1) * (#REF! &lt;= EOMONTH(_xlpm.Month, 0)) * (#REF! = _xlpm.LivestockClass))), 0))</definedName>
    <definedName name="CommonLivestock_InputFunctions.LivestockMovement_TotalLiveweightAddedDuringMonth" localSheetId="27">_xlfn.LAMBDA(_xlpm.Month,_xlpm.LivestockClass, IFERROR(SUM(_xlfn._xlws.FILTER(#REF!, (#REF! &gt;= EOMONTH(_xlpm.Month, -1) + 1) * (#REF! &lt;= EOMONTH(_xlpm.Month, 0)) * (#REF! = _xlpm.LivestockClass))), 0))</definedName>
    <definedName name="CommonLivestock_InputFunctions.LivestockMovement_TotalLiveweightAddedDuringMonth" localSheetId="14">_xlfn.LAMBDA(_xlpm.Month,_xlpm.LivestockClass, IFERROR(SUM(_xlfn._xlws.FILTER(#REF!, (#REF! &gt;= EOMONTH(_xlpm.Month, -1) + 1) * (#REF! &lt;= EOMONTH(_xlpm.Month, 0)) * (#REF! = _xlpm.LivestockClass))), 0))</definedName>
    <definedName name="CommonLivestock_InputFunctions.LivestockMovement_TotalLiveweightAddedDuringMonth" localSheetId="15">_xlfn.LAMBDA(_xlpm.Month,_xlpm.LivestockClass, IFERROR(SUM(_xlfn._xlws.FILTER(#REF!, (#REF! &gt;= EOMONTH(_xlpm.Month, -1) + 1) * (#REF! &lt;= EOMONTH(_xlpm.Month, 0)) * (#REF! = _xlpm.LivestockClass))), 0))</definedName>
    <definedName name="CommonLivestock_InputFunctions.LivestockMovement_TotalLiveweightAddedDuringMonth" localSheetId="16">_xlfn.LAMBDA(_xlpm.Month,_xlpm.LivestockClass, IFERROR(SUM(_xlfn._xlws.FILTER(#REF!, (#REF! &gt;= EOMONTH(_xlpm.Month, -1) + 1) * (#REF! &lt;= EOMONTH(_xlpm.Month, 0)) * (#REF! = _xlpm.LivestockClass))), 0))</definedName>
    <definedName name="CommonLivestock_InputFunctions.LivestockMovement_TotalLiveweightAddedDuringMonth" localSheetId="17">_xlfn.LAMBDA(_xlpm.Month,_xlpm.LivestockClass, IFERROR(SUM(_xlfn._xlws.FILTER(#REF!, (#REF! &gt;= EOMONTH(_xlpm.Month, -1) + 1) * (#REF! &lt;= EOMONTH(_xlpm.Month, 0)) * (#REF! = _xlpm.LivestockClass))), 0))</definedName>
    <definedName name="CommonLivestock_InputFunctions.LivestockMovement_TotalLiveweightAddedDuringMonth" localSheetId="18">_xlfn.LAMBDA(_xlpm.Month,_xlpm.LivestockClass, IFERROR(SUM(_xlfn._xlws.FILTER(#REF!, (#REF! &gt;= EOMONTH(_xlpm.Month, -1) + 1) * (#REF! &lt;= EOMONTH(_xlpm.Month, 0)) * (#REF! = _xlpm.LivestockClass))), 0))</definedName>
    <definedName name="CommonLivestock_InputFunctions.LivestockMovement_TotalLiveweightAddedDuringMonth" localSheetId="19">_xlfn.LAMBDA(_xlpm.Month,_xlpm.LivestockClass, IFERROR(SUM(_xlfn._xlws.FILTER(#REF!, (#REF! &gt;= EOMONTH(_xlpm.Month, -1) + 1) * (#REF! &lt;= EOMONTH(_xlpm.Month, 0)) * (#REF! = _xlpm.LivestockClass))), 0))</definedName>
    <definedName name="CommonLivestock_InputFunctions.LivestockMovement_TotalLiveweightAddedDuringMonth" localSheetId="20">_xlfn.LAMBDA(_xlpm.Month,_xlpm.LivestockClass, IFERROR(SUM(_xlfn._xlws.FILTER(#REF!, (#REF! &gt;= EOMONTH(_xlpm.Month, -1) + 1) * (#REF! &lt;= EOMONTH(_xlpm.Month, 0)) * (#REF! = _xlpm.LivestockClass))), 0))</definedName>
    <definedName name="CommonLivestock_InputFunctions.LivestockMovement_TotalLiveweightAddedDuringMonth" localSheetId="21">_xlfn.LAMBDA(_xlpm.Month,_xlpm.LivestockClass, IFERROR(SUM(_xlfn._xlws.FILTER(#REF!, (#REF! &gt;= EOMONTH(_xlpm.Month, -1) + 1) * (#REF! &lt;= EOMONTH(_xlpm.Month, 0)) * (#REF! = _xlpm.LivestockClass))), 0))</definedName>
    <definedName name="CommonLivestock_InputFunctions.LivestockMovement_TotalLiveweightAddedDuringMonth" localSheetId="22">_xlfn.LAMBDA(_xlpm.Month,_xlpm.LivestockClass, IFERROR(SUM(_xlfn._xlws.FILTER(#REF!, (#REF! &gt;= EOMONTH(_xlpm.Month, -1) + 1) * (#REF! &lt;= EOMONTH(_xlpm.Month, 0)) * (#REF! = _xlpm.LivestockClass))), 0))</definedName>
    <definedName name="CommonLivestock_InputFunctions.LivestockMovement_TotalLiveweightAddedDuringMonth" localSheetId="23">_xlfn.LAMBDA(_xlpm.Month,_xlpm.LivestockClass, IFERROR(SUM(_xlfn._xlws.FILTER(#REF!, (#REF! &gt;= EOMONTH(_xlpm.Month, -1) + 1) * (#REF! &lt;= EOMONTH(_xlpm.Month, 0)) * (#REF! = _xlpm.LivestockClass))), 0))</definedName>
    <definedName name="CommonLivestock_InputFunctions.LivestockMovement_TotalLiveweightAddedDuringMonth" localSheetId="24">_xlfn.LAMBDA(_xlpm.Month,_xlpm.LivestockClass, IFERROR(SUM(_xlfn._xlws.FILTER(#REF!, (#REF! &gt;= EOMONTH(_xlpm.Month, -1) + 1) * (#REF! &lt;= EOMONTH(_xlpm.Month, 0)) * (#REF! = _xlpm.LivestockClass))), 0))</definedName>
    <definedName name="CommonLivestock_InputFunctions.LivestockMovement_TotalLiveweightAddedDuringMonth" localSheetId="28">_xlfn.LAMBDA(_xlpm.Month,_xlpm.LivestockClass, IFERROR(SUM(_xlfn._xlws.FILTER(#REF!, (#REF! &gt;= EOMONTH(_xlpm.Month, -1) + 1) * (#REF! &lt;= EOMONTH(_xlpm.Month, 0)) * (#REF! = _xlpm.LivestockClass))), 0))</definedName>
    <definedName name="CommonLivestock_InputFunctions.LivestockMovement_TotalLiveweightAddedDuringMonth" localSheetId="34">_xlfn.LAMBDA(_xlpm.Month,_xlpm.LivestockClass, IFERROR(SUM(_xlfn._xlws.FILTER(#REF!, (#REF! &gt;= EOMONTH(_xlpm.Month, -1) + 1) * (#REF! &lt;= EOMONTH(_xlpm.Month, 0)) * (#REF! = _xlpm.LivestockClass))), 0))</definedName>
    <definedName name="CommonLivestock_InputFunctions.LivestockMovement_TotalLiveweightAddedDuringMonth" localSheetId="36">_xlfn.LAMBDA(_xlpm.Month,_xlpm.LivestockClass, IFERROR(SUM(_xlfn._xlws.FILTER(#REF!, (#REF! &gt;= EOMONTH(_xlpm.Month, -1) + 1) * (#REF! &lt;= EOMONTH(_xlpm.Month, 0)) * (#REF! = _xlpm.LivestockClass))), 0))</definedName>
    <definedName name="CommonLivestock_InputFunctions.LivestockMovement_TotalLiveweightAddedDuringMonth" localSheetId="29">_xlfn.LAMBDA(_xlpm.Month,_xlpm.LivestockClass, IFERROR(SUM(_xlfn._xlws.FILTER(#REF!, (#REF! &gt;= EOMONTH(_xlpm.Month, -1) + 1) * (#REF! &lt;= EOMONTH(_xlpm.Month, 0)) * (#REF! = _xlpm.LivestockClass))), 0))</definedName>
    <definedName name="CommonLivestock_InputFunctions.LivestockMovement_TotalLiveweightAddedDuringMonth" localSheetId="30">_xlfn.LAMBDA(_xlpm.Month,_xlpm.LivestockClass, IFERROR(SUM(_xlfn._xlws.FILTER(#REF!, (#REF! &gt;= EOMONTH(_xlpm.Month, -1) + 1) * (#REF! &lt;= EOMONTH(_xlpm.Month, 0)) * (#REF! = _xlpm.LivestockClass))), 0))</definedName>
    <definedName name="CommonLivestock_InputFunctions.LivestockMovement_TotalLiveweightAddedDuringMonth" localSheetId="31">_xlfn.LAMBDA(_xlpm.Month,_xlpm.LivestockClass, IFERROR(SUM(_xlfn._xlws.FILTER(#REF!, (#REF! &gt;= EOMONTH(_xlpm.Month, -1) + 1) * (#REF! &lt;= EOMONTH(_xlpm.Month, 0)) * (#REF! = _xlpm.LivestockClass))), 0))</definedName>
    <definedName name="CommonLivestock_InputFunctions.LivestockMovement_TotalLiveweightAddedDuringMonth" localSheetId="32">_xlfn.LAMBDA(_xlpm.Month,_xlpm.LivestockClass, IFERROR(SUM(_xlfn._xlws.FILTER(#REF!, (#REF! &gt;= EOMONTH(_xlpm.Month, -1) + 1) * (#REF! &lt;= EOMONTH(_xlpm.Month, 0)) * (#REF! = _xlpm.LivestockClass))), 0))</definedName>
    <definedName name="CommonLivestock_InputFunctions.LivestockMovement_TotalLiveweightAddedDuringMonth" localSheetId="33">_xlfn.LAMBDA(_xlpm.Month,_xlpm.LivestockClass, IFERROR(SUM(_xlfn._xlws.FILTER(#REF!, (#REF! &gt;= EOMONTH(_xlpm.Month, -1) + 1) * (#REF! &lt;= EOMONTH(_xlpm.Month, 0)) * (#REF! = _xlpm.LivestockClass))), 0))</definedName>
    <definedName name="CommonLivestock_InputFunctions.LivestockMovement_TotalLiveweightAddedDuringMonth" localSheetId="10">_xlfn.LAMBDA(_xlpm.Month,_xlpm.LivestockClass, IFERROR(SUM(_xlfn._xlws.FILTER(#REF!, (#REF! &gt;= EOMONTH(_xlpm.Month, -1) + 1) * (#REF! &lt;= EOMONTH(_xlpm.Month, 0)) * (#REF! = _xlpm.LivestockClass))), 0))</definedName>
    <definedName name="CommonLivestock_InputFunctions.LivestockMovement_TotalLiveweightAddedDuringMonth" localSheetId="5">_xlfn.LAMBDA(_xlpm.Month,_xlpm.LivestockClass, IFERROR(SUM(_xlfn._xlws.FILTER(#REF!, (#REF! &gt;= EOMONTH(_xlpm.Month, -1) + 1) * (#REF! &lt;= EOMONTH(_xlpm.Month, 0)) * (#REF! = _xlpm.LivestockClass))), 0))</definedName>
    <definedName name="CommonLivestock_InputFunctions.LivestockMovement_TotalLiveweightAddedDuringMonth" localSheetId="11">_xlfn.LAMBDA(_xlpm.Month,_xlpm.LivestockClass, IFERROR(SUM(_xlfn._xlws.FILTER(#REF!, (#REF! &gt;= EOMONTH(_xlpm.Month, -1) + 1) * (#REF! &lt;= EOMONTH(_xlpm.Month, 0)) * (#REF! = _xlpm.LivestockClass))), 0))</definedName>
    <definedName name="CommonLivestock_InputFunctions.LivestockMovement_TotalLiveweightAddedDuringMonth" localSheetId="9">_xlfn.LAMBDA(_xlpm.Month,_xlpm.LivestockClass, IFERROR(SUM(_xlfn._xlws.FILTER(#REF!, (#REF! &gt;= EOMONTH(_xlpm.Month, -1) + 1) * (#REF! &lt;= EOMONTH(_xlpm.Month, 0)) * (#REF! = _xlpm.LivestockClass))), 0))</definedName>
    <definedName name="CommonLivestock_InputFunctions.LivestockMovement_TotalLiveweightAddedDuringMonth" localSheetId="7">_xlfn.LAMBDA(_xlpm.Month,_xlpm.LivestockClass, IFERROR(SUM(_xlfn._xlws.FILTER(#REF!, (#REF! &gt;= EOMONTH(_xlpm.Month, -1) + 1) * (#REF! &lt;= EOMONTH(_xlpm.Month, 0)) * (#REF! = _xlpm.LivestockClass))), 0))</definedName>
    <definedName name="CommonLivestock_InputFunctions.LivestockMovement_TotalLiveweightAddedDuringMonth" localSheetId="12">_xlfn.LAMBDA(_xlpm.Month,_xlpm.LivestockClass, IFERROR(SUM(_xlfn._xlws.FILTER(#REF!, (#REF! &gt;= EOMONTH(_xlpm.Month, -1) + 1) * (#REF! &lt;= EOMONTH(_xlpm.Month, 0)) * (#REF! = _xlpm.LivestockClass))), 0))</definedName>
    <definedName name="CommonLivestock_InputFunctions.LivestockMovement_TotalLiveweightAddedDuringMonth" localSheetId="8">_xlfn.LAMBDA(_xlpm.Month,_xlpm.LivestockClass, IFERROR(SUM(_xlfn._xlws.FILTER(#REF!, (#REF! &gt;= EOMONTH(_xlpm.Month, -1) + 1) * (#REF! &lt;= EOMONTH(_xlpm.Month, 0)) * (#REF! = _xlpm.LivestockClass))), 0))</definedName>
    <definedName name="CommonLivestock_InputFunctions.LivestockMovement_TotalLiveweightAddedDuringMonth" localSheetId="13">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25">_xlfn.LAMBDA(_xlpm.Month,_xlpm.LivestockClass, IFERROR(SUM(_xlfn._xlws.FILTER(#REF!, (#REF! &gt;= EOMONTH(_xlpm.Month, -1) + 1) * (#REF! &lt;= EOMONTH(_xlpm.Month, 0)) * (#REF! = _xlpm.LivestockClass))), 0))</definedName>
    <definedName name="CommonLivestock_InputFunctions.LivestockMovement_TotalLiveweightGrownDuringMonth" localSheetId="26">_xlfn.LAMBDA(_xlpm.Month,_xlpm.LivestockClass, IFERROR(SUM(_xlfn._xlws.FILTER(#REF!, (#REF! &gt;= EOMONTH(_xlpm.Month, -1) + 1) * (#REF! &lt;= EOMONTH(_xlpm.Month, 0)) * (#REF! = _xlpm.LivestockClass))), 0))</definedName>
    <definedName name="CommonLivestock_InputFunctions.LivestockMovement_TotalLiveweightGrownDuringMonth" localSheetId="27">_xlfn.LAMBDA(_xlpm.Month,_xlpm.LivestockClass, IFERROR(SUM(_xlfn._xlws.FILTER(#REF!, (#REF! &gt;= EOMONTH(_xlpm.Month, -1) + 1) * (#REF! &lt;= EOMONTH(_xlpm.Month, 0)) * (#REF! = _xlpm.LivestockClass))), 0))</definedName>
    <definedName name="CommonLivestock_InputFunctions.LivestockMovement_TotalLiveweightGrownDuringMonth" localSheetId="14">_xlfn.LAMBDA(_xlpm.Month,_xlpm.LivestockClass, IFERROR(SUM(_xlfn._xlws.FILTER(#REF!, (#REF! &gt;= EOMONTH(_xlpm.Month, -1) + 1) * (#REF! &lt;= EOMONTH(_xlpm.Month, 0)) * (#REF! = _xlpm.LivestockClass))), 0))</definedName>
    <definedName name="CommonLivestock_InputFunctions.LivestockMovement_TotalLiveweightGrownDuringMonth" localSheetId="15">_xlfn.LAMBDA(_xlpm.Month,_xlpm.LivestockClass, IFERROR(SUM(_xlfn._xlws.FILTER(#REF!, (#REF! &gt;= EOMONTH(_xlpm.Month, -1) + 1) * (#REF! &lt;= EOMONTH(_xlpm.Month, 0)) * (#REF! = _xlpm.LivestockClass))), 0))</definedName>
    <definedName name="CommonLivestock_InputFunctions.LivestockMovement_TotalLiveweightGrownDuringMonth" localSheetId="16">_xlfn.LAMBDA(_xlpm.Month,_xlpm.LivestockClass, IFERROR(SUM(_xlfn._xlws.FILTER(#REF!, (#REF! &gt;= EOMONTH(_xlpm.Month, -1) + 1) * (#REF! &lt;= EOMONTH(_xlpm.Month, 0)) * (#REF! = _xlpm.LivestockClass))), 0))</definedName>
    <definedName name="CommonLivestock_InputFunctions.LivestockMovement_TotalLiveweightGrownDuringMonth" localSheetId="17">_xlfn.LAMBDA(_xlpm.Month,_xlpm.LivestockClass, IFERROR(SUM(_xlfn._xlws.FILTER(#REF!, (#REF! &gt;= EOMONTH(_xlpm.Month, -1) + 1) * (#REF! &lt;= EOMONTH(_xlpm.Month, 0)) * (#REF! = _xlpm.LivestockClass))), 0))</definedName>
    <definedName name="CommonLivestock_InputFunctions.LivestockMovement_TotalLiveweightGrownDuringMonth" localSheetId="18">_xlfn.LAMBDA(_xlpm.Month,_xlpm.LivestockClass, IFERROR(SUM(_xlfn._xlws.FILTER(#REF!, (#REF! &gt;= EOMONTH(_xlpm.Month, -1) + 1) * (#REF! &lt;= EOMONTH(_xlpm.Month, 0)) * (#REF! = _xlpm.LivestockClass))), 0))</definedName>
    <definedName name="CommonLivestock_InputFunctions.LivestockMovement_TotalLiveweightGrownDuringMonth" localSheetId="19">_xlfn.LAMBDA(_xlpm.Month,_xlpm.LivestockClass, IFERROR(SUM(_xlfn._xlws.FILTER(#REF!, (#REF! &gt;= EOMONTH(_xlpm.Month, -1) + 1) * (#REF! &lt;= EOMONTH(_xlpm.Month, 0)) * (#REF! = _xlpm.LivestockClass))), 0))</definedName>
    <definedName name="CommonLivestock_InputFunctions.LivestockMovement_TotalLiveweightGrownDuringMonth" localSheetId="20">_xlfn.LAMBDA(_xlpm.Month,_xlpm.LivestockClass, IFERROR(SUM(_xlfn._xlws.FILTER(#REF!, (#REF! &gt;= EOMONTH(_xlpm.Month, -1) + 1) * (#REF! &lt;= EOMONTH(_xlpm.Month, 0)) * (#REF! = _xlpm.LivestockClass))), 0))</definedName>
    <definedName name="CommonLivestock_InputFunctions.LivestockMovement_TotalLiveweightGrownDuringMonth" localSheetId="21">_xlfn.LAMBDA(_xlpm.Month,_xlpm.LivestockClass, IFERROR(SUM(_xlfn._xlws.FILTER(#REF!, (#REF! &gt;= EOMONTH(_xlpm.Month, -1) + 1) * (#REF! &lt;= EOMONTH(_xlpm.Month, 0)) * (#REF! = _xlpm.LivestockClass))), 0))</definedName>
    <definedName name="CommonLivestock_InputFunctions.LivestockMovement_TotalLiveweightGrownDuringMonth" localSheetId="22">_xlfn.LAMBDA(_xlpm.Month,_xlpm.LivestockClass, IFERROR(SUM(_xlfn._xlws.FILTER(#REF!, (#REF! &gt;= EOMONTH(_xlpm.Month, -1) + 1) * (#REF! &lt;= EOMONTH(_xlpm.Month, 0)) * (#REF! = _xlpm.LivestockClass))), 0))</definedName>
    <definedName name="CommonLivestock_InputFunctions.LivestockMovement_TotalLiveweightGrownDuringMonth" localSheetId="23">_xlfn.LAMBDA(_xlpm.Month,_xlpm.LivestockClass, IFERROR(SUM(_xlfn._xlws.FILTER(#REF!, (#REF! &gt;= EOMONTH(_xlpm.Month, -1) + 1) * (#REF! &lt;= EOMONTH(_xlpm.Month, 0)) * (#REF! = _xlpm.LivestockClass))), 0))</definedName>
    <definedName name="CommonLivestock_InputFunctions.LivestockMovement_TotalLiveweightGrownDuringMonth" localSheetId="24">_xlfn.LAMBDA(_xlpm.Month,_xlpm.LivestockClass, IFERROR(SUM(_xlfn._xlws.FILTER(#REF!, (#REF! &gt;= EOMONTH(_xlpm.Month, -1) + 1) * (#REF! &lt;= EOMONTH(_xlpm.Month, 0)) * (#REF! = _xlpm.LivestockClass))), 0))</definedName>
    <definedName name="CommonLivestock_InputFunctions.LivestockMovement_TotalLiveweightGrownDuringMonth" localSheetId="28">_xlfn.LAMBDA(_xlpm.Month,_xlpm.LivestockClass, IFERROR(SUM(_xlfn._xlws.FILTER(#REF!, (#REF! &gt;= EOMONTH(_xlpm.Month, -1) + 1) * (#REF! &lt;= EOMONTH(_xlpm.Month, 0)) * (#REF! = _xlpm.LivestockClass))), 0))</definedName>
    <definedName name="CommonLivestock_InputFunctions.LivestockMovement_TotalLiveweightGrownDuringMonth" localSheetId="34">_xlfn.LAMBDA(_xlpm.Month,_xlpm.LivestockClass, IFERROR(SUM(_xlfn._xlws.FILTER(#REF!, (#REF! &gt;= EOMONTH(_xlpm.Month, -1) + 1) * (#REF! &lt;= EOMONTH(_xlpm.Month, 0)) * (#REF! = _xlpm.LivestockClass))), 0))</definedName>
    <definedName name="CommonLivestock_InputFunctions.LivestockMovement_TotalLiveweightGrownDuringMonth" localSheetId="36">_xlfn.LAMBDA(_xlpm.Month,_xlpm.LivestockClass, IFERROR(SUM(_xlfn._xlws.FILTER(#REF!, (#REF! &gt;= EOMONTH(_xlpm.Month, -1) + 1) * (#REF! &lt;= EOMONTH(_xlpm.Month, 0)) * (#REF! = _xlpm.LivestockClass))), 0))</definedName>
    <definedName name="CommonLivestock_InputFunctions.LivestockMovement_TotalLiveweightGrownDuringMonth" localSheetId="29">_xlfn.LAMBDA(_xlpm.Month,_xlpm.LivestockClass, IFERROR(SUM(_xlfn._xlws.FILTER(#REF!, (#REF! &gt;= EOMONTH(_xlpm.Month, -1) + 1) * (#REF! &lt;= EOMONTH(_xlpm.Month, 0)) * (#REF! = _xlpm.LivestockClass))), 0))</definedName>
    <definedName name="CommonLivestock_InputFunctions.LivestockMovement_TotalLiveweightGrownDuringMonth" localSheetId="30">_xlfn.LAMBDA(_xlpm.Month,_xlpm.LivestockClass, IFERROR(SUM(_xlfn._xlws.FILTER(#REF!, (#REF! &gt;= EOMONTH(_xlpm.Month, -1) + 1) * (#REF! &lt;= EOMONTH(_xlpm.Month, 0)) * (#REF! = _xlpm.LivestockClass))), 0))</definedName>
    <definedName name="CommonLivestock_InputFunctions.LivestockMovement_TotalLiveweightGrownDuringMonth" localSheetId="31">_xlfn.LAMBDA(_xlpm.Month,_xlpm.LivestockClass, IFERROR(SUM(_xlfn._xlws.FILTER(#REF!, (#REF! &gt;= EOMONTH(_xlpm.Month, -1) + 1) * (#REF! &lt;= EOMONTH(_xlpm.Month, 0)) * (#REF! = _xlpm.LivestockClass))), 0))</definedName>
    <definedName name="CommonLivestock_InputFunctions.LivestockMovement_TotalLiveweightGrownDuringMonth" localSheetId="32">_xlfn.LAMBDA(_xlpm.Month,_xlpm.LivestockClass, IFERROR(SUM(_xlfn._xlws.FILTER(#REF!, (#REF! &gt;= EOMONTH(_xlpm.Month, -1) + 1) * (#REF! &lt;= EOMONTH(_xlpm.Month, 0)) * (#REF! = _xlpm.LivestockClass))), 0))</definedName>
    <definedName name="CommonLivestock_InputFunctions.LivestockMovement_TotalLiveweightGrownDuringMonth" localSheetId="33">_xlfn.LAMBDA(_xlpm.Month,_xlpm.LivestockClass, IFERROR(SUM(_xlfn._xlws.FILTER(#REF!, (#REF! &gt;= EOMONTH(_xlpm.Month, -1) + 1) * (#REF! &lt;= EOMONTH(_xlpm.Month, 0)) * (#REF! = _xlpm.LivestockClass))), 0))</definedName>
    <definedName name="CommonLivestock_InputFunctions.LivestockMovement_TotalLiveweightGrownDuringMonth" localSheetId="10">_xlfn.LAMBDA(_xlpm.Month,_xlpm.LivestockClass, IFERROR(SUM(_xlfn._xlws.FILTER(#REF!, (#REF! &gt;= EOMONTH(_xlpm.Month, -1) + 1) * (#REF! &lt;= EOMONTH(_xlpm.Month, 0)) * (#REF! = _xlpm.LivestockClass))), 0))</definedName>
    <definedName name="CommonLivestock_InputFunctions.LivestockMovement_TotalLiveweightGrownDuringMonth" localSheetId="5">_xlfn.LAMBDA(_xlpm.Month,_xlpm.LivestockClass, IFERROR(SUM(_xlfn._xlws.FILTER(#REF!, (#REF! &gt;= EOMONTH(_xlpm.Month, -1) + 1) * (#REF! &lt;= EOMONTH(_xlpm.Month, 0)) * (#REF! = _xlpm.LivestockClass))), 0))</definedName>
    <definedName name="CommonLivestock_InputFunctions.LivestockMovement_TotalLiveweightGrownDuringMonth" localSheetId="11">_xlfn.LAMBDA(_xlpm.Month,_xlpm.LivestockClass, IFERROR(SUM(_xlfn._xlws.FILTER(#REF!, (#REF! &gt;= EOMONTH(_xlpm.Month, -1) + 1) * (#REF! &lt;= EOMONTH(_xlpm.Month, 0)) * (#REF! = _xlpm.LivestockClass))), 0))</definedName>
    <definedName name="CommonLivestock_InputFunctions.LivestockMovement_TotalLiveweightGrownDuringMonth" localSheetId="9">_xlfn.LAMBDA(_xlpm.Month,_xlpm.LivestockClass, IFERROR(SUM(_xlfn._xlws.FILTER(#REF!, (#REF! &gt;= EOMONTH(_xlpm.Month, -1) + 1) * (#REF! &lt;= EOMONTH(_xlpm.Month, 0)) * (#REF! = _xlpm.LivestockClass))), 0))</definedName>
    <definedName name="CommonLivestock_InputFunctions.LivestockMovement_TotalLiveweightGrownDuringMonth" localSheetId="7">_xlfn.LAMBDA(_xlpm.Month,_xlpm.LivestockClass, IFERROR(SUM(_xlfn._xlws.FILTER(#REF!, (#REF! &gt;= EOMONTH(_xlpm.Month, -1) + 1) * (#REF! &lt;= EOMONTH(_xlpm.Month, 0)) * (#REF! = _xlpm.LivestockClass))), 0))</definedName>
    <definedName name="CommonLivestock_InputFunctions.LivestockMovement_TotalLiveweightGrownDuringMonth" localSheetId="12">_xlfn.LAMBDA(_xlpm.Month,_xlpm.LivestockClass, IFERROR(SUM(_xlfn._xlws.FILTER(#REF!, (#REF! &gt;= EOMONTH(_xlpm.Month, -1) + 1) * (#REF! &lt;= EOMONTH(_xlpm.Month, 0)) * (#REF! = _xlpm.LivestockClass))), 0))</definedName>
    <definedName name="CommonLivestock_InputFunctions.LivestockMovement_TotalLiveweightGrownDuringMonth" localSheetId="8">_xlfn.LAMBDA(_xlpm.Month,_xlpm.LivestockClass, IFERROR(SUM(_xlfn._xlws.FILTER(#REF!, (#REF! &gt;= EOMONTH(_xlpm.Month, -1) + 1) * (#REF! &lt;= EOMONTH(_xlpm.Month, 0)) * (#REF! = _xlpm.LivestockClass))), 0))</definedName>
    <definedName name="CommonLivestock_InputFunctions.LivestockMovement_TotalLiveweightGrownDuringMonth" localSheetId="13">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Electricity_Equations.VEERG_10_1_1__1_Scope2Electricity_LocationBased">_xlfn.LAMBDA(_xlpm.Qelec,_xlpm.EF2elec, _xlpm.Qelec * _xlpm.EF2elec * 10 ^ -3)</definedName>
    <definedName name="Electricity_Equations.VEERG_10_1_1__1_Scope2Electricity_LocationBased_Arguments">_xlfn.LAMBDA(_xlfn.MAKEARRAY(3, 3, _xlfn.LAMBDA(_xlpm.r,_xlpm.c, INDEX({"Qelec","Amount of electricity purchased from the grid","kWh";"EF2,elec","Location - based Scope 2 emission factor for electricity","kg CO2e / kWh";"2","Scope 2",""}, _xlpm.r, _xlpm.c))))</definedName>
    <definedName name="Electricity_Equations.VEERG_10_1_1__1_Scope2Electricity_LocationBased_NIRReference">_xlfn.LAMBDA("Australian National Greenhouse Accounts Factors 2025 - 2.2 Estimating emissions from stationary energy sources")</definedName>
    <definedName name="Electricity_Equations.VEERG_10_1_1__1_Scope2Electricity_LocationBased_ReadableEquation">_xlfn.LAMBDA("E2,elec = Qelec * EF2,elec * 10 ^ - 3")</definedName>
    <definedName name="Electricity_Equations.VEERG_10_1_1__1_Scope2Electricity_LocationBased_Source">_xlfn.LAMBDA("VEERG 2026: 10.1.1, Equation (1)")</definedName>
    <definedName name="Electricity_Equations.VEERG_10_1_1__1_Scope2Electricity_LocationBased_Title">_xlfn.LAMBDA("Location-based Scope 2 emissions from purchased electricity")</definedName>
    <definedName name="Electricity_Equations.VEERG_10_1_1__1_Scope2Electricity_LocationBased_Unit">_xlfn.LAMBDA("t CO2-e")</definedName>
    <definedName name="Electricity_Equations.VEERG_10_1_1__1_Scope2Electricity_LocationBased_Variable">_xlfn.LAMBDA("E2elec")</definedName>
    <definedName name="Electricity_Equations.VEERG_11_9_1_1__1_Scope3Electricity_LocationBased">_xlfn.LAMBDA(_xlpm.Qelec,_xlpm.EF3elec, _xlpm.Qelec * _xlpm.EF3elec * 10 ^ -3)</definedName>
    <definedName name="Electricity_Equations.VEERG_11_9_1_1__1_Scope3Electricity_LocationBased_Arguments">_xlfn.LAMBDA(_xlfn.MAKEARRAY(3, 3, _xlfn.LAMBDA(_xlpm.r,_xlpm.c, INDEX({"Qelec","Amount of electricity purchased from the grid","kWh";"EF3,elec","Location - based Scope 3 emission factor for electricity","kg CO2e / kWh";"3","Scope 3",""}, _xlpm.r, _xlpm.c))))</definedName>
    <definedName name="Electricity_Equations.VEERG_11_9_1_1__1_Scope3Electricity_LocationBased_NIRReference">_xlfn.LAMBDA("Australian National Greenhouse Accounts Factors 2025 - 2.2 Estimating emissions from stationary energy sources")</definedName>
    <definedName name="Electricity_Equations.VEERG_11_9_1_1__1_Scope3Electricity_LocationBased_ReadableEquation">_xlfn.LAMBDA("E3,elec = Qelec * EF3,elec * 10 ^ - 3")</definedName>
    <definedName name="Electricity_Equations.VEERG_11_9_1_1__1_Scope3Electricity_LocationBased_Source">_xlfn.LAMBDA("VEERG 2026: 11.9.1.1, Equation (1)")</definedName>
    <definedName name="Electricity_Equations.VEERG_11_9_1_1__1_Scope3Electricity_LocationBased_Title">_xlfn.LAMBDA("Location-based Scope 3 emissions from purchased electricity")</definedName>
    <definedName name="Electricity_Equations.VEERG_11_9_1_1__1_Scope3Electricity_LocationBased_Unit">_xlfn.LAMBDA("t CO2-e")</definedName>
    <definedName name="Electricity_Equations.VEERG_11_9_1_1__1_Scope3Electricity_LocationBased_Variable">_xlfn.LAMBDA("E3elec")</definedName>
    <definedName name="Electricity_Equations.VEERG_14_1_1__1_LocationBasedScopeElectricityEmissions">_xlfn.LAMBDA(_xlpm.Q_elec,_xlpm.EF_2elec, _xlpm.Q_elec * _xlpm.EF_2elec * 10 ^ -3)</definedName>
    <definedName name="Electricity_Equations.VEERG_14_1_1__1_LocationBasedScopeElectricityEmissions_Arguments">_xlfn.LAMBDA(_xlfn.MAKEARRAY(3, 4, _xlfn.LAMBDA(_xlpm.r,_xlpm.c, INDEX({"Q_elec","amount of electricity purchased from the grid","kWh","Input";"EF_2elec","location-based Scope 2 emission factor for electricity","kg CO2e/kWh","Constant";"g","Grid electricity was purchased from","","Input"}, _xlpm.r, _xlpm.c))))</definedName>
    <definedName name="Electricity_Equations.VEERG_14_1_1__1_LocationBasedScopeElectricityEmissions_LatexEquation">_xlfn.LAMBDA("E_{2,elec}=Q_{elec}\times EF_{2,elec}\times 10^{-3}")</definedName>
    <definedName name="Electricity_Equations.VEERG_14_1_1__1_LocationBasedScopeElectricityEmissions_NIRReference">_xlfn.LAMBDA("")</definedName>
    <definedName name="Electricity_Equations.VEERG_14_1_1__1_LocationBasedScopeElectricityEmissions_Source">_xlfn.LAMBDA("VEERG 2026: 14.1.1, Equation (1)")</definedName>
    <definedName name="Electricity_Equations.VEERG_14_1_1__1_LocationBasedScopeElectricityEmissions_Title">_xlfn.LAMBDA("Location-based Scope 2 emissions from purchased electricity")</definedName>
    <definedName name="Electricity_Equations.VEERG_14_1_1__1_LocationBasedScopeElectricityEmissions_Unit">_xlfn.LAMBDA("t CO2e")</definedName>
    <definedName name="Electricity_Equations.VEERG_14_1_1__1_LocationBasedScopeElectricityEmissions_Variable">_xlfn.LAMBDA("E_2elec")</definedName>
    <definedName name="Electricity_Equations.VEERG_14_1_1__1_LocationBasedScopeElectricityEmissions_Variation">_xlfn.LAMBDA("Added g variable to capture which grid electricity was purchased from")</definedName>
    <definedName name="Electricity_Equations.VEERG_14_1_2__1_MarketBasedScopeElectricityEmissions">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_Arguments">_xlfn.LAMBDA(_xlfn.MAKEARRAY(7, 4, _xlfn.LAMBDA(_xlpm.r,_xlpm.c, INDEX({"Q_elec","amount of electricity purchased from the grid","kWh","Input";"RPP","Renewable Power Percentage under the Large-scale Renewable Energy Target (LRET)","per cent","Input";"JRPP","jurisdictional renewable power percentage for the applicable period (ACT only)","per cent","Input";"REC_surrendered","Renewable Energy Certificates voluntarily surrendered in the reporting year","MWh","Input";"REC_onsite","Renewable Energy Certificates issued for electricity produced on-site during the year and consumed by the entity","MWh","Input";"EF_RMF2elec","Scope 2 residual mix emission factor for electricity","kg CO2e/kWh","Constant";"i","state","","Input"}, _xlpm.r, _xlpm.c))))</definedName>
    <definedName name="Electricity_Equations.VEERG_14_1_2__1_MarketBasedScopeElectricityEmissions_LatexEquation">_xlfn.LAMBDA("E_{2,elec}=(Q_{elec} \times (1-(RPP+JRPP)) - ((REC_{surrendered}-REC_{onsite})\times 10^{-3})) \times EF_{RMF2,elec} \times 10^{-3}")</definedName>
    <definedName name="Electricity_Equations.VEERG_14_1_2__1_MarketBasedScopeElectricityEmissions_NIRReference">_xlfn.LAMBDA("")</definedName>
    <definedName name="Electricity_Equations.VEERG_14_1_2__1_MarketBasedScopeElectricityEmissions_Source">_xlfn.LAMBDA("VEERG 2026: 14.1.2, Equation (1)")</definedName>
    <definedName name="Electricity_Equations.VEERG_14_1_2__1_MarketBasedScopeElectricityEmissions_Title">_xlfn.LAMBDA("Market-based Scope 2 emissions from purchased electricity")</definedName>
    <definedName name="Electricity_Equations.VEERG_14_1_2__1_MarketBasedScopeElectricityEmissions_Unit">_xlfn.LAMBDA("t CO2e")</definedName>
    <definedName name="Electricity_Equations.VEERG_14_1_2__1_MarketBasedScopeElectricityEmissions_Variable">_xlfn.LAMBDA("E_2elec")</definedName>
    <definedName name="Electricity_Equations.VEERG_14_1_2__1_MarketBasedScopeElectricityEmissions_Variation">_xlfn.LAMBDA("VARIATION ON SOURCE: In order to convert megawatt hours to kilowatt hours, the REC_surrendered and REC_onsite variables are multiplied by 10^3 instead of 10^-3.")</definedName>
    <definedName name="Electricity_Equations.VEERG_14_1_2__1_MarketBasedScopeElectricityEmissionsVariation">_xlfn.LAMBDA(_xlpm.Q_elec,_xlpm.RPP,_xlpm.JRPP,_xlpm.REC_surrendered,_xlpm.REC_onsite,_xlpm.EF_RMF2elec, ((_xlpm.Q_elec * (1 - (_xlpm.RPP + _xlpm.JRPP))) - ((_xlpm.REC_surrendered - _xlpm.REC_onsite) * 10 ^ 3)) * _xlpm.EF_RMF2elec * 10 ^ -3)</definedName>
    <definedName name="Electricity_Equations.VEERG_14_1_2__1_MarketBasedScopeElectricityEmissionsVariation_LatexEquation">_xlfn.LAMBDA("E_{2,elec}=(Q_{elec} \times (1-(RPP+JRPP)) - ((REC_{surrendered}-REC_{onsite})\times 10^{3})) \times EF_{RMF2,elec} \times 10^{-3}")</definedName>
    <definedName name="Electricity_SourceData.Electricity_Scope2LocationBased_Description">_xlfn.LAMBDA(("Indirect (scope 2 and scope 3) location-based emission factors associated with the consumption and losses of purchased or acquired electricity"))</definedName>
    <definedName name="Electricity_SourceData.Electricity_Scope2MarketBased_Description">_xlfn.LAMBDA(("Table 2a Indirect (scope 2 and scope 3) emission factors from consumption of purchased or acquired electricity: market-based factors "))</definedName>
    <definedName name="Electricity_SourceData.Electricity_Scope2Scope3LocationBased_Data">_xlfn.LAMBDA(
  _xlfn.MAKEARRAY(11, 3,
    _xlfn.LAMBDA(_xlpm.r,_xlpm.c,
      INDEX({"State, Territory or grid description","Scope 2 Emission Factors (kg CO2-e/kWh)","Scope 3 Emission Factors (kg CO2-e/kWh)";"New South Wales",0.64,0.03;"ACT",0.64,0.03;"Victoria",0.78,0.09;"Queensland",0.67,0.09;"South Australia",0.22,0.04;"Western Australia - South West Interconnected System (SWIS)",0.5,0.06;"Western Australia - North Western Interconnected System (NWIS)",0.56,0.09;"Tasmania",0.2,0.03;"Northern Territory - Darwin Katherine Interconnected System (DKIS)",0.56,0.09;"National",0.62,0.07}, _xlpm.r, _xlpm.c)
)))</definedName>
    <definedName name="Electricity_SourceData.Electricity_Scope2Scope3LocationBased_Source">_xlfn.LAMBDA(("Australian National Greenhouse Accounts Factors 2025 - Table 1"))</definedName>
    <definedName name="Electricity_SourceData.Electricity_Scope2Scope3LocationBased_Title">_xlfn.LAMBDA(("Electricity scope 2 and scope 3 location-based emission factors"))</definedName>
    <definedName name="Electricity_SourceData.Electricity_Scope2Scope3LocationBased_Variation">_xlfn.LAMBDA(("VARIATION OF SOURCE DATA: NSW and ACT split into separate rows."))</definedName>
    <definedName name="Electricity_SourceData.Electricity_Scope2Scope3MarketBased_Data">_xlfn.LAMBDA(
  _xlfn.MAKEARRAY(2, 5,
    _xlfn.LAMBDA(_xlpm.r,_xlpm.c,
      INDEX({"State, Territory or grid description","Scope 2 Emission Factors (kg CO2-e/kWh)","Scope 2 Emission Factors (kg CO2-e/GJ)","Scope 3 Emission Factors (kg CO2 - e / kWh)","Scope 3 Emission Factors (kg CO2 - e / GJ)";"National",0.81,226,0.1,29}, _xlpm.r, _xlpm.c)
)))</definedName>
    <definedName name="Electricity_SourceData.Electricity_Scope2Scope3MarketBased_Source">_xlfn.LAMBDA(("Australian National Greenhouse Accounts Factors 2025 - Table 2a"))</definedName>
    <definedName name="Electricity_SourceData.Electricity_Scope2Scope3MarketBased_Title">_xlfn.LAMBDA(("Electricity scope 2 and scope 3 market-based emission factors"))</definedName>
    <definedName name="Electricity_SourceData.Electricity_Scope2Scope3MarketBased_Variation">_xlfn.LAMBDA((""))</definedName>
    <definedName name="EntericMethane_Dairy_Equations.VEERG_3_3_1_1__1_TotalAnnualMethaneFromEntericFermentation">_xlfn.LAMBDA(_xlpm.N_j124,_xlpm.M_j124,_xlpm.D_j124,_xlpm.N_j35,_xlpm.M_j35,_xlpm.D_j35,_xlpm.MPW_ENTERIC_j35, ((_xlpm.N_j124 * _xlpm.M_j124 * _xlpm.D_j124) + (_xlpm.N_j35 * _xlpm.M_j35 * _xlpm.D_j35) + (_xlpm.N_j35 * _xlpm.MPW_ENTERIC_j35 * _xlpm.D_j35)) * 10 ^ -3)</definedName>
    <definedName name="EntericMethane_Dairy_Equations.VEERG_3_3_1_1__1_TotalAnnualMethaneFromEntericFermentation_Arguments">_xlfn.LAMBDA(_xlfn.MAKEARRAY(8, 4, _xlfn.LAMBDA(_xlpm.r,_xlpm.c, INDEX({"N_j124","number of dairy cattle in classes j=1,2,4","head","Input";"M_j124","daily enteric methane production for classes j=1,2,4","kg CH4/head/day","Calculated from 3.3.1.1 (2)";"D_j124","duration of stay on the farm for classes j=1,2,4","days","Input";"N_j35","number of dairy cattle in classes j=3,5","head","Input";"M_j35","daily enteric methane production for weaned classes j=3,5","kg CH4/head/day","Calculated from 3.3.1.1 (2)";"D_j35","duration of stay on the farm for weaned classes j=3,5","days","Input";"DPW_j35","duration of stay on the farm for pre-weaned heifer and bull calves","days","Input";"MPW_ENTERIC_j35","daily methane production for pre-weaned heifer and bull calves","kg CH4/head/day","Constant"}, _xlpm.r, _xlpm.c))))</definedName>
    <definedName name="EntericMethane_Dairy_Equations.VEERG_3_3_1_1__1_TotalAnnualMethaneFromEntericFermentation_LatexEquation">_xlfn.LAMBDA("E_{enteric}=\sum\nolimits_j((N_{j=1,2,4}\times M_{j=1,2,4}\times D_{j=1,2,4})+(N_{j=3,5}\times M_{j=3,5}\times D_{j=3,5})+(N_{j=3,5}\times MPW_{ENTERIC,j=3,5}\times D_{j=3,5}))\times 10^{-3}")</definedName>
    <definedName name="EntericMethane_Dairy_Equations.VEERG_3_3_1_1__1_TotalAnnualMethaneFromEntericFermentation_LatexEquationVariation">_xlfn.LAMBDA("E_{enteric}=\sum\nolimits_j((N_{j=1,2,4}\times M_{j=1,2,4}\times D_{j=1,2,4})+(N_{j=3,5}\times M_{j=3,5}\times D_{j=3,5})+(N_{j=3,5}\times MPW_{ENTERIC,j=3,5}\times DPW_{j=3,5}))\times 10^{-3}")</definedName>
    <definedName name="EntericMethane_Dairy_Equations.VEERG_3_3_1_1__1_TotalAnnualMethaneFromEntericFermentation_NIRReference">_xlfn.LAMBDA("")</definedName>
    <definedName name="EntericMethane_Dairy_Equations.VEERG_3_3_1_1__1_TotalAnnualMethaneFromEntericFermentation_Source">_xlfn.LAMBDA("VEERG 2026: 3.3.1.1, Equation (1)")</definedName>
    <definedName name="EntericMethane_Dairy_Equations.VEERG_3_3_1_1__1_TotalAnnualMethaneFromEntericFermentation_Title">_xlfn.LAMBDA("Total annual methane production from enteric fermentation in dairy cattle")</definedName>
    <definedName name="EntericMethane_Dairy_Equations.VEERG_3_3_1_1__1_TotalAnnualMethaneFromEntericFermentation_Unit">_xlfn.LAMBDA("t CH4")</definedName>
    <definedName name="EntericMethane_Dairy_Equations.VEERG_3_3_1_1__1_TotalAnnualMethaneFromEntericFermentation_Variable">_xlfn.LAMBDA("E_enteric")</definedName>
    <definedName name="EntericMethane_Dairy_Equations.VEERG_3_3_1_1__1_TotalAnnualMethaneFromEntericFermentation_Variation">_xlfn.LAMBDA("VARIATION ON SOURCE: Added 'DPW' variable to allow for a separate handling of pre-weaned duration.")</definedName>
    <definedName name="EntericMethane_Dairy_Equations.VEERG_3_3_1_1__1_TotalAnnualMethaneFromEntericFermentationVariation">_xlfn.LAMBDA(_xlpm.N_j124,_xlpm.M_j124,_xlpm.D_j124,_xlpm.N_j35,_xlpm.M_j35,_xlpm.D_j35,_xlpm.DPW_j35,_xlpm.MPW_ENTERIC_j35, ((_xlpm.N_j124 * _xlpm.M_j124 * _xlpm.D_j124) + (_xlpm.N_j35 * _xlpm.M_j35 * _xlpm.D_j35) + (_xlpm.N_j35 * _xlpm.MPW_ENTERIC_j35 * _xlpm.DPW_j35)) * 10 ^ -3)</definedName>
    <definedName name="EntericMethane_Dairy_Equations.VEERG_3_3_1_1__2_DailyEntericMethaneProduction">_xlfn.LAMBDA(_xlpm.I_j, 20.7 * _xlpm.I_j * 10 ^ -3)</definedName>
    <definedName name="EntericMethane_Dairy_Equations.VEERG_3_3_1_1__2_DailyEntericMethaneProduction_Arguments">_xlfn.LAMBDA(_xlfn.MAKEARRAY(1, 4, _xlfn.LAMBDA(_xlpm.r,_xlpm.c, INDEX({"I_j","dry matter feed intake","kg DM/head/day","Calculated from 3.3.1.1 (3)"}, _xlpm.r, _xlpm.c))))</definedName>
    <definedName name="EntericMethane_Dairy_Equations.VEERG_3_3_1_1__2_DailyEntericMethaneProduction_LatexEquation">_xlfn.LAMBDA("M_j=20.7\times I_j\times 10^{-3}")</definedName>
    <definedName name="EntericMethane_Dairy_Equations.VEERG_3_3_1_1__2_DailyEntericMethaneProduction_NIRReference">_xlfn.LAMBDA("Charmley et al. (2015)")</definedName>
    <definedName name="EntericMethane_Dairy_Equations.VEERG_3_3_1_1__2_DailyEntericMethaneProduction_Source">_xlfn.LAMBDA("VEERG 2026: 3.3.1.1, Equation (2)")</definedName>
    <definedName name="EntericMethane_Dairy_Equations.VEERG_3_3_1_1__2_DailyEntericMethaneProduction_Title">_xlfn.LAMBDA("Daily production of enteric methane")</definedName>
    <definedName name="EntericMethane_Dairy_Equations.VEERG_3_3_1_1__2_DailyEntericMethaneProduction_Unit">_xlfn.LAMBDA("kg CH4/head/day")</definedName>
    <definedName name="EntericMethane_Dairy_Equations.VEERG_3_3_1_1__2_DailyEntericMethaneProduction_Variable">_xlfn.LAMBDA("M_j")</definedName>
    <definedName name="EntericMethane_Dairy_Equations.VEERG_3_3_1_1__3_DryMatterFeedIntake">_xlfn.LAMBDA(_xlpm.W_j,_xlpm.LWG_j,_xlpm.MR_j,_xlpm.MI_j, (1.185 + 0.00454 * _xlpm.W_j - 0.0000026 * _xlpm.W_j ^ 2 + 0.315 * _xlpm.LWG_j) ^ 2 * _xlpm.MR_j + _xlpm.MI_j)</definedName>
    <definedName name="EntericMethane_Dairy_Equations.VEERG_3_3_1_1__3_DryMatterFeedIntake_Arguments">_xlfn.LAMBDA(_xlfn.MAKEARRAY(4, 4, _xlfn.LAMBDA(_xlpm.r,_xlpm.c, INDEX({"W_j","liveweight","kg","Input";"LWG_j","liveweight gain","kg/head/day","Input";"MR_j","increase in metabolic rate when producing milk","fraction","Constant";"MI_j","additional intake required for milk production","kg DM/head/day","Calculated from 3.3.1.1 (4)"}, _xlpm.r, _xlpm.c))))</definedName>
    <definedName name="EntericMethane_Dairy_Equations.VEERG_3_3_1_1__3_DryMatterFeedIntake_LatexEquation">_xlfn.LAMBDA("I_j=(1.185+0.00454\times W_j-0.0000026\times W_j^2+0.315\times LWG_j)^2\times MR_j+MI_j")</definedName>
    <definedName name="EntericMethane_Dairy_Equations.VEERG_3_3_1_1__3_DryMatterFeedIntake_NIRReference">_xlfn.LAMBDA("")</definedName>
    <definedName name="EntericMethane_Dairy_Equations.VEERG_3_3_1_1__3_DryMatterFeedIntake_Source">_xlfn.LAMBDA("VEERG 2026: 3.3.1.1, Equation (3)")</definedName>
    <definedName name="EntericMethane_Dairy_Equations.VEERG_3_3_1_1__3_DryMatterFeedIntake_Title">_xlfn.LAMBDA("Feed intake")</definedName>
    <definedName name="EntericMethane_Dairy_Equations.VEERG_3_3_1_1__3_DryMatterFeedIntake_Unit">_xlfn.LAMBDA("kg DM/head/day")</definedName>
    <definedName name="EntericMethane_Dairy_Equations.VEERG_3_3_1_1__3_DryMatterFeedIntake_Variable">_xlfn.LAMBDA("I_j")</definedName>
    <definedName name="EntericMethane_Dairy_Equations.VEERG_3_3_1_1__4_AdditionalIntakeForMilkProduction">_xlfn.LAMBDA(_xlpm.MP_j,_xlpm.NE,_xlpm.GEC,_xlpm.k,_xlpm.qm_j, (_xlpm.MP_j * 1.03 * _xlpm.NE) / (_xlpm.GEC * _xlpm.k * _xlpm.qm_j))</definedName>
    <definedName name="EntericMethane_Dairy_Equations.VEERG_3_3_1_1__4_AdditionalIntakeForMilkProduction_Arguments">_xlfn.LAMBDA(_xlfn.MAKEARRAY(7, 4, _xlfn.LAMBDA(_xlpm.r,_xlpm.c, INDEX({"MPU","input milk production unit","","Input";"MP_j","milk production (if input as litres of milk)","L/head/day","Input";"MP_j","milk production (if input as milk solids)","L/head/day","Calculated from 3.3.1.1 (5)";"NE","net energy","MJ net energy/kg milk","Constant";"GEC","gross energy content","MJ/kgDM","Constant";"k","efficiency of metabolizable energy use for milk production","fraction","Constant";"qm_j","metabolisability of the diet","fraction","Calculated from 3.3.1.1 (6)"}, _xlpm.r, _xlpm.c))))</definedName>
    <definedName name="EntericMethane_Dairy_Equations.VEERG_3_3_1_1__4_AdditionalIntakeForMilkProduction_LatexEquation">_xlfn.LAMBDA("MI_j=\frac{MP_j\times 1.03\times NE}{GEC\times k\times qm_j}")</definedName>
    <definedName name="EntericMethane_Dairy_Equations.VEERG_3_3_1_1__4_AdditionalIntakeForMilkProduction_NIRReference">_xlfn.LAMBDA("")</definedName>
    <definedName name="EntericMethane_Dairy_Equations.VEERG_3_3_1_1__4_AdditionalIntakeForMilkProduction_Source">_xlfn.LAMBDA("VEERG 2026: 3.3.1.1, Equation (4)")</definedName>
    <definedName name="EntericMethane_Dairy_Equations.VEERG_3_3_1_1__4_AdditionalIntakeForMilkProduction_Title">_xlfn.LAMBDA("Additional intake required for milk production")</definedName>
    <definedName name="EntericMethane_Dairy_Equations.VEERG_3_3_1_1__4_AdditionalIntakeForMilkProduction_Unit">_xlfn.LAMBDA("kg DM/head/day")</definedName>
    <definedName name="EntericMethane_Dairy_Equations.VEERG_3_3_1_1__4_AdditionalIntakeForMilkProduction_Variable">_xlfn.LAMBDA("MI_j")</definedName>
    <definedName name="EntericMethane_Dairy_Equations.VEERG_3_3_1_1__4_AdditionalIntakeForMilkProduction_Variation">_xlfn.LAMBDA("VARATION ON SOURCE: Added milk production unit variable to allow for use of either milk solids or litres of milk.")</definedName>
    <definedName name="EntericMethane_Dairy_Equations.VEERG_3_3_1_1__5_MilkProductionFromMilkSolids">_xlfn.LAMBDA(_xlpm.MS_j,_xlpm.FC_j,_xlpm.PC_j, _xlpm.MS_j / (0.01 * (_xlpm.FC_j + _xlpm.PC_j)))</definedName>
    <definedName name="EntericMethane_Dairy_Equations.VEERG_3_3_1_1__5_MilkProductionFromMilkSolids_Arguments">_xlfn.LAMBDA(
    _xlfn.MAKEARRAY(4, 4,
      _xlfn.LAMBDA(_xlpm.r,_xlpm.c,
        INDEX({"MPU","input milk production unit","","Input";"MS_j","daily production of milk solids","kg MS/head/day","Input";"FC_j","fat content in fat and protein corrected milk","per cent","Input";"PC_j","protein content in fat and protein corrected milk","per cent","Input"}, _xlpm.r, _xlpm.c)
      )
    )
  )</definedName>
    <definedName name="EntericMethane_Dairy_Equations.VEERG_3_3_1_1__5_MilkProductionFromMilkSolids_Arguments_Method2">_xlfn.LAMBDA(_xlfn.MAKEARRAY(4, 4, _xlfn.LAMBDA(_xlpm.r,_xlpm.c, INDEX({"MPU","milk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LatexEquation">_xlfn.LAMBDA("MP_j=\frac{MS_j}{0.01\times (FC_j+PC_j)}")</definedName>
    <definedName name="EntericMethane_Dairy_Equations.VEERG_3_3_1_1__5_MilkProductionFromMilkSolids_NIRReference">_xlfn.LAMBDA("")</definedName>
    <definedName name="EntericMethane_Dairy_Equations.VEERG_3_3_1_1__5_MilkProductionFromMilkSolids_Source">_xlfn.LAMBDA("VEERG 2026: 3.3.1.1, Equation (5)")</definedName>
    <definedName name="EntericMethane_Dairy_Equations.VEERG_3_3_1_1__5_MilkProductionFromMilkSolids_Title">_xlfn.LAMBDA("Milk production converted from milk solids")</definedName>
    <definedName name="EntericMethane_Dairy_Equations.VEERG_3_3_1_1__5_MilkProductionFromMilkSolids_Unit">_xlfn.LAMBDA("L/head/day")</definedName>
    <definedName name="EntericMethane_Dairy_Equations.VEERG_3_3_1_1__5_MilkProductionFromMilkSolids_Variable">_xlfn.LAMBDA("MP_j")</definedName>
    <definedName name="EntericMethane_Dairy_Equations.VEERG_3_3_1_1__5_MilkProductionFromMilkSolids_Variation">_xlfn.LAMBDA("VARATION ON SOURCE: Added milk production unit variable to allow for use of either milk solids or litres of milk. Converted input FC and PC percent to integer.")</definedName>
    <definedName name="EntericMethane_Dairy_Equations.VEERG_3_3_1_1__6_MetabolisabilityOfDiet">_xlfn.LAMBDA(_xlpm.DMD_j, 0.795 * (_xlpm.DMD_j * 100) - 0.0014)</definedName>
    <definedName name="EntericMethane_Dairy_Equations.VEERG_3_3_1_1__6_MetabolisabilityOfDiet_Arguments">_xlfn.LAMBDA(_xlfn.MAKEARRAY(1, 4, _xlfn.LAMBDA(_xlpm.r,_xlpm.c, INDEX({"DMD_j","dry matter digestibility expressed as a fraction","fraction","Input"}, _xlpm.r, _xlpm.c))))</definedName>
    <definedName name="EntericMethane_Dairy_Equations.VEERG_3_3_1_1__6_MetabolisabilityOfDiet_LatexEquation">_xlfn.LAMBDA("qm_j=0.795\times (DMD_j\times 100)-0.0014")</definedName>
    <definedName name="EntericMethane_Dairy_Equations.VEERG_3_3_1_1__6_MetabolisabilityOfDiet_LatexEquationVariation">_xlfn.LAMBDA("qm_j=0.00795\times (DMD_j\times 100)-0.0014")</definedName>
    <definedName name="EntericMethane_Dairy_Equations.VEERG_3_3_1_1__6_MetabolisabilityOfDiet_NIRReference">_xlfn.LAMBDA("")</definedName>
    <definedName name="EntericMethane_Dairy_Equations.VEERG_3_3_1_1__6_MetabolisabilityOfDiet_Source">_xlfn.LAMBDA("VEERG 2026: 3.3.1.1, Equation (6)")</definedName>
    <definedName name="EntericMethane_Dairy_Equations.VEERG_3_3_1_1__6_MetabolisabilityOfDiet_Title">_xlfn.LAMBDA("Metabolisability of diet")</definedName>
    <definedName name="EntericMethane_Dairy_Equations.VEERG_3_3_1_1__6_MetabolisabilityOfDiet_Unit">_xlfn.LAMBDA("fraction")</definedName>
    <definedName name="EntericMethane_Dairy_Equations.VEERG_3_3_1_1__6_MetabolisabilityOfDiet_Variable">_xlfn.LAMBDA("qm_j")</definedName>
    <definedName name="EntericMethane_Dairy_Equations.VEERG_3_3_1_1__6_MetabolisabilityOfDiet_Variation">_xlfn.LAMBDA("VARIATION ON SOURCE: changed 0.795 to 0.00795 which is the value used in the National Inventory Report")</definedName>
    <definedName name="EntericMethane_Dairy_Equations.VEERG_3_3_1_1__6_MetabolisabilityOfDietVariation">_xlfn.LAMBDA(_xlpm.DMD_j, 0.00795 * (_xlpm.DMD_j * 100) - 0.0014)</definedName>
    <definedName name="EntericMethane_PastureBeef_Equations.VEERG_3_2_1_1__1_TotalAnnualMethaneFromEntericFermentation">_xlfn.LAMBDA(_xlpm.D_j,_xlpm.M_jkl,_xlpm.N_jkl, (_xlpm.D_j * _xlpm.M_jkl * _xlpm.N_jkl) * 10 ^ -3)</definedName>
    <definedName name="EntericMethane_PastureBeef_Equations.VEERG_3_2_1_1__1_TotalAnnualMethaneFromEntericFermentation_Arguments">_xlfn.LAMBDA(_xlfn.MAKEARRAY(3, 4, _xlfn.LAMBDA(_xlpm.r,_xlpm.c, INDEX({"D_j","number of days the animal is on the farm in each time-period","days","Input";"M_jkl","daily production of enteric methane in each time-period, class and subclass","kg CH4/head/day","Calculated from 3.2.1.1, (2)";"N_jkl","number of beef cattle in each time-period, class and subclass","head","Input"}, _xlpm.r, _xlpm.c))))</definedName>
    <definedName name="EntericMethane_PastureBeef_Equations.VEERG_3_2_1_1__1_TotalAnnualMethaneFromEntericFermentation_LatexEquation">_xlfn.LAMBDA("E_{enteric}=\sum_{j}\sum_{k}\sum_{l}(D_j\times M_{jkl}\times N_{jkl})\times 10^{-3}")</definedName>
    <definedName name="EntericMethane_PastureBeef_Equations.VEERG_3_2_1_1__1_TotalAnnualMethaneFromEntericFermentation_NIRReference">_xlfn.LAMBDA("")</definedName>
    <definedName name="EntericMethane_PastureBeef_Equations.VEERG_3_2_1_1__1_TotalAnnualMethaneFromEntericFermentation_Source">_xlfn.LAMBDA("VEERG 2026: 3.2.1.1, Equation (1)")</definedName>
    <definedName name="EntericMethane_PastureBeef_Equations.VEERG_3_2_1_1__1_TotalAnnualMethaneFromEntericFermentation_Title">_xlfn.LAMBDA("Total annual methane production from enteric fermentation in grazing beef cattle")</definedName>
    <definedName name="EntericMethane_PastureBeef_Equations.VEERG_3_2_1_1__1_TotalAnnualMethaneFromEntericFermentation_Unit">_xlfn.LAMBDA("t CH4")</definedName>
    <definedName name="EntericMethane_PastureBeef_Equations.VEERG_3_2_1_1__1_TotalAnnualMethaneFromEntericFermentation_Variable">_xlfn.LAMBDA("E_enteric")</definedName>
    <definedName name="EntericMethane_PastureBeef_Equations.VEERG_3_2_1_1__2_DailyEntericMethaneProduction">_xlfn.LAMBDA(_xlpm.I_jkl, 20.7 * _xlpm.I_jkl * 10 ^ -3)</definedName>
    <definedName name="EntericMethane_PastureBeef_Equations.VEERG_3_2_1_1__2_DailyEntericMethaneProduction_Arguments">_xlfn.LAMBDA(_xlfn.MAKEARRAY(1, 4, _xlfn.LAMBDA(_xlpm.r,_xlpm.c, INDEX({"I_jkl","dry matter intake","kg DM/head/day","Calculated from 3.2.1.1, (3)"}, _xlpm.r, _xlpm.c))))</definedName>
    <definedName name="EntericMethane_PastureBeef_Equations.VEERG_3_2_1_1__2_DailyEntericMethaneProduction_LatexEquation">_xlfn.LAMBDA("M_{jkl}=20.7\times I_{jkl}\times 10^{-3}")</definedName>
    <definedName name="EntericMethane_PastureBeef_Equations.VEERG_3_2_1_1__2_DailyEntericMethaneProduction_NIRReference">_xlfn.LAMBDA("Charmley et al. (2015)")</definedName>
    <definedName name="EntericMethane_PastureBeef_Equations.VEERG_3_2_1_1__2_DailyEntericMethaneProduction_Source">_xlfn.LAMBDA("VEERG 2026: 3.2.1.1, Equation (2)")</definedName>
    <definedName name="EntericMethane_PastureBeef_Equations.VEERG_3_2_1_1__2_DailyEntericMethaneProduction_Title">_xlfn.LAMBDA("Daily production of enteric methane")</definedName>
    <definedName name="EntericMethane_PastureBeef_Equations.VEERG_3_2_1_1__2_DailyEntericMethaneProduction_Unit">_xlfn.LAMBDA("kg CH4/head/day")</definedName>
    <definedName name="EntericMethane_PastureBeef_Equations.VEERG_3_2_1_1__2_DailyEntericMethaneProduction_Variable">_xlfn.LAMBDA("M_jkl")</definedName>
    <definedName name="EntericMethane_PastureBeef_Equations.VEERG_3_2_1_1__3_FeedIntakeForGrazingBeef">_xlfn.LAMBDA(_xlpm.W_jkl,_xlpm.LWG_jkl,_xlpm.MA_jk45, (1.185 + 0.00454 * _xlpm.W_jkl - 0.0000026 * _xlpm.W_jkl ^ 2 + 0.315 * _xlpm.LWG_jkl) ^ 2 * _xlpm.MA_jk45)</definedName>
    <definedName name="EntericMethane_PastureBeef_Equations.VEERG_3_2_1_1__3_FeedIntakeForGrazingBeef_Arguments">_xlfn.LAMBDA(_xlfn.MAKEARRAY(3, 4, _xlfn.LAMBDA(_xlpm.r,_xlpm.c, INDEX({"W_jkl","liveweight (kg)","kg","Input";"LWG_jkl","live weight gain (kg/head/day)","kg/head/day","Input";"MA_jk45","additional intake for milk production in cows greater than 2 years","kg/head/day","Calculated from 3.2.1.1, (4)"}, _xlpm.r, _xlpm.c))))</definedName>
    <definedName name="EntericMethane_PastureBeef_Equations.VEERG_3_2_1_1__3_FeedIntakeForGrazingBeef_LatexEquation">_xlfn.LAMBDA("I_{jkl}=(1.185+0.00454\times W_{jkl}-0.0000026\times W_{jkl}^{2}+0.315\times LWG_{jkl})^2\times MA_{jk=4,5}")</definedName>
    <definedName name="EntericMethane_PastureBeef_Equations.VEERG_3_2_1_1__3_FeedIntakeForGrazingBeef_NIRReference">_xlfn.LAMBDA("Minson and McDonald (1987)")</definedName>
    <definedName name="EntericMethane_PastureBeef_Equations.VEERG_3_2_1_1__3_FeedIntakeForGrazingBeef_Source">_xlfn.LAMBDA("VEERG 2026: 3.2.1.1, Equation (3)")</definedName>
    <definedName name="EntericMethane_PastureBeef_Equations.VEERG_3_2_1_1__3_FeedIntakeForGrazingBeef_Title">_xlfn.LAMBDA("Feed intake for grazing beef cattle")</definedName>
    <definedName name="EntericMethane_PastureBeef_Equations.VEERG_3_2_1_1__3_FeedIntakeForGrazingBeef_Unit">_xlfn.LAMBDA("kg DM/head/day")</definedName>
    <definedName name="EntericMethane_PastureBeef_Equations.VEERG_3_2_1_1__3_FeedIntakeForGrazingBeef_Variable">_xlfn.LAMBDA("I_jkl")</definedName>
    <definedName name="EntericMethane_PastureBeef_Equations.VEERG_3_2_1_1__4_AdditionalIntakeForMilkProduction">_xlfn.LAMBDA(_xlpm.LC_jk45,_xlpm.FA_jk45, (_xlpm.LC_jk45 * _xlpm.FA_jk45) + (1 - _xlpm.LC_jk45))</definedName>
    <definedName name="EntericMethane_PastureBeef_Equations.VEERG_3_2_1_1__4_AdditionalIntakeForMilkProduction_Arguments">_xlfn.LAMBDA(_xlfn.MAKEARRAY(3, 4, _xlfn.LAMBDA(_xlpm.r,_xlpm.c, INDEX({"LC_jk45","proportion of cows greater than 1 year in calf in the season of calving expressed as a fraction","fraction","Input";"FA_jk45","feed adjustment value for lactating cows in the season of calving and the season immediately after calving expressed as a fraction","fraction","Constant";"b","breed of cattle","","Input"}, _xlpm.r, _xlpm.c))))</definedName>
    <definedName name="EntericMethane_PastureBeef_Equations.VEERG_3_2_1_1__4_AdditionalIntakeForMilkProduction_ArgumentsVariation">_xlfn.LAMBDA(_xlfn.MAKEARRAY(4, 4, _xlfn.LAMBDA(_xlpm.r,_xlpm.c, INDEX({"LC_jk45","proportion of cows greater than 1 year in calf in the season of calving expressed as a fraction","fraction","Input";"FA_jk45calv","feed adjustment value for lactating cows in the season of calving expressed as a fraction","fraction","Constant";"FA_jk45after","feed adjustment value for lactating cows in the season immediately after calving expressed as a fraction","fraction","Constant";"b","breed of cattle","","Input"}, _xlpm.r, _xlpm.c))))</definedName>
    <definedName name="EntericMethane_PastureBeef_Equations.VEERG_3_2_1_1__4_AdditionalIntakeForMilkProduction_LatexEquation">_xlfn.LAMBDA("MA_{jk=4,5}=(LC_{jk=4,5}\times FA_{jk=4,5})+(1-LC_{jk=4,5})")</definedName>
    <definedName name="EntericMethane_PastureBeef_Equations.VEERG_3_2_1_1__4_AdditionalIntakeForMilkProduction_LatexEquationVariation">_xlfn.LAMBDA("MA_{jk=4,5}=((LC_{jk=4,5,calv}\times FA_{jk=4,5,calv})+(LC_{jk=4,5,prev}\times FA_{jk=4,5,after}))+(1-(LC_{jk=4,5,calv}+LC_{jk=4,5,prev}))")</definedName>
    <definedName name="EntericMethane_PastureBeef_Equations.VEERG_3_2_1_1__4_AdditionalIntakeForMilkProduction_NIRReference">_xlfn.LAMBDA("")</definedName>
    <definedName name="EntericMethane_PastureBeef_Equations.VEERG_3_2_1_1__4_AdditionalIntakeForMilkProduction_Source">_xlfn.LAMBDA("VEERG 2026: 3.2.1.1, Equation (4)")</definedName>
    <definedName name="EntericMethane_PastureBeef_Equations.VEERG_3_2_1_1__4_AdditionalIntakeForMilkProduction_Title">_xlfn.LAMBDA("Additional intake for milk production in the season of calving and the season after calving")</definedName>
    <definedName name="EntericMethane_PastureBeef_Equations.VEERG_3_2_1_1__4_AdditionalIntakeForMilkProduction_Unit">_xlfn.LAMBDA("fraction")</definedName>
    <definedName name="EntericMethane_PastureBeef_Equations.VEERG_3_2_1_1__4_AdditionalIntakeForMilkProduction_Variable">_xlfn.LAMBDA("MA_jk45")</definedName>
    <definedName name="EntericMethane_PastureBeef_Equations.VEERG_3_2_1_1__4_AdditionalIntakeForMilkProduction_Variation">_xlfn.LAMBDA("VARIATION ON SOURCE: Expanded equation to account for season after calving, rather than doing the same equation twice for both seasons")</definedName>
    <definedName name="EntericMethane_PastureBeef_Equations.VEERG_3_2_1_1__4_AdditionalIntakeForMilkProductionVariation">_xlfn.LAMBDA(_xlpm.LC_jk45calv,_xlpm.LC_jk45prev,_xlpm.FA_jk45calv,_xlpm.FA_jk45after,
    ((_xlpm.LC_jk45calv * _xlpm.FA_jk45calv) + (_xlpm.LC_jk45prev * _xlpm.FA_jk45after)) + (1 - (_xlpm.LC_jk45calv + _xlpm.LC_jk45prev))
  )</definedName>
    <definedName name="EntericMethane_Swine_Equations.VEERG_3_5_1_1__1_TotalAnnualMethaneFromEntericFermentation">_xlfn.LAMBDA(_xlpm.N_j,_xlpm.M_j,_xlpm.D_j, (_xlpm.N_j * _xlpm.M_j * _xlpm.D_j) * 10 ^ -3)</definedName>
    <definedName name="EntericMethane_Swine_Equations.VEERG_3_5_1_1__1_TotalAnnualMethaneFromEntericFermentation_Arguments">_xlfn.LAMBDA(_xlfn.MAKEARRAY(3, 4, _xlfn.LAMBDA(_xlpm.r,_xlpm.c, INDEX({"N_j","numbers of swine of each class","head","Input";"M_j","methane production","kg CH4/head/day","Calculated from 3.5.1.1, (2)";"D_j","the average number of days on farm for each swine class","days","Input"}, _xlpm.r, _xlpm.c))))</definedName>
    <definedName name="EntericMethane_Swine_Equations.VEERG_3_5_1_1__1_TotalAnnualMethaneFromEntericFermentation_LatexEquation">_xlfn.LAMBDA("E_{enteric}=\sum\nolimits_j(N_j\times M_j\times D_j)\times 10^{-3}")</definedName>
    <definedName name="EntericMethane_Swine_Equations.VEERG_3_5_1_1__1_TotalAnnualMethaneFromEntericFermentation_NIRReference">_xlfn.LAMBDA("")</definedName>
    <definedName name="EntericMethane_Swine_Equations.VEERG_3_5_1_1__1_TotalAnnualMethaneFromEntericFermentation_Source">_xlfn.LAMBDA("VEERG 2026: 3.5.1.1, Equation (1)")</definedName>
    <definedName name="EntericMethane_Swine_Equations.VEERG_3_5_1_1__1_TotalAnnualMethaneFromEntericFermentation_Title">_xlfn.LAMBDA("Total annual methane production from enteric fermentation in swine")</definedName>
    <definedName name="EntericMethane_Swine_Equations.VEERG_3_5_1_1__1_TotalAnnualMethaneFromEntericFermentation_Unit">_xlfn.LAMBDA("t CH4")</definedName>
    <definedName name="EntericMethane_Swine_Equations.VEERG_3_5_1_1__1_TotalAnnualMethaneFromEntericFermentation_Variable">_xlfn.LAMBDA("E_enteric")</definedName>
    <definedName name="EntericMethane_Swine_Equations.VEERG_3_5_1_1__2_DailyEntericMethaneProduction">_xlfn.LAMBDA(_xlpm.I_j,_xlpm.F, (_xlpm.I_j * 18.6 * 0.007) / _xlpm.F)</definedName>
    <definedName name="EntericMethane_Swine_Equations.VEERG_3_5_1_1__2_DailyEntericMethaneProduction_Arguments">_xlfn.LAMBDA(_xlfn.MAKEARRAY(4, 4, _xlfn.LAMBDA(_xlpm.r,_xlpm.c, INDEX({"I_j","daily feed ingested by each swine class","kg/head/day","Input";"18.6","gross energy (GE) content of feed","MJ GE/kg feed","Constant";"0.007","fraction of GE intake converted to methane by swine","fraction","Constant";"F","megajoules per kilogram of methane","MJ/kg CH4","Constant"}, _xlpm.r, _xlpm.c))))</definedName>
    <definedName name="EntericMethane_Swine_Equations.VEERG_3_5_1_1__2_DailyEntericMethaneProduction_LatexEquation">_xlfn.LAMBDA("M_j=\frac{I_j\times 18.6\times 0.007}{F}")</definedName>
    <definedName name="EntericMethane_Swine_Equations.VEERG_3_5_1_1__2_DailyEntericMethaneProduction_NIRReference">_xlfn.LAMBDA("")</definedName>
    <definedName name="EntericMethane_Swine_Equations.VEERG_3_5_1_1__2_DailyEntericMethaneProduction_Source">_xlfn.LAMBDA("VEERG 2026: 3.5.1.1, Equation (2)")</definedName>
    <definedName name="EntericMethane_Swine_Equations.VEERG_3_5_1_1__2_DailyEntericMethaneProduction_Title">_xlfn.LAMBDA("Total daily production of enteric methane of swine")</definedName>
    <definedName name="EntericMethane_Swine_Equations.VEERG_3_5_1_1__2_DailyEntericMethaneProduction_Unit">_xlfn.LAMBDA("kg CH4/head/day")</definedName>
    <definedName name="EntericMethane_Swine_Equations.VEERG_3_5_1_1__2_DailyEntericMethaneProduction_Variable">_xlfn.LAMBDA("M_j")</definedName>
    <definedName name="Enterprise_PastureBeef_InputFunctions.multiplyCorrespondingCells">_xlfn.LAMBDA(_xlpm.range1,_xlpm.range2,_xlpm.range3, _xlfn.LET(_xlpm.numRows, ROWS(_xlpm.range1), _xlpm.numCols, COLUMNS(_xlpm.range1), _xlpm.result, _xlfn.MAKEARRAY(_xlpm.numRows, _xlpm.numCols, _xlfn.LAMBDA(_xlpm.r,_xlpm.c, IF(ISNUMBER(INDEX(_xlpm.range1, _xlpm.r, _xlpm.c)), INDEX(_xlpm.range1, _xlpm.r, _xlpm.c), 0) * IF(ISNUMBER(INDEX(_xlpm.range2, _xlpm.r, _xlpm.c)), INDEX(_xlpm.range2, _xlpm.r, _xlpm.c), 0) * IF(ISNUMBER(INDEX(_xlpm.range3, _xlpm.r, _xlpm.c)), INDEX(_xlpm.range3, _xlpm.r, _xlpm.c), 0))), _xlpm.result))</definedName>
    <definedName name="Fertiliser_EFLeach_Data">'Constants - Fertiliser'!$E$83</definedName>
    <definedName name="Fertiliser_EFUreaCO2_Data">'Constants - Fertiliser'!$E$60</definedName>
    <definedName name="Fertiliser_Equations_AtmosphericDeposition.VEERG_5_4_1_1__1_InorganicFertiliserAtmosphericDepositionN2OEmissions">_xlfn.LAMBDA(_xlpm.M_volinorganicjf,_xlpm.EF_N2Oj,_xlpm.C_N2O, (_xlpm.M_volinorganicjf * _xlpm.EF_N2Oj) * _xlpm.C_N2O * 10 ^ -3)</definedName>
    <definedName name="Fertiliser_Equations_AtmosphericDeposition.VEERG_5_4_1_1__1_InorganicFertiliserAtmosphericDepositionN2OEmissions_Arguments">_xlfn.LAMBDA(_xlfn.MAKEARRAY(6, 4, _xlfn.LAMBDA(_xlpm.r,_xlpm.c, INDEX({"M_volinorganicjf","mass of nitrogen volatilised from inorganic fertiliser applied to production system","kg N","Calculated from 5.4.1.1 (2)";"EF_N2Oj","emission factor for atmospheric deposition","kg N2O-N/kg N","Constant";"C_N2O","factor to convert elemental mass of nitrous oxide to molecular mass","","Constant";"j","Production system","","Input";"ir","irrigation method","","Input";"r","rainfall region","","Input"}, _xlpm.r, _xlpm.c))))</definedName>
    <definedName name="Fertiliser_Equations_AtmosphericDeposition.VEERG_5_4_1_1__1_InorganicFertiliserAtmosphericDepositionN2OEmissions_LatexEquation">_xlfn.LAMBDA("E_{ad,inorganic}=\sum\nolimits_{j}\sum\nolimits_{f}((M_{vol,inorganic,jf}\times EF_{N2O,j})\times C_{N2O}\times 10^{-3})")</definedName>
    <definedName name="Fertiliser_Equations_AtmosphericDeposition.VEERG_5_4_1_1__1_InorganicFertiliserAtmosphericDepositionN2OEmissions_NIRReference">_xlfn.LAMBDA("")</definedName>
    <definedName name="Fertiliser_Equations_AtmosphericDeposition.VEERG_5_4_1_1__1_InorganicFertiliserAtmosphericDepositionN2OEmissions_Source">_xlfn.LAMBDA("VEERG 2026: 5.4.1.1, Equation (1)")</definedName>
    <definedName name="Fertiliser_Equations_AtmosphericDeposition.VEERG_5_4_1_1__1_InorganicFertiliserAtmosphericDepositionN2OEmissions_Title">_xlfn.LAMBDA("Nitrous oxide emissions from atmospheric deposition from all inorganic fertiliser types f and all production systems j")</definedName>
    <definedName name="Fertiliser_Equations_AtmosphericDeposition.VEERG_5_4_1_1__1_InorganicFertiliserAtmosphericDepositionN2OEmissions_Unit">_xlfn.LAMBDA("t N2O")</definedName>
    <definedName name="Fertiliser_Equations_AtmosphericDeposition.VEERG_5_4_1_1__1_InorganicFertiliserAtmosphericDepositionN2OEmissions_Variable">_xlfn.LAMBDA("E_adinorganic")</definedName>
    <definedName name="Fertiliser_Equations_AtmosphericDeposition.VEERG_5_4_1_1__2_MassOfNitrogenVolatilisedFromInorganicFertiliser">_xlfn.LAMBDA(_xlpm.MN_jf,_xlpm.FracGASF_f, _xlpm.MN_jf * _xlpm.FracGASF_f)</definedName>
    <definedName name="Fertiliser_Equations_AtmosphericDeposition.VEERG_5_4_1_1__2_MassOfNitrogenVolatilisedFromInorganicFertiliser_Arguments">_xlfn.LAMBDA(_xlfn.MAKEARRAY(2, 4, _xlfn.LAMBDA(_xlpm.r,_xlpm.c, INDEX({"MN_jf","mass of nitrogen in inorganic fertiliser applied","kg N","Calculated from 5.1.1.1 (2)";"FracGASF_f","fraction of inorganic fertiliser that volatilises","(kg NH3-N + NOx-N)/kg N","Constant"}, _xlpm.r, _xlpm.c))))</definedName>
    <definedName name="Fertiliser_Equations_AtmosphericDeposition.VEERG_5_4_1_1__2_MassOfNitrogenVolatilisedFromInorganicFertiliser_LatexEquation">_xlfn.LAMBDA("M_{vol,inorganic,jf}={MN}_{jf}\times FracGASF_{f}")</definedName>
    <definedName name="Fertiliser_Equations_AtmosphericDeposition.VEERG_5_4_1_1__2_MassOfNitrogenVolatilisedFromInorganicFertiliser_NIRReference">_xlfn.LAMBDA("")</definedName>
    <definedName name="Fertiliser_Equations_AtmosphericDeposition.VEERG_5_4_1_1__2_MassOfNitrogenVolatilisedFromInorganicFertiliser_Source">_xlfn.LAMBDA("VEERG 2026: 5.4.1.1, Equation (2)")</definedName>
    <definedName name="Fertiliser_Equations_AtmosphericDeposition.VEERG_5_4_1_1__2_MassOfNitrogenVolatilisedFromInorganicFertiliser_Title">_xlfn.LAMBDA("Mass of nitrogen volatilised from inorganic fertiliser applied to production system")</definedName>
    <definedName name="Fertiliser_Equations_AtmosphericDeposition.VEERG_5_4_1_1__2_MassOfNitrogenVolatilisedFromInorganicFertiliser_Unit">_xlfn.LAMBDA("kg N")</definedName>
    <definedName name="Fertiliser_Equations_AtmosphericDeposition.VEERG_5_4_1_1__2_MassOfNitrogenVolatilisedFromInorganicFertiliser_Variable">_xlfn.LAMBDA("M_volinorganicjf")</definedName>
    <definedName name="Fertiliser_Equations_AtmosphericDeposition.VEERG_5_4_1_3__1_OrganicFertiliserAtmosphericDepositionN2OEmissions">_xlfn.LAMBDA(_xlpm.M_volorganicjf,_xlpm.EF_N2Oj,_xlpm.C_N2O, (_xlpm.M_volorganicjf * _xlpm.EF_N2Oj) * _xlpm.C_N2O * 10 ^ -3)</definedName>
    <definedName name="Fertiliser_Equations_AtmosphericDeposition.VEERG_5_4_1_3__1_OrganicFertiliserAtmosphericDepositionN2OEmissions_Arguments">_xlfn.LAMBDA(_xlfn.MAKEARRAY(6, 4, _xlfn.LAMBDA(_xlpm.r,_xlpm.c, INDEX({"M_volorganicjf","mass of nitrogen volatilised from organic fertiliser applied to production system","kg N","Calculated from 5.4.1.3 (2)";"EF_N2Oj","emission factor for atmospheric deposition in production system j","kg N2O-N/kg N","Constant";"C_N2O","factor to convert elemental mass of nitrous oxide to molecular mass","","Constant";"j","Production system","","Input";"ir","irrigation method","","Input";"r","rainfall region","","Input"}, _xlpm.r, _xlpm.c))))</definedName>
    <definedName name="Fertiliser_Equations_AtmosphericDeposition.VEERG_5_4_1_3__1_OrganicFertiliserAtmosphericDepositionN2OEmissions_LatexEquation">_xlfn.LAMBDA("E_{ad,organic}=\sum\nolimits_{j}\sum\nolimits_{f}((M_{vol,organic,jf}\times EF_{N2O,j})\times C_{N2O}\times 10^{-3})")</definedName>
    <definedName name="Fertiliser_Equations_AtmosphericDeposition.VEERG_5_4_1_3__1_OrganicFertiliserAtmosphericDepositionN2OEmissions_NIRReference">_xlfn.LAMBDA("")</definedName>
    <definedName name="Fertiliser_Equations_AtmosphericDeposition.VEERG_5_4_1_3__1_OrganicFertiliserAtmosphericDepositionN2OEmissions_Source">_xlfn.LAMBDA("VEERG 2026: 5.4.1.3, Equation (1)")</definedName>
    <definedName name="Fertiliser_Equations_AtmosphericDeposition.VEERG_5_4_1_3__1_OrganicFertiliserAtmosphericDepositionN2OEmissions_Title">_xlfn.LAMBDA("Nitrous oxide emissions from atmospheric deposition of all organic fertiliser types f and all production systems j")</definedName>
    <definedName name="Fertiliser_Equations_AtmosphericDeposition.VEERG_5_4_1_3__1_OrganicFertiliserAtmosphericDepositionN2OEmissions_Unit">_xlfn.LAMBDA("t N2O")</definedName>
    <definedName name="Fertiliser_Equations_AtmosphericDeposition.VEERG_5_4_1_3__1_OrganicFertiliserAtmosphericDepositionN2OEmissions_Variable">_xlfn.LAMBDA("E_adorganic")</definedName>
    <definedName name="Fertiliser_Equations_AtmosphericDeposition.VEERG_5_4_1_3__2_MassOfNitrogenVolatilisedFromOrganicFertiliser">_xlfn.LAMBDA(_xlpm.MNSoil_jf,_xlpm.FracGASM_soil, _xlpm.MNSoil_jf * _xlpm.FracGASM_soil)</definedName>
    <definedName name="Fertiliser_Equations_AtmosphericDeposition.VEERG_5_4_1_3__2_MassOfNitrogenVolatilisedFromOrganicFertiliser_Arguments">_xlfn.LAMBDA(_xlfn.MAKEARRAY(2, 4, _xlfn.LAMBDA(_xlpm.r,_xlpm.c, INDEX({"MNSoil_jf","mass of nitrogen in organic fertiliser type f applied to production system j","kg N","Calculated from 5.2.1.1 (2)";"FracGASM_soil","fraction of organic fertiliser N that volatilises","(kg NH3-N + NOx-N)/kg N","Constant"}, _xlpm.r, _xlpm.c))))</definedName>
    <definedName name="Fertiliser_Equations_AtmosphericDeposition.VEERG_5_4_1_3__2_MassOfNitrogenVolatilisedFromOrganicFertiliser_LatexEquation">_xlfn.LAMBDA("M_{vol,organic,jf}=MNSoil_{jf}\times FracGASM_{soil}")</definedName>
    <definedName name="Fertiliser_Equations_AtmosphericDeposition.VEERG_5_4_1_3__2_MassOfNitrogenVolatilisedFromOrganicFertiliser_NIRReference">_xlfn.LAMBDA("")</definedName>
    <definedName name="Fertiliser_Equations_AtmosphericDeposition.VEERG_5_4_1_3__2_MassOfNitrogenVolatilisedFromOrganicFertiliser_Source">_xlfn.LAMBDA("VEERG 2026: 5.4.1.3, Equation (2)")</definedName>
    <definedName name="Fertiliser_Equations_AtmosphericDeposition.VEERG_5_4_1_3__2_MassOfNitrogenVolatilisedFromOrganicFertiliser_Title">_xlfn.LAMBDA("Mass of nitrogen volatilised from organic fertiliser applied to production system")</definedName>
    <definedName name="Fertiliser_Equations_AtmosphericDeposition.VEERG_5_4_1_3__2_MassOfNitrogenVolatilisedFromOrganicFertiliser_Unit">_xlfn.LAMBDA("kg N")</definedName>
    <definedName name="Fertiliser_Equations_AtmosphericDeposition.VEERG_5_4_1_3__2_MassOfNitrogenVolatilisedFromOrganicFertiliser_Variable">_xlfn.LAMBDA("M_volorganicjf")</definedName>
    <definedName name="Fertiliser_Equations_InorganicCO2.VEERG_5_1_1_3__1_InorganicFertiliserApplicationCO2Emissions">_xlfn.LAMBDA(_xlpm.MU_jf,_xlpm.EF_ureaCO2,_xlpm.C_CO2, (_xlpm.MU_jf * _xlpm.EF_ureaCO2 * _xlpm.C_CO2) * 10 ^ -3)</definedName>
    <definedName name="Fertiliser_Equations_InorganicCO2.VEERG_5_1_1_3__1_InorganicFertiliserApplicationCO2Emissions_Arguments">_xlfn.LAMBDA(_xlfn.MAKEARRAY(5, 4, _xlfn.LAMBDA(_xlpm.r,_xlpm.c, INDEX({"MU_jf","mass of urea of inorganic fertiliser type f applied to production system j","kg urea","Calculated";"EF_ureaCO2","emission factor for carbon emissions from urea-based fertilisers","kg C/kg urea","Constant";"C_CO2","factor to convert elemental mass of carbon to molecular mass of carbon dioxide","","Constant";"j","Production system","","Input";"f","Inorganic fertiliser type","","Lookup"}, _xlpm.r, _xlpm.c))))</definedName>
    <definedName name="Fertiliser_Equations_InorganicCO2.VEERG_5_1_1_3__1_InorganicFertiliserApplicationCO2Emissions_LatexEquation">_xlfn.LAMBDA("E_{CO2}=\sum_{j}\sum_{f}((MU_{jf}\times EF_{urea,CO2}\times C_{CO2})\times 10^{-3})")</definedName>
    <definedName name="Fertiliser_Equations_InorganicCO2.VEERG_5_1_1_3__1_InorganicFertiliserApplicationCO2Emissions_NIRReference">_xlfn.LAMBDA("")</definedName>
    <definedName name="Fertiliser_Equations_InorganicCO2.VEERG_5_1_1_3__1_InorganicFertiliserApplicationCO2Emissions_Source">_xlfn.LAMBDA("VEERG 2026: 5.1.1.3, Equation (1)")</definedName>
    <definedName name="Fertiliser_Equations_InorganicCO2.VEERG_5_1_1_3__1_InorganicFertiliserApplicationCO2Emissions_Title">_xlfn.LAMBDA("Carbon dioxide emissions resulting from the use of all inorganic, urea-based fertilisers")</definedName>
    <definedName name="Fertiliser_Equations_InorganicCO2.VEERG_5_1_1_3__1_InorganicFertiliserApplicationCO2Emissions_Unit">_xlfn.LAMBDA("t CO2")</definedName>
    <definedName name="Fertiliser_Equations_InorganicCO2.VEERG_5_1_1_3__1_InorganicFertiliserApplicationCO2Emissions_Variable">_xlfn.LAMBDA("E_CO2")</definedName>
    <definedName name="Fertiliser_Equations_InorganicCO2.VEERG_5_1_1_3__2_MassOfUreaInInorganicFertiliser">_xlfn.LAMBDA(_xlpm.TM_jf,_xlpm.FU_f, _xlpm.TM_jf * _xlpm.FU_f)</definedName>
    <definedName name="Fertiliser_Equations_InorganicCO2.VEERG_5_1_1_3__2_MassOfUreaInInorganicFertiliser_Arguments">_xlfn.LAMBDA(_xlfn.MAKEARRAY(2, 4, _xlfn.LAMBDA(_xlpm.r,_xlpm.c, INDEX({"TM_jf","total mass of inorganic fertiliser type f applied to production system j","kg","Input";"FU_f","fraction of urea in fertiliser type f","kg urea/kg","Lookup"}, _xlpm.r, _xlpm.c))))</definedName>
    <definedName name="Fertiliser_Equations_InorganicCO2.VEERG_5_1_1_3__2_MassOfUreaInInorganicFertiliser_LatexEquation">_xlfn.LAMBDA("{MU}_{jf}=TM_{jf}\times FU_f")</definedName>
    <definedName name="Fertiliser_Equations_InorganicCO2.VEERG_5_1_1_3__2_MassOfUreaInInorganicFertiliser_NIRReference">_xlfn.LAMBDA("")</definedName>
    <definedName name="Fertiliser_Equations_InorganicCO2.VEERG_5_1_1_3__2_MassOfUreaInInorganicFertiliser_Source">_xlfn.LAMBDA("VEERG 2026: 5.1.1.3, Equation (2)")</definedName>
    <definedName name="Fertiliser_Equations_InorganicCO2.VEERG_5_1_1_3__2_MassOfUreaInInorganicFertiliser_Title">_xlfn.LAMBDA("Mass of urea applied to production system")</definedName>
    <definedName name="Fertiliser_Equations_InorganicCO2.VEERG_5_1_1_3__2_MassOfUreaInInorganicFertiliser_Unit">_xlfn.LAMBDA("kg urea")</definedName>
    <definedName name="Fertiliser_Equations_InorganicCO2.VEERG_5_1_1_3__2_MassOfUreaInInorganicFertiliser_Variable">_xlfn.LAMBDA("MU_jf")</definedName>
    <definedName name="Fertiliser_Equations_InorganicN2O.VEERG_5_1_1_1__1_InorganicFertiliserApplicationN2OEmissions">_xlfn.LAMBDA(_xlpm.MN_jf,_xlpm.EF_jN2O,_xlpm.C_N2O, (_xlpm.MN_jf * _xlpm.EF_jN2O * _xlpm.C_N2O) * 10 ^ -3)</definedName>
    <definedName name="Fertiliser_Equations_InorganicN2O.VEERG_5_1_1_1__1_InorganicFertiliserApplicationN2OEmissions_Arguments">_xlfn.LAMBDA(_xlfn.MAKEARRAY(7, 4, _xlfn.LAMBDA(_xlpm.r,_xlpm.c, INDEX({"MN_jf","mass of nitrogen in inorganic fertiliser type f applied to production system j","kg N","Calculated from 5.1.1.1 (2)";"EF_jN2O","emission factor for nitrous oxide for inorganic fertilisers","kg N2O-N/kg N applied","Constant";"C_N2O","factor to convert elemental mass of nitrous oxide to molecular mass","","Constant";"j","Production system","","Input";"f","Inorganic fertiliser type","","Constant";"ir","irrigation method","","Input";"z","rainfall zone","","Input"}, _xlpm.r, _xlpm.c))))</definedName>
    <definedName name="Fertiliser_Equations_InorganicN2O.VEERG_5_1_1_1__1_InorganicFertiliserApplicationN2OEmissions_Arguments_Method2">_xlfn.LAMBDA(_xlfn.MAKEARRAY(8, 4, _xlfn.LAMBDA(_xlpm.r,_xlpm.c, INDEX({"MN_jf","mass of nitrogen in inorganic fertiliser type f applied to production system j","kg N","Calculated from 5.1.1.1 (2)";"EF_jN2O","emission factor for nitrous oxide for inorganic fertilisers","kg N2O-N/kg N applied","Calculated from 5.1.1.2 (1)(2)(3)";"C_N2O","factor to convert elemental mass of nitrous oxide to molecular mass","","Constant";"j","Production system","","Input";"c","Crop type","","Input";"f","Inorganic fertiliser type","","Constant";"ir","irrigation method","","Input";"z","rainfall zone","","Input"}, _xlpm.r, _xlpm.c))))</definedName>
    <definedName name="Fertiliser_Equations_InorganicN2O.VEERG_5_1_1_1__1_InorganicFertiliserApplicationN2OEmissions_LatexEquation">_xlfn.LAMBDA("E_{N2O}=\sum_{j}\sum_{f}((MN_{jf}\times EF_{j,N2O}\times C_{N2O})\times 10^{-3})")</definedName>
    <definedName name="Fertiliser_Equations_InorganicN2O.VEERG_5_1_1_1__1_InorganicFertiliserApplicationN2OEmissions_NIRReference">_xlfn.LAMBDA("")</definedName>
    <definedName name="Fertiliser_Equations_InorganicN2O.VEERG_5_1_1_1__1_InorganicFertiliserApplicationN2OEmissions_Source">_xlfn.LAMBDA("VEERG 2026: 5.1.1.1, Equation (1)")</definedName>
    <definedName name="Fertiliser_Equations_InorganicN2O.VEERG_5_1_1_1__1_InorganicFertiliserApplicationN2OEmissions_Title">_xlfn.LAMBDA("Nitrous oxide emissions from the application of all inorganic fertiliser types f to all production systems j")</definedName>
    <definedName name="Fertiliser_Equations_InorganicN2O.VEERG_5_1_1_1__1_InorganicFertiliserApplicationN2OEmissions_Unit">_xlfn.LAMBDA("t N2O")</definedName>
    <definedName name="Fertiliser_Equations_InorganicN2O.VEERG_5_1_1_1__1_InorganicFertiliserApplicationN2OEmissions_Variable">_xlfn.LAMBDA("E_N2O")</definedName>
    <definedName name="Fertiliser_Equations_InorganicN2O.VEERG_5_1_1_1__2_MassOfNitrogenInInorganicFertiliser">_xlfn.LAMBDA(_xlpm.TM_jf,_xlpm.FN_inorganicf, _xlpm.TM_jf * _xlpm.FN_inorganicf)</definedName>
    <definedName name="Fertiliser_Equations_InorganicN2O.VEERG_5_1_1_1__2_MassOfNitrogenInInorganicFertiliser_Arguments">_xlfn.LAMBDA(_xlfn.MAKEARRAY(2, 4, _xlfn.LAMBDA(_xlpm.r,_xlpm.c, INDEX({"TM_jf","total mass of inorganic fertiliser type f applied to production system j","kg","Input";"FN_inorganicf","fraction of nitrogen in inorganic fertiliser type f ","kg N/kg","Constant"}, _xlpm.r, _xlpm.c))))</definedName>
    <definedName name="Fertiliser_Equations_InorganicN2O.VEERG_5_1_1_1__2_MassOfNitrogenInInorganicFertiliser_LatexEquation">_xlfn.LAMBDA("{MN}_{jf}=TM_{jf}\times FN_{inorganic,f}")</definedName>
    <definedName name="Fertiliser_Equations_InorganicN2O.VEERG_5_1_1_1__2_MassOfNitrogenInInorganicFertiliser_NIRReference">_xlfn.LAMBDA("")</definedName>
    <definedName name="Fertiliser_Equations_InorganicN2O.VEERG_5_1_1_1__2_MassOfNitrogenInInorganicFertiliser_Source">_xlfn.LAMBDA("VEERG 2026: 5.1.1.1, Equation (2)")</definedName>
    <definedName name="Fertiliser_Equations_InorganicN2O.VEERG_5_1_1_1__2_MassOfNitrogenInInorganicFertiliser_Title">_xlfn.LAMBDA("Mass of nitrogen in inorganic fertiliser applied to production system")</definedName>
    <definedName name="Fertiliser_Equations_InorganicN2O.VEERG_5_1_1_1__2_MassOfNitrogenInInorganicFertiliser_Unit">_xlfn.LAMBDA("kg N")</definedName>
    <definedName name="Fertiliser_Equations_InorganicN2O.VEERG_5_1_1_1__2_MassOfNitrogenInInorganicFertiliser_Variable">_xlfn.LAMBDA("MN_jf")</definedName>
    <definedName name="Fertiliser_Equations_InorganicN2O.VEERG_5_1_1_2__1_EmissionFactorIrrigatedMaize">_xlfn.LAMBDA(_xlpm.N_fjIrrigatedMaize, (-0.1474 + (0.0061 * _xlpm.N_fjIrrigatedMaize)) * 10 ^ -2)</definedName>
    <definedName name="Fertiliser_Equations_InorganicN2O.VEERG_5_1_1_2__1_EmissionFactorIrrigatedMaize_Arguments">_xlfn.LAMBDA(_xlfn.MAKEARRAY(2, 4, _xlfn.LAMBDA(_xlpm.r,_xlpm.c, INDEX({"N_fjIrrigatedMaize","application rate of inorganic fertiliser type f in the irrigated maize crop","kg N/ha","Input";"f","Inorganic fertiliser type","","Constant"}, _xlpm.r, _xlpm.c))))</definedName>
    <definedName name="Fertiliser_Equations_InorganicN2O.VEERG_5_1_1_2__1_EmissionFactorIrrigatedMaize_LatexEquation">_xlfn.LAMBDA("EF_{fj=irrigatedmaize,N2O}=(-0.1474+(0.0061\times N_{fj=irrigatedmaize}))\times 10^{-2}")</definedName>
    <definedName name="Fertiliser_Equations_InorganicN2O.VEERG_5_1_1_2__1_EmissionFactorIrrigatedMaize_NIRReference">_xlfn.LAMBDA("")</definedName>
    <definedName name="Fertiliser_Equations_InorganicN2O.VEERG_5_1_1_2__1_EmissionFactorIrrigatedMaize_Source">_xlfn.LAMBDA("VEERG 2026: 5.1.1.2, Equation (1)")</definedName>
    <definedName name="Fertiliser_Equations_InorganicN2O.VEERG_5_1_1_2__1_EmissionFactorIrrigatedMaize_Title">_xlfn.LAMBDA("Emission factor for nitrous oxide for irrigated maize")</definedName>
    <definedName name="Fertiliser_Equations_InorganicN2O.VEERG_5_1_1_2__1_EmissionFactorIrrigatedMaize_Unit">_xlfn.LAMBDA("kg N2O-N/kg N applied")</definedName>
    <definedName name="Fertiliser_Equations_InorganicN2O.VEERG_5_1_1_2__1_EmissionFactorIrrigatedMaize_Variable">_xlfn.LAMBDA("EF_fjIrrigatedMaizeN2O")</definedName>
    <definedName name="Fertiliser_Equations_InorganicN2O.VEERG_5_1_1_2__2_EmissionFactorNonIrrigatedGrainsHighRainfall">_xlfn.LAMBDA(_xlpm.N_fjNonIrrigatedGrains, (0.0781 + (0.0075 * _xlpm.N_fjNonIrrigatedGrains)) * 10 ^ -2)</definedName>
    <definedName name="Fertiliser_Equations_InorganicN2O.VEERG_5_1_1_2__2_EmissionFactorNonIrrigatedGrainsHighRainfall_Arguments">_xlfn.LAMBDA(_xlfn.MAKEARRAY(2, 4, _xlfn.LAMBDA(_xlpm.r,_xlpm.c, INDEX({"N_fjNonIrrigatedGrains","application rate of inorganic fertiliser type f in the grains crop","kg N/ha","Input";"f","Inorganic fertiliser type","","Constant"}, _xlpm.r, _xlpm.c))))</definedName>
    <definedName name="Fertiliser_Equations_InorganicN2O.VEERG_5_1_1_2__2_EmissionFactorNonIrrigatedGrainsHighRainfall_LatexEquation">_xlfn.LAMBDA("EF_{fj=nonirrigatedgrains,N2O}=(0.0781+(0.0075\times N_{fj=nonirrigatedgrains}))\times 10^{-2}")</definedName>
    <definedName name="Fertiliser_Equations_InorganicN2O.VEERG_5_1_1_2__2_EmissionFactorNonIrrigatedGrainsHighRainfall_NIRReference">_xlfn.LAMBDA("")</definedName>
    <definedName name="Fertiliser_Equations_InorganicN2O.VEERG_5_1_1_2__2_EmissionFactorNonIrrigatedGrainsHighRainfall_Source">_xlfn.LAMBDA("VEERG 2026: 5.1.1.2, Equation (2)")</definedName>
    <definedName name="Fertiliser_Equations_InorganicN2O.VEERG_5_1_1_2__2_EmissionFactorNonIrrigatedGrainsHighRainfall_Title">_xlfn.LAMBDA("Emission factor for nitrous oxide for non-irrigated grains in high rainfall zone")</definedName>
    <definedName name="Fertiliser_Equations_InorganicN2O.VEERG_5_1_1_2__2_EmissionFactorNonIrrigatedGrainsHighRainfall_Unit">_xlfn.LAMBDA("kg N2O-N/kg N applied")</definedName>
    <definedName name="Fertiliser_Equations_InorganicN2O.VEERG_5_1_1_2__2_EmissionFactorNonIrrigatedGrainsHighRainfall_Variable">_xlfn.LAMBDA("EF_fjNonIrrigatedGrainsN2O")</definedName>
    <definedName name="Fertiliser_Equations_InorganicN2O.VEERG_5_1_1_2__3_EmissionFactorCotton">_xlfn.LAMBDA(_xlpm.N_fjCotton, (0.01 * (0.29 + ((0.007 * (EXP(0.037 * _xlpm.N_fjCotton) - 1)) / _xlpm.N_fjCotton))) * 10 ^ -2)</definedName>
    <definedName name="Fertiliser_Equations_InorganicN2O.VEERG_5_1_1_2__3_EmissionFactorCotton_Arguments">_xlfn.LAMBDA(_xlfn.MAKEARRAY(2, 4, _xlfn.LAMBDA(_xlpm.r,_xlpm.c, INDEX({"N_fjCotton","application rate of inorganic fertiliser type f in the cotton crop","kg N/ha","Input";"f","Inorganic fertiliser type","","Constant"}, _xlpm.r, _xlpm.c))))</definedName>
    <definedName name="Fertiliser_Equations_InorganicN2O.VEERG_5_1_1_2__3_EmissionFactorCotton_LatexEquation">_xlfn.LAMBDA("EF_{fj=cotton,N2O}=(0.01 \times (0.29 + \frac{0.007(e^{0.037 \times N_{fj=cotton}}-1)}{N_{fj=cotton}})) \times 10^{-2}
")</definedName>
    <definedName name="Fertiliser_Equations_InorganicN2O.VEERG_5_1_1_2__3_EmissionFactorCotton_NIRReference">_xlfn.LAMBDA("")</definedName>
    <definedName name="Fertiliser_Equations_InorganicN2O.VEERG_5_1_1_2__3_EmissionFactorCotton_Source">_xlfn.LAMBDA("VEERG 2026: 5.1.1.2, Equation (3)")</definedName>
    <definedName name="Fertiliser_Equations_InorganicN2O.VEERG_5_1_1_2__3_EmissionFactorCotton_Title">_xlfn.LAMBDA("Emission factor for nitrous oxide for cotton")</definedName>
    <definedName name="Fertiliser_Equations_InorganicN2O.VEERG_5_1_1_2__3_EmissionFactorCotton_Unit">_xlfn.LAMBDA("kg N2O-N/kg N applied")</definedName>
    <definedName name="Fertiliser_Equations_InorganicN2O.VEERG_5_1_1_2__3_EmissionFactorCotton_Variable">_xlfn.LAMBDA("EF_fjCottonN2O")</definedName>
    <definedName name="Fertiliser_Equations_LeachingAndRunoff.VEERG_5_5_1_1__1_FertiliserLeachingAndRunoffN2OEmissions">_xlfn.LAMBDA(_xlpm.M_leachinorganicj,_xlpm.M_leachorganicj,_xlpm.EF_leach,_xlpm.C_N2O, (_xlpm.M_leachinorganicj + _xlpm.M_leachorganicj) * _xlpm.EF_leach * _xlpm.C_N2O * 10 ^ -3)</definedName>
    <definedName name="Fertiliser_Equations_LeachingAndRunoff.VEERG_5_5_1_1__1_FertiliserLeachingAndRunoffN2OEmissions_Arguments">_xlfn.LAMBDA(_xlfn.MAKEARRAY(4, 4, _xlfn.LAMBDA(_xlpm.r,_xlpm.c, INDEX({"M_leachinorganicj","mass of nitrogen lost through leaching and runoff from inorganic fertiliser application in production system j","kg N","Calculated from 5.5.1.1 (2)";"M_leachorganicj","mass of nitrogen lost through leaching and runoff from organic fertiliser application","kg N","Calculated from 5.5.1.1 (3)";"EF_leach","emission factor for nitrogen leaching and runoff","kg N2O-N/kg N","Constant";"C_N2O","factor to convert elemental mass of nitrous oxide to molecular mass","","Constant"}, _xlpm.r, _xlpm.c))))</definedName>
    <definedName name="Fertiliser_Equations_LeachingAndRunoff.VEERG_5_5_1_1__1_FertiliserLeachingAndRunoffN2OEmissions_LatexEquation">_xlfn.LAMBDA("E_{fert,leach}=\sum_{j}((M_{leach,inorganic,j}+M_{leach,organic,j})\times EF_{leach}\times C_{N2O}\times 10^{-3})")</definedName>
    <definedName name="Fertiliser_Equations_LeachingAndRunoff.VEERG_5_5_1_1__1_FertiliserLeachingAndRunoffN2OEmissions_NIRReference">_xlfn.LAMBDA("")</definedName>
    <definedName name="Fertiliser_Equations_LeachingAndRunoff.VEERG_5_5_1_1__1_FertiliserLeachingAndRunoffN2OEmissions_Source">_xlfn.LAMBDA("VEERG 2026: 5.5, Equation (1)")</definedName>
    <definedName name="Fertiliser_Equations_LeachingAndRunoff.VEERG_5_5_1_1__1_FertiliserLeachingAndRunoffN2OEmissions_Title">_xlfn.LAMBDA("Nitrous oxide emissions from nitrogen leaching and runoff from the application of all fertilisers across all production systems j")</definedName>
    <definedName name="Fertiliser_Equations_LeachingAndRunoff.VEERG_5_5_1_1__1_FertiliserLeachingAndRunoffN2OEmissions_Unit">_xlfn.LAMBDA("t N2O")</definedName>
    <definedName name="Fertiliser_Equations_LeachingAndRunoff.VEERG_5_5_1_1__1_FertiliserLeachingAndRunoffN2OEmissions_Variable">_xlfn.LAMBDA("E_fertleach")</definedName>
    <definedName name="Fertiliser_Equations_LeachingAndRunoff.VEERG_5_5_1_1__2_MassOfNitrogenLeachedFromInorganicFertiliser">_xlfn.LAMBDA(_xlpm.MN_jf,_xlpm.FracWETj,_xlpm.FracLEACH, _xlpm.MN_jf * _xlpm.FracWETj * _xlpm.FracLEACH)</definedName>
    <definedName name="Fertiliser_Equations_LeachingAndRunoff.VEERG_5_5_1_1__2_MassOfNitrogenLeachedFromInorganicFertiliser_Arguments">_xlfn.LAMBDA(_xlfn.MAKEARRAY(6, 4, _xlfn.LAMBDA(_xlpm.r,_xlpm.c, INDEX({"MN_jf","mass of nitrogen in inorganic fertiliser","kg N","Calculated from 5.1.1.1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2_MassOfNitrogenLeachedFromInorganicFertiliser_LatexEquation">_xlfn.LAMBDA("M_{leach,inorganic,j}=\sum\nolimits_{f}\left({MN}_{jf}\times Frac_{WET,j}\times Frac_{LEACH}\right)")</definedName>
    <definedName name="Fertiliser_Equations_LeachingAndRunoff.VEERG_5_5_1_1__2_MassOfNitrogenLeachedFromInorganicFertiliser_NIRReference">_xlfn.LAMBDA("")</definedName>
    <definedName name="Fertiliser_Equations_LeachingAndRunoff.VEERG_5_5_1_1__2_MassOfNitrogenLeachedFromInorganicFertiliser_Source">_xlfn.LAMBDA("VEERG 2026: 5.5, Equation (2)")</definedName>
    <definedName name="Fertiliser_Equations_LeachingAndRunoff.VEERG_5_5_1_1__2_MassOfNitrogenLeachedFromInorganicFertiliser_Title">_xlfn.LAMBDA("Mass of nitrogen lost through leaching and runoff from inorganic fertiliser application in production system j")</definedName>
    <definedName name="Fertiliser_Equations_LeachingAndRunoff.VEERG_5_5_1_1__2_MassOfNitrogenLeachedFromInorganicFertiliser_Unit">_xlfn.LAMBDA("kg N")</definedName>
    <definedName name="Fertiliser_Equations_LeachingAndRunoff.VEERG_5_5_1_1__2_MassOfNitrogenLeachedFromInorganicFertiliser_Variable">_xlfn.LAMBDA("M_leachinorganicj")</definedName>
    <definedName name="Fertiliser_Equations_LeachingAndRunoff.VEERG_5_5_1_1__3_MassOfNitrogenLeachedFromOrganicFertiliser">_xlfn.LAMBDA(_xlpm.MNSoil_jf,_xlpm.FracWETj,_xlpm.FracLEACH, _xlpm.MNSoil_jf * _xlpm.FracWETj * _xlpm.FracLEACH)</definedName>
    <definedName name="Fertiliser_Equations_LeachingAndRunoff.VEERG_5_5_1_1__3_MassOfNitrogenLeachedFromOrganicFertiliser_Arguments">_xlfn.LAMBDA(_xlfn.MAKEARRAY(6, 4, _xlfn.LAMBDA(_xlpm.r,_xlpm.c, INDEX({"MNSoil_jf","mass of nitrogen in organic fertiliser","kg N","Calculated from 5.2.1.1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3_MassOfNitrogenLeachedFromOrganicFertiliser_LatexEquation">_xlfn.LAMBDA("M_{leach,organic,j}=\sum\nolimits_{f}\left({MNSoil}_{jf}\times Frac_{WET,j}\times Frac_{LEACH}\right)")</definedName>
    <definedName name="Fertiliser_Equations_LeachingAndRunoff.VEERG_5_5_1_1__3_MassOfNitrogenLeachedFromOrganicFertiliser_NIRReference">_xlfn.LAMBDA("")</definedName>
    <definedName name="Fertiliser_Equations_LeachingAndRunoff.VEERG_5_5_1_1__3_MassOfNitrogenLeachedFromOrganicFertiliser_Source">_xlfn.LAMBDA("VEERG 2026: 5.5, Equation (3)")</definedName>
    <definedName name="Fertiliser_Equations_LeachingAndRunoff.VEERG_5_5_1_1__3_MassOfNitrogenLeachedFromOrganicFertiliser_Title">_xlfn.LAMBDA("Mass of nitrogen lost through leaching and runoff from organic fertiliser application in production system j")</definedName>
    <definedName name="Fertiliser_Equations_LeachingAndRunoff.VEERG_5_5_1_1__3_MassOfNitrogenLeachedFromOrganicFertiliser_Unit">_xlfn.LAMBDA("kg N")</definedName>
    <definedName name="Fertiliser_Equations_LeachingAndRunoff.VEERG_5_5_1_1__3_MassOfNitrogenLeachedFromOrganicFertiliser_Variable">_xlfn.LAMBDA("M_leachorganicj")</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Lime.VEERG_5_3_1_1__1_LimeApplicationCO2Emissions">_xlfn.LAMBDA(_xlpm.M_lime,_xlpm.FracLime,_xlpm.P_lime,_xlpm.EF_lime,_xlpm.FracDol,_xlpm.P_dol,_xlpm.EF_dol,_xlpm.C_CO2, ((_xlpm.M_lime * _xlpm.FracLime * _xlpm.P_lime * _xlpm.EF_lime) + (_xlpm.M_lime * _xlpm.FracDol * _xlpm.P_dol * _xlpm.EF_dol)) * _xlpm.C_CO2 * 10 ^ -3)</definedName>
    <definedName name="Fertiliser_Equations_Lime.VEERG_5_3_1_1__1_LimeApplicationCO2Emissions_Arguments">_xlfn.LAMBDA(_xlfn.MAKEARRAY(8, 4, _xlfn.LAMBDA(_xlpm.r,_xlpm.c, INDEX({"M_lime","total mass of lime applied to production system","kg","Input";"FracLime","fraction of lime as limestone (CaCO3)","fraction","Input";"P_lime","fractional purity of limestone","fraction","Constant";"EF_lime","emission factor for limestone fraction of lime","kg C/kg","Constant";"FracDol","fraction of lime as dolomite","fraction","Input";"P_dol","fractional purity of dolomite","fraction","Constant";"EF_dol","emission factor for dolomite fraction of lime","kg C/kg","Constant";"C_CO2","factor to convert elemental mass of carbon dioxide to molecular mass","","Constant"}, _xlpm.r, _xlpm.c))))</definedName>
    <definedName name="Fertiliser_Equations_Lime.VEERG_5_3_1_1__1_LimeApplicationCO2Emissions_LatexEquation">_xlfn.LAMBDA("E_{lime}=[(M_{lime}\times FracLime\times P_{lime}\times EF_{lime})+(M_{lime}\times FracDol\times P_{dol}\times EF_{dol})]\times C_{CO2}\times 10^{-3}")</definedName>
    <definedName name="Fertiliser_Equations_Lime.VEERG_5_3_1_1__1_LimeApplicationCO2Emissions_NIRReference">_xlfn.LAMBDA("")</definedName>
    <definedName name="Fertiliser_Equations_Lime.VEERG_5_3_1_1__1_LimeApplicationCO2Emissions_Source">_xlfn.LAMBDA("VEERG 2026: 5.3.1.1, Equation (1)")</definedName>
    <definedName name="Fertiliser_Equations_Lime.VEERG_5_3_1_1__1_LimeApplicationCO2Emissions_Title">_xlfn.LAMBDA("Emissions from the application of lime and dolomite to production systems")</definedName>
    <definedName name="Fertiliser_Equations_Lime.VEERG_5_3_1_1__1_LimeApplicationCO2Emissions_Unit">_xlfn.LAMBDA("t CO2")</definedName>
    <definedName name="Fertiliser_Equations_Lime.VEERG_5_3_1_1__1_LimeApplicationCO2Emissions_Variable">_xlfn.LAMBDA("E_lime")</definedName>
    <definedName name="Fertiliser_Equations_Organic.VEERG_5_2_1_1__2_MassOfNitrogenInOrganicFertiliser">_xlfn.LAMBDA(_xlpm.Morganicjf,_xlpm.FNorganicf, _xlpm.Morganicjf * _xlpm.FNorganicf)</definedName>
    <definedName name="Fertiliser_Equations_OrganicN2O.VEERG_5_2_1_1__1_OrganicFertiliserApplicationN2OEmissions">_xlfn.LAMBDA(_xlpm.MNSoil_jf,_xlpm.EF_N2Oi,_xlpm.C_N2O, (_xlpm.MNSoil_jf * _xlpm.EF_N2Oi * _xlpm.C_N2O) * 10 ^ -3)</definedName>
    <definedName name="Fertiliser_Equations_OrganicN2O.VEERG_5_2_1_1__1_OrganicFertiliserApplicationN2OEmissions_Arguments">_xlfn.LAMBDA(_xlfn.MAKEARRAY(5, 4, _xlfn.LAMBDA(_xlpm.r,_xlpm.c, INDEX({"MNSoil_jf","mass of nitrogen in organic fertiliser type f applied to production system j","kg N","Calculated from 5.2.1.1 (2)";"EF_N2Oi","emission factor for direct nitrous oxide emissions from organic fertiliser applied to soils and aquatic systems in climate zone i","kg N2O-N/kg N","Lookup";"C_N2O","factor to convert elemental mass of nitrous oxide to molecular mass","","Constant";"j","Production system","","Input";"i","Wet or dry climate zone","","Input"}, _xlpm.r, _xlpm.c))))</definedName>
    <definedName name="Fertiliser_Equations_OrganicN2O.VEERG_5_2_1_1__1_OrganicFertiliserApplicationN2OEmissions_LatexEquation">_xlfn.LAMBDA("E_{N2O}=\sum_{j}\sum_{f}((MNSoil_{jf}\times EF_{N2O,i}\times C_{N2O})\times 10^{-3})")</definedName>
    <definedName name="Fertiliser_Equations_OrganicN2O.VEERG_5_2_1_1__1_OrganicFertiliserApplicationN2OEmissions_NIRReference">_xlfn.LAMBDA("")</definedName>
    <definedName name="Fertiliser_Equations_OrganicN2O.VEERG_5_2_1_1__1_OrganicFertiliserApplicationN2OEmissions_Source">_xlfn.LAMBDA("VEERG 2026: 5.2.1.1, Equation (1)")</definedName>
    <definedName name="Fertiliser_Equations_OrganicN2O.VEERG_5_2_1_1__1_OrganicFertiliserApplicationN2OEmissions_Title">_xlfn.LAMBDA("Nitrous oxide emissions from the application of all organic fertiliser types f to all production systems j")</definedName>
    <definedName name="Fertiliser_Equations_OrganicN2O.VEERG_5_2_1_1__1_OrganicFertiliserApplicationN2OEmissions_Unit">_xlfn.LAMBDA("t N2O")</definedName>
    <definedName name="Fertiliser_Equations_OrganicN2O.VEERG_5_2_1_1__1_OrganicFertiliserApplicationN2OEmissions_Variable">_xlfn.LAMBDA("E_N2O")</definedName>
    <definedName name="Fertiliser_Equations_OrganicN2O.VEERG_5_2_1_1__2_MassOfNitrogenInOrganicFertiliser">_xlfn.LAMBDA(_xlpm.M_organicjf,_xlpm.FN_organicf, _xlpm.M_organicjf * _xlpm.FN_organicf)</definedName>
    <definedName name="Fertiliser_Equations_OrganicN2O.VEERG_5_2_1_1__2_MassOfNitrogenInOrganicFertiliser_Arguments">_xlfn.LAMBDA(_xlfn.MAKEARRAY(3, 4, _xlfn.LAMBDA(_xlpm.r,_xlpm.c, INDEX({"M_organicjf","mass of organic fertiliser type f applied to production system j","kg","Input";"FN_organicf","nitrogen fraction of organic fertiliser type f","kg N/kg","Input";"f","Organic fertiliser type","","Input"}, _xlpm.r, _xlpm.c))))</definedName>
    <definedName name="Fertiliser_Equations_OrganicN2O.VEERG_5_2_1_1__2_MassOfNitrogenInOrganicFertiliser_LatexEquation">_xlfn.LAMBDA("MNSoil_{jf}=M_{organic,jf}\times FN_{organic,f}")</definedName>
    <definedName name="Fertiliser_Equations_OrganicN2O.VEERG_5_2_1_1__2_MassOfNitrogenInOrganicFertiliser_NIRReference">_xlfn.LAMBDA("")</definedName>
    <definedName name="Fertiliser_Equations_OrganicN2O.VEERG_5_2_1_1__2_MassOfNitrogenInOrganicFertiliser_Source">_xlfn.LAMBDA("VEERG 2026: 5.2.1.1, Equation (2)")</definedName>
    <definedName name="Fertiliser_Equations_OrganicN2O.VEERG_5_2_1_1__2_MassOfNitrogenInOrganicFertiliser_Title">_xlfn.LAMBDA("Mass of nitrogen in purchased organic fertilisers applied to production system")</definedName>
    <definedName name="Fertiliser_Equations_OrganicN2O.VEERG_5_2_1_1__2_MassOfNitrogenInOrganicFertiliser_Unit">_xlfn.LAMBDA("kg N")</definedName>
    <definedName name="Fertiliser_Equations_OrganicN2O.VEERG_5_2_1_1__2_MassOfNitrogenInOrganicFertiliser_Variable">_xlfn.LAMBDA("MNSoil_jf")</definedName>
    <definedName name="Fertiliser_FracGASMSoil_Data">'Constants - Fertiliser'!$E$73</definedName>
    <definedName name="Fertiliser_FracLEACH_Data">'Constants - Fertiliser'!$E$78</definedName>
    <definedName name="Fertiliser_InputFunctions.Fertiliser_FertiliserProductLookup">_xlfn.LAMBDA(_xlpm.Product,_xlpm.ProductAttribute,_xlpm.ProductArray,_xlpm.ProductArrayColumn,_xlpm.ProductArrayHeaders, IFERROR(INDEX(_xlpm.ProductArray, _xlfn.XMATCH(TRIM(_xlpm.Product), _xlpm.ProductArrayColumn, 0), _xlfn.XMATCH(TRIM(_xlpm.ProductAttribute), _xlpm.ProductArrayHeaders, 0)), ""))</definedName>
    <definedName name="Fertiliser_InputFunctions.Fertiliser_GetChemicalCompoundElementFraction">_xlfn.LAMBDA(_xlpm.ChemicalCompound,_xlpm.Element,_xlpm.ChemicalCompoundArray,_xlpm.ChemicalCompoundColumn,_xlpm.ElementRow, INDEX(_xlpm.ChemicalCompoundArray, MATCH(_xlpm.ChemicalCompound, _xlpm.ChemicalCompoundColumn, 0), MATCH(_xlpm.Element, _xlpm.ElementRow, 0)))</definedName>
    <definedName name="Fertiliser_InputFunctions.Fertiliser_GetScope3EF">_xlfn.LAMBDA(_xlpm.ChemicalCompound,_xlpm.Scope3Array,_xlpm.ChemicalCompoundColumn,_xlpm.Source,_xlpm.SourceRow, INDEX(_xlpm.Scope3Array, MATCH(_xlpm.ChemicalCompound, _xlpm.ChemicalCompoundColumn, 0), MATCH(_xlpm.Source, _xlpm.SourceRow, 0)))</definedName>
    <definedName name="Fertiliser_InputFunctions.Fertiliser_SumProductApplied">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TotalActiveIngredientAppliedAllIngredients">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definedName>
    <definedName name="Fertiliser_InputFunctions.Fertiliser_TotalChemicalCompoundAppliedAllIngredients">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 + IFERROR(Fertiliser_InputFunctions.Fertiliser_SumProductApplied(_xlpm.ChemicalCompound, _xlpm.ProductIngredient4, _xlpm.calculatedAmount4), 0) + IFERROR(Fertiliser_InputFunctions.Fertiliser_SumProductApplied(_xlpm.ChemicalCompound, _xlpm.ProductIngredient5, _xlpm.calculatedAmount5), 0) + IFERROR(Fertiliser_InputFunctions.Fertiliser_SumProductApplied(_xlpm.ChemicalCompound, _xlpm.ProductIngredient6, _xlpm.calculatedAmount6), 0)))</definedName>
    <definedName name="Fertiliser_InputFunctions.Fertiliser_TotalChemicalCompoundtAppliedBySourceAllIngredients">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Fertiliser_InputFunctions.Fertiliser_SumProductApplied(_xlpm.ChemicalCompound, _xlpm.ProductIngredient1, _xlpm.calculatedAmount1, _xlpm.Source, _xlpm.ProductIngredientSource) + IFERROR(Fertiliser_InputFunctions.Fertiliser_SumProductApplied(_xlpm.ChemicalCompound, _xlpm.ProductIngredient2, _xlpm.calculatedAmount2, _xlpm.Source, _xlpm.ProductIngredientSource), 0) + IFERROR(Fertiliser_InputFunctions.Fertiliser_SumProductApplied(_xlpm.ChemicalCompound, _xlpm.ProductIngredient3, _xlpm.calculatedAmount3, _xlpm.Source, _xlpm.ProductIngredientSource), 0) + IFERROR(Fertiliser_InputFunctions.Fertiliser_SumProductApplied(_xlpm.ChemicalCompound, _xlpm.ProductIngredient4, _xlpm.calculatedAmount4, _xlpm.Source, _xlpm.ProductIngredientSource), 0) + IFERROR(Fertiliser_InputFunctions.Fertiliser_SumProductApplied(_xlpm.ChemicalCompound, _xlpm.ProductIngredient5, _xlpm.calculatedAmount5, _xlpm.Source, _xlpm.ProductIngredientSource), 0) + IFERROR(Fertiliser_InputFunctions.Fertiliser_SumProductApplied(_xlpm.ChemicalCompound, _xlpm.ProductIngredient6, _xlpm.calculatedAmount6, _xlpm.Source, _xlpm.ProductIngredientSource), 0)))</definedName>
    <definedName name="Fertiliser_InputFunctions.Fertiliser_TotalSoilAmendmentApplied">_xlfn.LAMBDA(_xlpm.AmountApplied,_xlpm.AmendmentPercent, SUMPRODUCT(_xlpm.AmountApplied * _xlpm.AmendmentPercent))</definedName>
    <definedName name="Fertiliser_SourceData.Fertiliser_ChemicalCompoundElements_Data">_xlfn.LAMBDA(_xlfn.MAKEARRAY(20, 6, _xlfn.LAMBDA(_xlpm.r,_xlpm.c, INDEX({"Fertiliser Type f","FNinorganic,f","FUf","Basis","LifeCycles Scope 3 definition","Source";"Monoammonium phosphate (MAP)",0.1,0,"Ammonium-based fertilisers","Monoammonium phosphate (MAP)","VEERG";"Diammonium phosphate (DAP)",0.18,0,"Ammonium-based fertilisers","Diammonium phosphate (DAP)","VEERG";"Urea",0.46,1,"Urea-based fertilisers","Urea","VEERG";"Sulphate of ammonia (SOA)",0.21,0,"Ammonium-based fertilisers","Sulphate of ammonia (SOA)","VEERG";"Urea-ammonium nitrate (UAN)",0.32,0.35,"Urea-based fertilisers","Urea-ammonium nitrate (UAN)","VEERG";"Ammonium nitrate (AN)",0.337,0,"Ammonium-nitrate based fertilisers","Ammonium nitrate (AN)","VEERG";"Calcium ammonium nitrate (CAN)",0.27,0,"Ammonium-nitrate based fertilisers","Calcium ammonium nitrate (CAN)","VEERG";"Nitrogen - Ammoniacal",1,0,"Ammonium-based fertilisers","Nitrogen - Ammoniacal","LifeCycles";"Nitrogen - Nitrate",1,0,"Nitrate-based fertilisers","Nitrogen from Nitrate","LifeCycles";"Nitrogen - Generic",1,0,"Urea-based fertilisers","Nitrogen from fertiliser","LifeCycles";"Phosphorus - Generic",0,0,"Other fertilisers","Phosphorus from fertiliser","LifeCycles";"Potassium - Generic",0,0,"Other fertilisers","Potassium from fertiliser","LifeCycles";"Sulfur - Generic",0,0,"Other fertilisers","Sulfur from fertiliser","LifeCycles";"Zinc - Generic",0,0,"Other fertilisers","Zinc from fertiliser","LifeCycles";"Muriate of potash (MOP)",0,0,"Other fertilisers","Muriate of potash (MOP)","LifeCycles";"Double superphosphate",0,0,"Other fertilisers","Double superphosphate","LifeCycles";"Single superphosphate (SSP)",0,0,"Other fertilisers","Single superphosphate (SSP)","LifeCycles";"Ammonia",0.8235,0,"Ammonium-based fertilisers","Ammonia","LifeCycles";"Calcium nitrate",0.155,0,"Nitrate-based fertilisers","Calcium nitrate","VEERG"}, _xlpm.r, _xlpm.c))))</definedName>
    <definedName name="Fertiliser_SourceData.Fertiliser_ChemicalCompoundElements_Description">_xlfn.LAMBDA(("Chemical compounds used in fertilisers, along with their elemental composition"))</definedName>
    <definedName name="Fertiliser_SourceData.Fertiliser_ChemicalCompoundElements_Source">_xlfn.LAMBDA(("Table A.2.2.3: Fraction of nitrogen in common inorganic fertilisers (kgN/kg) (FNorganic,f) AND Table A.2.2.4: Fraction of urea in common inorganic fertilisers (kg urea/kg) (FUf)"))</definedName>
    <definedName name="Fertiliser_SourceData.Fertiliser_ChemicalCompoundElements_Title">_xlfn.LAMBDA(("Common inorganic fertilisers"))</definedName>
    <definedName name="Fertiliser_SourceData.Fertiliser_ChemicalCompoundElements_Variation">_xlfn.LAMBDA(_xlfn.MAKEARRAY(12, 1, _xlfn.LAMBDA(_xlpm.r,_xlpm.c, INDEX({"VARIATION ON SOURCE";"Added 'Basis' column to allow cross-referencing with table Table A.2.2.6: Fraction of inorganic fertiliser f that volatilises as NH3 and NOx ((kg NH3-N + NOx-N)/kg N) (FracGASFf)";"Added extra fertiliser types and generic chemical compounds to allow for custom NPKS blends";"Added extra 'Scope 3 definition' column to allow mapping with scope 3 data";"Added 'Source' column";"Combined data from Table A.2.2.3 and Table A.2.2.4 into one table to aid lookup.";"Excluded 'References' column";"Excluded 'Ammonium sulfate' as it is a duplicate of 'Sulphate of ammonia (SOA)'";"Excluded 'Calcium nitrate' as no scope 3 value available.";"Set 'Nitrogen - Generic' basis as 'Urea-based fertilisers, as urea is the most commonly used form of nitrogen in Australian fertilisers";"Set 'Urea-ammonium nitrate' basis as 'Urea-based fertiliser'";"Ammonia has an FN value of 0.8235 based on (14/17)x100, where 14 is the mass of nitrogen in ammonia and 17 is the molar mass of ammonia."}, _xlpm.r, _xlpm.c))))</definedName>
    <definedName name="Fertiliser_SourceData.Fertiliser_EFLeach_Data">_xlfn.LAMBDA(0.011)</definedName>
    <definedName name="Fertiliser_SourceData.Fertiliser_EFLeach_Source">_xlfn.LAMBDA(("VEERG 2026: 5.5.2.3 Constant Parameters"))</definedName>
    <definedName name="Fertiliser_SourceData.Fertiliser_EFLeach_Title">_xlfn.LAMBDA(("Emission factor for nitrogen leaching and runoff"))</definedName>
    <definedName name="Fertiliser_SourceData.Fertiliser_EFLeach_Unit">_xlfn.LAMBDA(("kg N2O-N / kg N"))</definedName>
    <definedName name="Fertiliser_SourceData.Fertiliser_EFLeach_Variable">_xlfn.LAMBDA(("EFLeach"))</definedName>
    <definedName name="Fertiliser_SourceData.Fertiliser_EFLeach_Variation">_xlfn.LAMBDA("")</definedName>
    <definedName name="Fertiliser_SourceData.Fertiliser_EFUreaCO2_Data">_xlfn.LAMBDA(0.2)</definedName>
    <definedName name="Fertiliser_SourceData.Fertiliser_EFUreaCO2_Source">_xlfn.LAMBDA(("VEERG 2026: 5.1.2.2 Constant Parameters"))</definedName>
    <definedName name="Fertiliser_SourceData.Fertiliser_EFUreaCO2_Title">_xlfn.LAMBDA(("Emission factor for carbon emissions from urea application"))</definedName>
    <definedName name="Fertiliser_SourceData.Fertiliser_EFUreaCO2_Unit">_xlfn.LAMBDA(("kg C/kg urea"))</definedName>
    <definedName name="Fertiliser_SourceData.Fertiliser_EFUreaCO2_Variable">_xlfn.LAMBDA(("EFureaCO2"))</definedName>
    <definedName name="Fertiliser_SourceData.Fertiliser_EFUreaCO2_Variation">_xlfn.LAMBDA("")</definedName>
    <definedName name="Fertiliser_SourceData.Fertiliser_FracGASF_Data">_xlfn.LAMBDA(_xlfn.MAKEARRAY(6, 2, _xlfn.LAMBDA(_xlpm.r,_xlpm.c, INDEX({"Fertiliser type f","FracGASFf";"Urea-based fertilisers",0.15;"Ammonium-based fertilisers",0.08;"Nitrate-based fertilisers",0.01;"Ammonium-nitrate based fertilisers",0.05;"Other fertilisers",0.11}, _xlpm.r, _xlpm.c))))</definedName>
    <definedName name="Fertiliser_SourceData.Fertiliser_FracGASF_Source">_xlfn.LAMBDA(("Table A.2.2.6: Fraction of inorganic fertiliser f that volatilises as NH3 and NOx ((kg NH3-N + NOx-N)/kg N) (FracGASFf)"))</definedName>
    <definedName name="Fertiliser_SourceData.Fertiliser_FracGASF_Title">_xlfn.LAMBDA(("Fraction of inorganic fertiliser that volatilises as NH3 and NOx"))</definedName>
    <definedName name="Fertiliser_SourceData.Fertiliser_FracGASF_Variation">_xlfn.LAMBDA("")</definedName>
    <definedName name="Fertiliser_SourceData.Fertiliser_FracGASMSoil_Data">_xlfn.LAMBDA(0.21)</definedName>
    <definedName name="Fertiliser_SourceData.Fertiliser_FracGASMSoil_Source">_xlfn.LAMBDA(("VEERG 2026: 5.4.2.3 Constant Parameters"))</definedName>
    <definedName name="Fertiliser_SourceData.Fertiliser_FracGASMSoil_Title">_xlfn.LAMBDA(("Fraction of organic fertiliser that volatilises as NH3 and NOx"))</definedName>
    <definedName name="Fertiliser_SourceData.Fertiliser_FracGASMSoil_Unit">_xlfn.LAMBDA(("(kg NH3-N + NOx-N)/kg N"))</definedName>
    <definedName name="Fertiliser_SourceData.Fertiliser_FracGASMSoil_Variable">_xlfn.LAMBDA(("FracGASMsoil"))</definedName>
    <definedName name="Fertiliser_SourceData.Fertiliser_FracGASMSoil_Variation">_xlfn.LAMBDA("")</definedName>
    <definedName name="Fertiliser_SourceData.Fertiliser_FracLEACH_Data">_xlfn.LAMBDA(0.24)</definedName>
    <definedName name="Fertiliser_SourceData.Fertiliser_FracLEACH_Source">_xlfn.LAMBDA(("VEERG 2026: 5.5.2.3 Constant Parameters"))</definedName>
    <definedName name="Fertiliser_SourceData.Fertiliser_FracLEACH_Title">_xlfn.LAMBDA(("Fraction of nitrogen that is lost through leaching and runoff"))</definedName>
    <definedName name="Fertiliser_SourceData.Fertiliser_FracLEACH_Unit">_xlfn.LAMBDA(("fraction"))</definedName>
    <definedName name="Fertiliser_SourceData.Fertiliser_FracLEACH_Variable">_xlfn.LAMBDA(("FracLEACH"))</definedName>
    <definedName name="Fertiliser_SourceData.Fertiliser_FracLEACH_Variation">_xlfn.LAMBDA("")</definedName>
    <definedName name="Fertiliser_SourceData.Fertiliser_FractionNCommonFertilisers_Data">_xlfn.LAMBDA(_xlfn.MAKEARRAY(10, 2, _xlfn.LAMBDA(_xlpm.r,_xlpm.c, INDEX({"Fertiliser Type f","FNinorganicf";"Monoammonium phosphate (MAP)",0.1;"Diammonium phosphate (DAP)",0.18;"Urea",0.46;"Sulphate of ammonia (SOA)",0.21;"Urea-ammonium nitrate (UAN)",0.32;"Ammonium nitrate (AN)",0.337;"Calcium ammonium nitrate (CAN)",0.27;"Ammonium Sulfate",0.21;"Calcium Nitrate",0.155}, _xlpm.r, _xlpm.c))))</definedName>
    <definedName name="Fertiliser_SourceData.Fertiliser_FractionNCommonFertilisers_Source">_xlfn.LAMBDA(("VEERG 2026: Table A.2.2.3"))</definedName>
    <definedName name="Fertiliser_SourceData.Fertiliser_FractionNCommonFertilisers_Title">_xlfn.LAMBDA(("Fraction of nitrogen in common inorganic fertilisers (kgN/kg) (FNorganic,f)"))</definedName>
    <definedName name="Fertiliser_SourceData.Fertiliser_FractionNCommonFertilisers_Variation">_xlfn.LAMBDA((""))</definedName>
    <definedName name="Fertiliser_SourceData.Fertiliser_FractionUreaCommonFertilisers_Data">_xlfn.LAMBDA(_xlfn.MAKEARRAY(10, 2, _xlfn.LAMBDA(_xlpm.r,_xlpm.c, INDEX({"Fertiliser Type f","FUf";"Monoammonium phosphate (MAP)",0;"Diammonium phosphate (DAP)",0;"Urea",1;"Sulphate of ammonia (SOA)",0;"Urea-ammonium nitrate (UAN)",0.35;"Ammonium nitrate (AN)",0;"Calcium ammonium nitrate (CAN)",0;"Ammonium Sulfate",0;"Calcium Nitrate",0}, _xlpm.r, _xlpm.c))))</definedName>
    <definedName name="Fertiliser_SourceData.Fertiliser_FractionUreaCommonFertilisers_Source">_xlfn.LAMBDA(("VEERG 2026: Table A.2.2.4"))</definedName>
    <definedName name="Fertiliser_SourceData.Fertiliser_FractionUreaCommonFertilisers_Title">_xlfn.LAMBDA(("Fraction of urea in common inorganic fertilisers (kg urea/kg) (FUf)"))</definedName>
    <definedName name="Fertiliser_SourceData.Fertiliser_FractionUreaCommonFertilisers_Variation">_xlfn.LAMBDA((""))</definedName>
    <definedName name="Fertiliser_SourceData.Fertiliser_LimeDolomiteGypsumConstants_Data">_xlfn.LAMBDA(_xlfn.MAKEARRAY(4, 3, _xlfn.LAMBDA(_xlpm.r,_xlpm.c, INDEX({"Element","P","EF";"Lime (Calcium carbonate)",0.9,0.12;"Dolomite (Magnesium carbonate)",0.95,0.13;"Gypsum",0,0}, _xlpm.r, _xlpm.c))))</definedName>
    <definedName name="Fertiliser_SourceData.Fertiliser_LimeDolomiteGypsumConstants_Description">_xlfn.LAMBDA(("Constants for lime, dolomite and gypsum"))</definedName>
    <definedName name="Fertiliser_SourceData.Fertiliser_LimeDolomiteGypsumConstants_Source">_xlfn.LAMBDA(("VEERG 2026: 5.3.2.3 Constant Parameters"))</definedName>
    <definedName name="Fertiliser_SourceData.Fertiliser_LimeDolomiteGypsumConstants_Title">_xlfn.LAMBDA(("Constants for lime, dolomite and gypsum"))</definedName>
    <definedName name="Fertiliser_SourceData.Fertiliser_LimeDolomiteGypsumConstants_Variation">_xlfn.LAMBDA(("VARIATION FROM SOURCE DATA: Gypsum has been added with placeholder values of 0 for P and EF."))</definedName>
    <definedName name="Fertiliser_SourceData.Fertiliser_Products_Data1">_xlfn.LAMBDA(_xlfn.MAKEARRAY(30, 31, _xlfn.LAMBDA(_xlpm.r,_xlpm.c, INDEX({"Campbells fertilisers Australia","Aqua Finish","L",1.26,"","","",2.6,4,22.5,"","Potassium - Generic",0.225,"Phosphorus - Generic",0.04,"Nitrogen - Generic",0.026,"","","","","","","","","","","","","","";"Campbells fertilisers Australia","Aqua Grow","L",1.26,"","","",9.6,5,10.5,"","Potassium - Generic",0.105,"Nitrogen - Generic",0.096,"Phosphorus - Generic",0.05,"","","","","","","","","","","","","","";"Campbells fertilisers Australia","Aqua Nitro AN","L",1.24,"","","",22.3,"","","","Nitrogen - Ammoniacal",0.223,"","","","","","","","","","","","","","","","","","";"Campbells fertilisers Australia","Aqua NitroCal","L",1.5,"","","",13.2,"","","","Calcium",0.162,"Nitrogen - Nitrate",0.132,"","","","","","","","","","","","","","","","";"Campbells fertilisers Australia","Aqua NitroCal (VI)","L",1.5,"","","",13.2,"","","","Calcium",0.187,"Nitrogen - Nitrate",0.132,"","","","","","","","","","","","","","","","";"Campbells fertilisers Australia","Aqua NitroCal Ultimate","L",1.5,"","","",13.2,"","","","Calcium",0.183,"Nitrogen - Nitrate",0.132,"","","","","","","","","","","","","","","","";"Campbells fertilisers Australia","Aqua Start","L",1.25,"","","",10.3,10,3.4,"","Nitrogen - Generic",0.103,"Phosphorus - Generic",0.1,"Potassium - Generic",0.034,"","","","","","","","","","","","","","";"Campbells fertilisers Australia","Aqua Thio-Complete","L",1.43,"","","",2.5,3.8,22.5,"","Potassium - Generic",0.225,"Phosphorus - Generic",0.038,"Nitrogen - Generic",0.025,"","","","","","","","","","","","","","";"Campbells fertilisers Australia","Aqua Thio-Emerge","L",1.29,"","","",10.5,9.4,4,3,"Nitrogen - Generic",0.105,"Phosphorus - Generic",0.094,"Potassium - Generic",0.04,"Sulfur - Generic",0.03,"","","","","","","","","","","","";"Campbells fertilisers Australia","Aqua Thio-Flourish","L",1.32,"","","",9.5,4.7,10.8,8.1,"Potassium - Generic",0.108,"Nitrogen - Generic",0.095,"Sulfur - Generic",0.081,"Phosphorus - Generic",0.047,"","","","","","","","","","","","";"Campbells fertilisers Australia","Boost-It","kg",1,"","","",24,5.2,8,5.3,"Urea",0.521739,"Potassium - Generic",0.08,"Sulfur - Generic",0.053,"Phosphorus - Generic",0.052,"Magnesium",0.013,"Zinc",0.002,"Manganese",0.0035,"Iron",0.0013,"Copper",0.0007,"Boron",0.0007;"Campbells fertilisers Australia","Bronze","kg",1,"","","",17,0.04,11.6,0.5,"Muriate of potash (MOP)",0.232,"Nitrogen - Generic",0.17,"Sulfur - Generic",0.005,"Magnesium",0.0024,"Phosphorus - Generic",0.0004,"","","","","","","","","","";"Campbells fertilisers Australia","Calbit C","L",1.45,"","","","","","","","Calcium",0.107,"","","","","","","","","","","","","","","","","","";"Campbells fertilisers Australia","Compass","kg",1,"","","",15,6.5,12.5,6,"Nitrogen - Ammoniacal",0.075,"Nitrogen - Nitrate",0.075,"Potassium - Generic",0.125,"Phosphorus - Generic",0.065,"Sulfur - Generic",0.06,"","","","","","","","","","";"Campbells fertilisers Australia","CoRoN 12-0-10","L",1.215,"","","",12,"",10,"","Urea",0.195652,"Potassium - Generic",0.1,"Nitrogen - Generic",0.03,"Boron",0.005,"","","","","","","","","","","","";"Campbells fertilisers Australia","Maximum Quick-N","kg",1,"","","",21.66,"","",13.2,"Sulphate of ammonia (SOA)",0.55,"Ammonium nitrate (AN)",0.3,"","","","","","","","","","","","","","","","";"SL Tec","Crop Booster PLUS","L",1.319,"","","",5,15,2.1,"","Phosphorus - Generic",0.15,"Calcium",0.04,"Nitrogen - Ammoniacal",0.029,"Nitrogen - Nitrate",0.021,"Potassium - Generic",0.021,"Copper",0.005,"Zinc",0.004,"Manganese",0.004,"Magnesium",0.002,"","";"Risso-Chemical","Ammonium Bicarbonate","kg",1,"","","China",17.7,"","","","Nitrogen - Ammoniacal",0.177,"","","","","","","","","","","","","","","","","","";"Risso-Chemical","Ammonium Sulfate","kg",1,"","","China",21,"","",24,"Sulfur - Generic",0.24,"Nitrogen - Ammoniacal",0.21,"","","","","","","","","","","","","","","","";"Ravensdown","Ammonium Sulphate - Granular","kg",1,"","","",21,"","",24,"Sulphate of ammonia (SOA)",1,"","","","","","","","","","","","","","","","","","";"Impact Fertilisers","Di-Ammonium Phosphate (DAP)","kg",1,"","","",18,20,"","","Diammonium phosphate (DAP)",1,"","","","","","","","","","","","","","","","","","";"Incitec Pivot Fertilisers","Basalt BooSSta","kg",1,"","","",8,14,"",27.6,"Sulfur - Generic",0.276,"Phosphorus - Generic",0.14,"Nitrogen - Generic",0.08,"Fluoride",0.024,"","","","","","","","","","","","";"Summit Fertilizers","DAPSZC","kg",1,"","","",16.9,18.2,"",8,"Phosphorus - Generic",0.182,"Nitrogen - Generic",0.169,"Sulfur - Generic",0.08,"Zinc",0.002,"Copper",0.001,"","","","","","","","","","";"Incitec Pivot Fertilisers","Easy N","L",1.32,"","","",42.5,"","","","Urea",0.467391,"Nitrogen - Nitrate",0.105,"Nitrogen - Ammoniacal",0.105,"Biuret",0.006,"","","","","","","","","","","","";"Risso-Chemical","Calcium Ammonium nitrate","kg",1,"","","China",40.5,"","","","Nitrogen - Ammoniacal",0.27,"Nitrogen - Nitrate",0.135,"Calcium",0.12,"","","","","","","","","","","","","","";"SL Tec","CellCAL Plus","L",1.138,"","","","","","","","Calcium",0.059,"Copper",0.003,"Boron",0.001,"","","","","","","","","","","","","","";"Incitec Pivot Fertilisers","CK55","kg",1,"","","",13.5,15,6.25,1.2,"Phosphorus - Generic",0.15,"Nitrogen - Ammoniacal",0.135,"Muriate of potash (MOP)",0.125,"Fluoride",0.023,"Sulfur - Generic",0.012,"","","","","","","","","","";"Switch Ag","Crop K","L",1.25,"","","",3,"",21,"","Potassium - Generic",0.21,"Nitrogen - Generic",0.03,"","","","","","","","","","","","","","","","";"Switch Ag","Crop Starter","L",1.2,"","","",5,3,8,"","Potassium - Generic",0.08,"Nitrogen - Generic",0.05,"Phosphorus - Generic",0.03,"","","","","","","","","","","","","","";"Incitec Pivot Fertilisers","Gran-Am","kg",1,"","","",21,"","",24,"Sulphate of ammonia (SOA)",1,"","","","","","","","","","","","","","","","","",""}, _xlpm.r, _xlpm.c))))</definedName>
    <definedName name="Fertiliser_SourceData.Fertiliser_Products_Data2">_xlfn.LAMBDA(_xlfn.MAKEARRAY(30, 31, _xlfn.LAMBDA(_xlpm.r,_xlpm.c, INDEX({"Campbells fertilisers Australia","Encal","L",1.5,"","","",9,"","",13.94,"Sulphate of ammonia (SOA)",0.580645,"Magnesium",0.012,"","","","","","","","","","","","","","","","";"Incitec Pivot Fertilisers","Granulock SS","kg",1,"","","",10,17.5,"",12,"Phosphorus - Generic",0.175,"Sulfur - Generic",0.12,"Nitrogen - Ammoniacal",0.1,"Fluoride",0.03,"","","","","","","","","","","","";"Incitec Pivot Fertilisers","Granulock Z","kg",1,"","","",11,21.8,"",4,"Phosphorus - Generic",0.218,"Nitrogen - Generic",0.11,"Sulfur - Generic",0.04,"Fluoride",0.03,"Zinc",0.01,"","","","","","","","","","";"Incitec Pivot Fertilisers","Farm Ag Leichhardt","kg",1,"","","",32.5,5.4,6.25,"","Urea",0.6,"Nitrogen - Ammoniacal",0.049,"Phosphorus - Generic",0.054,"Muriate of potash (MOP)",0.125,"","","","","","","","","","","","";"Ravensdown","Flexi-N NBPT","kg",1,"Yes","","",45.54,"","","","Urea",0.99,"","","","","","","","","","","","","","","","","","";"Campbells fertilisers Australia","Gold Premium","kg",1,"","","",14.87,2.2,16.6,8,"Ammonium nitrate (AN)",0.441176,"Potassium - Generic",0.166,"Sulfur - Generic",0.08,"Phosphorus - Generic",0.022,"Magnesium",0.012,"Boron",0.0002,"Zinc",0.0001,"","","","","","";"SL Tec","High NS","L",1.299,"","","",38,"","",2,"Urea",0.46087,"Nitrogen - Ammoniacal",0.092,"Nitrogen - Nitrate",0.076,"Sulfur - Generic",0.02,"","","","","","","","","","","","";"Impact Fertilisers","Impact SSP","kg",1,"","","","",8.8,"",11,"Single superphosphate (SSP)",1,"","","","","","","","","","","","","","","","","","";"Switch Ag","In Crop","L",1.2,"","","",10,1,11,"","Potassium - Generic",0.11,"Nitrogen - Generic",0.1,"Phosphorus - Generic",0.01,"","","","","","","","","","","","","","";"Switch Ag","K20","L",1.3,"","","",3,"",22,"","Potassium - Generic",0.22,"Nitrogen - Generic",0.03,"","","","","","","","","","","","","","","","";"Loveland Agriproducts","Maximum N-Pact","L",1.185,"","","",23.8,"","","","Urea",0.517391,"","","","","","","","","","","","","","","","","","";"SL Tec","Nitro Combi TE","L",1.255,"","","","","",0.1,4.4,"Sulfur - Generic",0.044,"Zinc",0.022,"Iron",0.022,"Manganese",0.016,"Boron",0.008,"Magnesium",0.007,"Fulvic acid (organic)",0.005,"Copper",0.003,"Potassium - Generic",0.001,"Molybdenum",0.0003;"Switch Ag","PastureMAXX","L",1.23,"","","",9.71,"",3.25,2.11,"Nitrogen - Generic",0.0971,"Potassium - Generic",0.0325,"Sulfur - Generic",0.0211,"Zinc",0.015,"Iron",0.0111,"Manganese",0.0115,"Magnesium",0.0045,"Boron",0.002,"","","","";"Campbells fertilisers Australia","Platinum Nergetic","kg",1,"","","",10,10.9,10,4.34,"Monoammonium phosphate (MAP)",0.4178,"Ammonium nitrate (AN)",0.1728,"Potassium sulphate",0.240964,"Double superphosphate",0.1,"Magnesium",0.012,"Zinc",0.0036,"Boron",0.001,"Glaze Extend G3 Flexi",0.0519,"","","","";"Impact Fertilisers","Sulphate of ammonia (SOA)","kg",1,"","","",21,"","",24,"Sulphate of ammonia (SOA)",1,"","","","","","","","","","","","","","","","","","";"Impact Fertilisers","Mono-Ammonium Phosphate (MAP)","kg",1,"","","",10,21.9,"",1.5,"Monoammonium phosphate (MAP)",1,"","","","","","","","","","","","","","","","","","";"Impact Fertilisers","Urea","kg",1,"","","",46,"","","","Urea",1,"","","","","","","","","","","","","","","","","","";"Koch Fertiliser Australia","Muriate of potash (MOP)","kg",1,"","","","","",50,"","Muriate of potash (MOP)",1,"","","","","","","","","","","","","","","","","","";"Risso-Chemical","Urea Ammonium nitrate (UAN 32-0-0)","L",1.32,"","China","China",32,"","","","Urea-ammonium nitrate (UAN)",1,"","","","","","","","","","","","","","","","","","";"Risso-Chemical","Polypeptide Urea","kg",1,"","China","",46,"","","","Urea",1,"Polypeptide (amino acids)",0,"","","","","","","","","","","","","","","","";"Yara Australia","YaraTera CALCINIT","kg",1,"","","",15.5,"","","","Calcium nitrate",1,"","","","","","","","","","","","","","","","","","";"Yara Australia","YaraLiva NITRABOR","kg",1,"","","",15.4,"","","","Calcium nitrate",0.993548,"Boron",0.003,"","","","","","","","","","","","","","","","";"Yara Australia","YaraMila COMPLEX","kg",1,"","","",12,5,15,8,"Nitrogen - Nitrate",0.05,"Nitrogen - Ammoniacal",0.07,"Phosphorus - Generic",0.05,"Potassium - Generic",0.15,"Sulfur - Generic",0.08,"Magnesium",0.016,"Zinc",0.0002,"Boron",0.00015,"","","","";"Yara Australia","YaraRega 9-0-30 (14)","kg",1,"","","",9,"",30,14,"Potassium - Generic",0.3,"Sulfur - Generic",0.14,"Nitrogen - Nitrate",0.045,"Nitrogen - Ammoniacal",0.045,"","","","","","","","","","","","";"Yara Australia","YaraRega 13-2-21","kg",1,"","","",13,1.75,21,10.8,"Potassium - Generic",0.21,"Sulfur - Generic",0.108,"Nitrogen - Ammoniacal",0.077,"Nitrogen - Nitrate",0.053,"Phosphorus - Generic",0.0175,"Magnesium",0.004,"Zinc",0.0008,"Boron",0.0008,"","","","";"Yara Australia","YaraRega 15-7-13 (7S)","kg",1,"","","",15,6.5,12.5,7.2,"Nitrogen - Nitrate",0.095,"Potassium - Generic",0.125,"Sulfur - Generic",0.072,"Phosphorus - Generic",0.065,"Nitrogen - Ammoniacal",0.055,"Magnesium",0.0066,"Boron",0.001,"Zinc",0.0006,"","","","";"Yara Australia","YaraTera CALCINIT B","kg",1,"","","",15.5,"","","","Calcium nitrate",1,"Boron",0.001,"","","","","","","","","","","","","","","","";"Yara Australia","YaraTera KRISTA MAP","kg",1,"","","",10,21.9,"","","Monoammonium phosphate (MAP)",1,"","","","","","","","","","","","","","","","","","";"Yara Australia","YaraTera KRISTALON RED","kg",1,"","","",12,5.2,29.9,1,"Potassium - Generic",0.299,"Nitrogen - Nitrate",0.101,"Phosphorus - Generic",0.052,"Nitrogen - Ammoniacal",0.019,"Sulfur - Generic",0.01,"Magnesium",0.006,"Iron",0.0007,"Manganese",0.0004,"Zinc",0.00025,"Boron",0.00025;"Yara Australia","YaraTera KRISTALON SPECIAL","kg",1,"","","",18,7.9,14.9,2,"Potassium - Generic",0.149,"Urea",0.213043,"Phosphorus - Generic",0.079,"Nitrogen - Nitrate",0.049,"Nitrogen - Ammoniacal",0.033,"Sulfur - Generic",0.02,"Magnesium",0.018,"Iron",0.0007,"Manganese",0.0004,"Zinc",0.00025}, _xlpm.r, _xlpm.c))))</definedName>
    <definedName name="Fertiliser_SourceData.Fertiliser_Products_Data3">_xlfn.LAMBDA(_xlfn.MAKEARRAY(30, 31, _xlfn.LAMBDA(_xlpm.r,_xlpm.c, INDEX({"Yara Australia","YaraMila 21-7-3(4)","kg",1,"","","",21,7.4,2.5,4,"Nitrogen - Nitrate",0.105,"Nitrogen - Ammoniacal",0.105,"Phosphorus - Generic",0.074,"Sulfur - Generic",0.04,"Potassium - Generic",0.025,"Magnesium",0.004,"Zinc",0.0015,"","","","","","";"Yara Australia","YaraTera KRISTALON SCARLET","kg",1,"","","",7.5,"",29.9,4,"Potassium - Generic",0.299,"Nitrogen - Nitrate",0.052,"Sulfur - Generic",0.04,"Magnesium",0.027,"Nitrogen - Ammoniacal",0.023,"","","","","","","","","","";"Campbells fertilisers Australia","Solu-MAP","kg",1,"","","",10,21.9,"","","Monoammonium phosphate (MAP)",1,"","","","","","","","","","","","","","","","","","";"Campbells fertilisers Australia","Solu-Sam","kg",1,"","","",21,"","",24,"Sulphate of ammonia (SOA)",1,"","","","","","","","","","","","","","","","","","";"Campbells fertilisers Australia","Rustica Plus","kg",1,"","","",12,5,14,9.7,"Potassium - Generic",0.14,"Sulfur - Generic",0.097,"Nitrogen - Nitrate",0.06,"Nitrogen - Ammoniacal",0.06,"Phosphorus - Generic",0.05,"Calcium",0.031,"Magnesium",0.012,"Zinc",0.001,"Boron",0.0002,"","";"Campbells fertilisers Australia","Platinum Plus","kg",1,"","","",10,11,10,6,"Phosphorus - Generic",0.11,"Potassium - Generic",0.1,"Sulfur - Generic",0.06,"Nitrogen - Nitrate",0.05,"Nitrogen - Ammoniacal",0.05,"Calcium",0.043,"Magnesium",0.012,"Zinc",0.0036,"Boron",0.001,"","";"Campbells fertilisers Australia","Tropika","kg",1,"","","",11,2.6,20.8,4,"Nitrogen - Nitrate",0.055,"Nitrogen - Ammoniacal",0.055,"Phosphorus - Generic",0.026,"Potassium - Generic",0.208,"Sulfur - Generic",0.04,"Magnesium",0.024,"","","","","","","","";"Campbells fertilisers Australia","Rustica Nergetic","kg",1,"","","",12,5.2,14.1,9.6,"Potassium - Generic",0.141,"Sulfur - Generic",0.096,"Nitrogen - Nitrate",0.06,"Nitrogen - Ammoniacal",0.06,"Phosphorus - Generic",0.052,"Magnesium",0.012,"Zinc",0.0008,"Iron",0.0007,"Manganese",0.0006,"Boron",0.0002;"Campbells fertilisers Australia","Quick-N Nergetic","kg",1,"","","",25,"","",12.8,"Sulphate of ammonia (SOA)",0.533333,"Ammonium nitrate (AN)",0.409496,"Zinc",0.001,"Manganese",0.001,"Boron",0.0001,"Molybdenum",0.00001,"","","","","","","","";"FertPro Manufacturing Pty. Ltd.","(SSP) Single Super Fertiliser","kg",1,"","","","",8.8,"",11,"Single superphosphate (SSP)",1,"","","","","","","","","","","","","","","","","","";"Impact Fertilisers","ZincStar","kg",1,"","","",10,21.9,0,2,"Monoammonium phosphate (MAP)",1,"Zinc",0.01,"","","","","","","","","","","","","","","","";"Baileys (Simplot) [listed as Impact]","Apex GaIXe Low P 21-1-6","kg",1,"","","",21,0.86,5.8,4.2,"Nitrogen - Generic",0.21,"Potassium - Generic",0.058,"Sulfur - Generic",0.042,"Phosphorus - Generic",0.0086,"","","","","","","","","","","","";"Incitec Pivot Fertilisers","SuPerfect","kg",1,"","","","",8.8,"",11,"Single superphosphate (SSP)",1,"","","","","","","","","","","","","","","","","","";"Incitec Pivot Fertilisers [listed as Summit]","Big N","kg",1,"","","",82.35,"","","","Ammonia",1,"","","","","","","","","","","","","","","","","","";"Incitec Pivot Fertilisers","Entec Urea","kg",1,"Yes","","",46,"","","","Urea",1,"","","","","","","","","","","","","","","","","","";"Incitec Pivot Fertilisers (or Ravensdown - see note)","Flexi-N NI only","kg",1,"Yes","","",45.54,"","","","Urea",0.99,"Urease/nitrification inhibitor",0.01,"","","","","","","","","","","","","","","","";"Nutri-Tech Solutions (NTS)","Muriate Of Potash MOP","kg",1,"","","","","",50,"","Muriate of potash (MOP)",1,"","","","","","","","","","","","","","","","","","";"Nuturf","MAP NUTURF","kg",1,"","","",10,21.9,"","","Monoammonium phosphate (MAP)",1,"","","","","","","","","","","","","","","","","","";"Campbells fertilisers Australia","Quick-N","kg",1,"","","",26,"","",13,"Sulphate of ammonia (SOA)",0.541667,"Ammonium nitrate (AN)",0.433976,"","","","","","","","","","","","","","","","";"SLTEC Fertilizers","UAS","L",1.235,"","","",26.6,"","",6.7,"Urea",0.450815,"Sulphate of ammonia (SOA)",0.279167,"","","","","","","","","","","","","","","","";"SLTEC Fertilizers","Triazone Urea","L",1.28,"","","",0,"","","","Urea",0.652174,"","","","","","","","","","","","","","","","","","";"Marnco [listed as SLTEC]","Ammo 36N","kg",1,"","","",36,"","",9.6,"Nitrogen - Generic",0.36,"Sulfur - Generic",0.096,"","","","","","","","","","","","","","","","";"Risso-Chemical","Risso Liquid NPK (200-200-200)","L",1.3,"","","",20,8.73,16.6,"","Nitrogen - Generic",0.2,"Phosphorus - Generic",0.08728,"Potassium - Generic",0.16602,"","","","","","","","","","","","","","";"Turf Group Australia (Simplot)","Super Cal 15-0-12","kg",1,"","","",15,"",9.96,"","Nitrogen - Nitrate",0.084737,"Potassium - Generic",0.099612,"Calcium nitrate",0.421053,"Magnesium",0.005,"Boron",0.0002,"","","","","","","","","","";"Incitec Pivot Fertilisers","CK 88","kg",1,"","","",15.1,4.4,11.5,13.6,"Nitrogen - Generic",0.151,"Phosphorus - Generic",0.044,"Potassium - Generic",0.115,"Sulfur - Generic",0.136,"","","","","","","","","","","","";"Incitec Pivot Fertilisers","CropLift 15","kg",1,"","","",14.6,12.1,"",11.6,"Nitrogen - Generic",0.146,"Phosphorus - Generic",0.121,"Sulfur - Generic",0.116,"","","","","","","","","","","","","","";"Incitec Pivot Fertilisers","NPKS 19-13-0-9","kg",1,"","","",19,13,0,9,"Nitrogen - Generic",0.19,"Phosphorus - Generic",0.13,"Sulfur - Generic",0.09,"","","","","","","","","","","","","","";"Incitec Pivot Fertilisers","PastureBoosta","kg",1,"","","",23.8,3.7,13,4.1,"Nitrogen - Generic",0.238,"Phosphorus - Generic",0.037,"Potassium - Generic",0.13,"Sulfur - Generic",0.041,"","","","","","","","","","","","";"Incitec Pivot Fertilisers","Greentop K","kg",1,"","","",32.8,"",11,2.9,"Urea",0.66087,"Nitrogen - Ammoniacal",0.024,"Potassium - Generic",0.11,"Sulfur - Generic",0.029,"","","","","","","","","","","","";"Incitec Pivot Fertilisers","HayBoosta","kg",1,"","","",11.7,4.7,23.9,4.6,"Nitrogen - Generic",0.117,"Phosphorus - Generic",0.047,"Potassium - Generic",0.239,"Sulfur - Generic",0.046,"","","","","","","","","","","",""}, _xlpm.r, _xlpm.c))))</definedName>
    <definedName name="Fertiliser_SourceData.Fertiliser_Products_Data4">_xlfn.LAMBDA(_xlfn.MAKEARRAY(30, 31, _xlfn.LAMBDA(_xlpm.r,_xlpm.c, INDEX({"Impact Fertilisers","Impact Super Potash 1&amp;1","kg",1,"","","","",4.4,25,5.5,"Single superphosphate (SSP)",0.5,"Muriate of potash (MOP)",0.5,"","","","","","","","","","","","","","","","";"Impact Fertilisers","Impact Super Potash 2&amp;1","kg",1,"","","","",5.84,16.8,7.29,"Single superphosphate (SSP)",0.663158,"Muriate of potash (MOP)",0.336,"","","","","","","","","","","","","","","","";"Impact Fertilisers","Impact Super Potash 3&amp;1","kg",1,"","","","",6.58,12.5,8.22,"Single superphosphate (SSP)",0.747368,"Muriate of potash (MOP)",0.25,"","","","","","","","","","","","","","","","";"Impact Fertilisers","Impact Super Potash 4&amp;1","kg",1,"","","","",7.04,10,8.8,"Single superphosphate (SSP)",0.8,"Muriate of potash (MOP)",0.2,"","","","","","","","","","","","","","","","";"Impact Fertilisers","Impact Super Potash 5&amp;1","kg",1,"","","","",7.32,8.4,9.15,"Single superphosphate (SSP)",0.831579,"Muriate of potash (MOP)",0.168,"","","","","","","","","","","","","","","","";"Pacific Fertiliser / Incitec Pivot Fertilisers","Cal-Gran","kg",1,"","","",23.9,"","",10.8,"Nitrogen - Nitrate",0.074,"Nitrogen - Ammoniacal",0.165,"Sulfur - Generic",0.108,"Calcium",0.044,"","","","","","","","","","","","";"Pacific Fertiliser / Incitec Pivot Fertilisers","Cal-Gran 50/50","kg",1,"","","",17.9,"",15,3.6,"Nitrogen - Nitrate",0.055,"Nitrogen - Ammoniacal",0.124,"Potassium - Generic",0.15,"Sulfur - Generic",0.036,"Calcium",0.044,"","","","","","","","","","";"Pacific Fertiliser / Incitec Pivot Fertilisers","Cal-Gran 50/50 (S)","kg",1,"","","",16.9,"",14.4,8.7,"Nitrogen - Nitrate",0.052,"Nitrogen - Ammoniacal",0.117,"Potassium - Generic",0.144,"Sulfur - Generic",0.087,"Calcium",0.044,"","","","","","","","","","";"Pacific Fertiliser / Incitec Pivot Fertilisers","Cal-Gran 130","kg",1,"","","",18.8,1,12.5,3.7,"Nitrogen - Nitrate",0.058,"Nitrogen - Ammoniacal",0.13,"Phosphorus - Generic",0.01,"Potassium - Generic",0.125,"Sulfur - Generic",0.037,"Calcium",0.044,"","","","","","","","";"Pacific Fertiliser / Incitec Pivot Fertilisers","Cal-Gran 150","kg",1,"","","",18.6,3,12.5,1.4,"Nitrogen - Nitrate",0.058,"Nitrogen - Ammoniacal",0.128,"Phosphorus - Generic",0.03,"Potassium - Generic",0.125,"Sulfur - Generic",0.014,"Calcium",0.044,"","","","","","","","";"Pacific Fertiliser / Incitec Pivot Fertilisers","Cal-Gran Extra K","kg",1,"","","",15.8,"",19,3.2,"Nitrogen - Nitrate",0.049,"Nitrogen - Ammoniacal",0.109,"Potassium - Generic",0.19,"Sulfur - Generic",0.032,"Calcium",0.039,"","","","","","","","","","";"Incitec Pivot Fertilisers","Dairy Pro","kg",1,"","","",25.9,3.9,15.9,0.3,"Nitrogen - Generic",0.259,"Phosphorus - Generic",0.039,"Potassium - Generic",0.159,"Sulfur - Generic",0.003,"","","","","","","","","","","","";"Yara Australia","YaraMila ACTYVA S","kg",1,"","","",15.6,6.37,12.45,2.6,"Nitrogen - Nitrate",0.058,"Nitrogen - Ammoniacal",0.098,"Phosphorus - Generic",0.063714,"Potassium - Generic",0.124515,"Sulfur - Generic",0.026,"","","","","","","","","","";"CSBP","Agflow Extra","kg",1,"","","",11.15,17.52,"",3.6,"Monoammonium phosphate (MAP)",0.8,"Sulphate of ammonia (SOA)",0.15,"Copper","No data","Molybdenum","No data","Zinc","No data","","","","","","","","","","";"CSBP","Super &amp; Potash 3:1","kg",1,"","","","",5.5,15,6.88,"Single superphosphate (SSP)",0.625,"Muriate of potash (MOP)",0.3,"","","","","","","","","","","","","","","","";"Yara","YaraBela CAN-27","kg",1,"","","",27,"","","","Calcium ammonium nitrate (CAN)",1,"","","","","","","","","","","","","","","","","","";"Incitec Pivot Fertilisers","Cal-Gran Aftergraze","kg",1,"","","",20.6,3,7.5,3.8,"Nitrogen - Nitrate",0.064,"Nitrogen - Ammoniacal",0.142,"Phosphorus - Generic",0.03,"Potassium - Generic",0.075,"Sulfur - Generic",0.038,"Calcium",0.044,"","","","","","","","";"Incitec Pivot Fertilisers","Cal-Gran Prodress","kg",1,"","","",17.8,1,15,2.5,"Nitrogen - Nitrate",0.055,"Nitrogen - Ammoniacal",0.123,"Phosphorus - Generic",0.01,"Potassium - Generic",0.15,"Sulfur - Generic",0.025,"Calcium",0.044,"","","","","","","","";"Wengfu Australia","Wengfu PrimeZinc 10","kg",1,"","","",10,22,"",1.5,"Nitrogen - Generic",0.1,"Phosphorus - Generic",0.22,"Sulfur - Generic",0.015,"Zinc",0.01,"","","","","","","","","","","","";"Wengfu Australia","Wengfu Pasture King","kg",1,"","","","",15.7,"",4.6,"Phosphorus - Generic",0.157,"Sulfur - Generic",0.046,"Calcium",0.14,"","","","","","","","","","","","","","";"Wengfu Australia","Wengfu SuStain","kg",1,"","","","","","",90,"Sulfur - Generic",0.9,"","","","","","","","","","","","","","","","","","";"Wengfu Australia","Wengfu Slam","kg",1,"","","",19.5,0.7,"",23,"Nitrogen - Generic",0.195,"Phosphorus - Generic",0.007,"Sulfur - Generic",0.23,"","","","","","","","","","","","","","";"Wengfu Australia","Wengfu Prime MSZ","kg",1,"","","",10,18,"",8,"Nitrogen - Generic",0.1,"Phosphorus - Generic",0.18,"Sulfur - Generic",0.08,"Zinc",0.005,"","","","","","","","","","","","";"Wengfu Australia","Wengfu 9-20-0-10 MAP SuStain","kg",1,"","","",9,19.8,0,10.4,"Nitrogen - Generic",0.09,"Phosphorus - Generic",0.198,"Sulfur - Generic",0.104,"","","","","","","","","","","","","","";"Wengfu Australia","Wengfu 15-17-0-15 DAP SuStain","kg",1,"","","",15.2,16.9,0,15.2,"Nitrogen - Generic",0.152,"Phosphorus - Generic",0.169,"Sulfur - Generic",0.152,"","","","","","","","","","","","","","";"Wengfu Australia","Wengfu 16-18-0-10 DAP SuStain","kg",1,"","","",16.2,18,0,10.4,"Nitrogen - Generic",0.162,"Phosphorus - Generic",0.18,"Sulfur - Generic",0.104,"","","","","","","","","","","","","","";"Wengfu Australia","Wengfu 5-15-0-6 Fast Start Legume","kg",1,"","","",5,15.4,0,6.3,"Nitrogen - Generic",0.05,"Phosphorus - Generic",0.154,"Sulfur - Generic",0.063,"","","","","","","","","","","","","","";"Wengfu Australia","Wengfu 9-20-0-10 PrimeZinc","kg",1,"","","",9,19.8,0,10.4,"Nitrogen - Generic",0.09,"Phosphorus - Generic",0.198,"Sulfur - Generic",0.104,"Zinc",0.009,"","","","","","","","","","","","";"Wengfu Australia","Wengfu 12-18-0-6 PrimeZinc","kg",1,"","","",11.9,17.6,0,5.9,"Nitrogen - Generic",0.119,"Phosphorus - Generic",0.176,"Sulfur - Generic",0.059,"Zinc",0.008,"","","","","","","","","","","","";"Wengfu Australia","Wengfu 14-13-0-11 PrimeZinc","kg",1,"","","",14.1,12.8,0,10.7,"Nitrogen - Generic",0.141,"Phosphorus - Generic",0.128,"Sulfur - Generic",0.107,"Zinc",0.006,"","","","","","","","","","","",""}, _xlpm.r, _xlpm.c))))</definedName>
    <definedName name="Fertiliser_SourceData.Fertiliser_Products_Data5">_xlfn.LAMBDA(_xlfn.MAKEARRAY(14, 31, _xlfn.LAMBDA(_xlpm.r,_xlpm.c, INDEX({"Wengfu Australia","Wengfu 19-13-0-7 PrimeZinc","kg",1,"","","",18.6,12.7,0,6.8,"Nitrogen - Generic",0.186,"Phosphorus - Generic",0.127,"Sulfur - Generic",0.068,"Zinc",0.006,"","","","","","","","","","","","";"Wengfu Australia","Wengfu Booster K","kg",1,"","","",32,0,11,3,"Nitrogen - Generic",0.32,"Potassium - Generic",0.11,"Sulfur - Generic",0.03,"","","","","","","","","","","","","","";"Wengfu Australia","Wengfu Booster Rich 1","kg",1,"","","",31,6,0,6,"Nitrogen - Generic",0.31,"Phosphorus - Generic",0.06,"Sulfur - Generic",0.06,"","","","","","","","","","","","","","";"Wengfu Australia","Wengfu Booster Grass DAP","kg",1,"","","",21,4,8,7,"Nitrogen - Generic",0.21,"Phosphorus - Generic",0.04,"Potassium - Generic",0.08,"Sulfur - Generic",0.07,"","","","","","","","","","","","";"Wengfu Australia","Wengfu Aftergraze","kg",1,"","","",23,0,25,0,"Nitrogen - Generic",0.23,"Potassium - Generic",0.25,"","","","","","","","","","","","","","","","";"Wengfu Australia","Wengfu Sidedress","kg",1,"","","",25,4,13,4,"Nitrogen - Generic",0.25,"Phosphorus - Generic",0.04,"Potassium - Generic",0.13,"Sulfur - Generic",0.04,"","","","","","","","","","","","";"Wengfu Australia","Wengfu Pasture Booster","kg",1,"","","",13,5,24,5,"Nitrogen - Generic",0.13,"Phosphorus - Generic",0.05,"Potassium - Generic",0.24,"Sulfur - Generic",0.05,"","","","","","","","","","","","";"Wengfu Australia","Wengfu DAP Hay Booster","kg",1,"","","",11,5,24,4,"Nitrogen - Generic",0.11,"Phosphorus - Generic",0.05,"Potassium - Generic",0.24,"Sulfur - Generic",0.04,"","","","","","","","","","","","";"Wengfu Australia","Wengfu MAP Hay Booster","kg",1,"","","",11,8,20,6,"Nitrogen - Generic",0.11,"Phosphorus - Generic",0.08,"Potassium - Generic",0.2,"Sulfur - Generic",0.06,"","","","","","","","","","","","";"Wengfu Australia","Wengfu Fodder Booster","kg",1,"","","",9,4,5,15,"Nitrogen - Generic",0.09,"Phosphorus - Generic",0.04,"Potassium - Generic",0.05,"Sulfur - Generic",0.15,"","","","","","","","","","","","";"CSBP","K-Till Extra","kg",1,"","","",10.73,10.95,11.35,6.55,"Monoammonium phosphate (MAP)",0.5,"Sulphate of ammonia (SOA)",0.273,"Muriate of potash (MOP)",0.227,"Copper","No data","Zinc","No data","","","","","","","","","","";"CSBP","Agras Extra","kg",1,"","","",16.95,8.06,"",15.17,"Sulphate of ammonia (SOA)",0.632,"Monoammonium phosphate (MAP)",0.368,"Zinc","No data","Copper","No data","Molybdenum","No data","Cobalt","No data","","","","","","","","";"CSBP","Super Copper Zinc Moly","kg",1,"","","","",8.8,"",11,"Single superphosphate (SSP)",1,"Copper",0.006,"Zinc",0.003,"Molybdenum",0.0006,"","","","","","","","","","","","";"CSBP","Flexi-N","L",1.32,"","","",32,"","","","Urea-ammonium nitrate (UAN)",1,"","","","","","","","","","","","","","","","","",""}, _xlpm.r, _xlpm.c))))</definedName>
    <definedName name="Fertiliser_SourceData.Fertiliser_Products_Description">_xlfn.LAMBDA(("Popular fertiliser products used in Australia, along with their chemical compound composition"))</definedName>
    <definedName name="Fertiliser_SourceData.Fertiliser_Products_Source">_xlfn.LAMBDA((""))</definedName>
    <definedName name="Fertiliser_SourceData.Fertiliser_Products_Title">_xlfn.LAMBDA(("Branded fertiliser products and their chemical composition"))</definedName>
    <definedName name="Fertiliser_SourceData.Fertiliser_UreaAmmoniaSourceRegions_Data">_xlfn.LAMBDA(_xlfn.MAKEARRAY(5, 1, _xlfn.LAMBDA(_xlpm.r,_xlpm.c, INDEX({"Source";"Global";"Canada";"China";"Yemen"}, _xlpm.r, _xlpm.c))))</definedName>
    <definedName name="Fertiliser_SourceData.Fertiliser_UreaAmmoniaSourceRegions_Source">_xlfn.LAMBDA("Lifecycles. (2026). Greenhouse Gas Emission Intensities for Material Inputs to Australian Agriculture, Fisheries and Forestry. Version 48. doi 10.5281/zenodo.19656580")</definedName>
    <definedName name="Fertiliser_SourceData.Fertiliser_UreaAmmoniaSourceRegions_Title">_xlfn.LAMBDA("Source regions for urea and ammonia")</definedName>
    <definedName name="Fuel_Equations.VEERG_8_1_1_1__1_FuelCombustionTransport">_xlfn.LAMBDA(_xlpm.Q_Transtq,_xlpm.EC_Transq,_xlpm.EF_Trans1tqg, Fuel_Equations.VEERG_8_FuelCombustion(_xlpm.Q_Transtq, _xlpm.EC_Transq, _xlpm.EF_Trans1tqg))</definedName>
    <definedName name="Fuel_Equations.VEERG_8_1_1_1__1_FuelCombustionTransport_Arguments">_xlfn.LAMBDA(_xlfn.MAKEARRAY(7, 4, _xlfn.LAMBDA(_xlpm.r,_xlpm.c, INDEX({"Q_Transtq","Amount of fuel type q combusted for transport energy purposes","Varies based on fuel type: kL, m3, GJ","Input";"EC_Transq","Energy content factor for transport energy purposes","GJ / unit of fuel","Constant";"EF_Trans1tqg","Scope 1 emission factor for transport energy purposes for each greenhouse gas","kg CO2e / GJ","Constant";"q","Fuel type","","Constant";"Trans","Transport combustion","","Constant";"g","Greenhouse gas","","Constant";"1","Scope 1","","Constant"}, _xlpm.r, _xlpm.c))))</definedName>
    <definedName name="Fuel_Equations.VEERG_8_1_1_1__1_FuelCombustionTransport_LatexEquation">_xlfn.LAMBDA("E_g=\sum\nolimits_t \sum\nolimits_q\left(Q_{Trans,tq}\times EC_{Trans,q}\times EF_{Trans,1,tqg}\right)\times 10^{-3}")</definedName>
    <definedName name="Fuel_Equations.VEERG_8_1_1_1__1_FuelCombustionTransport_NIRReference">_xlfn.LAMBDA("Australian National Greenhouse Accounts Factors 2025 - 2.3 Estimating emissions from transport fuels")</definedName>
    <definedName name="Fuel_Equations.VEERG_8_1_1_1__1_FuelCombustionTransport_Source">_xlfn.LAMBDA("VEERG 2026: 8.1.1.1, Equation (1)")</definedName>
    <definedName name="Fuel_Equations.VEERG_8_1_1_1__1_FuelCombustionTransport_Title">_xlfn.LAMBDA("Emissions for each GHG from the combustion of fuels for transport energy purposes")</definedName>
    <definedName name="Fuel_Equations.VEERG_8_1_1_1__1_FuelCombustionTransport_Unit">_xlfn.LAMBDA("t CO2-e")</definedName>
    <definedName name="Fuel_Equations.VEERG_8_1_1_1__1_FuelCombustionTransport_Variable">_xlfn.LAMBDA("E_g")</definedName>
    <definedName name="Fuel_Equations.VEERG_8_2_1_1__1_FuelCombustionStationary">_xlfn.LAMBDA(_xlpm.Q_SCq,_xlpm.EC_SCq,_xlpm.EF_SC1qg, Fuel_Equations.VEERG_8_FuelCombustion(_xlpm.Q_SCq, _xlpm.EC_SCq, _xlpm.EF_SC1qg))</definedName>
    <definedName name="Fuel_Equations.VEERG_8_2_1_1__1_FuelCombustionStationary_Arguments">_xlfn.LAMBDA(_xlfn.MAKEARRAY(7, 4, _xlfn.LAMBDA(_xlpm.r,_xlpm.c, INDEX({"Q_SCq","Amount of fuel type q used for stationary combustion operations","Varies based on fuel type: kL, m3, GJ","Input";"EC_SCq","Energy content factor for stationary combustion operations","GJ / unit of fuel","Constant";"EF_SC1qg","Scope 1 emission factor for stationary combustion for each greenhouse gas","kg CO2e / GJ","Constant";"q","Fuel type","","Constant";"SC","Stationary combustion","","Constant";"g","Greenhouse gas","","Constant";"1","Scope 1","","Constant"}, _xlpm.r, _xlpm.c))))</definedName>
    <definedName name="Fuel_Equations.VEERG_8_2_1_1__1_FuelCombustionStationary_LatexEquation">_xlfn.LAMBDA("E_g=\sum\nolimits_t \sum\nolimits_q\left(Q_{SC,q}\times EC_{SC,q}\times EF_{SC,1,qg}\right)\times 10^{-3}")</definedName>
    <definedName name="Fuel_Equations.VEERG_8_2_1_1__1_FuelCombustionStationary_NIRReference">_xlfn.LAMBDA("Australian National Greenhouse Accounts Factors 2025 - 2.2 Estimating emissions from stationary energy sources - Calculating emissions from stationary combustion of liquid fuels")</definedName>
    <definedName name="Fuel_Equations.VEERG_8_2_1_1__1_FuelCombustionStationary_Source">_xlfn.LAMBDA("VEERG 2026: 8.2.1.1, Equation (1)")</definedName>
    <definedName name="Fuel_Equations.VEERG_8_2_1_1__1_FuelCombustionStationary_Title">_xlfn.LAMBDA("Emissions for each GHG from the stationary combustion of fuels")</definedName>
    <definedName name="Fuel_Equations.VEERG_8_2_1_1__1_FuelCombustionStationary_Unit">_xlfn.LAMBDA("t CO2-e")</definedName>
    <definedName name="Fuel_Equations.VEERG_8_2_1_1__1_FuelCombustionStationary_Variable">_xlfn.LAMBDA("E_g")</definedName>
    <definedName name="Fuel_Equations.VEERG_8_FuelCombustion">_xlfn.LAMBDA(_xlpm.Q,_xlpm.EC,_xlpm.EF, (_xlpm.Q * _xlpm.EC * _xlpm.EF) * 10 ^ -3)</definedName>
    <definedName name="Fuel_InputFunctions.Fuel_GetStationaryFuelString">_xlfn.LAMBDA(_xlpm.Cell,
    RIGHT(_xlpm.Cell,LEN(_xlpm.Cell)-FIND(", ",_xlpm.Cell))
)</definedName>
    <definedName name="Fuel_InputFunctions.Fuel_GetTransportFuelString">_xlfn.LAMBDA(_xlpm.Cell, LEFT(_xlpm.Cell, FIND(", ", _xlpm.Cell) - 1))</definedName>
    <definedName name="Fuel_InputFunctions.Fuel_TotalConsumption">_xlfn.LAMBDA(_xlpm.FuelConsumptionArray,_xlpm.FuelUseArray,_xlpm.FuelUse,_xlpm.FuelTypeArray,_xlpm.FuelType, IFERROR(SUM(_xlfn._xlws.FILTER(_xlpm.FuelConsumptionArray, (_xlpm.FuelTypeArray = _xlpm.FuelType) * (_xlpm.FuelUseArray = _xlpm.FuelUse))), 0))</definedName>
    <definedName name="Fuel_SourceData.Fuel_Scope1EmissionFactorsStationaryGaseous_Data">_xlfn.LAMBDA(
  _xlfn.MAKEARRAY(19, 7,
    _xlfn.LAMBDA(_xlpm.r,_xlpm.c,
      INDEX({"Fuel combusted","Energy Content Factor (GJ per unit of fuel)","Fuel unit","Scope 1 Emission Factor (kg CO2 - e / GJ) CO2","Scope 1 Emission Factor (kg CO2 - e / GJ) CH4","Scope 1 Emission Factor (kg CO2 - e / GJ) N2O","Scope 1 Emission Factor (kg CO2 - e / GJ) Combined gases";"Natural gas distributed in a pipeline",0.0393,"m3",51.4,0.1,0.03,51.53;"Coal seam methane that is captured for combustion",0.0377,"m3",51.4,0.2,0.03,51.63;"Coal mine waste gas that is captured for combustion",0.0377,"m3",51.9,4.6,0.3,56.8;"Compressed natural gas(reverting to standard conditions)",0.0393,"m3",51.4,0.1,0.03,51.53;"Unprocessed natural gas",0.0393,"m3",51.4,0.1,0.03,51.53;"Ethane",0.0629,"m3",56.5,0.03,0.03,56.56;"Coke oven gas",0.0181,"m3",37,0.03,0.05,37.08;"Blast furnace gas",0.004,"m3",234,0.03,0.02,234.05;"Town gas",0.039,"m3",60.2,0.04,0.03,60.27;"Liquefied natural gas",25.3,"kL",51.4,0.1,0.03,51.53;"Gaseous fossil fuels other than those mentioned in the items above",0.039,"m3",51.4,0.1,0.03,51.53;"Landfill biogas that is captured for combustion (methane only)",0.0377,"m3",0,6.4,0.03,6.43;"Sludge biogas that is captured for combustion (methane only)",0.0377,"m3",0,6.4,0.03,6.43;"A biogas that is captured for combustion, other than those mentioned in the items above",0.037,"m3",0,6.4,0.03,6.43;"Biomethane",0.0393,"m3",0,0.1,0.03,0.13;"Hydrogen",0.0122,"m3",0,0,0.5,0.5;"Natural gas distributed in a pipeline - Gigajoules",1,"GJ",51.4,0.1,0.03,51.53;"Town gas - Gigajoules",1,"GJ",60.2,0.04,0.03,60.27}, _xlpm.r, _xlpm.c)
)))</definedName>
    <definedName name="Fuel_SourceData.Fuel_Scope1EmissionFactorsStationaryGaseous_Description">_xlfn.LAMBDA(("Direct (Scope 1) emission factors for the consumption of gaseous fuels including liquefied natural gas  "))</definedName>
    <definedName name="Fuel_SourceData.Fuel_Scope1EmissionFactorsStationaryGaseous_Source">_xlfn.LAMBDA(("Australian National Greenhouse Accounts Factors 2025 - Table 5"))</definedName>
    <definedName name="Fuel_SourceData.Fuel_Scope1EmissionFactorsStationaryGaseous_Title">_xlfn.LAMBDA(("Fuel scope 1 emission factors - Stationary gaseous fuels"))</definedName>
    <definedName name="Fuel_SourceData.Fuel_Scope1EmissionFactorsStationaryGaseous_Variation">_xlfn.LAMBDA(("VARIATION OF SOURCE DATA: 'Natural gas distributed in a pipeline - Gigajoules' and 'Town gas - Gigajoules' were added, each with an energy content factor of 1 GJ per unit of fuel. This is for users who have fuel consumption data in GJ rather than m3."))</definedName>
    <definedName name="Fuel_SourceData.Fuel_Scope1Scope3EmissionFactorsStationaryLiquid_Data">_xlfn.LAMBDA(
  _xlfn.MAKEARRAY(25, 8,
    _xlfn.LAMBDA(_xlpm.r,_xlpm.c,
      INDEX({"Fuel combusted","Energy Content Factor (GJ per unit of fuel)","Fuel unit","Scope 1 Emission Factor (kg CO2 - e / GJ) CO2","Scope 1 Emission Factor (kg CO2 - e / GJ) CH4","Scope 1 Emission Factor (kg CO2 - e / GJ) N2O","Scope 1 Emission Factor (kg CO2 - e / GJ) Combined gases","Scope 3 Emission Factor (kg CO2 - e / GJ)";"Petroleum based oils (other than petroleum based oil used as fuel), e.g. lubricants",38.8,"kl",13.9,0,0,13.9,18;"Petroleum based greases",38.8,"kl",3.5,0,0,3.5,18;"Crude oil including crude oil condensates",45.3,"t",69.6,0.08,0.2,69.88,"NE";"Other natural gas liquids",46.5,"t",61,0.08,0.2,61.28,"NE";"Automotive gasoline / petrol (other than for use as fuel in an aircraft)",34.2,"kL",67.4,0.2,0.2,67.8,17.2;"Aviation gasoline",33.1,"kL",67,0.2,0.2,67.4,18;"Kerosene (other than for use as fuel in an aircraft)",37.5,"kL",68.9,0.01,0.2,69.11,18;"Aviation turbine fuel / kerosene",36.8,"kL",69.6,0.02,0.2,69.82,18;"Heating oil",37.3,"kL",69.5,0.03,0.2,69.73,18;"Diesel oil",38.6,"kL",69.9,0.1,0.2,70.2,17.3;"Fuel oil",39.7,"kL",73.6,0.04,0.2,73.84,18;"Liquefied aromatic hydrocarbons",34.4,"kL",69.7,0.03,0.2,69.93,18;"Solvents: mineral turpentine or white spirits",34.4,"kL",69.7,0.03,0.2,69.93,18;"Liquefied petroleum gas (LPG)",25.7,"kL",60.2,0.2,0.2,60.6,20.2;"Naphtha",31.4,"kL",69.8,0.01,0.01,69.82,18;"Petroleum coke",34.2,"t",92.6,0.08,0.2,92.88,18;"Refinery gas and liquids",42.9,"t",54.7,0.03,0.03,54.76,18;"Refinery coke",34.2,"t",92.6,0.08,0.2,92.88,18;"Petroleum based products other than mentioned in the items above",34.4,"kL",69.8,0.02,0.1,69.92,18;"Biodiesel",34.6,"kL",0,0.08,0.2,0.28,"NE";"Ethanol for use as a fuel in an internal combustion engine",23.4,"kL",0,0.08,0.2,0.28,"NE";"Biofuels other than those mentioned in the items above and below",23.4,"kL",0,0.08,0.2,0.28,"NE";"Renewable aviation kerosene",36.8,"kL",0,0.02,0.2,0.22,"NE";"Renewable diesel",38.6,"kL",0,0.1,0.2,0.3,"NE"}, _xlpm.r, _xlpm.c)
)))</definedName>
    <definedName name="Fuel_SourceData.Fuel_Scope1Scope3EmissionFactorsStationaryLiquid_Description">_xlfn.LAMBDA(("Direct (Scope 1) and indirect (scope 3) emission factors for the consumption of liquid fuels, including certain petroleum based products for stationary energy purposes."))</definedName>
    <definedName name="Fuel_SourceData.Fuel_Scope1Scope3EmissionFactorsStationaryLiquid_Source">_xlfn.LAMBDA(("Australian National Greenhouse Accounts Factors 2025 - Table 8"))</definedName>
    <definedName name="Fuel_SourceData.Fuel_Scope1Scope3EmissionFactorsStationaryLiquid_Title">_xlfn.LAMBDA(("Fuel scope 1 and 3 emission factors - Stationary liquid fuels"))</definedName>
    <definedName name="Fuel_SourceData.Fuel_Scope1Scope3EmissionFactorsStationaryLiquid_Variation">_xlfn.LAMBDA("VARIATION OF SOURCE DATA: 'NE' values returned as zero for calculations.")</definedName>
    <definedName name="Fuel_SourceData.Fuel_Scope1Scope3EmissionFactorsTransport_Data">_xlfn.LAMBDA(
  _xlfn.MAKEARRAY(26, 10,
    _xlfn.LAMBDA(_xlpm.r,_xlpm.c,
      INDEX({"Transport type","Fuel combusted","Energy Content Factor(GJ per unit of fuel)","Fuel unit","Scope 1 Emission Factor (kg CO2 - e / GJ) CO2","Scope 1 Emission Factor (kg CO2 - e / GJ) CH4","Scope 1 Emission Factor (kg CO2 - e / GJ) N2O","Scope 1 Emission Factor (kg CO2 - e / GJ) Combined gases","Scope 3 Emission Factor (kg CO2 - e / GJ)","Source";"Cars and light commercial vehicles","Gasoline",34.2,"kl",67.4,0.02,0.2,67.62,17.2,"NGAF 2025: Table 9";"Cars and light commercial vehicles","Diesel oil",38.6,"kl",69.9,0.01,0.5,70.41,17.3,"NGAF 2025: Table 9";"Cars and light commercial vehicles","Liquefied petroleum gas (LPG)",26.2,"kl",60.2,0.5,0.3,61,20.2,"NGAF 2025: Table 9";"Cars and light commercial vehicles","Fuel oil",39.7,"kl",73.6,0.08,0.5,74.18,18,"NGAF 2025: Table 9";"Cars and light commercial vehicles","Ethanol",23.4,"kl",0,0.2,0.2,0.4,"NE","NGAF 2025: Table 9";"Cars and light commercial vehicles","Biodiesel",34.6,"kl",0,0.8,1.7,2.5,"NE","NGAF 2025: Table 9";"Cars and light commercial vehicles","Renewable diesel",38.6,"kl",0,0.01,0.5,0.51,"NE","NGAF 2025: Table 9";"Cars and light commercial vehicles","Other biofuels",23.4,"kl",0,0.8,1.7,2.5,"NE","NGAF 2025: Table 9";"Light duty vehicles","Compressed natural gas",0.0393,"m3",51.4,7.3,0.3,59,18,"NGAF 2025: Table 9";"Light duty vehicles","Liquefied natural gas",25.3,"kl",51.4,7.3,0.3,59,18,"NGAF 2025: Table 9";"Heavy duty vehicles","Compressed natural gas",0.0393,"m3",51.4,2.8,0.3,54.5,18,"NGAF 2025: Table 9";"Heavy duty vehicles","Liquefied natural gas",25.3,"kl",51.4,2.8,0.3,54.5,18,"NGAF 2025: Table 9";"Heavy duty vehicles","Diesel oil - Euro iv or higher",38.6,"kl",69.9,0.07,0.4,70.37,17.3,"NGAF 2025: Table 9";"Heavy duty vehicles","Diesel oil - Euro iii",38.6,"kl",69.9,0.1,0.4,70.4,17.3,"NGAF 2025: Table 9";"Heavy duty vehicles","Diesel oil - Euro i",38.6,"kl",69.9,0.2,0.4,70.5,17.3,"NGAF 2025: Table 9";"Heavy duty vehicles","Renewable diesel – Euro iv or higher",38.6,"kl",0,0.07,0.4,0.47,"NE","NGAF 2025: Table 9";"Heavy duty vehicles","Renewable diesel – Euro iii",38.6,"kl",0,0.1,0.4,0.5,"NE","NGAF 2025: Table 9";"Heavy duty vehicles","Renewable diesel – Euro i",38.6,"kl",0,0.2,0.4,0.6,"NE","NGAF 2025: Table 9";"Aviation","Gasoline for use as fuel in an aircraft",33.1,"kl",67,0.06,0.6,67.66,18,"NGAF 2025: Table 9";"Aviation","Kerosene for use as fuel in an aircraft",36.8,"kl",69.6,0.01,0.6,70.21,18,"NGAF 2025: Table 9";"Aviation","Renewable aviation kerosene",36.8,"kl",0,0.01,0.6,0.61,"NE","NGAF 2025: Table 9";"Vessels","Gasoline",34.2,"kL",67.4,10.1,0.3,"",17.2,"VEERG 2026: Table A.4.2.1";"Vessels","Diesel oil",38.6,"kL",69.9,0.2,0.5,"",17.3,"VEERG 2026: Table A.4.2.1";"Vessels","Fuel Oil",39.7,"kL",73.6,0.2,0.5,"",18,"VEERG 2026: Table A.4.2.1";"Off-road Agriculture and forestry equipment","Diesel oil",38.6,"kL",69.9,0.3,0.5,"",17.3,"VEERG 2026: Table A.4.2.1"}, _xlpm.r, _xlpm.c)
)))</definedName>
    <definedName name="Fuel_SourceData.Fuel_Scope1Scope3EmissionFactorsTransport_Description">_xlfn.LAMBDA(("Direct (scope 1) and indirect (scope 3) emission factors for the consumption of transport fuels in different transport equipment"))</definedName>
    <definedName name="Fuel_SourceData.Fuel_Scope1Scope3EmissionFactorsTransport_Source">_xlfn.LAMBDA(("Australian National Greenhouse Accounts Factors 2025 - Table 9"))</definedName>
    <definedName name="Fuel_SourceData.Fuel_Scope1Scope3EmissionFactorsTransport_Title">_xlfn.LAMBDA(("Fuel scope 1 and 3 emission factors - Transport"))</definedName>
    <definedName name="Fuel_SourceData.Fuel_Scope1Scope3EmissionFactorsTransport_Variation">_xlfn.LAMBDA("VARIATION OF SOURCE DATA: 'NE' values returned as zero for calculations.")</definedName>
    <definedName name="Fuel_SourceData.Fuel_Scope1Scope3EmissionFactorsTransportOffRoad_Data">_xlfn.LAMBDA(
  _xlfn.MAKEARRAY(5, 7,
    _xlfn.LAMBDA(_xlpm.r,_xlpm.c,
      INDEX({"Transport type t","Fuel type q","ECTrans,q (GJ/kL)","Scope 1 CO2 EFTran,1,tqg (kg CO2-e/GJ)","Scope 1 CH4 EFTran,1,tgg (kg CO2-e/GJ)","Scope 1 N2O EFTran,1,tgg (kg CO2-e/GJ)","Scope 3 EFTrans,3,q (kg CO2-e/GJ)";"Vessel","Petrol",34.2,67.4,10.1,0.3,17.2;"Vessel","Diesel",38.6,69.9,0.2,0.5,17.3;"Vessel","Fuel Oil",39.7,73.6,0.2,0.5,18;"Off-road Agriculture and forestry equipment","Diesel",38.6,69.9,0.3,0.5,17.3}, _xlpm.r, _xlpm.c)
)))</definedName>
    <definedName name="Fuel_SourceData.Fuel_Scope1Scope3EmissionFactorsTransportOffRoad_Description">_xlfn.LAMBDA(("Direct (scope 1) and indirect (scope 3) emission factors for the consumption of fuels in off-road equipment and vessels"))</definedName>
    <definedName name="Fuel_SourceData.Fuel_Scope1Scope3EmissionFactorsTransportOffRoad_Source">_xlfn.LAMBDA(("VEERG 2026: Table A.4.2.1"))</definedName>
    <definedName name="Fuel_SourceData.Fuel_Scope1Scope3EmissionFactorsTransportOffRoad_Title">_xlfn.LAMBDA(("Fuel scope 1 and 3 emission factors - Off-road equipment and vessels"))</definedName>
    <definedName name="Fuel_SourceData.Fuel_Scope3EmissionFactorsStationaryGaseous_Appendices">_xlfn.LAMBDA(_xlfn.MAKEARRAY(12, 2, _xlfn.LAMBDA(_xlpm.r,_xlpm.c, INDEX({"-","As Scope 3 factors are calculated at the point where natural gas is delivered to end users, it is necessary to calculate consumption at each of the load centres.";"","Gas reaches end users either from the metro distribution networks or direct from the high - pressure distribution pipelines.";"","Households and commercial users tend to be served by the former, and electricity generators and large industrial plants from the latter.";"-","Metro is defined as located on or east of the dividing range in NSW, including Canberra and Queanbeyan, Melbourne, Brisbane, Adelaide or Perth.";"","Otherwise, the non - metro factor should be used.";"-","Factors are calculated for all natural gas distributed in a pipeline which may include coal seam methane.";"-","Table 6 is not applicable to ethane. See Table 7 Indirect (Scope 3) emissions from the consumption of ethane.";"-","C = Confidential. Scope 3 emission factors for Tasmania and the Northern Territory are not available due to confidentiality constraints that arise";"","from the use of a limited number of NGER data inputs. It is suggested that for Tasmania the use of the Victorian emission factors is appropriate,";"","while for Northern Territory the use of the Western Australian emission factors is appropriate.";"-","Scope 3 emission factors do not include fugitive emission leakage from low pressure natural gas distribution pipeline networks while those from high pressure";"","gas networks are considered negligible."}, _xlpm.r, _xlpm.c))))</definedName>
    <definedName name="Fuel_SourceData.Fuel_Scope3EmissionFactorsStationaryGaseous_Data">_xlfn.LAMBDA(
  _xlfn.MAKEARRAY(9, 3,
    _xlfn.LAMBDA(_xlpm.r,_xlpm.c,
      INDEX({"State or territory","Scope 3 Emission Factors for Natural Gas (kg CO2 - e / GJ) Metro","Scope 3 Emission Factors for Natural Gas (kg CO2 - e / GJ) Non - Metro";"New South Wales",13.1,14;"ACT",13.1,14;"Victoria",4,4;"Queensland",8.8,7.9;"South Australia",10.7,10.6;"Western Australia",4.1,4;"Tasmania",4,4;"Northern Territory",4.1,4}, _xlpm.r, _xlpm.c)
)))</definedName>
    <definedName name="Fuel_SourceData.Fuel_Scope3EmissionFactorsStationaryGaseous_Description">_xlfn.LAMBDA(("Indirect (Scope 3) emission factors for the consumption of natural gas."))</definedName>
    <definedName name="Fuel_SourceData.Fuel_Scope3EmissionFactorsStationaryGaseous_Source">_xlfn.LAMBDA(("Australian National Greenhouse Accounts Factors 2025 - Table 6"))</definedName>
    <definedName name="Fuel_SourceData.Fuel_Scope3EmissionFactorsStationaryGaseous_Title">_xlfn.LAMBDA(("Fuel scope 3 emission factors - Stationary gaseous fuels"))</definedName>
    <definedName name="Fuel_SourceData.Fuel_Scope3EmissionFactorsStationaryGaseous_Variation">_xlfn.LAMBDA(("VARIATION OF SOURCE DATA: NSW and ACT split into separate rows. 'C' Values for Tasmania and Northern Territory replaced with those for Victoria and Western Australia respectively. (See appendices)"))</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Functions_Dairy.CalculateFractionInMMSAfterSolidSeparation">_xlfn.LAMBDA(_xlpm.ProductionSystem,_xlpm.MMSFraction,_xlpm.FractionSeparated, _xlpm.ProductionSystem * (_xlpm.MMSFraction - (_xlpm.MMSFraction * _xlpm.FractionSeparated)))</definedName>
    <definedName name="InputFunctions_Dairy.CalculateFractionInSolidStorage">_xlfn.LAMBDA(_xlpm.ProductionSystem,_xlpm.InitalSolidStorageFraction,_xlpm.MMS1Fraction,_xlpm.MMS1Separated,_xlpm.MMS2Fraction,_xlpm.MMS2Separated,_xlpm.MMS3Fraction,_xlpm.MMS3Separated, _xlpm.ProductionSystem * (_xlpm.InitalSolidStorageFraction + (_xlpm.MMS1Fraction * _xlpm.MMS1Separated) + (_xlpm.MMS2Fraction * _xlpm.MMS2Separated) + (_xlpm.MMS3Fraction * _xlpm.MMS3Separated)))</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1_Table_E_CO2">'5.1.1.3-4 Inorganic fert CO2'!$D$57:$E$76</definedName>
    <definedName name="M1_Table_E_N2O">'5.1.1.1-2 Inorganic fert N2O'!$D$59:$E$78</definedName>
    <definedName name="M2_Table_FertApplications">'5.1.1.1-2 Inorganic fert N2O'!$M$10:$W$25</definedName>
    <definedName name="ManureManagement_Swine_Methane.VEERG_4_5_1_1__1_TotalAnnualMethaneEmissions">_xlfn.LAMBDA(_xlpm.Dj,_xlpm.Mmj,_xlpm.Nj, _xlpm.Dj * _xlpm.Mmj * _xlpm.Nj * 10 ^ -3)</definedName>
    <definedName name="ManureManagement_Swine_Methane.VEERG_4_5_1_1__1_TotalAnnualMethaneEmissions_Arguments">_xlfn.LAMBDA(_xlfn.MAKEARRAY(3, 2, _xlfn.LAMBDA(_xlpm.r,_xlpm.c, INDEX({"Dj","length of stay of each class of swine : days";"Mmj","methane production from manure in each swine class : kg CH4/head/day";"Nj","numbers of swine in each class : head"}, _xlpm.r, _xlpm.c))))</definedName>
    <definedName name="ManureManagement_Swine_Methane.VEERG_4_5_1_1__1_TotalAnnualMethaneEmissions_Source">_xlfn.LAMBDA("VEERG 2026: 4.5.1.1, Equation (1)")</definedName>
    <definedName name="ManureManagement_Swine_Methane.VEERG_4_5_1_1__1_TotalAnnualMethaneEmissions_Title">_xlfn.LAMBDA("Total annual methane emissions from manure management")</definedName>
    <definedName name="ManureManagement_Swine_Methane.VEERG_4_5_1_1__1_TotalAnnualMethaneEmissions_Unit">_xlfn.LAMBDA("t CH4")</definedName>
    <definedName name="ManureManagement_Swine_Methane.VEERG_4_5_1_1__1_TotalAnnualMethaneEmissions_Variable">_xlfn.LAMBDA("ECH4")</definedName>
    <definedName name="ManureManagement_Swine_Methane.VEERG_4_5_1_1__2_MethaneProductionPerClass_Arguments">_xlfn.LAMBDA(_xlfn.MAKEARRAY(1, 2, _xlfn.LAMBDA(_xlpm.r,_xlpm.c, INDEX({"MjmT","methane production from manure per class, MMS, and treatment stage : kg CH4/head/day"}, _xlpm.r, _xlpm.c))))</definedName>
    <definedName name="ManureManagement_Swine_Methane.VEERG_4_5_1_1__2_MethaneProductionPerClass_Source">_xlfn.LAMBDA("VEERG 2026: 4.5.1.1, Equation (2)")</definedName>
    <definedName name="ManureManagement_Swine_Methane.VEERG_4_5_1_1__2_MethaneProductionPerClass_Title">_xlfn.LAMBDA("Methane production from the manure of each class of swine")</definedName>
    <definedName name="ManureManagement_Swine_Methane.VEERG_4_5_1_1__2_MethaneProductionPerClass_Unit">_xlfn.LAMBDA("kg CH4/head/day")</definedName>
    <definedName name="ManureManagement_Swine_Methane.VEERG_4_5_1_1__2_MethaneProductionPerClass_Variable">_xlfn.LAMBDA("Mmj")</definedName>
    <definedName name="ManureManagement_Swine_Methane.VEERG_4_5_1_1__2_MethaneProductionPerClass_Variation">_xlfn.LAMBDA("VARIATION ON SOURCE: Split variable Mjm into MjmT1 and MjmT2 for stage 1 and 2 MMS.")</definedName>
    <definedName name="ManureManagement_Swine_Methane.VEERG_4_5_1_1__2_MethaneProductionPerClassVariation">_xlfn.LAMBDA(_xlpm.MjmT1,_xlpm.MjmT2, SUM(_xlpm.MjmT1, _xlpm.MjmT2))</definedName>
    <definedName name="ManureManagement_Swine_Methane.VEERG_4_5_1_1__3_Stage1MethaneProduction">_xlfn.LAMBDA(_xlpm.VSj,_xlpm.FVSjmT1,_xlpm.MCFim,_xlpm.BO,_xlpm.rho, _xlpm.VSj * _xlpm.FVSjmT1 * _xlpm.MCFim * _xlpm.BO * _xlpm.rho)</definedName>
    <definedName name="ManureManagement_Swine_Methane.VEERG_4_5_1_1__3_Stage1MethaneProduction_Arguments">_xlfn.LAMBDA(_xlfn.MAKEARRAY(5, 2, _xlfn.LAMBDA(_xlpm.r,_xlpm.c, INDEX({"VSj","volatile solid production from swine in each class : kg/head/day";"FVSjmT1","fraction of volatile solids in each primary system : fraction";"MCFim","methane conversion factor for temperate zone and system : fraction";"BO","emissions potential : m3 CH4/kg VS";"rho","density of methane : kg/m3"}, _xlpm.r, _xlpm.c))))</definedName>
    <definedName name="ManureManagement_Swine_Methane.VEERG_4_5_1_1__3_Stage1MethaneProduction_Source">_xlfn.LAMBDA("VEERG 2026: 4.5.1.1, Equation (3)")</definedName>
    <definedName name="ManureManagement_Swine_Methane.VEERG_4_5_1_1__3_Stage1MethaneProduction_Title">_xlfn.LAMBDA("Production of methane in treatment stage 1 MMS")</definedName>
    <definedName name="ManureManagement_Swine_Methane.VEERG_4_5_1_1__3_Stage1MethaneProduction_Unit">_xlfn.LAMBDA("kg CH4/head/day")</definedName>
    <definedName name="ManureManagement_Swine_Methane.VEERG_4_5_1_1__3_Stage1MethaneProduction_Variable">_xlfn.LAMBDA("MijmT1")</definedName>
    <definedName name="ManureManagement_Swine_Methane.VEERG_4_5_1_1__4_FractionVolatileSolidsPrimarySystem">_xlfn.LAMBDA(_xlpm.MMSjmT1,_xlpm.SSm, _xlfn.LET(_xlpm.ssm, IF(ISNUMBER(_xlpm.SSm), _xlpm.SSm, 0), _xlpm.MMSjmT1 * (1 - _xlpm.ssm)))</definedName>
    <definedName name="ManureManagement_Swine_Methane.VEERG_4_5_1_1__4_FractionVolatileSolidsPrimarySystem_Arguments">_xlfn.LAMBDA(_xlfn.MAKEARRAY(2, 2, _xlfn.LAMBDA(_xlpm.r,_xlpm.c, INDEX({"MMSjmT1","fraction of manure to each primary MMS for each class prior to solid separation : fraction";"SSm","fraction of volatile solids separated to solid storage for each MMS : fraction"}, _xlpm.r, _xlpm.c))))</definedName>
    <definedName name="ManureManagement_Swine_Methane.VEERG_4_5_1_1__4_FractionVolatileSolidsPrimarySystem_Source">_xlfn.LAMBDA("VEERG 2026: 4.5.1.1, Equation (4)")</definedName>
    <definedName name="ManureManagement_Swine_Methane.VEERG_4_5_1_1__4_FractionVolatileSolidsPrimarySystem_Title">_xlfn.LAMBDA("Fraction of volatile solids in each primary system other than solid storage")</definedName>
    <definedName name="ManureManagement_Swine_Methane.VEERG_4_5_1_1__4_FractionVolatileSolidsPrimarySystem_Unit">_xlfn.LAMBDA("fraction")</definedName>
    <definedName name="ManureManagement_Swine_Methane.VEERG_4_5_1_1__4_FractionVolatileSolidsPrimarySystem_Variable">_xlfn.LAMBDA("FVSjmT1")</definedName>
    <definedName name="ManureManagement_Swine_Methane.VEERG_4_5_1_1__4_FractionVolatileSolidsPrimarySystem_Variation">_xlfn.LAMBDA("VARIATION ON SOURCE: Added check to convert 'N/A' value to zero.")</definedName>
    <definedName name="ManureManagement_Swine_Methane.VEERG_4_5_1_1__5_FractionVolatileSolidsSolidStorage">_xlfn.LAMBDA(_xlpm.MMSjm4T1,_xlpm.MMSjm179T1,_xlpm.SSm, _xlfn.LET(_xlpm.MMSjm4T1, IF(ISNUMBER(_xlpm.MMSjm4T1), _xlpm.MMSjm4T1, 0), _xlpm.MMSjm179T1, IF(ISNUMBER(_xlpm.MMSjm179T1), _xlpm.MMSjm179T1, 0), _xlpm.SSm, IF(ISNUMBER(_xlpm.SSm), _xlpm.SSm, 0), _xlpm.MMSjm4T1 + (_xlpm.MMSjm179T1 * _xlpm.SSm)))</definedName>
    <definedName name="ManureManagement_Swine_Methane.VEERG_4_5_1_1__5_FractionVolatileSolidsSolidStorage_Arguments">_xlfn.LAMBDA(_xlfn.MAKEARRAY(3, 2, _xlfn.LAMBDA(_xlpm.r,_xlpm.c, INDEX({"MMSjm4T1","fraction of manure in solid storage primary system : fraction";"MMSjm179T1","fraction of manure in MMS 1, 7, and 9 in treatment stage 1 : fraction";"SSm","fraction of volatile solids separated to solid storage for each MMS : fraction"}, _xlpm.r, _xlpm.c))))</definedName>
    <definedName name="ManureManagement_Swine_Methane.VEERG_4_5_1_1__5_FractionVolatileSolidsSolidStorage_Source">_xlfn.LAMBDA("VEERG 2026: 4.5.1.1, Equation (5)")</definedName>
    <definedName name="ManureManagement_Swine_Methane.VEERG_4_5_1_1__5_FractionVolatileSolidsSolidStorage_Title">_xlfn.LAMBDA("Fraction of volatile solids in solid storage")</definedName>
    <definedName name="ManureManagement_Swine_Methane.VEERG_4_5_1_1__5_FractionVolatileSolidsSolidStorage_Unit">_xlfn.LAMBDA("fraction")</definedName>
    <definedName name="ManureManagement_Swine_Methane.VEERG_4_5_1_1__5_FractionVolatileSolidsSolidStorage_Variable">_xlfn.LAMBDA("FVSjm4T1")</definedName>
    <definedName name="ManureManagement_Swine_Methane.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anureManagement_Swine_Methane.VEERG_4_5_1_1__6_Stage2MethaneProduction_Arguments">_xlfn.LAMBDA(_xlfn.MAKEARRAY(6, 2, _xlfn.LAMBDA(_xlpm.r,_xlpm.c, INDEX({"VSTjmT2","volatile solids transferred to treatment stage 2 MMS : kg/head/day";"BO","emissions potential : m3 CH4/kg VS";"MMSjmT2","fraction of manure in each secondary system : fraction";"MCFim","methane conversion factor for temperate zone and system : fraction";"rho","density of methane : kg/m3";"i","state"}, _xlpm.r, _xlpm.c))))</definedName>
    <definedName name="ManureManagement_Swine_Methane.VEERG_4_5_1_1__6_Stage2MethaneProduction_Source">_xlfn.LAMBDA("VEERG 2026: 4.5.1.1, Equation (6)")</definedName>
    <definedName name="ManureManagement_Swine_Methane.VEERG_4_5_1_1__6_Stage2MethaneProduction_Title">_xlfn.LAMBDA("Production of methane in each treatment stage 2 MMS")</definedName>
    <definedName name="ManureManagement_Swine_Methane.VEERG_4_5_1_1__6_Stage2MethaneProduction_Unit">_xlfn.LAMBDA("kg CH4/head/day")</definedName>
    <definedName name="ManureManagement_Swine_Methane.VEERG_4_5_1_1__6_Stage2MethaneProduction_Variable">_xlfn.LAMBDA("MijmT2")</definedName>
    <definedName name="ManureManagement_Swine_Methane.VEERG_4_5_1_1__7_VolatileSolidsTransferredStage2">_xlfn.LAMBDA(_xlpm.VSj,_xlpm.FVSjmT1,_xlpm.VSLmT1, _xlpm.VSj * _xlpm.FVSjmT1 * (1 - _xlpm.VSLmT1))</definedName>
    <definedName name="ManureManagement_Swine_Methane.VEERG_4_5_1_1__7_VolatileSolidsTransferredStage2_Arguments">_xlfn.LAMBDA(_xlfn.MAKEARRAY(3, 2, _xlfn.LAMBDA(_xlpm.r,_xlpm.c, INDEX({"VSj","volatile solid production from swine in each class : kg/head/day";"FVSjmT1","fraction of volatile solids in each primary system : fraction";"VSLmT1","fraction of volatile solids lost during storage in the primary system : fraction"}, _xlpm.r, _xlpm.c))))</definedName>
    <definedName name="ManureManagement_Swine_Methane.VEERG_4_5_1_1__7_VolatileSolidsTransferredStage2_Source">_xlfn.LAMBDA("VEERG 2026: 4.5.1.1, Equation (7)")</definedName>
    <definedName name="ManureManagement_Swine_Methane.VEERG_4_5_1_1__7_VolatileSolidsTransferredStage2_Title">_xlfn.LAMBDA("Volatile solids transferred to treatment stage 2 MMS")</definedName>
    <definedName name="ManureManagement_Swine_Methane.VEERG_4_5_1_1__7_VolatileSolidsTransferredStage2_Unit">_xlfn.LAMBDA("kg VS")</definedName>
    <definedName name="ManureManagement_Swine_Methane.VEERG_4_5_1_1__7_VolatileSolidsTransferredStage2_Variable">_xlfn.LAMBDA("VSTijmT2")</definedName>
    <definedName name="MMS_Dairy_AtmosphericDeposition_Equations.VEERG_4_3_1_5__1_AnnualAtmosphericDepositionEmissionsFromMMS">_xlfn.LAMBDA(_xlpm.MN_ATMOS,_xlpm.EF_N2O,_xlpm.C_N2O, _xlpm.MN_ATMOS * _xlpm.EF_N2O * _xlpm.C_N2O * 10 ^ -3)</definedName>
    <definedName name="MMS_Dairy_AtmosphericDeposition_Equations.VEERG_4_3_1_5__1_AnnualAtmosphericDepositionEmissionsFromMMS_Arguments">_xlfn.LAMBDA(_xlfn.MAKEARRAY(6, 4, _xlfn.LAMBDA(_xlpm.r,_xlpm.c, INDEX({"MN_ATMOS","mass of N volatilised from MMS","kg N","Calculated from 4.3.1.5 (2)";"EF_N2O","nitrous oxide emission factor for atmospheric deposition","kg N2O-N/kg N","Constant";"C_N2O","factor to convert elemental mass of N2O to molecular mass","","Constant";"j","production system","","Input";"ir","irrigation method","","Input";"r","rainfall region","","Input"}, _xlpm.r, _xlpm.c))))</definedName>
    <definedName name="MMS_Dairy_AtmosphericDeposition_Equations.VEERG_4_3_1_5__1_AnnualAtmosphericDepositionEmissionsFromMMS_LatexEquation">_xlfn.LAMBDA("E_{N2O,MMS,ad}=MN_{ATMOS}\times EF_{N2O}\times C_{N2O}\times 10^{-3}")</definedName>
    <definedName name="MMS_Dairy_AtmosphericDeposition_Equations.VEERG_4_3_1_5__1_AnnualAtmosphericDepositionEmissionsFromMMS_NIRReference">_xlfn.LAMBDA("")</definedName>
    <definedName name="MMS_Dairy_AtmosphericDeposition_Equations.VEERG_4_3_1_5__1_AnnualAtmosphericDepositionEmissionsFromMMS_Source">_xlfn.LAMBDA("VEERG 2026: 4.3.1.5, Equation (1)")</definedName>
    <definedName name="MMS_Dairy_AtmosphericDeposition_Equations.VEERG_4_3_1_5__1_AnnualAtmosphericDepositionEmissionsFromMMS_Title">_xlfn.LAMBDA("Annual atmospheric deposition emissions from MMS")</definedName>
    <definedName name="MMS_Dairy_AtmosphericDeposition_Equations.VEERG_4_3_1_5__1_AnnualAtmosphericDepositionEmissionsFromMMS_Unit">_xlfn.LAMBDA("t N2O")</definedName>
    <definedName name="MMS_Dairy_AtmosphericDeposition_Equations.VEERG_4_3_1_5__1_AnnualAtmosphericDepositionEmissionsFromMMS_Variable">_xlfn.LAMBDA("E_N2OMMSad")</definedName>
    <definedName name="MMS_Dairy_AtmosphericDeposition_Equations.VEERG_4_3_1_5__2_TotalNitrogenVolatilisedFromMMS">_xlfn.LAMBDA(_xlpm.MN_jm,_xlpm.FracGASM_m, _xlpm.MN_jm * _xlpm.FracGASM_m)</definedName>
    <definedName name="MMS_Dairy_AtmosphericDeposition_Equations.VEERG_4_3_1_5__2_TotalNitrogenVolatilisedFromMMS_Arguments">_xlfn.LAMBDA(_xlfn.MAKEARRAY(2, 4, _xlfn.LAMBDA(_xlpm.r,_xlpm.c, INDEX({"MN_jm","total nitrogen in each MMS for dairy cattle classes","kg N","Calculated from 4.3.1.3 (2)";"FracGASM_m","fraction of N volatilised from MMS","fraction","Constant"}, _xlpm.r, _xlpm.c))))</definedName>
    <definedName name="MMS_Dairy_AtmosphericDeposition_Equations.VEERG_4_3_1_5__2_TotalNitrogenVolatilisedFromMMS_LatexEquation">_xlfn.LAMBDA("MN_{ATMOS}=\sum\nolimits_{j}\sum\nolimits_{m}(MN_{jm}\times FracGASM_m)")</definedName>
    <definedName name="MMS_Dairy_AtmosphericDeposition_Equations.VEERG_4_3_1_5__2_TotalNitrogenVolatilisedFromMMS_NIRReference">_xlfn.LAMBDA("")</definedName>
    <definedName name="MMS_Dairy_AtmosphericDeposition_Equations.VEERG_4_3_1_5__2_TotalNitrogenVolatilisedFromMMS_Source">_xlfn.LAMBDA("VEERG 2026: 4.3.1.5, Equation (2)")</definedName>
    <definedName name="MMS_Dairy_AtmosphericDeposition_Equations.VEERG_4_3_1_5__2_TotalNitrogenVolatilisedFromMMS_Title">_xlfn.LAMBDA("Total nitrogen volatilised from MMS")</definedName>
    <definedName name="MMS_Dairy_AtmosphericDeposition_Equations.VEERG_4_3_1_5__2_TotalNitrogenVolatilisedFromMMS_Unit">_xlfn.LAMBDA("kg N")</definedName>
    <definedName name="MMS_Dairy_AtmosphericDeposition_Equations.VEERG_4_3_1_5__2_TotalNitrogenVolatilisedFromMMS_Variable">_xlfn.LAMBDA("MN_ATMOS")</definedName>
    <definedName name="MMS_Dairy_LeachingAndRunoff_Equations.VEERG_4_3_1_6__1_AnnualEmissionsFromLeachingAndRunoffFromMMS">_xlfn.LAMBDA(_xlpm.MNLeach_jm,_xlpm.EF_leach,_xlpm.C_N2O, (_xlpm.MNLeach_jm * _xlpm.EF_leach * _xlpm.C_N2O) * 10 ^ -3)</definedName>
    <definedName name="MMS_Dairy_LeachingAndRunoff_Equations.VEERG_4_3_1_6__1_AnnualEmissionsFromLeachingAndRunoffFromMMS_Arguments">_xlfn.LAMBDA(_xlfn.MAKEARRAY(3, 4, _xlfn.LAMBDA(_xlpm.r,_xlpm.c, INDEX({"MNLeach_jm","mass of N lost through leaching and runoff","kg N","Calculated from 4.3.1.6 (2)";"EF_leach","nitrous oxide emission factor for leaching and runoff","kg N2O-N/kg N","Constant";"C_N2O","factor to convert elemental mass of N2O to molecular mass","","Constant"}, _xlpm.r, _xlpm.c))))</definedName>
    <definedName name="MMS_Dairy_LeachingAndRunoff_Equations.VEERG_4_3_1_6__1_AnnualEmissionsFromLeachingAndRunoffFromMMS_LatexEquation">_xlfn.LAMBDA("E_{N2O,leach}=\sum\nolimits_{j}\sum\nolimits_{m=1-13}(MNLeach_{jm}\times EF_{leach}\times C_{N2O})\times 10^{-3}")</definedName>
    <definedName name="MMS_Dairy_LeachingAndRunoff_Equations.VEERG_4_3_1_6__1_AnnualEmissionsFromLeachingAndRunoffFromMMS_NIRReference">_xlfn.LAMBDA("")</definedName>
    <definedName name="MMS_Dairy_LeachingAndRunoff_Equations.VEERG_4_3_1_6__1_AnnualEmissionsFromLeachingAndRunoffFromMMS_Source">_xlfn.LAMBDA("VEERG 2026: 4.3.1.6, Equation (1)")</definedName>
    <definedName name="MMS_Dairy_LeachingAndRunoff_Equations.VEERG_4_3_1_6__1_AnnualEmissionsFromLeachingAndRunoffFromMMS_Title">_xlfn.LAMBDA("Annual emissions from leaching and runoff from each MMS")</definedName>
    <definedName name="MMS_Dairy_LeachingAndRunoff_Equations.VEERG_4_3_1_6__1_AnnualEmissionsFromLeachingAndRunoffFromMMS_Unit">_xlfn.LAMBDA("t N2O")</definedName>
    <definedName name="MMS_Dairy_LeachingAndRunoff_Equations.VEERG_4_3_1_6__1_AnnualEmissionsFromLeachingAndRunoffFromMMS_Variable">_xlfn.LAMBDA("E_N2Oleach")</definedName>
    <definedName name="MMS_Dairy_LeachingAndRunoff_Equations.VEERG_4_3_1_6__2_MassOfNitrogenLostToLeachingAndRunoffFromSolidStorage">_xlfn.LAMBDA(_xlpm.MN_jm4,_xlpm.FracWET_i,_xlpm.FracLEACH_MS, _xlpm.MN_jm4 * _xlpm.FracWET_i * _xlpm.FracLEACH_MS)</definedName>
    <definedName name="MMS_Dairy_LeachingAndRunoff_Equations.VEERG_4_3_1_6__2_MassOfNitrogenLostToLeachingAndRunoffFromSolidStorage_Arguments">_xlfn.LAMBDA(_xlfn.MAKEARRAY(6, 4, _xlfn.LAMBDA(_xlpm.r,_xlpm.c, INDEX({"MN_jm4","total nitrogen in solid storage system m=4 (kg N)","kg N","Calculated from 4.3.1.3 (2)";"FracWET_i","fraction of N that is available for leaching and runoff from the leaching zone z and irrigation type ir","fraction","Constant";"FracLEACH_MS","fraction of N that is lost through leaching and runoff","fraction","Constant";"z","location in leaching zone","","Input";"j","production system","","Input";"ir","irrigation method","","Input"}, _xlpm.r, _xlpm.c))))</definedName>
    <definedName name="MMS_Dairy_LeachingAndRunoff_Equations.VEERG_4_3_1_6__2_MassOfNitrogenLostToLeachingAndRunoffFromSolidStorage_LatexEquation">_xlfn.LAMBDA("MNLeach_{jm=4}=MN_{jm=4}\times FracWET_i\times FracLEACH_{MS}")</definedName>
    <definedName name="MMS_Dairy_LeachingAndRunoff_Equations.VEERG_4_3_1_6__2_MassOfNitrogenLostToLeachingAndRunoffFromSolidStorage_NIRReference">_xlfn.LAMBDA("")</definedName>
    <definedName name="MMS_Dairy_LeachingAndRunoff_Equations.VEERG_4_3_1_6__2_MassOfNitrogenLostToLeachingAndRunoffFromSolidStorage_Source">_xlfn.LAMBDA("VEERG 2026: 4.3.1.6, Equation (2)")</definedName>
    <definedName name="MMS_Dairy_LeachingAndRunoff_Equations.VEERG_4_3_1_6__2_MassOfNitrogenLostToLeachingAndRunoffFromSolidStorage_Title">_xlfn.LAMBDA("Mass of nitrogen lost to leaching and runoff from solid storage systems")</definedName>
    <definedName name="MMS_Dairy_LeachingAndRunoff_Equations.VEERG_4_3_1_6__2_MassOfNitrogenLostToLeachingAndRunoffFromSolidStorage_Unit">_xlfn.LAMBDA("kg N")</definedName>
    <definedName name="MMS_Dairy_LeachingAndRunoff_Equations.VEERG_4_3_1_6__2_MassOfNitrogenLostToLeachingAndRunoffFromSolidStorage_Variable">_xlfn.LAMBDA("MNLeach_jm4")</definedName>
    <definedName name="MMS_Dairy_ManureAppliedToSoils_Equations.VEERG_4_3_1_8__1_MassOfNitrogenAppliedToSoilsScope1">_xlfn.LAMBDA(_xlpm.MN_jm,_xlpm.EF_m,_xlpm.FracGASM_m,_xlpm.MNLeach_jm,_xlpm.PF_scope, (_xlpm.MN_jm * (1 - _xlpm.EF_m - _xlpm.FracGASM_m) - _xlpm.MNLeach_jm) * _xlpm.PF_scope)</definedName>
    <definedName name="MMS_Dairy_ManureAppliedToSoils_Equations.VEERG_4_3_1_8__1_MassOfNitrogenAppliedToSoilsScope1_Arguments">_xlfn.LAMBDA(_xlfn.MAKEARRAY(5, 4, _xlfn.LAMBDA(_xlpm.r,_xlpm.c, INDEX({"MN_jm","total nitrogen in each MMS for dairy cattle classes","kg N","Calculated from 4.3.1.3 (2)";"EF_m","emission factor for nitrous oxide emissions per MMS","kg N2O-N/kg N","Constant";"FracGASM_m","fraction of N volatilised from MMS","fraction","Constant";"MNLeach_jm","mass of N lost through leaching and runoff from each MMS","kg N","Calculated from 4.3.1.6 (2)";"PF_scope","fraction of manure applied to soil within farm boundary","fraction","Input"}, _xlpm.r, _xlpm.c))))</definedName>
    <definedName name="MMS_Dairy_ManureAppliedToSoils_Equations.VEERG_4_3_1_8__1_MassOfNitrogenAppliedToSoilsScope1_LatexEquation">_xlfn.LAMBDA("MNSoil_{scope1}=\sum\nolimits_{j}\sum\nolimits_{m}(MN_{jm=1-13}\times (1-EF_{m=1-13}-FracGASM_{m=1-13})-MNLeach_{jm})\times PF")</definedName>
    <definedName name="MMS_Dairy_ManureAppliedToSoils_Equations.VEERG_4_3_1_8__1_MassOfNitrogenAppliedToSoilsScope1_NIRReference">_xlfn.LAMBDA("")</definedName>
    <definedName name="MMS_Dairy_ManureAppliedToSoils_Equations.VEERG_4_3_1_8__1_MassOfNitrogenAppliedToSoilsScope1_Source">_xlfn.LAMBDA("VEERG 2026: 4.3.1.8, Equation (1)")</definedName>
    <definedName name="MMS_Dairy_ManureAppliedToSoils_Equations.VEERG_4_3_1_8__1_MassOfNitrogenAppliedToSoilsScope1_Title">_xlfn.LAMBDA("Mass of nitrogen from manure applied to soils for scope 1 emissions")</definedName>
    <definedName name="MMS_Dairy_ManureAppliedToSoils_Equations.VEERG_4_3_1_8__1_MassOfNitrogenAppliedToSoilsScope1_Unit">_xlfn.LAMBDA("kg N")</definedName>
    <definedName name="MMS_Dairy_ManureAppliedToSoils_Equations.VEERG_4_3_1_8__1_MassOfNitrogenAppliedToSoilsScope1_Variable">_xlfn.LAMBDA("MNSoil_scope1")</definedName>
    <definedName name="MMS_Dairy_ManureAppliedToSoils_Equations.VEERG_4_3_1_8__2_MassOfNitrogenAppliedToSoilsScope3">_xlfn.LAMBDA(_xlpm.MN_jm,_xlpm.EF_m,_xlpm.FracGASM_m,_xlpm.MNLeach_jm,_xlpm.PF, (_xlpm.MN_jm * (1 - _xlpm.EF_m - _xlpm.FracGASM_m) - _xlpm.MNLeach_jm) * (1 - _xlpm.PF))</definedName>
    <definedName name="MMS_Dairy_ManureAppliedToSoils_Equations.VEERG_4_3_1_8__2_MassOfNitrogenAppliedToSoilsScope3_Arguments">_xlfn.LAMBDA(_xlfn.MAKEARRAY(5, 4, _xlfn.LAMBDA(_xlpm.r,_xlpm.c, INDEX({"MN_jm","total nitrogen in each MMS for dairy cattle classes","kg N","Calculated from 4.3.1.3 (2)";"EF_m","emission factor for nitrous oxide emissions per MMS","kg N2O-N/kg N","Constant";"FracGASM_m","fraction of N volatilised from MMS","fraction","Constant";"MNLeach_jm","mass of N lost through leaching and runoff from each MMS","kg N","Calculated from 4.3.1.6 (2)";"PF","fraction of manure applied to soil within farm boundary","fraction","Input"}, _xlpm.r, _xlpm.c))))</definedName>
    <definedName name="MMS_Dairy_ManureAppliedToSoils_Equations.VEERG_4_3_1_8__2_MassOfNitrogenAppliedToSoilsScope3_LatexEquation">_xlfn.LAMBDA("MNSoil_{scope3}=\sum\nolimits_{j}\sum\nolimits_{m}(MN_{jm=1-13}\times (1-EF_{m=1-13}-FracGASM_{m=1-13})-MNLeach_{jm})\times (1-PF)")</definedName>
    <definedName name="MMS_Dairy_ManureAppliedToSoils_Equations.VEERG_4_3_1_8__2_MassOfNitrogenAppliedToSoilsScope3_NIRReference">_xlfn.LAMBDA("")</definedName>
    <definedName name="MMS_Dairy_ManureAppliedToSoils_Equations.VEERG_4_3_1_8__2_MassOfNitrogenAppliedToSoilsScope3_Source">_xlfn.LAMBDA("VEERG 2026: 4.3.1.8, Equation (2)")</definedName>
    <definedName name="MMS_Dairy_ManureAppliedToSoils_Equations.VEERG_4_3_1_8__2_MassOfNitrogenAppliedToSoilsScope3_Title">_xlfn.LAMBDA("Mass of nitrogen from manure applied to soils for scope 3 emissions")</definedName>
    <definedName name="MMS_Dairy_ManureAppliedToSoils_Equations.VEERG_4_3_1_8__2_MassOfNitrogenAppliedToSoilsScope3_Unit">_xlfn.LAMBDA("kg N")</definedName>
    <definedName name="MMS_Dairy_ManureAppliedToSoils_Equations.VEERG_4_3_1_8__2_MassOfNitrogenAppliedToSoilsScope3_Variable">_xlfn.LAMBDA("MNSoil_scope3")</definedName>
    <definedName name="MMS_Dairy_Methane_Equations.VEERG_4_3_1_1__1_TotalAnnualMethaneFromManureManagement">_xlfn.LAMBDA(_xlpm.N_j124,_xlpm.M_j124m,_xlpm.D_j124,_xlpm.N_j35,_xlpm.M_j35m,_xlpm.D_j35,_xlpm.MPW_manure_j35, ((_xlpm.N_j124 * _xlpm.M_j124m * _xlpm.D_j124) + (_xlpm.N_j35 * _xlpm.M_j35m * _xlpm.D_j35) + (_xlpm.N_j35 * _xlpm.MPW_manure_j35 * _xlpm.D_j35)) * 10 ^ -3)</definedName>
    <definedName name="MMS_Dairy_Methane_Equations.VEERG_4_3_1_1__1_TotalAnnualMethaneFromManureManagement_Arguments">_xlfn.LAMBDA(_xlfn.MAKEARRAY(8, 4, _xlfn.LAMBDA(_xlpm.r,_xlpm.c, INDEX({"N_j124","number of dairy cattle in classes j=1,2,4","head","Input";"M_j124m","methane production from manure of weaned dairy cattle in classes j=1,2,4 in MMS m","kg CH4/head/day","Calculated from 4.3.1.1 (2)";"D_j124","duration of stay on farm for classes j=1,2,4","days","Input";"N_j35","number of dairy cattle in classes j=3,5","head","Input";"M_j35m","methane production from manure of weaned dairy cattle in classes j=3,5 in MMS m","kg CH4/head/day","Calculated from 4.3.1.1 (2)";"D_j35","duration of stay on farm for classes j=3,5","days","Input";"MPW_manure_j35","methane production from manure of pre-weaned heifer and bull calves","kg CH4/head/day","Constant";"DPW_j35","duration of stay on farm for pre-weaned heifer and bull calves","days","Input"}, _xlpm.r, _xlpm.c))))</definedName>
    <definedName name="MMS_Dairy_Methane_Equations.VEERG_4_3_1_1__1_TotalAnnualMethaneFromManureManagement_LatexEquation">_xlfn.LAMBDA("E_{CH4}=\sum\nolimits_{j}\sum\nolimits_{m}((N_{j=1,2,4}\times M_{j=1,2,4,m}\times D_{j=1,2,4})+(N_{j=3,5}\times M_{j=3,5,m}\times D_{j=3,5})+(N_{j=3,5}\times MPW_{manure,j=3,5}\times D_{j=3,5}))\times 10^{-3}")</definedName>
    <definedName name="MMS_Dairy_Methane_Equations.VEERG_4_3_1_1__1_TotalAnnualMethaneFromManureManagement_LatexEquationVariation">_xlfn.LAMBDA("E_{CH4}=\sum\nolimits_{j}\sum\nolimits_{m}((N_{j=1,2,4}\times M_{j=1,2,4,m}\times D_{j=1,2,4})+(N_{j=3,5}\times M_{j=3,5,m}\times D_{j=3,5})+(N_{j=3,5}\times MPW_{manure,j=3,5}\times DPW_{j=3,5}))\times 10^{-3}")</definedName>
    <definedName name="MMS_Dairy_Methane_Equations.VEERG_4_3_1_1__1_TotalAnnualMethaneFromManureManagement_NIRReference">_xlfn.LAMBDA("")</definedName>
    <definedName name="MMS_Dairy_Methane_Equations.VEERG_4_3_1_1__1_TotalAnnualMethaneFromManureManagement_Source">_xlfn.LAMBDA("VEERG 2026: 4.3.1.1, Equation (1)")</definedName>
    <definedName name="MMS_Dairy_Methane_Equations.VEERG_4_3_1_1__1_TotalAnnualMethaneFromManureManagement_Title">_xlfn.LAMBDA("Total annual methane production from manure management")</definedName>
    <definedName name="MMS_Dairy_Methane_Equations.VEERG_4_3_1_1__1_TotalAnnualMethaneFromManureManagement_Unit">_xlfn.LAMBDA("t CH4")</definedName>
    <definedName name="MMS_Dairy_Methane_Equations.VEERG_4_3_1_1__1_TotalAnnualMethaneFromManureManagement_Variable">_xlfn.LAMBDA("E_CH4")</definedName>
    <definedName name="MMS_Dairy_Methane_Equations.VEERG_4_3_1_1__1_TotalAnnualMethaneFromManureManagement_Variation">_xlfn.LAMBDA("VARIATION: Used separate variable for duration of stay on farm for pre-weaned heifer and bull calves.")</definedName>
    <definedName name="MMS_Dairy_Methane_Equations.VEERG_4_3_1_1__1_TotalAnnualMethaneFromManureManagementVariation">_xlfn.LAMBDA(_xlpm.N_j124,_xlpm.M_j124m,_xlpm.D_j124,_xlpm.N_j35,_xlpm.M_j35m,_xlpm.D_j35,_xlpm.MPW_manure_j35,_xlpm.DPW_j35, ((_xlpm.N_j124 * _xlpm.M_j124m * _xlpm.D_j124) + (_xlpm.N_j35 * _xlpm.M_j35m * _xlpm.D_j35) + (_xlpm.N_j35 * _xlpm.MPW_manure_j35 * _xlpm.DPW_j35)) * 10 ^ -3)</definedName>
    <definedName name="MMS_Dairy_Methane_Equations.VEERG_4_3_1_1__2_MethaneFromManureProduction">_xlfn.LAMBDA(_xlpm.VS_j,_xlpm.FVS_jmT1,_xlpm.MCF_im,_xlpm.B_o,_xlpm.rho, _xlpm.VS_j * _xlpm.FVS_jmT1 * _xlpm.MCF_im * _xlpm.B_o * _xlpm.rho)</definedName>
    <definedName name="MMS_Dairy_Methane_Equations.VEERG_4_3_1_1__2_MethaneFromManureProduction_Arguments">_xlfn.LAMBDA(_xlfn.MAKEARRAY(6, 4, _xlfn.LAMBDA(_xlpm.r,_xlpm.c, INDEX({"VS_j","daily volatile solids production per head for dairy cattle (kg/head/day)","kg/head/day","Calculated from 4.3.1.1 (3)";"FVS_jmT1","fraction of waste from each class in each management system","fraction","Calculated from 4.3.1.1 (4)(5)";"MCF_im","methane conversion factor for temperature zone and MMS","fraction","Constant";"B_o","emissions potential (m3 CH4/kgVS)","m3 CH4/kgVS","Constant";"rho","density of methane (kg/m3)","kg/m3","Constant";"i","state","state","Input"}, _xlpm.r, _xlpm.c))))</definedName>
    <definedName name="MMS_Dairy_Methane_Equations.VEERG_4_3_1_1__2_MethaneFromManureProduction_Arguments_Method2">_xlfn.LAMBDA(_xlfn.MAKEARRAY(6, 4, _xlfn.LAMBDA(_xlpm.r,_xlpm.c, INDEX({"VS_j","daily volatile solids production per head for dairy cattle (kg/head/day)","kg/head/day","Calculated from 4.3.1.1 (3)";"FVS_jmT1","fraction of waste from each class in each management system","fraction","Calculated from 4.3.1.1 (4)(5)";"MCF_im","methane conversion factor for temperature zone and MMS","fraction","Constant";"B_o","emissions potential (m3 CH4/kgVS)","m3 CH4/kgVS","Constant";"rho","density of methane (kg/m3)","kg/m3","Constant";"MAT","Mean annual temperature","°C","Input"}, _xlpm.r, _xlpm.c))))</definedName>
    <definedName name="MMS_Dairy_Methane_Equations.VEERG_4_3_1_1__2_MethaneFromManureProduction_LatexEquation">_xlfn.LAMBDA("M_{jm}=VS_j\times FVS_{jm,T=1}\times MCF_{im}\times B_o\times \rho")</definedName>
    <definedName name="MMS_Dairy_Methane_Equations.VEERG_4_3_1_1__2_MethaneFromManureProduction_NIRReference">_xlfn.LAMBDA("")</definedName>
    <definedName name="MMS_Dairy_Methane_Equations.VEERG_4_3_1_1__2_MethaneFromManureProduction_Source">_xlfn.LAMBDA("VEERG 2026: 4.3.1.1, Equation (2)")</definedName>
    <definedName name="MMS_Dairy_Methane_Equations.VEERG_4_3_1_1__2_MethaneFromManureProduction_Title">_xlfn.LAMBDA("Methane from manure production from weaned dairy cattle")</definedName>
    <definedName name="MMS_Dairy_Methane_Equations.VEERG_4_3_1_1__2_MethaneFromManureProduction_Unit">_xlfn.LAMBDA("kg CH4/head/day")</definedName>
    <definedName name="MMS_Dairy_Methane_Equations.VEERG_4_3_1_1__2_MethaneFromManureProduction_Variable">_xlfn.LAMBDA("M_jm")</definedName>
    <definedName name="MMS_Dairy_Methane_Equations.VEERG_4_3_1_1__3_VolatileSolidsForWeanedDairyCattle">_xlfn.LAMBDA(_xlpm.I_j,_xlpm.DMD_j,_xlpm.A, (_xlpm.I_j * (1 - _xlpm.DMD_j) + (0.04 * _xlpm.I_j)) * (1 - _xlpm.A))</definedName>
    <definedName name="MMS_Dairy_Methane_Equations.VEERG_4_3_1_1__3_VolatileSolidsForWeanedDairyCattle_Arguments">_xlfn.LAMBDA(_xlfn.MAKEARRAY(3, 4, _xlfn.LAMBDA(_xlpm.r,_xlpm.c, INDEX({"I_j","dry matter feed intake (kgDM/head/day)","kgDM/head/day","Calculated from 3.3.1.1 (3)";"DMD_j","dry matter digestibility","fraction","Input";"A","ash content of feed intake","fraction","Constant"}, _xlpm.r, _xlpm.c))))</definedName>
    <definedName name="MMS_Dairy_Methane_Equations.VEERG_4_3_1_1__3_VolatileSolidsForWeanedDairyCattle_LatexEquation">_xlfn.LAMBDA("VS_j=(I_j\times (1-DMD_j)+(0.04\times I_j))\times (1-A)")</definedName>
    <definedName name="MMS_Dairy_Methane_Equations.VEERG_4_3_1_1__3_VolatileSolidsForWeanedDairyCattle_NIRReference">_xlfn.LAMBDA("")</definedName>
    <definedName name="MMS_Dairy_Methane_Equations.VEERG_4_3_1_1__3_VolatileSolidsForWeanedDairyCattle_Source">_xlfn.LAMBDA("VEERG 2026: 4.3.1.1, Equation (3)")</definedName>
    <definedName name="MMS_Dairy_Methane_Equations.VEERG_4_3_1_1__3_VolatileSolidsForWeanedDairyCattle_Title">_xlfn.LAMBDA("Volatile solids for weaned dairy cattle")</definedName>
    <definedName name="MMS_Dairy_Methane_Equations.VEERG_4_3_1_1__3_VolatileSolidsForWeanedDairyCattle_Unit">_xlfn.LAMBDA("kg/head/day")</definedName>
    <definedName name="MMS_Dairy_Methane_Equations.VEERG_4_3_1_1__3_VolatileSolidsForWeanedDairyCattle_Variable">_xlfn.LAMBDA("VS_j")</definedName>
    <definedName name="MMS_Dairy_Methane_Equations.VEERG_4_3_1_1__4_FractionVolatileSolidsNotSolidStorage">_xlfn.LAMBDA(_xlpm.MMS_jm,_xlpm.SS_m, _xlpm.MMS_jm * (1 - _xlpm.SS_m))</definedName>
    <definedName name="MMS_Dairy_Methane_Equations.VEERG_4_3_1_1__4_FractionVolatileSolidsNotSolidStorage_Arguments">_xlfn.LAMBDA(_xlfn.MAKEARRAY(2, 4, _xlfn.LAMBDA(_xlpm.r,_xlpm.c, INDEX({"MMS_jm","fraction of manure to each primary MMS for each class prior to solid separation","fraction","Input";"SS_m","fraction of volatile solids separated to solid storage for each MMS","fraction","Input"}, _xlpm.r, _xlpm.c))))</definedName>
    <definedName name="MMS_Dairy_Methane_Equations.VEERG_4_3_1_1__4_FractionVolatileSolidsNotSolidStorage_LatexEquation">_xlfn.LAMBDA("FVS_{jm}=MMS_{jm}\times (1-SS_m)")</definedName>
    <definedName name="MMS_Dairy_Methane_Equations.VEERG_4_3_1_1__4_FractionVolatileSolidsNotSolidStorage_NIRReference">_xlfn.LAMBDA("")</definedName>
    <definedName name="MMS_Dairy_Methane_Equations.VEERG_4_3_1_1__4_FractionVolatileSolidsNotSolidStorage_Source">_xlfn.LAMBDA("VEERG 2026: 4.3.1.1, Equation (4)")</definedName>
    <definedName name="MMS_Dairy_Methane_Equations.VEERG_4_3_1_1__4_FractionVolatileSolidsNotSolidStorage_Title">_xlfn.LAMBDA("Fraction of volatile solids in each system other than solid storage")</definedName>
    <definedName name="MMS_Dairy_Methane_Equations.VEERG_4_3_1_1__4_FractionVolatileSolidsNotSolidStorage_Unit">_xlfn.LAMBDA("fraction")</definedName>
    <definedName name="MMS_Dairy_Methane_Equations.VEERG_4_3_1_1__4_FractionVolatileSolidsNotSolidStorage_Variable">_xlfn.LAMBDA("FVS_jm")</definedName>
    <definedName name="MMS_Dairy_Methane_Equations.VEERG_4_3_1_1__5_FractionVolatileSolidsSolidStorage">_xlfn.LAMBDA(_xlpm.MMS_jm4,_xlpm.MMS_jm179,_xlpm.SS_m, _xlpm.MMS_jm4 + (_xlpm.MMS_jm179 * _xlpm.SS_m))</definedName>
    <definedName name="MMS_Dairy_Methane_Equations.VEERG_4_3_1_1__5_FractionVolatileSolidsSolidStorage_Arguments">_xlfn.LAMBDA(_xlfn.MAKEARRAY(3, 4, _xlfn.LAMBDA(_xlpm.r,_xlpm.c, INDEX({"MMS_jm4","fraction of volatile solids in solid storage before transfer","fraction","Input";"MMS_jm179","fraction of volatile solids in MMS m=1,7,9 before transfer","fraction","Input";"SS_m","fraction of volatile solids separated to solid storage for each MMS","fraction","Input"}, _xlpm.r, _xlpm.c))))</definedName>
    <definedName name="MMS_Dairy_Methane_Equations.VEERG_4_3_1_1__5_FractionVolatileSolidsSolidStorage_LatexEquation">_xlfn.LAMBDA("FVS_{jm=4}=MMS_{jm=4}+(MMS_{jm=1,7,9}\times SS_m)")</definedName>
    <definedName name="MMS_Dairy_Methane_Equations.VEERG_4_3_1_1__5_FractionVolatileSolidsSolidStorage_LatexEquationVariation">_xlfn.LAMBDA("FVS_{jm=4}=MMS_{jm=4}+(MMS_{jm=1}\times SS_{m=1})+(MMS_{jm=7}\times SS_{m=7})+(MMS_{jm=9}\times SS_{m=9})")</definedName>
    <definedName name="MMS_Dairy_Methane_Equations.VEERG_4_3_1_1__5_FractionVolatileSolidsSolidStorage_NIRReference">_xlfn.LAMBDA("")</definedName>
    <definedName name="MMS_Dairy_Methane_Equations.VEERG_4_3_1_1__5_FractionVolatileSolidsSolidStorage_Source">_xlfn.LAMBDA("VEERG 2026: 4.3.1.1, Equation (5)")</definedName>
    <definedName name="MMS_Dairy_Methane_Equations.VEERG_4_3_1_1__5_FractionVolatileSolidsSolidStorage_Title">_xlfn.LAMBDA("Fraction of volatile solids in solid storage")</definedName>
    <definedName name="MMS_Dairy_Methane_Equations.VEERG_4_3_1_1__5_FractionVolatileSolidsSolidStorage_Unit">_xlfn.LAMBDA("fraction")</definedName>
    <definedName name="MMS_Dairy_Methane_Equations.VEERG_4_3_1_1__5_FractionVolatileSolidsSolidStorage_Variable">_xlfn.LAMBDA("FVS_jm4")</definedName>
    <definedName name="MMS_Dairy_Methane_Equations.VEERG_4_3_1_1__5_FractionVolatileSolidsSolidStorage_Variation">_xlfn.LAMBDA("Used separate variables for MMS and SS m 1, 7 and 9.")</definedName>
    <definedName name="MMS_Dairy_Methane_Equations.VEERG_4_3_1_1__5_FractionVolatileSolidsSolidStorageVariation">_xlfn.LAMBDA(_xlpm.MMS_jm4,_xlpm.MMS_jm1,_xlpm.MMS_jm7,_xlpm.MMS_jm9,_xlpm.SS_m1,_xlpm.SS_m7,_xlpm.SS_m9, _xlpm.MMS_jm4 + (_xlpm.MMS_jm1 * _xlpm.SS_m1) + (_xlpm.MMS_jm7 * _xlpm.SS_m7) + (_xlpm.MMS_jm9 * _xlpm.SS_m9))</definedName>
    <definedName name="MMS_Dairy_N2ODirect_Equations.VEERG_4_3_1_3__1_TotalAnnualDirectNitrousOxideEmissionsFromMMS">_xlfn.LAMBDA(_xlpm.MN_jm,_xlpm.EF_m,_xlpm.C_N2O, _xlpm.MN_jm * _xlpm.EF_m * _xlpm.C_N2O * 10 ^ -3)</definedName>
    <definedName name="MMS_Dairy_N2ODirect_Equations.VEERG_4_3_1_3__1_TotalAnnualDirectNitrousOxideEmissionsFromMMS_Arguments">_xlfn.LAMBDA(_xlfn.MAKEARRAY(3, 4, _xlfn.LAMBDA(_xlpm.r,_xlpm.c, INDEX({"MN_jm","total nitrogen in each MMS for dairy cattle classes","kg N","Calculated from 4.3.1.3 (2)";"EF_m","nitrous oxide emission factor for each MMS (kg N2O-N/kg N deposited)","kg N2O-N/kg N","Constant";"C_N2O","factor to convert elemental mass of N2O to molecular mass","fraction","Constant"}, _xlpm.r, _xlpm.c))))</definedName>
    <definedName name="MMS_Dairy_N2ODirect_Equations.VEERG_4_3_1_3__1_TotalAnnualDirectNitrousOxideEmissionsFromMMS_LatexEquation">_xlfn.LAMBDA("E_{N2O,dir}=\sum\nolimits_{j}\sum\nolimits_{m}(MN_{jm}\times EF_m\times C_{N2O}\times 10^{-3})")</definedName>
    <definedName name="MMS_Dairy_N2ODirect_Equations.VEERG_4_3_1_3__1_TotalAnnualDirectNitrousOxideEmissionsFromMMS_NIRReference">_xlfn.LAMBDA("")</definedName>
    <definedName name="MMS_Dairy_N2ODirect_Equations.VEERG_4_3_1_3__1_TotalAnnualDirectNitrousOxideEmissionsFromMMS_Source">_xlfn.LAMBDA("VEERG 2026: 4.3.1.3, Equation (1)")</definedName>
    <definedName name="MMS_Dairy_N2ODirect_Equations.VEERG_4_3_1_3__1_TotalAnnualDirectNitrousOxideEmissionsFromMMS_Title">_xlfn.LAMBDA("Total annual direct nitrous oxide emissions from manure management systems")</definedName>
    <definedName name="MMS_Dairy_N2ODirect_Equations.VEERG_4_3_1_3__1_TotalAnnualDirectNitrousOxideEmissionsFromMMS_Unit">_xlfn.LAMBDA("t N2O")</definedName>
    <definedName name="MMS_Dairy_N2ODirect_Equations.VEERG_4_3_1_3__1_TotalAnnualDirectNitrousOxideEmissionsFromMMS_Variable">_xlfn.LAMBDA("E_N2Odir")</definedName>
    <definedName name="MMS_Dairy_N2ODirect_Equations.VEERG_4_3_1_3__2_TotalNitrogenInEachMMS">_xlfn.LAMBDA(_xlpm.AE_j,_xlpm.MMS_jm, _xlpm.AE_j * _xlpm.MMS_jm)</definedName>
    <definedName name="MMS_Dairy_N2ODirect_Equations.VEERG_4_3_1_3__2_TotalNitrogenInEachMMS_Arguments">_xlfn.LAMBDA(_xlfn.MAKEARRAY(2, 4, _xlfn.LAMBDA(_xlpm.r,_xlpm.c, INDEX({"AE_j","total nitrogen excreted by each dairy class","kg N","Calculated from 4.3.1.3 (3a) and (3b)";"MMS_jm","manure management system fraction for class j and system m","fraction","Input"}, _xlpm.r, _xlpm.c))))</definedName>
    <definedName name="MMS_Dairy_N2ODirect_Equations.VEERG_4_3_1_3__2_TotalNitrogenInEachMMS_LatexEquation">_xlfn.LAMBDA("MN_{jm}=AE_j\times MMS_{jm}")</definedName>
    <definedName name="MMS_Dairy_N2ODirect_Equations.VEERG_4_3_1_3__2_TotalNitrogenInEachMMS_NIRReference">_xlfn.LAMBDA("")</definedName>
    <definedName name="MMS_Dairy_N2ODirect_Equations.VEERG_4_3_1_3__2_TotalNitrogenInEachMMS_Source">_xlfn.LAMBDA("VEERG 2026: 4.3.1.3, Equation (2)")</definedName>
    <definedName name="MMS_Dairy_N2ODirect_Equations.VEERG_4_3_1_3__2_TotalNitrogenInEachMMS_Title">_xlfn.LAMBDA("Total nitrogen in each MMS")</definedName>
    <definedName name="MMS_Dairy_N2ODirect_Equations.VEERG_4_3_1_3__2_TotalNitrogenInEachMMS_Unit">_xlfn.LAMBDA("kg N")</definedName>
    <definedName name="MMS_Dairy_N2ODirect_Equations.VEERG_4_3_1_3__2_TotalNitrogenInEachMMS_Variable">_xlfn.LAMBDA("MN_jm")</definedName>
    <definedName name="MMS_Dairy_N2ODirect_Equations.VEERG_4_3_1_3__3a_TotalAnnualNitrogenExcretedGreaterThanOneYear">_xlfn.LAMBDA(_xlpm.N_j124,_xlpm.NE_j124, _xlpm.N_j124 * _xlpm.NE_j124 * 365)</definedName>
    <definedName name="MMS_Dairy_N2ODirect_Equations.VEERG_4_3_1_3__3a_TotalAnnualNitrogenExcretedGreaterThanOneYear_Arguments">_xlfn.LAMBDA(_xlfn.MAKEARRAY(3, 4, _xlfn.LAMBDA(_xlpm.r,_xlpm.c, INDEX({"N_j124","number of dairy cattle in classes j=1,2,4","head","Input";"NE_j124","nitrogen excreted by dairy cattle greater than one year old (kg N/head/day)","kg N/head/day","Calculated from 4.3.1.3 (4)";"D_j124","duration of stay on farm for classes j=1,2,4 (days)","days","Input"}, _xlpm.r, _xlpm.c))))</definedName>
    <definedName name="MMS_Dairy_N2ODirect_Equations.VEERG_4_3_1_3__3a_TotalAnnualNitrogenExcretedGreaterThanOneYear_LatexEquation">_xlfn.LAMBDA("AE_{j=1,2,4}=N_{j=1,2,4}\times NE_{j=1,2,4}\times 365")</definedName>
    <definedName name="MMS_Dairy_N2ODirect_Equations.VEERG_4_3_1_3__3a_TotalAnnualNitrogenExcretedGreaterThanOneYear_LatexEquationVariation">_xlfn.LAMBDA("AE_{j=1,2,4}=N_{j=1,2,4}\times NE_{j=1,2,4}\times D_{j=1,2,4}")</definedName>
    <definedName name="MMS_Dairy_N2ODirect_Equations.VEERG_4_3_1_3__3a_TotalAnnualNitrogenExcretedGreaterThanOneYear_NIRReference">_xlfn.LAMBDA("")</definedName>
    <definedName name="MMS_Dairy_N2ODirect_Equations.VEERG_4_3_1_3__3a_TotalAnnualNitrogenExcretedGreaterThanOneYear_Source">_xlfn.LAMBDA("VEERG 2026: 4.3.1.3, Equation (3a)")</definedName>
    <definedName name="MMS_Dairy_N2ODirect_Equations.VEERG_4_3_1_3__3a_TotalAnnualNitrogenExcretedGreaterThanOneYear_Title">_xlfn.LAMBDA("Total annual nitrogen excreted by dairy cattle greater than one year old")</definedName>
    <definedName name="MMS_Dairy_N2ODirect_Equations.VEERG_4_3_1_3__3a_TotalAnnualNitrogenExcretedGreaterThanOneYear_Unit">_xlfn.LAMBDA("kg N")</definedName>
    <definedName name="MMS_Dairy_N2ODirect_Equations.VEERG_4_3_1_3__3a_TotalAnnualNitrogenExcretedGreaterThanOneYear_Variable">_xlfn.LAMBDA("AE_j124")</definedName>
    <definedName name="MMS_Dairy_N2ODirect_Equations.VEERG_4_3_1_3__3a_TotalAnnualNitrogenExcretedGreaterThanOneYear_Variation">_xlfn.LAMBDA("VARIATION: Used Duration variables instead of hard-coded 365 value.")</definedName>
    <definedName name="MMS_Dairy_N2ODirect_Equations.VEERG_4_3_1_3__3a_TotalAnnualNitrogenExcretedGreaterThanOneYearVariation">_xlfn.LAMBDA(_xlpm.N_j124,_xlpm.NE_j124,_xlpm.D_j124, _xlpm.N_j124 * _xlpm.NE_j124 * _xlpm.D_j124)</definedName>
    <definedName name="MMS_Dairy_N2ODirect_Equations.VEERG_4_3_1_3__3b_TotalAnnualNitrogenExcretedLessThanOneYear">_xlfn.LAMBDA(_xlpm.N_j35,_xlpm.NE_j35,_xlpm.NPW_j35, (_xlpm.N_j35 * _xlpm.NE_j35 * 281) + (_xlpm.N_j35 * _xlpm.NPW_j35 * 84))</definedName>
    <definedName name="MMS_Dairy_N2ODirect_Equations.VEERG_4_3_1_3__3b_TotalAnnualNitrogenExcretedLessThanOneYear_Arguments">_xlfn.LAMBDA(_xlfn.MAKEARRAY(5, 4, _xlfn.LAMBDA(_xlpm.r,_xlpm.c, INDEX({"N_j35","number of dairy cattle in classes j=3,5","head","Input";"NE_j35","nitrogen excreted by weaned dairy cattle less than one year old (kg N/head/day)","kg N/head/day","Calculated from 4.3.1.3 (4)";"NPW_j35","nitrogen excreted by pre-weaned calves (kg N/head/day)","kg N/head/day","Constant";"D_j35","duration of stay on farm for weaned dairy cattle less than one year old (days)","days","Input";"DPW_j35","duration of stay on farm for pre-weaned calves (days)","days","Input"}, _xlpm.r, _xlpm.c))))</definedName>
    <definedName name="MMS_Dairy_N2ODirect_Equations.VEERG_4_3_1_3__3b_TotalAnnualNitrogenExcretedLessThanOneYear_LatexEquation">_xlfn.LAMBDA("AE_{j=3,5}=(N_{j=3,5}\times NE_{j=3,5}\times 281)+(N_{j=3,5}\times NPW_{j=3,5}\times 84)")</definedName>
    <definedName name="MMS_Dairy_N2ODirect_Equations.VEERG_4_3_1_3__3b_TotalAnnualNitrogenExcretedLessThanOneYear_LatexEquationVariation">_xlfn.LAMBDA("AE_{j=3,5}=(N_{j=3,5}\times NE_{j=3,5}\times D_{j=3,5})+(N_{j=3,5}\times NPW_{j=3,5}\times DPW_{j=3,5})")</definedName>
    <definedName name="MMS_Dairy_N2ODirect_Equations.VEERG_4_3_1_3__3b_TotalAnnualNitrogenExcretedLessThanOneYear_NIRReference">_xlfn.LAMBDA("")</definedName>
    <definedName name="MMS_Dairy_N2ODirect_Equations.VEERG_4_3_1_3__3b_TotalAnnualNitrogenExcretedLessThanOneYear_Source">_xlfn.LAMBDA("VEERG 2026: 4.3.1.3, Equation (3b)")</definedName>
    <definedName name="MMS_Dairy_N2ODirect_Equations.VEERG_4_3_1_3__3b_TotalAnnualNitrogenExcretedLessThanOneYear_Title">_xlfn.LAMBDA("Total annual nitrogen excreted by dairy cattle less than one year old")</definedName>
    <definedName name="MMS_Dairy_N2ODirect_Equations.VEERG_4_3_1_3__3b_TotalAnnualNitrogenExcretedLessThanOneYear_Unit">_xlfn.LAMBDA("kg N")</definedName>
    <definedName name="MMS_Dairy_N2ODirect_Equations.VEERG_4_3_1_3__3b_TotalAnnualNitrogenExcretedLessThanOneYear_Variable">_xlfn.LAMBDA("AE_j35")</definedName>
    <definedName name="MMS_Dairy_N2ODirect_Equations.VEERG_4_3_1_3__3b_TotalAnnualNitrogenExcretedLessThanOneYear_Variation">_xlfn.LAMBDA("VARIATION: Used Duration variables instead of hard-coded 281 and 84 values.")</definedName>
    <definedName name="MMS_Dairy_N2ODirect_Equations.VEERG_4_3_1_3__3b_TotalAnnualNitrogenExcretedLessThanOneYearVariation">_xlfn.LAMBDA(_xlpm.N_j35,_xlpm.NE_j35,_xlpm.NPW_j35,_xlpm.D_j35,_xlpm.DPW_j35, (_xlpm.N_j35 * _xlpm.NE_j35 * _xlpm.D_j35) + (_xlpm.N_j35 * _xlpm.NPW_j35 * _xlpm.DPW_j35))</definedName>
    <definedName name="MMS_Dairy_N2ODirect_Equations.VEERG_4_3_1_3__4_NitrogenExcretedByDairyCattleGreaterThanOneYear">_xlfn.LAMBDA(_xlpm.CPI_j,_xlpm.NR_j,_xlpm.W_j, (_xlpm.CPI_j / 6.25) - _xlpm.NR_j - ((1.1 * 10 ^ -4 * _xlpm.W_j ^ 0.75) / 6.25))</definedName>
    <definedName name="MMS_Dairy_N2ODirect_Equations.VEERG_4_3_1_3__4_NitrogenExcretedByDairyCattleGreaterThanOneYear_Arguments">_xlfn.LAMBDA(_xlfn.MAKEARRAY(3, 4, _xlfn.LAMBDA(_xlpm.r,_xlpm.c, INDEX({"CPI_j","crude protein intake (kg/head/day)","kg/head/day","Calculated from 4.3.1.3 (5)";"NR_j","amount of nitrogen retained by the body","kg N/head/day","Calculated from 4.3.1.3 (6)";"W_j","liveweight (kg)","kg","Input"}, _xlpm.r, _xlpm.c))))</definedName>
    <definedName name="MMS_Dairy_N2ODirect_Equations.VEERG_4_3_1_3__4_NitrogenExcretedByDairyCattleGreaterThanOneYear_LatexEquation">_xlfn.LAMBDA("NE_j=(\frac{CPI_j}{6.25})-NR_j-\left[\frac{1.1\times10^{-4} \times W_j^{0.75}}{6.25}\right]")</definedName>
    <definedName name="MMS_Dairy_N2ODirect_Equations.VEERG_4_3_1_3__4_NitrogenExcretedByDairyCattleGreaterThanOneYear_NIRReference">_xlfn.LAMBDA("")</definedName>
    <definedName name="MMS_Dairy_N2ODirect_Equations.VEERG_4_3_1_3__4_NitrogenExcretedByDairyCattleGreaterThanOneYear_Source">_xlfn.LAMBDA("VEERG 2026: 4.3.1.3, Equation (4)")</definedName>
    <definedName name="MMS_Dairy_N2ODirect_Equations.VEERG_4_3_1_3__4_NitrogenExcretedByDairyCattleGreaterThanOneYear_Title">_xlfn.LAMBDA("Nitrogen excreted by dairy cattle greater than one year old")</definedName>
    <definedName name="MMS_Dairy_N2ODirect_Equations.VEERG_4_3_1_3__4_NitrogenExcretedByDairyCattleGreaterThanOneYear_Unit">_xlfn.LAMBDA("kg N/head/day")</definedName>
    <definedName name="MMS_Dairy_N2ODirect_Equations.VEERG_4_3_1_3__4_NitrogenExcretedByDairyCattleGreaterThanOneYear_Variable">_xlfn.LAMBDA("NE_j")</definedName>
    <definedName name="MMS_Dairy_N2ODirect_Equations.VEERG_4_3_1_3__5_CrudeProteinIntakeOfDairyCattle">_xlfn.LAMBDA(_xlpm.I_j,_xlpm.CP_j, _xlpm.I_j * _xlpm.CP_j)</definedName>
    <definedName name="MMS_Dairy_N2ODirect_Equations.VEERG_4_3_1_3__5_CrudeProteinIntakeOfDairyCattle_Arguments">_xlfn.LAMBDA(_xlfn.MAKEARRAY(2, 4, _xlfn.LAMBDA(_xlpm.r,_xlpm.c, INDEX({"I_j","dry matter intake","kgDM/head/day","Calculated from 3.3.1.1 (3)";"CP_j","crude protein content of feed intake","fraction","Input"}, _xlpm.r, _xlpm.c))))</definedName>
    <definedName name="MMS_Dairy_N2ODirect_Equations.VEERG_4_3_1_3__5_CrudeProteinIntakeOfDairyCattle_LatexEquation">_xlfn.LAMBDA("CPI_j=I_j\times CP_j")</definedName>
    <definedName name="MMS_Dairy_N2ODirect_Equations.VEERG_4_3_1_3__5_CrudeProteinIntakeOfDairyCattle_NIRReference">_xlfn.LAMBDA("")</definedName>
    <definedName name="MMS_Dairy_N2ODirect_Equations.VEERG_4_3_1_3__5_CrudeProteinIntakeOfDairyCattle_Source">_xlfn.LAMBDA("VEERG 2026: 4.3.1.3, Equation (5)")</definedName>
    <definedName name="MMS_Dairy_N2ODirect_Equations.VEERG_4_3_1_3__5_CrudeProteinIntakeOfDairyCattle_Title">_xlfn.LAMBDA("Crude protein intake of dairy cattle")</definedName>
    <definedName name="MMS_Dairy_N2ODirect_Equations.VEERG_4_3_1_3__5_CrudeProteinIntakeOfDairyCattle_Unit">_xlfn.LAMBDA("kg/head/day")</definedName>
    <definedName name="MMS_Dairy_N2ODirect_Equations.VEERG_4_3_1_3__5_CrudeProteinIntakeOfDairyCattle_Variable">_xlfn.LAMBDA("CPI_j")</definedName>
    <definedName name="MMS_Dairy_N2ODirect_Equations.VEERG_4_3_1_3__6_NitrogenRetainedByBody">_xlfn.LAMBDA(_xlpm.MP_j,_xlpm.L_j,_xlpm.Z_j,_xlpm.LWG_j, ((0.032 * _xlpm.MP_j * 1.03) / 6.38) + ((0.212 - 0.008 * (_xlpm.L_j - 2) - ((0.14 - 0.008 * (_xlpm.L_j - 2)) / (1 + EXP(-6 * (_xlpm.Z_j - 0.4))))) * (_xlpm.LWG_j * 0.92)) * (1 / 6.25))</definedName>
    <definedName name="MMS_Dairy_N2ODirect_Equations.VEERG_4_3_1_3__6_NitrogenRetainedByBody_Arguments">_xlfn.LAMBDA(_xlfn.MAKEARRAY(6, 4, _xlfn.LAMBDA(_xlpm.r,_xlpm.c, INDEX({"MPU","input milk production unit","","Input";"MP_j","milk production (if input as litres of milk)","L/head/day","Input";"MP_j","milk production (if input as milk solids)","L/head/day","Calculated from 3.3.1.1 (5)";"L_j","intake relative to maintenance","","Calculated from 4.3.1.3 (7)";"Z_j","relative size","","Calculated from 4.3.1.3 (8)";"LWG_j","liveweight gain","kg/head/day","Input"}, _xlpm.r, _xlpm.c))))</definedName>
    <definedName name="MMS_Dairy_N2ODirect_Equations.VEERG_4_3_1_3__6_NitrogenRetainedByBody_LatexEquation">_xlfn.LAMBDA("NR_j=\left(\frac{0.032 \times MP_j \times 1.03}{6.38}\right) + \left\{\left(0.212-0.008 \times (L_j - 2) - \left[\frac{0.140-0.008\times(L_j-2)}{1+e^{-6\times(Z_j-0.4)}}\right]\right) \times (LWG_j \times 0.92)\right\} \times \frac{1}{6.25}")</definedName>
    <definedName name="MMS_Dairy_N2ODirect_Equations.VEERG_4_3_1_3__6_NitrogenRetainedByBody_NIRReference">_xlfn.LAMBDA("")</definedName>
    <definedName name="MMS_Dairy_N2ODirect_Equations.VEERG_4_3_1_3__6_NitrogenRetainedByBody_Source">_xlfn.LAMBDA("VEERG 2026: 4.3.1.3, Equation (6)")</definedName>
    <definedName name="MMS_Dairy_N2ODirect_Equations.VEERG_4_3_1_3__6_NitrogenRetainedByBody_Title">_xlfn.LAMBDA("Amount of nitrogen retained by the body")</definedName>
    <definedName name="MMS_Dairy_N2ODirect_Equations.VEERG_4_3_1_3__6_NitrogenRetainedByBody_Unit">_xlfn.LAMBDA("kg N/head/day")</definedName>
    <definedName name="MMS_Dairy_N2ODirect_Equations.VEERG_4_3_1_3__6_NitrogenRetainedByBody_Variable">_xlfn.LAMBDA("NR_j")</definedName>
    <definedName name="MMS_Dairy_N2ODirect_Equations.VEERG_4_3_1_3__6_NitrogenRetainedByBody_Variation">_xlfn.LAMBDA("VARIATION ON SOURCE: Added check for milk production input unit and choose corresponding MP_j value accordingly.")</definedName>
    <definedName name="MMS_Dairy_N2ODirect_Equations.VEERG_4_3_1_3__7_IntakeRelativeToMaintenance">_xlfn.LAMBDA(_xlpm.I_j,_xlpm.W_j,_xlpm.MR_j,_xlpm.MI_j, _xlpm.I_j / (((1.185 + 0.00454 * _xlpm.W_j - 0.0000026 * _xlpm.W_j ^ 2) ^ 2 * _xlpm.MR_j) + _xlpm.MI_j))</definedName>
    <definedName name="MMS_Dairy_N2ODirect_Equations.VEERG_4_3_1_3__7_IntakeRelativeToMaintenance_Arguments">_xlfn.LAMBDA(_xlfn.MAKEARRAY(4, 4, _xlfn.LAMBDA(_xlpm.r,_xlpm.c, INDEX({"I_j","dry matter intake","kgDM/head/day","Calculated from 3.3.1.1 (3)";"W_j","liveweight","kg/head","Input";"MR_j","increase in metabolic rate when producing milk","","Constant";"MI_j","additional intake required for milk production","kgDM/head/day","Calculated from 3.3.1.1 (4)"}, _xlpm.r, _xlpm.c))))</definedName>
    <definedName name="MMS_Dairy_N2ODirect_Equations.VEERG_4_3_1_3__7_IntakeRelativeToMaintenance_LatexEquation">_xlfn.LAMBDA("L_j=\frac{I_j}{(1.185+0.00454\times W_j-0.0000026\times W_j^2)^2\times MR_j+MI_j}")</definedName>
    <definedName name="MMS_Dairy_N2ODirect_Equations.VEERG_4_3_1_3__7_IntakeRelativeToMaintenance_NIRReference">_xlfn.LAMBDA("")</definedName>
    <definedName name="MMS_Dairy_N2ODirect_Equations.VEERG_4_3_1_3__7_IntakeRelativeToMaintenance_Source">_xlfn.LAMBDA("VEERG 2026: 4.3.1.3, Equation (7)")</definedName>
    <definedName name="MMS_Dairy_N2ODirect_Equations.VEERG_4_3_1_3__7_IntakeRelativeToMaintenance_Title">_xlfn.LAMBDA("Intake relative to maintenance")</definedName>
    <definedName name="MMS_Dairy_N2ODirect_Equations.VEERG_4_3_1_3__7_IntakeRelativeToMaintenance_Unit">_xlfn.LAMBDA("ratio")</definedName>
    <definedName name="MMS_Dairy_N2ODirect_Equations.VEERG_4_3_1_3__7_IntakeRelativeToMaintenance_Variable">_xlfn.LAMBDA("L_j")</definedName>
    <definedName name="MMS_Dairy_N2ODirect_Equations.VEERG_4_3_1_3__8_RelativeSize">_xlfn.LAMBDA(_xlpm.W_j,_xlpm.WR_j, _xlpm.W_j / _xlpm.WR_j)</definedName>
    <definedName name="MMS_Dairy_N2ODirect_Equations.VEERG_4_3_1_3__8_RelativeSize_Arguments">_xlfn.LAMBDA(_xlfn.MAKEARRAY(2, 4, _xlfn.LAMBDA(_xlpm.r,_xlpm.c, INDEX({"W_j","liveweight","kg/head","Input";"WR_j","reference weight","kg/head","Constant"}, _xlpm.r, _xlpm.c))))</definedName>
    <definedName name="MMS_Dairy_N2ODirect_Equations.VEERG_4_3_1_3__8_RelativeSize_LatexEquation">_xlfn.LAMBDA("Z_j=\frac{W_j}{WR_j}")</definedName>
    <definedName name="MMS_Dairy_N2ODirect_Equations.VEERG_4_3_1_3__8_RelativeSize_NIRReference">_xlfn.LAMBDA("")</definedName>
    <definedName name="MMS_Dairy_N2ODirect_Equations.VEERG_4_3_1_3__8_RelativeSize_Source">_xlfn.LAMBDA("VEERG 2026: 4.3.1.3, Equation (8)")</definedName>
    <definedName name="MMS_Dairy_N2ODirect_Equations.VEERG_4_3_1_3__8_RelativeSize_Title">_xlfn.LAMBDA("Relative size")</definedName>
    <definedName name="MMS_Dairy_N2ODirect_Equations.VEERG_4_3_1_3__8_RelativeSize_Unit">_xlfn.LAMBDA("ratio")</definedName>
    <definedName name="MMS_Dairy_N2ODirect_Equations.VEERG_4_3_1_3__8_RelativeSize_Variable">_xlfn.LAMBDA("Z_j")</definedName>
    <definedName name="MMS_Dairy_Soil_AtmosphericDeposition_Equations.VEERG_4_3_1_10__1_AtmosphericDepositionEmissionsFromUrineAndDungOnPasture">_xlfn.LAMBDA(_xlpm.M_vol_m14,_xlpm.EF_N2O,_xlpm.C_N2O, _xlpm.M_vol_m14 * _xlpm.EF_N2O * _xlpm.C_N2O * 10 ^ -3)</definedName>
    <definedName name="MMS_Dairy_Soil_AtmosphericDeposition_Equations.VEERG_4_3_1_10__1_AtmosphericDepositionEmissionsFromUrineAndDungOnPasture_Arguments">_xlfn.LAMBDA(_xlfn.MAKEARRAY(6, 4, _xlfn.LAMBDA(_xlpm.r,_xlpm.c, INDEX({"M_vol_m14","mass of nitrogen volatilised from urine and faeces deposited on pasture","kg N","Calculated from 4.3.1.10 (2)";"EF_N2O","nitrous oxide emission factor for atmospheric deposition","kg N2O-N/kg N","Constant";"C_N2O","factor to convert elemental mass of N2O to molecular mass","","Constant";"j","production system","","Input";"ir","irrigation method","","Input";"r","rainfall region","","Input"}, _xlpm.r, _xlpm.c))))</definedName>
    <definedName name="MMS_Dairy_Soil_AtmosphericDeposition_Equations.VEERG_4_3_1_10__1_AtmosphericDepositionEmissionsFromUrineAndDungOnPasture_LatexEquation">_xlfn.LAMBDA("E_{N2O,ad}=M_{vol,m=14}\times EF_{N2O}\times C_{N2O}\times 10^{-3}")</definedName>
    <definedName name="MMS_Dairy_Soil_AtmosphericDeposition_Equations.VEERG_4_3_1_10__1_AtmosphericDepositionEmissionsFromUrineAndDungOnPasture_NIRReference">_xlfn.LAMBDA("")</definedName>
    <definedName name="MMS_Dairy_Soil_AtmosphericDeposition_Equations.VEERG_4_3_1_10__1_AtmosphericDepositionEmissionsFromUrineAndDungOnPasture_Source">_xlfn.LAMBDA("VEERG 2026: 4.3.1.10, Equation (1)")</definedName>
    <definedName name="MMS_Dairy_Soil_AtmosphericDeposition_Equations.VEERG_4_3_1_10__1_AtmosphericDepositionEmissionsFromUrineAndDungOnPasture_Title">_xlfn.LAMBDA("Atmospheric deposition emissions from urine and dung deposited on pasture")</definedName>
    <definedName name="MMS_Dairy_Soil_AtmosphericDeposition_Equations.VEERG_4_3_1_10__1_AtmosphericDepositionEmissionsFromUrineAndDungOnPasture_Unit">_xlfn.LAMBDA("t N2O")</definedName>
    <definedName name="MMS_Dairy_Soil_AtmosphericDeposition_Equations.VEERG_4_3_1_10__1_AtmosphericDepositionEmissionsFromUrineAndDungOnPasture_Variable">_xlfn.LAMBDA("E_N2Oad")</definedName>
    <definedName name="MMS_Dairy_Soil_AtmosphericDeposition_Equations.VEERG_4_3_1_10__2_MassOfNitrogenVolatilisedOnPasture">_xlfn.LAMBDA(_xlpm.MN_jm14,_xlpm.FracGASMsoil, _xlpm.MN_jm14 * _xlpm.FracGASMsoil)</definedName>
    <definedName name="MMS_Dairy_Soil_AtmosphericDeposition_Equations.VEERG_4_3_1_10__2_MassOfNitrogenVolatilisedOnPasture_Arguments">_xlfn.LAMBDA(_xlfn.MAKEARRAY(2, 4, _xlfn.LAMBDA(_xlpm.r,_xlpm.c, INDEX({"MN_jm14","mass of nitrogen excreted on pasture, range and paddock for each dairy class","kg N","Calculated from 4.3.1.3 (2)";"FracGASMsoil","fraction of nitrogen volatilised from urine and faeces deposited on pasture","(kg NH3-N + NOx-N)/kg N)","Constant"}, _xlpm.r, _xlpm.c))))</definedName>
    <definedName name="MMS_Dairy_Soil_AtmosphericDeposition_Equations.VEERG_4_3_1_10__2_MassOfNitrogenVolatilisedOnPasture_LatexEquation">_xlfn.LAMBDA("M_{vol,m=14}=\sum\nolimits_{j}(MN_{jm=14}\times FracGASMsoil)")</definedName>
    <definedName name="MMS_Dairy_Soil_AtmosphericDeposition_Equations.VEERG_4_3_1_10__2_MassOfNitrogenVolatilisedOnPasture_NIRReference">_xlfn.LAMBDA("")</definedName>
    <definedName name="MMS_Dairy_Soil_AtmosphericDeposition_Equations.VEERG_4_3_1_10__2_MassOfNitrogenVolatilisedOnPasture_Source">_xlfn.LAMBDA("VEERG 2026: 4.3.1.10, Equation (2)")</definedName>
    <definedName name="MMS_Dairy_Soil_AtmosphericDeposition_Equations.VEERG_4_3_1_10__2_MassOfNitrogenVolatilisedOnPasture_Title">_xlfn.LAMBDA("Mass of nitrogen volatilised from urine and faeces deposited on pasture")</definedName>
    <definedName name="MMS_Dairy_Soil_AtmosphericDeposition_Equations.VEERG_4_3_1_10__2_MassOfNitrogenVolatilisedOnPasture_Unit">_xlfn.LAMBDA("kg N")</definedName>
    <definedName name="MMS_Dairy_Soil_AtmosphericDeposition_Equations.VEERG_4_3_1_10__2_MassOfNitrogenVolatilisedOnPasture_Variable">_xlfn.LAMBDA("M_vol_m14")</definedName>
    <definedName name="MMS_Dairy_Soil_LeachingAndRunoff.VEERG_4_3_1_12__1_LeachingAndRunoffEmissionsFromUrineAndDungOnPasture">_xlfn.LAMBDA(_xlpm.M_leach_m14,_xlpm.EF_leach,_xlpm.C_N2O, _xlpm.M_leach_m14 * _xlpm.EF_leach * _xlpm.C_N2O * 10 ^ -3)</definedName>
    <definedName name="MMS_Dairy_Soil_LeachingAndRunoff.VEERG_4_3_1_12__1_LeachingAndRunoffEmissionsFromUrineAndDungOnPasture_Arguments">_xlfn.LAMBDA(_xlfn.MAKEARRAY(3, 4, _xlfn.LAMBDA(_xlpm.r,_xlpm.c, INDEX({"M_leach_m14","mass of nitrogen lost to leaching and runoff from urine and faeces deposited on pasture","kg N","Calculated from 4.3.1.12 (2)";"EF_leach","nitrous oxide emission factor for leaching and runoff","kg N2O-N/kg N","Constant";"C_N2O","factor to convert elemental mass of N2O to molecular mass","","Constant"}, _xlpm.r, _xlpm.c))))</definedName>
    <definedName name="MMS_Dairy_Soil_LeachingAndRunoff.VEERG_4_3_1_12__1_LeachingAndRunoffEmissionsFromUrineAndDungOnPasture_LatexEquation">_xlfn.LAMBDA("E_{N2O,leach}=M_{leach,m=14}\times EF_{leach}\times C_{N2O}\times 10^{-3}")</definedName>
    <definedName name="MMS_Dairy_Soil_LeachingAndRunoff.VEERG_4_3_1_12__1_LeachingAndRunoffEmissionsFromUrineAndDungOnPasture_NIRReference">_xlfn.LAMBDA("")</definedName>
    <definedName name="MMS_Dairy_Soil_LeachingAndRunoff.VEERG_4_3_1_12__1_LeachingAndRunoffEmissionsFromUrineAndDungOnPasture_Source">_xlfn.LAMBDA("VEERG 2026: 4.3.1.12, Equation (1)")</definedName>
    <definedName name="MMS_Dairy_Soil_LeachingAndRunoff.VEERG_4_3_1_12__1_LeachingAndRunoffEmissionsFromUrineAndDungOnPasture_Title">_xlfn.LAMBDA("Leaching and runoff emissions from urine and dung deposited on pasture")</definedName>
    <definedName name="MMS_Dairy_Soil_LeachingAndRunoff.VEERG_4_3_1_12__1_LeachingAndRunoffEmissionsFromUrineAndDungOnPasture_Unit">_xlfn.LAMBDA("t N2O")</definedName>
    <definedName name="MMS_Dairy_Soil_LeachingAndRunoff.VEERG_4_3_1_12__1_LeachingAndRunoffEmissionsFromUrineAndDungOnPasture_Variable">_xlfn.LAMBDA("E_N2Oleach")</definedName>
    <definedName name="MMS_Dairy_Soil_LeachingAndRunoff.VEERG_4_3_1_12__2_MassOfNitrogenLostToLeachingAndRunoffOnPasture">_xlfn.LAMBDA(_xlpm.MN_jm14,_xlpm.FracWet,_xlpm.FracLEACH, _xlpm.MN_jm14 * _xlpm.FracWet * _xlpm.FracLEACH)</definedName>
    <definedName name="MMS_Dairy_Soil_LeachingAndRunoff.VEERG_4_3_1_12__2_MassOfNitrogenLostToLeachingAndRunoffOnPasture_Arguments">_xlfn.LAMBDA(_xlfn.MAKEARRAY(6, 4, _xlfn.LAMBDA(_xlpm.r,_xlpm.c, INDEX({"MN_jm14","mass of nitrogen excreted on pasture, range and paddock for each dairy class","kg N","Calculated from 4.3.1.3 (2)";"FracWet","fraction of N available for leaching and runoff","","Constant";"FracLEACH","fraction of N lost through leaching and runoff","","Constant";"z","location in leaching zone","","Input";"j","production system","","Input";"ir","irrigation method","","Input"}, _xlpm.r, _xlpm.c))))</definedName>
    <definedName name="MMS_Dairy_Soil_LeachingAndRunoff.VEERG_4_3_1_12__2_MassOfNitrogenLostToLeachingAndRunoffOnPasture_LatexEquation">_xlfn.LAMBDA("M_{leach,m=14}=\sum\nolimits_{j}(MN_{jm=14}\times FracWet\times FracLEACH)")</definedName>
    <definedName name="MMS_Dairy_Soil_LeachingAndRunoff.VEERG_4_3_1_12__2_MassOfNitrogenLostToLeachingAndRunoffOnPasture_NIRReference">_xlfn.LAMBDA("")</definedName>
    <definedName name="MMS_Dairy_Soil_LeachingAndRunoff.VEERG_4_3_1_12__2_MassOfNitrogenLostToLeachingAndRunoffOnPasture_Source">_xlfn.LAMBDA("VEERG 2026: 4.3.1.12, Equation (2)")</definedName>
    <definedName name="MMS_Dairy_Soil_LeachingAndRunoff.VEERG_4_3_1_12__2_MassOfNitrogenLostToLeachingAndRunoffOnPasture_Title">_xlfn.LAMBDA("Mass of nitrogen lost to leaching and runoff from urine and faeces on pasture")</definedName>
    <definedName name="MMS_Dairy_Soil_LeachingAndRunoff.VEERG_4_3_1_12__2_MassOfNitrogenLostToLeachingAndRunoffOnPasture_Unit">_xlfn.LAMBDA("kg N")</definedName>
    <definedName name="MMS_Dairy_Soil_LeachingAndRunoff.VEERG_4_3_1_12__2_MassOfNitrogenLostToLeachingAndRunoffOnPasture_Variable">_xlfn.LAMBDA("M_leach_m14")</definedName>
    <definedName name="MMS_Dairy_Soil_N2ODirect_Equations.VEERG_4_3_1_9__1_DirectNitrousOxideEmissionsOnPasture">_xlfn.LAMBDA(_xlpm.MN_jm14,_xlpm.EF_PRP,_xlpm.C_N2O, _xlpm.MN_jm14 * _xlpm.EF_PRP * _xlpm.C_N2O * 10 ^ -3)</definedName>
    <definedName name="MMS_Dairy_Soil_N2ODirect_Equations.VEERG_4_3_1_9__1_DirectNitrousOxideEmissionsOnPasture_Arguments">_xlfn.LAMBDA(_xlfn.MAKEARRAY(4, 4, _xlfn.LAMBDA(_xlpm.r,_xlpm.c, INDEX({"MN_jm14","mass of nitrogen excreted on pasture, range, and paddock for each dairy cattle class","kg N","Calculated from 4.3.1.3 (2)";"EF_PRP","emission factor for nitrous oxide emissions for urine and dung deposited on PRP","kg N2O-N/kg N deposited","Constant";"C_N2O","factor to convert elemental mass of N2O to molecular mass","","Constant";"z","Wet or dry climate zone","","Input"}, _xlpm.r, _xlpm.c))))</definedName>
    <definedName name="MMS_Dairy_Soil_N2ODirect_Equations.VEERG_4_3_1_9__1_DirectNitrousOxideEmissionsOnPasture_LatexEquation">_xlfn.LAMBDA("E_{N2O,dir}=\sum\nolimits_{j}(MN_{jm=14}\times EF_{PRP}\times C_{N2O}\times 10^{-3})")</definedName>
    <definedName name="MMS_Dairy_Soil_N2ODirect_Equations.VEERG_4_3_1_9__1_DirectNitrousOxideEmissionsOnPasture_NIRReference">_xlfn.LAMBDA("")</definedName>
    <definedName name="MMS_Dairy_Soil_N2ODirect_Equations.VEERG_4_3_1_9__1_DirectNitrousOxideEmissionsOnPasture_Source">_xlfn.LAMBDA("VEERG 2026: 4.3.1.9, Equation (1)")</definedName>
    <definedName name="MMS_Dairy_Soil_N2ODirect_Equations.VEERG_4_3_1_9__1_DirectNitrousOxideEmissionsOnPasture_Title">_xlfn.LAMBDA("Direct nitrous oxide emissions on pasture")</definedName>
    <definedName name="MMS_Dairy_Soil_N2ODirect_Equations.VEERG_4_3_1_9__1_DirectNitrousOxideEmissionsOnPasture_Unit">_xlfn.LAMBDA("t N2O")</definedName>
    <definedName name="MMS_Dairy_Soil_N2ODirect_Equations.VEERG_4_3_1_9__1_DirectNitrousOxideEmissionsOnPasture_Variable">_xlfn.LAMBDA("E_N2Odir")</definedName>
    <definedName name="MMS_PastureBeef_Methane_Equations.VEERG_4_2_1_1__1_TotalAnnualMethaneProductionFromManureManagement">_xlfn.LAMBDA(_xlpm.N_jkl,_xlpm.M_jklm,_xlpm.D_j, (_xlpm.N_jkl * _xlpm.M_jklm * _xlpm.D_j) * 10 ^ -3)</definedName>
    <definedName name="MMS_PastureBeef_Methane_Equations.VEERG_4_2_1_1__1_TotalAnnualMethaneProductionFromManureManagement_Arguments">_xlfn.LAMBDA(_xlfn.MAKEARRAY(3, 4, _xlfn.LAMBDA(_xlpm.r,_xlpm.c, INDEX({"N_jkl","number of beef cattle in each time-period, class and subclass","head","Input";"M_jklm","methane production from manure in each time-period, class, subclass and MMS","kg/head/day","Calculated from 4.2.1.1 (2)";"D_j","number of days in each time-period for each input class","days","Input"}, _xlpm.r, _xlpm.c))))</definedName>
    <definedName name="MMS_PastureBeef_Methane_Equations.VEERG_4_2_1_1__1_TotalAnnualMethaneProductionFromManureManagement_LatexEquation">_xlfn.LAMBDA("E_{CH4}=\sum_{j}\sum_{k}\sum_{l}\sum_{m}(N_{jkl}\times M_{jklm}\times D_j)\times 10^{-3}")</definedName>
    <definedName name="MMS_PastureBeef_Methane_Equations.VEERG_4_2_1_1__1_TotalAnnualMethaneProductionFromManureManagement_NIRReference">_xlfn.LAMBDA("")</definedName>
    <definedName name="MMS_PastureBeef_Methane_Equations.VEERG_4_2_1_1__1_TotalAnnualMethaneProductionFromManureManagement_Source">_xlfn.LAMBDA("VEERG 2026: 4.2.1.1, Equation (1)")</definedName>
    <definedName name="MMS_PastureBeef_Methane_Equations.VEERG_4_2_1_1__1_TotalAnnualMethaneProductionFromManureManagement_Title">_xlfn.LAMBDA("Total annual methane production from manure management for grazing beef cattle")</definedName>
    <definedName name="MMS_PastureBeef_Methane_Equations.VEERG_4_2_1_1__1_TotalAnnualMethaneProductionFromManureManagement_Unit">_xlfn.LAMBDA("t CH4")</definedName>
    <definedName name="MMS_PastureBeef_Methane_Equations.VEERG_4_2_1_1__1_TotalAnnualMethaneProductionFromManureManagement_Variable">_xlfn.LAMBDA("E_CH4")</definedName>
    <definedName name="MMS_PastureBeef_Methane_Equations.VEERG_4_2_1_1__2_MethaneProductionFromManure">_xlfn.LAMBDA(_xlpm.VS_jkl,_xlpm.B_o,_xlpm.MMS_m,_xlpm.MCF_im,_xlpm.rho, _xlpm.VS_jkl * _xlpm.B_o * _xlpm.MMS_m * _xlpm.MCF_im * _xlpm.rho)</definedName>
    <definedName name="MMS_PastureBeef_Methane_Equations.VEERG_4_2_1_1__2_MethaneProductionFromManure_Arguments">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methane","kg/m3","Constant";"i","state","","Input";"i","region","","Input"}, _xlpm.r, _xlpm.c))))</definedName>
    <definedName name="MMS_PastureBeef_Methane_Equations.VEERG_4_2_1_1__2_MethaneProductionFromManure_Arguments_Method2">_xlfn.LAMBDA(_xlfn.MAKEARRAY(6,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methane","kg/m3","Constant";"MAT","Mean annual temperature","°C","Input"}, _xlpm.r, _xlpm.c))))</definedName>
    <definedName name="MMS_PastureBeef_Methane_Equations.VEERG_4_2_1_1__2_MethaneProductionFromManure_LatexEquation">_xlfn.LAMBDA("M_{jklm}=VS_{jkl}\times B_o\times MMS_m\times MCF_{im}\times \rho")</definedName>
    <definedName name="MMS_PastureBeef_Methane_Equations.VEERG_4_2_1_1__2_MethaneProductionFromManure_NIRReference">_xlfn.LAMBDA("")</definedName>
    <definedName name="MMS_PastureBeef_Methane_Equations.VEERG_4_2_1_1__2_MethaneProductionFromManure_Source">_xlfn.LAMBDA("VEERG 2026: 4.2.1.1, Equation (2)")</definedName>
    <definedName name="MMS_PastureBeef_Methane_Equations.VEERG_4_2_1_1__2_MethaneProductionFromManure_Title">_xlfn.LAMBDA("Methane production from the manure of grazing beef cattle")</definedName>
    <definedName name="MMS_PastureBeef_Methane_Equations.VEERG_4_2_1_1__2_MethaneProductionFromManure_Unit">_xlfn.LAMBDA("kg CH4/head/day")</definedName>
    <definedName name="MMS_PastureBeef_Methane_Equations.VEERG_4_2_1_1__2_MethaneProductionFromManure_Variable">_xlfn.LAMBDA("M_jklm")</definedName>
    <definedName name="MMS_PastureBeef_Methane_Equations.VEERG_4_2_1_1__3_VolatileSolidProductionFromGrazingBeef">_xlfn.LAMBDA(_xlpm.I_jkl,_xlpm.DMD_jkl,_xlpm.A, (_xlpm.I_jkl * (1 - _xlpm.DMD_jkl) + (0.04 * _xlpm.I_jkl)) * (1 - _xlpm.A))</definedName>
    <definedName name="MMS_PastureBeef_Methane_Equations.VEERG_4_2_1_1__3_VolatileSolidProductionFromGrazingBeef_Arguments">_xlfn.LAMBDA(_xlfn.MAKEARRAY(3, 4, _xlfn.LAMBDA(_xlpm.r,_xlpm.c, INDEX({"I_jkl","dry matter intake as calculated in Chapter 3 Section 3.2.1","kg/head/day","Calculated from 3.2.1.1, (3)";"DMD_jkl","dry matter digestibility expressed as a fraction","fraction","Input";"A","ash content of feed intake expressed as a fraction","fraction","Constant"}, _xlpm.r, _xlpm.c))))</definedName>
    <definedName name="MMS_PastureBeef_Methane_Equations.VEERG_4_2_1_1__3_VolatileSolidProductionFromGrazingBeef_LatexEquation">_xlfn.LAMBDA("VS_{jkl}=(I_{jkl}\times (1-DMD_{jkl})+(0.04\times I_{jkl}))\times (1-A)")</definedName>
    <definedName name="MMS_PastureBeef_Methane_Equations.VEERG_4_2_1_1__3_VolatileSolidProductionFromGrazingBeef_NIRReference">_xlfn.LAMBDA("")</definedName>
    <definedName name="MMS_PastureBeef_Methane_Equations.VEERG_4_2_1_1__3_VolatileSolidProductionFromGrazingBeef_Source">_xlfn.LAMBDA("VEERG 2026: 4.2.1.1, Equation (3)")</definedName>
    <definedName name="MMS_PastureBeef_Methane_Equations.VEERG_4_2_1_1__3_VolatileSolidProductionFromGrazingBeef_Title">_xlfn.LAMBDA("Volatile solid production from grazing beef")</definedName>
    <definedName name="MMS_PastureBeef_Methane_Equations.VEERG_4_2_1_1__3_VolatileSolidProductionFromGrazingBeef_Unit">_xlfn.LAMBDA("kg/head/day")</definedName>
    <definedName name="MMS_PastureBeef_Methane_Equations.VEERG_4_2_1_1__3_VolatileSolidProductionFromGrazingBeef_Variable">_xlfn.LAMBDA("VS_jkl")</definedName>
    <definedName name="MMS_PastureBeef_Soil_AtmosphericDeposition_Equations.VEERG_4_2_1_5__1_AtmosphericDepositionEmissionsFromUrineAndDungOnPasture">_xlfn.LAMBDA(_xlpm.M_vol,_xlpm.EF_N2O,_xlpm.C_N2O, _xlpm.M_vol * _xlpm.EF_N2O * _xlpm.C_N2O * 10 ^ -3)</definedName>
    <definedName name="MMS_PastureBeef_Soil_AtmosphericDeposition_Equations.VEERG_4_2_1_5__1_AtmosphericDepositionEmissionsFromUrineAndDungOnPasture_Arguments">_xlfn.LAMBDA(_xlfn.MAKEARRAY(6, 4, _xlfn.LAMBDA(_xlpm.r,_xlpm.c, INDEX({"M_vol","mass of nitrogen volatilised from urine and faeces deposited on pasture","kg N","Calculated from 4.2.1.5 (2)";"EF_N2O","nitrous oxide emission factor for atmospheric deposition","kg N2O-N/kg N","Constant";"C_N2O","factor to convert elemental mass of N2O to molecular mass","","Constant";"j","production system","","Input";"i","irrigation method","","Input";"r","rainfall zone","","Input"}, _xlpm.r, _xlpm.c))))</definedName>
    <definedName name="MMS_PastureBeef_Soil_AtmosphericDeposition_Equations.VEERG_4_2_1_5__1_AtmosphericDepositionEmissionsFromUrineAndDungOnPasture_LatexEquation">_xlfn.LAMBDA("E_{N2O,ad}=M_{vol}\times EF_{N2O}\times C_{N2O}\times 10^{-3}")</definedName>
    <definedName name="MMS_PastureBeef_Soil_AtmosphericDeposition_Equations.VEERG_4_2_1_5__1_AtmosphericDepositionEmissionsFromUrineAndDungOnPasture_NIRReference">_xlfn.LAMBDA("")</definedName>
    <definedName name="MMS_PastureBeef_Soil_AtmosphericDeposition_Equations.VEERG_4_2_1_5__1_AtmosphericDepositionEmissionsFromUrineAndDungOnPasture_Source">_xlfn.LAMBDA("VEERG 2026: 4.2.1.5, Equation (1)")</definedName>
    <definedName name="MMS_PastureBeef_Soil_AtmosphericDeposition_Equations.VEERG_4_2_1_5__1_AtmosphericDepositionEmissionsFromUrineAndDungOnPasture_Title">_xlfn.LAMBDA("Atmospheric deposition emissions from urine and dung deposited on pasture")</definedName>
    <definedName name="MMS_PastureBeef_Soil_AtmosphericDeposition_Equations.VEERG_4_2_1_5__1_AtmosphericDepositionEmissionsFromUrineAndDungOnPasture_Unit">_xlfn.LAMBDA("t N2O")</definedName>
    <definedName name="MMS_PastureBeef_Soil_AtmosphericDeposition_Equations.VEERG_4_2_1_5__1_AtmosphericDepositionEmissionsFromUrineAndDungOnPasture_Variable">_xlfn.LAMBDA("E_N2Oad")</definedName>
    <definedName name="MMS_PastureBeef_Soil_AtmosphericDeposition_Equations.VEERG_4_2_1_5__2_MassOfNitrogenVolatilisedOnPasture">_xlfn.LAMBDA(_xlpm.AE,_xlpm.FracGASMsoil, _xlpm.AE * _xlpm.FracGASMsoil)</definedName>
    <definedName name="MMS_PastureBeef_Soil_AtmosphericDeposition_Equations.VEERG_4_2_1_5__2_MassOfNitrogenVolatilisedOnPasture_Arguments">_xlfn.LAMBDA(_xlfn.MAKEARRAY(2, 4, _xlfn.LAMBDA(_xlpm.r,_xlpm.c, INDEX({"AE","total mass of nitrogen excreted on PRP for beef cattle","kg N","Calculated from 4.2.1.3 (2)";"FracGASMsoil","fraction of nitrogen volatilised from urine and faeces deposited on pasture ((kg NH3-N + NOx-N)/kg N)","fraction","Constant"}, _xlpm.r, _xlpm.c))))</definedName>
    <definedName name="MMS_PastureBeef_Soil_AtmosphericDeposition_Equations.VEERG_4_2_1_5__2_MassOfNitrogenVolatilisedOnPasture_LatexEquation">_xlfn.LAMBDA("M_{vol}=AE\times FracGASMsoil")</definedName>
    <definedName name="MMS_PastureBeef_Soil_AtmosphericDeposition_Equations.VEERG_4_2_1_5__2_MassOfNitrogenVolatilisedOnPasture_NIRReference">_xlfn.LAMBDA("")</definedName>
    <definedName name="MMS_PastureBeef_Soil_AtmosphericDeposition_Equations.VEERG_4_2_1_5__2_MassOfNitrogenVolatilisedOnPasture_Source">_xlfn.LAMBDA("VEERG 2026: 4.2.1.5, Equation (2)")</definedName>
    <definedName name="MMS_PastureBeef_Soil_AtmosphericDeposition_Equations.VEERG_4_2_1_5__2_MassOfNitrogenVolatilisedOnPasture_Title">_xlfn.LAMBDA("Mass of nitrogen volatilised")</definedName>
    <definedName name="MMS_PastureBeef_Soil_AtmosphericDeposition_Equations.VEERG_4_2_1_5__2_MassOfNitrogenVolatilisedOnPasture_Unit">_xlfn.LAMBDA("kg N")</definedName>
    <definedName name="MMS_PastureBeef_Soil_AtmosphericDeposition_Equations.VEERG_4_2_1_5__2_MassOfNitrogenVolatilisedOnPasture_Variable">_xlfn.LAMBDA("M_vol")</definedName>
    <definedName name="MMS_PastureBeef_Soil_LeachingAndRunoff.VEERG_4_2_1_7__1_LeachingAndRunoffEmissionsFromUrineAndDungOnPasture">_xlfn.LAMBDA(_xlpm.M_leach,_xlpm.EF_leach,_xlpm.C_N2O, _xlpm.M_leach * _xlpm.EF_leach * _xlpm.C_N2O * 10 ^ -3)</definedName>
    <definedName name="MMS_PastureBeef_Soil_LeachingAndRunoff.VEERG_4_2_1_7__1_LeachingAndRunoffEmissionsFromUrineAndDungOnPasture_Arguments">_xlfn.LAMBDA(_xlfn.MAKEARRAY(3, 4, _xlfn.LAMBDA(_xlpm.r,_xlpm.c, INDEX({"M_leach","mass of nitrogen lost to leaching and runoff","kg N","Calculated from 4.2.1.7 (2)";"EF_leach","emission factor for leaching and runoff","kg N2O-N/kg N","Constant";"C_N2O","factor to convert elemental mass of N2O to molecular mass","","Constant"}, _xlpm.r, _xlpm.c))))</definedName>
    <definedName name="MMS_PastureBeef_Soil_LeachingAndRunoff.VEERG_4_2_1_7__1_LeachingAndRunoffEmissionsFromUrineAndDungOnPasture_LatexEquation">_xlfn.LAMBDA("E_{N2O,leach}=M_{leach}\times EF_{leach}\times C_{N2O}\times 10^{-3}")</definedName>
    <definedName name="MMS_PastureBeef_Soil_LeachingAndRunoff.VEERG_4_2_1_7__1_LeachingAndRunoffEmissionsFromUrineAndDungOnPasture_NIRReference">_xlfn.LAMBDA("")</definedName>
    <definedName name="MMS_PastureBeef_Soil_LeachingAndRunoff.VEERG_4_2_1_7__1_LeachingAndRunoffEmissionsFromUrineAndDungOnPasture_Source">_xlfn.LAMBDA("VEERG 2026: 4.2.1.7, Equation (1)")</definedName>
    <definedName name="MMS_PastureBeef_Soil_LeachingAndRunoff.VEERG_4_2_1_7__1_LeachingAndRunoffEmissionsFromUrineAndDungOnPasture_Title">_xlfn.LAMBDA("Leaching and runoff emissions from urine and dung deposited on pasture")</definedName>
    <definedName name="MMS_PastureBeef_Soil_LeachingAndRunoff.VEERG_4_2_1_7__1_LeachingAndRunoffEmissionsFromUrineAndDungOnPasture_Unit">_xlfn.LAMBDA("t N2O")</definedName>
    <definedName name="MMS_PastureBeef_Soil_LeachingAndRunoff.VEERG_4_2_1_7__1_LeachingAndRunoffEmissionsFromUrineAndDungOnPasture_Variable">_xlfn.LAMBDA("E_N2Oleach")</definedName>
    <definedName name="MMS_PastureBeef_Soil_LeachingAndRunoff.VEERG_4_2_1_7__2_MassOfNitrogenLostToLeachingAndRunoffOnPasture">_xlfn.LAMBDA(_xlpm.AE,_xlpm.FracWet,_xlpm.FracLEACH, _xlpm.AE * _xlpm.FracWet * _xlpm.FracLEACH)</definedName>
    <definedName name="MMS_PastureBeef_Soil_LeachingAndRunoff.VEERG_4_2_1_7__2_MassOfNitrogenLostToLeachingAndRunoffOnPasture_Arguments">_xlfn.LAMBDA(_xlfn.MAKEARRAY(6, 4, _xlfn.LAMBDA(_xlpm.r,_xlpm.c, INDEX({"AE","total mass of nitrogen excreted on PRP for beef cattle","kg N","Calculated from 4.2.1.3 (2)";"FracWet","fraction of N available for leaching and runoff","fraction","Constant";"FracLEACH","fraction of all N that is lost through leaching and runoff","fraction","Constant";"z","location in leaching zone","","Input";"j","production system","","Input";"ir","irrigation method","","Input"}, _xlpm.r, _xlpm.c))))</definedName>
    <definedName name="MMS_PastureBeef_Soil_LeachingAndRunoff.VEERG_4_2_1_7__2_MassOfNitrogenLostToLeachingAndRunoffOnPasture_LatexEquation">_xlfn.LAMBDA("M_{leach}=AE\times FracWet\times FracLEACH")</definedName>
    <definedName name="MMS_PastureBeef_Soil_LeachingAndRunoff.VEERG_4_2_1_7__2_MassOfNitrogenLostToLeachingAndRunoffOnPasture_NIRReference">_xlfn.LAMBDA("")</definedName>
    <definedName name="MMS_PastureBeef_Soil_LeachingAndRunoff.VEERG_4_2_1_7__2_MassOfNitrogenLostToLeachingAndRunoffOnPasture_Source">_xlfn.LAMBDA("VEERG 2026: 4.2.1.7, Equation (2)")</definedName>
    <definedName name="MMS_PastureBeef_Soil_LeachingAndRunoff.VEERG_4_2_1_7__2_MassOfNitrogenLostToLeachingAndRunoffOnPasture_Title">_xlfn.LAMBDA("Mass of nitrogen lost to leaching and runoff")</definedName>
    <definedName name="MMS_PastureBeef_Soil_LeachingAndRunoff.VEERG_4_2_1_7__2_MassOfNitrogenLostToLeachingAndRunoffOnPasture_Unit">_xlfn.LAMBDA("kg N")</definedName>
    <definedName name="MMS_PastureBeef_Soil_LeachingAndRunoff.VEERG_4_2_1_7__2_MassOfNitrogenLostToLeachingAndRunoffOnPasture_Variable">_xlfn.LAMBDA("M_leach")</definedName>
    <definedName name="MMS_PastureBeef_Soil_N2ODirect_Equations.VEERG_4_2_1_3__1_DirectNitrousOxideEmissionsOnPasture">_xlfn.LAMBDA(_xlpm.AE,_xlpm.EF_PRP,_xlpm.C_N2O, _xlpm.AE * _xlpm.EF_PRP * _xlpm.C_N2O * 10 ^ -3)</definedName>
    <definedName name="MMS_PastureBeef_Soil_N2ODirect_Equations.VEERG_4_2_1_3__1_DirectNitrousOxideEmissionsOnPasture_Arguments">_xlfn.LAMBDA(_xlfn.MAKEARRAY(4, 4, _xlfn.LAMBDA(_xlpm.r,_xlpm.c, INDEX({"AE","total mass of nitrogen excreted on PRP for beef cattle","kg N","Calculated from 4.2.1.3 (2)";"EF_PRP","emission factor for nitrous oxide from urine and dung deposited to soil","kg N2O-N/kg N deposited","Constant";"C_N2O","factor to convert elemental mass of nitrous oxide to molecular mass","","Constant";"z","wet or dry climate zone","","Input"}, _xlpm.r, _xlpm.c))))</definedName>
    <definedName name="MMS_PastureBeef_Soil_N2ODirect_Equations.VEERG_4_2_1_3__1_DirectNitrousOxideEmissionsOnPasture_LatexEquation">_xlfn.LAMBDA("E_{N2O,dir}=AE\times EF_{PRP}\times C_{N2O}\times 10^{-3}")</definedName>
    <definedName name="MMS_PastureBeef_Soil_N2ODirect_Equations.VEERG_4_2_1_3__1_DirectNitrousOxideEmissionsOnPasture_NIRReference">_xlfn.LAMBDA("")</definedName>
    <definedName name="MMS_PastureBeef_Soil_N2ODirect_Equations.VEERG_4_2_1_3__1_DirectNitrousOxideEmissionsOnPasture_Source">_xlfn.LAMBDA("VEERG 2026: 4.2.1.3, Equation (1)")</definedName>
    <definedName name="MMS_PastureBeef_Soil_N2ODirect_Equations.VEERG_4_2_1_3__1_DirectNitrousOxideEmissionsOnPasture_Title">_xlfn.LAMBDA("Total annual direct nitrous oxide emissions from agricultural soils from deposition of urine and dung")</definedName>
    <definedName name="MMS_PastureBeef_Soil_N2ODirect_Equations.VEERG_4_2_1_3__1_DirectNitrousOxideEmissionsOnPasture_Unit">_xlfn.LAMBDA("t N2O")</definedName>
    <definedName name="MMS_PastureBeef_Soil_N2ODirect_Equations.VEERG_4_2_1_3__1_DirectNitrousOxideEmissionsOnPasture_Variable">_xlfn.LAMBDA("E_N2Odir")</definedName>
    <definedName name="MMS_PastureBeef_Soil_N2ODirect_Equations.VEERG_4_2_1_3__2_TotalNitrogenExcretedToPastureRangeAndPaddock">_xlfn.LAMBDA(_xlpm.N_jkl,_xlpm.NE_jkl,_xlpm.D_j, SUM((_xlpm.N_jkl * _xlpm.NE_jkl) * _xlpm.D_j))</definedName>
    <definedName name="MMS_PastureBeef_Soil_N2ODirect_Equations.VEERG_4_2_1_3__2_TotalNitrogenExcretedToPastureRangeAndPaddock_Arguments">_xlfn.LAMBDA(_xlfn.MAKEARRAY(3, 4, _xlfn.LAMBDA(_xlpm.r,_xlpm.c, INDEX({"N_jkl","number of beef cattle by time-period, class and subclass","head","Input";"NE_jkl","nitrogen excreted in each time-period, by each class and subclass","kg N/head/day","Calculated from 4.2.1.3 (3)";"D_j","number of days in each time-period (days)","days","Input"}, _xlpm.r, _xlpm.c))))</definedName>
    <definedName name="MMS_PastureBeef_Soil_N2ODirect_Equations.VEERG_4_2_1_3__2_TotalNitrogenExcretedToPastureRangeAndPaddock_LatexEquation">_xlfn.LAMBDA("AE=\sum_{j}\sum_{k}\sum_{l}(N_{jkl}\times NE_{jkl}\times D_j)")</definedName>
    <definedName name="MMS_PastureBeef_Soil_N2ODirect_Equations.VEERG_4_2_1_3__2_TotalNitrogenExcretedToPastureRangeAndPaddock_NIRReference">_xlfn.LAMBDA("")</definedName>
    <definedName name="MMS_PastureBeef_Soil_N2ODirect_Equations.VEERG_4_2_1_3__2_TotalNitrogenExcretedToPastureRangeAndPaddock_Source">_xlfn.LAMBDA("VEERG 2026: 4.2.1.3, Equation (2)")</definedName>
    <definedName name="MMS_PastureBeef_Soil_N2ODirect_Equations.VEERG_4_2_1_3__2_TotalNitrogenExcretedToPastureRangeAndPaddock_Title">_xlfn.LAMBDA("Total nitrogen excreted to pasture, range and paddock")</definedName>
    <definedName name="MMS_PastureBeef_Soil_N2ODirect_Equations.VEERG_4_2_1_3__2_TotalNitrogenExcretedToPastureRangeAndPaddock_Unit">_xlfn.LAMBDA("kg N")</definedName>
    <definedName name="MMS_PastureBeef_Soil_N2ODirect_Equations.VEERG_4_2_1_3__2_TotalNitrogenExcretedToPastureRangeAndPaddock_Variable">_xlfn.LAMBDA("AE")</definedName>
    <definedName name="MMS_PastureBeef_Soil_N2ODirect_Equations.VEERG_4_2_1_3__3_NitrogenExcreted">_xlfn.LAMBDA(_xlpm.I_jkl,_xlpm.CP_j,_xlpm.MC_jk136,_xlpm.NR_jkl,_xlpm.W_jkl, ((_xlpm.I_jkl * _xlpm.CP_j) / 6.25) + ((0.032 * _xlpm.MC_jk136) / 6.38) - _xlpm.NR_jkl - ((1.1 * 10 ^ -4 * _xlpm.W_jkl ^ 0.75) / 6.25))</definedName>
    <definedName name="MMS_PastureBeef_Soil_N2ODirect_Equations.VEERG_4_2_1_3__3_NitrogenExcreted_Arguments">_xlfn.LAMBDA(_xlfn.MAKEARRAY(7, 4, _xlfn.LAMBDA(_xlpm.r,_xlpm.c, INDEX({"I_jkl","dry matter intake as calculated in Chapter 3 Section 3.2.1 (kg DM/head/day)","kg DM/head/day","Calculated from 3.2.1.1 (3)";"CP_j","crude protein content of dry matter intake","fraction","Input";"MC_jk136","milk intake (kg/head/day)","kg/head/day","Constant";"NR_jkl","the amount of nitrogen retained by the body (kg N/head/day)","kg N/head/day","Calculated from 4.2.1.3 (4)";"W_jkl","liveweight (kg/head)","kg/head","Input";"b","breed of cattle","","Input";"s","Calving season","","Input"}, _xlpm.r, _xlpm.c))))</definedName>
    <definedName name="MMS_PastureBeef_Soil_N2ODirect_Equations.VEERG_4_2_1_3__3_NitrogenExcreted_LatexEquation">_xlfn.LAMBDA("NE_{jkl}= (I_{jkl}\times CP_j \div 6.25)  + (0.032\times MC_{jk=1,3,6} \div 6.38)  - NR_{jkl} - \left[ (1.1\times 10^{-4}\times W_{jkl}^{0.75}) \div  6.25 \right]")</definedName>
    <definedName name="MMS_PastureBeef_Soil_N2ODirect_Equations.VEERG_4_2_1_3__3_NitrogenExcreted_NIRReference">_xlfn.LAMBDA("")</definedName>
    <definedName name="MMS_PastureBeef_Soil_N2ODirect_Equations.VEERG_4_2_1_3__3_NitrogenExcreted_Source">_xlfn.LAMBDA("VEERG 2026: 4.2.1.3, Equation (3)")</definedName>
    <definedName name="MMS_PastureBeef_Soil_N2ODirect_Equations.VEERG_4_2_1_3__3_NitrogenExcreted_Title">_xlfn.LAMBDA("Nitrogen excreted")</definedName>
    <definedName name="MMS_PastureBeef_Soil_N2ODirect_Equations.VEERG_4_2_1_3__3_NitrogenExcreted_Unit">_xlfn.LAMBDA("kg N/head/day")</definedName>
    <definedName name="MMS_PastureBeef_Soil_N2ODirect_Equations.VEERG_4_2_1_3__3_NitrogenExcreted_Variable">_xlfn.LAMBDA("NE_jkl")</definedName>
    <definedName name="MMS_PastureBeef_Soil_N2ODirect_Equations.VEERG_4_2_1_3__4_NitrogenRetainedByBody">_xlfn.LAMBDA(_xlpm.MP_jk5,_xlpm.L_jkl,_xlpm.Z_jkl,_xlpm.LWG_jkl,
    ((0.032 * _xlpm.MP_jk5) / 6.38) + (((0.212 - 0.008 * (_xlpm.L_jkl - 2) - ((0.14 - 0.008 * (_xlpm.L_jkl - 2)) / (1 + EXP(-6 * (_xlpm.Z_jkl - 0.4))))) * (_xlpm.LWG_jkl * 0.92)) / 6.25)
  )</definedName>
    <definedName name="MMS_PastureBeef_Soil_N2ODirect_Equations.VEERG_4_2_1_3__4_NitrogenRetainedByBody_Arguments">_xlfn.LAMBDA(_xlfn.MAKEARRAY(4, 4, _xlfn.LAMBDA(_xlpm.r,_xlpm.c, INDEX({"MP_jk5","milk production (kg/head/day)","kg/head/day","Calculated from 4.2.1.3 (5)";"L_jkl","intake relative to that needed for maintenance","","Calculated from 4.2.1.3 (6)";"Z_jkl","relative size","","Calculated from 4.2.1.3 (7)";"LWG_jkl","liveweight gain (kg/head/day)","kg/head/day","Input"}, _xlpm.r, _xlpm.c))))</definedName>
    <definedName name="MMS_PastureBeef_Soil_N2ODirect_Equations.VEERG_4_2_1_3__4_NitrogenRetainedByBody_LatexEquation">_xlfn.LAMBDA("NR_{jkl}=(0.032 \times MP_{jk=5} \div 6.38) + \left { \left { 0.212 - 0.008 \times (L_{jkl} -2) - \left[ \frac{0.140-0.008 \times (L_{jkl} - 2)}{1+e^{(-6 \times (Z_{jkl}-0.4))}} \right] \right} \times (LWG_{jkl} \times 0.92) \right} \div 6.25")</definedName>
    <definedName name="MMS_PastureBeef_Soil_N2ODirect_Equations.VEERG_4_2_1_3__4_NitrogenRetainedByBody_NIRReference">_xlfn.LAMBDA("")</definedName>
    <definedName name="MMS_PastureBeef_Soil_N2ODirect_Equations.VEERG_4_2_1_3__4_NitrogenRetainedByBody_Source">_xlfn.LAMBDA("VEERG 2026: 4.2.1.3, Equation (4)")</definedName>
    <definedName name="MMS_PastureBeef_Soil_N2ODirect_Equations.VEERG_4_2_1_3__4_NitrogenRetainedByBody_Title">_xlfn.LAMBDA("Amount of nitrogen retained by the body")</definedName>
    <definedName name="MMS_PastureBeef_Soil_N2ODirect_Equations.VEERG_4_2_1_3__4_NitrogenRetainedByBody_Unit">_xlfn.LAMBDA("kg N/head/day")</definedName>
    <definedName name="MMS_PastureBeef_Soil_N2ODirect_Equations.VEERG_4_2_1_3__4_NitrogenRetainedByBody_Variable">_xlfn.LAMBDA("NR_jkl")</definedName>
    <definedName name="MMS_PastureBeef_Soil_N2ODirect_Equations.VEERG_4_2_1_3__5_MilkProductionForCalvingSeason">_xlfn.LAMBDA(_xlpm.LC_jk5,_xlpm.DMP_jk5, _xlpm.LC_jk5 * _xlpm.DMP_jk5)</definedName>
    <definedName name="MMS_PastureBeef_Soil_N2ODirect_Equations.VEERG_4_2_1_3__5_MilkProductionForCalvingSeason_Arguments">_xlfn.LAMBDA(_xlfn.MAKEARRAY(3, 4, _xlfn.LAMBDA(_xlpm.r,_xlpm.c, INDEX({"LC_jk5","proportion of cows greater than 2 years lactating for the season of calving and season after calving expressed as a fraction","fraction","Input";"DMP_jk5","daily milk production (kg/head/day)","kg/head/day","Constant";"b","breed of cattle","","Input"}, _xlpm.r, _xlpm.c))))</definedName>
    <definedName name="MMS_PastureBeef_Soil_N2ODirect_Equations.VEERG_4_2_1_3__5_MilkProductionForCalvingSeason_ArgumentsVariation">_xlfn.LAMBDA(_xlfn.MAKEARRAY(5, 4, _xlfn.LAMBDA(_xlpm.r,_xlpm.c, INDEX({"LC_jk5curr","proportion of cows greater than 2 years lactating for the season of calving","fraction","Input";"LC_jk5prev","proportion of cows greater than 2 years lactating for the season after calving","fraction","Input";"DMP_jk5calv","daily milk production for the season of calving (kg/head/day)","kg/head/day","Constant";"DMP_jk5after","daily milk production for the season after calving (kg/head/day)","kg/head/day","Constant";"b","breed of cattle","","Input"}, _xlpm.r, _xlpm.c))))</definedName>
    <definedName name="MMS_PastureBeef_Soil_N2ODirect_Equations.VEERG_4_2_1_3__5_MilkProductionForCalvingSeason_LatexEquation">_xlfn.LAMBDA("MP_{jk=5}=LC_{jk=5}\times DMP_{jk=5}")</definedName>
    <definedName name="MMS_PastureBeef_Soil_N2ODirect_Equations.VEERG_4_2_1_3__5_MilkProductionForCalvingSeason_LatexEquationVariation">_xlfn.LAMBDA("MP_{jk=5}=(LC_{jk=5,current}\times DMP_{jk=5,calv})+(LC_{jk=5,prev}\times DMP_{jk=5,after})")</definedName>
    <definedName name="MMS_PastureBeef_Soil_N2ODirect_Equations.VEERG_4_2_1_3__5_MilkProductionForCalvingSeason_NIRReference">_xlfn.LAMBDA("")</definedName>
    <definedName name="MMS_PastureBeef_Soil_N2ODirect_Equations.VEERG_4_2_1_3__5_MilkProductionForCalvingSeason_Source">_xlfn.LAMBDA("VEERG 2026: 4.2.1.3, Equation (5)")</definedName>
    <definedName name="MMS_PastureBeef_Soil_N2ODirect_Equations.VEERG_4_2_1_3__5_MilkProductionForCalvingSeason_Title">_xlfn.LAMBDA("Milk production for the season of calving and season after calving")</definedName>
    <definedName name="MMS_PastureBeef_Soil_N2ODirect_Equations.VEERG_4_2_1_3__5_MilkProductionForCalvingSeason_Unit">_xlfn.LAMBDA("kg/head/day")</definedName>
    <definedName name="MMS_PastureBeef_Soil_N2ODirect_Equations.VEERG_4_2_1_3__5_MilkProductionForCalvingSeason_Variable">_xlfn.LAMBDA("MP_jk5")</definedName>
    <definedName name="MMS_PastureBeef_Soil_N2ODirect_Equations.VEERG_4_2_1_3__5_MilkProductionForCalvingSeason_Variation">_xlfn.LAMBDA("VARIATION ON SOURCE: Split LC and DMP into calving season and after calving season values.")</definedName>
    <definedName name="MMS_PastureBeef_Soil_N2ODirect_Equations.VEERG_4_2_1_3__5_MilkProductionForCalvingSeasonVariation">_xlfn.LAMBDA(_xlpm.LC_jk5curr,_xlpm.LC_jk5prev,_xlpm.DMP_jk5calv,_xlpm.DMP_jk5after, (_xlpm.LC_jk5curr * _xlpm.DMP_jk5calv) + (_xlpm.LC_jk5prev * _xlpm.DMP_jk5after))</definedName>
    <definedName name="MMS_PastureBeef_Soil_N2ODirect_Equations.VEERG_4_2_1_3__6_IntakeRelativeToMaintenance">_xlfn.LAMBDA(_xlpm.I_jkl,_xlpm.W_jkl, _xlpm.I_jkl / ((1.185 + 0.00454 * _xlpm.W_jkl - 0.0000026 * _xlpm.W_jkl ^ 2) ^ 2))</definedName>
    <definedName name="MMS_PastureBeef_Soil_N2ODirect_Equations.VEERG_4_2_1_3__6_IntakeRelativeToMaintenance_Arguments">_xlfn.LAMBDA(_xlfn.MAKEARRAY(2, 4, _xlfn.LAMBDA(_xlpm.r,_xlpm.c, INDEX({"I_jkl","dry matter intake as calculated in Chapter 3 Section 3.2.1 (kg DM/head/day)","kg DM/head/day","Calculated from 3.2.1.1 (3)";"W_jkl","liveweight (kg/head)","kg/head","Input"}, _xlpm.r, _xlpm.c))))</definedName>
    <definedName name="MMS_PastureBeef_Soil_N2ODirect_Equations.VEERG_4_2_1_3__6_IntakeRelativeToMaintenance_LatexEquation">_xlfn.LAMBDA("L_{jkl}=\frac{I_{jkl}}{(1.185+0.00454\times W_{jkl}-0.0000026\times W_{jkl}^{2})^{2}}")</definedName>
    <definedName name="MMS_PastureBeef_Soil_N2ODirect_Equations.VEERG_4_2_1_3__6_IntakeRelativeToMaintenance_NIRReference">_xlfn.LAMBDA("")</definedName>
    <definedName name="MMS_PastureBeef_Soil_N2ODirect_Equations.VEERG_4_2_1_3__6_IntakeRelativeToMaintenance_Source">_xlfn.LAMBDA("VEERG 2026: 4.2.1.3, Equation (6)")</definedName>
    <definedName name="MMS_PastureBeef_Soil_N2ODirect_Equations.VEERG_4_2_1_3__6_IntakeRelativeToMaintenance_Title">_xlfn.LAMBDA("Intake relative to that needed for maintenance")</definedName>
    <definedName name="MMS_PastureBeef_Soil_N2ODirect_Equations.VEERG_4_2_1_3__6_IntakeRelativeToMaintenance_Unit">_xlfn.LAMBDA("ratio")</definedName>
    <definedName name="MMS_PastureBeef_Soil_N2ODirect_Equations.VEERG_4_2_1_3__6_IntakeRelativeToMaintenance_Variable">_xlfn.LAMBDA("L_jkl")</definedName>
    <definedName name="MMS_PastureBeef_Soil_N2ODirect_Equations.VEERG_4_2_1_3__7_RelativeSize">_xlfn.LAMBDA(_xlpm.W_jkl,_xlpm.SRW_k, _xlpm.W_jkl / _xlpm.SRW_k)</definedName>
    <definedName name="MMS_PastureBeef_Soil_N2ODirect_Equations.VEERG_4_2_1_3__7_RelativeSize_Arguments">_xlfn.LAMBDA(_xlfn.MAKEARRAY(3, 4, _xlfn.LAMBDA(_xlpm.r,_xlpm.c, INDEX({"W_jkl","liveweight (kg)","kg","Input";"SRW_k","standard reference weight (kg)","kg","Constant";"i","state","","Input"}, _xlpm.r, _xlpm.c))))</definedName>
    <definedName name="MMS_PastureBeef_Soil_N2ODirect_Equations.VEERG_4_2_1_3__7_RelativeSize_LatexEquation">_xlfn.LAMBDA("Z_{jkl}=\frac{W_{jkl}}{SRW_k}")</definedName>
    <definedName name="MMS_PastureBeef_Soil_N2ODirect_Equations.VEERG_4_2_1_3__7_RelativeSize_NIRReference">_xlfn.LAMBDA("")</definedName>
    <definedName name="MMS_PastureBeef_Soil_N2ODirect_Equations.VEERG_4_2_1_3__7_RelativeSize_Source">_xlfn.LAMBDA("VEERG 2026: 4.2.1.3, Equation (7)")</definedName>
    <definedName name="MMS_PastureBeef_Soil_N2ODirect_Equations.VEERG_4_2_1_3__7_RelativeSize_Title">_xlfn.LAMBDA("Relative size of the cattle")</definedName>
    <definedName name="MMS_PastureBeef_Soil_N2ODirect_Equations.VEERG_4_2_1_3__7_RelativeSize_Unit">_xlfn.LAMBDA("ratio")</definedName>
    <definedName name="MMS_PastureBeef_Soil_N2ODirect_Equations.VEERG_4_2_1_3__7_RelativeSize_Variable">_xlfn.LAMBDA("Z_jkl")</definedName>
    <definedName name="MMS_Poultry_AtmosphericDeposition_Equations.VEERG_4_6_1_5__1_TotalAnnualAtmosphericDepositionEmissionsFromMMS">_xlfn.LAMBDA(_xlpm.MMS_ATMOS,_xlpm.EF_N2O,_xlpm.C_N2O, (_xlpm.MMS_ATMOS * _xlpm.EF_N2O * _xlpm.C_N2O) * 10 ^ -3)</definedName>
    <definedName name="MMS_Poultry_AtmosphericDeposition_Equations.VEERG_4_6_1_5__1_TotalAnnualAtmosphericDepositionEmissionsFromMMS_Arguments">_xlfn.LAMBDA(_xlfn.MAKEARRAY(6, 4, _xlfn.LAMBDA(_xlpm.r,_xlpm.c, INDEX({"MMS_ATMOS","mass of N volatilised from MMS","kg N","Calculated from 4.6.1.5 (2)";"EF_N2O","nitrous oxide emission factor for atmospheric deposition","kg N2O-N/kg N","Constant";"C_N2O","factor to convert elemental mass of nitrous oxide to molecular mass","ratio","Constant";"j","production system","","Input";"ir","irrigation method","","Input";"r","rainfall region","","Input"}, _xlpm.r, _xlpm.c))))</definedName>
    <definedName name="MMS_Poultry_AtmosphericDeposition_Equations.VEERG_4_6_1_5__1_TotalAnnualAtmosphericDepositionEmissionsFromMMS_LatexEquation">_xlfn.LAMBDA("E_{N2O,ad}=(MMS_{ATMOS}\times EF_{N2O}\times C_{N2O})\times10^{-3}")</definedName>
    <definedName name="MMS_Poultry_AtmosphericDeposition_Equations.VEERG_4_6_1_5__1_TotalAnnualAtmosphericDepositionEmissionsFromMMS_NIRReference">_xlfn.LAMBDA("")</definedName>
    <definedName name="MMS_Poultry_AtmosphericDeposition_Equations.VEERG_4_6_1_5__1_TotalAnnualAtmosphericDepositionEmissionsFromMMS_Source">_xlfn.LAMBDA("VEERG 2026: 4.6.1.5, Equation (1)")</definedName>
    <definedName name="MMS_Poultry_AtmosphericDeposition_Equations.VEERG_4_6_1_5__1_TotalAnnualAtmosphericDepositionEmissionsFromMMS_Title">_xlfn.LAMBDA("Total annual atmospheric deposition emissions from manure management")</definedName>
    <definedName name="MMS_Poultry_AtmosphericDeposition_Equations.VEERG_4_6_1_5__1_TotalAnnualAtmosphericDepositionEmissionsFromMMS_Unit">_xlfn.LAMBDA("t N2O")</definedName>
    <definedName name="MMS_Poultry_AtmosphericDeposition_Equations.VEERG_4_6_1_5__1_TotalAnnualAtmosphericDepositionEmissionsFromMMS_Variable">_xlfn.LAMBDA("E_N2Oad")</definedName>
    <definedName name="MMS_Poultry_AtmosphericDeposition_Equations.VEERG_4_6_1_5__2_TotalNitrogenVolatilisedFromMMS">_xlfn.LAMBDA(_xlpm.MN_jkmT,_xlpm.FracGASM_mT, _xlpm.MN_jkmT * _xlpm.FracGASM_mT)</definedName>
    <definedName name="MMS_Poultry_AtmosphericDeposition_Equations.VEERG_4_6_1_5__2_TotalNitrogenVolatilisedFromMMS_Arguments">_xlfn.LAMBDA(_xlfn.MAKEARRAY(2, 4, _xlfn.LAMBDA(_xlpm.r,_xlpm.c, INDEX({"MN_jkmT","nitrogen in each treatment stage MMS (excluding MN_jkm13T2)","kg N","Calculated from 4.6.1.3 (2)(6)";"FracGASM_mT","fraction of N volatilised in each MMS","(kg NH3-N + NOx-N)/kg N","Constant"}, _xlpm.r, _xlpm.c))))</definedName>
    <definedName name="MMS_Poultry_AtmosphericDeposition_Equations.VEERG_4_6_1_5__2_TotalNitrogenVolatilisedFromMMS_LatexEquation">_xlfn.LAMBDA("MMS_{ATMOS}=\sum_{j}\sum_{k}\sum_{m}\sum_{T}(MN_{jkmT}\times FracGASM_{mT})")</definedName>
    <definedName name="MMS_Poultry_AtmosphericDeposition_Equations.VEERG_4_6_1_5__2_TotalNitrogenVolatilisedFromMMS_NIRReference">_xlfn.LAMBDA("")</definedName>
    <definedName name="MMS_Poultry_AtmosphericDeposition_Equations.VEERG_4_6_1_5__2_TotalNitrogenVolatilisedFromMMS_Source">_xlfn.LAMBDA("VEERG 2026: 4.6.1.5, Equation (2)")</definedName>
    <definedName name="MMS_Poultry_AtmosphericDeposition_Equations.VEERG_4_6_1_5__2_TotalNitrogenVolatilisedFromMMS_Title">_xlfn.LAMBDA("Total nitrogen volatilised from manure management systems")</definedName>
    <definedName name="MMS_Poultry_AtmosphericDeposition_Equations.VEERG_4_6_1_5__2_TotalNitrogenVolatilisedFromMMS_Unit">_xlfn.LAMBDA("kg N")</definedName>
    <definedName name="MMS_Poultry_AtmosphericDeposition_Equations.VEERG_4_6_1_5__2_TotalNitrogenVolatilisedFromMMS_Variable">_xlfn.LAMBDA("MMS_ATMOS")</definedName>
    <definedName name="MMS_Poultry_LeachingAndRunoff_Equations.VEERG_4_6_1_7__1_AnnualEmissionsFromLeachingAndRunoffFromMMS">_xlfn.LAMBDA(_xlpm.MNLeach_jkm4,_xlpm.EF_leach,_xlpm.C_N2O, (_xlpm.MNLeach_jkm4 * _xlpm.EF_leach * _xlpm.C_N2O) * 10 ^ -3)</definedName>
    <definedName name="MMS_Poultry_LeachingAndRunoff_Equations.VEERG_4_6_1_7__1_AnnualEmissionsFromLeachingAndRunoffFromMMS_Arguments">_xlfn.LAMBDA(_xlfn.MAKEARRAY(3, 4, _xlfn.LAMBDA(_xlpm.r,_xlpm.c, INDEX({"MNLeach_jkm4","mass of N lost through leaching and runoff from each MMS","kg N","Calculated from 4.6.1.7 (2)";"EF_leach","emission factor for leaching and runoff","kg N2O-N/kg N","Constant";"C_N2O","factor to convert elemental mass of N2O to molecular mass","ratio","Constant"}, _xlpm.r, _xlpm.c))))</definedName>
    <definedName name="MMS_Poultry_LeachingAndRunoff_Equations.VEERG_4_6_1_7__1_AnnualEmissionsFromLeachingAndRunoffFromMMS_LatexEquation">_xlfn.LAMBDA("E_{N2O,leach}=MNLeach_{jkm=4}\times EF_{leach}\times C_{N2O}\times10^{-3}")</definedName>
    <definedName name="MMS_Poultry_LeachingAndRunoff_Equations.VEERG_4_6_1_7__1_AnnualEmissionsFromLeachingAndRunoffFromMMS_NIRReference">_xlfn.LAMBDA("")</definedName>
    <definedName name="MMS_Poultry_LeachingAndRunoff_Equations.VEERG_4_6_1_7__1_AnnualEmissionsFromLeachingAndRunoffFromMMS_Source">_xlfn.LAMBDA("VEERG 2026: 4.6.1.7, Equation (1)")</definedName>
    <definedName name="MMS_Poultry_LeachingAndRunoff_Equations.VEERG_4_6_1_7__1_AnnualEmissionsFromLeachingAndRunoffFromMMS_Title">_xlfn.LAMBDA("Annual emissions from leaching and runoff from each MMS")</definedName>
    <definedName name="MMS_Poultry_LeachingAndRunoff_Equations.VEERG_4_6_1_7__1_AnnualEmissionsFromLeachingAndRunoffFromMMS_Unit">_xlfn.LAMBDA("t N2O")</definedName>
    <definedName name="MMS_Poultry_LeachingAndRunoff_Equations.VEERG_4_6_1_7__1_AnnualEmissionsFromLeachingAndRunoffFromMMS_Variable">_xlfn.LAMBDA("E_N2Oleach")</definedName>
    <definedName name="MMS_Poultry_LeachingAndRunoff_Equations.VEERG_4_6_1_7__2_MassOfNitrogenLostToLeachingAndRunoffFromSolidStorage">_xlfn.LAMBDA(_xlpm.MN_jkm4T2,_xlpm.FracWET,_xlpm.FracLEACH_MS, _xlpm.MN_jkm4T2 * _xlpm.FracWET * _xlpm.FracLEACH_MS)</definedName>
    <definedName name="MMS_Poultry_LeachingAndRunoff_Equations.VEERG_4_6_1_7__2_MassOfNitrogenLostToLeachingAndRunoffFromSolidStorage_Arguments">_xlfn.LAMBDA(
    _xlfn.MAKEARRAY(6, 4,
      _xlfn.LAMBDA(_xlpm.r,_xlpm.c,
        INDEX({"MN_jkm4T2","nitrogen in solid storage MMS treatment stage 2","kg N","Calculated from 4.6.1.3 (6)";"FracWET","fraction of N available for leaching and runoff","fraction","Constant";"FracLEACH_MS","fraction of N lost through leaching and runoff","fraction","Constant";"z","location in leaching zone","","Input";"j","production system","","Input";"ir","irrigation method","","Input"}, _xlpm.r, _xlpm.c)
      )
    )
  )</definedName>
    <definedName name="MMS_Poultry_LeachingAndRunoff_Equations.VEERG_4_6_1_7__2_MassOfNitrogenLostToLeachingAndRunoffFromSolidStorage_LatexEquation">_xlfn.LAMBDA("MNLeach_{jkm=4}=MN_{jkm=4,T=2}\times FracWET\times FracLEACH_{MS}")</definedName>
    <definedName name="MMS_Poultry_LeachingAndRunoff_Equations.VEERG_4_6_1_7__2_MassOfNitrogenLostToLeachingAndRunoffFromSolidStorage_NIRReference">_xlfn.LAMBDA("")</definedName>
    <definedName name="MMS_Poultry_LeachingAndRunoff_Equations.VEERG_4_6_1_7__2_MassOfNitrogenLostToLeachingAndRunoffFromSolidStorage_Source">_xlfn.LAMBDA("VEERG 2026: 4.6.1.7, Equation (2)")</definedName>
    <definedName name="MMS_Poultry_LeachingAndRunoff_Equations.VEERG_4_6_1_7__2_MassOfNitrogenLostToLeachingAndRunoffFromSolidStorage_Title">_xlfn.LAMBDA("Mass of nitrogen lost to leaching and runoff from solid storage systems")</definedName>
    <definedName name="MMS_Poultry_LeachingAndRunoff_Equations.VEERG_4_6_1_7__2_MassOfNitrogenLostToLeachingAndRunoffFromSolidStorage_Unit">_xlfn.LAMBDA("kg N")</definedName>
    <definedName name="MMS_Poultry_LeachingAndRunoff_Equations.VEERG_4_6_1_7__2_MassOfNitrogenLostToLeachingAndRunoffFromSolidStorage_Variable">_xlfn.LAMBDA("MNLeach_jkm4")</definedName>
    <definedName name="MMS_Poultry_ManureAppliedToSoils_Equations.VEERG_4_6_1_9__1_MassOfNitrogenAppliedToSoilsScope1">_xlfn.LAMBDA(_xlpm.MN_jmT2,_xlpm.EF_mT2,_xlpm.FracGASM_mT2,_xlpm.MNLeach_MMS,_xlpm.PF, (_xlpm.MN_jmT2 * (1 - _xlpm.EF_mT2 - _xlpm.FracGASM_mT2) - _xlpm.MNLeach_MMS) * _xlpm.PF)</definedName>
    <definedName name="MMS_Poultry_ManureAppliedToSoils_Equations.VEERG_4_6_1_9__1_MassOfNitrogenAppliedToSoilsScope1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1_MassOfNitrogenAppliedToSoilsScope1_LatexEquation">_xlfn.LAMBDA("MNSoil_{scope1}=\sum_{j}\sum_{m}(MN_{jm,T=2}\times(1-EF_{mT=2}-FracGASM_{mT=2})-MNLeach_{MMS})\times PF")</definedName>
    <definedName name="MMS_Poultry_ManureAppliedToSoils_Equations.VEERG_4_6_1_9__1_MassOfNitrogenAppliedToSoilsScope1_NIRReference">_xlfn.LAMBDA("")</definedName>
    <definedName name="MMS_Poultry_ManureAppliedToSoils_Equations.VEERG_4_6_1_9__1_MassOfNitrogenAppliedToSoilsScope1_Source">_xlfn.LAMBDA("VEERG 2026: 4.6.1.9, Equation (1)")</definedName>
    <definedName name="MMS_Poultry_ManureAppliedToSoils_Equations.VEERG_4_6_1_9__1_MassOfNitrogenAppliedToSoilsScope1_Title">_xlfn.LAMBDA("Mass of nitrogen applied to soils for scope 1 emissions")</definedName>
    <definedName name="MMS_Poultry_ManureAppliedToSoils_Equations.VEERG_4_6_1_9__1_MassOfNitrogenAppliedToSoilsScope1_Unit">_xlfn.LAMBDA("kg N")</definedName>
    <definedName name="MMS_Poultry_ManureAppliedToSoils_Equations.VEERG_4_6_1_9__1_MassOfNitrogenAppliedToSoilsScope1_Variable">_xlfn.LAMBDA("MNSoil_scope1")</definedName>
    <definedName name="MMS_Poultry_ManureAppliedToSoils_Equations.VEERG_4_6_1_9__2_MassOfNitrogenAppliedToSoilsScope3">_xlfn.LAMBDA(_xlpm.MN_jmT2,_xlpm.EF_mT2,_xlpm.FracGASM_mT2,_xlpm.MNLeach_MMS,_xlpm.PF, (_xlpm.MN_jmT2 * (1 - _xlpm.EF_mT2 - _xlpm.FracGASM_mT2) - _xlpm.MNLeach_MMS) * (1 - _xlpm.PF))</definedName>
    <definedName name="MMS_Poultry_ManureAppliedToSoils_Equations.VEERG_4_6_1_9__2_MassOfNitrogenAppliedToSoilsScope3_Arguments">_xlfn.LAMBDA(_xlfn.MAKEARRAY(5, 4, _xlfn.LAMBDA(_xlpm.r,_xlpm.c, INDEX({"MN_jmT2","mass of N in secondary treatment stage as calculated for manure management","kg N","Calculated from 4.6.1.3 (6)";"EF_mT2","nitrous oxide emission factor for each MMS","kg N2O-N/kg N","Constant";"FracGASM_mT2","fraction of animal waste N volatilised in each MMS","(kg NH3-N + NOx-N)/kg N","Constant";"MNLeach_MMS","mass of N lost through leaching and runoff from MMS","kg N","Calculated from 4.6.1.7 (2)";"PF","fraction of manure applied to soil within the farm boundary","fraction","Input"}, _xlpm.r, _xlpm.c))))</definedName>
    <definedName name="MMS_Poultry_ManureAppliedToSoils_Equations.VEERG_4_6_1_9__2_MassOfNitrogenAppliedToSoilsScope3_LatexEquation">_xlfn.LAMBDA("MNSoil_{scope3}=\sum_{j}\sum_{m}(MN_{jm,T=2}\times(1-EF_{mT=2}-FracGASM_{mT=2})-MNLeach_{MMS})\times(1-PF)")</definedName>
    <definedName name="MMS_Poultry_ManureAppliedToSoils_Equations.VEERG_4_6_1_9__2_MassOfNitrogenAppliedToSoilsScope3_NIRReference">_xlfn.LAMBDA("")</definedName>
    <definedName name="MMS_Poultry_ManureAppliedToSoils_Equations.VEERG_4_6_1_9__2_MassOfNitrogenAppliedToSoilsScope3_Source">_xlfn.LAMBDA("VEERG 2026: 4.6.1.9, Equation (2)")</definedName>
    <definedName name="MMS_Poultry_ManureAppliedToSoils_Equations.VEERG_4_6_1_9__2_MassOfNitrogenAppliedToSoilsScope3_Title">_xlfn.LAMBDA("Mass of nitrogen applied to soils for scope 3 emissions")</definedName>
    <definedName name="MMS_Poultry_ManureAppliedToSoils_Equations.VEERG_4_6_1_9__2_MassOfNitrogenAppliedToSoilsScope3_Unit">_xlfn.LAMBDA("kg N")</definedName>
    <definedName name="MMS_Poultry_ManureAppliedToSoils_Equations.VEERG_4_6_1_9__2_MassOfNitrogenAppliedToSoilsScope3_Variable">_xlfn.LAMBDA("MNSoil_scope3")</definedName>
    <definedName name="MMS_Poultry_Methane_Equations.VEERG_4_6_1_1__1_TotalAnnualMethaneEmissions">_xlfn.LAMBDA(_xlpm.D_jk,_xlpm.M_jkmT,_xlpm.N_jk, (_xlpm.D_jk * _xlpm.M_jkmT * _xlpm.N_jk) * 10 ^ -3)</definedName>
    <definedName name="MMS_Poultry_Methane_Equations.VEERG_4_6_1_1__1_TotalAnnualMethaneEmissions_Arguments">_xlfn.LAMBDA(_xlfn.MAKEARRAY(3, 4, _xlfn.LAMBDA(_xlpm.r,_xlpm.c, INDEX({"D_jk","duration of stay of each class and subclass of poultry","days","Input";"M_jkmT","methane production from manure per class, subclass, MMS, and treatment stage","kg CH4/bird/day","Calculated from 4.6.1.1 (2)(3)";"N_jk","numbers of poultry in each class and subclass","birds","Input"}, _xlpm.r, _xlpm.c))))</definedName>
    <definedName name="MMS_Poultry_Methane_Equations.VEERG_4_6_1_1__1_TotalAnnualMethaneEmissions_LatexEquation">_xlfn.LAMBDA("E_{CH4}=\sum_{j}\sum_{k}\sum_{m}\sum_{T}(D_{jk}\times M_{jkmT}\times N_{jk})\times10^{-3}")</definedName>
    <definedName name="MMS_Poultry_Methane_Equations.VEERG_4_6_1_1__1_TotalAnnualMethaneEmissions_NIRReference">_xlfn.LAMBDA("")</definedName>
    <definedName name="MMS_Poultry_Methane_Equations.VEERG_4_6_1_1__1_TotalAnnualMethaneEmissions_Source">_xlfn.LAMBDA("VEERG 2026: 4.4.1.1, Equation (1)")</definedName>
    <definedName name="MMS_Poultry_Methane_Equations.VEERG_4_6_1_1__1_TotalAnnualMethaneEmissions_Title">_xlfn.LAMBDA("Total annual methane emissions from manure management")</definedName>
    <definedName name="MMS_Poultry_Methane_Equations.VEERG_4_6_1_1__1_TotalAnnualMethaneEmissions_Unit">_xlfn.LAMBDA("t CH4")</definedName>
    <definedName name="MMS_Poultry_Methane_Equations.VEERG_4_6_1_1__1_TotalAnnualMethaneEmissions_Variable">_xlfn.LAMBDA("E_CH4")</definedName>
    <definedName name="MMS_Poultry_Methane_Equations.VEERG_4_6_1_1__2_Stage1MethaneProduction">_xlfn.LAMBDA(_xlpm.VS_jk,_xlpm.BO_j,_xlpm.MMS_jmT1,_xlpm.MCF_im,_xlpm.rho, _xlpm.VS_jk * _xlpm.BO_j * _xlpm.MMS_jmT1 * _xlpm.MCF_im * _xlpm.rho)</definedName>
    <definedName name="MMS_Poultry_Methane_Equations.VEERG_4_6_1_1__2_Stage1MethaneProduction_Arguments">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methane","kg/m3","Constant";"i","state","","Input"}, _xlpm.r, _xlpm.c))))</definedName>
    <definedName name="MMS_Poultry_Methane_Equations.VEERG_4_6_1_1__2_Stage1MethaneProduction_Arguments_Method2">_xlfn.LAMBDA(_xlfn.MAKEARRAY(6, 4, _xlfn.LAMBDA(_xlpm.r,_xlpm.c, INDEX({"VS_jk","volatile solid production poultry classes","kg VS/bird/day","Calculated from 4.6.1.1 (5)";"BO_j","emissions potential per class","m3 CH4/kg VS","Constant";"MMS_jmT1","fraction of manure in each primary system","fraction","Input";"MCF_im","methane conversion factor for temperature zone and MMS","fraction","Constant";"rho","density of methane","kg/m3","Constant";"i","mean annual temperature","°C","Input"}, _xlpm.r, _xlpm.c))))</definedName>
    <definedName name="MMS_Poultry_Methane_Equations.VEERG_4_6_1_1__2_Stage1MethaneProduction_LatexEquation">_xlfn.LAMBDA("M_{jkmT=1}=VS_{jk}\times BO_{j}\times MMS_{jmT=1}\times MCF_{im}\times \rho")</definedName>
    <definedName name="MMS_Poultry_Methane_Equations.VEERG_4_6_1_1__2_Stage1MethaneProduction_NIRReference">_xlfn.LAMBDA("")</definedName>
    <definedName name="MMS_Poultry_Methane_Equations.VEERG_4_6_1_1__2_Stage1MethaneProduction_Source">_xlfn.LAMBDA("VEERG 2026: 4.4.1.1, Equation (2)")</definedName>
    <definedName name="MMS_Poultry_Methane_Equations.VEERG_4_6_1_1__2_Stage1MethaneProduction_Title">_xlfn.LAMBDA("Production of methane in treatment stage 1 MMS")</definedName>
    <definedName name="MMS_Poultry_Methane_Equations.VEERG_4_6_1_1__2_Stage1MethaneProduction_Unit">_xlfn.LAMBDA("kg CH4/bird/day")</definedName>
    <definedName name="MMS_Poultry_Methane_Equations.VEERG_4_6_1_1__2_Stage1MethaneProduction_Variable">_xlfn.LAMBDA("M_jkmT1")</definedName>
    <definedName name="MMS_Poultry_Methane_Equations.VEERG_4_6_1_1__2_Stage1MethaneProduction_Variation">_xlfn.LAMBDA(_xlfn.MAKEARRAY(3, 1, _xlfn.LAMBDA(_xlpm.r,_xlpm.c, INDEX({"VARIATION ON SOURCE:";"Used mean annual temperature instead of temperature zone to determine MCF as MCF values are specific to temperature";"Method 2: Used state based MCF values for 'Belt manure removal' and 'Manure stored in house' MMS as no temperature values exist in Table A.1.8.1"}, _xlpm.r, _xlpm.c))))</definedName>
    <definedName name="MMS_Poultry_Methane_Equations.VEERG_4_6_1_1__3_Stage2MethaneProduction">_xlfn.LAMBDA(_xlpm.VST_jk,_xlpm.BO,_xlpm.MMS_jmT2,_xlpm.MCF_im,_xlpm.rho, _xlpm.VST_jk * _xlpm.BO * _xlpm.MMS_jmT2 * _xlpm.MCF_im * _xlpm.rho)</definedName>
    <definedName name="MMS_Poultry_Methane_Equations.VEERG_4_6_1_1__3_Stage2MethaneProduction_Arguments">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methane","kg/m3","Constant";"i","state","","Input"}, _xlpm.r, _xlpm.c))))</definedName>
    <definedName name="MMS_Poultry_Methane_Equations.VEERG_4_6_1_1__3_Stage2MethaneProduction_Arguments_Method2">_xlfn.LAMBDA(_xlfn.MAKEARRAY(6, 4, _xlfn.LAMBDA(_xlpm.r,_xlpm.c, INDEX({"VST_jk","volatile solids transferred to treatment stage 2 MMS","kg VS/bird/day","Calculated from 4.6.1.1 (4)";"BO","emissions potential","m3 CH4/kg VS","Constant";"MMS_jmT2","fraction of manure in each secondary system","fraction","Input";"MCF_im","methane conversion factor for temperature zone and MMS","fraction","Constant";"rho","density of methane","kg/m3","Constant";"i","mean annual temperature","°C","Input"}, _xlpm.r, _xlpm.c))))</definedName>
    <definedName name="MMS_Poultry_Methane_Equations.VEERG_4_6_1_1__3_Stage2MethaneProduction_LatexEquation">_xlfn.LAMBDA("M_{jkmT=2}=VST_{jk}\times BO\times MMS_{jmT=2}\times MCF_{im}\times \rho")</definedName>
    <definedName name="MMS_Poultry_Methane_Equations.VEERG_4_6_1_1__3_Stage2MethaneProduction_NIRReference">_xlfn.LAMBDA("")</definedName>
    <definedName name="MMS_Poultry_Methane_Equations.VEERG_4_6_1_1__3_Stage2MethaneProduction_Source">_xlfn.LAMBDA("VEERG 2026: 4.4.1.1, Equation (3)")</definedName>
    <definedName name="MMS_Poultry_Methane_Equations.VEERG_4_6_1_1__3_Stage2MethaneProduction_Title">_xlfn.LAMBDA("Production of methane in treatment stage 2 MMS")</definedName>
    <definedName name="MMS_Poultry_Methane_Equations.VEERG_4_6_1_1__3_Stage2MethaneProduction_Unit">_xlfn.LAMBDA("kg CH4/bird/day")</definedName>
    <definedName name="MMS_Poultry_Methane_Equations.VEERG_4_6_1_1__3_Stage2MethaneProduction_Variable">_xlfn.LAMBDA("M_jkmT2")</definedName>
    <definedName name="MMS_Poultry_Methane_Equations.VEERG_4_6_1_1__3_Stage2MethaneProduction_Variation">_xlfn.LAMBDA("VARIATION ON SOURCE: Used mean annual temperature instead of temperature zone to determine MCF as MCF values are specific to temperature")</definedName>
    <definedName name="MMS_Poultry_Methane_Equations.VEERG_4_6_1_1__4_VolatileSolidsTransferred">_xlfn.LAMBDA(_xlpm.VS_jk,_xlpm.MMS_jmT1,_xlpm.VSL_mT1, _xlpm.VS_jk * _xlpm.MMS_jmT1 * (1 - _xlpm.VSL_mT1))</definedName>
    <definedName name="MMS_Poultry_Methane_Equations.VEERG_4_6_1_1__4_VolatileSolidsTransferred_Arguments">_xlfn.LAMBDA(_xlfn.MAKEARRAY(3, 4, _xlfn.LAMBDA(_xlpm.r,_xlpm.c, INDEX({"VS_jk","volatile solid production poultry classes","kg VS/bird/day","Calculated from 4.6.1.1 (5)";"MMS_jmT1","fraction of manure in each primary system","fraction","Input";"VSL_mT1","fraction of volatile solids lost during storage in the primary system","fraction","Constant"}, _xlpm.r, _xlpm.c))))</definedName>
    <definedName name="MMS_Poultry_Methane_Equations.VEERG_4_6_1_1__4_VolatileSolidsTransferred_LatexEquation">_xlfn.LAMBDA("VST_{jk}=VS_{jk}\times MMS_{jmT=1}\times (1-VSL_{mT=1})")</definedName>
    <definedName name="MMS_Poultry_Methane_Equations.VEERG_4_6_1_1__4_VolatileSolidsTransferred_NIRReference">_xlfn.LAMBDA("")</definedName>
    <definedName name="MMS_Poultry_Methane_Equations.VEERG_4_6_1_1__4_VolatileSolidsTransferred_Source">_xlfn.LAMBDA("VEERG 2026: 4.4.1.1, Equation (4)")</definedName>
    <definedName name="MMS_Poultry_Methane_Equations.VEERG_4_6_1_1__4_VolatileSolidsTransferred_Title">_xlfn.LAMBDA("Volatile solids transferred to treatment stage 2 MMS")</definedName>
    <definedName name="MMS_Poultry_Methane_Equations.VEERG_4_6_1_1__4_VolatileSolidsTransferred_Unit">_xlfn.LAMBDA("kg VS/bird/day")</definedName>
    <definedName name="MMS_Poultry_Methane_Equations.VEERG_4_6_1_1__4_VolatileSolidsTransferred_Variable">_xlfn.LAMBDA("VST_jk")</definedName>
    <definedName name="MMS_Poultry_Methane_Equations.VEERG_4_6_1_1__5_VolatileSolidProduction">_xlfn.LAMBDA(_xlpm.I_jk,_xlpm.DMD_jk,_xlpm.A_j, _xlpm.I_jk * (1 - _xlpm.DMD_jk) * (1 - _xlpm.A_j))</definedName>
    <definedName name="MMS_Poultry_Methane_Equations.VEERG_4_6_1_1__5_VolatileSolidProduction_Arguments">_xlfn.LAMBDA(_xlfn.MAKEARRAY(3, 4, _xlfn.LAMBDA(_xlpm.r,_xlpm.c, INDEX({"I_jk","dry matter intake for each class and subclass","kg DM/bird/day","Input";"DMD_jk","dry matter digestibility for each class and subclass","fraction","Input";"A_j","ash content of manure for each class and subclass","fraction","Constant"}, _xlpm.r, _xlpm.c))))</definedName>
    <definedName name="MMS_Poultry_Methane_Equations.VEERG_4_6_1_1__5_VolatileSolidProduction_LatexEquation">_xlfn.LAMBDA("VS_{jk}=I_{jk}\times (1-DMD_{jk})\times (1-A_{j})")</definedName>
    <definedName name="MMS_Poultry_Methane_Equations.VEERG_4_6_1_1__5_VolatileSolidProduction_NIRReference">_xlfn.LAMBDA("")</definedName>
    <definedName name="MMS_Poultry_Methane_Equations.VEERG_4_6_1_1__5_VolatileSolidProduction_Source">_xlfn.LAMBDA("VEERG 2026: 4.4.1.1, Equation (5)")</definedName>
    <definedName name="MMS_Poultry_Methane_Equations.VEERG_4_6_1_1__5_VolatileSolidProduction_Title">_xlfn.LAMBDA("Volatile solid production poultry classes")</definedName>
    <definedName name="MMS_Poultry_Methane_Equations.VEERG_4_6_1_1__5_VolatileSolidProduction_Unit">_xlfn.LAMBDA("kg VS/bird/day")</definedName>
    <definedName name="MMS_Poultry_Methane_Equations.VEERG_4_6_1_1__5_VolatileSolidProduction_Variable">_xlfn.LAMBDA("VS_jk")</definedName>
    <definedName name="MMS_Poultry_N2ODirect_Equations.VEERG_4_6_1_3__1_TotalAnnualDirectNitrousOxideEmissionsFromMMS">_xlfn.LAMBDA(_xlpm.MN_jkmT,_xlpm.EF_jm,_xlpm.C_N2O, _xlpm.MN_jkmT * _xlpm.EF_jm * _xlpm.C_N2O * 10 ^ -3)</definedName>
    <definedName name="MMS_Poultry_N2ODirect_Equations.VEERG_4_6_1_3__1_TotalAnnualDirectNitrousOxideEmissionsFromMMS_Arguments">_xlfn.LAMBDA(_xlfn.MAKEARRAY(3, 4, _xlfn.LAMBDA(_xlpm.r,_xlpm.c, INDEX({"MN_jkmT","nitrogen per poultry class, subclass, MMS and treatment stage","kg N","Calculated from 4.6.1.3 (2)(6)";"EF_jm","nitrous oxide emission factor for MMS","kg N2O-N/kg N","Constant";"C_N2O","factor to convert elemental mass of nitrous oxide to molecular mass","ratio","Constant"}, _xlpm.r, _xlpm.c))))</definedName>
    <definedName name="MMS_Poultry_N2ODirect_Equations.VEERG_4_6_1_3__1_TotalAnnualDirectNitrousOxideEmissionsFromMMS_LatexEquation">_xlfn.LAMBDA("E_{N2O,dir}=\sum_{j}\sum_{k}\sum_{m}\sum_{T}(MN_{jkmT}\times EF_{jm}\times C_{N2O})\times10^{-3}")</definedName>
    <definedName name="MMS_Poultry_N2ODirect_Equations.VEERG_4_6_1_3__1_TotalAnnualDirectNitrousOxideEmissionsFromMMS_NIRReference">_xlfn.LAMBDA("")</definedName>
    <definedName name="MMS_Poultry_N2ODirect_Equations.VEERG_4_6_1_3__1_TotalAnnualDirectNitrousOxideEmissionsFromMMS_Source">_xlfn.LAMBDA("VEERG 2026: 4.6.1.3, Equation (1)")</definedName>
    <definedName name="MMS_Poultry_N2ODirect_Equations.VEERG_4_6_1_3__1_TotalAnnualDirectNitrousOxideEmissionsFromMMS_Title">_xlfn.LAMBDA("Total annual direct nitrous oxide emissions from manure management systems")</definedName>
    <definedName name="MMS_Poultry_N2ODirect_Equations.VEERG_4_6_1_3__1_TotalAnnualDirectNitrousOxideEmissionsFromMMS_Unit">_xlfn.LAMBDA("t N2O")</definedName>
    <definedName name="MMS_Poultry_N2ODirect_Equations.VEERG_4_6_1_3__1_TotalAnnualDirectNitrousOxideEmissionsFromMMS_Variable">_xlfn.LAMBDA("E_N2Odir")</definedName>
    <definedName name="MMS_Poultry_N2ODirect_Equations.VEERG_4_6_1_3__2_Stage1NitrogenInMMS">_xlfn.LAMBDA(_xlpm.AE_jk,_xlpm.MMS_jmT1, _xlpm.AE_jk * _xlpm.MMS_jmT1)</definedName>
    <definedName name="MMS_Poultry_N2ODirect_Equations.VEERG_4_6_1_3__2_Stage1NitrogenInMMS_Arguments">_xlfn.LAMBDA(_xlfn.MAKEARRAY(2, 4, _xlfn.LAMBDA(_xlpm.r,_xlpm.c, INDEX({"AE_jk","total nitrogen excreted by each poultry class and subclass","kg N","Calculated from 4.6.1.3 (3)";"MMS_jmT1","fraction of manure in each primary system","fraction","Input"}, _xlpm.r, _xlpm.c))))</definedName>
    <definedName name="MMS_Poultry_N2ODirect_Equations.VEERG_4_6_1_3__2_Stage1NitrogenInMMS_LatexEquation">_xlfn.LAMBDA("MN_{jkm,T=1}=AE_{jk}\times MMS_{jm,T=1}")</definedName>
    <definedName name="MMS_Poultry_N2ODirect_Equations.VEERG_4_6_1_3__2_Stage1NitrogenInMMS_NIRReference">_xlfn.LAMBDA("")</definedName>
    <definedName name="MMS_Poultry_N2ODirect_Equations.VEERG_4_6_1_3__2_Stage1NitrogenInMMS_Source">_xlfn.LAMBDA("VEERG 2026: 4.6.1.3, Equation (2)")</definedName>
    <definedName name="MMS_Poultry_N2ODirect_Equations.VEERG_4_6_1_3__2_Stage1NitrogenInMMS_Title">_xlfn.LAMBDA("Nitrogen in treatment stage 1 MMS")</definedName>
    <definedName name="MMS_Poultry_N2ODirect_Equations.VEERG_4_6_1_3__2_Stage1NitrogenInMMS_Unit">_xlfn.LAMBDA("kg N")</definedName>
    <definedName name="MMS_Poultry_N2ODirect_Equations.VEERG_4_6_1_3__2_Stage1NitrogenInMMS_Variable">_xlfn.LAMBDA("MN_jkmT1")</definedName>
    <definedName name="MMS_Poultry_N2ODirect_Equations.VEERG_4_6_1_3__3_AnnualNitrogenExcretion">_xlfn.LAMBDA(_xlpm.N_jk,_xlpm.NE_jk,_xlpm.D_jk, _xlpm.N_jk * _xlpm.NE_jk * _xlpm.D_jk)</definedName>
    <definedName name="MMS_Poultry_N2ODirect_Equations.VEERG_4_6_1_3__3_AnnualNitrogenExcretion_Arguments">_xlfn.LAMBDA(_xlfn.MAKEARRAY(3, 4, _xlfn.LAMBDA(_xlpm.r,_xlpm.c, INDEX({"N_jk","number of poultry in each class and subclass","bird","Input";"NE_jk","nitrogen excretion","kg N/bird/day","Calculated from 4.6.1.3 (4)";"D_jk","duration of stay of each class and subclass","days","Input"}, _xlpm.r, _xlpm.c))))</definedName>
    <definedName name="MMS_Poultry_N2ODirect_Equations.VEERG_4_6_1_3__3_AnnualNitrogenExcretion_LatexEquation">_xlfn.LAMBDA("AE_{jk}=N_{jk}\times NE_{jk}\times D_{jk}")</definedName>
    <definedName name="MMS_Poultry_N2ODirect_Equations.VEERG_4_6_1_3__3_AnnualNitrogenExcretion_NIRReference">_xlfn.LAMBDA("")</definedName>
    <definedName name="MMS_Poultry_N2ODirect_Equations.VEERG_4_6_1_3__3_AnnualNitrogenExcretion_Source">_xlfn.LAMBDA("VEERG 2026: 4.6.1.3, Equation (3)")</definedName>
    <definedName name="MMS_Poultry_N2ODirect_Equations.VEERG_4_6_1_3__3_AnnualNitrogenExcretion_Title">_xlfn.LAMBDA("Annual nitrogen excretion for each poultry class and subclass")</definedName>
    <definedName name="MMS_Poultry_N2ODirect_Equations.VEERG_4_6_1_3__3_AnnualNitrogenExcretion_Unit">_xlfn.LAMBDA("kg N")</definedName>
    <definedName name="MMS_Poultry_N2ODirect_Equations.VEERG_4_6_1_3__3_AnnualNitrogenExcretion_Variable">_xlfn.LAMBDA("AE_jk")</definedName>
    <definedName name="MMS_Poultry_N2ODirect_Equations.VEERG_4_6_1_3__4_NitrogenExcretionPerBird">_xlfn.LAMBDA(_xlpm.NI_jk,_xlpm.NR_jk, _xlpm.NI_jk * (1 - _xlpm.NR_jk))</definedName>
    <definedName name="MMS_Poultry_N2ODirect_Equations.VEERG_4_6_1_3__4_NitrogenExcretionPerBird_Arguments">_xlfn.LAMBDA(_xlfn.MAKEARRAY(2, 4, _xlfn.LAMBDA(_xlpm.r,_xlpm.c, INDEX({"NI_jk","nitrogen intake","kg N/bird/day","Calculated from 4.6.1.3 (5)";"NR_jk","nitrogen retention expressed as a fraction of intake","fraction","Constant"}, _xlpm.r, _xlpm.c))))</definedName>
    <definedName name="MMS_Poultry_N2ODirect_Equations.VEERG_4_6_1_3__4_NitrogenExcretionPerBird_LatexEquation">_xlfn.LAMBDA("NE_{jk}=NI_{jk}\times(1-NR_{jk})")</definedName>
    <definedName name="MMS_Poultry_N2ODirect_Equations.VEERG_4_6_1_3__4_NitrogenExcretionPerBird_NIRReference">_xlfn.LAMBDA("")</definedName>
    <definedName name="MMS_Poultry_N2ODirect_Equations.VEERG_4_6_1_3__4_NitrogenExcretionPerBird_Source">_xlfn.LAMBDA("VEERG 2026: 4.6.1.3, Equation (4)")</definedName>
    <definedName name="MMS_Poultry_N2ODirect_Equations.VEERG_4_6_1_3__4_NitrogenExcretionPerBird_Title">_xlfn.LAMBDA("Nitrogen excretion per bird per day")</definedName>
    <definedName name="MMS_Poultry_N2ODirect_Equations.VEERG_4_6_1_3__4_NitrogenExcretionPerBird_Unit">_xlfn.LAMBDA("kg N/bird/day")</definedName>
    <definedName name="MMS_Poultry_N2ODirect_Equations.VEERG_4_6_1_3__4_NitrogenExcretionPerBird_Variable">_xlfn.LAMBDA("NE_jk")</definedName>
    <definedName name="MMS_Poultry_N2ODirect_Equations.VEERG_4_6_1_3__5_NitrogenIntake">_xlfn.LAMBDA(_xlpm.I_jk,_xlpm.CP_jk, _xlpm.I_jk * _xlpm.CP_jk / 6.25)</definedName>
    <definedName name="MMS_Poultry_N2ODirect_Equations.VEERG_4_6_1_3__5_NitrogenIntake_Arguments">_xlfn.LAMBDA(_xlfn.MAKEARRAY(3, 4, _xlfn.LAMBDA(_xlpm.r,_xlpm.c, INDEX({"I_jk","dry matter intake for each class and subclass","kg DM/bird/day","Input";"CP_jk","crude protein content of feed","fraction","Input";"6.25","factor for converting crude protein into nitrogen","ratio","Constant"}, _xlpm.r, _xlpm.c))))</definedName>
    <definedName name="MMS_Poultry_N2ODirect_Equations.VEERG_4_6_1_3__5_NitrogenIntake_LatexEquation">_xlfn.LAMBDA("NI_{jk}=I_{jk}\times CP_{jk}\div 6.25")</definedName>
    <definedName name="MMS_Poultry_N2ODirect_Equations.VEERG_4_6_1_3__5_NitrogenIntake_NIRReference">_xlfn.LAMBDA("")</definedName>
    <definedName name="MMS_Poultry_N2ODirect_Equations.VEERG_4_6_1_3__5_NitrogenIntake_Source">_xlfn.LAMBDA("VEERG 2026: 4.6.1.3, Equation (5)")</definedName>
    <definedName name="MMS_Poultry_N2ODirect_Equations.VEERG_4_6_1_3__5_NitrogenIntake_Title">_xlfn.LAMBDA("Nitrogen intake of poultry")</definedName>
    <definedName name="MMS_Poultry_N2ODirect_Equations.VEERG_4_6_1_3__5_NitrogenIntake_Unit">_xlfn.LAMBDA("kg N/bird/day")</definedName>
    <definedName name="MMS_Poultry_N2ODirect_Equations.VEERG_4_6_1_3__5_NitrogenIntake_Variable">_xlfn.LAMBDA("NI_jk")</definedName>
    <definedName name="MMS_Poultry_N2ODirect_Equations.VEERG_4_6_1_3__6_Stage2NitrogenInMMS">_xlfn.LAMBDA(_xlpm.NT_jkmT2,_xlpm.MMS_mT2, _xlpm.NT_jkmT2 * _xlpm.MMS_mT2)</definedName>
    <definedName name="MMS_Poultry_N2ODirect_Equations.VEERG_4_6_1_3__6_Stage2NitrogenInMMS_Arguments">_xlfn.LAMBDA(_xlfn.MAKEARRAY(2, 4, _xlfn.LAMBDA(_xlpm.r,_xlpm.c, INDEX({"NT_jkmT2","nitrogen transferred to secondary treatment MMS","kg N","Calculated from 4.6.1.3 (7)";"MMS_mT2","fraction of manure in each secondary system","fraction","Input"}, _xlpm.r, _xlpm.c))))</definedName>
    <definedName name="MMS_Poultry_N2ODirect_Equations.VEERG_4_6_1_3__6_Stage2NitrogenInMMS_LatexEquation">_xlfn.LAMBDA("MN_{jkm,T=2}=NT_{jkm,T=2}\times MMS_{m,T=2}")</definedName>
    <definedName name="MMS_Poultry_N2ODirect_Equations.VEERG_4_6_1_3__6_Stage2NitrogenInMMS_NIRReference">_xlfn.LAMBDA("")</definedName>
    <definedName name="MMS_Poultry_N2ODirect_Equations.VEERG_4_6_1_3__6_Stage2NitrogenInMMS_Source">_xlfn.LAMBDA("VEERG 2026: 4.6.1.3, Equation (6)")</definedName>
    <definedName name="MMS_Poultry_N2ODirect_Equations.VEERG_4_6_1_3__6_Stage2NitrogenInMMS_Title">_xlfn.LAMBDA("Nitrogen in treatment stage 2 MMS")</definedName>
    <definedName name="MMS_Poultry_N2ODirect_Equations.VEERG_4_6_1_3__6_Stage2NitrogenInMMS_Unit">_xlfn.LAMBDA("kg N")</definedName>
    <definedName name="MMS_Poultry_N2ODirect_Equations.VEERG_4_6_1_3__6_Stage2NitrogenInMMS_Variable">_xlfn.LAMBDA("MN_jkmT2")</definedName>
    <definedName name="MMS_Poultry_N2ODirect_Equations.VEERG_4_6_1_3__7_NitrogenTransferredToStage2MMS">_xlfn.LAMBDA(_xlpm.MN_jkmT1,_xlpm.FracGASM_mT1,_xlpm.EF_mT1, _xlpm.MN_jkmT1 * (1 - _xlpm.FracGASM_mT1 - _xlpm.EF_mT1))</definedName>
    <definedName name="MMS_Poultry_N2ODirect_Equations.VEERG_4_6_1_3__7_NitrogenTransferredToStage2MMS_Arguments">_xlfn.LAMBDA(_xlfn.MAKEARRAY(3, 4, _xlfn.LAMBDA(_xlpm.r,_xlpm.c, INDEX({"MN_jkmT1","nitrogen in MMS treatment stage 1","kg N","Calculated from 4.6.1.3 (6)";"FracGASM_mT1","fraction of N volatilised from MMS treatment at stage 1","fraction","Constant";"EF_mT1","nitrous oxide emission factor for MMS treatment at stage 1","kg N2O-N/kg N","Constant"}, _xlpm.r, _xlpm.c))))</definedName>
    <definedName name="MMS_Poultry_N2ODirect_Equations.VEERG_4_6_1_3__7_NitrogenTransferredToStage2MMS_LatexEquation">_xlfn.LAMBDA("NT_{jkm,T=2}=MN_{jkm,T=1}\times(1-FracGASM_{m,T=1}-EF_{m,T=1})")</definedName>
    <definedName name="MMS_Poultry_N2ODirect_Equations.VEERG_4_6_1_3__7_NitrogenTransferredToStage2MMS_NIRReference">_xlfn.LAMBDA("")</definedName>
    <definedName name="MMS_Poultry_N2ODirect_Equations.VEERG_4_6_1_3__7_NitrogenTransferredToStage2MMS_Source">_xlfn.LAMBDA("VEERG 2026: 4.6.1.3, Equation (7)")</definedName>
    <definedName name="MMS_Poultry_N2ODirect_Equations.VEERG_4_6_1_3__7_NitrogenTransferredToStage2MMS_Title">_xlfn.LAMBDA("Nitrogen transferred to treatment stage 2 MMS")</definedName>
    <definedName name="MMS_Poultry_N2ODirect_Equations.VEERG_4_6_1_3__7_NitrogenTransferredToStage2MMS_Unit">_xlfn.LAMBDA("kg N")</definedName>
    <definedName name="MMS_Poultry_N2ODirect_Equations.VEERG_4_6_1_3__7_NitrogenTransferredToStage2MMS_Variable">_xlfn.LAMBDA("NT_jkmT2")</definedName>
    <definedName name="MMS_Poultry_Soil_AtmosphericDeposition_Equations.VEERG_4_6_1_12__1_AtmosphericDepositionEmissionsFromPoultryManureOnPasture">_xlfn.LAMBDA(_xlpm.M_vol_m14,_xlpm.EF_N2O,_xlpm.C_N2O, _xlpm.M_vol_m14 * _xlpm.EF_N2O * _xlpm.C_N2O * 10 ^ -3)</definedName>
    <definedName name="MMS_Poultry_Soil_AtmosphericDeposition_Equations.VEERG_4_6_1_12__1_AtmosphericDepositionEmissionsFromPoultryManureOnPasture_Arguments">_xlfn.LAMBDA(
    _xlfn.MAKEARRAY(6, 4,
      _xlfn.LAMBDA(_xlpm.r,_xlpm.c,
        INDEX({"M_vol_m14","mass of nitrogen volatilised from manure deposited on pasture","kg N","Calculated from 4.6.1.12 (2)";"EF_N2O","emission factor for atmospheric deposition (kg N2O-N/kg N)","kg N2O-N/kg N","Constant";"C_N2O","factor to convert elemental mass of N2O to molecular mass","ratio","Constant";"j","production system","","Input";"ir","irrigation method","","Input";"r","rainfall region","","Input"}, _xlpm.r, _xlpm.c)
      )
    )
  )</definedName>
    <definedName name="MMS_Poultry_Soil_AtmosphericDeposition_Equations.VEERG_4_6_1_12__1_AtmosphericDepositionEmissionsFromPoultryManureOnPasture_LatexEquation">_xlfn.LAMBDA("E_{N2O,ad}=M_{vol,m=14}\times EF_{N2O}\times C_{N2O}\times 10^{-3}")</definedName>
    <definedName name="MMS_Poultry_Soil_AtmosphericDeposition_Equations.VEERG_4_6_1_12__1_AtmosphericDepositionEmissionsFromPoultryManureOnPasture_NIRReference">_xlfn.LAMBDA("")</definedName>
    <definedName name="MMS_Poultry_Soil_AtmosphericDeposition_Equations.VEERG_4_6_1_12__1_AtmosphericDepositionEmissionsFromPoultryManureOnPasture_Source">_xlfn.LAMBDA("VEERG 2026: 4.6.1.12, Equation (1)")</definedName>
    <definedName name="MMS_Poultry_Soil_AtmosphericDeposition_Equations.VEERG_4_6_1_12__1_AtmosphericDepositionEmissionsFromPoultryManureOnPasture_Title">_xlfn.LAMBDA("Atmospheric deposition emissions from poultry manure deposited on pasture")</definedName>
    <definedName name="MMS_Poultry_Soil_AtmosphericDeposition_Equations.VEERG_4_6_1_12__1_AtmosphericDepositionEmissionsFromPoultryManureOnPasture_Unit">_xlfn.LAMBDA("t N2O")</definedName>
    <definedName name="MMS_Poultry_Soil_AtmosphericDeposition_Equations.VEERG_4_6_1_12__1_AtmosphericDepositionEmissionsFromPoultryManureOnPasture_Variable">_xlfn.LAMBDA("E_N2Oad")</definedName>
    <definedName name="MMS_Poultry_Soil_AtmosphericDeposition_Equations.VEERG_4_6_1_12__2_MassOfNitrogenVolatilisedFromPoultryManureOnPasture">_xlfn.LAMBDA(_xlpm.MN_jkm14T1,_xlpm.FracGASMsoil, _xlpm.MN_jkm14T1 * _xlpm.FracGASMsoil)</definedName>
    <definedName name="MMS_Poultry_Soil_AtmosphericDeposition_Equations.VEERG_4_6_1_12__2_MassOfNitrogenVolatilisedFromPoultryManureOnPasture_Arguments">_xlfn.LAMBDA(_xlfn.MAKEARRAY(2, 4, _xlfn.LAMBDA(_xlpm.r,_xlpm.c, INDEX({"MN_jkm14T1","mass of nitrogen excreted directly on pasture by poultry class and subclass","kg N","Calculated from 4.6.1.3 (2)";"FracGASMsoil","fraction of nitrogen volatilised from manure deposited on pasture","(kg NH3-N + NOx-N)/kg N","Constant"}, _xlpm.r, _xlpm.c))))</definedName>
    <definedName name="MMS_Poultry_Soil_AtmosphericDeposition_Equations.VEERG_4_6_1_12__2_MassOfNitrogenVolatilisedFromPoultryManureOnPasture_LatexEquation">_xlfn.LAMBDA("M_{vol,m=14}=\sum_{j}\sum_{k}(MN_{jkm=14,T=1}\times FracGASMsoil)")</definedName>
    <definedName name="MMS_Poultry_Soil_AtmosphericDeposition_Equations.VEERG_4_6_1_12__2_MassOfNitrogenVolatilisedFromPoultryManureOnPasture_NIRReference">_xlfn.LAMBDA("")</definedName>
    <definedName name="MMS_Poultry_Soil_AtmosphericDeposition_Equations.VEERG_4_6_1_12__2_MassOfNitrogenVolatilisedFromPoultryManureOnPasture_Source">_xlfn.LAMBDA("VEERG 2026: 4.6.1.12, Equation (2)")</definedName>
    <definedName name="MMS_Poultry_Soil_AtmosphericDeposition_Equations.VEERG_4_6_1_12__2_MassOfNitrogenVolatilisedFromPoultryManureOnPasture_Title">_xlfn.LAMBDA("Mass of nitrogen volatilised from poultry manure deposited on pasture")</definedName>
    <definedName name="MMS_Poultry_Soil_AtmosphericDeposition_Equations.VEERG_4_6_1_12__2_MassOfNitrogenVolatilisedFromPoultryManureOnPasture_Unit">_xlfn.LAMBDA("kg N")</definedName>
    <definedName name="MMS_Poultry_Soil_AtmosphericDeposition_Equations.VEERG_4_6_1_12__2_MassOfNitrogenVolatilisedFromPoultryManureOnPasture_Variable">_xlfn.LAMBDA("M_vol_m14")</definedName>
    <definedName name="MMS_Poultry_Soil_LeachingAndRunoff_Equations.VEERG_4_6_1_14__1_LeachingAndRunoffEmissionsFromPoultryManureOnPasture">_xlfn.LAMBDA(_xlpm.M_leach_m14,_xlpm.EF_leach,_xlpm.C_N2O, _xlpm.M_leach_m14 * _xlpm.EF_leach * _xlpm.C_N2O * 10 ^ -3)</definedName>
    <definedName name="MMS_Poultry_Soil_LeachingAndRunoff_Equations.VEERG_4_6_1_14__1_LeachingAndRunoffEmissionsFromPoultryManureOnPasture_Arguments">_xlfn.LAMBDA(_xlfn.MAKEARRAY(3, 4, _xlfn.LAMBDA(_xlpm.r,_xlpm.c, INDEX({"M_leach_m14","mass of nitrogen lost to leaching and runoff from poultry manure deposited on pasture","kg N","Calculated from 4.6.1.14 (2)";"EF_leach","emission factor for leaching and runoff (kg N2O-N/kg N)","kg N2O-N/kg N","Constant";"C_N2O","factor to convert elemental mass of N2O to molecular mass","ratio","Constant"}, _xlpm.r, _xlpm.c))))</definedName>
    <definedName name="MMS_Poultry_Soil_LeachingAndRunoff_Equations.VEERG_4_6_1_14__1_LeachingAndRunoffEmissionsFromPoultryManureOnPasture_LatexEquation">_xlfn.LAMBDA("E_{N2O,leach}=M_{leach,m=14}\times EF_{leach}\times C_{N2O}\times 10^{-3}")</definedName>
    <definedName name="MMS_Poultry_Soil_LeachingAndRunoff_Equations.VEERG_4_6_1_14__1_LeachingAndRunoffEmissionsFromPoultryManureOnPasture_NIRReference">_xlfn.LAMBDA("")</definedName>
    <definedName name="MMS_Poultry_Soil_LeachingAndRunoff_Equations.VEERG_4_6_1_14__1_LeachingAndRunoffEmissionsFromPoultryManureOnPasture_Source">_xlfn.LAMBDA("VEERG 2026: 4.6.1.14, Equation (1)")</definedName>
    <definedName name="MMS_Poultry_Soil_LeachingAndRunoff_Equations.VEERG_4_6_1_14__1_LeachingAndRunoffEmissionsFromPoultryManureOnPasture_Title">_xlfn.LAMBDA("Leaching and runoff emissions from poultry manure deposited on pasture")</definedName>
    <definedName name="MMS_Poultry_Soil_LeachingAndRunoff_Equations.VEERG_4_6_1_14__1_LeachingAndRunoffEmissionsFromPoultryManureOnPasture_Unit">_xlfn.LAMBDA("t N2O")</definedName>
    <definedName name="MMS_Poultry_Soil_LeachingAndRunoff_Equations.VEERG_4_6_1_14__1_LeachingAndRunoffEmissionsFromPoultryManureOnPasture_Variable">_xlfn.LAMBDA("E_N2Oleach")</definedName>
    <definedName name="MMS_Poultry_Soil_LeachingAndRunoff_Equations.VEERG_4_6_1_14__2_MassOfNitrogenLostToLeachingAndRunoffFromPoultryManureOnPasture">_xlfn.LAMBDA(_xlpm.MN_jkm14T1,_xlpm.FracWet,_xlpm.FracLEACH_MS, _xlpm.MN_jkm14T1 * _xlpm.FracWet * _xlpm.FracLEACH_MS)</definedName>
    <definedName name="MMS_Poultry_Soil_LeachingAndRunoff_Equations.VEERG_4_6_1_14__2_MassOfNitrogenLostToLeachingAndRunoffFromPoultryManureOnPasture_Arguments">_xlfn.LAMBDA(_xlfn.MAKEARRAY(6, 4, _xlfn.LAMBDA(_xlpm.r,_xlpm.c, INDEX({"MN_jkm14T1","mass of nitrogen excreted directly on pasture by poultry class and subclass","kg N","Calculated from 4.6.1.3 (2)";"FracWet","fraction of N available for leaching and runoff","fraction","Constant";"FracLEACH_MS","fraction of N that is lost through leaching and runoff","fraction","Constant";"z","location in leaching zone","","Input";"j","production system","","Input";"ir","irrigation method","","Input"}, _xlpm.r, _xlpm.c))))</definedName>
    <definedName name="MMS_Poultry_Soil_LeachingAndRunoff_Equations.VEERG_4_6_1_14__2_MassOfNitrogenLostToLeachingAndRunoffFromPoultryManureOnPasture_LatexEquation">_xlfn.LAMBDA("M_{leach,m=14}=\sum_{j}\sum_{k}(MN_{jkm=14,T=1}\times FracWet\times FracLEACH_MS)")</definedName>
    <definedName name="MMS_Poultry_Soil_LeachingAndRunoff_Equations.VEERG_4_6_1_14__2_MassOfNitrogenLostToLeachingAndRunoffFromPoultryManureOnPasture_NIRReference">_xlfn.LAMBDA("")</definedName>
    <definedName name="MMS_Poultry_Soil_LeachingAndRunoff_Equations.VEERG_4_6_1_14__2_MassOfNitrogenLostToLeachingAndRunoffFromPoultryManureOnPasture_Source">_xlfn.LAMBDA("VEERG 2026: 4.6.1.14, Equation (2)")</definedName>
    <definedName name="MMS_Poultry_Soil_LeachingAndRunoff_Equations.VEERG_4_6_1_14__2_MassOfNitrogenLostToLeachingAndRunoffFromPoultryManureOnPasture_Title">_xlfn.LAMBDA("Mass of nitrogen lost to leaching and runoff from poultry manure deposited on pasture")</definedName>
    <definedName name="MMS_Poultry_Soil_LeachingAndRunoff_Equations.VEERG_4_6_1_14__2_MassOfNitrogenLostToLeachingAndRunoffFromPoultryManureOnPasture_Unit">_xlfn.LAMBDA("kg N")</definedName>
    <definedName name="MMS_Poultry_Soil_LeachingAndRunoff_Equations.VEERG_4_6_1_14__2_MassOfNitrogenLostToLeachingAndRunoffFromPoultryManureOnPasture_Variable">_xlfn.LAMBDA("M_leach_m14")</definedName>
    <definedName name="MMS_Poultry_Soil_N2ODirect_Equations.VEERG_4_6_1_10__1_DirectNitrousOxideEmissionsFromPoultryManure">_xlfn.LAMBDA(_xlpm.MN_jkm14T1,_xlpm.EF_PRP,_xlpm.C_N2O, _xlpm.MN_jkm14T1 * _xlpm.EF_PRP * _xlpm.C_N2O * 10 ^ -3)</definedName>
    <definedName name="MMS_Poultry_Soil_N2ODirect_Equations.VEERG_4_6_1_10__1_DirectNitrousOxideEmissionsFromPoultryManure_Arguments">_xlfn.LAMBDA(_xlfn.MAKEARRAY(3, 4, _xlfn.LAMBDA(_xlpm.r,_xlpm.c, INDEX({"MN_jkm14T1","mass of nitrogen excreted directly on pasture by poultry class and subclass","kg N","Calculated from 4.6.1.3 (2)";"EF_PRP","nitrous oxide emission factor for manure deposited on pasture","kg N2O-N/kg N deposited","Constant";"C_N2O","factor to convert elemental mass of N2O to molecular mass","ratio","Constant"}, _xlpm.r, _xlpm.c))))</definedName>
    <definedName name="MMS_Poultry_Soil_N2ODirect_Equations.VEERG_4_6_1_10__1_DirectNitrousOxideEmissionsFromPoultryManure_LatexEquation">_xlfn.LAMBDA("EM_{N2O,PRP,dir}=\sum_{j}\sum_{k}(MN_{jkm=14,T=1}\times EF_{PRP}\times C_{N2O})\times 10^{-3}")</definedName>
    <definedName name="MMS_Poultry_Soil_N2ODirect_Equations.VEERG_4_6_1_10__1_DirectNitrousOxideEmissionsFromPoultryManure_NIRReference">_xlfn.LAMBDA("")</definedName>
    <definedName name="MMS_Poultry_Soil_N2ODirect_Equations.VEERG_4_6_1_10__1_DirectNitrousOxideEmissionsFromPoultryManure_Source">_xlfn.LAMBDA("VEERG 2026: 4.6.1.10, Equation (1)")</definedName>
    <definedName name="MMS_Poultry_Soil_N2ODirect_Equations.VEERG_4_6_1_10__1_DirectNitrousOxideEmissionsFromPoultryManure_Title">_xlfn.LAMBDA("Direct nitrous oxide emissions from poultry manure on pasture")</definedName>
    <definedName name="MMS_Poultry_Soil_N2ODirect_Equations.VEERG_4_6_1_10__1_DirectNitrousOxideEmissionsFromPoultryManure_Unit">_xlfn.LAMBDA("t N2O")</definedName>
    <definedName name="MMS_Poultry_Soil_N2ODirect_Equations.VEERG_4_6_1_10__1_DirectNitrousOxideEmissionsFromPoultryManure_Variable">_xlfn.LAMBDA("EM_N2OPRPdir")</definedName>
    <definedName name="MMS_Swine_AtmosphericDeposition_Equations.VEERG_4_5_1_5__1_AnnualAtmosphericDepositionEmissionsFromMMS">_xlfn.LAMBDA(_xlpm.MMS_ATMOS,_xlpm.EF_N2O,_xlpm.C_N2O, _xlpm.MMS_ATMOS * _xlpm.EF_N2O * _xlpm.C_N2O * 10 ^ -3)</definedName>
    <definedName name="MMS_Swine_AtmosphericDeposition_Equations.VEERG_4_5_1_5__1_AnnualAtmosphericDepositionEmissionsFromMMS_Arguments">_xlfn.LAMBDA(_xlfn.MAKEARRAY(6, 4, _xlfn.LAMBDA(_xlpm.r,_xlpm.c, INDEX({"MMS_ATMOS","mass of N volatilised from MMS","kg N","Calculated from 4.5.1.5 (2)";"EF_N2O","nitrous oxide emission factor for atmospheric deposition","kg N2O-N/kg N","Constant";"C_N2O","factor to convert elemental mass of N2O to molecular mass","","Constant";"j","production system","","Input";"ir","irrigation method","","Input";"r","rainfall region","","Input"}, _xlpm.r, _xlpm.c))))</definedName>
    <definedName name="MMS_Swine_AtmosphericDeposition_Equations.VEERG_4_5_1_5__1_AnnualAtmosphericDepositionEmissionsFromMMS_LatexEquation">_xlfn.LAMBDA("E_{N2O,ad}=MMS_{ATMOS}\times EF_{N2O}\times C_{N2O}\times 10^{-3}")</definedName>
    <definedName name="MMS_Swine_AtmosphericDeposition_Equations.VEERG_4_5_1_5__1_AnnualAtmosphericDepositionEmissionsFromMMS_NIRReference">_xlfn.LAMBDA("")</definedName>
    <definedName name="MMS_Swine_AtmosphericDeposition_Equations.VEERG_4_5_1_5__1_AnnualAtmosphericDepositionEmissionsFromMMS_Source">_xlfn.LAMBDA("VEERG 2026: 4.5.1.1, Equation (1)")</definedName>
    <definedName name="MMS_Swine_AtmosphericDeposition_Equations.VEERG_4_5_1_5__1_AnnualAtmosphericDepositionEmissionsFromMMS_Title">_xlfn.LAMBDA("Annual atmospheric deposition emissions from MMS")</definedName>
    <definedName name="MMS_Swine_AtmosphericDeposition_Equations.VEERG_4_5_1_5__1_AnnualAtmosphericDepositionEmissionsFromMMS_Unit">_xlfn.LAMBDA("t N2O")</definedName>
    <definedName name="MMS_Swine_AtmosphericDeposition_Equations.VEERG_4_5_1_5__1_AnnualAtmosphericDepositionEmissionsFromMMS_Variable">_xlfn.LAMBDA("E_N2OMMSad")</definedName>
    <definedName name="MMS_Swine_AtmosphericDeposition_Equations.VEERG_4_5_1_5__2_TotalNitrogenVolatilisedFromMMS">_xlfn.LAMBDA(_xlpm.MN_jmT,_xlpm.FracGASMmT, _xlpm.MN_jmT * _xlpm.FracGASMmT)</definedName>
    <definedName name="MMS_Swine_AtmosphericDeposition_Equations.VEERG_4_5_1_5__2_TotalNitrogenVolatilisedFromMMS_Arguments">_xlfn.LAMBDA(_xlfn.MAKEARRAY(2, 4, _xlfn.LAMBDA(_xlpm.r,_xlpm.c, INDEX({"MN_jmT","nitrogen per swine class, MMS and treatment stage","kg N","Calculated from 4.5.1.3 (2)(6)";"FracGASMmT","fraction of N volatilised in each MMS","(kg NH3-N + NOx-N)/kg N","Constant"}, _xlpm.r, _xlpm.c))))</definedName>
    <definedName name="MMS_Swine_AtmosphericDeposition_Equations.VEERG_4_5_1_5__2_TotalNitrogenVolatilisedFromMMS_LatexEquation">_xlfn.LAMBDA("MMS_{ATMOS}=\sum_{j}\sum_{m}\sum_{T}(MN_{jmT}\times FracGASM_{mT})")</definedName>
    <definedName name="MMS_Swine_AtmosphericDeposition_Equations.VEERG_4_5_1_5__2_TotalNitrogenVolatilisedFromMMS_NIRReference">_xlfn.LAMBDA("")</definedName>
    <definedName name="MMS_Swine_AtmosphericDeposition_Equations.VEERG_4_5_1_5__2_TotalNitrogenVolatilisedFromMMS_Source">_xlfn.LAMBDA("VEERG 2026: 4.5.1.1, Equation (2)")</definedName>
    <definedName name="MMS_Swine_AtmosphericDeposition_Equations.VEERG_4_5_1_5__2_TotalNitrogenVolatilisedFromMMS_Title">_xlfn.LAMBDA("Total nitrogen volatilised from MMS")</definedName>
    <definedName name="MMS_Swine_AtmosphericDeposition_Equations.VEERG_4_5_1_5__2_TotalNitrogenVolatilisedFromMMS_Unit">_xlfn.LAMBDA("kg N")</definedName>
    <definedName name="MMS_Swine_AtmosphericDeposition_Equations.VEERG_4_5_1_5__2_TotalNitrogenVolatilisedFromMMS_Variable">_xlfn.LAMBDA("MMS_ATMOS")</definedName>
    <definedName name="MMS_Swine_LeachingAndRunoff_Equations.VEERG_4_5_1_7__1_AnnualEmissionsFromLeachingAndRunoffFromMMS">_xlfn.LAMBDA(_xlpm.MNLeach_jm5,_xlpm.EF_leach,_xlpm.C_N2O, _xlpm.MNLeach_jm5 * _xlpm.EF_leach * _xlpm.C_N2O * 10 ^ -3)</definedName>
    <definedName name="MMS_Swine_LeachingAndRunoff_Equations.VEERG_4_5_1_7__1_AnnualEmissionsFromLeachingAndRunoffFromMMS_Arguments">_xlfn.LAMBDA(_xlfn.MAKEARRAY(3, 4, _xlfn.LAMBDA(_xlpm.r,_xlpm.c, INDEX({"MNLeach_jm5","mass of N lost through leaching and runoff from drylot MMS","kg N","Calculated from 4.5.1.7 (2)";"EF_leach","emission factor for leaching and runoff","kg N2O-N/kg N","Constant";"C_N2O","factor to convert elemental mass of N2O to molecular mass","","Constant"}, _xlpm.r, _xlpm.c))))</definedName>
    <definedName name="MMS_Swine_LeachingAndRunoff_Equations.VEERG_4_5_1_7__1_AnnualEmissionsFromLeachingAndRunoffFromMMS_LatexEquation">_xlfn.LAMBDA("E_{N2O,leach}=MNLeach_{jm=5}\times EF_{leach}\times C_{N2O}\times 10^{-3}")</definedName>
    <definedName name="MMS_Swine_LeachingAndRunoff_Equations.VEERG_4_5_1_7__1_AnnualEmissionsFromLeachingAndRunoffFromMMS_NIRReference">_xlfn.LAMBDA("")</definedName>
    <definedName name="MMS_Swine_LeachingAndRunoff_Equations.VEERG_4_5_1_7__1_AnnualEmissionsFromLeachingAndRunoffFromMMS_Source">_xlfn.LAMBDA("VEERG 2026: 4.5.1.7, Equation (1)")</definedName>
    <definedName name="MMS_Swine_LeachingAndRunoff_Equations.VEERG_4_5_1_7__1_AnnualEmissionsFromLeachingAndRunoffFromMMS_Title">_xlfn.LAMBDA("Annual emissions from leaching and runoff from each MMS")</definedName>
    <definedName name="MMS_Swine_LeachingAndRunoff_Equations.VEERG_4_5_1_7__1_AnnualEmissionsFromLeachingAndRunoffFromMMS_Unit">_xlfn.LAMBDA("t N2O")</definedName>
    <definedName name="MMS_Swine_LeachingAndRunoff_Equations.VEERG_4_5_1_7__1_AnnualEmissionsFromLeachingAndRunoffFromMMS_Variable">_xlfn.LAMBDA("E_N2Oleach")</definedName>
    <definedName name="MMS_Swine_LeachingAndRunoff_Equations.VEERG_4_5_1_7__2_MassOfNitrogenLostToLeachingAndRunoffFromDrylotMMS">_xlfn.LAMBDA(_xlpm.MN_jm5T1,_xlpm.FracWET,_xlpm.FracLEACH_MS, _xlpm.MN_jm5T1 * _xlpm.FracWET * _xlpm.FracLEACH_MS)</definedName>
    <definedName name="MMS_Swine_LeachingAndRunoff_Equations.VEERG_4_5_1_7__2_MassOfNitrogenLostToLeachingAndRunoffFromDrylotMMS_Arguments">_xlfn.LAMBDA(_xlfn.MAKEARRAY(6, 4, _xlfn.LAMBDA(_xlpm.r,_xlpm.c, INDEX({"MN_jm5T1","nitrogen in treatment stage 1 drylot MMS","kg N","Calculated from 4.5.1.3 (2)";"FracWET","fraction of N available for leaching and runoff","fraction","Constant";"FracLEACH_MS","fraction of N lost through leaching and runoff","fraction","Constant";"z","location in leaching zone","","Input";"j","production system","","Input";"ir","irrigation method","","Input"}, _xlpm.r, _xlpm.c))))</definedName>
    <definedName name="MMS_Swine_LeachingAndRunoff_Equations.VEERG_4_5_1_7__2_MassOfNitrogenLostToLeachingAndRunoffFromDrylotMMS_LatexEquation">_xlfn.LAMBDA("MNLeach_{jm=5}=MN_{jm=5,T=1}\times FracWET\times FracLEACH_{MS}")</definedName>
    <definedName name="MMS_Swine_LeachingAndRunoff_Equations.VEERG_4_5_1_7__2_MassOfNitrogenLostToLeachingAndRunoffFromDrylotMMS_NIRReference">_xlfn.LAMBDA("")</definedName>
    <definedName name="MMS_Swine_LeachingAndRunoff_Equations.VEERG_4_5_1_7__2_MassOfNitrogenLostToLeachingAndRunoffFromDrylotMMS_Source">_xlfn.LAMBDA("VEERG 2026: 4.5.1.7, Equation (2)")</definedName>
    <definedName name="MMS_Swine_LeachingAndRunoff_Equations.VEERG_4_5_1_7__2_MassOfNitrogenLostToLeachingAndRunoffFromDrylotMMS_Title">_xlfn.LAMBDA("Mass of nitrogen lost to leaching and runoff from drylot MMS")</definedName>
    <definedName name="MMS_Swine_LeachingAndRunoff_Equations.VEERG_4_5_1_7__2_MassOfNitrogenLostToLeachingAndRunoffFromDrylotMMS_Unit">_xlfn.LAMBDA("kg N")</definedName>
    <definedName name="MMS_Swine_LeachingAndRunoff_Equations.VEERG_4_5_1_7__2_MassOfNitrogenLostToLeachingAndRunoffFromDrylotMMS_Variable">_xlfn.LAMBDA("MNLeach_jm5")</definedName>
    <definedName name="MMS_Swine_ManureAppliedToSoils_Equations.VEERG_4_5_1_9__1_MassOfNitrogenAppliedToSoilsScope1">_xlfn.LAMBDA(_xlpm.MN_jmT2,_xlpm.EF_mT2,_xlpm.FracGASM_mT2,_xlpm.MNLeach_jm5,_xlpm.PF, (_xlpm.MN_jmT2 * (1 - _xlpm.EF_mT2 - _xlpm.FracGASM_mT2) - _xlpm.MNLeach_jm5) * _xlpm.PF)</definedName>
    <definedName name="MMS_Swine_ManureAppliedToSoils_Equations.VEERG_4_5_1_9__1_MassOfNitrogenAppliedToSoilsScope1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1_MassOfNitrogenAppliedToSoilsScope1_LatexEquation">_xlfn.LAMBDA("MNSoil_{scope1}=\sum_{j}\sum_{m}(MN_{jmT=2}\times(1-EF_{mT=2}-FracGASM_{mT=2})-MNLeach_{jm=5})\times PF")</definedName>
    <definedName name="MMS_Swine_ManureAppliedToSoils_Equations.VEERG_4_5_1_9__1_MassOfNitrogenAppliedToSoilsScope1_NIRReference">_xlfn.LAMBDA("")</definedName>
    <definedName name="MMS_Swine_ManureAppliedToSoils_Equations.VEERG_4_5_1_9__1_MassOfNitrogenAppliedToSoilsScope1_Source">_xlfn.LAMBDA("VEERG 2026: 4.5.1.9, Equation (1)")</definedName>
    <definedName name="MMS_Swine_ManureAppliedToSoils_Equations.VEERG_4_5_1_9__1_MassOfNitrogenAppliedToSoilsScope1_Title">_xlfn.LAMBDA("Mass of nitrogen applied to soils for scope 1 emissions")</definedName>
    <definedName name="MMS_Swine_ManureAppliedToSoils_Equations.VEERG_4_5_1_9__1_MassOfNitrogenAppliedToSoilsScope1_Unit">_xlfn.LAMBDA("kg N")</definedName>
    <definedName name="MMS_Swine_ManureAppliedToSoils_Equations.VEERG_4_5_1_9__1_MassOfNitrogenAppliedToSoilsScope1_Variable">_xlfn.LAMBDA("MNSoil_scope1")</definedName>
    <definedName name="MMS_Swine_ManureAppliedToSoils_Equations.VEERG_4_5_1_9__2_MassOfNitrogenAppliedToSoilsScope3">_xlfn.LAMBDA(_xlpm.MN_jmT2,_xlpm.EF_mT2,_xlpm.FracGASM_mT2,_xlpm.MNLeach_jm5,_xlpm.PF, (_xlpm.MN_jmT2 * (1 - _xlpm.EF_mT2 - _xlpm.FracGASM_mT2) - _xlpm.MNLeach_jm5) * (1 - _xlpm.PF))</definedName>
    <definedName name="MMS_Swine_ManureAppliedToSoils_Equations.VEERG_4_5_1_9__2_MassOfNitrogenAppliedToSoilsScope3_Arguments">_xlfn.LAMBDA(_xlfn.MAKEARRAY(5, 4, _xlfn.LAMBDA(_xlpm.r,_xlpm.c, INDEX({"MN_jmT2","mass of N in MMS at treatment stage 2","kg N","Calculated from 4.5.1.3 (6)";"EF_mT2","nitrous oxide emission factor for each MMS at treatment stage 2","kg N2O-N/kg N","Constant";"FracGASM_mT2","fraction of animal waste N volatilised in each MMS at treatment stage 2","(kg NH3-N + NOx-N)/kg N","Constant";"MNLeach_jm5","mass of N lost to leaching and runoff from drylot MMS","kg N","Calculated from 4.5.1.7 (2)";"PF","fraction of manure applied to soil within the piggery boundary","fraction","Input"}, _xlpm.r, _xlpm.c))))</definedName>
    <definedName name="MMS_Swine_ManureAppliedToSoils_Equations.VEERG_4_5_1_9__2_MassOfNitrogenAppliedToSoilsScope3_LatexEquation">_xlfn.LAMBDA("MNSoil_{scope3}=\sum_{j}\sum_{m}(MN_{jmT=2}\times(1-EF_{mT=2}-FracGASM_{mT=2})-MNLeach_{jm=5})\times(1-PF)")</definedName>
    <definedName name="MMS_Swine_ManureAppliedToSoils_Equations.VEERG_4_5_1_9__2_MassOfNitrogenAppliedToSoilsScope3_NIRReference">_xlfn.LAMBDA("")</definedName>
    <definedName name="MMS_Swine_ManureAppliedToSoils_Equations.VEERG_4_5_1_9__2_MassOfNitrogenAppliedToSoilsScope3_Source">_xlfn.LAMBDA("VEERG 2026: 4.5.1.9, Equation (2)")</definedName>
    <definedName name="MMS_Swine_ManureAppliedToSoils_Equations.VEERG_4_5_1_9__2_MassOfNitrogenAppliedToSoilsScope3_Title">_xlfn.LAMBDA("Mass of nitrogen applied to soils for scope 3 emissions")</definedName>
    <definedName name="MMS_Swine_ManureAppliedToSoils_Equations.VEERG_4_5_1_9__2_MassOfNitrogenAppliedToSoilsScope3_Unit">_xlfn.LAMBDA("kg N")</definedName>
    <definedName name="MMS_Swine_ManureAppliedToSoils_Equations.VEERG_4_5_1_9__2_MassOfNitrogenAppliedToSoilsScope3_Variable">_xlfn.LAMBDA("MNSoil_scope3")</definedName>
    <definedName name="MMS_Swine_Methane_Equations.VEERG_4_5_1_1__1_TotalAnnualMethaneEmissions">_xlfn.LAMBDA(_xlpm.Dj,_xlpm.Mmj,_xlpm.Nj, _xlpm.Dj * _xlpm.Mmj * _xlpm.Nj * 10 ^ -3)</definedName>
    <definedName name="MMS_Swine_Methane_Equations.VEERG_4_5_1_1__1_TotalAnnualMethaneEmissions_Arguments">_xlfn.LAMBDA(_xlfn.MAKEARRAY(3, 4, _xlfn.LAMBDA(_xlpm.r,_xlpm.c, INDEX({"Dj","length of stay of each class of swine","days","Input";"Mmj","methane production from manure in each swine class","kg CH4/head/day","Calculated from 4.5.1.1 (2)";"Nj","numbers of swine in each class","head","Input"}, _xlpm.r, _xlpm.c))))</definedName>
    <definedName name="MMS_Swine_Methane_Equations.VEERG_4_5_1_1__1_TotalAnnualMethaneEmissions_LatexEquation">_xlfn.LAMBDA("{E}_{CH4}=\sum_{j}(D_{j}\times M_{mj}\times N_{j})\times10^{-3}")</definedName>
    <definedName name="MMS_Swine_Methane_Equations.VEERG_4_5_1_1__1_TotalAnnualMethaneEmissions_NIRReference">_xlfn.LAMBDA("")</definedName>
    <definedName name="MMS_Swine_Methane_Equations.VEERG_4_5_1_1__1_TotalAnnualMethaneEmissions_Source">_xlfn.LAMBDA("VEERG 2026: 4.5.1.1, Equation (1)")</definedName>
    <definedName name="MMS_Swine_Methane_Equations.VEERG_4_5_1_1__1_TotalAnnualMethaneEmissions_Title">_xlfn.LAMBDA("Total annual methane emissions from manure management")</definedName>
    <definedName name="MMS_Swine_Methane_Equations.VEERG_4_5_1_1__1_TotalAnnualMethaneEmissions_Unit">_xlfn.LAMBDA("t CH4")</definedName>
    <definedName name="MMS_Swine_Methane_Equations.VEERG_4_5_1_1__1_TotalAnnualMethaneEmissions_Variable">_xlfn.LAMBDA("ECH4")</definedName>
    <definedName name="MMS_Swine_Methane_Equations.VEERG_4_5_1_1__2_MethaneProductionPerClass">_xlfn.LAMBDA(_xlpm.MjmT, SUM(_xlpm.MjmT))</definedName>
    <definedName name="MMS_Swine_Methane_Equations.VEERG_4_5_1_1__2_MethaneProductionPerClass_Arguments">_xlfn.LAMBDA(_xlfn.MAKEARRAY(1, 4, _xlfn.LAMBDA(_xlpm.r,_xlpm.c, INDEX({"MjmT","methane production from manure per class, MMS, and treatment stage","kg CH4/head/day","Calculated from 4.5.1.1 (3) and (6)"}, _xlpm.r, _xlpm.c))))</definedName>
    <definedName name="MMS_Swine_Methane_Equations.VEERG_4_5_1_1__2_MethaneProductionPerClass_LatexEquation">_xlfn.LAMBDA("M_{mj}=\sum_{m}\sum_{T}M_{jmT}")</definedName>
    <definedName name="MMS_Swine_Methane_Equations.VEERG_4_5_1_1__2_MethaneProductionPerClass_NIRReference">_xlfn.LAMBDA("")</definedName>
    <definedName name="MMS_Swine_Methane_Equations.VEERG_4_5_1_1__2_MethaneProductionPerClass_Source">_xlfn.LAMBDA("VEERG 2026: 4.5.1.1, Equation (2)")</definedName>
    <definedName name="MMS_Swine_Methane_Equations.VEERG_4_5_1_1__2_MethaneProductionPerClass_Title">_xlfn.LAMBDA("Methane production from the manure of each class of swine")</definedName>
    <definedName name="MMS_Swine_Methane_Equations.VEERG_4_5_1_1__2_MethaneProductionPerClass_Unit">_xlfn.LAMBDA("kg CH4/head/day")</definedName>
    <definedName name="MMS_Swine_Methane_Equations.VEERG_4_5_1_1__2_MethaneProductionPerClass_Variable">_xlfn.LAMBDA("Mmj")</definedName>
    <definedName name="MMS_Swine_Methane_Equations.VEERG_4_5_1_1__2_MethaneProductionPerClass_Variation">_xlfn.LAMBDA("VARIATION ON SOURCE: Split variable Mjm into MjmT1 and MjmT2 for stage 1 and 2 MMS.")</definedName>
    <definedName name="MMS_Swine_Methane_Equations.VEERG_4_5_1_1__2_MethaneProductionPerClassVariation">_xlfn.LAMBDA(_xlpm.MjmT1,_xlpm.MjmT2, SUM(_xlpm.MjmT1, _xlpm.MjmT2))</definedName>
    <definedName name="MMS_Swine_Methane_Equations.VEERG_4_5_1_1__3_Stage1MethaneProduction">_xlfn.LAMBDA(_xlpm.VSj,_xlpm.FVSjmT1,_xlpm.MCFim,_xlpm.BO,_xlpm.rho, _xlpm.VSj * _xlpm.FVSjmT1 * _xlpm.MCFim * _xlpm.BO * _xlpm.rho)</definedName>
    <definedName name="MMS_Swine_Methane_Equations.VEERG_4_5_1_1__3_Stage1MethaneProduction_Arguments">_xlfn.LAMBDA(_xlfn.MAKEARRAY(5, 4, _xlfn.LAMBDA(_xlpm.r,_xlpm.c, INDEX({"VSj","volatile solid production from swine in each class","kg/head/day","Input";"FVSjmT1","fraction of volatile solids in each primary system","fraction","Calculated from 4.5.1.1 (4)(5)";"MCFim","methane conversion factor for temperate zone and system","fraction","Constant";"BO","emissions potential","m3 CH4/kg VS","Constant";"rho","density of methane","kg/m3","Constant"}, _xlpm.r, _xlpm.c))))</definedName>
    <definedName name="MMS_Swine_Methane_Equations.VEERG_4_5_1_1__3_Stage1MethaneProduction_LatexEquation">_xlfn.LAMBDA("M_{ijm,T=1}=VS_{j}\times FVS_{jm,T=1}\times MCF_{im}\times BO\times \rho")</definedName>
    <definedName name="MMS_Swine_Methane_Equations.VEERG_4_5_1_1__3_Stage1MethaneProduction_NIRReference">_xlfn.LAMBDA("")</definedName>
    <definedName name="MMS_Swine_Methane_Equations.VEERG_4_5_1_1__3_Stage1MethaneProduction_Source">_xlfn.LAMBDA("VEERG 2026: 4.5.1.1, Equation (3)")</definedName>
    <definedName name="MMS_Swine_Methane_Equations.VEERG_4_5_1_1__3_Stage1MethaneProduction_Title">_xlfn.LAMBDA("Production of methane in treatment stage 1 MMS")</definedName>
    <definedName name="MMS_Swine_Methane_Equations.VEERG_4_5_1_1__3_Stage1MethaneProduction_Unit">_xlfn.LAMBDA("kg CH4/head/day")</definedName>
    <definedName name="MMS_Swine_Methane_Equations.VEERG_4_5_1_1__3_Stage1MethaneProduction_Variable">_xlfn.LAMBDA("MijmT1")</definedName>
    <definedName name="MMS_Swine_Methane_Equations.VEERG_4_5_1_1__4_FractionVolatileSolidsPrimarySystem">_xlfn.LAMBDA(_xlpm.MMSjmT1,_xlpm.SSm, _xlpm.MMSjmT1 * (1 - _xlpm.SSm))</definedName>
    <definedName name="MMS_Swine_Methane_Equations.VEERG_4_5_1_1__4_FractionVolatileSolidsPrimarySystem_Arguments">_xlfn.LAMBDA(_xlfn.MAKEARRAY(2, 4, _xlfn.LAMBDA(_xlpm.r,_xlpm.c, INDEX({"MMSjmT1","fraction of manure to each primary MMS for each class prior to solid separation","fraction","Input";"SSm","fraction of volatile solids separated to solid storage for each MMS","fraction","Input"}, _xlpm.r, _xlpm.c))))</definedName>
    <definedName name="MMS_Swine_Methane_Equations.VEERG_4_5_1_1__4_FractionVolatileSolidsPrimarySystem_LatexEquation">_xlfn.LAMBDA("FVS_{jm,T=1}=MMS_{jm,T=1}\times(1-SS_{m})")</definedName>
    <definedName name="MMS_Swine_Methane_Equations.VEERG_4_5_1_1__4_FractionVolatileSolidsPrimarySystem_NIRReference">_xlfn.LAMBDA("")</definedName>
    <definedName name="MMS_Swine_Methane_Equations.VEERG_4_5_1_1__4_FractionVolatileSolidsPrimarySystem_Source">_xlfn.LAMBDA("VEERG 2026: 4.5.1.1, Equation (4)")</definedName>
    <definedName name="MMS_Swine_Methane_Equations.VEERG_4_5_1_1__4_FractionVolatileSolidsPrimarySystem_Title">_xlfn.LAMBDA("Fraction of volatile solids in each primary system other than solid storage")</definedName>
    <definedName name="MMS_Swine_Methane_Equations.VEERG_4_5_1_1__4_FractionVolatileSolidsPrimarySystem_Unit">_xlfn.LAMBDA("fraction")</definedName>
    <definedName name="MMS_Swine_Methane_Equations.VEERG_4_5_1_1__4_FractionVolatileSolidsPrimarySystem_Variable">_xlfn.LAMBDA("FVSjmT1")</definedName>
    <definedName name="MMS_Swine_Methane_Equations.VEERG_4_5_1_1__4_FractionVolatileSolidsPrimarySystem_Variation">_xlfn.LAMBDA("")</definedName>
    <definedName name="MMS_Swine_Methane_Equations.VEERG_4_5_1_1__5_FractionVolatileSolidsSolidStorage">_xlfn.LAMBDA(_xlpm.MMSjm4T1,_xlpm.MMSjm179T1,_xlpm.SSm, _xlpm.MMSjm4T1 + (_xlpm.MMSjm179T1 * _xlpm.SSm))</definedName>
    <definedName name="MMS_Swine_Methane_Equations.VEERG_4_5_1_1__5_FractionVolatileSolidsSolidStorage_Arguments">_xlfn.LAMBDA(_xlfn.MAKEARRAY(3, 4, _xlfn.LAMBDA(_xlpm.r,_xlpm.c, INDEX({"MMSjm4T1","fraction of manure in solid storage primary system","fraction","Input";"MMSjm179T1","fraction of manure in MMS 1, 7, and 9 in treatment stage 1","fraction","Input";"SSm","fraction of volatile solids separated to solid storage for each MMS","fraction","Input"}, _xlpm.r, _xlpm.c))))</definedName>
    <definedName name="MMS_Swine_Methane_Equations.VEERG_4_5_1_1__5_FractionVolatileSolidsSolidStorage_LatexEquation">_xlfn.LAMBDA("FVS_{j,m=4,T=1}=MMS_{j,m=4,T=1}+(MMS_{j,m=1,7,9,T=1}\times SS_{m})")</definedName>
    <definedName name="MMS_Swine_Methane_Equations.VEERG_4_5_1_1__5_FractionVolatileSolidsSolidStorage_LatexEquationVariation">_xlfn.LAMBDA("FVS_{j,m=4,T=1}=MMS_{j,m=4,T=1}+(MMS_{j,m=1,T=1}\times SS_{m=1,T=1})+(MMS_{j,m=7,T=1}\times SS_{m=7,T=1})+(MMS_{j,m=9,T=1}\times SS_{m=9,T=1})")</definedName>
    <definedName name="MMS_Swine_Methane_Equations.VEERG_4_5_1_1__5_FractionVolatileSolidsSolidStorage_NIRReference">_xlfn.LAMBDA("")</definedName>
    <definedName name="MMS_Swine_Methane_Equations.VEERG_4_5_1_1__5_FractionVolatileSolidsSolidStorage_Source">_xlfn.LAMBDA("VEERG 2026: 4.5.1.1, Equation (5)")</definedName>
    <definedName name="MMS_Swine_Methane_Equations.VEERG_4_5_1_1__5_FractionVolatileSolidsSolidStorage_Title">_xlfn.LAMBDA("Fraction of volatile solids in solid storage")</definedName>
    <definedName name="MMS_Swine_Methane_Equations.VEERG_4_5_1_1__5_FractionVolatileSolidsSolidStorage_Unit">_xlfn.LAMBDA("fraction")</definedName>
    <definedName name="MMS_Swine_Methane_Equations.VEERG_4_5_1_1__5_FractionVolatileSolidsSolidStorage_Variable">_xlfn.LAMBDA("FVSjm4T1")</definedName>
    <definedName name="MMS_Swine_Methane_Equations.VEERG_4_5_1_1__5_FractionVolatileSolidsSolidStorage_Variation">_xlfn.LAMBDA("VARIATION ON SOURCE: Split equation for MMSm=1,7,9 into separate items to allow for calculation")</definedName>
    <definedName name="MMS_Swine_Methane_Equations.VEERG_4_5_1_1__5_FractionVolatileSolidsSolidStorageVariation">_xlfn.LAMBDA(_xlpm.MMSjm4T1,_xlpm.MMSjmT1_1,_xlpm.MMSjmT1_2,_xlpm.MMSjmT1_3,_xlpm.MMSjmT1_4,_xlpm.MMSjmT1_5,_xlpm.SSjmT1_1,_xlpm.SSjmT1_2,_xlpm.SSjmT1_3,_xlpm.SSjmT1_4,_xlpm.SSjmT1_5, _xlpm.MMSjm4T1 + (_xlpm.MMSjmT1_1 * _xlpm.SSjmT1_1) + (_xlpm.MMSjmT1_2 * _xlpm.SSjmT1_2) + (_xlpm.MMSjmT1_3 * _xlpm.SSjmT1_3) + (_xlpm.MMSjmT1_4 * _xlpm.SSjmT1_4) + (_xlpm.MMSjmT1_5 * _xlpm.SSjmT1_5))</definedName>
    <definedName name="MMS_Swine_Methane_Equations.VEERG_4_5_1_1__6_Stage2MethaneProduction">_xlfn.LAMBDA(_xlpm.VSTjmT2,_xlpm.BO,_xlpm.MMSjmT2,_xlpm.MCFim,_xlpm.rho, _xlfn.LET(_xlpm.VSTjmT2, IF(ISNUMBER(_xlpm.VSTjmT2), _xlpm.VSTjmT2, 0), _xlpm.MMSjmT2, IF(ISNUMBER(_xlpm.MMSjmT2), _xlpm.MMSjmT2, 0), _xlpm.VSTjmT2 * _xlpm.BO * _xlpm.MMSjmT2 * _xlpm.MCFim * _xlpm.rho))</definedName>
    <definedName name="MMS_Swine_Methane_Equations.VEERG_4_5_1_1__6_Stage2MethaneProduction_Arguments">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methane","kg/m3","Constant";"i","state","","Input"}, _xlpm.r, _xlpm.c))))</definedName>
    <definedName name="MMS_Swine_Methane_Equations.VEERG_4_5_1_1__6_Stage2MethaneProduction_Arguments_Method2">_xlfn.LAMBDA(_xlfn.MAKEARRAY(6, 4, _xlfn.LAMBDA(_xlpm.r,_xlpm.c, INDEX({"VSTjmT2","volatile solids transferred to treatment stage 2 MMS","kg/head/day","Calculated from 4.5.1.1 (7)";"BO","emissions potential","m3 CH4/kg VS","Constant";"MMSjmT2","fraction of manure in each secondary system","fraction","Input";"MCFim","methane conversion factor for temperate zone and system","fraction","Constant";"rho","density of methane","kg/m3","Constant";"MAT","Mean annual temperature","°C","Input"}, _xlpm.r, _xlpm.c))))</definedName>
    <definedName name="MMS_Swine_Methane_Equations.VEERG_4_5_1_1__6_Stage2MethaneProduction_LatexEquation">_xlfn.LAMBDA("M_{ijm,T=2}=VST_{jm,T=2}\times BO\times MMS_{jm,T=2}\times MCF_{im}\times \rho")</definedName>
    <definedName name="MMS_Swine_Methane_Equations.VEERG_4_5_1_1__6_Stage2MethaneProduction_NIRReference">_xlfn.LAMBDA("")</definedName>
    <definedName name="MMS_Swine_Methane_Equations.VEERG_4_5_1_1__6_Stage2MethaneProduction_Source">_xlfn.LAMBDA("VEERG 2026: 4.5.1.1, Equation (6)")</definedName>
    <definedName name="MMS_Swine_Methane_Equations.VEERG_4_5_1_1__6_Stage2MethaneProduction_Title">_xlfn.LAMBDA("Production of methane in each treatment stage 2 MMS")</definedName>
    <definedName name="MMS_Swine_Methane_Equations.VEERG_4_5_1_1__6_Stage2MethaneProduction_Unit">_xlfn.LAMBDA("kg CH4/head/day")</definedName>
    <definedName name="MMS_Swine_Methane_Equations.VEERG_4_5_1_1__6_Stage2MethaneProduction_Variable">_xlfn.LAMBDA("MijmT2")</definedName>
    <definedName name="MMS_Swine_Methane_Equations.VEERG_4_5_1_1__7_VolatileSolidsTransferredStage2">_xlfn.LAMBDA(_xlpm.VSj,_xlpm.FVSjmT1,_xlpm.VSLmT1, _xlpm.VSj * _xlpm.FVSjmT1 * (1 - _xlpm.VSLmT1))</definedName>
    <definedName name="MMS_Swine_Methane_Equations.VEERG_4_5_1_1__7_VolatileSolidsTransferredStage2_Arguments">_xlfn.LAMBDA(_xlfn.MAKEARRAY(3, 4, _xlfn.LAMBDA(_xlpm.r,_xlpm.c, INDEX({"VSj","volatile solid production from swine in each class","kg/head/day","Input";"FVSjmT1","fraction of volatile solids in each primary system","fraction","Calculated from 4.5.1.1 (4)(5)";"VSLmT1","fraction of volatile solids lost during storage in the primary system","fraction","Lookup"}, _xlpm.r, _xlpm.c))))</definedName>
    <definedName name="MMS_Swine_Methane_Equations.VEERG_4_5_1_1__7_VolatileSolidsTransferredStage2_LatexEquation">_xlfn.LAMBDA("VST_{ijm,T=2}=VS_{j}\times FVS_{jm,T=1}\times(1-VSL_{m,T=1})")</definedName>
    <definedName name="MMS_Swine_Methane_Equations.VEERG_4_5_1_1__7_VolatileSolidsTransferredStage2_NIRReference">_xlfn.LAMBDA("")</definedName>
    <definedName name="MMS_Swine_Methane_Equations.VEERG_4_5_1_1__7_VolatileSolidsTransferredStage2_Source">_xlfn.LAMBDA("VEERG 2026: 4.5.1.1, Equation (7)")</definedName>
    <definedName name="MMS_Swine_Methane_Equations.VEERG_4_5_1_1__7_VolatileSolidsTransferredStage2_Title">_xlfn.LAMBDA("Volatile solids transferred to treatment stage 2 MMS")</definedName>
    <definedName name="MMS_Swine_Methane_Equations.VEERG_4_5_1_1__7_VolatileSolidsTransferredStage2_Unit">_xlfn.LAMBDA("kg VS")</definedName>
    <definedName name="MMS_Swine_Methane_Equations.VEERG_4_5_1_1__7_VolatileSolidsTransferredStage2_Variable">_xlfn.LAMBDA("VSTijmT2")</definedName>
    <definedName name="MMS_Swine_N2ODirect_Equations.VEERG_4_5_1_3__1_TotalAnnualDirectNitrousOxideEmissionsFromMMS">_xlfn.LAMBDA(_xlpm.MN_jmT,_xlpm.EF_jm,_xlpm.C_N2O, _xlpm.MN_jmT * _xlpm.EF_jm * _xlpm.C_N2O * 10 ^ -3)</definedName>
    <definedName name="MMS_Swine_N2ODirect_Equations.VEERG_4_5_1_3__1_TotalAnnualDirectNitrousOxideEmissionsFromMMS_Arguments">_xlfn.LAMBDA(_xlfn.MAKEARRAY(3, 4, _xlfn.LAMBDA(_xlpm.r,_xlpm.c, INDEX({"MN_jmT","nitrogen per swine class, MMS and treatment stage","kg N","Calculated from 4.5.1.3 (2)(6)";"EF_jm","nitrous oxide emission factor for MMS","kg N2O-N/kg N","Constant";"C_N2O","factor to convert elemental mass of nitrous oxide to molecular mass","","Constant"}, _xlpm.r, _xlpm.c))))</definedName>
    <definedName name="MMS_Swine_N2ODirect_Equations.VEERG_4_5_1_3__1_TotalAnnualDirectNitrousOxideEmissionsFromMMS_LatexEquation">_xlfn.LAMBDA("E_{N2O,dir}=\sum_{j}\sum_{m}\sum_{T}(MN_{jmT}\times EF_{jm}\times C_{N2O})\times10^{-3}")</definedName>
    <definedName name="MMS_Swine_N2ODirect_Equations.VEERG_4_5_1_3__1_TotalAnnualDirectNitrousOxideEmissionsFromMMS_NIRReference">_xlfn.LAMBDA("")</definedName>
    <definedName name="MMS_Swine_N2ODirect_Equations.VEERG_4_5_1_3__1_TotalAnnualDirectNitrousOxideEmissionsFromMMS_Source">_xlfn.LAMBDA("VEERG 2026: 4.5.1.3, Equation (1)")</definedName>
    <definedName name="MMS_Swine_N2ODirect_Equations.VEERG_4_5_1_3__1_TotalAnnualDirectNitrousOxideEmissionsFromMMS_Title">_xlfn.LAMBDA("Total annual direct nitrous oxide emissions from manure management systems")</definedName>
    <definedName name="MMS_Swine_N2ODirect_Equations.VEERG_4_5_1_3__1_TotalAnnualDirectNitrousOxideEmissionsFromMMS_Unit">_xlfn.LAMBDA("t N2O")</definedName>
    <definedName name="MMS_Swine_N2ODirect_Equations.VEERG_4_5_1_3__1_TotalAnnualDirectNitrousOxideEmissionsFromMMS_Variable">_xlfn.LAMBDA("E_N2Odir")</definedName>
    <definedName name="MMS_Swine_N2ODirect_Equations.VEERG_4_5_1_3__2_Stage1NitrogenInMMS">_xlfn.LAMBDA(_xlpm.AE_j,_xlpm.FN_jmT1, _xlpm.AE_j * _xlpm.FN_jmT1)</definedName>
    <definedName name="MMS_Swine_N2ODirect_Equations.VEERG_4_5_1_3__2_Stage1NitrogenInMMS_Arguments">_xlfn.LAMBDA(_xlfn.MAKEARRAY(2, 4, _xlfn.LAMBDA(_xlpm.r,_xlpm.c, INDEX({"AE_j","total nitrogen excreted by each swine class","kg N","Calculated from 4.5.1.3 (5)";"FN_jmT1","fraction of nitrogen in each primary MMS system","fraction","Calculated from 4.5.1.3 (3)(4)"}, _xlpm.r, _xlpm.c))))</definedName>
    <definedName name="MMS_Swine_N2ODirect_Equations.VEERG_4_5_1_3__2_Stage1NitrogenInMMS_LatexEquation">_xlfn.LAMBDA("MN_{jm,T=1}=AE_{j}\times FN_{jm,T=1}")</definedName>
    <definedName name="MMS_Swine_N2ODirect_Equations.VEERG_4_5_1_3__2_Stage1NitrogenInMMS_NIRReference">_xlfn.LAMBDA("")</definedName>
    <definedName name="MMS_Swine_N2ODirect_Equations.VEERG_4_5_1_3__2_Stage1NitrogenInMMS_Source">_xlfn.LAMBDA("VEERG 2026: 4.5.1.3, Equation (2)")</definedName>
    <definedName name="MMS_Swine_N2ODirect_Equations.VEERG_4_5_1_3__2_Stage1NitrogenInMMS_Title">_xlfn.LAMBDA("Nitrogen in treatment stage 1 MMS")</definedName>
    <definedName name="MMS_Swine_N2ODirect_Equations.VEERG_4_5_1_3__2_Stage1NitrogenInMMS_Unit">_xlfn.LAMBDA("kg N")</definedName>
    <definedName name="MMS_Swine_N2ODirect_Equations.VEERG_4_5_1_3__2_Stage1NitrogenInMMS_Variable">_xlfn.LAMBDA("MN_jmT1")</definedName>
    <definedName name="MMS_Swine_N2ODirect_Equations.VEERG_4_5_1_3__3_FractionOfNitrogenInPrimaryMMS">_xlfn.LAMBDA(_xlpm.MMS_jmT1,_xlpm.SN_m, _xlpm.MMS_jmT1 * (1 - _xlpm.SN_m))</definedName>
    <definedName name="MMS_Swine_N2ODirect_Equations.VEERG_4_5_1_3__3_FractionOfNitrogenInPrimaryMMS_Arguments">_xlfn.LAMBDA(_xlfn.MAKEARRAY(2, 4, _xlfn.LAMBDA(_xlpm.r,_xlpm.c, INDEX({"MMS_jmT1","fraction of manure in primary MMS","fraction","Input";"SN_m","fraction of nitrogen separated to solid storage for each MMS","fraction","Input"}, _xlpm.r, _xlpm.c))))</definedName>
    <definedName name="MMS_Swine_N2ODirect_Equations.VEERG_4_5_1_3__3_FractionOfNitrogenInPrimaryMMS_LatexEquation">_xlfn.LAMBDA("FN_{jm,T=1}=MMS_{jm,T=1}\times(1-SN_{m})")</definedName>
    <definedName name="MMS_Swine_N2ODirect_Equations.VEERG_4_5_1_3__3_FractionOfNitrogenInPrimaryMMS_NIRReference">_xlfn.LAMBDA("")</definedName>
    <definedName name="MMS_Swine_N2ODirect_Equations.VEERG_4_5_1_3__3_FractionOfNitrogenInPrimaryMMS_Source">_xlfn.LAMBDA("VEERG 2026: 4.5.1.3, Equation (3)")</definedName>
    <definedName name="MMS_Swine_N2ODirect_Equations.VEERG_4_5_1_3__3_FractionOfNitrogenInPrimaryMMS_Title">_xlfn.LAMBDA("Fraction of nitrogen in each primary MMS (excluding solid storage)")</definedName>
    <definedName name="MMS_Swine_N2ODirect_Equations.VEERG_4_5_1_3__3_FractionOfNitrogenInPrimaryMMS_Unit">_xlfn.LAMBDA("fraction")</definedName>
    <definedName name="MMS_Swine_N2ODirect_Equations.VEERG_4_5_1_3__3_FractionOfNitrogenInPrimaryMMS_Variable">_xlfn.LAMBDA("FN_jmT1")</definedName>
    <definedName name="MMS_Swine_N2ODirect_Equations.VEERG_4_5_1_3__4_FractionOfNitrogenInSolidStorage">_xlfn.LAMBDA(_xlpm.MMS_jm4T1,_xlpm.MMS_jm179T1,_xlpm.SN_m, _xlpm.MMS_jm4T1 + (_xlpm.MMS_jm179T1 * _xlpm.SN_m))</definedName>
    <definedName name="MMS_Swine_N2ODirect_Equations.VEERG_4_5_1_3__4_FractionOfNitrogenInSolidStorage_Arguments">_xlfn.LAMBDA(_xlfn.MAKEARRAY(3, 4, _xlfn.LAMBDA(_xlpm.r,_xlpm.c, INDEX({"MMS_jm4T1","fraction of manure in solid storage MMS","fraction","Input";"MMS_jm179T1","fraction of manure in primary liquid systems (m=1,7,9)","fraction","Input";"SN_m","fraction of nitrogen separated to solid storage for each MMS","fraction","Input"}, _xlpm.r, _xlpm.c))))</definedName>
    <definedName name="MMS_Swine_N2ODirect_Equations.VEERG_4_5_1_3__4_FractionOfNitrogenInSolidStorage_LatexEquation">_xlfn.LAMBDA("FN_{jm=4,T=1}=MMS_{jm=4,T=1}+(MMS_{jm=1,7,9,T=1}\times SN_{m})")</definedName>
    <definedName name="MMS_Swine_N2ODirect_Equations.VEERG_4_5_1_3__4_FractionOfNitrogenInSolidStorage_LatexEquationVariation">_xlfn.LAMBDA("FN_{jm=4,T=1}=MMS_{jm=4,T=1}+(MMS_{j,m=1,T=1}\times SS_{m=1,T=1})+(MMS_{j,m=7,T=1}\times SS_{m=7,T=1})+(MMS_{j,m=9,T=1}\times SS_{m=9,T=1})")</definedName>
    <definedName name="MMS_Swine_N2ODirect_Equations.VEERG_4_5_1_3__4_FractionOfNitrogenInSolidStorage_NIRReference">_xlfn.LAMBDA("")</definedName>
    <definedName name="MMS_Swine_N2ODirect_Equations.VEERG_4_5_1_3__4_FractionOfNitrogenInSolidStorage_Source">_xlfn.LAMBDA("VEERG 2026: 4.5.1.3, Equation (4)")</definedName>
    <definedName name="MMS_Swine_N2ODirect_Equations.VEERG_4_5_1_3__4_FractionOfNitrogenInSolidStorage_Title">_xlfn.LAMBDA("Fraction of nitrogen in solid storage")</definedName>
    <definedName name="MMS_Swine_N2ODirect_Equations.VEERG_4_5_1_3__4_FractionOfNitrogenInSolidStorage_Unit">_xlfn.LAMBDA("fraction")</definedName>
    <definedName name="MMS_Swine_N2ODirect_Equations.VEERG_4_5_1_3__4_FractionOfNitrogenInSolidStorage_Variable">_xlfn.LAMBDA("FN_jm4T1")</definedName>
    <definedName name="MMS_Swine_N2ODirect_Equations.VEERG_4_5_1_3__4_FractionOfNitrogenInSolidStorage_Variation">_xlfn.LAMBDA("VARIATION ON SOURCE: Split equation for MMSm=1,7,9 into separate items to allow for calculation")</definedName>
    <definedName name="MMS_Swine_N2ODirect_Equations.VEERG_4_5_1_3__4_FractionOfNitrogenInSolidStorageVariation">_xlfn.LAMBDA(_xlpm.MMS_jm4T1,_xlpm.MMSjmT1_1,_xlpm.MMSjmT1_2,_xlpm.MMSjmT1_3,_xlpm.MMSjmT1_4,_xlpm.MMSjmT1_5,_xlpm.SSjmT1_1,_xlpm.SSjmT1_2,_xlpm.SSjmT1_3,_xlpm.SSjmT1_4,_xlpm.SSjmT1_5, _xlpm.MMS_jm4T1 + (_xlpm.MMSjmT1_1 * _xlpm.SSjmT1_1) + (_xlpm.MMSjmT1_2 * _xlpm.SSjmT1_2) + (_xlpm.MMSjmT1_3 * _xlpm.SSjmT1_3) + (_xlpm.MMSjmT1_4 * _xlpm.SSjmT1_4) + (_xlpm.MMSjmT1_5 * _xlpm.SSjmT1_5))</definedName>
    <definedName name="MMS_Swine_N2ODirect_Equations.VEERG_4_5_1_3__5_AnnualNitrogenExcretion">_xlfn.LAMBDA(_xlpm.N_j,_xlpm.NW_j,_xlpm.D_j, _xlpm.N_j * _xlpm.NW_j * _xlpm.D_j)</definedName>
    <definedName name="MMS_Swine_N2ODirect_Equations.VEERG_4_5_1_3__5_AnnualNitrogenExcretion_Arguments">_xlfn.LAMBDA(_xlfn.MAKEARRAY(3, 4, _xlfn.LAMBDA(_xlpm.r,_xlpm.c, INDEX({"N_j","number of swine in each group","head","Input";"NW_j","nitrogen produced in swine manure and waste feed in each class","kg N/head/day","Input";"D_j","duration of stay of swine group","days","Input"}, _xlpm.r, _xlpm.c))))</definedName>
    <definedName name="MMS_Swine_N2ODirect_Equations.VEERG_4_5_1_3__5_AnnualNitrogenExcretion_LatexEquation">_xlfn.LAMBDA("AE_{j}=N_{j}\times NW_{j}\times D_{j}")</definedName>
    <definedName name="MMS_Swine_N2ODirect_Equations.VEERG_4_5_1_3__5_AnnualNitrogenExcretion_NIRReference">_xlfn.LAMBDA("")</definedName>
    <definedName name="MMS_Swine_N2ODirect_Equations.VEERG_4_5_1_3__5_AnnualNitrogenExcretion_Source">_xlfn.LAMBDA("VEERG 2026: 4.5.1.3, Equation (5)")</definedName>
    <definedName name="MMS_Swine_N2ODirect_Equations.VEERG_4_5_1_3__5_AnnualNitrogenExcretion_Title">_xlfn.LAMBDA("Annual nitrogen excretion from each swine group")</definedName>
    <definedName name="MMS_Swine_N2ODirect_Equations.VEERG_4_5_1_3__5_AnnualNitrogenExcretion_Unit">_xlfn.LAMBDA("kg N")</definedName>
    <definedName name="MMS_Swine_N2ODirect_Equations.VEERG_4_5_1_3__5_AnnualNitrogenExcretion_Variable">_xlfn.LAMBDA("AE_j")</definedName>
    <definedName name="MMS_Swine_N2ODirect_Equations.VEERG_4_5_1_3__6_Stage2NitrogenInMMS">_xlfn.LAMBDA(_xlpm.NT_jmT2,_xlpm.MMS_jmT2, _xlpm.NT_jmT2 * _xlpm.MMS_jmT2)</definedName>
    <definedName name="MMS_Swine_N2ODirect_Equations.VEERG_4_5_1_3__6_Stage2NitrogenInMMS_Arguments">_xlfn.LAMBDA(_xlfn.MAKEARRAY(2, 4, _xlfn.LAMBDA(_xlpm.r,_xlpm.c, INDEX({"NT_jmT2","nitrogen transferred to secondary treatment MMS","kg N","Calculated from 4.5.1.3 (7)";"MMS_jmT2","fraction of manure in each secondary system","fraction","Input"}, _xlpm.r, _xlpm.c))))</definedName>
    <definedName name="MMS_Swine_N2ODirect_Equations.VEERG_4_5_1_3__6_Stage2NitrogenInMMS_LatexEquation">_xlfn.LAMBDA("MN_{jm,T=2}=NT_{jm,T=2}\times MMS_{jm,T=2}")</definedName>
    <definedName name="MMS_Swine_N2ODirect_Equations.VEERG_4_5_1_3__6_Stage2NitrogenInMMS_NIRReference">_xlfn.LAMBDA("")</definedName>
    <definedName name="MMS_Swine_N2ODirect_Equations.VEERG_4_5_1_3__6_Stage2NitrogenInMMS_Source">_xlfn.LAMBDA("VEERG 2026: 4.5.1.3, Equation (6)")</definedName>
    <definedName name="MMS_Swine_N2ODirect_Equations.VEERG_4_5_1_3__6_Stage2NitrogenInMMS_Title">_xlfn.LAMBDA("Nitrogen in treatment stage 2 MMS")</definedName>
    <definedName name="MMS_Swine_N2ODirect_Equations.VEERG_4_5_1_3__6_Stage2NitrogenInMMS_Unit">_xlfn.LAMBDA("kg N")</definedName>
    <definedName name="MMS_Swine_N2ODirect_Equations.VEERG_4_5_1_3__6_Stage2NitrogenInMMS_Variable">_xlfn.LAMBDA("MN_jmT2")</definedName>
    <definedName name="MMS_Swine_N2ODirect_Equations.VEERG_4_5_1_3__7_NitrogenTransferredToStage2MMS">_xlfn.LAMBDA(_xlpm.MN_jmT1,_xlpm.FracGASMmT1,_xlpm.EF_mT1, _xlpm.MN_jmT1 * (1 - _xlpm.FracGASMmT1 - _xlpm.EF_mT1))</definedName>
    <definedName name="MMS_Swine_N2ODirect_Equations.VEERG_4_5_1_3__7_NitrogenTransferredToStage2MMS_Arguments">_xlfn.LAMBDA(_xlfn.MAKEARRAY(3, 4, _xlfn.LAMBDA(_xlpm.r,_xlpm.c, INDEX({"MN_jmT1","nitrogen per swine class in treatment stage 1 MMS","kg N","Calculated from 4.5.1.3 (2)(6)";"FracGASMmT1","fraction of N volatilised from MMS treatment at stage 1","fraction","Lookup";"EF_mT1","nitrous oxide emission factor for MMS treatment at stage 1","kg N2O-N/kg N","Lookup"}, _xlpm.r, _xlpm.c))))</definedName>
    <definedName name="MMS_Swine_N2ODirect_Equations.VEERG_4_5_1_3__7_NitrogenTransferredToStage2MMS_LatexEquation">_xlfn.LAMBDA("NT_{jm,T=2}=MN_{jm,T=1}\times(1-FracGASM_{m,T=1}-EF_{m,T=1})")</definedName>
    <definedName name="MMS_Swine_N2ODirect_Equations.VEERG_4_5_1_3__7_NitrogenTransferredToStage2MMS_NIRReference">_xlfn.LAMBDA("")</definedName>
    <definedName name="MMS_Swine_N2ODirect_Equations.VEERG_4_5_1_3__7_NitrogenTransferredToStage2MMS_Source">_xlfn.LAMBDA("VEERG 2026: 4.5.1.3, Equation (7)")</definedName>
    <definedName name="MMS_Swine_N2ODirect_Equations.VEERG_4_5_1_3__7_NitrogenTransferredToStage2MMS_Title">_xlfn.LAMBDA("Nitrogen transferred to treatment stage 2 MMS")</definedName>
    <definedName name="MMS_Swine_N2ODirect_Equations.VEERG_4_5_1_3__7_NitrogenTransferredToStage2MMS_Unit">_xlfn.LAMBDA("kg N")</definedName>
    <definedName name="MMS_Swine_N2ODirect_Equations.VEERG_4_5_1_3__7_NitrogenTransferredToStage2MMS_Variable">_xlfn.LAMBDA("NT_jmT2")</definedName>
    <definedName name="Result_CarbonRemovalsFromPlantings">'Input - Enterprise'!$E$72</definedName>
    <definedName name="Result_EmissionsForWholeProductionCycle_Gross_Method1">'Input - Enterprise'!$E$59</definedName>
    <definedName name="Result_EmissionsForWholeProductionCycle_Gross_Method2">'Input - Enterprise'!$F$59</definedName>
    <definedName name="Result_EmissionsForWholeProductionCycle_Method1">'Input - Enterprise'!$E$59</definedName>
    <definedName name="Result_EmissionsForWholeProductionCycle_Method2">'Input - Enterprise'!$F$59</definedName>
    <definedName name="Result_EmissionsForWholeProductionCycle_Net_Method1">'Input - Enterprise'!$E$83</definedName>
    <definedName name="Result_EmissionsForWholeProductionCycle_Net_Method2">'Input - Enterprise'!$F$83</definedName>
    <definedName name="Result_Enterprise_Gross_Method1">'Results - Activity period'!$E$62</definedName>
    <definedName name="Result_Enterprise_Gross_Method2">'Results - Activity period'!$F$62</definedName>
    <definedName name="Result_Enterprise_Net_Method1">'Results - Activity period'!$E$63</definedName>
    <definedName name="Result_Enterprise_Net_Method2">'Results - Activity period'!$F$63</definedName>
    <definedName name="Result_Enterprise_Removals">'Results - Activity period'!$E$56</definedName>
    <definedName name="Result_Enterprise_Scope1_Method1">'Results - Activity period'!$H$27</definedName>
    <definedName name="Result_Enterprise_Scope1_Method2">'Results - Activity period'!$I$27</definedName>
    <definedName name="Result_Enterprise_Scope2_Method1">'Results - Activity period'!$H$34</definedName>
    <definedName name="Result_Enterprise_Scope2_Method2">'Results - Activity period'!$I$34</definedName>
    <definedName name="Result_Enterprise_Scope3_Method1">'Results - Activity period'!$H$51</definedName>
    <definedName name="Result_Enterprise_Scope3_Method2">'Results - Activity period'!$I$51</definedName>
    <definedName name="Scope3_Equations.VEERG_15_1_1_1__1_EmissionsFromPurchasedLivestock">_xlfn.LAMBDA(_xlpm.N_co,_xlpm.W_co,_xlpm.EF_co, (_xlpm.N_co * _xlpm.W_co * _xlpm.EF_co) * 10 ^ -3)</definedName>
    <definedName name="Scope3_Equations.VEERG_15_1_1_1__1_EmissionsFromPurchasedLivestock_Arguments">_xlfn.LAMBDA(_xlfn.MAKEARRAY(5, 4, _xlfn.LAMBDA(_xlpm.r,_xlpm.c, INDEX({"N_co","number of animals purchased in livestock type c from origin o","head","Input";"W_co","average liveweight of purchased livestock at point of purchase","kg/head","Input";"EF_co","emission factor per livestock type and origin","kg CO2e/kg","Constant";"c","livestock type","","Input";"o","origin","","Input"}, _xlpm.r, _xlpm.c))))</definedName>
    <definedName name="Scope3_Equations.VEERG_15_1_1_1__1_EmissionsFromPurchasedLivestock_LatexEquation">_xlfn.LAMBDA("E=\sum\nolimits_c\sum\nolimits_o\left(N_{co}\times W_{co}\times EF_{co}\right)\times 10^{-3}")</definedName>
    <definedName name="Scope3_Equations.VEERG_15_1_1_1__1_EmissionsFromPurchasedLivestock_NIRReference">_xlfn.LAMBDA("")</definedName>
    <definedName name="Scope3_Equations.VEERG_15_1_1_1__1_EmissionsFromPurchasedLivestock_Source">_xlfn.LAMBDA("VEERG 2026: 15.1.1.1, Equation (1)")</definedName>
    <definedName name="Scope3_Equations.VEERG_15_1_1_1__1_EmissionsFromPurchasedLivestock_Title">_xlfn.LAMBDA("Total emissions from purchased livestock")</definedName>
    <definedName name="Scope3_Equations.VEERG_15_1_1_1__1_EmissionsFromPurchasedLivestock_Unit">_xlfn.LAMBDA("t CO2e")</definedName>
    <definedName name="Scope3_Equations.VEERG_15_1_1_1__1_EmissionsFromPurchasedLivestock_Variable">_xlfn.LAMBDA("E")</definedName>
    <definedName name="Scope3_Equations.VEERG_15_10_1_1__1_OtherPurchasedGoodsAndServices">_xlfn.LAMBDA(_xlpm.activity_data,_xlpm.emission_factor, _xlpm.activity_data * _xlpm.emission_factor)</definedName>
    <definedName name="Scope3_Equations.VEERG_15_10_1_1__1_OtherPurchasedGoodsAndServices_Arguments">_xlfn.LAMBDA(_xlfn.MAKEARRAY(2, 4, _xlfn.LAMBDA(_xlpm.r,_xlpm.c, INDEX({"activity_data","measured activity for the purchased good or service","varies","Input";"emission_factor","lifecycle emissions per unit of activity","varies","Constant"}, _xlpm.r, _xlpm.c))))</definedName>
    <definedName name="Scope3_Equations.VEERG_15_10_1_1__1_OtherPurchasedGoodsAndServices_LatexEquation">_xlfn.LAMBDA("emissions=activity\_data\times emission\_factor")</definedName>
    <definedName name="Scope3_Equations.VEERG_15_10_1_1__1_OtherPurchasedGoodsAndServices_NIRReference">_xlfn.LAMBDA("")</definedName>
    <definedName name="Scope3_Equations.VEERG_15_10_1_1__1_OtherPurchasedGoodsAndServices_Source">_xlfn.LAMBDA("VEERG 2026: 15.10, generic placeholder equation")</definedName>
    <definedName name="Scope3_Equations.VEERG_15_10_1_1__1_OtherPurchasedGoodsAndServices_Title">_xlfn.LAMBDA("Other purchased goods and services generic estimate")</definedName>
    <definedName name="Scope3_Equations.VEERG_15_10_1_1__1_OtherPurchasedGoodsAndServices_Unit">_xlfn.LAMBDA("t CO2e")</definedName>
    <definedName name="Scope3_Equations.VEERG_15_10_1_1__1_OtherPurchasedGoodsAndServices_Variable">_xlfn.LAMBDA("emissions")</definedName>
    <definedName name="Scope3_Equations.VEERG_15_11_1_1__1_TotalUpstreamEmissionsFromFuel">_xlfn.LAMBDA(_xlpm.E_WTTtransq,_xlpm.E_WTTSCq, _xlpm.E_WTTtransq + _xlpm.E_WTTSCq)</definedName>
    <definedName name="Scope3_Equations.VEERG_15_11_1_1__1_TotalUpstreamEmissionsFromFuel_Arguments">_xlfn.LAMBDA(_xlfn.MAKEARRAY(2, 4, _xlfn.LAMBDA(_xlpm.r,_xlpm.c, INDEX({"E_WTTtransq","upstream emissions from scope 1 transport fuel use","t CO2e","Calculated by 15.11.1.1 (2)";"E_WTTSCq","upstream emissions from scope 1 stationary combustion fuel use","t CO2e","Calculated by 15.11.1.1 (3)"}, _xlpm.r, _xlpm.c))))</definedName>
    <definedName name="Scope3_Equations.VEERG_15_11_1_1__1_TotalUpstreamEmissionsFromFuel_LatexEquation">_xlfn.LAMBDA("E=\sum\nolimits_qE_{WTT,trans,q}+\sum\nolimits_qE_{WTT,SC,q}")</definedName>
    <definedName name="Scope3_Equations.VEERG_15_11_1_1__1_TotalUpstreamEmissionsFromFuel_NIRReference">_xlfn.LAMBDA("")</definedName>
    <definedName name="Scope3_Equations.VEERG_15_11_1_1__1_TotalUpstreamEmissionsFromFuel_Source">_xlfn.LAMBDA("VEERG 2026: 15.11.1.1, Equation (1)")</definedName>
    <definedName name="Scope3_Equations.VEERG_15_11_1_1__1_TotalUpstreamEmissionsFromFuel_Title">_xlfn.LAMBDA("Total upstream emissions from scope 1 fuel consumption")</definedName>
    <definedName name="Scope3_Equations.VEERG_15_11_1_1__1_TotalUpstreamEmissionsFromFuel_Unit">_xlfn.LAMBDA("t CO2e")</definedName>
    <definedName name="Scope3_Equations.VEERG_15_11_1_1__1_TotalUpstreamEmissionsFromFuel_Variable">_xlfn.LAMBDA("E")</definedName>
    <definedName name="Scope3_Equations.VEERG_15_11_1_1__2_UpstreamTransportFuelEmissions">_xlfn.LAMBDA(_xlpm.Q_Transq,_xlpm.EC_Transq,_xlpm.EF_Trans3q, (_xlpm.Q_Transq * _xlpm.EC_Transq * _xlpm.EF_Trans3q) * 10 ^ -3)</definedName>
    <definedName name="Scope3_Equations.VEERG_15_11_1_1__2_UpstreamTransportFuelEmissions_Arguments">_xlfn.LAMBDA(_xlfn.MAKEARRAY(3, 4, _xlfn.LAMBDA(_xlpm.r,_xlpm.c, INDEX({"Q_Transq","amount of fuel q combusted for transport energy purposes","kL","Input";"EC_Transq","energy content factor for transport energy purposes","GJ/kL or GJ/m3","Constant";"EF_Trans3q","scope 3 emission factor for transport energy purposes","kg CO2e/GJ","Constant"}, _xlpm.r, _xlpm.c))))</definedName>
    <definedName name="Scope3_Equations.VEERG_15_11_1_1__2_UpstreamTransportFuelEmissions_LatexEquation">_xlfn.LAMBDA("E_{WTT,trans,q}=Q_{Trans,q}\times EC_{Trans,q}\times EF_{Trans,3,q}\times 10^{-3}")</definedName>
    <definedName name="Scope3_Equations.VEERG_15_11_1_1__2_UpstreamTransportFuelEmissions_NIRReference">_xlfn.LAMBDA("")</definedName>
    <definedName name="Scope3_Equations.VEERG_15_11_1_1__2_UpstreamTransportFuelEmissions_Source">_xlfn.LAMBDA("VEERG 2026: 15.11.1.1, Equation (2)")</definedName>
    <definedName name="Scope3_Equations.VEERG_15_11_1_1__2_UpstreamTransportFuelEmissions_Title">_xlfn.LAMBDA("Upstream emissions from scope 1 fuel use for transport purposes")</definedName>
    <definedName name="Scope3_Equations.VEERG_15_11_1_1__2_UpstreamTransportFuelEmissions_Unit">_xlfn.LAMBDA("t CO2e")</definedName>
    <definedName name="Scope3_Equations.VEERG_15_11_1_1__2_UpstreamTransportFuelEmissions_Variable">_xlfn.LAMBDA("E_WTTtransq")</definedName>
    <definedName name="Scope3_Equations.VEERG_15_11_1_1__3_UpstreamStationaryFuelEmissions">_xlfn.LAMBDA(_xlpm.Q_SCq,_xlpm.EC_SCq,_xlpm.EF_SC3q, (_xlpm.Q_SCq * _xlpm.EC_SCq * _xlpm.EF_SC3q) * 10 ^ -3)</definedName>
    <definedName name="Scope3_Equations.VEERG_15_11_1_1__3_UpstreamStationaryFuelEmissions_Arguments">_xlfn.LAMBDA(_xlfn.MAKEARRAY(5, 4, _xlfn.LAMBDA(_xlpm.r,_xlpm.c, INDEX({"Q_SCq","amount of fuel q used for stationary combustion operations","kL","Input";"EC_SCq","energy content factor for stationary combustion operations","GJ/kL","Constant";"EF_SC3q","scope 3 emission factor for stationary combustion operations","kg CO2e/GJ","Constant";"i","state","","Input";"m","metropolitan/non-metropolitan location","","Input"}, _xlpm.r, _xlpm.c))))</definedName>
    <definedName name="Scope3_Equations.VEERG_15_11_1_1__3_UpstreamStationaryFuelEmissions_LatexEquation">_xlfn.LAMBDA("E_{WTT,SC,q}=Q_{SC,q}\times EC_{SC,q}\times EF_{SC,3,q}\times 10^{-3}")</definedName>
    <definedName name="Scope3_Equations.VEERG_15_11_1_1__3_UpstreamStationaryFuelEmissions_NIRReference">_xlfn.LAMBDA("")</definedName>
    <definedName name="Scope3_Equations.VEERG_15_11_1_1__3_UpstreamStationaryFuelEmissions_Source">_xlfn.LAMBDA("VEERG 2026: 15.11.1.1, Equation (3)")</definedName>
    <definedName name="Scope3_Equations.VEERG_15_11_1_1__3_UpstreamStationaryFuelEmissions_Title">_xlfn.LAMBDA("Upstream emissions from scope 1 stationary combustion fuel use")</definedName>
    <definedName name="Scope3_Equations.VEERG_15_11_1_1__3_UpstreamStationaryFuelEmissions_Unit">_xlfn.LAMBDA("t CO2e")</definedName>
    <definedName name="Scope3_Equations.VEERG_15_11_1_1__3_UpstreamStationaryFuelEmissions_Variable">_xlfn.LAMBDA("E_WTTSCq")</definedName>
    <definedName name="Scope3_Equations.VEERG_15_11_1_1__3_UpstreamStationaryFuelEmissions_Variation">_xlfn.LAMBDA("VARIATION ON SOURCE: Added 'state' and 'metro/non-metro' arguments as gaseous scope 3 EFs are state and metro/non-metro location-based.")</definedName>
    <definedName name="Scope3_Equations.VEERG_15_12_1_1__1_UpstreamPurchasedElectricityLocationBased">_xlfn.LAMBDA(_xlpm.Q_elec,_xlpm.EF_3elec, (_xlpm.Q_elec * _xlpm.EF_3elec) * 10 ^ -3)</definedName>
    <definedName name="Scope3_Equations.VEERG_15_12_1_1__1_UpstreamPurchasedElectricityLocationBased_Arguments">_xlfn.LAMBDA(
    _xlfn.MAKEARRAY(3, 4,
      _xlfn.LAMBDA(_xlpm.r,_xlpm.c,
        INDEX({"Q_elec","amount of electricity purchased from the grid","kWh","Input";"EF_3elec","scope 3 emission factor for purchased electricity","kg CO2e/kWh","Constant";"g","grid electricity was purchased from","","Input"}, _xlpm.r, _xlpm.c)
      )
    )
  )</definedName>
    <definedName name="Scope3_Equations.VEERG_15_12_1_1__1_UpstreamPurchasedElectricityLocationBased_LatexEquation">_xlfn.LAMBDA("E_{3,elec}=Q_{elec}\times EF_{3,elec}\times 10^{-3}")</definedName>
    <definedName name="Scope3_Equations.VEERG_15_12_1_1__1_UpstreamPurchasedElectricityLocationBased_NIRReference">_xlfn.LAMBDA("")</definedName>
    <definedName name="Scope3_Equations.VEERG_15_12_1_1__1_UpstreamPurchasedElectricityLocationBased_Source">_xlfn.LAMBDA("VEERG 2026: 15.12.1.1, Equation (1)")</definedName>
    <definedName name="Scope3_Equations.VEERG_15_12_1_1__1_UpstreamPurchasedElectricityLocationBased_Title">_xlfn.LAMBDA("Scope 3 emissions from purchased electricity location based")</definedName>
    <definedName name="Scope3_Equations.VEERG_15_12_1_1__1_UpstreamPurchasedElectricityLocationBased_Unit">_xlfn.LAMBDA("t CO2e")</definedName>
    <definedName name="Scope3_Equations.VEERG_15_12_1_1__1_UpstreamPurchasedElectricityLocationBased_Variable">_xlfn.LAMBDA("E_3elec")</definedName>
    <definedName name="Scope3_Equations.VEERG_15_12_1_2__1_UpstreamPurchasedElectricityMarketBased">_xlfn.LAMBDA(_xlpm.Q_elec,_xlpm.RPP,_xlpm.JRPP,_xlpm.REC_surrendered,_xlpm.REC_onsite,_xlpm.EF_RMF3elec, ((_xlpm.Q_elec * (1 - (_xlpm.RPP + _xlpm.JRPP))) - ((_xlpm.REC_surrendered - _xlpm.REC_onsite) * 10 ^ -3)) * _xlpm.EF_RMF3elec * 10 ^ -3)</definedName>
    <definedName name="Scope3_Equations.VEERG_15_12_1_2__1_UpstreamPurchasedElectricityMarketBased_Arguments">_xlfn.LAMBDA(
    _xlfn.MAKEARRAY(7, 4,
      _xlfn.LAMBDA(_xlpm.r,_xlpm.c,
        INDEX({"Q_elec","amount of electricity purchased from the grid","kWh","Input";"RPP","renewable power percentage under LRET for the applicable period","fraction","Input";"JRPP","jurisdictional renewable power percentage for the applicable period","fraction","Input";"REC_surrendered","eligible renewable energy certificates voluntarily surrendered","MWh","Input";"REC_onsite","eligible renewable energy certificates issued for onsite generated electricity","MWh","Input";"EF_RMF3elec","scope 3 residual mix emission factor for electricity","kg CO2e/kWh","Constant";"i","state","","Input"}, _xlpm.r, _xlpm.c)
      )
    )
  )</definedName>
    <definedName name="Scope3_Equations.VEERG_15_12_1_2__1_UpstreamPurchasedElectricityMarketBased_LatexEquation">_xlfn.LAMBDA("E_{3,elec}= [ Q_{elec}\times\left(1-(RPP+JRPP)\right)-\left\left((REC_{surrendered}-REC_{onsite}\right)\times 10^{-3}\right)\right]\times EF_{RMF3,elec}\times 10^{-3}")</definedName>
    <definedName name="Scope3_Equations.VEERG_15_12_1_2__1_UpstreamPurchasedElectricityMarketBased_LatexEquationVariation">_xlfn.LAMBDA("E_{3,elec}= [ Q_{elec}\times\left(1-(RPP+JRPP)\right)-\left\left((REC_{surrendered}-REC_{onsite}\right)\times 10^{3}\right)\right]\times EF_{RMF3,elec}\times 10^{-3}")</definedName>
    <definedName name="Scope3_Equations.VEERG_15_12_1_2__1_UpstreamPurchasedElectricityMarketBased_NIRReference">_xlfn.LAMBDA("")</definedName>
    <definedName name="Scope3_Equations.VEERG_15_12_1_2__1_UpstreamPurchasedElectricityMarketBased_Source">_xlfn.LAMBDA("VEERG 2026: 15.12.1.2, Equation (1)")</definedName>
    <definedName name="Scope3_Equations.VEERG_15_12_1_2__1_UpstreamPurchasedElectricityMarketBased_Title">_xlfn.LAMBDA("Scope 3 emissions from purchased electricity market based")</definedName>
    <definedName name="Scope3_Equations.VEERG_15_12_1_2__1_UpstreamPurchasedElectricityMarketBased_Unit">_xlfn.LAMBDA("t CO2e")</definedName>
    <definedName name="Scope3_Equations.VEERG_15_12_1_2__1_UpstreamPurchasedElectricityMarketBased_Variable">_xlfn.LAMBDA("E_3elec")</definedName>
    <definedName name="Scope3_Equations.VEERG_15_12_1_2__1_UpstreamPurchasedElectricityMarketBased_Variation">_xlfn.LAMBDA("VARIATION ON SOURCE: In order to convert megawatt hours to kilowatt hours, the REC_surrendered and REC_onsite variables are multiplied by 10^3 instead of 10^-3.")</definedName>
    <definedName name="Scope3_Equations.VEERG_15_12_1_2__1_UpstreamPurchasedElectricityMarketBasedVariation">_xlfn.LAMBDA(_xlpm.Q_elec,_xlpm.RPP,_xlpm.JRPP,_xlpm.REC_surrendered,_xlpm.REC_onsite,_xlpm.EF_RMF3elec,
    ((_xlpm.Q_elec * (1 - (_xlpm.RPP + _xlpm.JRPP))) - ((_xlpm.REC_surrendered - _xlpm.REC_onsite) * 10 ^ 3)) * _xlpm.EF_RMF3elec * 10 ^ -3
  )</definedName>
    <definedName name="Scope3_Equations.VEERG_15_13_1_1__1_EmissionsFromManureSentOffSite">_xlfn.LAMBDA(_xlpm.E_N2O,_xlpm.E_ad,_xlpm.E_leach, _xlpm.E_N2O + _xlpm.E_ad + _xlpm.E_leach)</definedName>
    <definedName name="Scope3_Equations.VEERG_15_13_1_1__1_EmissionsFromManureSentOffSite_Arguments">_xlfn.LAMBDA(_xlfn.MAKEARRAY(3, 4, _xlfn.LAMBDA(_xlpm.r,_xlpm.c, INDEX({"E_N2O","direct nitrous oxide emissions from application of manure to soils outside of scope 1 boundary","t N2O","Calculated";"E_ad","nitrous oxide emissions from atmospheric deposition of manure to soils","t N2O","Calculated";"E_leach","nitrous oxide emissions from nitrogen leaching and runoff of manure to soils","t N2O","Calculated"}, _xlpm.r, _xlpm.c))))</definedName>
    <definedName name="Scope3_Equations.VEERG_15_13_1_1__1_EmissionsFromManureSentOffSite_LatexEquation">_xlfn.LAMBDA("E=E_{N2O}+E_{ad}+E_{leach}")</definedName>
    <definedName name="Scope3_Equations.VEERG_15_13_1_1__1_EmissionsFromManureSentOffSite_NIRReference">_xlfn.LAMBDA("")</definedName>
    <definedName name="Scope3_Equations.VEERG_15_13_1_1__1_EmissionsFromManureSentOffSite_Source">_xlfn.LAMBDA("VEERG 2026: 15.13.1.1, Equation (1)")</definedName>
    <definedName name="Scope3_Equations.VEERG_15_13_1_1__1_EmissionsFromManureSentOffSite_Title">_xlfn.LAMBDA("Emissions from manure sent off site applied to soils in another farming system or enterprise")</definedName>
    <definedName name="Scope3_Equations.VEERG_15_13_1_1__1_EmissionsFromManureSentOffSite_Unit">_xlfn.LAMBDA("t N2O")</definedName>
    <definedName name="Scope3_Equations.VEERG_15_13_1_1__1_EmissionsFromManureSentOffSite_Variable">_xlfn.LAMBDA("E")</definedName>
    <definedName name="Scope3_Equations.VEERG_15_13_1_3__1_EmissionsFromSolidWasteTreatmentFacility">_xlfn.LAMBDA(_xlpm.E_N2O,_xlpm.E_ad,_xlpm.E_leach,
    _xlpm.E_N2O + _xlpm.E_ad + _xlpm.E_leach
  )</definedName>
    <definedName name="Scope3_Equations.VEERG_15_13_1_3__1_EmissionsFromSolidWasteTreatmentFacility_Arguments">_xlfn.LAMBDA("")</definedName>
    <definedName name="Scope3_Equations.VEERG_15_13_1_3__1_EmissionsFromSolidWasteTreatmentFacility_LatexEquation">_xlfn.LAMBDA("")</definedName>
    <definedName name="Scope3_Equations.VEERG_15_13_1_3__1_EmissionsFromSolidWasteTreatmentFacility_NIRReference">_xlfn.LAMBDA("")</definedName>
    <definedName name="Scope3_Equations.VEERG_15_13_1_3__1_EmissionsFromSolidWasteTreatmentFacility_Source">_xlfn.LAMBDA("VEERG 2026: 15.13.1.3")</definedName>
    <definedName name="Scope3_Equations.VEERG_15_13_1_3__1_EmissionsFromSolidWasteTreatmentFacility_Title">_xlfn.LAMBDA("Emissions from solid waste sent to a treatment facility")</definedName>
    <definedName name="Scope3_Equations.VEERG_15_13_1_3__1_EmissionsFromSolidWasteTreatmentFacility_Unit">_xlfn.LAMBDA("t CO2e")</definedName>
    <definedName name="Scope3_Equations.VEERG_15_13_1_3__1_EmissionsFromSolidWasteTreatmentFacility_Variable">_xlfn.LAMBDA("E")</definedName>
    <definedName name="Scope3_Equations.VEERG_15_14_1_1__1_EmbeddedEmissionsFromUpstreamFreight">_xlfn.LAMBDA(_xlpm.W_f,_xlpm.D_f,_xlpm.EF_f, (_xlpm.W_f * _xlpm.D_f) * _xlpm.EF_f)</definedName>
    <definedName name="Scope3_Equations.VEERG_15_14_1_1__1_EmbeddedEmissionsFromUpstreamFreight_Arguments">_xlfn.LAMBDA(_xlfn.MAKEARRAY(4, 4, _xlfn.LAMBDA(_xlpm.r,_xlpm.c, INDEX({"W_f","total mass of goods transported per freight type f","t","Input";"D_f","total distance transported per freight type f","km","Input";"EF_f","emission factor for freight type f","t CO2e/(t km)","Constant";"f","freight type","","Input"}, _xlpm.r, _xlpm.c))))</definedName>
    <definedName name="Scope3_Equations.VEERG_15_14_1_1__1_EmbeddedEmissionsFromUpstreamFreight_LatexEquation">_xlfn.LAMBDA("E=\sum\nolimits_f\left((W_f\times D_f)\times EF_f\right)")</definedName>
    <definedName name="Scope3_Equations.VEERG_15_14_1_1__1_EmbeddedEmissionsFromUpstreamFreight_NIRReference">_xlfn.LAMBDA("")</definedName>
    <definedName name="Scope3_Equations.VEERG_15_14_1_1__1_EmbeddedEmissionsFromUpstreamFreight_Source">_xlfn.LAMBDA("VEERG 2026: 15.14.1.1, Equation (1)")</definedName>
    <definedName name="Scope3_Equations.VEERG_15_14_1_1__1_EmbeddedEmissionsFromUpstreamFreight_Title">_xlfn.LAMBDA("Embedded emissions from upstream freight")</definedName>
    <definedName name="Scope3_Equations.VEERG_15_14_1_1__1_EmbeddedEmissionsFromUpstreamFreight_Unit">_xlfn.LAMBDA("t CO2e")</definedName>
    <definedName name="Scope3_Equations.VEERG_15_14_1_1__1_EmbeddedEmissionsFromUpstreamFreight_Variable">_xlfn.LAMBDA("E")</definedName>
    <definedName name="Scope3_Equations.VEERG_15_2_1_1__1_EmissionsFromPurchasedFeed">_xlfn.LAMBDA(_xlpm.Q_j,_xlpm.EF_j, _xlpm.Q_j * _xlpm.EF_j)</definedName>
    <definedName name="Scope3_Equations.VEERG_15_2_1_1__1_EmissionsFromPurchasedFeed_Arguments">_xlfn.LAMBDA(_xlfn.MAKEARRAY(3, 4, _xlfn.LAMBDA(_xlpm.r,_xlpm.c, INDEX({"Q_j","quantity of feed type j purchased","t","Input";"EF_j","emission factor of purchased feed","kg CO2e/kg","Constant";"j","feed type","","Input"}, _xlpm.r, _xlpm.c))))</definedName>
    <definedName name="Scope3_Equations.VEERG_15_2_1_1__1_EmissionsFromPurchasedFeed_ArgumentsVariation">_xlfn.LAMBDA(_xlfn.MAKEARRAY(3, 4, _xlfn.LAMBDA(_xlpm.r,_xlpm.c, INDEX({"Q_j","quantity of feed type j purchased","kg","Input";"EF_j","emission factor of purchased feed","kg CO2e/kg","Constant";"j","feed type","","Input"}, _xlpm.r, _xlpm.c))))</definedName>
    <definedName name="Scope3_Equations.VEERG_15_2_1_1__1_EmissionsFromPurchasedFeed_LatexEquation">_xlfn.LAMBDA("E=\sum\nolimits_j\left(Q_j\times EF_j\right)")</definedName>
    <definedName name="Scope3_Equations.VEERG_15_2_1_1__1_EmissionsFromPurchasedFeed_LatexEquationVariation">_xlfn.LAMBDA("E=\sum\nolimits_j\left(Q_j\times EF_j\right) \times 10^{-3}")</definedName>
    <definedName name="Scope3_Equations.VEERG_15_2_1_1__1_EmissionsFromPurchasedFeed_NIRReference">_xlfn.LAMBDA("")</definedName>
    <definedName name="Scope3_Equations.VEERG_15_2_1_1__1_EmissionsFromPurchasedFeed_Source">_xlfn.LAMBDA("VEERG 2026: 15.2.1.1, Equation (1)")</definedName>
    <definedName name="Scope3_Equations.VEERG_15_2_1_1__1_EmissionsFromPurchasedFeed_Title">_xlfn.LAMBDA("Emissions from purchased feed")</definedName>
    <definedName name="Scope3_Equations.VEERG_15_2_1_1__1_EmissionsFromPurchasedFeed_Unit">_xlfn.LAMBDA("t CO2e")</definedName>
    <definedName name="Scope3_Equations.VEERG_15_2_1_1__1_EmissionsFromPurchasedFeed_Variable">_xlfn.LAMBDA("E")</definedName>
    <definedName name="Scope3_Equations.VEERG_15_2_1_1__1_EmissionsFromPurchasedFeed_Variation">_xlfn.LAMBDA("VARIATION ON SOURCE: Input Q_j in kg instead of t to match EF units. Multiply by 10^-3 to convert kg CO2e to t CO2e.")</definedName>
    <definedName name="Scope3_Equations.VEERG_15_2_1_1__1_EmissionsFromPurchasedFeedVariation">_xlfn.LAMBDA(_xlpm.Q_j,_xlpm.EF_j, (_xlpm.Q_j * _xlpm.EF_j) * 10 ^ -3)</definedName>
    <definedName name="Scope3_Equations.VEERG_15_3_1_1__1_EmissionsFromPurchasedMineralSupplements">_xlfn.LAMBDA(_xlpm.Q_m,_xlpm.EF_m, _xlpm.Q_m * _xlpm.EF_m)</definedName>
    <definedName name="Scope3_Equations.VEERG_15_3_1_1__1_EmissionsFromPurchasedMineralSupplements_Arguments">_xlfn.LAMBDA(_xlfn.MAKEARRAY(3, 4, _xlfn.LAMBDA(_xlpm.r,_xlpm.c, INDEX({"Q_m","total quantity of mineral supplement type m used","t","Input";"EF_m","emission factor of purchased mineral supplement","kg CO2e/kg","Constant";"m","mineral supplement type","","Input"}, _xlpm.r, _xlpm.c))))</definedName>
    <definedName name="Scope3_Equations.VEERG_15_3_1_1__1_EmissionsFromPurchasedMineralSupplements_ArgumentsVariation">_xlfn.LAMBDA(_xlfn.MAKEARRAY(3, 4, _xlfn.LAMBDA(_xlpm.r,_xlpm.c, INDEX({"Q_m","total quantity of mineral supplement type m used","kg","Input";"EF_m","emission factor of purchased mineral supplement","kg CO2e/kg","Constant";"m","mineral supplement type","","Input"}, _xlpm.r, _xlpm.c))))</definedName>
    <definedName name="Scope3_Equations.VEERG_15_3_1_1__1_EmissionsFromPurchasedMineralSupplements_LatexEquation">_xlfn.LAMBDA("E=\sum\nolimits_m\left(Q_m\times EF_m\right)")</definedName>
    <definedName name="Scope3_Equations.VEERG_15_3_1_1__1_EmissionsFromPurchasedMineralSupplements_LatexEquationVariation">_xlfn.LAMBDA("E=\sum\nolimits_m\left(Q_m\times EF_m\right) \times 10^{-3}")</definedName>
    <definedName name="Scope3_Equations.VEERG_15_3_1_1__1_EmissionsFromPurchasedMineralSupplements_NIRReference">_xlfn.LAMBDA("")</definedName>
    <definedName name="Scope3_Equations.VEERG_15_3_1_1__1_EmissionsFromPurchasedMineralSupplements_Source">_xlfn.LAMBDA("VEERG 2026: 15.3.1.1, Equation (1)")</definedName>
    <definedName name="Scope3_Equations.VEERG_15_3_1_1__1_EmissionsFromPurchasedMineralSupplements_Title">_xlfn.LAMBDA("Total emissions from purchased mineral supplements")</definedName>
    <definedName name="Scope3_Equations.VEERG_15_3_1_1__1_EmissionsFromPurchasedMineralSupplements_Unit">_xlfn.LAMBDA("t CO2e")</definedName>
    <definedName name="Scope3_Equations.VEERG_15_3_1_1__1_EmissionsFromPurchasedMineralSupplements_Variable">_xlfn.LAMBDA("E")</definedName>
    <definedName name="Scope3_Equations.VEERG_15_3_1_1__1_EmissionsFromPurchasedMineralSupplements_Variation">_xlfn.LAMBDA("VARIATION ON SOURCE: Input Q_j in kg instead of t to match EF units. Multiply by 10^-3 to convert kg CO2e to t CO2e.")</definedName>
    <definedName name="Scope3_Equations.VEERG_15_3_1_1__1_EmissionsFromPurchasedMineralSupplementsVariation">_xlfn.LAMBDA(_xlpm.Q_m,_xlpm.EF_m, (_xlpm.Q_m * _xlpm.EF_m) * 10 ^ -3)</definedName>
    <definedName name="Scope3_Equations.VEERG_15_4_1_1__1_EmissionsFromPurchasedFertiliser">_xlfn.LAMBDA(_xlpm.TM_jf,_xlpm.EF_f, (_xlpm.TM_jf * _xlpm.EF_f) * 10 ^ -3)</definedName>
    <definedName name="Scope3_Equations.VEERG_15_4_1_1__1_EmissionsFromPurchasedFertiliser_Arguments">_xlfn.LAMBDA(_xlfn.MAKEARRAY(4, 4, _xlfn.LAMBDA(_xlpm.r,_xlpm.c, INDEX({"TM_jf","quantity of inorganic fertiliser type f purchased and applied to production system j","kg","Input";"EF_f","emission factor of purchased inorganic fertiliser","kg CO2e/kg","Constant";"j","production system","","Input";"f","inorganic fertiliser type","","Input"}, _xlpm.r, _xlpm.c))))</definedName>
    <definedName name="Scope3_Equations.VEERG_15_4_1_1__1_EmissionsFromPurchasedFertiliser_LatexEquation">_xlfn.LAMBDA("E=\sum\nolimits_f\sum\nolimits_j\left(TM_{jf}\times EF_f\right)\times 10^{-3}")</definedName>
    <definedName name="Scope3_Equations.VEERG_15_4_1_1__1_EmissionsFromPurchasedFertiliser_NIRReference">_xlfn.LAMBDA("")</definedName>
    <definedName name="Scope3_Equations.VEERG_15_4_1_1__1_EmissionsFromPurchasedFertiliser_Source">_xlfn.LAMBDA("VEERG 2026: 15.4.1.1, Equation (1)")</definedName>
    <definedName name="Scope3_Equations.VEERG_15_4_1_1__1_EmissionsFromPurchasedFertiliser_Title">_xlfn.LAMBDA("Emissions from purchased fertiliser")</definedName>
    <definedName name="Scope3_Equations.VEERG_15_4_1_1__1_EmissionsFromPurchasedFertiliser_Unit">_xlfn.LAMBDA("t CO2e")</definedName>
    <definedName name="Scope3_Equations.VEERG_15_4_1_1__1_EmissionsFromPurchasedFertiliser_Variable">_xlfn.LAMBDA("E")</definedName>
    <definedName name="Scope3_Equations.VEERG_15_4_1_1__2_EmissionsFromPurchasedFertiliserComponents">_xlfn.LAMBDA(_xlpm.F_cf,_xlpm.TM_jf,_xlpm.EF_c, ((_xlpm.F_cf * _xlpm.TM_jf) / 100) * _xlpm.EF_c)</definedName>
    <definedName name="Scope3_Equations.VEERG_15_4_1_1__2_EmissionsFromPurchasedFertiliserComponents_Arguments">_xlfn.LAMBDA(_xlfn.MAKEARRAY(6, 4, _xlfn.LAMBDA(_xlpm.r,_xlpm.c, INDEX({"F_cf","fraction of component c contained within the inorganic fertiliser f","wt%","Input";"TM_jf","quantity of inorganic fertiliser type f purchased and applied to production system j","kg","Input";"EF_c","emission factor for the production of component c","kg CO2e/kg component","Constant";"c","fertiliser component","","Input";"f","inorganic fertiliser type","","Input";"j","production system","","Input"}, _xlpm.r, _xlpm.c))))</definedName>
    <definedName name="Scope3_Equations.VEERG_15_4_1_1__2_EmissionsFromPurchasedFertiliserComponents_LatexEquation">_xlfn.LAMBDA("E=\sum\nolimits_f\sum\nolimits_c\sum\nolimits_j\left(\frac{F_{cf}\times TM_{jf}}{100}\times EF_c\right)")</definedName>
    <definedName name="Scope3_Equations.VEERG_15_4_1_1__2_EmissionsFromPurchasedFertiliserComponents_LatexEquationVariation">_xlfn.LAMBDA("E=\sum\nolimits_f\sum\nolimits_c\sum\nolimits_j\left(F_{cf}\times TM_{jf}\times EF_c\right)\times 10^{-3}")</definedName>
    <definedName name="Scope3_Equations.VEERG_15_4_1_1__2_EmissionsFromPurchasedFertiliserComponents_NIRReference">_xlfn.LAMBDA("")</definedName>
    <definedName name="Scope3_Equations.VEERG_15_4_1_1__2_EmissionsFromPurchasedFertiliserComponents_Source">_xlfn.LAMBDA("VEERG 2026: 15.4.1.1, Equation (2)")</definedName>
    <definedName name="Scope3_Equations.VEERG_15_4_1_1__2_EmissionsFromPurchasedFertiliserComponents_Title">_xlfn.LAMBDA("Emissions from purchased fertiliser components")</definedName>
    <definedName name="Scope3_Equations.VEERG_15_4_1_1__2_EmissionsFromPurchasedFertiliserComponents_Unit">_xlfn.LAMBDA("t CO2e")</definedName>
    <definedName name="Scope3_Equations.VEERG_15_4_1_1__2_EmissionsFromPurchasedFertiliserComponents_Variable">_xlfn.LAMBDA("E")</definedName>
    <definedName name="Scope3_Equations.VEERG_15_4_1_1__2_EmissionsFromPurchasedFertiliserComponents_Variation">_xlfn.LAMBDA("VARIATION ON SOURCE: removes division by 100 for F_cf, treating F_cf as fraction instead of percent because it is a fraction in scope 1 equations. Convert kg to tonnes by mutiplying by 10^-3.")</definedName>
    <definedName name="Scope3_Equations.VEERG_15_4_1_1__2_EmissionsFromPurchasedFertiliserComponentsVariation">_xlfn.LAMBDA(_xlpm.F_cf,_xlpm.TM_jf,_xlpm.EF_c, (_xlpm.F_cf * _xlpm.TM_jf) * _xlpm.EF_c * 10 ^ -3)</definedName>
    <definedName name="Scope3_Equations.VEERG_15_4_1_1__X_EmissionFactorFromPurchasedFertiliserComponents">_xlfn.LAMBDA(_xlpm.F_cf,_xlpm.EF_c, _xlpm.F_cf * _xlpm.EF_c)</definedName>
    <definedName name="Scope3_Equations.VEERG_15_4_1_1__X_EmissionFactorFromPurchasedFertiliserComponents_Arguments">_xlfn.LAMBDA(_xlfn.MAKEARRAY(4, 4, _xlfn.LAMBDA(_xlpm.r,_xlpm.c, INDEX({"F_cf","fraction of component c contained within the inorganic fertiliser f","wt%","Input";"EF_c","emission factor for the production of component c","kg CO2e/kg component","Constant";"c","fertiliser component","","Input";"f","inorganic fertiliser type","","Input"}, _xlpm.r, _xlpm.c))))</definedName>
    <definedName name="Scope3_Equations.VEERG_15_4_1_1__X_EmissionFactorFromPurchasedFertiliserComponents_LatexEquation">_xlfn.LAMBDA("EF_f=\sum\nolimits_c\left(F_{cf}\times EF_c\right)")</definedName>
    <definedName name="Scope3_Equations.VEERG_15_4_1_1__X_EmissionFactorFromPurchasedFertiliserComponents_NIRReference">_xlfn.LAMBDA("")</definedName>
    <definedName name="Scope3_Equations.VEERG_15_4_1_1__X_EmissionFactorFromPurchasedFertiliserComponents_Source">_xlfn.LAMBDA("GAF")</definedName>
    <definedName name="Scope3_Equations.VEERG_15_4_1_1__X_EmissionFactorFromPurchasedFertiliserComponents_Title">_xlfn.LAMBDA("Emission factor for fertiliser product derived from components")</definedName>
    <definedName name="Scope3_Equations.VEERG_15_4_1_1__X_EmissionFactorFromPurchasedFertiliserComponents_Unit">_xlfn.LAMBDA("kg CO2e/kg fertiliser")</definedName>
    <definedName name="Scope3_Equations.VEERG_15_4_1_1__X_EmissionFactorFromPurchasedFertiliserComponents_Variable">_xlfn.LAMBDA("EF_f")</definedName>
    <definedName name="Scope3_Equations.VEERG_15_4_1_1__X_EmissionFactorFromPurchasedFertiliserComponents_Variation">_xlfn.LAMBDA("VARIATION ON SOURCE: This equation is added to calculate an EF value from fertiliser components that can be used in 15.4.1.1 (1)")</definedName>
    <definedName name="Scope3_Equations.VEERG_15_5_1_1__1_EmissionsFromPurchasedAgrichemicals">_xlfn.LAMBDA(_xlpm.Q_h,_xlpm.EF_h, (_xlpm.Q_h * _xlpm.EF_h) * 10 ^ -3)</definedName>
    <definedName name="Scope3_Equations.VEERG_15_5_1_1__1_EmissionsFromPurchasedAgrichemicals_Arguments">_xlfn.LAMBDA(_xlfn.MAKEARRAY(3, 4, _xlfn.LAMBDA(_xlpm.r,_xlpm.c, INDEX({"Q_h","quantity of active ingredients in agrichemical type h purchased and applied to soils","kg ai","Input";"EF_h","emission factor for purchased agrichemical active ingredient","kg CO2e/kg ai","Constant";"h","agrichemical type","","Input"}, _xlpm.r, _xlpm.c))))</definedName>
    <definedName name="Scope3_Equations.VEERG_15_5_1_1__1_EmissionsFromPurchasedAgrichemicals_LatexEquation">_xlfn.LAMBDA("E=\sum\nolimits_h\left(Q_h\times EF_h\right)\times 10^{-3}")</definedName>
    <definedName name="Scope3_Equations.VEERG_15_5_1_1__1_EmissionsFromPurchasedAgrichemicals_NIRReference">_xlfn.LAMBDA("")</definedName>
    <definedName name="Scope3_Equations.VEERG_15_5_1_1__1_EmissionsFromPurchasedAgrichemicals_Source">_xlfn.LAMBDA("VEERG 2026: 15.5.1.1, Equation (1)")</definedName>
    <definedName name="Scope3_Equations.VEERG_15_5_1_1__1_EmissionsFromPurchasedAgrichemicals_Title">_xlfn.LAMBDA("Total emissions from purchased agrichemicals")</definedName>
    <definedName name="Scope3_Equations.VEERG_15_5_1_1__1_EmissionsFromPurchasedAgrichemicals_Unit">_xlfn.LAMBDA("t CO2e")</definedName>
    <definedName name="Scope3_Equations.VEERG_15_5_1_1__1_EmissionsFromPurchasedAgrichemicals_Variable">_xlfn.LAMBDA("E")</definedName>
    <definedName name="Scope3_Equations.VEERG_15_6_1_1__1_EmissionsFromPurchasedLime">_xlfn.LAMBDA(_xlpm.M_lime,_xlpm.EF_l, _xlpm.M_lime * _xlpm.EF_l)</definedName>
    <definedName name="Scope3_Equations.VEERG_15_6_1_1__1_EmissionsFromPurchasedLime_Arguments">_xlfn.LAMBDA(_xlfn.MAKEARRAY(2, 4, _xlfn.LAMBDA(_xlpm.r,_xlpm.c, INDEX({"M_lime","total quantity of lime applied to soils","t","Input";"EF_l","emission factor for purchased lime","t CO2e/t","Constant"}, _xlpm.r, _xlpm.c))))</definedName>
    <definedName name="Scope3_Equations.VEERG_15_6_1_1__1_EmissionsFromPurchasedLime_LatexEquation">_xlfn.LAMBDA("E=M_{lime}\times EF_l")</definedName>
    <definedName name="Scope3_Equations.VEERG_15_6_1_1__1_EmissionsFromPurchasedLime_NIRReference">_xlfn.LAMBDA("")</definedName>
    <definedName name="Scope3_Equations.VEERG_15_6_1_1__1_EmissionsFromPurchasedLime_Source">_xlfn.LAMBDA("VEERG 2026: 15.6.1.1, Equation (1)")</definedName>
    <definedName name="Scope3_Equations.VEERG_15_6_1_1__1_EmissionsFromPurchasedLime_Title">_xlfn.LAMBDA("Embedded emissions for purchased lime")</definedName>
    <definedName name="Scope3_Equations.VEERG_15_6_1_1__1_EmissionsFromPurchasedLime_Unit">_xlfn.LAMBDA("t CO2e")</definedName>
    <definedName name="Scope3_Equations.VEERG_15_6_1_1__1_EmissionsFromPurchasedLime_Variable">_xlfn.LAMBDA("E")</definedName>
    <definedName name="Scope3_Equations.VEERG_15_7_1_1__1_EmissionsFromPurchasedServices">_xlfn.LAMBDA(_xlpm.A_p,_xlpm.EF_p, (_xlpm.A_p * _xlpm.EF_p) * 10 ^ -3)</definedName>
    <definedName name="Scope3_Equations.VEERG_15_7_1_1__1_EmissionsFromPurchasedServices_Arguments">_xlfn.LAMBDA(_xlfn.MAKEARRAY(3, 4, _xlfn.LAMBDA(_xlpm.r,_xlpm.c, INDEX({"A_p","activity data of the service that was purchased","ha or h","Input";"EF_p","life cycle emission factor for the purchased service","kg CO2e/ha or kg CO2e/h","Constant";"p","service type","","Input"}, _xlpm.r, _xlpm.c))))</definedName>
    <definedName name="Scope3_Equations.VEERG_15_7_1_1__1_EmissionsFromPurchasedServices_LatexEquation">_xlfn.LAMBDA("E=\sum\nolimits_p\left(A_p\times EF_p\right)\times 10^{-3}")</definedName>
    <definedName name="Scope3_Equations.VEERG_15_7_1_1__1_EmissionsFromPurchasedServices_NIRReference">_xlfn.LAMBDA("")</definedName>
    <definedName name="Scope3_Equations.VEERG_15_7_1_1__1_EmissionsFromPurchasedServices_Source">_xlfn.LAMBDA("VEERG 2026: 15.7.1.1, Equation (1)")</definedName>
    <definedName name="Scope3_Equations.VEERG_15_7_1_1__1_EmissionsFromPurchasedServices_Title">_xlfn.LAMBDA("Emissions of purchased services and contractor operations")</definedName>
    <definedName name="Scope3_Equations.VEERG_15_7_1_1__1_EmissionsFromPurchasedServices_Unit">_xlfn.LAMBDA("t CO2e")</definedName>
    <definedName name="Scope3_Equations.VEERG_15_7_1_1__1_EmissionsFromPurchasedServices_Variable">_xlfn.LAMBDA("E")</definedName>
    <definedName name="Scope3_Equations.VEERG_15_8_1_1__1_EmissionsFromPurchasedPackaging">_xlfn.LAMBDA(_xlpm.Q_p,_xlpm.EF_p, (_xlpm.Q_p * _xlpm.EF_p) * 10 ^ -3)</definedName>
    <definedName name="Scope3_Equations.VEERG_15_8_1_1__1_EmissionsFromPurchasedPackaging_Arguments">_xlfn.LAMBDA(_xlfn.MAKEARRAY(3, 4, _xlfn.LAMBDA(_xlpm.r,_xlpm.c, INDEX({"Q_p","units of packaging type p","units","Input";"EF_p","emission factor for packaging type p","kg CO2e/unit","Constant";"p","packaging type","","Input"}, _xlpm.r, _xlpm.c))))</definedName>
    <definedName name="Scope3_Equations.VEERG_15_8_1_1__1_EmissionsFromPurchasedPackaging_LatexEquation">_xlfn.LAMBDA("E=\sum\nolimits_p\left(Q_p\times EF_p\right)\times 10^{-3}")</definedName>
    <definedName name="Scope3_Equations.VEERG_15_8_1_1__1_EmissionsFromPurchasedPackaging_NIRReference">_xlfn.LAMBDA("")</definedName>
    <definedName name="Scope3_Equations.VEERG_15_8_1_1__1_EmissionsFromPurchasedPackaging_Source">_xlfn.LAMBDA("VEERG 2026: 15.8.1.1, Equation (1)")</definedName>
    <definedName name="Scope3_Equations.VEERG_15_8_1_1__1_EmissionsFromPurchasedPackaging_Title">_xlfn.LAMBDA("Embedded emissions from use of packaging materials")</definedName>
    <definedName name="Scope3_Equations.VEERG_15_8_1_1__1_EmissionsFromPurchasedPackaging_Unit">_xlfn.LAMBDA("t CO2e")</definedName>
    <definedName name="Scope3_Equations.VEERG_15_8_1_1__1_EmissionsFromPurchasedPackaging_Variable">_xlfn.LAMBDA("E")</definedName>
    <definedName name="Scope3_Equations.VEERG_15_8_1_1__1_EmissionsFromPurchasedPackaging_Variation">_xlfn.LAMBDA("VARIATION ON SOURCE: Changed unit of Q from 'units' to 'kg' as EF data is in kg.")</definedName>
    <definedName name="Scope3_Equations.VEERG_15_9_1_1__1_EmissionsFromPurchasedGrowMedia">_xlfn.LAMBDA(_xlpm.Q_g,_xlpm.EF_g, (_xlpm.Q_g * _xlpm.EF_g) * 10 ^ -3)</definedName>
    <definedName name="Scope3_Equations.VEERG_15_9_1_1__1_EmissionsFromPurchasedGrowMedia_Arguments">_xlfn.LAMBDA(_xlfn.MAKEARRAY(3, 4, _xlfn.LAMBDA(_xlpm.r,_xlpm.c, INDEX({"Q_g","total quantity of grow media type g","kg or m3","Input";"EF_g","emission factor for grow media type g","kg CO2e/kg or kg CO2e/m3","Constant";"g","grow media type","","Input"}, _xlpm.r, _xlpm.c))))</definedName>
    <definedName name="Scope3_Equations.VEERG_15_9_1_1__1_EmissionsFromPurchasedGrowMedia_LatexEquation">_xlfn.LAMBDA("E=\sum\nolimits_g\left(Q_g\times EF_g\right)\times 10^{-3}")</definedName>
    <definedName name="Scope3_Equations.VEERG_15_9_1_1__1_EmissionsFromPurchasedGrowMedia_NIRReference">_xlfn.LAMBDA("")</definedName>
    <definedName name="Scope3_Equations.VEERG_15_9_1_1__1_EmissionsFromPurchasedGrowMedia_Source">_xlfn.LAMBDA("VEERG 2026: 15.9.1.1, Equation (1)")</definedName>
    <definedName name="Scope3_Equations.VEERG_15_9_1_1__1_EmissionsFromPurchasedGrowMedia_Title">_xlfn.LAMBDA("Embedded emissions from use of grow media products")</definedName>
    <definedName name="Scope3_Equations.VEERG_15_9_1_1__1_EmissionsFromPurchasedGrowMedia_Unit">_xlfn.LAMBDA("t CO2e")</definedName>
    <definedName name="Scope3_Equations.VEERG_15_9_1_1__1_EmissionsFromPurchasedGrowMedia_Variable">_xlfn.LAMBDA("E")</definedName>
    <definedName name="Scope3_InputFunctions.GetLiveweight_PastureBeef">_xlfn.LAMBDA(_xlpm.PurchaseDate,_xlpm.LivestockClass,_xlpm.SourceRegion,_xlpm.SourceRegionLeftArray,_xlpm.SourceRegionRightArray,_xlpm.SeasonArray,_xlpm.LivestockClassArray,_xlpm.LiveweightArray, _xlfn.LET(_xlpm.Season, _xlfn.IFS(MONTH(_xlpm.PurchaseDate) &lt;= 2, "Summer", MONTH(_xlpm.PurchaseDate) &lt;= 5, "Autumn", MONTH(_xlpm.PurchaseDate) &lt;= 8, "Winter", MONTH(_xlpm.PurchaseDate) &lt;= 11, "Spring", MONTH(_xlpm.PurchaseDate) = 12, "Summer"), _xlpm.SourceRegionRight, IF(ISNUMBER(FIND(" - ", _xlpm.SourceRegion)), MID(_xlpm.SourceRegion, FIND(" - ", _xlpm.SourceRegion) + 3, LEN(_xlpm.SourceRegion)), "n/a"), _xlpm.SourceRegionLeft, IF(ISNUMBER(FIND(" - ", _xlpm.SourceRegion)), LEFT(_xlpm.SourceRegion, FIND(" - ", _xlpm.SourceRegion) - 1), _xlpm.SourceRegion), IFERROR(_xlfn.XLOOKUP(1, (_xlpm.SourceRegionLeftArray = _xlpm.SourceRegionLeft) * (_xlpm.SourceRegionRightArray = _xlpm.SourceRegionRight) * (_xlpm.SeasonArray = _xlpm.Season), _xlfn.XLOOKUP(_xlpm.LivestockClass, _xlpm.LivestockClassArray, _xlpm.LiveweightArray, 0), 0), 0)))</definedName>
    <definedName name="Scope3_SourceData.Scope3_Chemicals_Data">_xlfn.LAMBDA(_xlfn.MAKEARRAY(8, 7, _xlfn.LAMBDA(_xlpm.r,_xlpm.c, INDEX({"Category","Sub-category","Product name","Region of origin","Product Unit","GHG emission intensity","System boundary";"Chemicals","Cleaning chemicals","Alkaline cleaner","Global","kg",0.722,"at manufacturer";"Chemicals","Cleaning chemicals","Bleach","Global","kg",0.804,"at manufacturer";"Chemicals","Cleaning chemicals","Phosphoric acid","Global","kg",0.907,"at manufacturer";"Chemicals","Pharmacy chemicals","Parasite control for cattle (external), dipping","Global","p (head)",0.0547,"at manufacturer";"Chemicals","Pharmacy chemicals","Parasite control for cattle (internal)","Global","p (head)",0.0142,"at manufacturer";"Chemicals","Pharmacy chemicals","Parasite control for sheep (external)","Global","p (head)",0.0143,"at manufacturer";"Chemicals","Pharmacy chemicals","Parasite control for sheep (internal)","Global","p (head)",0.00426,"at manufacturer"}, _xlpm.r, _xlpm.c))))</definedName>
    <definedName name="Scope3_SourceData.Scope3_Chemicals_Source">_xlfn.LAMBDA(("Lifecycles. (2026). Greenhouse Gas Emission Intensities for Material Inputs to Australian Agriculture, Fisheries and Forestry. Version 48. doi 10.5281/zenodo.19656580"))</definedName>
    <definedName name="Scope3_SourceData.Scope3_Chemicals_Title">_xlfn.LAMBDA(("Chemicals scope 3"))</definedName>
    <definedName name="Scope3_SourceData.Scope3_Chemicals_Variation">_xlfn.LAMBDA((""))</definedName>
    <definedName name="Scope3_SourceData.Scope3_Feed_Data">_xlfn.LAMBDA(_xlfn.MAKEARRAY(78, 7, _xlfn.LAMBDA(_xlpm.r,_xlpm.c, INDEX({"Category","Sub-category","Product name","Region of origin","Product Unit","GHG emission intensity","System boundary";"Feed","Aquaculture feed","Sardines (whole)","SA","kg",0.376,"at market";"Feed","Grain","Barley grain","Australia","kg",0.239,"at market";"Feed","Grain","Barley grain","NSW","kg",0.256,"at market";"Feed","Grain","Barley grain","NT","kg",0.332,"at market";"Feed","Grain","Barley grain","QLD","kg",0.269,"at market";"Feed","Grain","Barley grain","SA","kg",0.223,"at market";"Feed","Grain","Barley grain","TAS","kg",0.307,"at market";"Feed","Grain","Barley grain","VIC","kg",0.241,"at market";"Feed","Grain","Barley grain","WA","kg",0.236,"at market";"Feed","Grain","Maize grain","Australia","kg",0.181,"at market";"Feed","Grain","Maize grain","NSW","kg",0.169,"at market";"Feed","Grain","Maize grain","NT","kg",0.256,"at market";"Feed","Grain","Maize grain","QLD","kg",0.186,"at market";"Feed","Grain","Maize grain","SA","kg",0.176,"at market";"Feed","Grain","Maize grain","VIC","kg",0.159,"at market";"Feed","Grain","Maize grain","WA","kg",0.285,"at market";"Feed","Grain","Sorghum grain","Australia","kg",0.232,"at market";"Feed","Grain","Sorghum grain","NSW","kg",0.232,"at market";"Feed","Grain","Sorghum grain","QLD","kg",0.231,"at market";"Feed","Grain","Sorghum grain","SA","kg",0.218,"at market";"Feed","Grain","Sorghum grain","VIC","kg",0.246,"at market";"Feed","Grain","Wheat grain","Australia","kg",0.268,"at market";"Feed","Grain","Wheat grain","NSW","kg",0.282,"at market";"Feed","Grain","Wheat grain","NT","kg",0.385,"at market";"Feed","Grain","Wheat grain","QLD","kg",0.296,"at market";"Feed","Grain","Wheat grain","SA","kg",0.241,"at market";"Feed","Grain","Wheat grain","TAS","kg",0.338,"at market";"Feed","Grain","Wheat grain","VIC","kg",0.266,"at market";"Feed","Grain","Wheat grain","WA","kg",0.261,"at market";"Feed","Hay","Cereal hay","Australia","kg",0.117,"at market";"Feed","Hay","Cereal hay","NSW","kg",0.116,"at market";"Feed","Hay","Cereal hay","QLD","kg",0.118,"at market";"Feed","Hay","Cereal hay","SA","kg",0.111,"at market";"Feed","Hay","Cereal hay","TAS","kg",0.139,"at market";"Feed","Hay","Cereal hay","VIC","kg",0.116,"at market";"Feed","Hay","Cereal hay","WA","kg",0.122,"at market";"Feed","Hay","Cereal silage","Australia","kg",0.0744,"at market";"Feed","Hay","Cereal silage","NSW","kg",0.0739,"at market";"Feed","Hay","Cereal silage","QLD","kg",0.079,"at market";"Feed","Hay","Cereal silage","SA","kg",0.0706,"at market";"Feed","Hay","Cereal silage","TAS","kg",0.0808,"at market";"Feed","Hay","Cereal silage","VIC","kg",0.0736,"at market";"Feed","Hay","Lucerne hay","Australia","kg",0.117,"at market";"Feed","Hay","Lucerne hay","NSW","kg",0.113,"at market";"Feed","Hay","Lucerne hay","QLD","kg",0.143,"at market";"Feed","Hay","Lucerne hay","SA","kg",0.106,"at market";"Feed","Hay","Lucerne hay","TAS","kg",0.113,"at market";"Feed","Hay","Lucerne hay","VIC","kg",0.106,"at market";"Feed","Hay","Maize silage","VIC","kg",0.163,"at market";"Feed","Hay","Oaten hay","Australia","kg",0.12,"at market";"Feed","Hay","Oaten hay","NSW","kg",0.119,"at market";"Feed","Hay","Oaten hay","QLD","kg",0.117,"at market";"Feed","Hay","Oaten hay","SA","kg",0.114,"at market";"Feed","Hay","Oaten hay","VIC","kg",0.118,"at market";"Feed","Hay","Oaten hay","WA","kg",0.124,"at market";"Feed","Hay","Pasture hay","Australia","kg",0.339,"at market";"Feed","Hay","Pasture hay","NSW","kg",0.311,"at market";"Feed","Hay","Pasture hay","QLD","kg",0.254,"at market";"Feed","Hay","Pasture hay","SA","kg",0.313,"at market";"Feed","Hay","Pasture hay","TAS","kg",0.398,"at market";"Feed","Hay","Pasture hay","VIC","kg",0.345,"at market";"Feed","Hay","Pasture hay","WA","kg",0.368,"at market";"Feed","Meal","Canola meal","Australia","kg",0.244,"at market";"Feed","Meal","Meat meal","Australia","kg",0.408,"at market";"Feed","Meal","Soybean meal","Brazil","kg",0.426,"at market";"Feed","Meal","Wheat bran","Australia","kg",0.196,"at market";"Feed","Mixed rations","Feed for chickens","Australia","kg",0.594,"at market";"Feed","Mixed rations","Feed for dairy calves","Australia","kg",0.419,"at market";"Feed","Mixed rations","Feed for dairy cows","Australia","kg",0.333,"at market";"Feed","Mixed rations","Feed for pigs","Australia","kg",0.403,"at market";"Feed","Other","Bentonite","Australia","kg",0.0652,"at market";"Feed","Other","Canola oil","Australia","kg",0.87,"at market";"Feed","Other","Cotton seed","Australia","kg",0.197,"at market";"Feed","Other","Lick block, dry season mix","Australia","kg",0.881,"at market";"Feed","Other","Lick block, mineral","Australia","kg",0.677,"at market";"Feed","Other","Lick block, weaner","Australia","kg",0.231,"at market";"Feed","Other","Molasses","QLD","kg",0.184,"at market"}, _xlpm.r, _xlpm.c))))</definedName>
    <definedName name="Scope3_SourceData.Scope3_Feed_Source">_xlfn.LAMBDA(("Lifecycles. (2026). Greenhouse Gas Emission Intensities for Material Inputs to Australian Agriculture, Fisheries and Forestry. Version 48. doi 10.5281/zenodo.19656580"))</definedName>
    <definedName name="Scope3_SourceData.Scope3_Feed_Title">_xlfn.LAMBDA(("Feed scope 3"))</definedName>
    <definedName name="Scope3_SourceData.Scope3_Feed_Variation">_xlfn.LAMBDA((""))</definedName>
    <definedName name="Scope3_SourceData.Scope3_FishFeedAndBait_Data">_xlfn.LAMBDA(_xlfn.MAKEARRAY(6, 6, _xlfn.LAMBDA(_xlpm.r,_xlpm.c, INDEX({"Category","Product name","Region of origin","Product Unit","GHG emission intensity","System boundary";"Fish feed and bait","Sardines (whole)","Australia","kg",0.3,"Not specified";"Fish feed and bait","Low Animal Protein Formulated Feed","Australia","kg",2.2,"Not specified";"Fish feed and bait","Squid","Australia","kg",0.3,"Not specified";"Fish feed and bait","Whole fish","Australia","kg",0.3,"Not specified";"Fish feed and bait","Custom Bait","Australia","kg",0.08,"Not specified"}, _xlpm.r, _xlpm.c))))</definedName>
    <definedName name="Scope3_SourceData.Scope3_FishFeedAndBait_Source">_xlfn.LAMBDA(("VEERG 2026: Table A.3.1.1: Life-cycle emission factors for purchased feed (kg CO2e/kg) (EFj)"))</definedName>
    <definedName name="Scope3_SourceData.Scope3_FishFeedAndBait_Title">_xlfn.LAMBDA(("Fish feed and bait scope 3"))</definedName>
    <definedName name="Scope3_SourceData.Scope3_FishFeedAndBait_Variation">_xlfn.LAMBDA((""))</definedName>
    <definedName name="Scope3_SourceData.Scope3_InorganicFertilisers_Data">_xlfn.LAMBDA(_xlfn.MAKEARRAY(26, 7, _xlfn.LAMBDA(_xlpm.r,_xlpm.c, INDEX({"Category","Sub-category","Product name","Region of origin","Product Unit","GHG emission intensity","System boundary";"Fertilisers","Inorganic fertilisers","Ammonia, AU market mix","Global","kg",2.32,"at market";"Fertilisers","Inorganic fertilisers","Ammonia, Canada","Canada","kg",2.12,"at market";"Fertilisers","Inorganic fertilisers","Ammonia, China","China","kg",4.17,"at market";"Fertilisers","Inorganic fertilisers","Ammonia, Yemen","Yemen","kg",2.26,"at market";"Fertilisers","Inorganic fertilisers","Ammonium nitrate, AU market mix","Global","kg",2.21,"at market";"Fertilisers","Inorganic fertilisers","Calcium ammonium nitrate, AU market mix","Global","kg",1.15,"at market";"Fertilisers","Inorganic fertilisers","Calcium nitrate","Global","kg",0.75,"at market";"Fertilisers","Inorganic fertilisers","Diammonium phosphate, AU market mix","Global","kg",1.34,"at market";"Fertilisers","Inorganic fertilisers","Double superphosphate, AU market mix","Global","kg",0.392,"at market";"Fertilisers","Inorganic fertilisers","Monoammonium phosphate, AU market mix","Global","kg",0.827,"at market";"Fertilisers","Inorganic fertilisers","Muriate of potash, AU market mix","Global","kg",0.549,"at market";"Fertilisers","Inorganic fertilisers","Nitrogen from ammonia, AU market mix","Global","kg N",2.83,"at market";"Fertilisers","Inorganic fertilisers","Nitrogen from fertilizer, AU market mix","Global","kg N",4.2,"at market";"Fertilisers","Inorganic fertilisers","Nitrogen from nitrate fertilizer, AU market mix","Global","kg N",5.47,"at market";"Fertilisers","Inorganic fertilisers","Phosphorus from fertilizer, AU market mix","Global","kg P",3.96,"at market";"Fertilisers","Inorganic fertilisers","Potassium from fertilizer, AU market mix","Global","kg K",0.909,"at market";"Fertilisers","Inorganic fertilisers","Single superphosphate, AU market mix","Global","kg",0.227,"at market";"Fertilisers","Inorganic fertilisers","Sulfur from fertilizer, AU market mix","Global","kg S",2.5,"at market";"Fertilisers","Inorganic fertilisers","Ammonium sulphate, AU market mix","Global","kg",0.865,"at market";"Fertilisers","Inorganic fertilisers","Urea ammonium nitrate, AU market mix","Global","kg",1.75,"at market";"Fertilisers","Inorganic fertilisers","Urea, AU market mix","Global","kg",0.968,"at market";"Fertilisers","Inorganic fertilisers","Urea, Canada","Canada","kg",0.823,"at market";"Fertilisers","Inorganic fertilisers","Urea, China","China","kg",2.09,"at market";"Fertilisers","Inorganic fertilisers","Urea, Yemen","Yemen","kg",0.963,"at market";"Fertilisers","Inorganic fertilisers","Zinc from fertilizer","Global","kg Zn",4.82,"at market"}, _xlpm.r, _xlpm.c))))</definedName>
    <definedName name="Scope3_SourceData.Scope3_InorganicFertilisers_Source">_xlfn.LAMBDA(("Lifecycles. (2026). Greenhouse Gas Emission Intensities for Material Inputs to Australian Agriculture, Fisheries and Forestry. Version 48. doi 10.5281/zenodo.19656580"))</definedName>
    <definedName name="Scope3_SourceData.Scope3_InorganicFertilisers_Title">_xlfn.LAMBDA(("Inorganic fertiliser chemical compound scope 3"))</definedName>
    <definedName name="Scope3_SourceData.Scope3_InorganicFertilisers_Variation">_xlfn.LAMBDA((""))</definedName>
    <definedName name="Scope3_SourceData.Scope3_Livestock_Data">_xlfn.LAMBDA(_xlfn.MAKEARRAY(42, 7, _xlfn.LAMBDA(_xlpm.r,_xlpm.c, INDEX({"Category","Sub-category","Product name","Region of origin","Product Unit","GHG emission intensity","System boundary";"Animals","Beef cattle","Cattle, for manufacturing beef","Australia","kg liveweight",11,"at market";"Animals","Beef cattle","Cattle, for manufacturing beef","NSW","kg liveweight",8.21,"at market";"Animals","Beef cattle","Cattle, for manufacturing beef","NT","kg liveweight",12.2,"at market";"Animals","Beef cattle","Cattle, for manufacturing beef","QLD","kg liveweight",10.9,"at market";"Animals","Beef cattle","Cattle, for manufacturing beef","SA","kg liveweight",7.63,"at market";"Animals","Beef cattle","Cattle, for manufacturing beef","TAS","kg liveweight",8.75,"at market";"Animals","Beef cattle","Cattle, for manufacturing beef","VIC","kg liveweight",8.17,"at market";"Animals","Beef cattle","Cattle, for manufacturing beef","WA","kg liveweight",13.1,"at market";"Animals","Beef cattle","Cattle, for prime beef","Australia","kg liveweight",14.5,"at market";"Animals","Beef cattle","Cattle, for prime beef","NSW","kg liveweight",11.3,"at market";"Animals","Beef cattle","Cattle, for prime beef","NT","kg liveweight",18.9,"at market";"Animals","Beef cattle","Cattle, for prime beef","QLD","kg liveweight",13.9,"at market";"Animals","Beef cattle","Cattle, for prime beef","SA","kg liveweight",12.3,"at market";"Animals","Beef cattle","Cattle, for prime beef","TAS","kg liveweight",11.5,"at market";"Animals","Beef cattle","Cattle, for prime beef","VIC","kg liveweight",11.5,"at market";"Animals","Beef cattle","Cattle, for prime beef","WA","kg liveweight",20.8,"at market";"Animals","Beef cattle","Cattle, weaners","Australia","kg liveweight",15.5,"at market";"Animals","Beef cattle","Cattle, weaners","NSW","kg liveweight",12.7,"at market";"Animals","Beef cattle","Cattle, weaners","NT","kg liveweight",19.1,"at market";"Animals","Beef cattle","Cattle, weaners","QLD","kg liveweight",20.5,"at market";"Animals","Beef cattle","Cattle, weaners","SA","kg liveweight",10.8,"at market";"Animals","Beef cattle","Cattle, weaners","TAS","kg liveweight",13.4,"at market";"Animals","Beef cattle","Cattle, weaners","VIC","kg liveweight",12,"at market";"Animals","Beef cattle","Cattle, weaners","WA","kg liveweight",12.4,"at market";"Animals","Chickens","Chickens","Australia","kg liveweight",1.36,"at market";"Animals","Dairy cattle","Dairy cows","VIC","kg liveweight",4.41,"at market";"Animals","Pigs","Pigs","Australia","kg liveweight",3.38,"at market";"Animals","Sheep","Sheep, for mutton","Australia","kg liveweight",6.81,"at market";"Animals","Sheep","Sheep, for mutton","NSW","kg liveweight",2.26,"at market";"Animals","Sheep","Sheep, for mutton","QLD","kg liveweight",6.33,"at market";"Animals","Sheep","Sheep, for mutton","SA","kg liveweight",6.18,"at market";"Animals","Sheep","Sheep, for mutton","TAS","kg liveweight",7.5,"at market";"Animals","Sheep","Sheep, for mutton","VIC","kg liveweight",8.08,"at market";"Animals","Sheep","Sheep, for mutton","WA","kg liveweight",5.45,"at market";"Animals","Sheep","Sheep, for prime lamb","Australia","kg liveweight",7.15,"at market";"Animals","Sheep","Sheep, for prime lamb","NSW","kg liveweight",8.29,"at market";"Animals","Sheep","Sheep, for prime lamb","QLD","kg liveweight",6.39,"at market";"Animals","Sheep","Sheep, for prime lamb","SA","kg liveweight",6.87,"at market";"Animals","Sheep","Sheep, for prime lamb","TAS","kg liveweight",8.66,"at market";"Animals","Sheep","Sheep, for prime lamb","VIC","kg liveweight",10,"at market";"Animals","Sheep","Sheep, for prime lamb","WA","kg liveweight",5.67,"at market"}, _xlpm.r, _xlpm.c))))</definedName>
    <definedName name="Scope3_SourceData.Scope3_Livestock_Source">_xlfn.LAMBDA(("Lifecycles. (2026). Greenhouse Gas Emission Intensities for Material Inputs to Australian Agriculture, Fisheries and Forestry. Version 48. doi 10.5281/zenodo.19656580"))</definedName>
    <definedName name="Scope3_SourceData.Scope3_Livestock_Title">_xlfn.LAMBDA(("Livestock scope 3"))</definedName>
    <definedName name="Scope3_SourceData.Scope3_Livestock_Variation">_xlfn.LAMBDA((""))</definedName>
    <definedName name="Scope3_SourceData.Scope3_Other_Data">_xlfn.LAMBDA(_xlfn.MAKEARRAY(9, 7, _xlfn.LAMBDA(_xlpm.r,_xlpm.c, INDEX({"Category","Sub-category","Product name","Region of origin","Product Unit","GHG emission intensity","System boundary";"Other","Other","Animal ear tags (large)","Australia","p",0.0424,"at market";"Other","Other","Animal ear tags (small)","Australia","p",0.0293,"at market";"Other","Other","Barley grain (for seed)","Australia","kg",0.239,"at market";"Other","Other","Maize grain (for seed)","Australia","kg",0.181,"at market";"Other","Other","Nylon netting","Global","kg",9.81,"at market";"Other","Other","Oat grain (for seed)","Australia","kg",0.27,"at market";"Other","Other","Sorghum grain (for seed)","Australia","kg",0.232,"at market";"Other","Other","Wheat grain (for seed)","Australia","kg",0.268,"at market"}, _xlpm.r, _xlpm.c))))</definedName>
    <definedName name="Scope3_SourceData.Scope3_Other_Source">_xlfn.LAMBDA(("Lifecycles. (2026). Greenhouse Gas Emission Intensities for Material Inputs to Australian Agriculture, Fisheries and Forestry. Version 48. doi 10.5281/zenodo.19656580"))</definedName>
    <definedName name="Scope3_SourceData.Scope3_Other_Title">_xlfn.LAMBDA(("Other agricultural inputs scope 3"))</definedName>
    <definedName name="Scope3_SourceData.Scope3_Other_Variation">_xlfn.LAMBDA((""))</definedName>
    <definedName name="Scope3_SourceData.Scope3_Packaging_Data">_xlfn.LAMBDA(_xlfn.MAKEARRAY(5, 7, _xlfn.LAMBDA(_xlpm.r,_xlpm.c, INDEX({"Category","Sub-category","Product name","Region of origin","Product Unit","GHG emission intensity","System boundary";"Packaging","Packaging","Corrugated board","Global","kg",1.05,"at manufacturer";"Packaging","Packaging","Plastic crate polypropylene","Global","p",3.99,"at manufacturer";"Packaging","Packaging","Plastic film LDPE","Global","kg",3.44,"at manufacturer";"Packaging","Packaging","Plastic sheet HDPE","Global","kg",3.72,"at manufacturer"}, _xlpm.r, _xlpm.c))))</definedName>
    <definedName name="Scope3_SourceData.Scope3_Packaging_Source">_xlfn.LAMBDA(("Lifecycles. (2026). Greenhouse Gas Emission Intensities for Material Inputs to Australian Agriculture, Fisheries and Forestry. Version 48. doi 10.5281/zenodo.19656580"))</definedName>
    <definedName name="Scope3_SourceData.Scope3_Packaging_Title">_xlfn.LAMBDA(("Packaging scope 3"))</definedName>
    <definedName name="Scope3_SourceData.Scope3_Packaging_Variation">_xlfn.LAMBDA((""))</definedName>
    <definedName name="Scope3_SourceData.Scope3_Pesticides_Data">_xlfn.LAMBDA(_xlfn.MAKEARRAY(13, 7, _xlfn.LAMBDA(_xlpm.r,_xlpm.c, INDEX({"Category","Sub-category","Product name","Region of origin","Product Unit","GHG emission intensity","System boundary";"Pesticides","Pesticides","2,4-D","Global","kg AI",5.2,"at market";"Pesticides","Pesticides","Atrazine","Global","kg AI",8.38,"at market";"Pesticides","Pesticides","Diuron","Global","kg AI",8.8,"at market";"Pesticides","Pesticides","Glyphosate","Global","kg AI",10.3,"at market";"Pesticides","Pesticides","Mancozeb","Global","kg AI",4.55,"at market";"Pesticides","Pesticides","MCPA","Global","kg AI",5.6,"at market";"Pesticides","Pesticides","Metolachlor","Global","kg AI",8.06,"at market";"Pesticides","Pesticides","Metsulfuron-methyl","Global","kg AI",8.8,"at market";"Pesticides","Pesticides","Pesticides (generic)","Global","kg AI",9.16,"at market";"Pesticides","Pesticides","Tri-allate","Global","kg AI",8.57,"at market";"Pesticides","Pesticides","Tribenuron methyl","Global","kg AI",8.8,"at market";"Pesticides","Pesticides","Trifluralin","Global","kg AI",6.16,"at market"}, _xlpm.r, _xlpm.c))))</definedName>
    <definedName name="Scope3_SourceData.Scope3_Pesticides_Source">_xlfn.LAMBDA(("Lifecycles. (2026). Greenhouse Gas Emission Intensities for Material Inputs to Australian Agriculture, Fisheries and Forestry. Version 48. doi 10.5281/zenodo.19656580"))</definedName>
    <definedName name="Scope3_SourceData.Scope3_Pesticides_Title">_xlfn.LAMBDA(("Pesticides scope 3"))</definedName>
    <definedName name="Scope3_SourceData.Scope3_Pesticides_Variation">_xlfn.LAMBDA((""))</definedName>
    <definedName name="Scope3_SourceData.Scope3_SoilAmendments_Data">_xlfn.LAMBDA(_xlfn.MAKEARRAY(4, 7, _xlfn.LAMBDA(_xlpm.r,_xlpm.c, INDEX({"Category","Sub-category","Product name","Region of origin","Product Unit","GHG emission intensity","System boundary";"Soil ameliorants","Soil ameliorants","Dolomite","Australia","kg",0.0652,"at market";"Soil ameliorants","Soil ameliorants","Gypsum","Australia","kg",0.0652,"at market";"Soil ameliorants","Soil ameliorants","Limestone (crushed)","Australia","kg",0.0485,"at market"}, _xlpm.r, _xlpm.c))))</definedName>
    <definedName name="Scope3_SourceData.Scope3_SoilAmendments_Source">_xlfn.LAMBDA(("Lifecycles. (2026). Greenhouse Gas Emission Intensities for Material Inputs to Australian Agriculture, Fisheries and Forestry. Version 48. doi 10.5281/zenodo.19656580"))</definedName>
    <definedName name="Scope3_SourceData.Scope3_SoilAmendments_Title">_xlfn.LAMBDA(("Soil amendments scope 3"))</definedName>
    <definedName name="Scope3_SourceData.Scope3_SoilAmendments_Variation">_xlfn.LAMBDA((""))</definedName>
    <definedName name="SourceData_Dairy.NIR_2023_Vol1_Dairy_3_B_1_a_AshContent_Data">_xlfn.LAMBDA(0.8)</definedName>
    <definedName name="SourceData_Dairy.NIR_2023_Vol1_Dairy_3_B_1_a_AshContent_Source">_xlfn.LAMBDA("Equation 3.B.1a_2")</definedName>
    <definedName name="SourceData_Dairy.NIR_2023_Vol1_Dairy_3_B_1_a_AshContent_Title">_xlfn.LAMBDA("A = ash content expressed as a fraction")</definedName>
    <definedName name="SourceData_Dairy.NIR_2023_Vol1_Dairy_3_B_1_a_AshContent_Unit">_xlfn.LAMBDA("fraction")</definedName>
    <definedName name="SourceData_Dairy.NIR_2023_Vol1_Dairy_3_B_1_a_EmissionsPotential_Data">_xlfn.LAMBDA(0.24)</definedName>
    <definedName name="SourceData_Dairy.NIR_2023_Vol1_Dairy_3_B_1_a_EmissionsPotential_Source">_xlfn.LAMBDA("Equation 3.B.1a_2")</definedName>
    <definedName name="SourceData_Dairy.NIR_2023_Vol1_Dairy_3_B_1_a_EmissionsPotential_Title">_xlfn.LAMBDA("B0 = emissions potential")</definedName>
    <definedName name="SourceData_Dairy.NIR_2023_Vol1_Dairy_3_B_1_a_EmissionsPotential_Unit">_xlfn.LAMBDA("m3 CH4/kg VS")</definedName>
    <definedName name="SourceData_Dairy.NIR_2023_Vol2_A5_5_1_1_DairyCattleLiveWeight_Data">_xlfn.LAMBDA(_xlfn.MAKEARRAY(2, 6, _xlfn.LAMBDA(_xlpm.r,_xlpm.c, INDEX({"Time period","Milking Cows","Heifers &gt;1","Heifers &lt;1 (weaned)","Bulls &gt;1","Bulls &lt;1 (weaned)";"2020–2023",550,370,179,600,225}, _xlpm.r, _xlpm.c))))</definedName>
    <definedName name="SourceData_Dairy.NIR_2023_Vol2_A5_5_1_1_DairyCattleLiveWeight_Source">_xlfn.LAMBDA("National Inventory Report 2023 Volume 2: Table A5.5.1.1")</definedName>
    <definedName name="SourceData_Dairy.NIR_2023_Vol2_A5_5_1_1_DairyCattleLiveWeight_Title">_xlfn.LAMBDA("Table A5.5.1.1 Dairy cattle – Liveweight")</definedName>
    <definedName name="SourceData_Dairy.NIR_2023_Vol2_A5_5_1_1_DairyCattleLiveWeight_Unit">_xlfn.LAMBDA("kg")</definedName>
    <definedName name="SourceData_Dairy.NIR_2023_Vol2_A5_5_1_2_DairyCattleLiveWeightGain_Data">_xlfn.LAMBDA(_xlfn.MAKEARRAY(2, 6, _xlfn.LAMBDA(_xlpm.r,_xlpm.c, INDEX({"Time period","Milking Cows","Heifers &gt;1","Heifers &lt;1 (weaned)","Bulls &gt;1","Bulls &lt;1 (weaned)";"2020–2023",0.016,0.6,0.57,0.1,0.8}, _xlpm.r, _xlpm.c))))</definedName>
    <definedName name="SourceData_Dairy.NIR_2023_Vol2_A5_5_1_2_DairyCattleLiveWeightGain_Source">_xlfn.LAMBDA("National Inventory Report 2023 Volume 2: Table A5.5.1.2")</definedName>
    <definedName name="SourceData_Dairy.NIR_2023_Vol2_A5_5_1_2_DairyCattleLiveWeightGain_Title">_xlfn.LAMBDA("Table A5.5.1.2 Dairy cattle – Liveweight gain")</definedName>
    <definedName name="SourceData_Dairy.NIR_2023_Vol2_A5_5_1_2_DairyCattleLiveWeightGain_Unit">_xlfn.LAMBDA("kg/day")</definedName>
    <definedName name="SourceData_Dairy.NIR_2023_Vol2_A5_5_1_3_DairyCattleStandardReferenceWeight_Data">_xlfn.LAMBDA(_xlfn.MAKEARRAY(2, 6, _xlfn.LAMBDA(_xlpm.r,_xlpm.c, INDEX({"Time period","Milking Cows","Heifers &gt;1","Heifers &lt;1 (weaned)","Bulls &gt;1","Bulls &lt;1 (weaned)";"2020–2023",590,590,590,770,770}, _xlpm.r, _xlpm.c))))</definedName>
    <definedName name="SourceData_Dairy.NIR_2023_Vol2_A5_5_1_3_DairyCattleStandardReferenceWeight_Source">_xlfn.LAMBDA("National Inventory Report 2023 Volume 2: Table A5.5.1.3")</definedName>
    <definedName name="SourceData_Dairy.NIR_2023_Vol2_A5_5_1_3_DairyCattleStandardReferenceWeight_Title">_xlfn.LAMBDA("Table A5.5.1.3 Dairy cattle – Standard reference weights")</definedName>
    <definedName name="SourceData_Dairy.NIR_2023_Vol2_A5_5_1_3_DairyCattleStandardReferenceWeight_Unit">_xlfn.LAMBDA("kg")</definedName>
    <definedName name="SourceData_Dairy.NIR_2023_Vol2_A5_5_1_4_DairyCattleDMDAndCP_Data">_xlfn.LAMBDA(_xlfn.MAKEARRAY(2, 3, _xlfn.LAMBDA(_xlpm.r,_xlpm.c, INDEX({"State","DMD","CP";"All",75,20}, _xlpm.r, _xlpm.c))))</definedName>
    <definedName name="SourceData_Dairy.NIR_2023_Vol2_A5_5_1_4_DairyCattleDMDAndCP_Source">_xlfn.LAMBDA("National Inventory Report 2023 Volume 2: Table A5.5.1.4")</definedName>
    <definedName name="SourceData_Dairy.NIR_2023_Vol2_A5_5_1_4_DairyCattleDMDAndCP_Title">_xlfn.LAMBDA("Table A5.5.1.4 Dairy cattle – Dry matter digestibility and crude protein content of feed intake")</definedName>
    <definedName name="SourceData_Dairy.NIR_2023_Vol2_A5_5_1_4_DairyCattleDMDAndCP_Unit">_xlfn.LAMBDA("per cent")</definedName>
    <definedName name="SourceData_Dairy.NIR_2023_Vol2_A5_5_1_5_DairyCattlePreWeanedData_Data">_xlfn.LAMBDA(_xlfn.MAKEARRAY(3, 6, _xlfn.LAMBDA(_xlpm.r,_xlpm.c, INDEX({"Date range","Class","CH4 production","Volatile solids","Faecal N","Urinary N";"2005+","Heifers&lt;1",0.0176,0.2685,0.0055,0.0082;"All years","Bulls&lt;1",0.0204,0.3003,0.005,0.0042}, _xlpm.r, _xlpm.c))))</definedName>
    <definedName name="SourceData_Dairy.NIR_2023_Vol2_A5_5_1_5_DairyCattlePreWeanedData_Source">_xlfn.LAMBDA("National Inventory Report 2023 Volume 2: Table A5.5.1.5")</definedName>
    <definedName name="SourceData_Dairy.NIR_2023_Vol2_A5_5_1_5_DairyCattlePreWeanedData_Title">_xlfn.LAMBDA("Table A5.5.1.5 Dairy cattle – Data for pre-weaned calves")</definedName>
    <definedName name="SourceData_Dairy.NIR_2023_Vol2_A5_5_1_5_DairyCattlePreWeanedData_Unit">_xlfn.LAMBDA("kg/day")</definedName>
    <definedName name="SourceData_Dairy.NIR_2023_Vol2_A5_5_1_7_DairyCattleMCFsForMMS_Data">_xlfn.LAMBDA(_xlfn.MAKEARRAY(6, 9, _xlfn.LAMBDA(_xlpm.r,_xlpm.c, INDEX({"MMS","ACT","NSW","NT","QLD","SA","TAS","VIC","WA";"Pasture",0.01,0.01,0.02,0.01,0.01,0.01,0.01,0.01;"Anaerobic lagoon",0.72,0.76,0.8,0.78,0.74,0.69,0.73,0.76;"Sump and dispersal systems (b)",0.005,0.005,0.01,0.005,0.005,0.001,0.005,0.005;"Drains to paddocks (c)",0.15,0.18,0.5,0.24,0.17,0.13,0.17,0.18;"Solid Storage",0.02,0.02,0.02,0.02,0.02,0.02,0.02,0.02}, _xlpm.r, _xlpm.c))))</definedName>
    <definedName name="SourceData_Dairy.NIR_2023_Vol2_A5_5_1_7_DairyCattleMCFsForMMS_Source">_xlfn.LAMBDA("National Inventory Report 2023 Volume 2: Table A5.5.1.7")</definedName>
    <definedName name="SourceData_Dairy.NIR_2023_Vol2_A5_5_1_7_DairyCattleMCFsForMMS_Title">_xlfn.LAMBDA("Table A5.5.1.7 Dairy cattle – MCFs")</definedName>
    <definedName name="SourceData_Dairy.NIR_2023_Vol2_A5_5_1_7_DairyCattleMCFsForMMS_Unit">_xlfn.LAMBDA("")</definedName>
    <definedName name="SourceData_Dairy.NIR_2023_Vol2_A5_5_1_9_DairyCattleNO2EFAndFracN_Data">_xlfn.LAMBDA(_xlfn.MAKEARRAY(6, 3, _xlfn.LAMBDA(_xlpm.r,_xlpm.c, INDEX({"MMS","EF (kg N2O-N/kg N excreted)","FracGASMm (kg N2O-N/kg N excreted)";"Void at Pasture",0,0;"Anaerobic lagoon",0,0.35;"Daily Spread – Sump and Dispersal",0,0.07;"Daily Spread – Drains to Paddock",0,0.2;"Solid Storage",0.005,0.3}, _xlpm.r, _xlpm.c))))</definedName>
    <definedName name="SourceData_Dairy.NIR_2023_Vol2_A5_5_1_9_DairyCattleNO2EFAndFracN_Source">_xlfn.LAMBDA("National Inventory Report 2023 Volume 2: Table A5.5.1.9")</definedName>
    <definedName name="SourceData_Dairy.NIR_2023_Vol2_A5_5_1_9_DairyCattleNO2EFAndFracN_Title">_xlfn.LAMBDA("Table A5.5.1.9 Dairy cattle – Nitrous oxide EFs and fraction of N volatilised by MMS")</definedName>
    <definedName name="SourceData_Dairy.NIR_2023_Vol2_A5_5_1_9_DairyCattleNO2EFAndFracN_Unit">_xlfn.LAMBDA("kg N2O-N/kg N excreted")</definedName>
    <definedName name="SourceData_Dairy.SourceData_Dairy_AllocationOfWasteToMMS_Data">_xlfn.LAMBDA(_xlfn.MAKEARRAY(6, 10, _xlfn.LAMBDA(_xlpm.r,_xlpm.c, INDEX({"MMSSymbol","MMS","ACT","NSW","NT","QLD","SA","TAS","VIC","WA";"14","Pasture",78.6,78.6,78.7,78.7,80.5,86.5,83.9,79.9;"1","Anaerobic lagoon",9,9,7.3,7.3,10.4,8.4,10.8,10;"3a","Daily Spread: Sump and dispersal",2,2,3.3,3.3,1.4,2.4,0.9,1.9;"3b","Daily Spread: Drains to paddocks",1.9,1.9,2.4,2.4,0.8,0.8,0.2,0.9;"4","Solid Storage",8.4,8.4,8.4,8.4,6.9,2,4.2,7.4}, _xlpm.r, _xlpm.c))))</definedName>
    <definedName name="SourceData_Dairy.SourceData_Dairy_AllocationOfWasteToMMS_Source">_xlfn.LAMBDA("National Inventory Report 2023 Volume 2 Table A5.5.1.8")</definedName>
    <definedName name="SourceData_Dairy.SourceData_Dairy_AllocationOfWasteToMMS_Title">_xlfn.LAMBDA("Table A5.5.1.8 Dairy cattle – Allocation of waste to MMS – Milking cows (per cent)")</definedName>
    <definedName name="SourceData_Dairy.SourceData_Dairy_AllocationOfWasteToMMS_Unit">_xlfn.LAMBDA("percent")</definedName>
    <definedName name="SourceData_Dairy.SourceData_Dairy_AllocationOfWasteToMMS_Variable">_xlfn.LAMBDA("")</definedName>
    <definedName name="SourceData_Dairy.SourceData_Dairy_AshContent_Data">_xlfn.LAMBDA(0.08)</definedName>
    <definedName name="SourceData_Dairy.SourceData_Dairy_AshContent_Source">_xlfn.LAMBDA("VEERG 2026: 4.3.2.3 CONSTANTS")</definedName>
    <definedName name="SourceData_Dairy.SourceData_Dairy_AshContent_Title">_xlfn.LAMBDA("Ash content of manure")</definedName>
    <definedName name="SourceData_Dairy.SourceData_Dairy_AshContent_Unit">_xlfn.LAMBDA("fraction")</definedName>
    <definedName name="SourceData_Dairy.SourceData_Dairy_AshContent_Variable">_xlfn.LAMBDA("A")</definedName>
    <definedName name="SourceData_Dairy.SourceData_Dairy_AshContent_Variation">_xlfn.LAMBDA("")</definedName>
    <definedName name="SourceData_Dairy.SourceData_Dairy_CrudeProtein_Data">_xlfn.LAMBDA(0.2)</definedName>
    <definedName name="SourceData_Dairy.SourceData_Dairy_CrudeProtein_Source">_xlfn.LAMBDA("VEERG 2026: 4.3.2.2	DATA (METHOD 1 AND 2 OPTIONS)")</definedName>
    <definedName name="SourceData_Dairy.SourceData_Dairy_CrudeProtein_Title">_xlfn.LAMBDA("Crude protein content of feed intake")</definedName>
    <definedName name="SourceData_Dairy.SourceData_Dairy_CrudeProtein_Unit">_xlfn.LAMBDA("fraction")</definedName>
    <definedName name="SourceData_Dairy.SourceData_Dairy_CrudeProtein_Variable">_xlfn.LAMBDA("CP")</definedName>
    <definedName name="SourceData_Dairy.SourceData_Dairy_CrudeProtein_Variation">_xlfn.LAMBDA("")</definedName>
    <definedName name="SourceData_Dairy.SourceData_Dairy_DryMatterDigestibility_Data">_xlfn.LAMBDA(0.75)</definedName>
    <definedName name="SourceData_Dairy.SourceData_Dairy_DryMatterDigestibility_Source">_xlfn.LAMBDA("VEERG 2026: 3.3.2.2	DATA (METHOD 1 AND 2 OPTIONS)")</definedName>
    <definedName name="SourceData_Dairy.SourceData_Dairy_DryMatterDigestibility_Title">_xlfn.LAMBDA("Dry matter digestibility")</definedName>
    <definedName name="SourceData_Dairy.SourceData_Dairy_DryMatterDigestibility_Unit">_xlfn.LAMBDA("fraction")</definedName>
    <definedName name="SourceData_Dairy.SourceData_Dairy_DryMatterDigestibility_Variable">_xlfn.LAMBDA("DMD")</definedName>
    <definedName name="SourceData_Dairy.SourceData_Dairy_DryMatterDigestibility_Variation">_xlfn.LAMBDA("")</definedName>
    <definedName name="SourceData_Dairy.SourceData_Dairy_DurationOfStay_Data">_xlfn.LAMBDA(_xlfn.MAKEARRAY(6, 3, _xlfn.LAMBDA(_xlpm.r,_xlpm.c, INDEX({"Animal class j","Duration (weaned)","Duration (pre-weaned)";"Milking cows",365,0;"Heifers &gt; 1 year",365,0;"Heifers &lt; 1 year",281,84;"Bulls &gt; 1 year",365,0;"Bulls &lt; 1 year",281,84}, _xlpm.r, _xlpm.c))))</definedName>
    <definedName name="SourceData_Dairy.SourceData_Dairy_DurationOfStay_Source">_xlfn.LAMBDA("VEERG 2026: 4.3.2.2	DATA (METHOD 1 AND 2 OPTIONS)")</definedName>
    <definedName name="SourceData_Dairy.SourceData_Dairy_DurationOfStay_Title">_xlfn.LAMBDA("Duration of stay for each dairy cattle input class")</definedName>
    <definedName name="SourceData_Dairy.SourceData_Dairy_DurationOfStay_Unit">_xlfn.LAMBDA("days")</definedName>
    <definedName name="SourceData_Dairy.SourceData_Dairy_DurationOfStay_Variable">_xlfn.LAMBDA("D")</definedName>
    <definedName name="SourceData_Dairy.SourceData_Dairy_DurationOfStay_Variation">_xlfn.LAMBDA("VARIATION OF SOURCE: Converted free text in document to table, matching livestock class names.")</definedName>
    <definedName name="SourceData_Dairy.SourceData_Dairy_EfficiencyOfUseOfMetabolizableEnergy_Data">_xlfn.LAMBDA(0.6)</definedName>
    <definedName name="SourceData_Dairy.SourceData_Dairy_EfficiencyOfUseOfMetabolizableEnergy_Source">_xlfn.LAMBDA("VEERG 2026: 3.3.2.3 CONSTANTS")</definedName>
    <definedName name="SourceData_Dairy.SourceData_Dairy_EfficiencyOfUseOfMetabolizableEnergy_Title">_xlfn.LAMBDA("Efficiency of use of metabolizable energy for milk production")</definedName>
    <definedName name="SourceData_Dairy.SourceData_Dairy_EfficiencyOfUseOfMetabolizableEnergy_Unit">_xlfn.LAMBDA("fraction")</definedName>
    <definedName name="SourceData_Dairy.SourceData_Dairy_EfficiencyOfUseOfMetabolizableEnergy_Variable">_xlfn.LAMBDA("k")</definedName>
    <definedName name="SourceData_Dairy.SourceData_Dairy_EfficiencyOfUseOfMetabolizableEnergy_Variation">_xlfn.LAMBDA("")</definedName>
    <definedName name="SourceData_Dairy.SourceData_Dairy_EFNitrousOxidePerMMS_Data">_xlfn.LAMBDA(_xlfn.MAKEARRAY(6, 3, _xlfn.LAMBDA(_xlpm.r,_xlpm.c, INDEX({"MMS m","EFm","NIR reference";"m=14 Pasture",0,"Pasture range and paddock";"m=1 Anerobic Lagoon",0,"Anaerobic lagoon";"m=2 Daily Spread: Sump and dispersal",0,"Sump and dispersal system";"m=3 Daily Spread: Drains to paddocks",0,"Drains to paddock";"m=4 Solid Storage",0.005,"Solid storage"}, _xlpm.r, _xlpm.c))))</definedName>
    <definedName name="SourceData_Dairy.SourceData_Dairy_EFNitrousOxidePerMMS_Source">_xlfn.LAMBDA("VEERG 2026: Table A.1.3.11")</definedName>
    <definedName name="SourceData_Dairy.SourceData_Dairy_EFNitrousOxidePerMMS_Title">_xlfn.LAMBDA("Table A.1.3.11: Dairy cattle - EF for nitrous oxide per MMS (kg N2O-N/kg N) (EFm)")</definedName>
    <definedName name="SourceData_Dairy.SourceData_Dairy_EFNitrousOxidePerMMS_Unit">_xlfn.LAMBDA("kg N2O-N/kg N")</definedName>
    <definedName name="SourceData_Dairy.SourceData_Dairy_EFNitrousOxidePerMMS_Variable">_xlfn.LAMBDA("EFm")</definedName>
    <definedName name="SourceData_Dairy.SourceData_Dairy_EFNitrousOxidePerMMS_Variation">_xlfn.LAMBDA("VARIATION OF SOURCE: Added 'NIR reference' column to aid lookup")</definedName>
    <definedName name="SourceData_Dairy.SourceData_Dairy_EmissionFactorForLeachingAndRunoff_Data">_xlfn.LAMBDA(0.011)</definedName>
    <definedName name="SourceData_Dairy.SourceData_Dairy_EmissionFactorForLeachingAndRunoff_Source">_xlfn.LAMBDA("VEERG 2026: 4.3.2.3 CONSTANTS")</definedName>
    <definedName name="SourceData_Dairy.SourceData_Dairy_EmissionFactorForLeachingAndRunoff_Title">_xlfn.LAMBDA("Emission factor for leaching and runoff")</definedName>
    <definedName name="SourceData_Dairy.SourceData_Dairy_EmissionFactorForLeachingAndRunoff_Unit">_xlfn.LAMBDA("kg N2O-N/kg N")</definedName>
    <definedName name="SourceData_Dairy.SourceData_Dairy_EmissionFactorForLeachingAndRunoff_Variable">_xlfn.LAMBDA("EF_leach")</definedName>
    <definedName name="SourceData_Dairy.SourceData_Dairy_EmissionFactorForLeachingAndRunoff_Variation">_xlfn.LAMBDA("")</definedName>
    <definedName name="SourceData_Dairy.SourceData_Dairy_FatContentInMilk_Data">_xlfn.LAMBDA(4)</definedName>
    <definedName name="SourceData_Dairy.SourceData_Dairy_FatContentInMilk_Source">_xlfn.LAMBDA("VEERG 2026: 3.3.2.2 DATA (METHOD 1 AND 2 OPTIONS)")</definedName>
    <definedName name="SourceData_Dairy.SourceData_Dairy_FatContentInMilk_Title">_xlfn.LAMBDA("Fat content in fat and protein corrected milk")</definedName>
    <definedName name="SourceData_Dairy.SourceData_Dairy_FatContentInMilk_Unit">_xlfn.LAMBDA("percent")</definedName>
    <definedName name="SourceData_Dairy.SourceData_Dairy_FatContentInMilk_Variable">_xlfn.LAMBDA("FC_j")</definedName>
    <definedName name="SourceData_Dairy.SourceData_Dairy_FatContentInMilk_Variation">_xlfn.LAMBDA("")</definedName>
    <definedName name="SourceData_Dairy.SourceData_Dairy_FracGASMSoil_Data">_xlfn.LAMBDA(0.21)</definedName>
    <definedName name="SourceData_Dairy.SourceData_Dairy_FracGASMSoil_Source">_xlfn.LAMBDA("VEERG 2026: 4.3.2.3 CONSTANTS")</definedName>
    <definedName name="SourceData_Dairy.SourceData_Dairy_FracGASMSoil_Title">_xlfn.LAMBDA("Fraction of nitrogen volatilized from urine and faeces deposited on pasture")</definedName>
    <definedName name="SourceData_Dairy.SourceData_Dairy_FracGASMSoil_Unit">_xlfn.LAMBDA("(kg NH3-N + NOx-N)/kg N")</definedName>
    <definedName name="SourceData_Dairy.SourceData_Dairy_FracGASMSoil_Variable">_xlfn.LAMBDA("FracGASMsoil")</definedName>
    <definedName name="SourceData_Dairy.SourceData_Dairy_FracGASMSoil_Variation">_xlfn.LAMBDA("")</definedName>
    <definedName name="SourceData_Dairy.SourceData_Dairy_FractionOfNitrogenLostThroughLeachingAndRunoff_Data">_xlfn.LAMBDA(0.24)</definedName>
    <definedName name="SourceData_Dairy.SourceData_Dairy_FractionOfNitrogenLostThroughLeachingAndRunoff_Source">_xlfn.LAMBDA("VEERG 2026: 4.3.2.3 CONSTANTS")</definedName>
    <definedName name="SourceData_Dairy.SourceData_Dairy_FractionOfNitrogenLostThroughLeachingAndRunoff_Title">_xlfn.LAMBDA("Default fraction of N that is lost through leaching and runoff when manure is excreted to pasture, range and paddock (m=14).")</definedName>
    <definedName name="SourceData_Dairy.SourceData_Dairy_FractionOfNitrogenLostThroughLeachingAndRunoff_Unit">_xlfn.LAMBDA("Fraction")</definedName>
    <definedName name="SourceData_Dairy.SourceData_Dairy_FractionOfNitrogenLostThroughLeachingAndRunoff_Variable">_xlfn.LAMBDA("Frac_LEACH_MS")</definedName>
    <definedName name="SourceData_Dairy.SourceData_Dairy_FractionOfNitrogenLostThroughLeachingAndRunoff_Variation">_xlfn.LAMBDA("")</definedName>
    <definedName name="SourceData_Dairy.SourceData_Dairy_FractionOfNitrogenLostThroughLeachingAndRunoffSolidStorage_Data">_xlfn.LAMBDA(0.02)</definedName>
    <definedName name="SourceData_Dairy.SourceData_Dairy_FractionOfNitrogenLostThroughLeachingAndRunoffSolidStorage_Source">_xlfn.LAMBDA("VEERG 2026: 4.3.2.3 CONSTANTS")</definedName>
    <definedName name="SourceData_Dairy.SourceData_Dairy_FractionOfNitrogenLostThroughLeachingAndRunoffSolidStorage_Title">_xlfn.LAMBDA("Fraction of nitrogen lost through leaching and runoff for solid storage MMS only")</definedName>
    <definedName name="SourceData_Dairy.SourceData_Dairy_FractionOfNitrogenLostThroughLeachingAndRunoffSolidStorage_Unit">_xlfn.LAMBDA("Fraction")</definedName>
    <definedName name="SourceData_Dairy.SourceData_Dairy_FractionOfNitrogenLostThroughLeachingAndRunoffSolidStorage_Variable">_xlfn.LAMBDA("Frac_LEACH_MS")</definedName>
    <definedName name="SourceData_Dairy.SourceData_Dairy_FractionOfNitrogenLostThroughLeachingAndRunoffSolidStorage_Variation">_xlfn.LAMBDA("")</definedName>
    <definedName name="SourceData_Dairy.SourceData_Dairy_FractionVolatileSolidsVoidedMMS_Data">_xlfn.LAMBDA(
    _xlfn.MAKEARRAY(5, 4,
      _xlfn.LAMBDA(_xlpm.r,_xlpm.c,
        INDEX({"Area","Pasture","Milking Shed","Feedpad";"System 1: Grazed Only",0.89,0.11,0;"System 2: On feedpad for &lt;10 hr/day for &lt;3 months/year",0.79,0.11,0.1;"System 3: Pasture-grazed 3-9 months/year",0.534,0.11,0.356;"System 4: Zero grazing",0,0.11,0.89}, _xlpm.r, _xlpm.c)
      )
    )
  )</definedName>
    <definedName name="SourceData_Dairy.SourceData_Dairy_FractionVolatileSolidsVoidedMMS_Source">_xlfn.LAMBDA("VEERG 2026: Table A.1.3.10")</definedName>
    <definedName name="SourceData_Dairy.SourceData_Dairy_FractionVolatileSolidsVoidedMMS_Title">_xlfn.LAMBDA("Table A.1.3.10: Dairy cattle - Fraction of volatile solids voided to each manure management system (fraction) (MMSjm)")</definedName>
    <definedName name="SourceData_Dairy.SourceData_Dairy_FractionVolatileSolidsVoidedMMS_Unit">_xlfn.LAMBDA("fraction")</definedName>
    <definedName name="SourceData_Dairy.SourceData_Dairy_FractionVolatileSolidsVoidedMMS_Variable">_xlfn.LAMBDA("MMSjm")</definedName>
    <definedName name="SourceData_Dairy.SourceData_Dairy_FractionVolatileSolidsVoidedMMS_Variation">_xlfn.LAMBDA("VARIATION OF SOURCE: Excluded 'Annual fraction of time spent per area' row as this information is in the table title.")</definedName>
    <definedName name="SourceData_Dairy.SourceData_Dairy_GrossEnergyContent_Data">_xlfn.LAMBDA(18.4)</definedName>
    <definedName name="SourceData_Dairy.SourceData_Dairy_GrossEnergyContent_Source">_xlfn.LAMBDA("VEERG 2026: 3.3.2.3 CONSTANTS")</definedName>
    <definedName name="SourceData_Dairy.SourceData_Dairy_GrossEnergyContent_Title">_xlfn.LAMBDA("Gross energy content of feed dry matter")</definedName>
    <definedName name="SourceData_Dairy.SourceData_Dairy_GrossEnergyContent_Unit">_xlfn.LAMBDA("MJ / kgDM")</definedName>
    <definedName name="SourceData_Dairy.SourceData_Dairy_GrossEnergyContent_Variable">_xlfn.LAMBDA("GEC")</definedName>
    <definedName name="SourceData_Dairy.SourceData_Dairy_GrossEnergyContent_Variation">_xlfn.LAMBDA("")</definedName>
    <definedName name="SourceData_Dairy.SourceData_Dairy_IncreasedMetabolicRateMilk_Data">_xlfn.LAMBDA(
    _xlfn.MAKEARRAY(3, 2,
      _xlfn.LAMBDA(_xlpm.r,_xlpm.c,
        INDEX({"Animal Class j","MRj";"Milking cows, and house cows",1.1;"All other cattle classes",1}, _xlpm.r, _xlpm.c)
      )
    )
  )</definedName>
    <definedName name="SourceData_Dairy.SourceData_Dairy_IncreasedMetabolicRateMilk_Source">_xlfn.LAMBDA("VEERG 2026: Table A.1.3.9")</definedName>
    <definedName name="SourceData_Dairy.SourceData_Dairy_IncreasedMetabolicRateMilk_Title">_xlfn.LAMBDA("Table A.1.3.9: Dairy cattle - Increased metabolic rate when producing milk (MRj)")</definedName>
    <definedName name="SourceData_Dairy.SourceData_Dairy_IncreasedMetabolicRateMilk_Unit">_xlfn.LAMBDA("")</definedName>
    <definedName name="SourceData_Dairy.SourceData_Dairy_IncreasedMetabolicRateMilk_Variable">_xlfn.LAMBDA("MRj")</definedName>
    <definedName name="SourceData_Dairy.SourceData_Dairy_IncreasedMetabolicRateMilk_Variation">_xlfn.LAMBDA("")</definedName>
    <definedName name="SourceData_Dairy.SourceData_Dairy_LiveweightBulls_Data">_xlfn.LAMBDA(_xlfn.MAKEARRAY(2, 3, _xlfn.LAMBDA(_xlpm.r,_xlpm.c, INDEX({"Breed","Bulls &gt;1","Bulls &lt;1 (weaned)";"All breeds",600,225}, _xlpm.r, _xlpm.c))))</definedName>
    <definedName name="SourceData_Dairy.SourceData_Dairy_LiveweightBulls_Source">_xlfn.LAMBDA("VEERG 2026: Table A.1.3.2")</definedName>
    <definedName name="SourceData_Dairy.SourceData_Dairy_LiveweightBulls_Title">_xlfn.LAMBDA("Table A.1.3.2: Dairy cattle - Liveweight (kg) - Bulls (Wj)")</definedName>
    <definedName name="SourceData_Dairy.SourceData_Dairy_LiveweightBulls_Unit">_xlfn.LAMBDA("kg")</definedName>
    <definedName name="SourceData_Dairy.SourceData_Dairy_LiveweightBulls_Variable">_xlfn.LAMBDA("Wj")</definedName>
    <definedName name="SourceData_Dairy.SourceData_Dairy_LiveweightBulls_Variation">_xlfn.LAMBDA("")</definedName>
    <definedName name="SourceData_Dairy.SourceData_Dairy_LiveweightCowsAndHeifers_Data">_xlfn.LAMBDA(_xlfn.MAKEARRAY(11, 4, _xlfn.LAMBDA(_xlpm.r,_xlpm.c, INDEX({"Breed","Milking Cows","Heifers &gt;1","Heifers &lt;1 (weaned)";"Medium Friesian",550,380,155;"Large Friesian",600,415,170;"Holstein-Friesian",650,450,185;"Friesian crossbred",500,350,145;"Jersey",400,275,115;"Jersey crossbred",450,315,130;"Ayrshire",540,375,150;"Guernsey",480,335,140;"Brown Swiss",600,415,170;"Illawarra/Aussie Red",550,375,150}, _xlpm.r, _xlpm.c))))</definedName>
    <definedName name="SourceData_Dairy.SourceData_Dairy_LiveweightCowsAndHeifers_Source">_xlfn.LAMBDA("VEERG 2026: Table A.1.3.1")</definedName>
    <definedName name="SourceData_Dairy.SourceData_Dairy_LiveweightCowsAndHeifers_Title">_xlfn.LAMBDA("Table A.1.3.1: Dairy cattle - Liveweight (kg) - Cows and Heifers (Wj)")</definedName>
    <definedName name="SourceData_Dairy.SourceData_Dairy_LiveweightCowsAndHeifers_Unit">_xlfn.LAMBDA("kg")</definedName>
    <definedName name="SourceData_Dairy.SourceData_Dairy_LiveweightCowsAndHeifers_Variable">_xlfn.LAMBDA("Wj")</definedName>
    <definedName name="SourceData_Dairy.SourceData_Dairy_LiveweightGain_Data">_xlfn.LAMBDA(_xlfn.MAKEARRAY(2, 5, _xlfn.LAMBDA(_xlpm.r,_xlpm.c, INDEX({"Milking Cows","Heifers &gt;1","Heifers &lt;1 (weaned)","Bulls &gt;1","Bulls &lt;1 (weaned)";0.016,0.6,0.57,0.1,0.8}, _xlpm.r, _xlpm.c))))</definedName>
    <definedName name="SourceData_Dairy.SourceData_Dairy_LiveweightGain_Source">_xlfn.LAMBDA("VEERG 2026: Table A.1.3.3")</definedName>
    <definedName name="SourceData_Dairy.SourceData_Dairy_LiveweightGain_Title">_xlfn.LAMBDA("Table A.1.3.3: Dairy cattle - Liveweight gain (kg) (LWGj)")</definedName>
    <definedName name="SourceData_Dairy.SourceData_Dairy_LiveweightGain_Unit">_xlfn.LAMBDA("kg")</definedName>
    <definedName name="SourceData_Dairy.SourceData_Dairy_LiveweightGain_Variable">_xlfn.LAMBDA("LWGj")</definedName>
    <definedName name="SourceData_Dairy.SourceData_Dairy_LiveweightGain_Variation">_xlfn.LAMBDA("")</definedName>
    <definedName name="SourceData_Dairy.SourceData_Dairy_MCF_Data">_xlfn.LAMBDA(
    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
      )
    )
  )</definedName>
    <definedName name="SourceData_Dairy.SourceData_Dairy_MCF_Source">_xlfn.LAMBDA("VEERG 2026: Table A.1.3.6")</definedName>
    <definedName name="SourceData_Dairy.SourceData_Dairy_MCF_Title">_xlfn.LAMBDA("Table A.1.3.6: Dairy cattle - Dairy cattle - MCFs (fraction) (MCFjm)")</definedName>
    <definedName name="SourceData_Dairy.SourceData_Dairy_MCF_Unit">_xlfn.LAMBDA("fraction")</definedName>
    <definedName name="SourceData_Dairy.SourceData_Dairy_MCF_Variable">_xlfn.LAMBDA("MCFjm")</definedName>
    <definedName name="SourceData_Dairy.SourceData_Dairy_MCF_Variation">_xlfn.LAMBDA("VARIATION OF SOURCE: Added 'NIR reference' column to aid lookup")</definedName>
    <definedName name="SourceData_Dairy.SourceData_Dairy_MethaneEmissionsPotential_Data">_xlfn.LAMBDA(0.24)</definedName>
    <definedName name="SourceData_Dairy.SourceData_Dairy_MethaneEmissionsPotential_Source">_xlfn.LAMBDA("VEERG 2026: 4.3.2.3 CONSTANTS")</definedName>
    <definedName name="SourceData_Dairy.SourceData_Dairy_MethaneEmissionsPotential_Title">_xlfn.LAMBDA("Methane emissions potential")</definedName>
    <definedName name="SourceData_Dairy.SourceData_Dairy_MethaneEmissionsPotential_Unit">_xlfn.LAMBDA("m3 CH4/kgVS")</definedName>
    <definedName name="SourceData_Dairy.SourceData_Dairy_MethaneEmissionsPotential_Variable">_xlfn.LAMBDA("B_o")</definedName>
    <definedName name="SourceData_Dairy.SourceData_Dairy_MethaneEmissionsPotential_Variation">_xlfn.LAMBDA("")</definedName>
    <definedName name="SourceData_Dairy.SourceData_Dairy_MethaneProductionPreWeanedCalves_Data">_xlfn.LAMBDA(_xlfn.MAKEARRAY(3, 2, _xlfn.LAMBDA(_xlpm.r,_xlpm.c, INDEX({"Animal Class j","MPWENTERIC";"Heifers &lt; 1 year",0.0176;"Bulls &lt; 1 year",0.0204}, _xlpm.r, _xlpm.c))))</definedName>
    <definedName name="SourceData_Dairy.SourceData_Dairy_MethaneProductionPreWeanedCalves_Source">_xlfn.LAMBDA("VEERG 2026: Table A.1.3.8")</definedName>
    <definedName name="SourceData_Dairy.SourceData_Dairy_MethaneProductionPreWeanedCalves_Title">_xlfn.LAMBDA("Table A.1.3.8: Dairy cattle - Methane production for pre-weaned heifer and bull calves (kg CH4/head/day) (MPWENTERIC,j=3,5)")</definedName>
    <definedName name="SourceData_Dairy.SourceData_Dairy_MethaneProductionPreWeanedCalves_Unit">_xlfn.LAMBDA("kg CH4/head/day")</definedName>
    <definedName name="SourceData_Dairy.SourceData_Dairy_MethaneProductionPreWeanedCalves_Variable">_xlfn.LAMBDA("MPWENTERIC,j=3,5")</definedName>
    <definedName name="SourceData_Dairy.SourceData_Dairy_MethaneProductionPreWeanedCalves_Variation">_xlfn.LAMBDA("")</definedName>
    <definedName name="SourceData_Dairy.SourceData_Dairy_NetEnergy_Data">_xlfn.LAMBDA(3.054)</definedName>
    <definedName name="SourceData_Dairy.SourceData_Dairy_NetEnergy_Source">_xlfn.LAMBDA("VEERG 2026: 3.3.2.3 CONSTANTS")</definedName>
    <definedName name="SourceData_Dairy.SourceData_Dairy_NetEnergy_Title">_xlfn.LAMBDA("Net energy required for milk production")</definedName>
    <definedName name="SourceData_Dairy.SourceData_Dairy_NetEnergy_Unit">_xlfn.LAMBDA("MJ net energy / kg milk")</definedName>
    <definedName name="SourceData_Dairy.SourceData_Dairy_NetEnergy_Variable">_xlfn.LAMBDA("NE")</definedName>
    <definedName name="SourceData_Dairy.SourceData_Dairy_NetEnergy_Variation">_xlfn.LAMBDA("")</definedName>
    <definedName name="SourceData_Dairy.SourceData_Dairy_NitrousOxideEFsAndFracGASM_Data">_xlfn.LAMBDA(_xlfn.MAKEARRAY(6, 4, _xlfn.LAMBDA(_xlpm.r,_xlpm.c, INDEX({"MMS m","EFm (kg N2O-N/kg N excreted)","FracGASMm (kg N2O-N/kg N excreted)","NIR reference";"M=14 Pasture",0,0,"Pasture range and paddock";"M=1 Anaerobic lagoon",0,0.35,"Anaerobic lagoon";"M=2 Daily Spread - Sump and Dispersal",0,0.07,"Sump and dispersal system";"M=3 Daily Spread - Drains to Paddock",0,0.2,"Drains to paddock";"M=3 Solid Storage",0.005,0.3,"Solid storage"}, _xlpm.r, _xlpm.c))))</definedName>
    <definedName name="SourceData_Dairy.SourceData_Dairy_NitrousOxideEFsAndFracGASM_Source">_xlfn.LAMBDA("VEERG 2026: Table A.1.3.7")</definedName>
    <definedName name="SourceData_Dairy.SourceData_Dairy_NitrousOxideEFsAndFracGASM_Title">_xlfn.LAMBDA("Table A.1.3.7: Dairy cattle - Nitrous oxide EFs and fraction of N volatilised by MMS")</definedName>
    <definedName name="SourceData_Dairy.SourceData_Dairy_NitrousOxideEFsAndFracGASM_Unit">_xlfn.LAMBDA("kg N2O-N/kg N excreted")</definedName>
    <definedName name="SourceData_Dairy.SourceData_Dairy_NitrousOxideEFsAndFracGASM_Variable">_xlfn.LAMBDA("EFm; FracGASMm")</definedName>
    <definedName name="SourceData_Dairy.SourceData_Dairy_NitrousOxideEFsAndFracGASM_Variation">_xlfn.LAMBDA("VARIATION OF SOURCE: Added 'NIR reference' column to aid lookup")</definedName>
    <definedName name="SourceData_Dairy.SourceData_Dairy_PreWeanedCalves_Data">_xlfn.LAMBDA(_xlfn.MAKEARRAY(4, 4, _xlfn.LAMBDA(_xlpm.r,_xlpm.c, INDEX({"Animal class j","CH4 production","Volatile solids (VSj=3,5)","Nitrogen Excreted (NPWj=3,5)";"","(kg/day)","(kg/day)","(kg/day)";"Heifers&lt;1",0.0176,0.2685,0.0137;"Bulls&lt;1",0.0204,0.3003,0.0092}, _xlpm.r, _xlpm.c))))</definedName>
    <definedName name="SourceData_Dairy.SourceData_Dairy_PreWeanedCalves_Source">_xlfn.LAMBDA("VEERG 2026: Table A.1.3.5")</definedName>
    <definedName name="SourceData_Dairy.SourceData_Dairy_PreWeanedCalves_Title">_xlfn.LAMBDA("Table A.1.3.5: Dairy cattle - Data for pre - weaned calves")</definedName>
    <definedName name="SourceData_Dairy.SourceData_Dairy_PreWeanedCalves_Unit">_xlfn.LAMBDA("kg/day")</definedName>
    <definedName name="SourceData_Dairy.SourceData_Dairy_PreWeanedCalves_Variable">_xlfn.LAMBDA("VSj=3,5; NPWj=3,5")</definedName>
    <definedName name="SourceData_Dairy.SourceData_Dairy_PreWeanedCalves_Variation">_xlfn.LAMBDA("VARIATION OF SOURCE: Added 'Animal class j' column header")</definedName>
    <definedName name="SourceData_Dairy.SourceData_Dairy_ProteinContentInMilk_Data">_xlfn.LAMBDA(3.3)</definedName>
    <definedName name="SourceData_Dairy.SourceData_Dairy_ProteinContentInMilk_Source">_xlfn.LAMBDA("VEERG 2026: 3.3.2.2 DATA (METHOD 1 AND 2 OPTIONS)")</definedName>
    <definedName name="SourceData_Dairy.SourceData_Dairy_ProteinContentInMilk_Title">_xlfn.LAMBDA("Protein content in fat and protein corrected milk")</definedName>
    <definedName name="SourceData_Dairy.SourceData_Dairy_ProteinContentInMilk_Unit">_xlfn.LAMBDA("percent")</definedName>
    <definedName name="SourceData_Dairy.SourceData_Dairy_ProteinContentInMilk_Variable">_xlfn.LAMBDA("PC_j")</definedName>
    <definedName name="SourceData_Dairy.SourceData_Dairy_ProteinContentInMilk_Variation">_xlfn.LAMBDA("")</definedName>
    <definedName name="SourceData_Dairy.SourceData_Dairy_ReferenceWeights_Data">_xlfn.LAMBDA(_xlfn.MAKEARRAY(2, 5, _xlfn.LAMBDA(_xlpm.r,_xlpm.c, INDEX({"Milking Cows","Heifers &gt;1","Heifers &lt;1 (weaned)","Bulls &gt;1","Bulls &lt;1 (weaned)";590,590,590,770,770}, _xlpm.r, _xlpm.c))))</definedName>
    <definedName name="SourceData_Dairy.SourceData_Dairy_ReferenceWeights_Source">_xlfn.LAMBDA("VEERG 2026: Table A.1.3.4")</definedName>
    <definedName name="SourceData_Dairy.SourceData_Dairy_ReferenceWeights_Title">_xlfn.LAMBDA("Table A.1.3.4: Dairy cattle - Reference weights (kg) (WRj)")</definedName>
    <definedName name="SourceData_Dairy.SourceData_Dairy_ReferenceWeights_Unit">_xlfn.LAMBDA("kg")</definedName>
    <definedName name="SourceData_Dairy.SourceData_Dairy_ReferenceWeights_Variable">_xlfn.LAMBDA("WRj")</definedName>
    <definedName name="SourceData_Dairy.SourceData_Dairy_ReferenceWeights_Variation">_xlfn.LAMBDA("")</definedName>
    <definedName name="SourceData_Dairy.SourceData_Dairy_Symbols_Livestock_Dairy_DairyCattleClasses_Data">_xlfn.LAMBDA(_xlfn.MAKEARRAY(6, 3, _xlfn.LAMBDA(_xlpm.r,_xlpm.c, INDEX({"Symbol","State/ territory (i)","";1,"Milking cows","Milking cows (1)";2,"Heifers &gt; 1 year","Heifers &gt; 1 year (2)";3,"Heifers &lt; 1 year","Heifers &lt; 1 year (3)";4,"Bulls &gt; 1 year","Bulls &gt; 1 year (4)";5,"Bulls &lt; 1 year","Bulls &lt; 1 year (5)"}, _xlpm.r, _xlpm.c))))</definedName>
    <definedName name="SourceData_Dairy.SourceData_Dairy_Symbols_Livestock_Dairy_DairyCattleClasses_Source">_xlfn.LAMBDA("National Inventory Report 2023 Volume 1")</definedName>
    <definedName name="SourceData_Dairy.SourceData_Dairy_Symbols_Livestock_Dairy_DairyCattleClasses_Title">_xlfn.LAMBDA("Table 5.2 Symbols used in algorithms for dairy cattle - Dairy cattle classes (j)")</definedName>
    <definedName name="SourceData_Dairy.SourceData_Dairy_Symbols_Livestock_Dairy_DairyCattleClasses_Unit">_xlfn.LAMBDA("")</definedName>
    <definedName name="SourceData_Dairy.SourceData_Dairy_Symbols_Livestock_Dairy_DairyCattleClasses_Variable">_xlfn.LAMBDA("j")</definedName>
    <definedName name="SourceData_Dairy.SourceData_Dairy_Symbols_Livestock_Dairy_StateTerritory_Data">_xlfn.LAMBDA(_xlfn.MAKEARRAY(9, 2, _xlfn.LAMBDA(_xlpm.r,_xlpm.c, INDEX({"Symbol","State/ territory (i)";1,"ACT";2,"Northern Territory";3,"NSW";4,"Queensland";5,"Tasmania";6,"South Australia";7,"Victoria";8,"Western Australia"}, _xlpm.r, _xlpm.c))))</definedName>
    <definedName name="SourceData_Dairy.SourceData_Dairy_Symbols_Livestock_Dairy_StateTerritory_Source">_xlfn.LAMBDA("National Inventory Report 2023 Volume 1")</definedName>
    <definedName name="SourceData_Dairy.SourceData_Dairy_Symbols_Livestock_Dairy_StateTerritory_Title">_xlfn.LAMBDA("Table 5.2 Symbols used in algorithms for dairy cattle - State/Territory (i)")</definedName>
    <definedName name="SourceData_Dairy.SourceData_Dairy_Symbols_Livestock_Dairy_StateTerritory_Unit">_xlfn.LAMBDA("")</definedName>
    <definedName name="SourceData_Dairy.SourceData_Dairy_Symbols_Livestock_Dairy_StateTerritory_Variable">_xlfn.LAMBDA("s")</definedName>
    <definedName name="SourceData_Feedlot.SourceData_Feedlot_AshContent_Data">_xlfn.LAMBDA(0.16)</definedName>
    <definedName name="SourceData_Feedlot.SourceData_Feedlot_AshContent_Source">_xlfn.LAMBDA("VEERG 2026: 4.1.2.3 CONSTANTS")</definedName>
    <definedName name="SourceData_Feedlot.SourceData_Feedlot_AshContent_Title">_xlfn.LAMBDA("Ash content of manure.")</definedName>
    <definedName name="SourceData_Feedlot.SourceData_Feedlot_AshContent_Unit">_xlfn.LAMBDA("Fraction")</definedName>
    <definedName name="SourceData_Feedlot.SourceData_Feedlot_AshContent_Variable">_xlfn.LAMBDA("A")</definedName>
    <definedName name="SourceData_Feedlot.SourceData_Feedlot_AshContent_Variation">_xlfn.LAMBDA("")</definedName>
    <definedName name="SourceData_Feedlot.SourceData_Feedlot_MCF_Data">_xlfn.LAMBDA(_xlfn.MAKEARRAY(6, 11, _xlfn.LAMBDA(_xlpm.r,_xlpm.c, INDEX({"Treatment stage T","MMS m","NSW","ACT","QLD","NT","SA","VIC","WA","TAS","NIR definition";"Primary","Dry lot (Feedpad)",0.01,0.01,0.03,"No data",0.01,0.01,0.01,"No data","Drylot (feed pad)";"Secondary","Solid Storage (Stockpile)",0.02,0.02,0.02,"No data",0.02,0.02,0.02,"No data","Solid storage";"Secondary","Composting (Passive Windrow)",0.01,0.01,0.01,"No data",0.01,0.01,0.01,"No data","Composting (passive windrow)";"Secondary","Direct Application to soil",0,0,0,"No data",0,0,0,"No data","Direct application";"Tertiary","Uncovered anaerobic lagoon (Effluent pond)",0.75,0.75,0.77,"No data",0.75,0.75,0.77,"No data","Anaerobic lagoon"}, _xlpm.r, _xlpm.c))))</definedName>
    <definedName name="SourceData_Feedlot.SourceData_Feedlot_MCF_Source">_xlfn.LAMBDA("VEERG 2026: Table A.1.7.4: Feedlot - MCFs")</definedName>
    <definedName name="SourceData_Feedlot.SourceData_Feedlot_MCF_Title">_xlfn.LAMBDA("Feedlot - MCFs")</definedName>
    <definedName name="SourceData_Feedlot.SourceData_Feedlot_MCF_Unit">_xlfn.LAMBDA("")</definedName>
    <definedName name="SourceData_Feedlot.SourceData_Feedlot_MCF_Variation">_xlfn.LAMBDA(_xlfn.MAKEARRAY(4, 1, _xlfn.LAMBDA(_xlpm.r,_xlpm.c, INDEX({"VARIATION ON SOURCE:";"Duplicated NSW values for ACT";"Added NT and TAS columns with 'no data' values";"Added 'NIR definition' column with MMS names that match NIR definitions."}, _xlpm.r, _xlpm.c))))</definedName>
    <definedName name="SourceData_Feedlot.SourceData_Feedlot_MethaneEmissionsPotential_Data">_xlfn.LAMBDA(0.19)</definedName>
    <definedName name="SourceData_Feedlot.SourceData_Feedlot_MethaneEmissionsPotential_Source">_xlfn.LAMBDA("VEERG 2026: 4.1.2.3 CONSTANTS")</definedName>
    <definedName name="SourceData_Feedlot.SourceData_Feedlot_MethaneEmissionsPotential_Title">_xlfn.LAMBDA("Methane emissions potential.")</definedName>
    <definedName name="SourceData_Feedlot.SourceData_Feedlot_MethaneEmissionsPotential_Unit">_xlfn.LAMBDA("m3 CH4 / kg VS")</definedName>
    <definedName name="SourceData_Feedlot.SourceData_Feedlot_MethaneEmissionsPotential_Variable">_xlfn.LAMBDA("B0")</definedName>
    <definedName name="SourceData_Feedlot.SourceData_Feedlot_MethaneEmissionsPotential_Variation">_xlfn.LAMBDA("")</definedName>
    <definedName name="SourceData_Feedlot.SourceData_Feedlot_MMSm1T3_Data">_xlfn.LAMBDA(0.02)</definedName>
    <definedName name="SourceData_Feedlot.SourceData_Feedlot_MMSm1T3_Source">_xlfn.LAMBDA("VEERG 2026: 4.1.2.3 CONSTANTS")</definedName>
    <definedName name="SourceData_Feedlot.SourceData_Feedlot_MMSm1T3_Title">_xlfn.LAMBDA("Fraction of volatile solids to each tertiary system assumed that 2 per cent is run - off from the feed pad.")</definedName>
    <definedName name="SourceData_Feedlot.SourceData_Feedlot_MMSm1T3_Unit">_xlfn.LAMBDA("Fraction")</definedName>
    <definedName name="SourceData_Feedlot.SourceData_Feedlot_MMSm1T3_Variable">_xlfn.LAMBDA("MMSm1T3")</definedName>
    <definedName name="SourceData_Feedlot.SourceData_Feedlot_MMSm1T3_Variation">_xlfn.LAMBDA("")</definedName>
    <definedName name="SourceData_Feedlot.SourceData_Feedlot_VSL_Data">_xlfn.LAMBDA(0.5)</definedName>
    <definedName name="SourceData_Feedlot.SourceData_Feedlot_VSL_Source">_xlfn.LAMBDA("VEERG 2026: 4.1.2.3 CONSTANTS")</definedName>
    <definedName name="SourceData_Feedlot.SourceData_Feedlot_VSL_Title">_xlfn.LAMBDA("Feedlot - Fraction of volatile solids lost during storage in the primary system")</definedName>
    <definedName name="SourceData_Feedlot.SourceData_Feedlot_VSL_Unit">_xlfn.LAMBDA("Fraction")</definedName>
    <definedName name="SourceData_Feedlot.SourceData_Feedlot_VSL_Variable">_xlfn.LAMBDA("VSL")</definedName>
    <definedName name="SourceData_Feedlot.SourceData_Feedlot_VSL_Variation">_xlfn.LAMBDA("")</definedName>
    <definedName name="SourceData_PastureBeef.NIR_2023_Vol2_A5_5_2_1_PastureBeef_Liveweight_Data">_xlfn.LAMBDA(_xlfn.MAKEARRAY(61, 15, _xlfn.LAMBDA(_xlpm.r,_xlpm.c, INDEX({"State","Region","Season","Bulls &lt; 1","Bulls &gt; 1","Cows &lt; 1","Cows 1-2","Cows &gt; 2","Cows 2-3","Cows &gt; 3","Steers &lt; 1","Steers &gt; 1","Steers 1-2","Steers 2-3","Steers &gt; 3";"ACT","","Spring",80,480,75,300,440,"","",75,380,"","","";"ACT","","Summer",170,520,160,360,470,"","",160,420,"","","";"ACT","","Autumn",240,550,220,390,490,"","",220,450,"","","";"ACT","","Winter",280,560,260,410,500,"","",260,460,"","","";"NSW","","Spring",80,480,75,300,440,"","",75,380,"","","";"NSW","","Summer",170,520,160,360,470,"","",160,420,"","","";"NSW","","Autumn",240,550,220,390,490,"","",220,450,"","","";"NSW","","Winter",280,560,260,410,500,"","",260,460,"","","";"SA","","Spring",250,800,220,400,500,"","",230,420,"","","";"SA","","Summer",320,800,280,420,500,"","",290,420,"","","";"SA","","Autumn",80,700,70,300,450,"","",75,400,"","","";"SA","","Winter",160,700,140,350,450,"","",150,400,"","","";"TAS","","Spring",105,700,85,300,490,"","",90,480,"","","";"TAS","","Summer",480,750,150,350,530,"","",160,460,"","","";"TAS","","Autumn",250,725,200,360,500,"","",215,490,"","","";"TAS","","Winter",260,700,210,380,460,"","",230,470,"","","";"VIC","","Spring",250,820,240,410,560,"","",240,510,"","","";"VIC","","Summer",280,850,260,440,550,"","",270,520,"","","";"VIC","","Autumn",100,700,95,300,450,"","",95,410,"","","";"VIC","","Winter",150,720,140,320,470,"","",140,440,"","","";"WA","South West","Spring",340,800,260,420,550,"","",300,480,"","","";"WA","South West","Summer",380,780,300,450,530,"","",340,470,"","","";"WA","South West","Autumn",100,680,80,320,480,"","",100,340,"","","";"WA","South West","Winter",190,700,150,330,490,"","",170,360,"","","";"WA","Pilbara","Spring",80,450,70,260,340,"","",80,370,"","","";"WA","Pilbara","Summer",150,500,140,310,360,"","",150,400,"","","";"WA","Pilbara","Autumn",230,550,220,330,380,"","",230,420,"","","";"WA","Pilbara","Winter",250,500,240,340,360,"","",250,390,"","","";"WA","Kimberley","Spring:",220,500,180,300,320,"","",210,340,"","","";"WA","Kimberley","Summer:",110,550,90,220,380,"","",100,390,"","","";"WA","Kimberley","Autumn:",170,600,140,270,390,"","",160,430,"","","";"WA","Kimberley","Winter:",200,550,150,280,350,"","",190,400,"","","";"NT","Alice Springs","Spring",220,706,208,323,"",415,467,223,"",371,493,585;"NT","Alice Springs","Summer",110,703,112,256,"",368,465,108,"",280,421,543;"NT","Alice Springs","Autumn",170,721,169,306,"",392,464,176,"",339,470,580;"NT","Alice Springs","Winter",200,727,211,338,"",432,492,222,"",377,498,590;"NT","Barkly","Spring",220,620,227,319,"",398,452,216,"",334,0,0;"NT","Barkly","Summer",110,650,108,262,"",346,430,111,"",236,0,0;"NT","Barkly","Autumn",170,670,170,266,"",363,444,169,"",282,0,0;"NT","Barkly","Winter",200,660,225,307,"",398,452,214,"",326,0,0;"NT","Northern","Spring",220,620,177,267,"",365,406,231,"",249,324,0;"NT","Northern","Summer",110,650,102,203,"",299,380,102,"",218,263,0;"NT","Northern","Autumn",170,670,173,250,"",336,414,175,"",243,304,0;"NT","Northern","Winter",200,660,202,272,"",365,390,208,"",260,337,0;"QLD","High","Spring",260,705,215,302,"",416,519,234,"",455,551,660;"QLD","High","Summer",153,703,118,277,"",397,483,111,"",304,521,547;"QLD","High","Autumn",168,718,191,319,"",440,506,188,"",326,520,582;"QLD","High","Winter",235,722,207,352,"",470,514,209,"",421,512,605;"QLD","Moderate/High","Spring",230,674,217,"",344,357,467,242,"",370,550,620;"QLD","Moderate/High","Summer",113,669,113,"",283,361,477,120,"",273,545,553;"QLD","Moderate/High","Autumn",172,685,172,"",309,376,471,238,"",329,573,620;"QLD","Moderate/High","Winter",241,692,208,"",344,364,484,260,"",350,567,620;"QLD","Moderate/Low","Spring",236,674,178,"",310,428,466,193,"",370,519,565;"QLD","Moderate/Low","Summer",120,669,112,"",250,390,448,115,"",273,433,556;"QLD","Moderate/Low","Autumn",125,685,140,"",277,407,455,141,"",296,445,593;"QLD","Moderate/Low","Winter",180,692,183,"",316,438,468,189,"",354,500,553;"QLD","Low","Spring",190,617,174,"",265,371,415,170,"",272,392,531;"QLD","Low","Summer",119,591,140,"",205,310,405,133,"",218,315,445;"QLD","Low","Autumn",175,610,163,"",232,351,427,146,"",242,320,471;"QLD","Low","Winter",192,615,162,"",255,364,420,157,"",261,342,484}, _xlpm.r, _xlpm.c))))</definedName>
    <definedName name="SourceData_PastureBeef.NIR_2023_Vol2_A5_5_2_1_PastureBeef_Liveweight_Source">_xlfn.LAMBDA("National Inventory Report 2023 Volume 2 - Table A5.5.2.1")</definedName>
    <definedName name="SourceData_PastureBeef.NIR_2023_Vol2_A5_5_2_1_PastureBeef_Liveweight_Title">_xlfn.LAMBDA("Beef cattle - Liveweight")</definedName>
    <definedName name="SourceData_PastureBeef.NIR_2023_Vol2_A5_5_2_1_PastureBeef_Liveweight_Unit">_xlfn.LAMBDA("kg/head/day")</definedName>
    <definedName name="SourceData_PastureBeef.NIR_2023_Vol2_A5_5_2_1_PastureBeef_Liveweight_Variation">_xlfn.LAMBDA("")</definedName>
    <definedName name="SourceData_PastureBeef.NIR_2023_Vol2_A5_5_2_2_PastureBeef_LiveweightGain_Data">_xlfn.LAMBDA(_xlfn.MAKEARRAY(61, 15, _xlfn.LAMBDA(_xlpm.r,_xlpm.c, INDEX({"State","Region","Season","Bulls &lt; 1","Bulls &gt; 1","Cows &lt; 1","Cows 1-2","Cows &gt; 2","Cows 2-3","Cows &gt; 3","Steers &lt; 1","Steers &gt; 1","Steers 1-2","Steers 2-3","Steers &gt; 3";"ACT","","Spring",0.5,0.2,0.5,0.4,0.3,"","",0.5,0.4,"","","";"ACT","","Summer",1,0.4,0.9,0.7,0.3,"","",0.9,0.4,"","","";"ACT","","Autumn",0.8,0.3,0.7,0.3,0.2,"","",0.7,0.3,"","","";"ACT","","Winter",0.4,0.1,0.4,0.2,0.1,"","",0.4,0.1,"","","";"NSW","","Spring",0.5,0.2,0.5,0.4,0.3,"","",0.5,0.4,"","","";"NSW","","Summer",1,0.4,0.9,0.7,0.3,"","",0.9,0.4,"","","";"NSW","","Autumn",0.8,0.3,0.7,0.3,0.2,"","",0.7,0.3,"","","";"NSW","","Winter",0.4,0.1,0.4,0.2,0.1,"","",0.4,0.1,"","","";"SA","","Spring",0.99,1.1,0.88,0.55,0.55,"","",0.88,0.22,"","","";"SA","","Summer",0.77,0,0.66,0.22,0,"","",0.66,0,"","","";"SA","","Autumn",0.9,-1.1,0.7,0.22,-0.55,"","",0.8,-0.22,"","","";"SA","","Winter",0.88,0,0.77,0.55,0,"","",0.82,0,"","","";"TAS","","Spring",1,0.5,1,1,-0.44,"","",1,0.5,"","","";"TAS","","Summer",0.82,0.55,0.71,0.55,0.99,"","",0.77,0.5,"","","";"TAS","","Autumn",0.77,0.5,0.55,0.11,-0.33,"","",0.6,0.33,"","","";"TAS","","Winter",0.11,-0.27,0.11,0.22,-0.44,"","",0.16,-0.22,"","","";"VIC","","Spring",1.1,1.1,1.1,0.99,0.99,"","",1.1,0.77,"","","";"VIC","","Summer",0.33,0.33,0.22,0.33,-0.1,"","",0.33,0.11,"","","";"VIC","","Autumn",0.5,0.2,0.55,0.44,0.2,"","",0.55,0.2,"","","";"VIC","","Winter",0.55,0.22,0.49,0.22,0.22,"","",0.49,0.33,"","","";"WA","South West","Spring",1.64,1.1,1.21,0.99,0.66,"","",1.42,1.1,"","","";"WA","South West","Summer",0.44,-0.22,0.44,0.33,-0.22,"","",0.44,-0.11,"","","";"WA","South West","Autumn",0.6,0,0.6,0.22,-0.55,"","",0.6,0,"","","";"WA","South West","Winter",0.99,0.22,0.77,0.11,0.11,"","",0.77,0.44,"","","";"WA","Pilbara","Spring",0.7,-0.55,0.7,0.22,-0.22,"","",0.7,-0.22,"","","";"WA","Pilbara","Summer",0.77,0.55,0.77,0.66,0.55,"","",0.77,0.33,"","","";"WA","Pilbara","Autumn",0.88,0.55,0.88,0.22,0.22,"","",0.88,0.22,"","","";"WA","Pilbara","Winter",0.22,-0.55,0.22,0.11,-0.22,"","",0.22,-0.33,"","","";"WA","Kimberley","Spring",0.22,-0.55,0.33,0.22,-0.33,"","",0.22,-0.55,"","","";"WA","Kimberley","Summer",0.8,0.55,0.7,0.44,0.66,"","",0.8,0.55,"","","";"WA","Kimberley","Autumn",0.66,0.55,0.55,0.55,0.11,"","",0.66,0.55,"","","";"WA","Kimberley","Winter",0.33,-0.55,0.11,0.11,-0.44,"","",0.33,-0.55,"","","";"NT","Alice Springs","Spring",0.22,-0.23,0.25,0.17,"",0.18,-0.28,0.32,"",0.24,0.25,-0.05;"NT","Alice Springs","Summer",0.66,0.2,0.62,0.54,"",0.38,0.27,0.75,"",0.64,0.55,0.48;"NT","Alice Springs","Autumn",0.49,0.13,0.54,0.45,"",0.35,0.15,0.63,"",0.54,0.42,0.26;"NT","Alice Springs","Winter",0.27,-0.8,0.22,0.09,"",0.12,0.02,0.25,"",0.18,0.12,0.03;"NT","Barkly","Spring",0.22,-0.44,0.2,0.21,"",0.18,0.01,0.12,"",0.09,0,0;"NT","Barkly","Summer",0.66,0.22,0.68,0.22,"",0.24,0.25,0.64,"",0.37,0,0;"NT","Barkly","Autumn",0.49,0.05,0.64,0.25,"",0.29,0.12,0.57,"",0.49,0,0;"NT","Barkly","Winter",0.27,-0.27,0.31,0.29,"",0.19,0.04,0.26,"",0.28,0,0;"NT","Northern","Spring",0.22,-0.44,0,0.15,"",0.08,0.17,0.06,"",0.02,-0.14,0;"NT","Northern","Summer",0.66,0.22,0.79,0.4,"",0.38,0.27,0.8,"",0.16,0.3,0;"NT","Northern","Autumn",0.49,0.05,0.55,0.38,"",0.36,0.06,0.58,"",0.23,0.4,0;"NT","Northern","Winter",0.27,-0.27,0.02,0.09,"",0.16,-0.04,0.21,"",0.03,0.11,0;"QLD","High","Spring",0.27,-0.19,0.38,0.25,"",0.07,0.05,0.52,"",0.55,0.19,0.6;"QLD","High","Summer",0.16,0.16,0.8,0.57,"",0.76,0.49,0.84,"",0.51,0.36,0.17;"QLD","High","Autumn",0.45,0.1,0.49,0.41,"",0.4,0.17,0.54,"",0.64,-0.05,0.32;"QLD","High","Winter",0.51,-0.07,0.13,-0.09,"",-0.13,0.07,0.25,"",0.71,0.17,0.43;"QLD","Moderate/High","Spring",-0.12,-0.19,0.41,0.09,"",0.41,-0.19,0.07,"",1.07,-0.08,0;"QLD","Moderate/High","Summer",0.65,0.19,0.65,0.51,"",0.18,0.63,1.3,"",0.48,1.12,0.38;"QLD","Moderate/High","Autumn",0.7,0.13,0.52,0.34,"",0.02,0.04,0.77,"",0.42,0.12,0.74;"QLD","Moderate/High","Winter",0.32,-0.06,0.25,0.19,"",-0.1,-0.02,0.02,"",0.23,-0.13,0;"QLD","Moderate/Low","Spring",0.62,-0.19,0.37,0.41,"",0.06,-0.02,0.47,"",0.44,0.3,0.13;"QLD","Moderate/Low","Summer",0.05,0.19,0.31,0.54,"",0.53,0.15,0.28,"",0.57,0.42,0.4;"QLD","Moderate/Low","Autumn",0.33,0.13,0.39,0.36,"",0.26,0.11,0.4,"",0.44,0.37,-0.01;"QLD","Moderate/Low","Winter",0.61,-0.06,0.21,0.18,"",0.12,0.06,0.29,"",0.41,0.41,-0.15;"QLD","Low","Spring",-0.2,0.02,0.24,0.3,"",0.23,-0.05,0.34,"",0.3,0.57,0.52;"QLD","Low","Summer",0.62,0.21,0.25,0.32,"",0.47,0.31,0.14,"",0.4,0.26,0.43;"QLD","Low","Autumn",0.4,0.13,0.12,0.27,"",0.3,0.08,0.13,"",0.24,0.15,0.21;"QLD","Low","Winter",0.08,0.04,0.06,0.18,"",0.11,-0.07,0.13,"",0.16,0.4,0.33}, _xlpm.r, _xlpm.c))))</definedName>
    <definedName name="SourceData_PastureBeef.NIR_2023_Vol2_A5_5_2_2_PastureBeef_LiveweightGain_Source">_xlfn.LAMBDA("National Inventory Report 2023 Volume 2 - Table A5.5.2.2")</definedName>
    <definedName name="SourceData_PastureBeef.NIR_2023_Vol2_A5_5_2_2_PastureBeef_LiveweightGain_Title">_xlfn.LAMBDA("Beef cattle - Liveweight gain")</definedName>
    <definedName name="SourceData_PastureBeef.NIR_2023_Vol2_A5_5_2_2_PastureBeef_LiveweightGain_Unit">_xlfn.LAMBDA("kg/head/day")</definedName>
    <definedName name="SourceData_PastureBeef.NIR_2023_Vol2_A5_5_2_2_PastureBeef_LiveweightGain_Variation">_xlfn.LAMBDA("VARIATION OF SOURCE DATA: ACT and NSW split. 'NO' replaced with 0.")</definedName>
    <definedName name="SourceData_PastureBeef.NIR_2023_Vol2_A5_5_2_3_PastureBeef_DryMatterDigestibility_Data">_xlfn.LAMBDA(_xlfn.MAKEARRAY(11, 6, _xlfn.LAMBDA(_xlpm.r,_xlpm.c, INDEX({"State","Region","Spring","Summer","Autumn","Winter";"ACT","",55,65,60,50;"NSW","",55,65,60,50;"NT","",55,61,57,54;"QLD","",53,57,55,51;"SA","",70,55,55,75;"TAS","",75,60,70,75;"VIC","",80,55,60,76;"WA","South West",80,58,50,75;"WA","Pilbara",40,65,55,45;"WA","Kimberley",40,65,55,45}, _xlpm.r, _xlpm.c))))</definedName>
    <definedName name="SourceData_PastureBeef.NIR_2023_Vol2_A5_5_2_3_PastureBeef_DryMatterDigestibility_Source">_xlfn.LAMBDA("National Inventory Report 2023 Volume 2 - Table A5.5.2.3")</definedName>
    <definedName name="SourceData_PastureBeef.NIR_2023_Vol2_A5_5_2_3_PastureBeef_DryMatterDigestibility_Title">_xlfn.LAMBDA("Beef cattle - Dry matter digestibility of feed intake (per cent)")</definedName>
    <definedName name="SourceData_PastureBeef.NIR_2023_Vol2_A5_5_2_3_PastureBeef_DryMatterDigestibility_Unit">_xlfn.LAMBDA("per cent")</definedName>
    <definedName name="SourceData_PastureBeef.NIR_2023_Vol2_A5_5_2_3_PastureBeef_DryMatterDigestibility_Variation">_xlfn.LAMBDA("VARIATION OF SOURCE DATA: ACT and NSW split.")</definedName>
    <definedName name="SourceData_PastureBeef.NIR_2023_Vol2_A5_5_2_4_PastureBeef_CrudeProteinContent_Data">_xlfn.LAMBDA(_xlfn.MAKEARRAY(11, 6, _xlfn.LAMBDA(_xlpm.r,_xlpm.c, INDEX({"State","Region","Spring","Summer","Autumn","Winter";"ACT","",0.07,0.13,0.1,0.06;"NSW","",0.07,0.13,0.1,0.06;"NT","",0.058,0.092,0.075,0.053;"QLD","",0.072,0.099,0.078,0.059;"SA","",0.16,0.07,0.09,0.2;"TAS","",0.2,0.1,0.16,0.2;"VIC","",0.25,0.07,0.1,0.21;"WA","South West",0.2,0.09,0.06,0.2;"WA","Pilbara",0.04,0.12,0.09,0.06;"WA","Kimberley",0.04,0.12,0.09,0.06}, _xlpm.r, _xlpm.c))))</definedName>
    <definedName name="SourceData_PastureBeef.NIR_2023_Vol2_A5_5_2_4_PastureBeef_CrudeProteinContent_Source">_xlfn.LAMBDA("National Inventory Report 2023 Volume 2 - Table A5.5.2.4")</definedName>
    <definedName name="SourceData_PastureBeef.NIR_2023_Vol2_A5_5_2_4_PastureBeef_CrudeProteinContent_Title">_xlfn.LAMBDA("Beef cattle - Crude protein content of feed intake (fraction)")</definedName>
    <definedName name="SourceData_PastureBeef.NIR_2023_Vol2_A5_5_2_4_PastureBeef_CrudeProteinContent_Unit">_xlfn.LAMBDA("fraction")</definedName>
    <definedName name="SourceData_PastureBeef.NIR_2023_Vol2_A5_5_2_4_PastureBeef_CrudeProteinContent_Variation">_xlfn.LAMBDA("VARIATION OF SOURCE DATA: ACT and NSW split.")</definedName>
    <definedName name="SourceData_PastureBeef.NIR_2023_Vol2_A5_5_2_5_PastureBeef_CrudeProteinContent_Data">_xlfn.LAMBDA(_xlfn.MAKEARRAY(41, 5, _xlfn.LAMBDA(_xlpm.r,_xlpm.c, INDEX({"State","Region","Season","Feed adjustment","Milk intake / production (kg/day)";"ACT","","Spring",1.3,6;"ACT","","Summer",1.1,4;"ACT","","Autumn",0,0;"ACT","","Winter",0,0;"NSW","","Spring",1.3,6;"NSW","","Summer",1.1,4;"NSW","","Autumn",0,0;"NSW","","Winter",0,0;"NT","","Spring",0,0;"NT","","Summer",1.3,4;"NT","","Autumn",1.1,3;"NT","","Winter",0,0;"QLD","","Spring",0,0;"QLD","","Summer",1.3,4;"QLD","","Autumn",1.1,3;"QLD","","Winter",0,0;"SA","","Spring",0,0;"SA","","Summer",0,0;"SA","","Autumn",1.3,6;"SA","","Winter",1.1,4;"TAS","","Spring",1.3,6;"TAS","","Summer",1.1,4;"TAS","","Autumn",0,0;"TAS","","Winter",0,0;"VIC","","Spring",0,0;"VIC","","Summer",0,0;"VIC","","Autumn",1.3,6;"VIC","","Winter",1.1,4;"WA","South West","Spring",0,0;"WA","South West","Summer",0,0;"WA","South West","Autumn",1.3,6;"WA","South West","Winter",1.1,4;"WA","Pilbara","Spring",1.3,4;"WA","Pilbara","Summer",1.1,3;"WA","Pilbara","Autumn",0,0;"WA","Pilbara","Winter",0,0;"WA","Kimberley","Spring",0,0;"WA","Kimberley","Summer",1.3,4;"WA","Kimberley","Autumn",1.1,3;"WA","Kimberley","Winter",0,0}, _xlpm.r, _xlpm.c))))</definedName>
    <definedName name="SourceData_PastureBeef.NIR_2023_Vol2_A5_5_2_5_PastureBeef_CrudeProteinContent_Source">_xlfn.LAMBDA("National Inventory Report 2023 Volume 2 - Table A5.5.2.5")</definedName>
    <definedName name="SourceData_PastureBeef.NIR_2023_Vol2_A5_5_2_5_PastureBeef_CrudeProteinContent_Title">_xlfn.LAMBDA("Beef Cattle - Feed intake adjustment and milk production and production")</definedName>
    <definedName name="SourceData_PastureBeef.NIR_2023_Vol2_A5_5_2_5_PastureBeef_CrudeProteinContent_Unit">_xlfn.LAMBDA("")</definedName>
    <definedName name="SourceData_PastureBeef.NIR_2023_Vol2_A5_5_2_5_PastureBeef_CrudeProteinContent_Variation">_xlfn.LAMBDA("VARIATION OF SOURCE DATA: ACT and NSW split. State names replaced by abbreviations to aid data lookup.")</definedName>
    <definedName name="SourceData_PastureBeef.NIR_2023_Vol2_A5_5_2_6_PastureBeef_StandardReferenceWeights_Data">_xlfn.LAMBDA(_xlfn.MAKEARRAY(9, 8, _xlfn.LAMBDA(_xlpm.r,_xlpm.c, INDEX({"State","Bulls &lt; 1","Bulls &gt; 1","Cows &lt; 1","Cows 1-2","Cows &gt; 2","Steers &lt; 1","Steers &gt; 1";"ACT",700,700,600,500,500,500,600;"NSW",700,700,600,500,500,500,600;"Northern Territory",770,770,660,550,550,550,660;"Queensland",770,770,660,550,550,550,660;"South Australia",770,770,660,550,550,550,660;"Tasmania",770,770,660,550,550,550,660;"Victoria",770,770,660,550,550,550,660;"Western Australia",770,770,660,550,550,550,660}, _xlpm.r, _xlpm.c))))</definedName>
    <definedName name="SourceData_PastureBeef.NIR_2023_Vol2_A5_5_2_6_PastureBeef_StandardReferenceWeights_Source">_xlfn.LAMBDA("National Inventory Report 2023 Volume 2 - Table A5.5.2.6")</definedName>
    <definedName name="SourceData_PastureBeef.NIR_2023_Vol2_A5_5_2_6_PastureBeef_StandardReferenceWeights_Title">_xlfn.LAMBDA("Beef cattle - Standard reference weights (kg)")</definedName>
    <definedName name="SourceData_PastureBeef.NIR_2023_Vol2_A5_5_2_6_PastureBeef_StandardReferenceWeights_Unit">_xlfn.LAMBDA("kg")</definedName>
    <definedName name="SourceData_PastureBeef.NIR_2023_Vol2_A5_5_2_6_PastureBeef_StandardReferenceWeights_Variation">_xlfn.LAMBDA(_xlfn.MAKEARRAY(4, 1, _xlfn.LAMBDA(_xlpm.r,_xlpm.c, INDEX({"VARIATION OF SOURCE DATA:";"ACT and NSW split.";"State names replaced by abbreviations to aid data lookup.";"Pluralised 'Steer' to 'Steers' for consistency."}, _xlpm.r, _xlpm.c))))</definedName>
    <definedName name="SourceData_PastureBeef.SourceData_PastureBeef_AshContentOfFeedIntake_Data">_xlfn.LAMBDA(0.08)</definedName>
    <definedName name="SourceData_PastureBeef.SourceData_PastureBeef_AshContentOfFeedIntake_Source">_xlfn.LAMBDA("VEERG 2026: 4.2.2.3 CONSTANTS")</definedName>
    <definedName name="SourceData_PastureBeef.SourceData_PastureBeef_AshContentOfFeedIntake_Title">_xlfn.LAMBDA("Ash content of feed intake")</definedName>
    <definedName name="SourceData_PastureBeef.SourceData_PastureBeef_AshContentOfFeedIntake_Unit">_xlfn.LAMBDA("fraction")</definedName>
    <definedName name="SourceData_PastureBeef.SourceData_PastureBeef_AshContentOfFeedIntake_Variable">_xlfn.LAMBDA("A")</definedName>
    <definedName name="SourceData_PastureBeef.SourceData_PastureBeef_AshContentOfFeedIntake_Variation">_xlfn.LAMBDA("")</definedName>
    <definedName name="SourceData_PastureBeef.SourceData_PastureBeef_CrudeProteinContent_Data">_xlfn.LAMBDA(_xlfn.MAKEARRAY(16, 6, _xlfn.LAMBDA(_xlpm.r,_xlpm.c, INDEX({"State","Region","Spring","Summer","Autumn","Winter";"ACT","n/a",0.07,0.13,0.1,0.06;"NSW","n/a",0.07,0.13,0.1,0.06;"NT","Alice Springs",0.058,0.092,0.075,0.053;"NT","Barkly",0.058,0.092,0.075,0.053;"NT","Northern",0.058,0.092,0.075,0.053;"QLD","High",0.072,0.099,0.078,0.059;"QLD","Moderate/High",0.072,0.099,0.078,0.059;"QLD","Moderate/Low",0.072,0.099,0.078,0.059;"QLD","Low",0.072,0.099,0.078,0.059;"SA","n/a",0.16,0.07,0.09,0.2;"TAS","n/a",0.2,0.1,0.16,0.2;"VIC","n/a",0.25,0.07,0.1,0.21;"WA","South West",0.2,0.09,0.06,0.2;"WA","Pilbara",0.04,0.12,0.09,0.06;"WA","Kimberley",0.04,0.12,0.09,0.06}, _xlpm.r, _xlpm.c))))</definedName>
    <definedName name="SourceData_PastureBeef.SourceData_PastureBeef_CrudeProteinContent_Source">_xlfn.LAMBDA("VEERG 2026: Table A.1.2.6")</definedName>
    <definedName name="SourceData_PastureBeef.SourceData_PastureBeef_CrudeProteinContent_Title">_xlfn.LAMBDA("Beef pasture cattle - Crude protein content of feed intake (fraction) (CPj)")</definedName>
    <definedName name="SourceData_PastureBeef.SourceData_PastureBeef_CrudeProteinContent_Unit">_xlfn.LAMBDA("fraction")</definedName>
    <definedName name="SourceData_PastureBeef.SourceData_PastureBeef_CrudeProteinContent_Variable">_xlfn.LAMBDA("CPj")</definedName>
    <definedName name="SourceData_PastureBeef.SourceData_PastureBeef_CrudeProteinContent_Variation">_xlfn.LAMBDA("VARIATION ON SOURCE: Split ACT and NSW into separate rows. Duplicated QLD and NT rows with regions from table A.1.2.2 to aid lookup")</definedName>
    <definedName name="SourceData_PastureBeef.SourceData_PastureBeef_DryMatterDigestibility_Data">_xlfn.LAMBDA(
    _xlfn.MAKEARRAY(16, 6,
      _xlfn.LAMBDA(_xlpm.r,_xlpm.c,
        INDEX({"State","Region","Spring","Summer","Autumn","Winter";"ACT","n/a",0.55,0.65,0.6,0.5;"NSW","n/a",0.55,0.65,0.6,0.5;"NT","Alice Springs",0.55,0.61,0.57,0.54;"NT","Barkly",0.55,0.61,0.57,0.54;"NT","Northern",0.55,0.61,0.57,0.54;"QLD","High",0.53,0.57,0.55,0.51;"QLD","Moderate/High",0.53,0.57,0.55,0.51;"QLD","Moderate/Low",0.53,0.57,0.55,0.51;"QLD","Low",0.53,0.57,0.55,0.51;"SA","n/a",0.7,0.55,0.55,0.75;"TAS","n/a",0.75,0.6,0.7,0.75;"VIC","n/a",0.8,0.55,0.6,0.76;"WA","South West",0.8,0.58,0.5,0.75;"WA","Pilbara",0.4,0.65,0.55,0.45;"WA","Kimberley",0.4,0.65,0.55,0.45}, _xlpm.r, _xlpm.c)
      )
    )
  )</definedName>
    <definedName name="SourceData_PastureBeef.SourceData_PastureBeef_DryMatterDigestibility_Source">_xlfn.LAMBDA("VEERG 2026: Table A.1.2.5")</definedName>
    <definedName name="SourceData_PastureBeef.SourceData_PastureBeef_DryMatterDigestibility_Title">_xlfn.LAMBDA("Beef pasture cattle - Dry matter digestibility of feed intake (fraction) (DMDj)")</definedName>
    <definedName name="SourceData_PastureBeef.SourceData_PastureBeef_DryMatterDigestibility_Unit">_xlfn.LAMBDA("fraction")</definedName>
    <definedName name="SourceData_PastureBeef.SourceData_PastureBeef_DryMatterDigestibility_Variable">_xlfn.LAMBDA("DMDj")</definedName>
    <definedName name="SourceData_PastureBeef.SourceData_PastureBeef_DryMatterDigestibility_Variation">_xlfn.LAMBDA("VARIATION ON SOURCE: Split ACT and NSW into separate rows. Duplicated QLD and NT rows with regions from table A.1.2.2 to aid lookup")</definedName>
    <definedName name="SourceData_PastureBeef.SourceData_PastureBeef_FeedAdjustmentAndMilkProduction_Data">_xlfn.LAMBDA(_xlfn.MAKEARRAY(9, 4, _xlfn.LAMBDA(_xlpm.r,_xlpm.c, INDEX({"Breed","Season","Feed adjustment (MCjk=1,3,6)","Milk intake / production (DMPjk=5)";"Hereford or Shorthorn breeds","Spring",1.3,6;"Hereford or Shorthorn breeds","Summer",1.1,4;"Hereford or Shorthorn breeds","Autumn",0,0;"Hereford or Shorthorn breeds","Winter",0,0;"Northern Brahman cross breed","Spring",0,0;"Northern Brahman cross breed","Summer",1.3,4;"Northern Brahman cross breed","Autumn",1.1,3;"Northern Brahman cross breed","Winter",0,0}, _xlpm.r, _xlpm.c))))</definedName>
    <definedName name="SourceData_PastureBeef.SourceData_PastureBeef_FeedAdjustmentAndMilkProduction_Source">_xlfn.LAMBDA("VEERG 2026: Table A.1.2.7")</definedName>
    <definedName name="SourceData_PastureBeef.SourceData_PastureBeef_FeedAdjustmentAndMilkProduction_Title">_xlfn.LAMBDA("Beef pasture cattle - Feed intake adjustment and milk production (kg/head/day)")</definedName>
    <definedName name="SourceData_PastureBeef.SourceData_PastureBeef_FeedAdjustmentAndMilkProduction_Unit">_xlfn.LAMBDA("")</definedName>
    <definedName name="SourceData_PastureBeef.SourceData_PastureBeef_FeedAdjustmentAndMilkProduction_Variable">_xlfn.LAMBDA("MCjk=1,3,6; DMPjk=5")</definedName>
    <definedName name="SourceData_PastureBeef.SourceData_PastureBeef_FeedAdjustmentAndMilkProduction_Variation">_xlfn.LAMBDA("")</definedName>
    <definedName name="SourceData_PastureBeef.SourceData_PastureBeef_FracGASMSoil_Data">_xlfn.LAMBDA(0.21)</definedName>
    <definedName name="SourceData_PastureBeef.SourceData_PastureBeef_FracGASMSoil_Source">_xlfn.LAMBDA("VEERG 2026: 4.2.2.3 CONSTANTS")</definedName>
    <definedName name="SourceData_PastureBeef.SourceData_PastureBeef_FracGASMSoil_Title">_xlfn.LAMBDA("Fraction of nitrogen volatilised from urine and faeces deposited on pasture")</definedName>
    <definedName name="SourceData_PastureBeef.SourceData_PastureBeef_FracGASMSoil_Unit">_xlfn.LAMBDA("fraction")</definedName>
    <definedName name="SourceData_PastureBeef.SourceData_PastureBeef_FracGASMSoil_Variable">_xlfn.LAMBDA("FracGASMSoil")</definedName>
    <definedName name="SourceData_PastureBeef.SourceData_PastureBeef_FracGASMSoil_Variation">_xlfn.LAMBDA("")</definedName>
    <definedName name="SourceData_PastureBeef.SourceData_PastureBeef_FracLEACH_Data">_xlfn.LAMBDA(0.24)</definedName>
    <definedName name="SourceData_PastureBeef.SourceData_PastureBeef_FracLEACH_Source">_xlfn.LAMBDA("VEERG 2026: 4.2.2.3 CONSTANTS")</definedName>
    <definedName name="SourceData_PastureBeef.SourceData_PastureBeef_FracLEACH_Title">_xlfn.LAMBDA("Default fraction of N that is lost through leaching and runoff")</definedName>
    <definedName name="SourceData_PastureBeef.SourceData_PastureBeef_FracLEACH_Unit">_xlfn.LAMBDA("fraction")</definedName>
    <definedName name="SourceData_PastureBeef.SourceData_PastureBeef_FracLEACH_Variable">_xlfn.LAMBDA("FracLEACH")</definedName>
    <definedName name="SourceData_PastureBeef.SourceData_PastureBeef_FracLEACH_Variation">_xlfn.LAMBDA("")</definedName>
    <definedName name="SourceData_PastureBeef.SourceData_PastureBeef_FractionOfManureToMMS_Data">_xlfn.LAMBDA(_xlfn.MAKEARRAY(16, 4, _xlfn.LAMBDA(_xlpm.r,_xlpm.c, INDEX({"State","Region","Pasture range and paddock","Uncovered Anaerobic lagoon";"ACT","n/a",99.192,0.808;"NSW","n/a",99.452,0.548;"SA","n/a",99.759,0.241;"TAS","n/a",99.122,0.878;"VIC","n/a",98.894,1.106;"WA","South West",99.622,0.378;"WA","Pilbara",99.999,0.001;"WA","Kimberley",99.999,0.001;"NT","Alice Springs",99.999,0.001;"NT","Barkly",99.994,0.006;"NT","Northern",99.999,0.001;"QLD","High",99.773,0.227;"QLD","Moderate/High",99.898,0.102;"QLD","Moderate/Low",99.979,0.021;"QLD","Low",99.977,0.023}, _xlpm.r, _xlpm.c))))</definedName>
    <definedName name="SourceData_PastureBeef.SourceData_PastureBeef_FractionOfManureToMMS_Source">_xlfn.LAMBDA("VEERG 2026: Table A.1.2.9")</definedName>
    <definedName name="SourceData_PastureBeef.SourceData_PastureBeef_FractionOfManureToMMS_Title">_xlfn.LAMBDA("Beef pasture cattle - Fraction of manure to each manure management system (fraction) (MMSm)")</definedName>
    <definedName name="SourceData_PastureBeef.SourceData_PastureBeef_FractionOfManureToMMS_Unit">_xlfn.LAMBDA("fraction")</definedName>
    <definedName name="SourceData_PastureBeef.SourceData_PastureBeef_FractionOfManureToMMS_Variable">_xlfn.LAMBDA("MMSm")</definedName>
    <definedName name="SourceData_PastureBeef.SourceData_PastureBeef_FractionOfManureToMMS_Variation">_xlfn.LAMBDA("VARIATION ON SOURCE: Removed comma from 'Pasture range and paddock' to aid lookup")</definedName>
    <definedName name="SourceData_PastureBeef.SourceData_PastureBeef_Liveweight_Data">_xlfn.LAMBDA(_xlfn.MAKEARRAY(29, 10, _xlfn.LAMBDA(_xlpm.r,_xlpm.c, INDEX({"State","Region","Season","Bull &lt; 1","Bull &gt; 1","Cow &lt; 1","Cow 1-2","Cow &gt; 2","Steer &lt; 1","Steer &gt; 1";"ACT/NSW","n/a","Spring",80,480,75,300,440,75,380;"ACT/NSW","n/a","Summer",170,520,160,360,470,160,420;"ACT/NSW","n/a","Autumn",240,550,220,390,490,220,450;"ACT/NSW","n/a","Winter",280,560,260,410,500,260,460;"South Australia","n/a","Spring",250,800,220,400,500,230,420;"South Australia","n/a","Summer",320,800,280,420,500,290,420;"South Australia","n/a","Autumn",80,700,70,300,450,75,400;"South Australia","n/a","Winter",160,700,140,350,450,150,400;"Tasmania","n/a","Spring",105,700,85,300,490,90,480;"Tasmania","n/a","Summer",480,750,150,350,530,160,460;"Tasmania","n/a","Autumn",250,725,200,360,500,215,490;"Tasmania","n/a","Winter",260,700,210,380,460,230,470;"Victoria","n/a","Spring",250,820,240,410,560,240,510;"Victoria","n/a","Summer",280,850,260,440,550,270,520;"Victoria","n/a","Autumn",100,700,95,300,450,95,410;"Victoria","n/a","Winter",150,720,140,320,470,140,440;"Western Australia","South West","Spring",340,800,260,420,550,300,480;"Western Australia","South West","Summer",380,780,300,450,530,340,470;"Western Australia","South West","Autumn",100,680,80,320,480,100,340;"Western Australia","South West","Winter",190,700,150,330,490,170,360;"Western Australia","Pilbara","Spring",80,450,70,260,340,80,370;"Western Australia","Pilbara","Summer",150,500,140,310,360,150,400;"Western Australia","Pilbara","Autumn",230,550,220,330,380,230,420;"Western Australia","Pilbara","Winter",250,500,240,340,360,250,390;"Western Australia","Kimberley","Spring",220,500,180,300,320,210,340;"Western Australia","Kimberley","Summer",110,550,90,220,380,100,390;"Western Australia","Kimberley","Autumn",170,600,140,270,390,160,430;"Western Australia","Kimberley","Winter",200,550,150,280,350,190,400}, _xlpm.r, _xlpm.c))))</definedName>
    <definedName name="SourceData_PastureBeef.SourceData_PastureBeef_Liveweight_Source">_xlfn.LAMBDA("VEERG 2026: Table A.1.2.1")</definedName>
    <definedName name="SourceData_PastureBeef.SourceData_PastureBeef_Liveweight_Title">_xlfn.LAMBDA("Beef pasture cattle - Liveweight (kg) (Wjkl)")</definedName>
    <definedName name="SourceData_PastureBeef.SourceData_PastureBeef_Liveweight_Unit">_xlfn.LAMBDA("kg")</definedName>
    <definedName name="SourceData_PastureBeef.SourceData_PastureBeef_Liveweight_Variable">_xlfn.LAMBDA("Wjkl")</definedName>
    <definedName name="SourceData_PastureBeef.SourceData_PastureBeef_Liveweight_Variation">_xlfn.LAMBDA("")</definedName>
    <definedName name="SourceData_PastureBeef.SourceData_PastureBeef_LiveweightGain_Data">_xlfn.LAMBDA(
    _xlfn.MAKEARRAY(29, 10,
      _xlfn.LAMBDA(_xlpm.r,_xlpm.c,
        INDEX({"State","Region","Season","Bull &lt;1","Bull &gt;1","Cow &lt;1","Cow 1-2","Cow &gt;2","Steer &lt;1","Steer &gt;1";"ACT/NSW","n/a","Spring",0.5,0.2,0.5,0.4,0.3,0.5,0.4;"ACT/NSW","n/a","Summer",1,0.4,0.9,0.7,0.3,0.9,0.4;"ACT/NSW","n/a","Autumn",0.8,0.3,0.7,0.3,0.2,0.7,0.3;"ACT/NSW","n/a","Winter",0.4,0.1,0.4,0.2,0.1,0.4,0.1;"South Australia","n/a","Spring",0.99,1.1,0.88,0.55,0.55,0.88,0.22;"South Australia","n/a","Summer",0.77,0,0.66,0.22,0,0.66,0;"South Australia","n/a","Autumn",0.9,-1.1,0.7,0.22,-0.55,0.8,-0.22;"South Australia","n/a","Winter",0.88,0,0.77,0.55,0,0.82,0;"Tasmania","n/a","Spring",1,0.5,1,1,-0.44,1,0.5;"Tasmania","n/a","Summer",0.82,0.55,0.71,0.55,0.99,0.77,0.5;"Tasmania","n/a","Autumn",0.77,0.5,0.55,0.11,-0.33,0.6,0.33;"Tasmania","n/a","Winter",0.11,-0.27,0.11,0.22,-0.44,0.16,-0.22;"Victoria","n/a","Spring",1.1,1.1,1.1,0.99,0.99,1.1,0.77;"Victoria","n/a","Summer",0.33,0.33,0.22,0.33,-0.1,0.33,0.11;"Victoria","n/a","Autumn",0.5,0.2,0.55,0.44,0.2,0.55,0.2;"Victoria","n/a","Winter",0.55,0.22,0.49,0.22,0.22,0.49,0.33;"Western Australia","South West","Spring",1.64,1.1,1.21,0.99,0.66,1.42,1.1;"Western Australia","South West","Summer",0.44,-0.22,0.44,0.33,-0.22,0.44,-0.11;"Western Australia","South West","Autumn",0.6,0,0.6,0.22,-0.55,0.6,0;"Western Australia","South West","Winter",0.99,0.22,0.77,0.11,0.11,0.77,0.44;"Western Australia","Pilbara","Spring",0.7,-0.55,0.7,0.22,-0.22,0.7,-0.22;"Western Australia","Pilbara","Summer",0.77,0.55,0.77,0.66,0.55,0.77,0.33;"Western Australia","Pilbara","Autumn",0.88,0.55,0.88,0.22,0.22,0.88,0.22;"Western Australia","Pilbara","Winter",0.22,-0.55,0.22,0.11,-0.22,0.22,-0.33;"Western Australia","Kimberley","Spring",0.22,-0.55,0.33,0.22,-0.33,0.22,-0.55;"Western Australia","Kimberley","Summer",0.8,0.55,0.7,0.44,0.66,0.8,0.55;"Western Australia","Kimberley","Autumn",0.66,0.55,0.55,0.55,0.11,0.66,0.55;"Western Australia","Kimberley","Winter",0.33,-0.55,0.11,0.11,-0.44,0.33,-0.55}, _xlpm.r, _xlpm.c)
      )
    )
  )</definedName>
    <definedName name="SourceData_PastureBeef.SourceData_PastureBeef_LiveweightGain_Source">_xlfn.LAMBDA("VEERG 2026: Table A.1.2.3")</definedName>
    <definedName name="SourceData_PastureBeef.SourceData_PastureBeef_LiveweightGain_Title">_xlfn.LAMBDA("Beef pasture cattle - Liveweight gain (kg) (LWGjkl)")</definedName>
    <definedName name="SourceData_PastureBeef.SourceData_PastureBeef_LiveweightGain_Unit">_xlfn.LAMBDA("kg")</definedName>
    <definedName name="SourceData_PastureBeef.SourceData_PastureBeef_LiveweightGain_Variable">_xlfn.LAMBDA("LWGjkl")</definedName>
    <definedName name="SourceData_PastureBeef.SourceData_PastureBeef_LiveweightGain_Variation">_xlfn.LAMBDA("VARIATION ON SOURCE: Replaced 'n/a' with 'South West' for first four rows of Western Australia to be consistent with table A.1.2.1")</definedName>
    <definedName name="SourceData_PastureBeef.SourceData_PastureBeef_LiveweightGainNTQLD_Data">_xlfn.LAMBDA(
    _xlfn.MAKEARRAY(29, 13,
      _xlfn.LAMBDA(_xlpm.r,_xlpm.c,
        INDEX({"State","Region","Season","Bull &lt;1","Bull &gt;1","Cow &lt;1","Cow 1-2","Cow 2-3","Cow &gt;3","Steer &lt;1","Steer 1-2","Steer 2-3","Steer &gt;3";"Northern Territory","Alice Springs","Spring",0.22,-0.23,0.25,0.17,0.18,-0.28,0.32,0.24,0.25,-0.05;"Northern Territory","Alice Springs","Summer",0.66,0.2,0.62,0.54,0.38,0.27,0.75,0.64,0.55,0.48;"Northern Territory","Alice Springs","Autumn",0.49,0.13,0.54,0.45,0.35,0.15,0.63,0.54,0.42,0.26;"Northern Territory","Alice Springs","Winter",0.27,-0.8,0.22,0.09,0.12,0.02,0.25,0.18,0.12,0.03;"Northern Territory","Barkly","Spring",0.22,-0.44,0.2,0.21,0.18,0.01,0.12,0.09,"NO","NO";"Northern Territory","Barkly","Summer",0.66,0.22,0.68,0.22,0.24,0.25,0.64,0.37,"NO","NO";"Northern Territory","Barkly","Autumn",0.49,0.05,0.64,0.25,0.29,0.12,0.57,0.49,"NO","NO";"Northern Territory","Barkly","Winter",0.27,-0.27,0.31,0.29,0.19,0.04,0.26,0.28,"NO","NO";"Northern Territory","Northern","Spring",0.22,-0.44,0,0.15,0.08,0.17,0.06,0.02,-0.14,"NO";"Northern Territory","Northern","Summer",0.66,0.22,0.79,0.4,0.38,0.27,0.8,0.16,0.3,"NO";"Northern Territory","Northern","Autumn",0.49,0.05,0.55,0.38,0.36,0.06,0.58,0.23,0.4,"NO";"Northern Territory","Northern","Winter",0.27,-0.27,0.02,0.09,0.16,-0.04,0.21,0.03,0.11,"NO";"Queensland","High","Spring",0.27,-0.19,0.38,0.25,0.07,0.05,0.52,0.55,0.19,0.6;"Queensland","High","Summer",0.16,0.16,0.8,0.57,0.76,0.49,0.84,0.51,0.36,0.17;"Queensland","High","Autumn",0.45,0.1,0.49,0.41,0.4,0.17,0.54,0.64,-0.05,0.32;"Queensland","High","Winter",0.51,-0.07,0.13,-0.09,-0.13,0.07,0.25,0.71,0.17,0.43;"Queensland","Moderate/High","Spring",-0.12,-0.19,0.41,0.09,0.41,-0.19,0.07,1.07,-0.08,0;"Queensland","Moderate/High","Summer",0.65,0.19,0.65,0.51,0.18,0.63,1.3,0.48,1.12,0.38;"Queensland","Moderate/High","Autumn",0.7,0.13,0.52,0.34,0.02,0.04,0.77,0.42,0.12,0.74;"Queensland","Moderate/High","Winter",0.32,-0.06,0.25,0.19,-0.1,-0.02,0.02,0.23,-0.13,0;"Queensland","Moderate/Low","Spring",0.62,-0.19,0.37,0.41,0.06,-0.02,0.47,0.44,0.3,0.13;"Queensland","Moderate/Low","Summer",0.05,0.19,0.31,0.54,0.53,0.15,0.28,0.57,0.42,0.4;"Queensland","Moderate/Low","Autumn",0.33,0.13,0.39,0.36,0.26,0.11,0.4,0.44,0.37,-0.01;"Queensland","Moderate/Low","Winter",0.61,-0.06,0.21,0.18,0.12,0.06,0.29,0.41,0.41,-0.15;"Queensland","Low","Spring",-0.2,0.02,0.24,0.3,0.23,-0.05,0.34,0.3,0.57,0.52;"Queensland","Low","Summer",0.62,0.21,0.25,0.32,0.47,0.31,0.14,0.4,0.26,0.43;"Queensland","Low","Autumn",0.4,0.13,0.12,0.27,0.3,0.08,0.13,0.24,0.15,0.21;"Queensland","Low","Winter",0.08,0.04,0.06,0.18,0.11,-0.07,0.13,0.16,0.4,0.33}, _xlpm.r, _xlpm.c)
      )
    )
  )</definedName>
    <definedName name="SourceData_PastureBeef.SourceData_PastureBeef_LiveweightGainNTQLD_Source">_xlfn.LAMBDA("VEERG 2026: Table A.1.2.4")</definedName>
    <definedName name="SourceData_PastureBeef.SourceData_PastureBeef_LiveweightGainNTQLD_Title">_xlfn.LAMBDA("Beef pasture cattle - Liveweight gain (kg) (LWGjkl) for NT and QLD")</definedName>
    <definedName name="SourceData_PastureBeef.SourceData_PastureBeef_LiveweightGainNTQLD_Unit">_xlfn.LAMBDA("kg")</definedName>
    <definedName name="SourceData_PastureBeef.SourceData_PastureBeef_LiveweightGainNTQLD_Variable">_xlfn.LAMBDA("LWGjkl")</definedName>
    <definedName name="SourceData_PastureBeef.SourceData_PastureBeef_LiveweightGainNTQLD_Variation">_xlfn.LAMBDA("")</definedName>
    <definedName name="SourceData_PastureBeef.SourceData_PastureBeef_LiveweightNTQLD_Data">_xlfn.LAMBDA(_xlfn.MAKEARRAY(29, 13, _xlfn.LAMBDA(_xlpm.r,_xlpm.c, INDEX({"State","Region","Season","Bull &lt;1","Bull &gt;1","Cows &lt;1","Cows 1-2","Cows 2-3","Cows &gt;3","Steer &lt;1","Steer 1-2","Steer 2-3","Steer &gt;3";"Northern Territory","Alice Springs","Spring",220,706,208,323,415,467,223,371,493,585;"Northern Territory","Alice Springs","Summer",110,703,112,256,368,465,108,280,421,543;"Northern Territory","Alice Springs","Autumn",170,721,169,306,392,464,176,339,470,580;"Northern Territory","Alice Springs","Winter",200,727,211,338,432,492,222,377,498,590;"Northern Territory","Barkly","Spring",220,620,227,319,398,452,216,334,"NO","NO";"Northern Territory","Barkly","Summer",110,650,108,262,346,430,111,236,"NO","NO";"Northern Territory","Barkly","Autumn",170,670,170,266,363,444,169,282,"NO","NO";"Northern Territory","Barkly","Winter",200,660,225,307,398,452,214,326,"NO","NO";"Northern Territory","Northern","Spring",220,620,177,267,365,406,231,249,324,"NO";"Northern Territory","Northern","Summer",110,650,102,203,299,380,102,218,263,"NO";"Northern Territory","Northern","Autumn",170,670,173,250,336,414,175,243,304,"NO";"Northern Territory","Northern","Winter",200,660,202,272,365,390,208,260,337,"NO";"Queensland","High","Spring",260,705,215,302,416,519,234,455,551,660;"Queensland","High","Summer",153,703,118,277,397,483,111,304,521,547;"Queensland","High","Autumn",168,718,191,319,440,506,188,326,520,582;"Queensland","High","Winter",235,722,207,352,470,514,209,421,512,605;"Queensland","Moderate/High","Spring",230,674,217,344,357,467,242,370,550,620;"Queensland","Moderate/High","Summer",113,669,113,283,361,477,120,273,545,553;"Queensland","Moderate/High","Autumn",172,685,172,309,376,471,238,329,573,620;"Queensland","Moderate/High","Winter",241,692,208,344,364,484,260,350,567,620;"Queensland","Moderate/Low","Spring",236,674,178,310,428,466,193,370,519,565;"Queensland","Moderate/Low","Summer",120,669,112,250,390,448,115,273,433,556;"Queensland","Moderate/Low","Autumn",125,685,140,277,407,455,141,296,445,593;"Queensland","Moderate/Low","Winter",180,692,183,316,438,468,189,354,500,553;"Queensland","Low","Spring",190,617,174,265,371,415,170,272,392,531;"Queensland","Low","Summer",119,591,140,205,310,405,133,218,315,445;"Queensland","Low","Autumn",175,610,163,232,351,427,146,242,320,471;"Queensland","Low","Winter",192,615,162,255,364,420,157,261,342,484}, _xlpm.r, _xlpm.c))))</definedName>
    <definedName name="SourceData_PastureBeef.SourceData_PastureBeef_LiveweightNTQLD_Source">_xlfn.LAMBDA("VEERG 2026: Table A.1.2.2")</definedName>
    <definedName name="SourceData_PastureBeef.SourceData_PastureBeef_LiveweightNTQLD_Title">_xlfn.LAMBDA("Beef pasture cattle - Liveweight (kg) (Wjkl) for NT and QLD")</definedName>
    <definedName name="SourceData_PastureBeef.SourceData_PastureBeef_LiveweightNTQLD_Unit">_xlfn.LAMBDA("kg")</definedName>
    <definedName name="SourceData_PastureBeef.SourceData_PastureBeef_LiveweightNTQLD_Variable">_xlfn.LAMBDA("Wjkl")</definedName>
    <definedName name="SourceData_PastureBeef.SourceData_PastureBeef_LiveweightNTQLD_Variation">_xlfn.LAMBDA("")</definedName>
    <definedName name="SourceData_PastureBeef.SourceData_PastureBeef_MethaneConversionFactorPerRegion_Data">_xlfn.LAMBDA(_xlfn.MAKEARRAY(16, 4, _xlfn.LAMBDA(_xlpm.r,_xlpm.c, INDEX({"State","Region","Pasture range and paddock","Uncovered Anaerobic lagoon";"ACT","n/a",0.0047,0.71;"NSW","n/a",0.0047,0.75;"SA","n/a",0.0047,0.74;"TAS","n/a",0.0047,0.7;"VIC","n/a",0.0047,0.74;"WA","South West",0.0047,0.76;"WA","Pilbara",0.0047,0.76;"WA","Kimberley",0.0047,0.76;"NT","Alice Springs",0.0047,0.8;"NT","Barkly",0.0047,0.8;"NT","Northern",0.0047,0.8;"QLD","High",0.0047,0.78;"QLD","Moderate/High",0.0047,0.78;"QLD","Moderate/Low",0.0047,0.78;"QLD","Low",0.0047,0.78}, _xlpm.r, _xlpm.c))))</definedName>
    <definedName name="SourceData_PastureBeef.SourceData_PastureBeef_MethaneConversionFactorPerRegion_Source">_xlfn.LAMBDA("VEERG 2026: Table A.1.2.10")</definedName>
    <definedName name="SourceData_PastureBeef.SourceData_PastureBeef_MethaneConversionFactorPerRegion_Title">_xlfn.LAMBDA("Beef pasture cattle - Methane conversion factor per region (fraction) (MCFim)")</definedName>
    <definedName name="SourceData_PastureBeef.SourceData_PastureBeef_MethaneConversionFactorPerRegion_Unit">_xlfn.LAMBDA("fraction")</definedName>
    <definedName name="SourceData_PastureBeef.SourceData_PastureBeef_MethaneConversionFactorPerRegion_Variable">_xlfn.LAMBDA("MCFim")</definedName>
    <definedName name="SourceData_PastureBeef.SourceData_PastureBeef_MethaneConversionFactorPerRegion_Variation">_xlfn.LAMBDA("VARIATION ON SOURCE: Removed comma from 'Pasture range and paddock' to aid lookup")</definedName>
    <definedName name="SourceData_PastureBeef.SourceData_PastureBeef_MethaneEmissionsPotential_Data">_xlfn.LAMBDA(0.19)</definedName>
    <definedName name="SourceData_PastureBeef.SourceData_PastureBeef_MethaneEmissionsPotential_Source">_xlfn.LAMBDA("VEERG 2026: 4.2.2.3 CONSTANTS")</definedName>
    <definedName name="SourceData_PastureBeef.SourceData_PastureBeef_MethaneEmissionsPotential_Title">_xlfn.LAMBDA("Methane emissions potential")</definedName>
    <definedName name="SourceData_PastureBeef.SourceData_PastureBeef_MethaneEmissionsPotential_Unit">_xlfn.LAMBDA("m3 CH4 / kg VS")</definedName>
    <definedName name="SourceData_PastureBeef.SourceData_PastureBeef_MethaneEmissionsPotential_Variable">_xlfn.LAMBDA("B0")</definedName>
    <definedName name="SourceData_PastureBeef.SourceData_PastureBeef_MethaneEmissionsPotential_Variation">_xlfn.LAMBDA("")</definedName>
    <definedName name="SourceData_PastureBeef.SourceData_PastureBeef_StandardReferenceWeights_Data">_xlfn.LAMBDA(_xlfn.MAKEARRAY(9, 9, _xlfn.LAMBDA(_xlpm.r,_xlpm.c, INDEX({"State","Bulls &lt;1","Bulls &gt;1","Cows &lt;1","Cows 1-2","Cows &gt;2","Steer &lt;1","Steer &gt;1","State abbreviation";"ACT",700,700,500,500,500,600,600,"ACT";"NSW",700,700,500,500,500,600,600,"NSW";"Northern Territory",770,770,550,550,550,660,660,"NT";"Queensland",770,770,550,550,550,660,660,"QLD";"South Australia",770,770,550,550,550,660,660,"SA";"Tasmania",770,770,550,550,550,660,660,"TAS";"Victoria",770,770,550,550,550,660,660,"VIC";"Western Australia",770,770,550,550,550,660,660,"WA"}, _xlpm.r, _xlpm.c))))</definedName>
    <definedName name="SourceData_PastureBeef.SourceData_PastureBeef_StandardReferenceWeights_Source">_xlfn.LAMBDA("VEERG 2026: Table A.1.2.8")</definedName>
    <definedName name="SourceData_PastureBeef.SourceData_PastureBeef_StandardReferenceWeights_Title">_xlfn.LAMBDA("Beef pasture cattle - Standard reference weights (kg) (SRWk)")</definedName>
    <definedName name="SourceData_PastureBeef.SourceData_PastureBeef_StandardReferenceWeights_Unit">_xlfn.LAMBDA("kg")</definedName>
    <definedName name="SourceData_PastureBeef.SourceData_PastureBeef_StandardReferenceWeights_Variable">_xlfn.LAMBDA("SRWk")</definedName>
    <definedName name="SourceData_PastureBeef.SourceData_PastureBeef_StandardReferenceWeights_Variation">_xlfn.LAMBDA("VARIATION ON SOURCE: Split ACT and NSW into separate rows. Added 'State abbreviation' column to aid lookup.")</definedName>
    <definedName name="SourceData_Poultry.SourceData_Poultry_DietProperties_Data">_xlfn.LAMBDA(
    _xlfn.MAKEARRAY(6, 5,
      _xlfn.LAMBDA(_xlpm.r,_xlpm.c,
        INDEX({"Nutrient analysis","Layers","Meat chicken growers","Meat chicken breeder","Meat other";"Dry matter intake (kg/head/day)",0.086,0.093,0.103,0.093;"Dry matter digestibility",0.8,0.8,0.8,0.8;"Crude protein",0.19,0.23,0.19,0.23;"Nitrogen retention rate",0.35,0.47,0.32,0.47;"Manure ash",0.18,0.15,0.18,0.15}, _xlpm.r, _xlpm.c)
      )
    )
  )</definedName>
    <definedName name="SourceData_Poultry.SourceData_Poultry_DietProperties_Source">_xlfn.LAMBDA("VEERG 2026: Table A.1.7.1: Poultry - Diet properties")</definedName>
    <definedName name="SourceData_Poultry.SourceData_Poultry_DietProperties_Title">_xlfn.LAMBDA("Poultry - Diet properties")</definedName>
    <definedName name="SourceData_Poultry.SourceData_Poultry_DietProperties_Unit">_xlfn.LAMBDA("")</definedName>
    <definedName name="SourceData_Poultry.SourceData_Poultry_DietProperties_Variation">_xlfn.LAMBDA("")</definedName>
    <definedName name="SourceData_Poultry.SourceData_Poultry_EFmT_Data">_xlfn.LAMBDA(_xlfn.MAKEARRAY(9, 3, _xlfn.LAMBDA(_xlpm.r,_xlpm.c, INDEX({"MMS m","EFmT","NIR reference";"Poultry manure with litter (housing)",0.001,"Poultry manure with bedding";"Poultry manure without litter (housing)",0.001,"Belt manure removal";"Poultry manure without litter (housing)",0.001,"Manure stored in house";"Pasture range and paddock (free range)",0.02,"Pasture range and paddock";"Solid storage (stockpile)",0.005,"Solid storage";"Composting (passive windrow)",0.01,"Composting (passive windrow)";"Direct processing",0,"Direct processing";"Anaerobic digester / covered pond",0,"Digester / covered lagoons"}, _xlpm.r, _xlpm.c))))</definedName>
    <definedName name="SourceData_Poultry.SourceData_Poultry_EFmT_Source">_xlfn.LAMBDA("VEERG 2026: Table A.1.7.3")</definedName>
    <definedName name="SourceData_Poultry.SourceData_Poultry_EFmT_Title">_xlfn.LAMBDA("Poultry - Nitrous oxide EFs by MMS (kgN2O-N/kgN) (EFmT)")</definedName>
    <definedName name="SourceData_Poultry.SourceData_Poultry_EFmT_Unit">_xlfn.LAMBDA("kgN2O - N / kgN")</definedName>
    <definedName name="SourceData_Poultry.SourceData_Poultry_EFmT_Variation">_xlfn.LAMBDA("VARIATION ON SOURCE: Added 'NIR definition column'. Duplicated 'Poultry manure without litter' row for NIR MMS 'Belt manure removal' and 'Manure stored in house'.")</definedName>
    <definedName name="SourceData_Poultry.SourceData_Poultry_FracGAMSSoil_Data">_xlfn.LAMBDA(0.21)</definedName>
    <definedName name="SourceData_Poultry.SourceData_Poultry_FracGAMSSoil_Source">_xlfn.LAMBDA("VEERG 2026: 4.6.2.3 CONSTANTS")</definedName>
    <definedName name="SourceData_Poultry.SourceData_Poultry_FracGAMSSoil_Title">_xlfn.LAMBDA("Fraction of nitrogen volatilised from urine and faeces deposited on pasture")</definedName>
    <definedName name="SourceData_Poultry.SourceData_Poultry_FracGAMSSoil_Unit">_xlfn.LAMBDA("(kg NH3-N + NOx-N)/kg N")</definedName>
    <definedName name="SourceData_Poultry.SourceData_Poultry_FracGAMSSoil_Variable">_xlfn.LAMBDA("FracGASM_soil")</definedName>
    <definedName name="SourceData_Poultry.SourceData_Poultry_FracGAMSSoil_Variation">_xlfn.LAMBDA("VARIATION ON SOURCE: This constant is not documented in the draft, used the same value of 0.21 as all other livestock.")</definedName>
    <definedName name="SourceData_Poultry.SourceData_Poultry_FracGASMmT_Data">_xlfn.LAMBDA(_xlfn.MAKEARRAY(8, 3, _xlfn.LAMBDA(_xlpm.r,_xlpm.c, INDEX({"MMS m","FracGASMmT","NIR reference";"Poultry manure with litter (housing)",0.3,"Poultry manure with bedding";"Poultry manure without litter (housing) Belt manure removal",0.05,"Belt manure removal";"Poultry manure without litter (housing) Manure stored in house under cages or slat",0.4,"Manure stored in house";"Solid storage (stockpile)",0.2,"Solid storage";"Composting (passive windrow)",0.2,"Composting (passive windrow)";"Direct processing",0,"Direct processing";"Anaerobic digester / covered pond",0,"Digester / covered lagoons"}, _xlpm.r, _xlpm.c))))</definedName>
    <definedName name="SourceData_Poultry.SourceData_Poultry_FracGASMmT_Source">_xlfn.LAMBDA("VEERG 2026: Table A.1.7.2")</definedName>
    <definedName name="SourceData_Poultry.SourceData_Poultry_FracGASMmT_Title">_xlfn.LAMBDA("Poultry - Fraction of N volatilised by MMS ((kg NH3-N + NOx-N)/kgN) (FracGASMmT)")</definedName>
    <definedName name="SourceData_Poultry.SourceData_Poultry_FracGASMmT_Unit">_xlfn.LAMBDA("(kg NH3-N + NOx-N)/kgN")</definedName>
    <definedName name="SourceData_Poultry.SourceData_Poultry_FracGASMmT_Variation">_xlfn.LAMBDA("VARIATION ON SOURCE: Added 'NIR definition column'.")</definedName>
    <definedName name="SourceData_Poultry.SourceData_Poultry_FractionOfNitrogenLostThroughLeachingAndRunoff_Data">_xlfn.LAMBDA(0.02)</definedName>
    <definedName name="SourceData_Poultry.SourceData_Poultry_FractionOfNitrogenLostThroughLeachingAndRunoff_Source">_xlfn.LAMBDA("VEERG 2026: 4.6.2.3 CONSTANTS")</definedName>
    <definedName name="SourceData_Poultry.SourceData_Poultry_FractionOfNitrogenLostThroughLeachingAndRunoff_Title">_xlfn.LAMBDA("Fraction of N that is lost through leaching and runoff")</definedName>
    <definedName name="SourceData_Poultry.SourceData_Poultry_FractionOfNitrogenLostThroughLeachingAndRunoff_Unit">_xlfn.LAMBDA("Dimensionless")</definedName>
    <definedName name="SourceData_Poultry.SourceData_Poultry_FractionOfNitrogenLostThroughLeachingAndRunoff_Variable">_xlfn.LAMBDA("Frac_LEACH_MS")</definedName>
    <definedName name="SourceData_Poultry.SourceData_Poultry_FractionOfNitrogenLostThroughLeachingAndRunoff_Variation">_xlfn.LAMBDA("")</definedName>
    <definedName name="SourceData_Poultry.SourceData_Poultry_Liveweights_Data">_xlfn.LAMBDA(
    _xlfn.MAKEARRAY(5, 2,
      _xlfn.LAMBDA(_xlpm.r,_xlpm.c,
        INDEX({"Livestock Class j","Average Liveweight (kg)";"Chicken",1.3;"Hen &gt;/=1 yr",2;"Pullets",1.4;"Broilers",1.2}, _xlpm.r, _xlpm.c)
      )
    )
  )</definedName>
    <definedName name="SourceData_Poultry.SourceData_Poultry_Liveweights_Source">_xlfn.LAMBDA("VEERG 2026: Table A.1.7.5")</definedName>
    <definedName name="SourceData_Poultry.SourceData_Poultry_Liveweights_Title">_xlfn.LAMBDA("Poultry - Liveweights (Wco) (kg)")</definedName>
    <definedName name="SourceData_Poultry.SourceData_Poultry_Liveweights_Unit">_xlfn.LAMBDA("kg")</definedName>
    <definedName name="SourceData_Poultry.SourceData_Poultry_Liveweights_Variation">_xlfn.LAMBDA("")</definedName>
    <definedName name="SourceData_Poultry.SourceData_Poultry_MCF_Data">_xlfn.LAMBDA(_xlfn.MAKEARRAY(10, 11, _xlfn.LAMBDA(_xlpm.r,_xlpm.c, INDEX({"MMS m","All states","NSW","ACT","QLD","NT","VIC","SA","WA","TAS","NIR definition";"Poultry manure with litter",0.015,0.015,0.015,0.015,0.015,0.015,0.015,0.015,0.015,"Poultry manure with bedding";"Poultry manure without litter",0.015,0.015,0.015,0.015,0.015,0.015,0.015,0.015,0.015,"Belt manure removal";"Poultry manure without litter",0.015,0.015,0.015,0.015,0.015,0.015,0.015,0.015,0.015,"Manure stored in house";"Pasture range and paddock","n/a",0.01,0.01,0.03,0.03,0.01,0.01,0.01,0.01,"Pasture range and paddock";"Solid storage",0.02,0.02,0.02,0.02,0.02,0.02,0.02,0.02,0.02,"Solid storage";"Composting (passive windrow)","n/a",0.01,0.01,0.01,0.01,0.01,0.01,0.01,0.005,"Composting (passive windrow)";"Anaerobic digester / Covered pond",0.1,0.1,0.1,0.1,0.1,0.1,0.1,0.1,0.1,"Digester / covered lagoons";"Direct processing",0,0,0,0,0,0,0,0,0,"Direct processing";"Direct application to soil",0,0,0,0,0,0,0,0,0,"Direct application"}, _xlpm.r, _xlpm.c))))</definedName>
    <definedName name="SourceData_Poultry.SourceData_Poultry_MCF_Notes">_xlfn.LAMBDA("'Pasture range and paddock' applies MCF for drylot.")</definedName>
    <definedName name="SourceData_Poultry.SourceData_Poultry_MCF_Source">_xlfn.LAMBDA("VEERG 2026: Table A.1.7.4: Poultry - MCFs")</definedName>
    <definedName name="SourceData_Poultry.SourceData_Poultry_MCF_Title">_xlfn.LAMBDA("Poultry - MCFs")</definedName>
    <definedName name="SourceData_Poultry.SourceData_Poultry_MCF_Unit">_xlfn.LAMBDA("")</definedName>
    <definedName name="SourceData_Poultry.SourceData_Poultry_MCF_Variation">_xlfn.LAMBDA(_xlfn.MAKEARRAY(5, 1, _xlfn.LAMBDA(_xlpm.r,_xlpm.c, INDEX({"VARIATION ON SOURCE:";"Split NSW and ACT into separate states. Split QLD and NT into separate states.";"Included values for each state when 'All states' value is given.";"Added 'NIR definition' column with MMS names that match NIR definitions.";"Duplicated 'Poultry manure without litter' row for NIR MMS 'Belt manure removal' and 'Manure stored in house'"}, _xlpm.r, _xlpm.c))))</definedName>
    <definedName name="SourceData_Poultry.SourceData_Poultry_MethaneEmissionsPotential_Data">_xlfn.LAMBDA(_xlfn.MAKEARRAY(3, 2, _xlfn.LAMBDA(_xlpm.r,_xlpm.c, INDEX({"Poultry class","B0";"Layers",0.39;"Meat chickens",0.36}, _xlpm.r, _xlpm.c))))</definedName>
    <definedName name="SourceData_Poultry.SourceData_Poultry_MethaneEmissionsPotential_Source">_xlfn.LAMBDA("VEERG 2026: 4.6.2.3 CONSTANT: Poultry - Methane emissions potential per class")</definedName>
    <definedName name="SourceData_Poultry.SourceData_Poultry_MethaneEmissionsPotential_Title">_xlfn.LAMBDA("Poultry - Methane emissions potential per class")</definedName>
    <definedName name="SourceData_Poultry.SourceData_Poultry_MethaneEmissionsPotential_Unit">_xlfn.LAMBDA("m3 CH4/kg VS")</definedName>
    <definedName name="SourceData_Poultry.SourceData_Poultry_MethaneEmissionsPotential_Variation">_xlfn.LAMBDA("")</definedName>
    <definedName name="SourceData_Poultry.SourceData_Poultry_ProductionSystems_Data">_xlfn.LAMBDA(_xlfn.MAKEARRAY(4, 1, _xlfn.LAMBDA(_xlpm.r,_xlpm.c, INDEX({"Production system";"Free range";"Barn";"Cage"}, _xlpm.r, _xlpm.c))))</definedName>
    <definedName name="SourceData_Poultry.SourceData_Poultry_ProductionSystems_Source">_xlfn.LAMBDA("VEERG 2026: 4.6 Poultry")</definedName>
    <definedName name="SourceData_Poultry.SourceData_Poultry_ProductionSystems_Title">_xlfn.LAMBDA("Poultry - Production systems")</definedName>
    <definedName name="SourceData_Poultry.SourceData_Poultry_ProductionSystems_Unit">_xlfn.LAMBDA("")</definedName>
    <definedName name="SourceData_Poultry.SourceData_Poultry_ProductionSystems_Variation">_xlfn.LAMBDA("")</definedName>
    <definedName name="SourceData_Poultry.SourceData_Poultry_VSL_Data">_xlfn.LAMBDA(_xlfn.MAKEARRAY(4, 3, _xlfn.LAMBDA(_xlpm.r,_xlpm.c, INDEX({"MMS","VSL","NIR definition";"Poultry manure with litter",0.15,"Poultry manure with bedding";"Poultry manure without litter - stored in house",0.2,"Manure stored in house";"Poultry manure without litter - belt removal",0,"Belt manure removal"}, _xlpm.r, _xlpm.c))))</definedName>
    <definedName name="SourceData_Poultry.SourceData_Poultry_VSL_Source">_xlfn.LAMBDA("VEERG 2026: 4.6.2.3 CONSTANT")</definedName>
    <definedName name="SourceData_Poultry.SourceData_Poultry_VSL_Title">_xlfn.LAMBDA("Poultry - Fraction of volatile solids lost in the primary MMS")</definedName>
    <definedName name="SourceData_Poultry.SourceData_Poultry_VSL_Unit">_xlfn.LAMBDA("")</definedName>
    <definedName name="SourceData_Poultry.SourceData_Poultry_VSL_Variation">_xlfn.LAMBDA("VARIATION ON SOURCE: Table generated from line items. Added 'NIR definition column'.")</definedName>
    <definedName name="SourceData_Swine.SourceData_Swine_AverageLiveweight_Data">_xlfn.LAMBDA(_xlfn.MAKEARRAY(6, 2, _xlfn.LAMBDA(_xlpm.r,_xlpm.c, INDEX({"Livestock Type j","Average Liveweight (kg)";"Sows",188;"Boars",206;"Gilts",125;"Slaughter pigs",39;"Slaughter pigs at turnoff",97}, _xlpm.r, _xlpm.c))))</definedName>
    <definedName name="SourceData_Swine.SourceData_Swine_AverageLiveweight_Source">_xlfn.LAMBDA("VEERG 2026: Table A.1.6.5: Swine - Average liveweight (inventory defaults) (kg) (Wco)")</definedName>
    <definedName name="SourceData_Swine.SourceData_Swine_AverageLiveweight_Title">_xlfn.LAMBDA("Swine - Average liveweight (inventory defaults) (kg) (Wco)")</definedName>
    <definedName name="SourceData_Swine.SourceData_Swine_AverageLiveweight_Unit">_xlfn.LAMBDA("kg")</definedName>
    <definedName name="SourceData_Swine.SourceData_Swine_AverageLiveweight_Variation">_xlfn.LAMBDA(".")</definedName>
    <definedName name="SourceData_Swine.SourceData_Swine_FeedIntake_Data">_xlfn.LAMBDA(
    _xlfn.MAKEARRAY(5, 2,
      _xlfn.LAMBDA(_xlpm.r,_xlpm.c,
        INDEX({"Class","Ij";"Boars",2.62;"Sows",2.3;"Gilts",2.5;"Others",1.71}, _xlpm.r, _xlpm.c)
      )
    )
  )</definedName>
    <definedName name="SourceData_Swine.SourceData_Swine_FeedIntake_Source">_xlfn.LAMBDA("VEERG 2026: Table A.1.6.1: Swine - Intake and manure characteristics derived from PigBal")</definedName>
    <definedName name="SourceData_Swine.SourceData_Swine_FeedIntake_Title">_xlfn.LAMBDA("Swine - Feed intake - ingested as fed  (Ij) - 2020 to 2024")</definedName>
    <definedName name="SourceData_Swine.SourceData_Swine_FeedIntake_Unit">_xlfn.LAMBDA("kg/head/day")</definedName>
    <definedName name="SourceData_Swine.SourceData_Swine_FeedIntake_Variation">_xlfn.LAMBDA("VARIATION ON SOURCE DATA: Only uses data for 2020-2024. Use 'Slaughter pigs' data for 'Other j=4' class.")</definedName>
    <definedName name="SourceData_Swine.SourceData_Swine_FracLEACH_DrylotMMS_Data">_xlfn.LAMBDA(0.02)</definedName>
    <definedName name="SourceData_Swine.SourceData_Swine_FracLEACH_DrylotMMS_Source">_xlfn.LAMBDA("VEERG 2026: 4.5.2.3 CONSTANT")</definedName>
    <definedName name="SourceData_Swine.SourceData_Swine_FracLEACH_DrylotMMS_Title">_xlfn.LAMBDA("Fraction of nitrogen lost through leaching and runoff for drylot MMS")</definedName>
    <definedName name="SourceData_Swine.SourceData_Swine_FracLEACH_DrylotMMS_Unit">_xlfn.LAMBDA("fraction")</definedName>
    <definedName name="SourceData_Swine.SourceData_Swine_FracLEACH_DrylotMMS_Variable">_xlfn.LAMBDA("FracLEACH_MS")</definedName>
    <definedName name="SourceData_Swine.SourceData_Swine_FracLEACH_DrylotMMS_Variation">_xlfn.LAMBDA("VARIATION ON SOURCE: Text refers to 'solid storage' MMS, but equation refers to 'drylot' MMS.")</definedName>
    <definedName name="SourceData_Swine.SourceData_Swine_FractionNVolatilised_Data">_xlfn.LAMBDA(_xlfn.MAKEARRAY(7, 3, _xlfn.LAMBDA(_xlpm.r,_xlpm.c, INDEX({"MMSm","FracGASMmT","NIR reference";"Outdoor (Dry lot)",0.3,"Drylot (feed pad)";"Deep litter",0.125,"Deep litter";"Stockpile (Solid storage)",0.2,"Solid storage";"Effluent pond (Uncovered anaerobic lagoon)",0.55,"Anaerobic lagoon";"Anaerobic digester / Covered lagoon",0,"Digester / covered lagoons";"Short HRT tank storage &lt; 1 month (pit storage)",0.25,"Pit storage"}, _xlpm.r, _xlpm.c))))</definedName>
    <definedName name="SourceData_Swine.SourceData_Swine_FractionNVolatilised_Source">_xlfn.LAMBDA("VEERG 2026: Table A.1.6.2: Swine - Fraction of N volatilised by MMS ((kg NH3-N + NOx-N)/kgN) (FracGASMmT)")</definedName>
    <definedName name="SourceData_Swine.SourceData_Swine_FractionNVolatilised_Title">_xlfn.LAMBDA("Swine - Fraction of nitrogen volatilised (FracGASMmT)")</definedName>
    <definedName name="SourceData_Swine.SourceData_Swine_FractionNVolatilised_Unit">_xlfn.LAMBDA("(kg NH3-N + NOx-N)/kgN")</definedName>
    <definedName name="SourceData_Swine.SourceData_Swine_FractionNVolatilised_Variation">_xlfn.LAMBDA("VARIATION ON SOURCE DATA: Added 'NIR reference column to aid lookup.")</definedName>
    <definedName name="SourceData_Swine.SourceData_Swine_MegajoulesPerKilogramMethane_Data">_xlfn.LAMBDA(55.22)</definedName>
    <definedName name="SourceData_Swine.SourceData_Swine_MegajoulesPerKilogramMethane_Source">_xlfn.LAMBDA("VEERG 2026: 3.5.2.3 CONSTANT")</definedName>
    <definedName name="SourceData_Swine.SourceData_Swine_MegajoulesPerKilogramMethane_Title">_xlfn.LAMBDA("Megajoules per kilogram of methane")</definedName>
    <definedName name="SourceData_Swine.SourceData_Swine_MegajoulesPerKilogramMethane_Unit">_xlfn.LAMBDA("MJ / kg CH4")</definedName>
    <definedName name="SourceData_Swine.SourceData_Swine_MegajoulesPerKilogramMethane_Variable">_xlfn.LAMBDA("F")</definedName>
    <definedName name="SourceData_Swine.SourceData_Swine_MegajoulesPerKilogramMethane_Variation">_xlfn.LAMBDA("")</definedName>
    <definedName name="SourceData_Swine.SourceData_Swine_MethaneVolatileSolidsEmissionsPotential_Data">_xlfn.LAMBDA(0.19)</definedName>
    <definedName name="SourceData_Swine.SourceData_Swine_MethaneVolatileSolidsEmissionsPotential_Title">_xlfn.LAMBDA("Emissions potential of methane per kilogram of volatile solids")</definedName>
    <definedName name="SourceData_Swine.SourceData_Swine_MethaneVolatileSolidsEmissionsPotential_Unit">_xlfn.LAMBDA("m3 CH4 / kg VS")</definedName>
    <definedName name="SourceData_Swine.SourceData_Swine_MethaneVolatileSolidsEmissionsPotential_Variable">_xlfn.LAMBDA("B0")</definedName>
    <definedName name="SourceData_Swine.SourceData_Swine_MethaneVolatileSolidsEmissionsPotential_Variation">_xlfn.LAMBDA("")</definedName>
    <definedName name="SourceData_Swine.SourceData_Swine_MMS_MCFs_Data">_xlfn.LAMBDA(
    _xlfn.MAKEARRAY(8, 10,
      _xlfn.LAMBDA(_xlpm.r,_xlpm.c,
        INDEX({"MMS","NSW","ACT","QLD","NT","SA","TAS","VIC","WA","NIR definition";"Outdoor (Dry lot)",0.01,0.01,0.03,0.03,0.01,0.01,0.01,0.01,"Drylot (feed pad)";"Deep litter",0.04,0.04,0.04,0.04,0.04,0.04,0.04,0.04,"Deep litter";"Stockpile (Solid storage)",0.02,0.02,0.02,0.02,0.02,0.02,0.02,0.02,"Solid storage";"Effluent pond (Uncovered anaerobic lagoon)",0.75,0.75,0.78,0.78,0.75,0.7,0.74,0.76,"Anaerobic lagoon";"Anaerobic digester / Covered lagoon",0.1,0.1,0.1,0.1,0.1,0.1,0.1,0.1,"Digester / covered lagoons";"Short HRT tank storage &lt; 1 month (pit storage)",0.03,0.03,0.03,0.03,0.03,0.03,0.03,0.03,"Pit storage";"Direct Application to soil",0,0,0,0,0,0,0,0,"Direct application"}, _xlpm.r, _xlpm.c)
      )
    )
  )</definedName>
    <definedName name="SourceData_Swine.SourceData_Swine_MMS_MCFs_Source">_xlfn.LAMBDA("VEERG 2026: Table A.1.6.4: Swine - MCFs (MCFim)")</definedName>
    <definedName name="SourceData_Swine.SourceData_Swine_MMS_MCFs_Title">_xlfn.LAMBDA("Methane conversion factor for temperature zone and manure management system.")</definedName>
    <definedName name="SourceData_Swine.SourceData_Swine_MMS_MCFs_Unit">_xlfn.LAMBDA("")</definedName>
    <definedName name="SourceData_Swine.SourceData_Swine_MMS_MCFs_Variation">_xlfn.LAMBDA("VARIATION ON SOURCE DATA: Added columns for ACT, split QLD and NT. Added extra column with MMS names that match NIR definitions")</definedName>
    <definedName name="SourceData_Swine.SourceData_Swine_NitrogenInWaste_Data">_xlfn.LAMBDA(_xlfn.MAKEARRAY(5, 4, _xlfn.LAMBDA(_xlpm.r,_xlpm.c, INDEX({"Class","NWj","NWj daily","Class name";"Boars",0.046,0.046,"Boars";"Sows",0.049,0.049,"Sows";"Gilts",0.046,0.046,"Gilts";"Others (kg/head/year)",11.4,0.0312,"Others"}, _xlpm.r, _xlpm.c))))</definedName>
    <definedName name="SourceData_Swine.SourceData_Swine_NitrogenInWaste_Source">_xlfn.LAMBDA("VEERG 2026: Table A.1.6.1: Swine - Intake and manure characteristics derived from PigBal")</definedName>
    <definedName name="SourceData_Swine.SourceData_Swine_NitrogenInWaste_Title">_xlfn.LAMBDA("Swine - Nitrogen in waste (NWj) - 2020 to 2024")</definedName>
    <definedName name="SourceData_Swine.SourceData_Swine_NitrogenInWaste_Unit">_xlfn.LAMBDA("kg/head/day")</definedName>
    <definedName name="SourceData_Swine.SourceData_Swine_NitrogenInWaste_Variation">_xlfn.LAMBDA("VARIATION ON SOURCE DATA: Only uses data for 2020-2024. Use 'Slaughter pigs' data for 'Other j=4' class. Added 'NWj daily' column to provide daily value for Others class. Added 'Class name' column to aid lookup.")</definedName>
    <definedName name="SourceData_Swine.SourceData_Swine_NitrousOxideEFs_Data">_xlfn.LAMBDA(_xlfn.MAKEARRAY(7, 3, _xlfn.LAMBDA(_xlpm.r,_xlpm.c, INDEX({"MMSm","EFmT","NIR reference";"Outdoor (Dry lot)",0.02,"Drylot (feed pad)";"Deep litter",0.01,"Deep litter";"Stockpile (Solid storage)",0.005,"Solid storage";"Effluent pond (Uncovered anaerobic lagoon)",0,"Anaerobic lagoon";"Anaerobic digestor / Covered lagoon",0,"Digester / covered lagoons";"Short HRT tank storage &lt; 1 month (pit storage)",0.002,"Pit storage"}, _xlpm.r, _xlpm.c))))</definedName>
    <definedName name="SourceData_Swine.SourceData_Swine_NitrousOxideEFs_Source">_xlfn.LAMBDA("VEERG 2026: Table A.1.6.3: Swine - Nitrous oxide EFs by MMS (kgN2O-N/kgN) (EFmT)")</definedName>
    <definedName name="SourceData_Swine.SourceData_Swine_NitrousOxideEFs_Title">_xlfn.LAMBDA("Swine - Nitrous oxide EFs by MMS (EFmT)")</definedName>
    <definedName name="SourceData_Swine.SourceData_Swine_NitrousOxideEFs_Unit">_xlfn.LAMBDA("kgN2O - N / kgN")</definedName>
    <definedName name="SourceData_Swine.SourceData_Swine_NitrousOxideEFs_Variation">_xlfn.LAMBDA("VARIATION ON SOURCE DATA: Added 'NIR reference column to aid lookup.")</definedName>
    <definedName name="SourceData_Swine.SourceData_Swine_ProductionSystems_Data">_xlfn.LAMBDA(_xlfn.MAKEARRAY(4, 1, _xlfn.LAMBDA(_xlpm.r,_xlpm.c, INDEX({"Production system";"Conventional housing";"Deep litter housing";"Outdoor/free range"}, _xlpm.r, _xlpm.c))))</definedName>
    <definedName name="SourceData_Swine.SourceData_Swine_ProductionSystems_Source">_xlfn.LAMBDA("VEERG 2026: 4.5 Swine Figure 4.8")</definedName>
    <definedName name="SourceData_Swine.SourceData_Swine_ProductionSystems_Title">_xlfn.LAMBDA("Swine production systems")</definedName>
    <definedName name="SourceData_Swine.SourceData_Swine_ProductionSystems_Unit">_xlfn.LAMBDA("")</definedName>
    <definedName name="SourceData_Swine.SourceData_Swine_ProductionSystems_Variation">_xlfn.LAMBDA("")</definedName>
    <definedName name="SourceData_Swine.SourceData_Swine_VolatileSolids_Data">_xlfn.LAMBDA(
    _xlfn.MAKEARRAY(5, 2,
      _xlfn.LAMBDA(_xlpm.r,_xlpm.c,
        INDEX({"Class","VSj";"Boars",0.4;"Sows",0.46;"Gilts",0.55;"Others",0.39}, _xlpm.r, _xlpm.c)
      )
    )
  )</definedName>
    <definedName name="SourceData_Swine.SourceData_Swine_VolatileSolids_Source">_xlfn.LAMBDA("VEERG 2026: Table A.1.6.1: Swine - Intake and manure characteristics derived from PigBal")</definedName>
    <definedName name="SourceData_Swine.SourceData_Swine_VolatileSolids_Title">_xlfn.LAMBDA("Swine - Volatile solids (VSj) - 2020 to 2024")</definedName>
    <definedName name="SourceData_Swine.SourceData_Swine_VolatileSolids_Unit">_xlfn.LAMBDA("kg/head/day")</definedName>
    <definedName name="SourceData_Swine.SourceData_Swine_VolatileSolids_Variation">_xlfn.LAMBDA("VARIATION ON SOURCE DATA: Only uses data for 2020-2024. Use 'Slaughter pigs' data for 'Other j=4' class.")</definedName>
    <definedName name="Table_E_ad_inorganic">'5.4.1.1-4 Atmos deposition'!$D$58:$F$77</definedName>
    <definedName name="Table_E_ad_organic">'5.4.1.1-4 Atmos deposition'!$D$133:$F$136</definedName>
    <definedName name="Table_E_g">'8.2.1.1-2 Stationary fuel'!$D$24:$Q$40</definedName>
    <definedName name="Table_E_g_Consumer_1">'8.1.1.1-2 Transport fuel'!$D$24:$Q$39</definedName>
    <definedName name="Table_E_g_offsite">'10.1.1-2 Solid waste treatment'!$D$156:$E$190</definedName>
    <definedName name="Table_E_g_onsite">'10.1.1-2 Solid waste treatment'!$D$115:$E$149</definedName>
    <definedName name="Table_E_lime">'5.3.1.1-2 Lime CO2'!$D$24:$H$27</definedName>
    <definedName name="Table_M_leach_inorganic_j">'5.5.1.1-2 Leaching and runoff'!$D$22:$F$41</definedName>
    <definedName name="Table_M_leach_organic_j">'5.5.1.1-2 Leaching and runoff'!$D$64:$F$75</definedName>
    <definedName name="Table_M_vol_inorganic_j_f">'5.4.1.1-4 Atmos deposition'!$D$18:$H$37</definedName>
    <definedName name="Table_M_vol_organic_j_f">'5.4.1.1-4 Atmos deposition'!$D$101:$F$104</definedName>
    <definedName name="Table_MN_j_f">'5.1.1.1-2 Inorganic fert N2O'!$D$18:$G$37</definedName>
    <definedName name="Table_MNSoil_j_f">'5.2.1.1-2 Organic Fert N2O'!$D$19:$I$22</definedName>
    <definedName name="Table_MU_j_f">'5.1.1.3-4 Inorganic fert CO2'!$D$18:$G$37</definedName>
    <definedName name="Table_V_w_t_offsite">'10.1.1-2 Solid waste treatment'!$D$58:$E$92</definedName>
    <definedName name="Table_V_w_t_onsite">'10.1.1-2 Solid waste treatment'!$D$20:$E$54</definedName>
    <definedName name="ValidLivestockClass">_xlfn.UNIQUE(_xlfn._xlws.FILTER(#REF!,#REF! =#REF!))</definedName>
    <definedName name="VEERG_10_1_1_1__1_EmissionsFromWasteManagement_Scope1_Result_Method1">'10.1.1-2 Solid waste treatment'!$E$151</definedName>
    <definedName name="VEERG_10_1_1_1__1_EmissionsFromWasteManagement_Scope3_Result_Method1">'10.1.1-2 Solid waste treatment'!$E$192</definedName>
    <definedName name="VEERG_14_1_1__1_LocationBasedScopeElectricityEmissions_Result_Method1">'14.1.1-2 Purchased electricity'!$E$18</definedName>
    <definedName name="VEERG_14_1_2__1_MarketBasedScopeElectricityEmissionsVariation_Result_Method1">'14.1.1-2 Purchased electricity'!$E$39</definedName>
    <definedName name="VEERG_15_1_1_1__1_EmissionsFromPurchasedLivestock_BeefCattle_Result_Method1">'15 Scope 3'!$E$34</definedName>
    <definedName name="VEERG_15_1_1_1__1_EmissionsFromPurchasedLivestock_BeefCattle_Result_Method2">'15 Scope 3'!$E$35</definedName>
    <definedName name="VEERG_15_1_1_1__1_EmissionsFromPurchasedLivestock_DairyCattle_Result_Method1">'15 Scope 3'!$E$53</definedName>
    <definedName name="VEERG_15_1_1_1__1_EmissionsFromPurchasedLivestock_DairyCattle_Result_Method2">'15 Scope 3'!$E$54</definedName>
    <definedName name="VEERG_15_1_1_1__1_EmissionsFromPurchasedLivestock_Pigs_Result_Method1">'15 Scope 3'!$E$72</definedName>
    <definedName name="VEERG_15_1_1_1__1_EmissionsFromPurchasedLivestock_Pigs_Result_Method2">'15 Scope 3'!$E$73</definedName>
    <definedName name="VEERG_15_1_1_1__1_EmissionsFromPurchasedLivestock_Poultry_Result_Method1">'15 Scope 3'!$E$90</definedName>
    <definedName name="VEERG_15_1_1_1__1_EmissionsFromPurchasedLivestock_Poultry_Result_Method2">'15 Scope 3'!$E$91</definedName>
    <definedName name="VEERG_15_1_1_1__1_EmissionsFromPurchasedLivestock_Result_Method1">'15 Scope 3'!$E$93</definedName>
    <definedName name="VEERG_15_1_1_1__1_EmissionsFromPurchasedLivestock_Result_Method2">'15 Scope 3'!$E$94</definedName>
    <definedName name="VEERG_15_10_1_1__1_OtherPurchasedGoodsAndServices_CleaningChemicals_Result_Method1">'15 Scope 3'!$E$456</definedName>
    <definedName name="VEERG_15_10_1_1__1_OtherPurchasedGoodsAndServices_CleaningChemicals_Result_Method2">'15 Scope 3'!$E$457</definedName>
    <definedName name="VEERG_15_10_1_1__1_OtherPurchasedGoodsAndServices_Misc_Result_Method1">'15 Scope 3'!$E$498</definedName>
    <definedName name="VEERG_15_10_1_1__1_OtherPurchasedGoodsAndServices_Misc_Result_Method2">'15 Scope 3'!$E$499</definedName>
    <definedName name="VEERG_15_10_1_1__1_OtherPurchasedGoodsAndServices_PharmacyChemicals_Result_Method1">'15 Scope 3'!$E$474</definedName>
    <definedName name="VEERG_15_10_1_1__1_OtherPurchasedGoodsAndServices_PharmacyChemicals_Result_Method2">'15 Scope 3'!$E$475</definedName>
    <definedName name="VEERG_15_10_1_1__1_OtherPurchasedGoodsAndServices_Seed_Result_Method1">'15 Scope 3'!$E$487</definedName>
    <definedName name="VEERG_15_10_1_1__1_OtherPurchasedGoodsAndServices_Seed_Result_Method2">'15 Scope 3'!$E$488</definedName>
    <definedName name="VEERG_15_10_1_1__1_OtherPurchasedGoodsAndServices_Uncategorised_Result_Method1">'15 Scope 3'!$E$516</definedName>
    <definedName name="VEERG_15_10_1_1__1_OtherPurchasedGoodsAndServices_Uncategorised_Result_Method2">'15 Scope 3'!$E$517</definedName>
    <definedName name="VEERG_15_11_1_1__1_TotalUpstreamEmissionsFromFuel_Result">'15 Scope 3'!$E$533</definedName>
    <definedName name="VEERG_15_12_1_1__1_UpstreamPurchasedElectricityLocationBased_Result">'15 Scope 3'!$E$548</definedName>
    <definedName name="VEERG_15_12_1_2__1_UpstreamPurchasedElectricityMarketBasedVariation_Result">'15 Scope 3'!$E$570</definedName>
    <definedName name="VEERG_15_13_1_1__1_EmissionsFromManureSentOffSite_Result_Method1_CO2e">'15 Scope 3'!$E$593</definedName>
    <definedName name="VEERG_15_13_1_1__1_EmissionsFromManureSentOffSite_Result_Method2_CO2e">'15 Scope 3'!$M$593</definedName>
    <definedName name="VEERG_15_14_1_1__1_EmbeddedEmissionsFromUpstreamFreight_Incoming_Result_Method1">'15 Scope 3'!$E$635</definedName>
    <definedName name="VEERG_15_14_1_1__1_EmbeddedEmissionsFromUpstreamFreight_Incoming_Result_Method2">'15 Scope 3'!$E$636</definedName>
    <definedName name="VEERG_15_14_1_1__1_EmbeddedEmissionsFromUpstreamFreight_Outgoing_Result_Method1">'15 Scope 3'!$E$653</definedName>
    <definedName name="VEERG_15_14_1_1__1_EmbeddedEmissionsFromUpstreamFreight_Outgoing_Result_Method2">'15 Scope 3'!$E$654</definedName>
    <definedName name="VEERG_15_2_1_1__1_EmissionsFromPurchasedFeed_Result_Method1">'15 Scope 3'!$E$159</definedName>
    <definedName name="VEERG_15_2_1_1__1_EmissionsFromPurchasedFeed_Result_Method2">'15 Scope 3'!$E$160</definedName>
    <definedName name="VEERG_15_3_1_1__1_EmissionsFromPurchasedMineralSupplements_Result_Method1">'15 Scope 3'!$E$181</definedName>
    <definedName name="VEERG_15_3_1_1__1_EmissionsFromPurchasedMineralSupplements_Result_Method2">'15 Scope 3'!$E$182</definedName>
    <definedName name="VEERG_15_4_1_1__2_EmissionsFromPurchasedFertiliserComponentsVariation_Result_Method1">'15 Scope 3'!$E$266</definedName>
    <definedName name="VEERG_15_4_1_1__2_EmissionsFromPurchasedFertiliserComponentsVariation_Result_Method2">'15 Scope 3'!$E$267</definedName>
    <definedName name="VEERG_15_5_1_1__1_EmissionsFromPurchasedAgrichemicals_Result_Method1">'15 Scope 3'!$E$298</definedName>
    <definedName name="VEERG_15_5_1_1__1_EmissionsFromPurchasedAgrichemicals_Result_Method2">'15 Scope 3'!$E$299</definedName>
    <definedName name="VEERG_15_6_1_1__1_EmissionsFromPurchasedLime_Result_Method1">'15 Scope 3'!$E$331</definedName>
    <definedName name="VEERG_15_6_1_1__1_EmissionsFromPurchasedLime_Result_Method2">'15 Scope 3'!$E$332</definedName>
    <definedName name="VEERG_15_7_1_1__1_EmissionsFromPurchasedServices_Result_Method1">'15 Scope 3'!$E$362</definedName>
    <definedName name="VEERG_15_7_1_1__1_EmissionsFromPurchasedServices_Result_Method2">'15 Scope 3'!$E$363</definedName>
    <definedName name="VEERG_15_8_1_1__1_EmissionsFromPurchasedPackaging_Result_Method1">'15 Scope 3'!$E$393</definedName>
    <definedName name="VEERG_15_8_1_1__1_EmissionsFromPurchasedPackaging_Result_Method2">'15 Scope 3'!$E$394</definedName>
    <definedName name="VEERG_15_9_1_1__1_EmissionsFromPurchasedGrowMedia_Result_Method1">'15 Scope 3'!$E$425</definedName>
    <definedName name="VEERG_15_9_1_1__1_EmissionsFromPurchasedGrowMedia_Result_Method2">'15 Scope 3'!$E$426</definedName>
    <definedName name="VEERG_5_1_1_1__1_InorganicFertiliserApplicationN2OEmissions_Result_Method1">'5.1.1.1-2 Inorganic fert N2O'!$E$80</definedName>
    <definedName name="VEERG_5_1_1_1__1_InorganicFertiliserApplicationN2OEmissions_Result_Method2">'5.1.1.1-2 Inorganic fert N2O'!$N$110</definedName>
    <definedName name="VEERG_5_1_1_3__1_InorganicFertiliserApplicationCO2Emissions_Result_Method1">'5.1.1.3-4 Inorganic fert CO2'!$E$78</definedName>
    <definedName name="VEERG_5_2_1_1__2_MassOfNitrogenInOrganicFertiliser_Result_Method1">'5.2.1.1-2 Organic Fert N2O'!$E$50</definedName>
    <definedName name="VEERG_5_3_1_1__1_LimeApplicationCO2Emissions_Result_Method1">'5.3.1.1-2 Lime CO2'!$E$31</definedName>
    <definedName name="VEERG_5_4_1_1__1_InorganicFertiliserAtmosphericDepositionN2OEmissions_Result_Method1">'5.4.1.1-4 Atmos deposition'!$E$79</definedName>
    <definedName name="VEERG_5_4_1_3__1_OrganicFertiliserAtmosphericDepositionN2OEmissions_Result_Method1">'5.4.1.1-4 Atmos deposition'!$E$146</definedName>
    <definedName name="VEERG_5_5_1_1__1_FertiliserLeachingAndRunoffN2OEmissions_Result_Method1">'5.5.1.1-2 Leaching and runoff'!$E$94</definedName>
    <definedName name="VEERG_6_1_1_1__1__NitrousOxideEmissionsFromCropResidues_Result_Method1">'6.1.1.1-2 Crop residue N2O'!$E$42</definedName>
    <definedName name="VEERG_6_1_1_1__1__NitrousOxideEmissionsFromCropResidues_Result_Method2">'6.1.1.1-2 Crop residue N2O'!$N$61</definedName>
    <definedName name="VEERG_6_1_1_1__2__MassOfNitrogenInCropResidues_Result_Method1">'6.1.1.1-2 Crop residue N2O'!$E$24</definedName>
    <definedName name="VEERG_6_1_1_1__2__MassOfNitrogenInCropResidues_Result_Method2">'6.1.1.1-2 Crop residue N2O'!$N$43</definedName>
    <definedName name="VEERG_6_1_1_2__1__FractionOfCropResidueRemovedBaled_Result">'6.1.1.1-2 Crop residue N2O'!$N$20</definedName>
    <definedName name="VEERG_6_3_1_1__1__LeachingAndRunoffEmissionsCropAndPastureResidue_CropOnly_Result_Method1">'6.3.1.1-2 Leach runoff crop'!$E$48</definedName>
    <definedName name="VEERG_6_3_1_1__1__LeachingAndRunoffEmissionsCropAndPastureResidue_CropOnly_Result_Method2">'6.3.1.1-2 Leach runoff crop'!$O$48</definedName>
    <definedName name="VEERG_6_4_1_1__1__MethaneEmissionsFromBurningOfCropResidues_Result_Method1">'6.4.1.1-2 Residue burning'!$E$62</definedName>
    <definedName name="VEERG_6_4_1_1__2__NitrousOxideEmissionsFromBurningOfCropResidues_Result_Method1">'6.4.1.1-2 Residue burning'!$E$39</definedName>
    <definedName name="VEERG_8_1_1_1__1_FuelCombustionTransport_Result">'8.1.1.1-2 Transport fuel'!$E$70</definedName>
    <definedName name="VEERG_8_1_1_1__1_FuelCombustionTransport_Result_CH4">'8.1.1.1-2 Transport fuel'!$E$68</definedName>
    <definedName name="VEERG_8_1_1_1__1_FuelCombustionTransport_Result_CO2">'8.1.1.1-2 Transport fuel'!$E$67</definedName>
    <definedName name="VEERG_8_1_1_1__1_FuelCombustionTransport_Result_N2O">'8.1.1.1-2 Transport fuel'!$E$69</definedName>
    <definedName name="VEERG_8_1_1_1__1_FuelCombustionTransport_Result_Scope3">'8.1.1.1-2 Transport fuel'!$E$70</definedName>
    <definedName name="VEERG_8_2_1_1__1_FuelCombustionStationary_Result">'8.2.1.1-2 Stationary fuel'!$E$58</definedName>
    <definedName name="VEERG_8_2_1_1__1_FuelCombustionStationary_Result_CH4">'8.2.1.1-2 Stationary fuel'!$E$56</definedName>
    <definedName name="VEERG_8_2_1_1__1_FuelCombustionStationary_Result_CO2">'8.2.1.1-2 Stationary fuel'!$E$55</definedName>
    <definedName name="VEERG_8_2_1_1__1_FuelCombustionStationary_Result_N2O">'8.2.1.1-2 Stationary fuel'!$E$57</definedName>
    <definedName name="VEERG_8_2_1_1__1_FuelCombustionStationary_Result_Scope3">'8.2.1.1-2 Stationary fuel'!$E$58</definedName>
    <definedName name="WasteSolid_Equations.VEERG_10_1_1_1__1_EmissionsFromWasteManagement">_xlfn.LAMBDA(_xlpm.Q_wt,_xlpm.EF_wtg, _xlpm.Q_wt * _xlpm.EF_wtg)</definedName>
    <definedName name="WasteSolid_Equations.VEERG_10_1_1_1__1_EmissionsFromWasteManagement_Arguments">_xlfn.LAMBDA(_xlfn.MAKEARRAY(7, 4, _xlfn.LAMBDA(_xlpm.r,_xlpm.c, INDEX({"Q_wt","quantity of solid waste of type w being sent to treatment facility t, on a wet weight basis","t","Sum of Q_volwt and Q_masswt";"EF_wtg","emission factor for greenhouse gas g for the management of waste at treatment facility t","t CO2e/t","Constant";"w","waste type","","Input";"t","treatment facility","","Input";"g","greenhouse gas","","Input";"Q_volwt","quantity of sold waste input as volume and converted to tonnes","tonnes","Calculated from 10.1.1.1 (2)";"Q_masswt","quantity of solid waste input as mass","tonnes","Input"}, _xlpm.r, _xlpm.c))))</definedName>
    <definedName name="WasteSolid_Equations.VEERG_10_1_1_1__1_EmissionsFromWasteManagement_LatexEquation">_xlfn.LAMBDA("E_g=\sum\nolimits_t\sum\nolimits_w(Q_{wt}\times EF_{wtg})")</definedName>
    <definedName name="WasteSolid_Equations.VEERG_10_1_1_1__1_EmissionsFromWasteManagement_NIRReference">_xlfn.LAMBDA("")</definedName>
    <definedName name="WasteSolid_Equations.VEERG_10_1_1_1__1_EmissionsFromWasteManagement_Source">_xlfn.LAMBDA("VEERG 2026: 10.1.1.1, Equation (1)")</definedName>
    <definedName name="WasteSolid_Equations.VEERG_10_1_1_1__1_EmissionsFromWasteManagement_Title">_xlfn.LAMBDA("Emissions from waste management by greenhouse gas")</definedName>
    <definedName name="WasteSolid_Equations.VEERG_10_1_1_1__1_EmissionsFromWasteManagement_Unit">_xlfn.LAMBDA("t CO2e")</definedName>
    <definedName name="WasteSolid_Equations.VEERG_10_1_1_1__1_EmissionsFromWasteManagement_Variable">_xlfn.LAMBDA("E_g")</definedName>
    <definedName name="WasteSolid_Equations.VEERG_10_1_1_1__1_EmissionsFromWasteManagement_Variation">_xlfn.LAMBDA("VARIATION ON SOURCE: Added Q_volwt and Q_masswt variables to clearly track input or calculated Q values")</definedName>
    <definedName name="WasteSolid_Equations.VEERG_10_1_1_1__2_MassOfWasteFromVolume">_xlfn.LAMBDA(_xlpm.V_wt,_xlpm.VTM_w, _xlpm.V_wt * _xlpm.VTM_w)</definedName>
    <definedName name="WasteSolid_Equations.VEERG_10_1_1_1__2_MassOfWasteFromVolume_Arguments">_xlfn.LAMBDA(_xlfn.MAKEARRAY(4, 4, _xlfn.LAMBDA(_xlpm.r,_xlpm.c, INDEX({"V_wt","volume of solid waste type w being sent to treatment facility t","m3","Input";"VTM_w","conversion factor of volume to mass for waste type w","t/m3","Constant";"w","waste type","","Input";"t","treatment facility","","Input"}, _xlpm.r, _xlpm.c))))</definedName>
    <definedName name="WasteSolid_Equations.VEERG_10_1_1_1__2_MassOfWasteFromVolume_LatexEquation">_xlfn.LAMBDA("Q_{wt}=V_{wt}\times VTM_w")</definedName>
    <definedName name="WasteSolid_Equations.VEERG_10_1_1_1__2_MassOfWasteFromVolume_NIRReference">_xlfn.LAMBDA("")</definedName>
    <definedName name="WasteSolid_Equations.VEERG_10_1_1_1__2_MassOfWasteFromVolume_Source">_xlfn.LAMBDA("VEERG 2026: 10.1.1.1, Equation (2)")</definedName>
    <definedName name="WasteSolid_Equations.VEERG_10_1_1_1__2_MassOfWasteFromVolume_Title">_xlfn.LAMBDA("Mass of waste from waste volume")</definedName>
    <definedName name="WasteSolid_Equations.VEERG_10_1_1_1__2_MassOfWasteFromVolume_Unit">_xlfn.LAMBDA("t")</definedName>
    <definedName name="WasteSolid_Equations.VEERG_10_1_1_1__2_MassOfWasteFromVolume_Variable">_xlfn.LAMBDA("Q_wt")</definedName>
    <definedName name="WasteSolid_InputFunctions.WasteSolid_InputFunctions_SumWasteTreatment">_xlfn.LAMBDA(_xlpm.TreatmentArray,_xlpm.WasteArray,_xlpm.TreatmentLocationArray,_xlpm.UnitArray,_xlpm.AmountArray,_xlpm.TreatmentType,_xlpm.WasteType,_xlpm.TreatmentLocationType,_xlpm.UnitType, SUMIFS(_xlpm.AmountArray, _xlpm.TreatmentArray, _xlpm.TreatmentType, _xlpm.WasteArray, _xlpm.WasteType, _xlpm.TreatmentLocationArray, _xlpm.TreatmentLocationType, _xlpm.UnitArray, _xlpm.UnitType))</definedName>
    <definedName name="WasteSolid_SourceData.Waste_EmissionFactorsForWasteTreatment_Data">_xlfn.LAMBDA(_xlfn.MAKEARRAY(35, 4, _xlfn.LAMBDA(_xlpm.r,_xlpm.c, INDEX({"Treatment type t","Waste type w","EFwt","EF source";"Landfill","Food waste (including animal carcasses, spoiled animal feed or crop)",2.1,"NGAF 2025 table 15";"Landfill","Paper and cardboard",3.3,"NGAF 2025 table 15";"Landfill","Green waste (including crop residues or prunings)",1.6,"NGAF 2025 table 15";"Landfill","Wood",0.7,"NGAF 2025 table 15";"Landfill","Textiles",2,"NGAF 2025 table 15";"Landfill","Sludge",0.4,"NGAF 2025 table 15";"Landfill","Rubber and leather",3.3,"NGAF 2025 table 15";"Landfill","Inert waste (including concrete, metal, plastic or glass)",0,"NGAF 2025 table 15";"Landfill","Municipal solid waste",1.6,"NGAF 2025 table 15";"Landfill","Commercial and industrial waste",1.3,"NGAF 2025 table 15";"Landfill","Construction and demolition waste",0.2,"NGAF 2025 table 15";"Incineration","Food waste, green waste, wood, sludge",0,"";"Incineration","Food waste (including animal carcasses, spoiled animal feed or crop)",0,"";"Incineration","Green waste (including crop residues or prunings)",0,"";"Incineration","Wood",0,"";"Incineration","Sludge",0,"";"Incineration","Paper and cardboard",0.0169,"";"Incineration","Textiles",0.3667,"";"Incineration","Rubber and leather",0.4919,"";"Incineration","Inert waste (including concrete, metal, plastic or glass)",0.11,"";"Incineration","Municipal solid waste",0.0537,"NGAF 2025 Table 18";"Incineration","Commercial and industrial waste",1.649,"NGAF 2025 Table 18";"Composting","All organic waste",0.046,"NGAF 2025 Table 19";"Composting","Food waste (including animal carcasses, spoiled animal feed or crop)",0.046,"";"Composting","Green waste (including crop residues or prunings)",0.046,"";"Composting","Wood",0.046,"";"Composting","Sludge",0.046,"";"Composting","Paper and cardboard",0.046,"";"Anaerobic digestion","All organic waste",0.028,"NGAF 2025 Table 19";"Anaerobic digestion","Food waste (including animal carcasses, spoiled animal feed or crop)",0.028,"";"Anaerobic digestion","Green waste (including crop residues or prunings)",0.028,"";"Anaerobic digestion","Wood",0.028,"";"Anaerobic digestion","Sludge",0.028,"";"Anaerobic digestion","Paper and cardboard",0.028,""}, _xlpm.r, _xlpm.c))))</definedName>
    <definedName name="WasteSolid_SourceData.Waste_EmissionFactorsForWasteTreatment_Source">_xlfn.LAMBDA(("VEERG 2026: Table A.4.1.1"))</definedName>
    <definedName name="WasteSolid_SourceData.Waste_EmissionFactorsForWasteTreatment_Title">_xlfn.LAMBDA(("Emission factors for wastes disposed of at different treatment facilities"))</definedName>
    <definedName name="WasteSolid_SourceData.Waste_EmissionFactorsForWasteTreatment_Unit">_xlfn.LAMBDA(("t CO2e / t"))</definedName>
    <definedName name="WasteSolid_SourceData.Waste_EmissionFactorsForWasteTreatment_Variable">_xlfn.LAMBDA(("EFwt"))</definedName>
    <definedName name="WasteSolid_SourceData.Waste_EmissionFactorsForWasteTreatment_Variation">_xlfn.LAMBDA(_xlfn.MAKEARRAY(7, 1, _xlfn.LAMBDA(_xlpm.r,_xlpm.c, INDEX({"VARIATION ON SOURCE:";"Fixed typo 'paper and carboard' to 'paper and cardboard'";"Fixed typo 'prunnings' to 'prunings'";"Added EF source column with specific references";"Added sub-categories for 'Incineration: Food waste, green waste, wood, sludge' in order to use volume to mass conversion factor values";"Added sub-categories for 'Composting: All organic waste' in order to use volume to mass conversion factor values";"Added sub-categories for 'Anaerobic digestion: All organic waste' in order to use volume to mass conversion factor values"}, _xlpm.r, _xlpm.c))))</definedName>
    <definedName name="WasteSolid_SourceData.Waste_WasteVolumeToMassConversion_Data">_xlfn.LAMBDA(_xlfn.MAKEARRAY(12, 2, _xlfn.LAMBDA(_xlpm.r,_xlpm.c, INDEX({"Waste type w","VTMw";"Food waste (including animal carcasses, spoiled animal feed or crop)",0.5;"Paper and cardboard",0.09;"Green waste (including crop residues or prunings)",0.24;"Wood",0.15;"Textiles",0.14;"Sludge",0.72;"Rubber and leather",0.14;"Inert waste (including concrete, metal, plastic or glass)",0.42;"Municipal solid waste",0.36;"Commercial and industrial waste",0.33;"Construction and demolition waste",0.39}, _xlpm.r, _xlpm.c))))</definedName>
    <definedName name="WasteSolid_SourceData.Waste_WasteVolumeToMassConversion_Source">_xlfn.LAMBDA(("VEERG 2026: Table A.4.1.2"))</definedName>
    <definedName name="WasteSolid_SourceData.Waste_WasteVolumeToMassConversion_Title">_xlfn.LAMBDA(("Volume to mass conversion factor for various waste types"))</definedName>
    <definedName name="WasteSolid_SourceData.Waste_WasteVolumeToMassConversion_Unit">_xlfn.LAMBDA(("t/m3"))</definedName>
    <definedName name="WasteSolid_SourceData.Waste_WasteVolumeToMassConversion_Variable">_xlfn.LAMBDA(("VTMw"))</definedName>
    <definedName name="WasteSolid_SourceData.Waste_WasteVolumeToMassConversion_Variation">_xlfn.LAMBDA(("VARIATION OF SOURCE: Changed column header CFw to VTMw to match title variable."))</definedName>
    <definedName name="X_Cell_BaledHayYield">'Input - Enterprise'!$E$27</definedName>
    <definedName name="X_Cell_Crop_AreaUnderCropping">'Input - Crop'!$E$13</definedName>
    <definedName name="X_Cell_Crop_AverageWeightPerBale">'Input - Crop'!$E$34</definedName>
    <definedName name="X_Cell_Crop_CropPurpose">'Input - Crop'!$E$10</definedName>
    <definedName name="X_Cell_Crop_CropType">'Input - Crop'!$E$9</definedName>
    <definedName name="X_Cell_Crop_IrrigationMethod">'Input - Crop'!$E$11</definedName>
    <definedName name="X_Cell_Crop_NumberOfBales">'Input - Crop'!$E$35</definedName>
    <definedName name="X_Cell_Crop_PercentResidueBaled">'Input - Crop'!$E$33</definedName>
    <definedName name="X_Cell_Crop_PercentResidueBurned">'Input - Crop'!$E$39</definedName>
    <definedName name="X_Cell_Crop_ResidueAfterHarvest">'Input - Crop'!$E$30</definedName>
    <definedName name="X_Cell_Crop_ResidueToCropRatio">'Input - Crop'!$E$18</definedName>
    <definedName name="X_Cell_Crop_TotalProductionOfCrop">'Input - Crop'!$E$22</definedName>
    <definedName name="X_Cell_Crop_TotalResidueBaled">'Input - Crop'!$E$36</definedName>
    <definedName name="X_Cell_Crop_TotalResidueBurned">'Input - Crop'!$E$40</definedName>
    <definedName name="X_Cell_Crop_TotalResidueRemainingOnPaddocks">'Input - Crop'!$E$42</definedName>
    <definedName name="X_Cell_Crop_YieldPerHectare">'Input - Crop'!$E$17</definedName>
    <definedName name="X_Cell_Electricity_CalculationMethod">'Input - Electricity'!$E$5</definedName>
    <definedName name="X_Cell_Electricity_Location_AmountPurchasedInkWh">'Input - Electricity'!$E$15</definedName>
    <definedName name="X_Cell_Electricity_Location_GridElectricityPurchasedFrom">'Input - Electricity'!$E$17</definedName>
    <definedName name="X_Cell_Electricity_Market_AmountPurchasedExcludingGreenPower">'Input - Electricity'!$E$23</definedName>
    <definedName name="X_Cell_Electricity_Market_AmountPurchasedGreenPower">'Input - Electricity'!$E$27</definedName>
    <definedName name="X_Cell_Electricity_Market_JurisdictionalRenewablePowerPercentage">'Input - Electricity'!$E$25</definedName>
    <definedName name="X_Cell_Electricity_Market_RenewablePowerPercentage">'Input - Electricity'!$E$24</definedName>
    <definedName name="X_Cell_Enterprise_GrainYield">'Input - Enterprise'!$E$22</definedName>
    <definedName name="X_Cell_Enterprise_PercentGrainSold">'Input - Enterprise'!$E$23</definedName>
    <definedName name="X_Cell_Enterprise_PercentGrainUsedAsFeed">'Input - Enterprise'!$E$24</definedName>
    <definedName name="X_Cell_Enterprise_PercentIncomeFromBaledHaySilage">'Input - Enterprise'!$E$33</definedName>
    <definedName name="X_Cell_Enterprise_PercentIncomeFromGrain">'Input - Enterprise'!$E$32</definedName>
    <definedName name="X_Cell_Enterprise_ProductionTimeframeEnd">'Input - Enterprise'!$E$19</definedName>
    <definedName name="X_Cell_Enterprise_ProductionTimeframeStart">'Input - Enterprise'!$E$18</definedName>
    <definedName name="X_Cell_FarmInputs_Seed_BarleyGrain">'Input - Crop pasture farm input'!$E$23</definedName>
    <definedName name="X_Cell_FarmInputs_Seed_MaizeGrain">'Input - Crop pasture farm input'!$E$24</definedName>
    <definedName name="X_Cell_FarmInputs_Seed_OatGrain">'Input - Crop pasture farm input'!$E$25</definedName>
    <definedName name="X_Cell_FarmInputs_Seed_SorghumGrain">'Input - Crop pasture farm input'!$E$26</definedName>
    <definedName name="X_Cell_FarmInputs_Seed_WheatGrain">'Input - Crop pasture farm input'!$E$27</definedName>
    <definedName name="X_Cell_Fertiliser_AreaUnderCropping">'Input - Fert Prod System'!$E$10</definedName>
    <definedName name="X_Cell_Fertiliser_CropType">'Input - Fert Prod System'!$E$8</definedName>
    <definedName name="X_Cell_Fertiliser_IrrigationMethod">'Input - Fert Prod System'!$E$9</definedName>
    <definedName name="X_Cell_Fertiliser_ProductionSystem">'Input - Fert Prod System'!$E$7</definedName>
    <definedName name="X_Cell_Fuel_IsMetroLocation">'Input - Fuel'!$E$11</definedName>
    <definedName name="X_Cell_PercentBaledHaySold">'Input - Enterprise'!$E$28</definedName>
    <definedName name="X_Cell_PercentBaledHayUsedOnFarm">'Input - Enterprise'!$E$29</definedName>
    <definedName name="X_Cell_Site_AverageTemperature">'Input - Site'!$E$14</definedName>
    <definedName name="X_Cell_Site_ClimateZone">'Input - Site'!$E$20</definedName>
    <definedName name="X_Cell_Site_Elevation">'Input - Site'!$E$13</definedName>
    <definedName name="X_Cell_Site_EndDate">'Input - Enterprise'!$E$13</definedName>
    <definedName name="X_Cell_Site_FarmName">'Input - Enterprise'!$E$7</definedName>
    <definedName name="X_Cell_Site_FrostDays">'Input - Site'!$E$17</definedName>
    <definedName name="X_Cell_Site_LeachingZone">'Input - Site'!$E$12</definedName>
    <definedName name="X_Cell_Site_MapPetRatio">'Input - Site'!$E$18</definedName>
    <definedName name="X_Cell_Site_PotentialEvapotranspiration">'Input - Site'!$E$16</definedName>
    <definedName name="X_Cell_Site_RainfallZone">'Input - Site'!$E$19</definedName>
    <definedName name="X_Cell_Site_Region">'Input - Site'!$E$11</definedName>
    <definedName name="X_Cell_Site_ReportingEntityName">'Input - Enterprise'!$E$8</definedName>
    <definedName name="X_Cell_Site_StartDate">'Input - Enterprise'!$E$12</definedName>
    <definedName name="X_Cell_Site_State">'Input - Site'!$E$10</definedName>
    <definedName name="X_Cell_Site_TemperatureZone">'Input - Site'!$E$22</definedName>
    <definedName name="X_Cell_Site_TotalRainfall">'Input - Site'!$E$15</definedName>
    <definedName name="X_Cell_Site_WetOrDryClimateZone">'Input - Site'!$E$21</definedName>
    <definedName name="X_Cell_TotalElegibleRECsForElectricityProducedOnSite">'Input - Electricity'!$E$50</definedName>
    <definedName name="X_Cell_TotalElegibleVoluntarilySurrenderedRECs">'Input - Electricity'!$E$41</definedName>
    <definedName name="X_Table_Result_ActivityPeriodEmissions_RowsToCols">'Results - Activity period'!$D$33:$F$38</definedName>
    <definedName name="X_Table_Result_CarbonRemovalsFromPlantings_RowsToCols">'Results - Activity period'!$D$44:$E$49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651" i="107" l="1"/>
  <c r="J650" i="107"/>
  <c r="J649" i="107"/>
  <c r="J648" i="107"/>
  <c r="J647" i="107"/>
  <c r="J646" i="107"/>
  <c r="J645" i="107"/>
  <c r="J644" i="107"/>
  <c r="J643" i="107"/>
  <c r="J642" i="107"/>
  <c r="J633" i="107"/>
  <c r="J632" i="107"/>
  <c r="J631" i="107"/>
  <c r="J630" i="107"/>
  <c r="J629" i="107"/>
  <c r="J628" i="107"/>
  <c r="J627" i="107"/>
  <c r="J626" i="107"/>
  <c r="J625" i="107"/>
  <c r="J624" i="107"/>
  <c r="M588" i="107"/>
  <c r="E570" i="107"/>
  <c r="K514" i="107"/>
  <c r="K513" i="107"/>
  <c r="K512" i="107"/>
  <c r="K511" i="107"/>
  <c r="K510" i="107"/>
  <c r="K509" i="107"/>
  <c r="K508" i="107"/>
  <c r="K507" i="107"/>
  <c r="K506" i="107"/>
  <c r="K505" i="107"/>
  <c r="I496" i="107"/>
  <c r="I494" i="107"/>
  <c r="I485" i="107"/>
  <c r="I483" i="107"/>
  <c r="I481" i="107"/>
  <c r="J468" i="107"/>
  <c r="J467" i="107"/>
  <c r="J466" i="107"/>
  <c r="J465" i="107"/>
  <c r="J464" i="107"/>
  <c r="J463" i="107"/>
  <c r="J450" i="107"/>
  <c r="J449" i="107"/>
  <c r="J448" i="107"/>
  <c r="J447" i="107"/>
  <c r="J446" i="107"/>
  <c r="J445" i="107"/>
  <c r="J423" i="107"/>
  <c r="J422" i="107"/>
  <c r="J421" i="107"/>
  <c r="J420" i="107"/>
  <c r="J419" i="107"/>
  <c r="J418" i="107"/>
  <c r="J417" i="107"/>
  <c r="J416" i="107"/>
  <c r="J415" i="107"/>
  <c r="J414" i="107"/>
  <c r="J382" i="107"/>
  <c r="K360" i="107"/>
  <c r="K359" i="107"/>
  <c r="K358" i="107"/>
  <c r="K357" i="107"/>
  <c r="K356" i="107"/>
  <c r="K355" i="107"/>
  <c r="K354" i="107"/>
  <c r="K353" i="107"/>
  <c r="K352" i="107"/>
  <c r="K351" i="107"/>
  <c r="J329" i="107"/>
  <c r="J328" i="107"/>
  <c r="J327" i="107"/>
  <c r="J326" i="107"/>
  <c r="J325" i="107"/>
  <c r="J324" i="107"/>
  <c r="J323" i="107"/>
  <c r="J322" i="107"/>
  <c r="J321" i="107"/>
  <c r="J320" i="107"/>
  <c r="J261" i="107"/>
  <c r="J260" i="107"/>
  <c r="J259" i="107"/>
  <c r="J258" i="107"/>
  <c r="J257" i="107"/>
  <c r="J256" i="107"/>
  <c r="J255" i="107"/>
  <c r="J254" i="107"/>
  <c r="J253" i="107"/>
  <c r="J252" i="107"/>
  <c r="I179" i="107"/>
  <c r="I178" i="107"/>
  <c r="I177" i="107"/>
  <c r="I148" i="107"/>
  <c r="I138" i="107"/>
  <c r="I137" i="107"/>
  <c r="I122" i="107"/>
  <c r="I121" i="107"/>
  <c r="I120" i="107"/>
  <c r="J79" i="107"/>
  <c r="J62" i="107"/>
  <c r="J61" i="107"/>
  <c r="J42" i="107"/>
  <c r="M24" i="107"/>
  <c r="M23" i="107"/>
  <c r="F109" i="86"/>
  <c r="F108" i="86"/>
  <c r="F107" i="86"/>
  <c r="F106" i="86"/>
  <c r="I30" i="84"/>
  <c r="I29" i="84"/>
  <c r="I28" i="84"/>
  <c r="I27" i="84"/>
  <c r="I26" i="84"/>
  <c r="I25" i="84"/>
  <c r="I24" i="84"/>
  <c r="I23" i="84"/>
  <c r="I22" i="84"/>
  <c r="I21" i="84"/>
  <c r="I20" i="84"/>
  <c r="A59" i="109"/>
  <c r="A48" i="109"/>
  <c r="A47" i="109"/>
  <c r="A46" i="109"/>
  <c r="A45" i="109"/>
  <c r="A44" i="109"/>
  <c r="A43" i="109"/>
  <c r="A42" i="109"/>
  <c r="A41" i="109"/>
  <c r="A37" i="109"/>
  <c r="A36" i="109"/>
  <c r="A35" i="109"/>
  <c r="A34" i="109"/>
  <c r="A33" i="109"/>
  <c r="A32" i="109"/>
  <c r="A31" i="109"/>
  <c r="A30" i="109"/>
  <c r="A29" i="109"/>
  <c r="A28" i="109"/>
  <c r="A27" i="109"/>
  <c r="A26" i="109"/>
  <c r="A25" i="109"/>
  <c r="A24" i="109"/>
  <c r="A20" i="109"/>
  <c r="A19" i="109"/>
  <c r="A18" i="109"/>
  <c r="A17" i="109"/>
  <c r="A16" i="109"/>
  <c r="A15" i="109"/>
  <c r="A14" i="109"/>
  <c r="A13" i="109"/>
  <c r="A12" i="109"/>
  <c r="A11" i="109"/>
  <c r="A10" i="109"/>
  <c r="A9" i="109"/>
  <c r="A5" i="109"/>
  <c r="A4" i="109"/>
  <c r="A3" i="109"/>
  <c r="A59" i="78"/>
  <c r="A48" i="78"/>
  <c r="A47" i="78"/>
  <c r="A46" i="78"/>
  <c r="A45" i="78"/>
  <c r="A44" i="78"/>
  <c r="A43" i="78"/>
  <c r="A42" i="78"/>
  <c r="A41" i="78"/>
  <c r="A37" i="78"/>
  <c r="A36" i="78"/>
  <c r="A35" i="78"/>
  <c r="A34" i="78"/>
  <c r="A33" i="78"/>
  <c r="A32" i="78"/>
  <c r="A31" i="78"/>
  <c r="A30" i="78"/>
  <c r="A29" i="78"/>
  <c r="A28" i="78"/>
  <c r="A27" i="78"/>
  <c r="A26" i="78"/>
  <c r="A25" i="78"/>
  <c r="A24" i="78"/>
  <c r="A20" i="78"/>
  <c r="A19" i="78"/>
  <c r="A18" i="78"/>
  <c r="A17" i="78"/>
  <c r="A16" i="78"/>
  <c r="A15" i="78"/>
  <c r="A14" i="78"/>
  <c r="A13" i="78"/>
  <c r="A12" i="78"/>
  <c r="A11" i="78"/>
  <c r="A10" i="78"/>
  <c r="A9" i="78"/>
  <c r="A5" i="78"/>
  <c r="A4" i="78"/>
  <c r="A3" i="78"/>
  <c r="A269" i="79"/>
  <c r="A239" i="79"/>
  <c r="A209" i="79"/>
  <c r="A179" i="79"/>
  <c r="A149" i="79"/>
  <c r="A119" i="79"/>
  <c r="A89" i="79"/>
  <c r="A59" i="79"/>
  <c r="A48" i="79"/>
  <c r="A47" i="79"/>
  <c r="A46" i="79"/>
  <c r="A45" i="79"/>
  <c r="A44" i="79"/>
  <c r="A43" i="79"/>
  <c r="A42" i="79"/>
  <c r="A41" i="79"/>
  <c r="A37" i="79"/>
  <c r="A36" i="79"/>
  <c r="A35" i="79"/>
  <c r="A34" i="79"/>
  <c r="A33" i="79"/>
  <c r="A32" i="79"/>
  <c r="A31" i="79"/>
  <c r="A30" i="79"/>
  <c r="A29" i="79"/>
  <c r="A28" i="79"/>
  <c r="A27" i="79"/>
  <c r="A26" i="79"/>
  <c r="A25" i="79"/>
  <c r="A24" i="79"/>
  <c r="A20" i="79"/>
  <c r="A19" i="79"/>
  <c r="A18" i="79"/>
  <c r="A17" i="79"/>
  <c r="A16" i="79"/>
  <c r="A15" i="79"/>
  <c r="A14" i="79"/>
  <c r="A13" i="79"/>
  <c r="A12" i="79"/>
  <c r="A11" i="79"/>
  <c r="A10" i="79"/>
  <c r="A9" i="79"/>
  <c r="A5" i="79"/>
  <c r="A4" i="79"/>
  <c r="A3" i="79"/>
  <c r="A59" i="98"/>
  <c r="A48" i="98"/>
  <c r="A47" i="98"/>
  <c r="A46" i="98"/>
  <c r="A45" i="98"/>
  <c r="A44" i="98"/>
  <c r="A43" i="98"/>
  <c r="A42" i="98"/>
  <c r="A41" i="98"/>
  <c r="A37" i="98"/>
  <c r="A36" i="98"/>
  <c r="A35" i="98"/>
  <c r="A34" i="98"/>
  <c r="A33" i="98"/>
  <c r="A32" i="98"/>
  <c r="A31" i="98"/>
  <c r="A30" i="98"/>
  <c r="A29" i="98"/>
  <c r="A28" i="98"/>
  <c r="A27" i="98"/>
  <c r="A26" i="98"/>
  <c r="A25" i="98"/>
  <c r="A24" i="98"/>
  <c r="A20" i="98"/>
  <c r="A19" i="98"/>
  <c r="A18" i="98"/>
  <c r="A17" i="98"/>
  <c r="A16" i="98"/>
  <c r="A15" i="98"/>
  <c r="A14" i="98"/>
  <c r="A13" i="98"/>
  <c r="A12" i="98"/>
  <c r="A11" i="98"/>
  <c r="A10" i="98"/>
  <c r="A9" i="98"/>
  <c r="A5" i="98"/>
  <c r="A4" i="98"/>
  <c r="A3" i="98"/>
  <c r="A239" i="108"/>
  <c r="A209" i="108"/>
  <c r="A179" i="108"/>
  <c r="A149" i="108"/>
  <c r="A119" i="108"/>
  <c r="A89" i="108"/>
  <c r="A59" i="108"/>
  <c r="A48" i="108"/>
  <c r="A47" i="108"/>
  <c r="A46" i="108"/>
  <c r="A45" i="108"/>
  <c r="A44" i="108"/>
  <c r="A43" i="108"/>
  <c r="A42" i="108"/>
  <c r="A41" i="108"/>
  <c r="A37" i="108"/>
  <c r="A36" i="108"/>
  <c r="A35" i="108"/>
  <c r="A34" i="108"/>
  <c r="A33" i="108"/>
  <c r="A32" i="108"/>
  <c r="A31" i="108"/>
  <c r="A30" i="108"/>
  <c r="A29" i="108"/>
  <c r="A28" i="108"/>
  <c r="A27" i="108"/>
  <c r="A26" i="108"/>
  <c r="A25" i="108"/>
  <c r="A24" i="108"/>
  <c r="A20" i="108"/>
  <c r="A19" i="108"/>
  <c r="A18" i="108"/>
  <c r="A17" i="108"/>
  <c r="A16" i="108"/>
  <c r="A15" i="108"/>
  <c r="A14" i="108"/>
  <c r="A13" i="108"/>
  <c r="A12" i="108"/>
  <c r="A11" i="108"/>
  <c r="A10" i="108"/>
  <c r="A9" i="108"/>
  <c r="A5" i="108"/>
  <c r="A4" i="108"/>
  <c r="A3" i="108"/>
  <c r="A149" i="95"/>
  <c r="A119" i="95"/>
  <c r="A89" i="95"/>
  <c r="A59" i="95"/>
  <c r="A48" i="95"/>
  <c r="A47" i="95"/>
  <c r="A46" i="95"/>
  <c r="A45" i="95"/>
  <c r="A44" i="95"/>
  <c r="A43" i="95"/>
  <c r="A42" i="95"/>
  <c r="A41" i="95"/>
  <c r="A37" i="95"/>
  <c r="A36" i="95"/>
  <c r="A35" i="95"/>
  <c r="A34" i="95"/>
  <c r="A33" i="95"/>
  <c r="A32" i="95"/>
  <c r="A31" i="95"/>
  <c r="A30" i="95"/>
  <c r="A29" i="95"/>
  <c r="A28" i="95"/>
  <c r="A27" i="95"/>
  <c r="A26" i="95"/>
  <c r="A25" i="95"/>
  <c r="A24" i="95"/>
  <c r="A20" i="95"/>
  <c r="A19" i="95"/>
  <c r="A18" i="95"/>
  <c r="A17" i="95"/>
  <c r="A16" i="95"/>
  <c r="A15" i="95"/>
  <c r="A14" i="95"/>
  <c r="A13" i="95"/>
  <c r="A12" i="95"/>
  <c r="A11" i="95"/>
  <c r="A10" i="95"/>
  <c r="A9" i="95"/>
  <c r="A5" i="95"/>
  <c r="A4" i="95"/>
  <c r="A3" i="95"/>
  <c r="A209" i="88"/>
  <c r="A179" i="88"/>
  <c r="A149" i="88"/>
  <c r="A119" i="88"/>
  <c r="A89" i="88"/>
  <c r="A59" i="88"/>
  <c r="A48" i="88"/>
  <c r="A47" i="88"/>
  <c r="A46" i="88"/>
  <c r="A45" i="88"/>
  <c r="A44" i="88"/>
  <c r="A43" i="88"/>
  <c r="A42" i="88"/>
  <c r="A41" i="88"/>
  <c r="A37" i="88"/>
  <c r="A36" i="88"/>
  <c r="A35" i="88"/>
  <c r="A34" i="88"/>
  <c r="A33" i="88"/>
  <c r="A32" i="88"/>
  <c r="A31" i="88"/>
  <c r="A30" i="88"/>
  <c r="A29" i="88"/>
  <c r="A28" i="88"/>
  <c r="A27" i="88"/>
  <c r="A26" i="88"/>
  <c r="A25" i="88"/>
  <c r="A24" i="88"/>
  <c r="A20" i="88"/>
  <c r="A19" i="88"/>
  <c r="A18" i="88"/>
  <c r="A17" i="88"/>
  <c r="A16" i="88"/>
  <c r="A15" i="88"/>
  <c r="A14" i="88"/>
  <c r="A13" i="88"/>
  <c r="A12" i="88"/>
  <c r="A11" i="88"/>
  <c r="A10" i="88"/>
  <c r="A9" i="88"/>
  <c r="A5" i="88"/>
  <c r="A4" i="88"/>
  <c r="A3" i="88"/>
  <c r="A48" i="91"/>
  <c r="A47" i="91"/>
  <c r="A46" i="91"/>
  <c r="A45" i="91"/>
  <c r="A44" i="91"/>
  <c r="A43" i="91"/>
  <c r="A42" i="91"/>
  <c r="A41" i="91"/>
  <c r="A37" i="91"/>
  <c r="A36" i="91"/>
  <c r="A35" i="91"/>
  <c r="A34" i="91"/>
  <c r="A33" i="91"/>
  <c r="A32" i="91"/>
  <c r="A31" i="91"/>
  <c r="A30" i="91"/>
  <c r="A29" i="91"/>
  <c r="A28" i="91"/>
  <c r="A27" i="91"/>
  <c r="A26" i="91"/>
  <c r="A25" i="91"/>
  <c r="A24" i="91"/>
  <c r="A20" i="91"/>
  <c r="A19" i="91"/>
  <c r="A18" i="91"/>
  <c r="A17" i="91"/>
  <c r="A16" i="91"/>
  <c r="A15" i="91"/>
  <c r="A14" i="91"/>
  <c r="A13" i="91"/>
  <c r="A12" i="91"/>
  <c r="A11" i="91"/>
  <c r="A10" i="91"/>
  <c r="A9" i="91"/>
  <c r="A5" i="91"/>
  <c r="A4" i="91"/>
  <c r="A3" i="91"/>
  <c r="A209" i="103"/>
  <c r="A179" i="103"/>
  <c r="A149" i="103"/>
  <c r="A119" i="103"/>
  <c r="A89" i="103"/>
  <c r="A59" i="103"/>
  <c r="A48" i="103"/>
  <c r="A47" i="103"/>
  <c r="A46" i="103"/>
  <c r="A45" i="103"/>
  <c r="A44" i="103"/>
  <c r="A43" i="103"/>
  <c r="A42" i="103"/>
  <c r="A41" i="103"/>
  <c r="A37" i="103"/>
  <c r="A36" i="103"/>
  <c r="A35" i="103"/>
  <c r="A34" i="103"/>
  <c r="A33" i="103"/>
  <c r="A32" i="103"/>
  <c r="A31" i="103"/>
  <c r="A30" i="103"/>
  <c r="A29" i="103"/>
  <c r="A28" i="103"/>
  <c r="A27" i="103"/>
  <c r="A26" i="103"/>
  <c r="A25" i="103"/>
  <c r="A24" i="103"/>
  <c r="A20" i="103"/>
  <c r="A19" i="103"/>
  <c r="A18" i="103"/>
  <c r="A17" i="103"/>
  <c r="A16" i="103"/>
  <c r="A15" i="103"/>
  <c r="A14" i="103"/>
  <c r="A13" i="103"/>
  <c r="A12" i="103"/>
  <c r="A11" i="103"/>
  <c r="A10" i="103"/>
  <c r="A9" i="103"/>
  <c r="A5" i="103"/>
  <c r="A4" i="103"/>
  <c r="A3" i="103"/>
  <c r="A629" i="107"/>
  <c r="A599" i="107"/>
  <c r="A569" i="107"/>
  <c r="A539" i="107"/>
  <c r="A509" i="107"/>
  <c r="A479" i="107"/>
  <c r="A449" i="107"/>
  <c r="A419" i="107"/>
  <c r="A389" i="107"/>
  <c r="A359" i="107"/>
  <c r="A329" i="107"/>
  <c r="A299" i="107"/>
  <c r="A269" i="107"/>
  <c r="A239" i="107"/>
  <c r="A209" i="107"/>
  <c r="A179" i="107"/>
  <c r="A149" i="107"/>
  <c r="A119" i="107"/>
  <c r="A89" i="107"/>
  <c r="A59" i="107"/>
  <c r="A48" i="107"/>
  <c r="A47" i="107"/>
  <c r="A46" i="107"/>
  <c r="A45" i="107"/>
  <c r="A44" i="107"/>
  <c r="A43" i="107"/>
  <c r="A42" i="107"/>
  <c r="A41" i="107"/>
  <c r="A37" i="107"/>
  <c r="A36" i="107"/>
  <c r="A35" i="107"/>
  <c r="A34" i="107"/>
  <c r="A33" i="107"/>
  <c r="A32" i="107"/>
  <c r="A31" i="107"/>
  <c r="A30" i="107"/>
  <c r="A29" i="107"/>
  <c r="A28" i="107"/>
  <c r="A27" i="107"/>
  <c r="A26" i="107"/>
  <c r="A25" i="107"/>
  <c r="A24" i="107"/>
  <c r="A20" i="107"/>
  <c r="A19" i="107"/>
  <c r="A18" i="107"/>
  <c r="A17" i="107"/>
  <c r="A16" i="107"/>
  <c r="A15" i="107"/>
  <c r="A14" i="107"/>
  <c r="A13" i="107"/>
  <c r="A12" i="107"/>
  <c r="A11" i="107"/>
  <c r="A10" i="107"/>
  <c r="A9" i="107"/>
  <c r="A5" i="107"/>
  <c r="A4" i="107"/>
  <c r="A3" i="107"/>
  <c r="A48" i="90"/>
  <c r="A47" i="90"/>
  <c r="A46" i="90"/>
  <c r="A45" i="90"/>
  <c r="A44" i="90"/>
  <c r="A43" i="90"/>
  <c r="A42" i="90"/>
  <c r="A41" i="90"/>
  <c r="A37" i="90"/>
  <c r="A36" i="90"/>
  <c r="A35" i="90"/>
  <c r="A34" i="90"/>
  <c r="A33" i="90"/>
  <c r="A32" i="90"/>
  <c r="A31" i="90"/>
  <c r="A30" i="90"/>
  <c r="A29" i="90"/>
  <c r="A28" i="90"/>
  <c r="A27" i="90"/>
  <c r="A26" i="90"/>
  <c r="A25" i="90"/>
  <c r="A24" i="90"/>
  <c r="A20" i="90"/>
  <c r="A19" i="90"/>
  <c r="A18" i="90"/>
  <c r="A17" i="90"/>
  <c r="A16" i="90"/>
  <c r="A15" i="90"/>
  <c r="A14" i="90"/>
  <c r="A13" i="90"/>
  <c r="A12" i="90"/>
  <c r="A11" i="90"/>
  <c r="A10" i="90"/>
  <c r="A9" i="90"/>
  <c r="A5" i="90"/>
  <c r="A4" i="90"/>
  <c r="A3" i="90"/>
  <c r="A179" i="97"/>
  <c r="A149" i="97"/>
  <c r="A119" i="97"/>
  <c r="A89" i="97"/>
  <c r="A59" i="97"/>
  <c r="A48" i="97"/>
  <c r="A47" i="97"/>
  <c r="A46" i="97"/>
  <c r="A45" i="97"/>
  <c r="A44" i="97"/>
  <c r="A43" i="97"/>
  <c r="A42" i="97"/>
  <c r="A41" i="97"/>
  <c r="A37" i="97"/>
  <c r="A36" i="97"/>
  <c r="A35" i="97"/>
  <c r="A34" i="97"/>
  <c r="A33" i="97"/>
  <c r="A32" i="97"/>
  <c r="A31" i="97"/>
  <c r="A30" i="97"/>
  <c r="A29" i="97"/>
  <c r="A28" i="97"/>
  <c r="A27" i="97"/>
  <c r="A26" i="97"/>
  <c r="A25" i="97"/>
  <c r="A24" i="97"/>
  <c r="A20" i="97"/>
  <c r="A19" i="97"/>
  <c r="A18" i="97"/>
  <c r="A17" i="97"/>
  <c r="A16" i="97"/>
  <c r="A15" i="97"/>
  <c r="A14" i="97"/>
  <c r="A13" i="97"/>
  <c r="A12" i="97"/>
  <c r="A11" i="97"/>
  <c r="A10" i="97"/>
  <c r="A9" i="97"/>
  <c r="A5" i="97"/>
  <c r="A4" i="97"/>
  <c r="A3" i="97"/>
  <c r="A48" i="94"/>
  <c r="A47" i="94"/>
  <c r="A46" i="94"/>
  <c r="A45" i="94"/>
  <c r="A44" i="94"/>
  <c r="A43" i="94"/>
  <c r="A42" i="94"/>
  <c r="A41" i="94"/>
  <c r="A37" i="94"/>
  <c r="A36" i="94"/>
  <c r="A35" i="94"/>
  <c r="A34" i="94"/>
  <c r="A33" i="94"/>
  <c r="A32" i="94"/>
  <c r="A31" i="94"/>
  <c r="A30" i="94"/>
  <c r="A29" i="94"/>
  <c r="A28" i="94"/>
  <c r="A27" i="94"/>
  <c r="A26" i="94"/>
  <c r="A25" i="94"/>
  <c r="A24" i="94"/>
  <c r="A20" i="94"/>
  <c r="A19" i="94"/>
  <c r="A18" i="94"/>
  <c r="A17" i="94"/>
  <c r="A16" i="94"/>
  <c r="A15" i="94"/>
  <c r="A14" i="94"/>
  <c r="A13" i="94"/>
  <c r="A12" i="94"/>
  <c r="A11" i="94"/>
  <c r="A10" i="94"/>
  <c r="A9" i="94"/>
  <c r="A5" i="94"/>
  <c r="A4" i="94"/>
  <c r="A3" i="94"/>
  <c r="A59" i="93"/>
  <c r="A48" i="93"/>
  <c r="A47" i="93"/>
  <c r="A46" i="93"/>
  <c r="A45" i="93"/>
  <c r="A44" i="93"/>
  <c r="A43" i="93"/>
  <c r="A42" i="93"/>
  <c r="A41" i="93"/>
  <c r="A37" i="93"/>
  <c r="A36" i="93"/>
  <c r="A35" i="93"/>
  <c r="A34" i="93"/>
  <c r="A33" i="93"/>
  <c r="A32" i="93"/>
  <c r="A31" i="93"/>
  <c r="A30" i="93"/>
  <c r="A29" i="93"/>
  <c r="A28" i="93"/>
  <c r="A27" i="93"/>
  <c r="A26" i="93"/>
  <c r="A25" i="93"/>
  <c r="A24" i="93"/>
  <c r="A20" i="93"/>
  <c r="A19" i="93"/>
  <c r="A18" i="93"/>
  <c r="A17" i="93"/>
  <c r="A16" i="93"/>
  <c r="A15" i="93"/>
  <c r="A14" i="93"/>
  <c r="A13" i="93"/>
  <c r="A12" i="93"/>
  <c r="A11" i="93"/>
  <c r="A10" i="93"/>
  <c r="A9" i="93"/>
  <c r="A5" i="93"/>
  <c r="A4" i="93"/>
  <c r="A3" i="93"/>
  <c r="A59" i="102"/>
  <c r="A48" i="102"/>
  <c r="A47" i="102"/>
  <c r="A46" i="102"/>
  <c r="A45" i="102"/>
  <c r="A44" i="102"/>
  <c r="A43" i="102"/>
  <c r="A42" i="102"/>
  <c r="A41" i="102"/>
  <c r="A37" i="102"/>
  <c r="A36" i="102"/>
  <c r="A35" i="102"/>
  <c r="A34" i="102"/>
  <c r="A33" i="102"/>
  <c r="A32" i="102"/>
  <c r="A31" i="102"/>
  <c r="A30" i="102"/>
  <c r="A29" i="102"/>
  <c r="A28" i="102"/>
  <c r="A27" i="102"/>
  <c r="A26" i="102"/>
  <c r="A25" i="102"/>
  <c r="A24" i="102"/>
  <c r="A20" i="102"/>
  <c r="A19" i="102"/>
  <c r="A18" i="102"/>
  <c r="A17" i="102"/>
  <c r="A16" i="102"/>
  <c r="A15" i="102"/>
  <c r="A14" i="102"/>
  <c r="A13" i="102"/>
  <c r="A12" i="102"/>
  <c r="A11" i="102"/>
  <c r="A10" i="102"/>
  <c r="A9" i="102"/>
  <c r="A5" i="102"/>
  <c r="A4" i="102"/>
  <c r="A3" i="102"/>
  <c r="A48" i="101"/>
  <c r="A47" i="101"/>
  <c r="A46" i="101"/>
  <c r="A45" i="101"/>
  <c r="A44" i="101"/>
  <c r="A43" i="101"/>
  <c r="A42" i="101"/>
  <c r="A41" i="101"/>
  <c r="A37" i="101"/>
  <c r="A36" i="101"/>
  <c r="A35" i="101"/>
  <c r="A34" i="101"/>
  <c r="A33" i="101"/>
  <c r="A32" i="101"/>
  <c r="A31" i="101"/>
  <c r="A30" i="101"/>
  <c r="A29" i="101"/>
  <c r="A28" i="101"/>
  <c r="A27" i="101"/>
  <c r="A26" i="101"/>
  <c r="A25" i="101"/>
  <c r="A24" i="101"/>
  <c r="A20" i="101"/>
  <c r="A19" i="101"/>
  <c r="A18" i="101"/>
  <c r="A17" i="101"/>
  <c r="A16" i="101"/>
  <c r="A15" i="101"/>
  <c r="A14" i="101"/>
  <c r="A13" i="101"/>
  <c r="A12" i="101"/>
  <c r="A11" i="101"/>
  <c r="A10" i="101"/>
  <c r="A9" i="101"/>
  <c r="A5" i="101"/>
  <c r="A4" i="101"/>
  <c r="A3" i="101"/>
  <c r="A59" i="100"/>
  <c r="A48" i="100"/>
  <c r="A47" i="100"/>
  <c r="A46" i="100"/>
  <c r="A45" i="100"/>
  <c r="A44" i="100"/>
  <c r="A43" i="100"/>
  <c r="A42" i="100"/>
  <c r="A41" i="100"/>
  <c r="A37" i="100"/>
  <c r="A36" i="100"/>
  <c r="A35" i="100"/>
  <c r="A34" i="100"/>
  <c r="A33" i="100"/>
  <c r="A32" i="100"/>
  <c r="A31" i="100"/>
  <c r="A30" i="100"/>
  <c r="A29" i="100"/>
  <c r="A28" i="100"/>
  <c r="A27" i="100"/>
  <c r="A26" i="100"/>
  <c r="A25" i="100"/>
  <c r="A24" i="100"/>
  <c r="A20" i="100"/>
  <c r="A19" i="100"/>
  <c r="A18" i="100"/>
  <c r="A17" i="100"/>
  <c r="A16" i="100"/>
  <c r="A15" i="100"/>
  <c r="A14" i="100"/>
  <c r="A13" i="100"/>
  <c r="A12" i="100"/>
  <c r="A11" i="100"/>
  <c r="A10" i="100"/>
  <c r="A9" i="100"/>
  <c r="A5" i="100"/>
  <c r="A4" i="100"/>
  <c r="A3" i="100"/>
  <c r="A89" i="87"/>
  <c r="A59" i="87"/>
  <c r="A48" i="87"/>
  <c r="A47" i="87"/>
  <c r="A46" i="87"/>
  <c r="A45" i="87"/>
  <c r="A44" i="87"/>
  <c r="A43" i="87"/>
  <c r="A42" i="87"/>
  <c r="A41" i="87"/>
  <c r="A37" i="87"/>
  <c r="A36" i="87"/>
  <c r="A35" i="87"/>
  <c r="A34" i="87"/>
  <c r="A33" i="87"/>
  <c r="A32" i="87"/>
  <c r="A31" i="87"/>
  <c r="A30" i="87"/>
  <c r="A29" i="87"/>
  <c r="A28" i="87"/>
  <c r="A27" i="87"/>
  <c r="A26" i="87"/>
  <c r="A25" i="87"/>
  <c r="A24" i="87"/>
  <c r="A20" i="87"/>
  <c r="A19" i="87"/>
  <c r="A18" i="87"/>
  <c r="A17" i="87"/>
  <c r="A16" i="87"/>
  <c r="A15" i="87"/>
  <c r="A14" i="87"/>
  <c r="A13" i="87"/>
  <c r="A12" i="87"/>
  <c r="A11" i="87"/>
  <c r="A10" i="87"/>
  <c r="A9" i="87"/>
  <c r="A5" i="87"/>
  <c r="A4" i="87"/>
  <c r="A3" i="87"/>
  <c r="A149" i="86"/>
  <c r="A119" i="86"/>
  <c r="A89" i="86"/>
  <c r="A59" i="86"/>
  <c r="A48" i="86"/>
  <c r="A47" i="86"/>
  <c r="A46" i="86"/>
  <c r="A45" i="86"/>
  <c r="A44" i="86"/>
  <c r="A43" i="86"/>
  <c r="A42" i="86"/>
  <c r="A41" i="86"/>
  <c r="A37" i="86"/>
  <c r="A36" i="86"/>
  <c r="A35" i="86"/>
  <c r="A34" i="86"/>
  <c r="A33" i="86"/>
  <c r="A32" i="86"/>
  <c r="A31" i="86"/>
  <c r="A30" i="86"/>
  <c r="A29" i="86"/>
  <c r="A28" i="86"/>
  <c r="A27" i="86"/>
  <c r="A26" i="86"/>
  <c r="A25" i="86"/>
  <c r="A24" i="86"/>
  <c r="A20" i="86"/>
  <c r="A19" i="86"/>
  <c r="A18" i="86"/>
  <c r="A17" i="86"/>
  <c r="A16" i="86"/>
  <c r="A15" i="86"/>
  <c r="A14" i="86"/>
  <c r="A13" i="86"/>
  <c r="A12" i="86"/>
  <c r="A11" i="86"/>
  <c r="A10" i="86"/>
  <c r="A9" i="86"/>
  <c r="A5" i="86"/>
  <c r="A4" i="86"/>
  <c r="A3" i="86"/>
  <c r="A48" i="85"/>
  <c r="A47" i="85"/>
  <c r="A46" i="85"/>
  <c r="A45" i="85"/>
  <c r="A44" i="85"/>
  <c r="A43" i="85"/>
  <c r="A42" i="85"/>
  <c r="A41" i="85"/>
  <c r="A37" i="85"/>
  <c r="A36" i="85"/>
  <c r="A35" i="85"/>
  <c r="A34" i="85"/>
  <c r="A33" i="85"/>
  <c r="A32" i="85"/>
  <c r="A31" i="85"/>
  <c r="A30" i="85"/>
  <c r="A29" i="85"/>
  <c r="A28" i="85"/>
  <c r="A27" i="85"/>
  <c r="A26" i="85"/>
  <c r="A25" i="85"/>
  <c r="A24" i="85"/>
  <c r="A20" i="85"/>
  <c r="A19" i="85"/>
  <c r="A18" i="85"/>
  <c r="A17" i="85"/>
  <c r="A16" i="85"/>
  <c r="A15" i="85"/>
  <c r="A14" i="85"/>
  <c r="A13" i="85"/>
  <c r="A12" i="85"/>
  <c r="A11" i="85"/>
  <c r="A10" i="85"/>
  <c r="A9" i="85"/>
  <c r="A5" i="85"/>
  <c r="A4" i="85"/>
  <c r="A3" i="85"/>
  <c r="A48" i="84"/>
  <c r="A47" i="84"/>
  <c r="A46" i="84"/>
  <c r="A45" i="84"/>
  <c r="A44" i="84"/>
  <c r="A43" i="84"/>
  <c r="A42" i="84"/>
  <c r="A41" i="84"/>
  <c r="A37" i="84"/>
  <c r="A36" i="84"/>
  <c r="A35" i="84"/>
  <c r="A34" i="84"/>
  <c r="A33" i="84"/>
  <c r="A32" i="84"/>
  <c r="A31" i="84"/>
  <c r="A30" i="84"/>
  <c r="A29" i="84"/>
  <c r="A28" i="84"/>
  <c r="A27" i="84"/>
  <c r="A26" i="84"/>
  <c r="A25" i="84"/>
  <c r="A24" i="84"/>
  <c r="A20" i="84"/>
  <c r="A19" i="84"/>
  <c r="A18" i="84"/>
  <c r="A17" i="84"/>
  <c r="A16" i="84"/>
  <c r="A15" i="84"/>
  <c r="A14" i="84"/>
  <c r="A13" i="84"/>
  <c r="A12" i="84"/>
  <c r="A11" i="84"/>
  <c r="A10" i="84"/>
  <c r="A9" i="84"/>
  <c r="A5" i="84"/>
  <c r="A4" i="84"/>
  <c r="A3" i="84"/>
  <c r="A59" i="83"/>
  <c r="A48" i="83"/>
  <c r="A47" i="83"/>
  <c r="A46" i="83"/>
  <c r="A45" i="83"/>
  <c r="A44" i="83"/>
  <c r="A43" i="83"/>
  <c r="A42" i="83"/>
  <c r="A41" i="83"/>
  <c r="A37" i="83"/>
  <c r="A36" i="83"/>
  <c r="A35" i="83"/>
  <c r="A34" i="83"/>
  <c r="A33" i="83"/>
  <c r="A32" i="83"/>
  <c r="A31" i="83"/>
  <c r="A30" i="83"/>
  <c r="A29" i="83"/>
  <c r="A28" i="83"/>
  <c r="A27" i="83"/>
  <c r="A26" i="83"/>
  <c r="A25" i="83"/>
  <c r="A24" i="83"/>
  <c r="A20" i="83"/>
  <c r="A19" i="83"/>
  <c r="A18" i="83"/>
  <c r="A17" i="83"/>
  <c r="A16" i="83"/>
  <c r="A15" i="83"/>
  <c r="A14" i="83"/>
  <c r="A13" i="83"/>
  <c r="A12" i="83"/>
  <c r="A11" i="83"/>
  <c r="A10" i="83"/>
  <c r="A9" i="83"/>
  <c r="A5" i="83"/>
  <c r="A4" i="83"/>
  <c r="A3" i="83"/>
  <c r="A89" i="82"/>
  <c r="A59" i="82"/>
  <c r="A48" i="82"/>
  <c r="A47" i="82"/>
  <c r="A46" i="82"/>
  <c r="A45" i="82"/>
  <c r="A44" i="82"/>
  <c r="A43" i="82"/>
  <c r="A42" i="82"/>
  <c r="A41" i="82"/>
  <c r="A37" i="82"/>
  <c r="A36" i="82"/>
  <c r="A35" i="82"/>
  <c r="A34" i="82"/>
  <c r="A33" i="82"/>
  <c r="A32" i="82"/>
  <c r="A31" i="82"/>
  <c r="A30" i="82"/>
  <c r="A29" i="82"/>
  <c r="A28" i="82"/>
  <c r="A27" i="82"/>
  <c r="A26" i="82"/>
  <c r="A25" i="82"/>
  <c r="A24" i="82"/>
  <c r="A20" i="82"/>
  <c r="A19" i="82"/>
  <c r="A18" i="82"/>
  <c r="A17" i="82"/>
  <c r="A16" i="82"/>
  <c r="A15" i="82"/>
  <c r="A14" i="82"/>
  <c r="A13" i="82"/>
  <c r="A12" i="82"/>
  <c r="A11" i="82"/>
  <c r="A10" i="82"/>
  <c r="A9" i="82"/>
  <c r="A5" i="82"/>
  <c r="A4" i="82"/>
  <c r="A3" i="82"/>
  <c r="A48" i="96"/>
  <c r="A47" i="96"/>
  <c r="A46" i="96"/>
  <c r="A45" i="96"/>
  <c r="A44" i="96"/>
  <c r="A43" i="96"/>
  <c r="A42" i="96"/>
  <c r="A41" i="96"/>
  <c r="A37" i="96"/>
  <c r="A36" i="96"/>
  <c r="A35" i="96"/>
  <c r="A34" i="96"/>
  <c r="A33" i="96"/>
  <c r="A32" i="96"/>
  <c r="A31" i="96"/>
  <c r="A30" i="96"/>
  <c r="A29" i="96"/>
  <c r="A28" i="96"/>
  <c r="A27" i="96"/>
  <c r="A26" i="96"/>
  <c r="A25" i="96"/>
  <c r="A24" i="96"/>
  <c r="A20" i="96"/>
  <c r="A19" i="96"/>
  <c r="A18" i="96"/>
  <c r="A17" i="96"/>
  <c r="A16" i="96"/>
  <c r="A15" i="96"/>
  <c r="A14" i="96"/>
  <c r="A13" i="96"/>
  <c r="A12" i="96"/>
  <c r="A11" i="96"/>
  <c r="A10" i="96"/>
  <c r="A9" i="96"/>
  <c r="A5" i="96"/>
  <c r="A4" i="96"/>
  <c r="A3" i="96"/>
  <c r="A48" i="106"/>
  <c r="A47" i="106"/>
  <c r="A46" i="106"/>
  <c r="A45" i="106"/>
  <c r="A44" i="106"/>
  <c r="A43" i="106"/>
  <c r="A42" i="106"/>
  <c r="A41" i="106"/>
  <c r="A37" i="106"/>
  <c r="A36" i="106"/>
  <c r="A35" i="106"/>
  <c r="A34" i="106"/>
  <c r="A33" i="106"/>
  <c r="A32" i="106"/>
  <c r="A31" i="106"/>
  <c r="A30" i="106"/>
  <c r="A29" i="106"/>
  <c r="A28" i="106"/>
  <c r="A27" i="106"/>
  <c r="A26" i="106"/>
  <c r="A25" i="106"/>
  <c r="A24" i="106"/>
  <c r="A20" i="106"/>
  <c r="A19" i="106"/>
  <c r="A18" i="106"/>
  <c r="A17" i="106"/>
  <c r="A16" i="106"/>
  <c r="A15" i="106"/>
  <c r="A14" i="106"/>
  <c r="A13" i="106"/>
  <c r="A12" i="106"/>
  <c r="A11" i="106"/>
  <c r="A10" i="106"/>
  <c r="A9" i="106"/>
  <c r="A5" i="106"/>
  <c r="A4" i="106"/>
  <c r="A3" i="106"/>
  <c r="A48" i="105"/>
  <c r="A47" i="105"/>
  <c r="A46" i="105"/>
  <c r="A45" i="105"/>
  <c r="A44" i="105"/>
  <c r="A43" i="105"/>
  <c r="A42" i="105"/>
  <c r="A41" i="105"/>
  <c r="A37" i="105"/>
  <c r="A36" i="105"/>
  <c r="A35" i="105"/>
  <c r="A34" i="105"/>
  <c r="A33" i="105"/>
  <c r="A32" i="105"/>
  <c r="A31" i="105"/>
  <c r="A30" i="105"/>
  <c r="A29" i="105"/>
  <c r="A28" i="105"/>
  <c r="A27" i="105"/>
  <c r="A26" i="105"/>
  <c r="A25" i="105"/>
  <c r="A24" i="105"/>
  <c r="A20" i="105"/>
  <c r="A19" i="105"/>
  <c r="A18" i="105"/>
  <c r="A17" i="105"/>
  <c r="A16" i="105"/>
  <c r="A15" i="105"/>
  <c r="A14" i="105"/>
  <c r="A13" i="105"/>
  <c r="A12" i="105"/>
  <c r="A11" i="105"/>
  <c r="A10" i="105"/>
  <c r="A9" i="105"/>
  <c r="A5" i="105"/>
  <c r="A4" i="105"/>
  <c r="A3" i="105"/>
  <c r="A48" i="104"/>
  <c r="A47" i="104"/>
  <c r="A46" i="104"/>
  <c r="A45" i="104"/>
  <c r="A44" i="104"/>
  <c r="A43" i="104"/>
  <c r="A42" i="104"/>
  <c r="A41" i="104"/>
  <c r="A37" i="104"/>
  <c r="A36" i="104"/>
  <c r="A35" i="104"/>
  <c r="A34" i="104"/>
  <c r="A33" i="104"/>
  <c r="A32" i="104"/>
  <c r="A31" i="104"/>
  <c r="A30" i="104"/>
  <c r="A29" i="104"/>
  <c r="A28" i="104"/>
  <c r="A27" i="104"/>
  <c r="A26" i="104"/>
  <c r="A25" i="104"/>
  <c r="A24" i="104"/>
  <c r="A20" i="104"/>
  <c r="A19" i="104"/>
  <c r="A18" i="104"/>
  <c r="A17" i="104"/>
  <c r="A16" i="104"/>
  <c r="A15" i="104"/>
  <c r="A14" i="104"/>
  <c r="A13" i="104"/>
  <c r="A12" i="104"/>
  <c r="A11" i="104"/>
  <c r="A10" i="104"/>
  <c r="A9" i="104"/>
  <c r="A5" i="104"/>
  <c r="A4" i="104"/>
  <c r="A3" i="104"/>
  <c r="A48" i="89"/>
  <c r="A47" i="89"/>
  <c r="A46" i="89"/>
  <c r="A45" i="89"/>
  <c r="A44" i="89"/>
  <c r="A43" i="89"/>
  <c r="A42" i="89"/>
  <c r="A41" i="89"/>
  <c r="A37" i="89"/>
  <c r="A36" i="89"/>
  <c r="A35" i="89"/>
  <c r="A34" i="89"/>
  <c r="A33" i="89"/>
  <c r="A32" i="89"/>
  <c r="A31" i="89"/>
  <c r="A30" i="89"/>
  <c r="A29" i="89"/>
  <c r="A28" i="89"/>
  <c r="A27" i="89"/>
  <c r="A26" i="89"/>
  <c r="A25" i="89"/>
  <c r="A24" i="89"/>
  <c r="A20" i="89"/>
  <c r="A19" i="89"/>
  <c r="A18" i="89"/>
  <c r="A17" i="89"/>
  <c r="A16" i="89"/>
  <c r="A15" i="89"/>
  <c r="A14" i="89"/>
  <c r="A13" i="89"/>
  <c r="A12" i="89"/>
  <c r="A11" i="89"/>
  <c r="A10" i="89"/>
  <c r="A9" i="89"/>
  <c r="A5" i="89"/>
  <c r="A4" i="89"/>
  <c r="A3" i="89"/>
  <c r="A48" i="92"/>
  <c r="A47" i="92"/>
  <c r="A46" i="92"/>
  <c r="A45" i="92"/>
  <c r="A44" i="92"/>
  <c r="A43" i="92"/>
  <c r="A42" i="92"/>
  <c r="A41" i="92"/>
  <c r="A37" i="92"/>
  <c r="A36" i="92"/>
  <c r="A35" i="92"/>
  <c r="A34" i="92"/>
  <c r="A33" i="92"/>
  <c r="A32" i="92"/>
  <c r="A31" i="92"/>
  <c r="A30" i="92"/>
  <c r="A29" i="92"/>
  <c r="A28" i="92"/>
  <c r="A27" i="92"/>
  <c r="A26" i="92"/>
  <c r="A25" i="92"/>
  <c r="A24" i="92"/>
  <c r="A20" i="92"/>
  <c r="A19" i="92"/>
  <c r="A18" i="92"/>
  <c r="A17" i="92"/>
  <c r="A16" i="92"/>
  <c r="A15" i="92"/>
  <c r="A14" i="92"/>
  <c r="A13" i="92"/>
  <c r="A12" i="92"/>
  <c r="A11" i="92"/>
  <c r="A10" i="92"/>
  <c r="A9" i="92"/>
  <c r="A5" i="92"/>
  <c r="A4" i="92"/>
  <c r="A3" i="92"/>
  <c r="A48" i="81"/>
  <c r="A47" i="81"/>
  <c r="A46" i="81"/>
  <c r="A45" i="81"/>
  <c r="A44" i="81"/>
  <c r="A43" i="81"/>
  <c r="A42" i="81"/>
  <c r="A41" i="81"/>
  <c r="A37" i="81"/>
  <c r="A36" i="81"/>
  <c r="A35" i="81"/>
  <c r="A34" i="81"/>
  <c r="A33" i="81"/>
  <c r="A32" i="81"/>
  <c r="A31" i="81"/>
  <c r="A30" i="81"/>
  <c r="A29" i="81"/>
  <c r="A28" i="81"/>
  <c r="A27" i="81"/>
  <c r="A26" i="81"/>
  <c r="A25" i="81"/>
  <c r="A24" i="81"/>
  <c r="A20" i="81"/>
  <c r="A19" i="81"/>
  <c r="A18" i="81"/>
  <c r="A17" i="81"/>
  <c r="A16" i="81"/>
  <c r="A15" i="81"/>
  <c r="A14" i="81"/>
  <c r="A13" i="81"/>
  <c r="A12" i="81"/>
  <c r="A11" i="81"/>
  <c r="A10" i="81"/>
  <c r="A9" i="81"/>
  <c r="A5" i="81"/>
  <c r="A4" i="81"/>
  <c r="A3" i="81"/>
  <c r="A48" i="76"/>
  <c r="A47" i="76"/>
  <c r="A46" i="76"/>
  <c r="A45" i="76"/>
  <c r="A44" i="76"/>
  <c r="A43" i="76"/>
  <c r="A42" i="76"/>
  <c r="A41" i="76"/>
  <c r="A37" i="76"/>
  <c r="A36" i="76"/>
  <c r="A35" i="76"/>
  <c r="A34" i="76"/>
  <c r="A33" i="76"/>
  <c r="A32" i="76"/>
  <c r="A31" i="76"/>
  <c r="A30" i="76"/>
  <c r="A29" i="76"/>
  <c r="A28" i="76"/>
  <c r="A27" i="76"/>
  <c r="A26" i="76"/>
  <c r="A25" i="76"/>
  <c r="A24" i="76"/>
  <c r="A20" i="76"/>
  <c r="A19" i="76"/>
  <c r="A18" i="76"/>
  <c r="A17" i="76"/>
  <c r="A16" i="76"/>
  <c r="A15" i="76"/>
  <c r="A14" i="76"/>
  <c r="A13" i="76"/>
  <c r="A12" i="76"/>
  <c r="A11" i="76"/>
  <c r="A10" i="76"/>
  <c r="A9" i="76"/>
  <c r="A5" i="76"/>
  <c r="A4" i="76"/>
  <c r="A3" i="76"/>
  <c r="A48" i="99"/>
  <c r="A47" i="99"/>
  <c r="A46" i="99"/>
  <c r="A45" i="99"/>
  <c r="A44" i="99"/>
  <c r="A43" i="99"/>
  <c r="A42" i="99"/>
  <c r="A41" i="99"/>
  <c r="A37" i="99"/>
  <c r="A36" i="99"/>
  <c r="A35" i="99"/>
  <c r="A34" i="99"/>
  <c r="A33" i="99"/>
  <c r="A32" i="99"/>
  <c r="A31" i="99"/>
  <c r="A30" i="99"/>
  <c r="A29" i="99"/>
  <c r="A28" i="99"/>
  <c r="A27" i="99"/>
  <c r="A26" i="99"/>
  <c r="A25" i="99"/>
  <c r="A24" i="99"/>
  <c r="A20" i="99"/>
  <c r="A19" i="99"/>
  <c r="A18" i="99"/>
  <c r="A17" i="99"/>
  <c r="A16" i="99"/>
  <c r="A15" i="99"/>
  <c r="A14" i="99"/>
  <c r="A13" i="99"/>
  <c r="A12" i="99"/>
  <c r="A11" i="99"/>
  <c r="A10" i="99"/>
  <c r="A9" i="99"/>
  <c r="A5" i="99"/>
  <c r="A4" i="99"/>
  <c r="A3" i="99"/>
  <c r="A48" i="75"/>
  <c r="A47" i="75"/>
  <c r="A46" i="75"/>
  <c r="A45" i="75"/>
  <c r="A44" i="75"/>
  <c r="A43" i="75"/>
  <c r="A42" i="75"/>
  <c r="A41" i="75"/>
  <c r="A37" i="75"/>
  <c r="A36" i="75"/>
  <c r="A35" i="75"/>
  <c r="A34" i="75"/>
  <c r="A33" i="75"/>
  <c r="A32" i="75"/>
  <c r="A31" i="75"/>
  <c r="A30" i="75"/>
  <c r="A29" i="75"/>
  <c r="A28" i="75"/>
  <c r="A27" i="75"/>
  <c r="A26" i="75"/>
  <c r="A25" i="75"/>
  <c r="A24" i="75"/>
  <c r="A20" i="75"/>
  <c r="A19" i="75"/>
  <c r="A18" i="75"/>
  <c r="A17" i="75"/>
  <c r="A16" i="75"/>
  <c r="A15" i="75"/>
  <c r="A14" i="75"/>
  <c r="A13" i="75"/>
  <c r="A12" i="75"/>
  <c r="A11" i="75"/>
  <c r="A10" i="75"/>
  <c r="A9" i="75"/>
  <c r="A5" i="75"/>
  <c r="A4" i="75"/>
  <c r="A3" i="75"/>
  <c r="A59" i="72"/>
  <c r="A48" i="72"/>
  <c r="A47" i="72"/>
  <c r="A46" i="72"/>
  <c r="A45" i="72"/>
  <c r="A44" i="72"/>
  <c r="A43" i="72"/>
  <c r="A42" i="72"/>
  <c r="A41" i="72"/>
  <c r="A37" i="72"/>
  <c r="A36" i="72"/>
  <c r="A35" i="72"/>
  <c r="A34" i="72"/>
  <c r="A33" i="72"/>
  <c r="A32" i="72"/>
  <c r="A31" i="72"/>
  <c r="A30" i="72"/>
  <c r="A29" i="72"/>
  <c r="A28" i="72"/>
  <c r="A27" i="72"/>
  <c r="A26" i="72"/>
  <c r="A25" i="72"/>
  <c r="A24" i="72"/>
  <c r="A20" i="72"/>
  <c r="A19" i="72"/>
  <c r="A18" i="72"/>
  <c r="A17" i="72"/>
  <c r="A16" i="72"/>
  <c r="A15" i="72"/>
  <c r="A14" i="72"/>
  <c r="A13" i="72"/>
  <c r="A12" i="72"/>
  <c r="A11" i="72"/>
  <c r="A10" i="72"/>
  <c r="A9" i="72"/>
  <c r="A5" i="72"/>
  <c r="A4" i="72"/>
  <c r="A3" i="72"/>
  <c r="A48" i="80"/>
  <c r="A47" i="80"/>
  <c r="A46" i="80"/>
  <c r="A45" i="80"/>
  <c r="A44" i="80"/>
  <c r="A43" i="80"/>
  <c r="A42" i="80"/>
  <c r="A41" i="80"/>
  <c r="A37" i="80"/>
  <c r="A36" i="80"/>
  <c r="A35" i="80"/>
  <c r="A34" i="80"/>
  <c r="A33" i="80"/>
  <c r="A32" i="80"/>
  <c r="A31" i="80"/>
  <c r="A30" i="80"/>
  <c r="A29" i="80"/>
  <c r="A28" i="80"/>
  <c r="A27" i="80"/>
  <c r="A26" i="80"/>
  <c r="A25" i="80"/>
  <c r="A24" i="80"/>
  <c r="A20" i="80"/>
  <c r="A19" i="80"/>
  <c r="A18" i="80"/>
  <c r="A17" i="80"/>
  <c r="A16" i="80"/>
  <c r="A15" i="80"/>
  <c r="A14" i="80"/>
  <c r="A13" i="80"/>
  <c r="A12" i="80"/>
  <c r="A11" i="80"/>
  <c r="A10" i="80"/>
  <c r="A9" i="80"/>
  <c r="A5" i="80"/>
  <c r="A4" i="80"/>
  <c r="A3" i="80"/>
  <c r="A59" i="13"/>
  <c r="A48" i="13"/>
  <c r="A47" i="13"/>
  <c r="A46" i="13"/>
  <c r="A45" i="13"/>
  <c r="A44" i="13"/>
  <c r="A43" i="13"/>
  <c r="A42" i="13"/>
  <c r="A41" i="13"/>
  <c r="A37" i="13"/>
  <c r="A36" i="13"/>
  <c r="A35" i="13"/>
  <c r="A34" i="13"/>
  <c r="A33" i="13"/>
  <c r="A32" i="13"/>
  <c r="A31" i="13"/>
  <c r="A30" i="13"/>
  <c r="A29" i="13"/>
  <c r="A28" i="13"/>
  <c r="A27" i="13"/>
  <c r="A26" i="13"/>
  <c r="A25" i="13"/>
  <c r="A24" i="13"/>
  <c r="A20" i="13"/>
  <c r="A19" i="13"/>
  <c r="A18" i="13"/>
  <c r="A17" i="13"/>
  <c r="A16" i="13"/>
  <c r="A15" i="13"/>
  <c r="A14" i="13"/>
  <c r="A13" i="13"/>
  <c r="A12" i="13"/>
  <c r="A11" i="13"/>
  <c r="A10" i="13"/>
  <c r="A9" i="13"/>
  <c r="A5" i="13"/>
  <c r="A4" i="13"/>
  <c r="A3" i="13"/>
  <c r="A48" i="71"/>
  <c r="A47" i="71"/>
  <c r="A46" i="71"/>
  <c r="A45" i="71"/>
  <c r="A44" i="71"/>
  <c r="A43" i="71"/>
  <c r="A42" i="71"/>
  <c r="A41" i="71"/>
  <c r="A37" i="71"/>
  <c r="A36" i="71"/>
  <c r="A35" i="71"/>
  <c r="A34" i="71"/>
  <c r="A33" i="71"/>
  <c r="A32" i="71"/>
  <c r="A31" i="71"/>
  <c r="A30" i="71"/>
  <c r="A29" i="71"/>
  <c r="A28" i="71"/>
  <c r="A27" i="71"/>
  <c r="A26" i="71"/>
  <c r="A25" i="71"/>
  <c r="A24" i="71"/>
  <c r="A20" i="71"/>
  <c r="A19" i="71"/>
  <c r="A18" i="71"/>
  <c r="A17" i="71"/>
  <c r="A16" i="71"/>
  <c r="A15" i="71"/>
  <c r="A14" i="71"/>
  <c r="A13" i="71"/>
  <c r="A12" i="71"/>
  <c r="A11" i="71"/>
  <c r="A10" i="71"/>
  <c r="A9" i="71"/>
  <c r="A5" i="71"/>
  <c r="A4" i="71"/>
  <c r="A3" i="71"/>
  <c r="F642" i="107" a="1"/>
  <c r="F642" i="107" s="1"/>
  <c r="E642" i="107" a="1"/>
  <c r="E642" i="107" s="1"/>
  <c r="D642" i="107" a="1"/>
  <c r="D642" i="107" s="1"/>
  <c r="F624" i="107" a="1"/>
  <c r="F624" i="107" s="1"/>
  <c r="E624" i="107" a="1"/>
  <c r="E624" i="107" s="1"/>
  <c r="D624" i="107" a="1"/>
  <c r="D624" i="107" s="1"/>
  <c r="F505" i="107" a="1"/>
  <c r="F505" i="107" s="1"/>
  <c r="E505" i="107" a="1"/>
  <c r="E505" i="107" s="1"/>
  <c r="D505" i="107" a="1"/>
  <c r="D505" i="107" s="1"/>
  <c r="F463" i="107" a="1"/>
  <c r="F463" i="107" s="1"/>
  <c r="F445" i="107" a="1"/>
  <c r="F445" i="107" s="1"/>
  <c r="E445" i="107" a="1"/>
  <c r="D445" i="107" a="1"/>
  <c r="D445" i="107" s="1"/>
  <c r="G351" i="107" a="1"/>
  <c r="G351" i="107" s="1"/>
  <c r="L351" i="107" s="1"/>
  <c r="F351" i="107" a="1"/>
  <c r="F351" i="107" s="1"/>
  <c r="E351" i="107" a="1"/>
  <c r="E351" i="107" s="1"/>
  <c r="D351" i="107" a="1"/>
  <c r="D351" i="107" s="1"/>
  <c r="D320" i="107" a="1"/>
  <c r="D320" i="107" s="1"/>
  <c r="AD252" i="107" a="1"/>
  <c r="AD252" i="107" s="1"/>
  <c r="AC252" i="107" a="1"/>
  <c r="AC252" i="107" s="1"/>
  <c r="Z252" i="107" a="1"/>
  <c r="Z252" i="107" s="1"/>
  <c r="Y252" i="107" a="1"/>
  <c r="Y252" i="107" s="1"/>
  <c r="V252" i="107" a="1"/>
  <c r="V252" i="107" s="1"/>
  <c r="U252" i="107" a="1"/>
  <c r="U252" i="107" s="1"/>
  <c r="R252" i="107" a="1"/>
  <c r="R252" i="107" s="1"/>
  <c r="Q252" i="107" a="1"/>
  <c r="Q252" i="107" s="1"/>
  <c r="P252" i="107" a="1"/>
  <c r="P252" i="107" s="1"/>
  <c r="O252" i="107" a="1"/>
  <c r="D252" i="107" a="1"/>
  <c r="D252" i="107" s="1"/>
  <c r="D236" i="107" a="1"/>
  <c r="D236" i="107" s="1"/>
  <c r="D32" i="94"/>
  <c r="D25" i="94"/>
  <c r="M39" i="93" a="1"/>
  <c r="M39" i="93" s="1"/>
  <c r="F39" i="93"/>
  <c r="D37" i="93"/>
  <c r="D34" i="93"/>
  <c r="D33" i="93"/>
  <c r="D25" i="93"/>
  <c r="D75" i="87"/>
  <c r="D74" i="87"/>
  <c r="D73" i="87"/>
  <c r="D72" i="87"/>
  <c r="D71" i="87"/>
  <c r="D70" i="87"/>
  <c r="D69" i="87"/>
  <c r="D68" i="87"/>
  <c r="D134" i="86" a="1"/>
  <c r="D134" i="86" s="1"/>
  <c r="D102" i="86" a="1"/>
  <c r="D102" i="86" s="1"/>
  <c r="G25" i="85" a="1"/>
  <c r="G25" i="85" s="1"/>
  <c r="F25" i="85" a="1"/>
  <c r="F25" i="85" s="1"/>
  <c r="D25" i="85" a="1"/>
  <c r="D25" i="85" s="1"/>
  <c r="H20" i="84" a="1"/>
  <c r="H20" i="84" s="1"/>
  <c r="E20" i="84" a="1"/>
  <c r="E20" i="84" s="1"/>
  <c r="D20" i="84" a="1"/>
  <c r="D20" i="84" s="1"/>
  <c r="N21" i="82" a="1"/>
  <c r="N21" i="82" s="1"/>
  <c r="N11" i="82" a="1"/>
  <c r="N11" i="82" s="1"/>
  <c r="J21" i="92" a="1"/>
  <c r="J21" i="92" s="1"/>
  <c r="G21" i="92" a="1"/>
  <c r="G21" i="92" s="1"/>
  <c r="J20" i="92" a="1"/>
  <c r="J20" i="92" s="1"/>
  <c r="G20" i="92" a="1"/>
  <c r="G20" i="92" s="1"/>
  <c r="J19" i="92" a="1"/>
  <c r="J19" i="92" s="1"/>
  <c r="G19" i="92" a="1"/>
  <c r="G19" i="92" s="1"/>
  <c r="J18" i="92" a="1"/>
  <c r="J18" i="92" s="1"/>
  <c r="G18" i="92" a="1"/>
  <c r="G18" i="92" s="1"/>
  <c r="J17" i="92" a="1"/>
  <c r="J17" i="92" s="1"/>
  <c r="G17" i="92" a="1"/>
  <c r="G17" i="92" s="1"/>
  <c r="M243" i="108"/>
  <c r="L243" i="108"/>
  <c r="M242" i="108"/>
  <c r="D285" i="107" a="1"/>
  <c r="D27" i="105"/>
  <c r="D485" i="107" s="1"/>
  <c r="F485" i="107" s="1" a="1"/>
  <c r="F485" i="107" s="1"/>
  <c r="G485" i="107" s="1"/>
  <c r="D26" i="105"/>
  <c r="D484" i="107" s="1"/>
  <c r="D25" i="105"/>
  <c r="D483" i="107" s="1"/>
  <c r="D24" i="105"/>
  <c r="D482" i="107" s="1"/>
  <c r="D23" i="105"/>
  <c r="D481" i="107" s="1"/>
  <c r="F481" i="107" s="1" a="1"/>
  <c r="F481" i="107" s="1"/>
  <c r="G481" i="107" s="1"/>
  <c r="F140" i="107" a="1"/>
  <c r="F140" i="107" s="1"/>
  <c r="I140" i="107" s="1"/>
  <c r="P158" i="108"/>
  <c r="O158" i="108"/>
  <c r="Q157" i="108" s="1"/>
  <c r="M157" i="108"/>
  <c r="L157" i="108"/>
  <c r="N156" i="108" s="1"/>
  <c r="P156" i="108"/>
  <c r="O156" i="108"/>
  <c r="Q155" i="108" s="1"/>
  <c r="M155" i="108"/>
  <c r="L155" i="108"/>
  <c r="N154" i="108" s="1"/>
  <c r="P154" i="108"/>
  <c r="O154" i="108"/>
  <c r="Q153" i="108" s="1"/>
  <c r="M153" i="108"/>
  <c r="L153" i="108"/>
  <c r="N152" i="108" s="1"/>
  <c r="P152" i="108"/>
  <c r="O152" i="108"/>
  <c r="Q151" i="108" s="1"/>
  <c r="M151" i="108"/>
  <c r="L151" i="108"/>
  <c r="N150" i="108" s="1"/>
  <c r="P150" i="108"/>
  <c r="O150" i="108"/>
  <c r="P149" i="108"/>
  <c r="O149" i="108"/>
  <c r="P148" i="108"/>
  <c r="O148" i="108"/>
  <c r="P147" i="108"/>
  <c r="O147" i="108"/>
  <c r="P146" i="108"/>
  <c r="O146" i="108"/>
  <c r="P145" i="108"/>
  <c r="O145" i="108"/>
  <c r="P144" i="108"/>
  <c r="O144" i="108"/>
  <c r="Q143" i="108" s="1"/>
  <c r="M143" i="108"/>
  <c r="L143" i="108"/>
  <c r="M142" i="108"/>
  <c r="L142" i="108"/>
  <c r="M141" i="108"/>
  <c r="L141" i="108"/>
  <c r="M140" i="108"/>
  <c r="L140" i="108"/>
  <c r="M139" i="108"/>
  <c r="L139" i="108"/>
  <c r="M138" i="108"/>
  <c r="L138" i="108"/>
  <c r="N137" i="108" s="1"/>
  <c r="P137" i="108"/>
  <c r="O137" i="108"/>
  <c r="P136" i="108"/>
  <c r="O136" i="108"/>
  <c r="P135" i="108"/>
  <c r="O135" i="108"/>
  <c r="P134" i="108"/>
  <c r="O134" i="108"/>
  <c r="P133" i="108"/>
  <c r="O133" i="108"/>
  <c r="P132" i="108"/>
  <c r="O132" i="108"/>
  <c r="P131" i="108"/>
  <c r="O131" i="108"/>
  <c r="Q130" i="108" s="1"/>
  <c r="M130" i="108"/>
  <c r="L130" i="108"/>
  <c r="M129" i="108"/>
  <c r="L129" i="108"/>
  <c r="M128" i="108"/>
  <c r="L128" i="108"/>
  <c r="M127" i="108"/>
  <c r="L127" i="108"/>
  <c r="M126" i="108"/>
  <c r="L126" i="108"/>
  <c r="M125" i="108"/>
  <c r="L125" i="108"/>
  <c r="N124" i="108" s="1"/>
  <c r="P124" i="108"/>
  <c r="O124" i="108"/>
  <c r="P123" i="108"/>
  <c r="O123" i="108"/>
  <c r="P122" i="108"/>
  <c r="O122" i="108"/>
  <c r="P121" i="108"/>
  <c r="O121" i="108"/>
  <c r="P120" i="108"/>
  <c r="O120" i="108"/>
  <c r="P119" i="108"/>
  <c r="O119" i="108"/>
  <c r="P118" i="108"/>
  <c r="O118" i="108"/>
  <c r="Q117" i="108" s="1"/>
  <c r="M117" i="108"/>
  <c r="L117" i="108"/>
  <c r="M116" i="108"/>
  <c r="L116" i="108"/>
  <c r="M115" i="108"/>
  <c r="L115" i="108"/>
  <c r="M114" i="108"/>
  <c r="L114" i="108"/>
  <c r="M113" i="108"/>
  <c r="L113" i="108"/>
  <c r="M112" i="108"/>
  <c r="L112" i="108"/>
  <c r="M111" i="108"/>
  <c r="L111" i="108"/>
  <c r="M110" i="108"/>
  <c r="L110" i="108"/>
  <c r="N109" i="108" s="1"/>
  <c r="P109" i="108"/>
  <c r="O109" i="108"/>
  <c r="P108" i="108"/>
  <c r="O108" i="108"/>
  <c r="P107" i="108"/>
  <c r="O107" i="108"/>
  <c r="P106" i="108"/>
  <c r="O106" i="108"/>
  <c r="P105" i="108"/>
  <c r="O105" i="108"/>
  <c r="Q104" i="108" s="1"/>
  <c r="M104" i="108"/>
  <c r="L104" i="108"/>
  <c r="M103" i="108"/>
  <c r="L103" i="108"/>
  <c r="M102" i="108"/>
  <c r="L102" i="108"/>
  <c r="M101" i="108"/>
  <c r="L101" i="108"/>
  <c r="M100" i="108"/>
  <c r="L100" i="108"/>
  <c r="M99" i="108"/>
  <c r="L99" i="108"/>
  <c r="M98" i="108"/>
  <c r="L98" i="108"/>
  <c r="N97" i="108" s="1"/>
  <c r="P97" i="108"/>
  <c r="O97" i="108"/>
  <c r="P96" i="108"/>
  <c r="O96" i="108"/>
  <c r="P95" i="108"/>
  <c r="O95" i="108"/>
  <c r="P94" i="108"/>
  <c r="O94" i="108"/>
  <c r="P93" i="108"/>
  <c r="O93" i="108"/>
  <c r="P92" i="108"/>
  <c r="O92" i="108"/>
  <c r="P91" i="108"/>
  <c r="O91" i="108"/>
  <c r="P90" i="108"/>
  <c r="F603" i="107"/>
  <c r="N593" i="107" a="1"/>
  <c r="N593" i="107" s="1"/>
  <c r="F593" i="107" a="1"/>
  <c r="F593" i="107" s="1"/>
  <c r="L590" i="107" a="1"/>
  <c r="L590" i="107" s="1"/>
  <c r="D590" i="107" a="1"/>
  <c r="D590" i="107" s="1"/>
  <c r="R586" i="107"/>
  <c r="R585" i="107"/>
  <c r="R584" i="107"/>
  <c r="J584" i="107"/>
  <c r="I568" i="107"/>
  <c r="I564" i="107"/>
  <c r="I563" i="107"/>
  <c r="I562" i="107"/>
  <c r="I546" i="107"/>
  <c r="I544" i="107"/>
  <c r="E496" i="107"/>
  <c r="E495" i="107"/>
  <c r="E494" i="107"/>
  <c r="E485" i="107"/>
  <c r="E484" i="107"/>
  <c r="E483" i="107"/>
  <c r="E482" i="107"/>
  <c r="E481" i="107"/>
  <c r="K422" i="107"/>
  <c r="K416" i="107"/>
  <c r="L358" i="107"/>
  <c r="L357" i="107"/>
  <c r="L356" i="107"/>
  <c r="L355" i="107"/>
  <c r="L354" i="107"/>
  <c r="L353" i="107"/>
  <c r="L352" i="107"/>
  <c r="L360" i="107"/>
  <c r="E179" i="107"/>
  <c r="E178" i="107"/>
  <c r="E177" i="107"/>
  <c r="E153" i="107"/>
  <c r="E152" i="107"/>
  <c r="E151" i="107"/>
  <c r="E150" i="107"/>
  <c r="E149" i="107"/>
  <c r="E148" i="107"/>
  <c r="E140" i="107"/>
  <c r="E139" i="107"/>
  <c r="E138" i="107"/>
  <c r="E137" i="107"/>
  <c r="F155" i="107"/>
  <c r="F53" i="107"/>
  <c r="R19" i="105"/>
  <c r="H19" i="105"/>
  <c r="O19" i="105" s="1"/>
  <c r="H18" i="105"/>
  <c r="R18" i="105" s="1"/>
  <c r="H17" i="105"/>
  <c r="R17" i="105" s="1"/>
  <c r="L16" i="105"/>
  <c r="H16" i="105"/>
  <c r="R16" i="105" s="1"/>
  <c r="H15" i="105"/>
  <c r="R15" i="105" s="1"/>
  <c r="H14" i="105"/>
  <c r="L14" i="105" s="1"/>
  <c r="H13" i="105"/>
  <c r="R13" i="105" s="1"/>
  <c r="R12" i="105"/>
  <c r="O12" i="105"/>
  <c r="H12" i="105"/>
  <c r="L12" i="105" s="1"/>
  <c r="H11" i="105"/>
  <c r="R11" i="105" s="1"/>
  <c r="R10" i="105"/>
  <c r="L10" i="105"/>
  <c r="H10" i="105"/>
  <c r="O10" i="105" s="1"/>
  <c r="Q8" i="105" a="1"/>
  <c r="Q8" i="105" s="1"/>
  <c r="N8" i="105" a="1"/>
  <c r="N8" i="105" s="1"/>
  <c r="K8" i="105" a="1"/>
  <c r="K8" i="105" s="1"/>
  <c r="D91" i="103" a="1"/>
  <c r="D91" i="103" s="1"/>
  <c r="E18" i="99"/>
  <c r="D17" i="103" a="1"/>
  <c r="D17" i="103" s="1"/>
  <c r="D26" i="99"/>
  <c r="F67" i="102" a="1"/>
  <c r="F67" i="102" s="1"/>
  <c r="D64" i="102" a="1"/>
  <c r="D64" i="102" s="1"/>
  <c r="I60" i="102"/>
  <c r="F62" i="102"/>
  <c r="F44" i="102" a="1"/>
  <c r="F44" i="102" s="1"/>
  <c r="D41" i="102" a="1"/>
  <c r="D41" i="102" s="1"/>
  <c r="I37" i="102"/>
  <c r="I19" i="102"/>
  <c r="I18" i="102"/>
  <c r="I13" i="102"/>
  <c r="P53" i="101" a="1"/>
  <c r="P53" i="101" s="1"/>
  <c r="F53" i="101" a="1"/>
  <c r="F53" i="101" s="1"/>
  <c r="N50" i="101" a="1"/>
  <c r="N50" i="101" s="1"/>
  <c r="D50" i="101" a="1"/>
  <c r="D50" i="101" s="1"/>
  <c r="N46" i="101"/>
  <c r="D46" i="101"/>
  <c r="J39" i="101"/>
  <c r="J36" i="101" a="1"/>
  <c r="J36" i="101" s="1"/>
  <c r="G24" i="101"/>
  <c r="F24" i="101"/>
  <c r="J19" i="101" a="1"/>
  <c r="J19" i="101" s="1"/>
  <c r="J17" i="101"/>
  <c r="J16" i="101" a="1"/>
  <c r="J16" i="101" s="1"/>
  <c r="J14" i="101" a="1"/>
  <c r="J14" i="101" s="1"/>
  <c r="J13" i="101" a="1"/>
  <c r="J13" i="101" s="1"/>
  <c r="O66" i="100" a="1"/>
  <c r="O66" i="100" s="1"/>
  <c r="M63" i="100" a="1"/>
  <c r="M63" i="100" s="1"/>
  <c r="R58" i="100"/>
  <c r="F47" i="100" a="1"/>
  <c r="F47" i="100" s="1"/>
  <c r="D44" i="100" a="1"/>
  <c r="D44" i="100" s="1"/>
  <c r="I39" i="100"/>
  <c r="O61" i="100"/>
  <c r="I21" i="100"/>
  <c r="I20" i="100" s="1" a="1"/>
  <c r="I20" i="100" s="1"/>
  <c r="Q18" i="100"/>
  <c r="Q16" i="100"/>
  <c r="I16" i="100"/>
  <c r="Q15" i="100"/>
  <c r="I13" i="100"/>
  <c r="F24" i="100"/>
  <c r="E22" i="99"/>
  <c r="O21" i="98"/>
  <c r="O20" i="98"/>
  <c r="O19" i="98"/>
  <c r="O18" i="98"/>
  <c r="O17" i="98"/>
  <c r="M21" i="98"/>
  <c r="M20" i="98"/>
  <c r="M19" i="98"/>
  <c r="M18" i="98"/>
  <c r="M17" i="98"/>
  <c r="K26" i="98"/>
  <c r="K25" i="98"/>
  <c r="K24" i="98"/>
  <c r="K23" i="98"/>
  <c r="K22" i="98"/>
  <c r="K21" i="98"/>
  <c r="K20" i="98"/>
  <c r="K19" i="98"/>
  <c r="K18" i="98"/>
  <c r="K17" i="98"/>
  <c r="I27" i="98"/>
  <c r="I26" i="98"/>
  <c r="I25" i="98"/>
  <c r="I24" i="98"/>
  <c r="I23" i="98"/>
  <c r="I22" i="98"/>
  <c r="I21" i="98"/>
  <c r="I20" i="98"/>
  <c r="I19" i="98"/>
  <c r="I18" i="98"/>
  <c r="E157" i="97" a="1"/>
  <c r="E157" i="97" s="1"/>
  <c r="H185" i="97"/>
  <c r="H179" i="97"/>
  <c r="H168" i="97"/>
  <c r="H144" i="97"/>
  <c r="H138" i="97"/>
  <c r="H127" i="97"/>
  <c r="J16" i="97" a="1"/>
  <c r="J16" i="97" s="1"/>
  <c r="I16" i="97" a="1"/>
  <c r="I16" i="97" s="1"/>
  <c r="J15" i="97" a="1"/>
  <c r="J15" i="97" s="1"/>
  <c r="I15" i="97" a="1"/>
  <c r="I15" i="97" s="1"/>
  <c r="J14" i="97" a="1"/>
  <c r="J14" i="97" s="1"/>
  <c r="I14" i="97" a="1"/>
  <c r="I14" i="97" s="1"/>
  <c r="J13" i="97" a="1"/>
  <c r="J13" i="97" s="1"/>
  <c r="I13" i="97" a="1"/>
  <c r="I13" i="97" s="1"/>
  <c r="E139" i="95"/>
  <c r="F40" i="94" s="1"/>
  <c r="M40" i="94" s="1" a="1"/>
  <c r="M40" i="94" s="1"/>
  <c r="G138" i="95"/>
  <c r="F32" i="93" s="1"/>
  <c r="E138" i="95"/>
  <c r="F39" i="94" s="1"/>
  <c r="G137" i="95"/>
  <c r="F31" i="93" s="1"/>
  <c r="E137" i="95"/>
  <c r="F38" i="94" s="1"/>
  <c r="M38" i="94" s="1" a="1"/>
  <c r="M38" i="94" s="1"/>
  <c r="D137" i="95"/>
  <c r="F31" i="94" s="1"/>
  <c r="G136" i="95"/>
  <c r="F30" i="93" s="1"/>
  <c r="M30" i="93" s="1" a="1"/>
  <c r="M30" i="93" s="1"/>
  <c r="E136" i="95"/>
  <c r="F37" i="94" s="1"/>
  <c r="D136" i="95"/>
  <c r="F30" i="94" s="1"/>
  <c r="G135" i="95"/>
  <c r="F29" i="93" s="1"/>
  <c r="M29" i="93" s="1" a="1"/>
  <c r="M29" i="93" s="1"/>
  <c r="E135" i="95"/>
  <c r="F36" i="94" s="1"/>
  <c r="D135" i="95"/>
  <c r="F29" i="94" s="1"/>
  <c r="G134" i="95"/>
  <c r="F28" i="93" s="1"/>
  <c r="E134" i="95"/>
  <c r="F35" i="94" s="1"/>
  <c r="M35" i="94" s="1" a="1"/>
  <c r="M35" i="94" s="1"/>
  <c r="D134" i="95"/>
  <c r="F28" i="94" s="1"/>
  <c r="G133" i="95"/>
  <c r="F27" i="93" s="1"/>
  <c r="M27" i="93" s="1" a="1"/>
  <c r="M27" i="93" s="1"/>
  <c r="F133" i="95"/>
  <c r="F36" i="93" s="1"/>
  <c r="M36" i="93" s="1" a="1"/>
  <c r="M36" i="93" s="1"/>
  <c r="E133" i="95"/>
  <c r="F34" i="94" s="1"/>
  <c r="D133" i="95"/>
  <c r="F27" i="94" s="1"/>
  <c r="L27" i="94" s="1" a="1"/>
  <c r="L27" i="94" s="1"/>
  <c r="I132" i="95"/>
  <c r="F38" i="93" s="1"/>
  <c r="M38" i="93" s="1" a="1"/>
  <c r="M38" i="93" s="1"/>
  <c r="G132" i="95"/>
  <c r="F26" i="93" s="1"/>
  <c r="F132" i="95"/>
  <c r="F35" i="93" s="1"/>
  <c r="L35" i="93" s="1" a="1"/>
  <c r="L35" i="93" s="1"/>
  <c r="E132" i="95"/>
  <c r="F33" i="94" s="1"/>
  <c r="D132" i="95"/>
  <c r="F26" i="94" s="1"/>
  <c r="M26" i="94" s="1" a="1"/>
  <c r="M26" i="94" s="1"/>
  <c r="I131" i="95"/>
  <c r="F37" i="93" s="1"/>
  <c r="H131" i="95"/>
  <c r="F33" i="93" s="1"/>
  <c r="M33" i="93" s="1" a="1"/>
  <c r="M33" i="93" s="1"/>
  <c r="G131" i="95"/>
  <c r="F25" i="93" s="1"/>
  <c r="F131" i="95"/>
  <c r="F34" i="93" s="1"/>
  <c r="E131" i="95"/>
  <c r="F32" i="94" s="1"/>
  <c r="D131" i="95"/>
  <c r="F25" i="94" s="1"/>
  <c r="D110" i="95" a="1"/>
  <c r="D110" i="95" s="1"/>
  <c r="E40" i="94"/>
  <c r="E39" i="94"/>
  <c r="D84" i="95" a="1"/>
  <c r="D84" i="95" s="1"/>
  <c r="E38" i="94"/>
  <c r="K38" i="94" s="1"/>
  <c r="E37" i="94"/>
  <c r="K37" i="94" s="1"/>
  <c r="E29" i="94"/>
  <c r="K29" i="94" s="1"/>
  <c r="E34" i="94"/>
  <c r="E26" i="94"/>
  <c r="E32" i="94"/>
  <c r="K32" i="94" s="1"/>
  <c r="D52" i="95" a="1"/>
  <c r="D52" i="95" s="1"/>
  <c r="E39" i="93"/>
  <c r="E36" i="93"/>
  <c r="E35" i="93"/>
  <c r="E34" i="93"/>
  <c r="E32" i="93"/>
  <c r="E31" i="93"/>
  <c r="E30" i="93"/>
  <c r="E29" i="93"/>
  <c r="E28" i="93"/>
  <c r="E27" i="93"/>
  <c r="E26" i="93"/>
  <c r="G34" i="93" a="1"/>
  <c r="G34" i="93" s="1"/>
  <c r="D8" i="95" a="1"/>
  <c r="D8" i="95" s="1"/>
  <c r="D34" i="94"/>
  <c r="D36" i="94"/>
  <c r="D27" i="94"/>
  <c r="D29" i="94"/>
  <c r="P18" i="94"/>
  <c r="P17" i="94"/>
  <c r="P16" i="94" a="1"/>
  <c r="P16" i="94" s="1"/>
  <c r="I16" i="94" a="1"/>
  <c r="I16" i="94" s="1"/>
  <c r="P15" i="94" a="1"/>
  <c r="P15" i="94" s="1"/>
  <c r="I15" i="94" a="1"/>
  <c r="I15" i="94" s="1"/>
  <c r="P14" i="94" a="1"/>
  <c r="P14" i="94" s="1"/>
  <c r="I14" i="94" a="1"/>
  <c r="I14" i="94" s="1"/>
  <c r="D39" i="93"/>
  <c r="D38" i="93"/>
  <c r="D35" i="93"/>
  <c r="D48" i="93"/>
  <c r="D29" i="93"/>
  <c r="D28" i="93"/>
  <c r="D42" i="93"/>
  <c r="P16" i="93" a="1"/>
  <c r="P16" i="93" s="1"/>
  <c r="I16" i="93" a="1"/>
  <c r="I16" i="93" s="1"/>
  <c r="P15" i="93" a="1"/>
  <c r="P15" i="93" s="1"/>
  <c r="I15" i="93" a="1"/>
  <c r="I15" i="93" s="1"/>
  <c r="P14" i="93" a="1"/>
  <c r="P14" i="93" s="1"/>
  <c r="I14" i="93" a="1"/>
  <c r="I14" i="93" s="1"/>
  <c r="F70" i="93"/>
  <c r="H21" i="92"/>
  <c r="H20" i="92"/>
  <c r="H19" i="92"/>
  <c r="H18" i="92"/>
  <c r="H17" i="92"/>
  <c r="I567" i="107" a="1"/>
  <c r="I567" i="107" s="1"/>
  <c r="J36" i="90" a="1"/>
  <c r="J36" i="90" s="1"/>
  <c r="E39" i="90" s="1"/>
  <c r="D7" i="91" a="1"/>
  <c r="D7" i="91" s="1"/>
  <c r="J37" i="90"/>
  <c r="J33" i="90" s="1"/>
  <c r="J32" i="90"/>
  <c r="J31" i="90"/>
  <c r="F39" i="90"/>
  <c r="I16" i="90"/>
  <c r="I14" i="90"/>
  <c r="F18" i="90"/>
  <c r="H48" i="89"/>
  <c r="E48" i="89"/>
  <c r="H47" i="89"/>
  <c r="E47" i="89"/>
  <c r="H46" i="89"/>
  <c r="E46" i="89"/>
  <c r="H39" i="89"/>
  <c r="H38" i="89"/>
  <c r="H37" i="89"/>
  <c r="E29" i="89"/>
  <c r="E16" i="89"/>
  <c r="E22" i="89" s="1"/>
  <c r="E6" i="89"/>
  <c r="L21" i="81" a="1"/>
  <c r="L21" i="81" s="1"/>
  <c r="J91" i="87"/>
  <c r="I97" i="86"/>
  <c r="F105" i="86" s="1"/>
  <c r="I19" i="85"/>
  <c r="I18" i="85"/>
  <c r="I16" i="85"/>
  <c r="I15" i="85"/>
  <c r="I50" i="83"/>
  <c r="G180" i="108"/>
  <c r="G190" i="108"/>
  <c r="G182" i="108"/>
  <c r="G184" i="108"/>
  <c r="G198" i="108"/>
  <c r="G191" i="108"/>
  <c r="G189" i="108"/>
  <c r="G188" i="108"/>
  <c r="G186" i="108"/>
  <c r="G187" i="108"/>
  <c r="G185" i="108"/>
  <c r="G179" i="108"/>
  <c r="G178" i="108"/>
  <c r="G193" i="108"/>
  <c r="G192" i="108"/>
  <c r="I175" i="108"/>
  <c r="G181" i="108"/>
  <c r="P29" i="81"/>
  <c r="F99" i="87" a="1"/>
  <c r="F99" i="87" s="1"/>
  <c r="D96" i="87" a="1"/>
  <c r="D96" i="87" s="1"/>
  <c r="F94" i="87"/>
  <c r="D67" i="87"/>
  <c r="D66" i="87"/>
  <c r="D65" i="87"/>
  <c r="I59" i="87"/>
  <c r="I58" i="87"/>
  <c r="I55" i="87" a="1"/>
  <c r="I55" i="87" s="1"/>
  <c r="F77" i="87"/>
  <c r="I17" i="87"/>
  <c r="I16" i="87"/>
  <c r="I13" i="87" a="1"/>
  <c r="I13" i="87" s="1"/>
  <c r="F43" i="87"/>
  <c r="F151" i="86" a="1"/>
  <c r="F151" i="86" s="1"/>
  <c r="D148" i="86" a="1"/>
  <c r="D148" i="86" s="1"/>
  <c r="I127" i="86"/>
  <c r="I124" i="86" a="1"/>
  <c r="I124" i="86" s="1"/>
  <c r="F146" i="86"/>
  <c r="I96" i="86" a="1"/>
  <c r="I96" i="86" s="1"/>
  <c r="G102" i="86"/>
  <c r="F84" i="86" a="1"/>
  <c r="F84" i="86" s="1"/>
  <c r="D81" i="86" a="1"/>
  <c r="D81" i="86" s="1"/>
  <c r="J52" i="86"/>
  <c r="J49" i="86" a="1"/>
  <c r="J49" i="86" s="1"/>
  <c r="F79" i="86"/>
  <c r="I14" i="86" a="1"/>
  <c r="I14" i="86" s="1"/>
  <c r="I13" i="86" a="1"/>
  <c r="I13" i="86" s="1"/>
  <c r="I17" i="85" a="1"/>
  <c r="I17" i="85" s="1"/>
  <c r="I14" i="85" a="1"/>
  <c r="I14" i="85" s="1"/>
  <c r="I13" i="85" a="1"/>
  <c r="I13" i="85" s="1"/>
  <c r="F55" i="84" a="1"/>
  <c r="F55" i="84" s="1"/>
  <c r="D52" i="84" a="1"/>
  <c r="D52" i="84" s="1"/>
  <c r="K47" i="84"/>
  <c r="F50" i="84"/>
  <c r="E74" i="87"/>
  <c r="E110" i="86"/>
  <c r="E71" i="87"/>
  <c r="E107" i="86"/>
  <c r="I15" i="84" a="1"/>
  <c r="I15" i="84" s="1"/>
  <c r="I14" i="84" a="1"/>
  <c r="I14" i="84" s="1"/>
  <c r="I13" i="84" a="1"/>
  <c r="I13" i="84" s="1"/>
  <c r="F32" i="84"/>
  <c r="I53" i="83" a="1"/>
  <c r="I53" i="83" s="1"/>
  <c r="I52" i="83"/>
  <c r="I49" i="83" a="1"/>
  <c r="I49" i="83" s="1"/>
  <c r="I14" i="83" a="1"/>
  <c r="I14" i="83" s="1"/>
  <c r="I13" i="83" a="1"/>
  <c r="I13" i="83" s="1"/>
  <c r="O115" i="82" a="1"/>
  <c r="O115" i="82" s="1"/>
  <c r="M112" i="82" a="1"/>
  <c r="M112" i="82" s="1"/>
  <c r="S95" i="82"/>
  <c r="F85" i="82" a="1"/>
  <c r="F85" i="82" s="1"/>
  <c r="D82" i="82" a="1"/>
  <c r="D82" i="82" s="1"/>
  <c r="O79" i="82"/>
  <c r="O63" i="82"/>
  <c r="I53" i="82"/>
  <c r="I52" i="82"/>
  <c r="I49" i="82" a="1"/>
  <c r="I49" i="82" s="1"/>
  <c r="F60" i="82"/>
  <c r="O49" i="82"/>
  <c r="I14" i="82" a="1"/>
  <c r="I14" i="82" s="1"/>
  <c r="I13" i="82" a="1"/>
  <c r="I13" i="82" s="1"/>
  <c r="G56" i="81"/>
  <c r="G55" i="81"/>
  <c r="G54" i="81"/>
  <c r="K44" i="81"/>
  <c r="K43" i="81"/>
  <c r="K42" i="81"/>
  <c r="D33" i="78"/>
  <c r="D8" i="78"/>
  <c r="F82" i="72"/>
  <c r="F81" i="72"/>
  <c r="F80" i="72"/>
  <c r="E82" i="72"/>
  <c r="E81" i="72"/>
  <c r="E80" i="72"/>
  <c r="G140" i="107" l="1"/>
  <c r="F110" i="86"/>
  <c r="F111" i="86"/>
  <c r="F112" i="86"/>
  <c r="F102" i="86"/>
  <c r="F103" i="86"/>
  <c r="F104" i="86"/>
  <c r="M34" i="93" a="1"/>
  <c r="M34" i="93" s="1"/>
  <c r="L34" i="93" a="1"/>
  <c r="L34" i="93" s="1"/>
  <c r="Q17" i="100"/>
  <c r="I14" i="102"/>
  <c r="E19" i="99"/>
  <c r="I14" i="100"/>
  <c r="I24" i="107" a="1"/>
  <c r="I24" i="107" s="1"/>
  <c r="J24" i="107" s="1"/>
  <c r="L25" i="93" a="1"/>
  <c r="L25" i="93" s="1"/>
  <c r="M25" i="93" a="1"/>
  <c r="M25" i="93" s="1"/>
  <c r="M28" i="93" a="1"/>
  <c r="M28" i="93" s="1"/>
  <c r="L28" i="93" a="1"/>
  <c r="L28" i="93" s="1"/>
  <c r="M29" i="94" a="1"/>
  <c r="M29" i="94" s="1"/>
  <c r="L29" i="94" a="1"/>
  <c r="L29" i="94" s="1"/>
  <c r="I40" i="94"/>
  <c r="G40" i="94"/>
  <c r="J40" i="94"/>
  <c r="H40" i="94"/>
  <c r="M33" i="94" a="1"/>
  <c r="M33" i="94" s="1"/>
  <c r="M30" i="94" a="1"/>
  <c r="M30" i="94" s="1"/>
  <c r="M36" i="94" a="1"/>
  <c r="M36" i="94" s="1"/>
  <c r="L36" i="94" a="1"/>
  <c r="L36" i="94" s="1"/>
  <c r="G448" i="107" a="1"/>
  <c r="G448" i="107" s="1"/>
  <c r="H448" i="107" s="1"/>
  <c r="G447" i="107" a="1"/>
  <c r="G447" i="107" s="1"/>
  <c r="H447" i="107" s="1"/>
  <c r="K34" i="94"/>
  <c r="J34" i="94"/>
  <c r="I34" i="94"/>
  <c r="H34" i="94"/>
  <c r="G34" i="94"/>
  <c r="M37" i="93" a="1"/>
  <c r="M37" i="93" s="1"/>
  <c r="L37" i="93" a="1"/>
  <c r="L37" i="93" s="1"/>
  <c r="M37" i="94" a="1"/>
  <c r="M37" i="94" s="1"/>
  <c r="F483" i="107" a="1"/>
  <c r="F483" i="107" s="1"/>
  <c r="G483" i="107" s="1"/>
  <c r="M31" i="93" a="1"/>
  <c r="M31" i="93" s="1"/>
  <c r="J39" i="94"/>
  <c r="I39" i="94"/>
  <c r="H39" i="94"/>
  <c r="G39" i="94"/>
  <c r="M39" i="94" a="1"/>
  <c r="M39" i="94" s="1"/>
  <c r="M25" i="94" a="1"/>
  <c r="M25" i="94" s="1"/>
  <c r="L25" i="94" a="1"/>
  <c r="L25" i="94" s="1"/>
  <c r="M32" i="93" a="1"/>
  <c r="M32" i="93" s="1"/>
  <c r="L32" i="93" a="1"/>
  <c r="L32" i="93" s="1"/>
  <c r="P124" i="107" a="1"/>
  <c r="P124" i="107" s="1"/>
  <c r="D285" i="107"/>
  <c r="F290" i="107" a="1"/>
  <c r="F290" i="107" s="1"/>
  <c r="E290" i="107"/>
  <c r="F296" i="107" a="1"/>
  <c r="F296" i="107" s="1"/>
  <c r="F289" i="107" a="1"/>
  <c r="F289" i="107" s="1"/>
  <c r="E296" i="107"/>
  <c r="E289" i="107"/>
  <c r="F295" i="107" a="1"/>
  <c r="F295" i="107" s="1"/>
  <c r="F288" i="107" a="1"/>
  <c r="F288" i="107" s="1"/>
  <c r="E294" i="107"/>
  <c r="E287" i="107"/>
  <c r="E286" i="107"/>
  <c r="E292" i="107"/>
  <c r="F291" i="107" a="1"/>
  <c r="F291" i="107" s="1"/>
  <c r="E291" i="107"/>
  <c r="F286" i="107" a="1"/>
  <c r="F286" i="107" s="1"/>
  <c r="E295" i="107"/>
  <c r="F294" i="107" a="1"/>
  <c r="F294" i="107" s="1"/>
  <c r="F293" i="107" a="1"/>
  <c r="F293" i="107" s="1"/>
  <c r="F292" i="107" a="1"/>
  <c r="F292" i="107" s="1"/>
  <c r="E288" i="107"/>
  <c r="F287" i="107" a="1"/>
  <c r="F287" i="107" s="1"/>
  <c r="I26" i="94"/>
  <c r="G26" i="94"/>
  <c r="H26" i="94"/>
  <c r="K26" i="94"/>
  <c r="J26" i="94"/>
  <c r="M32" i="94" a="1"/>
  <c r="M32" i="94" s="1"/>
  <c r="L32" i="94" a="1"/>
  <c r="L32" i="94" s="1"/>
  <c r="M28" i="94" a="1"/>
  <c r="M28" i="94" s="1"/>
  <c r="G176" i="108"/>
  <c r="G175" i="108"/>
  <c r="G174" i="108"/>
  <c r="G177" i="108"/>
  <c r="H196" i="108"/>
  <c r="I176" i="108"/>
  <c r="I35" i="102" a="1"/>
  <c r="I35" i="102" s="1"/>
  <c r="I58" i="102" a="1"/>
  <c r="I58" i="102" s="1"/>
  <c r="L11" i="105"/>
  <c r="E293" i="107" s="1"/>
  <c r="L242" i="108"/>
  <c r="N241" i="108" s="1"/>
  <c r="F153" i="107" a="1"/>
  <c r="F153" i="107" s="1"/>
  <c r="F152" i="107" a="1"/>
  <c r="F152" i="107" s="1"/>
  <c r="F151" i="107" a="1"/>
  <c r="F151" i="107" s="1"/>
  <c r="D25" i="99"/>
  <c r="Z12" i="81"/>
  <c r="L14" i="81" a="1"/>
  <c r="L14" i="81" s="1"/>
  <c r="N15" i="81" a="1"/>
  <c r="N15" i="81" s="1"/>
  <c r="U16" i="81" a="1"/>
  <c r="U16" i="81" s="1"/>
  <c r="J18" i="81" a="1"/>
  <c r="J18" i="81" s="1"/>
  <c r="Q19" i="81" a="1"/>
  <c r="Q19" i="81" s="1"/>
  <c r="U20" i="81" a="1"/>
  <c r="U20" i="81" s="1"/>
  <c r="P28" i="81"/>
  <c r="D58" i="83" a="1"/>
  <c r="D58" i="83" s="1"/>
  <c r="E70" i="87"/>
  <c r="M26" i="93" a="1"/>
  <c r="M26" i="93" s="1"/>
  <c r="E33" i="93"/>
  <c r="M35" i="93" a="1"/>
  <c r="M35" i="93" s="1"/>
  <c r="L38" i="93" a="1"/>
  <c r="L38" i="93" s="1"/>
  <c r="I32" i="94"/>
  <c r="E59" i="97" a="1"/>
  <c r="T120" i="107" a="1"/>
  <c r="T120" i="107" s="1"/>
  <c r="F138" i="107" a="1"/>
  <c r="F138" i="107" s="1"/>
  <c r="G138" i="107" s="1"/>
  <c r="E445" i="107"/>
  <c r="G445" i="107" s="1" a="1"/>
  <c r="G445" i="107" s="1"/>
  <c r="H445" i="107" s="1"/>
  <c r="G453" i="107" a="1"/>
  <c r="G453" i="107" s="1"/>
  <c r="G452" i="107" a="1"/>
  <c r="G452" i="107" s="1"/>
  <c r="G451" i="107" a="1"/>
  <c r="G451" i="107" s="1"/>
  <c r="G450" i="107" a="1"/>
  <c r="G450" i="107" s="1"/>
  <c r="H450" i="107" s="1"/>
  <c r="G449" i="107" a="1"/>
  <c r="G449" i="107" s="1"/>
  <c r="H449" i="107" s="1"/>
  <c r="G446" i="107" a="1"/>
  <c r="G446" i="107" s="1"/>
  <c r="H446" i="107" s="1"/>
  <c r="G454" i="107" a="1"/>
  <c r="G454" i="107" s="1"/>
  <c r="E75" i="87"/>
  <c r="E112" i="86"/>
  <c r="G38" i="94"/>
  <c r="J38" i="94"/>
  <c r="I38" i="94"/>
  <c r="I16" i="102" a="1"/>
  <c r="I16" i="102" s="1"/>
  <c r="I17" i="102" a="1"/>
  <c r="I17" i="102" s="1"/>
  <c r="O11" i="105"/>
  <c r="F13" i="81"/>
  <c r="N14" i="81" a="1"/>
  <c r="N14" i="81" s="1"/>
  <c r="R15" i="81" a="1"/>
  <c r="R15" i="81" s="1"/>
  <c r="L18" i="81" a="1"/>
  <c r="L18" i="81" s="1"/>
  <c r="S19" i="81" a="1"/>
  <c r="S19" i="81" s="1"/>
  <c r="I27" i="93" a="1"/>
  <c r="I27" i="93" s="1"/>
  <c r="J30" i="93" a="1"/>
  <c r="J30" i="93" s="1"/>
  <c r="J33" i="93" a="1"/>
  <c r="J33" i="93" s="1"/>
  <c r="X120" i="107" a="1"/>
  <c r="X120" i="107" s="1"/>
  <c r="H197" i="108"/>
  <c r="I177" i="108"/>
  <c r="D60" i="82" a="1"/>
  <c r="D60" i="82" s="1"/>
  <c r="P34" i="81"/>
  <c r="P33" i="81"/>
  <c r="P32" i="81"/>
  <c r="P26" i="81"/>
  <c r="D19" i="83" a="1"/>
  <c r="F178" i="107" a="1"/>
  <c r="F178" i="107" s="1"/>
  <c r="G178" i="107" s="1"/>
  <c r="F177" i="107" a="1"/>
  <c r="F177" i="107" s="1"/>
  <c r="G177" i="107" s="1"/>
  <c r="F179" i="107" a="1"/>
  <c r="F179" i="107" s="1"/>
  <c r="G179" i="107" s="1"/>
  <c r="F12" i="81"/>
  <c r="L13" i="81" a="1"/>
  <c r="L13" i="81" s="1"/>
  <c r="O14" i="81" a="1"/>
  <c r="O14" i="81" s="1"/>
  <c r="S15" i="81" a="1"/>
  <c r="S15" i="81" s="1"/>
  <c r="W16" i="81" a="1"/>
  <c r="W16" i="81" s="1"/>
  <c r="M18" i="81" a="1"/>
  <c r="M18" i="81" s="1"/>
  <c r="T19" i="81" a="1"/>
  <c r="T19" i="81" s="1"/>
  <c r="H21" i="81"/>
  <c r="P30" i="81"/>
  <c r="D19" i="82" a="1"/>
  <c r="D59" i="86" a="1"/>
  <c r="D59" i="86" s="1"/>
  <c r="J36" i="93" a="1"/>
  <c r="J36" i="93" s="1"/>
  <c r="AB120" i="107" a="1"/>
  <c r="AB120" i="107" s="1"/>
  <c r="F148" i="107" a="1"/>
  <c r="F148" i="107" s="1"/>
  <c r="G148" i="107" s="1"/>
  <c r="J32" i="94"/>
  <c r="H32" i="94"/>
  <c r="G32" i="94"/>
  <c r="F482" i="107" a="1"/>
  <c r="F482" i="107" s="1"/>
  <c r="H12" i="81"/>
  <c r="M13" i="81" a="1"/>
  <c r="M13" i="81" s="1"/>
  <c r="P14" i="81" a="1"/>
  <c r="P14" i="81" s="1"/>
  <c r="U15" i="81" a="1"/>
  <c r="U15" i="81" s="1"/>
  <c r="Y16" i="81"/>
  <c r="N18" i="81" a="1"/>
  <c r="N18" i="81" s="1"/>
  <c r="K21" i="81" a="1"/>
  <c r="K21" i="81" s="1"/>
  <c r="P31" i="81"/>
  <c r="E30" i="94"/>
  <c r="E36" i="94"/>
  <c r="D157" i="97" a="1"/>
  <c r="D157" i="97" s="1"/>
  <c r="J157" i="97" s="1" a="1"/>
  <c r="J157" i="97" s="1"/>
  <c r="P121" i="107" a="1"/>
  <c r="P121" i="107" s="1"/>
  <c r="F149" i="107" a="1"/>
  <c r="F149" i="107" s="1"/>
  <c r="L39" i="93" a="1"/>
  <c r="L39" i="93" s="1"/>
  <c r="L33" i="93" a="1"/>
  <c r="L33" i="93" s="1"/>
  <c r="J12" i="81" a="1"/>
  <c r="J12" i="81" s="1"/>
  <c r="O13" i="81" a="1"/>
  <c r="O13" i="81" s="1"/>
  <c r="Q14" i="81" a="1"/>
  <c r="Q14" i="81" s="1"/>
  <c r="K17" i="81" a="1"/>
  <c r="K17" i="81" s="1"/>
  <c r="O18" i="81" a="1"/>
  <c r="O18" i="81" s="1"/>
  <c r="W19" i="81" a="1"/>
  <c r="W19" i="81" s="1"/>
  <c r="E73" i="87"/>
  <c r="E25" i="93"/>
  <c r="K25" i="93" s="1" a="1"/>
  <c r="K25" i="93" s="1"/>
  <c r="G31" i="93" a="1"/>
  <c r="G31" i="93" s="1"/>
  <c r="J39" i="93" a="1"/>
  <c r="J39" i="93" s="1"/>
  <c r="E27" i="94"/>
  <c r="E33" i="94"/>
  <c r="T123" i="107" a="1"/>
  <c r="T123" i="107" s="1"/>
  <c r="F150" i="107" a="1"/>
  <c r="F150" i="107" s="1"/>
  <c r="F21" i="81"/>
  <c r="L20" i="81" a="1"/>
  <c r="L20" i="81" s="1"/>
  <c r="P19" i="81" a="1"/>
  <c r="P19" i="81" s="1"/>
  <c r="T18" i="81" a="1"/>
  <c r="T18" i="81" s="1"/>
  <c r="Y17" i="81"/>
  <c r="J17" i="81" a="1"/>
  <c r="J17" i="81" s="1"/>
  <c r="N16" i="81" a="1"/>
  <c r="N16" i="81" s="1"/>
  <c r="U21" i="81" a="1"/>
  <c r="U21" i="81" s="1"/>
  <c r="Z20" i="81"/>
  <c r="K20" i="81" a="1"/>
  <c r="K20" i="81" s="1"/>
  <c r="O19" i="81" a="1"/>
  <c r="O19" i="81" s="1"/>
  <c r="S18" i="81" a="1"/>
  <c r="S18" i="81" s="1"/>
  <c r="W17" i="81" a="1"/>
  <c r="W17" i="81" s="1"/>
  <c r="H17" i="81"/>
  <c r="M16" i="81" a="1"/>
  <c r="M16" i="81" s="1"/>
  <c r="Q15" i="81" a="1"/>
  <c r="Q15" i="81" s="1"/>
  <c r="U14" i="81" a="1"/>
  <c r="U14" i="81" s="1"/>
  <c r="Z13" i="81"/>
  <c r="K13" i="81" a="1"/>
  <c r="K13" i="81" s="1"/>
  <c r="O12" i="81" a="1"/>
  <c r="O12" i="81" s="1"/>
  <c r="T21" i="81" a="1"/>
  <c r="T21" i="81" s="1"/>
  <c r="Y20" i="81"/>
  <c r="J20" i="81" a="1"/>
  <c r="J20" i="81" s="1"/>
  <c r="N19" i="81" a="1"/>
  <c r="N19" i="81" s="1"/>
  <c r="R18" i="81" a="1"/>
  <c r="R18" i="81" s="1"/>
  <c r="F17" i="81"/>
  <c r="L16" i="81" a="1"/>
  <c r="L16" i="81" s="1"/>
  <c r="P15" i="81" a="1"/>
  <c r="P15" i="81" s="1"/>
  <c r="T14" i="81" a="1"/>
  <c r="T14" i="81" s="1"/>
  <c r="Y13" i="81"/>
  <c r="J13" i="81" a="1"/>
  <c r="J13" i="81" s="1"/>
  <c r="N12" i="81" a="1"/>
  <c r="N12" i="81" s="1"/>
  <c r="S21" i="81" a="1"/>
  <c r="S21" i="81" s="1"/>
  <c r="W20" i="81" a="1"/>
  <c r="W20" i="81" s="1"/>
  <c r="H20" i="81"/>
  <c r="M19" i="81" a="1"/>
  <c r="M19" i="81" s="1"/>
  <c r="Q18" i="81" a="1"/>
  <c r="Q18" i="81" s="1"/>
  <c r="U17" i="81" a="1"/>
  <c r="U17" i="81" s="1"/>
  <c r="Z16" i="81"/>
  <c r="K16" i="81" a="1"/>
  <c r="K16" i="81" s="1"/>
  <c r="O15" i="81" a="1"/>
  <c r="O15" i="81" s="1"/>
  <c r="S14" i="81" a="1"/>
  <c r="S14" i="81" s="1"/>
  <c r="W13" i="81" a="1"/>
  <c r="W13" i="81" s="1"/>
  <c r="H13" i="81"/>
  <c r="M12" i="81" a="1"/>
  <c r="M12" i="81" s="1"/>
  <c r="M21" i="81" a="1"/>
  <c r="M21" i="81" s="1"/>
  <c r="Q20" i="81" a="1"/>
  <c r="Q20" i="81" s="1"/>
  <c r="U19" i="81" a="1"/>
  <c r="U19" i="81" s="1"/>
  <c r="Z18" i="81"/>
  <c r="K18" i="81" a="1"/>
  <c r="K18" i="81" s="1"/>
  <c r="O17" i="81" a="1"/>
  <c r="O17" i="81" s="1"/>
  <c r="S16" i="81" a="1"/>
  <c r="S16" i="81" s="1"/>
  <c r="W15" i="81" a="1"/>
  <c r="W15" i="81" s="1"/>
  <c r="H15" i="81"/>
  <c r="M14" i="81" a="1"/>
  <c r="M14" i="81" s="1"/>
  <c r="Q13" i="81" a="1"/>
  <c r="Q13" i="81" s="1"/>
  <c r="U12" i="81" a="1"/>
  <c r="U12" i="81" s="1"/>
  <c r="Y21" i="81"/>
  <c r="J21" i="81" a="1"/>
  <c r="J21" i="81" s="1"/>
  <c r="N20" i="81" a="1"/>
  <c r="N20" i="81" s="1"/>
  <c r="R19" i="81" a="1"/>
  <c r="R19" i="81" s="1"/>
  <c r="F18" i="81"/>
  <c r="L17" i="81" a="1"/>
  <c r="L17" i="81" s="1"/>
  <c r="P16" i="81" a="1"/>
  <c r="P16" i="81" s="1"/>
  <c r="T15" i="81" a="1"/>
  <c r="T15" i="81" s="1"/>
  <c r="Y14" i="81"/>
  <c r="J14" i="81" a="1"/>
  <c r="J14" i="81" s="1"/>
  <c r="N13" i="81" a="1"/>
  <c r="N13" i="81" s="1"/>
  <c r="R12" i="81" a="1"/>
  <c r="R12" i="81" s="1"/>
  <c r="J29" i="94"/>
  <c r="H29" i="94"/>
  <c r="G29" i="94"/>
  <c r="I57" i="102" a="1"/>
  <c r="I57" i="102" s="1"/>
  <c r="K12" i="81" a="1"/>
  <c r="K12" i="81" s="1"/>
  <c r="P13" i="81" a="1"/>
  <c r="P13" i="81" s="1"/>
  <c r="R14" i="81" a="1"/>
  <c r="R14" i="81" s="1"/>
  <c r="Y15" i="81"/>
  <c r="M17" i="81" a="1"/>
  <c r="M17" i="81" s="1"/>
  <c r="P18" i="81" a="1"/>
  <c r="P18" i="81" s="1"/>
  <c r="Y19" i="81"/>
  <c r="N21" i="81" a="1"/>
  <c r="N21" i="81" s="1"/>
  <c r="E108" i="86"/>
  <c r="E140" i="86" s="1"/>
  <c r="G28" i="93" a="1"/>
  <c r="G28" i="93" s="1"/>
  <c r="H31" i="93" a="1"/>
  <c r="H31" i="93" s="1"/>
  <c r="E37" i="93"/>
  <c r="K37" i="93" s="1" a="1"/>
  <c r="K37" i="93" s="1"/>
  <c r="AB123" i="107" a="1"/>
  <c r="AB123" i="107" s="1"/>
  <c r="O252" i="107"/>
  <c r="S252" i="107" s="1" a="1"/>
  <c r="S252" i="107" s="1"/>
  <c r="I15" i="90" a="1"/>
  <c r="I15" i="90" s="1"/>
  <c r="E18" i="90" s="1"/>
  <c r="D116" i="97" a="1"/>
  <c r="D116" i="97" s="1"/>
  <c r="D59" i="97" a="1"/>
  <c r="G472" i="107" a="1"/>
  <c r="G472" i="107" s="1"/>
  <c r="G471" i="107" a="1"/>
  <c r="G471" i="107" s="1"/>
  <c r="G470" i="107" a="1"/>
  <c r="G470" i="107" s="1"/>
  <c r="G467" i="107" a="1"/>
  <c r="G467" i="107" s="1"/>
  <c r="H467" i="107" s="1"/>
  <c r="G465" i="107" a="1"/>
  <c r="G465" i="107" s="1"/>
  <c r="H465" i="107" s="1"/>
  <c r="G463" i="107" a="1"/>
  <c r="G463" i="107" s="1"/>
  <c r="H463" i="107" s="1"/>
  <c r="F139" i="107" a="1"/>
  <c r="F139" i="107" s="1"/>
  <c r="F137" i="107" a="1"/>
  <c r="F137" i="107" s="1"/>
  <c r="G137" i="107" s="1"/>
  <c r="L12" i="81" a="1"/>
  <c r="L12" i="81" s="1"/>
  <c r="R13" i="81" a="1"/>
  <c r="R13" i="81" s="1"/>
  <c r="Z15" i="81"/>
  <c r="N17" i="81" a="1"/>
  <c r="N17" i="81" s="1"/>
  <c r="U18" i="81" a="1"/>
  <c r="U18" i="81" s="1"/>
  <c r="Z19" i="81"/>
  <c r="O21" i="81" a="1"/>
  <c r="O21" i="81" s="1"/>
  <c r="E111" i="86"/>
  <c r="E143" i="86" s="1"/>
  <c r="G25" i="93" a="1"/>
  <c r="G25" i="93" s="1"/>
  <c r="H28" i="93" a="1"/>
  <c r="H28" i="93" s="1"/>
  <c r="I31" i="93" a="1"/>
  <c r="I31" i="93" s="1"/>
  <c r="M27" i="94" a="1"/>
  <c r="M27" i="94" s="1"/>
  <c r="E31" i="94"/>
  <c r="G464" i="107" a="1"/>
  <c r="G464" i="107" s="1"/>
  <c r="H464" i="107" s="1"/>
  <c r="I39" i="93" a="1"/>
  <c r="I39" i="93" s="1"/>
  <c r="I36" i="93" a="1"/>
  <c r="I36" i="93" s="1"/>
  <c r="I33" i="93" a="1"/>
  <c r="I33" i="93" s="1"/>
  <c r="I30" i="93" a="1"/>
  <c r="I30" i="93" s="1"/>
  <c r="H27" i="93" a="1"/>
  <c r="H27" i="93" s="1"/>
  <c r="H39" i="93" a="1"/>
  <c r="H39" i="93" s="1"/>
  <c r="H36" i="93" a="1"/>
  <c r="H36" i="93" s="1"/>
  <c r="H33" i="93" a="1"/>
  <c r="H33" i="93" s="1"/>
  <c r="H30" i="93" a="1"/>
  <c r="H30" i="93" s="1"/>
  <c r="G27" i="93" a="1"/>
  <c r="G27" i="93" s="1"/>
  <c r="G39" i="93" a="1"/>
  <c r="G39" i="93" s="1"/>
  <c r="G36" i="93" a="1"/>
  <c r="G36" i="93" s="1"/>
  <c r="K34" i="93" a="1"/>
  <c r="K34" i="93" s="1"/>
  <c r="Q34" i="93" s="1"/>
  <c r="G33" i="93" a="1"/>
  <c r="G33" i="93" s="1"/>
  <c r="G30" i="93" a="1"/>
  <c r="G30" i="93" s="1"/>
  <c r="K28" i="93" a="1"/>
  <c r="K28" i="93" s="1"/>
  <c r="J37" i="93" a="1"/>
  <c r="J37" i="93" s="1"/>
  <c r="J34" i="93" a="1"/>
  <c r="J34" i="93" s="1"/>
  <c r="P34" i="93" s="1"/>
  <c r="K31" i="93" a="1"/>
  <c r="K31" i="93" s="1"/>
  <c r="J28" i="93" a="1"/>
  <c r="J28" i="93" s="1"/>
  <c r="I25" i="93" a="1"/>
  <c r="I25" i="93" s="1"/>
  <c r="I35" i="93" a="1"/>
  <c r="I35" i="93" s="1"/>
  <c r="J32" i="93" a="1"/>
  <c r="J32" i="93" s="1"/>
  <c r="I29" i="93" a="1"/>
  <c r="I29" i="93" s="1"/>
  <c r="H26" i="93" a="1"/>
  <c r="H26" i="93" s="1"/>
  <c r="G35" i="93" a="1"/>
  <c r="G35" i="93" s="1"/>
  <c r="H32" i="93" a="1"/>
  <c r="H32" i="93" s="1"/>
  <c r="G29" i="93" a="1"/>
  <c r="G29" i="93" s="1"/>
  <c r="K27" i="93" a="1"/>
  <c r="K27" i="93" s="1"/>
  <c r="K39" i="93" a="1"/>
  <c r="K39" i="93" s="1"/>
  <c r="K36" i="93" a="1"/>
  <c r="K36" i="93" s="1"/>
  <c r="K33" i="93" a="1"/>
  <c r="K33" i="93" s="1"/>
  <c r="G32" i="93" a="1"/>
  <c r="G32" i="93" s="1"/>
  <c r="K30" i="93" a="1"/>
  <c r="K30" i="93" s="1"/>
  <c r="J27" i="93" a="1"/>
  <c r="J27" i="93" s="1"/>
  <c r="I17" i="98"/>
  <c r="E116" i="97" a="1"/>
  <c r="E116" i="97" s="1"/>
  <c r="O90" i="108"/>
  <c r="Q89" i="108" s="1"/>
  <c r="T129" i="107" a="1"/>
  <c r="T129" i="107" s="1"/>
  <c r="AB125" i="107" a="1"/>
  <c r="AB125" i="107" s="1"/>
  <c r="T122" i="107" a="1"/>
  <c r="T122" i="107" s="1"/>
  <c r="P129" i="107" a="1"/>
  <c r="P129" i="107" s="1"/>
  <c r="X125" i="107" a="1"/>
  <c r="X125" i="107" s="1"/>
  <c r="P122" i="107" a="1"/>
  <c r="P122" i="107" s="1"/>
  <c r="AB128" i="107" a="1"/>
  <c r="AB128" i="107" s="1"/>
  <c r="T125" i="107" a="1"/>
  <c r="T125" i="107" s="1"/>
  <c r="AB121" i="107" a="1"/>
  <c r="AB121" i="107" s="1"/>
  <c r="X128" i="107" a="1"/>
  <c r="X128" i="107" s="1"/>
  <c r="P125" i="107" a="1"/>
  <c r="P125" i="107" s="1"/>
  <c r="X121" i="107" a="1"/>
  <c r="X121" i="107" s="1"/>
  <c r="T128" i="107" a="1"/>
  <c r="T128" i="107" s="1"/>
  <c r="AB124" i="107" a="1"/>
  <c r="AB124" i="107" s="1"/>
  <c r="T121" i="107" a="1"/>
  <c r="T121" i="107" s="1"/>
  <c r="P127" i="107" a="1"/>
  <c r="P127" i="107" s="1"/>
  <c r="X123" i="107" a="1"/>
  <c r="X123" i="107" s="1"/>
  <c r="P120" i="107" a="1"/>
  <c r="P120" i="107" s="1"/>
  <c r="X126" i="107" a="1"/>
  <c r="X126" i="107" s="1"/>
  <c r="P123" i="107" a="1"/>
  <c r="P123" i="107" s="1"/>
  <c r="AB129" i="107" a="1"/>
  <c r="AB129" i="107" s="1"/>
  <c r="T126" i="107" a="1"/>
  <c r="T126" i="107" s="1"/>
  <c r="AB122" i="107" a="1"/>
  <c r="AB122" i="107" s="1"/>
  <c r="X129" i="107" a="1"/>
  <c r="X129" i="107" s="1"/>
  <c r="P126" i="107" a="1"/>
  <c r="P126" i="107" s="1"/>
  <c r="X122" i="107" a="1"/>
  <c r="X122" i="107" s="1"/>
  <c r="P12" i="81" a="1"/>
  <c r="P12" i="81" s="1"/>
  <c r="S13" i="81" a="1"/>
  <c r="S13" i="81" s="1"/>
  <c r="W14" i="81" a="1"/>
  <c r="W14" i="81" s="1"/>
  <c r="F16" i="81"/>
  <c r="P17" i="81" a="1"/>
  <c r="P17" i="81" s="1"/>
  <c r="W18" i="81" a="1"/>
  <c r="W18" i="81" s="1"/>
  <c r="F20" i="81"/>
  <c r="P21" i="81" a="1"/>
  <c r="P21" i="81" s="1"/>
  <c r="I28" i="93" a="1"/>
  <c r="I28" i="93" s="1"/>
  <c r="J31" i="93" a="1"/>
  <c r="J31" i="93" s="1"/>
  <c r="H34" i="93" a="1"/>
  <c r="H34" i="93" s="1"/>
  <c r="N34" i="93" s="1"/>
  <c r="G37" i="93" a="1"/>
  <c r="G37" i="93" s="1"/>
  <c r="E25" i="94"/>
  <c r="T124" i="107" a="1"/>
  <c r="T124" i="107" s="1"/>
  <c r="G466" i="107" a="1"/>
  <c r="G466" i="107" s="1"/>
  <c r="H466" i="107" s="1"/>
  <c r="L15" i="105"/>
  <c r="E316" i="107" a="1"/>
  <c r="E316" i="107" s="1"/>
  <c r="E315" i="107" a="1"/>
  <c r="E315" i="107" s="1"/>
  <c r="E317" i="107" a="1"/>
  <c r="E317" i="107" s="1"/>
  <c r="Q12" i="81" a="1"/>
  <c r="Q12" i="81" s="1"/>
  <c r="T13" i="81" a="1"/>
  <c r="T13" i="81" s="1"/>
  <c r="Z14" i="81"/>
  <c r="H16" i="81"/>
  <c r="Q17" i="81" a="1"/>
  <c r="Q17" i="81" s="1"/>
  <c r="Y18" i="81"/>
  <c r="M20" i="81" a="1"/>
  <c r="M20" i="81" s="1"/>
  <c r="Q21" i="81" a="1"/>
  <c r="Q21" i="81" s="1"/>
  <c r="I19" i="92"/>
  <c r="I34" i="93" a="1"/>
  <c r="I34" i="93" s="1"/>
  <c r="O34" i="93" s="1"/>
  <c r="H37" i="93" a="1"/>
  <c r="H37" i="93" s="1"/>
  <c r="H37" i="94"/>
  <c r="X124" i="107" a="1"/>
  <c r="X124" i="107" s="1"/>
  <c r="G468" i="107" a="1"/>
  <c r="G468" i="107" s="1"/>
  <c r="H468" i="107" s="1"/>
  <c r="I34" i="102" a="1"/>
  <c r="I34" i="102" s="1"/>
  <c r="F17" i="99"/>
  <c r="D17" i="99"/>
  <c r="D30" i="99"/>
  <c r="D24" i="99"/>
  <c r="O15" i="105"/>
  <c r="I545" i="107" a="1"/>
  <c r="I545" i="107" s="1"/>
  <c r="E548" i="107" s="1"/>
  <c r="S12" i="81" a="1"/>
  <c r="S12" i="81" s="1"/>
  <c r="U13" i="81" a="1"/>
  <c r="U13" i="81" s="1"/>
  <c r="F15" i="81"/>
  <c r="J16" i="81" a="1"/>
  <c r="J16" i="81" s="1"/>
  <c r="R17" i="81" a="1"/>
  <c r="R17" i="81" s="1"/>
  <c r="F19" i="81"/>
  <c r="O20" i="81" a="1"/>
  <c r="O20" i="81" s="1"/>
  <c r="R21" i="81" a="1"/>
  <c r="R21" i="81" s="1"/>
  <c r="G26" i="93" a="1"/>
  <c r="G26" i="93" s="1"/>
  <c r="H29" i="93" a="1"/>
  <c r="H29" i="93" s="1"/>
  <c r="I32" i="93" a="1"/>
  <c r="I32" i="93" s="1"/>
  <c r="I37" i="93" a="1"/>
  <c r="I37" i="93" s="1"/>
  <c r="I37" i="94"/>
  <c r="L40" i="94" a="1"/>
  <c r="L40" i="94" s="1"/>
  <c r="I23" i="107" a="1"/>
  <c r="I23" i="107" s="1"/>
  <c r="J23" i="107" s="1"/>
  <c r="AB126" i="107" a="1"/>
  <c r="AB126" i="107" s="1"/>
  <c r="G469" i="107" a="1"/>
  <c r="G469" i="107" s="1"/>
  <c r="M31" i="94" a="1"/>
  <c r="M31" i="94" s="1"/>
  <c r="T12" i="81" a="1"/>
  <c r="T12" i="81" s="1"/>
  <c r="J15" i="81" a="1"/>
  <c r="J15" i="81" s="1"/>
  <c r="O16" i="81" a="1"/>
  <c r="O16" i="81" s="1"/>
  <c r="S17" i="81" a="1"/>
  <c r="S17" i="81" s="1"/>
  <c r="H19" i="81"/>
  <c r="P20" i="81" a="1"/>
  <c r="P20" i="81" s="1"/>
  <c r="W21" i="81" a="1"/>
  <c r="W21" i="81" s="1"/>
  <c r="D19" i="86" a="1"/>
  <c r="D23" i="87" a="1"/>
  <c r="D23" i="87" s="1"/>
  <c r="I26" i="93" a="1"/>
  <c r="I26" i="93" s="1"/>
  <c r="J29" i="93" a="1"/>
  <c r="J29" i="93" s="1"/>
  <c r="K32" i="93" a="1"/>
  <c r="K32" i="93" s="1"/>
  <c r="H35" i="93" a="1"/>
  <c r="H35" i="93" s="1"/>
  <c r="E38" i="93"/>
  <c r="I38" i="93" s="1" a="1"/>
  <c r="I38" i="93" s="1"/>
  <c r="J37" i="94"/>
  <c r="T127" i="107" a="1"/>
  <c r="T127" i="107" s="1"/>
  <c r="G183" i="108"/>
  <c r="W254" i="107" s="1" a="1"/>
  <c r="W254" i="107" s="1"/>
  <c r="E69" i="87"/>
  <c r="E106" i="86"/>
  <c r="E138" i="86" s="1"/>
  <c r="G197" i="108"/>
  <c r="G196" i="108"/>
  <c r="G194" i="108"/>
  <c r="E35" i="94"/>
  <c r="E28" i="94"/>
  <c r="I31" i="107" a="1"/>
  <c r="I31" i="107" s="1"/>
  <c r="I30" i="107" a="1"/>
  <c r="I30" i="107" s="1"/>
  <c r="I29" i="107" a="1"/>
  <c r="I29" i="107" s="1"/>
  <c r="I28" i="107" a="1"/>
  <c r="I28" i="107" s="1"/>
  <c r="I27" i="107" a="1"/>
  <c r="I27" i="107" s="1"/>
  <c r="E58" i="107" a="1"/>
  <c r="E58" i="107" s="1"/>
  <c r="E39" i="107" a="1"/>
  <c r="E39" i="107" s="1"/>
  <c r="I32" i="107" a="1"/>
  <c r="I32" i="107" s="1"/>
  <c r="F484" i="107" a="1"/>
  <c r="F484" i="107" s="1"/>
  <c r="G389" i="107" a="1"/>
  <c r="G389" i="107" s="1"/>
  <c r="G388" i="107" a="1"/>
  <c r="G388" i="107" s="1"/>
  <c r="G387" i="107" a="1"/>
  <c r="G387" i="107" s="1"/>
  <c r="G386" i="107" a="1"/>
  <c r="G386" i="107" s="1"/>
  <c r="G385" i="107" a="1"/>
  <c r="G385" i="107" s="1"/>
  <c r="G382" i="107" a="1"/>
  <c r="G382" i="107" s="1"/>
  <c r="H382" i="107" s="1"/>
  <c r="G391" i="107" a="1"/>
  <c r="G391" i="107" s="1"/>
  <c r="G390" i="107" a="1"/>
  <c r="G390" i="107" s="1"/>
  <c r="F14" i="81"/>
  <c r="K15" i="81" a="1"/>
  <c r="K15" i="81" s="1"/>
  <c r="Q16" i="81" a="1"/>
  <c r="Q16" i="81" s="1"/>
  <c r="T17" i="81" a="1"/>
  <c r="T17" i="81" s="1"/>
  <c r="J19" i="81" a="1"/>
  <c r="J19" i="81" s="1"/>
  <c r="R20" i="81" a="1"/>
  <c r="R20" i="81" s="1"/>
  <c r="Z21" i="81"/>
  <c r="J26" i="93" a="1"/>
  <c r="J26" i="93" s="1"/>
  <c r="K29" i="93" a="1"/>
  <c r="K29" i="93" s="1"/>
  <c r="J35" i="93" a="1"/>
  <c r="J35" i="93" s="1"/>
  <c r="D21" i="97" a="1"/>
  <c r="I25" i="107" a="1"/>
  <c r="I25" i="107" s="1"/>
  <c r="X127" i="107" a="1"/>
  <c r="X127" i="107" s="1"/>
  <c r="G383" i="107" a="1"/>
  <c r="G383" i="107" s="1"/>
  <c r="M34" i="94" a="1"/>
  <c r="M34" i="94" s="1"/>
  <c r="L34" i="94" a="1"/>
  <c r="L34" i="94" s="1"/>
  <c r="F496" i="107" a="1"/>
  <c r="F496" i="107" s="1"/>
  <c r="G496" i="107" s="1"/>
  <c r="F495" i="107" a="1"/>
  <c r="F495" i="107" s="1"/>
  <c r="W12" i="81" a="1"/>
  <c r="W12" i="81" s="1"/>
  <c r="H14" i="81"/>
  <c r="L15" i="81" a="1"/>
  <c r="L15" i="81" s="1"/>
  <c r="R16" i="81" a="1"/>
  <c r="R16" i="81" s="1"/>
  <c r="Z17" i="81"/>
  <c r="K19" i="81" a="1"/>
  <c r="K19" i="81" s="1"/>
  <c r="S20" i="81" a="1"/>
  <c r="S20" i="81" s="1"/>
  <c r="P25" i="81"/>
  <c r="I21" i="92"/>
  <c r="K26" i="93" a="1"/>
  <c r="K26" i="93" s="1"/>
  <c r="L29" i="93" a="1"/>
  <c r="L29" i="93" s="1"/>
  <c r="K35" i="93" a="1"/>
  <c r="K35" i="93" s="1"/>
  <c r="J38" i="93" a="1"/>
  <c r="J38" i="93" s="1"/>
  <c r="E21" i="97" a="1"/>
  <c r="I26" i="107" a="1"/>
  <c r="I26" i="107" s="1"/>
  <c r="AB127" i="107" a="1"/>
  <c r="AB127" i="107" s="1"/>
  <c r="G384" i="107" a="1"/>
  <c r="G384" i="107" s="1"/>
  <c r="F494" i="107" a="1"/>
  <c r="F494" i="107" s="1"/>
  <c r="G494" i="107" s="1"/>
  <c r="G195" i="108"/>
  <c r="E105" i="86"/>
  <c r="E137" i="86" s="1"/>
  <c r="E68" i="87"/>
  <c r="E72" i="87"/>
  <c r="E109" i="86"/>
  <c r="E141" i="86" s="1"/>
  <c r="I174" i="108"/>
  <c r="H194" i="108"/>
  <c r="G37" i="94"/>
  <c r="F22" i="99"/>
  <c r="Y12" i="81"/>
  <c r="K14" i="81" a="1"/>
  <c r="K14" i="81" s="1"/>
  <c r="M15" i="81" a="1"/>
  <c r="M15" i="81" s="1"/>
  <c r="T16" i="81" a="1"/>
  <c r="T16" i="81" s="1"/>
  <c r="H18" i="81"/>
  <c r="L19" i="81" a="1"/>
  <c r="L19" i="81" s="1"/>
  <c r="T20" i="81" a="1"/>
  <c r="T20" i="81" s="1"/>
  <c r="P27" i="81"/>
  <c r="K38" i="93" a="1"/>
  <c r="K38" i="93" s="1"/>
  <c r="I29" i="94"/>
  <c r="H38" i="94"/>
  <c r="E76" i="107" a="1"/>
  <c r="E76" i="107" s="1"/>
  <c r="P128" i="107" a="1"/>
  <c r="P128" i="107" s="1"/>
  <c r="H195" i="108"/>
  <c r="S254" i="107" a="1"/>
  <c r="S254" i="107" s="1"/>
  <c r="I17" i="92"/>
  <c r="K39" i="94" a="1"/>
  <c r="K39" i="94" s="1"/>
  <c r="K40" i="94" a="1"/>
  <c r="K40" i="94" s="1"/>
  <c r="I15" i="102" a="1"/>
  <c r="I15" i="102" s="1"/>
  <c r="I15" i="100" a="1"/>
  <c r="I15" i="100" s="1"/>
  <c r="I18" i="100" a="1"/>
  <c r="I18" i="100" s="1"/>
  <c r="I19" i="100" a="1"/>
  <c r="I19" i="100" s="1"/>
  <c r="F90" i="107"/>
  <c r="F35" i="107"/>
  <c r="F73" i="107"/>
  <c r="O590" i="107"/>
  <c r="E182" i="107"/>
  <c r="F499" i="107"/>
  <c r="F488" i="107"/>
  <c r="F332" i="107"/>
  <c r="F516" i="107"/>
  <c r="F498" i="107"/>
  <c r="F487" i="107"/>
  <c r="F475" i="107"/>
  <c r="F457" i="107"/>
  <c r="F426" i="107"/>
  <c r="F548" i="107"/>
  <c r="F474" i="107"/>
  <c r="F456" i="107"/>
  <c r="F425" i="107"/>
  <c r="F570" i="107"/>
  <c r="F298" i="107"/>
  <c r="F393" i="107"/>
  <c r="F264" i="107"/>
  <c r="F362" i="107"/>
  <c r="F517" i="107"/>
  <c r="F331" i="107"/>
  <c r="F299" i="107"/>
  <c r="F267" i="107"/>
  <c r="F266" i="107"/>
  <c r="F54" i="107"/>
  <c r="F91" i="107"/>
  <c r="F182" i="107"/>
  <c r="F657" i="107"/>
  <c r="F656" i="107"/>
  <c r="F654" i="107"/>
  <c r="F636" i="107"/>
  <c r="F653" i="107"/>
  <c r="F635" i="107"/>
  <c r="F156" i="107"/>
  <c r="F533" i="107"/>
  <c r="F93" i="107"/>
  <c r="F159" i="107"/>
  <c r="F94" i="107"/>
  <c r="F160" i="107"/>
  <c r="F263" i="107"/>
  <c r="F34" i="107"/>
  <c r="F72" i="107"/>
  <c r="F131" i="107"/>
  <c r="F394" i="107"/>
  <c r="K420" i="107"/>
  <c r="K414" i="107"/>
  <c r="K417" i="107"/>
  <c r="K423" i="107"/>
  <c r="K415" i="107"/>
  <c r="K421" i="107"/>
  <c r="K419" i="107"/>
  <c r="K418" i="107"/>
  <c r="F132" i="107"/>
  <c r="G315" i="107"/>
  <c r="F142" i="107"/>
  <c r="N588" i="107"/>
  <c r="F588" i="107"/>
  <c r="F363" i="107"/>
  <c r="F143" i="107"/>
  <c r="F181" i="107"/>
  <c r="L359" i="107"/>
  <c r="O14" i="105"/>
  <c r="L17" i="105"/>
  <c r="R14" i="105"/>
  <c r="O17" i="105"/>
  <c r="L18" i="105"/>
  <c r="O18" i="105"/>
  <c r="L13" i="105"/>
  <c r="O13" i="105"/>
  <c r="O16" i="105"/>
  <c r="L19" i="105"/>
  <c r="P48" i="101"/>
  <c r="F48" i="101"/>
  <c r="F42" i="100"/>
  <c r="O43" i="100"/>
  <c r="E30" i="99"/>
  <c r="E20" i="99"/>
  <c r="F192" i="97"/>
  <c r="F151" i="97"/>
  <c r="I20" i="92"/>
  <c r="F58" i="94"/>
  <c r="F49" i="94"/>
  <c r="F57" i="94"/>
  <c r="F46" i="94"/>
  <c r="F56" i="94"/>
  <c r="F45" i="94"/>
  <c r="F55" i="94"/>
  <c r="F44" i="94"/>
  <c r="F52" i="94"/>
  <c r="F43" i="94"/>
  <c r="F51" i="94"/>
  <c r="F50" i="94"/>
  <c r="D39" i="94"/>
  <c r="L39" i="94" s="1" a="1"/>
  <c r="L39" i="94" s="1"/>
  <c r="D42" i="94"/>
  <c r="D30" i="94"/>
  <c r="L30" i="94" s="1" a="1"/>
  <c r="L30" i="94" s="1"/>
  <c r="D37" i="94"/>
  <c r="L37" i="94" s="1" a="1"/>
  <c r="L37" i="94" s="1"/>
  <c r="D28" i="94"/>
  <c r="L28" i="94" s="1" a="1"/>
  <c r="L28" i="94" s="1"/>
  <c r="D35" i="94"/>
  <c r="L35" i="94" s="1" a="1"/>
  <c r="L35" i="94" s="1"/>
  <c r="D26" i="94"/>
  <c r="D33" i="94"/>
  <c r="L33" i="94" s="1" a="1"/>
  <c r="L33" i="94" s="1"/>
  <c r="D40" i="94"/>
  <c r="D31" i="94"/>
  <c r="L31" i="94" s="1" a="1"/>
  <c r="L31" i="94" s="1"/>
  <c r="D38" i="94"/>
  <c r="L38" i="94" s="1" a="1"/>
  <c r="L38" i="94" s="1"/>
  <c r="D48" i="94"/>
  <c r="D30" i="93"/>
  <c r="L30" i="93" s="1" a="1"/>
  <c r="L30" i="93" s="1"/>
  <c r="F43" i="93"/>
  <c r="F52" i="93"/>
  <c r="F62" i="93"/>
  <c r="F44" i="93"/>
  <c r="D54" i="93"/>
  <c r="F63" i="93"/>
  <c r="F45" i="93"/>
  <c r="F55" i="93"/>
  <c r="F64" i="93"/>
  <c r="F46" i="93"/>
  <c r="F56" i="93"/>
  <c r="F67" i="93"/>
  <c r="I18" i="92"/>
  <c r="D32" i="93"/>
  <c r="F57" i="93"/>
  <c r="D27" i="93"/>
  <c r="L27" i="93" s="1" a="1"/>
  <c r="L27" i="93" s="1"/>
  <c r="F49" i="93"/>
  <c r="F68" i="93"/>
  <c r="D36" i="93"/>
  <c r="L36" i="93" s="1" a="1"/>
  <c r="L36" i="93" s="1"/>
  <c r="F58" i="93"/>
  <c r="D31" i="93"/>
  <c r="L31" i="93" s="1" a="1"/>
  <c r="L31" i="93" s="1"/>
  <c r="F50" i="93"/>
  <c r="D60" i="93"/>
  <c r="F69" i="93"/>
  <c r="D26" i="93"/>
  <c r="L26" i="93" s="1" a="1"/>
  <c r="L26" i="93" s="1"/>
  <c r="F51" i="93"/>
  <c r="F61" i="93"/>
  <c r="I57" i="87"/>
  <c r="I15" i="87"/>
  <c r="E144" i="86"/>
  <c r="E142" i="86"/>
  <c r="E139" i="86"/>
  <c r="G59" i="86"/>
  <c r="F78" i="83"/>
  <c r="F58" i="83"/>
  <c r="F80" i="82"/>
  <c r="O110" i="82"/>
  <c r="D40" i="81"/>
  <c r="D32" i="78"/>
  <c r="D30" i="78"/>
  <c r="D13" i="78"/>
  <c r="D12" i="78"/>
  <c r="D10" i="78"/>
  <c r="D11" i="78"/>
  <c r="D9" i="78"/>
  <c r="J136" i="97" l="1" a="1"/>
  <c r="J136" i="97" s="1"/>
  <c r="J116" i="97" a="1"/>
  <c r="J116" i="97" s="1"/>
  <c r="J119" i="97" a="1"/>
  <c r="J119" i="97" s="1"/>
  <c r="J158" i="97" a="1"/>
  <c r="J158" i="97" s="1"/>
  <c r="J165" i="97" a="1"/>
  <c r="J165" i="97" s="1"/>
  <c r="J185" i="97" a="1"/>
  <c r="J185" i="97" s="1"/>
  <c r="J166" i="97" a="1"/>
  <c r="J166" i="97" s="1"/>
  <c r="J175" i="97" a="1"/>
  <c r="J175" i="97" s="1"/>
  <c r="J159" i="97" a="1"/>
  <c r="J159" i="97" s="1"/>
  <c r="J168" i="97" a="1"/>
  <c r="J168" i="97" s="1"/>
  <c r="J176" i="97" a="1"/>
  <c r="J176" i="97" s="1"/>
  <c r="J163" i="97" a="1"/>
  <c r="J163" i="97" s="1"/>
  <c r="J167" i="97" a="1"/>
  <c r="J167" i="97" s="1"/>
  <c r="J160" i="97" a="1"/>
  <c r="J160" i="97" s="1"/>
  <c r="J161" i="97" a="1"/>
  <c r="J161" i="97" s="1"/>
  <c r="J174" i="97" a="1"/>
  <c r="J174" i="97" s="1"/>
  <c r="J162" i="97" a="1"/>
  <c r="J162" i="97" s="1"/>
  <c r="J173" i="97" a="1"/>
  <c r="J173" i="97" s="1"/>
  <c r="J178" i="97" a="1"/>
  <c r="J178" i="97" s="1"/>
  <c r="J164" i="97" a="1"/>
  <c r="J164" i="97" s="1"/>
  <c r="G152" i="107"/>
  <c r="I152" i="107"/>
  <c r="G153" i="107"/>
  <c r="I153" i="107"/>
  <c r="G150" i="107"/>
  <c r="I150" i="107"/>
  <c r="G151" i="107"/>
  <c r="I151" i="107"/>
  <c r="G149" i="107"/>
  <c r="I149" i="107"/>
  <c r="I329" i="107"/>
  <c r="I322" i="107"/>
  <c r="I324" i="107"/>
  <c r="I328" i="107"/>
  <c r="I321" i="107"/>
  <c r="I327" i="107"/>
  <c r="I320" i="107"/>
  <c r="I323" i="107"/>
  <c r="I326" i="107"/>
  <c r="I325" i="107"/>
  <c r="G291" i="107"/>
  <c r="I291" i="107"/>
  <c r="G292" i="107"/>
  <c r="I292" i="107"/>
  <c r="I293" i="107"/>
  <c r="G293" i="107"/>
  <c r="I287" i="107"/>
  <c r="G287" i="107"/>
  <c r="G286" i="107"/>
  <c r="I286" i="107"/>
  <c r="G294" i="107"/>
  <c r="I294" i="107"/>
  <c r="G289" i="107"/>
  <c r="I289" i="107"/>
  <c r="G296" i="107"/>
  <c r="I296" i="107"/>
  <c r="I288" i="107"/>
  <c r="G288" i="107"/>
  <c r="G290" i="107"/>
  <c r="I290" i="107"/>
  <c r="G295" i="107"/>
  <c r="I295" i="107"/>
  <c r="J384" i="107"/>
  <c r="H384" i="107"/>
  <c r="H388" i="107"/>
  <c r="J388" i="107"/>
  <c r="J387" i="107"/>
  <c r="H387" i="107"/>
  <c r="H389" i="107"/>
  <c r="J389" i="107"/>
  <c r="H383" i="107"/>
  <c r="J383" i="107"/>
  <c r="H390" i="107"/>
  <c r="J390" i="107"/>
  <c r="J386" i="107"/>
  <c r="H386" i="107"/>
  <c r="J391" i="107"/>
  <c r="H391" i="107"/>
  <c r="J385" i="107"/>
  <c r="H385" i="107"/>
  <c r="G484" i="107"/>
  <c r="I484" i="107"/>
  <c r="G482" i="107"/>
  <c r="I482" i="107"/>
  <c r="I495" i="107"/>
  <c r="E499" i="107" s="1"/>
  <c r="G495" i="107"/>
  <c r="E498" i="107" s="1"/>
  <c r="G139" i="107"/>
  <c r="I139" i="107"/>
  <c r="F123" i="107"/>
  <c r="G123" i="107" s="1"/>
  <c r="J470" i="107"/>
  <c r="H470" i="107"/>
  <c r="J471" i="107"/>
  <c r="H471" i="107"/>
  <c r="H469" i="107"/>
  <c r="J469" i="107"/>
  <c r="J472" i="107"/>
  <c r="H472" i="107"/>
  <c r="J451" i="107"/>
  <c r="H451" i="107"/>
  <c r="J452" i="107"/>
  <c r="H452" i="107"/>
  <c r="H453" i="107"/>
  <c r="J453" i="107"/>
  <c r="H454" i="107"/>
  <c r="J454" i="107"/>
  <c r="J28" i="107"/>
  <c r="M28" i="107"/>
  <c r="G88" i="107"/>
  <c r="G87" i="107"/>
  <c r="G86" i="107"/>
  <c r="G85" i="107"/>
  <c r="J88" i="107"/>
  <c r="G84" i="107"/>
  <c r="J86" i="107"/>
  <c r="G82" i="107"/>
  <c r="J87" i="107"/>
  <c r="G83" i="107"/>
  <c r="J85" i="107"/>
  <c r="G81" i="107"/>
  <c r="J83" i="107"/>
  <c r="G79" i="107"/>
  <c r="J84" i="107"/>
  <c r="G80" i="107"/>
  <c r="J82" i="107"/>
  <c r="J81" i="107"/>
  <c r="J80" i="107"/>
  <c r="M25" i="107"/>
  <c r="J25" i="107"/>
  <c r="M26" i="107"/>
  <c r="J26" i="107"/>
  <c r="J32" i="107"/>
  <c r="M32" i="107"/>
  <c r="J27" i="107"/>
  <c r="M27" i="107"/>
  <c r="G49" i="107"/>
  <c r="G48" i="107"/>
  <c r="J51" i="107"/>
  <c r="G47" i="107"/>
  <c r="J50" i="107"/>
  <c r="G46" i="107"/>
  <c r="G43" i="107"/>
  <c r="J49" i="107"/>
  <c r="G45" i="107"/>
  <c r="J47" i="107"/>
  <c r="J48" i="107"/>
  <c r="G44" i="107"/>
  <c r="J46" i="107"/>
  <c r="G42" i="107"/>
  <c r="J44" i="107"/>
  <c r="J43" i="107"/>
  <c r="J45" i="107"/>
  <c r="G50" i="107"/>
  <c r="G51" i="107"/>
  <c r="J66" i="107"/>
  <c r="G62" i="107"/>
  <c r="J65" i="107"/>
  <c r="G61" i="107"/>
  <c r="J64" i="107"/>
  <c r="J63" i="107"/>
  <c r="G70" i="107"/>
  <c r="G69" i="107"/>
  <c r="G67" i="107"/>
  <c r="J70" i="107"/>
  <c r="G66" i="107"/>
  <c r="G68" i="107"/>
  <c r="J67" i="107"/>
  <c r="G63" i="107"/>
  <c r="J69" i="107"/>
  <c r="G65" i="107"/>
  <c r="J68" i="107"/>
  <c r="G64" i="107"/>
  <c r="J29" i="107"/>
  <c r="M29" i="107"/>
  <c r="J30" i="107"/>
  <c r="M30" i="107"/>
  <c r="J31" i="107"/>
  <c r="M31" i="107"/>
  <c r="Q40" i="94"/>
  <c r="P40" i="94"/>
  <c r="O40" i="94"/>
  <c r="N40" i="94"/>
  <c r="N39" i="94"/>
  <c r="Q39" i="94"/>
  <c r="P39" i="94"/>
  <c r="O39" i="94"/>
  <c r="N26" i="94"/>
  <c r="Q26" i="94"/>
  <c r="P26" i="94"/>
  <c r="O26" i="94"/>
  <c r="O29" i="94"/>
  <c r="N29" i="94"/>
  <c r="P29" i="94"/>
  <c r="Q29" i="94"/>
  <c r="Q37" i="94"/>
  <c r="P37" i="94"/>
  <c r="O37" i="94"/>
  <c r="N37" i="94"/>
  <c r="Q34" i="94"/>
  <c r="P34" i="94"/>
  <c r="O34" i="94"/>
  <c r="N34" i="94"/>
  <c r="Q32" i="94"/>
  <c r="P32" i="94"/>
  <c r="O32" i="94"/>
  <c r="N32" i="94"/>
  <c r="O38" i="94"/>
  <c r="N38" i="94"/>
  <c r="Q38" i="94"/>
  <c r="P38" i="94"/>
  <c r="H38" i="93" a="1"/>
  <c r="H38" i="93" s="1"/>
  <c r="H25" i="93" a="1"/>
  <c r="H25" i="93" s="1"/>
  <c r="N25" i="93" s="1"/>
  <c r="J25" i="93" a="1"/>
  <c r="J25" i="93" s="1"/>
  <c r="P25" i="93" s="1"/>
  <c r="P26" i="93"/>
  <c r="O26" i="93"/>
  <c r="Q26" i="93"/>
  <c r="N26" i="93"/>
  <c r="N30" i="93"/>
  <c r="Q30" i="93"/>
  <c r="P30" i="93"/>
  <c r="O30" i="93"/>
  <c r="P33" i="93"/>
  <c r="E51" i="93" s="1"/>
  <c r="Q33" i="93"/>
  <c r="E52" i="93" s="1"/>
  <c r="N33" i="93"/>
  <c r="E49" i="93" s="1"/>
  <c r="O33" i="93"/>
  <c r="E50" i="93" s="1"/>
  <c r="Q35" i="93"/>
  <c r="P35" i="93"/>
  <c r="O35" i="93"/>
  <c r="N35" i="93"/>
  <c r="N36" i="93"/>
  <c r="Q36" i="93"/>
  <c r="P36" i="93"/>
  <c r="O36" i="93"/>
  <c r="Q31" i="93"/>
  <c r="P31" i="93"/>
  <c r="O31" i="93"/>
  <c r="N31" i="93"/>
  <c r="Q28" i="93"/>
  <c r="P28" i="93"/>
  <c r="O28" i="93"/>
  <c r="N28" i="93"/>
  <c r="N29" i="93"/>
  <c r="Q29" i="93"/>
  <c r="P29" i="93"/>
  <c r="O29" i="93"/>
  <c r="P39" i="93"/>
  <c r="O39" i="93"/>
  <c r="N39" i="93"/>
  <c r="Q39" i="93"/>
  <c r="P32" i="93"/>
  <c r="O32" i="93"/>
  <c r="N32" i="93"/>
  <c r="Q32" i="93"/>
  <c r="N37" i="93"/>
  <c r="Q37" i="93"/>
  <c r="P37" i="93"/>
  <c r="O37" i="93"/>
  <c r="Q27" i="93"/>
  <c r="P27" i="93"/>
  <c r="O27" i="93"/>
  <c r="N27" i="93"/>
  <c r="O25" i="93"/>
  <c r="Q25" i="93"/>
  <c r="X13" i="81"/>
  <c r="X14" i="81"/>
  <c r="V19" i="81"/>
  <c r="X19" i="81" s="1"/>
  <c r="X12" i="81"/>
  <c r="V14" i="81"/>
  <c r="AA253" i="107" a="1"/>
  <c r="AA253" i="107" s="1"/>
  <c r="AE253" i="107" a="1"/>
  <c r="AE253" i="107" s="1"/>
  <c r="AE260" i="107" a="1"/>
  <c r="AE260" i="107" s="1"/>
  <c r="E21" i="102"/>
  <c r="D19" i="86"/>
  <c r="F19" i="86" s="1" a="1"/>
  <c r="F19" i="86" s="1"/>
  <c r="G19" i="86" s="1" a="1"/>
  <c r="G19" i="86" s="1"/>
  <c r="F34" i="86" a="1"/>
  <c r="F34" i="86" s="1"/>
  <c r="G34" i="86" s="1" a="1"/>
  <c r="G34" i="86" s="1"/>
  <c r="F27" i="86" a="1"/>
  <c r="F27" i="86" s="1"/>
  <c r="G27" i="86" s="1" a="1"/>
  <c r="G27" i="86" s="1"/>
  <c r="F20" i="86" a="1"/>
  <c r="F20" i="86" s="1"/>
  <c r="G20" i="86" s="1" a="1"/>
  <c r="G20" i="86" s="1"/>
  <c r="F33" i="86" a="1"/>
  <c r="F33" i="86" s="1"/>
  <c r="G33" i="86" s="1" a="1"/>
  <c r="G33" i="86" s="1"/>
  <c r="F26" i="86" a="1"/>
  <c r="F26" i="86" s="1"/>
  <c r="G26" i="86" s="1" a="1"/>
  <c r="G26" i="86" s="1"/>
  <c r="F30" i="86" a="1"/>
  <c r="F30" i="86" s="1"/>
  <c r="G30" i="86" s="1" a="1"/>
  <c r="G30" i="86" s="1"/>
  <c r="F23" i="86" a="1"/>
  <c r="F23" i="86" s="1"/>
  <c r="G23" i="86" s="1" a="1"/>
  <c r="G23" i="86" s="1"/>
  <c r="F29" i="86" a="1"/>
  <c r="F29" i="86" s="1"/>
  <c r="G29" i="86" s="1" a="1"/>
  <c r="G29" i="86" s="1"/>
  <c r="F22" i="86" a="1"/>
  <c r="F22" i="86" s="1"/>
  <c r="G22" i="86" s="1" a="1"/>
  <c r="G22" i="86" s="1"/>
  <c r="F35" i="86" a="1"/>
  <c r="F35" i="86" s="1"/>
  <c r="G35" i="86" s="1" a="1"/>
  <c r="G35" i="86" s="1"/>
  <c r="F37" i="86" a="1"/>
  <c r="F37" i="86" s="1"/>
  <c r="G37" i="86" s="1" a="1"/>
  <c r="G37" i="86" s="1"/>
  <c r="F36" i="86" a="1"/>
  <c r="F36" i="86" s="1"/>
  <c r="G36" i="86" s="1" a="1"/>
  <c r="G36" i="86" s="1"/>
  <c r="F21" i="86" a="1"/>
  <c r="F21" i="86" s="1"/>
  <c r="G21" i="86" s="1" a="1"/>
  <c r="G21" i="86" s="1"/>
  <c r="F32" i="86" a="1"/>
  <c r="F32" i="86" s="1"/>
  <c r="G32" i="86" s="1" a="1"/>
  <c r="G32" i="86" s="1"/>
  <c r="F31" i="86" a="1"/>
  <c r="F31" i="86" s="1"/>
  <c r="G31" i="86" s="1" a="1"/>
  <c r="G31" i="86" s="1"/>
  <c r="F28" i="86" a="1"/>
  <c r="F28" i="86" s="1"/>
  <c r="G28" i="86" s="1" a="1"/>
  <c r="G28" i="86" s="1"/>
  <c r="F25" i="86" a="1"/>
  <c r="F25" i="86" s="1"/>
  <c r="G25" i="86" s="1" a="1"/>
  <c r="G25" i="86" s="1"/>
  <c r="F24" i="86" a="1"/>
  <c r="F24" i="86" s="1"/>
  <c r="G24" i="86" s="1" a="1"/>
  <c r="G24" i="86" s="1"/>
  <c r="D21" i="97"/>
  <c r="G186" i="97" a="1"/>
  <c r="G186" i="97" s="1"/>
  <c r="G166" i="97" a="1"/>
  <c r="G166" i="97" s="1"/>
  <c r="G159" i="97" a="1"/>
  <c r="G159" i="97" s="1"/>
  <c r="G142" i="97" a="1"/>
  <c r="G142" i="97" s="1"/>
  <c r="G133" i="97" a="1"/>
  <c r="G133" i="97" s="1"/>
  <c r="G175" i="97" a="1"/>
  <c r="G175" i="97" s="1"/>
  <c r="G141" i="97" a="1"/>
  <c r="G141" i="97" s="1"/>
  <c r="G123" i="97" a="1"/>
  <c r="G123" i="97" s="1"/>
  <c r="G53" i="97" a="1"/>
  <c r="G53" i="97" s="1"/>
  <c r="G45" i="97" a="1"/>
  <c r="G45" i="97" s="1"/>
  <c r="G37" i="97" a="1"/>
  <c r="G37" i="97" s="1"/>
  <c r="G29" i="97" a="1"/>
  <c r="G29" i="97" s="1"/>
  <c r="G22" i="97" a="1"/>
  <c r="G22" i="97" s="1"/>
  <c r="G184" i="97" a="1"/>
  <c r="G184" i="97" s="1"/>
  <c r="G165" i="97" a="1"/>
  <c r="G165" i="97" s="1"/>
  <c r="G158" i="97" a="1"/>
  <c r="G158" i="97" s="1"/>
  <c r="G140" i="97" a="1"/>
  <c r="G140" i="97" s="1"/>
  <c r="G132" i="97" a="1"/>
  <c r="G132" i="97" s="1"/>
  <c r="G183" i="97" a="1"/>
  <c r="G183" i="97" s="1"/>
  <c r="G174" i="97" a="1"/>
  <c r="G174" i="97" s="1"/>
  <c r="G139" i="97" a="1"/>
  <c r="G139" i="97" s="1"/>
  <c r="G131" i="97" a="1"/>
  <c r="G131" i="97" s="1"/>
  <c r="G122" i="97" a="1"/>
  <c r="G122" i="97" s="1"/>
  <c r="G52" i="97" a="1"/>
  <c r="G52" i="97" s="1"/>
  <c r="G44" i="97" a="1"/>
  <c r="G44" i="97" s="1"/>
  <c r="G36" i="97" a="1"/>
  <c r="G36" i="97" s="1"/>
  <c r="G28" i="97" a="1"/>
  <c r="G28" i="97" s="1"/>
  <c r="G182" i="97" a="1"/>
  <c r="G182" i="97" s="1"/>
  <c r="G178" i="97" a="1"/>
  <c r="G178" i="97" s="1"/>
  <c r="G169" i="97" a="1"/>
  <c r="G169" i="97" s="1"/>
  <c r="G147" i="97" a="1"/>
  <c r="G147" i="97" s="1"/>
  <c r="G126" i="97" a="1"/>
  <c r="G126" i="97" s="1"/>
  <c r="G119" i="97" a="1"/>
  <c r="G119" i="97" s="1"/>
  <c r="G48" i="97" a="1"/>
  <c r="G48" i="97" s="1"/>
  <c r="G40" i="97" a="1"/>
  <c r="G40" i="97" s="1"/>
  <c r="G33" i="97" a="1"/>
  <c r="G33" i="97" s="1"/>
  <c r="G25" i="97" a="1"/>
  <c r="G25" i="97" s="1"/>
  <c r="G189" i="97" a="1"/>
  <c r="G189" i="97" s="1"/>
  <c r="G177" i="97" a="1"/>
  <c r="G177" i="97" s="1"/>
  <c r="G145" i="97" a="1"/>
  <c r="G145" i="97" s="1"/>
  <c r="G125" i="97" a="1"/>
  <c r="G125" i="97" s="1"/>
  <c r="G118" i="97" a="1"/>
  <c r="G118" i="97" s="1"/>
  <c r="G47" i="97" a="1"/>
  <c r="G47" i="97" s="1"/>
  <c r="G39" i="97" a="1"/>
  <c r="G39" i="97" s="1"/>
  <c r="G31" i="97" a="1"/>
  <c r="G31" i="97" s="1"/>
  <c r="G24" i="97" a="1"/>
  <c r="G24" i="97" s="1"/>
  <c r="G188" i="97" a="1"/>
  <c r="G188" i="97" s="1"/>
  <c r="G167" i="97" a="1"/>
  <c r="G167" i="97" s="1"/>
  <c r="G160" i="97" a="1"/>
  <c r="G160" i="97" s="1"/>
  <c r="G134" i="97" a="1"/>
  <c r="G134" i="97" s="1"/>
  <c r="G187" i="97" a="1"/>
  <c r="G187" i="97" s="1"/>
  <c r="G176" i="97" a="1"/>
  <c r="G176" i="97" s="1"/>
  <c r="G170" i="97" a="1"/>
  <c r="G170" i="97" s="1"/>
  <c r="G143" i="97" a="1"/>
  <c r="G143" i="97" s="1"/>
  <c r="G124" i="97" a="1"/>
  <c r="G124" i="97" s="1"/>
  <c r="G54" i="97" a="1"/>
  <c r="G54" i="97" s="1"/>
  <c r="G38" i="97" a="1"/>
  <c r="G38" i="97" s="1"/>
  <c r="G23" i="97" a="1"/>
  <c r="G23" i="97" s="1"/>
  <c r="G164" i="97" a="1"/>
  <c r="G164" i="97" s="1"/>
  <c r="G121" i="97" a="1"/>
  <c r="G121" i="97" s="1"/>
  <c r="G51" i="97" a="1"/>
  <c r="G51" i="97" s="1"/>
  <c r="G35" i="97" a="1"/>
  <c r="G35" i="97" s="1"/>
  <c r="G137" i="97" a="1"/>
  <c r="G137" i="97" s="1"/>
  <c r="G163" i="97" a="1"/>
  <c r="G163" i="97" s="1"/>
  <c r="G120" i="97" a="1"/>
  <c r="G120" i="97" s="1"/>
  <c r="G50" i="97" a="1"/>
  <c r="G50" i="97" s="1"/>
  <c r="G34" i="97" a="1"/>
  <c r="G34" i="97" s="1"/>
  <c r="G190" i="97" a="1"/>
  <c r="G190" i="97" s="1"/>
  <c r="G136" i="97" a="1"/>
  <c r="G136" i="97" s="1"/>
  <c r="G181" i="97" a="1"/>
  <c r="G181" i="97" s="1"/>
  <c r="G162" i="97" a="1"/>
  <c r="G162" i="97" s="1"/>
  <c r="G135" i="97" a="1"/>
  <c r="G135" i="97" s="1"/>
  <c r="G180" i="97" a="1"/>
  <c r="G180" i="97" s="1"/>
  <c r="G161" i="97" a="1"/>
  <c r="G161" i="97" s="1"/>
  <c r="G117" i="97" a="1"/>
  <c r="G117" i="97" s="1"/>
  <c r="G46" i="97" a="1"/>
  <c r="G46" i="97" s="1"/>
  <c r="G30" i="97" a="1"/>
  <c r="G30" i="97" s="1"/>
  <c r="G130" i="97" a="1"/>
  <c r="G130" i="97" s="1"/>
  <c r="G129" i="97" a="1"/>
  <c r="G129" i="97" s="1"/>
  <c r="G42" i="97" a="1"/>
  <c r="G42" i="97" s="1"/>
  <c r="G27" i="97" a="1"/>
  <c r="G27" i="97" s="1"/>
  <c r="G128" i="97" a="1"/>
  <c r="G128" i="97" s="1"/>
  <c r="G173" i="97" a="1"/>
  <c r="G173" i="97" s="1"/>
  <c r="G149" i="97" a="1"/>
  <c r="G149" i="97" s="1"/>
  <c r="G41" i="97" a="1"/>
  <c r="G41" i="97" s="1"/>
  <c r="G26" i="97" a="1"/>
  <c r="G26" i="97" s="1"/>
  <c r="G172" i="97" a="1"/>
  <c r="G172" i="97" s="1"/>
  <c r="G148" i="97" a="1"/>
  <c r="G148" i="97" s="1"/>
  <c r="G171" i="97" a="1"/>
  <c r="G171" i="97" s="1"/>
  <c r="G146" i="97" a="1"/>
  <c r="G146" i="97" s="1"/>
  <c r="S261" i="107" a="1"/>
  <c r="S261" i="107" s="1"/>
  <c r="J138" i="97" a="1"/>
  <c r="J138" i="97" s="1"/>
  <c r="K35" i="94"/>
  <c r="I35" i="94"/>
  <c r="H35" i="94"/>
  <c r="G35" i="94"/>
  <c r="J35" i="94"/>
  <c r="S259" i="107" a="1"/>
  <c r="S259" i="107" s="1"/>
  <c r="J123" i="97" a="1"/>
  <c r="J123" i="97" s="1"/>
  <c r="AL236" i="107" a="1"/>
  <c r="AL236" i="107" s="1"/>
  <c r="W258" i="107" a="1"/>
  <c r="W258" i="107" s="1"/>
  <c r="AA257" i="107" a="1"/>
  <c r="AA257" i="107" s="1"/>
  <c r="J121" i="97" a="1"/>
  <c r="J121" i="97" s="1"/>
  <c r="AA259" i="107" a="1"/>
  <c r="AA259" i="107" s="1"/>
  <c r="V16" i="81"/>
  <c r="X16" i="81" s="1"/>
  <c r="AD236" i="107" a="1"/>
  <c r="AD236" i="107" s="1"/>
  <c r="J135" i="97" a="1"/>
  <c r="J135" i="97" s="1"/>
  <c r="Q236" i="107" a="1"/>
  <c r="V12" i="81"/>
  <c r="E21" i="97"/>
  <c r="H21" i="97" s="1" a="1"/>
  <c r="H21" i="97" s="1"/>
  <c r="H53" i="97" a="1"/>
  <c r="H53" i="97" s="1"/>
  <c r="H45" i="97" a="1"/>
  <c r="H45" i="97" s="1"/>
  <c r="H37" i="97" a="1"/>
  <c r="H37" i="97" s="1"/>
  <c r="H29" i="97" a="1"/>
  <c r="H29" i="97" s="1"/>
  <c r="H22" i="97" a="1"/>
  <c r="H22" i="97" s="1"/>
  <c r="H52" i="97" a="1"/>
  <c r="H52" i="97" s="1"/>
  <c r="H44" i="97" a="1"/>
  <c r="H44" i="97" s="1"/>
  <c r="H36" i="97" a="1"/>
  <c r="H36" i="97" s="1"/>
  <c r="H28" i="97" a="1"/>
  <c r="H28" i="97" s="1"/>
  <c r="H54" i="97" a="1"/>
  <c r="H54" i="97" s="1"/>
  <c r="H46" i="97" a="1"/>
  <c r="H46" i="97" s="1"/>
  <c r="H38" i="97" a="1"/>
  <c r="H38" i="97" s="1"/>
  <c r="H30" i="97" a="1"/>
  <c r="H30" i="97" s="1"/>
  <c r="H23" i="97" a="1"/>
  <c r="H23" i="97" s="1"/>
  <c r="H51" i="97" a="1"/>
  <c r="H51" i="97" s="1"/>
  <c r="H35" i="97" a="1"/>
  <c r="H35" i="97" s="1"/>
  <c r="H50" i="97" a="1"/>
  <c r="H50" i="97" s="1"/>
  <c r="H34" i="97" a="1"/>
  <c r="H34" i="97" s="1"/>
  <c r="H48" i="97" a="1"/>
  <c r="H48" i="97" s="1"/>
  <c r="H33" i="97" a="1"/>
  <c r="H33" i="97" s="1"/>
  <c r="H47" i="97" a="1"/>
  <c r="H47" i="97" s="1"/>
  <c r="H31" i="97" a="1"/>
  <c r="H31" i="97" s="1"/>
  <c r="H42" i="97" a="1"/>
  <c r="H42" i="97" s="1"/>
  <c r="H27" i="97" a="1"/>
  <c r="H27" i="97" s="1"/>
  <c r="H41" i="97" a="1"/>
  <c r="H41" i="97" s="1"/>
  <c r="H26" i="97" a="1"/>
  <c r="H26" i="97" s="1"/>
  <c r="H40" i="97" a="1"/>
  <c r="H40" i="97" s="1"/>
  <c r="H25" i="97" a="1"/>
  <c r="H25" i="97" s="1"/>
  <c r="H39" i="97" a="1"/>
  <c r="H39" i="97" s="1"/>
  <c r="H24" i="97" a="1"/>
  <c r="H24" i="97" s="1"/>
  <c r="AG236" i="107" a="1"/>
  <c r="D19" i="83"/>
  <c r="F19" i="83" s="1" a="1"/>
  <c r="F19" i="83" s="1"/>
  <c r="F29" i="83" a="1"/>
  <c r="F29" i="83" s="1"/>
  <c r="F28" i="83" a="1"/>
  <c r="F28" i="83" s="1"/>
  <c r="F27" i="83" a="1"/>
  <c r="F27" i="83" s="1"/>
  <c r="F26" i="83" a="1"/>
  <c r="F26" i="83" s="1"/>
  <c r="F34" i="83" a="1"/>
  <c r="F34" i="83" s="1"/>
  <c r="F20" i="83" a="1"/>
  <c r="F20" i="83" s="1"/>
  <c r="F32" i="83" a="1"/>
  <c r="F32" i="83" s="1"/>
  <c r="F31" i="83" a="1"/>
  <c r="F31" i="83" s="1"/>
  <c r="F37" i="83" a="1"/>
  <c r="F37" i="83" s="1"/>
  <c r="F36" i="83" a="1"/>
  <c r="F36" i="83" s="1"/>
  <c r="F35" i="83" a="1"/>
  <c r="F35" i="83" s="1"/>
  <c r="F33" i="83" a="1"/>
  <c r="F33" i="83" s="1"/>
  <c r="F30" i="83" a="1"/>
  <c r="F30" i="83" s="1"/>
  <c r="F25" i="83" a="1"/>
  <c r="F25" i="83" s="1"/>
  <c r="F24" i="83" a="1"/>
  <c r="F24" i="83" s="1"/>
  <c r="F23" i="83" a="1"/>
  <c r="F23" i="83" s="1"/>
  <c r="F22" i="83" a="1"/>
  <c r="F22" i="83" s="1"/>
  <c r="F21" i="83" a="1"/>
  <c r="F21" i="83" s="1"/>
  <c r="AA255" i="107" a="1"/>
  <c r="AA255" i="107" s="1"/>
  <c r="AA261" i="107" a="1"/>
  <c r="AA261" i="107" s="1"/>
  <c r="AE255" i="107" a="1"/>
  <c r="AE255" i="107" s="1"/>
  <c r="W260" i="107" a="1"/>
  <c r="W260" i="107" s="1"/>
  <c r="S260" i="107" a="1"/>
  <c r="S260" i="107" s="1"/>
  <c r="G38" i="93" a="1"/>
  <c r="G38" i="93" s="1"/>
  <c r="J117" i="97" a="1"/>
  <c r="J117" i="97" s="1"/>
  <c r="J122" i="97" a="1"/>
  <c r="J122" i="97" s="1"/>
  <c r="W259" i="107" a="1"/>
  <c r="W259" i="107" s="1"/>
  <c r="J177" i="97" a="1"/>
  <c r="J177" i="97" s="1"/>
  <c r="AE254" i="107" a="1"/>
  <c r="AE254" i="107" s="1"/>
  <c r="J33" i="94"/>
  <c r="I33" i="94"/>
  <c r="H33" i="94"/>
  <c r="G33" i="94"/>
  <c r="K33" i="94"/>
  <c r="AE261" i="107" a="1"/>
  <c r="AE261" i="107" s="1"/>
  <c r="V20" i="81"/>
  <c r="X20" i="81" s="1"/>
  <c r="S258" i="107" a="1"/>
  <c r="S258" i="107" s="1"/>
  <c r="AE258" i="107" a="1"/>
  <c r="AE258" i="107" s="1"/>
  <c r="O21" i="82" a="1"/>
  <c r="J124" i="97" a="1"/>
  <c r="J124" i="97" s="1"/>
  <c r="W256" i="107" a="1"/>
  <c r="W256" i="107" s="1"/>
  <c r="S256" i="107" a="1"/>
  <c r="S256" i="107" s="1"/>
  <c r="D19" i="82"/>
  <c r="F19" i="82" s="1" a="1"/>
  <c r="F19" i="82" s="1"/>
  <c r="F26" i="82" a="1"/>
  <c r="F26" i="82" s="1"/>
  <c r="F25" i="82" a="1"/>
  <c r="F25" i="82" s="1"/>
  <c r="F24" i="82" a="1"/>
  <c r="F24" i="82" s="1"/>
  <c r="F37" i="82" a="1"/>
  <c r="F37" i="82" s="1"/>
  <c r="F23" i="82" a="1"/>
  <c r="F23" i="82" s="1"/>
  <c r="F31" i="82" a="1"/>
  <c r="F31" i="82" s="1"/>
  <c r="F29" i="82" a="1"/>
  <c r="F29" i="82" s="1"/>
  <c r="F28" i="82" a="1"/>
  <c r="F28" i="82" s="1"/>
  <c r="F35" i="82" a="1"/>
  <c r="F35" i="82" s="1"/>
  <c r="F34" i="82" a="1"/>
  <c r="F34" i="82" s="1"/>
  <c r="F33" i="82" a="1"/>
  <c r="F33" i="82" s="1"/>
  <c r="F32" i="82" a="1"/>
  <c r="F32" i="82" s="1"/>
  <c r="F30" i="82" a="1"/>
  <c r="F30" i="82" s="1"/>
  <c r="F27" i="82" a="1"/>
  <c r="F27" i="82" s="1"/>
  <c r="F22" i="82" a="1"/>
  <c r="F22" i="82" s="1"/>
  <c r="F21" i="82" a="1"/>
  <c r="F21" i="82" s="1"/>
  <c r="F20" i="82" a="1"/>
  <c r="F20" i="82" s="1"/>
  <c r="F36" i="82" a="1"/>
  <c r="F36" i="82" s="1"/>
  <c r="AH236" i="107" a="1"/>
  <c r="AH236" i="107" s="1"/>
  <c r="S257" i="107" a="1"/>
  <c r="S257" i="107" s="1"/>
  <c r="J118" i="97" a="1"/>
  <c r="J118" i="97" s="1"/>
  <c r="AC236" i="107" a="1"/>
  <c r="AE259" i="107" a="1"/>
  <c r="AE259" i="107" s="1"/>
  <c r="Z236" i="107" a="1"/>
  <c r="Z236" i="107" s="1"/>
  <c r="V17" i="81"/>
  <c r="X17" i="81" s="1"/>
  <c r="K36" i="94"/>
  <c r="J36" i="94"/>
  <c r="I36" i="94"/>
  <c r="H36" i="94"/>
  <c r="G36" i="94"/>
  <c r="S253" i="107" a="1"/>
  <c r="S253" i="107" s="1"/>
  <c r="V18" i="81"/>
  <c r="X18" i="81" s="1"/>
  <c r="J179" i="97" a="1"/>
  <c r="J179" i="97" s="1"/>
  <c r="I27" i="94"/>
  <c r="H27" i="94"/>
  <c r="G27" i="94"/>
  <c r="K27" i="94"/>
  <c r="J27" i="94"/>
  <c r="AA254" i="107" a="1"/>
  <c r="AA254" i="107" s="1"/>
  <c r="J144" i="97" a="1"/>
  <c r="J144" i="97" s="1"/>
  <c r="J132" i="97" a="1"/>
  <c r="J132" i="97" s="1"/>
  <c r="AA258" i="107" a="1"/>
  <c r="AA258" i="107" s="1"/>
  <c r="J137" i="97" a="1"/>
  <c r="J137" i="97" s="1"/>
  <c r="J120" i="97" a="1"/>
  <c r="J120" i="97" s="1"/>
  <c r="V15" i="81"/>
  <c r="X15" i="81" s="1"/>
  <c r="K25" i="94"/>
  <c r="J25" i="94"/>
  <c r="I25" i="94"/>
  <c r="H25" i="94"/>
  <c r="G25" i="94"/>
  <c r="AA256" i="107" a="1"/>
  <c r="AA256" i="107" s="1"/>
  <c r="U236" i="107" a="1"/>
  <c r="J30" i="94"/>
  <c r="I30" i="94"/>
  <c r="H30" i="94"/>
  <c r="G30" i="94"/>
  <c r="K30" i="94"/>
  <c r="W261" i="107" a="1"/>
  <c r="W261" i="107" s="1"/>
  <c r="O236" i="107" a="1"/>
  <c r="O236" i="107" s="1"/>
  <c r="J133" i="97" a="1"/>
  <c r="J133" i="97" s="1"/>
  <c r="D59" i="97"/>
  <c r="G86" i="97" a="1"/>
  <c r="G86" i="97" s="1"/>
  <c r="G78" i="97" a="1"/>
  <c r="G78" i="97" s="1"/>
  <c r="G71" i="97" a="1"/>
  <c r="G71" i="97" s="1"/>
  <c r="G63" i="97" a="1"/>
  <c r="G63" i="97" s="1"/>
  <c r="G85" i="97" a="1"/>
  <c r="G85" i="97" s="1"/>
  <c r="G77" i="97" a="1"/>
  <c r="G77" i="97" s="1"/>
  <c r="G69" i="97" a="1"/>
  <c r="G69" i="97" s="1"/>
  <c r="G62" i="97" a="1"/>
  <c r="G62" i="97" s="1"/>
  <c r="G90" i="97" a="1"/>
  <c r="G90" i="97" s="1"/>
  <c r="G82" i="97" a="1"/>
  <c r="G82" i="97" s="1"/>
  <c r="G74" i="97" a="1"/>
  <c r="G74" i="97" s="1"/>
  <c r="G66" i="97" a="1"/>
  <c r="G66" i="97" s="1"/>
  <c r="G89" i="97" a="1"/>
  <c r="G89" i="97" s="1"/>
  <c r="G80" i="97" a="1"/>
  <c r="G80" i="97" s="1"/>
  <c r="G73" i="97" a="1"/>
  <c r="G73" i="97" s="1"/>
  <c r="G65" i="97" a="1"/>
  <c r="G65" i="97" s="1"/>
  <c r="G88" i="97" a="1"/>
  <c r="G88" i="97" s="1"/>
  <c r="G72" i="97" a="1"/>
  <c r="G72" i="97" s="1"/>
  <c r="G84" i="97" a="1"/>
  <c r="G84" i="97" s="1"/>
  <c r="G68" i="97" a="1"/>
  <c r="G68" i="97" s="1"/>
  <c r="G83" i="97" a="1"/>
  <c r="G83" i="97" s="1"/>
  <c r="G67" i="97" a="1"/>
  <c r="G67" i="97" s="1"/>
  <c r="G79" i="97" a="1"/>
  <c r="G79" i="97" s="1"/>
  <c r="G64" i="97" a="1"/>
  <c r="G64" i="97" s="1"/>
  <c r="G92" i="97" a="1"/>
  <c r="G92" i="97" s="1"/>
  <c r="G76" i="97" a="1"/>
  <c r="G76" i="97" s="1"/>
  <c r="G61" i="97" a="1"/>
  <c r="G61" i="97" s="1"/>
  <c r="G91" i="97" a="1"/>
  <c r="G91" i="97" s="1"/>
  <c r="G75" i="97" a="1"/>
  <c r="G75" i="97" s="1"/>
  <c r="G60" i="97" a="1"/>
  <c r="G60" i="97" s="1"/>
  <c r="AA260" i="107" a="1"/>
  <c r="AA260" i="107" s="1"/>
  <c r="R236" i="107" a="1"/>
  <c r="R236" i="107" s="1"/>
  <c r="Y236" i="107" a="1"/>
  <c r="J126" i="97" a="1"/>
  <c r="J126" i="97" s="1"/>
  <c r="J125" i="97" a="1"/>
  <c r="J125" i="97" s="1"/>
  <c r="E285" i="107"/>
  <c r="F285" i="107" a="1"/>
  <c r="F285" i="107" s="1"/>
  <c r="S255" i="107" a="1"/>
  <c r="S255" i="107" s="1"/>
  <c r="AK236" i="107" a="1"/>
  <c r="AE257" i="107" a="1"/>
  <c r="AE257" i="107" s="1"/>
  <c r="K31" i="94"/>
  <c r="J31" i="94"/>
  <c r="I31" i="94"/>
  <c r="H31" i="94"/>
  <c r="G31" i="94"/>
  <c r="J134" i="97" a="1"/>
  <c r="J134" i="97" s="1"/>
  <c r="AE252" i="107" a="1"/>
  <c r="AE252" i="107" s="1"/>
  <c r="K252" i="107" s="1"/>
  <c r="W252" i="107" a="1"/>
  <c r="W252" i="107" s="1"/>
  <c r="AA252" i="107" a="1"/>
  <c r="AA252" i="107" s="1"/>
  <c r="V21" i="81"/>
  <c r="X21" i="81" s="1"/>
  <c r="V236" i="107" a="1"/>
  <c r="V236" i="107" s="1"/>
  <c r="V13" i="81"/>
  <c r="J127" i="97" a="1"/>
  <c r="J127" i="97" s="1"/>
  <c r="E59" i="97"/>
  <c r="H59" i="97" s="1" a="1"/>
  <c r="H59" i="97" s="1"/>
  <c r="H86" i="97" a="1"/>
  <c r="H86" i="97" s="1"/>
  <c r="H78" i="97" a="1"/>
  <c r="H78" i="97" s="1"/>
  <c r="H71" i="97" a="1"/>
  <c r="H71" i="97" s="1"/>
  <c r="H63" i="97" a="1"/>
  <c r="H63" i="97" s="1"/>
  <c r="H85" i="97" a="1"/>
  <c r="H85" i="97" s="1"/>
  <c r="H77" i="97" a="1"/>
  <c r="H77" i="97" s="1"/>
  <c r="H69" i="97" a="1"/>
  <c r="H69" i="97" s="1"/>
  <c r="H62" i="97" a="1"/>
  <c r="H62" i="97" s="1"/>
  <c r="H88" i="97" a="1"/>
  <c r="H88" i="97" s="1"/>
  <c r="H79" i="97" a="1"/>
  <c r="H79" i="97" s="1"/>
  <c r="H72" i="97" a="1"/>
  <c r="H72" i="97" s="1"/>
  <c r="H64" i="97" a="1"/>
  <c r="H64" i="97" s="1"/>
  <c r="H84" i="97" a="1"/>
  <c r="H84" i="97" s="1"/>
  <c r="H68" i="97" a="1"/>
  <c r="H68" i="97" s="1"/>
  <c r="H83" i="97" a="1"/>
  <c r="H83" i="97" s="1"/>
  <c r="H67" i="97" a="1"/>
  <c r="H67" i="97" s="1"/>
  <c r="H82" i="97" a="1"/>
  <c r="H82" i="97" s="1"/>
  <c r="H66" i="97" a="1"/>
  <c r="H66" i="97" s="1"/>
  <c r="H80" i="97" a="1"/>
  <c r="H80" i="97" s="1"/>
  <c r="H65" i="97" a="1"/>
  <c r="H65" i="97" s="1"/>
  <c r="H92" i="97" a="1"/>
  <c r="H92" i="97" s="1"/>
  <c r="H76" i="97" a="1"/>
  <c r="H76" i="97" s="1"/>
  <c r="H61" i="97" a="1"/>
  <c r="H61" i="97" s="1"/>
  <c r="H91" i="97" a="1"/>
  <c r="H91" i="97" s="1"/>
  <c r="H75" i="97" a="1"/>
  <c r="H75" i="97" s="1"/>
  <c r="H60" i="97" a="1"/>
  <c r="H60" i="97" s="1"/>
  <c r="H90" i="97" a="1"/>
  <c r="H90" i="97" s="1"/>
  <c r="H74" i="97" a="1"/>
  <c r="H74" i="97" s="1"/>
  <c r="H89" i="97" a="1"/>
  <c r="H89" i="97" s="1"/>
  <c r="H73" i="97" a="1"/>
  <c r="H73" i="97" s="1"/>
  <c r="AE256" i="107" a="1"/>
  <c r="AE256" i="107" s="1"/>
  <c r="W253" i="107" a="1"/>
  <c r="W253" i="107" s="1"/>
  <c r="W257" i="107" a="1"/>
  <c r="W257" i="107" s="1"/>
  <c r="W255" i="107" a="1"/>
  <c r="W255" i="107" s="1"/>
  <c r="K28" i="94"/>
  <c r="J28" i="94"/>
  <c r="I28" i="94"/>
  <c r="H28" i="94"/>
  <c r="G28" i="94"/>
  <c r="L26" i="94" a="1"/>
  <c r="L26" i="94" s="1"/>
  <c r="P236" i="107" a="1"/>
  <c r="P236" i="107" s="1"/>
  <c r="E181" i="107"/>
  <c r="F127" i="107"/>
  <c r="F128" i="107"/>
  <c r="F121" i="107"/>
  <c r="G121" i="107" s="1"/>
  <c r="E487" i="107"/>
  <c r="F129" i="107"/>
  <c r="F125" i="107"/>
  <c r="E426" i="107"/>
  <c r="E488" i="107"/>
  <c r="F126" i="107"/>
  <c r="E654" i="107"/>
  <c r="F124" i="107"/>
  <c r="F122" i="107"/>
  <c r="G122" i="107" s="1"/>
  <c r="E143" i="107"/>
  <c r="E517" i="107"/>
  <c r="E363" i="107"/>
  <c r="E636" i="107"/>
  <c r="E142" i="107"/>
  <c r="F120" i="107"/>
  <c r="G120" i="107" s="1"/>
  <c r="I56" i="102"/>
  <c r="E40" i="99"/>
  <c r="E36" i="99"/>
  <c r="E35" i="99" s="1"/>
  <c r="Q14" i="100" s="1"/>
  <c r="G56" i="80"/>
  <c r="G57" i="80" s="1"/>
  <c r="G53" i="80"/>
  <c r="G54" i="80" s="1"/>
  <c r="I77" i="97" l="1"/>
  <c r="H175" i="97" s="1"/>
  <c r="I175" i="97" s="1"/>
  <c r="K175" i="97" s="1"/>
  <c r="I66" i="97"/>
  <c r="H164" i="97" s="1"/>
  <c r="I164" i="97" s="1"/>
  <c r="K164" i="97" s="1"/>
  <c r="I79" i="97"/>
  <c r="H177" i="97" s="1"/>
  <c r="I177" i="97" s="1"/>
  <c r="K177" i="97" s="1"/>
  <c r="I67" i="97"/>
  <c r="H165" i="97" s="1"/>
  <c r="I165" i="97" s="1"/>
  <c r="K165" i="97" s="1"/>
  <c r="I26" i="97"/>
  <c r="H121" i="97" s="1"/>
  <c r="I121" i="97" s="1"/>
  <c r="K121" i="97" s="1"/>
  <c r="I39" i="97"/>
  <c r="H134" i="97" s="1"/>
  <c r="I134" i="97" s="1"/>
  <c r="K134" i="97" s="1"/>
  <c r="I25" i="97"/>
  <c r="H120" i="97" s="1"/>
  <c r="I120" i="97" s="1"/>
  <c r="K120" i="97" s="1"/>
  <c r="I53" i="97"/>
  <c r="H148" i="97" s="1"/>
  <c r="I64" i="97"/>
  <c r="H162" i="97" s="1"/>
  <c r="I162" i="97" s="1"/>
  <c r="K162" i="97" s="1"/>
  <c r="I82" i="97"/>
  <c r="H180" i="97" s="1"/>
  <c r="I24" i="97"/>
  <c r="H119" i="97" s="1"/>
  <c r="I119" i="97" s="1"/>
  <c r="K119" i="97" s="1"/>
  <c r="I31" i="97"/>
  <c r="H126" i="97" s="1"/>
  <c r="I126" i="97" s="1"/>
  <c r="K126" i="97" s="1"/>
  <c r="I38" i="97"/>
  <c r="H133" i="97" s="1"/>
  <c r="I133" i="97" s="1"/>
  <c r="K133" i="97" s="1"/>
  <c r="I47" i="97"/>
  <c r="H142" i="97" s="1"/>
  <c r="I90" i="97"/>
  <c r="H188" i="97" s="1"/>
  <c r="I54" i="97"/>
  <c r="H149" i="97" s="1"/>
  <c r="I63" i="97"/>
  <c r="H161" i="97" s="1"/>
  <c r="I161" i="97" s="1"/>
  <c r="K161" i="97" s="1"/>
  <c r="I33" i="97"/>
  <c r="H128" i="97" s="1"/>
  <c r="I23" i="97"/>
  <c r="H118" i="97" s="1"/>
  <c r="I118" i="97" s="1"/>
  <c r="K118" i="97" s="1"/>
  <c r="I30" i="97"/>
  <c r="H125" i="97" s="1"/>
  <c r="I125" i="97" s="1"/>
  <c r="K125" i="97" s="1"/>
  <c r="I40" i="97"/>
  <c r="H135" i="97" s="1"/>
  <c r="I135" i="97" s="1"/>
  <c r="K135" i="97" s="1"/>
  <c r="I76" i="97"/>
  <c r="H174" i="97" s="1"/>
  <c r="I174" i="97" s="1"/>
  <c r="K174" i="97" s="1"/>
  <c r="I46" i="97"/>
  <c r="H141" i="97" s="1"/>
  <c r="I35" i="97"/>
  <c r="H130" i="97" s="1"/>
  <c r="I48" i="97"/>
  <c r="H143" i="97" s="1"/>
  <c r="I92" i="97"/>
  <c r="H190" i="97" s="1"/>
  <c r="I74" i="97"/>
  <c r="H172" i="97" s="1"/>
  <c r="I51" i="97"/>
  <c r="H146" i="97" s="1"/>
  <c r="I41" i="97"/>
  <c r="H136" i="97" s="1"/>
  <c r="I68" i="97"/>
  <c r="H166" i="97" s="1"/>
  <c r="I166" i="97" s="1"/>
  <c r="K166" i="97" s="1"/>
  <c r="I84" i="97"/>
  <c r="H182" i="97" s="1"/>
  <c r="I36" i="97"/>
  <c r="H131" i="97" s="1"/>
  <c r="I72" i="97"/>
  <c r="H170" i="97" s="1"/>
  <c r="I71" i="97"/>
  <c r="H169" i="97" s="1"/>
  <c r="I44" i="97"/>
  <c r="H139" i="97" s="1"/>
  <c r="I61" i="97"/>
  <c r="H159" i="97" s="1"/>
  <c r="I159" i="97" s="1"/>
  <c r="K159" i="97" s="1"/>
  <c r="I89" i="97"/>
  <c r="H187" i="97" s="1"/>
  <c r="I65" i="97"/>
  <c r="H163" i="97" s="1"/>
  <c r="I163" i="97" s="1"/>
  <c r="K163" i="97" s="1"/>
  <c r="I78" i="97"/>
  <c r="H176" i="97" s="1"/>
  <c r="I176" i="97" s="1"/>
  <c r="K176" i="97" s="1"/>
  <c r="I86" i="97"/>
  <c r="H184" i="97" s="1"/>
  <c r="I73" i="97"/>
  <c r="H171" i="97" s="1"/>
  <c r="I62" i="97"/>
  <c r="H160" i="97" s="1"/>
  <c r="I160" i="97" s="1"/>
  <c r="K160" i="97" s="1"/>
  <c r="I83" i="97"/>
  <c r="H181" i="97" s="1"/>
  <c r="I69" i="97"/>
  <c r="H167" i="97" s="1"/>
  <c r="I167" i="97" s="1"/>
  <c r="K167" i="97" s="1"/>
  <c r="I91" i="97"/>
  <c r="H189" i="97" s="1"/>
  <c r="I28" i="97"/>
  <c r="H123" i="97" s="1"/>
  <c r="I123" i="97" s="1"/>
  <c r="K123" i="97" s="1"/>
  <c r="I22" i="97"/>
  <c r="H117" i="97" s="1"/>
  <c r="I117" i="97" s="1"/>
  <c r="K117" i="97" s="1"/>
  <c r="I75" i="97"/>
  <c r="H173" i="97" s="1"/>
  <c r="I173" i="97" s="1"/>
  <c r="K173" i="97" s="1"/>
  <c r="I80" i="97"/>
  <c r="H178" i="97" s="1"/>
  <c r="I178" i="97" s="1"/>
  <c r="K178" i="97" s="1"/>
  <c r="I29" i="97"/>
  <c r="H124" i="97" s="1"/>
  <c r="I124" i="97" s="1"/>
  <c r="K124" i="97" s="1"/>
  <c r="I60" i="97"/>
  <c r="H158" i="97" s="1"/>
  <c r="I158" i="97" s="1"/>
  <c r="K158" i="97" s="1"/>
  <c r="I85" i="97"/>
  <c r="H183" i="97" s="1"/>
  <c r="I88" i="97"/>
  <c r="H186" i="97" s="1"/>
  <c r="I27" i="97"/>
  <c r="H122" i="97" s="1"/>
  <c r="I122" i="97" s="1"/>
  <c r="K122" i="97" s="1"/>
  <c r="I34" i="97"/>
  <c r="H129" i="97" s="1"/>
  <c r="I37" i="97"/>
  <c r="H132" i="97" s="1"/>
  <c r="I132" i="97" s="1"/>
  <c r="K132" i="97" s="1"/>
  <c r="I42" i="97"/>
  <c r="H137" i="97" s="1"/>
  <c r="I137" i="97" s="1"/>
  <c r="K137" i="97" s="1"/>
  <c r="I50" i="97"/>
  <c r="H145" i="97" s="1"/>
  <c r="I52" i="97"/>
  <c r="H147" i="97" s="1"/>
  <c r="I45" i="97"/>
  <c r="H140" i="97" s="1"/>
  <c r="E156" i="107"/>
  <c r="E155" i="107"/>
  <c r="G285" i="107"/>
  <c r="I285" i="107"/>
  <c r="I123" i="107"/>
  <c r="I127" i="107"/>
  <c r="G127" i="107"/>
  <c r="I126" i="107"/>
  <c r="G126" i="107"/>
  <c r="I124" i="107"/>
  <c r="G124" i="107"/>
  <c r="G129" i="107"/>
  <c r="I129" i="107"/>
  <c r="I125" i="107"/>
  <c r="G125" i="107"/>
  <c r="G128" i="107"/>
  <c r="I128" i="107"/>
  <c r="E91" i="107"/>
  <c r="E90" i="107"/>
  <c r="E72" i="107"/>
  <c r="E54" i="107"/>
  <c r="E53" i="107"/>
  <c r="Q33" i="94"/>
  <c r="P33" i="94"/>
  <c r="O33" i="94"/>
  <c r="N33" i="94"/>
  <c r="O36" i="94"/>
  <c r="P36" i="94"/>
  <c r="N36" i="94"/>
  <c r="Q36" i="94"/>
  <c r="Q28" i="94"/>
  <c r="P28" i="94"/>
  <c r="O28" i="94"/>
  <c r="N28" i="94"/>
  <c r="O31" i="94"/>
  <c r="N31" i="94"/>
  <c r="Q31" i="94"/>
  <c r="P31" i="94"/>
  <c r="Q25" i="94"/>
  <c r="P25" i="94"/>
  <c r="O25" i="94"/>
  <c r="N25" i="94"/>
  <c r="Q27" i="94"/>
  <c r="P27" i="94"/>
  <c r="O27" i="94"/>
  <c r="N27" i="94"/>
  <c r="Q35" i="94"/>
  <c r="P35" i="94"/>
  <c r="O35" i="94"/>
  <c r="N35" i="94"/>
  <c r="Q30" i="94"/>
  <c r="P30" i="94"/>
  <c r="O30" i="94"/>
  <c r="N30" i="94"/>
  <c r="Q38" i="93"/>
  <c r="E64" i="93" s="1"/>
  <c r="P38" i="93"/>
  <c r="E63" i="93" s="1"/>
  <c r="O38" i="93"/>
  <c r="E62" i="93" s="1"/>
  <c r="N38" i="93"/>
  <c r="E61" i="93" s="1"/>
  <c r="H254" i="107"/>
  <c r="H252" i="107"/>
  <c r="F261" i="107"/>
  <c r="G261" i="107" s="1"/>
  <c r="H261" i="107"/>
  <c r="K261" i="107"/>
  <c r="F254" i="107"/>
  <c r="G254" i="107" s="1"/>
  <c r="H260" i="107"/>
  <c r="F260" i="107"/>
  <c r="G260" i="107" s="1"/>
  <c r="K260" i="107"/>
  <c r="H255" i="107"/>
  <c r="K255" i="107"/>
  <c r="F255" i="107"/>
  <c r="G255" i="107" s="1"/>
  <c r="K254" i="107"/>
  <c r="K257" i="107"/>
  <c r="F257" i="107"/>
  <c r="G257" i="107" s="1"/>
  <c r="H257" i="107"/>
  <c r="K253" i="107"/>
  <c r="H253" i="107"/>
  <c r="F253" i="107"/>
  <c r="G253" i="107" s="1"/>
  <c r="K258" i="107"/>
  <c r="H258" i="107"/>
  <c r="F258" i="107"/>
  <c r="G258" i="107" s="1"/>
  <c r="F256" i="107"/>
  <c r="G256" i="107" s="1"/>
  <c r="K256" i="107"/>
  <c r="H256" i="107"/>
  <c r="F252" i="107"/>
  <c r="G252" i="107" s="1"/>
  <c r="H259" i="107"/>
  <c r="F259" i="107"/>
  <c r="G259" i="107" s="1"/>
  <c r="K259" i="107"/>
  <c r="N20" i="100"/>
  <c r="R36" i="100" s="1"/>
  <c r="N43" i="100" s="1"/>
  <c r="O11" i="82" a="1"/>
  <c r="Y236" i="107"/>
  <c r="AA236" i="107" s="1" a="1"/>
  <c r="AA236" i="107" s="1"/>
  <c r="AA242" i="107" a="1"/>
  <c r="AA242" i="107" s="1"/>
  <c r="AA244" i="107" a="1"/>
  <c r="AA244" i="107" s="1"/>
  <c r="AA237" i="107" a="1"/>
  <c r="AA237" i="107" s="1"/>
  <c r="AA243" i="107" a="1"/>
  <c r="AA243" i="107" s="1"/>
  <c r="AA245" i="107" a="1"/>
  <c r="AA245" i="107" s="1"/>
  <c r="AA238" i="107" a="1"/>
  <c r="AA238" i="107" s="1"/>
  <c r="AA240" i="107" a="1"/>
  <c r="AA240" i="107" s="1"/>
  <c r="AA241" i="107" a="1"/>
  <c r="AA241" i="107" s="1"/>
  <c r="AA239" i="107" a="1"/>
  <c r="AA239" i="107" s="1"/>
  <c r="E73" i="107"/>
  <c r="U236" i="107"/>
  <c r="W236" i="107" s="1" a="1"/>
  <c r="W236" i="107" s="1"/>
  <c r="W240" i="107" a="1"/>
  <c r="W240" i="107" s="1"/>
  <c r="W242" i="107" a="1"/>
  <c r="W242" i="107" s="1"/>
  <c r="W244" i="107" a="1"/>
  <c r="W244" i="107" s="1"/>
  <c r="W237" i="107" a="1"/>
  <c r="W237" i="107" s="1"/>
  <c r="W245" i="107" a="1"/>
  <c r="W245" i="107" s="1"/>
  <c r="W238" i="107" a="1"/>
  <c r="W238" i="107" s="1"/>
  <c r="W243" i="107" a="1"/>
  <c r="W243" i="107" s="1"/>
  <c r="W241" i="107" a="1"/>
  <c r="W241" i="107" s="1"/>
  <c r="W239" i="107" a="1"/>
  <c r="W239" i="107" s="1"/>
  <c r="G116" i="97" a="1"/>
  <c r="G116" i="97" s="1"/>
  <c r="G21" i="97" a="1"/>
  <c r="G21" i="97" s="1"/>
  <c r="G157" i="97" a="1"/>
  <c r="G157" i="97" s="1"/>
  <c r="G59" i="97" a="1"/>
  <c r="G59" i="97" s="1"/>
  <c r="Q236" i="107"/>
  <c r="S236" i="107" s="1" a="1"/>
  <c r="S236" i="107" s="1"/>
  <c r="S240" i="107" a="1"/>
  <c r="S240" i="107" s="1"/>
  <c r="S242" i="107" a="1"/>
  <c r="S242" i="107" s="1"/>
  <c r="S241" i="107" a="1"/>
  <c r="S241" i="107" s="1"/>
  <c r="S243" i="107" a="1"/>
  <c r="S243" i="107" s="1"/>
  <c r="S245" i="107" a="1"/>
  <c r="S245" i="107" s="1"/>
  <c r="S238" i="107" a="1"/>
  <c r="S238" i="107" s="1"/>
  <c r="S239" i="107" a="1"/>
  <c r="S239" i="107" s="1"/>
  <c r="S244" i="107" a="1"/>
  <c r="S244" i="107" s="1"/>
  <c r="S237" i="107" a="1"/>
  <c r="S237" i="107" s="1"/>
  <c r="AC236" i="107"/>
  <c r="AE236" i="107" s="1" a="1"/>
  <c r="AE236" i="107" s="1"/>
  <c r="AE242" i="107" a="1"/>
  <c r="AE242" i="107" s="1"/>
  <c r="AE244" i="107" a="1"/>
  <c r="AE244" i="107" s="1"/>
  <c r="AE237" i="107" a="1"/>
  <c r="AE237" i="107" s="1"/>
  <c r="AE239" i="107" a="1"/>
  <c r="AE239" i="107" s="1"/>
  <c r="AE240" i="107" a="1"/>
  <c r="AE240" i="107" s="1"/>
  <c r="AE243" i="107" a="1"/>
  <c r="AE243" i="107" s="1"/>
  <c r="AE241" i="107" a="1"/>
  <c r="AE241" i="107" s="1"/>
  <c r="AE245" i="107" a="1"/>
  <c r="AE245" i="107" s="1"/>
  <c r="AE238" i="107" a="1"/>
  <c r="AE238" i="107" s="1"/>
  <c r="AK236" i="107"/>
  <c r="AM236" i="107" s="1" a="1"/>
  <c r="AM236" i="107" s="1"/>
  <c r="AM244" i="107" a="1"/>
  <c r="AM244" i="107" s="1"/>
  <c r="AM237" i="107" a="1"/>
  <c r="AM237" i="107" s="1"/>
  <c r="AM239" i="107" a="1"/>
  <c r="AM239" i="107" s="1"/>
  <c r="AM241" i="107" a="1"/>
  <c r="AM241" i="107" s="1"/>
  <c r="AM242" i="107" a="1"/>
  <c r="AM242" i="107" s="1"/>
  <c r="AM240" i="107" a="1"/>
  <c r="AM240" i="107" s="1"/>
  <c r="AM245" i="107" a="1"/>
  <c r="AM245" i="107" s="1"/>
  <c r="AM238" i="107" a="1"/>
  <c r="AM238" i="107" s="1"/>
  <c r="AM243" i="107" a="1"/>
  <c r="AM243" i="107" s="1"/>
  <c r="O21" i="82"/>
  <c r="AG236" i="107"/>
  <c r="AI236" i="107" s="1" a="1"/>
  <c r="AI236" i="107" s="1"/>
  <c r="AI244" i="107" a="1"/>
  <c r="AI244" i="107" s="1"/>
  <c r="AI237" i="107" a="1"/>
  <c r="AI237" i="107" s="1"/>
  <c r="AI239" i="107" a="1"/>
  <c r="AI239" i="107" s="1"/>
  <c r="AI243" i="107" a="1"/>
  <c r="AI243" i="107" s="1"/>
  <c r="AI245" i="107" a="1"/>
  <c r="AI245" i="107" s="1"/>
  <c r="AI238" i="107" a="1"/>
  <c r="AI238" i="107" s="1"/>
  <c r="AI240" i="107" a="1"/>
  <c r="AI240" i="107" s="1"/>
  <c r="AI242" i="107" a="1"/>
  <c r="AI242" i="107" s="1"/>
  <c r="AI241" i="107" a="1"/>
  <c r="AI241" i="107" s="1"/>
  <c r="I136" i="97"/>
  <c r="K136" i="97" s="1"/>
  <c r="E657" i="107"/>
  <c r="E475" i="107"/>
  <c r="E474" i="107"/>
  <c r="E35" i="107"/>
  <c r="E34" i="107"/>
  <c r="E456" i="107"/>
  <c r="E44" i="13" s="1" a="1"/>
  <c r="E44" i="13" s="1"/>
  <c r="H44" i="13" s="1"/>
  <c r="E457" i="107"/>
  <c r="F44" i="13" s="1" a="1"/>
  <c r="F44" i="13" s="1"/>
  <c r="I44" i="13" s="1"/>
  <c r="E298" i="107"/>
  <c r="E41" i="13" s="1" a="1"/>
  <c r="E41" i="13" s="1"/>
  <c r="H41" i="13" s="1"/>
  <c r="E299" i="107"/>
  <c r="F41" i="13" s="1" a="1"/>
  <c r="F41" i="13" s="1"/>
  <c r="I41" i="13" s="1"/>
  <c r="E394" i="107"/>
  <c r="E393" i="107"/>
  <c r="I33" i="102"/>
  <c r="E42" i="99"/>
  <c r="E57" i="93"/>
  <c r="E58" i="93"/>
  <c r="E43" i="93"/>
  <c r="E46" i="93"/>
  <c r="E44" i="93"/>
  <c r="E45" i="93"/>
  <c r="E55" i="93"/>
  <c r="E56" i="93"/>
  <c r="D39" i="80"/>
  <c r="D32" i="80"/>
  <c r="D78" i="72" a="1"/>
  <c r="F58" i="72"/>
  <c r="E58" i="72"/>
  <c r="F57" i="72"/>
  <c r="E57" i="72"/>
  <c r="F56" i="72"/>
  <c r="E56" i="72"/>
  <c r="D75" i="72"/>
  <c r="F50" i="13" a="1"/>
  <c r="F50" i="13" s="1"/>
  <c r="I50" i="13" s="1"/>
  <c r="E50" i="13" a="1"/>
  <c r="E50" i="13" s="1"/>
  <c r="H50" i="13" s="1"/>
  <c r="F48" i="13" a="1"/>
  <c r="F48" i="13" s="1"/>
  <c r="I48" i="13" s="1"/>
  <c r="E48" i="13" a="1"/>
  <c r="E48" i="13" s="1"/>
  <c r="H48" i="13" s="1"/>
  <c r="E47" i="13" a="1"/>
  <c r="E47" i="13" s="1"/>
  <c r="F45" i="13" a="1"/>
  <c r="F45" i="13" s="1"/>
  <c r="I45" i="13" s="1"/>
  <c r="E45" i="13" a="1"/>
  <c r="E45" i="13" s="1"/>
  <c r="H45" i="13" s="1"/>
  <c r="F43" i="13" a="1"/>
  <c r="F43" i="13" s="1"/>
  <c r="I43" i="13" s="1"/>
  <c r="E43" i="13" a="1"/>
  <c r="E43" i="13" s="1"/>
  <c r="H43" i="13" s="1"/>
  <c r="I138" i="97" l="1"/>
  <c r="K138" i="97" s="1"/>
  <c r="I179" i="97"/>
  <c r="K179" i="97" s="1"/>
  <c r="I127" i="97"/>
  <c r="K127" i="97" s="1"/>
  <c r="I144" i="97"/>
  <c r="K144" i="97" s="1"/>
  <c r="I185" i="97"/>
  <c r="K185" i="97" s="1"/>
  <c r="I59" i="97"/>
  <c r="H157" i="97" s="1"/>
  <c r="I157" i="97" s="1"/>
  <c r="I168" i="97"/>
  <c r="K168" i="97" s="1"/>
  <c r="I21" i="97"/>
  <c r="H116" i="97" s="1"/>
  <c r="I116" i="97" s="1"/>
  <c r="K116" i="97" s="1"/>
  <c r="E132" i="107"/>
  <c r="E160" i="107" s="1"/>
  <c r="E93" i="107"/>
  <c r="E45" i="94"/>
  <c r="E49" i="94"/>
  <c r="E52" i="94"/>
  <c r="E51" i="94"/>
  <c r="E43" i="94"/>
  <c r="E50" i="94"/>
  <c r="E46" i="94"/>
  <c r="E44" i="94"/>
  <c r="F245" i="107"/>
  <c r="F237" i="107"/>
  <c r="F243" i="107"/>
  <c r="F241" i="107"/>
  <c r="F239" i="107"/>
  <c r="F238" i="107"/>
  <c r="F242" i="107"/>
  <c r="F244" i="107"/>
  <c r="F240" i="107"/>
  <c r="F236" i="107"/>
  <c r="R55" i="100"/>
  <c r="O24" i="101"/>
  <c r="E94" i="107"/>
  <c r="O11" i="82"/>
  <c r="E131" i="107"/>
  <c r="E159" i="107" s="1"/>
  <c r="E70" i="93"/>
  <c r="I530" i="107" s="1"/>
  <c r="E68" i="93"/>
  <c r="E67" i="93"/>
  <c r="E69" i="93"/>
  <c r="F79" i="72"/>
  <c r="E79" i="72"/>
  <c r="D78" i="72"/>
  <c r="F47" i="13"/>
  <c r="I47" i="13" s="1"/>
  <c r="H47" i="13"/>
  <c r="E151" i="97" l="1"/>
  <c r="K157" i="97"/>
  <c r="E192" i="97" s="1"/>
  <c r="E57" i="94"/>
  <c r="E55" i="94"/>
  <c r="E58" i="94"/>
  <c r="I531" i="107" s="1"/>
  <c r="E533" i="107" s="1"/>
  <c r="E46" i="13" s="1" a="1"/>
  <c r="E46" i="13" s="1"/>
  <c r="F46" i="13" s="1"/>
  <c r="I46" i="13" s="1"/>
  <c r="E56" i="94"/>
  <c r="D47" i="13" a="1"/>
  <c r="D47" i="13" s="1"/>
  <c r="E33" i="13" a="1"/>
  <c r="E33" i="13" s="1"/>
  <c r="D33" i="13" a="1"/>
  <c r="D33" i="13" s="1"/>
  <c r="E71" i="72"/>
  <c r="E70" i="72"/>
  <c r="D67" i="72" a="1"/>
  <c r="D67" i="72" s="1"/>
  <c r="D64" i="72"/>
  <c r="D54" i="72" a="1"/>
  <c r="D50" i="72" a="1"/>
  <c r="D50" i="72" s="1"/>
  <c r="D48" i="72"/>
  <c r="G42" i="72"/>
  <c r="E56" i="13" s="1"/>
  <c r="J61" i="78"/>
  <c r="J60" i="78"/>
  <c r="J59" i="78"/>
  <c r="J58" i="78"/>
  <c r="J51" i="78"/>
  <c r="J50" i="78"/>
  <c r="J49" i="78"/>
  <c r="J48" i="78"/>
  <c r="J42" i="78"/>
  <c r="J41" i="78"/>
  <c r="J40" i="78"/>
  <c r="J39" i="78"/>
  <c r="J33" i="78"/>
  <c r="J32" i="78"/>
  <c r="J31" i="78"/>
  <c r="J30" i="78"/>
  <c r="J24" i="78"/>
  <c r="J23" i="78"/>
  <c r="J22" i="78"/>
  <c r="J21" i="78"/>
  <c r="J20" i="78"/>
  <c r="J19" i="78"/>
  <c r="J13" i="78"/>
  <c r="J12" i="78"/>
  <c r="J11" i="78"/>
  <c r="J10" i="78"/>
  <c r="J9" i="78"/>
  <c r="J8" i="78"/>
  <c r="D61" i="78"/>
  <c r="D60" i="78"/>
  <c r="D59" i="78"/>
  <c r="D58" i="78"/>
  <c r="D51" i="78"/>
  <c r="D50" i="78"/>
  <c r="D49" i="78"/>
  <c r="D48" i="78"/>
  <c r="D42" i="78"/>
  <c r="D41" i="78"/>
  <c r="D40" i="78"/>
  <c r="D39" i="78"/>
  <c r="D31" i="78"/>
  <c r="D24" i="78"/>
  <c r="D23" i="78"/>
  <c r="D22" i="78"/>
  <c r="D21" i="78"/>
  <c r="D20" i="78"/>
  <c r="D19" i="78"/>
  <c r="D117" i="79" a="1"/>
  <c r="D117" i="79" s="1"/>
  <c r="D107" i="79" a="1"/>
  <c r="D107" i="79" s="1"/>
  <c r="D83" i="79" a="1"/>
  <c r="D83" i="79" s="1"/>
  <c r="D59" i="79" a="1"/>
  <c r="D59" i="79" s="1"/>
  <c r="E603" i="107" l="1"/>
  <c r="E49" i="13" a="1"/>
  <c r="E49" i="13" s="1"/>
  <c r="F49" i="13" s="1"/>
  <c r="I49" i="13" s="1"/>
  <c r="H24" i="101"/>
  <c r="J37" i="101"/>
  <c r="G83" i="82"/>
  <c r="G97" i="87"/>
  <c r="E99" i="87" s="1" a="1"/>
  <c r="E99" i="87" s="1"/>
  <c r="Q51" i="101"/>
  <c r="H65" i="102"/>
  <c r="O591" i="107"/>
  <c r="M593" i="107" s="1" a="1"/>
  <c r="M593" i="107" s="1"/>
  <c r="G45" i="100"/>
  <c r="G591" i="107"/>
  <c r="H42" i="102"/>
  <c r="P113" i="82"/>
  <c r="P64" i="100"/>
  <c r="G149" i="86"/>
  <c r="E151" i="86" s="1" a="1"/>
  <c r="E151" i="86" s="1"/>
  <c r="G53" i="84"/>
  <c r="G82" i="86"/>
  <c r="G51" i="101"/>
  <c r="I51" i="82"/>
  <c r="I38" i="100"/>
  <c r="I36" i="102"/>
  <c r="J15" i="101"/>
  <c r="I22" i="100"/>
  <c r="I17" i="100" s="1" a="1"/>
  <c r="I17" i="100" s="1"/>
  <c r="E24" i="100" s="1"/>
  <c r="E67" i="72"/>
  <c r="J53" i="78"/>
  <c r="H46" i="13"/>
  <c r="F55" i="72"/>
  <c r="E55" i="72"/>
  <c r="F33" i="13"/>
  <c r="I33" i="13" s="1"/>
  <c r="I34" i="13" s="1"/>
  <c r="H33" i="13"/>
  <c r="H34" i="13" s="1"/>
  <c r="J63" i="78"/>
  <c r="J35" i="78"/>
  <c r="J15" i="78"/>
  <c r="J26" i="78"/>
  <c r="J44" i="78"/>
  <c r="D54" i="72"/>
  <c r="E68" i="72"/>
  <c r="E72" i="72" s="1"/>
  <c r="E69" i="72"/>
  <c r="H48" i="79"/>
  <c r="I51" i="83" s="1"/>
  <c r="E22" i="75"/>
  <c r="H51" i="79"/>
  <c r="E19" i="75"/>
  <c r="H53" i="79"/>
  <c r="H50" i="79"/>
  <c r="S94" i="82" s="1"/>
  <c r="H54" i="79"/>
  <c r="H52" i="79"/>
  <c r="H49" i="79"/>
  <c r="I59" i="102" s="1"/>
  <c r="E8" i="76" a="1"/>
  <c r="E8" i="76" s="1"/>
  <c r="S96" i="82" s="1"/>
  <c r="E10" i="76" a="1"/>
  <c r="E10" i="76" s="1"/>
  <c r="E9" i="76" a="1"/>
  <c r="E9" i="76" s="1"/>
  <c r="S24" i="101" l="1"/>
  <c r="J51" i="86"/>
  <c r="I126" i="86"/>
  <c r="J38" i="101"/>
  <c r="R57" i="100"/>
  <c r="E39" i="102"/>
  <c r="E17" i="13" s="1" a="1"/>
  <c r="E17" i="13" s="1"/>
  <c r="E62" i="102"/>
  <c r="E18" i="13" s="1" a="1"/>
  <c r="E18" i="13" s="1"/>
  <c r="H18" i="13" s="1" a="1"/>
  <c r="H18" i="13" s="1"/>
  <c r="H49" i="13"/>
  <c r="I20" i="85"/>
  <c r="F31" i="81"/>
  <c r="G31" i="81" s="1"/>
  <c r="G14" i="81"/>
  <c r="I14" i="81" s="1"/>
  <c r="H55" i="81"/>
  <c r="F30" i="81"/>
  <c r="G30" i="81" s="1"/>
  <c r="G13" i="81"/>
  <c r="I13" i="81" s="1"/>
  <c r="G12" i="81"/>
  <c r="F25" i="81"/>
  <c r="F28" i="81"/>
  <c r="G28" i="81" s="1"/>
  <c r="F27" i="81"/>
  <c r="G27" i="81" s="1"/>
  <c r="F26" i="81"/>
  <c r="G26" i="81" s="1"/>
  <c r="F42" i="81"/>
  <c r="G42" i="81" s="1"/>
  <c r="G18" i="81"/>
  <c r="I18" i="81" s="1"/>
  <c r="G19" i="81"/>
  <c r="I19" i="81" s="1"/>
  <c r="F34" i="81"/>
  <c r="G34" i="81" s="1"/>
  <c r="G17" i="81"/>
  <c r="I17" i="81" s="1"/>
  <c r="F43" i="81"/>
  <c r="G43" i="81" s="1"/>
  <c r="G20" i="81"/>
  <c r="I20" i="81" s="1"/>
  <c r="F33" i="81"/>
  <c r="G33" i="81" s="1"/>
  <c r="G16" i="81"/>
  <c r="I16" i="81" s="1"/>
  <c r="H54" i="81"/>
  <c r="F44" i="81"/>
  <c r="G44" i="81" s="1"/>
  <c r="H56" i="81"/>
  <c r="F32" i="81"/>
  <c r="G32" i="81" s="1"/>
  <c r="G15" i="81"/>
  <c r="I15" i="81" s="1"/>
  <c r="F29" i="81"/>
  <c r="G29" i="81" s="1"/>
  <c r="G21" i="81"/>
  <c r="I21" i="81" s="1"/>
  <c r="I18" i="87"/>
  <c r="I14" i="87" s="1"/>
  <c r="S98" i="82"/>
  <c r="O108" i="82" s="1" a="1"/>
  <c r="O108" i="82" s="1"/>
  <c r="I60" i="87"/>
  <c r="I56" i="87" s="1"/>
  <c r="J53" i="86"/>
  <c r="J50" i="86" s="1"/>
  <c r="I128" i="86"/>
  <c r="I125" i="86" s="1"/>
  <c r="I54" i="82"/>
  <c r="I50" i="82" s="1"/>
  <c r="N107" i="82"/>
  <c r="N105" i="82"/>
  <c r="J92" i="87"/>
  <c r="E65" i="78"/>
  <c r="K46" i="84"/>
  <c r="E24" i="101"/>
  <c r="I36" i="100"/>
  <c r="I55" i="82"/>
  <c r="S99" i="82"/>
  <c r="N106" i="82" s="1"/>
  <c r="I129" i="86"/>
  <c r="J54" i="86"/>
  <c r="N45" i="101"/>
  <c r="F72" i="87" l="1"/>
  <c r="F74" i="87"/>
  <c r="F73" i="87"/>
  <c r="F71" i="87"/>
  <c r="F70" i="87"/>
  <c r="F69" i="87"/>
  <c r="F66" i="87"/>
  <c r="F68" i="87"/>
  <c r="F67" i="87"/>
  <c r="F65" i="87"/>
  <c r="F75" i="87"/>
  <c r="F141" i="86"/>
  <c r="F140" i="86"/>
  <c r="F138" i="86"/>
  <c r="F137" i="86"/>
  <c r="F142" i="86"/>
  <c r="F143" i="86"/>
  <c r="F144" i="86"/>
  <c r="F139" i="86"/>
  <c r="H41" i="102"/>
  <c r="E44" i="102" s="1" a="1"/>
  <c r="E44" i="102" s="1"/>
  <c r="H64" i="102"/>
  <c r="E67" i="102" s="1" a="1"/>
  <c r="E67" i="102" s="1"/>
  <c r="H29" i="85"/>
  <c r="H25" i="85"/>
  <c r="H26" i="85"/>
  <c r="H27" i="85"/>
  <c r="H28" i="85"/>
  <c r="I24" i="101"/>
  <c r="D45" i="101" s="1"/>
  <c r="O45" i="101"/>
  <c r="O48" i="101" s="1"/>
  <c r="E320" i="107" a="1"/>
  <c r="E320" i="107" s="1"/>
  <c r="E25" i="85" a="1"/>
  <c r="I56" i="81"/>
  <c r="J56" i="81"/>
  <c r="G25" i="81"/>
  <c r="P21" i="82" a="1"/>
  <c r="N108" i="82"/>
  <c r="I54" i="81"/>
  <c r="G20" i="84" a="1"/>
  <c r="J54" i="81"/>
  <c r="F20" i="84" a="1"/>
  <c r="F20" i="84" s="1"/>
  <c r="P11" i="82" a="1"/>
  <c r="I12" i="81"/>
  <c r="E252" i="107" a="1"/>
  <c r="I55" i="81"/>
  <c r="J55" i="81"/>
  <c r="S93" i="82"/>
  <c r="F17" i="13"/>
  <c r="I17" i="13" s="1" a="1"/>
  <c r="I17" i="13" s="1"/>
  <c r="H17" i="13" a="1"/>
  <c r="H17" i="13" s="1"/>
  <c r="F18" i="13"/>
  <c r="I18" i="13" s="1" a="1"/>
  <c r="I18" i="13" s="1"/>
  <c r="Q50" i="101" l="1"/>
  <c r="O53" i="101" s="1" a="1"/>
  <c r="O53" i="101" s="1"/>
  <c r="F16" i="13" a="1"/>
  <c r="F16" i="13" s="1"/>
  <c r="I16" i="13" s="1" a="1"/>
  <c r="I16" i="13" s="1"/>
  <c r="E45" i="101"/>
  <c r="E48" i="101" s="1"/>
  <c r="E22" i="82" a="1"/>
  <c r="E22" i="82" s="1"/>
  <c r="G22" i="82" s="1"/>
  <c r="E63" i="82" s="1"/>
  <c r="E19" i="82" a="1"/>
  <c r="E19" i="82" s="1"/>
  <c r="G19" i="82" s="1"/>
  <c r="E60" i="82" s="1"/>
  <c r="E23" i="82" a="1"/>
  <c r="E23" i="82" s="1"/>
  <c r="G23" i="82" s="1"/>
  <c r="E64" i="82" s="1"/>
  <c r="E25" i="82" a="1"/>
  <c r="E25" i="82" s="1"/>
  <c r="G25" i="82" s="1"/>
  <c r="E66" i="82" s="1"/>
  <c r="E36" i="83" a="1"/>
  <c r="E36" i="83" s="1"/>
  <c r="G36" i="83" s="1"/>
  <c r="E75" i="83" s="1"/>
  <c r="E35" i="83" a="1"/>
  <c r="E35" i="83" s="1"/>
  <c r="G35" i="83" s="1"/>
  <c r="E74" i="83" s="1"/>
  <c r="E236" i="107" a="1"/>
  <c r="E24" i="82" a="1"/>
  <c r="E24" i="82" s="1"/>
  <c r="G24" i="82" s="1"/>
  <c r="E65" i="82" s="1"/>
  <c r="E29" i="83" a="1"/>
  <c r="E29" i="83" s="1"/>
  <c r="G29" i="83" s="1"/>
  <c r="E68" i="83" s="1"/>
  <c r="E28" i="83" a="1"/>
  <c r="E28" i="83" s="1"/>
  <c r="G28" i="83" s="1"/>
  <c r="E67" i="83" s="1"/>
  <c r="E33" i="83" a="1"/>
  <c r="E33" i="83" s="1"/>
  <c r="G33" i="83" s="1"/>
  <c r="E72" i="83" s="1"/>
  <c r="E31" i="83" a="1"/>
  <c r="E31" i="83" s="1"/>
  <c r="G31" i="83" s="1"/>
  <c r="E70" i="83" s="1"/>
  <c r="E35" i="82" a="1"/>
  <c r="E35" i="82" s="1"/>
  <c r="G35" i="82" s="1"/>
  <c r="E76" i="82" s="1"/>
  <c r="E21" i="83" a="1"/>
  <c r="E21" i="83" s="1"/>
  <c r="G21" i="83" s="1"/>
  <c r="E60" i="83" s="1"/>
  <c r="E26" i="83" a="1"/>
  <c r="E26" i="83" s="1"/>
  <c r="G26" i="83" s="1"/>
  <c r="E65" i="83" s="1"/>
  <c r="E24" i="83" a="1"/>
  <c r="E24" i="83" s="1"/>
  <c r="G24" i="83" s="1"/>
  <c r="E63" i="83" s="1"/>
  <c r="E30" i="82" a="1"/>
  <c r="E30" i="82" s="1"/>
  <c r="G30" i="82" s="1"/>
  <c r="E71" i="82" s="1"/>
  <c r="E26" i="82" a="1"/>
  <c r="E26" i="82" s="1"/>
  <c r="G26" i="82" s="1"/>
  <c r="E67" i="82" s="1"/>
  <c r="E37" i="82" a="1"/>
  <c r="E37" i="82" s="1"/>
  <c r="G37" i="82" s="1"/>
  <c r="E78" i="82" s="1"/>
  <c r="E19" i="83" a="1"/>
  <c r="E19" i="83" s="1"/>
  <c r="G19" i="83" s="1"/>
  <c r="E58" i="83" s="1"/>
  <c r="E33" i="82" a="1"/>
  <c r="E33" i="82" s="1"/>
  <c r="G33" i="82" s="1"/>
  <c r="E74" i="82" s="1"/>
  <c r="E22" i="83" a="1"/>
  <c r="E22" i="83" s="1"/>
  <c r="G22" i="83" s="1"/>
  <c r="E61" i="83" s="1"/>
  <c r="E25" i="83" a="1"/>
  <c r="E25" i="83" s="1"/>
  <c r="G25" i="83" s="1"/>
  <c r="E64" i="83" s="1"/>
  <c r="E31" i="82" a="1"/>
  <c r="E31" i="82" s="1"/>
  <c r="G31" i="82" s="1"/>
  <c r="E72" i="82" s="1"/>
  <c r="E27" i="83" a="1"/>
  <c r="E27" i="83" s="1"/>
  <c r="G27" i="83" s="1"/>
  <c r="E66" i="83" s="1"/>
  <c r="E20" i="82" a="1"/>
  <c r="E20" i="82" s="1"/>
  <c r="G20" i="82" s="1"/>
  <c r="E61" i="82" s="1"/>
  <c r="E37" i="83" a="1"/>
  <c r="E37" i="83" s="1"/>
  <c r="G37" i="83" s="1"/>
  <c r="E76" i="83" s="1"/>
  <c r="E30" i="83" a="1"/>
  <c r="E30" i="83" s="1"/>
  <c r="G30" i="83" s="1"/>
  <c r="E69" i="83" s="1"/>
  <c r="E20" i="83" a="1"/>
  <c r="E20" i="83" s="1"/>
  <c r="G20" i="83" s="1"/>
  <c r="E59" i="83" s="1"/>
  <c r="E34" i="82" a="1"/>
  <c r="E34" i="82" s="1"/>
  <c r="G34" i="82" s="1"/>
  <c r="E75" i="82" s="1"/>
  <c r="E23" i="83" a="1"/>
  <c r="E23" i="83" s="1"/>
  <c r="G23" i="83" s="1"/>
  <c r="E62" i="83" s="1"/>
  <c r="E28" i="82" a="1"/>
  <c r="E28" i="82" s="1"/>
  <c r="G28" i="82" s="1"/>
  <c r="E69" i="82" s="1"/>
  <c r="E32" i="83" a="1"/>
  <c r="E32" i="83" s="1"/>
  <c r="G32" i="83" s="1"/>
  <c r="E71" i="83" s="1"/>
  <c r="E36" i="82" a="1"/>
  <c r="E36" i="82" s="1"/>
  <c r="G36" i="82" s="1"/>
  <c r="E77" i="82" s="1"/>
  <c r="E27" i="82" a="1"/>
  <c r="E27" i="82" s="1"/>
  <c r="G27" i="82" s="1"/>
  <c r="E68" i="82" s="1"/>
  <c r="E32" i="82" a="1"/>
  <c r="E32" i="82" s="1"/>
  <c r="G32" i="82" s="1"/>
  <c r="E73" i="82" s="1"/>
  <c r="E34" i="83" a="1"/>
  <c r="E34" i="83" s="1"/>
  <c r="G34" i="83" s="1"/>
  <c r="E73" i="83" s="1"/>
  <c r="E29" i="82" a="1"/>
  <c r="E29" i="82" s="1"/>
  <c r="G29" i="82" s="1"/>
  <c r="E70" i="82" s="1"/>
  <c r="E21" i="82" a="1"/>
  <c r="E21" i="82" s="1"/>
  <c r="G21" i="82" s="1"/>
  <c r="E62" i="82" s="1"/>
  <c r="P21" i="82"/>
  <c r="Q21" i="82" s="1"/>
  <c r="Q28" i="82"/>
  <c r="Q30" i="82"/>
  <c r="Q26" i="82"/>
  <c r="Q22" i="82"/>
  <c r="Q24" i="82"/>
  <c r="Q25" i="82"/>
  <c r="Q29" i="82"/>
  <c r="Q27" i="82"/>
  <c r="Q23" i="82"/>
  <c r="P11" i="82"/>
  <c r="Q19" i="82"/>
  <c r="Q15" i="82"/>
  <c r="Q17" i="82"/>
  <c r="Q14" i="82"/>
  <c r="Q18" i="82"/>
  <c r="Q16" i="82"/>
  <c r="Q13" i="82"/>
  <c r="Q20" i="82"/>
  <c r="Q12" i="82"/>
  <c r="G20" i="84"/>
  <c r="E25" i="85"/>
  <c r="F320" i="107" a="1"/>
  <c r="H320" i="107" a="1"/>
  <c r="H320" i="107" s="1"/>
  <c r="G320" i="107" a="1"/>
  <c r="G320" i="107" s="1"/>
  <c r="E252" i="107"/>
  <c r="E30" i="72"/>
  <c r="E25" i="72"/>
  <c r="J245" i="107" l="1"/>
  <c r="J244" i="107"/>
  <c r="J243" i="107"/>
  <c r="J242" i="107"/>
  <c r="J241" i="107"/>
  <c r="J240" i="107"/>
  <c r="J239" i="107"/>
  <c r="J238" i="107"/>
  <c r="J237" i="107"/>
  <c r="K245" i="107"/>
  <c r="H239" i="107"/>
  <c r="K244" i="107"/>
  <c r="H241" i="107"/>
  <c r="H240" i="107"/>
  <c r="K240" i="107"/>
  <c r="H245" i="107"/>
  <c r="K238" i="107"/>
  <c r="K242" i="107"/>
  <c r="K243" i="107"/>
  <c r="K237" i="107"/>
  <c r="H238" i="107"/>
  <c r="H237" i="107"/>
  <c r="H242" i="107"/>
  <c r="H244" i="107"/>
  <c r="K239" i="107"/>
  <c r="K241" i="107"/>
  <c r="H243" i="107"/>
  <c r="G244" i="107"/>
  <c r="G240" i="107"/>
  <c r="G243" i="107"/>
  <c r="G237" i="107"/>
  <c r="G245" i="107"/>
  <c r="G241" i="107"/>
  <c r="G238" i="107"/>
  <c r="G239" i="107"/>
  <c r="G242" i="107"/>
  <c r="G50" i="101"/>
  <c r="E53" i="101" s="1" a="1"/>
  <c r="E53" i="101" s="1"/>
  <c r="E16" i="13" a="1"/>
  <c r="E16" i="13" s="1"/>
  <c r="H16" i="13" s="1" a="1"/>
  <c r="H16" i="13" s="1"/>
  <c r="E39" i="87"/>
  <c r="F39" i="87" s="1"/>
  <c r="E35" i="86"/>
  <c r="E29" i="86"/>
  <c r="E33" i="87"/>
  <c r="F33" i="87" s="1"/>
  <c r="E102" i="86"/>
  <c r="E134" i="86" s="1"/>
  <c r="F134" i="86" s="1"/>
  <c r="E65" i="87"/>
  <c r="E32" i="84"/>
  <c r="K44" i="84" s="1"/>
  <c r="E24" i="87"/>
  <c r="F24" i="87" s="1"/>
  <c r="E20" i="86"/>
  <c r="F320" i="107"/>
  <c r="E32" i="86"/>
  <c r="E36" i="87"/>
  <c r="F36" i="87" s="1"/>
  <c r="E28" i="87"/>
  <c r="F28" i="87" s="1"/>
  <c r="E24" i="86"/>
  <c r="E31" i="85"/>
  <c r="E103" i="86"/>
  <c r="E135" i="86" s="1"/>
  <c r="F135" i="86" s="1"/>
  <c r="E66" i="87"/>
  <c r="E31" i="87"/>
  <c r="F31" i="87" s="1"/>
  <c r="E27" i="86"/>
  <c r="E33" i="86"/>
  <c r="E37" i="87"/>
  <c r="F37" i="87" s="1"/>
  <c r="E236" i="107"/>
  <c r="E78" i="83"/>
  <c r="E40" i="87"/>
  <c r="F40" i="87" s="1"/>
  <c r="E36" i="86"/>
  <c r="E37" i="86"/>
  <c r="E41" i="87"/>
  <c r="F41" i="87" s="1"/>
  <c r="E31" i="86"/>
  <c r="E35" i="87"/>
  <c r="F35" i="87" s="1"/>
  <c r="N34" i="82"/>
  <c r="Q11" i="82"/>
  <c r="N33" i="82" s="1"/>
  <c r="E32" i="87"/>
  <c r="F32" i="87" s="1"/>
  <c r="E28" i="86"/>
  <c r="E30" i="87"/>
  <c r="F30" i="87" s="1"/>
  <c r="E26" i="86"/>
  <c r="E25" i="86"/>
  <c r="E29" i="87"/>
  <c r="F29" i="87" s="1"/>
  <c r="E104" i="86"/>
  <c r="E136" i="86" s="1"/>
  <c r="F136" i="86" s="1"/>
  <c r="E67" i="87"/>
  <c r="E34" i="87"/>
  <c r="F34" i="87" s="1"/>
  <c r="E30" i="86"/>
  <c r="E23" i="86"/>
  <c r="E27" i="87"/>
  <c r="F27" i="87" s="1"/>
  <c r="E23" i="87"/>
  <c r="F23" i="87" s="1"/>
  <c r="E19" i="86"/>
  <c r="E25" i="87"/>
  <c r="F25" i="87" s="1"/>
  <c r="E21" i="86"/>
  <c r="E34" i="86"/>
  <c r="E38" i="87"/>
  <c r="F38" i="87" s="1"/>
  <c r="E22" i="86"/>
  <c r="E26" i="87"/>
  <c r="F26" i="87" s="1"/>
  <c r="E27" i="72" a="1"/>
  <c r="E27" i="72" s="1"/>
  <c r="E22" i="72" a="1"/>
  <c r="E22" i="72" s="1"/>
  <c r="J236" i="107" l="1"/>
  <c r="E264" i="107" s="1"/>
  <c r="K236" i="107"/>
  <c r="E267" i="107" s="1"/>
  <c r="F40" i="13" s="1" a="1"/>
  <c r="F40" i="13" s="1"/>
  <c r="I40" i="13" s="1"/>
  <c r="H236" i="107"/>
  <c r="E266" i="107" s="1"/>
  <c r="E40" i="13" s="1" a="1"/>
  <c r="E40" i="13" s="1"/>
  <c r="H40" i="13" s="1"/>
  <c r="G236" i="107"/>
  <c r="E263" i="107" s="1"/>
  <c r="H19" i="86"/>
  <c r="E59" i="86" s="1"/>
  <c r="F59" i="86" s="1"/>
  <c r="H37" i="86"/>
  <c r="E77" i="86" s="1"/>
  <c r="F77" i="86" s="1"/>
  <c r="H36" i="86"/>
  <c r="E76" i="86" s="1"/>
  <c r="F76" i="86" s="1"/>
  <c r="H32" i="86"/>
  <c r="E72" i="86" s="1"/>
  <c r="F72" i="86" s="1"/>
  <c r="H20" i="86"/>
  <c r="E60" i="86" s="1"/>
  <c r="F60" i="86" s="1"/>
  <c r="H22" i="86"/>
  <c r="E62" i="86" s="1"/>
  <c r="F62" i="86" s="1"/>
  <c r="H25" i="86"/>
  <c r="E65" i="86" s="1"/>
  <c r="F65" i="86" s="1"/>
  <c r="H26" i="86"/>
  <c r="E66" i="86" s="1"/>
  <c r="F66" i="86" s="1"/>
  <c r="H34" i="86"/>
  <c r="E74" i="86" s="1"/>
  <c r="F74" i="86" s="1"/>
  <c r="H33" i="86"/>
  <c r="E73" i="86" s="1"/>
  <c r="F73" i="86" s="1"/>
  <c r="H29" i="86"/>
  <c r="E69" i="86" s="1"/>
  <c r="F69" i="86" s="1"/>
  <c r="H28" i="86"/>
  <c r="E68" i="86" s="1"/>
  <c r="F68" i="86" s="1"/>
  <c r="H35" i="86"/>
  <c r="E75" i="86" s="1"/>
  <c r="F75" i="86" s="1"/>
  <c r="H21" i="86"/>
  <c r="E61" i="86" s="1"/>
  <c r="F61" i="86" s="1"/>
  <c r="H27" i="86"/>
  <c r="E67" i="86" s="1"/>
  <c r="F67" i="86" s="1"/>
  <c r="H23" i="86"/>
  <c r="E63" i="86" s="1"/>
  <c r="F63" i="86" s="1"/>
  <c r="H31" i="86"/>
  <c r="E71" i="86" s="1"/>
  <c r="F71" i="86" s="1"/>
  <c r="H24" i="86"/>
  <c r="E64" i="86" s="1"/>
  <c r="F64" i="86" s="1"/>
  <c r="H30" i="86"/>
  <c r="E70" i="86" s="1"/>
  <c r="F70" i="86" s="1"/>
  <c r="E331" i="107"/>
  <c r="E42" i="13" s="1" a="1"/>
  <c r="E42" i="13" s="1"/>
  <c r="H42" i="13" s="1"/>
  <c r="E332" i="107"/>
  <c r="F42" i="13" s="1" a="1"/>
  <c r="F42" i="13" s="1"/>
  <c r="I42" i="13" s="1"/>
  <c r="S92" i="82"/>
  <c r="N35" i="82"/>
  <c r="E77" i="87"/>
  <c r="J90" i="87" s="1"/>
  <c r="E80" i="82"/>
  <c r="G82" i="82" s="1"/>
  <c r="E85" i="82" s="1" a="1"/>
  <c r="E85" i="82" s="1"/>
  <c r="E146" i="86"/>
  <c r="J585" i="107" s="1"/>
  <c r="E43" i="87"/>
  <c r="J89" i="87" s="1"/>
  <c r="F55" i="80"/>
  <c r="F53" i="80"/>
  <c r="F54" i="80" s="1"/>
  <c r="F46" i="80"/>
  <c r="F44" i="80"/>
  <c r="F58" i="80"/>
  <c r="F56" i="80"/>
  <c r="F57" i="80" s="1"/>
  <c r="F49" i="80"/>
  <c r="F47" i="80"/>
  <c r="E25" i="13" a="1"/>
  <c r="E25" i="13" s="1"/>
  <c r="H25" i="13" s="1"/>
  <c r="E24" i="13" a="1"/>
  <c r="E24" i="13" s="1"/>
  <c r="H24" i="13" s="1" a="1"/>
  <c r="H24" i="13" s="1"/>
  <c r="E23" i="13" a="1"/>
  <c r="E23" i="13" s="1"/>
  <c r="E22" i="13" a="1"/>
  <c r="E22" i="13" s="1"/>
  <c r="H22" i="13" s="1"/>
  <c r="E21" i="13" a="1"/>
  <c r="E21" i="13" s="1"/>
  <c r="E20" i="13" a="1"/>
  <c r="E20" i="13" s="1"/>
  <c r="H20" i="13" s="1" a="1"/>
  <c r="H20" i="13" s="1"/>
  <c r="E19" i="13" a="1"/>
  <c r="E19" i="13" s="1"/>
  <c r="H19" i="13" s="1"/>
  <c r="H14" i="13" a="1"/>
  <c r="H14" i="13" s="1"/>
  <c r="H13" i="13" a="1"/>
  <c r="H13" i="13" s="1"/>
  <c r="E12" i="13" a="1"/>
  <c r="E12" i="13" s="1"/>
  <c r="E10" i="13" a="1"/>
  <c r="E10" i="13" s="1"/>
  <c r="F10" i="13" s="1"/>
  <c r="I10" i="13" s="1"/>
  <c r="E13" i="72"/>
  <c r="E18" i="75"/>
  <c r="E20" i="75" s="1"/>
  <c r="E21" i="75" s="1"/>
  <c r="E20" i="72"/>
  <c r="E94" i="87" l="1"/>
  <c r="E79" i="86"/>
  <c r="G81" i="86" s="1"/>
  <c r="E84" i="86" s="1" a="1"/>
  <c r="E84" i="86" s="1"/>
  <c r="N110" i="82"/>
  <c r="P112" i="82" s="1"/>
  <c r="N115" i="82" s="1" a="1"/>
  <c r="N115" i="82" s="1"/>
  <c r="I51" i="13"/>
  <c r="J586" i="107"/>
  <c r="E9" i="13" a="1"/>
  <c r="E9" i="13" s="1"/>
  <c r="H9" i="13" s="1" a="1"/>
  <c r="H9" i="13" s="1"/>
  <c r="H51" i="13"/>
  <c r="K48" i="84"/>
  <c r="K45" i="84" s="1"/>
  <c r="E50" i="84" s="1"/>
  <c r="I40" i="100"/>
  <c r="I37" i="100" s="1" a="1"/>
  <c r="I37" i="100" s="1"/>
  <c r="E42" i="100" s="1"/>
  <c r="R59" i="100"/>
  <c r="R56" i="100" s="1" a="1"/>
  <c r="R56" i="100" s="1"/>
  <c r="N61" i="100" s="1"/>
  <c r="R76" i="82"/>
  <c r="R46" i="82"/>
  <c r="R60" i="82"/>
  <c r="D4" i="13"/>
  <c r="E30" i="89"/>
  <c r="D59" i="13"/>
  <c r="D54" i="13"/>
  <c r="D39" i="72"/>
  <c r="F48" i="80"/>
  <c r="G47" i="80"/>
  <c r="G48" i="80" s="1"/>
  <c r="F45" i="80"/>
  <c r="G44" i="80"/>
  <c r="G45" i="80" s="1"/>
  <c r="F21" i="13"/>
  <c r="I21" i="13" s="1" a="1"/>
  <c r="I21" i="13" s="1"/>
  <c r="H21" i="13" a="1"/>
  <c r="H21" i="13" s="1"/>
  <c r="F23" i="13"/>
  <c r="I23" i="13" s="1" a="1"/>
  <c r="I23" i="13" s="1"/>
  <c r="H23" i="13" a="1"/>
  <c r="H23" i="13" s="1"/>
  <c r="F19" i="13"/>
  <c r="I19" i="13" s="1"/>
  <c r="F25" i="13"/>
  <c r="I25" i="13" s="1"/>
  <c r="F20" i="13"/>
  <c r="I20" i="13" s="1" a="1"/>
  <c r="I20" i="13" s="1"/>
  <c r="F13" i="13"/>
  <c r="I13" i="13" s="1" a="1"/>
  <c r="I13" i="13" s="1"/>
  <c r="F12" i="13"/>
  <c r="I12" i="13" s="1"/>
  <c r="H12" i="13"/>
  <c r="F14" i="13"/>
  <c r="I14" i="13" s="1" a="1"/>
  <c r="I14" i="13" s="1"/>
  <c r="H10" i="13"/>
  <c r="F22" i="13"/>
  <c r="I22" i="13" s="1"/>
  <c r="F24" i="13"/>
  <c r="I24" i="13" s="1" a="1"/>
  <c r="I24" i="13" s="1"/>
  <c r="F9" i="13" l="1" a="1"/>
  <c r="F9" i="13" s="1"/>
  <c r="I9" i="13" s="1" a="1"/>
  <c r="I9" i="13" s="1"/>
  <c r="N49" i="82"/>
  <c r="O105" i="82" s="1"/>
  <c r="N63" i="82"/>
  <c r="O106" i="82" s="1"/>
  <c r="N79" i="82"/>
  <c r="O107" i="82" s="1"/>
  <c r="E588" i="107"/>
  <c r="G590" i="107" s="1"/>
  <c r="E593" i="107" s="1" a="1"/>
  <c r="E593" i="107" s="1"/>
  <c r="I46" i="89"/>
  <c r="E50" i="89" s="1"/>
  <c r="I48" i="89"/>
  <c r="I39" i="89"/>
  <c r="I37" i="89"/>
  <c r="I47" i="89"/>
  <c r="I38" i="89"/>
  <c r="P63" i="100"/>
  <c r="N66" i="100" s="1" a="1"/>
  <c r="N66" i="100" s="1"/>
  <c r="F15" i="13" a="1"/>
  <c r="F15" i="13" s="1"/>
  <c r="I15" i="13" s="1" a="1"/>
  <c r="I15" i="13" s="1"/>
  <c r="G44" i="100"/>
  <c r="E47" i="100" s="1" a="1"/>
  <c r="E47" i="100" s="1"/>
  <c r="E15" i="13" a="1"/>
  <c r="E15" i="13" s="1"/>
  <c r="H15" i="13" s="1" a="1"/>
  <c r="H15" i="13" s="1"/>
  <c r="G52" i="84"/>
  <c r="E55" i="84" s="1" a="1"/>
  <c r="E55" i="84" s="1"/>
  <c r="E11" i="13" a="1"/>
  <c r="E11" i="13" s="1"/>
  <c r="H11" i="13" l="1" a="1"/>
  <c r="H11" i="13" s="1"/>
  <c r="F11" i="13"/>
  <c r="I11" i="13" s="1" a="1"/>
  <c r="I11" i="13" s="1"/>
  <c r="E41" i="89"/>
  <c r="I566" i="107"/>
  <c r="J35" i="90"/>
  <c r="I565" i="107" l="1"/>
  <c r="J34" i="90"/>
  <c r="E26" i="13" s="1" a="1"/>
  <c r="E26" i="13" s="1"/>
  <c r="F26" i="13" l="1"/>
  <c r="I26" i="13" s="1"/>
  <c r="I27" i="13" s="1"/>
  <c r="F62" i="13" s="1"/>
  <c r="H26" i="13"/>
  <c r="H27" i="13" s="1"/>
  <c r="E62" i="13" s="1"/>
  <c r="E54" i="72" l="1"/>
  <c r="E63" i="13"/>
  <c r="F63" i="13"/>
  <c r="F54" i="72"/>
  <c r="F78" i="72" l="1"/>
  <c r="F83" i="72" s="1"/>
  <c r="F37" i="80" s="1"/>
  <c r="F59" i="72"/>
  <c r="F36" i="80" s="1"/>
  <c r="E59" i="72"/>
  <c r="E36" i="80" s="1"/>
  <c r="E78" i="72"/>
  <c r="E83" i="72" s="1"/>
  <c r="E37" i="80" s="1"/>
  <c r="H45" i="80" l="1"/>
  <c r="H57" i="80"/>
  <c r="H54" i="80"/>
  <c r="H48" i="80"/>
  <c r="H44" i="80"/>
  <c r="H56" i="80"/>
  <c r="H53" i="80"/>
  <c r="H47" i="80"/>
  <c r="I53" i="80"/>
  <c r="I47" i="80"/>
  <c r="I56" i="80"/>
  <c r="I44" i="80"/>
  <c r="I54" i="80"/>
  <c r="I48" i="80"/>
  <c r="I45" i="80"/>
  <c r="I57" i="80"/>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1">
    <bk>
      <extLst>
        <ext uri="{3e2802c4-a4d2-4d8b-9148-e3be6c30e623}">
          <xlrd:rvb i="0"/>
        </ext>
      </extLst>
    </bk>
  </futureMetadata>
  <futureMetadata name="XLDAPR" count="1">
    <bk>
      <extLst>
        <ext uri="{bdbb8cdc-fa1e-496e-a857-3c3f30c029c3}">
          <xda:dynamicArrayProperties fDynamic="1" fCollapsed="0"/>
        </ext>
      </extLst>
    </bk>
  </futureMetadata>
  <cellMetadata count="1">
    <bk>
      <rc t="2" v="0"/>
    </bk>
  </cellMetadata>
  <valueMetadata count="1">
    <bk>
      <rc t="1" v="0"/>
    </bk>
  </valueMetadata>
</metadata>
</file>

<file path=xl/sharedStrings.xml><?xml version="1.0" encoding="utf-8"?>
<sst xmlns="http://schemas.openxmlformats.org/spreadsheetml/2006/main" count="6998" uniqueCount="2189">
  <si>
    <t>INPUTS</t>
  </si>
  <si>
    <t>APPENDICES</t>
  </si>
  <si>
    <t>CALCULATIONS</t>
  </si>
  <si>
    <t>Scope 1 source</t>
  </si>
  <si>
    <t>Total</t>
  </si>
  <si>
    <t>GHG Unit</t>
  </si>
  <si>
    <t>t CH4</t>
  </si>
  <si>
    <t>t CO2e</t>
  </si>
  <si>
    <t>GHG emissions method 1</t>
  </si>
  <si>
    <t>GHG emissions method 2</t>
  </si>
  <si>
    <t>CO2-e emissions method 1</t>
  </si>
  <si>
    <t>CO2-e emissions method 2</t>
  </si>
  <si>
    <t>t N2O</t>
  </si>
  <si>
    <t>Production timeframe start</t>
  </si>
  <si>
    <t>Production timeframe end</t>
  </si>
  <si>
    <t>Production timeframe length</t>
  </si>
  <si>
    <t>Emissions calculation period start date</t>
  </si>
  <si>
    <t>Emissions calculation period end date</t>
  </si>
  <si>
    <t>Production</t>
  </si>
  <si>
    <t>tonnes</t>
  </si>
  <si>
    <t>Constants - Common</t>
  </si>
  <si>
    <t>State/Territory</t>
  </si>
  <si>
    <t>Common Name</t>
  </si>
  <si>
    <t>Abbreviation</t>
  </si>
  <si>
    <t>SA 4 Name</t>
  </si>
  <si>
    <t>Gas</t>
  </si>
  <si>
    <t>CO2-e factor</t>
  </si>
  <si>
    <t>Conversion factor</t>
  </si>
  <si>
    <t>Conversion factor 1</t>
  </si>
  <si>
    <t>Conversion factor 2</t>
  </si>
  <si>
    <t>Conversion factor combined</t>
  </si>
  <si>
    <t>Climate zone</t>
  </si>
  <si>
    <t>Wet or Dry Zone</t>
  </si>
  <si>
    <t>MAT</t>
  </si>
  <si>
    <t>MAP</t>
  </si>
  <si>
    <t>Frost days per year</t>
  </si>
  <si>
    <t>Elevation</t>
  </si>
  <si>
    <t>MAP:PET</t>
  </si>
  <si>
    <t>Min temp</t>
  </si>
  <si>
    <t>Max temp</t>
  </si>
  <si>
    <t>Min rainfall</t>
  </si>
  <si>
    <t>Max rainfall</t>
  </si>
  <si>
    <t>Min frost days</t>
  </si>
  <si>
    <t>Max frost days</t>
  </si>
  <si>
    <t>Min elevation</t>
  </si>
  <si>
    <t>Max elevation</t>
  </si>
  <si>
    <t>Min MAP:PET</t>
  </si>
  <si>
    <t>Max MAP:PET</t>
  </si>
  <si>
    <t>Temperature Zone</t>
  </si>
  <si>
    <t>Min MAT</t>
  </si>
  <si>
    <t>Max MAT</t>
  </si>
  <si>
    <t>Rainfall Zone</t>
  </si>
  <si>
    <t>Annual rainfall</t>
  </si>
  <si>
    <t>Leaching Zone</t>
  </si>
  <si>
    <t>Leaching criteria</t>
  </si>
  <si>
    <t>Is in leaching zone</t>
  </si>
  <si>
    <t>FracWET</t>
  </si>
  <si>
    <t>Irrigation type i</t>
  </si>
  <si>
    <t>Data source</t>
  </si>
  <si>
    <t>Data score</t>
  </si>
  <si>
    <t>Production system j</t>
  </si>
  <si>
    <t>EFN2O</t>
  </si>
  <si>
    <t>Production system only</t>
  </si>
  <si>
    <t>Irrigation method</t>
  </si>
  <si>
    <t>Rainfall zone</t>
  </si>
  <si>
    <t>EFPRP</t>
  </si>
  <si>
    <t>Month</t>
  </si>
  <si>
    <t>Season</t>
  </si>
  <si>
    <t>Temperature zone</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</si>
  <si>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</si>
  <si>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</si>
  <si>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</si>
  <si>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</si>
  <si>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</si>
  <si>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</si>
  <si>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</si>
  <si>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</si>
  <si>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</si>
  <si>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</si>
  <si>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</si>
  <si>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</si>
  <si>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</si>
  <si>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</si>
  <si>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</si>
  <si>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Climate Zone</t>
  </si>
  <si>
    <t>EFNi &amp; EFN2Oi</t>
  </si>
  <si>
    <t>Input - Site</t>
  </si>
  <si>
    <t>Your business</t>
  </si>
  <si>
    <t>Farm name</t>
  </si>
  <si>
    <t>Test Farms</t>
  </si>
  <si>
    <t>Reporting entity name</t>
  </si>
  <si>
    <t>Test Farms Pty Ltd</t>
  </si>
  <si>
    <t>💡An 'Emissions accounting period' is a 12 month period where the business can report on the emissions, and is typically the same as the business' financial accounting period.</t>
  </si>
  <si>
    <r>
      <rPr>
        <sz val="10"/>
        <color theme="1" tint="0.34998626667073579"/>
        <rFont val="Arial"/>
        <family val="1"/>
      </rPr>
      <t xml:space="preserve">← </t>
    </r>
    <r>
      <rPr>
        <i/>
        <sz val="10"/>
        <color theme="1" tint="0.34998626667073579"/>
        <rFont val="Arial"/>
        <family val="1"/>
      </rPr>
      <t>DD/MM/YYYY or DD Month YYYY</t>
    </r>
  </si>
  <si>
    <r>
      <rPr>
        <sz val="10"/>
        <color theme="1" tint="0.34998626667073579"/>
        <rFont val="Arial"/>
        <family val="1"/>
      </rPr>
      <t xml:space="preserve">← </t>
    </r>
    <r>
      <rPr>
        <i/>
        <sz val="10"/>
        <color theme="1" tint="0.34998626667073579"/>
        <rFont val="Arial"/>
        <family val="1"/>
      </rPr>
      <t>Automatically calculated, 12 months after start date</t>
    </r>
  </si>
  <si>
    <t>Location and climate</t>
  </si>
  <si>
    <t>Location information is used to reference some region and climate-specific emission factors</t>
  </si>
  <si>
    <t>Tip: Use the web-based GAF Location Helper tool to easily get region and climate information. You will need an internet connection to use the GAF Location Helper.</t>
  </si>
  <si>
    <t>State</t>
  </si>
  <si>
    <t>Western Australia</t>
  </si>
  <si>
    <r>
      <rPr>
        <sz val="10"/>
        <color theme="1" tint="0.34998626667073579"/>
        <rFont val="Arial"/>
        <family val="1"/>
      </rPr>
      <t xml:space="preserve">← </t>
    </r>
    <r>
      <rPr>
        <i/>
        <sz val="10"/>
        <color theme="1" tint="0.34998626667073579"/>
        <rFont val="Arial"/>
        <family val="1"/>
      </rPr>
      <t>Please select</t>
    </r>
  </si>
  <si>
    <t>Region (ABS Statistical area level 4) if state is WA</t>
  </si>
  <si>
    <t>Western Australia - Outback (South)</t>
  </si>
  <si>
    <t>Leaching zone</t>
  </si>
  <si>
    <t>NO - Not in leaching zone</t>
  </si>
  <si>
    <t>Meters</t>
  </si>
  <si>
    <t>Average temperature for reporting period</t>
  </si>
  <si>
    <t>Degrees celsius</t>
  </si>
  <si>
    <t>Total rainfall for reporting period</t>
  </si>
  <si>
    <t>Millimetres</t>
  </si>
  <si>
    <t>Potential evapotranspiration for reporting period</t>
  </si>
  <si>
    <t>Number of frost days for reporting period</t>
  </si>
  <si>
    <t>Days</t>
  </si>
  <si>
    <t>MAP:PET ratio</t>
  </si>
  <si>
    <t>Wet or dry climate zone</t>
  </si>
  <si>
    <t>Emissions calculation cycle</t>
  </si>
  <si>
    <t>Months</t>
  </si>
  <si>
    <t>Amount (tonnnes)</t>
  </si>
  <si>
    <t>Unit</t>
  </si>
  <si>
    <t>Emissions intensity (Method 1)</t>
  </si>
  <si>
    <t>Emissions intensity (Method 2)</t>
  </si>
  <si>
    <t>Product type</t>
  </si>
  <si>
    <t>Main product</t>
  </si>
  <si>
    <t>Co-product</t>
  </si>
  <si>
    <t>N/A</t>
  </si>
  <si>
    <t>Residual product</t>
  </si>
  <si>
    <t>CO2 removed attributed to this enterprise</t>
  </si>
  <si>
    <t>t CO2</t>
  </si>
  <si>
    <t>Total emissions for production cycle</t>
  </si>
  <si>
    <t>Total carbon removals for production cycle</t>
  </si>
  <si>
    <t>Method 1</t>
  </si>
  <si>
    <t>Method 2</t>
  </si>
  <si>
    <t>Product</t>
  </si>
  <si>
    <t>5.1.1.1-2 Inorganic fert N2O</t>
  </si>
  <si>
    <t>5.1.1.3-4 Inorganic fert CO2</t>
  </si>
  <si>
    <t>5.2.1.1-2 Organic fert N2O</t>
  </si>
  <si>
    <t>5.3.1.1-2 Lime CO2</t>
  </si>
  <si>
    <t>5.4.1.1-4 Atmos. deposition</t>
  </si>
  <si>
    <t>5.5.1.1-2 Leaching &amp; runoff</t>
  </si>
  <si>
    <t>8.1.1.1-2 Transport fuel CO2</t>
  </si>
  <si>
    <t>8.1.1.1-2 Transport fuel N2O</t>
  </si>
  <si>
    <t>8.1.1.1-2 Transport fuel CH4</t>
  </si>
  <si>
    <t>8.2.1.1-2 Stationary fuel CO2</t>
  </si>
  <si>
    <t>8.2.1.1-2 Stationary fuel CH4</t>
  </si>
  <si>
    <t>8.2.1.1-2 Stationary fuel N2O</t>
  </si>
  <si>
    <t>14.1.1-2 Purchased electricity (Location-based)</t>
  </si>
  <si>
    <t>14.1.1-2 Purchased electricity (Market-based)</t>
  </si>
  <si>
    <t>Input - Enterprise</t>
  </si>
  <si>
    <t>percent</t>
  </si>
  <si>
    <t>Grain yield</t>
  </si>
  <si>
    <t>Percentage of income from grain sold</t>
  </si>
  <si>
    <t>Baled hay/silage yield</t>
  </si>
  <si>
    <t>Percentage of income from baled hay/silage sold</t>
  </si>
  <si>
    <t>Percent grain sold</t>
  </si>
  <si>
    <t>Percent grain used as feed on own farm</t>
  </si>
  <si>
    <t>Percent grain stored and not sold or used</t>
  </si>
  <si>
    <t>Percent baled hay/silage sold</t>
  </si>
  <si>
    <t>Percent baled hay/silage used as feed on own farm</t>
  </si>
  <si>
    <t>Grain used as feed on own farm</t>
  </si>
  <si>
    <t>Baled haysilage used as feed on own farm</t>
  </si>
  <si>
    <t>t co2e/t grain sold</t>
  </si>
  <si>
    <t>t co2e/t baled hay/silage</t>
  </si>
  <si>
    <t>Economic emissions assignment</t>
  </si>
  <si>
    <t>Mass emissions assignment</t>
  </si>
  <si>
    <t>Emissions intestity (Method 1)</t>
  </si>
  <si>
    <t>Emissions intestity (Method 2)</t>
  </si>
  <si>
    <t>Product emissions - Mass</t>
  </si>
  <si>
    <t>Product emissions - Economic</t>
  </si>
  <si>
    <t>Grain sold - excluding removals</t>
  </si>
  <si>
    <t>Grain sold - net emissions</t>
  </si>
  <si>
    <t>Baled hay/silage sold - excluding removals</t>
  </si>
  <si>
    <t>Baled hay/silage sold - net emissions</t>
  </si>
  <si>
    <t>6.3.1.1-2 Leach &amp; runoff (crop)</t>
  </si>
  <si>
    <t>6.1.1.1-2 Crop residue N2O</t>
  </si>
  <si>
    <t>6.4.1.1-2 Residue burning CH4</t>
  </si>
  <si>
    <t>6.4.1.1-2 Residue burning N2O</t>
  </si>
  <si>
    <t>Input - Fertiliser Production System</t>
  </si>
  <si>
    <t>Production system</t>
  </si>
  <si>
    <t>Crop</t>
  </si>
  <si>
    <t>Crop type</t>
  </si>
  <si>
    <t>Area under cropping</t>
  </si>
  <si>
    <t>These inputs are used for fertiliser calculations, and they take their values from the "Input - Crop" sheet. Do not edit these cells.</t>
  </si>
  <si>
    <t>Input - Data quality</t>
  </si>
  <si>
    <t>Notes</t>
  </si>
  <si>
    <t>Evidence files</t>
  </si>
  <si>
    <t>Score</t>
  </si>
  <si>
    <t>TR4</t>
  </si>
  <si>
    <t>SR5</t>
  </si>
  <si>
    <t>SS3</t>
  </si>
  <si>
    <t>Data quality scoring</t>
  </si>
  <si>
    <t>Table_SourceData_DataQuality_TemporalRepresentativeness</t>
  </si>
  <si>
    <t>Description</t>
  </si>
  <si>
    <t>ID</t>
  </si>
  <si>
    <t>Data collected covers the time-period for which emissions are being estimated  </t>
  </si>
  <si>
    <t>TR5</t>
  </si>
  <si>
    <t>Data collected represents activities that occurred within 2 years of the time-period being assessed  </t>
  </si>
  <si>
    <t>Data collected represents activities that occurred within 3 years of to the time-period being assessed  </t>
  </si>
  <si>
    <t>TR3</t>
  </si>
  <si>
    <t>Data collected represents activities that occurred within 4 years of the time-period being assessed  </t>
  </si>
  <si>
    <t>TR2</t>
  </si>
  <si>
    <t>Age of data unknown or data more than 4 years older than the time-period being reported  </t>
  </si>
  <si>
    <t>TR1</t>
  </si>
  <si>
    <t>Table_SourceData_DataQuality_SpatialRepresentativeness</t>
  </si>
  <si>
    <t>Data covers specific entity location(s) with spatial partitioning or using stratified sampling within property </t>
  </si>
  <si>
    <t>Data covers specific entity location(s) without spatial partitioning within property  </t>
  </si>
  <si>
    <t>SR4</t>
  </si>
  <si>
    <t>Data based on regional data from a government or industry database or survey </t>
  </si>
  <si>
    <t>SR3</t>
  </si>
  <si>
    <t>Data based on state data from a government or industry database or survey </t>
  </si>
  <si>
    <t>SR2</t>
  </si>
  <si>
    <t>Data based on national data from a government or industry database or survey </t>
  </si>
  <si>
    <t>SR1</t>
  </si>
  <si>
    <t>Table_SourceData_DataQuality_SampleSize</t>
  </si>
  <si>
    <t>Data based on sample size of &gt;90% (e.g. total annual fuel purchases) </t>
  </si>
  <si>
    <t>SS5</t>
  </si>
  <si>
    <t>Data based on sample size of 51-90%  </t>
  </si>
  <si>
    <t>SS4</t>
  </si>
  <si>
    <t>Data based on sample size of 21-50%  </t>
  </si>
  <si>
    <t>Data based on sample size of &lt;20% (e.g. liveweight measured for 10% of herd) </t>
  </si>
  <si>
    <t>SS2</t>
  </si>
  <si>
    <t>Unknown (e.g. data based on national/state/regional data source) </t>
  </si>
  <si>
    <t>SS1</t>
  </si>
  <si>
    <t>Table_SourceData_DataQuality_Scope3</t>
  </si>
  <si>
    <t>Verified data provided by supplier consistent with ISO14067:2018 or GHG Protocol Product Lifecycle Accounting and Reporting Standard </t>
  </si>
  <si>
    <t>S35</t>
  </si>
  <si>
    <t>Unverified supplier data, consistent with ISO14067:2018 or GHG Protocol Product Lifecycle Accounting and Reporting Standard, or consistent with these Guidelines (where appropriate)</t>
  </si>
  <si>
    <t>S34</t>
  </si>
  <si>
    <t>Regionally relevant product specific value from database developed using international best practice </t>
  </si>
  <si>
    <t>S33</t>
  </si>
  <si>
    <t>Nationally relevant product specific value from database developed using international best practice   </t>
  </si>
  <si>
    <t>S32</t>
  </si>
  <si>
    <t>Geographically generic product specific value from database developed using international best practice </t>
  </si>
  <si>
    <t>S31</t>
  </si>
  <si>
    <t>User friendly description</t>
  </si>
  <si>
    <t>During this emissions calculation period</t>
  </si>
  <si>
    <t>Within 2 years of this emissions calculation period</t>
  </si>
  <si>
    <t>Within 3 years of this emissions calculation period</t>
  </si>
  <si>
    <t>Within 4 years of this emissions calculation period</t>
  </si>
  <si>
    <t>Unknown, or more than 4 years of this emissions calculation period</t>
  </si>
  <si>
    <t>This location with spatial partitioning</t>
  </si>
  <si>
    <t>This location without spatial partitioning</t>
  </si>
  <si>
    <t>Regional-level data from a government or industry database/survey</t>
  </si>
  <si>
    <t>State-level data from a government or industry database/survey</t>
  </si>
  <si>
    <t>National-level data from a government or industry database/survey</t>
  </si>
  <si>
    <t>Over 90%</t>
  </si>
  <si>
    <t>Between 51% and 90%</t>
  </si>
  <si>
    <t>Between 21% and 50%</t>
  </si>
  <si>
    <t>Less than 20%</t>
  </si>
  <si>
    <t>Unknown</t>
  </si>
  <si>
    <t>Verified report complying to ISO14067 2018 or GHG Protocol Lifecycle Accounting and Reporting Standard</t>
  </si>
  <si>
    <t>Report consistent with ISO14067 2018, GHG Protocol Lifecycle Accounting and Reporting Standard or this tool</t>
  </si>
  <si>
    <t>Regional-level database</t>
  </si>
  <si>
    <t>National-level database</t>
  </si>
  <si>
    <t>Geographically generic database</t>
  </si>
  <si>
    <t>Enterprise</t>
  </si>
  <si>
    <t>Data type</t>
  </si>
  <si>
    <t>When was the data sourced?</t>
  </si>
  <si>
    <t>Where is the data sourced from?</t>
  </si>
  <si>
    <t>How much of the data was from direct samples?</t>
  </si>
  <si>
    <t>Site</t>
  </si>
  <si>
    <t>Fertiliser applications</t>
  </si>
  <si>
    <t>Fuel and electricity</t>
  </si>
  <si>
    <t>Farm input purchases, freight and waste outputs</t>
  </si>
  <si>
    <t>Total data quality score</t>
  </si>
  <si>
    <t>Carbon removals</t>
  </si>
  <si>
    <t>Planting name</t>
  </si>
  <si>
    <t>Total removed CO2</t>
  </si>
  <si>
    <t>Percent allocated to this enterprise</t>
  </si>
  <si>
    <t>Removal allocated to this enterprise</t>
  </si>
  <si>
    <t>Production cycle emissions and removals</t>
  </si>
  <si>
    <t>Enter the method 1 and 2 CO2e emissions (excluding removals) from previous emissions calculation periods if applicable.</t>
  </si>
  <si>
    <t>Scope 1</t>
  </si>
  <si>
    <t>Scope 2</t>
  </si>
  <si>
    <t>Scope 2 source</t>
  </si>
  <si>
    <t>Total scope 2</t>
  </si>
  <si>
    <t>Scope 3</t>
  </si>
  <si>
    <t>Scope 3 source</t>
  </si>
  <si>
    <t>15.4.1.1 Fertiliser</t>
  </si>
  <si>
    <t>15.5.1.1 Agrichemicals</t>
  </si>
  <si>
    <t>15.6.1.1 Lime</t>
  </si>
  <si>
    <t>15.7.1.1 Services and contractor operations</t>
  </si>
  <si>
    <t>15.10.1.1 Other: Cleaning chemicals</t>
  </si>
  <si>
    <t>15.10.1.1 Other: Uncategorised</t>
  </si>
  <si>
    <t>15.11.1.1 Fuel</t>
  </si>
  <si>
    <t>15.14.1.1 Incoming freight</t>
  </si>
  <si>
    <t>15.13.1.1 Waste sent to treatment facility</t>
  </si>
  <si>
    <t>15.14.1.1 Outgoing freight</t>
  </si>
  <si>
    <t>Total scope 3</t>
  </si>
  <si>
    <t>Total removals</t>
  </si>
  <si>
    <t>Total emissions excluding removals</t>
  </si>
  <si>
    <t>t CO2-e</t>
  </si>
  <si>
    <t>Total net emissions</t>
  </si>
  <si>
    <t>Emissions for production cycle excluding removals</t>
  </si>
  <si>
    <t>Net emissions for production cycle</t>
  </si>
  <si>
    <t>Results - Product emissions intensity</t>
  </si>
  <si>
    <t>Results - Activity period</t>
  </si>
  <si>
    <t>Crop management</t>
  </si>
  <si>
    <t>Input - Fertiliser</t>
  </si>
  <si>
    <t>Inorganic fertiliser applied</t>
  </si>
  <si>
    <t>💡You can add more rows to tables by right-clicking on the table and selecting "Insert &gt; Table rows above/below".</t>
  </si>
  <si>
    <t>💡The application area is the same as the area under pasture / cropping by default. You can edit it if the application area is different.</t>
  </si>
  <si>
    <t>Branded fertiliser products</t>
  </si>
  <si>
    <t>Product (select)</t>
  </si>
  <si>
    <r>
      <t xml:space="preserve">Amount applied </t>
    </r>
    <r>
      <rPr>
        <sz val="10"/>
        <color theme="1"/>
        <rFont val="Arial"/>
        <family val="1"/>
      </rPr>
      <t>per hectare</t>
    </r>
  </si>
  <si>
    <t>Application unit</t>
  </si>
  <si>
    <t>Application area (ha)</t>
  </si>
  <si>
    <t>Density</t>
  </si>
  <si>
    <t>Total applied (kg)</t>
  </si>
  <si>
    <t>Ingredient 1</t>
  </si>
  <si>
    <t>Ingredient 1 percent</t>
  </si>
  <si>
    <t>Ingredient 2</t>
  </si>
  <si>
    <t>Ingredient 2 percent</t>
  </si>
  <si>
    <t>Ingredient 3</t>
  </si>
  <si>
    <t>Ingredient 3 percent</t>
  </si>
  <si>
    <t>Ingredient 4</t>
  </si>
  <si>
    <t>Ingredient 4 percent</t>
  </si>
  <si>
    <t>Ingredient 5</t>
  </si>
  <si>
    <t>Ingredient 5 percent</t>
  </si>
  <si>
    <t>Ingredient 6</t>
  </si>
  <si>
    <t>Ingredient 6 percent</t>
  </si>
  <si>
    <t>% N (Ingredients)</t>
  </si>
  <si>
    <t>% N (declared)</t>
  </si>
  <si>
    <t>N application rate (kg/ha)</t>
  </si>
  <si>
    <t>Urea source</t>
  </si>
  <si>
    <t>Ammonia source</t>
  </si>
  <si>
    <t>Urea</t>
  </si>
  <si>
    <t>Boost-It</t>
  </si>
  <si>
    <t>Cal-Gran 50/50</t>
  </si>
  <si>
    <t>Custom fertiliser blends</t>
  </si>
  <si>
    <t>Custom blend name</t>
  </si>
  <si>
    <r>
      <t xml:space="preserve">Amount applied </t>
    </r>
    <r>
      <rPr>
        <sz val="10"/>
        <color theme="1"/>
        <rFont val="Arial"/>
        <family val="1"/>
      </rPr>
      <t>(kg / ha)</t>
    </r>
  </si>
  <si>
    <t>Ingredient 1 (select)</t>
  </si>
  <si>
    <t>Urea source (Select)</t>
  </si>
  <si>
    <t>Ammonia source (select)</t>
  </si>
  <si>
    <t>My first custom blend</t>
  </si>
  <si>
    <t>Calcium nitrate</t>
  </si>
  <si>
    <t>Zinc - Generic</t>
  </si>
  <si>
    <t>Potassium - Generic</t>
  </si>
  <si>
    <t>Sulfur - Generic</t>
  </si>
  <si>
    <t>My second custom blend</t>
  </si>
  <si>
    <t>My third custom blend</t>
  </si>
  <si>
    <t>Ammonia</t>
  </si>
  <si>
    <t>Lime applications</t>
  </si>
  <si>
    <t>💡 You can add more rows to the table by right-clicking on the table and selecting "Insert &gt; Table rows above/below".</t>
  </si>
  <si>
    <t>💡 'Lime' refers to calcium carbonate - CaCO3. 'Dolomite' refers to calcium magnesium carbonate - CaMg(CO3)2</t>
  </si>
  <si>
    <t>Amount applied (t/hectare)</t>
  </si>
  <si>
    <t>Total amount applied (t)</t>
  </si>
  <si>
    <r>
      <t>Percent Lime CaCO</t>
    </r>
    <r>
      <rPr>
        <b/>
        <vertAlign val="subscript"/>
        <sz val="10"/>
        <color rgb="FF533001"/>
        <rFont val="Arial"/>
        <family val="1"/>
      </rPr>
      <t>3</t>
    </r>
  </si>
  <si>
    <r>
      <t>Percent Dolomite CaMg(CO</t>
    </r>
    <r>
      <rPr>
        <b/>
        <vertAlign val="subscript"/>
        <sz val="10"/>
        <color rgb="FF533001"/>
        <rFont val="Arial"/>
        <family val="1"/>
      </rPr>
      <t>3</t>
    </r>
    <r>
      <rPr>
        <b/>
        <sz val="10"/>
        <color rgb="FF533001"/>
        <rFont val="Arial"/>
        <family val="1"/>
      </rPr>
      <t>)</t>
    </r>
    <r>
      <rPr>
        <b/>
        <vertAlign val="subscript"/>
        <sz val="10"/>
        <color rgb="FF533001"/>
        <rFont val="Arial"/>
        <family val="1"/>
      </rPr>
      <t>2</t>
    </r>
  </si>
  <si>
    <t>Percent Gypsum</t>
  </si>
  <si>
    <t>Lime product 1</t>
  </si>
  <si>
    <t>Lime product 2</t>
  </si>
  <si>
    <t>Lime product 3</t>
  </si>
  <si>
    <t>Organic fertiliser applications</t>
  </si>
  <si>
    <t>Organic fertiliser type (select)</t>
  </si>
  <si>
    <t>Percentage of N in fertiliser</t>
  </si>
  <si>
    <t>Amount applied (kg/hectare)</t>
  </si>
  <si>
    <t>Amount N applied (kg/hectare)</t>
  </si>
  <si>
    <t>Total organic fertliser applied</t>
  </si>
  <si>
    <t>Total nitrogen applied (kg)</t>
  </si>
  <si>
    <t>Manure - Other</t>
  </si>
  <si>
    <t>Manure - Poultry</t>
  </si>
  <si>
    <t>Other organic fertiliser</t>
  </si>
  <si>
    <t>5.1.1.1-2 Inorganic fertiliser application N2O emissions</t>
  </si>
  <si>
    <r>
      <t>ALERT: For method 2 the application rate (N) and mass of nitrogen (MN) is calculated per</t>
    </r>
    <r>
      <rPr>
        <b/>
        <i/>
        <sz val="10"/>
        <color rgb="FFCC6600"/>
        <rFont val="Arial"/>
        <family val="1"/>
      </rPr>
      <t xml:space="preserve"> fertiliser application instance</t>
    </r>
    <r>
      <rPr>
        <b/>
        <sz val="10"/>
        <color rgb="FFCC6600"/>
        <rFont val="Arial"/>
        <family val="1"/>
      </rPr>
      <t>, not per fertiliser type.</t>
    </r>
  </si>
  <si>
    <t>Method 2 prioritises the 'Declared N' value for branded fertiliser products, meaning the amount of N delcared by the manufacturer is used instead of the product ingredients and estimated amount of N for each ingredient.</t>
  </si>
  <si>
    <t>M2_Table_FertApplications</t>
  </si>
  <si>
    <t>Fertiliser product applications (Method 2)</t>
  </si>
  <si>
    <t>kg / hectare</t>
  </si>
  <si>
    <t>hectares</t>
  </si>
  <si>
    <t>kg</t>
  </si>
  <si>
    <t>Variable</t>
  </si>
  <si>
    <t>Product applied</t>
  </si>
  <si>
    <t>N Application rate</t>
  </si>
  <si>
    <t>Application area</t>
  </si>
  <si>
    <t>MN</t>
  </si>
  <si>
    <t>Branded product</t>
  </si>
  <si>
    <t>Table_MN_j_f</t>
  </si>
  <si>
    <t>Mass of nitrogen applied</t>
  </si>
  <si>
    <t>Fertiliser type f</t>
  </si>
  <si>
    <r>
      <t>TM</t>
    </r>
    <r>
      <rPr>
        <b/>
        <vertAlign val="subscript"/>
        <sz val="10"/>
        <color rgb="FF533001"/>
        <rFont val="Arial"/>
        <family val="1"/>
      </rPr>
      <t>jf</t>
    </r>
  </si>
  <si>
    <r>
      <t>FN</t>
    </r>
    <r>
      <rPr>
        <b/>
        <vertAlign val="subscript"/>
        <sz val="10"/>
        <color rgb="FF183C1B"/>
        <rFont val="Arial"/>
        <family val="1"/>
      </rPr>
      <t>inorganic,f</t>
    </r>
  </si>
  <si>
    <r>
      <t>MN</t>
    </r>
    <r>
      <rPr>
        <b/>
        <vertAlign val="subscript"/>
        <sz val="10"/>
        <color rgb="FF533001"/>
        <rFont val="Arial"/>
        <family val="1"/>
      </rPr>
      <t>jf</t>
    </r>
  </si>
  <si>
    <t>Custom blend</t>
  </si>
  <si>
    <t>MN total</t>
  </si>
  <si>
    <t>Application area total</t>
  </si>
  <si>
    <t>N application rate</t>
  </si>
  <si>
    <t>Not used - application rate calculated per product blend application</t>
  </si>
  <si>
    <r>
      <t>EF</t>
    </r>
    <r>
      <rPr>
        <b/>
        <vertAlign val="subscript"/>
        <sz val="10"/>
        <color theme="1" tint="0.24994659260841701"/>
        <rFont val="Arial"/>
        <family val="1"/>
      </rPr>
      <t>fj=irrigatedmaizeN2O</t>
    </r>
  </si>
  <si>
    <t>M1_Table_E_N2O</t>
  </si>
  <si>
    <t>Nitrous oxide emissions from inorganic fertiliser application (Method 1)</t>
  </si>
  <si>
    <r>
      <t>E</t>
    </r>
    <r>
      <rPr>
        <b/>
        <vertAlign val="subscript"/>
        <sz val="10"/>
        <color rgb="FF183C1B"/>
        <rFont val="Arial"/>
        <family val="1"/>
      </rPr>
      <t>N2O</t>
    </r>
  </si>
  <si>
    <r>
      <t>EF</t>
    </r>
    <r>
      <rPr>
        <b/>
        <vertAlign val="subscript"/>
        <sz val="10"/>
        <color theme="1" tint="0.24994659260841701"/>
        <rFont val="Arial"/>
        <family val="1"/>
      </rPr>
      <t>jf=nonirrigatedgrainsN2O</t>
    </r>
  </si>
  <si>
    <t>Capped cotton applicationj rate to 300 based on VEERG "application rate of inorganic fertiliser type f in the cotton crop (kg N/ha). This is capped at a maximum of 0.0183 kg CO2e/kg N, equivalent to N application rates of 300 kg N/ha "</t>
  </si>
  <si>
    <r>
      <t>E</t>
    </r>
    <r>
      <rPr>
        <b/>
        <vertAlign val="subscript"/>
        <sz val="14"/>
        <color theme="1" tint="0.24994659260841701"/>
        <rFont val="Arial"/>
        <family val="1"/>
      </rPr>
      <t>N2O</t>
    </r>
  </si>
  <si>
    <r>
      <t>E</t>
    </r>
    <r>
      <rPr>
        <vertAlign val="subscript"/>
        <sz val="10"/>
        <color theme="1" tint="0.24994659260841701"/>
        <rFont val="Arial"/>
        <family val="1"/>
      </rPr>
      <t>CO2e</t>
    </r>
  </si>
  <si>
    <t>Not used</t>
  </si>
  <si>
    <t>M2_Table_EF</t>
  </si>
  <si>
    <t>Emission factor for nitrous oxide for inorganic fertilisers (Method 2)</t>
  </si>
  <si>
    <t>Is used</t>
  </si>
  <si>
    <t>EF</t>
  </si>
  <si>
    <t>Irrigated maize</t>
  </si>
  <si>
    <t>Non-irrigated crop, high rainfall</t>
  </si>
  <si>
    <t>Cotton</t>
  </si>
  <si>
    <t>All other production systems</t>
  </si>
  <si>
    <t>5.1.1.3-4 Inorganic fertiliser application CO2 emissions</t>
  </si>
  <si>
    <t>Table_MU_j_f</t>
  </si>
  <si>
    <t>Mass of urea applied</t>
  </si>
  <si>
    <r>
      <t>FU</t>
    </r>
    <r>
      <rPr>
        <b/>
        <vertAlign val="subscript"/>
        <sz val="10"/>
        <color rgb="FF183C1B"/>
        <rFont val="Arial"/>
        <family val="1"/>
      </rPr>
      <t>f</t>
    </r>
  </si>
  <si>
    <r>
      <t>MU</t>
    </r>
    <r>
      <rPr>
        <b/>
        <vertAlign val="subscript"/>
        <sz val="10"/>
        <color rgb="FF533001"/>
        <rFont val="Arial"/>
        <family val="1"/>
      </rPr>
      <t>jf</t>
    </r>
  </si>
  <si>
    <t>M1_Table_E_CO2</t>
  </si>
  <si>
    <t>Carbon dioxide oxide emissions from inorganic fertiliser application (Method 1)</t>
  </si>
  <si>
    <r>
      <t>E</t>
    </r>
    <r>
      <rPr>
        <b/>
        <vertAlign val="subscript"/>
        <sz val="14"/>
        <color theme="1" tint="0.24994659260841701"/>
        <rFont val="Arial"/>
        <family val="1"/>
      </rPr>
      <t>CO2</t>
    </r>
  </si>
  <si>
    <t>5.2.1.1 1-2 Organic fertiliser application N2O emissions</t>
  </si>
  <si>
    <t>Table_MNSoil_j_f</t>
  </si>
  <si>
    <t>Mass of nitrogen in organic fertilisers</t>
  </si>
  <si>
    <t>Organic fertiliser type (f)</t>
  </si>
  <si>
    <t>Amount applied (kg/ha)</t>
  </si>
  <si>
    <r>
      <t>M</t>
    </r>
    <r>
      <rPr>
        <b/>
        <vertAlign val="subscript"/>
        <sz val="10"/>
        <color rgb="FF183C1B"/>
        <rFont val="Arial"/>
        <family val="1"/>
      </rPr>
      <t>organicjf</t>
    </r>
  </si>
  <si>
    <t>FNorganicf</t>
  </si>
  <si>
    <r>
      <t>MNSoil</t>
    </r>
    <r>
      <rPr>
        <b/>
        <vertAlign val="subscript"/>
        <sz val="10"/>
        <color rgb="FF183C1B"/>
        <rFont val="Arial"/>
        <family val="1"/>
      </rPr>
      <t>jf</t>
    </r>
  </si>
  <si>
    <r>
      <t>MNSoil</t>
    </r>
    <r>
      <rPr>
        <b/>
        <vertAlign val="subscript"/>
        <sz val="10"/>
        <color theme="1" tint="0.24994659260841701"/>
        <rFont val="Arial"/>
        <family val="1"/>
      </rPr>
      <t>jf</t>
    </r>
  </si>
  <si>
    <t>5.3.1.1 1-2 Lime application CO2</t>
  </si>
  <si>
    <t>Table_E_lime</t>
  </si>
  <si>
    <t>Element</t>
  </si>
  <si>
    <t>M</t>
  </si>
  <si>
    <t>FracLime</t>
  </si>
  <si>
    <t>FracDol</t>
  </si>
  <si>
    <t>Elime</t>
  </si>
  <si>
    <r>
      <t>E</t>
    </r>
    <r>
      <rPr>
        <b/>
        <vertAlign val="subscript"/>
        <sz val="14"/>
        <color theme="1" tint="0.24994659260841701"/>
        <rFont val="Arial"/>
        <family val="1"/>
      </rPr>
      <t>lime</t>
    </r>
  </si>
  <si>
    <t>5.4.1.1-4  Atmospheric deposition resulting from fertiliser application</t>
  </si>
  <si>
    <t>Table_M_vol_inorganic_j_f</t>
  </si>
  <si>
    <t>Mass of nitrogen volatilised from inorganic fertiliser application</t>
  </si>
  <si>
    <t>Chemical compound</t>
  </si>
  <si>
    <r>
      <t>MN</t>
    </r>
    <r>
      <rPr>
        <b/>
        <vertAlign val="subscript"/>
        <sz val="10"/>
        <color rgb="FF183C1B"/>
        <rFont val="Arial"/>
        <family val="1"/>
      </rPr>
      <t>jf</t>
    </r>
  </si>
  <si>
    <t>Basis</t>
  </si>
  <si>
    <r>
      <t>FracGASF</t>
    </r>
    <r>
      <rPr>
        <b/>
        <vertAlign val="subscript"/>
        <sz val="10"/>
        <color rgb="FF183C1B"/>
        <rFont val="Arial"/>
        <family val="1"/>
      </rPr>
      <t>f</t>
    </r>
  </si>
  <si>
    <r>
      <t>M</t>
    </r>
    <r>
      <rPr>
        <b/>
        <vertAlign val="subscript"/>
        <sz val="10"/>
        <color rgb="FF183C1B"/>
        <rFont val="Arial"/>
        <family val="1"/>
      </rPr>
      <t>volinorganicjf</t>
    </r>
  </si>
  <si>
    <t>Table_E_ad_inorganic</t>
  </si>
  <si>
    <t>Atmospheric deposition emissions from inorganic fertiliser</t>
  </si>
  <si>
    <r>
      <t>E</t>
    </r>
    <r>
      <rPr>
        <b/>
        <vertAlign val="subscript"/>
        <sz val="10"/>
        <color rgb="FF183C1B"/>
        <rFont val="Arial"/>
        <family val="1"/>
      </rPr>
      <t>ad,inorganic</t>
    </r>
  </si>
  <si>
    <r>
      <t>E</t>
    </r>
    <r>
      <rPr>
        <b/>
        <vertAlign val="subscript"/>
        <sz val="14"/>
        <color theme="1" tint="0.24994659260841701"/>
        <rFont val="Arial"/>
        <family val="1"/>
      </rPr>
      <t>ad,inorganic</t>
    </r>
  </si>
  <si>
    <t>Table_M_vol_organic_j_f</t>
  </si>
  <si>
    <t>Mass of nitrogen volatilised from organic fertiliser applied</t>
  </si>
  <si>
    <r>
      <t>M</t>
    </r>
    <r>
      <rPr>
        <b/>
        <vertAlign val="subscript"/>
        <sz val="10"/>
        <color rgb="FF183C1B"/>
        <rFont val="Arial"/>
        <family val="1"/>
      </rPr>
      <t>vol,organic,jf</t>
    </r>
  </si>
  <si>
    <t>Table_E_ad_organic</t>
  </si>
  <si>
    <t>Atmospheric deposition emissions from organic fertiliser</t>
  </si>
  <si>
    <r>
      <t>E</t>
    </r>
    <r>
      <rPr>
        <b/>
        <vertAlign val="subscript"/>
        <sz val="10"/>
        <color rgb="FF183C1B"/>
        <rFont val="Arial"/>
        <family val="1"/>
      </rPr>
      <t>ad,organic</t>
    </r>
  </si>
  <si>
    <r>
      <t>E</t>
    </r>
    <r>
      <rPr>
        <b/>
        <vertAlign val="subscript"/>
        <sz val="14"/>
        <color theme="1" tint="0.24994659260841701"/>
        <rFont val="Arial"/>
        <family val="1"/>
      </rPr>
      <t>ad,organic</t>
    </r>
  </si>
  <si>
    <t>5.5.1.1-2  Leaching and runoff</t>
  </si>
  <si>
    <t>Table_M_leach_inorganic_j</t>
  </si>
  <si>
    <t>Mass of nitrogen from inorganic fertiliser lost through leaching and runoff</t>
  </si>
  <si>
    <r>
      <t>M</t>
    </r>
    <r>
      <rPr>
        <b/>
        <vertAlign val="subscript"/>
        <sz val="10"/>
        <color rgb="FF183C1B"/>
        <rFont val="Arial"/>
        <family val="1"/>
      </rPr>
      <t>leach,inorganic,j</t>
    </r>
  </si>
  <si>
    <r>
      <t>M</t>
    </r>
    <r>
      <rPr>
        <b/>
        <vertAlign val="subscript"/>
        <sz val="10"/>
        <color theme="1" tint="0.24994659260841701"/>
        <rFont val="Arial"/>
        <family val="1"/>
      </rPr>
      <t>leach,inorganic,j</t>
    </r>
  </si>
  <si>
    <t>Table_M_leach_organic_j</t>
  </si>
  <si>
    <t>Mass of nitrogen from organic fertiliser lost through leaching and runoff</t>
  </si>
  <si>
    <r>
      <t>M</t>
    </r>
    <r>
      <rPr>
        <b/>
        <vertAlign val="subscript"/>
        <sz val="10"/>
        <color rgb="FF183C1B"/>
        <rFont val="Arial"/>
        <family val="1"/>
      </rPr>
      <t>leach,organic,j</t>
    </r>
  </si>
  <si>
    <r>
      <t>M</t>
    </r>
    <r>
      <rPr>
        <b/>
        <vertAlign val="subscript"/>
        <sz val="10"/>
        <color theme="1" tint="0.24994659260841701"/>
        <rFont val="Arial"/>
        <family val="1"/>
      </rPr>
      <t>leach,organic,j</t>
    </r>
  </si>
  <si>
    <r>
      <t>E</t>
    </r>
    <r>
      <rPr>
        <b/>
        <vertAlign val="subscript"/>
        <sz val="14"/>
        <color theme="1" tint="0.24994659260841701"/>
        <rFont val="Arial"/>
        <family val="1"/>
      </rPr>
      <t>fert,leach</t>
    </r>
  </si>
  <si>
    <t>Constants - Fertiliser</t>
  </si>
  <si>
    <t>FNinorganic f</t>
  </si>
  <si>
    <t>FU f</t>
  </si>
  <si>
    <t>Lifecycles Scope 3 definition</t>
  </si>
  <si>
    <t>Source</t>
  </si>
  <si>
    <t>Production systems</t>
  </si>
  <si>
    <t>Crop types</t>
  </si>
  <si>
    <t>Irrigation methods</t>
  </si>
  <si>
    <t>Organic fertiliser types</t>
  </si>
  <si>
    <t>Organic fertiliser type</t>
  </si>
  <si>
    <t>Pasture</t>
  </si>
  <si>
    <t>Not irrigated</t>
  </si>
  <si>
    <t>Manure - Cattle</t>
  </si>
  <si>
    <t>Grains</t>
  </si>
  <si>
    <t>Drip irrigation</t>
  </si>
  <si>
    <t>Maize</t>
  </si>
  <si>
    <t>Sprinkler irrigation</t>
  </si>
  <si>
    <t>Manure - Swine</t>
  </si>
  <si>
    <t>Surface irrigation</t>
  </si>
  <si>
    <t>Other irrigation</t>
  </si>
  <si>
    <t>FracGASF f</t>
  </si>
  <si>
    <t>P</t>
  </si>
  <si>
    <t>Fertiliser products</t>
  </si>
  <si>
    <t>Company</t>
  </si>
  <si>
    <t>Contains inhibitor</t>
  </si>
  <si>
    <t>N declared</t>
  </si>
  <si>
    <t>P declared</t>
  </si>
  <si>
    <t>K declared</t>
  </si>
  <si>
    <t>S declared</t>
  </si>
  <si>
    <t>Ingredient 7</t>
  </si>
  <si>
    <t>Ingredient 7 percent</t>
  </si>
  <si>
    <t>Ingredient 8</t>
  </si>
  <si>
    <t>Ingredient 8 percent</t>
  </si>
  <si>
    <t>Ingredient 9</t>
  </si>
  <si>
    <t>Ingredient 9 percent</t>
  </si>
  <si>
    <t>Ingredient 10</t>
  </si>
  <si>
    <t>Ingredient 10 percent</t>
  </si>
  <si>
    <t>Input - Electricity</t>
  </si>
  <si>
    <t>How do you want to calculate electricity emissions?</t>
  </si>
  <si>
    <t>Location-based (simpler)</t>
  </si>
  <si>
    <t>Option 1: Location-based electricity</t>
  </si>
  <si>
    <t>State grid electricity purchases</t>
  </si>
  <si>
    <t>💡The grid you purchase electricity from is typically the same as the state and region the farm is in.</t>
  </si>
  <si>
    <t>Amount purchased in kWh</t>
  </si>
  <si>
    <t>kWh</t>
  </si>
  <si>
    <t>State and region your farm is in</t>
  </si>
  <si>
    <t>Grid where electricity purchased from</t>
  </si>
  <si>
    <t>Western Australia - North Western Interconnected System (NWIS)</t>
  </si>
  <si>
    <t>Option 2: Market-based electricity</t>
  </si>
  <si>
    <t>Electricity purchased in kWh (excluding GreenPower providers)</t>
  </si>
  <si>
    <t xml:space="preserve">Renewable Power Percentage </t>
  </si>
  <si>
    <t>Jurisdictional renewable power percentage (ACT only)</t>
  </si>
  <si>
    <t>Electricity purchased from an accredited GreenPower provider</t>
  </si>
  <si>
    <t>Start of reporting year</t>
  </si>
  <si>
    <t>End of reporting year</t>
  </si>
  <si>
    <t>Voluntarily surrendered Renewable Energy Certificates (RECs)</t>
  </si>
  <si>
    <t>💡 You can add more rows to the table by right-clicking on the table and selecting "Insert &gt; Table rows above/below"</t>
  </si>
  <si>
    <t>Source (select)</t>
  </si>
  <si>
    <t>Generation date</t>
  </si>
  <si>
    <t>Number of certificates</t>
  </si>
  <si>
    <t>MWh</t>
  </si>
  <si>
    <t>Elegibility</t>
  </si>
  <si>
    <t>Dec 2020 certs</t>
  </si>
  <si>
    <t>Purchased certificate</t>
  </si>
  <si>
    <t>Jan 2022 certs</t>
  </si>
  <si>
    <t>Issued for generated electricity</t>
  </si>
  <si>
    <t>2024 certs</t>
  </si>
  <si>
    <t>Total elegible voluntarily surrendered RECs</t>
  </si>
  <si>
    <t xml:space="preserve"> </t>
  </si>
  <si>
    <t>Renewable Energy Certificates (RECs) for electricity produced on-site and consumed by the entity</t>
  </si>
  <si>
    <t>May 2022 generated</t>
  </si>
  <si>
    <t>Jul 24 certs generated</t>
  </si>
  <si>
    <t>Total elegible RECs for electricity produced on-site and consumed by entity</t>
  </si>
  <si>
    <t>14.1.1-2 Purchased Electricity</t>
  </si>
  <si>
    <r>
      <rPr>
        <b/>
        <sz val="14"/>
        <color theme="1" tint="0.24994659260841701"/>
        <rFont val="Arial"/>
        <family val="1"/>
      </rPr>
      <t>E</t>
    </r>
    <r>
      <rPr>
        <b/>
        <vertAlign val="subscript"/>
        <sz val="14"/>
        <color theme="1" tint="0.24994659260841701"/>
        <rFont val="Arial"/>
        <family val="1"/>
      </rPr>
      <t>2,elec</t>
    </r>
  </si>
  <si>
    <t>Constants - Electricity</t>
  </si>
  <si>
    <t>State, Territory or grid description</t>
  </si>
  <si>
    <t>Scope 2 Emission Factors (kg CO2-e/kWh)</t>
  </si>
  <si>
    <t>Scope 3 Emission Factors (kg CO2-e/kWh)</t>
  </si>
  <si>
    <t>Scope 2 EF (kg CO2-e/kWh)</t>
  </si>
  <si>
    <t>Scope 2 EF (kg CO2-e/GJ)</t>
  </si>
  <si>
    <t>Scope 3 EF (kg CO2-e/kWh)</t>
  </si>
  <si>
    <t>Scope 3 EF (kg CO2-e/GJ)</t>
  </si>
  <si>
    <t>Input - Fuel</t>
  </si>
  <si>
    <t>Fuel purchases and consumption</t>
  </si>
  <si>
    <t>A 'Metropolitan' location is:</t>
  </si>
  <si>
    <t>● On or east of the dividing range in NSW (including Canberra and Queanbeyan)</t>
  </si>
  <si>
    <t>● In Melbourne, Brisbane, Adelaide or Perth</t>
  </si>
  <si>
    <t>Is the property in a Metropolitan location?</t>
  </si>
  <si>
    <t>Metro</t>
  </si>
  <si>
    <t>💡 'Percent consumed" is 100% by default. If you purchased more fuel than was consumed you can edit this field.</t>
  </si>
  <si>
    <t>Fuel use (select)</t>
  </si>
  <si>
    <t>Fuel type (select)</t>
  </si>
  <si>
    <t>Amount purchased</t>
  </si>
  <si>
    <t>Amount unit</t>
  </si>
  <si>
    <t>Percent consumed</t>
  </si>
  <si>
    <t>Amount consumed</t>
  </si>
  <si>
    <t>Amount consumed unit</t>
  </si>
  <si>
    <t>Power standalone machinery or heating</t>
  </si>
  <si>
    <t>Town gas in GJ</t>
  </si>
  <si>
    <t>Petrol</t>
  </si>
  <si>
    <t>Cars and light commercial vehicles</t>
  </si>
  <si>
    <t>Diesel</t>
  </si>
  <si>
    <t>Off-road Agriculture and forestry equipment</t>
  </si>
  <si>
    <t>Vessels</t>
  </si>
  <si>
    <t>Fuel oil</t>
  </si>
  <si>
    <t>8.1.1.1-2 Transport fuel combustion</t>
  </si>
  <si>
    <t>Table_E_g</t>
  </si>
  <si>
    <t>Emissions for transport fuel combustion</t>
  </si>
  <si>
    <t>Fuel use</t>
  </si>
  <si>
    <t>Fuel type (NGAF terminology)</t>
  </si>
  <si>
    <t>Fuel type (q)</t>
  </si>
  <si>
    <r>
      <t>EC</t>
    </r>
    <r>
      <rPr>
        <b/>
        <vertAlign val="subscript"/>
        <sz val="10"/>
        <color rgb="FF183C1B"/>
        <rFont val="Arial"/>
        <family val="1"/>
      </rPr>
      <t>Trans,q</t>
    </r>
  </si>
  <si>
    <r>
      <t>EF</t>
    </r>
    <r>
      <rPr>
        <b/>
        <vertAlign val="subscript"/>
        <sz val="10"/>
        <color rgb="FF183C1B"/>
        <rFont val="Arial"/>
        <family val="1"/>
      </rPr>
      <t>Trans,1,q,g=CO2</t>
    </r>
  </si>
  <si>
    <r>
      <t>EF</t>
    </r>
    <r>
      <rPr>
        <b/>
        <vertAlign val="subscript"/>
        <sz val="10"/>
        <color rgb="FF183C1B"/>
        <rFont val="Arial"/>
        <family val="1"/>
      </rPr>
      <t>Trans,1,q,g=CH4</t>
    </r>
  </si>
  <si>
    <r>
      <t>EF</t>
    </r>
    <r>
      <rPr>
        <b/>
        <vertAlign val="subscript"/>
        <sz val="10"/>
        <color rgb="FF183C1B"/>
        <rFont val="Arial"/>
        <family val="1"/>
      </rPr>
      <t>Trans,1,q,g=N20</t>
    </r>
  </si>
  <si>
    <r>
      <t>EF</t>
    </r>
    <r>
      <rPr>
        <b/>
        <vertAlign val="subscript"/>
        <sz val="10"/>
        <color rgb="FF183C1B"/>
        <rFont val="Arial"/>
        <family val="1"/>
      </rPr>
      <t>Trans,3,q</t>
    </r>
  </si>
  <si>
    <r>
      <t>Q</t>
    </r>
    <r>
      <rPr>
        <b/>
        <vertAlign val="subscript"/>
        <sz val="10"/>
        <color rgb="FF533001"/>
        <rFont val="Arial"/>
        <family val="1"/>
      </rPr>
      <t>Trans,q</t>
    </r>
  </si>
  <si>
    <t>Q unit</t>
  </si>
  <si>
    <r>
      <t>E</t>
    </r>
    <r>
      <rPr>
        <b/>
        <vertAlign val="subscript"/>
        <sz val="10"/>
        <color rgb="FF183C1B"/>
        <rFont val="Arial"/>
        <family val="1"/>
      </rPr>
      <t>g=CO2</t>
    </r>
  </si>
  <si>
    <r>
      <t>E</t>
    </r>
    <r>
      <rPr>
        <b/>
        <vertAlign val="subscript"/>
        <sz val="10"/>
        <color rgb="FF183C1B"/>
        <rFont val="Arial"/>
        <family val="1"/>
      </rPr>
      <t>g=CH4</t>
    </r>
  </si>
  <si>
    <r>
      <t>E</t>
    </r>
    <r>
      <rPr>
        <b/>
        <vertAlign val="subscript"/>
        <sz val="10"/>
        <color rgb="FF183C1B"/>
        <rFont val="Arial"/>
        <family val="1"/>
      </rPr>
      <t>g=N20</t>
    </r>
  </si>
  <si>
    <r>
      <t>E</t>
    </r>
    <r>
      <rPr>
        <b/>
        <vertAlign val="subscript"/>
        <sz val="10"/>
        <color rgb="FF183C1B"/>
        <rFont val="Arial"/>
        <family val="1"/>
      </rPr>
      <t>3WTT,trans,q</t>
    </r>
  </si>
  <si>
    <t>CO2</t>
  </si>
  <si>
    <t>CH4</t>
  </si>
  <si>
    <t>N2O</t>
  </si>
  <si>
    <t>Total sope 1 - All transport fuel combustion</t>
  </si>
  <si>
    <t>8.2.1.1-2 Stationary fuel combustion</t>
  </si>
  <si>
    <t>Emissions for stationary fuel combustion</t>
  </si>
  <si>
    <r>
      <t>EC</t>
    </r>
    <r>
      <rPr>
        <b/>
        <vertAlign val="subscript"/>
        <sz val="10"/>
        <color rgb="FF183C1B"/>
        <rFont val="Arial"/>
        <family val="1"/>
      </rPr>
      <t>SC,q</t>
    </r>
  </si>
  <si>
    <r>
      <t>EF</t>
    </r>
    <r>
      <rPr>
        <b/>
        <vertAlign val="subscript"/>
        <sz val="10"/>
        <color rgb="FF183C1B"/>
        <rFont val="Arial"/>
        <family val="1"/>
      </rPr>
      <t>SC,1,q,g=CO2</t>
    </r>
  </si>
  <si>
    <r>
      <t>EF</t>
    </r>
    <r>
      <rPr>
        <b/>
        <vertAlign val="subscript"/>
        <sz val="10"/>
        <color rgb="FF183C1B"/>
        <rFont val="Arial"/>
        <family val="1"/>
      </rPr>
      <t>SC,1,q,g=CH4</t>
    </r>
  </si>
  <si>
    <r>
      <t>EF</t>
    </r>
    <r>
      <rPr>
        <b/>
        <vertAlign val="subscript"/>
        <sz val="10"/>
        <color rgb="FF183C1B"/>
        <rFont val="Arial"/>
        <family val="1"/>
      </rPr>
      <t>SC,1,q,g=N20</t>
    </r>
  </si>
  <si>
    <r>
      <t>EF</t>
    </r>
    <r>
      <rPr>
        <b/>
        <vertAlign val="subscript"/>
        <sz val="10"/>
        <color rgb="FF183C1B"/>
        <rFont val="Arial"/>
        <family val="1"/>
      </rPr>
      <t>SC,3,q</t>
    </r>
  </si>
  <si>
    <r>
      <t>Q</t>
    </r>
    <r>
      <rPr>
        <b/>
        <vertAlign val="subscript"/>
        <sz val="10"/>
        <color rgb="FF533001"/>
        <rFont val="Arial"/>
        <family val="1"/>
      </rPr>
      <t>SC,q</t>
    </r>
  </si>
  <si>
    <r>
      <t>E</t>
    </r>
    <r>
      <rPr>
        <b/>
        <vertAlign val="subscript"/>
        <sz val="10"/>
        <color rgb="FF183C1B"/>
        <rFont val="Arial"/>
        <family val="1"/>
      </rPr>
      <t>WTT,SC,q=N20</t>
    </r>
  </si>
  <si>
    <t>Total scope 1 - All stationary fuel use</t>
  </si>
  <si>
    <t>Constants - Fuel</t>
  </si>
  <si>
    <t>Transport type</t>
  </si>
  <si>
    <t>Fuel combusted</t>
  </si>
  <si>
    <t>Energy Content Factor (GJ per unit of fuel)</t>
  </si>
  <si>
    <t>Fuel unit</t>
  </si>
  <si>
    <t>Scope 1 Emission Factor (kg CO2 - e / GJ) CO2</t>
  </si>
  <si>
    <t>Scope 1 Emission Factor (kg CO2 - e / GJ) CH4</t>
  </si>
  <si>
    <t>Scope 1 Emission Factor (kg CO2 - e / GJ) N2O</t>
  </si>
  <si>
    <t>Scope 1 Emission Factor (kg CO2 - e / GJ) Combined gases</t>
  </si>
  <si>
    <t>Scope 3 Emission Factor (kg CO2 - e / GJ)</t>
  </si>
  <si>
    <t>Transport type t</t>
  </si>
  <si>
    <t>Fuel type q</t>
  </si>
  <si>
    <t>ECTrans,q (GJ/kL)</t>
  </si>
  <si>
    <t>Scope 1 CO2 EFTran,1,tqg (kg CO2-e/GJ)</t>
  </si>
  <si>
    <t>Scope 1 CH4 EFTran,1,tgg (kg CO2-e/GJ)</t>
  </si>
  <si>
    <t>Scope 1 N2O EFTran,1,tgg (kg CO2-e/GJ)</t>
  </si>
  <si>
    <t>Scope 3 EFTrans,3,q (kg CO2-e/GJ)</t>
  </si>
  <si>
    <t>State or territory</t>
  </si>
  <si>
    <t>Non-metro</t>
  </si>
  <si>
    <t>Appendices</t>
  </si>
  <si>
    <t>Generators</t>
  </si>
  <si>
    <t>Aviation</t>
  </si>
  <si>
    <t>Fuel type</t>
  </si>
  <si>
    <t>Input Unit</t>
  </si>
  <si>
    <t>kL</t>
  </si>
  <si>
    <t>L</t>
  </si>
  <si>
    <t>Liquefied petroleum gas (LPG)</t>
  </si>
  <si>
    <t>Biodiesel</t>
  </si>
  <si>
    <t>Ethanol</t>
  </si>
  <si>
    <t>Other biofuels</t>
  </si>
  <si>
    <t>Renewable diesel</t>
  </si>
  <si>
    <t>Avgas</t>
  </si>
  <si>
    <t>Jet A1, Jet B</t>
  </si>
  <si>
    <t>Renewable aviation kerosene</t>
  </si>
  <si>
    <t>Liquified natural gas (LNG)</t>
  </si>
  <si>
    <t>Diesel - Euro iv or higher</t>
  </si>
  <si>
    <t>Diesel - Euro iii</t>
  </si>
  <si>
    <t>Diesel - Euro i</t>
  </si>
  <si>
    <t>Renewable diesel – Euro iv or higher</t>
  </si>
  <si>
    <t>Renewable diesel – Euro iii</t>
  </si>
  <si>
    <t>Renewable diesel – Euro i</t>
  </si>
  <si>
    <t>Natural gas (via pipeline) in GJ</t>
  </si>
  <si>
    <t>GJ</t>
  </si>
  <si>
    <t>Input - Solid waste</t>
  </si>
  <si>
    <t>Solid waste treatment</t>
  </si>
  <si>
    <t>Treatment type (select)</t>
  </si>
  <si>
    <t>Waste type (select)</t>
  </si>
  <si>
    <t>Treatment location (select)</t>
  </si>
  <si>
    <t>Amount</t>
  </si>
  <si>
    <t>Amount unit (select)</t>
  </si>
  <si>
    <t>Compost paper and cardboard on site (tonnes)</t>
  </si>
  <si>
    <t>Composting</t>
  </si>
  <si>
    <t>Paper and cardboard</t>
  </si>
  <si>
    <t>Removed and treated off-site</t>
  </si>
  <si>
    <t>Compost paper and cardboard on site (m3)</t>
  </si>
  <si>
    <t>Treated on-site</t>
  </si>
  <si>
    <t>cubic metres m3</t>
  </si>
  <si>
    <t>Compost food waste on site (tonnes)</t>
  </si>
  <si>
    <t>Food waste (including animal carcasses, spoiled animal feed or crop)</t>
  </si>
  <si>
    <t>Compost food waste on site (m3)</t>
  </si>
  <si>
    <t>Landfill food waste offsite (tonnes)</t>
  </si>
  <si>
    <t>Landfill</t>
  </si>
  <si>
    <t>Landfill food waste offsite (m3)</t>
  </si>
  <si>
    <t>Landfill food waste on site (tonnes)</t>
  </si>
  <si>
    <t>Landfill food waste on site (m3)</t>
  </si>
  <si>
    <t>Landfill Paper offsite (tonnes)</t>
  </si>
  <si>
    <t>Landfill Paper waste offsite (m3)</t>
  </si>
  <si>
    <t>Landfill Paper waste on site (tonnes)</t>
  </si>
  <si>
    <t>Landfill Paper on site (m3)</t>
  </si>
  <si>
    <t>Landfill Green waste offsite (tonnes)</t>
  </si>
  <si>
    <t>Green waste (including crop residues or prunings)</t>
  </si>
  <si>
    <t>Landfill Green waste offsite (m3)</t>
  </si>
  <si>
    <t>Landfill Green waste on site (tonnes)</t>
  </si>
  <si>
    <t>Landfill Green waste on site (m3)</t>
  </si>
  <si>
    <t>Incineration paper and cardboard on site (tonnes)</t>
  </si>
  <si>
    <t>Incineration</t>
  </si>
  <si>
    <t>Incineration paper and cardboard on site (m3)</t>
  </si>
  <si>
    <t>Incineration green waste on site (tonnes)</t>
  </si>
  <si>
    <t>Incineration green waste on site (m3)</t>
  </si>
  <si>
    <t>Incineration green waste offsite (tonnes)</t>
  </si>
  <si>
    <t>Incineration green waste offsite (m3)</t>
  </si>
  <si>
    <t>10.1.1-2 Solid waste treatment</t>
  </si>
  <si>
    <t>Table_V_w_t_onsite</t>
  </si>
  <si>
    <t>Volume of solid waste treated on-site (scope 1)</t>
  </si>
  <si>
    <t>Treatment</t>
  </si>
  <si>
    <t>Waste type</t>
  </si>
  <si>
    <t>Vwt</t>
  </si>
  <si>
    <r>
      <t>VTM</t>
    </r>
    <r>
      <rPr>
        <b/>
        <vertAlign val="subscript"/>
        <sz val="10"/>
        <color rgb="FF183C1B"/>
        <rFont val="Arial"/>
        <family val="1"/>
      </rPr>
      <t>w</t>
    </r>
  </si>
  <si>
    <r>
      <t>Q</t>
    </r>
    <r>
      <rPr>
        <b/>
        <vertAlign val="subscript"/>
        <sz val="10"/>
        <color rgb="FF183C1B"/>
        <rFont val="Arial"/>
        <family val="1"/>
      </rPr>
      <t>wt</t>
    </r>
  </si>
  <si>
    <t>Table_V_w_t_offsite</t>
  </si>
  <si>
    <t>Volume of solid waste sent offsite for treatment by third party (scope 3)</t>
  </si>
  <si>
    <t>Table_E_g_onsite</t>
  </si>
  <si>
    <t>Emissions from waste management of waste treated on-site (scope 1)</t>
  </si>
  <si>
    <r>
      <t>Q</t>
    </r>
    <r>
      <rPr>
        <b/>
        <vertAlign val="subscript"/>
        <sz val="10"/>
        <color rgb="FF533001"/>
        <rFont val="Arial"/>
        <family val="1"/>
      </rPr>
      <t>masswt</t>
    </r>
  </si>
  <si>
    <r>
      <t>Q</t>
    </r>
    <r>
      <rPr>
        <b/>
        <vertAlign val="subscript"/>
        <sz val="10"/>
        <color rgb="FF183C1B"/>
        <rFont val="Arial"/>
        <family val="1"/>
      </rPr>
      <t>volwt</t>
    </r>
  </si>
  <si>
    <r>
      <t>EF</t>
    </r>
    <r>
      <rPr>
        <b/>
        <vertAlign val="subscript"/>
        <sz val="10"/>
        <color rgb="FF183C1B"/>
        <rFont val="Arial"/>
        <family val="1"/>
      </rPr>
      <t>wtg</t>
    </r>
  </si>
  <si>
    <r>
      <t>E</t>
    </r>
    <r>
      <rPr>
        <b/>
        <vertAlign val="subscript"/>
        <sz val="10"/>
        <color rgb="FF183C1B"/>
        <rFont val="Arial"/>
        <family val="1"/>
      </rPr>
      <t>g</t>
    </r>
  </si>
  <si>
    <t>Summed above</t>
  </si>
  <si>
    <r>
      <rPr>
        <b/>
        <sz val="14"/>
        <color theme="1" tint="0.24994659260841701"/>
        <rFont val="Arial"/>
        <family val="1"/>
      </rPr>
      <t>E</t>
    </r>
    <r>
      <rPr>
        <b/>
        <vertAlign val="subscript"/>
        <sz val="14"/>
        <color theme="1" tint="0.24994659260841701"/>
        <rFont val="Arial"/>
        <family val="1"/>
      </rPr>
      <t>g</t>
    </r>
  </si>
  <si>
    <t>Table_E_g_offsite</t>
  </si>
  <si>
    <t>Emissions from waste management of waste taken off-site (scope 3)</t>
  </si>
  <si>
    <t>Constants - Solid Waste</t>
  </si>
  <si>
    <t>Table_WasteTypes_Landfill</t>
  </si>
  <si>
    <t>Table_WasteTypes_Incineration</t>
  </si>
  <si>
    <t>Table_WasteTypes_Composting</t>
  </si>
  <si>
    <t>Table_WasteTypes_Anaerobicdigestion</t>
  </si>
  <si>
    <t>Treatment type t</t>
  </si>
  <si>
    <t>Waste type w</t>
  </si>
  <si>
    <t>EFwt</t>
  </si>
  <si>
    <t>EF source</t>
  </si>
  <si>
    <t>VTMw</t>
  </si>
  <si>
    <t>Input - Crop</t>
  </si>
  <si>
    <t>Area</t>
  </si>
  <si>
    <t>If multiple paddocks were managed in the same way at the same time, you can enter information for them all together.</t>
  </si>
  <si>
    <t>Wheat</t>
  </si>
  <si>
    <r>
      <rPr>
        <sz val="10"/>
        <color theme="1" tint="0.34998626667073579"/>
        <rFont val="Arial"/>
        <family val="1"/>
      </rPr>
      <t>←</t>
    </r>
    <r>
      <rPr>
        <i/>
        <sz val="10"/>
        <color theme="1" tint="0.34998626667073579"/>
        <rFont val="Arial"/>
        <family val="1"/>
      </rPr>
      <t xml:space="preserve"> Please select</t>
    </r>
  </si>
  <si>
    <t>Crop purpose</t>
  </si>
  <si>
    <t>Cash grain crop</t>
  </si>
  <si>
    <t>Hectares</t>
  </si>
  <si>
    <t>Yield</t>
  </si>
  <si>
    <t>Residue:crop ratio²</t>
  </si>
  <si>
    <t>Crop residue biomass</t>
  </si>
  <si>
    <t>Tonnes per hectare</t>
  </si>
  <si>
    <t>Whole plant above ground biomass</t>
  </si>
  <si>
    <t>Total production of crop³</t>
  </si>
  <si>
    <t>Residue management</t>
  </si>
  <si>
    <t>Tonnes</t>
  </si>
  <si>
    <t>Baled residue</t>
  </si>
  <si>
    <t>Percentage of residue that was baled</t>
  </si>
  <si>
    <t>Percent</t>
  </si>
  <si>
    <t>Average weight per bale</t>
  </si>
  <si>
    <t>Kilograms</t>
  </si>
  <si>
    <t>Number of bales</t>
  </si>
  <si>
    <t>Bales</t>
  </si>
  <si>
    <t>Total residue baled</t>
  </si>
  <si>
    <t>Burned residue</t>
  </si>
  <si>
    <t>Percentage of residue that was burned</t>
  </si>
  <si>
    <t>Total residue burned</t>
  </si>
  <si>
    <t>Residue retained on paddocks</t>
  </si>
  <si>
    <t>6.1.1.1-2 Crop residue N2O emissions</t>
  </si>
  <si>
    <r>
      <t>FFOD</t>
    </r>
    <r>
      <rPr>
        <b/>
        <vertAlign val="subscript"/>
        <sz val="10"/>
        <color theme="1" tint="0.24994659260841701"/>
        <rFont val="Arial"/>
        <family val="1"/>
      </rPr>
      <t>c</t>
    </r>
  </si>
  <si>
    <r>
      <t>M</t>
    </r>
    <r>
      <rPr>
        <b/>
        <vertAlign val="subscript"/>
        <sz val="10"/>
        <color theme="1" tint="0.24994659260841701"/>
        <rFont val="Arial"/>
        <family val="1"/>
      </rPr>
      <t>c</t>
    </r>
  </si>
  <si>
    <t>6.3.1.1-2 Leaching and run-off from crop residues only</t>
  </si>
  <si>
    <t>M1_Table_M_leach_cp</t>
  </si>
  <si>
    <t>M2_Table_M_leach_cp</t>
  </si>
  <si>
    <t>Mass of nitrogen lost through leaching and runoff (Method 1)</t>
  </si>
  <si>
    <t>Mass of nitrogen lost through leaching and runoff (Method 2)</t>
  </si>
  <si>
    <t>Crop or pasture</t>
  </si>
  <si>
    <t>M_cp</t>
  </si>
  <si>
    <t>Irrigation</t>
  </si>
  <si>
    <t>FracWET_j</t>
  </si>
  <si>
    <t>M_leachcp</t>
  </si>
  <si>
    <t>Nitrous oxide leaching and runoff emissions (Method 1)</t>
  </si>
  <si>
    <t>E_N2O</t>
  </si>
  <si>
    <r>
      <t>E</t>
    </r>
    <r>
      <rPr>
        <b/>
        <vertAlign val="subscript"/>
        <sz val="14"/>
        <color theme="1"/>
        <rFont val="Arial"/>
        <family val="1"/>
      </rPr>
      <t>N2O</t>
    </r>
  </si>
  <si>
    <t>6.4.1.1-2 Field burning of crop residues</t>
  </si>
  <si>
    <r>
      <rPr>
        <b/>
        <sz val="10"/>
        <color theme="1" tint="0.24994659260841701"/>
        <rFont val="Arial"/>
        <family val="1"/>
      </rPr>
      <t>M</t>
    </r>
    <r>
      <rPr>
        <b/>
        <vertAlign val="subscript"/>
        <sz val="10"/>
        <color theme="1" tint="0.24994659260841701"/>
        <rFont val="Arial"/>
        <family val="1"/>
      </rPr>
      <t>burn,c</t>
    </r>
  </si>
  <si>
    <r>
      <t>E</t>
    </r>
    <r>
      <rPr>
        <b/>
        <vertAlign val="subscript"/>
        <sz val="14"/>
        <color theme="1" tint="0.24994659260841701"/>
        <rFont val="Arial"/>
        <family val="1"/>
      </rPr>
      <t>CH4</t>
    </r>
  </si>
  <si>
    <t>Constants - Agricultural residue</t>
  </si>
  <si>
    <t>Purpose</t>
  </si>
  <si>
    <t>Per hectare unit</t>
  </si>
  <si>
    <t>harvest term</t>
  </si>
  <si>
    <t>harvest endpoint</t>
  </si>
  <si>
    <t>Harvest uit</t>
  </si>
  <si>
    <t>Yield note</t>
  </si>
  <si>
    <t>Residue crop ratio note</t>
  </si>
  <si>
    <t>Total production note</t>
  </si>
  <si>
    <t>Residue: Crop ratio</t>
  </si>
  <si>
    <t>Below-ground: above-ground residue ratio</t>
  </si>
  <si>
    <t>Dry matter content</t>
  </si>
  <si>
    <t>Carbon fraction in dry matter</t>
  </si>
  <si>
    <t>N content above-ground</t>
  </si>
  <si>
    <t>N content below-ground</t>
  </si>
  <si>
    <t>Fraction of residue remaining at time of burning (b)</t>
  </si>
  <si>
    <t>Fraction burnt</t>
  </si>
  <si>
    <t>Climate zone type i</t>
  </si>
  <si>
    <t>EF i N2O</t>
  </si>
  <si>
    <t>Pasture type</t>
  </si>
  <si>
    <t>Average Yield (t DM ha) Yp</t>
  </si>
  <si>
    <t>Below-ground: above-ground residue ratio RBGp</t>
  </si>
  <si>
    <t>N content Above-ground NCAGp</t>
  </si>
  <si>
    <t>N content Below-ground NCBGp</t>
  </si>
  <si>
    <t>Fraction of pasture yield that is removed FFODp</t>
  </si>
  <si>
    <t>Gas species</t>
  </si>
  <si>
    <t>Emission factor EFg (Gg element in species/ Gg element in fuel burnt)</t>
  </si>
  <si>
    <t>Elemental to molecular mass conversion factor (Cg)</t>
  </si>
  <si>
    <t>Crop type c</t>
  </si>
  <si>
    <t>Fraction removed</t>
  </si>
  <si>
    <t>Input - Common farm inputs</t>
  </si>
  <si>
    <t>Cleaning chemicals</t>
  </si>
  <si>
    <t>Product name</t>
  </si>
  <si>
    <t>Type (select)</t>
  </si>
  <si>
    <t>Quantity purchased (kg)</t>
  </si>
  <si>
    <t>Acid kleen</t>
  </si>
  <si>
    <t>Phosphoric acid</t>
  </si>
  <si>
    <t>Kleen alk</t>
  </si>
  <si>
    <t>Alkaline cleaner</t>
  </si>
  <si>
    <t>White king</t>
  </si>
  <si>
    <t>Bleach</t>
  </si>
  <si>
    <t>Services and contractors</t>
  </si>
  <si>
    <t>Service provider / contractor</t>
  </si>
  <si>
    <t>Activity</t>
  </si>
  <si>
    <t>Total amount</t>
  </si>
  <si>
    <t>Pete's Pickers</t>
  </si>
  <si>
    <t>Fruit picking</t>
  </si>
  <si>
    <t>Hour</t>
  </si>
  <si>
    <t>Harini's Harvesting Services Pty Ltd</t>
  </si>
  <si>
    <t>Wheat harvesting</t>
  </si>
  <si>
    <t>Hectare</t>
  </si>
  <si>
    <t>Uncategorised products</t>
  </si>
  <si>
    <t>Product / service name</t>
  </si>
  <si>
    <t>Something</t>
  </si>
  <si>
    <t>Input - Crop and pasture farm inputs</t>
  </si>
  <si>
    <t>Pesticides</t>
  </si>
  <si>
    <t xml:space="preserve">💡You can find specific product information in the Australian Government's 'PubCRIS' database search. </t>
  </si>
  <si>
    <t>Click here to find instructions on how to use the PubCRIS database</t>
  </si>
  <si>
    <t>Amount applied per ha</t>
  </si>
  <si>
    <t>Application unit (select)</t>
  </si>
  <si>
    <t>Total applied</t>
  </si>
  <si>
    <t>Constituent unit (select)</t>
  </si>
  <si>
    <t>Active ingredient 1 (select)</t>
  </si>
  <si>
    <t>Active ingredient 1 amount</t>
  </si>
  <si>
    <t>Total active ingredient 1 (kg)</t>
  </si>
  <si>
    <t>Active ingredient 2 (select)</t>
  </si>
  <si>
    <t>Active ingredient 2 amount</t>
  </si>
  <si>
    <t>Total active ingredient 2 (kg)</t>
  </si>
  <si>
    <t>Active ingredient 3 (select)</t>
  </si>
  <si>
    <t>Active ingredient 3 amount</t>
  </si>
  <si>
    <t>Total active ingredient 3 (kg)</t>
  </si>
  <si>
    <t>QA MCPA + Picloram SL Herbicide</t>
  </si>
  <si>
    <t>grams/litre or grams/kg</t>
  </si>
  <si>
    <t>Pesticides (generic)</t>
  </si>
  <si>
    <t>Glyphosate</t>
  </si>
  <si>
    <t>Heben Propiconazole 550EC Fungicide</t>
  </si>
  <si>
    <t>litre / hectare</t>
  </si>
  <si>
    <t>2,4-D</t>
  </si>
  <si>
    <t>Tribenuron methyl</t>
  </si>
  <si>
    <t>NovaGuard Boscalid 500 WG Fungicide</t>
  </si>
  <si>
    <t>Metolachlor</t>
  </si>
  <si>
    <t>Trifluralin</t>
  </si>
  <si>
    <t>Seed</t>
  </si>
  <si>
    <t>Input - Freight</t>
  </si>
  <si>
    <t>Incoming freight</t>
  </si>
  <si>
    <t>Route name</t>
  </si>
  <si>
    <t>Freight type (select)</t>
  </si>
  <si>
    <t>Route distance (km)</t>
  </si>
  <si>
    <t>Average weight of freight per trip (t)</t>
  </si>
  <si>
    <t>Number of trips taken</t>
  </si>
  <si>
    <t>Melbourne depot to farm depot weekly</t>
  </si>
  <si>
    <t>Transport in truck</t>
  </si>
  <si>
    <t>Fertiliser supplier to farm</t>
  </si>
  <si>
    <t>Rail</t>
  </si>
  <si>
    <t>Outgoing freight</t>
  </si>
  <si>
    <t>Farm to bulk handler</t>
  </si>
  <si>
    <t>15 Scope 3 emissions</t>
  </si>
  <si>
    <t>Scope 3 emissions are calculated on a maximum of 10 livestock purchases for each category</t>
  </si>
  <si>
    <t>Beef cattle</t>
  </si>
  <si>
    <t>Transaction description</t>
  </si>
  <si>
    <t>Livestock type c</t>
  </si>
  <si>
    <t>Origin o</t>
  </si>
  <si>
    <r>
      <t>N</t>
    </r>
    <r>
      <rPr>
        <b/>
        <vertAlign val="subscript"/>
        <sz val="10"/>
        <color theme="1"/>
        <rFont val="Arial"/>
        <family val="1"/>
      </rPr>
      <t>co</t>
    </r>
  </si>
  <si>
    <r>
      <t>W</t>
    </r>
    <r>
      <rPr>
        <b/>
        <vertAlign val="subscript"/>
        <sz val="10"/>
        <color theme="1"/>
        <rFont val="Arial"/>
        <family val="1"/>
      </rPr>
      <t>co</t>
    </r>
    <r>
      <rPr>
        <b/>
        <sz val="10"/>
        <color theme="1"/>
        <rFont val="Arial"/>
        <family val="2"/>
      </rPr>
      <t xml:space="preserve"> - Method 1 (kg/head)</t>
    </r>
  </si>
  <si>
    <r>
      <t>EF</t>
    </r>
    <r>
      <rPr>
        <b/>
        <vertAlign val="subscript"/>
        <sz val="10"/>
        <color rgb="FF183C1B"/>
        <rFont val="Arial"/>
        <family val="1"/>
      </rPr>
      <t>co</t>
    </r>
    <r>
      <rPr>
        <b/>
        <sz val="10"/>
        <color rgb="FF183C1B"/>
        <rFont val="Arial"/>
        <family val="1"/>
      </rPr>
      <t xml:space="preserve"> (Method 1)</t>
    </r>
  </si>
  <si>
    <t>E (Method 1)</t>
  </si>
  <si>
    <r>
      <t>W</t>
    </r>
    <r>
      <rPr>
        <b/>
        <vertAlign val="subscript"/>
        <sz val="10"/>
        <color theme="1"/>
        <rFont val="Arial"/>
        <family val="1"/>
      </rPr>
      <t>co</t>
    </r>
    <r>
      <rPr>
        <b/>
        <sz val="10"/>
        <color theme="1"/>
        <rFont val="Arial"/>
        <family val="2"/>
      </rPr>
      <t xml:space="preserve"> - Method 2 (kg/head)</t>
    </r>
  </si>
  <si>
    <r>
      <t>EF</t>
    </r>
    <r>
      <rPr>
        <b/>
        <vertAlign val="subscript"/>
        <sz val="10"/>
        <color rgb="FF533001"/>
        <rFont val="Arial"/>
        <family val="1"/>
      </rPr>
      <t>co</t>
    </r>
    <r>
      <rPr>
        <b/>
        <sz val="10"/>
        <color rgb="FF533001"/>
        <rFont val="Arial"/>
        <family val="1"/>
      </rPr>
      <t xml:space="preserve"> (Method 2)</t>
    </r>
  </si>
  <si>
    <t>E (Method 2)</t>
  </si>
  <si>
    <t>Method 2 EF source</t>
  </si>
  <si>
    <t>Method 2 EF source type (Select)</t>
  </si>
  <si>
    <t>Method 2 EF proof link</t>
  </si>
  <si>
    <t>Denise did a full LCA</t>
  </si>
  <si>
    <t>Verified credential matching ISO14067</t>
  </si>
  <si>
    <t>http://denisesdairy.com/LCA2024.pdf</t>
  </si>
  <si>
    <t>E - Beef cattle (Method 1)</t>
  </si>
  <si>
    <t>E - Beef cattle (Method 2)</t>
  </si>
  <si>
    <t>Dairy cattle</t>
  </si>
  <si>
    <r>
      <t>EF</t>
    </r>
    <r>
      <rPr>
        <vertAlign val="subscript"/>
        <sz val="9"/>
        <color theme="1" tint="0.34998626667073579"/>
        <rFont val="Arial"/>
        <family val="1"/>
      </rPr>
      <t>co</t>
    </r>
    <r>
      <rPr>
        <sz val="9"/>
        <color theme="1" tint="0.34998626667073579"/>
        <rFont val="Arial"/>
        <family val="1"/>
      </rPr>
      <t xml:space="preserve"> (Method 1)</t>
    </r>
  </si>
  <si>
    <t>E - Dairy cattle (Method 1)</t>
  </si>
  <si>
    <t>E - Dairy cattle (Method 2)</t>
  </si>
  <si>
    <t>Pigs</t>
  </si>
  <si>
    <t>E - Pigs (Method 1)</t>
  </si>
  <si>
    <t>E - Pigs (Method 2)</t>
  </si>
  <si>
    <t>Poultry</t>
  </si>
  <si>
    <t>E - Poultry (Method 1)</t>
  </si>
  <si>
    <t>E - Poultry (Method 2)</t>
  </si>
  <si>
    <t>Feed blends</t>
  </si>
  <si>
    <t xml:space="preserve">The method 1 product EF is calculated by multiplying the EF of each ingredient by the fraction of that ingredient in the product, then adding them all together. </t>
  </si>
  <si>
    <t>This is to allow for comparison with a method 2 product EF that might be provided by the supplier.</t>
  </si>
  <si>
    <t>If using an EF value from the manufacturer, make sure theirs is derived from the ingredients only to ensure a valid comparison with method 1 EF</t>
  </si>
  <si>
    <t>Scope 3 emissions are calculated on a maximum of 10 feed blends</t>
  </si>
  <si>
    <t>Blend name</t>
  </si>
  <si>
    <r>
      <t>Q</t>
    </r>
    <r>
      <rPr>
        <b/>
        <vertAlign val="subscript"/>
        <sz val="10"/>
        <color rgb="FF533001"/>
        <rFont val="Arial"/>
        <family val="1"/>
      </rPr>
      <t>j</t>
    </r>
  </si>
  <si>
    <r>
      <t>EF</t>
    </r>
    <r>
      <rPr>
        <b/>
        <vertAlign val="subscript"/>
        <sz val="10"/>
        <color rgb="FF183C1B"/>
        <rFont val="Arial"/>
        <family val="1"/>
      </rPr>
      <t>j</t>
    </r>
    <r>
      <rPr>
        <b/>
        <sz val="10"/>
        <color rgb="FF183C1B"/>
        <rFont val="Arial"/>
        <family val="1"/>
      </rPr>
      <t xml:space="preserve"> (Method 1)</t>
    </r>
  </si>
  <si>
    <r>
      <t>EF</t>
    </r>
    <r>
      <rPr>
        <b/>
        <vertAlign val="subscript"/>
        <sz val="10"/>
        <color rgb="FF533001"/>
        <rFont val="Arial"/>
        <family val="1"/>
      </rPr>
      <t>j</t>
    </r>
    <r>
      <rPr>
        <b/>
        <sz val="10"/>
        <color rgb="FF533001"/>
        <rFont val="Arial"/>
        <family val="1"/>
      </rPr>
      <t xml:space="preserve"> (Method 2)</t>
    </r>
  </si>
  <si>
    <t>Ingredient 1 source</t>
  </si>
  <si>
    <t>Ingredient 1 EF</t>
  </si>
  <si>
    <t>Ingredient 2 source</t>
  </si>
  <si>
    <t>Ingredient 2 EF</t>
  </si>
  <si>
    <t>Ingredient 3 source</t>
  </si>
  <si>
    <t>Ingredient 3 EF</t>
  </si>
  <si>
    <t>Ingredient 4 source</t>
  </si>
  <si>
    <t>Ingredient 4 EF</t>
  </si>
  <si>
    <t>Feed rations</t>
  </si>
  <si>
    <t>Aquaculture and wild catch fieshery feed and bait</t>
  </si>
  <si>
    <r>
      <t>Q</t>
    </r>
    <r>
      <rPr>
        <b/>
        <vertAlign val="subscript"/>
        <sz val="10"/>
        <color rgb="FF533001"/>
        <rFont val="Arial"/>
        <family val="1"/>
      </rPr>
      <t>m</t>
    </r>
  </si>
  <si>
    <r>
      <t>EF</t>
    </r>
    <r>
      <rPr>
        <b/>
        <vertAlign val="subscript"/>
        <sz val="10"/>
        <color rgb="FF183C1B"/>
        <rFont val="Arial"/>
        <family val="1"/>
      </rPr>
      <t>m</t>
    </r>
    <r>
      <rPr>
        <b/>
        <sz val="10"/>
        <color rgb="FF183C1B"/>
        <rFont val="Arial"/>
        <family val="1"/>
      </rPr>
      <t xml:space="preserve"> (Method 1)</t>
    </r>
  </si>
  <si>
    <r>
      <t>EF</t>
    </r>
    <r>
      <rPr>
        <b/>
        <vertAlign val="subscript"/>
        <sz val="10"/>
        <color rgb="FF533001"/>
        <rFont val="Arial"/>
        <family val="1"/>
      </rPr>
      <t>m</t>
    </r>
    <r>
      <rPr>
        <b/>
        <sz val="10"/>
        <color rgb="FF533001"/>
        <rFont val="Arial"/>
        <family val="1"/>
      </rPr>
      <t xml:space="preserve"> (Method 2)</t>
    </r>
  </si>
  <si>
    <t>Branded fertiliser product purchases</t>
  </si>
  <si>
    <t>Scope 3 emissions are calculated on a maximum of 20 branded fertiliser product purchases</t>
  </si>
  <si>
    <t>Total amount (kg)</t>
  </si>
  <si>
    <r>
      <t>EF</t>
    </r>
    <r>
      <rPr>
        <b/>
        <vertAlign val="subscript"/>
        <sz val="10"/>
        <color rgb="FF183C1B"/>
        <rFont val="Arial"/>
        <family val="1"/>
      </rPr>
      <t>f</t>
    </r>
    <r>
      <rPr>
        <b/>
        <sz val="10"/>
        <color rgb="FF183C1B"/>
        <rFont val="Arial"/>
        <family val="1"/>
      </rPr>
      <t xml:space="preserve"> (Method 1)</t>
    </r>
  </si>
  <si>
    <t>E- Product (Method 1)</t>
  </si>
  <si>
    <t>E - Fertiliser components (Method 1)</t>
  </si>
  <si>
    <r>
      <t>EF</t>
    </r>
    <r>
      <rPr>
        <b/>
        <vertAlign val="subscript"/>
        <sz val="10"/>
        <color rgb="FF533001"/>
        <rFont val="Arial"/>
        <family val="1"/>
      </rPr>
      <t>f</t>
    </r>
    <r>
      <rPr>
        <b/>
        <sz val="10"/>
        <color rgb="FF533001"/>
        <rFont val="Arial"/>
        <family val="1"/>
      </rPr>
      <t xml:space="preserve"> (Method 2)</t>
    </r>
  </si>
  <si>
    <t>E- Product (Method 2)</t>
  </si>
  <si>
    <t>E - Fertiliser components (Method 2)</t>
  </si>
  <si>
    <r>
      <t>EF</t>
    </r>
    <r>
      <rPr>
        <b/>
        <vertAlign val="subscript"/>
        <sz val="10"/>
        <color rgb="FF183C1B"/>
        <rFont val="Arial"/>
        <family val="1"/>
      </rPr>
      <t xml:space="preserve">c - </t>
    </r>
    <r>
      <rPr>
        <b/>
        <sz val="10"/>
        <color rgb="FF183C1B"/>
        <rFont val="Arial"/>
        <family val="1"/>
      </rPr>
      <t>Ingredient 1 (Method 1)</t>
    </r>
  </si>
  <si>
    <r>
      <t>EF</t>
    </r>
    <r>
      <rPr>
        <b/>
        <vertAlign val="subscript"/>
        <sz val="10"/>
        <color rgb="FF533001"/>
        <rFont val="Arial"/>
        <family val="1"/>
      </rPr>
      <t>c</t>
    </r>
    <r>
      <rPr>
        <b/>
        <sz val="10"/>
        <color rgb="FF533001"/>
        <rFont val="Arial"/>
        <family val="1"/>
      </rPr>
      <t xml:space="preserve"> - Ingredient 1 (Method 2)</t>
    </r>
  </si>
  <si>
    <r>
      <t>EF</t>
    </r>
    <r>
      <rPr>
        <b/>
        <vertAlign val="subscript"/>
        <sz val="10"/>
        <color rgb="FF183C1B"/>
        <rFont val="Arial"/>
        <family val="1"/>
      </rPr>
      <t xml:space="preserve">c - </t>
    </r>
    <r>
      <rPr>
        <b/>
        <sz val="10"/>
        <color rgb="FF183C1B"/>
        <rFont val="Arial"/>
        <family val="1"/>
      </rPr>
      <t>Ingredient 2 (Method 1)</t>
    </r>
  </si>
  <si>
    <r>
      <t>EF</t>
    </r>
    <r>
      <rPr>
        <b/>
        <vertAlign val="subscript"/>
        <sz val="10"/>
        <color rgb="FF533001"/>
        <rFont val="Arial"/>
        <family val="1"/>
      </rPr>
      <t>c</t>
    </r>
    <r>
      <rPr>
        <b/>
        <sz val="10"/>
        <color rgb="FF533001"/>
        <rFont val="Arial"/>
        <family val="1"/>
      </rPr>
      <t xml:space="preserve"> - Ingredient 2 (Method 2)</t>
    </r>
  </si>
  <si>
    <r>
      <t>EF</t>
    </r>
    <r>
      <rPr>
        <b/>
        <vertAlign val="subscript"/>
        <sz val="10"/>
        <color rgb="FF183C1B"/>
        <rFont val="Arial"/>
        <family val="1"/>
      </rPr>
      <t xml:space="preserve">c - </t>
    </r>
    <r>
      <rPr>
        <b/>
        <sz val="10"/>
        <color rgb="FF183C1B"/>
        <rFont val="Arial"/>
        <family val="1"/>
      </rPr>
      <t>Ingredient 3 (Method 1)</t>
    </r>
  </si>
  <si>
    <r>
      <t>EF</t>
    </r>
    <r>
      <rPr>
        <b/>
        <vertAlign val="subscript"/>
        <sz val="10"/>
        <color rgb="FF533001"/>
        <rFont val="Arial"/>
        <family val="1"/>
      </rPr>
      <t>c</t>
    </r>
    <r>
      <rPr>
        <b/>
        <sz val="10"/>
        <color rgb="FF533001"/>
        <rFont val="Arial"/>
        <family val="1"/>
      </rPr>
      <t xml:space="preserve"> - Ingredient 3 (Method 2)</t>
    </r>
  </si>
  <si>
    <r>
      <t>EF</t>
    </r>
    <r>
      <rPr>
        <b/>
        <vertAlign val="subscript"/>
        <sz val="10"/>
        <color rgb="FF183C1B"/>
        <rFont val="Arial"/>
        <family val="1"/>
      </rPr>
      <t xml:space="preserve">c - </t>
    </r>
    <r>
      <rPr>
        <b/>
        <sz val="10"/>
        <color rgb="FF183C1B"/>
        <rFont val="Arial"/>
        <family val="1"/>
      </rPr>
      <t>Ingredient 4 (Method 1)</t>
    </r>
  </si>
  <si>
    <r>
      <t>EF</t>
    </r>
    <r>
      <rPr>
        <b/>
        <vertAlign val="subscript"/>
        <sz val="10"/>
        <color rgb="FF533001"/>
        <rFont val="Arial"/>
        <family val="1"/>
      </rPr>
      <t>c</t>
    </r>
    <r>
      <rPr>
        <b/>
        <sz val="10"/>
        <color rgb="FF533001"/>
        <rFont val="Arial"/>
        <family val="1"/>
      </rPr>
      <t xml:space="preserve"> - Ingredient 4 (Method 2)</t>
    </r>
  </si>
  <si>
    <r>
      <t>EF</t>
    </r>
    <r>
      <rPr>
        <b/>
        <vertAlign val="subscript"/>
        <sz val="10"/>
        <color rgb="FF183C1B"/>
        <rFont val="Arial"/>
        <family val="1"/>
      </rPr>
      <t xml:space="preserve">c - </t>
    </r>
    <r>
      <rPr>
        <b/>
        <sz val="10"/>
        <color rgb="FF183C1B"/>
        <rFont val="Arial"/>
        <family val="1"/>
      </rPr>
      <t>Ingredient 5 (Method 1)</t>
    </r>
  </si>
  <si>
    <r>
      <t>EF</t>
    </r>
    <r>
      <rPr>
        <b/>
        <vertAlign val="subscript"/>
        <sz val="10"/>
        <color rgb="FF533001"/>
        <rFont val="Arial"/>
        <family val="1"/>
      </rPr>
      <t>c</t>
    </r>
    <r>
      <rPr>
        <b/>
        <sz val="10"/>
        <color rgb="FF533001"/>
        <rFont val="Arial"/>
        <family val="1"/>
      </rPr>
      <t xml:space="preserve"> - Ingredient 5 (Method 2)</t>
    </r>
  </si>
  <si>
    <r>
      <t>EF</t>
    </r>
    <r>
      <rPr>
        <b/>
        <vertAlign val="subscript"/>
        <sz val="10"/>
        <color rgb="FF183C1B"/>
        <rFont val="Arial"/>
        <family val="1"/>
      </rPr>
      <t xml:space="preserve">c - </t>
    </r>
    <r>
      <rPr>
        <b/>
        <sz val="10"/>
        <color rgb="FF183C1B"/>
        <rFont val="Arial"/>
        <family val="1"/>
      </rPr>
      <t>Ingredient 6 (Method 1)</t>
    </r>
  </si>
  <si>
    <r>
      <t>EF</t>
    </r>
    <r>
      <rPr>
        <b/>
        <vertAlign val="subscript"/>
        <sz val="10"/>
        <color rgb="FF533001"/>
        <rFont val="Arial"/>
        <family val="1"/>
      </rPr>
      <t>c</t>
    </r>
    <r>
      <rPr>
        <b/>
        <sz val="10"/>
        <color rgb="FF533001"/>
        <rFont val="Arial"/>
        <family val="1"/>
      </rPr>
      <t xml:space="preserve"> - Ingredient 6 (Method 2)</t>
    </r>
  </si>
  <si>
    <t>Fertiliser custom blends</t>
  </si>
  <si>
    <t>Scope 3 emissions are calculated on a maximum of 20 custom fertiliser blends</t>
  </si>
  <si>
    <t>E (Method 1) - Product EF</t>
  </si>
  <si>
    <t>E (Method 2) - Product EF</t>
  </si>
  <si>
    <t>E (Method 1) - Component EF</t>
  </si>
  <si>
    <t>E (Method 2) - Component EF</t>
  </si>
  <si>
    <t>Active ingredient type</t>
  </si>
  <si>
    <r>
      <t>EF</t>
    </r>
    <r>
      <rPr>
        <b/>
        <vertAlign val="subscript"/>
        <sz val="10"/>
        <color rgb="FF183C1B"/>
        <rFont val="Arial"/>
        <family val="1"/>
      </rPr>
      <t>h</t>
    </r>
    <r>
      <rPr>
        <b/>
        <sz val="10"/>
        <color rgb="FF183C1B"/>
        <rFont val="Arial"/>
        <family val="1"/>
      </rPr>
      <t xml:space="preserve"> (Method 1)</t>
    </r>
  </si>
  <si>
    <r>
      <t>EF</t>
    </r>
    <r>
      <rPr>
        <b/>
        <vertAlign val="subscript"/>
        <sz val="10"/>
        <color rgb="FF533001"/>
        <rFont val="Arial"/>
        <family val="1"/>
      </rPr>
      <t>h</t>
    </r>
    <r>
      <rPr>
        <b/>
        <sz val="10"/>
        <color rgb="FF533001"/>
        <rFont val="Arial"/>
        <family val="1"/>
      </rPr>
      <t xml:space="preserve"> (Method 2)</t>
    </r>
  </si>
  <si>
    <r>
      <t>EF</t>
    </r>
    <r>
      <rPr>
        <vertAlign val="subscript"/>
        <sz val="10"/>
        <color theme="1" tint="0.24994659260841701"/>
        <rFont val="Arial"/>
        <family val="1"/>
      </rPr>
      <t>l</t>
    </r>
    <r>
      <rPr>
        <sz val="10"/>
        <color theme="1" tint="0.24994659260841701"/>
        <rFont val="Arial"/>
        <family val="1"/>
      </rPr>
      <t xml:space="preserve"> - Lime</t>
    </r>
  </si>
  <si>
    <r>
      <t>EF</t>
    </r>
    <r>
      <rPr>
        <vertAlign val="subscript"/>
        <sz val="10"/>
        <color theme="1" tint="0.24994659260841701"/>
        <rFont val="Arial"/>
        <family val="1"/>
      </rPr>
      <t>l</t>
    </r>
    <r>
      <rPr>
        <sz val="10"/>
        <color theme="1" tint="0.24994659260841701"/>
        <rFont val="Arial"/>
        <family val="1"/>
      </rPr>
      <t xml:space="preserve"> - Dolomite</t>
    </r>
  </si>
  <si>
    <r>
      <t>EF</t>
    </r>
    <r>
      <rPr>
        <vertAlign val="subscript"/>
        <sz val="10"/>
        <color theme="1" tint="0.24994659260841701"/>
        <rFont val="Arial"/>
        <family val="1"/>
      </rPr>
      <t>l</t>
    </r>
    <r>
      <rPr>
        <sz val="10"/>
        <color theme="1" tint="0.24994659260841701"/>
        <rFont val="Arial"/>
        <family val="1"/>
      </rPr>
      <t xml:space="preserve"> - Gypsum</t>
    </r>
  </si>
  <si>
    <t>Total amount (t)</t>
  </si>
  <si>
    <r>
      <t>M</t>
    </r>
    <r>
      <rPr>
        <b/>
        <vertAlign val="subscript"/>
        <sz val="10"/>
        <color rgb="FF533001"/>
        <rFont val="Arial"/>
        <family val="1"/>
      </rPr>
      <t>lime</t>
    </r>
    <r>
      <rPr>
        <b/>
        <sz val="10"/>
        <color rgb="FF533001"/>
        <rFont val="Arial"/>
        <family val="1"/>
      </rPr>
      <t xml:space="preserve"> - Lime</t>
    </r>
  </si>
  <si>
    <r>
      <t>M</t>
    </r>
    <r>
      <rPr>
        <b/>
        <vertAlign val="subscript"/>
        <sz val="10"/>
        <color rgb="FF533001"/>
        <rFont val="Arial"/>
        <family val="1"/>
      </rPr>
      <t>lime</t>
    </r>
    <r>
      <rPr>
        <b/>
        <sz val="10"/>
        <color rgb="FF533001"/>
        <rFont val="Arial"/>
        <family val="1"/>
      </rPr>
      <t xml:space="preserve"> - Dolomite</t>
    </r>
  </si>
  <si>
    <r>
      <t>M</t>
    </r>
    <r>
      <rPr>
        <b/>
        <vertAlign val="subscript"/>
        <sz val="10"/>
        <color rgb="FF533001"/>
        <rFont val="Arial"/>
        <family val="1"/>
      </rPr>
      <t>lime</t>
    </r>
    <r>
      <rPr>
        <b/>
        <sz val="10"/>
        <color rgb="FF533001"/>
        <rFont val="Arial"/>
        <family val="1"/>
      </rPr>
      <t xml:space="preserve"> - Gypsum</t>
    </r>
  </si>
  <si>
    <t>E(Method 2)</t>
  </si>
  <si>
    <t>VEERG_15_7_1_1__1_EmissionsFromPurchasedServices_Result_Method1</t>
  </si>
  <si>
    <r>
      <t xml:space="preserve">⚠️ </t>
    </r>
    <r>
      <rPr>
        <b/>
        <sz val="10"/>
        <color rgb="FFC44340"/>
        <rFont val="Arial"/>
        <family val="1"/>
      </rPr>
      <t>ALERT:</t>
    </r>
    <r>
      <rPr>
        <sz val="10"/>
        <color rgb="FFC44340"/>
        <rFont val="Arial"/>
        <family val="1"/>
      </rPr>
      <t xml:space="preserve"> No Method 1 EF data for purchased services and contractor operations is in </t>
    </r>
    <r>
      <rPr>
        <i/>
        <sz val="10"/>
        <color rgb="FFC44340"/>
        <rFont val="Arial"/>
        <family val="1"/>
      </rPr>
      <t>Greenhouse Gas Emission Intensities for Material Inputs to Australian Agriculture, Fisheries and Forestry</t>
    </r>
    <r>
      <rPr>
        <sz val="10"/>
        <color rgb="FFC44340"/>
        <rFont val="Arial"/>
        <family val="1"/>
      </rPr>
      <t>. Use method 2 EF values from your chosen data source.</t>
    </r>
  </si>
  <si>
    <t>Product EF (Method 1)</t>
  </si>
  <si>
    <t>Scope 3 (Method 1)</t>
  </si>
  <si>
    <t>Product EF (Method 2)</t>
  </si>
  <si>
    <t>Scope 3 (Method 2)</t>
  </si>
  <si>
    <t>Scope 3 unit</t>
  </si>
  <si>
    <t>No data</t>
  </si>
  <si>
    <t>Primary material</t>
  </si>
  <si>
    <r>
      <t>Q</t>
    </r>
    <r>
      <rPr>
        <b/>
        <vertAlign val="subscript"/>
        <sz val="10"/>
        <color theme="1"/>
        <rFont val="Arial"/>
        <family val="1"/>
      </rPr>
      <t>p</t>
    </r>
    <r>
      <rPr>
        <b/>
        <sz val="10"/>
        <color theme="1"/>
        <rFont val="Arial"/>
        <family val="2"/>
      </rPr>
      <t xml:space="preserve"> (kg)</t>
    </r>
  </si>
  <si>
    <r>
      <t>EF</t>
    </r>
    <r>
      <rPr>
        <b/>
        <vertAlign val="subscript"/>
        <sz val="10"/>
        <color rgb="FF183C1B"/>
        <rFont val="Arial"/>
        <family val="1"/>
      </rPr>
      <t xml:space="preserve">p </t>
    </r>
    <r>
      <rPr>
        <b/>
        <sz val="10"/>
        <color rgb="FF183C1B"/>
        <rFont val="Arial"/>
        <family val="1"/>
      </rPr>
      <t>(Method 1)</t>
    </r>
  </si>
  <si>
    <r>
      <t>EF</t>
    </r>
    <r>
      <rPr>
        <b/>
        <vertAlign val="subscript"/>
        <sz val="10"/>
        <color rgb="FF533001"/>
        <rFont val="Arial"/>
        <family val="1"/>
      </rPr>
      <t>p</t>
    </r>
    <r>
      <rPr>
        <b/>
        <sz val="10"/>
        <color rgb="FF533001"/>
        <rFont val="Arial"/>
        <family val="1"/>
      </rPr>
      <t xml:space="preserve"> (Method 2)</t>
    </r>
  </si>
  <si>
    <t>Grow media type</t>
  </si>
  <si>
    <t>VARIATION ON SOURCE: In order for result to be in t CO2e, convert known EF kg values to tonnes by multiplying by 10^-3, and added a check for EF unit where EF is not constant.</t>
  </si>
  <si>
    <t>Cleaning chemical purchases</t>
  </si>
  <si>
    <t>Type</t>
  </si>
  <si>
    <t>Amount purcahsed (kg)</t>
  </si>
  <si>
    <t>Pharmacy chemical purchases</t>
  </si>
  <si>
    <t>Number of head treated</t>
  </si>
  <si>
    <t>EF (Method 1)</t>
  </si>
  <si>
    <t>EF (Method 2)</t>
  </si>
  <si>
    <t>Amount (kg)</t>
  </si>
  <si>
    <t>Miscellaneous Inputs</t>
  </si>
  <si>
    <t>Uncategorised products with no Method 1 EF data</t>
  </si>
  <si>
    <t>EF (Method 2) Unit</t>
  </si>
  <si>
    <t>t / amount unit</t>
  </si>
  <si>
    <t>E</t>
  </si>
  <si>
    <r>
      <t>E</t>
    </r>
    <r>
      <rPr>
        <b/>
        <vertAlign val="subscript"/>
        <sz val="12"/>
        <color theme="1" tint="0.24994659260841701"/>
        <rFont val="Arial"/>
        <family val="1"/>
      </rPr>
      <t>3,elec</t>
    </r>
  </si>
  <si>
    <t>Route</t>
  </si>
  <si>
    <r>
      <t>W</t>
    </r>
    <r>
      <rPr>
        <b/>
        <vertAlign val="subscript"/>
        <sz val="10"/>
        <color rgb="FF533001"/>
        <rFont val="Arial"/>
        <family val="1"/>
      </rPr>
      <t>f</t>
    </r>
    <r>
      <rPr>
        <b/>
        <sz val="10"/>
        <color rgb="FF533001"/>
        <rFont val="Arial"/>
        <family val="1"/>
      </rPr>
      <t xml:space="preserve"> (t)</t>
    </r>
  </si>
  <si>
    <r>
      <t>D</t>
    </r>
    <r>
      <rPr>
        <b/>
        <vertAlign val="subscript"/>
        <sz val="10"/>
        <color rgb="FF533001"/>
        <rFont val="Arial"/>
        <family val="1"/>
      </rPr>
      <t>f</t>
    </r>
    <r>
      <rPr>
        <b/>
        <sz val="10"/>
        <color rgb="FF533001"/>
        <rFont val="Arial"/>
        <family val="1"/>
      </rPr>
      <t xml:space="preserve"> (km)</t>
    </r>
  </si>
  <si>
    <r>
      <t>EF</t>
    </r>
    <r>
      <rPr>
        <b/>
        <vertAlign val="superscript"/>
        <sz val="10"/>
        <color rgb="FF183C1B"/>
        <rFont val="Arial"/>
        <family val="1"/>
      </rPr>
      <t>f</t>
    </r>
    <r>
      <rPr>
        <b/>
        <sz val="10"/>
        <color rgb="FF183C1B"/>
        <rFont val="Arial"/>
        <family val="1"/>
      </rPr>
      <t xml:space="preserve"> (Method 1)</t>
    </r>
  </si>
  <si>
    <t>E - Incoming freight (Method 1)</t>
  </si>
  <si>
    <t>E - Incoming freight (Method 2)</t>
  </si>
  <si>
    <t>E - Outgoing freight (Method 1)</t>
  </si>
  <si>
    <t>E - Outgoing freight (Method 2)</t>
  </si>
  <si>
    <t>Animals</t>
  </si>
  <si>
    <t>Table_ProductRegions_Beefcattle</t>
  </si>
  <si>
    <t>Category</t>
  </si>
  <si>
    <t>Region of origin</t>
  </si>
  <si>
    <t>Quantity Unit</t>
  </si>
  <si>
    <t>Emissions intensity</t>
  </si>
  <si>
    <t>System boundary</t>
  </si>
  <si>
    <t>Region</t>
  </si>
  <si>
    <t>Scope3 region</t>
  </si>
  <si>
    <t>GHGEI-MIAFF</t>
  </si>
  <si>
    <t>ACT</t>
  </si>
  <si>
    <t>NSW</t>
  </si>
  <si>
    <t>SA</t>
  </si>
  <si>
    <t>TAS</t>
  </si>
  <si>
    <t>VIC</t>
  </si>
  <si>
    <t>WA - South west</t>
  </si>
  <si>
    <t>WA</t>
  </si>
  <si>
    <t>WA - Pilbara</t>
  </si>
  <si>
    <t>WA - Kimberley</t>
  </si>
  <si>
    <t>NT - Alice Springs</t>
  </si>
  <si>
    <t>NT</t>
  </si>
  <si>
    <t>NT - Barkly</t>
  </si>
  <si>
    <t>NT - Northern</t>
  </si>
  <si>
    <t>QLD - High</t>
  </si>
  <si>
    <t>QLD</t>
  </si>
  <si>
    <t>QLD - Moderate/High</t>
  </si>
  <si>
    <t>QLD - Moderate/Low</t>
  </si>
  <si>
    <t>QLD - Low</t>
  </si>
  <si>
    <t>Australia</t>
  </si>
  <si>
    <t>Chemicals</t>
  </si>
  <si>
    <t>Feed</t>
  </si>
  <si>
    <t>Inorganic fertilisers</t>
  </si>
  <si>
    <t>Quantity</t>
  </si>
  <si>
    <t>Other agricultural inputs</t>
  </si>
  <si>
    <t>Packaging</t>
  </si>
  <si>
    <t>Soil ameliorants</t>
  </si>
  <si>
    <t>Fish feed and bait</t>
  </si>
  <si>
    <t>VEERG</t>
  </si>
  <si>
    <t>Constants - Livestock</t>
  </si>
  <si>
    <t>Symbol</t>
  </si>
  <si>
    <t>Manure management system</t>
  </si>
  <si>
    <t>Symbol and MMS</t>
  </si>
  <si>
    <t>Source region</t>
  </si>
  <si>
    <t>Table_SourceData_LivestockProduct_Beefcattle</t>
  </si>
  <si>
    <t>Table_SourceData_LivestockProduct_Sheep</t>
  </si>
  <si>
    <t>Table_SourceData_LivestockProduct_Chickens</t>
  </si>
  <si>
    <t>Table_SourceData_LivestockProduct_Dairycattle</t>
  </si>
  <si>
    <t>Table_SourceData_LivestockProduct_Pigs</t>
  </si>
  <si>
    <t>=Fertiliser_Equations_LeachingAndRunoff.VEERG_5_5_1_1__1_FertiliserLeachingAndRunoffN2OEmissions</t>
  </si>
  <si>
    <t>Mass of nitrogen in inorganic fertiliser applied to production system</t>
  </si>
  <si>
    <t>VEERG 2026: 5.1.1.1, Equation (2)</t>
  </si>
  <si>
    <t>MN_jf</t>
  </si>
  <si>
    <t>kg N</t>
  </si>
  <si>
    <t>TM_jf</t>
  </si>
  <si>
    <t>total mass of inorganic fertiliser type f applied to production system j</t>
  </si>
  <si>
    <t>FN_inorganicf</t>
  </si>
  <si>
    <t xml:space="preserve">fraction of nitrogen in inorganic fertiliser type f </t>
  </si>
  <si>
    <t>Input</t>
  </si>
  <si>
    <t>kg N/kg</t>
  </si>
  <si>
    <t>Constant</t>
  </si>
  <si>
    <t>Emission factor for nitrous oxide for irrigated maize</t>
  </si>
  <si>
    <t>VEERG 2026: 5.1.1.2, Equation (1)</t>
  </si>
  <si>
    <t>Nitrous oxide emissions from the application of all inorganic fertiliser types f to all production systems j</t>
  </si>
  <si>
    <t>VEERG 2026: 5.1.1.1, Equation (1)</t>
  </si>
  <si>
    <t>EF_fjIrrigatedMaizeN2O</t>
  </si>
  <si>
    <t>kg N2O-N/kg N applied</t>
  </si>
  <si>
    <t>N_fjIrrigatedMaize</t>
  </si>
  <si>
    <t>application rate of inorganic fertiliser type f in the irrigated maize crop</t>
  </si>
  <si>
    <t>f</t>
  </si>
  <si>
    <t>Inorganic fertiliser type</t>
  </si>
  <si>
    <t>kg N/ha</t>
  </si>
  <si>
    <t>mass of nitrogen in inorganic fertiliser type f applied to production system j</t>
  </si>
  <si>
    <t>EF_jN2O</t>
  </si>
  <si>
    <t>emission factor for nitrous oxide for inorganic fertilisers</t>
  </si>
  <si>
    <t>C_N2O</t>
  </si>
  <si>
    <t>factor to convert elemental mass of nitrous oxide to molecular mass</t>
  </si>
  <si>
    <t>j</t>
  </si>
  <si>
    <t>ir</t>
  </si>
  <si>
    <t>irrigation method</t>
  </si>
  <si>
    <t>z</t>
  </si>
  <si>
    <t>rainfall zone</t>
  </si>
  <si>
    <t>Calculated from 5.1.1.1 (2)</t>
  </si>
  <si>
    <t>Emission factor for nitrous oxide for non-irrigated grains in high rainfall zone</t>
  </si>
  <si>
    <t>VEERG 2026: 5.1.1.2, Equation (2)</t>
  </si>
  <si>
    <t>EF_fjNonIrrigatedGrainsN2O</t>
  </si>
  <si>
    <t>N_fjNonIrrigatedGrains</t>
  </si>
  <si>
    <t>application rate of inorganic fertiliser type f in the grains crop</t>
  </si>
  <si>
    <t>Emission factor for nitrous oxide for cotton</t>
  </si>
  <si>
    <t>VEERG 2026: 5.1.1.2, Equation (3)</t>
  </si>
  <si>
    <t>EF_fjCottonN2O</t>
  </si>
  <si>
    <t>N_fjCotton</t>
  </si>
  <si>
    <t>application rate of inorganic fertiliser type f in the cotton crop</t>
  </si>
  <si>
    <t>c</t>
  </si>
  <si>
    <t>Calculated from 5.1.1.2 (1)(2)(3)</t>
  </si>
  <si>
    <t>Mass of urea applied to production system</t>
  </si>
  <si>
    <t>VEERG 2026: 5.1.1.3, Equation (2)</t>
  </si>
  <si>
    <t>MU_jf</t>
  </si>
  <si>
    <t>kg urea</t>
  </si>
  <si>
    <t>FU_f</t>
  </si>
  <si>
    <t>fraction of urea in fertiliser type f</t>
  </si>
  <si>
    <t>kg urea/kg</t>
  </si>
  <si>
    <t>Lookup</t>
  </si>
  <si>
    <t>Carbon dioxide emissions resulting from the use of all inorganic, urea-based fertilisers</t>
  </si>
  <si>
    <t>VEERG 2026: 5.1.1.3, Equation (1)</t>
  </si>
  <si>
    <t>E_CO2</t>
  </si>
  <si>
    <t>mass of urea of inorganic fertiliser type f applied to production system j</t>
  </si>
  <si>
    <t>EF_ureaCO2</t>
  </si>
  <si>
    <t>emission factor for carbon emissions from urea-based fertilisers</t>
  </si>
  <si>
    <t>C_CO2</t>
  </si>
  <si>
    <t>factor to convert elemental mass of carbon to molecular mass of carbon dioxide</t>
  </si>
  <si>
    <t>Calculated</t>
  </si>
  <si>
    <t>kg C/kg urea</t>
  </si>
  <si>
    <t>Mass of nitrogen in purchased organic fertilisers applied to production system</t>
  </si>
  <si>
    <t>VEERG 2026: 5.2.1.1, Equation (2)</t>
  </si>
  <si>
    <t>MNSoil_jf</t>
  </si>
  <si>
    <t>M_organicjf</t>
  </si>
  <si>
    <t>mass of organic fertiliser type f applied to production system j</t>
  </si>
  <si>
    <t>FN_organicf</t>
  </si>
  <si>
    <t>nitrogen fraction of organic fertiliser type f</t>
  </si>
  <si>
    <t>Nitrous oxide emissions from the application of all organic fertiliser types f to all production systems j</t>
  </si>
  <si>
    <t>VEERG 2026: 5.2.1.1, Equation (1)</t>
  </si>
  <si>
    <t>mass of nitrogen in organic fertiliser type f applied to production system j</t>
  </si>
  <si>
    <t>EF_N2Oi</t>
  </si>
  <si>
    <t>emission factor for direct nitrous oxide emissions from organic fertiliser applied to soils and aquatic systems in climate zone i</t>
  </si>
  <si>
    <t>i</t>
  </si>
  <si>
    <t>Calculated from 5.2.1.1 (2)</t>
  </si>
  <si>
    <t>kg N2O-N/kg N</t>
  </si>
  <si>
    <t>Emissions from the application of lime and dolomite to production systems</t>
  </si>
  <si>
    <t>VEERG 2026: 5.3.1.1, Equation (1)</t>
  </si>
  <si>
    <t>E_lime</t>
  </si>
  <si>
    <t>M_lime</t>
  </si>
  <si>
    <t>total mass of lime applied to production system</t>
  </si>
  <si>
    <t>fraction of lime as limestone (CaCO3)</t>
  </si>
  <si>
    <t>P_lime</t>
  </si>
  <si>
    <t>fractional purity of limestone</t>
  </si>
  <si>
    <t>EF_lime</t>
  </si>
  <si>
    <t>emission factor for limestone fraction of lime</t>
  </si>
  <si>
    <t>fraction of lime as dolomite</t>
  </si>
  <si>
    <t>P_dol</t>
  </si>
  <si>
    <t>fractional purity of dolomite</t>
  </si>
  <si>
    <t>EF_dol</t>
  </si>
  <si>
    <t>emission factor for dolomite fraction of lime</t>
  </si>
  <si>
    <t>factor to convert elemental mass of carbon dioxide to molecular mass</t>
  </si>
  <si>
    <t>fraction</t>
  </si>
  <si>
    <t>kg C/kg</t>
  </si>
  <si>
    <t>Mass of nitrogen volatilised from inorganic fertiliser applied to production system</t>
  </si>
  <si>
    <t>VEERG 2026: 5.4.1.1, Equation (2)</t>
  </si>
  <si>
    <t>M_volinorganicjf</t>
  </si>
  <si>
    <t>mass of nitrogen in inorganic fertiliser applied</t>
  </si>
  <si>
    <t>FracGASF_f</t>
  </si>
  <si>
    <t>fraction of inorganic fertiliser that volatilises</t>
  </si>
  <si>
    <t>(kg NH3-N + NOx-N)/kg N</t>
  </si>
  <si>
    <t>Nitrous oxide emissions from atmospheric deposition from all inorganic fertiliser types f and all production systems j</t>
  </si>
  <si>
    <t>VEERG 2026: 5.4.1.1, Equation (1)</t>
  </si>
  <si>
    <t>E_adinorganic</t>
  </si>
  <si>
    <t>mass of nitrogen volatilised from inorganic fertiliser applied to production system</t>
  </si>
  <si>
    <t>EF_N2Oj</t>
  </si>
  <si>
    <t>emission factor for atmospheric deposition</t>
  </si>
  <si>
    <t>r</t>
  </si>
  <si>
    <t>rainfall region</t>
  </si>
  <si>
    <t>Calculated from 5.4.1.1 (2)</t>
  </si>
  <si>
    <t>Mass of nitrogen volatilised from organic fertiliser applied to production system</t>
  </si>
  <si>
    <t>VEERG 2026: 5.4.1.3, Equation (2)</t>
  </si>
  <si>
    <t>M_volorganicjf</t>
  </si>
  <si>
    <t>FracGASM_soil</t>
  </si>
  <si>
    <t>fraction of organic fertiliser N that volatilises</t>
  </si>
  <si>
    <t>Nitrous oxide emissions from atmospheric deposition of all organic fertiliser types f and all production systems j</t>
  </si>
  <si>
    <t>VEERG 2026: 5.4.1.3, Equation (1)</t>
  </si>
  <si>
    <t>E_adorganic</t>
  </si>
  <si>
    <t>mass of nitrogen volatilised from organic fertiliser applied to production system</t>
  </si>
  <si>
    <t>emission factor for atmospheric deposition in production system j</t>
  </si>
  <si>
    <t>Calculated from 5.4.1.3 (2)</t>
  </si>
  <si>
    <t>Mass of nitrogen lost through leaching and runoff from inorganic fertiliser application in production system j</t>
  </si>
  <si>
    <t>VEERG 2026: 5.5, Equation (2)</t>
  </si>
  <si>
    <t>M_leachinorganicj</t>
  </si>
  <si>
    <t>mass of nitrogen in inorganic fertiliser</t>
  </si>
  <si>
    <t>FracWETj</t>
  </si>
  <si>
    <t>fraction of N available for leaching and runoff</t>
  </si>
  <si>
    <t>FracLEACH</t>
  </si>
  <si>
    <t>fraction of N that is lost through leaching and runoff</t>
  </si>
  <si>
    <t>location in leaching zone</t>
  </si>
  <si>
    <t>production system</t>
  </si>
  <si>
    <t>Mass of nitrogen lost through leaching and runoff from organic fertiliser application in production system j</t>
  </si>
  <si>
    <t>VEERG 2026: 5.5, Equation (3)</t>
  </si>
  <si>
    <t>M_leachorganicj</t>
  </si>
  <si>
    <t>mass of nitrogen in organic fertiliser</t>
  </si>
  <si>
    <t>Nitrous oxide emissions from nitrogen leaching and runoff from the application of all fertilisers across all production systems j</t>
  </si>
  <si>
    <t>VEERG 2026: 5.5, Equation (1)</t>
  </si>
  <si>
    <t>E_fertleach</t>
  </si>
  <si>
    <t>mass of nitrogen lost through leaching and runoff from inorganic fertiliser application in production system j</t>
  </si>
  <si>
    <t>mass of nitrogen lost through leaching and runoff from organic fertiliser application</t>
  </si>
  <si>
    <t>EF_leach</t>
  </si>
  <si>
    <t>emission factor for nitrogen leaching and runoff</t>
  </si>
  <si>
    <t>Calculated from 5.5.1.1 (2)</t>
  </si>
  <si>
    <t>Calculated from 5.5.1.1 (3)</t>
  </si>
  <si>
    <t>Mass of nitrogen in crop residues returned to the soil</t>
  </si>
  <si>
    <t>VEERG 2026: 6.1.1.1, Equation (2)</t>
  </si>
  <si>
    <t>Fraction of crop residue that is removed for crop c, calculated where residues are baled</t>
  </si>
  <si>
    <t>VEERG 2026: 6.1.1.2, Equation (1)</t>
  </si>
  <si>
    <t>M_c</t>
  </si>
  <si>
    <t>FFOD_c</t>
  </si>
  <si>
    <t>P_c</t>
  </si>
  <si>
    <t>annual production of crop c</t>
  </si>
  <si>
    <t>R_AGc</t>
  </si>
  <si>
    <t>residue to crop ratio for crop c</t>
  </si>
  <si>
    <t>R_BGc</t>
  </si>
  <si>
    <t>below ground-residue to above ground residue ratio for crop c</t>
  </si>
  <si>
    <t>F_c</t>
  </si>
  <si>
    <t>fraction of crop residue that is burnt for crop c</t>
  </si>
  <si>
    <t>fraction of the crop residue that is removed for crop c</t>
  </si>
  <si>
    <t>DM_c</t>
  </si>
  <si>
    <t>dry matter content of crop c</t>
  </si>
  <si>
    <t>NC_AGc</t>
  </si>
  <si>
    <t>nitrogen content of above-ground crop residue of crop c</t>
  </si>
  <si>
    <t>NC_BGc</t>
  </si>
  <si>
    <t>nitrogen content of below-ground crop residue of crop c</t>
  </si>
  <si>
    <t>kg dry weight/kg crop residue</t>
  </si>
  <si>
    <t>kg N/kg DM</t>
  </si>
  <si>
    <t>B</t>
  </si>
  <si>
    <t>number of bales generated</t>
  </si>
  <si>
    <t>M_B</t>
  </si>
  <si>
    <t>mass of each bale</t>
  </si>
  <si>
    <t>Nitrous oxide emissions from the return of crop residues across all crops c to the soil</t>
  </si>
  <si>
    <t>VEERG 2026: 6.1.1.1, Equation (1)</t>
  </si>
  <si>
    <t>Calculated from 6.1.1.2 (1)</t>
  </si>
  <si>
    <t>mass of nitrogen in crop c residues returned to the soil</t>
  </si>
  <si>
    <t>EF_Ni</t>
  </si>
  <si>
    <t>emission factor for crop residues returned to the soil</t>
  </si>
  <si>
    <t>Calculated from 6.1.1.1 (2)</t>
  </si>
  <si>
    <t>dimensionless</t>
  </si>
  <si>
    <t>Mass of nitrogen lost through leaching and runoff</t>
  </si>
  <si>
    <t>VEERG 2026: 6.3.1.1, Equation (2)</t>
  </si>
  <si>
    <t>mass of nitrogen in crop residues c or pasture residues p applied to soils</t>
  </si>
  <si>
    <t>fraction of N that is available for leaching and runoff from the leaching zone z and irrigation type ir</t>
  </si>
  <si>
    <t>Location in leaching zone</t>
  </si>
  <si>
    <t>Crop residue type</t>
  </si>
  <si>
    <t>p</t>
  </si>
  <si>
    <t>Pasture residue type</t>
  </si>
  <si>
    <t>Irrigation type</t>
  </si>
  <si>
    <t>Calc from 6.1.1.1 (2) and 6.2.1.1 (2)</t>
  </si>
  <si>
    <t>Nitrous oxide leaching and runoff emissions from crop and pasture residues returned to the soil</t>
  </si>
  <si>
    <t>VEERG 2026: 6.3.1.1, Equation (1)</t>
  </si>
  <si>
    <t>EN2O</t>
  </si>
  <si>
    <t>mass of nitrogen lost through leaching and runoff from the crop residue c or pasture residue p</t>
  </si>
  <si>
    <t>emission factor for leaching and runoff</t>
  </si>
  <si>
    <t>Calculated from 6.3.1.1 (2)</t>
  </si>
  <si>
    <t>Mass of residue of crop c burnt</t>
  </si>
  <si>
    <t>VEERG 2026: 6.4.1.1, Equation (3)</t>
  </si>
  <si>
    <t>M_burnc</t>
  </si>
  <si>
    <t>annual production of crop type c</t>
  </si>
  <si>
    <t>residue to crop ratio of crop type c</t>
  </si>
  <si>
    <t>S_c</t>
  </si>
  <si>
    <t>fraction of residues of crop type c remaining at burning</t>
  </si>
  <si>
    <t>dry matter content of crop type c</t>
  </si>
  <si>
    <t>Z_c</t>
  </si>
  <si>
    <t>burning efficiency (ratio of fuel burnt to fuel load) of crop type c</t>
  </si>
  <si>
    <t>fraction of the annual production of crop type c that is burnt</t>
  </si>
  <si>
    <t>kg crop residue/kg crop</t>
  </si>
  <si>
    <t>Nitrous oxide emissions from the burning of crop residues</t>
  </si>
  <si>
    <t>VEERG 2026: 6.4.1.1, Equation (2)</t>
  </si>
  <si>
    <t>mass of residue burnt for crop type c</t>
  </si>
  <si>
    <t>nitrogen content in the above-ground residue of crop type c</t>
  </si>
  <si>
    <t>EF_N2O</t>
  </si>
  <si>
    <t>emission factor for nitrous oxide from burning of crop residues</t>
  </si>
  <si>
    <t>Calculated from 6.4.1.1 (3)</t>
  </si>
  <si>
    <t>kg N2O/kg N2O burnt</t>
  </si>
  <si>
    <t>Methane emissions from the burning of crop residues</t>
  </si>
  <si>
    <t>VEERG 2026: 6.4.1.1, Equation (1)</t>
  </si>
  <si>
    <t>ECH4</t>
  </si>
  <si>
    <t>CC_c</t>
  </si>
  <si>
    <t>carbon mass fraction in the residues of crop type c</t>
  </si>
  <si>
    <t>EF_CH4</t>
  </si>
  <si>
    <t>emission factor for methane from burning of crop residues</t>
  </si>
  <si>
    <t>C_CH4</t>
  </si>
  <si>
    <t>factor to convert elemental mass of methane to molecular mass</t>
  </si>
  <si>
    <t>kg CH4 / kg CH4 burnt</t>
  </si>
  <si>
    <t>Emissions for each GHG from the combustion of fuels for transport energy purposes</t>
  </si>
  <si>
    <t>VEERG 2026: 8.1.1.1, Equation (1)</t>
  </si>
  <si>
    <t>Upstream emissions from scope 1 fuel use for transport purposes</t>
  </si>
  <si>
    <t>VEERG 2026: 15.11.1.1, Equation (2)</t>
  </si>
  <si>
    <t>E_g</t>
  </si>
  <si>
    <t>E_WTTtransq</t>
  </si>
  <si>
    <t>Q_Transtq</t>
  </si>
  <si>
    <t>Amount of fuel type q combusted for transport energy purposes</t>
  </si>
  <si>
    <t>EC_Transq</t>
  </si>
  <si>
    <t>Energy content factor for transport energy purposes</t>
  </si>
  <si>
    <t>EF_Trans1tqg</t>
  </si>
  <si>
    <t>Scope 1 emission factor for transport energy purposes for each greenhouse gas</t>
  </si>
  <si>
    <t>q</t>
  </si>
  <si>
    <t>Trans</t>
  </si>
  <si>
    <t>Transport combustion</t>
  </si>
  <si>
    <t>g</t>
  </si>
  <si>
    <t>Greenhouse gas</t>
  </si>
  <si>
    <t>Varies based on fuel type: kL, m3, GJ</t>
  </si>
  <si>
    <t>GJ / unit of fuel</t>
  </si>
  <si>
    <t>kg CO2e / GJ</t>
  </si>
  <si>
    <t>Q_Transq</t>
  </si>
  <si>
    <t>amount of fuel q combusted for transport energy purposes</t>
  </si>
  <si>
    <t>energy content factor for transport energy purposes</t>
  </si>
  <si>
    <t>EF_Trans3q</t>
  </si>
  <si>
    <t>scope 3 emission factor for transport energy purposes</t>
  </si>
  <si>
    <t>GJ/kL or GJ/m3</t>
  </si>
  <si>
    <t>kg CO2e/GJ</t>
  </si>
  <si>
    <t>Emissions for each GHG from the stationary combustion of fuels</t>
  </si>
  <si>
    <t>VEERG 2026: 8.2.1.1, Equation (1)</t>
  </si>
  <si>
    <t>Upstream emissions from scope 1 stationary combustion fuel use</t>
  </si>
  <si>
    <t>VEERG 2026: 15.11.1.1, Equation (3)</t>
  </si>
  <si>
    <t>VARIATION ON SOURCE: Added 'state' and 'metro/non-metro' arguments as gaseous scope 3 EFs are state and metro/non-metro location-based.</t>
  </si>
  <si>
    <t>E_WTTSCq</t>
  </si>
  <si>
    <t>Q_SCq</t>
  </si>
  <si>
    <t>Amount of fuel type q used for stationary combustion operations</t>
  </si>
  <si>
    <t>EC_SCq</t>
  </si>
  <si>
    <t>Energy content factor for stationary combustion operations</t>
  </si>
  <si>
    <t>EF_SC1qg</t>
  </si>
  <si>
    <t>Scope 1 emission factor for stationary combustion for each greenhouse gas</t>
  </si>
  <si>
    <t>SC</t>
  </si>
  <si>
    <t>Stationary combustion</t>
  </si>
  <si>
    <t>amount of fuel q used for stationary combustion operations</t>
  </si>
  <si>
    <t>energy content factor for stationary combustion operations</t>
  </si>
  <si>
    <t>EF_SC3q</t>
  </si>
  <si>
    <t>scope 3 emission factor for stationary combustion operations</t>
  </si>
  <si>
    <t>state</t>
  </si>
  <si>
    <t>m</t>
  </si>
  <si>
    <t>metropolitan/non-metropolitan location</t>
  </si>
  <si>
    <t>GJ/kL</t>
  </si>
  <si>
    <t>Mass of waste from waste volume</t>
  </si>
  <si>
    <t>VEERG 2026: 10.1.1.1, Equation (2)</t>
  </si>
  <si>
    <t>Q_wt</t>
  </si>
  <si>
    <t>t</t>
  </si>
  <si>
    <t>V_wt</t>
  </si>
  <si>
    <t>volume of solid waste type w being sent to treatment facility t</t>
  </si>
  <si>
    <t>VTM_w</t>
  </si>
  <si>
    <t>conversion factor of volume to mass for waste type w</t>
  </si>
  <si>
    <t>w</t>
  </si>
  <si>
    <t>waste type</t>
  </si>
  <si>
    <t>treatment facility</t>
  </si>
  <si>
    <t>m3</t>
  </si>
  <si>
    <t>t/m3</t>
  </si>
  <si>
    <t>Emissions from waste management by greenhouse gas</t>
  </si>
  <si>
    <t>VEERG 2026: 10.1.1.1, Equation (1)</t>
  </si>
  <si>
    <t>VARIATION ON SOURCE: Added Q_volwt and Q_masswt variables to clearly track input or calculated Q values</t>
  </si>
  <si>
    <t>quantity of solid waste of type w being sent to treatment facility t, on a wet weight basis</t>
  </si>
  <si>
    <t>EF_wtg</t>
  </si>
  <si>
    <t>emission factor for greenhouse gas g for the management of waste at treatment facility t</t>
  </si>
  <si>
    <t>greenhouse gas</t>
  </si>
  <si>
    <t>Q_volwt</t>
  </si>
  <si>
    <t>quantity of sold waste input as volume and converted to tonnes</t>
  </si>
  <si>
    <t>Q_masswt</t>
  </si>
  <si>
    <t>quantity of solid waste input as mass</t>
  </si>
  <si>
    <t>Sum of Q_volwt and Q_masswt</t>
  </si>
  <si>
    <t>t CO2e/t</t>
  </si>
  <si>
    <t>Calculated from 10.1.1.1 (2)</t>
  </si>
  <si>
    <t>Location-based Scope 2 emissions from purchased electricity</t>
  </si>
  <si>
    <t>VEERG 2026: 14.1.1, Equation (1)</t>
  </si>
  <si>
    <t>Added g variable to capture which grid electricity was purchased from</t>
  </si>
  <si>
    <t>E_2elec</t>
  </si>
  <si>
    <t>Q_elec</t>
  </si>
  <si>
    <t>amount of electricity purchased from the grid</t>
  </si>
  <si>
    <t>EF_2elec</t>
  </si>
  <si>
    <t>location-based Scope 2 emission factor for electricity</t>
  </si>
  <si>
    <t>Grid electricity was purchased from</t>
  </si>
  <si>
    <t>kg CO2e/kWh</t>
  </si>
  <si>
    <t>Market-based Scope 2 emissions from purchased electricity</t>
  </si>
  <si>
    <t>VEERG 2026: 14.1.2, Equation (1)</t>
  </si>
  <si>
    <t>VARIATION ON SOURCE: In order to convert megawatt hours to kilowatt hours, the REC_surrendered and REC_onsite variables are multiplied by 10^3 instead of 10^-3.</t>
  </si>
  <si>
    <t>RPP</t>
  </si>
  <si>
    <t>Renewable Power Percentage under the Large-scale Renewable Energy Target (LRET)</t>
  </si>
  <si>
    <t>JRPP</t>
  </si>
  <si>
    <t>jurisdictional renewable power percentage for the applicable period (ACT only)</t>
  </si>
  <si>
    <t>REC_surrendered</t>
  </si>
  <si>
    <t>Renewable Energy Certificates voluntarily surrendered in the reporting year</t>
  </si>
  <si>
    <t>REC_onsite</t>
  </si>
  <si>
    <t>Renewable Energy Certificates issued for electricity produced on-site during the year and consumed by the entity</t>
  </si>
  <si>
    <t>EF_RMF2elec</t>
  </si>
  <si>
    <t>Scope 2 residual mix emission factor for electricity</t>
  </si>
  <si>
    <t>per cent</t>
  </si>
  <si>
    <t>Total emissions from purchased livestock</t>
  </si>
  <si>
    <t>VEERG 2026: 15.1.1.1, Equation (1)</t>
  </si>
  <si>
    <t>N_co</t>
  </si>
  <si>
    <t>number of animals purchased in livestock type c from origin o</t>
  </si>
  <si>
    <t>W_co</t>
  </si>
  <si>
    <t>average liveweight of purchased livestock at point of purchase</t>
  </si>
  <si>
    <t>EF_co</t>
  </si>
  <si>
    <t>emission factor per livestock type and origin</t>
  </si>
  <si>
    <t>livestock type</t>
  </si>
  <si>
    <t>o</t>
  </si>
  <si>
    <t>origin</t>
  </si>
  <si>
    <t>head</t>
  </si>
  <si>
    <t>kg/head</t>
  </si>
  <si>
    <t>kg CO2e/kg</t>
  </si>
  <si>
    <t>Emissions from purchased feed</t>
  </si>
  <si>
    <t>VEERG 2026: 15.2.1.1, Equation (1)</t>
  </si>
  <si>
    <t>VARIATION ON SOURCE: Input Q_j in kg instead of t to match EF units. Multiply by 10^-3 to convert kg CO2e to t CO2e.</t>
  </si>
  <si>
    <t>Q_j</t>
  </si>
  <si>
    <t>quantity of feed type j purchased</t>
  </si>
  <si>
    <t>EF_j</t>
  </si>
  <si>
    <t>emission factor of purchased feed</t>
  </si>
  <si>
    <t>feed type</t>
  </si>
  <si>
    <t>Total emissions from purchased mineral supplements</t>
  </si>
  <si>
    <t>VEERG 2026: 15.3.1.1, Equation (1)</t>
  </si>
  <si>
    <t>Q_m</t>
  </si>
  <si>
    <t>total quantity of mineral supplement type m used</t>
  </si>
  <si>
    <t>EF_m</t>
  </si>
  <si>
    <t>emission factor of purchased mineral supplement</t>
  </si>
  <si>
    <t>mineral supplement type</t>
  </si>
  <si>
    <t>Emission factor for fertiliser product derived from components</t>
  </si>
  <si>
    <t>GAF</t>
  </si>
  <si>
    <t>VARIATION ON SOURCE: This equation is added to calculate an EF value from fertiliser components that can be used in 15.4.1.1 (1)</t>
  </si>
  <si>
    <t>EF_f</t>
  </si>
  <si>
    <t>kg CO2e/kg fertiliser</t>
  </si>
  <si>
    <t>F_cf</t>
  </si>
  <si>
    <t>fraction of component c contained within the inorganic fertiliser f</t>
  </si>
  <si>
    <t>EF_c</t>
  </si>
  <si>
    <t>emission factor for the production of component c</t>
  </si>
  <si>
    <t>fertiliser component</t>
  </si>
  <si>
    <t>inorganic fertiliser type</t>
  </si>
  <si>
    <t>wt%</t>
  </si>
  <si>
    <t>kg CO2e/kg component</t>
  </si>
  <si>
    <t>Emissions from purchased fertiliser</t>
  </si>
  <si>
    <t>VEERG 2026: 15.4.1.1, Equation (1)</t>
  </si>
  <si>
    <t>quantity of inorganic fertiliser type f purchased and applied to production system j</t>
  </si>
  <si>
    <t>emission factor of purchased inorganic fertiliser</t>
  </si>
  <si>
    <t>Emissions from purchased fertiliser components</t>
  </si>
  <si>
    <t>VEERG 2026: 15.4.1.1, Equation (2)</t>
  </si>
  <si>
    <t>VARIATION ON SOURCE: removes division by 100 for F_cf, treating F_cf as fraction instead of percent because it is a fraction in scope 1 equations. Convert kg to tonnes by mutiplying by 10^-3.</t>
  </si>
  <si>
    <t>Total emissions from purchased agrichemicals</t>
  </si>
  <si>
    <t>VEERG 2026: 15.5.1.1, Equation (1)</t>
  </si>
  <si>
    <t>Q_h</t>
  </si>
  <si>
    <t>quantity of active ingredients in agrichemical type h purchased and applied to soils</t>
  </si>
  <si>
    <t>EF_h</t>
  </si>
  <si>
    <t>emission factor for purchased agrichemical active ingredient</t>
  </si>
  <si>
    <t>h</t>
  </si>
  <si>
    <t>agrichemical type</t>
  </si>
  <si>
    <t>kg ai</t>
  </si>
  <si>
    <t>kg CO2e/kg ai</t>
  </si>
  <si>
    <t>Embedded emissions for purchased lime</t>
  </si>
  <si>
    <t>VEERG 2026: 15.6.1.1, Equation (1)</t>
  </si>
  <si>
    <t>total quantity of lime applied to soils</t>
  </si>
  <si>
    <t>EF_l</t>
  </si>
  <si>
    <t>emission factor for purchased lime</t>
  </si>
  <si>
    <t>Emissions of purchased services and contractor operations</t>
  </si>
  <si>
    <t>VEERG 2026: 15.7.1.1, Equation (1)</t>
  </si>
  <si>
    <t>A_p</t>
  </si>
  <si>
    <t>activity data of the service that was purchased</t>
  </si>
  <si>
    <t>EF_p</t>
  </si>
  <si>
    <t>life cycle emission factor for the purchased service</t>
  </si>
  <si>
    <t>service type</t>
  </si>
  <si>
    <t>ha or h</t>
  </si>
  <si>
    <t>kg CO2e/ha or kg CO2e/h</t>
  </si>
  <si>
    <t>Embedded emissions from use of packaging materials</t>
  </si>
  <si>
    <t>VEERG 2026: 15.8.1.1, Equation (1)</t>
  </si>
  <si>
    <t>VARIATION ON SOURCE: Changed unit of Q from 'units' to 'kg' as EF data is in kg.</t>
  </si>
  <si>
    <t>Q_p</t>
  </si>
  <si>
    <t>units of packaging type p</t>
  </si>
  <si>
    <t>emission factor for packaging type p</t>
  </si>
  <si>
    <t>packaging type</t>
  </si>
  <si>
    <t>units</t>
  </si>
  <si>
    <t>kg CO2e/unit</t>
  </si>
  <si>
    <t>Embedded emissions from use of grow media products</t>
  </si>
  <si>
    <t>VEERG 2026: 15.9.1.1, Equation (1)</t>
  </si>
  <si>
    <t>Q_g</t>
  </si>
  <si>
    <t>total quantity of grow media type g</t>
  </si>
  <si>
    <t>EF_g</t>
  </si>
  <si>
    <t>emission factor for grow media type g</t>
  </si>
  <si>
    <t>grow media type</t>
  </si>
  <si>
    <t>kg or m3</t>
  </si>
  <si>
    <t>kg CO2e/kg or kg CO2e/m3</t>
  </si>
  <si>
    <t>Other purchased goods and services generic estimate</t>
  </si>
  <si>
    <t>VEERG 2026: 15.10, generic placeholder equation</t>
  </si>
  <si>
    <t>emissions</t>
  </si>
  <si>
    <t>activity_data</t>
  </si>
  <si>
    <t>measured activity for the purchased good or service</t>
  </si>
  <si>
    <t>emission_factor</t>
  </si>
  <si>
    <t>lifecycle emissions per unit of activity</t>
  </si>
  <si>
    <t>varies</t>
  </si>
  <si>
    <t>Total upstream emissions from scope 1 fuel consumption</t>
  </si>
  <si>
    <t>VEERG 2026: 15.11.1.1, Equation (1)</t>
  </si>
  <si>
    <t>upstream emissions from scope 1 transport fuel use</t>
  </si>
  <si>
    <t>upstream emissions from scope 1 stationary combustion fuel use</t>
  </si>
  <si>
    <t>Calculated by 15.11.1.1 (2)</t>
  </si>
  <si>
    <t>Calculated by 15.11.1.1 (3)</t>
  </si>
  <si>
    <t>Scope 3 emissions from purchased electricity location based</t>
  </si>
  <si>
    <t>VEERG 2026: 15.12.1.1, Equation (1)</t>
  </si>
  <si>
    <t>E_3elec</t>
  </si>
  <si>
    <t>EF_3elec</t>
  </si>
  <si>
    <t>scope 3 emission factor for purchased electricity</t>
  </si>
  <si>
    <t>grid electricity was purchased from</t>
  </si>
  <si>
    <t>Scope 3 emissions from purchased electricity market based</t>
  </si>
  <si>
    <t>VEERG 2026: 15.12.1.2, Equation (1)</t>
  </si>
  <si>
    <t>renewable power percentage under LRET for the applicable period</t>
  </si>
  <si>
    <t>jurisdictional renewable power percentage for the applicable period</t>
  </si>
  <si>
    <t>eligible renewable energy certificates voluntarily surrendered</t>
  </si>
  <si>
    <t>eligible renewable energy certificates issued for onsite generated electricity</t>
  </si>
  <si>
    <t>EF_RMF3elec</t>
  </si>
  <si>
    <t>scope 3 residual mix emission factor for electricity</t>
  </si>
  <si>
    <t>Emissions from manure sent off site applied to soils in another farming system or enterprise</t>
  </si>
  <si>
    <t>VEERG 2026: 15.13.1.1, Equation (1)</t>
  </si>
  <si>
    <t>direct nitrous oxide emissions from application of manure to soils outside of scope 1 boundary</t>
  </si>
  <si>
    <t>E_ad</t>
  </si>
  <si>
    <t>nitrous oxide emissions from atmospheric deposition of manure to soils</t>
  </si>
  <si>
    <t>E_leach</t>
  </si>
  <si>
    <t>nitrous oxide emissions from nitrogen leaching and runoff of manure to soils</t>
  </si>
  <si>
    <t>Emissions from solid waste sent to a treatment facility</t>
  </si>
  <si>
    <t>VEERG 2026: 15.13.1.3</t>
  </si>
  <si>
    <t>Embedded emissions from upstream freight</t>
  </si>
  <si>
    <t>VEERG 2026: 15.14.1.1, Equation (1)</t>
  </si>
  <si>
    <t>W_f</t>
  </si>
  <si>
    <t>total mass of goods transported per freight type f</t>
  </si>
  <si>
    <t>D_f</t>
  </si>
  <si>
    <t>total distance transported per freight type f</t>
  </si>
  <si>
    <t>emission factor for freight type f</t>
  </si>
  <si>
    <t>freight type</t>
  </si>
  <si>
    <t>km</t>
  </si>
  <si>
    <t>t CO2e/(t km)</t>
  </si>
  <si>
    <t>Crop purpose and yield</t>
  </si>
  <si>
    <t>grain</t>
  </si>
  <si>
    <t>yield</t>
  </si>
  <si>
    <t>harvest</t>
  </si>
  <si>
    <t>Yield is the grain harvested from the plant</t>
  </si>
  <si>
    <t>Residue to crop ratio is provided from default values</t>
  </si>
  <si>
    <t>Total production is the total grain harvested</t>
  </si>
  <si>
    <t>Cash crop for hay/silage</t>
  </si>
  <si>
    <t>above ground biomass</t>
  </si>
  <si>
    <t>plant biomass</t>
  </si>
  <si>
    <t>Yield is the whole plant harvested for hay/silage</t>
  </si>
  <si>
    <t>Residue to crop ratio is 0 assuming the whole plant is harvested for hay/silage</t>
  </si>
  <si>
    <t>Total production is the total whole plant biomass harvested as hay/silage</t>
  </si>
  <si>
    <t>Cover crop</t>
  </si>
  <si>
    <t>mass</t>
  </si>
  <si>
    <t>end of crop cycle</t>
  </si>
  <si>
    <t>Yield is the whole plant kept as cover crop</t>
  </si>
  <si>
    <t>Residue to crop ratio is 1 assuming the whole plant is kept as cover crop</t>
  </si>
  <si>
    <t>Total production is the total whole plant biomass kept as cover crop</t>
  </si>
  <si>
    <t>Table A.2.1.1: Crop attributes</t>
  </si>
  <si>
    <t>VEERG 2026: Table A.2.1.1: Crop attributes</t>
  </si>
  <si>
    <t>Barley</t>
  </si>
  <si>
    <t>Oats</t>
  </si>
  <si>
    <t>Rice</t>
  </si>
  <si>
    <t>Sorghum</t>
  </si>
  <si>
    <t>Triticale</t>
  </si>
  <si>
    <t>Other cereals</t>
  </si>
  <si>
    <t>Pulses</t>
  </si>
  <si>
    <t>Tubers and roots</t>
  </si>
  <si>
    <t>n/a</t>
  </si>
  <si>
    <t>Peanuts</t>
  </si>
  <si>
    <t>Sugar cane</t>
  </si>
  <si>
    <t>Hops</t>
  </si>
  <si>
    <t>Oilseeds</t>
  </si>
  <si>
    <t>Forage crops</t>
  </si>
  <si>
    <t>Other annual crops</t>
  </si>
  <si>
    <t>Other perennial crops</t>
  </si>
  <si>
    <t>Emission factor for organic fertiliser and crop residues returned to the soil</t>
  </si>
  <si>
    <t>VEERG 2026: Table A.2.1.4</t>
  </si>
  <si>
    <t>Wet climate zone</t>
  </si>
  <si>
    <t>Dry climate zone</t>
  </si>
  <si>
    <t>Table A.2.1.3 Pasture attributes</t>
  </si>
  <si>
    <t>VEERG 2026: Table A.2.1.3: Pasture attributes</t>
  </si>
  <si>
    <t>Annual grass</t>
  </si>
  <si>
    <t>Grass clover mixture</t>
  </si>
  <si>
    <t>Lucerne</t>
  </si>
  <si>
    <t>Other legume</t>
  </si>
  <si>
    <t>Perennial pasture</t>
  </si>
  <si>
    <t>Table 5.31 Burning of agricultural residues - EFs</t>
  </si>
  <si>
    <t>National Inventory Report 2023 volume 2: Table 5.31: Burning of agricultural residues - EFs</t>
  </si>
  <si>
    <t>16/12</t>
  </si>
  <si>
    <t>44/28</t>
  </si>
  <si>
    <t>NOx</t>
  </si>
  <si>
    <t>46/14</t>
  </si>
  <si>
    <t>CO</t>
  </si>
  <si>
    <t>28/12</t>
  </si>
  <si>
    <t>NMVOC</t>
  </si>
  <si>
    <t>14/12</t>
  </si>
  <si>
    <t>Table A.2.1.2: Crop attributes - Fraction removed (FFODc)</t>
  </si>
  <si>
    <t>VEERG 2026: Table A.2.1.2: Crop attributes - Fraction removed (FFODc)</t>
  </si>
  <si>
    <t>All states</t>
  </si>
  <si>
    <t>Sugar Cane</t>
  </si>
  <si>
    <t>All other crop types</t>
  </si>
  <si>
    <t>Electricity scope 2 and scope 3 location-based emission factors</t>
  </si>
  <si>
    <t>Australian National Greenhouse Accounts Factors 2025 - Table 1</t>
  </si>
  <si>
    <t>New South Wales</t>
  </si>
  <si>
    <t>Victoria</t>
  </si>
  <si>
    <t>Queensland</t>
  </si>
  <si>
    <t>South Australia</t>
  </si>
  <si>
    <t>Western Australia - South West Interconnected System (SWIS)</t>
  </si>
  <si>
    <t>Tasmania</t>
  </si>
  <si>
    <t>Northern Territory - Darwin Katherine Interconnected System (DKIS)</t>
  </si>
  <si>
    <t>National</t>
  </si>
  <si>
    <t>Electricity scope 2 and scope 3 market-based emission factors</t>
  </si>
  <si>
    <t>Australian National Greenhouse Accounts Factors 2025 - Table 2a</t>
  </si>
  <si>
    <t>Common inorganic fertilisers</t>
  </si>
  <si>
    <t>Table A.2.2.3: Fraction of nitrogen in common inorganic fertilisers (kgN/kg) (FNorganic,f) AND Table A.2.2.4: Fraction of urea in common inorganic fertilisers (kg urea/kg) (FUf)</t>
  </si>
  <si>
    <t>VARIATION ON SOURCE</t>
  </si>
  <si>
    <t>Added 'Basis' column to allow cross-referencing with table Table A.2.2.6: Fraction of inorganic fertiliser f that volatilises as NH3 and NOx ((kg NH3-N + NOx-N)/kg N) (FracGASFf)</t>
  </si>
  <si>
    <t>Added extra fertiliser types and generic chemical compounds to allow for custom NPKS blends</t>
  </si>
  <si>
    <t>Added extra 'Scope 3 definition' column to allow mapping with scope 3 data</t>
  </si>
  <si>
    <t>Added 'Source' column</t>
  </si>
  <si>
    <t>Combined data from Table A.2.2.3 and Table A.2.2.4 into one table to aid lookup.</t>
  </si>
  <si>
    <t>Excluded 'References' column</t>
  </si>
  <si>
    <t>Excluded 'Ammonium sulfate' as it is a duplicate of 'Sulphate of ammonia (SOA)'</t>
  </si>
  <si>
    <t>Excluded 'Calcium nitrate' as no scope 3 value available.</t>
  </si>
  <si>
    <t>Set 'Nitrogen - Generic' basis as 'Urea-based fertilisers, as urea is the most commonly used form of nitrogen in Australian fertilisers</t>
  </si>
  <si>
    <t>Set 'Urea-ammonium nitrate' basis as 'Urea-based fertiliser'</t>
  </si>
  <si>
    <t>Ammonia has an FN value of 0.8235 based on (14/17)x100, where 14 is the mass of nitrogen in ammonia and 17 is the molar mass of ammonia.</t>
  </si>
  <si>
    <t>Fraction of nitrogen in common inorganic fertilisers (kgN/kg) (FNorganic,f)</t>
  </si>
  <si>
    <t>VEERG 2026: Table A.2.2.3</t>
  </si>
  <si>
    <t>Fraction of urea in common inorganic fertilisers (kg urea/kg) (FUf)</t>
  </si>
  <si>
    <t>VEERG 2026: Table A.2.2.4</t>
  </si>
  <si>
    <t>Source regions for urea and ammonia</t>
  </si>
  <si>
    <t>Lifecycles. (2026). Greenhouse Gas Emission Intensities for Material Inputs to Australian Agriculture, Fisheries and Forestry. Version 48. doi 10.5281/zenodo.19656580</t>
  </si>
  <si>
    <t>Monoammonium phosphate (MAP)</t>
  </si>
  <si>
    <t>Ammonium-based fertilisers</t>
  </si>
  <si>
    <t>Diammonium phosphate (DAP)</t>
  </si>
  <si>
    <t>Urea-based fertilisers</t>
  </si>
  <si>
    <t>Sulphate of ammonia (SOA)</t>
  </si>
  <si>
    <t>Urea-ammonium nitrate (UAN)</t>
  </si>
  <si>
    <t>Ammonium nitrate (AN)</t>
  </si>
  <si>
    <t>Ammonium-nitrate based fertilisers</t>
  </si>
  <si>
    <t>Calcium ammonium nitrate (CAN)</t>
  </si>
  <si>
    <t>Nitrogen - Ammoniacal</t>
  </si>
  <si>
    <t>LifeCycles</t>
  </si>
  <si>
    <t>Nitrogen - Nitrate</t>
  </si>
  <si>
    <t>Nitrate-based fertilisers</t>
  </si>
  <si>
    <t>Nitrogen from Nitrate</t>
  </si>
  <si>
    <t>Nitrogen - Generic</t>
  </si>
  <si>
    <t>Nitrogen from fertiliser</t>
  </si>
  <si>
    <t>Phosphorus - Generic</t>
  </si>
  <si>
    <t>Other fertilisers</t>
  </si>
  <si>
    <t>Phosphorus from fertiliser</t>
  </si>
  <si>
    <t>Potassium from fertiliser</t>
  </si>
  <si>
    <t>Sulfur from fertiliser</t>
  </si>
  <si>
    <t>Zinc from fertiliser</t>
  </si>
  <si>
    <t>Muriate of potash (MOP)</t>
  </si>
  <si>
    <t>Double superphosphate</t>
  </si>
  <si>
    <t>Single superphosphate (SSP)</t>
  </si>
  <si>
    <t>Ammonium Sulfate</t>
  </si>
  <si>
    <t>Calcium Nitrate</t>
  </si>
  <si>
    <t>Global</t>
  </si>
  <si>
    <t>Canada</t>
  </si>
  <si>
    <t>China</t>
  </si>
  <si>
    <t>Yemen</t>
  </si>
  <si>
    <t>Fraction of inorganic fertiliser that volatilises as NH3 and NOx</t>
  </si>
  <si>
    <t>Table A.2.2.6: Fraction of inorganic fertiliser f that volatilises as NH3 and NOx ((kg NH3-N + NOx-N)/kg N) (FracGASFf)</t>
  </si>
  <si>
    <t>Emission factor for carbon emissions from urea application</t>
  </si>
  <si>
    <t>VEERG 2026: 5.1.2.2 Constant Parameters</t>
  </si>
  <si>
    <t>EFureaCO2</t>
  </si>
  <si>
    <t>Constants for lime, dolomite and gypsum</t>
  </si>
  <si>
    <t>VEERG 2026: 5.3.2.3 Constant Parameters</t>
  </si>
  <si>
    <t>Lime (Calcium carbonate)</t>
  </si>
  <si>
    <t>Dolomite (Magnesium carbonate)</t>
  </si>
  <si>
    <t>Gypsum</t>
  </si>
  <si>
    <t>Fraction of organic fertiliser that volatilises as NH3 and NOx</t>
  </si>
  <si>
    <t>VEERG 2026: 5.4.2.3 Constant Parameters</t>
  </si>
  <si>
    <t>FracGASMsoil</t>
  </si>
  <si>
    <t>Fraction of nitrogen that is lost through leaching and runoff</t>
  </si>
  <si>
    <t>VEERG 2026: 5.5.2.3 Constant Parameters</t>
  </si>
  <si>
    <t>Emission factor for nitrogen leaching and runoff</t>
  </si>
  <si>
    <t>EFLeach</t>
  </si>
  <si>
    <t>kg N2O-N / kg N</t>
  </si>
  <si>
    <t>Campbells fertilisers Australia</t>
  </si>
  <si>
    <t>Aqua Finish</t>
  </si>
  <si>
    <t>Aqua Grow</t>
  </si>
  <si>
    <t>Aqua Nitro AN</t>
  </si>
  <si>
    <t>Aqua NitroCal</t>
  </si>
  <si>
    <t>Calcium</t>
  </si>
  <si>
    <t>Aqua NitroCal (VI)</t>
  </si>
  <si>
    <t>Aqua NitroCal Ultimate</t>
  </si>
  <si>
    <t>Aqua Start</t>
  </si>
  <si>
    <t>Aqua Thio-Complete</t>
  </si>
  <si>
    <t>Aqua Thio-Emerge</t>
  </si>
  <si>
    <t>Aqua Thio-Flourish</t>
  </si>
  <si>
    <t>Magnesium</t>
  </si>
  <si>
    <t>Zinc</t>
  </si>
  <si>
    <t>Manganese</t>
  </si>
  <si>
    <t>Iron</t>
  </si>
  <si>
    <t>Copper</t>
  </si>
  <si>
    <t>Boron</t>
  </si>
  <si>
    <t>Bronze</t>
  </si>
  <si>
    <t>Calbit C</t>
  </si>
  <si>
    <t>Compass</t>
  </si>
  <si>
    <t>CoRoN 12-0-10</t>
  </si>
  <si>
    <t>Maximum Quick-N</t>
  </si>
  <si>
    <t>SL Tec</t>
  </si>
  <si>
    <t>Crop Booster PLUS</t>
  </si>
  <si>
    <t>Risso-Chemical</t>
  </si>
  <si>
    <t>Ammonium Bicarbonate</t>
  </si>
  <si>
    <t>Ravensdown</t>
  </si>
  <si>
    <t>Ammonium Sulphate - Granular</t>
  </si>
  <si>
    <t>Impact Fertilisers</t>
  </si>
  <si>
    <t>Di-Ammonium Phosphate (DAP)</t>
  </si>
  <si>
    <t>Incitec Pivot Fertilisers</t>
  </si>
  <si>
    <t>Basalt BooSSta</t>
  </si>
  <si>
    <t>Fluoride</t>
  </si>
  <si>
    <t>Summit Fertilizers</t>
  </si>
  <si>
    <t>DAPSZC</t>
  </si>
  <si>
    <t>Easy N</t>
  </si>
  <si>
    <t>Biuret</t>
  </si>
  <si>
    <t>Calcium Ammonium nitrate</t>
  </si>
  <si>
    <t>CellCAL Plus</t>
  </si>
  <si>
    <t>CK55</t>
  </si>
  <si>
    <t>Switch Ag</t>
  </si>
  <si>
    <t>Crop K</t>
  </si>
  <si>
    <t>Crop Starter</t>
  </si>
  <si>
    <t>Gran-Am</t>
  </si>
  <si>
    <t>Encal</t>
  </si>
  <si>
    <t>Granulock SS</t>
  </si>
  <si>
    <t>Granulock Z</t>
  </si>
  <si>
    <t>Farm Ag Leichhardt</t>
  </si>
  <si>
    <t>Flexi-N NBPT</t>
  </si>
  <si>
    <t>Yes</t>
  </si>
  <si>
    <t>Gold Premium</t>
  </si>
  <si>
    <t>High NS</t>
  </si>
  <si>
    <t>Impact SSP</t>
  </si>
  <si>
    <t>In Crop</t>
  </si>
  <si>
    <t>K20</t>
  </si>
  <si>
    <t>Loveland Agriproducts</t>
  </si>
  <si>
    <t>Maximum N-Pact</t>
  </si>
  <si>
    <t>Nitro Combi TE</t>
  </si>
  <si>
    <t>Fulvic acid (organic)</t>
  </si>
  <si>
    <t>Molybdenum</t>
  </si>
  <si>
    <t>PastureMAXX</t>
  </si>
  <si>
    <t>Platinum Nergetic</t>
  </si>
  <si>
    <t>Potassium sulphate</t>
  </si>
  <si>
    <t>Glaze Extend G3 Flexi</t>
  </si>
  <si>
    <t>Mono-Ammonium Phosphate (MAP)</t>
  </si>
  <si>
    <t>Koch Fertiliser Australia</t>
  </si>
  <si>
    <t>Urea Ammonium nitrate (UAN 32-0-0)</t>
  </si>
  <si>
    <t>Polypeptide Urea</t>
  </si>
  <si>
    <t>Polypeptide (amino acids)</t>
  </si>
  <si>
    <t>Yara Australia</t>
  </si>
  <si>
    <t>YaraTera CALCINIT</t>
  </si>
  <si>
    <t>YaraLiva NITRABOR</t>
  </si>
  <si>
    <t>YaraMila COMPLEX</t>
  </si>
  <si>
    <t>YaraRega 9-0-30 (14)</t>
  </si>
  <si>
    <t>YaraRega 13-2-21</t>
  </si>
  <si>
    <t>YaraRega 15-7-13 (7S)</t>
  </si>
  <si>
    <t>YaraTera CALCINIT B</t>
  </si>
  <si>
    <t>YaraTera KRISTA MAP</t>
  </si>
  <si>
    <t>YaraTera KRISTALON RED</t>
  </si>
  <si>
    <t>YaraTera KRISTALON SPECIAL</t>
  </si>
  <si>
    <t>YaraMila 21-7-3(4)</t>
  </si>
  <si>
    <t>YaraTera KRISTALON SCARLET</t>
  </si>
  <si>
    <t>Solu-MAP</t>
  </si>
  <si>
    <t>Solu-Sam</t>
  </si>
  <si>
    <t>Rustica Plus</t>
  </si>
  <si>
    <t>Platinum Plus</t>
  </si>
  <si>
    <t>Tropika</t>
  </si>
  <si>
    <t>Rustica Nergetic</t>
  </si>
  <si>
    <t>Quick-N Nergetic</t>
  </si>
  <si>
    <t>FertPro Manufacturing Pty. Ltd.</t>
  </si>
  <si>
    <t>(SSP) Single Super Fertiliser</t>
  </si>
  <si>
    <t>ZincStar</t>
  </si>
  <si>
    <t>Baileys (Simplot) [listed as Impact]</t>
  </si>
  <si>
    <t>Apex GaIXe Low P 21-1-6</t>
  </si>
  <si>
    <t>SuPerfect</t>
  </si>
  <si>
    <t>Incitec Pivot Fertilisers [listed as Summit]</t>
  </si>
  <si>
    <t>Big N</t>
  </si>
  <si>
    <t>Entec Urea</t>
  </si>
  <si>
    <t>Incitec Pivot Fertilisers (or Ravensdown - see note)</t>
  </si>
  <si>
    <t>Flexi-N NI only</t>
  </si>
  <si>
    <t>Urease/nitrification inhibitor</t>
  </si>
  <si>
    <t>Nutri-Tech Solutions (NTS)</t>
  </si>
  <si>
    <t>Muriate Of Potash MOP</t>
  </si>
  <si>
    <t>Nuturf</t>
  </si>
  <si>
    <t>MAP NUTURF</t>
  </si>
  <si>
    <t>Quick-N</t>
  </si>
  <si>
    <t>SLTEC Fertilizers</t>
  </si>
  <si>
    <t>UAS</t>
  </si>
  <si>
    <t>Triazone Urea</t>
  </si>
  <si>
    <t>Marnco [listed as SLTEC]</t>
  </si>
  <si>
    <t>Ammo 36N</t>
  </si>
  <si>
    <t>Risso Liquid NPK (200-200-200)</t>
  </si>
  <si>
    <t>Turf Group Australia (Simplot)</t>
  </si>
  <si>
    <t>Super Cal 15-0-12</t>
  </si>
  <si>
    <t>CK 88</t>
  </si>
  <si>
    <t>CropLift 15</t>
  </si>
  <si>
    <t>NPKS 19-13-0-9</t>
  </si>
  <si>
    <t>PastureBoosta</t>
  </si>
  <si>
    <t>Greentop K</t>
  </si>
  <si>
    <t>HayBoosta</t>
  </si>
  <si>
    <t>Impact Super Potash 1&amp;1</t>
  </si>
  <si>
    <t>Impact Super Potash 2&amp;1</t>
  </si>
  <si>
    <t>Impact Super Potash 3&amp;1</t>
  </si>
  <si>
    <t>Impact Super Potash 4&amp;1</t>
  </si>
  <si>
    <t>Impact Super Potash 5&amp;1</t>
  </si>
  <si>
    <t>Pacific Fertiliser / Incitec Pivot Fertilisers</t>
  </si>
  <si>
    <t>Cal-Gran</t>
  </si>
  <si>
    <t>Cal-Gran 50/50 (S)</t>
  </si>
  <si>
    <t>Cal-Gran 130</t>
  </si>
  <si>
    <t>Cal-Gran 150</t>
  </si>
  <si>
    <t>Cal-Gran Extra K</t>
  </si>
  <si>
    <t>Dairy Pro</t>
  </si>
  <si>
    <t>YaraMila ACTYVA S</t>
  </si>
  <si>
    <t>CSBP</t>
  </si>
  <si>
    <t>Agflow Extra</t>
  </si>
  <si>
    <t>Super &amp; Potash 3:1</t>
  </si>
  <si>
    <t>Yara</t>
  </si>
  <si>
    <t>YaraBela CAN-27</t>
  </si>
  <si>
    <t>Cal-Gran Aftergraze</t>
  </si>
  <si>
    <t>Cal-Gran Prodress</t>
  </si>
  <si>
    <t>Wengfu Australia</t>
  </si>
  <si>
    <t>Wengfu PrimeZinc 10</t>
  </si>
  <si>
    <t>Wengfu Pasture King</t>
  </si>
  <si>
    <t>Wengfu SuStain</t>
  </si>
  <si>
    <t>Wengfu Slam</t>
  </si>
  <si>
    <t>Wengfu Prime MSZ</t>
  </si>
  <si>
    <t>Wengfu 9-20-0-10 MAP SuStain</t>
  </si>
  <si>
    <t>Wengfu 15-17-0-15 DAP SuStain</t>
  </si>
  <si>
    <t>Wengfu 16-18-0-10 DAP SuStain</t>
  </si>
  <si>
    <t>Wengfu 5-15-0-6 Fast Start Legume</t>
  </si>
  <si>
    <t>Wengfu 9-20-0-10 PrimeZinc</t>
  </si>
  <si>
    <t>Wengfu 12-18-0-6 PrimeZinc</t>
  </si>
  <si>
    <t>Wengfu 14-13-0-11 PrimeZinc</t>
  </si>
  <si>
    <t>Wengfu 19-13-0-7 PrimeZinc</t>
  </si>
  <si>
    <t>Wengfu Booster K</t>
  </si>
  <si>
    <t>Wengfu Booster Rich 1</t>
  </si>
  <si>
    <t>Wengfu Booster Grass DAP</t>
  </si>
  <si>
    <t>Wengfu Aftergraze</t>
  </si>
  <si>
    <t>Wengfu Sidedress</t>
  </si>
  <si>
    <t>Wengfu Pasture Booster</t>
  </si>
  <si>
    <t>Wengfu DAP Hay Booster</t>
  </si>
  <si>
    <t>Wengfu MAP Hay Booster</t>
  </si>
  <si>
    <t>Wengfu Fodder Booster</t>
  </si>
  <si>
    <t>K-Till Extra</t>
  </si>
  <si>
    <t>Agras Extra</t>
  </si>
  <si>
    <t>Cobalt</t>
  </si>
  <si>
    <t>Super Copper Zinc Moly</t>
  </si>
  <si>
    <t>Flexi-N</t>
  </si>
  <si>
    <t>Fuel scope 1 and 3 emission factors - Transport</t>
  </si>
  <si>
    <t>Direct (scope 1) and indirect (scope 3) emission factors for the consumption of transport fuels in different transport equipment</t>
  </si>
  <si>
    <t>Australian National Greenhouse Accounts Factors 2025 - Table 9</t>
  </si>
  <si>
    <t>Gasoline</t>
  </si>
  <si>
    <t>kl</t>
  </si>
  <si>
    <t>Diesel oil</t>
  </si>
  <si>
    <t>NE</t>
  </si>
  <si>
    <t>Light duty vehicles</t>
  </si>
  <si>
    <t>Compressed natural gas</t>
  </si>
  <si>
    <t>Liquefied natural gas</t>
  </si>
  <si>
    <t>Heavy duty vehicles</t>
  </si>
  <si>
    <t>Diesel oil - Euro iv or higher</t>
  </si>
  <si>
    <t>Diesel oil - Euro iii</t>
  </si>
  <si>
    <t>Diesel oil - Euro i</t>
  </si>
  <si>
    <t>Gasoline for use as fuel in an aircraft</t>
  </si>
  <si>
    <t>Kerosene for use as fuel in an aircraft</t>
  </si>
  <si>
    <t>Fuel Oil</t>
  </si>
  <si>
    <t>Fuel scope 1 and 3 emission factors - Off-road equipment and vessels</t>
  </si>
  <si>
    <t>VEERG 2026: Table A.4.2.1</t>
  </si>
  <si>
    <t>Vessel</t>
  </si>
  <si>
    <t>Fuel scope 1 and 3 emission factors - Stationary liquid fuels</t>
  </si>
  <si>
    <t>Direct (Scope 1) and indirect (scope 3) emission factors for the consumption of liquid fuels, including certain petroleum based products for stationary energy purposes.</t>
  </si>
  <si>
    <t>Australian National Greenhouse Accounts Factors 2025 - Table 8</t>
  </si>
  <si>
    <t>Petroleum based oils (other than petroleum based oil used as fuel), e.g. lubricants</t>
  </si>
  <si>
    <t>Petroleum based greases</t>
  </si>
  <si>
    <t>Crude oil including crude oil condensates</t>
  </si>
  <si>
    <t>Other natural gas liquids</t>
  </si>
  <si>
    <t>Automotive gasoline / petrol (other than for use as fuel in an aircraft)</t>
  </si>
  <si>
    <t>Aviation gasoline</t>
  </si>
  <si>
    <t>Kerosene (other than for use as fuel in an aircraft)</t>
  </si>
  <si>
    <t>Aviation turbine fuel / kerosene</t>
  </si>
  <si>
    <t>Heating oil</t>
  </si>
  <si>
    <t>Liquefied aromatic hydrocarbons</t>
  </si>
  <si>
    <t>Solvents: mineral turpentine or white spirits</t>
  </si>
  <si>
    <t>Naphtha</t>
  </si>
  <si>
    <t>Petroleum coke</t>
  </si>
  <si>
    <t>Refinery gas and liquids</t>
  </si>
  <si>
    <t>Refinery coke</t>
  </si>
  <si>
    <t>Petroleum based products other than mentioned in the items above</t>
  </si>
  <si>
    <t>Ethanol for use as a fuel in an internal combustion engine</t>
  </si>
  <si>
    <t>Biofuels other than those mentioned in the items above and below</t>
  </si>
  <si>
    <t>Fuel scope 1 emission factors - Stationary gaseous fuels</t>
  </si>
  <si>
    <t xml:space="preserve">Direct (Scope 1) emission factors for the consumption of gaseous fuels including liquefied natural gas  </t>
  </si>
  <si>
    <t>Australian National Greenhouse Accounts Factors 2025 - Table 5</t>
  </si>
  <si>
    <t>Natural gas distributed in a pipeline</t>
  </si>
  <si>
    <t>Coal seam methane that is captured for combustion</t>
  </si>
  <si>
    <t>Coal mine waste gas that is captured for combustion</t>
  </si>
  <si>
    <t>Compressed natural gas(reverting to standard conditions)</t>
  </si>
  <si>
    <t>Unprocessed natural gas</t>
  </si>
  <si>
    <t>Ethane</t>
  </si>
  <si>
    <t>Coke oven gas</t>
  </si>
  <si>
    <t>Blast furnace gas</t>
  </si>
  <si>
    <t>Town gas</t>
  </si>
  <si>
    <t>Gaseous fossil fuels other than those mentioned in the items above</t>
  </si>
  <si>
    <t>Landfill biogas that is captured for combustion (methane only)</t>
  </si>
  <si>
    <t>Sludge biogas that is captured for combustion (methane only)</t>
  </si>
  <si>
    <t>A biogas that is captured for combustion, other than those mentioned in the items above</t>
  </si>
  <si>
    <t>Biomethane</t>
  </si>
  <si>
    <t>Hydrogen</t>
  </si>
  <si>
    <t>Natural gas distributed in a pipeline - Gigajoules</t>
  </si>
  <si>
    <t>Town gas - Gigajoules</t>
  </si>
  <si>
    <t>Fuel scope 3 emission factors - Stationary gaseous fuels</t>
  </si>
  <si>
    <t>Indirect (Scope 3) emission factors for the consumption of natural gas.</t>
  </si>
  <si>
    <t>Australian National Greenhouse Accounts Factors 2025 - Table 6</t>
  </si>
  <si>
    <t>-</t>
  </si>
  <si>
    <t>Column1</t>
  </si>
  <si>
    <t>As Scope 3 factors are calculated at the point where natural gas is delivered to end users, it is necessary to calculate consumption at each of the load centres.</t>
  </si>
  <si>
    <t>Gas reaches end users either from the metro distribution networks or direct from the high - pressure distribution pipelines.</t>
  </si>
  <si>
    <t>Households and commercial users tend to be served by the former, and electricity generators and large industrial plants from the latter.</t>
  </si>
  <si>
    <t>Metro is defined as located on or east of the dividing range in NSW, including Canberra and Queanbeyan, Melbourne, Brisbane, Adelaide or Perth.</t>
  </si>
  <si>
    <t>Otherwise, the non - metro factor should be used.</t>
  </si>
  <si>
    <t>Factors are calculated for all natural gas distributed in a pipeline which may include coal seam methane.</t>
  </si>
  <si>
    <t>Table 6 is not applicable to ethane. See Table 7 Indirect (Scope 3) emissions from the consumption of ethane.</t>
  </si>
  <si>
    <t>C = Confidential. Scope 3 emission factors for Tasmania and the Northern Territory are not available due to confidentiality constraints that arise</t>
  </si>
  <si>
    <t>from the use of a limited number of NGER data inputs. It is suggested that for Tasmania the use of the Victorian emission factors is appropriate,</t>
  </si>
  <si>
    <t>while for Northern Territory the use of the Western Australian emission factors is appropriate.</t>
  </si>
  <si>
    <t>Scope 3 emission factors do not include fugitive emission leakage from low pressure natural gas distribution pipeline networks while those from high pressure</t>
  </si>
  <si>
    <t>gas networks are considered negligible.</t>
  </si>
  <si>
    <t>Northern Territory</t>
  </si>
  <si>
    <t>Cattle, for manufacturing beef</t>
  </si>
  <si>
    <t>kg liveweight</t>
  </si>
  <si>
    <t>at market</t>
  </si>
  <si>
    <t>Cattle, for prime beef</t>
  </si>
  <si>
    <t>Cattle, weaners</t>
  </si>
  <si>
    <t>Chickens</t>
  </si>
  <si>
    <t>Dairy cows</t>
  </si>
  <si>
    <t>Sheep</t>
  </si>
  <si>
    <t>Sheep, for mutton</t>
  </si>
  <si>
    <t>Sheep, for prime lamb</t>
  </si>
  <si>
    <t>at manufacturer</t>
  </si>
  <si>
    <t>Pharmacy chemicals</t>
  </si>
  <si>
    <t>Parasite control for cattle (external), dipping</t>
  </si>
  <si>
    <t>p (head)</t>
  </si>
  <si>
    <t>Parasite control for cattle (internal)</t>
  </si>
  <si>
    <t>Parasite control for sheep (external)</t>
  </si>
  <si>
    <t>Parasite control for sheep (internal)</t>
  </si>
  <si>
    <t>Grain</t>
  </si>
  <si>
    <t>Barley grain</t>
  </si>
  <si>
    <t>Maize grain</t>
  </si>
  <si>
    <t>Sorghum grain</t>
  </si>
  <si>
    <t>Wheat grain</t>
  </si>
  <si>
    <t>Hay</t>
  </si>
  <si>
    <t>Cereal hay</t>
  </si>
  <si>
    <t>Cereal silage</t>
  </si>
  <si>
    <t>Lucerne hay</t>
  </si>
  <si>
    <t>Maize silage</t>
  </si>
  <si>
    <t>Oaten hay</t>
  </si>
  <si>
    <t>Pasture hay</t>
  </si>
  <si>
    <t>Meal</t>
  </si>
  <si>
    <t>Canola meal</t>
  </si>
  <si>
    <t>Meat meal</t>
  </si>
  <si>
    <t>Soybean meal</t>
  </si>
  <si>
    <t>Brazil</t>
  </si>
  <si>
    <t>Wheat bran</t>
  </si>
  <si>
    <t>Other</t>
  </si>
  <si>
    <t>Bentonite</t>
  </si>
  <si>
    <t>Canola oil</t>
  </si>
  <si>
    <t>Cotton seed</t>
  </si>
  <si>
    <t>Molasses</t>
  </si>
  <si>
    <t>Mixed rations</t>
  </si>
  <si>
    <t>Feed for chickens</t>
  </si>
  <si>
    <t>Feed for dairy calves</t>
  </si>
  <si>
    <t>Feed for dairy cows</t>
  </si>
  <si>
    <t>Feed for pigs</t>
  </si>
  <si>
    <t>Lick block, dry season mix</t>
  </si>
  <si>
    <t>Lick block, mineral</t>
  </si>
  <si>
    <t>Lick block, weaner</t>
  </si>
  <si>
    <t>Ammonia, AU market mix</t>
  </si>
  <si>
    <t>Ammonia, Canada</t>
  </si>
  <si>
    <t>Ammonia, China</t>
  </si>
  <si>
    <t>Ammonia, Yemen</t>
  </si>
  <si>
    <t>Ammonium nitrate, AU market mix</t>
  </si>
  <si>
    <t>Calcium ammonium nitrate, AU market mix</t>
  </si>
  <si>
    <t>Diammonium phosphate, AU market mix</t>
  </si>
  <si>
    <t>Double superphosphate, AU market mix</t>
  </si>
  <si>
    <t>Monoammonium phosphate, AU market mix</t>
  </si>
  <si>
    <t>Muriate of potash, AU market mix</t>
  </si>
  <si>
    <t>Nitrogen from ammonia, AU market mix</t>
  </si>
  <si>
    <t>Nitrogen from fertilizer, AU market mix</t>
  </si>
  <si>
    <t>Nitrogen from nitrate fertilizer, AU market mix</t>
  </si>
  <si>
    <t>Phosphorus from fertilizer, AU market mix</t>
  </si>
  <si>
    <t>Potassium from fertilizer, AU market mix</t>
  </si>
  <si>
    <t>Single superphosphate, AU market mix</t>
  </si>
  <si>
    <t>Sulfur from fertilizer, AU market mix</t>
  </si>
  <si>
    <t>Ammonium sulphate, AU market mix</t>
  </si>
  <si>
    <t>Urea ammonium nitrate, AU market mix</t>
  </si>
  <si>
    <t>kg P</t>
  </si>
  <si>
    <t>kg K</t>
  </si>
  <si>
    <t>kg S</t>
  </si>
  <si>
    <t>kg Zn</t>
  </si>
  <si>
    <t>Urea, AU market mix</t>
  </si>
  <si>
    <t>Urea, Canada</t>
  </si>
  <si>
    <t>Urea, China</t>
  </si>
  <si>
    <t>Urea, Yemen</t>
  </si>
  <si>
    <t>Zinc from fertilizer</t>
  </si>
  <si>
    <t>Animal ear tags (large)</t>
  </si>
  <si>
    <t>Animal ear tags (small)</t>
  </si>
  <si>
    <t>Barley grain (for seed)</t>
  </si>
  <si>
    <t>Maize grain (for seed)</t>
  </si>
  <si>
    <t>Nylon netting</t>
  </si>
  <si>
    <t>Oat grain (for seed)</t>
  </si>
  <si>
    <t>Sorghum grain (for seed)</t>
  </si>
  <si>
    <t>Wheat grain (for seed)</t>
  </si>
  <si>
    <t>Corrugated board</t>
  </si>
  <si>
    <t>Plastic crate polypropylene</t>
  </si>
  <si>
    <t>Plastic film LDPE</t>
  </si>
  <si>
    <t>Plastic sheet HDPE</t>
  </si>
  <si>
    <t>kg AI</t>
  </si>
  <si>
    <t>Atrazine</t>
  </si>
  <si>
    <t>Diuron</t>
  </si>
  <si>
    <t>Mancozeb</t>
  </si>
  <si>
    <t>MCPA</t>
  </si>
  <si>
    <t>Metsulfuron-methyl</t>
  </si>
  <si>
    <t>Tri-allate</t>
  </si>
  <si>
    <t>Dolomite</t>
  </si>
  <si>
    <t>Limestone (crushed)</t>
  </si>
  <si>
    <t>Aquaculture feed</t>
  </si>
  <si>
    <t>Sardines (whole)</t>
  </si>
  <si>
    <t>Not specified</t>
  </si>
  <si>
    <t>Low Animal Protein Formulated Feed</t>
  </si>
  <si>
    <t>Squid</t>
  </si>
  <si>
    <t>Whole fish</t>
  </si>
  <si>
    <t>Custom Bait</t>
  </si>
  <si>
    <t>Emission factors for wastes disposed of at different treatment facilities</t>
  </si>
  <si>
    <t>VEERG 2026: Table A.4.1.1</t>
  </si>
  <si>
    <t>VARIATION ON SOURCE:</t>
  </si>
  <si>
    <t>Fixed typo 'paper and carboard' to 'paper and cardboard'</t>
  </si>
  <si>
    <t>Fixed typo 'prunnings' to 'prunings'</t>
  </si>
  <si>
    <t>Added EF source column with specific references</t>
  </si>
  <si>
    <t>Added sub-categories for 'Incineration: Food waste, green waste, wood, sludge' in order to use volume to mass conversion factor values</t>
  </si>
  <si>
    <t>Added sub-categories for 'Composting: All organic waste' in order to use volume to mass conversion factor values</t>
  </si>
  <si>
    <t>Added sub-categories for 'Anaerobic digestion: All organic waste' in order to use volume to mass conversion factor values</t>
  </si>
  <si>
    <t>t CO2e / t</t>
  </si>
  <si>
    <t>NGAF 2025 table 15</t>
  </si>
  <si>
    <t>Wood</t>
  </si>
  <si>
    <t>Textiles</t>
  </si>
  <si>
    <t>Sludge</t>
  </si>
  <si>
    <t>Rubber and leather</t>
  </si>
  <si>
    <t>Inert waste (including concrete, metal, plastic or glass)</t>
  </si>
  <si>
    <t>Municipal solid waste</t>
  </si>
  <si>
    <t>Commercial and industrial waste</t>
  </si>
  <si>
    <t>Construction and demolition waste</t>
  </si>
  <si>
    <t>Food waste, green waste, wood, sludge</t>
  </si>
  <si>
    <t>NGAF 2025 Table 18</t>
  </si>
  <si>
    <t>All organic waste</t>
  </si>
  <si>
    <t>NGAF 2025 Table 19</t>
  </si>
  <si>
    <t>Anaerobic digestion</t>
  </si>
  <si>
    <t>Volume to mass conversion factor for various waste types</t>
  </si>
  <si>
    <t>VEERG 2026: Table A.4.1.2</t>
  </si>
  <si>
    <t>VARIATION OF SOURCE: Changed column header CFw to VTMw to match title variable.</t>
  </si>
  <si>
    <t>Australian states and territories</t>
  </si>
  <si>
    <t>Australian Capital Territory</t>
  </si>
  <si>
    <t>ABS Statistcal Areas Level 4 - Western Australia</t>
  </si>
  <si>
    <t>Australian Bureau of Statistics (ABS) - Statistical Areas Level 2 - 2021 - Shapefile</t>
  </si>
  <si>
    <t>Bunbury</t>
  </si>
  <si>
    <t>Mandurah</t>
  </si>
  <si>
    <t>Perth - Inner</t>
  </si>
  <si>
    <t>Perth - North East</t>
  </si>
  <si>
    <t>Perth - North West</t>
  </si>
  <si>
    <t>Perth - South East</t>
  </si>
  <si>
    <t>Perth - South West</t>
  </si>
  <si>
    <t>Western Australia - Wheat Belt</t>
  </si>
  <si>
    <t>Western Australia - Outback (North)</t>
  </si>
  <si>
    <t>Global warming potential for greenhouse gases</t>
  </si>
  <si>
    <t>XXXXXXX</t>
  </si>
  <si>
    <t>CF4</t>
  </si>
  <si>
    <t>C2F6</t>
  </si>
  <si>
    <t>SF6</t>
  </si>
  <si>
    <t>NF3</t>
  </si>
  <si>
    <t>Factor to convert elemental mass of gas to molecular mass</t>
  </si>
  <si>
    <t>44/12</t>
  </si>
  <si>
    <t>Nox</t>
  </si>
  <si>
    <t>CO2 Lime</t>
  </si>
  <si>
    <t>VEERG Australian wet and dry zones</t>
  </si>
  <si>
    <t>VEERG 2026: Table 1.2: Translating climate zones to wet and dry zones</t>
  </si>
  <si>
    <t>Tropical montane</t>
  </si>
  <si>
    <t>Tropical wet</t>
  </si>
  <si>
    <t>Tropical moist</t>
  </si>
  <si>
    <t>Tropical dry</t>
  </si>
  <si>
    <t>Warm temperate moist</t>
  </si>
  <si>
    <t>Warm temperate dry</t>
  </si>
  <si>
    <t>Cool temperate moist</t>
  </si>
  <si>
    <t>Cool temperate dry</t>
  </si>
  <si>
    <t>Warm temperate moist - low frost</t>
  </si>
  <si>
    <t>Warm temperate dry - low frost</t>
  </si>
  <si>
    <t>Warm temperate moist - high temp</t>
  </si>
  <si>
    <t>Warm temperate dry - high temp</t>
  </si>
  <si>
    <t>Cool temperate moist - low frost</t>
  </si>
  <si>
    <t>Cool temperate dry - low frost</t>
  </si>
  <si>
    <t>VEERG Australian climate zones</t>
  </si>
  <si>
    <t>VEERG 2026: Table 1.3: Climate and Rainfall zone classifications and definitions</t>
  </si>
  <si>
    <t>&gt; 18 C</t>
  </si>
  <si>
    <t>Any</t>
  </si>
  <si>
    <t>≤ 7</t>
  </si>
  <si>
    <t>&gt; 1000 m</t>
  </si>
  <si>
    <t>&gt; 2000 mm</t>
  </si>
  <si>
    <t>≤ 1000 m</t>
  </si>
  <si>
    <t>&gt; 1000 mm - ≤ 2000 mm</t>
  </si>
  <si>
    <t>≤ 1000 mm</t>
  </si>
  <si>
    <t>&gt; 10 C</t>
  </si>
  <si>
    <t>&gt; 1</t>
  </si>
  <si>
    <t>≤ 1</t>
  </si>
  <si>
    <t>&gt; 0 C - ≤ 10 C</t>
  </si>
  <si>
    <t>Note:</t>
  </si>
  <si>
    <t>MAT = mean annual temperature</t>
  </si>
  <si>
    <t>MAP = mean annual precipitation</t>
  </si>
  <si>
    <t>PET = potential evapotranspiration</t>
  </si>
  <si>
    <t>VEERG Australian temperature zones</t>
  </si>
  <si>
    <t>Warm</t>
  </si>
  <si>
    <t>≥ 26 C</t>
  </si>
  <si>
    <t>Temperate</t>
  </si>
  <si>
    <t>15 - 25 C</t>
  </si>
  <si>
    <t>Cool</t>
  </si>
  <si>
    <t>≤ 14 C</t>
  </si>
  <si>
    <t>VEERG Australian rainfall zones</t>
  </si>
  <si>
    <t>High rainfall</t>
  </si>
  <si>
    <t>Annual rainfall &gt; 600mm</t>
  </si>
  <si>
    <t>Low rainfall</t>
  </si>
  <si>
    <t>Annual rainfall ≤ 600mm</t>
  </si>
  <si>
    <t>VEERG Australian leaching zones</t>
  </si>
  <si>
    <t>Leaching occurs</t>
  </si>
  <si>
    <t>Σ(𝑟𝑎𝑖𝑛)&gt;Σ(𝐸𝑇0)+𝑠𝑜𝑖𝑙 𝑤𝑎𝑡𝑒𝑟 ℎ𝑜𝑙𝑑𝑖𝑛𝑔 𝑐𝑎𝑝𝑎𝑐𝑖𝑡𝑦</t>
  </si>
  <si>
    <t>Leaching does not occur</t>
  </si>
  <si>
    <t>Σ(𝑟𝑎𝑖𝑛)≤Σ(𝐸𝑇0)+𝑠𝑜𝑖𝑙 𝑤𝑎𝑡𝑒𝑟 ℎ𝑜𝑙𝑑𝑖𝑛𝑔 𝑐𝑎𝑝𝑎𝑐𝑖𝑡𝑦</t>
  </si>
  <si>
    <t>Fraction of N that is available for leaching and runoff</t>
  </si>
  <si>
    <t>VEERG 2026:5.5.2.3 Constant Parameters</t>
  </si>
  <si>
    <t>Yes - in leaching zone</t>
  </si>
  <si>
    <t>No - not in leaching zone</t>
  </si>
  <si>
    <t>FracWET for irrigation types</t>
  </si>
  <si>
    <t>VEERG 2026: Chapter 1, section 1.8.2 Leaching, climate and rainfall zones</t>
  </si>
  <si>
    <t>VARIATION FROM SOURCE DATA: Table created based on VEERG text 'Areas are subject to leaching (i.e., in the leaching zone) when... the land is irrigated (except drip irrigation).'</t>
  </si>
  <si>
    <t>Australian data scores for scope 3</t>
  </si>
  <si>
    <t>VEERG 2026: XXXXXXXX</t>
  </si>
  <si>
    <t>International scope 3 database</t>
  </si>
  <si>
    <t>Australian scope 3 database</t>
  </si>
  <si>
    <t>State or regional scope 3 database</t>
  </si>
  <si>
    <t>Emissions intensity calculated from approved method</t>
  </si>
  <si>
    <t>National Inventory Report Volume 1: Leaching and runoff (3.D.b.2)</t>
  </si>
  <si>
    <t>National Inventory Report Volume 1: Equation 3.D.B_10</t>
  </si>
  <si>
    <t>EFleach</t>
  </si>
  <si>
    <t>p = density of methane</t>
  </si>
  <si>
    <t>National Inventory Report 2023 Volume 1: Equations 3.B.1a_2, 3.B.1c_2, 3.B.3_1, 3.B.4g_2</t>
  </si>
  <si>
    <t>kg/m3</t>
  </si>
  <si>
    <t>Nitrous oxide emission factors for inorganic fertiliser application</t>
  </si>
  <si>
    <t>VEERG 2026: Table A.2.2.1</t>
  </si>
  <si>
    <t>(kg N2O-N / kg N</t>
  </si>
  <si>
    <t>VARIATION OF SOURCE DATA:</t>
  </si>
  <si>
    <t>Removed duplicate 'Aquaculture' row.</t>
  </si>
  <si>
    <t>Removed asterisks to aid lookup.</t>
  </si>
  <si>
    <t>Added 'production system only', 'rainfall zone' and 'irrigation method' columns to aid lookup.</t>
  </si>
  <si>
    <t>Duplicated 'non-irrigated pasture' row with same EF for low and high rainfall zones to aid lookup.</t>
  </si>
  <si>
    <t>Irrigated pasture</t>
  </si>
  <si>
    <t>Irrigated crop</t>
  </si>
  <si>
    <t>Non-irrigated pasture</t>
  </si>
  <si>
    <t>Non-irrigated crop (low rainfall)</t>
  </si>
  <si>
    <t>Non-irrigated crop (high rainfall)</t>
  </si>
  <si>
    <t>Sugar</t>
  </si>
  <si>
    <t>Horticultural crops</t>
  </si>
  <si>
    <t>Rice (continuous flooding)</t>
  </si>
  <si>
    <t>Continuous flooding</t>
  </si>
  <si>
    <t>Rice (single and multiple drainage, or alternate wetting and drying)</t>
  </si>
  <si>
    <t>Single and multiple drainage, or alternate wetting and drying</t>
  </si>
  <si>
    <t>Aquaculture</t>
  </si>
  <si>
    <t>Forestry</t>
  </si>
  <si>
    <t>Emission factor for urine and dung deposited on pasture, range or paddock</t>
  </si>
  <si>
    <t>VEERG 2026: Table A.2.2.2</t>
  </si>
  <si>
    <t>VARIATION FROM SOURCE DATA: Changed 'Dry climate zones' to singular 'Dry climate zone' to aid lookup.</t>
  </si>
  <si>
    <t>kg N2O - N / kg N</t>
  </si>
  <si>
    <t>Months to Seasons Mapping</t>
  </si>
  <si>
    <t>January</t>
  </si>
  <si>
    <t>Summer</t>
  </si>
  <si>
    <t>February</t>
  </si>
  <si>
    <t>March</t>
  </si>
  <si>
    <t>Autumn</t>
  </si>
  <si>
    <t>April</t>
  </si>
  <si>
    <t>May</t>
  </si>
  <si>
    <t>June</t>
  </si>
  <si>
    <t>Winter</t>
  </si>
  <si>
    <t>July</t>
  </si>
  <si>
    <t>August</t>
  </si>
  <si>
    <t>September</t>
  </si>
  <si>
    <t>Spring</t>
  </si>
  <si>
    <t>October</t>
  </si>
  <si>
    <t>November</t>
  </si>
  <si>
    <t>December</t>
  </si>
  <si>
    <t>Manure Management – Methane conversion factor per temperature zone (fraction) (MCFim)</t>
  </si>
  <si>
    <t>VEERG 2026: Table A.1.8.1</t>
  </si>
  <si>
    <t>VARIATION FROM SOURCE: Added row of NIR MMA definitions to aid lookup. Duplicated 'Poultry with and without litter' column with separate NIR definitions to aid lookup. Added 'MAT raw' column to allow lookup of numbers.</t>
  </si>
  <si>
    <t>≤10</t>
  </si>
  <si>
    <t>≥28</t>
  </si>
  <si>
    <t>Table 5.12 Additional symbols used in algorithms for manure related emissions</t>
  </si>
  <si>
    <t>MMS</t>
  </si>
  <si>
    <t>National Inventory Report 2023 Volume 1: Table 5.12</t>
  </si>
  <si>
    <t>Anaerobic lagoon (m=1)</t>
  </si>
  <si>
    <t>Liquid systems (m=2)</t>
  </si>
  <si>
    <t>Daily spread (m=3)</t>
  </si>
  <si>
    <t>3a</t>
  </si>
  <si>
    <t>Sump and dispersal system</t>
  </si>
  <si>
    <t>Sump and dispersal system (m=3a)</t>
  </si>
  <si>
    <t>3b</t>
  </si>
  <si>
    <t>Drains to paddock</t>
  </si>
  <si>
    <t>Drains to paddock (m=3b)</t>
  </si>
  <si>
    <t>Solid storage (m=4)</t>
  </si>
  <si>
    <t>Drylot (feed pad)</t>
  </si>
  <si>
    <t>Drylot (feed pad) (m=5)</t>
  </si>
  <si>
    <t>Composting (passive windrow) (m=6)</t>
  </si>
  <si>
    <t>Digester / covered lagoons (m=7)</t>
  </si>
  <si>
    <t>Deep litter (m=8)</t>
  </si>
  <si>
    <t>Pit storage (m=9)</t>
  </si>
  <si>
    <t>Poultry manure with bedding (m=10)</t>
  </si>
  <si>
    <t>Poultry manure without bedding (m=11)</t>
  </si>
  <si>
    <t>11a</t>
  </si>
  <si>
    <t>Belt manure removal</t>
  </si>
  <si>
    <t>Belt manure removal (m=11a)</t>
  </si>
  <si>
    <t>11b</t>
  </si>
  <si>
    <t>Manure stored in house</t>
  </si>
  <si>
    <t>Manure stored in house (m=11b)</t>
  </si>
  <si>
    <t>Direct processing (m=12)</t>
  </si>
  <si>
    <t>Direct application (m=13)</t>
  </si>
  <si>
    <t>Pasture range and paddock (m=14)</t>
  </si>
  <si>
    <t>Beef cattle products for scope 3</t>
  </si>
  <si>
    <t>Sheep products for scope 3</t>
  </si>
  <si>
    <t>Chickens products for scope 3</t>
  </si>
  <si>
    <t>Dairy cattle products for scope 3</t>
  </si>
  <si>
    <t>Pigs products for scope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</si>
</sst>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1">
    <numFmt numFmtId="43" formatCode="_-* #,##0.00_-;\-* #,##0.00_-;_-* &quot;-&quot;??_-;_-@_-"/>
    <numFmt numFmtId="164" formatCode="0.000"/>
    <numFmt numFmtId="165" formatCode="#,##0.000"/>
    <numFmt numFmtId="166" formatCode="d/mm/yyyy;@"/>
    <numFmt numFmtId="167" formatCode="[$-C09]dd\-mmmm\-yyyy;@"/>
    <numFmt numFmtId="168" formatCode="#,##0.000000"/>
    <numFmt numFmtId="169" formatCode="_-* #,##0_-;\-* #,##0_-;_-* &quot;-&quot;??_-;_-@_-"/>
    <numFmt numFmtId="170" formatCode="0.00000000000"/>
    <numFmt numFmtId="171" formatCode="0.000000E+00"/>
    <numFmt numFmtId="172" formatCode="[$-C09]d\ mmmm\ yyyy;@"/>
    <numFmt numFmtId="173" formatCode="0.00000"/>
  </numFmts>
  <fonts count="81" x14ac:knownFonts="1">
    <font>
      <sz val="10"/>
      <color theme="1"/>
      <name val="Arial"/>
      <family val="2"/>
    </font>
    <font>
      <i/>
      <sz val="10"/>
      <color theme="1" tint="0.499984740745262"/>
      <name val="Arial"/>
      <family val="1"/>
    </font>
    <font>
      <sz val="10"/>
      <color theme="1" tint="0.14999847407452621"/>
      <name val="Arial"/>
      <family val="1"/>
    </font>
    <font>
      <b/>
      <sz val="10"/>
      <color theme="1" tint="0.14999847407452621"/>
      <name val="Arial"/>
      <family val="1"/>
    </font>
    <font>
      <b/>
      <sz val="18"/>
      <color rgb="FF183C1B"/>
      <name val="Arial"/>
      <family val="1"/>
    </font>
    <font>
      <b/>
      <sz val="10"/>
      <color rgb="FF183C1B"/>
      <name val="Arial"/>
      <family val="1"/>
    </font>
    <font>
      <i/>
      <sz val="10"/>
      <color theme="1" tint="0.34998626667073579"/>
      <name val="Arial"/>
      <family val="1"/>
    </font>
    <font>
      <sz val="10"/>
      <color theme="1" tint="0.34998626667073579"/>
      <name val="Arial"/>
      <family val="1"/>
    </font>
    <font>
      <sz val="10"/>
      <color theme="1" tint="0.14996795556505021"/>
      <name val="Arial"/>
      <family val="1"/>
    </font>
    <font>
      <sz val="10"/>
      <color theme="1"/>
      <name val="Arial"/>
      <family val="2"/>
    </font>
    <font>
      <b/>
      <sz val="18"/>
      <color rgb="FFCC6600"/>
      <name val="Arial"/>
      <family val="1"/>
    </font>
    <font>
      <i/>
      <sz val="10"/>
      <color rgb="FFCC6600"/>
      <name val="Arial"/>
      <family val="1"/>
    </font>
    <font>
      <b/>
      <sz val="10"/>
      <color rgb="FF533001"/>
      <name val="Arial"/>
      <family val="1"/>
    </font>
    <font>
      <i/>
      <strike/>
      <sz val="10"/>
      <color theme="1" tint="0.499984740745262"/>
      <name val="Arial"/>
      <family val="1"/>
    </font>
    <font>
      <b/>
      <i/>
      <strike/>
      <sz val="10"/>
      <color theme="1" tint="0.499984740745262"/>
      <name val="Arial"/>
      <family val="1"/>
    </font>
    <font>
      <sz val="9"/>
      <color theme="1" tint="0.499984740745262"/>
      <name val="Courier New"/>
      <family val="3"/>
    </font>
    <font>
      <b/>
      <sz val="14"/>
      <color theme="0"/>
      <name val="Arial"/>
      <family val="1"/>
    </font>
    <font>
      <sz val="9"/>
      <color theme="1" tint="0.249977111117893"/>
      <name val="Arial"/>
      <family val="1"/>
    </font>
    <font>
      <sz val="9"/>
      <color rgb="FF008000"/>
      <name val="Arial"/>
      <family val="1"/>
    </font>
    <font>
      <sz val="9"/>
      <color rgb="FFCC6600"/>
      <name val="Arial"/>
      <family val="1"/>
    </font>
    <font>
      <sz val="10"/>
      <color theme="0"/>
      <name val="Arial"/>
      <family val="1"/>
    </font>
    <font>
      <sz val="10"/>
      <color theme="1" tint="0.499984740745262"/>
      <name val="Arial"/>
      <family val="1"/>
    </font>
    <font>
      <sz val="10"/>
      <color theme="0" tint="-4.9989318521683403E-2"/>
      <name val="Arial"/>
      <family val="1"/>
    </font>
    <font>
      <sz val="9"/>
      <color theme="1" tint="0.34998626667073579"/>
      <name val="Arial"/>
      <family val="1"/>
    </font>
    <font>
      <sz val="9"/>
      <name val="Arial"/>
      <family val="2"/>
    </font>
    <font>
      <sz val="16"/>
      <color theme="1" tint="0.14996795556505021"/>
      <name val="Arial"/>
      <family val="1"/>
    </font>
    <font>
      <sz val="9"/>
      <color theme="1" tint="0.34998626667073579"/>
      <name val="Arial"/>
      <family val="2"/>
    </font>
    <font>
      <sz val="10"/>
      <color theme="1" tint="0.24994659260841701"/>
      <name val="Arial"/>
      <family val="1"/>
    </font>
    <font>
      <sz val="10"/>
      <color rgb="FFC44340"/>
      <name val="Arial"/>
      <family val="1"/>
    </font>
    <font>
      <sz val="10"/>
      <color rgb="FF008000"/>
      <name val="Arial"/>
      <family val="1"/>
    </font>
    <font>
      <sz val="10"/>
      <color rgb="FF0070C0"/>
      <name val="Arial"/>
      <family val="1"/>
    </font>
    <font>
      <b/>
      <sz val="10"/>
      <color theme="0"/>
      <name val="Arial"/>
      <family val="1"/>
    </font>
    <font>
      <b/>
      <sz val="10"/>
      <color theme="0" tint="-0.499984740745262"/>
      <name val="Arial"/>
      <family val="1"/>
    </font>
    <font>
      <sz val="9"/>
      <color theme="0" tint="-0.499984740745262"/>
      <name val="Arial"/>
      <family val="1"/>
    </font>
    <font>
      <sz val="12"/>
      <color theme="1" tint="0.34998626667073579"/>
      <name val="Arial"/>
      <family val="1"/>
    </font>
    <font>
      <b/>
      <sz val="10"/>
      <color rgb="FFCC6600"/>
      <name val="Arial"/>
      <family val="1"/>
    </font>
    <font>
      <u/>
      <sz val="9"/>
      <color theme="1" tint="0.34998626667073579"/>
      <name val="Arial"/>
      <family val="1"/>
    </font>
    <font>
      <i/>
      <sz val="9"/>
      <color theme="6" tint="-0.499984740745262"/>
      <name val="Arial"/>
      <family val="1"/>
    </font>
    <font>
      <i/>
      <sz val="9"/>
      <color theme="5" tint="-0.499984740745262"/>
      <name val="Arial"/>
      <family val="1"/>
    </font>
    <font>
      <u/>
      <sz val="10"/>
      <color theme="10"/>
      <name val="Arial"/>
      <family val="2"/>
    </font>
    <font>
      <b/>
      <sz val="10"/>
      <color theme="1" tint="0.24994659260841701"/>
      <name val="Arial"/>
      <family val="1"/>
    </font>
    <font>
      <i/>
      <sz val="9"/>
      <color theme="1" tint="0.34998626667073579"/>
      <name val="Arial"/>
      <family val="1"/>
    </font>
    <font>
      <b/>
      <sz val="10"/>
      <color rgb="FF0070C0"/>
      <name val="Arial"/>
      <family val="1"/>
    </font>
    <font>
      <sz val="10"/>
      <color theme="1"/>
      <name val="Arial"/>
      <family val="1"/>
    </font>
    <font>
      <sz val="10"/>
      <color theme="1"/>
      <name val="Arial"/>
      <family val="1"/>
    </font>
    <font>
      <b/>
      <sz val="10"/>
      <color theme="1"/>
      <name val="Arial"/>
      <family val="1"/>
    </font>
    <font>
      <b/>
      <sz val="10"/>
      <color theme="1" tint="0.249977111117893"/>
      <name val="Arial"/>
      <family val="1"/>
    </font>
    <font>
      <sz val="10"/>
      <color theme="1" tint="0.249977111117893"/>
      <name val="Arial"/>
      <family val="1"/>
    </font>
    <font>
      <b/>
      <sz val="10"/>
      <color theme="1" tint="0.249977111117893"/>
      <name val="Arial"/>
      <family val="1"/>
    </font>
    <font>
      <sz val="10"/>
      <color rgb="FF242424"/>
      <name val="Consolas"/>
      <family val="3"/>
    </font>
    <font>
      <sz val="9"/>
      <color rgb="FF404040"/>
      <name val="Arial"/>
      <family val="1"/>
    </font>
    <font>
      <b/>
      <sz val="14"/>
      <color theme="1" tint="0.24994659260841701"/>
      <name val="Arial"/>
      <family val="1"/>
    </font>
    <font>
      <sz val="14"/>
      <color theme="1" tint="0.24994659260841701"/>
      <name val="Arial"/>
      <family val="1"/>
    </font>
    <font>
      <b/>
      <sz val="18"/>
      <color rgb="FF0C769E"/>
      <name val="Arial"/>
      <family val="1"/>
    </font>
    <font>
      <i/>
      <sz val="14"/>
      <color theme="1" tint="0.34998626667073579"/>
      <name val="Arial"/>
      <family val="1"/>
    </font>
    <font>
      <sz val="10"/>
      <name val="Arial"/>
      <family val="1"/>
    </font>
    <font>
      <b/>
      <sz val="9"/>
      <color theme="1" tint="0.14999847407452621"/>
      <name val="Arial"/>
      <family val="1"/>
    </font>
    <font>
      <b/>
      <vertAlign val="subscript"/>
      <sz val="10"/>
      <color rgb="FF533001"/>
      <name val="Arial"/>
      <family val="1"/>
    </font>
    <font>
      <b/>
      <i/>
      <sz val="10"/>
      <color rgb="FFCC6600"/>
      <name val="Arial"/>
      <family val="1"/>
    </font>
    <font>
      <b/>
      <vertAlign val="subscript"/>
      <sz val="10"/>
      <color rgb="FF183C1B"/>
      <name val="Arial"/>
      <family val="1"/>
    </font>
    <font>
      <b/>
      <vertAlign val="subscript"/>
      <sz val="10"/>
      <color theme="1" tint="0.24994659260841701"/>
      <name val="Arial"/>
      <family val="1"/>
    </font>
    <font>
      <b/>
      <vertAlign val="subscript"/>
      <sz val="14"/>
      <color theme="1" tint="0.24994659260841701"/>
      <name val="Arial"/>
      <family val="1"/>
    </font>
    <font>
      <vertAlign val="subscript"/>
      <sz val="10"/>
      <color theme="1" tint="0.24994659260841701"/>
      <name val="Arial"/>
      <family val="1"/>
    </font>
    <font>
      <sz val="9"/>
      <name val="Arial"/>
      <family val="1"/>
    </font>
    <font>
      <sz val="9"/>
      <color theme="1"/>
      <name val="Arial"/>
      <family val="2"/>
    </font>
    <font>
      <b/>
      <sz val="9"/>
      <color theme="1" tint="0.34998626667073579"/>
      <name val="Arial"/>
      <family val="1"/>
    </font>
    <font>
      <sz val="14"/>
      <name val="Arial"/>
      <family val="1"/>
    </font>
    <font>
      <b/>
      <sz val="9"/>
      <name val="Arial"/>
      <family val="1"/>
    </font>
    <font>
      <b/>
      <sz val="10"/>
      <color theme="1"/>
      <name val="Arial"/>
      <family val="2"/>
    </font>
    <font>
      <b/>
      <sz val="14"/>
      <color theme="1"/>
      <name val="Arial"/>
      <family val="1"/>
    </font>
    <font>
      <b/>
      <vertAlign val="subscript"/>
      <sz val="14"/>
      <color theme="1"/>
      <name val="Arial"/>
      <family val="1"/>
    </font>
    <font>
      <sz val="14"/>
      <color theme="1"/>
      <name val="Arial"/>
      <family val="1"/>
    </font>
    <font>
      <sz val="10"/>
      <color theme="1"/>
      <name val="Arial"/>
      <family val="2"/>
      <scheme val="minor"/>
    </font>
    <font>
      <sz val="12"/>
      <color theme="5"/>
      <name val="Arial"/>
      <family val="1"/>
    </font>
    <font>
      <b/>
      <vertAlign val="subscript"/>
      <sz val="10"/>
      <color theme="1"/>
      <name val="Arial"/>
      <family val="1"/>
    </font>
    <font>
      <vertAlign val="subscript"/>
      <sz val="9"/>
      <color theme="1" tint="0.34998626667073579"/>
      <name val="Arial"/>
      <family val="1"/>
    </font>
    <font>
      <b/>
      <sz val="12"/>
      <color theme="1" tint="0.24994659260841701"/>
      <name val="Arial"/>
      <family val="1"/>
    </font>
    <font>
      <b/>
      <sz val="10"/>
      <color rgb="FFC44340"/>
      <name val="Arial"/>
      <family val="1"/>
    </font>
    <font>
      <i/>
      <sz val="10"/>
      <color rgb="FFC44340"/>
      <name val="Arial"/>
      <family val="1"/>
    </font>
    <font>
      <b/>
      <vertAlign val="subscript"/>
      <sz val="12"/>
      <color theme="1" tint="0.24994659260841701"/>
      <name val="Arial"/>
      <family val="1"/>
    </font>
    <font>
      <b/>
      <vertAlign val="superscript"/>
      <sz val="10"/>
      <color rgb="FF183C1B"/>
      <name val="Arial"/>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DCECD0"/>
        <bgColor indexed="64"/>
      </patternFill>
    </fill>
    <fill>
      <patternFill patternType="solid">
        <fgColor theme="9" tint="0.59999389629810485"/>
        <bgColor indexed="64"/>
      </patternFill>
    </fill>
    <fill>
      <patternFill patternType="solid">
        <fgColor rgb="FFFFEBC1"/>
        <bgColor indexed="64"/>
      </patternFill>
    </fill>
  </fills>
  <borders count="30">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499984740745262"/>
      </top>
      <bottom/>
      <diagonal/>
    </border>
    <border>
      <left/>
      <right/>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right/>
      <top style="thin">
        <color theme="1" tint="0.249977111117893"/>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top/>
      <bottom style="thin">
        <color theme="3" tint="0.749961851863155"/>
      </bottom>
      <diagonal/>
    </border>
    <border>
      <left/>
      <right style="thin">
        <color theme="3" tint="0.749961851863155"/>
      </right>
      <top/>
      <bottom style="thin">
        <color theme="3" tint="0.749961851863155"/>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bottom/>
      <diagonal/>
    </border>
    <border>
      <left style="thin">
        <color theme="3" tint="0.749961851863155"/>
      </left>
      <right/>
      <top/>
      <bottom/>
      <diagonal/>
    </border>
    <border>
      <left/>
      <right style="thin">
        <color theme="3" tint="0.749961851863155"/>
      </right>
      <top/>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top style="thin">
        <color theme="0" tint="-0.499984740745262"/>
      </top>
      <bottom/>
      <diagonal/>
    </border>
    <border>
      <left/>
      <right/>
      <top/>
      <bottom style="thin">
        <color indexed="64"/>
      </bottom>
      <diagonal/>
    </border>
    <border>
      <left style="thin">
        <color theme="0" tint="-0.34998626667073579"/>
      </left>
      <right style="thin">
        <color theme="0" tint="-0.34998626667073579"/>
      </right>
      <top style="thin">
        <color indexed="64"/>
      </top>
      <bottom/>
      <diagonal/>
    </border>
    <border>
      <left style="thin">
        <color theme="0" tint="-0.34998626667073579"/>
      </left>
      <right style="thin">
        <color theme="0" tint="-0.34998626667073579"/>
      </right>
      <top style="thin">
        <color indexed="64"/>
      </top>
      <bottom style="thin">
        <color indexed="64"/>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3" tint="0.749961851863155"/>
      </left>
      <right style="thin">
        <color theme="3" tint="0.749961851863155"/>
      </right>
      <top style="thin">
        <color theme="3" tint="0.749961851863155"/>
      </top>
      <bottom/>
      <diagonal/>
    </border>
  </borders>
  <cellStyleXfs count="72">
    <xf numFmtId="0" fontId="0" fillId="0" borderId="0"/>
    <xf numFmtId="0" fontId="5" fillId="2" borderId="0">
      <alignment horizontal="left" vertical="center" indent="1"/>
      <protection locked="0"/>
    </xf>
    <xf numFmtId="0" fontId="4" fillId="0" borderId="0"/>
    <xf numFmtId="0" fontId="1" fillId="0" borderId="0">
      <alignment vertical="center"/>
    </xf>
    <xf numFmtId="0" fontId="16" fillId="3" borderId="0">
      <alignment vertical="center"/>
    </xf>
    <xf numFmtId="0" fontId="25" fillId="4" borderId="0">
      <alignment horizontal="left" vertical="center"/>
    </xf>
    <xf numFmtId="0" fontId="29" fillId="4" borderId="0">
      <alignment vertical="center"/>
    </xf>
    <xf numFmtId="0" fontId="3" fillId="4" borderId="0">
      <alignment horizontal="left" vertical="center"/>
    </xf>
    <xf numFmtId="0" fontId="27"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3" fillId="0" borderId="2">
      <alignment horizontal="center" vertical="center"/>
    </xf>
    <xf numFmtId="0" fontId="14" fillId="0" borderId="2">
      <alignment horizontal="center" vertical="center"/>
    </xf>
    <xf numFmtId="9" fontId="13" fillId="0" borderId="2">
      <alignment horizontal="center" vertical="center"/>
    </xf>
    <xf numFmtId="165" fontId="13" fillId="0" borderId="2">
      <alignment horizontal="center" vertical="center"/>
    </xf>
    <xf numFmtId="3" fontId="13" fillId="0" borderId="2">
      <alignment horizontal="center" vertical="center"/>
    </xf>
    <xf numFmtId="0" fontId="15" fillId="4" borderId="0">
      <alignment horizontal="left" vertical="center"/>
    </xf>
    <xf numFmtId="0" fontId="6" fillId="4" borderId="3">
      <alignment horizontal="left" vertical="center" indent="1"/>
    </xf>
    <xf numFmtId="164" fontId="8" fillId="4" borderId="3">
      <alignment horizontal="center" vertical="center"/>
    </xf>
    <xf numFmtId="0" fontId="3" fillId="4" borderId="3">
      <alignment horizontal="left" vertical="center"/>
    </xf>
    <xf numFmtId="0" fontId="12" fillId="6" borderId="0">
      <alignment horizontal="left" vertical="center" indent="1"/>
    </xf>
    <xf numFmtId="0" fontId="12" fillId="6" borderId="0">
      <alignment horizontal="center" vertical="center"/>
      <protection locked="0"/>
    </xf>
    <xf numFmtId="0" fontId="11" fillId="4" borderId="0">
      <alignment vertical="center"/>
    </xf>
    <xf numFmtId="0" fontId="16" fillId="7" borderId="0">
      <alignment vertical="center"/>
    </xf>
    <xf numFmtId="0" fontId="10" fillId="0" borderId="0"/>
    <xf numFmtId="0" fontId="2" fillId="0" borderId="0">
      <alignment horizontal="left" vertical="center" indent="1"/>
    </xf>
    <xf numFmtId="0" fontId="17" fillId="9" borderId="4">
      <alignment horizontal="left" vertical="center" indent="1"/>
    </xf>
    <xf numFmtId="0" fontId="20" fillId="10" borderId="0">
      <alignment horizontal="left" vertical="center" indent="1"/>
    </xf>
    <xf numFmtId="0" fontId="20" fillId="5" borderId="0">
      <alignment horizontal="left" vertical="center" indent="1"/>
    </xf>
    <xf numFmtId="0" fontId="20" fillId="8" borderId="0">
      <alignment horizontal="left" vertical="center" indent="1"/>
    </xf>
    <xf numFmtId="0" fontId="21" fillId="0" borderId="0">
      <alignment horizontal="left" vertical="center" indent="2"/>
    </xf>
    <xf numFmtId="0" fontId="30" fillId="13" borderId="5">
      <alignment horizontal="left" vertical="center"/>
    </xf>
    <xf numFmtId="3" fontId="23" fillId="4" borderId="2">
      <alignment horizontal="center" vertical="center"/>
    </xf>
    <xf numFmtId="167" fontId="2" fillId="0" borderId="2">
      <alignment horizontal="center" vertical="center"/>
    </xf>
    <xf numFmtId="0" fontId="24" fillId="0" borderId="0"/>
    <xf numFmtId="0" fontId="9" fillId="0" borderId="0"/>
    <xf numFmtId="0" fontId="24" fillId="0" borderId="0"/>
    <xf numFmtId="166" fontId="23" fillId="4" borderId="2">
      <alignment horizontal="center" vertical="center"/>
    </xf>
    <xf numFmtId="4" fontId="23" fillId="4" borderId="2">
      <alignment horizontal="center" vertical="center"/>
    </xf>
    <xf numFmtId="0" fontId="34" fillId="4" borderId="0">
      <alignment horizontal="left" vertical="center"/>
    </xf>
    <xf numFmtId="0" fontId="26" fillId="4" borderId="0" applyNumberFormat="0">
      <alignment horizontal="center" vertical="center"/>
    </xf>
    <xf numFmtId="165" fontId="23" fillId="4" borderId="2">
      <alignment horizontal="center" vertical="center"/>
    </xf>
    <xf numFmtId="0" fontId="22" fillId="4" borderId="0">
      <alignment horizontal="left" vertical="center"/>
    </xf>
    <xf numFmtId="168" fontId="23" fillId="4" borderId="2">
      <alignment horizontal="center" vertical="center"/>
    </xf>
    <xf numFmtId="0" fontId="23" fillId="4" borderId="2">
      <alignment horizontal="center" vertical="center"/>
    </xf>
    <xf numFmtId="0" fontId="6" fillId="4" borderId="0">
      <alignment horizontal="left" vertical="center"/>
    </xf>
    <xf numFmtId="0" fontId="28" fillId="4" borderId="0">
      <alignment horizontal="left" vertical="center"/>
    </xf>
    <xf numFmtId="0" fontId="9" fillId="0" borderId="0"/>
    <xf numFmtId="0" fontId="2" fillId="0" borderId="2">
      <alignment horizontal="center" vertical="center"/>
    </xf>
    <xf numFmtId="0" fontId="32" fillId="4" borderId="0">
      <alignment horizontal="left" vertical="center"/>
    </xf>
    <xf numFmtId="0" fontId="33" fillId="4" borderId="0">
      <alignment horizontal="left" vertical="center"/>
    </xf>
    <xf numFmtId="0" fontId="35" fillId="4" borderId="0">
      <alignment horizontal="left" vertical="center"/>
    </xf>
    <xf numFmtId="0" fontId="31" fillId="11" borderId="0">
      <alignment horizontal="center" vertical="center"/>
    </xf>
    <xf numFmtId="0" fontId="20" fillId="11" borderId="0">
      <alignment horizontal="left" vertical="center" indent="1"/>
    </xf>
    <xf numFmtId="0" fontId="36" fillId="4" borderId="2">
      <alignment horizontal="left" vertical="center"/>
    </xf>
    <xf numFmtId="0" fontId="23" fillId="4" borderId="2">
      <alignment horizontal="left" vertical="center"/>
    </xf>
    <xf numFmtId="0" fontId="37" fillId="14" borderId="2">
      <alignment horizontal="center" vertical="center"/>
    </xf>
    <xf numFmtId="0" fontId="38" fillId="15" borderId="2">
      <alignment horizontal="center" vertical="center"/>
    </xf>
    <xf numFmtId="0" fontId="39" fillId="0" borderId="0" applyNumberFormat="0" applyFill="0" applyBorder="0" applyAlignment="0" applyProtection="0"/>
    <xf numFmtId="43" fontId="9" fillId="0" borderId="0" applyFont="0" applyFill="0" applyBorder="0" applyAlignment="0" applyProtection="0"/>
    <xf numFmtId="9" fontId="9" fillId="0" borderId="0" applyFont="0" applyFill="0" applyBorder="0" applyAlignment="0" applyProtection="0"/>
    <xf numFmtId="0" fontId="72" fillId="0" borderId="0"/>
    <xf numFmtId="0" fontId="73" fillId="4" borderId="0">
      <alignment horizontal="left" vertical="center"/>
    </xf>
    <xf numFmtId="0" fontId="38" fillId="16" borderId="2">
      <alignment horizontal="center" vertical="center"/>
    </xf>
  </cellStyleXfs>
  <cellXfs count="246">
    <xf numFmtId="0" fontId="0" fillId="0" borderId="0" xfId="0"/>
    <xf numFmtId="0" fontId="27" fillId="4" borderId="0" xfId="8">
      <alignment horizontal="left" vertical="center"/>
    </xf>
    <xf numFmtId="0" fontId="25" fillId="4" borderId="0" xfId="5">
      <alignment horizontal="left" vertical="center"/>
    </xf>
    <xf numFmtId="0" fontId="1" fillId="0" borderId="0" xfId="3">
      <alignment vertical="center"/>
    </xf>
    <xf numFmtId="0" fontId="2" fillId="9" borderId="0" xfId="7" applyFont="1" applyFill="1" applyAlignment="1">
      <alignment horizontal="left" vertical="center" indent="1"/>
    </xf>
    <xf numFmtId="0" fontId="2" fillId="0" borderId="0" xfId="33">
      <alignment horizontal="left" vertical="center" indent="1"/>
    </xf>
    <xf numFmtId="0" fontId="18" fillId="9" borderId="4" xfId="34" applyFont="1">
      <alignment horizontal="left" vertical="center" indent="1"/>
    </xf>
    <xf numFmtId="0" fontId="19" fillId="9" borderId="4" xfId="34" applyFont="1">
      <alignment horizontal="left" vertical="center" indent="1"/>
    </xf>
    <xf numFmtId="0" fontId="0" fillId="4" borderId="0" xfId="0" applyFill="1"/>
    <xf numFmtId="0" fontId="6" fillId="4" borderId="0" xfId="53">
      <alignment horizontal="left" vertical="center"/>
    </xf>
    <xf numFmtId="0" fontId="10" fillId="0" borderId="0" xfId="32"/>
    <xf numFmtId="0" fontId="31" fillId="11" borderId="0" xfId="60">
      <alignment horizontal="center" vertical="center"/>
    </xf>
    <xf numFmtId="0" fontId="2" fillId="4" borderId="0" xfId="7" applyFont="1">
      <alignment horizontal="left" vertical="center"/>
    </xf>
    <xf numFmtId="0" fontId="3" fillId="12" borderId="2" xfId="15">
      <alignment horizontal="center" vertical="center"/>
    </xf>
    <xf numFmtId="167" fontId="2" fillId="0" borderId="2" xfId="41">
      <alignment horizontal="center" vertical="center"/>
    </xf>
    <xf numFmtId="0" fontId="23" fillId="4" borderId="2" xfId="52">
      <alignment horizontal="center" vertical="center"/>
    </xf>
    <xf numFmtId="0" fontId="6" fillId="4" borderId="0" xfId="12">
      <alignment horizontal="left" vertical="center" indent="1"/>
    </xf>
    <xf numFmtId="0" fontId="29" fillId="4" borderId="0" xfId="6">
      <alignment vertical="center"/>
    </xf>
    <xf numFmtId="9" fontId="2" fillId="0" borderId="2" xfId="16">
      <alignment horizontal="center" vertical="center"/>
    </xf>
    <xf numFmtId="9" fontId="23" fillId="4" borderId="2" xfId="68" applyFont="1" applyFill="1" applyBorder="1" applyAlignment="1">
      <alignment horizontal="center" vertical="center"/>
    </xf>
    <xf numFmtId="0" fontId="0" fillId="0" borderId="0" xfId="8" applyFont="1" applyFill="1">
      <alignment horizontal="left" vertical="center"/>
    </xf>
    <xf numFmtId="0" fontId="4" fillId="0" borderId="0" xfId="2"/>
    <xf numFmtId="0" fontId="3" fillId="0" borderId="0" xfId="7" applyFill="1">
      <alignment horizontal="left" vertical="center"/>
    </xf>
    <xf numFmtId="0" fontId="16" fillId="3" borderId="0" xfId="4">
      <alignment vertical="center"/>
    </xf>
    <xf numFmtId="0" fontId="16" fillId="0" borderId="0" xfId="4" applyFill="1">
      <alignment vertical="center"/>
    </xf>
    <xf numFmtId="0" fontId="3" fillId="4" borderId="0" xfId="7">
      <alignment horizontal="left" vertical="center"/>
    </xf>
    <xf numFmtId="0" fontId="28" fillId="4" borderId="0" xfId="54">
      <alignment horizontal="left" vertical="center"/>
    </xf>
    <xf numFmtId="0" fontId="0" fillId="0" borderId="0" xfId="7" applyFont="1" applyFill="1">
      <alignment horizontal="left" vertical="center"/>
    </xf>
    <xf numFmtId="0" fontId="10" fillId="0" borderId="0" xfId="2" applyFont="1"/>
    <xf numFmtId="0" fontId="16" fillId="7" borderId="0" xfId="31">
      <alignment vertical="center"/>
    </xf>
    <xf numFmtId="0" fontId="3" fillId="4" borderId="6" xfId="7" applyBorder="1">
      <alignment horizontal="left" vertical="center"/>
    </xf>
    <xf numFmtId="0" fontId="25" fillId="0" borderId="0" xfId="5" applyFill="1">
      <alignment horizontal="left" vertical="center"/>
    </xf>
    <xf numFmtId="0" fontId="11" fillId="4" borderId="0" xfId="30">
      <alignment vertical="center"/>
    </xf>
    <xf numFmtId="0" fontId="29" fillId="0" borderId="0" xfId="6" applyFill="1">
      <alignment vertical="center"/>
    </xf>
    <xf numFmtId="0" fontId="2" fillId="0" borderId="2" xfId="14">
      <alignment horizontal="center" vertical="center"/>
    </xf>
    <xf numFmtId="0" fontId="27" fillId="0" borderId="0" xfId="8" applyFill="1">
      <alignment horizontal="left" vertical="center"/>
    </xf>
    <xf numFmtId="0" fontId="30" fillId="13" borderId="7" xfId="39" applyBorder="1">
      <alignment horizontal="left" vertical="center"/>
    </xf>
    <xf numFmtId="0" fontId="30" fillId="13" borderId="8" xfId="39" applyBorder="1">
      <alignment horizontal="left" vertical="center"/>
    </xf>
    <xf numFmtId="0" fontId="30" fillId="13" borderId="9" xfId="39" applyBorder="1">
      <alignment horizontal="left" vertical="center"/>
    </xf>
    <xf numFmtId="0" fontId="30" fillId="13" borderId="10" xfId="39" applyBorder="1">
      <alignment horizontal="left" vertical="center"/>
    </xf>
    <xf numFmtId="0" fontId="41" fillId="0" borderId="0" xfId="12" applyFont="1" applyFill="1" applyAlignment="1">
      <alignment horizontal="left" vertical="center"/>
    </xf>
    <xf numFmtId="166" fontId="23" fillId="4" borderId="2" xfId="40" applyNumberFormat="1">
      <alignment horizontal="center" vertical="center"/>
    </xf>
    <xf numFmtId="0" fontId="2" fillId="0" borderId="0" xfId="7" applyFont="1" applyFill="1">
      <alignment horizontal="left" vertical="center"/>
    </xf>
    <xf numFmtId="0" fontId="42" fillId="13" borderId="11" xfId="39" applyFont="1" applyBorder="1">
      <alignment horizontal="left" vertical="center"/>
    </xf>
    <xf numFmtId="0" fontId="30" fillId="13" borderId="12" xfId="39" applyBorder="1">
      <alignment horizontal="left" vertical="center"/>
    </xf>
    <xf numFmtId="0" fontId="30" fillId="13" borderId="13" xfId="39" applyBorder="1">
      <alignment horizontal="left" vertical="center"/>
    </xf>
    <xf numFmtId="0" fontId="30" fillId="13" borderId="14" xfId="39" applyBorder="1">
      <alignment horizontal="left" vertical="center"/>
    </xf>
    <xf numFmtId="0" fontId="30" fillId="13" borderId="15" xfId="39" applyBorder="1">
      <alignment horizontal="left" vertical="center"/>
    </xf>
    <xf numFmtId="0" fontId="30" fillId="13" borderId="16" xfId="39" applyBorder="1">
      <alignment horizontal="left" vertical="center"/>
    </xf>
    <xf numFmtId="4" fontId="2" fillId="4" borderId="0" xfId="17" applyFill="1" applyBorder="1">
      <alignment horizontal="center" vertical="center"/>
    </xf>
    <xf numFmtId="0" fontId="12" fillId="4" borderId="0" xfId="29" applyFill="1">
      <alignment horizontal="center" vertical="center"/>
      <protection locked="0"/>
    </xf>
    <xf numFmtId="0" fontId="43" fillId="0" borderId="0" xfId="0" applyFont="1" applyAlignment="1" applyProtection="1">
      <alignment horizontal="center" vertical="center"/>
      <protection locked="0"/>
    </xf>
    <xf numFmtId="4" fontId="44" fillId="0" borderId="0" xfId="17" applyFont="1" applyBorder="1">
      <alignment horizontal="center" vertical="center"/>
    </xf>
    <xf numFmtId="164" fontId="8" fillId="4" borderId="0" xfId="26" applyBorder="1">
      <alignment horizontal="center" vertical="center"/>
    </xf>
    <xf numFmtId="4" fontId="44" fillId="4" borderId="0" xfId="17" applyFont="1" applyFill="1" applyBorder="1">
      <alignment horizontal="center" vertical="center"/>
    </xf>
    <xf numFmtId="0" fontId="44" fillId="4" borderId="0" xfId="12" applyFont="1" applyAlignment="1">
      <alignment horizontal="center" vertical="center"/>
    </xf>
    <xf numFmtId="0" fontId="44" fillId="4" borderId="0" xfId="8" applyFont="1" applyAlignment="1">
      <alignment horizontal="center" vertical="center"/>
    </xf>
    <xf numFmtId="166" fontId="44" fillId="4" borderId="0" xfId="8" applyNumberFormat="1" applyFont="1" applyAlignment="1">
      <alignment horizontal="center" vertical="center"/>
    </xf>
    <xf numFmtId="9" fontId="44" fillId="4" borderId="0" xfId="68" applyFont="1" applyFill="1" applyBorder="1" applyAlignment="1">
      <alignment horizontal="center" vertical="center"/>
    </xf>
    <xf numFmtId="0" fontId="45" fillId="4" borderId="0" xfId="0" applyFont="1" applyFill="1" applyAlignment="1">
      <alignment horizontal="center" vertical="center"/>
    </xf>
    <xf numFmtId="0" fontId="45" fillId="4" borderId="0" xfId="0" applyFont="1" applyFill="1"/>
    <xf numFmtId="0" fontId="44" fillId="4" borderId="0" xfId="0" applyFont="1" applyFill="1"/>
    <xf numFmtId="0" fontId="44" fillId="0" borderId="0" xfId="0" applyFont="1"/>
    <xf numFmtId="0" fontId="46" fillId="4" borderId="0" xfId="7" applyFont="1" applyAlignment="1">
      <alignment horizontal="center" vertical="center"/>
    </xf>
    <xf numFmtId="0" fontId="47" fillId="4" borderId="0" xfId="7" applyFont="1" applyAlignment="1">
      <alignment horizontal="center" vertical="center"/>
    </xf>
    <xf numFmtId="166" fontId="47" fillId="4" borderId="0" xfId="7" applyNumberFormat="1" applyFont="1" applyAlignment="1">
      <alignment horizontal="center" vertical="center"/>
    </xf>
    <xf numFmtId="0" fontId="47" fillId="4" borderId="0" xfId="0" applyFont="1" applyFill="1" applyAlignment="1">
      <alignment horizontal="center" vertical="center"/>
    </xf>
    <xf numFmtId="0" fontId="48" fillId="4" borderId="0" xfId="0" applyFont="1" applyFill="1" applyAlignment="1">
      <alignment horizontal="center" vertical="center"/>
    </xf>
    <xf numFmtId="0" fontId="48" fillId="4" borderId="0" xfId="0" applyFont="1" applyFill="1" applyAlignment="1">
      <alignment horizontal="left" vertical="center"/>
    </xf>
    <xf numFmtId="14" fontId="3" fillId="4" borderId="0" xfId="7" applyNumberFormat="1">
      <alignment horizontal="left" vertical="center"/>
    </xf>
    <xf numFmtId="0" fontId="30" fillId="13" borderId="5" xfId="39">
      <alignment horizontal="left" vertical="center"/>
    </xf>
    <xf numFmtId="0" fontId="39" fillId="4" borderId="0" xfId="66" applyFill="1" applyBorder="1"/>
    <xf numFmtId="166" fontId="2" fillId="4" borderId="0" xfId="18" applyNumberFormat="1" applyFill="1" applyBorder="1">
      <alignment horizontal="center" vertical="center"/>
    </xf>
    <xf numFmtId="169" fontId="3" fillId="4" borderId="0" xfId="67" applyNumberFormat="1" applyFont="1" applyFill="1" applyBorder="1" applyAlignment="1">
      <alignment horizontal="center" vertical="center"/>
    </xf>
    <xf numFmtId="0" fontId="0" fillId="4" borderId="0" xfId="7" applyFont="1">
      <alignment horizontal="left" vertical="center"/>
    </xf>
    <xf numFmtId="0" fontId="49" fillId="4" borderId="0" xfId="0" applyFont="1" applyFill="1"/>
    <xf numFmtId="0" fontId="2" fillId="0" borderId="2" xfId="56">
      <alignment horizontal="center" vertical="center"/>
    </xf>
    <xf numFmtId="0" fontId="40" fillId="4" borderId="0" xfId="8" applyFont="1">
      <alignment horizontal="left" vertical="center"/>
    </xf>
    <xf numFmtId="0" fontId="23" fillId="4" borderId="2" xfId="52" quotePrefix="1">
      <alignment horizontal="center" vertical="center"/>
    </xf>
    <xf numFmtId="0" fontId="34" fillId="4" borderId="0" xfId="47">
      <alignment horizontal="left" vertical="center"/>
    </xf>
    <xf numFmtId="0" fontId="12" fillId="6" borderId="0" xfId="29">
      <alignment horizontal="center" vertical="center"/>
      <protection locked="0"/>
    </xf>
    <xf numFmtId="0" fontId="39" fillId="0" borderId="0" xfId="66"/>
    <xf numFmtId="0" fontId="50" fillId="9" borderId="4" xfId="34" applyFont="1">
      <alignment horizontal="left" vertical="center" indent="1"/>
    </xf>
    <xf numFmtId="0" fontId="20" fillId="10" borderId="0" xfId="35">
      <alignment horizontal="left" vertical="center" indent="1"/>
    </xf>
    <xf numFmtId="49" fontId="0" fillId="0" borderId="0" xfId="14" applyNumberFormat="1" applyFont="1" applyBorder="1">
      <alignment horizontal="center" vertical="center"/>
    </xf>
    <xf numFmtId="0" fontId="27" fillId="4" borderId="1" xfId="8" applyBorder="1">
      <alignment horizontal="left" vertical="center"/>
    </xf>
    <xf numFmtId="0" fontId="3" fillId="12" borderId="17" xfId="15" applyBorder="1">
      <alignment horizontal="center" vertical="center"/>
    </xf>
    <xf numFmtId="0" fontId="51" fillId="4" borderId="1" xfId="8" applyFont="1" applyBorder="1">
      <alignment horizontal="left" vertical="center"/>
    </xf>
    <xf numFmtId="0" fontId="52" fillId="4" borderId="1" xfId="8" applyFont="1" applyBorder="1">
      <alignment horizontal="left" vertical="center"/>
    </xf>
    <xf numFmtId="0" fontId="35" fillId="4" borderId="0" xfId="59">
      <alignment horizontal="left" vertical="center"/>
    </xf>
    <xf numFmtId="0" fontId="40" fillId="4" borderId="1" xfId="8" applyFont="1" applyBorder="1">
      <alignment horizontal="left" vertical="center"/>
    </xf>
    <xf numFmtId="0" fontId="6" fillId="4" borderId="1" xfId="53" applyBorder="1">
      <alignment horizontal="left" vertical="center"/>
    </xf>
    <xf numFmtId="0" fontId="53" fillId="0" borderId="0" xfId="32" applyFont="1"/>
    <xf numFmtId="0" fontId="27" fillId="11" borderId="0" xfId="8" applyFill="1">
      <alignment horizontal="left" vertical="center"/>
    </xf>
    <xf numFmtId="0" fontId="52" fillId="4" borderId="0" xfId="8" applyFont="1">
      <alignment horizontal="left" vertical="center"/>
    </xf>
    <xf numFmtId="0" fontId="54" fillId="4" borderId="0" xfId="53" applyFont="1">
      <alignment horizontal="left" vertical="center"/>
    </xf>
    <xf numFmtId="0" fontId="51" fillId="4" borderId="0" xfId="8" applyFont="1">
      <alignment horizontal="left" vertical="center"/>
    </xf>
    <xf numFmtId="0" fontId="54" fillId="4" borderId="1" xfId="53" applyFont="1" applyBorder="1">
      <alignment horizontal="left" vertical="center"/>
    </xf>
    <xf numFmtId="170" fontId="27" fillId="4" borderId="0" xfId="8" applyNumberFormat="1">
      <alignment horizontal="left" vertical="center"/>
    </xf>
    <xf numFmtId="0" fontId="30" fillId="13" borderId="11" xfId="39" applyBorder="1">
      <alignment horizontal="left" vertical="center"/>
    </xf>
    <xf numFmtId="0" fontId="55" fillId="4" borderId="0" xfId="0" applyFont="1" applyFill="1" applyAlignment="1">
      <alignment horizontal="center" vertical="center"/>
    </xf>
    <xf numFmtId="0" fontId="55" fillId="4" borderId="0" xfId="0" applyFont="1" applyFill="1"/>
    <xf numFmtId="0" fontId="20" fillId="5" borderId="0" xfId="36">
      <alignment horizontal="left" vertical="center" indent="1"/>
    </xf>
    <xf numFmtId="0" fontId="0" fillId="0" borderId="0" xfId="0" applyAlignment="1" applyProtection="1">
      <alignment horizontal="center" vertical="center" wrapText="1"/>
      <protection locked="0"/>
    </xf>
    <xf numFmtId="0" fontId="0" fillId="0" borderId="0" xfId="0" applyAlignment="1">
      <alignment horizontal="center" vertical="center" wrapText="1"/>
    </xf>
    <xf numFmtId="0" fontId="9" fillId="0" borderId="0" xfId="55" applyAlignment="1">
      <alignment horizontal="center" vertical="center" wrapText="1"/>
    </xf>
    <xf numFmtId="0" fontId="3" fillId="12" borderId="2" xfId="15" applyAlignment="1">
      <alignment horizontal="center" vertical="center" wrapText="1"/>
    </xf>
    <xf numFmtId="4" fontId="0" fillId="0" borderId="0" xfId="17" applyFont="1" applyBorder="1" applyAlignment="1">
      <alignment horizontal="center" vertical="center" wrapText="1"/>
    </xf>
    <xf numFmtId="0" fontId="0" fillId="4" borderId="2" xfId="52" applyFont="1" applyAlignment="1">
      <alignment horizontal="center" vertical="center" wrapText="1"/>
    </xf>
    <xf numFmtId="0" fontId="23" fillId="4" borderId="2" xfId="52" applyAlignment="1">
      <alignment horizontal="center" vertical="center" wrapText="1"/>
    </xf>
    <xf numFmtId="0" fontId="27" fillId="4" borderId="0" xfId="8" applyAlignment="1">
      <alignment horizontal="center" vertical="center" wrapText="1"/>
    </xf>
    <xf numFmtId="0" fontId="43" fillId="4" borderId="0" xfId="43" applyFont="1" applyFill="1" applyAlignment="1">
      <alignment horizontal="left" vertical="center" wrapText="1"/>
    </xf>
    <xf numFmtId="2" fontId="55" fillId="4" borderId="0" xfId="67" applyNumberFormat="1" applyFont="1" applyFill="1" applyBorder="1" applyAlignment="1" applyProtection="1">
      <alignment horizontal="center" wrapText="1"/>
      <protection locked="0"/>
    </xf>
    <xf numFmtId="1" fontId="55" fillId="4" borderId="0" xfId="67" applyNumberFormat="1" applyFont="1" applyFill="1" applyBorder="1" applyAlignment="1" applyProtection="1">
      <alignment horizontal="center" wrapText="1"/>
      <protection locked="0"/>
    </xf>
    <xf numFmtId="0" fontId="55" fillId="4" borderId="0" xfId="0" applyFont="1" applyFill="1" applyAlignment="1">
      <alignment horizontal="left" wrapText="1"/>
    </xf>
    <xf numFmtId="0" fontId="55" fillId="4" borderId="0" xfId="0" applyFont="1" applyFill="1" applyAlignment="1">
      <alignment wrapText="1"/>
    </xf>
    <xf numFmtId="0" fontId="27" fillId="4" borderId="0" xfId="8" applyAlignment="1">
      <alignment horizontal="left" vertical="center" wrapText="1"/>
    </xf>
    <xf numFmtId="0" fontId="34" fillId="4" borderId="0" xfId="47" applyAlignment="1">
      <alignment horizontal="left" vertical="center" wrapText="1"/>
    </xf>
    <xf numFmtId="0" fontId="0" fillId="4" borderId="0" xfId="0" applyFill="1" applyAlignment="1">
      <alignment wrapText="1"/>
    </xf>
    <xf numFmtId="0" fontId="9" fillId="0" borderId="0" xfId="55" applyAlignment="1" applyProtection="1">
      <alignment horizontal="center" vertical="center" wrapText="1"/>
      <protection locked="0"/>
    </xf>
    <xf numFmtId="0" fontId="56" fillId="12" borderId="2" xfId="15" applyFont="1" applyAlignment="1">
      <alignment horizontal="center" vertical="center" wrapText="1"/>
    </xf>
    <xf numFmtId="9" fontId="0" fillId="0" borderId="0" xfId="68" applyFont="1" applyFill="1" applyBorder="1" applyAlignment="1">
      <alignment horizontal="center" vertical="center" wrapText="1"/>
    </xf>
    <xf numFmtId="0" fontId="56" fillId="12" borderId="2" xfId="15" applyFont="1">
      <alignment horizontal="center" vertical="center"/>
    </xf>
    <xf numFmtId="9" fontId="0" fillId="0" borderId="18" xfId="68" applyFont="1" applyFill="1" applyBorder="1" applyAlignment="1">
      <alignment horizontal="center" vertical="center" wrapText="1"/>
    </xf>
    <xf numFmtId="4" fontId="9" fillId="0" borderId="2" xfId="17" applyFont="1" applyAlignment="1">
      <alignment horizontal="center" vertical="center" wrapText="1"/>
    </xf>
    <xf numFmtId="0" fontId="30" fillId="13" borderId="19" xfId="39" applyBorder="1">
      <alignment horizontal="left" vertical="center"/>
    </xf>
    <xf numFmtId="0" fontId="30" fillId="13" borderId="0" xfId="39" applyBorder="1">
      <alignment horizontal="left" vertical="center"/>
    </xf>
    <xf numFmtId="0" fontId="30" fillId="13" borderId="20" xfId="39" applyBorder="1">
      <alignment horizontal="left" vertical="center"/>
    </xf>
    <xf numFmtId="0" fontId="0" fillId="0" borderId="0" xfId="0" applyAlignment="1">
      <alignment wrapText="1"/>
    </xf>
    <xf numFmtId="0" fontId="12" fillId="6" borderId="0" xfId="29" applyAlignment="1">
      <alignment horizontal="center" vertical="center" wrapText="1"/>
      <protection locked="0"/>
    </xf>
    <xf numFmtId="0" fontId="0" fillId="0" borderId="0" xfId="14" applyFont="1" applyBorder="1" applyAlignment="1">
      <alignment horizontal="center" vertical="center" wrapText="1"/>
    </xf>
    <xf numFmtId="9" fontId="0" fillId="0" borderId="0" xfId="16" applyFont="1" applyBorder="1" applyAlignment="1">
      <alignment horizontal="center" vertical="center" wrapText="1"/>
    </xf>
    <xf numFmtId="9" fontId="3" fillId="4" borderId="0" xfId="68" applyFont="1" applyFill="1" applyAlignment="1">
      <alignment horizontal="center" vertical="center" wrapText="1"/>
    </xf>
    <xf numFmtId="9" fontId="0" fillId="4" borderId="0" xfId="0" applyNumberFormat="1" applyFill="1"/>
    <xf numFmtId="0" fontId="15" fillId="4" borderId="0" xfId="24">
      <alignment horizontal="left" vertical="center"/>
    </xf>
    <xf numFmtId="0" fontId="32" fillId="4" borderId="0" xfId="57">
      <alignment horizontal="left" vertical="center"/>
    </xf>
    <xf numFmtId="0" fontId="33" fillId="4" borderId="0" xfId="58">
      <alignment horizontal="left" vertical="center"/>
    </xf>
    <xf numFmtId="0" fontId="6" fillId="4" borderId="0" xfId="12" applyAlignment="1">
      <alignment horizontal="center" vertical="center"/>
    </xf>
    <xf numFmtId="0" fontId="5" fillId="2" borderId="0" xfId="9">
      <alignment horizontal="center" vertical="center"/>
    </xf>
    <xf numFmtId="0" fontId="23" fillId="4" borderId="2" xfId="52" applyAlignment="1">
      <alignment horizontal="left" vertical="center"/>
    </xf>
    <xf numFmtId="0" fontId="23" fillId="4" borderId="21" xfId="52" applyBorder="1" applyAlignment="1">
      <alignment horizontal="left" vertical="center"/>
    </xf>
    <xf numFmtId="0" fontId="38" fillId="15" borderId="2" xfId="65">
      <alignment horizontal="center" vertical="center"/>
    </xf>
    <xf numFmtId="0" fontId="37" fillId="14" borderId="2" xfId="64">
      <alignment horizontal="center" vertical="center"/>
    </xf>
    <xf numFmtId="0" fontId="36" fillId="4" borderId="2" xfId="62">
      <alignment horizontal="left" vertical="center"/>
    </xf>
    <xf numFmtId="0" fontId="20" fillId="8" borderId="0" xfId="37">
      <alignment horizontal="left" vertical="center" indent="1"/>
    </xf>
    <xf numFmtId="0" fontId="23" fillId="4" borderId="22" xfId="52" applyBorder="1" applyAlignment="1">
      <alignment horizontal="left" vertical="center"/>
    </xf>
    <xf numFmtId="0" fontId="23" fillId="4" borderId="23" xfId="52" applyBorder="1" applyAlignment="1">
      <alignment horizontal="left" vertical="center"/>
    </xf>
    <xf numFmtId="0" fontId="23" fillId="4" borderId="21" xfId="63" applyBorder="1">
      <alignment horizontal="left" vertical="center"/>
    </xf>
    <xf numFmtId="0" fontId="23" fillId="4" borderId="22" xfId="52" applyBorder="1">
      <alignment horizontal="center" vertical="center"/>
    </xf>
    <xf numFmtId="0" fontId="23" fillId="4" borderId="23" xfId="52" applyBorder="1">
      <alignment horizontal="center" vertical="center"/>
    </xf>
    <xf numFmtId="0" fontId="23" fillId="4" borderId="2" xfId="63">
      <alignment horizontal="left" vertical="center"/>
    </xf>
    <xf numFmtId="171" fontId="23" fillId="4" borderId="2" xfId="52" applyNumberFormat="1">
      <alignment horizontal="center" vertical="center"/>
    </xf>
    <xf numFmtId="0" fontId="5" fillId="2" borderId="0" xfId="1">
      <alignment horizontal="left" vertical="center" indent="1"/>
      <protection locked="0"/>
    </xf>
    <xf numFmtId="4" fontId="23" fillId="4" borderId="2" xfId="52" applyNumberFormat="1">
      <alignment horizontal="center" vertical="center"/>
    </xf>
    <xf numFmtId="9" fontId="23" fillId="4" borderId="2" xfId="52" applyNumberFormat="1">
      <alignment horizontal="center" vertical="center"/>
    </xf>
    <xf numFmtId="0" fontId="63" fillId="4" borderId="0" xfId="0" applyFont="1" applyFill="1"/>
    <xf numFmtId="0" fontId="6" fillId="4" borderId="1" xfId="12" applyBorder="1">
      <alignment horizontal="left" vertical="center" indent="1"/>
    </xf>
    <xf numFmtId="0" fontId="27" fillId="4" borderId="24" xfId="8" applyBorder="1">
      <alignment horizontal="left" vertical="center"/>
    </xf>
    <xf numFmtId="0" fontId="23" fillId="4" borderId="23" xfId="63" applyBorder="1">
      <alignment horizontal="left" vertical="center"/>
    </xf>
    <xf numFmtId="0" fontId="23" fillId="4" borderId="22" xfId="63" applyBorder="1">
      <alignment horizontal="left" vertical="center"/>
    </xf>
    <xf numFmtId="3" fontId="23" fillId="4" borderId="2" xfId="52" applyNumberFormat="1">
      <alignment horizontal="center" vertical="center"/>
    </xf>
    <xf numFmtId="4" fontId="23" fillId="4" borderId="2" xfId="46">
      <alignment horizontal="center" vertical="center"/>
    </xf>
    <xf numFmtId="0" fontId="54" fillId="4" borderId="1" xfId="12" applyFont="1" applyBorder="1">
      <alignment horizontal="left" vertical="center" indent="1"/>
    </xf>
    <xf numFmtId="0" fontId="5" fillId="2" borderId="0" xfId="9" applyAlignment="1">
      <alignment horizontal="center" vertical="center" wrapText="1"/>
    </xf>
    <xf numFmtId="0" fontId="27" fillId="4" borderId="25" xfId="8" applyBorder="1">
      <alignment horizontal="left" vertical="center"/>
    </xf>
    <xf numFmtId="0" fontId="5" fillId="2" borderId="0" xfId="1" applyAlignment="1">
      <alignment horizontal="center" vertical="center"/>
      <protection locked="0"/>
    </xf>
    <xf numFmtId="0" fontId="0" fillId="0" borderId="0" xfId="0" applyAlignment="1">
      <alignment vertical="center"/>
    </xf>
    <xf numFmtId="0" fontId="0" fillId="0" borderId="0" xfId="0" applyAlignment="1">
      <alignment vertical="center" wrapText="1"/>
    </xf>
    <xf numFmtId="4" fontId="2" fillId="0" borderId="2" xfId="17">
      <alignment horizontal="center" vertical="center"/>
    </xf>
    <xf numFmtId="166" fontId="23" fillId="4" borderId="2" xfId="45">
      <alignment horizontal="center" vertical="center"/>
    </xf>
    <xf numFmtId="172" fontId="0" fillId="0" borderId="0" xfId="8" applyNumberFormat="1" applyFont="1" applyFill="1">
      <alignment horizontal="left" vertical="center"/>
    </xf>
    <xf numFmtId="0" fontId="26" fillId="4" borderId="0" xfId="48">
      <alignment horizontal="center" vertical="center"/>
    </xf>
    <xf numFmtId="17" fontId="0" fillId="0" borderId="0" xfId="8" applyNumberFormat="1" applyFont="1" applyFill="1">
      <alignment horizontal="left" vertical="center"/>
    </xf>
    <xf numFmtId="43" fontId="27" fillId="4" borderId="0" xfId="8" applyNumberFormat="1">
      <alignment horizontal="left" vertical="center"/>
    </xf>
    <xf numFmtId="9" fontId="23" fillId="4" borderId="2" xfId="63" applyNumberFormat="1">
      <alignment horizontal="left" vertical="center"/>
    </xf>
    <xf numFmtId="0" fontId="64" fillId="0" borderId="0" xfId="0" applyFont="1" applyAlignment="1">
      <alignment vertical="center"/>
    </xf>
    <xf numFmtId="0" fontId="0" fillId="0" borderId="0" xfId="7" applyFont="1" applyFill="1" applyAlignment="1">
      <alignment horizontal="center" vertical="center"/>
    </xf>
    <xf numFmtId="9" fontId="0" fillId="0" borderId="0" xfId="16" applyFont="1" applyBorder="1">
      <alignment horizontal="center" vertical="center"/>
    </xf>
    <xf numFmtId="9" fontId="0" fillId="0" borderId="2" xfId="16" applyFont="1">
      <alignment horizontal="center" vertical="center"/>
    </xf>
    <xf numFmtId="0" fontId="23" fillId="4" borderId="17" xfId="52" applyBorder="1">
      <alignment horizontal="center" vertical="center"/>
    </xf>
    <xf numFmtId="9" fontId="0" fillId="0" borderId="17" xfId="16" applyFont="1" applyBorder="1">
      <alignment horizontal="center" vertical="center"/>
    </xf>
    <xf numFmtId="0" fontId="26" fillId="4" borderId="0" xfId="48" applyAlignment="1">
      <alignment horizontal="left" vertical="center"/>
    </xf>
    <xf numFmtId="173" fontId="65" fillId="4" borderId="2" xfId="52" applyNumberFormat="1" applyFont="1">
      <alignment horizontal="center" vertical="center"/>
    </xf>
    <xf numFmtId="0" fontId="22" fillId="4" borderId="0" xfId="50">
      <alignment horizontal="left" vertical="center"/>
    </xf>
    <xf numFmtId="4" fontId="23" fillId="4" borderId="17" xfId="46" applyBorder="1">
      <alignment horizontal="center" vertical="center"/>
    </xf>
    <xf numFmtId="173" fontId="65" fillId="4" borderId="17" xfId="52" applyNumberFormat="1" applyFont="1" applyBorder="1">
      <alignment horizontal="center" vertical="center"/>
    </xf>
    <xf numFmtId="0" fontId="3" fillId="4" borderId="1" xfId="7" applyBorder="1">
      <alignment horizontal="left" vertical="center"/>
    </xf>
    <xf numFmtId="0" fontId="26" fillId="4" borderId="1" xfId="48" applyBorder="1" applyAlignment="1">
      <alignment horizontal="left" vertical="center"/>
    </xf>
    <xf numFmtId="0" fontId="23" fillId="4" borderId="26" xfId="52" applyBorder="1">
      <alignment horizontal="center" vertical="center"/>
    </xf>
    <xf numFmtId="0" fontId="23" fillId="4" borderId="27" xfId="52" applyBorder="1">
      <alignment horizontal="center" vertical="center"/>
    </xf>
    <xf numFmtId="4" fontId="23" fillId="4" borderId="26" xfId="46" applyBorder="1">
      <alignment horizontal="center" vertical="center"/>
    </xf>
    <xf numFmtId="4" fontId="23" fillId="4" borderId="28" xfId="46" applyBorder="1">
      <alignment horizontal="center" vertical="center"/>
    </xf>
    <xf numFmtId="173" fontId="65" fillId="4" borderId="28" xfId="52" applyNumberFormat="1" applyFont="1" applyBorder="1">
      <alignment horizontal="center" vertical="center"/>
    </xf>
    <xf numFmtId="173" fontId="65" fillId="4" borderId="26" xfId="52" applyNumberFormat="1" applyFont="1" applyBorder="1">
      <alignment horizontal="center" vertical="center"/>
    </xf>
    <xf numFmtId="0" fontId="23" fillId="4" borderId="28" xfId="52" applyBorder="1">
      <alignment horizontal="center" vertical="center"/>
    </xf>
    <xf numFmtId="0" fontId="65" fillId="4" borderId="28" xfId="52" applyFont="1" applyBorder="1">
      <alignment horizontal="center" vertical="center"/>
    </xf>
    <xf numFmtId="0" fontId="3" fillId="4" borderId="25" xfId="7" applyBorder="1">
      <alignment horizontal="left" vertical="center"/>
    </xf>
    <xf numFmtId="165" fontId="63" fillId="4" borderId="25" xfId="0" applyNumberFormat="1" applyFont="1" applyFill="1" applyBorder="1"/>
    <xf numFmtId="0" fontId="6" fillId="4" borderId="25" xfId="12" applyBorder="1">
      <alignment horizontal="left" vertical="center" indent="1"/>
    </xf>
    <xf numFmtId="168" fontId="63" fillId="4" borderId="0" xfId="0" applyNumberFormat="1" applyFont="1" applyFill="1" applyAlignment="1">
      <alignment vertical="center"/>
    </xf>
    <xf numFmtId="165" fontId="63" fillId="4" borderId="25" xfId="0" applyNumberFormat="1" applyFont="1" applyFill="1" applyBorder="1" applyAlignment="1">
      <alignment vertical="center"/>
    </xf>
    <xf numFmtId="0" fontId="63" fillId="4" borderId="0" xfId="0" applyFont="1" applyFill="1" applyAlignment="1">
      <alignment vertical="center"/>
    </xf>
    <xf numFmtId="165" fontId="66" fillId="4" borderId="25" xfId="0" applyNumberFormat="1" applyFont="1" applyFill="1" applyBorder="1" applyAlignment="1">
      <alignment vertical="center"/>
    </xf>
    <xf numFmtId="168" fontId="65" fillId="4" borderId="2" xfId="46" applyNumberFormat="1" applyFont="1">
      <alignment horizontal="center" vertical="center"/>
    </xf>
    <xf numFmtId="168" fontId="65" fillId="4" borderId="17" xfId="46" applyNumberFormat="1" applyFont="1" applyBorder="1">
      <alignment horizontal="center" vertical="center"/>
    </xf>
    <xf numFmtId="168" fontId="65" fillId="4" borderId="28" xfId="46" applyNumberFormat="1" applyFont="1" applyBorder="1">
      <alignment horizontal="center" vertical="center"/>
    </xf>
    <xf numFmtId="0" fontId="64" fillId="0" borderId="0" xfId="0" applyFont="1" applyAlignment="1">
      <alignment vertical="center" wrapText="1"/>
    </xf>
    <xf numFmtId="0" fontId="64" fillId="0" borderId="0" xfId="0" applyFont="1" applyAlignment="1">
      <alignment horizontal="left" vertical="center"/>
    </xf>
    <xf numFmtId="0" fontId="64" fillId="0" borderId="0" xfId="8" applyFont="1" applyFill="1">
      <alignment horizontal="left" vertical="center"/>
    </xf>
    <xf numFmtId="0" fontId="0" fillId="0" borderId="0" xfId="0" applyAlignment="1">
      <alignment horizontal="left" vertical="center"/>
    </xf>
    <xf numFmtId="0" fontId="27" fillId="4" borderId="0" xfId="8" applyAlignment="1">
      <alignment horizontal="right" vertical="center"/>
    </xf>
    <xf numFmtId="0" fontId="64" fillId="4" borderId="0" xfId="0" applyFont="1" applyFill="1" applyAlignment="1">
      <alignment horizontal="left" vertical="center"/>
    </xf>
    <xf numFmtId="0" fontId="40" fillId="4" borderId="0" xfId="8" applyFont="1" applyAlignment="1">
      <alignment horizontal="right" vertical="center"/>
    </xf>
    <xf numFmtId="0" fontId="67" fillId="4" borderId="0" xfId="0" applyFont="1" applyFill="1"/>
    <xf numFmtId="0" fontId="64" fillId="0" borderId="0" xfId="0" applyFont="1"/>
    <xf numFmtId="0" fontId="64" fillId="0" borderId="0" xfId="7" applyFont="1" applyFill="1">
      <alignment horizontal="left" vertical="center"/>
    </xf>
    <xf numFmtId="0" fontId="64" fillId="4" borderId="0" xfId="0" applyFont="1" applyFill="1"/>
    <xf numFmtId="0" fontId="64" fillId="4" borderId="0" xfId="7" applyFont="1">
      <alignment horizontal="left" vertical="center"/>
    </xf>
    <xf numFmtId="0" fontId="68" fillId="2" borderId="0" xfId="8" applyFont="1" applyFill="1">
      <alignment horizontal="left" vertical="center"/>
    </xf>
    <xf numFmtId="0" fontId="68" fillId="0" borderId="0" xfId="8" applyFont="1" applyFill="1">
      <alignment horizontal="left" vertical="center"/>
    </xf>
    <xf numFmtId="3" fontId="23" fillId="4" borderId="2" xfId="40">
      <alignment horizontal="center" vertical="center"/>
    </xf>
    <xf numFmtId="3" fontId="23" fillId="4" borderId="2" xfId="63" applyNumberFormat="1">
      <alignment horizontal="left" vertical="center"/>
    </xf>
    <xf numFmtId="0" fontId="0" fillId="4" borderId="1" xfId="0" applyFill="1" applyBorder="1" applyAlignment="1">
      <alignment vertical="center"/>
    </xf>
    <xf numFmtId="0" fontId="0" fillId="4" borderId="1" xfId="0" applyFill="1" applyBorder="1"/>
    <xf numFmtId="0" fontId="27" fillId="4" borderId="0" xfId="8" applyAlignment="1">
      <alignment horizontal="center" vertical="center"/>
    </xf>
    <xf numFmtId="0" fontId="0" fillId="4" borderId="0" xfId="0" quotePrefix="1" applyFill="1"/>
    <xf numFmtId="0" fontId="69" fillId="4" borderId="1" xfId="0" applyFont="1" applyFill="1" applyBorder="1"/>
    <xf numFmtId="0" fontId="71" fillId="4" borderId="1" xfId="0" applyFont="1" applyFill="1" applyBorder="1"/>
    <xf numFmtId="0" fontId="45" fillId="0" borderId="0" xfId="0" applyFont="1"/>
    <xf numFmtId="0" fontId="72" fillId="0" borderId="0" xfId="69"/>
    <xf numFmtId="0" fontId="72" fillId="4" borderId="0" xfId="69" applyFill="1"/>
    <xf numFmtId="0" fontId="2" fillId="0" borderId="17" xfId="56" applyBorder="1">
      <alignment horizontal="center" vertical="center"/>
    </xf>
    <xf numFmtId="0" fontId="0" fillId="0" borderId="0" xfId="29" applyFont="1" applyFill="1" applyProtection="1">
      <alignment horizontal="center" vertical="center"/>
    </xf>
    <xf numFmtId="0" fontId="73" fillId="4" borderId="0" xfId="70">
      <alignment horizontal="left" vertical="center"/>
    </xf>
    <xf numFmtId="0" fontId="30" fillId="13" borderId="29" xfId="39" applyBorder="1">
      <alignment horizontal="left" vertical="center"/>
    </xf>
    <xf numFmtId="0" fontId="0" fillId="0" borderId="0" xfId="8" applyFont="1" applyFill="1" applyAlignment="1">
      <alignment horizontal="left" vertical="center" wrapText="1"/>
    </xf>
    <xf numFmtId="0" fontId="0" fillId="0" borderId="0" xfId="14" applyFont="1" applyBorder="1">
      <alignment horizontal="center" vertical="center"/>
    </xf>
    <xf numFmtId="4" fontId="0" fillId="0" borderId="0" xfId="17" applyFont="1" applyBorder="1">
      <alignment horizontal="center" vertical="center"/>
    </xf>
    <xf numFmtId="0" fontId="38" fillId="16" borderId="2" xfId="71">
      <alignment horizontal="center" vertical="center"/>
    </xf>
    <xf numFmtId="0" fontId="68" fillId="6" borderId="0" xfId="8" applyFont="1" applyFill="1">
      <alignment horizontal="left" vertical="center"/>
    </xf>
    <xf numFmtId="0" fontId="65" fillId="4" borderId="2" xfId="52" applyFont="1">
      <alignment horizontal="center" vertical="center"/>
    </xf>
    <xf numFmtId="49" fontId="23" fillId="4" borderId="2" xfId="52" applyNumberFormat="1">
      <alignment horizontal="center" vertical="center"/>
    </xf>
    <xf numFmtId="0" fontId="76" fillId="4" borderId="1" xfId="8" applyFont="1" applyBorder="1">
      <alignment horizontal="left" vertical="center"/>
    </xf>
    <xf numFmtId="4" fontId="23" fillId="4" borderId="2" xfId="63" applyNumberFormat="1">
      <alignment horizontal="left" vertical="center"/>
    </xf>
    <xf numFmtId="0" fontId="20" fillId="11" borderId="0" xfId="61">
      <alignment horizontal="left" vertical="center" indent="1"/>
    </xf>
    <xf numFmtId="11" fontId="0" fillId="0" borderId="0" xfId="0" applyNumberFormat="1" applyAlignment="1">
      <alignment vertical="center"/>
    </xf>
  </cellXfs>
  <cellStyles count="72">
    <cellStyle name="Alert" xfId="59" xr:uid="{34EFE908-8095-4010-8F93-8CFE88055637}"/>
    <cellStyle name="Arguments" xfId="63" xr:uid="{D74147AB-B374-43DE-928A-C20FDAA7023A}"/>
    <cellStyle name="Arguments hyperlink" xfId="62" xr:uid="{E9A63CA8-EB4E-4FD6-930A-AD1711340AFB}"/>
    <cellStyle name="Block heading" xfId="5" xr:uid="{74527274-3B4A-494A-B37C-EA50686E114C}"/>
    <cellStyle name="Block subheading" xfId="47" xr:uid="{34E62905-A3E0-4883-B81A-BDB58FC88DA7}"/>
    <cellStyle name="Block subheading 2" xfId="70" xr:uid="{03470A95-FF20-428B-A136-25A5C7119EB0}"/>
    <cellStyle name="Code" xfId="24" xr:uid="{99B3520F-01DD-4F8E-A8D0-24EAA04E90EB}"/>
    <cellStyle name="Comma" xfId="67" builtinId="3"/>
    <cellStyle name="Content bold" xfId="7" xr:uid="{468A1381-682E-4BF1-945B-DF2E2BCA4419}"/>
    <cellStyle name="Content bold total" xfId="27" xr:uid="{17159E75-EF9F-42B8-8195-E83583796F67}"/>
    <cellStyle name="Content hidden" xfId="50"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66" builtinId="8"/>
    <cellStyle name="Information tip" xfId="39" xr:uid="{7D200D09-32E3-4546-9822-1B93AD118A74}"/>
    <cellStyle name="Information variation" xfId="54" xr:uid="{205494A3-14DD-4E6A-BDD3-5C5A864D6FA7}"/>
    <cellStyle name="Input block subheading" xfId="30" xr:uid="{A9FEBDB0-0992-4E30-96E5-9F9CAE92E3FB}"/>
    <cellStyle name="Input date" xfId="41" xr:uid="{A1D72D5E-DCF3-445F-8FC0-A147E105D774}"/>
    <cellStyle name="Input date calculated" xfId="45" xr:uid="{5A42AD0E-F665-46A9-9757-6B6A4BE7013E}"/>
    <cellStyle name="Input number 2 decimal places" xfId="17" xr:uid="{F9671E40-5700-4055-A6D2-272CF9DB620E}"/>
    <cellStyle name="Input number 2 decimal places calculated" xfId="46" xr:uid="{C04BA53C-14E1-48A5-99A3-C9FD44741A2A}"/>
    <cellStyle name="Input number 3 decimal places calculated" xfId="49" xr:uid="{637E6039-0A01-48EF-8C15-C29A497EF449}"/>
    <cellStyle name="Input number 3 decimal places disabled" xfId="22" xr:uid="{6B1B6177-B1C0-4190-858F-6E4C823402C3}"/>
    <cellStyle name="Input number 6 decimal places calculated" xfId="51" xr:uid="{CE70A7A2-3CEE-4689-8FF6-8EB6FCE0A94C}"/>
    <cellStyle name="Input number general" xfId="56" xr:uid="{D8583F7D-F13A-4EA8-BAA6-B42739FDBDDB}"/>
    <cellStyle name="Input number general calculated" xfId="52" xr:uid="{34755FEB-6E4E-4BD7-A478-DF7299A7A914}"/>
    <cellStyle name="Input number no decimals" xfId="18" xr:uid="{B33B4FB5-F3F4-4036-B2DD-663B694E2A90}"/>
    <cellStyle name="Input number no decimals calculated" xfId="40"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48" xr:uid="{43DCF082-1F0D-4E07-9785-CAF41B37CFCC}"/>
    <cellStyle name="Input text disabled" xfId="19" xr:uid="{79E76B35-E5FF-43A1-B0D0-016F346F8B97}"/>
    <cellStyle name="Menu link child" xfId="38" xr:uid="{609090D3-DE1E-48FE-A8AA-233CE9B146E0}"/>
    <cellStyle name="Menu link default" xfId="33" xr:uid="{11B84453-1DD4-492A-B241-FE6AD4CB25FA}"/>
    <cellStyle name="Menu link selected" xfId="35" xr:uid="{B16EBA6F-62C4-483F-8E15-B20D06ABF61F}"/>
    <cellStyle name="Menu link selected equations" xfId="37" xr:uid="{7AFCC545-C221-4BAC-933E-19109D0FB654}"/>
    <cellStyle name="Menu link selected input" xfId="36" xr:uid="{17D327F4-9149-4DAC-85BB-811698090830}"/>
    <cellStyle name="Menu link selected results" xfId="61" xr:uid="{0DC56464-F1A3-42A3-BF89-514E2163E7F0}"/>
    <cellStyle name="Menu section title" xfId="34" xr:uid="{E2117B15-AE58-4F76-B13B-671D455A4107}"/>
    <cellStyle name="Normal" xfId="0" builtinId="0"/>
    <cellStyle name="Normal 2" xfId="55" xr:uid="{FE64FEFB-54C6-42B4-AA7F-D49670F5ED19}"/>
    <cellStyle name="Normal 2 2" xfId="44" xr:uid="{B8803ACE-513D-4EEF-BBE0-0BB76AE7D7F4}"/>
    <cellStyle name="Normal 2 3" xfId="69" xr:uid="{180A6B33-D854-4141-BE07-CCDE1C32BEAD}"/>
    <cellStyle name="Normal 4" xfId="42" xr:uid="{99CD1B63-5040-4067-BBD7-470030C57E5D}"/>
    <cellStyle name="Normal 5" xfId="43"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68" builtinId="5"/>
    <cellStyle name="Results table column header" xfId="60" xr:uid="{A846043F-10AE-4BED-BAA6-90407C977915}"/>
    <cellStyle name="Table description" xfId="58" xr:uid="{8BD2F353-2E3C-42FF-89E9-616E85DC18C5}"/>
    <cellStyle name="Table name" xfId="57" xr:uid="{D56F17A4-9740-44B6-BDDB-150E2C950B8B}"/>
    <cellStyle name="Unit" xfId="12" xr:uid="{90B9E191-F5E0-43AB-A245-D6CA23D4ADFC}"/>
    <cellStyle name="Unit no indent" xfId="53" xr:uid="{2829D020-DAD8-4B7D-9262-450720E27D2B}"/>
    <cellStyle name="Unit total" xfId="25" xr:uid="{65428923-3DAD-47B6-8DDF-0EBD05E7C55B}"/>
    <cellStyle name="Variable type input" xfId="65" xr:uid="{69904D21-1566-4CAB-9A42-C86AC6535120}"/>
    <cellStyle name="Variable type input 2" xfId="71" xr:uid="{0C740172-C298-4A63-AF81-9780CE698D90}"/>
    <cellStyle name="Variable type other" xfId="64" xr:uid="{105BD9DE-B567-4DA0-87E6-C60A0ECC1C65}"/>
  </cellStyles>
  <dxfs count="439">
    <dxf>
      <alignment horizontal="right" vertical="center" textRotation="0" wrapText="0" indent="0" justifyLastLine="0" shrinkToFit="0" readingOrder="0"/>
    </dxf>
    <dxf>
      <fill>
        <patternFill>
          <fgColor indexed="64"/>
          <bgColor theme="0" tint="-4.9989318521683403E-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tint="0.24994659260841701"/>
        <name val="Arial"/>
        <family val="1"/>
      </font>
      <numFmt numFmtId="0" formatCode="General"/>
      <fill>
        <patternFill patternType="solid">
          <fgColor indexed="64"/>
          <bgColor theme="0" tint="-4.9989318521683403E-2"/>
        </patternFill>
      </fill>
      <alignment horizontal="left" vertical="center" textRotation="0" wrapText="0" indent="0" justifyLastLine="0" shrinkToFit="0" readingOrder="0"/>
      <border diagonalUp="0" diagonalDown="0" outline="0">
        <left/>
        <right/>
        <top/>
        <bottom/>
      </border>
      <protection locked="1" hidden="0"/>
    </dxf>
    <dxf>
      <font>
        <b/>
        <i val="0"/>
        <strike val="0"/>
        <condense val="0"/>
        <extend val="0"/>
        <outline val="0"/>
        <shadow val="0"/>
        <u val="none"/>
        <vertAlign val="baseline"/>
        <sz val="10"/>
        <color theme="1"/>
        <name val="Arial"/>
        <family val="2"/>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0"/>
        <color theme="1" tint="0.24994659260841701"/>
        <name val="Arial"/>
        <family val="1"/>
      </font>
      <numFmt numFmtId="0" formatCode="General"/>
      <fill>
        <patternFill patternType="solid">
          <fgColor indexed="64"/>
          <bgColor theme="0" tint="-4.9989318521683403E-2"/>
        </patternFill>
      </fill>
      <alignment horizontal="left" vertical="center" textRotation="0" wrapText="0" indent="0" justifyLastLine="0" shrinkToFit="0" readingOrder="0"/>
      <border diagonalUp="0" diagonalDown="0" outline="0">
        <left/>
        <right/>
        <top/>
        <bottom/>
      </border>
      <protection locked="1" hidden="0"/>
    </dxf>
    <dxf>
      <font>
        <b/>
        <i val="0"/>
        <strike val="0"/>
        <condense val="0"/>
        <extend val="0"/>
        <outline val="0"/>
        <shadow val="0"/>
        <u val="none"/>
        <vertAlign val="baseline"/>
        <sz val="10"/>
        <color theme="1"/>
        <name val="Arial"/>
        <family val="2"/>
      </font>
      <numFmt numFmtId="0" formatCode="General"/>
      <fill>
        <patternFill patternType="solid">
          <fgColor indexed="64"/>
          <bgColor rgb="FFB2D498"/>
        </patternFill>
      </fill>
      <alignment horizontal="left" vertical="center" textRotation="0" wrapText="0" indent="0" justifyLastLine="0" shrinkToFit="0" readingOrder="0"/>
    </dxf>
    <dxf>
      <font>
        <b/>
        <i val="0"/>
        <strike val="0"/>
        <condense val="0"/>
        <extend val="0"/>
        <outline val="0"/>
        <shadow val="0"/>
        <u val="none"/>
        <vertAlign val="baseline"/>
        <sz val="10"/>
        <color theme="1"/>
        <name val="Arial"/>
        <family val="2"/>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0"/>
        <color theme="1"/>
        <name val="Arial"/>
        <family val="2"/>
      </font>
      <fill>
        <patternFill patternType="none">
          <fgColor indexed="64"/>
          <bgColor indexed="65"/>
        </patternFill>
      </fill>
    </dxf>
    <dxf>
      <font>
        <b/>
        <sz val="10"/>
        <color theme="1"/>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i val="0"/>
        <strike val="0"/>
        <condense val="0"/>
        <extend val="0"/>
        <outline val="0"/>
        <shadow val="0"/>
        <u val="none"/>
        <vertAlign val="baseline"/>
        <sz val="10"/>
        <color theme="1"/>
        <name val="Arial"/>
        <family val="2"/>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numFmt numFmtId="0" formatCode="General"/>
      <fill>
        <patternFill patternType="none">
          <fgColor indexed="64"/>
          <bgColor indexed="65"/>
        </patternFill>
      </fill>
      <alignment horizontal="left" vertical="center"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ill>
        <patternFill patternType="solid">
          <fgColor indexed="64"/>
          <bgColor theme="0" tint="-4.9989318521683403E-2"/>
        </patternFill>
      </fill>
    </dxf>
    <dxf>
      <font>
        <b val="0"/>
        <i val="0"/>
        <strike val="0"/>
        <condense val="0"/>
        <extend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9"/>
        <color auto="1"/>
        <name val="Arial"/>
        <family val="1"/>
      </font>
    </dxf>
    <dxf>
      <fill>
        <patternFill>
          <fgColor indexed="64"/>
          <bgColor theme="0" tint="-4.9989318521683403E-2"/>
        </patternFill>
      </fill>
    </dxf>
    <dxf>
      <font>
        <strike val="0"/>
        <outline val="0"/>
        <shadow val="0"/>
        <u val="none"/>
        <vertAlign val="baseline"/>
        <sz val="9"/>
        <color theme="1"/>
        <name val="Arial"/>
        <family val="2"/>
      </font>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dxf>
    <dxf>
      <font>
        <b val="0"/>
        <i val="0"/>
        <strike val="0"/>
        <condense val="0"/>
        <extend val="0"/>
        <outline val="0"/>
        <shadow val="0"/>
        <u val="none"/>
        <vertAlign val="baseline"/>
        <sz val="9"/>
        <color theme="1"/>
        <name val="Arial"/>
        <family val="2"/>
      </font>
      <fill>
        <patternFill patternType="none">
          <fgColor indexed="64"/>
          <bgColor indexed="65"/>
        </patternFill>
      </fill>
    </dxf>
    <dxf>
      <font>
        <b val="0"/>
        <i val="0"/>
        <strike val="0"/>
        <condense val="0"/>
        <extend val="0"/>
        <outline val="0"/>
        <shadow val="0"/>
        <u val="none"/>
        <vertAlign val="baseline"/>
        <sz val="9"/>
        <color theme="1"/>
        <name val="Arial"/>
        <family val="2"/>
      </font>
      <fill>
        <patternFill patternType="none">
          <fgColor indexed="64"/>
          <bgColor indexed="65"/>
        </patternFill>
      </fill>
    </dxf>
    <dxf>
      <font>
        <strike val="0"/>
        <outline val="0"/>
        <shadow val="0"/>
        <u val="none"/>
        <vertAlign val="baseline"/>
        <sz val="9"/>
        <color theme="1"/>
        <name val="Arial"/>
        <family val="2"/>
      </font>
    </dxf>
    <dxf>
      <font>
        <strike val="0"/>
        <outline val="0"/>
        <shadow val="0"/>
        <u val="none"/>
        <vertAlign val="baseline"/>
        <sz val="9"/>
        <color theme="1"/>
        <name val="Arial"/>
        <family val="2"/>
      </font>
    </dxf>
    <dxf>
      <font>
        <strike val="0"/>
        <outline val="0"/>
        <shadow val="0"/>
        <u val="none"/>
        <vertAlign val="baseline"/>
        <sz val="9"/>
        <color theme="1"/>
        <name val="Arial"/>
        <family val="2"/>
      </font>
    </dxf>
    <dxf>
      <font>
        <strike val="0"/>
        <outline val="0"/>
        <shadow val="0"/>
        <u val="none"/>
        <vertAlign val="baseline"/>
        <sz val="9"/>
        <color theme="1"/>
        <name val="Arial"/>
        <family val="2"/>
      </font>
    </dxf>
    <dxf>
      <font>
        <strike val="0"/>
        <outline val="0"/>
        <shadow val="0"/>
        <u val="none"/>
        <vertAlign val="baseline"/>
        <sz val="9"/>
        <color theme="1"/>
        <name val="Arial"/>
        <family val="2"/>
      </font>
    </dxf>
    <dxf>
      <font>
        <strike val="0"/>
        <outline val="0"/>
        <shadow val="0"/>
        <u val="none"/>
        <vertAlign val="baseline"/>
        <sz val="9"/>
        <color theme="1"/>
        <name val="Arial"/>
        <family val="2"/>
      </font>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9"/>
        <color theme="1"/>
        <name val="Arial"/>
        <family val="2"/>
      </font>
    </dxf>
    <dxf>
      <font>
        <strike val="0"/>
        <outline val="0"/>
        <shadow val="0"/>
        <u val="none"/>
        <vertAlign val="baseline"/>
        <sz val="9"/>
        <color theme="1"/>
        <name val="Arial"/>
        <family val="2"/>
      </font>
    </dxf>
    <dxf>
      <font>
        <b/>
        <i val="0"/>
        <strike val="0"/>
        <condense val="0"/>
        <extend val="0"/>
        <outline val="0"/>
        <shadow val="0"/>
        <u val="none"/>
        <vertAlign val="baseline"/>
        <sz val="10"/>
        <color theme="1"/>
        <name val="Arial"/>
        <family val="1"/>
      </font>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alignment vertical="center" textRotation="0" wrapText="1" indent="0" justifyLastLine="0" shrinkToFit="0" readingOrder="0"/>
    </dxf>
    <dxf>
      <numFmt numFmtId="172" formatCode="[$-C09]d\ mmmm\ yyyy;@"/>
    </dxf>
    <dxf>
      <numFmt numFmtId="172" formatCode="[$-C09]d\ mmmm\ yyyy;@"/>
    </dxf>
    <dxf>
      <fill>
        <patternFill>
          <bgColor theme="0" tint="-4.9989318521683403E-2"/>
        </patternFill>
      </fill>
    </dxf>
    <dxf>
      <border diagonalUp="0" diagonalDown="0" outline="0">
        <left style="thin">
          <color theme="0" tint="-0.34998626667073579"/>
        </left>
        <right style="thin">
          <color theme="0" tint="-0.34998626667073579"/>
        </right>
        <top style="thin">
          <color theme="0" tint="-0.34998626667073579"/>
        </top>
        <bottom/>
      </border>
    </dxf>
    <dxf>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border>
    </dxf>
    <dxf>
      <border diagonalUp="0" diagonalDown="0" outline="0">
        <left/>
        <right/>
        <top/>
        <bottom/>
      </border>
    </dxf>
    <dxf>
      <font>
        <b val="0"/>
        <i val="0"/>
        <strike val="0"/>
        <condense val="0"/>
        <extend val="0"/>
        <outline val="0"/>
        <shadow val="0"/>
        <u val="none"/>
        <vertAlign val="baseline"/>
        <sz val="10"/>
        <color theme="1" tint="0.249977111117893"/>
        <name val="Arial"/>
        <family val="1"/>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border diagonalUp="0" diagonalDown="0" outline="0">
        <left style="thin">
          <color theme="0" tint="-0.34998626667073579"/>
        </left>
        <right style="thin">
          <color theme="0" tint="-0.34998626667073579"/>
        </right>
        <top style="thin">
          <color theme="0" tint="-0.34998626667073579"/>
        </top>
        <bottom/>
      </border>
    </dxf>
    <dxf>
      <font>
        <b/>
        <i val="0"/>
        <strike val="0"/>
        <condense val="0"/>
        <extend val="0"/>
        <outline val="0"/>
        <shadow val="0"/>
        <u val="none"/>
        <vertAlign val="baseline"/>
        <sz val="10"/>
        <color theme="1" tint="0.14999847407452621"/>
        <name val="Arial"/>
        <family val="1"/>
      </font>
      <numFmt numFmtId="0" formatCode="General"/>
      <fill>
        <gradientFill degree="90">
          <stop position="0">
            <color theme="0"/>
          </stop>
          <stop position="1">
            <color theme="0" tint="-5.0965910824915313E-2"/>
          </stop>
        </gradient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border>
      <protection locked="1" hidden="0"/>
    </dxf>
    <dxf>
      <fill>
        <patternFill>
          <bgColor theme="0" tint="-4.9989318521683403E-2"/>
        </patternFill>
      </fill>
    </dxf>
    <dxf>
      <alignment textRotation="0" wrapText="1" indent="0" justifyLastLine="0" shrinkToFit="0" readingOrder="0"/>
    </dxf>
    <dxf>
      <alignment textRotation="0" wrapText="1" indent="0" justifyLastLine="0" shrinkToFit="0" readingOrder="0"/>
    </dxf>
    <dxf>
      <font>
        <sz val="10"/>
        <color theme="1"/>
        <family val="2"/>
      </font>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sz val="10"/>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font>
        <strike val="0"/>
        <outline val="0"/>
        <shadow val="0"/>
        <u val="none"/>
        <vertAlign val="baseline"/>
        <sz val="9"/>
        <color theme="1" tint="0.14999847407452621"/>
        <name val="Arial"/>
        <family val="1"/>
      </font>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9"/>
        <color theme="1" tint="0.14999847407452621"/>
        <name val="Arial"/>
        <family val="1"/>
      </font>
      <alignment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9"/>
        <color theme="1" tint="0.14999847407452621"/>
        <name val="Arial"/>
        <family val="1"/>
      </font>
      <alignment horizontal="center" vertical="center"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9"/>
        <color theme="1" tint="0.14999847407452621"/>
        <name val="Arial"/>
        <family val="1"/>
      </font>
      <alignment textRotation="0" wrapText="1" indent="0" justifyLastLine="0" shrinkToFit="0" readingOrder="0"/>
    </dxf>
    <dxf>
      <alignment textRotation="0" wrapText="1" indent="0" justifyLastLine="0" shrinkToFit="0" readingOrder="0"/>
      <border outline="0">
        <right style="thin">
          <color theme="0" tint="-0.34998626667073579"/>
        </right>
      </border>
    </dxf>
    <dxf>
      <font>
        <sz val="10"/>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1"/>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1"/>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1"/>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1"/>
      </font>
      <border diagonalUp="0" diagonalDown="0" outline="0">
        <left/>
        <right/>
        <top/>
        <bottom/>
      </border>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0"/>
        <color theme="1"/>
        <name val="Arial"/>
        <family val="1"/>
      </font>
      <border diagonalUp="0" diagonalDown="0" outline="0">
        <left/>
        <right/>
        <top/>
        <bottom/>
      </border>
    </dxf>
    <dxf>
      <alignment horizontal="center" vertical="center" textRotation="0" wrapText="1" indent="0" justifyLastLine="0" shrinkToFit="0" readingOrder="0"/>
    </dxf>
    <dxf>
      <font>
        <b/>
        <i val="0"/>
        <strike val="0"/>
        <condense val="0"/>
        <extend val="0"/>
        <outline val="0"/>
        <shadow val="0"/>
        <u val="none"/>
        <vertAlign val="baseline"/>
        <sz val="10"/>
        <color theme="1"/>
        <name val="Arial"/>
        <family val="1"/>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0"/>
        <color theme="1"/>
        <name val="Arial"/>
        <family val="1"/>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Arial"/>
        <family val="2"/>
      </font>
      <alignment horizontal="center" vertical="center" textRotation="0" wrapText="1" indent="0" justifyLastLine="0" shrinkToFit="0" readingOrder="0"/>
    </dxf>
    <dxf>
      <font>
        <b/>
        <i val="0"/>
        <strike val="0"/>
        <condense val="0"/>
        <extend val="0"/>
        <outline val="0"/>
        <shadow val="0"/>
        <u val="none"/>
        <vertAlign val="baseline"/>
        <sz val="10"/>
        <color theme="1"/>
        <name val="Arial"/>
        <family val="1"/>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0"/>
        <color theme="1"/>
        <name val="Arial"/>
        <family val="1"/>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0"/>
        <color theme="1"/>
        <name val="Arial"/>
        <family val="2"/>
      </font>
      <alignment horizontal="center" vertical="center" textRotation="0" wrapText="1" indent="0" justifyLastLine="0" shrinkToFit="0" readingOrder="0"/>
    </dxf>
    <dxf>
      <font>
        <b/>
        <i val="0"/>
        <strike val="0"/>
        <condense val="0"/>
        <extend val="0"/>
        <outline val="0"/>
        <shadow val="0"/>
        <u val="none"/>
        <vertAlign val="baseline"/>
        <sz val="10"/>
        <color theme="1"/>
        <name val="Arial"/>
        <family val="1"/>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0"/>
        <color theme="1"/>
        <name val="Arial"/>
        <family val="1"/>
      </font>
      <border diagonalUp="0" diagonalDown="0" outline="0">
        <left/>
        <right/>
        <top/>
        <bottom/>
      </border>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alignment horizontal="general" vertical="center" textRotation="0" wrapText="0" indent="0" justifyLastLine="0" shrinkToFit="0" readingOrder="0"/>
      <border diagonalUp="0" diagonalDown="0" outline="0">
        <left/>
        <right/>
        <top/>
        <bottom/>
      </border>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438"/>
      <tableStyleElement type="headerRow" dxfId="437"/>
      <tableStyleElement type="totalRow" dxfId="436"/>
      <tableStyleElement type="firstColumn" dxfId="435"/>
      <tableStyleElement type="firstRowStripe" dxfId="434"/>
      <tableStyleElement type="secondRowStripe" dxfId="433"/>
    </tableStyle>
    <tableStyle name="Equation table" pivot="0" count="6" xr9:uid="{B247698E-E41D-4CCD-AA0A-C14817E9DE65}">
      <tableStyleElement type="wholeTable" dxfId="432"/>
      <tableStyleElement type="headerRow" dxfId="431"/>
      <tableStyleElement type="totalRow" dxfId="430"/>
      <tableStyleElement type="firstColumn" dxfId="429"/>
      <tableStyleElement type="firstRowStripe" dxfId="428"/>
      <tableStyleElement type="secondRowStripe" dxfId="427"/>
    </tableStyle>
    <tableStyle name="Table Style 1" pivot="0" count="0" xr9:uid="{97B370DB-5463-4A31-9160-5A96BD6A559D}"/>
  </tableStyles>
  <colors>
    <mruColors>
      <color rgb="FF0C769E"/>
      <color rgb="FFCC6600"/>
      <color rgb="FFC44340"/>
      <color rgb="FF008000"/>
      <color rgb="FFFFCCCC"/>
      <color rgb="FFC4433F"/>
      <color rgb="FFE9F2FB"/>
      <color rgb="FF183C1B"/>
      <color rgb="FFB2D498"/>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worksheet" Target="worksheets/sheet34.xml"/><Relationship Id="rId42" Type="http://schemas.microsoft.com/office/2022/10/relationships/richValueRel" Target="richData/richValueRel.xml"/><Relationship Id="rId47" Type="http://schemas.openxmlformats.org/officeDocument/2006/relationships/customXml" Target="../customXml/item1.xml"/><Relationship Id="rId50" Type="http://schemas.openxmlformats.org/officeDocument/2006/relationships/customXml" Target="../customXml/item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haredStrings" Target="sharedStrings.xml"/><Relationship Id="rId45"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microsoft.com/office/2017/06/relationships/rdRichValue" Target="richData/rdrichvalue.xml"/><Relationship Id="rId48"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theme" Target="theme/theme1.xml"/><Relationship Id="rId46"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AU"/>
              <a:t>Scope 1 sources CO2-e: Method 2</a:t>
            </a:r>
          </a:p>
        </c:rich>
      </c:tx>
      <c:overlay val="0"/>
      <c:spPr>
        <a:noFill/>
        <a:ln>
          <a:noFill/>
        </a:ln>
        <a:effectLst/>
      </c:spPr>
    </c:title>
    <c:autoTitleDeleted val="0"/>
    <c:plotArea>
      <c:layout/>
      <c:ofPieChart>
        <c:ofPieType val="bar"/>
        <c:varyColors val="1"/>
        <c:ser>
          <c:idx val="1"/>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0-64C2-43EC-A71A-E7C288A256B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1-64C2-43EC-A71A-E7C288A256B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64C2-43EC-A71A-E7C288A256B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3-64C2-43EC-A71A-E7C288A256B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4-64C2-43EC-A71A-E7C288A256B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5-64C2-43EC-A71A-E7C288A256BA}"/>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6-64C2-43EC-A71A-E7C288A256BA}"/>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7-64C2-43EC-A71A-E7C288A256BA}"/>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08-64C2-43EC-A71A-E7C288A256BA}"/>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9-64C2-43EC-A71A-E7C288A256BA}"/>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A-64C2-43EC-A71A-E7C288A256BA}"/>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B-64C2-43EC-A71A-E7C288A256BA}"/>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0C-64C2-43EC-A71A-E7C288A256BA}"/>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0D-64C2-43EC-A71A-E7C288A256BA}"/>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0E-64C2-43EC-A71A-E7C288A256BA}"/>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0F-64C2-43EC-A71A-E7C288A256BA}"/>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10-64C2-43EC-A71A-E7C288A256BA}"/>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11-64C2-43EC-A71A-E7C288A256BA}"/>
              </c:ext>
            </c:extLst>
          </c:dPt>
          <c:cat>
            <c:strRef>
              <c:f>'Results - Activity period'!$D$9:$D$26</c:f>
              <c:strCache>
                <c:ptCount val="18"/>
                <c:pt idx="0">
                  <c:v>5.1.1.1-2 Inorganic fert N2O</c:v>
                </c:pt>
                <c:pt idx="1">
                  <c:v>5.1.1.3-4 Inorganic fert CO2</c:v>
                </c:pt>
                <c:pt idx="2">
                  <c:v>5.2.1.1-2 Organic fert N2O</c:v>
                </c:pt>
                <c:pt idx="3">
                  <c:v>5.3.1.1-2 Lime CO2</c:v>
                </c:pt>
                <c:pt idx="4">
                  <c:v>5.4.1.1-4 Atmos. deposition</c:v>
                </c:pt>
                <c:pt idx="5">
                  <c:v>5.5.1.1-2 Leaching &amp; runoff</c:v>
                </c:pt>
                <c:pt idx="6">
                  <c:v>6.1.1.1-2 Crop residue N2O</c:v>
                </c:pt>
                <c:pt idx="7">
                  <c:v>6.3.1.1-2 Leach &amp; runoff (crop)</c:v>
                </c:pt>
                <c:pt idx="8">
                  <c:v>6.4.1.1-2 Residue burning N2O</c:v>
                </c:pt>
                <c:pt idx="9">
                  <c:v>6.4.1.1-2 Residue burning CH4</c:v>
                </c:pt>
                <c:pt idx="10">
                  <c:v>8.1.1.1-2 Transport fuel CO2</c:v>
                </c:pt>
                <c:pt idx="11">
                  <c:v>8.1.1.1-2 Transport fuel CH4</c:v>
                </c:pt>
                <c:pt idx="12">
                  <c:v>8.1.1.1-2 Transport fuel N2O</c:v>
                </c:pt>
                <c:pt idx="13">
                  <c:v>8.2.1.1-2 Stationary fuel CO2</c:v>
                </c:pt>
                <c:pt idx="14">
                  <c:v>8.2.1.1-2 Stationary fuel CH4</c:v>
                </c:pt>
                <c:pt idx="15">
                  <c:v>8.2.1.1-2 Stationary fuel N2O</c:v>
                </c:pt>
                <c:pt idx="16">
                  <c:v>14.1.1-2 Purchased electricity (Location-based)</c:v>
                </c:pt>
                <c:pt idx="17">
                  <c:v>14.1.1-2 Purchased electricity (Market-based)</c:v>
                </c:pt>
              </c:strCache>
            </c:strRef>
          </c:cat>
          <c:val>
            <c:numRef>
              <c:f>'Results - Activity period'!$I$9:$I$26</c:f>
              <c:numCache>
                <c:formatCode>General</c:formatCode>
                <c:ptCount val="18"/>
                <c:pt idx="0">
                  <c:v>532.93487500000003</c:v>
                </c:pt>
                <c:pt idx="1">
                  <c:v>184.92752666666664</c:v>
                </c:pt>
                <c:pt idx="2">
                  <c:v>14.783214285714285</c:v>
                </c:pt>
                <c:pt idx="3">
                  <c:v>758.08333333333326</c:v>
                </c:pt>
                <c:pt idx="4">
                  <c:v>0.43462650000000003</c:v>
                </c:pt>
                <c:pt idx="5">
                  <c:v>20.879811197519995</c:v>
                </c:pt>
                <c:pt idx="6">
                  <c:v>176.99880000000002</c:v>
                </c:pt>
                <c:pt idx="7">
                  <c:v>93.455366400000003</c:v>
                </c:pt>
                <c:pt idx="8">
                  <c:v>33.838652571428568</c:v>
                </c:pt>
                <c:pt idx="9">
                  <c:v>93.139200000000002</c:v>
                </c:pt>
                <c:pt idx="10">
                  <c:v>83.182000000000002</c:v>
                </c:pt>
                <c:pt idx="11">
                  <c:v>5.5736800000000004</c:v>
                </c:pt>
                <c:pt idx="12">
                  <c:v>154.89250000000001</c:v>
                </c:pt>
                <c:pt idx="13">
                  <c:v>29.070800000000002</c:v>
                </c:pt>
                <c:pt idx="14">
                  <c:v>2.0272000000000001</c:v>
                </c:pt>
                <c:pt idx="15">
                  <c:v>18.921000000000003</c:v>
                </c:pt>
                <c:pt idx="16">
                  <c:v>16.8</c:v>
                </c:pt>
                <c:pt idx="17">
                  <c:v>9.7200000000000006</c:v>
                </c:pt>
              </c:numCache>
            </c:numRef>
          </c:val>
          <c:extLst>
            <c:ext xmlns:c16="http://schemas.microsoft.com/office/drawing/2014/chart" uri="{C3380CC4-5D6E-409C-BE32-E72D297353CC}">
              <c16:uniqueId val="{00000013-64C2-43EC-A71A-E7C288A256BA}"/>
            </c:ext>
          </c:extLst>
        </c:ser>
        <c:dLbls>
          <c:showLegendKey val="0"/>
          <c:showVal val="0"/>
          <c:showCatName val="0"/>
          <c:showSerName val="0"/>
          <c:showPercent val="0"/>
          <c:showBubbleSize val="0"/>
          <c:showLeaderLines val="1"/>
        </c:dLbls>
        <c:gapWidth val="150"/>
        <c:splitType val="percent"/>
        <c:splitPos val="10"/>
        <c:secondPieSize val="75"/>
        <c:serLines>
          <c:spPr>
            <a:ln w="9525" cap="flat" cmpd="sng" algn="ctr">
              <a:solidFill>
                <a:schemeClr val="tx1">
                  <a:lumMod val="35000"/>
                  <a:lumOff val="65000"/>
                </a:schemeClr>
              </a:solidFill>
              <a:round/>
            </a:ln>
            <a:effectLst/>
          </c:spPr>
        </c:serLines>
      </c:ofPieChart>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AU"/>
              <a:t>Scope 3 sources CO2-e: Method 2</a:t>
            </a:r>
          </a:p>
        </c:rich>
      </c:tx>
      <c:overlay val="0"/>
      <c:spPr>
        <a:noFill/>
        <a:ln>
          <a:noFill/>
        </a:ln>
        <a:effectLst/>
      </c:spPr>
    </c:title>
    <c:autoTitleDeleted val="0"/>
    <c:plotArea>
      <c:layout/>
      <c:ofPieChart>
        <c:ofPieType val="bar"/>
        <c:varyColors val="1"/>
        <c:ser>
          <c:idx val="1"/>
          <c:order val="0"/>
          <c:cat>
            <c:strRef>
              <c:f>'Results - Activity period'!$D$40:$D$50</c:f>
              <c:strCache>
                <c:ptCount val="11"/>
                <c:pt idx="0">
                  <c:v>15.4.1.1 Fertiliser</c:v>
                </c:pt>
                <c:pt idx="1">
                  <c:v>15.5.1.1 Agrichemicals</c:v>
                </c:pt>
                <c:pt idx="2">
                  <c:v>15.6.1.1 Lime</c:v>
                </c:pt>
                <c:pt idx="3">
                  <c:v>15.7.1.1 Services and contractor operations</c:v>
                </c:pt>
                <c:pt idx="4">
                  <c:v>15.10.1.1 Other: Cleaning chemicals</c:v>
                </c:pt>
                <c:pt idx="5">
                  <c:v>15.10.1.1 Other: Uncategorised</c:v>
                </c:pt>
                <c:pt idx="6">
                  <c:v>15.11.1.1 Fuel</c:v>
                </c:pt>
                <c:pt idx="7">
                  <c:v>15.12.1.1 Purchased electricity (Location-based)</c:v>
                </c:pt>
                <c:pt idx="8">
                  <c:v>15.14.1.1 Incoming freight</c:v>
                </c:pt>
                <c:pt idx="9">
                  <c:v>15.13.1.1 Waste sent to treatment facility</c:v>
                </c:pt>
                <c:pt idx="10">
                  <c:v>15.14.1.1 Outgoing freight</c:v>
                </c:pt>
              </c:strCache>
            </c:strRef>
          </c:cat>
          <c:val>
            <c:numRef>
              <c:f>'Results - Activity period'!$I$40:$I$50</c:f>
              <c:numCache>
                <c:formatCode>General</c:formatCode>
                <c:ptCount val="11"/>
                <c:pt idx="0">
                  <c:v>599.726</c:v>
                </c:pt>
                <c:pt idx="1">
                  <c:v>7.4959999999999996</c:v>
                </c:pt>
                <c:pt idx="2">
                  <c:v>0.14399999999999999</c:v>
                </c:pt>
                <c:pt idx="3">
                  <c:v>1.1000000000000001</c:v>
                </c:pt>
                <c:pt idx="4">
                  <c:v>0.5</c:v>
                </c:pt>
                <c:pt idx="5">
                  <c:v>4000</c:v>
                </c:pt>
                <c:pt idx="6">
                  <c:v>26.794</c:v>
                </c:pt>
                <c:pt idx="7">
                  <c:v>2.7</c:v>
                </c:pt>
                <c:pt idx="8">
                  <c:v>5166.2</c:v>
                </c:pt>
                <c:pt idx="9">
                  <c:v>441.15000000000003</c:v>
                </c:pt>
                <c:pt idx="10">
                  <c:v>676</c:v>
                </c:pt>
              </c:numCache>
            </c:numRef>
          </c:val>
          <c:extLst>
            <c:ext xmlns:c16="http://schemas.microsoft.com/office/drawing/2014/chart" uri="{C3380CC4-5D6E-409C-BE32-E72D297353CC}">
              <c16:uniqueId val="{00000000-62DD-44E7-A95F-7E5222B2A855}"/>
            </c:ext>
          </c:extLst>
        </c:ser>
        <c:dLbls>
          <c:showLegendKey val="0"/>
          <c:showVal val="0"/>
          <c:showCatName val="0"/>
          <c:showSerName val="0"/>
          <c:showPercent val="0"/>
          <c:showBubbleSize val="0"/>
          <c:showLeaderLines val="1"/>
        </c:dLbls>
        <c:gapWidth val="150"/>
        <c:splitType val="percent"/>
        <c:splitPos val="10"/>
        <c:secondPieSize val="75"/>
        <c:serLines>
          <c:spPr>
            <a:ln w="9525" cap="flat" cmpd="sng" algn="ctr">
              <a:solidFill>
                <a:schemeClr val="tx1">
                  <a:lumMod val="35000"/>
                  <a:lumOff val="65000"/>
                </a:schemeClr>
              </a:solidFill>
              <a:round/>
            </a:ln>
            <a:effectLst/>
          </c:spPr>
        </c:serLines>
      </c:ofPieChart>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chart" Target="../charts/chart3.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12</xdr:col>
      <xdr:colOff>247650</xdr:colOff>
      <xdr:row>5</xdr:row>
      <xdr:rowOff>114300</xdr:rowOff>
    </xdr:from>
    <xdr:to>
      <xdr:col>16</xdr:col>
      <xdr:colOff>1276351</xdr:colOff>
      <xdr:row>27</xdr:row>
      <xdr:rowOff>104775</xdr:rowOff>
    </xdr:to>
    <xdr:graphicFrame macro="">
      <xdr:nvGraphicFramePr>
        <xdr:cNvPr id="2" name="Chart 1">
          <a:extLst>
            <a:ext uri="{FF2B5EF4-FFF2-40B4-BE49-F238E27FC236}">
              <a16:creationId xmlns:a16="http://schemas.microsoft.com/office/drawing/2014/main" id="{3A344E95-6082-45A2-A851-64587AA662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76200</xdr:colOff>
      <xdr:row>36</xdr:row>
      <xdr:rowOff>161925</xdr:rowOff>
    </xdr:from>
    <xdr:to>
      <xdr:col>16</xdr:col>
      <xdr:colOff>1104901</xdr:colOff>
      <xdr:row>58</xdr:row>
      <xdr:rowOff>152400</xdr:rowOff>
    </xdr:to>
    <xdr:graphicFrame macro="">
      <xdr:nvGraphicFramePr>
        <xdr:cNvPr id="3" name="Chart 2">
          <a:extLst>
            <a:ext uri="{FF2B5EF4-FFF2-40B4-BE49-F238E27FC236}">
              <a16:creationId xmlns:a16="http://schemas.microsoft.com/office/drawing/2014/main" id="{4C21FA99-C640-465F-AAB2-47EB9C5879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45</xdr:row>
      <xdr:rowOff>200025</xdr:rowOff>
    </xdr:from>
    <xdr:to>
      <xdr:col>9</xdr:col>
      <xdr:colOff>1443037</xdr:colOff>
      <xdr:row>57</xdr:row>
      <xdr:rowOff>85725</xdr:rowOff>
    </xdr:to>
    <xdr:graphicFrame macro="">
      <xdr:nvGraphicFramePr>
        <xdr:cNvPr id="2" name="Chart 1">
          <a:extLst>
            <a:ext uri="{FF2B5EF4-FFF2-40B4-BE49-F238E27FC236}">
              <a16:creationId xmlns:a16="http://schemas.microsoft.com/office/drawing/2014/main" id="{561CA646-3BD8-4FFD-B6ED-B2FA1E51FB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9525</xdr:colOff>
      <xdr:row>14</xdr:row>
      <xdr:rowOff>71157</xdr:rowOff>
    </xdr:from>
    <xdr:to>
      <xdr:col>3</xdr:col>
      <xdr:colOff>1875865</xdr:colOff>
      <xdr:row>16</xdr:row>
      <xdr:rowOff>144555</xdr:rowOff>
    </xdr:to>
    <xdr:sp macro="" textlink="$H$44">
      <xdr:nvSpPr>
        <xdr:cNvPr id="3" name="TextBox 2">
          <a:extLst>
            <a:ext uri="{FF2B5EF4-FFF2-40B4-BE49-F238E27FC236}">
              <a16:creationId xmlns:a16="http://schemas.microsoft.com/office/drawing/2014/main" id="{DF048040-93E8-4701-94EF-7D2C2408321B}"/>
            </a:ext>
          </a:extLst>
        </xdr:cNvPr>
        <xdr:cNvSpPr txBox="1"/>
      </xdr:nvSpPr>
      <xdr:spPr>
        <a:xfrm>
          <a:off x="2686050" y="2995332"/>
          <a:ext cx="1866340" cy="473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6496CA75-FED4-4E21-A81D-BDC20736B7B5}" type="TxLink">
            <a:rPr lang="en-US" sz="2600" b="1" i="0" u="none" strike="noStrike">
              <a:solidFill>
                <a:srgbClr val="0C769E"/>
              </a:solidFill>
              <a:latin typeface="Arial"/>
              <a:ea typeface="+mn-ea"/>
              <a:cs typeface="Arial"/>
            </a:rPr>
            <a:pPr marL="0" indent="0"/>
            <a:t>2.439172337</a:t>
          </a:fld>
          <a:endParaRPr lang="en-AU" sz="2600" b="1" i="0" u="none" strike="noStrike">
            <a:solidFill>
              <a:srgbClr val="0C769E"/>
            </a:solidFill>
            <a:latin typeface="Arial"/>
            <a:ea typeface="+mn-ea"/>
            <a:cs typeface="Arial"/>
          </a:endParaRPr>
        </a:p>
      </xdr:txBody>
    </xdr:sp>
    <xdr:clientData/>
  </xdr:twoCellAnchor>
  <xdr:twoCellAnchor>
    <xdr:from>
      <xdr:col>5</xdr:col>
      <xdr:colOff>180414</xdr:colOff>
      <xdr:row>14</xdr:row>
      <xdr:rowOff>42582</xdr:rowOff>
    </xdr:from>
    <xdr:to>
      <xdr:col>6</xdr:col>
      <xdr:colOff>43141</xdr:colOff>
      <xdr:row>16</xdr:row>
      <xdr:rowOff>144555</xdr:rowOff>
    </xdr:to>
    <xdr:sp macro="" textlink="$I$44">
      <xdr:nvSpPr>
        <xdr:cNvPr id="4" name="TextBox 3">
          <a:extLst>
            <a:ext uri="{FF2B5EF4-FFF2-40B4-BE49-F238E27FC236}">
              <a16:creationId xmlns:a16="http://schemas.microsoft.com/office/drawing/2014/main" id="{C836697B-E43A-434C-8C38-CED18E17F96C}"/>
            </a:ext>
          </a:extLst>
        </xdr:cNvPr>
        <xdr:cNvSpPr txBox="1"/>
      </xdr:nvSpPr>
      <xdr:spPr>
        <a:xfrm>
          <a:off x="8352864" y="2966757"/>
          <a:ext cx="1910602" cy="5020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1A778010-8EF6-4986-9F7A-ED1F5F66D6A5}" type="TxLink">
            <a:rPr lang="en-US" sz="2600" b="1" i="0" u="none" strike="noStrike">
              <a:solidFill>
                <a:srgbClr val="0C769E"/>
              </a:solidFill>
              <a:latin typeface="Arial"/>
              <a:ea typeface="+mn-ea"/>
              <a:cs typeface="Arial"/>
            </a:rPr>
            <a:pPr marL="0" indent="0"/>
            <a:t>9.900956832</a:t>
          </a:fld>
          <a:endParaRPr lang="en-AU" sz="2600" b="1" i="0" u="none" strike="noStrike">
            <a:solidFill>
              <a:srgbClr val="0C769E"/>
            </a:solidFill>
            <a:latin typeface="Arial"/>
            <a:ea typeface="+mn-ea"/>
            <a:cs typeface="Arial"/>
          </a:endParaRPr>
        </a:p>
      </xdr:txBody>
    </xdr:sp>
    <xdr:clientData/>
  </xdr:twoCellAnchor>
  <xdr:twoCellAnchor>
    <xdr:from>
      <xdr:col>3</xdr:col>
      <xdr:colOff>9525</xdr:colOff>
      <xdr:row>25</xdr:row>
      <xdr:rowOff>155762</xdr:rowOff>
    </xdr:from>
    <xdr:to>
      <xdr:col>3</xdr:col>
      <xdr:colOff>1961590</xdr:colOff>
      <xdr:row>28</xdr:row>
      <xdr:rowOff>108696</xdr:rowOff>
    </xdr:to>
    <xdr:sp macro="" textlink="$H$53">
      <xdr:nvSpPr>
        <xdr:cNvPr id="5" name="TextBox 4">
          <a:extLst>
            <a:ext uri="{FF2B5EF4-FFF2-40B4-BE49-F238E27FC236}">
              <a16:creationId xmlns:a16="http://schemas.microsoft.com/office/drawing/2014/main" id="{FEFD1952-3C55-4816-8FE4-E7EF34F67CC4}"/>
            </a:ext>
          </a:extLst>
        </xdr:cNvPr>
        <xdr:cNvSpPr txBox="1"/>
      </xdr:nvSpPr>
      <xdr:spPr>
        <a:xfrm>
          <a:off x="2686050" y="5280212"/>
          <a:ext cx="1952065"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7DC837A9-60D0-4FEE-9D60-F5F33C8747DB}" type="TxLink">
            <a:rPr lang="en-US" sz="2600" b="1" i="0" u="none" strike="noStrike">
              <a:solidFill>
                <a:srgbClr val="4F4789"/>
              </a:solidFill>
              <a:latin typeface="Arial"/>
              <a:ea typeface="+mn-ea"/>
              <a:cs typeface="Arial"/>
            </a:rPr>
            <a:pPr marL="0" indent="0"/>
            <a:t>2.595279367</a:t>
          </a:fld>
          <a:endParaRPr lang="en-AU" sz="2600" b="1" i="0" u="none" strike="noStrike">
            <a:solidFill>
              <a:srgbClr val="4F4789"/>
            </a:solidFill>
            <a:latin typeface="Arial"/>
            <a:ea typeface="+mn-ea"/>
            <a:cs typeface="Arial"/>
          </a:endParaRPr>
        </a:p>
      </xdr:txBody>
    </xdr:sp>
    <xdr:clientData/>
  </xdr:twoCellAnchor>
  <xdr:twoCellAnchor>
    <xdr:from>
      <xdr:col>5</xdr:col>
      <xdr:colOff>180414</xdr:colOff>
      <xdr:row>25</xdr:row>
      <xdr:rowOff>184337</xdr:rowOff>
    </xdr:from>
    <xdr:to>
      <xdr:col>6</xdr:col>
      <xdr:colOff>109816</xdr:colOff>
      <xdr:row>28</xdr:row>
      <xdr:rowOff>89646</xdr:rowOff>
    </xdr:to>
    <xdr:sp macro="" textlink="$I$53">
      <xdr:nvSpPr>
        <xdr:cNvPr id="6" name="TextBox 5">
          <a:extLst>
            <a:ext uri="{FF2B5EF4-FFF2-40B4-BE49-F238E27FC236}">
              <a16:creationId xmlns:a16="http://schemas.microsoft.com/office/drawing/2014/main" id="{E52E2C5E-EBB6-4960-8003-36766B1393A3}"/>
            </a:ext>
          </a:extLst>
        </xdr:cNvPr>
        <xdr:cNvSpPr txBox="1"/>
      </xdr:nvSpPr>
      <xdr:spPr>
        <a:xfrm>
          <a:off x="8352864" y="5308787"/>
          <a:ext cx="1977277"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A1C4261C-1106-48B4-9C10-E82D60412011}" type="TxLink">
            <a:rPr lang="en-US" sz="2600" b="1" i="0" u="none" strike="noStrike">
              <a:solidFill>
                <a:srgbClr val="4F4789"/>
              </a:solidFill>
              <a:latin typeface="Arial"/>
              <a:ea typeface="+mn-ea"/>
              <a:cs typeface="Arial"/>
            </a:rPr>
            <a:pPr marL="0" indent="0"/>
            <a:t>10.53461807</a:t>
          </a:fld>
          <a:endParaRPr lang="en-AU" sz="2600" b="1" i="0" u="none" strike="noStrike">
            <a:solidFill>
              <a:srgbClr val="4F4789"/>
            </a:solidFill>
            <a:latin typeface="Arial"/>
            <a:ea typeface="+mn-ea"/>
            <a:cs typeface="Arial"/>
          </a:endParaRPr>
        </a:p>
      </xdr:txBody>
    </xdr:sp>
    <xdr:clientData/>
  </xdr:twoCellAnchor>
  <xdr:twoCellAnchor>
    <xdr:from>
      <xdr:col>3</xdr:col>
      <xdr:colOff>2333065</xdr:colOff>
      <xdr:row>14</xdr:row>
      <xdr:rowOff>33057</xdr:rowOff>
    </xdr:from>
    <xdr:to>
      <xdr:col>4</xdr:col>
      <xdr:colOff>1237690</xdr:colOff>
      <xdr:row>16</xdr:row>
      <xdr:rowOff>144555</xdr:rowOff>
    </xdr:to>
    <xdr:sp macro="" textlink="$H$45">
      <xdr:nvSpPr>
        <xdr:cNvPr id="7" name="TextBox 6">
          <a:extLst>
            <a:ext uri="{FF2B5EF4-FFF2-40B4-BE49-F238E27FC236}">
              <a16:creationId xmlns:a16="http://schemas.microsoft.com/office/drawing/2014/main" id="{833A8974-87C9-4E79-B489-9A38725AA61E}"/>
            </a:ext>
          </a:extLst>
        </xdr:cNvPr>
        <xdr:cNvSpPr txBox="1"/>
      </xdr:nvSpPr>
      <xdr:spPr>
        <a:xfrm>
          <a:off x="5009590" y="2957232"/>
          <a:ext cx="2352675" cy="511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AE965B10-5BD0-44CC-8118-41596A6F15E2}" type="TxLink">
            <a:rPr lang="en-US" sz="2600" b="1" i="0" u="none" strike="noStrike">
              <a:solidFill>
                <a:srgbClr val="0C769E"/>
              </a:solidFill>
              <a:latin typeface="Arial"/>
              <a:ea typeface="+mn-ea"/>
              <a:cs typeface="Arial"/>
            </a:rPr>
            <a:pPr marL="0" indent="0"/>
            <a:t>2.439172337</a:t>
          </a:fld>
          <a:endParaRPr lang="en-AU" sz="2600" b="1" i="0" u="none" strike="noStrike">
            <a:solidFill>
              <a:srgbClr val="0C769E"/>
            </a:solidFill>
            <a:latin typeface="Arial"/>
            <a:ea typeface="+mn-ea"/>
            <a:cs typeface="Arial"/>
          </a:endParaRPr>
        </a:p>
      </xdr:txBody>
    </xdr:sp>
    <xdr:clientData/>
  </xdr:twoCellAnchor>
  <xdr:twoCellAnchor>
    <xdr:from>
      <xdr:col>6</xdr:col>
      <xdr:colOff>617444</xdr:colOff>
      <xdr:row>14</xdr:row>
      <xdr:rowOff>61632</xdr:rowOff>
    </xdr:from>
    <xdr:to>
      <xdr:col>7</xdr:col>
      <xdr:colOff>477371</xdr:colOff>
      <xdr:row>16</xdr:row>
      <xdr:rowOff>144555</xdr:rowOff>
    </xdr:to>
    <xdr:sp macro="" textlink="$I$45">
      <xdr:nvSpPr>
        <xdr:cNvPr id="8" name="TextBox 7">
          <a:extLst>
            <a:ext uri="{FF2B5EF4-FFF2-40B4-BE49-F238E27FC236}">
              <a16:creationId xmlns:a16="http://schemas.microsoft.com/office/drawing/2014/main" id="{ECDA9550-94C9-4119-822D-DA304443D385}"/>
            </a:ext>
          </a:extLst>
        </xdr:cNvPr>
        <xdr:cNvSpPr txBox="1"/>
      </xdr:nvSpPr>
      <xdr:spPr>
        <a:xfrm>
          <a:off x="10837769" y="2985807"/>
          <a:ext cx="1907802" cy="482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304D704D-8D75-4B25-B661-1CD4BF80A14D}" type="TxLink">
            <a:rPr lang="en-US" sz="2600" b="1" i="0" u="none" strike="noStrike">
              <a:solidFill>
                <a:srgbClr val="0C769E"/>
              </a:solidFill>
              <a:latin typeface="Arial"/>
              <a:ea typeface="+mn-ea"/>
              <a:cs typeface="Arial"/>
            </a:rPr>
            <a:pPr marL="0" indent="0"/>
            <a:t>9.900956832</a:t>
          </a:fld>
          <a:endParaRPr lang="en-AU" sz="2600" b="1" i="0" u="none" strike="noStrike">
            <a:solidFill>
              <a:srgbClr val="0C769E"/>
            </a:solidFill>
            <a:latin typeface="Arial"/>
            <a:ea typeface="+mn-ea"/>
            <a:cs typeface="Arial"/>
          </a:endParaRPr>
        </a:p>
      </xdr:txBody>
    </xdr:sp>
    <xdr:clientData/>
  </xdr:twoCellAnchor>
  <xdr:twoCellAnchor>
    <xdr:from>
      <xdr:col>3</xdr:col>
      <xdr:colOff>9525</xdr:colOff>
      <xdr:row>12</xdr:row>
      <xdr:rowOff>150158</xdr:rowOff>
    </xdr:from>
    <xdr:to>
      <xdr:col>3</xdr:col>
      <xdr:colOff>1542490</xdr:colOff>
      <xdr:row>14</xdr:row>
      <xdr:rowOff>33056</xdr:rowOff>
    </xdr:to>
    <xdr:sp macro="" textlink="$J$44">
      <xdr:nvSpPr>
        <xdr:cNvPr id="9" name="TextBox 8">
          <a:extLst>
            <a:ext uri="{FF2B5EF4-FFF2-40B4-BE49-F238E27FC236}">
              <a16:creationId xmlns:a16="http://schemas.microsoft.com/office/drawing/2014/main" id="{49493AFD-208A-4EC9-A8A6-48B189A9D3F6}"/>
            </a:ext>
          </a:extLst>
        </xdr:cNvPr>
        <xdr:cNvSpPr txBox="1"/>
      </xdr:nvSpPr>
      <xdr:spPr>
        <a:xfrm>
          <a:off x="2686050" y="2674283"/>
          <a:ext cx="1532965"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Excluding removals</a:t>
          </a:r>
          <a:endParaRPr lang="en-AU" sz="1000" b="1">
            <a:solidFill>
              <a:srgbClr val="0C769E"/>
            </a:solidFill>
          </a:endParaRPr>
        </a:p>
      </xdr:txBody>
    </xdr:sp>
    <xdr:clientData/>
  </xdr:twoCellAnchor>
  <xdr:twoCellAnchor>
    <xdr:from>
      <xdr:col>3</xdr:col>
      <xdr:colOff>2333065</xdr:colOff>
      <xdr:row>12</xdr:row>
      <xdr:rowOff>150158</xdr:rowOff>
    </xdr:from>
    <xdr:to>
      <xdr:col>4</xdr:col>
      <xdr:colOff>1457243</xdr:colOff>
      <xdr:row>14</xdr:row>
      <xdr:rowOff>33056</xdr:rowOff>
    </xdr:to>
    <xdr:sp macro="" textlink="$J$44">
      <xdr:nvSpPr>
        <xdr:cNvPr id="10" name="TextBox 9">
          <a:extLst>
            <a:ext uri="{FF2B5EF4-FFF2-40B4-BE49-F238E27FC236}">
              <a16:creationId xmlns:a16="http://schemas.microsoft.com/office/drawing/2014/main" id="{E12C55C2-9F89-43C5-95FD-8B0BFFCD3F34}"/>
            </a:ext>
          </a:extLst>
        </xdr:cNvPr>
        <xdr:cNvSpPr txBox="1"/>
      </xdr:nvSpPr>
      <xdr:spPr>
        <a:xfrm>
          <a:off x="5009590" y="2674283"/>
          <a:ext cx="2572228"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Including</a:t>
          </a:r>
          <a:r>
            <a:rPr lang="en-US" sz="1000" b="1" i="0" u="none" strike="noStrike" baseline="0">
              <a:solidFill>
                <a:srgbClr val="0C769E"/>
              </a:solidFill>
              <a:latin typeface="Arial"/>
              <a:cs typeface="Arial"/>
            </a:rPr>
            <a:t> removals (</a:t>
          </a:r>
          <a:r>
            <a:rPr lang="en-US" sz="1000" b="1" i="0" u="none" strike="noStrike">
              <a:solidFill>
                <a:srgbClr val="0C769E"/>
              </a:solidFill>
              <a:latin typeface="Arial"/>
              <a:cs typeface="Arial"/>
            </a:rPr>
            <a:t>Net emissions)</a:t>
          </a:r>
          <a:endParaRPr lang="en-AU" sz="1000" b="1">
            <a:solidFill>
              <a:srgbClr val="0C769E"/>
            </a:solidFill>
          </a:endParaRPr>
        </a:p>
      </xdr:txBody>
    </xdr:sp>
    <xdr:clientData/>
  </xdr:twoCellAnchor>
  <xdr:twoCellAnchor>
    <xdr:from>
      <xdr:col>3</xdr:col>
      <xdr:colOff>9525</xdr:colOff>
      <xdr:row>10</xdr:row>
      <xdr:rowOff>172010</xdr:rowOff>
    </xdr:from>
    <xdr:to>
      <xdr:col>3</xdr:col>
      <xdr:colOff>1542490</xdr:colOff>
      <xdr:row>12</xdr:row>
      <xdr:rowOff>54907</xdr:rowOff>
    </xdr:to>
    <xdr:sp macro="" textlink="$J$44">
      <xdr:nvSpPr>
        <xdr:cNvPr id="11" name="TextBox 10">
          <a:extLst>
            <a:ext uri="{FF2B5EF4-FFF2-40B4-BE49-F238E27FC236}">
              <a16:creationId xmlns:a16="http://schemas.microsoft.com/office/drawing/2014/main" id="{6D9E463A-9248-4B95-B024-5BE675F6304B}"/>
            </a:ext>
          </a:extLst>
        </xdr:cNvPr>
        <xdr:cNvSpPr txBox="1"/>
      </xdr:nvSpPr>
      <xdr:spPr>
        <a:xfrm>
          <a:off x="2686050" y="2296085"/>
          <a:ext cx="1532965"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1</a:t>
          </a:r>
          <a:endParaRPr lang="en-AU" sz="1000" b="0">
            <a:solidFill>
              <a:schemeClr val="bg2">
                <a:lumMod val="50000"/>
              </a:schemeClr>
            </a:solidFill>
          </a:endParaRPr>
        </a:p>
      </xdr:txBody>
    </xdr:sp>
    <xdr:clientData/>
  </xdr:twoCellAnchor>
  <xdr:twoCellAnchor>
    <xdr:from>
      <xdr:col>3</xdr:col>
      <xdr:colOff>47625</xdr:colOff>
      <xdr:row>8</xdr:row>
      <xdr:rowOff>174812</xdr:rowOff>
    </xdr:from>
    <xdr:to>
      <xdr:col>3</xdr:col>
      <xdr:colOff>2228290</xdr:colOff>
      <xdr:row>10</xdr:row>
      <xdr:rowOff>143435</xdr:rowOff>
    </xdr:to>
    <xdr:sp macro="" textlink="">
      <xdr:nvSpPr>
        <xdr:cNvPr id="12" name="TextBox 11">
          <a:extLst>
            <a:ext uri="{FF2B5EF4-FFF2-40B4-BE49-F238E27FC236}">
              <a16:creationId xmlns:a16="http://schemas.microsoft.com/office/drawing/2014/main" id="{172AB12A-BA93-494F-BD3D-E035C621A112}"/>
            </a:ext>
          </a:extLst>
        </xdr:cNvPr>
        <xdr:cNvSpPr txBox="1"/>
      </xdr:nvSpPr>
      <xdr:spPr>
        <a:xfrm>
          <a:off x="2724150" y="1898837"/>
          <a:ext cx="2180665" cy="368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a:solidFill>
                <a:srgbClr val="0C769E"/>
              </a:solidFill>
            </a:rPr>
            <a:t>Mass allocation</a:t>
          </a:r>
        </a:p>
      </xdr:txBody>
    </xdr:sp>
    <xdr:clientData/>
  </xdr:twoCellAnchor>
  <xdr:twoCellAnchor>
    <xdr:from>
      <xdr:col>3</xdr:col>
      <xdr:colOff>57150</xdr:colOff>
      <xdr:row>10</xdr:row>
      <xdr:rowOff>147552</xdr:rowOff>
    </xdr:from>
    <xdr:to>
      <xdr:col>7</xdr:col>
      <xdr:colOff>949698</xdr:colOff>
      <xdr:row>10</xdr:row>
      <xdr:rowOff>162485</xdr:rowOff>
    </xdr:to>
    <xdr:cxnSp macro="">
      <xdr:nvCxnSpPr>
        <xdr:cNvPr id="13" name="Straight Connector 12">
          <a:extLst>
            <a:ext uri="{FF2B5EF4-FFF2-40B4-BE49-F238E27FC236}">
              <a16:creationId xmlns:a16="http://schemas.microsoft.com/office/drawing/2014/main" id="{B2AF611D-5085-403C-AA6F-35B20216E8C4}"/>
            </a:ext>
          </a:extLst>
        </xdr:cNvPr>
        <xdr:cNvCxnSpPr/>
      </xdr:nvCxnSpPr>
      <xdr:spPr>
        <a:xfrm flipV="1">
          <a:off x="2733675" y="2271627"/>
          <a:ext cx="10484223" cy="14933"/>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180414</xdr:colOff>
      <xdr:row>12</xdr:row>
      <xdr:rowOff>150158</xdr:rowOff>
    </xdr:from>
    <xdr:to>
      <xdr:col>5</xdr:col>
      <xdr:colOff>1719541</xdr:colOff>
      <xdr:row>14</xdr:row>
      <xdr:rowOff>33056</xdr:rowOff>
    </xdr:to>
    <xdr:sp macro="" textlink="$J$44">
      <xdr:nvSpPr>
        <xdr:cNvPr id="14" name="TextBox 13">
          <a:extLst>
            <a:ext uri="{FF2B5EF4-FFF2-40B4-BE49-F238E27FC236}">
              <a16:creationId xmlns:a16="http://schemas.microsoft.com/office/drawing/2014/main" id="{68408881-CC17-4AA4-956F-95D498006F3D}"/>
            </a:ext>
          </a:extLst>
        </xdr:cNvPr>
        <xdr:cNvSpPr txBox="1"/>
      </xdr:nvSpPr>
      <xdr:spPr>
        <a:xfrm>
          <a:off x="8352864" y="2674283"/>
          <a:ext cx="1539127"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Excluding removals</a:t>
          </a:r>
          <a:endParaRPr lang="en-AU" sz="1000" b="1">
            <a:solidFill>
              <a:srgbClr val="0C769E"/>
            </a:solidFill>
          </a:endParaRPr>
        </a:p>
      </xdr:txBody>
    </xdr:sp>
    <xdr:clientData/>
  </xdr:twoCellAnchor>
  <xdr:twoCellAnchor>
    <xdr:from>
      <xdr:col>6</xdr:col>
      <xdr:colOff>617444</xdr:colOff>
      <xdr:row>12</xdr:row>
      <xdr:rowOff>150158</xdr:rowOff>
    </xdr:from>
    <xdr:to>
      <xdr:col>7</xdr:col>
      <xdr:colOff>1150201</xdr:colOff>
      <xdr:row>14</xdr:row>
      <xdr:rowOff>33056</xdr:rowOff>
    </xdr:to>
    <xdr:sp macro="" textlink="$J$44">
      <xdr:nvSpPr>
        <xdr:cNvPr id="15" name="TextBox 14">
          <a:extLst>
            <a:ext uri="{FF2B5EF4-FFF2-40B4-BE49-F238E27FC236}">
              <a16:creationId xmlns:a16="http://schemas.microsoft.com/office/drawing/2014/main" id="{6DAF84BF-9C77-403A-891B-9FFD0620D06E}"/>
            </a:ext>
          </a:extLst>
        </xdr:cNvPr>
        <xdr:cNvSpPr txBox="1"/>
      </xdr:nvSpPr>
      <xdr:spPr>
        <a:xfrm>
          <a:off x="10837769" y="2674283"/>
          <a:ext cx="2580632"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Including</a:t>
          </a:r>
          <a:r>
            <a:rPr lang="en-US" sz="1000" b="1" i="0" u="none" strike="noStrike" baseline="0">
              <a:solidFill>
                <a:srgbClr val="0C769E"/>
              </a:solidFill>
              <a:latin typeface="Arial"/>
              <a:cs typeface="Arial"/>
            </a:rPr>
            <a:t> removals (</a:t>
          </a:r>
          <a:r>
            <a:rPr lang="en-US" sz="1000" b="1" i="0" u="none" strike="noStrike">
              <a:solidFill>
                <a:srgbClr val="0C769E"/>
              </a:solidFill>
              <a:latin typeface="Arial"/>
              <a:cs typeface="Arial"/>
            </a:rPr>
            <a:t>Net emissions)</a:t>
          </a:r>
          <a:endParaRPr lang="en-AU" sz="1000" b="1">
            <a:solidFill>
              <a:srgbClr val="0C769E"/>
            </a:solidFill>
          </a:endParaRPr>
        </a:p>
      </xdr:txBody>
    </xdr:sp>
    <xdr:clientData/>
  </xdr:twoCellAnchor>
  <xdr:twoCellAnchor>
    <xdr:from>
      <xdr:col>5</xdr:col>
      <xdr:colOff>180414</xdr:colOff>
      <xdr:row>10</xdr:row>
      <xdr:rowOff>172010</xdr:rowOff>
    </xdr:from>
    <xdr:to>
      <xdr:col>5</xdr:col>
      <xdr:colOff>1719541</xdr:colOff>
      <xdr:row>12</xdr:row>
      <xdr:rowOff>54907</xdr:rowOff>
    </xdr:to>
    <xdr:sp macro="" textlink="$J$44">
      <xdr:nvSpPr>
        <xdr:cNvPr id="16" name="TextBox 15">
          <a:extLst>
            <a:ext uri="{FF2B5EF4-FFF2-40B4-BE49-F238E27FC236}">
              <a16:creationId xmlns:a16="http://schemas.microsoft.com/office/drawing/2014/main" id="{9DDCEEE4-6758-43CA-9A4F-4BD8CC49FEC8}"/>
            </a:ext>
          </a:extLst>
        </xdr:cNvPr>
        <xdr:cNvSpPr txBox="1"/>
      </xdr:nvSpPr>
      <xdr:spPr>
        <a:xfrm>
          <a:off x="8352864" y="2296085"/>
          <a:ext cx="1539127"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2</a:t>
          </a:r>
          <a:endParaRPr lang="en-AU" sz="1000" b="0">
            <a:solidFill>
              <a:schemeClr val="bg2">
                <a:lumMod val="50000"/>
              </a:schemeClr>
            </a:solidFill>
          </a:endParaRPr>
        </a:p>
      </xdr:txBody>
    </xdr:sp>
    <xdr:clientData/>
  </xdr:twoCellAnchor>
  <xdr:twoCellAnchor>
    <xdr:from>
      <xdr:col>3</xdr:col>
      <xdr:colOff>9525</xdr:colOff>
      <xdr:row>12</xdr:row>
      <xdr:rowOff>73958</xdr:rowOff>
    </xdr:from>
    <xdr:to>
      <xdr:col>4</xdr:col>
      <xdr:colOff>1428190</xdr:colOff>
      <xdr:row>12</xdr:row>
      <xdr:rowOff>73958</xdr:rowOff>
    </xdr:to>
    <xdr:cxnSp macro="">
      <xdr:nvCxnSpPr>
        <xdr:cNvPr id="17" name="Straight Connector 16">
          <a:extLst>
            <a:ext uri="{FF2B5EF4-FFF2-40B4-BE49-F238E27FC236}">
              <a16:creationId xmlns:a16="http://schemas.microsoft.com/office/drawing/2014/main" id="{7F0ABF75-DFA4-476D-9D6C-89195BE39EB1}"/>
            </a:ext>
          </a:extLst>
        </xdr:cNvPr>
        <xdr:cNvCxnSpPr/>
      </xdr:nvCxnSpPr>
      <xdr:spPr>
        <a:xfrm>
          <a:off x="2686050" y="2598083"/>
          <a:ext cx="4866715"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180414</xdr:colOff>
      <xdr:row>12</xdr:row>
      <xdr:rowOff>73958</xdr:rowOff>
    </xdr:from>
    <xdr:to>
      <xdr:col>7</xdr:col>
      <xdr:colOff>968747</xdr:colOff>
      <xdr:row>12</xdr:row>
      <xdr:rowOff>73958</xdr:rowOff>
    </xdr:to>
    <xdr:cxnSp macro="">
      <xdr:nvCxnSpPr>
        <xdr:cNvPr id="18" name="Straight Connector 17">
          <a:extLst>
            <a:ext uri="{FF2B5EF4-FFF2-40B4-BE49-F238E27FC236}">
              <a16:creationId xmlns:a16="http://schemas.microsoft.com/office/drawing/2014/main" id="{C539287F-B096-47C2-8B87-ED06E2DE07A8}"/>
            </a:ext>
          </a:extLst>
        </xdr:cNvPr>
        <xdr:cNvCxnSpPr/>
      </xdr:nvCxnSpPr>
      <xdr:spPr>
        <a:xfrm>
          <a:off x="8352864" y="2598083"/>
          <a:ext cx="4884083"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9525</xdr:colOff>
      <xdr:row>24</xdr:row>
      <xdr:rowOff>45944</xdr:rowOff>
    </xdr:from>
    <xdr:to>
      <xdr:col>3</xdr:col>
      <xdr:colOff>1542490</xdr:colOff>
      <xdr:row>25</xdr:row>
      <xdr:rowOff>127186</xdr:rowOff>
    </xdr:to>
    <xdr:sp macro="" textlink="$J$44">
      <xdr:nvSpPr>
        <xdr:cNvPr id="19" name="TextBox 18">
          <a:extLst>
            <a:ext uri="{FF2B5EF4-FFF2-40B4-BE49-F238E27FC236}">
              <a16:creationId xmlns:a16="http://schemas.microsoft.com/office/drawing/2014/main" id="{422FBF15-927C-4FC5-B0BC-0619A4E29552}"/>
            </a:ext>
          </a:extLst>
        </xdr:cNvPr>
        <xdr:cNvSpPr txBox="1"/>
      </xdr:nvSpPr>
      <xdr:spPr>
        <a:xfrm>
          <a:off x="2686050" y="4970369"/>
          <a:ext cx="1532965"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Excluding removals</a:t>
          </a:r>
          <a:endParaRPr lang="en-AU" sz="1000" b="1">
            <a:solidFill>
              <a:srgbClr val="4F4789"/>
            </a:solidFill>
          </a:endParaRPr>
        </a:p>
      </xdr:txBody>
    </xdr:sp>
    <xdr:clientData/>
  </xdr:twoCellAnchor>
  <xdr:twoCellAnchor>
    <xdr:from>
      <xdr:col>3</xdr:col>
      <xdr:colOff>2418312</xdr:colOff>
      <xdr:row>24</xdr:row>
      <xdr:rowOff>45944</xdr:rowOff>
    </xdr:from>
    <xdr:to>
      <xdr:col>4</xdr:col>
      <xdr:colOff>1542490</xdr:colOff>
      <xdr:row>25</xdr:row>
      <xdr:rowOff>127186</xdr:rowOff>
    </xdr:to>
    <xdr:sp macro="" textlink="$J$44">
      <xdr:nvSpPr>
        <xdr:cNvPr id="20" name="TextBox 19">
          <a:extLst>
            <a:ext uri="{FF2B5EF4-FFF2-40B4-BE49-F238E27FC236}">
              <a16:creationId xmlns:a16="http://schemas.microsoft.com/office/drawing/2014/main" id="{D2235FE1-4986-4236-ADD8-EF7B510C5416}"/>
            </a:ext>
          </a:extLst>
        </xdr:cNvPr>
        <xdr:cNvSpPr txBox="1"/>
      </xdr:nvSpPr>
      <xdr:spPr>
        <a:xfrm>
          <a:off x="5094837" y="4970369"/>
          <a:ext cx="2572228"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Including</a:t>
          </a:r>
          <a:r>
            <a:rPr lang="en-US" sz="1000" b="1" i="0" u="none" strike="noStrike" baseline="0">
              <a:solidFill>
                <a:srgbClr val="4F4789"/>
              </a:solidFill>
              <a:latin typeface="Arial"/>
              <a:cs typeface="Arial"/>
            </a:rPr>
            <a:t> removals (</a:t>
          </a:r>
          <a:r>
            <a:rPr lang="en-US" sz="1000" b="1" i="0" u="none" strike="noStrike">
              <a:solidFill>
                <a:srgbClr val="4F4789"/>
              </a:solidFill>
              <a:latin typeface="Arial"/>
              <a:cs typeface="Arial"/>
            </a:rPr>
            <a:t>Net emissions)</a:t>
          </a:r>
          <a:endParaRPr lang="en-AU" sz="1000" b="1">
            <a:solidFill>
              <a:srgbClr val="4F4789"/>
            </a:solidFill>
          </a:endParaRPr>
        </a:p>
      </xdr:txBody>
    </xdr:sp>
    <xdr:clientData/>
  </xdr:twoCellAnchor>
  <xdr:twoCellAnchor>
    <xdr:from>
      <xdr:col>3</xdr:col>
      <xdr:colOff>9525</xdr:colOff>
      <xdr:row>22</xdr:row>
      <xdr:rowOff>69476</xdr:rowOff>
    </xdr:from>
    <xdr:to>
      <xdr:col>3</xdr:col>
      <xdr:colOff>1542490</xdr:colOff>
      <xdr:row>23</xdr:row>
      <xdr:rowOff>149037</xdr:rowOff>
    </xdr:to>
    <xdr:sp macro="" textlink="$J$44">
      <xdr:nvSpPr>
        <xdr:cNvPr id="21" name="TextBox 20">
          <a:extLst>
            <a:ext uri="{FF2B5EF4-FFF2-40B4-BE49-F238E27FC236}">
              <a16:creationId xmlns:a16="http://schemas.microsoft.com/office/drawing/2014/main" id="{261BE4D0-7E72-4230-8ACA-47762C0C5920}"/>
            </a:ext>
          </a:extLst>
        </xdr:cNvPr>
        <xdr:cNvSpPr txBox="1"/>
      </xdr:nvSpPr>
      <xdr:spPr>
        <a:xfrm>
          <a:off x="2686050" y="4593851"/>
          <a:ext cx="1532965"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1</a:t>
          </a:r>
          <a:endParaRPr lang="en-AU" sz="1000" b="0">
            <a:solidFill>
              <a:schemeClr val="bg2">
                <a:lumMod val="50000"/>
              </a:schemeClr>
            </a:solidFill>
          </a:endParaRPr>
        </a:p>
      </xdr:txBody>
    </xdr:sp>
    <xdr:clientData/>
  </xdr:twoCellAnchor>
  <xdr:oneCellAnchor>
    <xdr:from>
      <xdr:col>3</xdr:col>
      <xdr:colOff>9525</xdr:colOff>
      <xdr:row>16</xdr:row>
      <xdr:rowOff>49306</xdr:rowOff>
    </xdr:from>
    <xdr:ext cx="1978747" cy="254493"/>
    <xdr:sp macro="" textlink="">
      <xdr:nvSpPr>
        <xdr:cNvPr id="22" name="TextBox 21">
          <a:extLst>
            <a:ext uri="{FF2B5EF4-FFF2-40B4-BE49-F238E27FC236}">
              <a16:creationId xmlns:a16="http://schemas.microsoft.com/office/drawing/2014/main" id="{9CB97F30-4735-49D1-B115-4E8269067E54}"/>
            </a:ext>
          </a:extLst>
        </xdr:cNvPr>
        <xdr:cNvSpPr txBox="1"/>
      </xdr:nvSpPr>
      <xdr:spPr>
        <a:xfrm>
          <a:off x="2686050" y="3373531"/>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twoCellAnchor>
    <xdr:from>
      <xdr:col>3</xdr:col>
      <xdr:colOff>47625</xdr:colOff>
      <xdr:row>20</xdr:row>
      <xdr:rowOff>72277</xdr:rowOff>
    </xdr:from>
    <xdr:to>
      <xdr:col>3</xdr:col>
      <xdr:colOff>2228290</xdr:colOff>
      <xdr:row>22</xdr:row>
      <xdr:rowOff>39220</xdr:rowOff>
    </xdr:to>
    <xdr:sp macro="" textlink="">
      <xdr:nvSpPr>
        <xdr:cNvPr id="23" name="TextBox 22">
          <a:extLst>
            <a:ext uri="{FF2B5EF4-FFF2-40B4-BE49-F238E27FC236}">
              <a16:creationId xmlns:a16="http://schemas.microsoft.com/office/drawing/2014/main" id="{1C166702-1A1A-4563-8684-ED77B3E358C0}"/>
            </a:ext>
          </a:extLst>
        </xdr:cNvPr>
        <xdr:cNvSpPr txBox="1"/>
      </xdr:nvSpPr>
      <xdr:spPr>
        <a:xfrm>
          <a:off x="2724150" y="4196602"/>
          <a:ext cx="2180665" cy="3669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a:solidFill>
                <a:srgbClr val="4F4789"/>
              </a:solidFill>
            </a:rPr>
            <a:t>Economic allocation</a:t>
          </a:r>
        </a:p>
      </xdr:txBody>
    </xdr:sp>
    <xdr:clientData/>
  </xdr:twoCellAnchor>
  <xdr:twoCellAnchor>
    <xdr:from>
      <xdr:col>3</xdr:col>
      <xdr:colOff>57150</xdr:colOff>
      <xdr:row>22</xdr:row>
      <xdr:rowOff>43269</xdr:rowOff>
    </xdr:from>
    <xdr:to>
      <xdr:col>7</xdr:col>
      <xdr:colOff>997323</xdr:colOff>
      <xdr:row>22</xdr:row>
      <xdr:rowOff>59951</xdr:rowOff>
    </xdr:to>
    <xdr:cxnSp macro="">
      <xdr:nvCxnSpPr>
        <xdr:cNvPr id="24" name="Straight Connector 23">
          <a:extLst>
            <a:ext uri="{FF2B5EF4-FFF2-40B4-BE49-F238E27FC236}">
              <a16:creationId xmlns:a16="http://schemas.microsoft.com/office/drawing/2014/main" id="{97784785-181F-46AC-B3C4-55A3A46C6717}"/>
            </a:ext>
          </a:extLst>
        </xdr:cNvPr>
        <xdr:cNvCxnSpPr/>
      </xdr:nvCxnSpPr>
      <xdr:spPr>
        <a:xfrm flipV="1">
          <a:off x="2733675" y="4567644"/>
          <a:ext cx="10531848" cy="16682"/>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180414</xdr:colOff>
      <xdr:row>24</xdr:row>
      <xdr:rowOff>45944</xdr:rowOff>
    </xdr:from>
    <xdr:to>
      <xdr:col>5</xdr:col>
      <xdr:colOff>1719541</xdr:colOff>
      <xdr:row>25</xdr:row>
      <xdr:rowOff>127186</xdr:rowOff>
    </xdr:to>
    <xdr:sp macro="" textlink="$J$44">
      <xdr:nvSpPr>
        <xdr:cNvPr id="25" name="TextBox 24">
          <a:extLst>
            <a:ext uri="{FF2B5EF4-FFF2-40B4-BE49-F238E27FC236}">
              <a16:creationId xmlns:a16="http://schemas.microsoft.com/office/drawing/2014/main" id="{F718A17E-5AAC-4CD8-8846-2676F26CC911}"/>
            </a:ext>
          </a:extLst>
        </xdr:cNvPr>
        <xdr:cNvSpPr txBox="1"/>
      </xdr:nvSpPr>
      <xdr:spPr>
        <a:xfrm>
          <a:off x="8352864" y="4970369"/>
          <a:ext cx="1539127"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Excluding removals</a:t>
          </a:r>
          <a:endParaRPr lang="en-AU" sz="1000" b="1">
            <a:solidFill>
              <a:srgbClr val="4F4789"/>
            </a:solidFill>
          </a:endParaRPr>
        </a:p>
      </xdr:txBody>
    </xdr:sp>
    <xdr:clientData/>
  </xdr:twoCellAnchor>
  <xdr:twoCellAnchor>
    <xdr:from>
      <xdr:col>6</xdr:col>
      <xdr:colOff>617444</xdr:colOff>
      <xdr:row>24</xdr:row>
      <xdr:rowOff>45944</xdr:rowOff>
    </xdr:from>
    <xdr:to>
      <xdr:col>7</xdr:col>
      <xdr:colOff>1150201</xdr:colOff>
      <xdr:row>25</xdr:row>
      <xdr:rowOff>127186</xdr:rowOff>
    </xdr:to>
    <xdr:sp macro="" textlink="$J$44">
      <xdr:nvSpPr>
        <xdr:cNvPr id="26" name="TextBox 25">
          <a:extLst>
            <a:ext uri="{FF2B5EF4-FFF2-40B4-BE49-F238E27FC236}">
              <a16:creationId xmlns:a16="http://schemas.microsoft.com/office/drawing/2014/main" id="{1391BBC0-89E5-4868-81CD-5472A82492D9}"/>
            </a:ext>
          </a:extLst>
        </xdr:cNvPr>
        <xdr:cNvSpPr txBox="1"/>
      </xdr:nvSpPr>
      <xdr:spPr>
        <a:xfrm>
          <a:off x="10837769" y="4970369"/>
          <a:ext cx="2580632"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Including</a:t>
          </a:r>
          <a:r>
            <a:rPr lang="en-US" sz="1000" b="1" i="0" u="none" strike="noStrike" baseline="0">
              <a:solidFill>
                <a:srgbClr val="4F4789"/>
              </a:solidFill>
              <a:latin typeface="Arial"/>
              <a:cs typeface="Arial"/>
            </a:rPr>
            <a:t> removals (</a:t>
          </a:r>
          <a:r>
            <a:rPr lang="en-US" sz="1000" b="1" i="0" u="none" strike="noStrike">
              <a:solidFill>
                <a:srgbClr val="4F4789"/>
              </a:solidFill>
              <a:latin typeface="Arial"/>
              <a:cs typeface="Arial"/>
            </a:rPr>
            <a:t>Net emissions)</a:t>
          </a:r>
          <a:endParaRPr lang="en-AU" sz="1000" b="1">
            <a:solidFill>
              <a:srgbClr val="4F4789"/>
            </a:solidFill>
          </a:endParaRPr>
        </a:p>
      </xdr:txBody>
    </xdr:sp>
    <xdr:clientData/>
  </xdr:twoCellAnchor>
  <xdr:twoCellAnchor>
    <xdr:from>
      <xdr:col>5</xdr:col>
      <xdr:colOff>180414</xdr:colOff>
      <xdr:row>22</xdr:row>
      <xdr:rowOff>69476</xdr:rowOff>
    </xdr:from>
    <xdr:to>
      <xdr:col>5</xdr:col>
      <xdr:colOff>1719541</xdr:colOff>
      <xdr:row>23</xdr:row>
      <xdr:rowOff>149037</xdr:rowOff>
    </xdr:to>
    <xdr:sp macro="" textlink="$J$44">
      <xdr:nvSpPr>
        <xdr:cNvPr id="27" name="TextBox 26">
          <a:extLst>
            <a:ext uri="{FF2B5EF4-FFF2-40B4-BE49-F238E27FC236}">
              <a16:creationId xmlns:a16="http://schemas.microsoft.com/office/drawing/2014/main" id="{D5FE9366-3BFE-4C05-867A-F75650982CA9}"/>
            </a:ext>
          </a:extLst>
        </xdr:cNvPr>
        <xdr:cNvSpPr txBox="1"/>
      </xdr:nvSpPr>
      <xdr:spPr>
        <a:xfrm>
          <a:off x="8352864" y="4593851"/>
          <a:ext cx="1539127"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2</a:t>
          </a:r>
          <a:endParaRPr lang="en-AU" sz="1000" b="0">
            <a:solidFill>
              <a:schemeClr val="bg2">
                <a:lumMod val="50000"/>
              </a:schemeClr>
            </a:solidFill>
          </a:endParaRPr>
        </a:p>
      </xdr:txBody>
    </xdr:sp>
    <xdr:clientData/>
  </xdr:twoCellAnchor>
  <xdr:twoCellAnchor>
    <xdr:from>
      <xdr:col>3</xdr:col>
      <xdr:colOff>9525</xdr:colOff>
      <xdr:row>23</xdr:row>
      <xdr:rowOff>168088</xdr:rowOff>
    </xdr:from>
    <xdr:to>
      <xdr:col>4</xdr:col>
      <xdr:colOff>1456765</xdr:colOff>
      <xdr:row>23</xdr:row>
      <xdr:rowOff>168088</xdr:rowOff>
    </xdr:to>
    <xdr:cxnSp macro="">
      <xdr:nvCxnSpPr>
        <xdr:cNvPr id="28" name="Straight Connector 27">
          <a:extLst>
            <a:ext uri="{FF2B5EF4-FFF2-40B4-BE49-F238E27FC236}">
              <a16:creationId xmlns:a16="http://schemas.microsoft.com/office/drawing/2014/main" id="{38B64D30-6D2F-48C3-9B60-4390BE526625}"/>
            </a:ext>
          </a:extLst>
        </xdr:cNvPr>
        <xdr:cNvCxnSpPr/>
      </xdr:nvCxnSpPr>
      <xdr:spPr>
        <a:xfrm>
          <a:off x="2686050" y="4892488"/>
          <a:ext cx="4895290"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180414</xdr:colOff>
      <xdr:row>23</xdr:row>
      <xdr:rowOff>168088</xdr:rowOff>
    </xdr:from>
    <xdr:to>
      <xdr:col>7</xdr:col>
      <xdr:colOff>1006847</xdr:colOff>
      <xdr:row>23</xdr:row>
      <xdr:rowOff>168088</xdr:rowOff>
    </xdr:to>
    <xdr:cxnSp macro="">
      <xdr:nvCxnSpPr>
        <xdr:cNvPr id="29" name="Straight Connector 28">
          <a:extLst>
            <a:ext uri="{FF2B5EF4-FFF2-40B4-BE49-F238E27FC236}">
              <a16:creationId xmlns:a16="http://schemas.microsoft.com/office/drawing/2014/main" id="{BFBEA725-F1E3-47A3-9D66-D708641C5522}"/>
            </a:ext>
          </a:extLst>
        </xdr:cNvPr>
        <xdr:cNvCxnSpPr/>
      </xdr:nvCxnSpPr>
      <xdr:spPr>
        <a:xfrm>
          <a:off x="8352864" y="4892488"/>
          <a:ext cx="4922183"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3</xdr:col>
      <xdr:colOff>2333065</xdr:colOff>
      <xdr:row>16</xdr:row>
      <xdr:rowOff>49306</xdr:rowOff>
    </xdr:from>
    <xdr:ext cx="1978747" cy="254493"/>
    <xdr:sp macro="" textlink="">
      <xdr:nvSpPr>
        <xdr:cNvPr id="30" name="TextBox 29">
          <a:extLst>
            <a:ext uri="{FF2B5EF4-FFF2-40B4-BE49-F238E27FC236}">
              <a16:creationId xmlns:a16="http://schemas.microsoft.com/office/drawing/2014/main" id="{1B353C3F-EEA7-4767-9132-E360261D937D}"/>
            </a:ext>
          </a:extLst>
        </xdr:cNvPr>
        <xdr:cNvSpPr txBox="1"/>
      </xdr:nvSpPr>
      <xdr:spPr>
        <a:xfrm>
          <a:off x="5009590" y="3373531"/>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5</xdr:col>
      <xdr:colOff>180414</xdr:colOff>
      <xdr:row>16</xdr:row>
      <xdr:rowOff>49306</xdr:rowOff>
    </xdr:from>
    <xdr:ext cx="1978747" cy="254493"/>
    <xdr:sp macro="" textlink="">
      <xdr:nvSpPr>
        <xdr:cNvPr id="31" name="TextBox 30">
          <a:extLst>
            <a:ext uri="{FF2B5EF4-FFF2-40B4-BE49-F238E27FC236}">
              <a16:creationId xmlns:a16="http://schemas.microsoft.com/office/drawing/2014/main" id="{87762194-2B12-44BC-B816-301BBCFA2F7E}"/>
            </a:ext>
          </a:extLst>
        </xdr:cNvPr>
        <xdr:cNvSpPr txBox="1"/>
      </xdr:nvSpPr>
      <xdr:spPr>
        <a:xfrm>
          <a:off x="8352864" y="3373531"/>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6</xdr:col>
      <xdr:colOff>617444</xdr:colOff>
      <xdr:row>16</xdr:row>
      <xdr:rowOff>49306</xdr:rowOff>
    </xdr:from>
    <xdr:ext cx="1978747" cy="254493"/>
    <xdr:sp macro="" textlink="">
      <xdr:nvSpPr>
        <xdr:cNvPr id="32" name="TextBox 31">
          <a:extLst>
            <a:ext uri="{FF2B5EF4-FFF2-40B4-BE49-F238E27FC236}">
              <a16:creationId xmlns:a16="http://schemas.microsoft.com/office/drawing/2014/main" id="{AAED1EC9-FDD9-4C3D-A636-5F245C7CA707}"/>
            </a:ext>
          </a:extLst>
        </xdr:cNvPr>
        <xdr:cNvSpPr txBox="1"/>
      </xdr:nvSpPr>
      <xdr:spPr>
        <a:xfrm>
          <a:off x="10837769" y="3373531"/>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3</xdr:col>
      <xdr:colOff>9525</xdr:colOff>
      <xdr:row>28</xdr:row>
      <xdr:rowOff>38660</xdr:rowOff>
    </xdr:from>
    <xdr:ext cx="1978747" cy="254493"/>
    <xdr:sp macro="" textlink="">
      <xdr:nvSpPr>
        <xdr:cNvPr id="33" name="TextBox 32">
          <a:extLst>
            <a:ext uri="{FF2B5EF4-FFF2-40B4-BE49-F238E27FC236}">
              <a16:creationId xmlns:a16="http://schemas.microsoft.com/office/drawing/2014/main" id="{014A040B-C88A-4270-8C26-7CA744A8C27B}"/>
            </a:ext>
          </a:extLst>
        </xdr:cNvPr>
        <xdr:cNvSpPr txBox="1"/>
      </xdr:nvSpPr>
      <xdr:spPr>
        <a:xfrm>
          <a:off x="2686050" y="5763185"/>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3</xdr:col>
      <xdr:colOff>2342590</xdr:colOff>
      <xdr:row>28</xdr:row>
      <xdr:rowOff>38660</xdr:rowOff>
    </xdr:from>
    <xdr:ext cx="1978747" cy="254493"/>
    <xdr:sp macro="" textlink="">
      <xdr:nvSpPr>
        <xdr:cNvPr id="34" name="TextBox 33">
          <a:extLst>
            <a:ext uri="{FF2B5EF4-FFF2-40B4-BE49-F238E27FC236}">
              <a16:creationId xmlns:a16="http://schemas.microsoft.com/office/drawing/2014/main" id="{9BD31057-8DED-461A-B7E7-EF42381BCD2B}"/>
            </a:ext>
          </a:extLst>
        </xdr:cNvPr>
        <xdr:cNvSpPr txBox="1"/>
      </xdr:nvSpPr>
      <xdr:spPr>
        <a:xfrm>
          <a:off x="5019115" y="5763185"/>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5</xdr:col>
      <xdr:colOff>180414</xdr:colOff>
      <xdr:row>28</xdr:row>
      <xdr:rowOff>38660</xdr:rowOff>
    </xdr:from>
    <xdr:ext cx="1978747" cy="254493"/>
    <xdr:sp macro="" textlink="">
      <xdr:nvSpPr>
        <xdr:cNvPr id="35" name="TextBox 34">
          <a:extLst>
            <a:ext uri="{FF2B5EF4-FFF2-40B4-BE49-F238E27FC236}">
              <a16:creationId xmlns:a16="http://schemas.microsoft.com/office/drawing/2014/main" id="{BDD590EC-73F4-4720-A28D-3D3C84B2383C}"/>
            </a:ext>
          </a:extLst>
        </xdr:cNvPr>
        <xdr:cNvSpPr txBox="1"/>
      </xdr:nvSpPr>
      <xdr:spPr>
        <a:xfrm>
          <a:off x="8352864" y="5763185"/>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6</xdr:col>
      <xdr:colOff>617444</xdr:colOff>
      <xdr:row>28</xdr:row>
      <xdr:rowOff>38660</xdr:rowOff>
    </xdr:from>
    <xdr:ext cx="1978747" cy="254493"/>
    <xdr:sp macro="" textlink="">
      <xdr:nvSpPr>
        <xdr:cNvPr id="36" name="TextBox 35">
          <a:extLst>
            <a:ext uri="{FF2B5EF4-FFF2-40B4-BE49-F238E27FC236}">
              <a16:creationId xmlns:a16="http://schemas.microsoft.com/office/drawing/2014/main" id="{A8DA6287-B255-4E1B-BFDE-A3ABED31B70B}"/>
            </a:ext>
          </a:extLst>
        </xdr:cNvPr>
        <xdr:cNvSpPr txBox="1"/>
      </xdr:nvSpPr>
      <xdr:spPr>
        <a:xfrm>
          <a:off x="10837769" y="5763185"/>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twoCellAnchor>
    <xdr:from>
      <xdr:col>3</xdr:col>
      <xdr:colOff>2371165</xdr:colOff>
      <xdr:row>25</xdr:row>
      <xdr:rowOff>155762</xdr:rowOff>
    </xdr:from>
    <xdr:to>
      <xdr:col>4</xdr:col>
      <xdr:colOff>875740</xdr:colOff>
      <xdr:row>28</xdr:row>
      <xdr:rowOff>108696</xdr:rowOff>
    </xdr:to>
    <xdr:sp macro="" textlink="$H$54">
      <xdr:nvSpPr>
        <xdr:cNvPr id="37" name="TextBox 36">
          <a:extLst>
            <a:ext uri="{FF2B5EF4-FFF2-40B4-BE49-F238E27FC236}">
              <a16:creationId xmlns:a16="http://schemas.microsoft.com/office/drawing/2014/main" id="{48B67803-470A-4840-A0B6-AA7EBEFF89C4}"/>
            </a:ext>
          </a:extLst>
        </xdr:cNvPr>
        <xdr:cNvSpPr txBox="1"/>
      </xdr:nvSpPr>
      <xdr:spPr>
        <a:xfrm>
          <a:off x="5047690" y="5280212"/>
          <a:ext cx="1952625"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325659CC-BF18-4027-9C39-6B59F0E2F578}" type="TxLink">
            <a:rPr lang="en-US" sz="2600" b="1" i="0" u="none" strike="noStrike">
              <a:solidFill>
                <a:srgbClr val="4F4789"/>
              </a:solidFill>
              <a:latin typeface="Arial"/>
              <a:ea typeface="+mn-ea"/>
              <a:cs typeface="Arial"/>
            </a:rPr>
            <a:pPr marL="0" indent="0"/>
            <a:t>2.595279367</a:t>
          </a:fld>
          <a:endParaRPr lang="en-AU" sz="2600" b="1" i="0" u="none" strike="noStrike">
            <a:solidFill>
              <a:srgbClr val="4F4789"/>
            </a:solidFill>
            <a:latin typeface="Arial"/>
            <a:ea typeface="+mn-ea"/>
            <a:cs typeface="Arial"/>
          </a:endParaRPr>
        </a:p>
      </xdr:txBody>
    </xdr:sp>
    <xdr:clientData/>
  </xdr:twoCellAnchor>
  <xdr:twoCellAnchor>
    <xdr:from>
      <xdr:col>6</xdr:col>
      <xdr:colOff>500341</xdr:colOff>
      <xdr:row>25</xdr:row>
      <xdr:rowOff>184337</xdr:rowOff>
    </xdr:from>
    <xdr:to>
      <xdr:col>7</xdr:col>
      <xdr:colOff>429745</xdr:colOff>
      <xdr:row>28</xdr:row>
      <xdr:rowOff>89646</xdr:rowOff>
    </xdr:to>
    <xdr:sp macro="" textlink="$I$54">
      <xdr:nvSpPr>
        <xdr:cNvPr id="38" name="TextBox 37">
          <a:extLst>
            <a:ext uri="{FF2B5EF4-FFF2-40B4-BE49-F238E27FC236}">
              <a16:creationId xmlns:a16="http://schemas.microsoft.com/office/drawing/2014/main" id="{3CEEF3AD-22FC-4524-8AAC-CB6290746354}"/>
            </a:ext>
          </a:extLst>
        </xdr:cNvPr>
        <xdr:cNvSpPr txBox="1"/>
      </xdr:nvSpPr>
      <xdr:spPr>
        <a:xfrm>
          <a:off x="10720666" y="5308787"/>
          <a:ext cx="1977279"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A9E71E38-28CF-40B4-A787-CD2A933BF092}" type="TxLink">
            <a:rPr lang="en-US" sz="2600" b="1" i="0" u="none" strike="noStrike">
              <a:solidFill>
                <a:srgbClr val="4F4789"/>
              </a:solidFill>
              <a:latin typeface="Arial"/>
              <a:ea typeface="+mn-ea"/>
              <a:cs typeface="Arial"/>
            </a:rPr>
            <a:pPr marL="0" indent="0"/>
            <a:t>10.53461807</a:t>
          </a:fld>
          <a:endParaRPr lang="en-AU" sz="2600" b="1" i="0" u="none" strike="noStrike">
            <a:solidFill>
              <a:srgbClr val="4F4789"/>
            </a:solidFill>
            <a:latin typeface="Arial"/>
            <a:ea typeface="+mn-ea"/>
            <a:cs typeface="Arial"/>
          </a:endParaRPr>
        </a:p>
      </xdr:txBody>
    </xdr:sp>
    <xdr:clientData/>
  </xdr:twoCellAnchor>
  <xdr:twoCellAnchor>
    <xdr:from>
      <xdr:col>8</xdr:col>
      <xdr:colOff>619125</xdr:colOff>
      <xdr:row>14</xdr:row>
      <xdr:rowOff>71157</xdr:rowOff>
    </xdr:from>
    <xdr:to>
      <xdr:col>9</xdr:col>
      <xdr:colOff>440952</xdr:colOff>
      <xdr:row>16</xdr:row>
      <xdr:rowOff>144555</xdr:rowOff>
    </xdr:to>
    <xdr:sp macro="" textlink="$H$47">
      <xdr:nvSpPr>
        <xdr:cNvPr id="39" name="TextBox 38">
          <a:extLst>
            <a:ext uri="{FF2B5EF4-FFF2-40B4-BE49-F238E27FC236}">
              <a16:creationId xmlns:a16="http://schemas.microsoft.com/office/drawing/2014/main" id="{06A79968-A343-47E9-957F-999EDB875007}"/>
            </a:ext>
          </a:extLst>
        </xdr:cNvPr>
        <xdr:cNvSpPr txBox="1"/>
      </xdr:nvSpPr>
      <xdr:spPr>
        <a:xfrm>
          <a:off x="14935200" y="2995332"/>
          <a:ext cx="1869702" cy="473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FBAAA7CE-3F73-42A7-B887-E644937F7159}" type="TxLink">
            <a:rPr lang="en-US" sz="2600" b="1" i="0" u="none" strike="noStrike">
              <a:solidFill>
                <a:srgbClr val="0C769E"/>
              </a:solidFill>
              <a:latin typeface="Arial"/>
              <a:ea typeface="+mn-ea"/>
              <a:cs typeface="Arial"/>
            </a:rPr>
            <a:pPr marL="0" indent="0"/>
            <a:t>2.439172337</a:t>
          </a:fld>
          <a:endParaRPr lang="en-AU" sz="2600" b="1" i="0" u="none" strike="noStrike">
            <a:solidFill>
              <a:srgbClr val="0C769E"/>
            </a:solidFill>
            <a:latin typeface="Arial"/>
            <a:ea typeface="+mn-ea"/>
            <a:cs typeface="Arial"/>
          </a:endParaRPr>
        </a:p>
      </xdr:txBody>
    </xdr:sp>
    <xdr:clientData/>
  </xdr:twoCellAnchor>
  <xdr:twoCellAnchor>
    <xdr:from>
      <xdr:col>11</xdr:col>
      <xdr:colOff>156882</xdr:colOff>
      <xdr:row>14</xdr:row>
      <xdr:rowOff>42582</xdr:rowOff>
    </xdr:from>
    <xdr:to>
      <xdr:col>12</xdr:col>
      <xdr:colOff>19609</xdr:colOff>
      <xdr:row>16</xdr:row>
      <xdr:rowOff>144555</xdr:rowOff>
    </xdr:to>
    <xdr:sp macro="" textlink="$I$47">
      <xdr:nvSpPr>
        <xdr:cNvPr id="40" name="TextBox 39">
          <a:extLst>
            <a:ext uri="{FF2B5EF4-FFF2-40B4-BE49-F238E27FC236}">
              <a16:creationId xmlns:a16="http://schemas.microsoft.com/office/drawing/2014/main" id="{87FEF128-5F76-4826-ACB9-2CD12AF6BDF3}"/>
            </a:ext>
          </a:extLst>
        </xdr:cNvPr>
        <xdr:cNvSpPr txBox="1"/>
      </xdr:nvSpPr>
      <xdr:spPr>
        <a:xfrm>
          <a:off x="20616582" y="2966757"/>
          <a:ext cx="1910602" cy="5020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E266E2BA-6A96-4903-9E52-5C6BCFEF9FF1}" type="TxLink">
            <a:rPr lang="en-US" sz="2600" b="1" i="0" u="none" strike="noStrike">
              <a:solidFill>
                <a:srgbClr val="0C769E"/>
              </a:solidFill>
              <a:latin typeface="Arial"/>
              <a:ea typeface="+mn-ea"/>
              <a:cs typeface="Arial"/>
            </a:rPr>
            <a:pPr marL="0" indent="0"/>
            <a:t>9.900956832</a:t>
          </a:fld>
          <a:endParaRPr lang="en-AU" sz="2600" b="1" i="0" u="none" strike="noStrike">
            <a:solidFill>
              <a:srgbClr val="0C769E"/>
            </a:solidFill>
            <a:latin typeface="Arial"/>
            <a:ea typeface="+mn-ea"/>
            <a:cs typeface="Arial"/>
          </a:endParaRPr>
        </a:p>
      </xdr:txBody>
    </xdr:sp>
    <xdr:clientData/>
  </xdr:twoCellAnchor>
  <xdr:twoCellAnchor>
    <xdr:from>
      <xdr:col>8</xdr:col>
      <xdr:colOff>619125</xdr:colOff>
      <xdr:row>25</xdr:row>
      <xdr:rowOff>155762</xdr:rowOff>
    </xdr:from>
    <xdr:to>
      <xdr:col>9</xdr:col>
      <xdr:colOff>526677</xdr:colOff>
      <xdr:row>28</xdr:row>
      <xdr:rowOff>108696</xdr:rowOff>
    </xdr:to>
    <xdr:sp macro="" textlink="$H$56">
      <xdr:nvSpPr>
        <xdr:cNvPr id="41" name="TextBox 40">
          <a:extLst>
            <a:ext uri="{FF2B5EF4-FFF2-40B4-BE49-F238E27FC236}">
              <a16:creationId xmlns:a16="http://schemas.microsoft.com/office/drawing/2014/main" id="{E9FA52E2-575B-4C56-ADCB-73565977DD51}"/>
            </a:ext>
          </a:extLst>
        </xdr:cNvPr>
        <xdr:cNvSpPr txBox="1"/>
      </xdr:nvSpPr>
      <xdr:spPr>
        <a:xfrm>
          <a:off x="14935200" y="5280212"/>
          <a:ext cx="1955427"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F8F36783-2D83-448C-9BE3-D1653ADA37CE}" type="TxLink">
            <a:rPr lang="en-US" sz="2600" b="1" i="0" u="none" strike="noStrike">
              <a:solidFill>
                <a:srgbClr val="4F4789"/>
              </a:solidFill>
              <a:latin typeface="Arial"/>
              <a:ea typeface="+mn-ea"/>
              <a:cs typeface="Arial"/>
            </a:rPr>
            <a:pPr marL="0" indent="0"/>
            <a:t>7.86448293</a:t>
          </a:fld>
          <a:endParaRPr lang="en-AU" sz="2600" b="1" i="0" u="none" strike="noStrike">
            <a:solidFill>
              <a:srgbClr val="4F4789"/>
            </a:solidFill>
            <a:latin typeface="Arial"/>
            <a:ea typeface="+mn-ea"/>
            <a:cs typeface="Arial"/>
          </a:endParaRPr>
        </a:p>
      </xdr:txBody>
    </xdr:sp>
    <xdr:clientData/>
  </xdr:twoCellAnchor>
  <xdr:twoCellAnchor>
    <xdr:from>
      <xdr:col>11</xdr:col>
      <xdr:colOff>156882</xdr:colOff>
      <xdr:row>25</xdr:row>
      <xdr:rowOff>184337</xdr:rowOff>
    </xdr:from>
    <xdr:to>
      <xdr:col>12</xdr:col>
      <xdr:colOff>86284</xdr:colOff>
      <xdr:row>28</xdr:row>
      <xdr:rowOff>89646</xdr:rowOff>
    </xdr:to>
    <xdr:sp macro="" textlink="$I$56">
      <xdr:nvSpPr>
        <xdr:cNvPr id="42" name="TextBox 41">
          <a:extLst>
            <a:ext uri="{FF2B5EF4-FFF2-40B4-BE49-F238E27FC236}">
              <a16:creationId xmlns:a16="http://schemas.microsoft.com/office/drawing/2014/main" id="{A85AC178-A8FE-436B-A923-A0DF381EC5F3}"/>
            </a:ext>
          </a:extLst>
        </xdr:cNvPr>
        <xdr:cNvSpPr txBox="1"/>
      </xdr:nvSpPr>
      <xdr:spPr>
        <a:xfrm>
          <a:off x="20616582" y="5308787"/>
          <a:ext cx="1977277"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9792A2EE-0599-40C6-BEC6-FB928C51F2CA}" type="TxLink">
            <a:rPr lang="en-US" sz="2600" b="1" i="0" u="none" strike="noStrike">
              <a:solidFill>
                <a:srgbClr val="4F4789"/>
              </a:solidFill>
              <a:latin typeface="Arial"/>
              <a:ea typeface="+mn-ea"/>
              <a:cs typeface="Arial"/>
            </a:rPr>
            <a:pPr marL="0" indent="0"/>
            <a:t>31.92308506</a:t>
          </a:fld>
          <a:endParaRPr lang="en-AU" sz="2600" b="1" i="0" u="none" strike="noStrike">
            <a:solidFill>
              <a:srgbClr val="4F4789"/>
            </a:solidFill>
            <a:latin typeface="Arial"/>
            <a:ea typeface="+mn-ea"/>
            <a:cs typeface="Arial"/>
          </a:endParaRPr>
        </a:p>
      </xdr:txBody>
    </xdr:sp>
    <xdr:clientData/>
  </xdr:twoCellAnchor>
  <xdr:twoCellAnchor>
    <xdr:from>
      <xdr:col>9</xdr:col>
      <xdr:colOff>903754</xdr:colOff>
      <xdr:row>14</xdr:row>
      <xdr:rowOff>33057</xdr:rowOff>
    </xdr:from>
    <xdr:to>
      <xdr:col>10</xdr:col>
      <xdr:colOff>1214158</xdr:colOff>
      <xdr:row>16</xdr:row>
      <xdr:rowOff>144555</xdr:rowOff>
    </xdr:to>
    <xdr:sp macro="" textlink="$H$48">
      <xdr:nvSpPr>
        <xdr:cNvPr id="43" name="TextBox 42">
          <a:extLst>
            <a:ext uri="{FF2B5EF4-FFF2-40B4-BE49-F238E27FC236}">
              <a16:creationId xmlns:a16="http://schemas.microsoft.com/office/drawing/2014/main" id="{F03DF4FC-B0C4-4C3C-ABF8-C9A9263AB614}"/>
            </a:ext>
          </a:extLst>
        </xdr:cNvPr>
        <xdr:cNvSpPr txBox="1"/>
      </xdr:nvSpPr>
      <xdr:spPr>
        <a:xfrm>
          <a:off x="17267704" y="2957232"/>
          <a:ext cx="2358279" cy="511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9FBD39D1-A40C-4D41-815F-1614BABEEB25}" type="TxLink">
            <a:rPr lang="en-US" sz="2600" b="1" i="0" u="none" strike="noStrike">
              <a:solidFill>
                <a:srgbClr val="0C769E"/>
              </a:solidFill>
              <a:latin typeface="Arial"/>
              <a:ea typeface="+mn-ea"/>
              <a:cs typeface="Arial"/>
            </a:rPr>
            <a:pPr marL="0" indent="0"/>
            <a:t>2.43917233719</a:t>
          </a:fld>
          <a:endParaRPr lang="en-AU" sz="2600" b="1" i="0" u="none" strike="noStrike">
            <a:solidFill>
              <a:srgbClr val="0C769E"/>
            </a:solidFill>
            <a:latin typeface="Arial"/>
            <a:ea typeface="+mn-ea"/>
            <a:cs typeface="Arial"/>
          </a:endParaRPr>
        </a:p>
      </xdr:txBody>
    </xdr:sp>
    <xdr:clientData/>
  </xdr:twoCellAnchor>
  <xdr:twoCellAnchor>
    <xdr:from>
      <xdr:col>12</xdr:col>
      <xdr:colOff>593912</xdr:colOff>
      <xdr:row>14</xdr:row>
      <xdr:rowOff>61632</xdr:rowOff>
    </xdr:from>
    <xdr:to>
      <xdr:col>13</xdr:col>
      <xdr:colOff>434789</xdr:colOff>
      <xdr:row>16</xdr:row>
      <xdr:rowOff>144555</xdr:rowOff>
    </xdr:to>
    <xdr:sp macro="" textlink="$I$48">
      <xdr:nvSpPr>
        <xdr:cNvPr id="44" name="TextBox 43">
          <a:extLst>
            <a:ext uri="{FF2B5EF4-FFF2-40B4-BE49-F238E27FC236}">
              <a16:creationId xmlns:a16="http://schemas.microsoft.com/office/drawing/2014/main" id="{B9BC03BE-C840-4A9F-BF3C-E56EF4AE3520}"/>
            </a:ext>
          </a:extLst>
        </xdr:cNvPr>
        <xdr:cNvSpPr txBox="1"/>
      </xdr:nvSpPr>
      <xdr:spPr>
        <a:xfrm>
          <a:off x="23101487" y="2985807"/>
          <a:ext cx="1888752" cy="482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48E1D669-5050-474F-B029-B219812AC417}" type="TxLink">
            <a:rPr lang="en-US" sz="2600" b="1" i="0" u="none" strike="noStrike">
              <a:solidFill>
                <a:srgbClr val="0C769E"/>
              </a:solidFill>
              <a:latin typeface="Arial"/>
              <a:ea typeface="+mn-ea"/>
              <a:cs typeface="Arial"/>
            </a:rPr>
            <a:pPr marL="0" indent="0"/>
            <a:t>9.90095683154</a:t>
          </a:fld>
          <a:endParaRPr lang="en-AU" sz="2600" b="1" i="0" u="none" strike="noStrike">
            <a:solidFill>
              <a:srgbClr val="0C769E"/>
            </a:solidFill>
            <a:latin typeface="Arial"/>
            <a:ea typeface="+mn-ea"/>
            <a:cs typeface="Arial"/>
          </a:endParaRPr>
        </a:p>
      </xdr:txBody>
    </xdr:sp>
    <xdr:clientData/>
  </xdr:twoCellAnchor>
  <xdr:twoCellAnchor>
    <xdr:from>
      <xdr:col>8</xdr:col>
      <xdr:colOff>619125</xdr:colOff>
      <xdr:row>12</xdr:row>
      <xdr:rowOff>150158</xdr:rowOff>
    </xdr:from>
    <xdr:to>
      <xdr:col>9</xdr:col>
      <xdr:colOff>107577</xdr:colOff>
      <xdr:row>14</xdr:row>
      <xdr:rowOff>33056</xdr:rowOff>
    </xdr:to>
    <xdr:sp macro="" textlink="$J$44">
      <xdr:nvSpPr>
        <xdr:cNvPr id="45" name="TextBox 44">
          <a:extLst>
            <a:ext uri="{FF2B5EF4-FFF2-40B4-BE49-F238E27FC236}">
              <a16:creationId xmlns:a16="http://schemas.microsoft.com/office/drawing/2014/main" id="{0E20E1D2-2B5C-4DB2-8518-71C3789EC7E5}"/>
            </a:ext>
          </a:extLst>
        </xdr:cNvPr>
        <xdr:cNvSpPr txBox="1"/>
      </xdr:nvSpPr>
      <xdr:spPr>
        <a:xfrm>
          <a:off x="14935200" y="2674283"/>
          <a:ext cx="1536327"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Excluding removals</a:t>
          </a:r>
          <a:endParaRPr lang="en-AU" sz="1000" b="1">
            <a:solidFill>
              <a:srgbClr val="0C769E"/>
            </a:solidFill>
          </a:endParaRPr>
        </a:p>
      </xdr:txBody>
    </xdr:sp>
    <xdr:clientData/>
  </xdr:twoCellAnchor>
  <xdr:twoCellAnchor>
    <xdr:from>
      <xdr:col>9</xdr:col>
      <xdr:colOff>903754</xdr:colOff>
      <xdr:row>12</xdr:row>
      <xdr:rowOff>150158</xdr:rowOff>
    </xdr:from>
    <xdr:to>
      <xdr:col>10</xdr:col>
      <xdr:colOff>1433711</xdr:colOff>
      <xdr:row>14</xdr:row>
      <xdr:rowOff>33056</xdr:rowOff>
    </xdr:to>
    <xdr:sp macro="" textlink="$J$44">
      <xdr:nvSpPr>
        <xdr:cNvPr id="46" name="TextBox 45">
          <a:extLst>
            <a:ext uri="{FF2B5EF4-FFF2-40B4-BE49-F238E27FC236}">
              <a16:creationId xmlns:a16="http://schemas.microsoft.com/office/drawing/2014/main" id="{4E5FDF6B-386F-464F-89BA-ADBFDA2C3E39}"/>
            </a:ext>
          </a:extLst>
        </xdr:cNvPr>
        <xdr:cNvSpPr txBox="1"/>
      </xdr:nvSpPr>
      <xdr:spPr>
        <a:xfrm>
          <a:off x="17267704" y="2674283"/>
          <a:ext cx="2577832"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Including</a:t>
          </a:r>
          <a:r>
            <a:rPr lang="en-US" sz="1000" b="1" i="0" u="none" strike="noStrike" baseline="0">
              <a:solidFill>
                <a:srgbClr val="0C769E"/>
              </a:solidFill>
              <a:latin typeface="Arial"/>
              <a:cs typeface="Arial"/>
            </a:rPr>
            <a:t> removals (</a:t>
          </a:r>
          <a:r>
            <a:rPr lang="en-US" sz="1000" b="1" i="0" u="none" strike="noStrike">
              <a:solidFill>
                <a:srgbClr val="0C769E"/>
              </a:solidFill>
              <a:latin typeface="Arial"/>
              <a:cs typeface="Arial"/>
            </a:rPr>
            <a:t>Net emissions)</a:t>
          </a:r>
          <a:endParaRPr lang="en-AU" sz="1000" b="1">
            <a:solidFill>
              <a:srgbClr val="0C769E"/>
            </a:solidFill>
          </a:endParaRPr>
        </a:p>
      </xdr:txBody>
    </xdr:sp>
    <xdr:clientData/>
  </xdr:twoCellAnchor>
  <xdr:twoCellAnchor>
    <xdr:from>
      <xdr:col>8</xdr:col>
      <xdr:colOff>619125</xdr:colOff>
      <xdr:row>10</xdr:row>
      <xdr:rowOff>172010</xdr:rowOff>
    </xdr:from>
    <xdr:to>
      <xdr:col>9</xdr:col>
      <xdr:colOff>107577</xdr:colOff>
      <xdr:row>12</xdr:row>
      <xdr:rowOff>54907</xdr:rowOff>
    </xdr:to>
    <xdr:sp macro="" textlink="$J$44">
      <xdr:nvSpPr>
        <xdr:cNvPr id="47" name="TextBox 46">
          <a:extLst>
            <a:ext uri="{FF2B5EF4-FFF2-40B4-BE49-F238E27FC236}">
              <a16:creationId xmlns:a16="http://schemas.microsoft.com/office/drawing/2014/main" id="{30A6A9A1-0600-4C2A-BEF9-25BCF7D053B0}"/>
            </a:ext>
          </a:extLst>
        </xdr:cNvPr>
        <xdr:cNvSpPr txBox="1"/>
      </xdr:nvSpPr>
      <xdr:spPr>
        <a:xfrm>
          <a:off x="14935200" y="2296085"/>
          <a:ext cx="1536327"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1</a:t>
          </a:r>
          <a:endParaRPr lang="en-AU" sz="1000" b="0">
            <a:solidFill>
              <a:schemeClr val="bg2">
                <a:lumMod val="50000"/>
              </a:schemeClr>
            </a:solidFill>
          </a:endParaRPr>
        </a:p>
      </xdr:txBody>
    </xdr:sp>
    <xdr:clientData/>
  </xdr:twoCellAnchor>
  <xdr:twoCellAnchor>
    <xdr:from>
      <xdr:col>8</xdr:col>
      <xdr:colOff>657225</xdr:colOff>
      <xdr:row>8</xdr:row>
      <xdr:rowOff>174812</xdr:rowOff>
    </xdr:from>
    <xdr:to>
      <xdr:col>9</xdr:col>
      <xdr:colOff>798979</xdr:colOff>
      <xdr:row>10</xdr:row>
      <xdr:rowOff>143435</xdr:rowOff>
    </xdr:to>
    <xdr:sp macro="" textlink="">
      <xdr:nvSpPr>
        <xdr:cNvPr id="48" name="TextBox 47">
          <a:extLst>
            <a:ext uri="{FF2B5EF4-FFF2-40B4-BE49-F238E27FC236}">
              <a16:creationId xmlns:a16="http://schemas.microsoft.com/office/drawing/2014/main" id="{E0BFA7CF-30B9-49C5-94B8-46066A33642A}"/>
            </a:ext>
          </a:extLst>
        </xdr:cNvPr>
        <xdr:cNvSpPr txBox="1"/>
      </xdr:nvSpPr>
      <xdr:spPr>
        <a:xfrm>
          <a:off x="14973300" y="1898837"/>
          <a:ext cx="2189629" cy="368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a:solidFill>
                <a:srgbClr val="0C769E"/>
              </a:solidFill>
            </a:rPr>
            <a:t>Mass allocation</a:t>
          </a:r>
        </a:p>
      </xdr:txBody>
    </xdr:sp>
    <xdr:clientData/>
  </xdr:twoCellAnchor>
  <xdr:twoCellAnchor>
    <xdr:from>
      <xdr:col>8</xdr:col>
      <xdr:colOff>666750</xdr:colOff>
      <xdr:row>10</xdr:row>
      <xdr:rowOff>147552</xdr:rowOff>
    </xdr:from>
    <xdr:to>
      <xdr:col>14</xdr:col>
      <xdr:colOff>282948</xdr:colOff>
      <xdr:row>10</xdr:row>
      <xdr:rowOff>162485</xdr:rowOff>
    </xdr:to>
    <xdr:cxnSp macro="">
      <xdr:nvCxnSpPr>
        <xdr:cNvPr id="49" name="Straight Connector 48">
          <a:extLst>
            <a:ext uri="{FF2B5EF4-FFF2-40B4-BE49-F238E27FC236}">
              <a16:creationId xmlns:a16="http://schemas.microsoft.com/office/drawing/2014/main" id="{FC6F194F-AD0D-42E3-9F8A-F06B07808247}"/>
            </a:ext>
          </a:extLst>
        </xdr:cNvPr>
        <xdr:cNvCxnSpPr/>
      </xdr:nvCxnSpPr>
      <xdr:spPr>
        <a:xfrm flipV="1">
          <a:off x="14982825" y="2271627"/>
          <a:ext cx="10465173" cy="14933"/>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156882</xdr:colOff>
      <xdr:row>12</xdr:row>
      <xdr:rowOff>150158</xdr:rowOff>
    </xdr:from>
    <xdr:to>
      <xdr:col>11</xdr:col>
      <xdr:colOff>1696009</xdr:colOff>
      <xdr:row>14</xdr:row>
      <xdr:rowOff>33056</xdr:rowOff>
    </xdr:to>
    <xdr:sp macro="" textlink="$J$44">
      <xdr:nvSpPr>
        <xdr:cNvPr id="50" name="TextBox 49">
          <a:extLst>
            <a:ext uri="{FF2B5EF4-FFF2-40B4-BE49-F238E27FC236}">
              <a16:creationId xmlns:a16="http://schemas.microsoft.com/office/drawing/2014/main" id="{CAA51722-00E3-4D47-B270-7E9443D62D10}"/>
            </a:ext>
          </a:extLst>
        </xdr:cNvPr>
        <xdr:cNvSpPr txBox="1"/>
      </xdr:nvSpPr>
      <xdr:spPr>
        <a:xfrm>
          <a:off x="20616582" y="2674283"/>
          <a:ext cx="1539127"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Excluding removals</a:t>
          </a:r>
          <a:endParaRPr lang="en-AU" sz="1000" b="1">
            <a:solidFill>
              <a:srgbClr val="0C769E"/>
            </a:solidFill>
          </a:endParaRPr>
        </a:p>
      </xdr:txBody>
    </xdr:sp>
    <xdr:clientData/>
  </xdr:twoCellAnchor>
  <xdr:twoCellAnchor>
    <xdr:from>
      <xdr:col>12</xdr:col>
      <xdr:colOff>593912</xdr:colOff>
      <xdr:row>12</xdr:row>
      <xdr:rowOff>150158</xdr:rowOff>
    </xdr:from>
    <xdr:to>
      <xdr:col>14</xdr:col>
      <xdr:colOff>483451</xdr:colOff>
      <xdr:row>14</xdr:row>
      <xdr:rowOff>33056</xdr:rowOff>
    </xdr:to>
    <xdr:sp macro="" textlink="$J$44">
      <xdr:nvSpPr>
        <xdr:cNvPr id="51" name="TextBox 50">
          <a:extLst>
            <a:ext uri="{FF2B5EF4-FFF2-40B4-BE49-F238E27FC236}">
              <a16:creationId xmlns:a16="http://schemas.microsoft.com/office/drawing/2014/main" id="{9A4D89AA-4DAE-42E0-9BBE-15B4511A8DB3}"/>
            </a:ext>
          </a:extLst>
        </xdr:cNvPr>
        <xdr:cNvSpPr txBox="1"/>
      </xdr:nvSpPr>
      <xdr:spPr>
        <a:xfrm>
          <a:off x="23101487" y="2674283"/>
          <a:ext cx="2547014"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Including</a:t>
          </a:r>
          <a:r>
            <a:rPr lang="en-US" sz="1000" b="1" i="0" u="none" strike="noStrike" baseline="0">
              <a:solidFill>
                <a:srgbClr val="0C769E"/>
              </a:solidFill>
              <a:latin typeface="Arial"/>
              <a:cs typeface="Arial"/>
            </a:rPr>
            <a:t> removals (</a:t>
          </a:r>
          <a:r>
            <a:rPr lang="en-US" sz="1000" b="1" i="0" u="none" strike="noStrike">
              <a:solidFill>
                <a:srgbClr val="0C769E"/>
              </a:solidFill>
              <a:latin typeface="Arial"/>
              <a:cs typeface="Arial"/>
            </a:rPr>
            <a:t>Net emissions)</a:t>
          </a:r>
          <a:endParaRPr lang="en-AU" sz="1000" b="1">
            <a:solidFill>
              <a:srgbClr val="0C769E"/>
            </a:solidFill>
          </a:endParaRPr>
        </a:p>
      </xdr:txBody>
    </xdr:sp>
    <xdr:clientData/>
  </xdr:twoCellAnchor>
  <xdr:twoCellAnchor>
    <xdr:from>
      <xdr:col>11</xdr:col>
      <xdr:colOff>156882</xdr:colOff>
      <xdr:row>10</xdr:row>
      <xdr:rowOff>172010</xdr:rowOff>
    </xdr:from>
    <xdr:to>
      <xdr:col>11</xdr:col>
      <xdr:colOff>1696009</xdr:colOff>
      <xdr:row>12</xdr:row>
      <xdr:rowOff>54907</xdr:rowOff>
    </xdr:to>
    <xdr:sp macro="" textlink="$J$44">
      <xdr:nvSpPr>
        <xdr:cNvPr id="52" name="TextBox 51">
          <a:extLst>
            <a:ext uri="{FF2B5EF4-FFF2-40B4-BE49-F238E27FC236}">
              <a16:creationId xmlns:a16="http://schemas.microsoft.com/office/drawing/2014/main" id="{2291CF9D-F346-4E41-9B29-0357F54411D4}"/>
            </a:ext>
          </a:extLst>
        </xdr:cNvPr>
        <xdr:cNvSpPr txBox="1"/>
      </xdr:nvSpPr>
      <xdr:spPr>
        <a:xfrm>
          <a:off x="20616582" y="2296085"/>
          <a:ext cx="1539127"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2</a:t>
          </a:r>
          <a:endParaRPr lang="en-AU" sz="1000" b="0">
            <a:solidFill>
              <a:schemeClr val="bg2">
                <a:lumMod val="50000"/>
              </a:schemeClr>
            </a:solidFill>
          </a:endParaRPr>
        </a:p>
      </xdr:txBody>
    </xdr:sp>
    <xdr:clientData/>
  </xdr:twoCellAnchor>
  <xdr:twoCellAnchor>
    <xdr:from>
      <xdr:col>8</xdr:col>
      <xdr:colOff>619125</xdr:colOff>
      <xdr:row>12</xdr:row>
      <xdr:rowOff>73958</xdr:rowOff>
    </xdr:from>
    <xdr:to>
      <xdr:col>10</xdr:col>
      <xdr:colOff>1404658</xdr:colOff>
      <xdr:row>12</xdr:row>
      <xdr:rowOff>73958</xdr:rowOff>
    </xdr:to>
    <xdr:cxnSp macro="">
      <xdr:nvCxnSpPr>
        <xdr:cNvPr id="53" name="Straight Connector 52">
          <a:extLst>
            <a:ext uri="{FF2B5EF4-FFF2-40B4-BE49-F238E27FC236}">
              <a16:creationId xmlns:a16="http://schemas.microsoft.com/office/drawing/2014/main" id="{27F6FC0D-7975-4848-94A7-5DA27AAA09B4}"/>
            </a:ext>
          </a:extLst>
        </xdr:cNvPr>
        <xdr:cNvCxnSpPr/>
      </xdr:nvCxnSpPr>
      <xdr:spPr>
        <a:xfrm>
          <a:off x="14935200" y="2598083"/>
          <a:ext cx="4881283"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156882</xdr:colOff>
      <xdr:row>12</xdr:row>
      <xdr:rowOff>73958</xdr:rowOff>
    </xdr:from>
    <xdr:to>
      <xdr:col>14</xdr:col>
      <xdr:colOff>301997</xdr:colOff>
      <xdr:row>12</xdr:row>
      <xdr:rowOff>73958</xdr:rowOff>
    </xdr:to>
    <xdr:cxnSp macro="">
      <xdr:nvCxnSpPr>
        <xdr:cNvPr id="54" name="Straight Connector 53">
          <a:extLst>
            <a:ext uri="{FF2B5EF4-FFF2-40B4-BE49-F238E27FC236}">
              <a16:creationId xmlns:a16="http://schemas.microsoft.com/office/drawing/2014/main" id="{E47C32BA-7C0F-4B0B-8CB8-BCD57BF802FD}"/>
            </a:ext>
          </a:extLst>
        </xdr:cNvPr>
        <xdr:cNvCxnSpPr/>
      </xdr:nvCxnSpPr>
      <xdr:spPr>
        <a:xfrm>
          <a:off x="20616582" y="2598083"/>
          <a:ext cx="4850465"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619125</xdr:colOff>
      <xdr:row>24</xdr:row>
      <xdr:rowOff>45944</xdr:rowOff>
    </xdr:from>
    <xdr:to>
      <xdr:col>9</xdr:col>
      <xdr:colOff>107577</xdr:colOff>
      <xdr:row>25</xdr:row>
      <xdr:rowOff>127186</xdr:rowOff>
    </xdr:to>
    <xdr:sp macro="" textlink="$J$44">
      <xdr:nvSpPr>
        <xdr:cNvPr id="55" name="TextBox 54">
          <a:extLst>
            <a:ext uri="{FF2B5EF4-FFF2-40B4-BE49-F238E27FC236}">
              <a16:creationId xmlns:a16="http://schemas.microsoft.com/office/drawing/2014/main" id="{C2457FCE-1335-464A-888C-6A753098490A}"/>
            </a:ext>
          </a:extLst>
        </xdr:cNvPr>
        <xdr:cNvSpPr txBox="1"/>
      </xdr:nvSpPr>
      <xdr:spPr>
        <a:xfrm>
          <a:off x="14935200" y="4970369"/>
          <a:ext cx="1536327"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Excluding removals</a:t>
          </a:r>
          <a:endParaRPr lang="en-AU" sz="1000" b="1">
            <a:solidFill>
              <a:srgbClr val="4F4789"/>
            </a:solidFill>
          </a:endParaRPr>
        </a:p>
      </xdr:txBody>
    </xdr:sp>
    <xdr:clientData/>
  </xdr:twoCellAnchor>
  <xdr:twoCellAnchor>
    <xdr:from>
      <xdr:col>9</xdr:col>
      <xdr:colOff>989001</xdr:colOff>
      <xdr:row>24</xdr:row>
      <xdr:rowOff>45944</xdr:rowOff>
    </xdr:from>
    <xdr:to>
      <xdr:col>10</xdr:col>
      <xdr:colOff>1518958</xdr:colOff>
      <xdr:row>25</xdr:row>
      <xdr:rowOff>127186</xdr:rowOff>
    </xdr:to>
    <xdr:sp macro="" textlink="$J$44">
      <xdr:nvSpPr>
        <xdr:cNvPr id="56" name="TextBox 55">
          <a:extLst>
            <a:ext uri="{FF2B5EF4-FFF2-40B4-BE49-F238E27FC236}">
              <a16:creationId xmlns:a16="http://schemas.microsoft.com/office/drawing/2014/main" id="{B1549C1D-0B81-4337-863B-59058DBE5144}"/>
            </a:ext>
          </a:extLst>
        </xdr:cNvPr>
        <xdr:cNvSpPr txBox="1"/>
      </xdr:nvSpPr>
      <xdr:spPr>
        <a:xfrm>
          <a:off x="17352951" y="4970369"/>
          <a:ext cx="2577832"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Including</a:t>
          </a:r>
          <a:r>
            <a:rPr lang="en-US" sz="1000" b="1" i="0" u="none" strike="noStrike" baseline="0">
              <a:solidFill>
                <a:srgbClr val="4F4789"/>
              </a:solidFill>
              <a:latin typeface="Arial"/>
              <a:cs typeface="Arial"/>
            </a:rPr>
            <a:t> removals (</a:t>
          </a:r>
          <a:r>
            <a:rPr lang="en-US" sz="1000" b="1" i="0" u="none" strike="noStrike">
              <a:solidFill>
                <a:srgbClr val="4F4789"/>
              </a:solidFill>
              <a:latin typeface="Arial"/>
              <a:cs typeface="Arial"/>
            </a:rPr>
            <a:t>Net emissions)</a:t>
          </a:r>
          <a:endParaRPr lang="en-AU" sz="1000" b="1">
            <a:solidFill>
              <a:srgbClr val="4F4789"/>
            </a:solidFill>
          </a:endParaRPr>
        </a:p>
      </xdr:txBody>
    </xdr:sp>
    <xdr:clientData/>
  </xdr:twoCellAnchor>
  <xdr:twoCellAnchor>
    <xdr:from>
      <xdr:col>8</xdr:col>
      <xdr:colOff>619125</xdr:colOff>
      <xdr:row>22</xdr:row>
      <xdr:rowOff>69476</xdr:rowOff>
    </xdr:from>
    <xdr:to>
      <xdr:col>9</xdr:col>
      <xdr:colOff>107577</xdr:colOff>
      <xdr:row>23</xdr:row>
      <xdr:rowOff>149037</xdr:rowOff>
    </xdr:to>
    <xdr:sp macro="" textlink="$J$44">
      <xdr:nvSpPr>
        <xdr:cNvPr id="57" name="TextBox 56">
          <a:extLst>
            <a:ext uri="{FF2B5EF4-FFF2-40B4-BE49-F238E27FC236}">
              <a16:creationId xmlns:a16="http://schemas.microsoft.com/office/drawing/2014/main" id="{FE957AF1-3E34-49B8-8284-5F241DD6754F}"/>
            </a:ext>
          </a:extLst>
        </xdr:cNvPr>
        <xdr:cNvSpPr txBox="1"/>
      </xdr:nvSpPr>
      <xdr:spPr>
        <a:xfrm>
          <a:off x="14935200" y="4593851"/>
          <a:ext cx="1536327"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1</a:t>
          </a:r>
          <a:endParaRPr lang="en-AU" sz="1000" b="0">
            <a:solidFill>
              <a:schemeClr val="bg2">
                <a:lumMod val="50000"/>
              </a:schemeClr>
            </a:solidFill>
          </a:endParaRPr>
        </a:p>
      </xdr:txBody>
    </xdr:sp>
    <xdr:clientData/>
  </xdr:twoCellAnchor>
  <xdr:oneCellAnchor>
    <xdr:from>
      <xdr:col>8</xdr:col>
      <xdr:colOff>619125</xdr:colOff>
      <xdr:row>16</xdr:row>
      <xdr:rowOff>49306</xdr:rowOff>
    </xdr:from>
    <xdr:ext cx="1978747" cy="254493"/>
    <xdr:sp macro="" textlink="">
      <xdr:nvSpPr>
        <xdr:cNvPr id="58" name="TextBox 57">
          <a:extLst>
            <a:ext uri="{FF2B5EF4-FFF2-40B4-BE49-F238E27FC236}">
              <a16:creationId xmlns:a16="http://schemas.microsoft.com/office/drawing/2014/main" id="{8018A076-4230-44F6-AC4D-B2C611A5CCC6}"/>
            </a:ext>
          </a:extLst>
        </xdr:cNvPr>
        <xdr:cNvSpPr txBox="1"/>
      </xdr:nvSpPr>
      <xdr:spPr>
        <a:xfrm>
          <a:off x="14935200" y="3373531"/>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twoCellAnchor>
    <xdr:from>
      <xdr:col>8</xdr:col>
      <xdr:colOff>657225</xdr:colOff>
      <xdr:row>20</xdr:row>
      <xdr:rowOff>72277</xdr:rowOff>
    </xdr:from>
    <xdr:to>
      <xdr:col>9</xdr:col>
      <xdr:colOff>798979</xdr:colOff>
      <xdr:row>22</xdr:row>
      <xdr:rowOff>39220</xdr:rowOff>
    </xdr:to>
    <xdr:sp macro="" textlink="">
      <xdr:nvSpPr>
        <xdr:cNvPr id="59" name="TextBox 58">
          <a:extLst>
            <a:ext uri="{FF2B5EF4-FFF2-40B4-BE49-F238E27FC236}">
              <a16:creationId xmlns:a16="http://schemas.microsoft.com/office/drawing/2014/main" id="{B5895CE6-9EFB-401A-84F5-D1D08E220504}"/>
            </a:ext>
          </a:extLst>
        </xdr:cNvPr>
        <xdr:cNvSpPr txBox="1"/>
      </xdr:nvSpPr>
      <xdr:spPr>
        <a:xfrm>
          <a:off x="14973300" y="4196602"/>
          <a:ext cx="2189629" cy="3669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a:solidFill>
                <a:srgbClr val="4F4789"/>
              </a:solidFill>
            </a:rPr>
            <a:t>Economic allocation</a:t>
          </a:r>
        </a:p>
      </xdr:txBody>
    </xdr:sp>
    <xdr:clientData/>
  </xdr:twoCellAnchor>
  <xdr:twoCellAnchor>
    <xdr:from>
      <xdr:col>8</xdr:col>
      <xdr:colOff>666750</xdr:colOff>
      <xdr:row>22</xdr:row>
      <xdr:rowOff>43269</xdr:rowOff>
    </xdr:from>
    <xdr:to>
      <xdr:col>14</xdr:col>
      <xdr:colOff>330573</xdr:colOff>
      <xdr:row>22</xdr:row>
      <xdr:rowOff>59951</xdr:rowOff>
    </xdr:to>
    <xdr:cxnSp macro="">
      <xdr:nvCxnSpPr>
        <xdr:cNvPr id="60" name="Straight Connector 59">
          <a:extLst>
            <a:ext uri="{FF2B5EF4-FFF2-40B4-BE49-F238E27FC236}">
              <a16:creationId xmlns:a16="http://schemas.microsoft.com/office/drawing/2014/main" id="{31AB1B0E-DA92-4A29-8138-18836AFC625B}"/>
            </a:ext>
          </a:extLst>
        </xdr:cNvPr>
        <xdr:cNvCxnSpPr/>
      </xdr:nvCxnSpPr>
      <xdr:spPr>
        <a:xfrm flipV="1">
          <a:off x="14982825" y="4567644"/>
          <a:ext cx="10512798" cy="16682"/>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156882</xdr:colOff>
      <xdr:row>24</xdr:row>
      <xdr:rowOff>45944</xdr:rowOff>
    </xdr:from>
    <xdr:to>
      <xdr:col>11</xdr:col>
      <xdr:colOff>1696009</xdr:colOff>
      <xdr:row>25</xdr:row>
      <xdr:rowOff>127186</xdr:rowOff>
    </xdr:to>
    <xdr:sp macro="" textlink="$J$44">
      <xdr:nvSpPr>
        <xdr:cNvPr id="61" name="TextBox 60">
          <a:extLst>
            <a:ext uri="{FF2B5EF4-FFF2-40B4-BE49-F238E27FC236}">
              <a16:creationId xmlns:a16="http://schemas.microsoft.com/office/drawing/2014/main" id="{052C57AD-F5BE-4024-8EFD-5794965A3B59}"/>
            </a:ext>
          </a:extLst>
        </xdr:cNvPr>
        <xdr:cNvSpPr txBox="1"/>
      </xdr:nvSpPr>
      <xdr:spPr>
        <a:xfrm>
          <a:off x="20616582" y="4970369"/>
          <a:ext cx="1539127"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Excluding removals</a:t>
          </a:r>
          <a:endParaRPr lang="en-AU" sz="1000" b="1">
            <a:solidFill>
              <a:srgbClr val="4F4789"/>
            </a:solidFill>
          </a:endParaRPr>
        </a:p>
      </xdr:txBody>
    </xdr:sp>
    <xdr:clientData/>
  </xdr:twoCellAnchor>
  <xdr:twoCellAnchor>
    <xdr:from>
      <xdr:col>11</xdr:col>
      <xdr:colOff>156882</xdr:colOff>
      <xdr:row>22</xdr:row>
      <xdr:rowOff>69476</xdr:rowOff>
    </xdr:from>
    <xdr:to>
      <xdr:col>11</xdr:col>
      <xdr:colOff>1696009</xdr:colOff>
      <xdr:row>23</xdr:row>
      <xdr:rowOff>149037</xdr:rowOff>
    </xdr:to>
    <xdr:sp macro="" textlink="$J$44">
      <xdr:nvSpPr>
        <xdr:cNvPr id="62" name="TextBox 61">
          <a:extLst>
            <a:ext uri="{FF2B5EF4-FFF2-40B4-BE49-F238E27FC236}">
              <a16:creationId xmlns:a16="http://schemas.microsoft.com/office/drawing/2014/main" id="{73118114-86B4-4819-B5D7-9A7877CB1111}"/>
            </a:ext>
          </a:extLst>
        </xdr:cNvPr>
        <xdr:cNvSpPr txBox="1"/>
      </xdr:nvSpPr>
      <xdr:spPr>
        <a:xfrm>
          <a:off x="20616582" y="4593851"/>
          <a:ext cx="1539127"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2</a:t>
          </a:r>
          <a:endParaRPr lang="en-AU" sz="1000" b="0">
            <a:solidFill>
              <a:schemeClr val="bg2">
                <a:lumMod val="50000"/>
              </a:schemeClr>
            </a:solidFill>
          </a:endParaRPr>
        </a:p>
      </xdr:txBody>
    </xdr:sp>
    <xdr:clientData/>
  </xdr:twoCellAnchor>
  <xdr:twoCellAnchor>
    <xdr:from>
      <xdr:col>8</xdr:col>
      <xdr:colOff>619125</xdr:colOff>
      <xdr:row>23</xdr:row>
      <xdr:rowOff>168088</xdr:rowOff>
    </xdr:from>
    <xdr:to>
      <xdr:col>10</xdr:col>
      <xdr:colOff>1433233</xdr:colOff>
      <xdr:row>23</xdr:row>
      <xdr:rowOff>168088</xdr:rowOff>
    </xdr:to>
    <xdr:cxnSp macro="">
      <xdr:nvCxnSpPr>
        <xdr:cNvPr id="63" name="Straight Connector 62">
          <a:extLst>
            <a:ext uri="{FF2B5EF4-FFF2-40B4-BE49-F238E27FC236}">
              <a16:creationId xmlns:a16="http://schemas.microsoft.com/office/drawing/2014/main" id="{9362D316-208B-47AC-8180-818BAB6A9FF0}"/>
            </a:ext>
          </a:extLst>
        </xdr:cNvPr>
        <xdr:cNvCxnSpPr/>
      </xdr:nvCxnSpPr>
      <xdr:spPr>
        <a:xfrm>
          <a:off x="14935200" y="4892488"/>
          <a:ext cx="4909858"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156882</xdr:colOff>
      <xdr:row>23</xdr:row>
      <xdr:rowOff>168088</xdr:rowOff>
    </xdr:from>
    <xdr:to>
      <xdr:col>14</xdr:col>
      <xdr:colOff>340097</xdr:colOff>
      <xdr:row>23</xdr:row>
      <xdr:rowOff>168088</xdr:rowOff>
    </xdr:to>
    <xdr:cxnSp macro="">
      <xdr:nvCxnSpPr>
        <xdr:cNvPr id="64" name="Straight Connector 63">
          <a:extLst>
            <a:ext uri="{FF2B5EF4-FFF2-40B4-BE49-F238E27FC236}">
              <a16:creationId xmlns:a16="http://schemas.microsoft.com/office/drawing/2014/main" id="{410F0CE1-6870-4E52-B057-FDCE7B54B6C7}"/>
            </a:ext>
          </a:extLst>
        </xdr:cNvPr>
        <xdr:cNvCxnSpPr/>
      </xdr:nvCxnSpPr>
      <xdr:spPr>
        <a:xfrm>
          <a:off x="20616582" y="4892488"/>
          <a:ext cx="4888565"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9</xdr:col>
      <xdr:colOff>903754</xdr:colOff>
      <xdr:row>16</xdr:row>
      <xdr:rowOff>49306</xdr:rowOff>
    </xdr:from>
    <xdr:ext cx="1978747" cy="254493"/>
    <xdr:sp macro="" textlink="">
      <xdr:nvSpPr>
        <xdr:cNvPr id="65" name="TextBox 64">
          <a:extLst>
            <a:ext uri="{FF2B5EF4-FFF2-40B4-BE49-F238E27FC236}">
              <a16:creationId xmlns:a16="http://schemas.microsoft.com/office/drawing/2014/main" id="{07851F2D-4B2D-4D89-9AB3-9F6916A260EA}"/>
            </a:ext>
          </a:extLst>
        </xdr:cNvPr>
        <xdr:cNvSpPr txBox="1"/>
      </xdr:nvSpPr>
      <xdr:spPr>
        <a:xfrm>
          <a:off x="17267704" y="3373531"/>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11</xdr:col>
      <xdr:colOff>156882</xdr:colOff>
      <xdr:row>16</xdr:row>
      <xdr:rowOff>49306</xdr:rowOff>
    </xdr:from>
    <xdr:ext cx="1978747" cy="254493"/>
    <xdr:sp macro="" textlink="">
      <xdr:nvSpPr>
        <xdr:cNvPr id="66" name="TextBox 65">
          <a:extLst>
            <a:ext uri="{FF2B5EF4-FFF2-40B4-BE49-F238E27FC236}">
              <a16:creationId xmlns:a16="http://schemas.microsoft.com/office/drawing/2014/main" id="{52CEC779-E6E8-4985-B92E-43B55A7D33A1}"/>
            </a:ext>
          </a:extLst>
        </xdr:cNvPr>
        <xdr:cNvSpPr txBox="1"/>
      </xdr:nvSpPr>
      <xdr:spPr>
        <a:xfrm>
          <a:off x="20616582" y="3373531"/>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12</xdr:col>
      <xdr:colOff>593912</xdr:colOff>
      <xdr:row>16</xdr:row>
      <xdr:rowOff>49306</xdr:rowOff>
    </xdr:from>
    <xdr:ext cx="1978747" cy="254493"/>
    <xdr:sp macro="" textlink="">
      <xdr:nvSpPr>
        <xdr:cNvPr id="67" name="TextBox 66">
          <a:extLst>
            <a:ext uri="{FF2B5EF4-FFF2-40B4-BE49-F238E27FC236}">
              <a16:creationId xmlns:a16="http://schemas.microsoft.com/office/drawing/2014/main" id="{FAD87E48-EA22-47A6-99BB-D8C013B5CFC9}"/>
            </a:ext>
          </a:extLst>
        </xdr:cNvPr>
        <xdr:cNvSpPr txBox="1"/>
      </xdr:nvSpPr>
      <xdr:spPr>
        <a:xfrm>
          <a:off x="23101487" y="3373531"/>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8</xdr:col>
      <xdr:colOff>619125</xdr:colOff>
      <xdr:row>28</xdr:row>
      <xdr:rowOff>38660</xdr:rowOff>
    </xdr:from>
    <xdr:ext cx="1978747" cy="254493"/>
    <xdr:sp macro="" textlink="">
      <xdr:nvSpPr>
        <xdr:cNvPr id="68" name="TextBox 67">
          <a:extLst>
            <a:ext uri="{FF2B5EF4-FFF2-40B4-BE49-F238E27FC236}">
              <a16:creationId xmlns:a16="http://schemas.microsoft.com/office/drawing/2014/main" id="{2EAA6F5C-6F7B-40F9-811A-D6E1888403C8}"/>
            </a:ext>
          </a:extLst>
        </xdr:cNvPr>
        <xdr:cNvSpPr txBox="1"/>
      </xdr:nvSpPr>
      <xdr:spPr>
        <a:xfrm>
          <a:off x="14935200" y="5763185"/>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9</xdr:col>
      <xdr:colOff>913279</xdr:colOff>
      <xdr:row>28</xdr:row>
      <xdr:rowOff>38660</xdr:rowOff>
    </xdr:from>
    <xdr:ext cx="1978747" cy="254493"/>
    <xdr:sp macro="" textlink="">
      <xdr:nvSpPr>
        <xdr:cNvPr id="69" name="TextBox 68">
          <a:extLst>
            <a:ext uri="{FF2B5EF4-FFF2-40B4-BE49-F238E27FC236}">
              <a16:creationId xmlns:a16="http://schemas.microsoft.com/office/drawing/2014/main" id="{F9068E14-ACE0-4CAD-AECE-0BFE16200958}"/>
            </a:ext>
          </a:extLst>
        </xdr:cNvPr>
        <xdr:cNvSpPr txBox="1"/>
      </xdr:nvSpPr>
      <xdr:spPr>
        <a:xfrm>
          <a:off x="17277229" y="5763185"/>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11</xdr:col>
      <xdr:colOff>156882</xdr:colOff>
      <xdr:row>28</xdr:row>
      <xdr:rowOff>38660</xdr:rowOff>
    </xdr:from>
    <xdr:ext cx="1978747" cy="254493"/>
    <xdr:sp macro="" textlink="">
      <xdr:nvSpPr>
        <xdr:cNvPr id="70" name="TextBox 69">
          <a:extLst>
            <a:ext uri="{FF2B5EF4-FFF2-40B4-BE49-F238E27FC236}">
              <a16:creationId xmlns:a16="http://schemas.microsoft.com/office/drawing/2014/main" id="{E7C7D547-8ECA-4F8C-8903-C11288BE087A}"/>
            </a:ext>
          </a:extLst>
        </xdr:cNvPr>
        <xdr:cNvSpPr txBox="1"/>
      </xdr:nvSpPr>
      <xdr:spPr>
        <a:xfrm>
          <a:off x="20616582" y="5763185"/>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12</xdr:col>
      <xdr:colOff>660587</xdr:colOff>
      <xdr:row>28</xdr:row>
      <xdr:rowOff>29135</xdr:rowOff>
    </xdr:from>
    <xdr:ext cx="1978747" cy="254493"/>
    <xdr:sp macro="" textlink="">
      <xdr:nvSpPr>
        <xdr:cNvPr id="71" name="TextBox 70">
          <a:extLst>
            <a:ext uri="{FF2B5EF4-FFF2-40B4-BE49-F238E27FC236}">
              <a16:creationId xmlns:a16="http://schemas.microsoft.com/office/drawing/2014/main" id="{D0CF1DF7-7292-4165-8711-509C773EDAE4}"/>
            </a:ext>
          </a:extLst>
        </xdr:cNvPr>
        <xdr:cNvSpPr txBox="1"/>
      </xdr:nvSpPr>
      <xdr:spPr>
        <a:xfrm>
          <a:off x="23168162" y="5753660"/>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twoCellAnchor>
    <xdr:from>
      <xdr:col>9</xdr:col>
      <xdr:colOff>941854</xdr:colOff>
      <xdr:row>25</xdr:row>
      <xdr:rowOff>155762</xdr:rowOff>
    </xdr:from>
    <xdr:to>
      <xdr:col>10</xdr:col>
      <xdr:colOff>852208</xdr:colOff>
      <xdr:row>28</xdr:row>
      <xdr:rowOff>108696</xdr:rowOff>
    </xdr:to>
    <xdr:sp macro="" textlink="$H$57">
      <xdr:nvSpPr>
        <xdr:cNvPr id="72" name="TextBox 71">
          <a:extLst>
            <a:ext uri="{FF2B5EF4-FFF2-40B4-BE49-F238E27FC236}">
              <a16:creationId xmlns:a16="http://schemas.microsoft.com/office/drawing/2014/main" id="{BE557F85-4062-4FB4-81F7-E131505EA05A}"/>
            </a:ext>
          </a:extLst>
        </xdr:cNvPr>
        <xdr:cNvSpPr txBox="1"/>
      </xdr:nvSpPr>
      <xdr:spPr>
        <a:xfrm>
          <a:off x="17305804" y="5280212"/>
          <a:ext cx="1958229"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B945A79A-D657-45FF-8794-B3F7FE79A7B2}" type="TxLink">
            <a:rPr lang="en-US" sz="2600" b="1" i="0" u="none" strike="noStrike">
              <a:solidFill>
                <a:srgbClr val="4F4789"/>
              </a:solidFill>
              <a:latin typeface="Arial"/>
              <a:ea typeface="+mn-ea"/>
              <a:cs typeface="Arial"/>
            </a:rPr>
            <a:pPr marL="0" indent="0"/>
            <a:t>7.86448293</a:t>
          </a:fld>
          <a:endParaRPr lang="en-AU" sz="2600" b="1" i="0" u="none" strike="noStrike">
            <a:solidFill>
              <a:srgbClr val="4F4789"/>
            </a:solidFill>
            <a:latin typeface="Arial"/>
            <a:ea typeface="+mn-ea"/>
            <a:cs typeface="Arial"/>
          </a:endParaRPr>
        </a:p>
      </xdr:txBody>
    </xdr:sp>
    <xdr:clientData/>
  </xdr:twoCellAnchor>
  <xdr:twoCellAnchor>
    <xdr:from>
      <xdr:col>12</xdr:col>
      <xdr:colOff>651061</xdr:colOff>
      <xdr:row>25</xdr:row>
      <xdr:rowOff>174812</xdr:rowOff>
    </xdr:from>
    <xdr:to>
      <xdr:col>13</xdr:col>
      <xdr:colOff>558613</xdr:colOff>
      <xdr:row>28</xdr:row>
      <xdr:rowOff>80121</xdr:rowOff>
    </xdr:to>
    <xdr:sp macro="" textlink="$I$57">
      <xdr:nvSpPr>
        <xdr:cNvPr id="73" name="TextBox 72">
          <a:extLst>
            <a:ext uri="{FF2B5EF4-FFF2-40B4-BE49-F238E27FC236}">
              <a16:creationId xmlns:a16="http://schemas.microsoft.com/office/drawing/2014/main" id="{5340FD41-98CA-4985-962A-5C20A0709F81}"/>
            </a:ext>
          </a:extLst>
        </xdr:cNvPr>
        <xdr:cNvSpPr txBox="1"/>
      </xdr:nvSpPr>
      <xdr:spPr>
        <a:xfrm>
          <a:off x="23158636" y="5299262"/>
          <a:ext cx="1955427"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A0887E06-5564-4610-905A-7D5E4A0E50F4}" type="TxLink">
            <a:rPr lang="en-US" sz="2600" b="1" i="0" u="none" strike="noStrike">
              <a:solidFill>
                <a:srgbClr val="4F4789"/>
              </a:solidFill>
              <a:latin typeface="Arial"/>
              <a:ea typeface="+mn-ea"/>
              <a:cs typeface="Arial"/>
            </a:rPr>
            <a:pPr marL="0" indent="0"/>
            <a:t>31.92308506</a:t>
          </a:fld>
          <a:endParaRPr lang="en-AU" sz="2600" b="1" i="0" u="none" strike="noStrike">
            <a:solidFill>
              <a:srgbClr val="4F4789"/>
            </a:solidFill>
            <a:latin typeface="Arial"/>
            <a:ea typeface="+mn-ea"/>
            <a:cs typeface="Arial"/>
          </a:endParaRPr>
        </a:p>
      </xdr:txBody>
    </xdr:sp>
    <xdr:clientData/>
  </xdr:twoCellAnchor>
  <xdr:twoCellAnchor>
    <xdr:from>
      <xdr:col>3</xdr:col>
      <xdr:colOff>1066240</xdr:colOff>
      <xdr:row>5</xdr:row>
      <xdr:rowOff>60512</xdr:rowOff>
    </xdr:from>
    <xdr:to>
      <xdr:col>4</xdr:col>
      <xdr:colOff>1113865</xdr:colOff>
      <xdr:row>7</xdr:row>
      <xdr:rowOff>42583</xdr:rowOff>
    </xdr:to>
    <xdr:sp macro="" textlink="">
      <xdr:nvSpPr>
        <xdr:cNvPr id="74" name="TextBox 73">
          <a:extLst>
            <a:ext uri="{FF2B5EF4-FFF2-40B4-BE49-F238E27FC236}">
              <a16:creationId xmlns:a16="http://schemas.microsoft.com/office/drawing/2014/main" id="{6BD0EE42-F585-4C13-AAF7-12318C248B76}"/>
            </a:ext>
          </a:extLst>
        </xdr:cNvPr>
        <xdr:cNvSpPr txBox="1"/>
      </xdr:nvSpPr>
      <xdr:spPr>
        <a:xfrm>
          <a:off x="3742765" y="1184462"/>
          <a:ext cx="3495675" cy="3821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800"/>
            <a:t>Grain sold</a:t>
          </a:r>
        </a:p>
      </xdr:txBody>
    </xdr:sp>
    <xdr:clientData/>
  </xdr:twoCellAnchor>
  <xdr:twoCellAnchor editAs="oneCell">
    <xdr:from>
      <xdr:col>3</xdr:col>
      <xdr:colOff>113741</xdr:colOff>
      <xdr:row>4</xdr:row>
      <xdr:rowOff>38099</xdr:rowOff>
    </xdr:from>
    <xdr:to>
      <xdr:col>3</xdr:col>
      <xdr:colOff>954995</xdr:colOff>
      <xdr:row>8</xdr:row>
      <xdr:rowOff>31938</xdr:rowOff>
    </xdr:to>
    <xdr:pic>
      <xdr:nvPicPr>
        <xdr:cNvPr id="75" name="Picture 74">
          <a:extLst>
            <a:ext uri="{FF2B5EF4-FFF2-40B4-BE49-F238E27FC236}">
              <a16:creationId xmlns:a16="http://schemas.microsoft.com/office/drawing/2014/main" id="{41686E1C-36A9-46FC-8A08-B582578594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l="6954" r="6954"/>
        <a:stretch/>
      </xdr:blipFill>
      <xdr:spPr>
        <a:xfrm>
          <a:off x="2790266" y="962024"/>
          <a:ext cx="841254" cy="793939"/>
        </a:xfrm>
        <a:prstGeom prst="ellipse">
          <a:avLst/>
        </a:prstGeom>
        <a:ln w="38100" cap="rnd">
          <a:solidFill>
            <a:srgbClr val="333333"/>
          </a:solidFill>
        </a:ln>
        <a:effectLst>
          <a:outerShdw blurRad="50800" dist="38100" dir="5400000" algn="t" rotWithShape="0">
            <a:prstClr val="black">
              <a:alpha val="40000"/>
            </a:prst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8</xdr:col>
      <xdr:colOff>1669677</xdr:colOff>
      <xdr:row>5</xdr:row>
      <xdr:rowOff>41462</xdr:rowOff>
    </xdr:from>
    <xdr:to>
      <xdr:col>10</xdr:col>
      <xdr:colOff>1080808</xdr:colOff>
      <xdr:row>7</xdr:row>
      <xdr:rowOff>23533</xdr:rowOff>
    </xdr:to>
    <xdr:sp macro="" textlink="">
      <xdr:nvSpPr>
        <xdr:cNvPr id="76" name="TextBox 75">
          <a:extLst>
            <a:ext uri="{FF2B5EF4-FFF2-40B4-BE49-F238E27FC236}">
              <a16:creationId xmlns:a16="http://schemas.microsoft.com/office/drawing/2014/main" id="{73E500E2-B4D1-4864-A07B-FBF77636D6FB}"/>
            </a:ext>
          </a:extLst>
        </xdr:cNvPr>
        <xdr:cNvSpPr txBox="1"/>
      </xdr:nvSpPr>
      <xdr:spPr>
        <a:xfrm>
          <a:off x="15985752" y="1165412"/>
          <a:ext cx="3506881" cy="3821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800"/>
            <a:t>Baled hay/silage sold</a:t>
          </a:r>
        </a:p>
      </xdr:txBody>
    </xdr:sp>
    <xdr:clientData/>
  </xdr:twoCellAnchor>
  <xdr:twoCellAnchor editAs="oneCell">
    <xdr:from>
      <xdr:col>8</xdr:col>
      <xdr:colOff>660061</xdr:colOff>
      <xdr:row>4</xdr:row>
      <xdr:rowOff>0</xdr:rowOff>
    </xdr:from>
    <xdr:to>
      <xdr:col>8</xdr:col>
      <xdr:colOff>1587703</xdr:colOff>
      <xdr:row>8</xdr:row>
      <xdr:rowOff>79562</xdr:rowOff>
    </xdr:to>
    <xdr:pic>
      <xdr:nvPicPr>
        <xdr:cNvPr id="77" name="Picture 76">
          <a:extLst>
            <a:ext uri="{FF2B5EF4-FFF2-40B4-BE49-F238E27FC236}">
              <a16:creationId xmlns:a16="http://schemas.microsoft.com/office/drawing/2014/main" id="{6343A88A-2BC3-499D-9EA4-DBB1221D27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l="4962" r="4962"/>
        <a:stretch/>
      </xdr:blipFill>
      <xdr:spPr>
        <a:xfrm flipH="1">
          <a:off x="14976136" y="923925"/>
          <a:ext cx="927642" cy="879662"/>
        </a:xfrm>
        <a:prstGeom prst="ellipse">
          <a:avLst/>
        </a:prstGeom>
        <a:ln w="38100" cap="rnd">
          <a:solidFill>
            <a:srgbClr val="333333"/>
          </a:solidFill>
        </a:ln>
        <a:effectLst>
          <a:outerShdw blurRad="50800" dist="38100" dir="5400000" algn="t" rotWithShape="0">
            <a:prstClr val="black">
              <a:alpha val="40000"/>
            </a:prst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8</xdr:col>
      <xdr:colOff>938212</xdr:colOff>
      <xdr:row>45</xdr:row>
      <xdr:rowOff>200025</xdr:rowOff>
    </xdr:from>
    <xdr:to>
      <xdr:col>9</xdr:col>
      <xdr:colOff>1443037</xdr:colOff>
      <xdr:row>57</xdr:row>
      <xdr:rowOff>85725</xdr:rowOff>
    </xdr:to>
    <xdr:graphicFrame macro="">
      <xdr:nvGraphicFramePr>
        <xdr:cNvPr id="78" name="Chart 77">
          <a:extLst>
            <a:ext uri="{FF2B5EF4-FFF2-40B4-BE49-F238E27FC236}">
              <a16:creationId xmlns:a16="http://schemas.microsoft.com/office/drawing/2014/main" id="{B75969F5-751C-42DC-8FFF-18B00DECC4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24652</xdr:colOff>
      <xdr:row>7</xdr:row>
      <xdr:rowOff>181536</xdr:rowOff>
    </xdr:from>
    <xdr:ext cx="1792286" cy="18299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86776D09-4957-4543-AB24-1E1AF4723DA2}"/>
                </a:ext>
              </a:extLst>
            </xdr:cNvPr>
            <xdr:cNvSpPr txBox="1"/>
          </xdr:nvSpPr>
          <xdr:spPr>
            <a:xfrm>
              <a:off x="2701177" y="2048436"/>
              <a:ext cx="1792286"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𝑇</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𝑖𝑛𝑜𝑟𝑔𝑎𝑛𝑖𝑐</m:t>
                        </m:r>
                        <m:r>
                          <a:rPr lang="en-AU" sz="1000" i="1">
                            <a:latin typeface="Cambria Math" panose="02040503050406030204" pitchFamily="18" charset="0"/>
                          </a:rPr>
                          <m:t>,</m:t>
                        </m:r>
                        <m:r>
                          <a:rPr lang="en-AU" sz="1000" i="1">
                            <a:latin typeface="Cambria Math" panose="02040503050406030204" pitchFamily="18" charset="0"/>
                          </a:rPr>
                          <m:t>𝑓</m:t>
                        </m:r>
                      </m:sub>
                    </m:sSub>
                  </m:oMath>
                </m:oMathPara>
              </a14:m>
              <a:endParaRPr lang="en-AU" sz="1000"/>
            </a:p>
          </xdr:txBody>
        </xdr:sp>
      </mc:Choice>
      <mc:Fallback xmlns="">
        <xdr:sp macro="" textlink="">
          <xdr:nvSpPr>
            <xdr:cNvPr id="2" name="TextBox 1">
              <a:extLst>
                <a:ext uri="{FF2B5EF4-FFF2-40B4-BE49-F238E27FC236}">
                  <a16:creationId xmlns:a16="http://schemas.microsoft.com/office/drawing/2014/main" id="{86776D09-4957-4543-AB24-1E1AF4723DA2}"/>
                </a:ext>
              </a:extLst>
            </xdr:cNvPr>
            <xdr:cNvSpPr txBox="1"/>
          </xdr:nvSpPr>
          <xdr:spPr>
            <a:xfrm>
              <a:off x="2701177" y="2048436"/>
              <a:ext cx="1792286"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𝑀𝑁_𝑗𝑓=𝑇𝑀_𝑗𝑓×𝐹𝑁_(𝑖𝑛𝑜𝑟𝑔𝑎𝑛𝑖𝑐,𝑓)</a:t>
              </a:r>
              <a:endParaRPr lang="en-AU" sz="1000"/>
            </a:p>
          </xdr:txBody>
        </xdr:sp>
      </mc:Fallback>
    </mc:AlternateContent>
    <xdr:clientData/>
  </xdr:oneCellAnchor>
  <xdr:oneCellAnchor>
    <xdr:from>
      <xdr:col>3</xdr:col>
      <xdr:colOff>24653</xdr:colOff>
      <xdr:row>42</xdr:row>
      <xdr:rowOff>125506</xdr:rowOff>
    </xdr:from>
    <xdr:ext cx="3047693"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794DFD04-D63F-4BAE-8F85-1E68CD1E3C38}"/>
                </a:ext>
              </a:extLst>
            </xdr:cNvPr>
            <xdr:cNvSpPr txBox="1"/>
          </xdr:nvSpPr>
          <xdr:spPr>
            <a:xfrm>
              <a:off x="2701178" y="10660156"/>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𝑗</m:t>
                                        </m:r>
                                        <m:r>
                                          <a:rPr lang="en-AU" sz="1000" i="1">
                                            <a:latin typeface="Cambria Math" panose="02040503050406030204" pitchFamily="18" charset="0"/>
                                          </a:rPr>
                                          <m:t>,</m:t>
                                        </m:r>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3" name="TextBox 2">
              <a:extLst>
                <a:ext uri="{FF2B5EF4-FFF2-40B4-BE49-F238E27FC236}">
                  <a16:creationId xmlns:a16="http://schemas.microsoft.com/office/drawing/2014/main" id="{794DFD04-D63F-4BAE-8F85-1E68CD1E3C38}"/>
                </a:ext>
              </a:extLst>
            </xdr:cNvPr>
            <xdr:cNvSpPr txBox="1"/>
          </xdr:nvSpPr>
          <xdr:spPr>
            <a:xfrm>
              <a:off x="2701178" y="10660156"/>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𝐸_𝑁2𝑂=∑_𝑗▒∑_𝑓▒((𝑀𝑁_𝑗𝑓×𝐸𝐹_(𝑗,𝑁2𝑂)×𝐶_𝑁2𝑂 )×10^(−3) ) </a:t>
              </a:r>
              <a:endParaRPr lang="en-AU" sz="1000"/>
            </a:p>
          </xdr:txBody>
        </xdr:sp>
      </mc:Fallback>
    </mc:AlternateContent>
    <xdr:clientData/>
  </xdr:oneCellAnchor>
  <xdr:oneCellAnchor>
    <xdr:from>
      <xdr:col>12</xdr:col>
      <xdr:colOff>13446</xdr:colOff>
      <xdr:row>40</xdr:row>
      <xdr:rowOff>125506</xdr:rowOff>
    </xdr:from>
    <xdr:ext cx="4661725" cy="25333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D75C4339-6642-4021-8B29-9DFB8F9BCA4F}"/>
                </a:ext>
              </a:extLst>
            </xdr:cNvPr>
            <xdr:cNvSpPr txBox="1"/>
          </xdr:nvSpPr>
          <xdr:spPr>
            <a:xfrm>
              <a:off x="17291796" y="10164856"/>
              <a:ext cx="4661725"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𝑓𝑗</m:t>
                        </m:r>
                        <m:r>
                          <a:rPr lang="en-AU" sz="1000" i="1">
                            <a:latin typeface="Cambria Math" panose="02040503050406030204" pitchFamily="18" charset="0"/>
                          </a:rPr>
                          <m:t>=</m:t>
                        </m:r>
                        <m:r>
                          <a:rPr lang="en-AU" sz="1000" i="1">
                            <a:latin typeface="Cambria Math" panose="02040503050406030204" pitchFamily="18" charset="0"/>
                          </a:rPr>
                          <m:t>𝑖𝑟𝑟𝑖𝑔𝑎𝑡𝑒𝑑𝑚𝑎𝑖𝑧𝑒</m:t>
                        </m:r>
                        <m:r>
                          <a:rPr lang="en-AU" sz="1000" i="1">
                            <a:latin typeface="Cambria Math" panose="02040503050406030204" pitchFamily="18" charset="0"/>
                          </a:rPr>
                          <m:t>,</m:t>
                        </m:r>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−0.1474+</m:t>
                        </m:r>
                        <m:d>
                          <m:dPr>
                            <m:ctrlPr>
                              <a:rPr lang="en-AU" sz="1000" i="1">
                                <a:latin typeface="Cambria Math" panose="02040503050406030204" pitchFamily="18" charset="0"/>
                              </a:rPr>
                            </m:ctrlPr>
                          </m:dPr>
                          <m:e>
                            <m:r>
                              <a:rPr lang="en-AU" sz="1000" i="1">
                                <a:latin typeface="Cambria Math" panose="02040503050406030204" pitchFamily="18" charset="0"/>
                              </a:rPr>
                              <m:t>0.0061×</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𝑓𝑗</m:t>
                                </m:r>
                                <m:r>
                                  <a:rPr lang="en-AU" sz="1000" i="1">
                                    <a:latin typeface="Cambria Math" panose="02040503050406030204" pitchFamily="18" charset="0"/>
                                  </a:rPr>
                                  <m:t>=</m:t>
                                </m:r>
                                <m:r>
                                  <a:rPr lang="en-AU" sz="1000" i="1">
                                    <a:latin typeface="Cambria Math" panose="02040503050406030204" pitchFamily="18" charset="0"/>
                                  </a:rPr>
                                  <m:t>𝑖𝑟𝑟𝑖𝑔𝑎𝑡𝑒𝑑𝑚𝑎𝑖𝑧𝑒</m:t>
                                </m:r>
                              </m:sub>
                            </m:sSub>
                          </m:e>
                        </m:d>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−2</m:t>
                        </m:r>
                      </m:sup>
                    </m:sSup>
                  </m:oMath>
                </m:oMathPara>
              </a14:m>
              <a:endParaRPr lang="en-AU" sz="1000"/>
            </a:p>
          </xdr:txBody>
        </xdr:sp>
      </mc:Choice>
      <mc:Fallback xmlns="">
        <xdr:sp macro="" textlink="">
          <xdr:nvSpPr>
            <xdr:cNvPr id="4" name="TextBox 3">
              <a:extLst>
                <a:ext uri="{FF2B5EF4-FFF2-40B4-BE49-F238E27FC236}">
                  <a16:creationId xmlns:a16="http://schemas.microsoft.com/office/drawing/2014/main" id="{D75C4339-6642-4021-8B29-9DFB8F9BCA4F}"/>
                </a:ext>
              </a:extLst>
            </xdr:cNvPr>
            <xdr:cNvSpPr txBox="1"/>
          </xdr:nvSpPr>
          <xdr:spPr>
            <a:xfrm>
              <a:off x="17291796" y="10164856"/>
              <a:ext cx="4661725"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𝐸𝐹_(𝑓𝑗=𝑖𝑟𝑟𝑖𝑔𝑎𝑡𝑒𝑑𝑚𝑎𝑖𝑧𝑒,𝑁2𝑂)=(−0.1474+(0.0061×𝑁_(𝑓𝑗=𝑖𝑟𝑟𝑖𝑔𝑎𝑡𝑒𝑑𝑚𝑎𝑖𝑧𝑒) ))×10^(−2)</a:t>
              </a:r>
              <a:endParaRPr lang="en-AU" sz="1000"/>
            </a:p>
          </xdr:txBody>
        </xdr:sp>
      </mc:Fallback>
    </mc:AlternateContent>
    <xdr:clientData/>
  </xdr:oneCellAnchor>
  <xdr:oneCellAnchor>
    <xdr:from>
      <xdr:col>11</xdr:col>
      <xdr:colOff>304799</xdr:colOff>
      <xdr:row>54</xdr:row>
      <xdr:rowOff>114300</xdr:rowOff>
    </xdr:from>
    <xdr:ext cx="5008229" cy="25333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29F1460A-A0DD-4F83-85BA-43136E3BB32E}"/>
                </a:ext>
              </a:extLst>
            </xdr:cNvPr>
            <xdr:cNvSpPr txBox="1"/>
          </xdr:nvSpPr>
          <xdr:spPr>
            <a:xfrm>
              <a:off x="17268824" y="13620750"/>
              <a:ext cx="500822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𝑓𝑗</m:t>
                        </m:r>
                        <m:r>
                          <a:rPr lang="en-AU" sz="1000" i="1">
                            <a:latin typeface="Cambria Math" panose="02040503050406030204" pitchFamily="18" charset="0"/>
                          </a:rPr>
                          <m:t>=</m:t>
                        </m:r>
                        <m:r>
                          <a:rPr lang="en-AU" sz="1000" i="1">
                            <a:latin typeface="Cambria Math" panose="02040503050406030204" pitchFamily="18" charset="0"/>
                          </a:rPr>
                          <m:t>𝑛𝑜𝑛𝑖𝑟𝑟𝑖𝑔𝑎𝑡𝑒𝑑𝑔𝑟𝑎𝑖𝑛𝑠</m:t>
                        </m:r>
                        <m:r>
                          <a:rPr lang="en-AU" sz="1000" i="1">
                            <a:latin typeface="Cambria Math" panose="02040503050406030204" pitchFamily="18" charset="0"/>
                          </a:rPr>
                          <m:t>,</m:t>
                        </m:r>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0.0781+</m:t>
                        </m:r>
                        <m:d>
                          <m:dPr>
                            <m:ctrlPr>
                              <a:rPr lang="en-AU" sz="1000" i="1">
                                <a:latin typeface="Cambria Math" panose="02040503050406030204" pitchFamily="18" charset="0"/>
                              </a:rPr>
                            </m:ctrlPr>
                          </m:dPr>
                          <m:e>
                            <m:r>
                              <a:rPr lang="en-AU" sz="1000" i="1">
                                <a:latin typeface="Cambria Math" panose="02040503050406030204" pitchFamily="18" charset="0"/>
                              </a:rPr>
                              <m:t>0.0075×</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𝑓𝑗</m:t>
                                </m:r>
                                <m:r>
                                  <a:rPr lang="en-AU" sz="1000" i="1">
                                    <a:latin typeface="Cambria Math" panose="02040503050406030204" pitchFamily="18" charset="0"/>
                                  </a:rPr>
                                  <m:t>=</m:t>
                                </m:r>
                                <m:r>
                                  <a:rPr lang="en-AU" sz="1000" i="1">
                                    <a:latin typeface="Cambria Math" panose="02040503050406030204" pitchFamily="18" charset="0"/>
                                  </a:rPr>
                                  <m:t>𝑛𝑜𝑛𝑖𝑟𝑟𝑖𝑔𝑎𝑡𝑒𝑑𝑔𝑟𝑎𝑖𝑛𝑠</m:t>
                                </m:r>
                              </m:sub>
                            </m:sSub>
                          </m:e>
                        </m:d>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−2</m:t>
                        </m:r>
                      </m:sup>
                    </m:sSup>
                  </m:oMath>
                </m:oMathPara>
              </a14:m>
              <a:endParaRPr lang="en-AU" sz="1000"/>
            </a:p>
          </xdr:txBody>
        </xdr:sp>
      </mc:Choice>
      <mc:Fallback xmlns="">
        <xdr:sp macro="" textlink="">
          <xdr:nvSpPr>
            <xdr:cNvPr id="5" name="TextBox 4">
              <a:extLst>
                <a:ext uri="{FF2B5EF4-FFF2-40B4-BE49-F238E27FC236}">
                  <a16:creationId xmlns:a16="http://schemas.microsoft.com/office/drawing/2014/main" id="{29F1460A-A0DD-4F83-85BA-43136E3BB32E}"/>
                </a:ext>
              </a:extLst>
            </xdr:cNvPr>
            <xdr:cNvSpPr txBox="1"/>
          </xdr:nvSpPr>
          <xdr:spPr>
            <a:xfrm>
              <a:off x="17268824" y="13620750"/>
              <a:ext cx="500822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𝐸𝐹_(𝑓𝑗=𝑛𝑜𝑛𝑖𝑟𝑟𝑖𝑔𝑎𝑡𝑒𝑑𝑔𝑟𝑎𝑖𝑛𝑠,𝑁2𝑂)=(0.0781+(0.0075×𝑁_(𝑓𝑗=𝑛𝑜𝑛𝑖𝑟𝑟𝑖𝑔𝑎𝑡𝑒𝑑𝑔𝑟𝑎𝑖𝑛𝑠) ))×10^(−2)</a:t>
              </a:r>
              <a:endParaRPr lang="en-AU" sz="1000"/>
            </a:p>
          </xdr:txBody>
        </xdr:sp>
      </mc:Fallback>
    </mc:AlternateContent>
    <xdr:clientData/>
  </xdr:oneCellAnchor>
  <xdr:oneCellAnchor>
    <xdr:from>
      <xdr:col>11</xdr:col>
      <xdr:colOff>293593</xdr:colOff>
      <xdr:row>67</xdr:row>
      <xdr:rowOff>79081</xdr:rowOff>
    </xdr:from>
    <xdr:ext cx="3370345" cy="544957"/>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DC79A426-2403-499D-B855-DB317162E135}"/>
                </a:ext>
              </a:extLst>
            </xdr:cNvPr>
            <xdr:cNvSpPr txBox="1"/>
          </xdr:nvSpPr>
          <xdr:spPr>
            <a:xfrm>
              <a:off x="17257618" y="16804981"/>
              <a:ext cx="3370345" cy="54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d>
                      <m:dPr>
                        <m:ctrlPr>
                          <a:rPr lang="en-AU" sz="1000" i="1">
                            <a:latin typeface="Cambria Math" panose="02040503050406030204" pitchFamily="18" charset="0"/>
                          </a:rPr>
                        </m:ctrlPr>
                      </m:dPr>
                      <m:e>
                        <m:r>
                          <a:rPr lang="en-AU" sz="1000" i="1">
                            <a:latin typeface="Cambria Math" panose="02040503050406030204" pitchFamily="18" charset="0"/>
                          </a:rPr>
                          <m:t>0.01×</m:t>
                        </m:r>
                        <m:d>
                          <m:dPr>
                            <m:ctrlPr>
                              <a:rPr lang="en-AU" sz="1000" i="1">
                                <a:latin typeface="Cambria Math" panose="02040503050406030204" pitchFamily="18" charset="0"/>
                              </a:rPr>
                            </m:ctrlPr>
                          </m:dPr>
                          <m:e>
                            <m:r>
                              <a:rPr lang="en-AU" sz="1000" i="1">
                                <a:latin typeface="Cambria Math" panose="02040503050406030204" pitchFamily="18" charset="0"/>
                              </a:rPr>
                              <m:t>0.29+</m:t>
                            </m:r>
                            <m:f>
                              <m:fPr>
                                <m:ctrlPr>
                                  <a:rPr lang="en-AU" sz="1000" i="1">
                                    <a:latin typeface="Cambria Math" panose="02040503050406030204" pitchFamily="18" charset="0"/>
                                  </a:rPr>
                                </m:ctrlPr>
                              </m:fPr>
                              <m:num>
                                <m:r>
                                  <a:rPr lang="en-AU" sz="1000" i="1">
                                    <a:latin typeface="Cambria Math" panose="02040503050406030204" pitchFamily="18" charset="0"/>
                                  </a:rPr>
                                  <m:t>0.007</m:t>
                                </m:r>
                                <m:d>
                                  <m:dPr>
                                    <m:ctrlPr>
                                      <a:rPr lang="en-AU" sz="1000" i="1">
                                        <a:latin typeface="Cambria Math" panose="02040503050406030204" pitchFamily="18" charset="0"/>
                                      </a:rPr>
                                    </m:ctrlPr>
                                  </m:dPr>
                                  <m:e>
                                    <m:sSup>
                                      <m:sSupPr>
                                        <m:ctrlPr>
                                          <a:rPr lang="en-AU" sz="1000" i="1">
                                            <a:latin typeface="Cambria Math" panose="02040503050406030204" pitchFamily="18" charset="0"/>
                                          </a:rPr>
                                        </m:ctrlPr>
                                      </m:sSupPr>
                                      <m:e>
                                        <m:r>
                                          <a:rPr lang="en-AU" sz="1000" i="1">
                                            <a:latin typeface="Cambria Math" panose="02040503050406030204" pitchFamily="18" charset="0"/>
                                          </a:rPr>
                                          <m:t>𝑒</m:t>
                                        </m:r>
                                      </m:e>
                                      <m:sup>
                                        <m:r>
                                          <a:rPr lang="en-AU" sz="1000" i="1">
                                            <a:latin typeface="Cambria Math" panose="02040503050406030204" pitchFamily="18" charset="0"/>
                                          </a:rPr>
                                          <m:t>0.037×</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𝑓𝑗</m:t>
                                            </m:r>
                                            <m:r>
                                              <a:rPr lang="en-AU" sz="1000" i="1">
                                                <a:latin typeface="Cambria Math" panose="02040503050406030204" pitchFamily="18" charset="0"/>
                                              </a:rPr>
                                              <m:t>=</m:t>
                                            </m:r>
                                            <m:r>
                                              <a:rPr lang="en-AU" sz="1000" i="1">
                                                <a:latin typeface="Cambria Math" panose="02040503050406030204" pitchFamily="18" charset="0"/>
                                              </a:rPr>
                                              <m:t>𝑐𝑜𝑡𝑡𝑜𝑛</m:t>
                                            </m:r>
                                          </m:sub>
                                        </m:sSub>
                                      </m:sup>
                                    </m:sSup>
                                    <m:r>
                                      <a:rPr lang="en-AU" sz="1000" i="1">
                                        <a:latin typeface="Cambria Math" panose="02040503050406030204" pitchFamily="18" charset="0"/>
                                      </a:rPr>
                                      <m:t>−1</m:t>
                                    </m:r>
                                  </m:e>
                                </m:d>
                              </m:num>
                              <m:den>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𝑓𝑗</m:t>
                                    </m:r>
                                    <m:r>
                                      <a:rPr lang="en-AU" sz="1000" i="1">
                                        <a:latin typeface="Cambria Math" panose="02040503050406030204" pitchFamily="18" charset="0"/>
                                      </a:rPr>
                                      <m:t>=</m:t>
                                    </m:r>
                                    <m:r>
                                      <a:rPr lang="en-AU" sz="1000" i="1">
                                        <a:latin typeface="Cambria Math" panose="02040503050406030204" pitchFamily="18" charset="0"/>
                                      </a:rPr>
                                      <m:t>𝑐𝑜𝑡𝑡𝑜𝑛</m:t>
                                    </m:r>
                                  </m:sub>
                                </m:sSub>
                              </m:den>
                            </m:f>
                          </m:e>
                        </m:d>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−2</m:t>
                        </m:r>
                      </m:sup>
                    </m:sSup>
                  </m:oMath>
                </m:oMathPara>
              </a14:m>
              <a:endParaRPr lang="en-AU" sz="1000"/>
            </a:p>
          </xdr:txBody>
        </xdr:sp>
      </mc:Choice>
      <mc:Fallback xmlns="">
        <xdr:sp macro="" textlink="">
          <xdr:nvSpPr>
            <xdr:cNvPr id="6" name="TextBox 5">
              <a:extLst>
                <a:ext uri="{FF2B5EF4-FFF2-40B4-BE49-F238E27FC236}">
                  <a16:creationId xmlns:a16="http://schemas.microsoft.com/office/drawing/2014/main" id="{DC79A426-2403-499D-B855-DB317162E135}"/>
                </a:ext>
              </a:extLst>
            </xdr:cNvPr>
            <xdr:cNvSpPr txBox="1"/>
          </xdr:nvSpPr>
          <xdr:spPr>
            <a:xfrm>
              <a:off x="17257618" y="16804981"/>
              <a:ext cx="3370345" cy="54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(0.01×(0.29+0.007(𝑒^(0.037×𝑁_(𝑓𝑗=𝑐𝑜𝑡𝑡𝑜𝑛) )−1)/𝑁_(𝑓𝑗=𝑐𝑜𝑡𝑡𝑜𝑛) ))×10^(−2)</a:t>
              </a:r>
              <a:endParaRPr lang="en-AU" sz="1000"/>
            </a:p>
          </xdr:txBody>
        </xdr:sp>
      </mc:Fallback>
    </mc:AlternateContent>
    <xdr:clientData/>
  </xdr:oneCellAnchor>
  <xdr:oneCellAnchor>
    <xdr:from>
      <xdr:col>11</xdr:col>
      <xdr:colOff>304800</xdr:colOff>
      <xdr:row>85</xdr:row>
      <xdr:rowOff>133350</xdr:rowOff>
    </xdr:from>
    <xdr:ext cx="3047693" cy="429926"/>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4E27A6F7-172B-4456-AFD8-F0CD2F4F0EB4}"/>
                </a:ext>
              </a:extLst>
            </xdr:cNvPr>
            <xdr:cNvSpPr txBox="1"/>
          </xdr:nvSpPr>
          <xdr:spPr>
            <a:xfrm>
              <a:off x="17268825" y="21316950"/>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𝑗</m:t>
                                        </m:r>
                                        <m:r>
                                          <a:rPr lang="en-AU" sz="1000" i="1">
                                            <a:latin typeface="Cambria Math" panose="02040503050406030204" pitchFamily="18" charset="0"/>
                                          </a:rPr>
                                          <m:t>,</m:t>
                                        </m:r>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7" name="TextBox 6">
              <a:extLst>
                <a:ext uri="{FF2B5EF4-FFF2-40B4-BE49-F238E27FC236}">
                  <a16:creationId xmlns:a16="http://schemas.microsoft.com/office/drawing/2014/main" id="{4E27A6F7-172B-4456-AFD8-F0CD2F4F0EB4}"/>
                </a:ext>
              </a:extLst>
            </xdr:cNvPr>
            <xdr:cNvSpPr txBox="1"/>
          </xdr:nvSpPr>
          <xdr:spPr>
            <a:xfrm>
              <a:off x="17268825" y="21316950"/>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𝐸_𝑁2𝑂=∑_𝑗▒∑_𝑓▒((𝑀𝑁_𝑗𝑓×𝐸𝐹_(𝑗,𝑁2𝑂)×𝐶_𝑁2𝑂 )×10^(−3) ) </a:t>
              </a:r>
              <a:endParaRPr lang="en-AU" sz="10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4762</xdr:colOff>
      <xdr:row>7</xdr:row>
      <xdr:rowOff>104775</xdr:rowOff>
    </xdr:from>
    <xdr:ext cx="1248098"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24674A69-FE18-43B7-886C-29AB0A917231}"/>
                </a:ext>
              </a:extLst>
            </xdr:cNvPr>
            <xdr:cNvSpPr txBox="1"/>
          </xdr:nvSpPr>
          <xdr:spPr>
            <a:xfrm>
              <a:off x="2681287" y="19716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𝑈</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𝑇</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m:t>
                    </m:r>
                    <m:sSub>
                      <m:sSubPr>
                        <m:ctrlPr>
                          <a:rPr lang="en-AU" sz="1000" i="1">
                            <a:latin typeface="Cambria Math" panose="02040503050406030204" pitchFamily="18" charset="0"/>
                          </a:rPr>
                        </m:ctrlPr>
                      </m:sSubPr>
                      <m:e>
                        <m:r>
                          <a:rPr lang="en-AU" sz="1000" i="1">
                            <a:latin typeface="Cambria Math" panose="02040503050406030204" pitchFamily="18" charset="0"/>
                          </a:rPr>
                          <m:t>𝑈</m:t>
                        </m:r>
                      </m:e>
                      <m:sub>
                        <m:r>
                          <a:rPr lang="en-AU" sz="1000" i="1">
                            <a:latin typeface="Cambria Math" panose="02040503050406030204" pitchFamily="18" charset="0"/>
                          </a:rPr>
                          <m:t>𝑓</m:t>
                        </m:r>
                      </m:sub>
                    </m:sSub>
                  </m:oMath>
                </m:oMathPara>
              </a14:m>
              <a:endParaRPr lang="en-AU" sz="1000"/>
            </a:p>
          </xdr:txBody>
        </xdr:sp>
      </mc:Choice>
      <mc:Fallback xmlns="">
        <xdr:sp macro="" textlink="">
          <xdr:nvSpPr>
            <xdr:cNvPr id="2" name="TextBox 1">
              <a:extLst>
                <a:ext uri="{FF2B5EF4-FFF2-40B4-BE49-F238E27FC236}">
                  <a16:creationId xmlns:a16="http://schemas.microsoft.com/office/drawing/2014/main" id="{24674A69-FE18-43B7-886C-29AB0A917231}"/>
                </a:ext>
              </a:extLst>
            </xdr:cNvPr>
            <xdr:cNvSpPr txBox="1"/>
          </xdr:nvSpPr>
          <xdr:spPr>
            <a:xfrm>
              <a:off x="2681287" y="19716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𝑀𝑈_𝑗𝑓=𝑇𝑀_𝑗𝑓×𝐹𝑈_𝑓</a:t>
              </a:r>
              <a:endParaRPr lang="en-AU" sz="1000"/>
            </a:p>
          </xdr:txBody>
        </xdr:sp>
      </mc:Fallback>
    </mc:AlternateContent>
    <xdr:clientData/>
  </xdr:oneCellAnchor>
  <xdr:oneCellAnchor>
    <xdr:from>
      <xdr:col>2</xdr:col>
      <xdr:colOff>309562</xdr:colOff>
      <xdr:row>43</xdr:row>
      <xdr:rowOff>19050</xdr:rowOff>
    </xdr:from>
    <xdr:ext cx="3195747"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B97C1B94-7C00-468B-8125-03B9232DCDBF}"/>
                </a:ext>
              </a:extLst>
            </xdr:cNvPr>
            <xdr:cNvSpPr txBox="1"/>
          </xdr:nvSpPr>
          <xdr:spPr>
            <a:xfrm>
              <a:off x="2671762" y="10801350"/>
              <a:ext cx="319574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𝐶𝑂</m:t>
                        </m:r>
                        <m:r>
                          <a:rPr lang="en-AU" sz="1000" i="1">
                            <a:latin typeface="Cambria Math" panose="02040503050406030204" pitchFamily="18" charset="0"/>
                          </a:rPr>
                          <m:t>2</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𝑈</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𝑢𝑟𝑒𝑎</m:t>
                                        </m:r>
                                        <m:r>
                                          <a:rPr lang="en-AU" sz="1000" i="1">
                                            <a:latin typeface="Cambria Math" panose="02040503050406030204" pitchFamily="18" charset="0"/>
                                          </a:rPr>
                                          <m:t>,</m:t>
                                        </m:r>
                                        <m:r>
                                          <a:rPr lang="en-AU" sz="1000" i="1">
                                            <a:latin typeface="Cambria Math" panose="02040503050406030204" pitchFamily="18" charset="0"/>
                                          </a:rPr>
                                          <m:t>𝐶𝑂</m:t>
                                        </m:r>
                                        <m:r>
                                          <a:rPr lang="en-AU" sz="1000" i="1">
                                            <a:latin typeface="Cambria Math" panose="02040503050406030204" pitchFamily="18" charset="0"/>
                                          </a:rPr>
                                          <m:t>2</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𝐶𝑂</m:t>
                                        </m:r>
                                        <m:r>
                                          <a:rPr lang="en-AU" sz="1000" i="1">
                                            <a:latin typeface="Cambria Math" panose="02040503050406030204" pitchFamily="18" charset="0"/>
                                          </a:rPr>
                                          <m:t>2</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3" name="TextBox 2">
              <a:extLst>
                <a:ext uri="{FF2B5EF4-FFF2-40B4-BE49-F238E27FC236}">
                  <a16:creationId xmlns:a16="http://schemas.microsoft.com/office/drawing/2014/main" id="{B97C1B94-7C00-468B-8125-03B9232DCDBF}"/>
                </a:ext>
              </a:extLst>
            </xdr:cNvPr>
            <xdr:cNvSpPr txBox="1"/>
          </xdr:nvSpPr>
          <xdr:spPr>
            <a:xfrm>
              <a:off x="2671762" y="10801350"/>
              <a:ext cx="319574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𝐸_𝐶𝑂2=∑_𝑗▒∑_𝑓▒((𝑀𝑈_𝑗𝑓×𝐸𝐹_(𝑢𝑟𝑒𝑎,𝐶𝑂2)×𝐶_𝐶𝑂2 )×10^(−3) ) </a:t>
              </a:r>
              <a:endParaRPr lang="en-AU" sz="10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3</xdr:col>
      <xdr:colOff>4762</xdr:colOff>
      <xdr:row>7</xdr:row>
      <xdr:rowOff>104775</xdr:rowOff>
    </xdr:from>
    <xdr:ext cx="2293385" cy="18299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83F1775D-A93D-4F9B-8BBA-D2B20C796D75}"/>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𝑓</m:t>
                        </m:r>
                      </m:sub>
                    </m:sSub>
                  </m:oMath>
                </m:oMathPara>
              </a14:m>
              <a:endParaRPr lang="en-AU" sz="1000"/>
            </a:p>
          </xdr:txBody>
        </xdr:sp>
      </mc:Choice>
      <mc:Fallback xmlns="">
        <xdr:sp macro="" textlink="">
          <xdr:nvSpPr>
            <xdr:cNvPr id="2" name="TextBox 1">
              <a:extLst>
                <a:ext uri="{FF2B5EF4-FFF2-40B4-BE49-F238E27FC236}">
                  <a16:creationId xmlns:a16="http://schemas.microsoft.com/office/drawing/2014/main" id="{83F1775D-A93D-4F9B-8BBA-D2B20C796D75}"/>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𝑀𝑁𝑆𝑜𝑖𝑙_𝑗𝑓=𝑀_(𝑜𝑟𝑔𝑎𝑛𝑖𝑐,𝑗𝑓)×𝐹𝑁_(𝑜𝑟𝑔𝑎𝑛𝑖𝑐,𝑓)</a:t>
              </a:r>
              <a:endParaRPr lang="en-AU" sz="1000"/>
            </a:p>
          </xdr:txBody>
        </xdr:sp>
      </mc:Fallback>
    </mc:AlternateContent>
    <xdr:clientData/>
  </xdr:oneCellAnchor>
  <xdr:oneCellAnchor>
    <xdr:from>
      <xdr:col>3</xdr:col>
      <xdr:colOff>4762</xdr:colOff>
      <xdr:row>38</xdr:row>
      <xdr:rowOff>66675</xdr:rowOff>
    </xdr:from>
    <xdr:ext cx="3299749"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8D1C4AAC-5E73-4306-84AF-22A85027BF92}"/>
                </a:ext>
              </a:extLst>
            </xdr:cNvPr>
            <xdr:cNvSpPr txBox="1"/>
          </xdr:nvSpPr>
          <xdr:spPr>
            <a:xfrm>
              <a:off x="2681287" y="961072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𝑖</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3" name="TextBox 2">
              <a:extLst>
                <a:ext uri="{FF2B5EF4-FFF2-40B4-BE49-F238E27FC236}">
                  <a16:creationId xmlns:a16="http://schemas.microsoft.com/office/drawing/2014/main" id="{8D1C4AAC-5E73-4306-84AF-22A85027BF92}"/>
                </a:ext>
              </a:extLst>
            </xdr:cNvPr>
            <xdr:cNvSpPr txBox="1"/>
          </xdr:nvSpPr>
          <xdr:spPr>
            <a:xfrm>
              <a:off x="2681287" y="961072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𝐸_𝑁2𝑂=∑_𝑗▒∑_𝑓▒((𝑀𝑁𝑆𝑜𝑖𝑙_𝑗𝑓×𝐸𝐹_(𝑁2𝑂,𝑖)×𝐶_𝑁2𝑂 )×10^(−3) ) </a:t>
              </a:r>
              <a:endParaRPr lang="en-AU" sz="10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2</xdr:col>
      <xdr:colOff>300037</xdr:colOff>
      <xdr:row>7</xdr:row>
      <xdr:rowOff>142875</xdr:rowOff>
    </xdr:from>
    <xdr:ext cx="6015493" cy="16882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91DE838B-ADFC-4434-ABD0-60A30F0F77FD}"/>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𝑙𝑖𝑚𝑒</m:t>
                        </m:r>
                      </m:sub>
                    </m:sSub>
                    <m:r>
                      <a:rPr lang="en-AU" sz="1000" i="1">
                        <a:latin typeface="Cambria Math" panose="02040503050406030204" pitchFamily="18" charset="0"/>
                      </a:rPr>
                      <m:t>=</m:t>
                    </m:r>
                    <m:d>
                      <m:dPr>
                        <m:begChr m:val="["/>
                        <m:endChr m:val="]"/>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𝑙𝑖𝑚𝑒</m:t>
                                </m:r>
                              </m:sub>
                            </m:sSub>
                            <m:r>
                              <a:rPr lang="en-AU" sz="1000" i="1">
                                <a:latin typeface="Cambria Math" panose="02040503050406030204" pitchFamily="18" charset="0"/>
                              </a:rPr>
                              <m:t>×</m:t>
                            </m:r>
                            <m:r>
                              <a:rPr lang="en-AU" sz="1000" i="1">
                                <a:latin typeface="Cambria Math" panose="02040503050406030204" pitchFamily="18" charset="0"/>
                              </a:rPr>
                              <m:t>𝐹𝑟𝑎𝑐𝐿𝑖𝑚𝑒</m:t>
                            </m:r>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𝑃</m:t>
                                </m:r>
                              </m:e>
                              <m:sub>
                                <m:r>
                                  <a:rPr lang="en-AU" sz="1000" i="1">
                                    <a:latin typeface="Cambria Math" panose="02040503050406030204" pitchFamily="18" charset="0"/>
                                  </a:rPr>
                                  <m:t>𝑙𝑖𝑚𝑒</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𝑙𝑖𝑚𝑒</m:t>
                                </m:r>
                              </m:sub>
                            </m:sSub>
                          </m:e>
                        </m:d>
                        <m:r>
                          <a:rPr lang="en-AU" sz="1000" i="1">
                            <a:latin typeface="Cambria Math" panose="02040503050406030204" pitchFamily="18" charset="0"/>
                          </a:rPr>
                          <m:t>+</m:t>
                        </m:r>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𝑙𝑖𝑚𝑒</m:t>
                                </m:r>
                              </m:sub>
                            </m:sSub>
                            <m:r>
                              <a:rPr lang="en-AU" sz="1000" i="1">
                                <a:latin typeface="Cambria Math" panose="02040503050406030204" pitchFamily="18" charset="0"/>
                              </a:rPr>
                              <m:t>×</m:t>
                            </m:r>
                            <m:r>
                              <a:rPr lang="en-AU" sz="1000" i="1">
                                <a:latin typeface="Cambria Math" panose="02040503050406030204" pitchFamily="18" charset="0"/>
                              </a:rPr>
                              <m:t>𝐹𝑟𝑎𝑐𝐷𝑜𝑙</m:t>
                            </m:r>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𝑃</m:t>
                                </m:r>
                              </m:e>
                              <m:sub>
                                <m:r>
                                  <a:rPr lang="en-AU" sz="1000" i="1">
                                    <a:latin typeface="Cambria Math" panose="02040503050406030204" pitchFamily="18" charset="0"/>
                                  </a:rPr>
                                  <m:t>𝑑𝑜𝑙</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𝑑𝑜𝑙</m:t>
                                </m:r>
                              </m:sub>
                            </m:sSub>
                          </m:e>
                        </m:d>
                      </m:e>
                    </m:d>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𝐶𝑂</m:t>
                        </m:r>
                        <m:r>
                          <a:rPr lang="en-AU" sz="1000" i="1">
                            <a:latin typeface="Cambria Math" panose="02040503050406030204" pitchFamily="18" charset="0"/>
                          </a:rPr>
                          <m:t>2</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2" name="TextBox 1">
              <a:extLst>
                <a:ext uri="{FF2B5EF4-FFF2-40B4-BE49-F238E27FC236}">
                  <a16:creationId xmlns:a16="http://schemas.microsoft.com/office/drawing/2014/main" id="{91DE838B-ADFC-4434-ABD0-60A30F0F77FD}"/>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𝐸_𝑙𝑖𝑚𝑒=[(𝑀_𝑙𝑖𝑚𝑒×𝐹𝑟𝑎𝑐𝐿𝑖𝑚𝑒×𝑃_𝑙𝑖𝑚𝑒×𝐸𝐹_𝑙𝑖𝑚𝑒 )+(𝑀_𝑙𝑖𝑚𝑒×𝐹𝑟𝑎𝑐𝐷𝑜𝑙×𝑃_𝑑𝑜𝑙×𝐸𝐹_𝑑𝑜𝑙 )]×𝐶_𝐶𝑂2×10^(−3)</a:t>
              </a:r>
              <a:endParaRPr lang="en-AU" sz="1000"/>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3</xdr:col>
      <xdr:colOff>4762</xdr:colOff>
      <xdr:row>7</xdr:row>
      <xdr:rowOff>114300</xdr:rowOff>
    </xdr:from>
    <xdr:ext cx="2328843" cy="18299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88DC373B-A91C-484E-98F9-499B481CF8B8}"/>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r>
                          <a:rPr lang="en-AU" sz="1000" i="1">
                            <a:latin typeface="Cambria Math" panose="02040503050406030204" pitchFamily="18" charset="0"/>
                          </a:rPr>
                          <m:t>,</m:t>
                        </m:r>
                        <m:r>
                          <a:rPr lang="en-AU" sz="1000" i="1">
                            <a:latin typeface="Cambria Math" panose="02040503050406030204" pitchFamily="18" charset="0"/>
                          </a:rPr>
                          <m:t>𝑖𝑛𝑜𝑟𝑔𝑎𝑛𝑖𝑐</m:t>
                        </m:r>
                        <m:r>
                          <a:rPr lang="en-AU" sz="1000" i="1">
                            <a:latin typeface="Cambria Math" panose="02040503050406030204" pitchFamily="18" charset="0"/>
                          </a:rPr>
                          <m:t>,</m:t>
                        </m:r>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𝐹𝑟𝑎𝑐𝐺𝐴𝑆</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𝑓</m:t>
                        </m:r>
                      </m:sub>
                    </m:sSub>
                  </m:oMath>
                </m:oMathPara>
              </a14:m>
              <a:endParaRPr lang="en-AU" sz="1000"/>
            </a:p>
          </xdr:txBody>
        </xdr:sp>
      </mc:Choice>
      <mc:Fallback xmlns="">
        <xdr:sp macro="" textlink="">
          <xdr:nvSpPr>
            <xdr:cNvPr id="2" name="TextBox 1">
              <a:extLst>
                <a:ext uri="{FF2B5EF4-FFF2-40B4-BE49-F238E27FC236}">
                  <a16:creationId xmlns:a16="http://schemas.microsoft.com/office/drawing/2014/main" id="{88DC373B-A91C-484E-98F9-499B481CF8B8}"/>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𝑀_(𝑣𝑜𝑙,𝑖𝑛𝑜𝑟𝑔𝑎𝑛𝑖𝑐,𝑗𝑓)=𝑀𝑁_𝑗𝑓×𝐹𝑟𝑎𝑐𝐺𝐴𝑆𝐹_𝑓</a:t>
              </a:r>
              <a:endParaRPr lang="en-AU" sz="1000"/>
            </a:p>
          </xdr:txBody>
        </xdr:sp>
      </mc:Fallback>
    </mc:AlternateContent>
    <xdr:clientData/>
  </xdr:oneCellAnchor>
  <xdr:oneCellAnchor>
    <xdr:from>
      <xdr:col>3</xdr:col>
      <xdr:colOff>4762</xdr:colOff>
      <xdr:row>43</xdr:row>
      <xdr:rowOff>57150</xdr:rowOff>
    </xdr:from>
    <xdr:ext cx="4246740" cy="33207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F523494-BB24-4DB2-99D4-1B9613D91831}"/>
                </a:ext>
              </a:extLst>
            </xdr:cNvPr>
            <xdr:cNvSpPr txBox="1"/>
          </xdr:nvSpPr>
          <xdr:spPr>
            <a:xfrm>
              <a:off x="2681287" y="1083945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𝑎𝑑</m:t>
                        </m:r>
                        <m:r>
                          <a:rPr lang="en-AU" sz="1000" i="1">
                            <a:latin typeface="Cambria Math" panose="02040503050406030204" pitchFamily="18" charset="0"/>
                          </a:rPr>
                          <m:t>,</m:t>
                        </m:r>
                        <m:r>
                          <a:rPr lang="en-AU" sz="1000" i="1">
                            <a:latin typeface="Cambria Math" panose="02040503050406030204" pitchFamily="18" charset="0"/>
                          </a:rPr>
                          <m:t>𝑖𝑛𝑜𝑟𝑔𝑎𝑛𝑖𝑐</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r>
                                          <a:rPr lang="en-AU" sz="1000" i="1">
                                            <a:latin typeface="Cambria Math" panose="02040503050406030204" pitchFamily="18" charset="0"/>
                                          </a:rPr>
                                          <m:t>,</m:t>
                                        </m:r>
                                        <m:r>
                                          <a:rPr lang="en-AU" sz="1000" i="1">
                                            <a:latin typeface="Cambria Math" panose="02040503050406030204" pitchFamily="18" charset="0"/>
                                          </a:rPr>
                                          <m:t>𝑖𝑛𝑜𝑟𝑔𝑎𝑛𝑖𝑐</m:t>
                                        </m:r>
                                        <m:r>
                                          <a:rPr lang="en-AU" sz="1000" i="1">
                                            <a:latin typeface="Cambria Math" panose="02040503050406030204" pitchFamily="18" charset="0"/>
                                          </a:rPr>
                                          <m:t>,</m:t>
                                        </m:r>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𝑗</m:t>
                                        </m:r>
                                      </m:sub>
                                    </m:sSub>
                                  </m:e>
                                </m:d>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3" name="TextBox 2">
              <a:extLst>
                <a:ext uri="{FF2B5EF4-FFF2-40B4-BE49-F238E27FC236}">
                  <a16:creationId xmlns:a16="http://schemas.microsoft.com/office/drawing/2014/main" id="{EF523494-BB24-4DB2-99D4-1B9613D91831}"/>
                </a:ext>
              </a:extLst>
            </xdr:cNvPr>
            <xdr:cNvSpPr txBox="1"/>
          </xdr:nvSpPr>
          <xdr:spPr>
            <a:xfrm>
              <a:off x="2681287" y="1083945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𝐸_(𝑎𝑑,𝑖𝑛𝑜𝑟𝑔𝑎𝑛𝑖𝑐)=∑2_𝑗▒∑2_𝑓▒((𝑀_(𝑣𝑜𝑙,𝑖𝑛𝑜𝑟𝑔𝑎𝑛𝑖𝑐,𝑗𝑓)×𝐸𝐹_(𝑁2𝑂,𝑗) )×𝐶_𝑁2𝑂×10^(−3) ) </a:t>
              </a:r>
              <a:endParaRPr lang="en-AU" sz="1000"/>
            </a:p>
          </xdr:txBody>
        </xdr:sp>
      </mc:Fallback>
    </mc:AlternateContent>
    <xdr:clientData/>
  </xdr:oneCellAnchor>
  <xdr:oneCellAnchor>
    <xdr:from>
      <xdr:col>3</xdr:col>
      <xdr:colOff>4762</xdr:colOff>
      <xdr:row>90</xdr:row>
      <xdr:rowOff>66675</xdr:rowOff>
    </xdr:from>
    <xdr:ext cx="2649059" cy="18299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A4E8F575-E5ED-4F98-B82D-B70BFD459DCC}"/>
                </a:ext>
              </a:extLst>
            </xdr:cNvPr>
            <xdr:cNvSpPr txBox="1"/>
          </xdr:nvSpPr>
          <xdr:spPr>
            <a:xfrm>
              <a:off x="2681287" y="224885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𝐹𝑟𝑎𝑐𝐺𝐴𝑆</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𝑠𝑜𝑖𝑙</m:t>
                        </m:r>
                      </m:sub>
                    </m:sSub>
                  </m:oMath>
                </m:oMathPara>
              </a14:m>
              <a:endParaRPr lang="en-AU" sz="1000"/>
            </a:p>
          </xdr:txBody>
        </xdr:sp>
      </mc:Choice>
      <mc:Fallback xmlns="">
        <xdr:sp macro="" textlink="">
          <xdr:nvSpPr>
            <xdr:cNvPr id="4" name="TextBox 3">
              <a:extLst>
                <a:ext uri="{FF2B5EF4-FFF2-40B4-BE49-F238E27FC236}">
                  <a16:creationId xmlns:a16="http://schemas.microsoft.com/office/drawing/2014/main" id="{A4E8F575-E5ED-4F98-B82D-B70BFD459DCC}"/>
                </a:ext>
              </a:extLst>
            </xdr:cNvPr>
            <xdr:cNvSpPr txBox="1"/>
          </xdr:nvSpPr>
          <xdr:spPr>
            <a:xfrm>
              <a:off x="2681287" y="224885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𝑀_(𝑣𝑜𝑙,𝑜𝑟𝑔𝑎𝑛𝑖𝑐,𝑗𝑓)=𝑀𝑁𝑆𝑜𝑖𝑙_𝑗𝑓×𝐹𝑟𝑎𝑐𝐺𝐴𝑆𝑀_𝑠𝑜𝑖𝑙</a:t>
              </a:r>
              <a:endParaRPr lang="en-AU" sz="1000"/>
            </a:p>
          </xdr:txBody>
        </xdr:sp>
      </mc:Fallback>
    </mc:AlternateContent>
    <xdr:clientData/>
  </xdr:oneCellAnchor>
  <xdr:oneCellAnchor>
    <xdr:from>
      <xdr:col>3</xdr:col>
      <xdr:colOff>14287</xdr:colOff>
      <xdr:row>118</xdr:row>
      <xdr:rowOff>57150</xdr:rowOff>
    </xdr:from>
    <xdr:ext cx="4040786" cy="33207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53C8D996-E135-4CF9-AE02-C1C977A2586C}"/>
                </a:ext>
              </a:extLst>
            </xdr:cNvPr>
            <xdr:cNvSpPr txBox="1"/>
          </xdr:nvSpPr>
          <xdr:spPr>
            <a:xfrm>
              <a:off x="2690812" y="294132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𝑎𝑑</m:t>
                        </m:r>
                        <m:r>
                          <a:rPr lang="en-AU" sz="1000" i="1">
                            <a:latin typeface="Cambria Math" panose="02040503050406030204" pitchFamily="18" charset="0"/>
                          </a:rPr>
                          <m:t>,</m:t>
                        </m:r>
                        <m:r>
                          <a:rPr lang="en-AU" sz="1000" i="1">
                            <a:latin typeface="Cambria Math" panose="02040503050406030204" pitchFamily="18" charset="0"/>
                          </a:rPr>
                          <m:t>𝑜𝑟𝑔𝑎𝑛𝑖𝑐</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𝑣𝑜𝑙</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r>
                                          <a:rPr lang="en-AU" sz="1000" i="1">
                                            <a:latin typeface="Cambria Math" panose="02040503050406030204" pitchFamily="18" charset="0"/>
                                          </a:rPr>
                                          <m:t>,</m:t>
                                        </m:r>
                                        <m:r>
                                          <a:rPr lang="en-AU" sz="1000" i="1">
                                            <a:latin typeface="Cambria Math" panose="02040503050406030204" pitchFamily="18" charset="0"/>
                                          </a:rPr>
                                          <m:t>𝑗</m:t>
                                        </m:r>
                                      </m:sub>
                                    </m:sSub>
                                  </m:e>
                                </m:d>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5" name="TextBox 4">
              <a:extLst>
                <a:ext uri="{FF2B5EF4-FFF2-40B4-BE49-F238E27FC236}">
                  <a16:creationId xmlns:a16="http://schemas.microsoft.com/office/drawing/2014/main" id="{53C8D996-E135-4CF9-AE02-C1C977A2586C}"/>
                </a:ext>
              </a:extLst>
            </xdr:cNvPr>
            <xdr:cNvSpPr txBox="1"/>
          </xdr:nvSpPr>
          <xdr:spPr>
            <a:xfrm>
              <a:off x="2690812" y="294132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𝐸_(𝑎𝑑,𝑜𝑟𝑔𝑎𝑛𝑖𝑐)=∑2_𝑗▒∑2_𝑓▒((𝑀_(𝑣𝑜𝑙,𝑜𝑟𝑔𝑎𝑛𝑖𝑐,𝑗𝑓)×𝐸𝐹_(𝑁2𝑂,𝑗) )×𝐶_𝑁2𝑂×10^(−3) ) </a:t>
              </a:r>
              <a:endParaRPr lang="en-AU" sz="1000"/>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oneCellAnchor>
    <xdr:from>
      <xdr:col>3</xdr:col>
      <xdr:colOff>23812</xdr:colOff>
      <xdr:row>7</xdr:row>
      <xdr:rowOff>100012</xdr:rowOff>
    </xdr:from>
    <xdr:ext cx="3485120" cy="332014"/>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FCCE2499-D03D-473C-B410-902E03BB43A5}"/>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𝑖𝑛𝑜𝑟𝑔𝑎𝑛𝑖𝑐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r>
                              <a:rPr lang="en-AU" sz="1000" i="1">
                                <a:latin typeface="Cambria Math" panose="02040503050406030204" pitchFamily="18" charset="0"/>
                              </a:rPr>
                              <m:t>𝑀</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𝐹𝑟𝑎</m:t>
                            </m:r>
                            <m:sSub>
                              <m:sSubPr>
                                <m:ctrlPr>
                                  <a:rPr lang="en-AU" sz="1000" i="1">
                                    <a:latin typeface="Cambria Math" panose="02040503050406030204" pitchFamily="18" charset="0"/>
                                  </a:rPr>
                                </m:ctrlPr>
                              </m:sSubPr>
                              <m:e>
                                <m:r>
                                  <a:rPr lang="en-AU" sz="1000" i="1">
                                    <a:latin typeface="Cambria Math" panose="02040503050406030204" pitchFamily="18" charset="0"/>
                                  </a:rPr>
                                  <m:t>𝑐</m:t>
                                </m:r>
                              </m:e>
                              <m:sub>
                                <m:r>
                                  <a:rPr lang="en-AU" sz="1000" i="1">
                                    <a:latin typeface="Cambria Math" panose="02040503050406030204" pitchFamily="18" charset="0"/>
                                  </a:rPr>
                                  <m:t>𝑊𝐸𝑇</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𝐹𝑟𝑎</m:t>
                            </m:r>
                            <m:sSub>
                              <m:sSubPr>
                                <m:ctrlPr>
                                  <a:rPr lang="en-AU" sz="1000" i="1">
                                    <a:latin typeface="Cambria Math" panose="02040503050406030204" pitchFamily="18" charset="0"/>
                                  </a:rPr>
                                </m:ctrlPr>
                              </m:sSubPr>
                              <m:e>
                                <m:r>
                                  <a:rPr lang="en-AU" sz="1000" i="1">
                                    <a:latin typeface="Cambria Math" panose="02040503050406030204" pitchFamily="18" charset="0"/>
                                  </a:rPr>
                                  <m:t>𝑐</m:t>
                                </m:r>
                              </m:e>
                              <m:sub>
                                <m:r>
                                  <a:rPr lang="en-AU" sz="1000" i="1">
                                    <a:latin typeface="Cambria Math" panose="02040503050406030204" pitchFamily="18" charset="0"/>
                                  </a:rPr>
                                  <m:t>𝐿𝐸𝐴𝐶𝐻</m:t>
                                </m:r>
                              </m:sub>
                            </m:sSub>
                          </m:e>
                        </m:d>
                      </m:e>
                    </m:nary>
                  </m:oMath>
                </m:oMathPara>
              </a14:m>
              <a:endParaRPr lang="en-AU" sz="1000"/>
            </a:p>
          </xdr:txBody>
        </xdr:sp>
      </mc:Choice>
      <mc:Fallback xmlns="">
        <xdr:sp macro="" textlink="">
          <xdr:nvSpPr>
            <xdr:cNvPr id="2" name="TextBox 1">
              <a:extLst>
                <a:ext uri="{FF2B5EF4-FFF2-40B4-BE49-F238E27FC236}">
                  <a16:creationId xmlns:a16="http://schemas.microsoft.com/office/drawing/2014/main" id="{FCCE2499-D03D-473C-B410-902E03BB43A5}"/>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𝑀_(𝑙𝑒𝑎𝑐ℎ,𝑖𝑛𝑜𝑟𝑔𝑎𝑛𝑖𝑐,𝑗)=∑2_𝑓▒(𝑀𝑁_𝑗𝑓×𝐹𝑟𝑎𝑐_(𝑊𝐸𝑇,𝑗)×𝐹𝑟𝑎𝑐_𝐿𝐸𝐴𝐶𝐻 ) </a:t>
              </a:r>
              <a:endParaRPr lang="en-AU" sz="1000"/>
            </a:p>
          </xdr:txBody>
        </xdr:sp>
      </mc:Fallback>
    </mc:AlternateContent>
    <xdr:clientData/>
  </xdr:oneCellAnchor>
  <xdr:oneCellAnchor>
    <xdr:from>
      <xdr:col>2</xdr:col>
      <xdr:colOff>252412</xdr:colOff>
      <xdr:row>49</xdr:row>
      <xdr:rowOff>71437</xdr:rowOff>
    </xdr:from>
    <xdr:ext cx="3633944" cy="3320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60A57FBD-7417-4EDB-8F45-42D14FC67EFD}"/>
                </a:ext>
              </a:extLst>
            </xdr:cNvPr>
            <xdr:cNvSpPr txBox="1"/>
          </xdr:nvSpPr>
          <xdr:spPr>
            <a:xfrm>
              <a:off x="2614612" y="123396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r>
                              <a:rPr lang="en-AU" sz="1000" i="1">
                                <a:latin typeface="Cambria Math" panose="02040503050406030204" pitchFamily="18" charset="0"/>
                              </a:rPr>
                              <m:t>𝑀𝑁𝑆𝑜𝑖</m:t>
                            </m:r>
                            <m:sSub>
                              <m:sSubPr>
                                <m:ctrlPr>
                                  <a:rPr lang="en-AU" sz="1000" i="1">
                                    <a:latin typeface="Cambria Math" panose="02040503050406030204" pitchFamily="18" charset="0"/>
                                  </a:rPr>
                                </m:ctrlPr>
                              </m:sSubPr>
                              <m:e>
                                <m:r>
                                  <a:rPr lang="en-AU" sz="1000" i="1">
                                    <a:latin typeface="Cambria Math" panose="02040503050406030204" pitchFamily="18" charset="0"/>
                                  </a:rPr>
                                  <m:t>𝑙</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𝐹𝑟𝑎</m:t>
                            </m:r>
                            <m:sSub>
                              <m:sSubPr>
                                <m:ctrlPr>
                                  <a:rPr lang="en-AU" sz="1000" i="1">
                                    <a:latin typeface="Cambria Math" panose="02040503050406030204" pitchFamily="18" charset="0"/>
                                  </a:rPr>
                                </m:ctrlPr>
                              </m:sSubPr>
                              <m:e>
                                <m:r>
                                  <a:rPr lang="en-AU" sz="1000" i="1">
                                    <a:latin typeface="Cambria Math" panose="02040503050406030204" pitchFamily="18" charset="0"/>
                                  </a:rPr>
                                  <m:t>𝑐</m:t>
                                </m:r>
                              </m:e>
                              <m:sub>
                                <m:r>
                                  <a:rPr lang="en-AU" sz="1000" i="1">
                                    <a:latin typeface="Cambria Math" panose="02040503050406030204" pitchFamily="18" charset="0"/>
                                  </a:rPr>
                                  <m:t>𝑊𝐸𝑇</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𝐹𝑟𝑎</m:t>
                            </m:r>
                            <m:sSub>
                              <m:sSubPr>
                                <m:ctrlPr>
                                  <a:rPr lang="en-AU" sz="1000" i="1">
                                    <a:latin typeface="Cambria Math" panose="02040503050406030204" pitchFamily="18" charset="0"/>
                                  </a:rPr>
                                </m:ctrlPr>
                              </m:sSubPr>
                              <m:e>
                                <m:r>
                                  <a:rPr lang="en-AU" sz="1000" i="1">
                                    <a:latin typeface="Cambria Math" panose="02040503050406030204" pitchFamily="18" charset="0"/>
                                  </a:rPr>
                                  <m:t>𝑐</m:t>
                                </m:r>
                              </m:e>
                              <m:sub>
                                <m:r>
                                  <a:rPr lang="en-AU" sz="1000" i="1">
                                    <a:latin typeface="Cambria Math" panose="02040503050406030204" pitchFamily="18" charset="0"/>
                                  </a:rPr>
                                  <m:t>𝐿𝐸𝐴𝐶𝐻</m:t>
                                </m:r>
                              </m:sub>
                            </m:sSub>
                          </m:e>
                        </m:d>
                      </m:e>
                    </m:nary>
                  </m:oMath>
                </m:oMathPara>
              </a14:m>
              <a:endParaRPr lang="en-AU" sz="1000"/>
            </a:p>
          </xdr:txBody>
        </xdr:sp>
      </mc:Choice>
      <mc:Fallback xmlns="">
        <xdr:sp macro="" textlink="">
          <xdr:nvSpPr>
            <xdr:cNvPr id="3" name="TextBox 2">
              <a:extLst>
                <a:ext uri="{FF2B5EF4-FFF2-40B4-BE49-F238E27FC236}">
                  <a16:creationId xmlns:a16="http://schemas.microsoft.com/office/drawing/2014/main" id="{60A57FBD-7417-4EDB-8F45-42D14FC67EFD}"/>
                </a:ext>
              </a:extLst>
            </xdr:cNvPr>
            <xdr:cNvSpPr txBox="1"/>
          </xdr:nvSpPr>
          <xdr:spPr>
            <a:xfrm>
              <a:off x="2614612" y="1233963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000"/>
            </a:p>
          </xdr:txBody>
        </xdr:sp>
      </mc:Fallback>
    </mc:AlternateContent>
    <xdr:clientData/>
  </xdr:oneCellAnchor>
  <xdr:oneCellAnchor>
    <xdr:from>
      <xdr:col>3</xdr:col>
      <xdr:colOff>14287</xdr:colOff>
      <xdr:row>83</xdr:row>
      <xdr:rowOff>61912</xdr:rowOff>
    </xdr:from>
    <xdr:ext cx="4870692" cy="42992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7D916C86-9669-4604-B2D2-C3251B1A6882}"/>
                </a:ext>
              </a:extLst>
            </xdr:cNvPr>
            <xdr:cNvSpPr txBox="1"/>
          </xdr:nvSpPr>
          <xdr:spPr>
            <a:xfrm>
              <a:off x="2690812" y="207502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𝑓𝑒𝑟𝑡</m:t>
                        </m:r>
                        <m:r>
                          <a:rPr lang="en-AU" sz="1000" i="1">
                            <a:latin typeface="Cambria Math" panose="02040503050406030204" pitchFamily="18" charset="0"/>
                          </a:rPr>
                          <m:t>,</m:t>
                        </m:r>
                        <m:r>
                          <a:rPr lang="en-AU" sz="1000" i="1">
                            <a:latin typeface="Cambria Math" panose="02040503050406030204" pitchFamily="18" charset="0"/>
                          </a:rPr>
                          <m:t>𝑙𝑒𝑎𝑐ℎ</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𝑖𝑛𝑜𝑟𝑔𝑎𝑛𝑖𝑐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𝑜𝑟𝑔𝑎𝑛𝑖𝑐</m:t>
                                    </m:r>
                                    <m:r>
                                      <a:rPr lang="en-AU" sz="1000" i="1">
                                        <a:latin typeface="Cambria Math" panose="02040503050406030204" pitchFamily="18" charset="0"/>
                                      </a:rPr>
                                      <m:t>,</m:t>
                                    </m:r>
                                    <m:r>
                                      <a:rPr lang="en-AU" sz="1000" i="1">
                                        <a:latin typeface="Cambria Math" panose="02040503050406030204" pitchFamily="18" charset="0"/>
                                      </a:rPr>
                                      <m:t>𝑗</m:t>
                                    </m:r>
                                  </m:sub>
                                </m:sSub>
                              </m:e>
                            </m:d>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𝑙𝑒𝑎𝑐ℎ</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oMath>
                </m:oMathPara>
              </a14:m>
              <a:endParaRPr lang="en-AU" sz="1000"/>
            </a:p>
          </xdr:txBody>
        </xdr:sp>
      </mc:Choice>
      <mc:Fallback xmlns="">
        <xdr:sp macro="" textlink="">
          <xdr:nvSpPr>
            <xdr:cNvPr id="4" name="TextBox 3">
              <a:extLst>
                <a:ext uri="{FF2B5EF4-FFF2-40B4-BE49-F238E27FC236}">
                  <a16:creationId xmlns:a16="http://schemas.microsoft.com/office/drawing/2014/main" id="{7D916C86-9669-4604-B2D2-C3251B1A6882}"/>
                </a:ext>
              </a:extLst>
            </xdr:cNvPr>
            <xdr:cNvSpPr txBox="1"/>
          </xdr:nvSpPr>
          <xdr:spPr>
            <a:xfrm>
              <a:off x="2690812" y="2075021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000"/>
            </a:p>
          </xdr:txBody>
        </xdr:sp>
      </mc:Fallback>
    </mc:AlternateContent>
    <xdr:clientData/>
  </xdr:oneCellAnchor>
</xdr:wsDr>
</file>

<file path=xl/drawings/drawing9.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E63FA546-36BF-4B70-B3E4-30FAB85D3081}"/>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𝐶𝐻</m:t>
                        </m:r>
                        <m:r>
                          <a:rPr lang="en-AU" sz="1000" i="1">
                            <a:latin typeface="Cambria Math" panose="02040503050406030204" pitchFamily="18" charset="0"/>
                          </a:rPr>
                          <m:t>4</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𝑘</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𝑚</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𝑇</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𝑗𝑘</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𝑗𝑘𝑚𝑇</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𝑗𝑘</m:t>
                                            </m:r>
                                          </m:sub>
                                        </m:sSub>
                                      </m:e>
                                    </m:d>
                                  </m:e>
                                </m:nary>
                              </m:e>
                            </m:nary>
                          </m:e>
                        </m:nary>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2" name="TextBox 1">
              <a:extLst>
                <a:ext uri="{FF2B5EF4-FFF2-40B4-BE49-F238E27FC236}">
                  <a16:creationId xmlns:a16="http://schemas.microsoft.com/office/drawing/2014/main" id="{E63FA546-36BF-4B70-B3E4-30FAB85D3081}"/>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𝐸_𝐶𝐻4=∑_𝑗▒∑_𝑘▒∑_𝑚▒∑_𝑇▒(𝐷_𝑗𝑘×𝑀_𝑗𝑘𝑚𝑇×𝑁_𝑗𝑘 ) ×10^(−3)</a:t>
              </a:r>
              <a:endParaRPr lang="en-AU" sz="1000"/>
            </a:p>
          </xdr:txBody>
        </xdr:sp>
      </mc:Fallback>
    </mc:AlternateContent>
    <xdr:clientData/>
  </xdr:oneCellAnchor>
  <xdr:oneCellAnchor>
    <xdr:from>
      <xdr:col>12</xdr:col>
      <xdr:colOff>28575</xdr:colOff>
      <xdr:row>7</xdr:row>
      <xdr:rowOff>71437</xdr:rowOff>
    </xdr:from>
    <xdr:ext cx="1604735" cy="35843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6DF53293-293E-4F50-81FE-B6DDE0DF3F19}"/>
                </a:ext>
              </a:extLst>
            </xdr:cNvPr>
            <xdr:cNvSpPr txBox="1"/>
          </xdr:nvSpPr>
          <xdr:spPr>
            <a:xfrm>
              <a:off x="15935325" y="1938337"/>
              <a:ext cx="1604735" cy="3584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𝐹𝐹𝑂</m:t>
                    </m:r>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𝑐</m:t>
                        </m:r>
                        <m:r>
                          <a:rPr lang="en-AU" sz="1000" b="0" i="1">
                            <a:latin typeface="Cambria Math" panose="02040503050406030204" pitchFamily="18" charset="0"/>
                          </a:rPr>
                          <m:t>,</m:t>
                        </m:r>
                        <m:r>
                          <m:rPr>
                            <m:sty m:val="p"/>
                          </m:rPr>
                          <a:rPr lang="en-AU" sz="1000" b="0" i="1">
                            <a:latin typeface="Cambria Math" panose="02040503050406030204" pitchFamily="18" charset="0"/>
                          </a:rPr>
                          <m:t>baled</m:t>
                        </m:r>
                      </m:sub>
                    </m:sSub>
                    <m:r>
                      <a:rPr lang="en-AU" sz="1000" i="1">
                        <a:latin typeface="Cambria Math" panose="02040503050406030204" pitchFamily="18" charset="0"/>
                      </a:rPr>
                      <m:t>=</m:t>
                    </m:r>
                    <m:f>
                      <m:fPr>
                        <m:ctrlPr>
                          <a:rPr lang="en-AU" sz="1000" i="1">
                            <a:latin typeface="Cambria Math" panose="02040503050406030204" pitchFamily="18" charset="0"/>
                          </a:rPr>
                        </m:ctrlPr>
                      </m:fPr>
                      <m:num>
                        <m:r>
                          <a:rPr lang="en-AU" sz="1000" i="1">
                            <a:latin typeface="Cambria Math" panose="02040503050406030204" pitchFamily="18" charset="0"/>
                          </a:rPr>
                          <m:t>𝐵</m:t>
                        </m:r>
                        <m:r>
                          <a:rPr lang="en-AU" sz="1000" i="1">
                            <a:latin typeface="Cambria Math" panose="02040503050406030204" pitchFamily="18" charset="0"/>
                          </a:rPr>
                          <m:t>× </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𝐵</m:t>
                            </m:r>
                          </m:sub>
                        </m:sSub>
                      </m:num>
                      <m:den>
                        <m:sSub>
                          <m:sSubPr>
                            <m:ctrlPr>
                              <a:rPr lang="en-AU" sz="1000" i="1">
                                <a:latin typeface="Cambria Math" panose="02040503050406030204" pitchFamily="18" charset="0"/>
                              </a:rPr>
                            </m:ctrlPr>
                          </m:sSubPr>
                          <m:e>
                            <m:r>
                              <a:rPr lang="en-AU" sz="1000" i="1">
                                <a:latin typeface="Cambria Math" panose="02040503050406030204" pitchFamily="18" charset="0"/>
                              </a:rPr>
                              <m:t>𝑃</m:t>
                            </m:r>
                          </m:e>
                          <m:sub>
                            <m:r>
                              <a:rPr lang="en-AU" sz="1000" i="1">
                                <a:latin typeface="Cambria Math" panose="02040503050406030204" pitchFamily="18" charset="0"/>
                              </a:rPr>
                              <m:t>𝑐</m:t>
                            </m:r>
                          </m:sub>
                        </m:sSub>
                        <m:r>
                          <a:rPr lang="en-AU" sz="1000" i="1">
                            <a:latin typeface="Cambria Math" panose="02040503050406030204" pitchFamily="18" charset="0"/>
                          </a:rPr>
                          <m:t>× </m:t>
                        </m:r>
                        <m:sSub>
                          <m:sSubPr>
                            <m:ctrlPr>
                              <a:rPr lang="en-AU" sz="1000" i="1">
                                <a:latin typeface="Cambria Math" panose="02040503050406030204" pitchFamily="18" charset="0"/>
                              </a:rPr>
                            </m:ctrlPr>
                          </m:sSubPr>
                          <m:e>
                            <m:r>
                              <a:rPr lang="en-AU" sz="1000" i="1">
                                <a:latin typeface="Cambria Math" panose="02040503050406030204" pitchFamily="18" charset="0"/>
                              </a:rPr>
                              <m:t>𝑅</m:t>
                            </m:r>
                          </m:e>
                          <m:sub>
                            <m:r>
                              <a:rPr lang="en-AU" sz="1000" i="1">
                                <a:latin typeface="Cambria Math" panose="02040503050406030204" pitchFamily="18" charset="0"/>
                              </a:rPr>
                              <m:t>𝐴𝐺</m:t>
                            </m:r>
                            <m:r>
                              <a:rPr lang="en-AU" sz="1000" i="1">
                                <a:latin typeface="Cambria Math" panose="02040503050406030204" pitchFamily="18" charset="0"/>
                              </a:rPr>
                              <m:t>,</m:t>
                            </m:r>
                            <m:r>
                              <a:rPr lang="en-AU" sz="1000" i="1">
                                <a:latin typeface="Cambria Math" panose="02040503050406030204" pitchFamily="18" charset="0"/>
                              </a:rPr>
                              <m:t>𝑐</m:t>
                            </m:r>
                          </m:sub>
                        </m:sSub>
                      </m:den>
                    </m:f>
                    <m:r>
                      <a:rPr lang="en-AU" sz="1000" i="1">
                        <a:latin typeface="Cambria Math" panose="02040503050406030204" pitchFamily="18" charset="0"/>
                      </a:rPr>
                      <m:t> </m:t>
                    </m:r>
                  </m:oMath>
                </m:oMathPara>
              </a14:m>
              <a:endParaRPr lang="en-AU" sz="1000"/>
            </a:p>
          </xdr:txBody>
        </xdr:sp>
      </mc:Choice>
      <mc:Fallback xmlns="">
        <xdr:sp macro="" textlink="">
          <xdr:nvSpPr>
            <xdr:cNvPr id="3" name="TextBox 2">
              <a:extLst>
                <a:ext uri="{FF2B5EF4-FFF2-40B4-BE49-F238E27FC236}">
                  <a16:creationId xmlns:a16="http://schemas.microsoft.com/office/drawing/2014/main" id="{6DF53293-293E-4F50-81FE-B6DDE0DF3F19}"/>
                </a:ext>
              </a:extLst>
            </xdr:cNvPr>
            <xdr:cNvSpPr txBox="1"/>
          </xdr:nvSpPr>
          <xdr:spPr>
            <a:xfrm>
              <a:off x="15935325" y="1938337"/>
              <a:ext cx="1604735" cy="3584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𝐹𝐹𝑂𝐷_(𝑐</a:t>
              </a:r>
              <a:r>
                <a:rPr lang="en-AU" sz="1000" b="0" i="0">
                  <a:latin typeface="Cambria Math" panose="02040503050406030204" pitchFamily="18" charset="0"/>
                </a:rPr>
                <a:t>,baled)</a:t>
              </a:r>
              <a:r>
                <a:rPr lang="en-AU" sz="1000" i="0">
                  <a:latin typeface="Cambria Math" panose="02040503050406030204" pitchFamily="18" charset="0"/>
                </a:rPr>
                <a:t>=(𝐵× 𝑀_𝐵)/(𝑃_𝑐× 𝑅_(𝐴𝐺,𝑐) ) </a:t>
              </a:r>
              <a:endParaRPr lang="en-AU" sz="1000"/>
            </a:p>
          </xdr:txBody>
        </xdr:sp>
      </mc:Fallback>
    </mc:AlternateContent>
    <xdr:clientData/>
  </xdr:oneCellAnchor>
  <xdr:oneCellAnchor>
    <xdr:from>
      <xdr:col>2</xdr:col>
      <xdr:colOff>295275</xdr:colOff>
      <xdr:row>7</xdr:row>
      <xdr:rowOff>147637</xdr:rowOff>
    </xdr:from>
    <xdr:ext cx="5559406" cy="16536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88C7F4AE-9DCD-4BF3-9D21-42F8DCF97068}"/>
                </a:ext>
              </a:extLst>
            </xdr:cNvPr>
            <xdr:cNvSpPr txBox="1"/>
          </xdr:nvSpPr>
          <xdr:spPr>
            <a:xfrm>
              <a:off x="2657475" y="2014537"/>
              <a:ext cx="555940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𝑐</m:t>
                        </m:r>
                      </m:sub>
                    </m:sSub>
                    <m:r>
                      <a:rPr lang="en-AU" sz="1000" i="1">
                        <a:latin typeface="Cambria Math" panose="02040503050406030204" pitchFamily="18" charset="0"/>
                      </a:rPr>
                      <m:t>=</m:t>
                    </m:r>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𝑃</m:t>
                            </m:r>
                          </m:e>
                          <m:sub>
                            <m:r>
                              <a:rPr lang="en-AU" sz="1000" i="1">
                                <a:latin typeface="Cambria Math" panose="02040503050406030204" pitchFamily="18" charset="0"/>
                              </a:rPr>
                              <m:t>𝑐</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𝑅</m:t>
                            </m:r>
                          </m:e>
                          <m:sub>
                            <m:r>
                              <a:rPr lang="en-AU" sz="1000" i="1">
                                <a:latin typeface="Cambria Math" panose="02040503050406030204" pitchFamily="18" charset="0"/>
                              </a:rPr>
                              <m:t>𝐴𝐺𝑐</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𝑐</m:t>
                                </m:r>
                              </m:sub>
                            </m:sSub>
                            <m:r>
                              <a:rPr lang="en-AU" sz="1000" i="1">
                                <a:latin typeface="Cambria Math" panose="02040503050406030204" pitchFamily="18" charset="0"/>
                              </a:rPr>
                              <m:t>−</m:t>
                            </m:r>
                            <m:r>
                              <a:rPr lang="en-AU" sz="1000" i="1">
                                <a:latin typeface="Cambria Math" panose="02040503050406030204" pitchFamily="18" charset="0"/>
                              </a:rPr>
                              <m:t>𝐹𝐹𝑂</m:t>
                            </m:r>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𝑐</m:t>
                                </m:r>
                              </m:sub>
                            </m:sSub>
                          </m:e>
                        </m:d>
                        <m:r>
                          <a:rPr lang="en-AU" sz="1000" i="1">
                            <a:latin typeface="Cambria Math" panose="02040503050406030204" pitchFamily="18" charset="0"/>
                          </a:rPr>
                          <m:t>×</m:t>
                        </m:r>
                        <m:r>
                          <a:rPr lang="en-AU" sz="1000" i="1">
                            <a:latin typeface="Cambria Math" panose="02040503050406030204" pitchFamily="18" charset="0"/>
                          </a:rPr>
                          <m:t>𝐷</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𝑐</m:t>
                            </m:r>
                          </m:sub>
                        </m:sSub>
                        <m:r>
                          <a:rPr lang="en-AU" sz="1000" i="1">
                            <a:latin typeface="Cambria Math" panose="02040503050406030204" pitchFamily="18" charset="0"/>
                          </a:rPr>
                          <m:t>×</m:t>
                        </m:r>
                        <m:r>
                          <a:rPr lang="en-AU" sz="1000" i="1">
                            <a:latin typeface="Cambria Math" panose="02040503050406030204" pitchFamily="18" charset="0"/>
                          </a:rPr>
                          <m:t>𝑁</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𝐴𝐺𝑐</m:t>
                            </m:r>
                          </m:sub>
                        </m:sSub>
                      </m:e>
                    </m:d>
                    <m:r>
                      <a:rPr lang="en-AU" sz="1000" i="1">
                        <a:latin typeface="Cambria Math" panose="02040503050406030204" pitchFamily="18" charset="0"/>
                      </a:rPr>
                      <m:t>+</m:t>
                    </m:r>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𝑃</m:t>
                            </m:r>
                          </m:e>
                          <m:sub>
                            <m:r>
                              <a:rPr lang="en-AU" sz="1000" i="1">
                                <a:latin typeface="Cambria Math" panose="02040503050406030204" pitchFamily="18" charset="0"/>
                              </a:rPr>
                              <m:t>𝑐</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𝑅</m:t>
                            </m:r>
                          </m:e>
                          <m:sub>
                            <m:r>
                              <a:rPr lang="en-AU" sz="1000" i="1">
                                <a:latin typeface="Cambria Math" panose="02040503050406030204" pitchFamily="18" charset="0"/>
                              </a:rPr>
                              <m:t>𝐴𝐺𝑐</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𝑅</m:t>
                            </m:r>
                          </m:e>
                          <m:sub>
                            <m:r>
                              <a:rPr lang="en-AU" sz="1000" i="1">
                                <a:latin typeface="Cambria Math" panose="02040503050406030204" pitchFamily="18" charset="0"/>
                              </a:rPr>
                              <m:t>𝐵𝐺𝑐</m:t>
                            </m:r>
                          </m:sub>
                        </m:sSub>
                        <m:r>
                          <a:rPr lang="en-AU" sz="1000" i="1">
                            <a:latin typeface="Cambria Math" panose="02040503050406030204" pitchFamily="18" charset="0"/>
                          </a:rPr>
                          <m:t>×</m:t>
                        </m:r>
                        <m:r>
                          <a:rPr lang="en-AU" sz="1000" i="1">
                            <a:latin typeface="Cambria Math" panose="02040503050406030204" pitchFamily="18" charset="0"/>
                          </a:rPr>
                          <m:t>𝐷</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𝑐</m:t>
                            </m:r>
                          </m:sub>
                        </m:sSub>
                        <m:r>
                          <a:rPr lang="en-AU" sz="1000" i="1">
                            <a:latin typeface="Cambria Math" panose="02040503050406030204" pitchFamily="18" charset="0"/>
                          </a:rPr>
                          <m:t>×</m:t>
                        </m:r>
                        <m:r>
                          <a:rPr lang="en-AU" sz="1000" i="1">
                            <a:latin typeface="Cambria Math" panose="02040503050406030204" pitchFamily="18" charset="0"/>
                          </a:rPr>
                          <m:t>𝑁</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𝐵𝐺𝑐</m:t>
                            </m:r>
                          </m:sub>
                        </m:sSub>
                      </m:e>
                    </m:d>
                  </m:oMath>
                </m:oMathPara>
              </a14:m>
              <a:endParaRPr lang="en-AU" sz="1000"/>
            </a:p>
          </xdr:txBody>
        </xdr:sp>
      </mc:Choice>
      <mc:Fallback xmlns="">
        <xdr:sp macro="" textlink="">
          <xdr:nvSpPr>
            <xdr:cNvPr id="4" name="TextBox 3">
              <a:extLst>
                <a:ext uri="{FF2B5EF4-FFF2-40B4-BE49-F238E27FC236}">
                  <a16:creationId xmlns:a16="http://schemas.microsoft.com/office/drawing/2014/main" id="{88C7F4AE-9DCD-4BF3-9D21-42F8DCF97068}"/>
                </a:ext>
              </a:extLst>
            </xdr:cNvPr>
            <xdr:cNvSpPr txBox="1"/>
          </xdr:nvSpPr>
          <xdr:spPr>
            <a:xfrm>
              <a:off x="2657475" y="2014537"/>
              <a:ext cx="555940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𝑀_𝑐=(𝑃_𝑐×𝑅_𝐴𝐺𝑐×(1−𝐹_𝑐−𝐹𝐹𝑂𝐷_𝑐 )×𝐷𝑀_𝑐×𝑁𝐶_𝐴𝐺𝑐 )+(𝑃_𝑐×𝑅_𝐴𝐺𝑐×𝑅_𝐵𝐺𝑐×𝐷𝑀_𝑐×𝑁𝐶_𝐵𝐺𝑐 )</a:t>
              </a:r>
              <a:endParaRPr lang="en-AU" sz="1000"/>
            </a:p>
          </xdr:txBody>
        </xdr:sp>
      </mc:Fallback>
    </mc:AlternateContent>
    <xdr:clientData/>
  </xdr:oneCellAnchor>
  <xdr:oneCellAnchor>
    <xdr:from>
      <xdr:col>3</xdr:col>
      <xdr:colOff>19050</xdr:colOff>
      <xdr:row>30</xdr:row>
      <xdr:rowOff>28575</xdr:rowOff>
    </xdr:from>
    <xdr:ext cx="2260682" cy="312906"/>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57164E3F-B4E8-490C-8CE0-0D95540038FF}"/>
                </a:ext>
              </a:extLst>
            </xdr:cNvPr>
            <xdr:cNvSpPr txBox="1"/>
          </xdr:nvSpPr>
          <xdr:spPr>
            <a:xfrm>
              <a:off x="2695575" y="7591425"/>
              <a:ext cx="2260682"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𝑐</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𝑐</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𝑁</m:t>
                                </m:r>
                              </m:sub>
                            </m:sSub>
                          </m:e>
                        </m:d>
                      </m:e>
                    </m:nary>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𝑔</m:t>
                        </m:r>
                        <m:r>
                          <a:rPr lang="en-AU" sz="1000" i="1">
                            <a:latin typeface="Cambria Math" panose="02040503050406030204" pitchFamily="18" charset="0"/>
                          </a:rPr>
                          <m:t>,</m:t>
                        </m:r>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5" name="TextBox 4">
              <a:extLst>
                <a:ext uri="{FF2B5EF4-FFF2-40B4-BE49-F238E27FC236}">
                  <a16:creationId xmlns:a16="http://schemas.microsoft.com/office/drawing/2014/main" id="{57164E3F-B4E8-490C-8CE0-0D95540038FF}"/>
                </a:ext>
              </a:extLst>
            </xdr:cNvPr>
            <xdr:cNvSpPr txBox="1"/>
          </xdr:nvSpPr>
          <xdr:spPr>
            <a:xfrm>
              <a:off x="2695575" y="7591425"/>
              <a:ext cx="2260682"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𝐸=∑2_𝑐▒(𝑀_𝑐×𝐸𝐹_𝑁 ) ×𝐶_(𝑔,𝑁2𝑂)×10^(−3)</a:t>
              </a:r>
              <a:endParaRPr lang="en-AU" sz="1000"/>
            </a:p>
          </xdr:txBody>
        </xdr:sp>
      </mc:Fallback>
    </mc:AlternateContent>
    <xdr:clientData/>
  </xdr:oneCellAnchor>
  <xdr:oneCellAnchor>
    <xdr:from>
      <xdr:col>11</xdr:col>
      <xdr:colOff>295275</xdr:colOff>
      <xdr:row>26</xdr:row>
      <xdr:rowOff>147637</xdr:rowOff>
    </xdr:from>
    <xdr:ext cx="5559406" cy="165366"/>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EA412F0B-36D7-4C9E-8117-88593C8A7A45}"/>
                </a:ext>
              </a:extLst>
            </xdr:cNvPr>
            <xdr:cNvSpPr txBox="1"/>
          </xdr:nvSpPr>
          <xdr:spPr>
            <a:xfrm>
              <a:off x="15887700" y="6719887"/>
              <a:ext cx="555940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𝑐</m:t>
                        </m:r>
                      </m:sub>
                    </m:sSub>
                    <m:r>
                      <a:rPr lang="en-AU" sz="1000" i="1">
                        <a:latin typeface="Cambria Math" panose="02040503050406030204" pitchFamily="18" charset="0"/>
                      </a:rPr>
                      <m:t>=</m:t>
                    </m:r>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𝑃</m:t>
                            </m:r>
                          </m:e>
                          <m:sub>
                            <m:r>
                              <a:rPr lang="en-AU" sz="1000" i="1">
                                <a:latin typeface="Cambria Math" panose="02040503050406030204" pitchFamily="18" charset="0"/>
                              </a:rPr>
                              <m:t>𝑐</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𝑅</m:t>
                            </m:r>
                          </m:e>
                          <m:sub>
                            <m:r>
                              <a:rPr lang="en-AU" sz="1000" i="1">
                                <a:latin typeface="Cambria Math" panose="02040503050406030204" pitchFamily="18" charset="0"/>
                              </a:rPr>
                              <m:t>𝐴𝐺𝑐</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𝑐</m:t>
                                </m:r>
                              </m:sub>
                            </m:sSub>
                            <m:r>
                              <a:rPr lang="en-AU" sz="1000" i="1">
                                <a:latin typeface="Cambria Math" panose="02040503050406030204" pitchFamily="18" charset="0"/>
                              </a:rPr>
                              <m:t>−</m:t>
                            </m:r>
                            <m:r>
                              <a:rPr lang="en-AU" sz="1000" i="1">
                                <a:latin typeface="Cambria Math" panose="02040503050406030204" pitchFamily="18" charset="0"/>
                              </a:rPr>
                              <m:t>𝐹𝐹𝑂</m:t>
                            </m:r>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𝑐</m:t>
                                </m:r>
                              </m:sub>
                            </m:sSub>
                          </m:e>
                        </m:d>
                        <m:r>
                          <a:rPr lang="en-AU" sz="1000" i="1">
                            <a:latin typeface="Cambria Math" panose="02040503050406030204" pitchFamily="18" charset="0"/>
                          </a:rPr>
                          <m:t>×</m:t>
                        </m:r>
                        <m:r>
                          <a:rPr lang="en-AU" sz="1000" i="1">
                            <a:latin typeface="Cambria Math" panose="02040503050406030204" pitchFamily="18" charset="0"/>
                          </a:rPr>
                          <m:t>𝐷</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𝑐</m:t>
                            </m:r>
                          </m:sub>
                        </m:sSub>
                        <m:r>
                          <a:rPr lang="en-AU" sz="1000" i="1">
                            <a:latin typeface="Cambria Math" panose="02040503050406030204" pitchFamily="18" charset="0"/>
                          </a:rPr>
                          <m:t>×</m:t>
                        </m:r>
                        <m:r>
                          <a:rPr lang="en-AU" sz="1000" i="1">
                            <a:latin typeface="Cambria Math" panose="02040503050406030204" pitchFamily="18" charset="0"/>
                          </a:rPr>
                          <m:t>𝑁</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𝐴𝐺𝑐</m:t>
                            </m:r>
                          </m:sub>
                        </m:sSub>
                      </m:e>
                    </m:d>
                    <m:r>
                      <a:rPr lang="en-AU" sz="1000" i="1">
                        <a:latin typeface="Cambria Math" panose="02040503050406030204" pitchFamily="18" charset="0"/>
                      </a:rPr>
                      <m:t>+</m:t>
                    </m:r>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𝑃</m:t>
                            </m:r>
                          </m:e>
                          <m:sub>
                            <m:r>
                              <a:rPr lang="en-AU" sz="1000" i="1">
                                <a:latin typeface="Cambria Math" panose="02040503050406030204" pitchFamily="18" charset="0"/>
                              </a:rPr>
                              <m:t>𝑐</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𝑅</m:t>
                            </m:r>
                          </m:e>
                          <m:sub>
                            <m:r>
                              <a:rPr lang="en-AU" sz="1000" i="1">
                                <a:latin typeface="Cambria Math" panose="02040503050406030204" pitchFamily="18" charset="0"/>
                              </a:rPr>
                              <m:t>𝐴𝐺𝑐</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𝑅</m:t>
                            </m:r>
                          </m:e>
                          <m:sub>
                            <m:r>
                              <a:rPr lang="en-AU" sz="1000" i="1">
                                <a:latin typeface="Cambria Math" panose="02040503050406030204" pitchFamily="18" charset="0"/>
                              </a:rPr>
                              <m:t>𝐵𝐺𝑐</m:t>
                            </m:r>
                          </m:sub>
                        </m:sSub>
                        <m:r>
                          <a:rPr lang="en-AU" sz="1000" i="1">
                            <a:latin typeface="Cambria Math" panose="02040503050406030204" pitchFamily="18" charset="0"/>
                          </a:rPr>
                          <m:t>×</m:t>
                        </m:r>
                        <m:r>
                          <a:rPr lang="en-AU" sz="1000" i="1">
                            <a:latin typeface="Cambria Math" panose="02040503050406030204" pitchFamily="18" charset="0"/>
                          </a:rPr>
                          <m:t>𝐷</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𝑐</m:t>
                            </m:r>
                          </m:sub>
                        </m:sSub>
                        <m:r>
                          <a:rPr lang="en-AU" sz="1000" i="1">
                            <a:latin typeface="Cambria Math" panose="02040503050406030204" pitchFamily="18" charset="0"/>
                          </a:rPr>
                          <m:t>×</m:t>
                        </m:r>
                        <m:r>
                          <a:rPr lang="en-AU" sz="1000" i="1">
                            <a:latin typeface="Cambria Math" panose="02040503050406030204" pitchFamily="18" charset="0"/>
                          </a:rPr>
                          <m:t>𝑁</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𝐵𝐺𝑐</m:t>
                            </m:r>
                          </m:sub>
                        </m:sSub>
                      </m:e>
                    </m:d>
                  </m:oMath>
                </m:oMathPara>
              </a14:m>
              <a:endParaRPr lang="en-AU" sz="1000"/>
            </a:p>
          </xdr:txBody>
        </xdr:sp>
      </mc:Choice>
      <mc:Fallback xmlns="">
        <xdr:sp macro="" textlink="">
          <xdr:nvSpPr>
            <xdr:cNvPr id="6" name="TextBox 5">
              <a:extLst>
                <a:ext uri="{FF2B5EF4-FFF2-40B4-BE49-F238E27FC236}">
                  <a16:creationId xmlns:a16="http://schemas.microsoft.com/office/drawing/2014/main" id="{EA412F0B-36D7-4C9E-8117-88593C8A7A45}"/>
                </a:ext>
              </a:extLst>
            </xdr:cNvPr>
            <xdr:cNvSpPr txBox="1"/>
          </xdr:nvSpPr>
          <xdr:spPr>
            <a:xfrm>
              <a:off x="15887700" y="6719887"/>
              <a:ext cx="555940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𝑀_𝑐=(𝑃_𝑐×𝑅_𝐴𝐺𝑐×(1−𝐹_𝑐−𝐹𝐹𝑂𝐷_𝑐 )×𝐷𝑀_𝑐×𝑁𝐶_𝐴𝐺𝑐 )+(𝑃_𝑐×𝑅_𝐴𝐺𝑐×𝑅_𝐵𝐺𝑐×𝐷𝑀_𝑐×𝑁𝐶_𝐵𝐺𝑐 )</a:t>
              </a:r>
              <a:endParaRPr lang="en-AU" sz="1000"/>
            </a:p>
          </xdr:txBody>
        </xdr:sp>
      </mc:Fallback>
    </mc:AlternateContent>
    <xdr:clientData/>
  </xdr:oneCellAnchor>
  <xdr:oneCellAnchor>
    <xdr:from>
      <xdr:col>12</xdr:col>
      <xdr:colOff>19050</xdr:colOff>
      <xdr:row>49</xdr:row>
      <xdr:rowOff>28575</xdr:rowOff>
    </xdr:from>
    <xdr:ext cx="2111860" cy="410753"/>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98E5C5EA-1327-4CA6-BD5D-802828B8D525}"/>
                </a:ext>
              </a:extLst>
            </xdr:cNvPr>
            <xdr:cNvSpPr txBox="1"/>
          </xdr:nvSpPr>
          <xdr:spPr>
            <a:xfrm>
              <a:off x="15925800" y="12296775"/>
              <a:ext cx="2111860" cy="4107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𝑐</m:t>
                        </m:r>
                      </m:sub>
                      <m:sup/>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𝑐</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𝑁</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𝑔</m:t>
                            </m:r>
                            <m:r>
                              <a:rPr lang="en-AU" sz="1000" i="1">
                                <a:latin typeface="Cambria Math" panose="02040503050406030204" pitchFamily="18" charset="0"/>
                              </a:rPr>
                              <m:t>,</m:t>
                            </m:r>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nary>
                  </m:oMath>
                </m:oMathPara>
              </a14:m>
              <a:endParaRPr lang="en-AU" sz="1000"/>
            </a:p>
          </xdr:txBody>
        </xdr:sp>
      </mc:Choice>
      <mc:Fallback xmlns="">
        <xdr:sp macro="" textlink="">
          <xdr:nvSpPr>
            <xdr:cNvPr id="7" name="TextBox 6">
              <a:extLst>
                <a:ext uri="{FF2B5EF4-FFF2-40B4-BE49-F238E27FC236}">
                  <a16:creationId xmlns:a16="http://schemas.microsoft.com/office/drawing/2014/main" id="{98E5C5EA-1327-4CA6-BD5D-802828B8D525}"/>
                </a:ext>
              </a:extLst>
            </xdr:cNvPr>
            <xdr:cNvSpPr txBox="1"/>
          </xdr:nvSpPr>
          <xdr:spPr>
            <a:xfrm>
              <a:off x="15925800" y="12296775"/>
              <a:ext cx="2111860" cy="4107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𝐸=∑_𝑐▒〖𝑀_𝑐×𝐸𝐹_𝑁×𝐶_(𝑔,𝑁2𝑂)×10^(−3) 〗</a:t>
              </a:r>
              <a:endParaRPr lang="en-AU" sz="1000"/>
            </a:p>
          </xdr:txBody>
        </xdr:sp>
      </mc:Fallback>
    </mc:AlternateContent>
    <xdr:clientData/>
  </xdr:oneCellAnchor>
</xdr:wsDr>
</file>

<file path=xl/drawings/drawing10.xml><?xml version="1.0" encoding="utf-8"?>
<xdr:wsDr xmlns:xdr="http://schemas.openxmlformats.org/drawingml/2006/spreadsheetDrawing" xmlns:a="http://schemas.openxmlformats.org/drawingml/2006/main">
  <xdr:oneCellAnchor>
    <xdr:from>
      <xdr:col>3</xdr:col>
      <xdr:colOff>9525</xdr:colOff>
      <xdr:row>7</xdr:row>
      <xdr:rowOff>161925</xdr:rowOff>
    </xdr:from>
    <xdr:ext cx="2692147"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EC2BC648-3F52-4C82-9241-66034330B9CF}"/>
                </a:ext>
              </a:extLst>
            </xdr:cNvPr>
            <xdr:cNvSpPr txBox="1"/>
          </xdr:nvSpPr>
          <xdr:spPr>
            <a:xfrm>
              <a:off x="2686050" y="2028825"/>
              <a:ext cx="269214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b="0" i="1" u="none" strike="noStrike">
                            <a:solidFill>
                              <a:schemeClr val="tx1"/>
                            </a:solidFill>
                            <a:effectLst/>
                            <a:latin typeface="Cambria Math" panose="02040503050406030204" pitchFamily="18" charset="0"/>
                            <a:ea typeface="+mn-ea"/>
                            <a:cs typeface="+mn-cs"/>
                          </a:rPr>
                        </m:ctrlPr>
                      </m:sSubPr>
                      <m:e>
                        <m:r>
                          <a:rPr lang="en-AU" sz="1000" b="0" i="1" u="none" strike="noStrike">
                            <a:solidFill>
                              <a:schemeClr val="tx1"/>
                            </a:solidFill>
                            <a:effectLst/>
                            <a:latin typeface="Cambria Math" panose="02040503050406030204" pitchFamily="18" charset="0"/>
                            <a:ea typeface="+mn-ea"/>
                            <a:cs typeface="+mn-cs"/>
                          </a:rPr>
                          <m:t>𝑀</m:t>
                        </m:r>
                      </m:e>
                      <m:sub>
                        <m:r>
                          <a:rPr lang="en-AU" sz="1000" b="0" i="1" u="none" strike="noStrike">
                            <a:solidFill>
                              <a:schemeClr val="tx1"/>
                            </a:solidFill>
                            <a:effectLst/>
                            <a:latin typeface="Cambria Math" panose="02040503050406030204" pitchFamily="18" charset="0"/>
                            <a:ea typeface="+mn-ea"/>
                            <a:cs typeface="+mn-cs"/>
                          </a:rPr>
                          <m:t>𝑙𝑒𝑎𝑐ℎ</m:t>
                        </m:r>
                        <m:r>
                          <a:rPr lang="en-AU" sz="1000" b="0" i="1" u="none" strike="noStrike">
                            <a:solidFill>
                              <a:schemeClr val="tx1"/>
                            </a:solidFill>
                            <a:effectLst/>
                            <a:latin typeface="Cambria Math" panose="02040503050406030204" pitchFamily="18" charset="0"/>
                            <a:ea typeface="+mn-ea"/>
                            <a:cs typeface="+mn-cs"/>
                          </a:rPr>
                          <m:t>,</m:t>
                        </m:r>
                        <m:r>
                          <a:rPr lang="en-AU" sz="1000" b="0" i="1" u="none" strike="noStrike">
                            <a:solidFill>
                              <a:schemeClr val="tx1"/>
                            </a:solidFill>
                            <a:effectLst/>
                            <a:latin typeface="Cambria Math" panose="02040503050406030204" pitchFamily="18" charset="0"/>
                            <a:ea typeface="+mn-ea"/>
                            <a:cs typeface="+mn-cs"/>
                          </a:rPr>
                          <m:t>𝑐𝑝</m:t>
                        </m:r>
                      </m:sub>
                    </m:sSub>
                    <m:r>
                      <a:rPr lang="en-AU" sz="1000" b="0" i="1" u="none" strike="noStrike">
                        <a:solidFill>
                          <a:schemeClr val="tx1"/>
                        </a:solidFill>
                        <a:effectLst/>
                        <a:latin typeface="Cambria Math" panose="02040503050406030204" pitchFamily="18" charset="0"/>
                        <a:ea typeface="+mn-ea"/>
                        <a:cs typeface="+mn-cs"/>
                      </a:rPr>
                      <m:t>=</m:t>
                    </m:r>
                    <m:sSub>
                      <m:sSubPr>
                        <m:ctrlPr>
                          <a:rPr lang="en-AU" sz="1000" b="0" i="1" u="none" strike="noStrike">
                            <a:solidFill>
                              <a:schemeClr val="tx1"/>
                            </a:solidFill>
                            <a:effectLst/>
                            <a:latin typeface="Cambria Math" panose="02040503050406030204" pitchFamily="18" charset="0"/>
                            <a:ea typeface="+mn-ea"/>
                            <a:cs typeface="+mn-cs"/>
                          </a:rPr>
                        </m:ctrlPr>
                      </m:sSubPr>
                      <m:e>
                        <m:r>
                          <a:rPr lang="en-AU" sz="1000" b="0" i="1" u="none" strike="noStrike">
                            <a:solidFill>
                              <a:schemeClr val="tx1"/>
                            </a:solidFill>
                            <a:effectLst/>
                            <a:latin typeface="Cambria Math" panose="02040503050406030204" pitchFamily="18" charset="0"/>
                            <a:ea typeface="+mn-ea"/>
                            <a:cs typeface="+mn-cs"/>
                          </a:rPr>
                          <m:t>𝑀</m:t>
                        </m:r>
                      </m:e>
                      <m:sub>
                        <m:r>
                          <a:rPr lang="en-AU" sz="1000" b="0" i="1" u="none" strike="noStrike">
                            <a:solidFill>
                              <a:schemeClr val="tx1"/>
                            </a:solidFill>
                            <a:effectLst/>
                            <a:latin typeface="Cambria Math" panose="02040503050406030204" pitchFamily="18" charset="0"/>
                            <a:ea typeface="+mn-ea"/>
                            <a:cs typeface="+mn-cs"/>
                          </a:rPr>
                          <m:t>𝑐𝑝</m:t>
                        </m:r>
                      </m:sub>
                    </m:sSub>
                    <m:r>
                      <a:rPr lang="en-AU" sz="1000" b="0" i="1" u="none" strike="noStrike">
                        <a:solidFill>
                          <a:schemeClr val="tx1"/>
                        </a:solidFill>
                        <a:effectLst/>
                        <a:latin typeface="Cambria Math" panose="02040503050406030204" pitchFamily="18" charset="0"/>
                        <a:ea typeface="+mn-ea"/>
                        <a:cs typeface="+mn-cs"/>
                      </a:rPr>
                      <m:t>×</m:t>
                    </m:r>
                    <m:r>
                      <a:rPr lang="en-AU" sz="1000" b="0" i="1" u="none" strike="noStrike">
                        <a:solidFill>
                          <a:schemeClr val="tx1"/>
                        </a:solidFill>
                        <a:effectLst/>
                        <a:latin typeface="Cambria Math" panose="02040503050406030204" pitchFamily="18" charset="0"/>
                        <a:ea typeface="+mn-ea"/>
                        <a:cs typeface="+mn-cs"/>
                      </a:rPr>
                      <m:t>𝐹𝑟𝑎𝑐𝑊𝐸</m:t>
                    </m:r>
                    <m:sSub>
                      <m:sSubPr>
                        <m:ctrlPr>
                          <a:rPr lang="en-AU" sz="1000" b="0" i="1" u="none" strike="noStrike">
                            <a:solidFill>
                              <a:schemeClr val="tx1"/>
                            </a:solidFill>
                            <a:effectLst/>
                            <a:latin typeface="Cambria Math" panose="02040503050406030204" pitchFamily="18" charset="0"/>
                            <a:ea typeface="+mn-ea"/>
                            <a:cs typeface="+mn-cs"/>
                          </a:rPr>
                        </m:ctrlPr>
                      </m:sSubPr>
                      <m:e>
                        <m:r>
                          <a:rPr lang="en-AU" sz="1000" b="0" i="1" u="none" strike="noStrike">
                            <a:solidFill>
                              <a:schemeClr val="tx1"/>
                            </a:solidFill>
                            <a:effectLst/>
                            <a:latin typeface="Cambria Math" panose="02040503050406030204" pitchFamily="18" charset="0"/>
                            <a:ea typeface="+mn-ea"/>
                            <a:cs typeface="+mn-cs"/>
                          </a:rPr>
                          <m:t>𝑇</m:t>
                        </m:r>
                      </m:e>
                      <m:sub>
                        <m:r>
                          <a:rPr lang="en-AU" sz="1000" b="0" i="1" u="none" strike="noStrike">
                            <a:solidFill>
                              <a:schemeClr val="tx1"/>
                            </a:solidFill>
                            <a:effectLst/>
                            <a:latin typeface="Cambria Math" panose="02040503050406030204" pitchFamily="18" charset="0"/>
                            <a:ea typeface="+mn-ea"/>
                            <a:cs typeface="+mn-cs"/>
                          </a:rPr>
                          <m:t>𝑗</m:t>
                        </m:r>
                      </m:sub>
                    </m:sSub>
                    <m:r>
                      <a:rPr lang="en-AU" sz="1000" b="0" i="1" u="none" strike="noStrike">
                        <a:solidFill>
                          <a:schemeClr val="tx1"/>
                        </a:solidFill>
                        <a:effectLst/>
                        <a:latin typeface="Cambria Math" panose="02040503050406030204" pitchFamily="18" charset="0"/>
                        <a:ea typeface="+mn-ea"/>
                        <a:cs typeface="+mn-cs"/>
                      </a:rPr>
                      <m:t>×</m:t>
                    </m:r>
                    <m:r>
                      <a:rPr lang="en-AU" sz="1000" b="0" i="1" u="none" strike="noStrike">
                        <a:solidFill>
                          <a:schemeClr val="tx1"/>
                        </a:solidFill>
                        <a:effectLst/>
                        <a:latin typeface="Cambria Math" panose="02040503050406030204" pitchFamily="18" charset="0"/>
                        <a:ea typeface="+mn-ea"/>
                        <a:cs typeface="+mn-cs"/>
                      </a:rPr>
                      <m:t>𝐹𝑟𝑎𝑐𝐿𝐸𝐴𝐶𝐻</m:t>
                    </m:r>
                  </m:oMath>
                </m:oMathPara>
              </a14:m>
              <a:endParaRPr lang="en-AU" sz="1000"/>
            </a:p>
          </xdr:txBody>
        </xdr:sp>
      </mc:Choice>
      <mc:Fallback xmlns="">
        <xdr:sp macro="" textlink="">
          <xdr:nvSpPr>
            <xdr:cNvPr id="2" name="TextBox 1">
              <a:extLst>
                <a:ext uri="{FF2B5EF4-FFF2-40B4-BE49-F238E27FC236}">
                  <a16:creationId xmlns:a16="http://schemas.microsoft.com/office/drawing/2014/main" id="{EC2BC648-3F52-4C82-9241-66034330B9CF}"/>
                </a:ext>
              </a:extLst>
            </xdr:cNvPr>
            <xdr:cNvSpPr txBox="1"/>
          </xdr:nvSpPr>
          <xdr:spPr>
            <a:xfrm>
              <a:off x="2686050" y="2028825"/>
              <a:ext cx="2692147"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b="0" i="0" u="none" strike="noStrike">
                  <a:solidFill>
                    <a:schemeClr val="tx1"/>
                  </a:solidFill>
                  <a:effectLst/>
                  <a:latin typeface="Cambria Math" panose="02040503050406030204" pitchFamily="18" charset="0"/>
                  <a:ea typeface="+mn-ea"/>
                  <a:cs typeface="+mn-cs"/>
                </a:rPr>
                <a:t>𝑀_(𝑙𝑒𝑎𝑐ℎ,𝑐𝑝)=𝑀_𝑐𝑝×𝐹𝑟𝑎𝑐𝑊𝐸𝑇_𝑗×𝐹𝑟𝑎𝑐𝐿𝐸𝐴𝐶𝐻</a:t>
              </a:r>
              <a:endParaRPr lang="en-AU" sz="1000"/>
            </a:p>
          </xdr:txBody>
        </xdr:sp>
      </mc:Fallback>
    </mc:AlternateContent>
    <xdr:clientData/>
  </xdr:oneCellAnchor>
  <xdr:oneCellAnchor>
    <xdr:from>
      <xdr:col>2</xdr:col>
      <xdr:colOff>300037</xdr:colOff>
      <xdr:row>30</xdr:row>
      <xdr:rowOff>38100</xdr:rowOff>
    </xdr:from>
    <xdr:ext cx="3220561" cy="33150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6114AC9F-90BB-4AD5-9AFC-578A8801ABEB}"/>
                </a:ext>
              </a:extLst>
            </xdr:cNvPr>
            <xdr:cNvSpPr txBox="1"/>
          </xdr:nvSpPr>
          <xdr:spPr>
            <a:xfrm>
              <a:off x="2662237" y="7600950"/>
              <a:ext cx="3220561"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𝑐</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𝑝</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𝑙𝑒𝑎𝑐ℎ</m:t>
                                    </m:r>
                                    <m:r>
                                      <a:rPr lang="en-AU" sz="1000" i="1">
                                        <a:latin typeface="Cambria Math" panose="02040503050406030204" pitchFamily="18" charset="0"/>
                                      </a:rPr>
                                      <m:t>,</m:t>
                                    </m:r>
                                    <m:r>
                                      <a:rPr lang="en-AU" sz="1000" i="1">
                                        <a:latin typeface="Cambria Math" panose="02040503050406030204" pitchFamily="18" charset="0"/>
                                      </a:rPr>
                                      <m:t>𝑐𝑝</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𝑙𝑒𝑎𝑐ℎ</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nary>
                      </m:e>
                    </m:nary>
                  </m:oMath>
                </m:oMathPara>
              </a14:m>
              <a:endParaRPr lang="en-AU" sz="1000"/>
            </a:p>
          </xdr:txBody>
        </xdr:sp>
      </mc:Choice>
      <mc:Fallback xmlns="">
        <xdr:sp macro="" textlink="">
          <xdr:nvSpPr>
            <xdr:cNvPr id="3" name="TextBox 2">
              <a:extLst>
                <a:ext uri="{FF2B5EF4-FFF2-40B4-BE49-F238E27FC236}">
                  <a16:creationId xmlns:a16="http://schemas.microsoft.com/office/drawing/2014/main" id="{6114AC9F-90BB-4AD5-9AFC-578A8801ABEB}"/>
                </a:ext>
              </a:extLst>
            </xdr:cNvPr>
            <xdr:cNvSpPr txBox="1"/>
          </xdr:nvSpPr>
          <xdr:spPr>
            <a:xfrm>
              <a:off x="2662237" y="7600950"/>
              <a:ext cx="3220561"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𝐸_𝑁2𝑂=∑2_𝑐▒∑2_𝑝▒(𝑀_(𝑙𝑒𝑎𝑐ℎ,𝑐𝑝)×𝐸𝐹_𝑙𝑒𝑎𝑐ℎ×𝐶_𝑁2𝑂×10^(−3) ) </a:t>
              </a:r>
              <a:endParaRPr lang="en-AU" sz="1000"/>
            </a:p>
          </xdr:txBody>
        </xdr:sp>
      </mc:Fallback>
    </mc:AlternateContent>
    <xdr:clientData/>
  </xdr:oneCellAnchor>
</xdr:wsDr>
</file>

<file path=xl/drawings/drawing11.xml><?xml version="1.0" encoding="utf-8"?>
<xdr:wsDr xmlns:xdr="http://schemas.openxmlformats.org/drawingml/2006/spreadsheetDrawing" xmlns:a="http://schemas.openxmlformats.org/drawingml/2006/main">
  <xdr:oneCellAnchor>
    <xdr:from>
      <xdr:col>3</xdr:col>
      <xdr:colOff>9525</xdr:colOff>
      <xdr:row>7</xdr:row>
      <xdr:rowOff>114300</xdr:rowOff>
    </xdr:from>
    <xdr:ext cx="2544606" cy="17665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E1CF1097-EC3E-4903-B72E-95B45A72E22A}"/>
                </a:ext>
              </a:extLst>
            </xdr:cNvPr>
            <xdr:cNvSpPr txBox="1"/>
          </xdr:nvSpPr>
          <xdr:spPr>
            <a:xfrm>
              <a:off x="2686050" y="1981200"/>
              <a:ext cx="2544606" cy="1766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𝑏𝑢𝑟𝑛</m:t>
                        </m:r>
                        <m:r>
                          <a:rPr lang="en-AU" sz="1000" i="1">
                            <a:latin typeface="Cambria Math" panose="02040503050406030204" pitchFamily="18" charset="0"/>
                          </a:rPr>
                          <m:t>,</m:t>
                        </m:r>
                        <m:r>
                          <a:rPr lang="en-AU" sz="1000" i="1">
                            <a:latin typeface="Cambria Math" panose="02040503050406030204" pitchFamily="18" charset="0"/>
                          </a:rPr>
                          <m:t>𝑐</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𝑃</m:t>
                        </m:r>
                      </m:e>
                      <m:sub>
                        <m:r>
                          <a:rPr lang="en-AU" sz="1000" i="1">
                            <a:latin typeface="Cambria Math" panose="02040503050406030204" pitchFamily="18" charset="0"/>
                          </a:rPr>
                          <m:t>𝑐</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𝑅</m:t>
                        </m:r>
                      </m:e>
                      <m:sub>
                        <m:r>
                          <a:rPr lang="en-AU" sz="1000" i="1">
                            <a:latin typeface="Cambria Math" panose="02040503050406030204" pitchFamily="18" charset="0"/>
                          </a:rPr>
                          <m:t>𝐴𝐺𝑐</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𝑆</m:t>
                        </m:r>
                      </m:e>
                      <m:sub>
                        <m:r>
                          <a:rPr lang="en-AU" sz="1000" i="1">
                            <a:latin typeface="Cambria Math" panose="02040503050406030204" pitchFamily="18" charset="0"/>
                          </a:rPr>
                          <m:t>𝑐</m:t>
                        </m:r>
                      </m:sub>
                    </m:sSub>
                    <m:r>
                      <a:rPr lang="en-AU" sz="1000" i="1">
                        <a:latin typeface="Cambria Math" panose="02040503050406030204" pitchFamily="18" charset="0"/>
                      </a:rPr>
                      <m:t>×</m:t>
                    </m:r>
                    <m:r>
                      <a:rPr lang="en-AU" sz="1000" i="1">
                        <a:latin typeface="Cambria Math" panose="02040503050406030204" pitchFamily="18" charset="0"/>
                      </a:rPr>
                      <m:t>𝐷</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𝑐</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𝑍</m:t>
                        </m:r>
                      </m:e>
                      <m:sub>
                        <m:r>
                          <a:rPr lang="en-AU" sz="1000" i="1">
                            <a:latin typeface="Cambria Math" panose="02040503050406030204" pitchFamily="18" charset="0"/>
                          </a:rPr>
                          <m:t>𝑐</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𝑐</m:t>
                        </m:r>
                      </m:sub>
                    </m:sSub>
                  </m:oMath>
                </m:oMathPara>
              </a14:m>
              <a:endParaRPr lang="en-AU" sz="1000"/>
            </a:p>
          </xdr:txBody>
        </xdr:sp>
      </mc:Choice>
      <mc:Fallback xmlns="">
        <xdr:sp macro="" textlink="">
          <xdr:nvSpPr>
            <xdr:cNvPr id="2" name="TextBox 1">
              <a:extLst>
                <a:ext uri="{FF2B5EF4-FFF2-40B4-BE49-F238E27FC236}">
                  <a16:creationId xmlns:a16="http://schemas.microsoft.com/office/drawing/2014/main" id="{E1CF1097-EC3E-4903-B72E-95B45A72E22A}"/>
                </a:ext>
              </a:extLst>
            </xdr:cNvPr>
            <xdr:cNvSpPr txBox="1"/>
          </xdr:nvSpPr>
          <xdr:spPr>
            <a:xfrm>
              <a:off x="2686050" y="1981200"/>
              <a:ext cx="2544606" cy="1766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𝑀_(𝑏𝑢𝑟𝑛,𝑐)=𝑃_𝑐×𝑅_𝐴𝐺𝑐×𝑆_𝑐×𝐷𝑀_𝑐×𝑍_𝑐×𝐹_𝑐</a:t>
              </a:r>
              <a:endParaRPr lang="en-AU" sz="1000"/>
            </a:p>
          </xdr:txBody>
        </xdr:sp>
      </mc:Fallback>
    </mc:AlternateContent>
    <xdr:clientData/>
  </xdr:oneCellAnchor>
  <xdr:oneCellAnchor>
    <xdr:from>
      <xdr:col>2</xdr:col>
      <xdr:colOff>300037</xdr:colOff>
      <xdr:row>27</xdr:row>
      <xdr:rowOff>28575</xdr:rowOff>
    </xdr:from>
    <xdr:ext cx="3330079" cy="31290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09E0250B-D1A9-4E9D-BA33-62FA072C0A79}"/>
                </a:ext>
              </a:extLst>
            </xdr:cNvPr>
            <xdr:cNvSpPr txBox="1"/>
          </xdr:nvSpPr>
          <xdr:spPr>
            <a:xfrm>
              <a:off x="2662237" y="6848475"/>
              <a:ext cx="3330079"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𝑐</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𝑏𝑢𝑟𝑛</m:t>
                                </m:r>
                                <m:r>
                                  <a:rPr lang="en-AU" sz="1000" i="1">
                                    <a:latin typeface="Cambria Math" panose="02040503050406030204" pitchFamily="18" charset="0"/>
                                  </a:rPr>
                                  <m:t>,</m:t>
                                </m:r>
                                <m:r>
                                  <a:rPr lang="en-AU" sz="1000" i="1">
                                    <a:latin typeface="Cambria Math" panose="02040503050406030204" pitchFamily="18" charset="0"/>
                                  </a:rPr>
                                  <m:t>𝑐</m:t>
                                </m:r>
                              </m:sub>
                            </m:sSub>
                            <m:r>
                              <a:rPr lang="en-AU" sz="1000" i="1">
                                <a:latin typeface="Cambria Math" panose="02040503050406030204" pitchFamily="18" charset="0"/>
                              </a:rPr>
                              <m:t>×</m:t>
                            </m:r>
                            <m:r>
                              <a:rPr lang="en-AU" sz="1000" i="1">
                                <a:latin typeface="Cambria Math" panose="02040503050406030204" pitchFamily="18" charset="0"/>
                              </a:rPr>
                              <m:t>𝑁</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𝐴𝐺𝑐</m:t>
                                </m:r>
                              </m:sub>
                            </m:sSub>
                          </m:e>
                        </m:d>
                      </m:e>
                    </m:nary>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3" name="TextBox 2">
              <a:extLst>
                <a:ext uri="{FF2B5EF4-FFF2-40B4-BE49-F238E27FC236}">
                  <a16:creationId xmlns:a16="http://schemas.microsoft.com/office/drawing/2014/main" id="{09E0250B-D1A9-4E9D-BA33-62FA072C0A79}"/>
                </a:ext>
              </a:extLst>
            </xdr:cNvPr>
            <xdr:cNvSpPr txBox="1"/>
          </xdr:nvSpPr>
          <xdr:spPr>
            <a:xfrm>
              <a:off x="2662237" y="6848475"/>
              <a:ext cx="3330079"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𝐸_𝑁2𝑂=∑2_𝑐▒(𝑀_(𝑏𝑢𝑟𝑛,𝑐)×𝑁𝐶_𝐴𝐺𝑐 ) ×𝐸𝐹_𝑁2𝑂×𝐶_𝑁2𝑂×10^(−3)</a:t>
              </a:r>
              <a:endParaRPr lang="en-AU" sz="1000"/>
            </a:p>
          </xdr:txBody>
        </xdr:sp>
      </mc:Fallback>
    </mc:AlternateContent>
    <xdr:clientData/>
  </xdr:oneCellAnchor>
  <xdr:oneCellAnchor>
    <xdr:from>
      <xdr:col>2</xdr:col>
      <xdr:colOff>300037</xdr:colOff>
      <xdr:row>50</xdr:row>
      <xdr:rowOff>28575</xdr:rowOff>
    </xdr:from>
    <xdr:ext cx="3148105" cy="31290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F7627588-BC25-4909-B6A1-C0DA3531B611}"/>
                </a:ext>
              </a:extLst>
            </xdr:cNvPr>
            <xdr:cNvSpPr txBox="1"/>
          </xdr:nvSpPr>
          <xdr:spPr>
            <a:xfrm>
              <a:off x="2662237" y="12544425"/>
              <a:ext cx="3148105"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𝐶𝐻</m:t>
                        </m:r>
                        <m:r>
                          <a:rPr lang="en-AU" sz="1000" i="1">
                            <a:latin typeface="Cambria Math" panose="02040503050406030204" pitchFamily="18" charset="0"/>
                          </a:rPr>
                          <m:t>4</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𝑐</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𝑏𝑢𝑟𝑛</m:t>
                                </m:r>
                                <m:r>
                                  <a:rPr lang="en-AU" sz="1000" i="1">
                                    <a:latin typeface="Cambria Math" panose="02040503050406030204" pitchFamily="18" charset="0"/>
                                  </a:rPr>
                                  <m:t>,</m:t>
                                </m:r>
                                <m:r>
                                  <a:rPr lang="en-AU" sz="1000" i="1">
                                    <a:latin typeface="Cambria Math" panose="02040503050406030204" pitchFamily="18" charset="0"/>
                                  </a:rPr>
                                  <m:t>𝑐</m:t>
                                </m:r>
                              </m:sub>
                            </m:sSub>
                            <m:r>
                              <a:rPr lang="en-AU" sz="1000" i="1">
                                <a:latin typeface="Cambria Math" panose="02040503050406030204" pitchFamily="18" charset="0"/>
                              </a:rPr>
                              <m:t>×</m:t>
                            </m:r>
                            <m:r>
                              <a:rPr lang="en-AU" sz="1000" i="1">
                                <a:latin typeface="Cambria Math" panose="02040503050406030204" pitchFamily="18" charset="0"/>
                              </a:rPr>
                              <m:t>𝐶</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𝑐</m:t>
                                </m:r>
                              </m:sub>
                            </m:sSub>
                          </m:e>
                        </m:d>
                      </m:e>
                    </m:nary>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𝐶𝐻</m:t>
                        </m:r>
                        <m:r>
                          <a:rPr lang="en-AU" sz="1000" i="1">
                            <a:latin typeface="Cambria Math" panose="02040503050406030204" pitchFamily="18" charset="0"/>
                          </a:rPr>
                          <m:t>4</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𝐶𝐻</m:t>
                        </m:r>
                        <m:r>
                          <a:rPr lang="en-AU" sz="1000" i="1">
                            <a:latin typeface="Cambria Math" panose="02040503050406030204" pitchFamily="18" charset="0"/>
                          </a:rPr>
                          <m:t>4</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4" name="TextBox 3">
              <a:extLst>
                <a:ext uri="{FF2B5EF4-FFF2-40B4-BE49-F238E27FC236}">
                  <a16:creationId xmlns:a16="http://schemas.microsoft.com/office/drawing/2014/main" id="{F7627588-BC25-4909-B6A1-C0DA3531B611}"/>
                </a:ext>
              </a:extLst>
            </xdr:cNvPr>
            <xdr:cNvSpPr txBox="1"/>
          </xdr:nvSpPr>
          <xdr:spPr>
            <a:xfrm>
              <a:off x="2662237" y="12544425"/>
              <a:ext cx="3148105"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𝐸_𝐶𝐻4=∑2_𝑐▒(𝑀_(𝑏𝑢𝑟𝑛,𝑐)×𝐶𝐶_𝑐 ) ×𝐸𝐹_𝐶𝐻4×𝐶_𝐶𝐻4×10^(−3)</a:t>
              </a:r>
              <a:endParaRPr lang="en-AU" sz="1000"/>
            </a:p>
          </xdr:txBody>
        </xdr:sp>
      </mc:Fallback>
    </mc:AlternateContent>
    <xdr:clientData/>
  </xdr:oneCellAnchor>
</xdr:wsDr>
</file>

<file path=xl/drawings/drawing12.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62843749-9963-4E6F-9D08-5B95B6F130C3}"/>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𝐶𝐻</m:t>
                        </m:r>
                        <m:r>
                          <a:rPr lang="en-AU" sz="1000" i="1">
                            <a:latin typeface="Cambria Math" panose="02040503050406030204" pitchFamily="18" charset="0"/>
                          </a:rPr>
                          <m:t>4</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𝑘</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𝑚</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𝑇</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𝑗𝑘</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𝑗𝑘𝑚𝑇</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𝑗𝑘</m:t>
                                            </m:r>
                                          </m:sub>
                                        </m:sSub>
                                      </m:e>
                                    </m:d>
                                  </m:e>
                                </m:nary>
                              </m:e>
                            </m:nary>
                          </m:e>
                        </m:nary>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2" name="TextBox 1">
              <a:extLst>
                <a:ext uri="{FF2B5EF4-FFF2-40B4-BE49-F238E27FC236}">
                  <a16:creationId xmlns:a16="http://schemas.microsoft.com/office/drawing/2014/main" id="{62843749-9963-4E6F-9D08-5B95B6F130C3}"/>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𝐸_𝐶𝐻4=∑_𝑗▒∑_𝑘▒∑_𝑚▒∑_𝑇▒(𝐷_𝑗𝑘×𝑀_𝑗𝑘𝑚𝑇×𝑁_𝑗𝑘 ) ×10^(−3)</a:t>
              </a:r>
              <a:endParaRPr lang="en-AU" sz="1000"/>
            </a:p>
          </xdr:txBody>
        </xdr:sp>
      </mc:Fallback>
    </mc:AlternateContent>
    <xdr:clientData/>
  </xdr:oneCellAnchor>
  <xdr:oneCellAnchor>
    <xdr:from>
      <xdr:col>3</xdr:col>
      <xdr:colOff>10549</xdr:colOff>
      <xdr:row>7</xdr:row>
      <xdr:rowOff>192157</xdr:rowOff>
    </xdr:from>
    <xdr:ext cx="3734164" cy="33150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D122372D-2949-4153-B030-A6EA853D3EC5}"/>
                </a:ext>
              </a:extLst>
            </xdr:cNvPr>
            <xdr:cNvSpPr txBox="1"/>
          </xdr:nvSpPr>
          <xdr:spPr>
            <a:xfrm>
              <a:off x="2687074" y="2059057"/>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𝐸</m:t>
                        </m:r>
                      </m:e>
                      <m:sub>
                        <m:r>
                          <a:rPr lang="en-AU" sz="1000" i="1">
                            <a:solidFill>
                              <a:schemeClr val="tx1"/>
                            </a:solidFill>
                            <a:effectLst/>
                            <a:latin typeface="Cambria Math" panose="02040503050406030204" pitchFamily="18" charset="0"/>
                            <a:ea typeface="+mn-ea"/>
                            <a:cs typeface="+mn-cs"/>
                          </a:rPr>
                          <m:t>𝑔</m:t>
                        </m:r>
                      </m:sub>
                    </m:sSub>
                    <m:r>
                      <a:rPr lang="en-AU" sz="1000" i="1">
                        <a:solidFill>
                          <a:schemeClr val="tx1"/>
                        </a:solidFill>
                        <a:effectLst/>
                        <a:latin typeface="Cambria Math" panose="02040503050406030204" pitchFamily="18" charset="0"/>
                        <a:ea typeface="+mn-ea"/>
                        <a:cs typeface="+mn-cs"/>
                      </a:rPr>
                      <m:t>=</m:t>
                    </m:r>
                    <m:nary>
                      <m:naryPr>
                        <m:chr m:val="∑"/>
                        <m:limLoc m:val="subSup"/>
                        <m:supHide m:val="on"/>
                        <m:ctrlPr>
                          <a:rPr lang="en-AU" sz="1000" i="1">
                            <a:solidFill>
                              <a:schemeClr val="tx1"/>
                            </a:solidFill>
                            <a:effectLst/>
                            <a:latin typeface="Cambria Math" panose="02040503050406030204" pitchFamily="18" charset="0"/>
                            <a:ea typeface="+mn-ea"/>
                            <a:cs typeface="+mn-cs"/>
                          </a:rPr>
                        </m:ctrlPr>
                      </m:naryPr>
                      <m:sub>
                        <m:r>
                          <a:rPr lang="en-AU" sz="10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000" i="1">
                                <a:solidFill>
                                  <a:schemeClr val="tx1"/>
                                </a:solidFill>
                                <a:effectLst/>
                                <a:latin typeface="Cambria Math" panose="02040503050406030204" pitchFamily="18" charset="0"/>
                                <a:ea typeface="+mn-ea"/>
                                <a:cs typeface="+mn-cs"/>
                              </a:rPr>
                            </m:ctrlPr>
                          </m:naryPr>
                          <m:sub>
                            <m:r>
                              <a:rPr lang="en-AU" sz="1000" i="1">
                                <a:solidFill>
                                  <a:schemeClr val="tx1"/>
                                </a:solidFill>
                                <a:effectLst/>
                                <a:latin typeface="Cambria Math" panose="02040503050406030204" pitchFamily="18" charset="0"/>
                                <a:ea typeface="+mn-ea"/>
                                <a:cs typeface="+mn-cs"/>
                              </a:rPr>
                              <m:t>𝑞</m:t>
                            </m:r>
                          </m:sub>
                          <m:sup/>
                          <m:e>
                            <m:d>
                              <m:dPr>
                                <m:ctrlPr>
                                  <a:rPr lang="en-AU" sz="1000" i="1">
                                    <a:solidFill>
                                      <a:schemeClr val="tx1"/>
                                    </a:solidFill>
                                    <a:effectLst/>
                                    <a:latin typeface="Cambria Math" panose="02040503050406030204" pitchFamily="18" charset="0"/>
                                    <a:ea typeface="+mn-ea"/>
                                    <a:cs typeface="+mn-cs"/>
                                  </a:rPr>
                                </m:ctrlPr>
                              </m:dPr>
                              <m:e>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𝑄</m:t>
                                    </m:r>
                                  </m:e>
                                  <m:sub>
                                    <m:r>
                                      <a:rPr lang="en-AU" sz="1000" i="1">
                                        <a:solidFill>
                                          <a:schemeClr val="tx1"/>
                                        </a:solidFill>
                                        <a:effectLst/>
                                        <a:latin typeface="Cambria Math" panose="02040503050406030204" pitchFamily="18" charset="0"/>
                                        <a:ea typeface="+mn-ea"/>
                                        <a:cs typeface="+mn-cs"/>
                                      </a:rPr>
                                      <m:t>𝑇𝑟𝑎𝑛𝑠</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𝑡𝑞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𝐶</m:t>
                                    </m:r>
                                  </m:e>
                                  <m:sub>
                                    <m:r>
                                      <a:rPr lang="en-AU" sz="1000" i="1">
                                        <a:solidFill>
                                          <a:schemeClr val="tx1"/>
                                        </a:solidFill>
                                        <a:effectLst/>
                                        <a:latin typeface="Cambria Math" panose="02040503050406030204" pitchFamily="18" charset="0"/>
                                        <a:ea typeface="+mn-ea"/>
                                        <a:cs typeface="+mn-cs"/>
                                      </a:rPr>
                                      <m:t>𝑇𝑟𝑎𝑛𝑠</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𝐹</m:t>
                                    </m:r>
                                  </m:e>
                                  <m:sub>
                                    <m:r>
                                      <a:rPr lang="en-AU" sz="1000" i="1">
                                        <a:solidFill>
                                          <a:schemeClr val="tx1"/>
                                        </a:solidFill>
                                        <a:effectLst/>
                                        <a:latin typeface="Cambria Math" panose="02040503050406030204" pitchFamily="18" charset="0"/>
                                        <a:ea typeface="+mn-ea"/>
                                        <a:cs typeface="+mn-cs"/>
                                      </a:rPr>
                                      <m:t>𝑇𝑟𝑎𝑛𝑠</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r>
                                      <a:rPr lang="en-AU" sz="1000" i="1">
                                        <a:solidFill>
                                          <a:schemeClr val="tx1"/>
                                        </a:solidFill>
                                        <a:effectLst/>
                                        <a:latin typeface="Cambria Math" panose="02040503050406030204" pitchFamily="18" charset="0"/>
                                        <a:ea typeface="+mn-ea"/>
                                        <a:cs typeface="+mn-cs"/>
                                      </a:rPr>
                                      <m:t>,1,</m:t>
                                    </m:r>
                                    <m:r>
                                      <a:rPr lang="en-AU" sz="1000" i="1">
                                        <a:solidFill>
                                          <a:schemeClr val="tx1"/>
                                        </a:solidFill>
                                        <a:effectLst/>
                                        <a:latin typeface="Cambria Math" panose="02040503050406030204" pitchFamily="18" charset="0"/>
                                        <a:ea typeface="+mn-ea"/>
                                        <a:cs typeface="+mn-cs"/>
                                      </a:rPr>
                                      <m:t>𝑡𝑞𝑔</m:t>
                                    </m:r>
                                  </m:sub>
                                </m:sSub>
                              </m:e>
                            </m:d>
                          </m:e>
                        </m:nary>
                      </m:e>
                    </m:nary>
                    <m:r>
                      <a:rPr lang="en-AU" sz="1000" i="1">
                        <a:solidFill>
                          <a:schemeClr val="tx1"/>
                        </a:solidFill>
                        <a:effectLst/>
                        <a:latin typeface="Cambria Math" panose="02040503050406030204" pitchFamily="18" charset="0"/>
                        <a:ea typeface="+mn-ea"/>
                        <a:cs typeface="+mn-cs"/>
                      </a:rPr>
                      <m:t>×</m:t>
                    </m:r>
                    <m:sSup>
                      <m:sSupPr>
                        <m:ctrlPr>
                          <a:rPr lang="en-AU" sz="1000" i="1">
                            <a:solidFill>
                              <a:schemeClr val="tx1"/>
                            </a:solidFill>
                            <a:effectLst/>
                            <a:latin typeface="Cambria Math" panose="02040503050406030204" pitchFamily="18" charset="0"/>
                            <a:ea typeface="+mn-ea"/>
                            <a:cs typeface="+mn-cs"/>
                          </a:rPr>
                        </m:ctrlPr>
                      </m:sSupPr>
                      <m:e>
                        <m:r>
                          <a:rPr lang="en-AU" sz="1000" i="1">
                            <a:solidFill>
                              <a:schemeClr val="tx1"/>
                            </a:solidFill>
                            <a:effectLst/>
                            <a:latin typeface="Cambria Math" panose="02040503050406030204" pitchFamily="18" charset="0"/>
                            <a:ea typeface="+mn-ea"/>
                            <a:cs typeface="+mn-cs"/>
                          </a:rPr>
                          <m:t>10</m:t>
                        </m:r>
                      </m:e>
                      <m:sup>
                        <m:r>
                          <a:rPr lang="en-AU" sz="1000" i="1">
                            <a:solidFill>
                              <a:schemeClr val="tx1"/>
                            </a:solidFill>
                            <a:effectLst/>
                            <a:latin typeface="Cambria Math" panose="02040503050406030204" pitchFamily="18" charset="0"/>
                            <a:ea typeface="+mn-ea"/>
                            <a:cs typeface="+mn-cs"/>
                          </a:rPr>
                          <m:t>−3</m:t>
                        </m:r>
                      </m:sup>
                    </m:sSup>
                  </m:oMath>
                </m:oMathPara>
              </a14:m>
              <a:endParaRPr lang="en-AU" sz="1000"/>
            </a:p>
          </xdr:txBody>
        </xdr:sp>
      </mc:Choice>
      <mc:Fallback xmlns="">
        <xdr:sp macro="" textlink="">
          <xdr:nvSpPr>
            <xdr:cNvPr id="3" name="TextBox 2">
              <a:extLst>
                <a:ext uri="{FF2B5EF4-FFF2-40B4-BE49-F238E27FC236}">
                  <a16:creationId xmlns:a16="http://schemas.microsoft.com/office/drawing/2014/main" id="{D122372D-2949-4153-B030-A6EA853D3EC5}"/>
                </a:ext>
              </a:extLst>
            </xdr:cNvPr>
            <xdr:cNvSpPr txBox="1"/>
          </xdr:nvSpPr>
          <xdr:spPr>
            <a:xfrm>
              <a:off x="2687074" y="2059057"/>
              <a:ext cx="3734164"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000" i="0">
                  <a:solidFill>
                    <a:schemeClr val="tx1"/>
                  </a:solidFill>
                  <a:effectLst/>
                  <a:latin typeface="Cambria Math" panose="02040503050406030204" pitchFamily="18" charset="0"/>
                  <a:ea typeface="+mn-ea"/>
                  <a:cs typeface="+mn-cs"/>
                </a:rPr>
                <a:t>𝐸_𝑔=∑2_𝑡▒∑2_𝑞▒(𝑄_(𝑇𝑟𝑎𝑛𝑠,𝑡𝑞)×𝐸𝐶_(𝑇𝑟𝑎𝑛𝑠,𝑞)×𝐸𝐹_(𝑇𝑟𝑎𝑛𝑠,𝑞,1,𝑡𝑞𝑔) ) ×10^(−3)</a:t>
              </a:r>
              <a:endParaRPr lang="en-AU" sz="1000"/>
            </a:p>
          </xdr:txBody>
        </xdr:sp>
      </mc:Fallback>
    </mc:AlternateContent>
    <xdr:clientData/>
  </xdr:oneCellAnchor>
  <xdr:oneCellAnchor>
    <xdr:from>
      <xdr:col>10</xdr:col>
      <xdr:colOff>10549</xdr:colOff>
      <xdr:row>7</xdr:row>
      <xdr:rowOff>192157</xdr:rowOff>
    </xdr:from>
    <xdr:ext cx="3410677" cy="18575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6924B7CE-F92D-4795-A3A5-EC411BAD8AC0}"/>
                </a:ext>
              </a:extLst>
            </xdr:cNvPr>
            <xdr:cNvSpPr txBox="1"/>
          </xdr:nvSpPr>
          <xdr:spPr>
            <a:xfrm>
              <a:off x="18060424" y="2059057"/>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𝐸</m:t>
                        </m:r>
                      </m:e>
                      <m:sub>
                        <m:r>
                          <a:rPr lang="en-AU" sz="1000" i="1">
                            <a:solidFill>
                              <a:schemeClr val="tx1"/>
                            </a:solidFill>
                            <a:effectLst/>
                            <a:latin typeface="Cambria Math" panose="02040503050406030204" pitchFamily="18" charset="0"/>
                            <a:ea typeface="+mn-ea"/>
                            <a:cs typeface="+mn-cs"/>
                          </a:rPr>
                          <m:t>𝑊𝑇𝑇</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𝑡𝑟𝑎𝑛𝑠</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𝑄</m:t>
                        </m:r>
                      </m:e>
                      <m:sub>
                        <m:r>
                          <a:rPr lang="en-AU" sz="1000" i="1">
                            <a:solidFill>
                              <a:schemeClr val="tx1"/>
                            </a:solidFill>
                            <a:effectLst/>
                            <a:latin typeface="Cambria Math" panose="02040503050406030204" pitchFamily="18" charset="0"/>
                            <a:ea typeface="+mn-ea"/>
                            <a:cs typeface="+mn-cs"/>
                          </a:rPr>
                          <m:t>𝑇𝑟𝑎𝑛𝑠</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𝐶</m:t>
                        </m:r>
                      </m:e>
                      <m:sub>
                        <m:r>
                          <a:rPr lang="en-AU" sz="1000" i="1">
                            <a:solidFill>
                              <a:schemeClr val="tx1"/>
                            </a:solidFill>
                            <a:effectLst/>
                            <a:latin typeface="Cambria Math" panose="02040503050406030204" pitchFamily="18" charset="0"/>
                            <a:ea typeface="+mn-ea"/>
                            <a:cs typeface="+mn-cs"/>
                          </a:rPr>
                          <m:t>𝑇𝑟𝑎𝑛𝑠</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𝐹</m:t>
                        </m:r>
                      </m:e>
                      <m:sub>
                        <m:r>
                          <a:rPr lang="en-AU" sz="1000" i="1">
                            <a:solidFill>
                              <a:schemeClr val="tx1"/>
                            </a:solidFill>
                            <a:effectLst/>
                            <a:latin typeface="Cambria Math" panose="02040503050406030204" pitchFamily="18" charset="0"/>
                            <a:ea typeface="+mn-ea"/>
                            <a:cs typeface="+mn-cs"/>
                          </a:rPr>
                          <m:t>𝑇𝑟𝑎𝑛𝑠</m:t>
                        </m:r>
                        <m:r>
                          <a:rPr lang="en-AU" sz="1000" i="1">
                            <a:solidFill>
                              <a:schemeClr val="tx1"/>
                            </a:solidFill>
                            <a:effectLst/>
                            <a:latin typeface="Cambria Math" panose="02040503050406030204" pitchFamily="18" charset="0"/>
                            <a:ea typeface="+mn-ea"/>
                            <a:cs typeface="+mn-cs"/>
                          </a:rPr>
                          <m:t>,3,</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sSup>
                      <m:sSupPr>
                        <m:ctrlPr>
                          <a:rPr lang="en-AU" sz="1000" i="1">
                            <a:solidFill>
                              <a:schemeClr val="tx1"/>
                            </a:solidFill>
                            <a:effectLst/>
                            <a:latin typeface="Cambria Math" panose="02040503050406030204" pitchFamily="18" charset="0"/>
                            <a:ea typeface="+mn-ea"/>
                            <a:cs typeface="+mn-cs"/>
                          </a:rPr>
                        </m:ctrlPr>
                      </m:sSupPr>
                      <m:e>
                        <m:r>
                          <a:rPr lang="en-AU" sz="1000" i="1">
                            <a:solidFill>
                              <a:schemeClr val="tx1"/>
                            </a:solidFill>
                            <a:effectLst/>
                            <a:latin typeface="Cambria Math" panose="02040503050406030204" pitchFamily="18" charset="0"/>
                            <a:ea typeface="+mn-ea"/>
                            <a:cs typeface="+mn-cs"/>
                          </a:rPr>
                          <m:t>10</m:t>
                        </m:r>
                      </m:e>
                      <m:sup>
                        <m:r>
                          <a:rPr lang="en-AU" sz="1000" i="1">
                            <a:solidFill>
                              <a:schemeClr val="tx1"/>
                            </a:solidFill>
                            <a:effectLst/>
                            <a:latin typeface="Cambria Math" panose="02040503050406030204" pitchFamily="18" charset="0"/>
                            <a:ea typeface="+mn-ea"/>
                            <a:cs typeface="+mn-cs"/>
                          </a:rPr>
                          <m:t>−3</m:t>
                        </m:r>
                      </m:sup>
                    </m:sSup>
                  </m:oMath>
                </m:oMathPara>
              </a14:m>
              <a:endParaRPr lang="en-AU" sz="1000"/>
            </a:p>
          </xdr:txBody>
        </xdr:sp>
      </mc:Choice>
      <mc:Fallback xmlns="">
        <xdr:sp macro="" textlink="">
          <xdr:nvSpPr>
            <xdr:cNvPr id="4" name="TextBox 3">
              <a:extLst>
                <a:ext uri="{FF2B5EF4-FFF2-40B4-BE49-F238E27FC236}">
                  <a16:creationId xmlns:a16="http://schemas.microsoft.com/office/drawing/2014/main" id="{6924B7CE-F92D-4795-A3A5-EC411BAD8AC0}"/>
                </a:ext>
              </a:extLst>
            </xdr:cNvPr>
            <xdr:cNvSpPr txBox="1"/>
          </xdr:nvSpPr>
          <xdr:spPr>
            <a:xfrm>
              <a:off x="18060424" y="2059057"/>
              <a:ext cx="3410677"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000" i="0">
                  <a:solidFill>
                    <a:schemeClr val="tx1"/>
                  </a:solidFill>
                  <a:effectLst/>
                  <a:latin typeface="Cambria Math" panose="02040503050406030204" pitchFamily="18" charset="0"/>
                  <a:ea typeface="+mn-ea"/>
                  <a:cs typeface="+mn-cs"/>
                </a:rPr>
                <a:t>𝐸_(𝑊𝑇𝑇,𝑡𝑟𝑎𝑛𝑠,𝑞)=𝑄_(𝑇𝑟𝑎𝑛𝑠,𝑞)×𝐸𝐶_(𝑇𝑟𝑎𝑛𝑠,𝑞)×𝐸𝐹_(𝑇𝑟𝑎𝑛𝑠,3,𝑞)×10^(−3)</a:t>
              </a:r>
              <a:endParaRPr lang="en-AU" sz="1000"/>
            </a:p>
          </xdr:txBody>
        </xdr:sp>
      </mc:Fallback>
    </mc:AlternateContent>
    <xdr:clientData/>
  </xdr:oneCellAnchor>
</xdr:wsDr>
</file>

<file path=xl/drawings/drawing13.xml><?xml version="1.0" encoding="utf-8"?>
<xdr:wsDr xmlns:xdr="http://schemas.openxmlformats.org/drawingml/2006/spreadsheetDrawing" xmlns:a="http://schemas.openxmlformats.org/drawingml/2006/main">
  <xdr:oneCellAnchor>
    <xdr:from>
      <xdr:col>2</xdr:col>
      <xdr:colOff>301902</xdr:colOff>
      <xdr:row>7</xdr:row>
      <xdr:rowOff>192157</xdr:rowOff>
    </xdr:from>
    <xdr:ext cx="3003836" cy="33150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86A4D484-9ED6-4DF0-AF95-885E37DAA024}"/>
                </a:ext>
              </a:extLst>
            </xdr:cNvPr>
            <xdr:cNvSpPr txBox="1"/>
          </xdr:nvSpPr>
          <xdr:spPr>
            <a:xfrm>
              <a:off x="2664102" y="2059057"/>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𝐸</m:t>
                        </m:r>
                      </m:e>
                      <m:sub>
                        <m:r>
                          <a:rPr lang="en-AU" sz="1000" i="1">
                            <a:solidFill>
                              <a:schemeClr val="tx1"/>
                            </a:solidFill>
                            <a:effectLst/>
                            <a:latin typeface="Cambria Math" panose="02040503050406030204" pitchFamily="18" charset="0"/>
                            <a:ea typeface="+mn-ea"/>
                            <a:cs typeface="+mn-cs"/>
                          </a:rPr>
                          <m:t>𝑔</m:t>
                        </m:r>
                      </m:sub>
                    </m:sSub>
                    <m:r>
                      <a:rPr lang="en-AU" sz="1000" i="1">
                        <a:solidFill>
                          <a:schemeClr val="tx1"/>
                        </a:solidFill>
                        <a:effectLst/>
                        <a:latin typeface="Cambria Math" panose="02040503050406030204" pitchFamily="18" charset="0"/>
                        <a:ea typeface="+mn-ea"/>
                        <a:cs typeface="+mn-cs"/>
                      </a:rPr>
                      <m:t>=</m:t>
                    </m:r>
                    <m:nary>
                      <m:naryPr>
                        <m:chr m:val="∑"/>
                        <m:limLoc m:val="subSup"/>
                        <m:supHide m:val="on"/>
                        <m:ctrlPr>
                          <a:rPr lang="en-AU" sz="1000" i="1">
                            <a:solidFill>
                              <a:schemeClr val="tx1"/>
                            </a:solidFill>
                            <a:effectLst/>
                            <a:latin typeface="Cambria Math" panose="02040503050406030204" pitchFamily="18" charset="0"/>
                            <a:ea typeface="+mn-ea"/>
                            <a:cs typeface="+mn-cs"/>
                          </a:rPr>
                        </m:ctrlPr>
                      </m:naryPr>
                      <m:sub>
                        <m:r>
                          <a:rPr lang="en-AU" sz="1000" i="1">
                            <a:solidFill>
                              <a:schemeClr val="tx1"/>
                            </a:solidFill>
                            <a:effectLst/>
                            <a:latin typeface="Cambria Math" panose="02040503050406030204" pitchFamily="18" charset="0"/>
                            <a:ea typeface="+mn-ea"/>
                            <a:cs typeface="+mn-cs"/>
                          </a:rPr>
                          <m:t>𝑡</m:t>
                        </m:r>
                      </m:sub>
                      <m:sup/>
                      <m:e>
                        <m:nary>
                          <m:naryPr>
                            <m:chr m:val="∑"/>
                            <m:limLoc m:val="subSup"/>
                            <m:supHide m:val="on"/>
                            <m:ctrlPr>
                              <a:rPr lang="en-AU" sz="1000" i="1">
                                <a:solidFill>
                                  <a:schemeClr val="tx1"/>
                                </a:solidFill>
                                <a:effectLst/>
                                <a:latin typeface="Cambria Math" panose="02040503050406030204" pitchFamily="18" charset="0"/>
                                <a:ea typeface="+mn-ea"/>
                                <a:cs typeface="+mn-cs"/>
                              </a:rPr>
                            </m:ctrlPr>
                          </m:naryPr>
                          <m:sub>
                            <m:r>
                              <a:rPr lang="en-AU" sz="1000" i="1">
                                <a:solidFill>
                                  <a:schemeClr val="tx1"/>
                                </a:solidFill>
                                <a:effectLst/>
                                <a:latin typeface="Cambria Math" panose="02040503050406030204" pitchFamily="18" charset="0"/>
                                <a:ea typeface="+mn-ea"/>
                                <a:cs typeface="+mn-cs"/>
                              </a:rPr>
                              <m:t>𝑞</m:t>
                            </m:r>
                          </m:sub>
                          <m:sup/>
                          <m:e>
                            <m:d>
                              <m:dPr>
                                <m:ctrlPr>
                                  <a:rPr lang="en-AU" sz="1000" i="1">
                                    <a:solidFill>
                                      <a:schemeClr val="tx1"/>
                                    </a:solidFill>
                                    <a:effectLst/>
                                    <a:latin typeface="Cambria Math" panose="02040503050406030204" pitchFamily="18" charset="0"/>
                                    <a:ea typeface="+mn-ea"/>
                                    <a:cs typeface="+mn-cs"/>
                                  </a:rPr>
                                </m:ctrlPr>
                              </m:dPr>
                              <m:e>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𝑄</m:t>
                                    </m:r>
                                  </m:e>
                                  <m:sub>
                                    <m:r>
                                      <a:rPr lang="en-AU" sz="1000" i="1">
                                        <a:solidFill>
                                          <a:schemeClr val="tx1"/>
                                        </a:solidFill>
                                        <a:effectLst/>
                                        <a:latin typeface="Cambria Math" panose="02040503050406030204" pitchFamily="18" charset="0"/>
                                        <a:ea typeface="+mn-ea"/>
                                        <a:cs typeface="+mn-cs"/>
                                      </a:rPr>
                                      <m:t>𝑆𝐶</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𝐶</m:t>
                                    </m:r>
                                  </m:e>
                                  <m:sub>
                                    <m:r>
                                      <a:rPr lang="en-AU" sz="1000" i="1">
                                        <a:solidFill>
                                          <a:schemeClr val="tx1"/>
                                        </a:solidFill>
                                        <a:effectLst/>
                                        <a:latin typeface="Cambria Math" panose="02040503050406030204" pitchFamily="18" charset="0"/>
                                        <a:ea typeface="+mn-ea"/>
                                        <a:cs typeface="+mn-cs"/>
                                      </a:rPr>
                                      <m:t>𝑆𝐶</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𝐹</m:t>
                                    </m:r>
                                  </m:e>
                                  <m:sub>
                                    <m:r>
                                      <a:rPr lang="en-AU" sz="1000" i="1">
                                        <a:solidFill>
                                          <a:schemeClr val="tx1"/>
                                        </a:solidFill>
                                        <a:effectLst/>
                                        <a:latin typeface="Cambria Math" panose="02040503050406030204" pitchFamily="18" charset="0"/>
                                        <a:ea typeface="+mn-ea"/>
                                        <a:cs typeface="+mn-cs"/>
                                      </a:rPr>
                                      <m:t>𝑆𝐶</m:t>
                                    </m:r>
                                    <m:r>
                                      <a:rPr lang="en-AU" sz="1000" i="1">
                                        <a:solidFill>
                                          <a:schemeClr val="tx1"/>
                                        </a:solidFill>
                                        <a:effectLst/>
                                        <a:latin typeface="Cambria Math" panose="02040503050406030204" pitchFamily="18" charset="0"/>
                                        <a:ea typeface="+mn-ea"/>
                                        <a:cs typeface="+mn-cs"/>
                                      </a:rPr>
                                      <m:t>,1,</m:t>
                                    </m:r>
                                    <m:r>
                                      <a:rPr lang="en-AU" sz="1000" i="1">
                                        <a:solidFill>
                                          <a:schemeClr val="tx1"/>
                                        </a:solidFill>
                                        <a:effectLst/>
                                        <a:latin typeface="Cambria Math" panose="02040503050406030204" pitchFamily="18" charset="0"/>
                                        <a:ea typeface="+mn-ea"/>
                                        <a:cs typeface="+mn-cs"/>
                                      </a:rPr>
                                      <m:t>𝑞𝑔</m:t>
                                    </m:r>
                                  </m:sub>
                                </m:sSub>
                              </m:e>
                            </m:d>
                          </m:e>
                        </m:nary>
                      </m:e>
                    </m:nary>
                    <m:r>
                      <a:rPr lang="en-AU" sz="1000" i="1">
                        <a:solidFill>
                          <a:schemeClr val="tx1"/>
                        </a:solidFill>
                        <a:effectLst/>
                        <a:latin typeface="Cambria Math" panose="02040503050406030204" pitchFamily="18" charset="0"/>
                        <a:ea typeface="+mn-ea"/>
                        <a:cs typeface="+mn-cs"/>
                      </a:rPr>
                      <m:t>×</m:t>
                    </m:r>
                    <m:sSup>
                      <m:sSupPr>
                        <m:ctrlPr>
                          <a:rPr lang="en-AU" sz="1000" i="1">
                            <a:solidFill>
                              <a:schemeClr val="tx1"/>
                            </a:solidFill>
                            <a:effectLst/>
                            <a:latin typeface="Cambria Math" panose="02040503050406030204" pitchFamily="18" charset="0"/>
                            <a:ea typeface="+mn-ea"/>
                            <a:cs typeface="+mn-cs"/>
                          </a:rPr>
                        </m:ctrlPr>
                      </m:sSupPr>
                      <m:e>
                        <m:r>
                          <a:rPr lang="en-AU" sz="1000" i="1">
                            <a:solidFill>
                              <a:schemeClr val="tx1"/>
                            </a:solidFill>
                            <a:effectLst/>
                            <a:latin typeface="Cambria Math" panose="02040503050406030204" pitchFamily="18" charset="0"/>
                            <a:ea typeface="+mn-ea"/>
                            <a:cs typeface="+mn-cs"/>
                          </a:rPr>
                          <m:t>10</m:t>
                        </m:r>
                      </m:e>
                      <m:sup>
                        <m:r>
                          <a:rPr lang="en-AU" sz="1000" i="1">
                            <a:solidFill>
                              <a:schemeClr val="tx1"/>
                            </a:solidFill>
                            <a:effectLst/>
                            <a:latin typeface="Cambria Math" panose="02040503050406030204" pitchFamily="18" charset="0"/>
                            <a:ea typeface="+mn-ea"/>
                            <a:cs typeface="+mn-cs"/>
                          </a:rPr>
                          <m:t>−3</m:t>
                        </m:r>
                      </m:sup>
                    </m:sSup>
                  </m:oMath>
                </m:oMathPara>
              </a14:m>
              <a:endParaRPr lang="en-AU" sz="1000"/>
            </a:p>
          </xdr:txBody>
        </xdr:sp>
      </mc:Choice>
      <mc:Fallback xmlns="">
        <xdr:sp macro="" textlink="">
          <xdr:nvSpPr>
            <xdr:cNvPr id="2" name="TextBox 1">
              <a:extLst>
                <a:ext uri="{FF2B5EF4-FFF2-40B4-BE49-F238E27FC236}">
                  <a16:creationId xmlns:a16="http://schemas.microsoft.com/office/drawing/2014/main" id="{86A4D484-9ED6-4DF0-AF95-885E37DAA024}"/>
                </a:ext>
              </a:extLst>
            </xdr:cNvPr>
            <xdr:cNvSpPr txBox="1"/>
          </xdr:nvSpPr>
          <xdr:spPr>
            <a:xfrm>
              <a:off x="2664102" y="2059057"/>
              <a:ext cx="3003836"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000" i="0">
                  <a:solidFill>
                    <a:schemeClr val="tx1"/>
                  </a:solidFill>
                  <a:effectLst/>
                  <a:latin typeface="Cambria Math" panose="02040503050406030204" pitchFamily="18" charset="0"/>
                  <a:ea typeface="+mn-ea"/>
                  <a:cs typeface="+mn-cs"/>
                </a:rPr>
                <a:t>𝐸_𝑔=∑2_𝑡▒∑2_𝑞▒(𝑄_(𝑆𝐶,𝑞)×𝐸𝐶_(𝑆𝐶,𝑞)×𝐸𝐹_(𝑆𝐶,1,𝑞𝑔) ) ×10^(−3)</a:t>
              </a:r>
              <a:endParaRPr lang="en-AU" sz="1000"/>
            </a:p>
          </xdr:txBody>
        </xdr:sp>
      </mc:Fallback>
    </mc:AlternateContent>
    <xdr:clientData/>
  </xdr:oneCellAnchor>
  <xdr:oneCellAnchor>
    <xdr:from>
      <xdr:col>9</xdr:col>
      <xdr:colOff>2029849</xdr:colOff>
      <xdr:row>8</xdr:row>
      <xdr:rowOff>106432</xdr:rowOff>
    </xdr:from>
    <xdr:ext cx="2697726" cy="18575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7ADB9F77-C0BE-41CD-8F21-371D9CFE153B}"/>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𝐸</m:t>
                        </m:r>
                      </m:e>
                      <m:sub>
                        <m:r>
                          <a:rPr lang="en-AU" sz="1000" i="1">
                            <a:solidFill>
                              <a:schemeClr val="tx1"/>
                            </a:solidFill>
                            <a:effectLst/>
                            <a:latin typeface="Cambria Math" panose="02040503050406030204" pitchFamily="18" charset="0"/>
                            <a:ea typeface="+mn-ea"/>
                            <a:cs typeface="+mn-cs"/>
                          </a:rPr>
                          <m:t>𝑊𝑇𝑇</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𝑆𝐶</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𝑄</m:t>
                        </m:r>
                      </m:e>
                      <m:sub>
                        <m:r>
                          <a:rPr lang="en-AU" sz="1000" i="1">
                            <a:solidFill>
                              <a:schemeClr val="tx1"/>
                            </a:solidFill>
                            <a:effectLst/>
                            <a:latin typeface="Cambria Math" panose="02040503050406030204" pitchFamily="18" charset="0"/>
                            <a:ea typeface="+mn-ea"/>
                            <a:cs typeface="+mn-cs"/>
                          </a:rPr>
                          <m:t>𝑆𝐶</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𝐶</m:t>
                        </m:r>
                      </m:e>
                      <m:sub>
                        <m:r>
                          <a:rPr lang="en-AU" sz="1000" i="1">
                            <a:solidFill>
                              <a:schemeClr val="tx1"/>
                            </a:solidFill>
                            <a:effectLst/>
                            <a:latin typeface="Cambria Math" panose="02040503050406030204" pitchFamily="18" charset="0"/>
                            <a:ea typeface="+mn-ea"/>
                            <a:cs typeface="+mn-cs"/>
                          </a:rPr>
                          <m:t>𝑆𝐶</m:t>
                        </m:r>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r>
                      <a:rPr lang="en-AU" sz="1000" i="1">
                        <a:solidFill>
                          <a:schemeClr val="tx1"/>
                        </a:solidFill>
                        <a:effectLst/>
                        <a:latin typeface="Cambria Math" panose="02040503050406030204" pitchFamily="18" charset="0"/>
                        <a:ea typeface="+mn-ea"/>
                        <a:cs typeface="+mn-cs"/>
                      </a:rPr>
                      <m:t>𝐸</m:t>
                    </m:r>
                    <m:sSub>
                      <m:sSubPr>
                        <m:ctrlPr>
                          <a:rPr lang="en-AU" sz="1000" i="1">
                            <a:solidFill>
                              <a:schemeClr val="tx1"/>
                            </a:solidFill>
                            <a:effectLst/>
                            <a:latin typeface="Cambria Math" panose="02040503050406030204" pitchFamily="18" charset="0"/>
                            <a:ea typeface="+mn-ea"/>
                            <a:cs typeface="+mn-cs"/>
                          </a:rPr>
                        </m:ctrlPr>
                      </m:sSubPr>
                      <m:e>
                        <m:r>
                          <a:rPr lang="en-AU" sz="1000" i="1">
                            <a:solidFill>
                              <a:schemeClr val="tx1"/>
                            </a:solidFill>
                            <a:effectLst/>
                            <a:latin typeface="Cambria Math" panose="02040503050406030204" pitchFamily="18" charset="0"/>
                            <a:ea typeface="+mn-ea"/>
                            <a:cs typeface="+mn-cs"/>
                          </a:rPr>
                          <m:t>𝐹</m:t>
                        </m:r>
                      </m:e>
                      <m:sub>
                        <m:r>
                          <a:rPr lang="en-AU" sz="1000" i="1">
                            <a:solidFill>
                              <a:schemeClr val="tx1"/>
                            </a:solidFill>
                            <a:effectLst/>
                            <a:latin typeface="Cambria Math" panose="02040503050406030204" pitchFamily="18" charset="0"/>
                            <a:ea typeface="+mn-ea"/>
                            <a:cs typeface="+mn-cs"/>
                          </a:rPr>
                          <m:t>𝑆𝐶</m:t>
                        </m:r>
                        <m:r>
                          <a:rPr lang="en-AU" sz="1000" i="1">
                            <a:solidFill>
                              <a:schemeClr val="tx1"/>
                            </a:solidFill>
                            <a:effectLst/>
                            <a:latin typeface="Cambria Math" panose="02040503050406030204" pitchFamily="18" charset="0"/>
                            <a:ea typeface="+mn-ea"/>
                            <a:cs typeface="+mn-cs"/>
                          </a:rPr>
                          <m:t>,3,</m:t>
                        </m:r>
                        <m:r>
                          <a:rPr lang="en-AU" sz="1000" i="1">
                            <a:solidFill>
                              <a:schemeClr val="tx1"/>
                            </a:solidFill>
                            <a:effectLst/>
                            <a:latin typeface="Cambria Math" panose="02040503050406030204" pitchFamily="18" charset="0"/>
                            <a:ea typeface="+mn-ea"/>
                            <a:cs typeface="+mn-cs"/>
                          </a:rPr>
                          <m:t>𝑞</m:t>
                        </m:r>
                      </m:sub>
                    </m:sSub>
                    <m:r>
                      <a:rPr lang="en-AU" sz="1000" i="1">
                        <a:solidFill>
                          <a:schemeClr val="tx1"/>
                        </a:solidFill>
                        <a:effectLst/>
                        <a:latin typeface="Cambria Math" panose="02040503050406030204" pitchFamily="18" charset="0"/>
                        <a:ea typeface="+mn-ea"/>
                        <a:cs typeface="+mn-cs"/>
                      </a:rPr>
                      <m:t>×</m:t>
                    </m:r>
                    <m:sSup>
                      <m:sSupPr>
                        <m:ctrlPr>
                          <a:rPr lang="en-AU" sz="1000" i="1">
                            <a:solidFill>
                              <a:schemeClr val="tx1"/>
                            </a:solidFill>
                            <a:effectLst/>
                            <a:latin typeface="Cambria Math" panose="02040503050406030204" pitchFamily="18" charset="0"/>
                            <a:ea typeface="+mn-ea"/>
                            <a:cs typeface="+mn-cs"/>
                          </a:rPr>
                        </m:ctrlPr>
                      </m:sSupPr>
                      <m:e>
                        <m:r>
                          <a:rPr lang="en-AU" sz="1000" i="1">
                            <a:solidFill>
                              <a:schemeClr val="tx1"/>
                            </a:solidFill>
                            <a:effectLst/>
                            <a:latin typeface="Cambria Math" panose="02040503050406030204" pitchFamily="18" charset="0"/>
                            <a:ea typeface="+mn-ea"/>
                            <a:cs typeface="+mn-cs"/>
                          </a:rPr>
                          <m:t>10</m:t>
                        </m:r>
                      </m:e>
                      <m:sup>
                        <m:r>
                          <a:rPr lang="en-AU" sz="1000" i="1">
                            <a:solidFill>
                              <a:schemeClr val="tx1"/>
                            </a:solidFill>
                            <a:effectLst/>
                            <a:latin typeface="Cambria Math" panose="02040503050406030204" pitchFamily="18" charset="0"/>
                            <a:ea typeface="+mn-ea"/>
                            <a:cs typeface="+mn-cs"/>
                          </a:rPr>
                          <m:t>−3</m:t>
                        </m:r>
                      </m:sup>
                    </m:sSup>
                  </m:oMath>
                </m:oMathPara>
              </a14:m>
              <a:endParaRPr lang="en-AU" sz="1000"/>
            </a:p>
          </xdr:txBody>
        </xdr:sp>
      </mc:Choice>
      <mc:Fallback xmlns="">
        <xdr:sp macro="" textlink="">
          <xdr:nvSpPr>
            <xdr:cNvPr id="3" name="TextBox 2">
              <a:extLst>
                <a:ext uri="{FF2B5EF4-FFF2-40B4-BE49-F238E27FC236}">
                  <a16:creationId xmlns:a16="http://schemas.microsoft.com/office/drawing/2014/main" id="{7ADB9F77-C0BE-41CD-8F21-371D9CFE153B}"/>
                </a:ext>
              </a:extLst>
            </xdr:cNvPr>
            <xdr:cNvSpPr txBox="1"/>
          </xdr:nvSpPr>
          <xdr:spPr>
            <a:xfrm>
              <a:off x="17641324" y="2220982"/>
              <a:ext cx="2697726" cy="18575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AU" sz="1000" i="0">
                  <a:solidFill>
                    <a:schemeClr val="tx1"/>
                  </a:solidFill>
                  <a:effectLst/>
                  <a:latin typeface="Cambria Math" panose="02040503050406030204" pitchFamily="18" charset="0"/>
                  <a:ea typeface="+mn-ea"/>
                  <a:cs typeface="+mn-cs"/>
                </a:rPr>
                <a:t>𝐸_(𝑊𝑇𝑇,𝑆𝐶,𝑞)=𝑄_(𝑆𝐶,𝑞)×𝐸𝐶_(𝑆𝐶,𝑞)×𝐸𝐹_(𝑆𝐶,3,𝑞)×10^(−3)</a:t>
              </a:r>
              <a:endParaRPr lang="en-AU" sz="1000"/>
            </a:p>
          </xdr:txBody>
        </xdr:sp>
      </mc:Fallback>
    </mc:AlternateContent>
    <xdr:clientData/>
  </xdr:oneCellAnchor>
</xdr:wsDr>
</file>

<file path=xl/drawings/drawing14.xml><?xml version="1.0" encoding="utf-8"?>
<xdr:wsDr xmlns:xdr="http://schemas.openxmlformats.org/drawingml/2006/spreadsheetDrawing" xmlns:a="http://schemas.openxmlformats.org/drawingml/2006/main">
  <xdr:oneCellAnchor>
    <xdr:from>
      <xdr:col>3</xdr:col>
      <xdr:colOff>13447</xdr:colOff>
      <xdr:row>7</xdr:row>
      <xdr:rowOff>109818</xdr:rowOff>
    </xdr:from>
    <xdr:ext cx="1199046" cy="16536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AC68E138-6274-46CD-9892-F896CE88F599}"/>
                </a:ext>
              </a:extLst>
            </xdr:cNvPr>
            <xdr:cNvSpPr txBox="1"/>
          </xdr:nvSpPr>
          <xdr:spPr>
            <a:xfrm>
              <a:off x="2689972" y="1976718"/>
              <a:ext cx="119904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𝑤𝑡</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𝑉</m:t>
                        </m:r>
                      </m:e>
                      <m:sub>
                        <m:r>
                          <a:rPr lang="en-AU" sz="1000" i="1">
                            <a:latin typeface="Cambria Math" panose="02040503050406030204" pitchFamily="18" charset="0"/>
                          </a:rPr>
                          <m:t>𝑤𝑡</m:t>
                        </m:r>
                      </m:sub>
                    </m:sSub>
                    <m:r>
                      <a:rPr lang="en-AU" sz="1000" i="1">
                        <a:latin typeface="Cambria Math" panose="02040503050406030204" pitchFamily="18" charset="0"/>
                      </a:rPr>
                      <m:t>×</m:t>
                    </m:r>
                    <m:r>
                      <a:rPr lang="en-AU" sz="1000" i="1">
                        <a:latin typeface="Cambria Math" panose="02040503050406030204" pitchFamily="18" charset="0"/>
                      </a:rPr>
                      <m:t>𝑉𝑇</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𝑤</m:t>
                        </m:r>
                      </m:sub>
                    </m:sSub>
                  </m:oMath>
                </m:oMathPara>
              </a14:m>
              <a:endParaRPr lang="en-AU" sz="1000"/>
            </a:p>
          </xdr:txBody>
        </xdr:sp>
      </mc:Choice>
      <mc:Fallback xmlns="">
        <xdr:sp macro="" textlink="">
          <xdr:nvSpPr>
            <xdr:cNvPr id="2" name="TextBox 1">
              <a:extLst>
                <a:ext uri="{FF2B5EF4-FFF2-40B4-BE49-F238E27FC236}">
                  <a16:creationId xmlns:a16="http://schemas.microsoft.com/office/drawing/2014/main" id="{AC68E138-6274-46CD-9892-F896CE88F599}"/>
                </a:ext>
              </a:extLst>
            </xdr:cNvPr>
            <xdr:cNvSpPr txBox="1"/>
          </xdr:nvSpPr>
          <xdr:spPr>
            <a:xfrm>
              <a:off x="2689972" y="1976718"/>
              <a:ext cx="1199046" cy="1653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𝑄_𝑤𝑡=𝑉_𝑤𝑡×𝑉𝑇𝑀_𝑤</a:t>
              </a:r>
              <a:endParaRPr lang="en-AU" sz="1000"/>
            </a:p>
          </xdr:txBody>
        </xdr:sp>
      </mc:Fallback>
    </mc:AlternateContent>
    <xdr:clientData/>
  </xdr:oneCellAnchor>
  <xdr:oneCellAnchor>
    <xdr:from>
      <xdr:col>3</xdr:col>
      <xdr:colOff>4762</xdr:colOff>
      <xdr:row>99</xdr:row>
      <xdr:rowOff>114300</xdr:rowOff>
    </xdr:from>
    <xdr:ext cx="1790426" cy="31290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6DB60D40-40A5-4B41-B78E-03302989AA9F}"/>
                </a:ext>
              </a:extLst>
            </xdr:cNvPr>
            <xdr:cNvSpPr txBox="1"/>
          </xdr:nvSpPr>
          <xdr:spPr>
            <a:xfrm>
              <a:off x="2681287" y="24765000"/>
              <a:ext cx="179042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𝑔</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𝑡</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𝑤</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𝑤𝑡</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𝑤𝑡𝑔</m:t>
                                    </m:r>
                                  </m:sub>
                                </m:sSub>
                              </m:e>
                            </m:d>
                          </m:e>
                        </m:nary>
                      </m:e>
                    </m:nary>
                  </m:oMath>
                </m:oMathPara>
              </a14:m>
              <a:endParaRPr lang="en-AU" sz="1000"/>
            </a:p>
          </xdr:txBody>
        </xdr:sp>
      </mc:Choice>
      <mc:Fallback xmlns="">
        <xdr:sp macro="" textlink="">
          <xdr:nvSpPr>
            <xdr:cNvPr id="3" name="TextBox 2">
              <a:extLst>
                <a:ext uri="{FF2B5EF4-FFF2-40B4-BE49-F238E27FC236}">
                  <a16:creationId xmlns:a16="http://schemas.microsoft.com/office/drawing/2014/main" id="{6DB60D40-40A5-4B41-B78E-03302989AA9F}"/>
                </a:ext>
              </a:extLst>
            </xdr:cNvPr>
            <xdr:cNvSpPr txBox="1"/>
          </xdr:nvSpPr>
          <xdr:spPr>
            <a:xfrm>
              <a:off x="2681287" y="24765000"/>
              <a:ext cx="179042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𝐸_𝑔=∑2_𝑡▒∑2_𝑤▒(𝑄_𝑤𝑡×𝐸𝐹_𝑤𝑡𝑔 ) </a:t>
              </a:r>
              <a:endParaRPr lang="en-AU" sz="1000"/>
            </a:p>
          </xdr:txBody>
        </xdr:sp>
      </mc:Fallback>
    </mc:AlternateContent>
    <xdr:clientData/>
  </xdr:oneCellAnchor>
</xdr:wsDr>
</file>

<file path=xl/drawings/drawing15.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49DDFEE1-6ED2-4C91-8010-FC2791812559}"/>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𝐶𝐻</m:t>
                        </m:r>
                        <m:r>
                          <a:rPr lang="en-AU" sz="1000" i="1">
                            <a:latin typeface="Cambria Math" panose="02040503050406030204" pitchFamily="18" charset="0"/>
                          </a:rPr>
                          <m:t>4</m:t>
                        </m:r>
                      </m:sub>
                    </m:sSub>
                    <m:r>
                      <a:rPr lang="en-AU" sz="1000" i="1">
                        <a:latin typeface="Cambria Math" panose="02040503050406030204" pitchFamily="18" charset="0"/>
                      </a:rPr>
                      <m:t>=</m:t>
                    </m:r>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𝑘</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𝑚</m:t>
                                </m:r>
                              </m:sub>
                              <m:sup/>
                              <m:e>
                                <m:nary>
                                  <m:naryPr>
                                    <m:chr m:val="∑"/>
                                    <m:supHide m:val="on"/>
                                    <m:ctrlPr>
                                      <a:rPr lang="en-AU" sz="1000" i="1">
                                        <a:latin typeface="Cambria Math" panose="02040503050406030204" pitchFamily="18" charset="0"/>
                                      </a:rPr>
                                    </m:ctrlPr>
                                  </m:naryPr>
                                  <m:sub>
                                    <m:r>
                                      <a:rPr lang="en-AU" sz="1000" i="1">
                                        <a:latin typeface="Cambria Math" panose="02040503050406030204" pitchFamily="18" charset="0"/>
                                      </a:rPr>
                                      <m:t>𝑇</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𝑗𝑘</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𝑗𝑘𝑚𝑇</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𝑗𝑘</m:t>
                                            </m:r>
                                          </m:sub>
                                        </m:sSub>
                                      </m:e>
                                    </m:d>
                                  </m:e>
                                </m:nary>
                              </m:e>
                            </m:nary>
                          </m:e>
                        </m:nary>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2" name="TextBox 1">
              <a:extLst>
                <a:ext uri="{FF2B5EF4-FFF2-40B4-BE49-F238E27FC236}">
                  <a16:creationId xmlns:a16="http://schemas.microsoft.com/office/drawing/2014/main" id="{49DDFEE1-6ED2-4C91-8010-FC2791812559}"/>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𝐸_𝐶𝐻4=∑_𝑗▒∑_𝑘▒∑_𝑚▒∑_𝑇▒(𝐷_𝑗𝑘×𝑀_𝑗𝑘𝑚𝑇×𝑁_𝑗𝑘 ) ×10^(−3)</a:t>
              </a:r>
              <a:endParaRPr lang="en-AU" sz="1000"/>
            </a:p>
          </xdr:txBody>
        </xdr:sp>
      </mc:Fallback>
    </mc:AlternateContent>
    <xdr:clientData/>
  </xdr:oneCellAnchor>
  <xdr:oneCellAnchor>
    <xdr:from>
      <xdr:col>3</xdr:col>
      <xdr:colOff>22972</xdr:colOff>
      <xdr:row>8</xdr:row>
      <xdr:rowOff>147918</xdr:rowOff>
    </xdr:from>
    <xdr:ext cx="1966949"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F1347846-B9B2-4ED3-A3F4-89C5D04A89E3}"/>
                </a:ext>
              </a:extLst>
            </xdr:cNvPr>
            <xdr:cNvSpPr txBox="1"/>
          </xdr:nvSpPr>
          <xdr:spPr>
            <a:xfrm>
              <a:off x="2699497" y="2262468"/>
              <a:ext cx="1966949"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2,</m:t>
                        </m:r>
                        <m:r>
                          <a:rPr lang="en-AU" sz="1000" i="1">
                            <a:latin typeface="Cambria Math" panose="02040503050406030204" pitchFamily="18" charset="0"/>
                          </a:rPr>
                          <m:t>𝑒𝑙𝑒𝑐</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𝑒𝑙𝑒𝑐</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2,</m:t>
                        </m:r>
                        <m:r>
                          <a:rPr lang="en-AU" sz="1000" i="1">
                            <a:latin typeface="Cambria Math" panose="02040503050406030204" pitchFamily="18" charset="0"/>
                          </a:rPr>
                          <m:t>𝑒𝑙𝑒𝑐</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3" name="TextBox 2">
              <a:extLst>
                <a:ext uri="{FF2B5EF4-FFF2-40B4-BE49-F238E27FC236}">
                  <a16:creationId xmlns:a16="http://schemas.microsoft.com/office/drawing/2014/main" id="{F1347846-B9B2-4ED3-A3F4-89C5D04A89E3}"/>
                </a:ext>
              </a:extLst>
            </xdr:cNvPr>
            <xdr:cNvSpPr txBox="1"/>
          </xdr:nvSpPr>
          <xdr:spPr>
            <a:xfrm>
              <a:off x="2699497" y="2262468"/>
              <a:ext cx="1966949"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𝐸_(2,𝑒𝑙𝑒𝑐)=𝑄_𝑒𝑙𝑒𝑐×𝐸𝐹_(2,𝑒𝑙𝑒𝑐)×10^(−3)</a:t>
              </a:r>
              <a:endParaRPr lang="en-AU" sz="1000"/>
            </a:p>
          </xdr:txBody>
        </xdr:sp>
      </mc:Fallback>
    </mc:AlternateContent>
    <xdr:clientData/>
  </xdr:oneCellAnchor>
  <xdr:oneCellAnchor>
    <xdr:from>
      <xdr:col>2</xdr:col>
      <xdr:colOff>304800</xdr:colOff>
      <xdr:row>25</xdr:row>
      <xdr:rowOff>142875</xdr:rowOff>
    </xdr:from>
    <xdr:ext cx="6202980" cy="25333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D15CBFBF-A2E0-4069-B9B5-2EDD88F874F1}"/>
                </a:ext>
              </a:extLst>
            </xdr:cNvPr>
            <xdr:cNvSpPr txBox="1"/>
          </xdr:nvSpPr>
          <xdr:spPr>
            <a:xfrm>
              <a:off x="2667000" y="6467475"/>
              <a:ext cx="6202980"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2,</m:t>
                        </m:r>
                        <m:r>
                          <a:rPr lang="en-AU" sz="1000" i="1">
                            <a:latin typeface="Cambria Math" panose="02040503050406030204" pitchFamily="18" charset="0"/>
                          </a:rPr>
                          <m:t>𝑒𝑙𝑒𝑐</m:t>
                        </m:r>
                      </m:sub>
                    </m:sSub>
                    <m:r>
                      <a:rPr lang="en-AU" sz="1000" i="1">
                        <a:latin typeface="Cambria Math" panose="02040503050406030204" pitchFamily="18" charset="0"/>
                      </a:rPr>
                      <m:t>=</m:t>
                    </m:r>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𝑒𝑙𝑒𝑐</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d>
                              <m:dPr>
                                <m:ctrlPr>
                                  <a:rPr lang="en-AU" sz="1000" i="1">
                                    <a:latin typeface="Cambria Math" panose="02040503050406030204" pitchFamily="18" charset="0"/>
                                  </a:rPr>
                                </m:ctrlPr>
                              </m:dPr>
                              <m:e>
                                <m:r>
                                  <a:rPr lang="en-AU" sz="1000" i="1">
                                    <a:latin typeface="Cambria Math" panose="02040503050406030204" pitchFamily="18" charset="0"/>
                                  </a:rPr>
                                  <m:t>𝑅𝑃𝑃</m:t>
                                </m:r>
                                <m:r>
                                  <a:rPr lang="en-AU" sz="1000" i="1">
                                    <a:latin typeface="Cambria Math" panose="02040503050406030204" pitchFamily="18" charset="0"/>
                                  </a:rPr>
                                  <m:t>+</m:t>
                                </m:r>
                                <m:r>
                                  <a:rPr lang="en-AU" sz="1000" i="1">
                                    <a:latin typeface="Cambria Math" panose="02040503050406030204" pitchFamily="18" charset="0"/>
                                  </a:rPr>
                                  <m:t>𝐽𝑅𝑃𝑃</m:t>
                                </m:r>
                              </m:e>
                            </m:d>
                          </m:e>
                        </m:d>
                        <m:r>
                          <a:rPr lang="en-AU" sz="1000" i="1">
                            <a:latin typeface="Cambria Math" panose="02040503050406030204" pitchFamily="18" charset="0"/>
                          </a:rPr>
                          <m:t>−</m:t>
                        </m:r>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𝑅𝐸</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𝑠𝑢𝑟𝑟𝑒𝑛𝑑𝑒𝑟𝑒𝑑</m:t>
                                    </m:r>
                                  </m:sub>
                                </m:sSub>
                                <m:r>
                                  <a:rPr lang="en-AU" sz="1000" i="1">
                                    <a:latin typeface="Cambria Math" panose="02040503050406030204" pitchFamily="18" charset="0"/>
                                  </a:rPr>
                                  <m:t>−</m:t>
                                </m:r>
                                <m:r>
                                  <a:rPr lang="en-AU" sz="1000" i="1">
                                    <a:latin typeface="Cambria Math" panose="02040503050406030204" pitchFamily="18" charset="0"/>
                                  </a:rPr>
                                  <m:t>𝑅𝐸</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𝑜𝑛𝑠𝑖𝑡𝑒</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d>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𝑅𝑀𝐹</m:t>
                        </m:r>
                        <m:r>
                          <a:rPr lang="en-AU" sz="1000" i="1">
                            <a:latin typeface="Cambria Math" panose="02040503050406030204" pitchFamily="18" charset="0"/>
                          </a:rPr>
                          <m:t>2,</m:t>
                        </m:r>
                        <m:r>
                          <a:rPr lang="en-AU" sz="1000" i="1">
                            <a:latin typeface="Cambria Math" panose="02040503050406030204" pitchFamily="18" charset="0"/>
                          </a:rPr>
                          <m:t>𝑒𝑙𝑒𝑐</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4" name="TextBox 3">
              <a:extLst>
                <a:ext uri="{FF2B5EF4-FFF2-40B4-BE49-F238E27FC236}">
                  <a16:creationId xmlns:a16="http://schemas.microsoft.com/office/drawing/2014/main" id="{D15CBFBF-A2E0-4069-B9B5-2EDD88F874F1}"/>
                </a:ext>
              </a:extLst>
            </xdr:cNvPr>
            <xdr:cNvSpPr txBox="1"/>
          </xdr:nvSpPr>
          <xdr:spPr>
            <a:xfrm>
              <a:off x="2667000" y="6467475"/>
              <a:ext cx="6202980"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𝐸_(2,𝑒𝑙𝑒𝑐)=(𝑄_𝑒𝑙𝑒𝑐×(1−(𝑅𝑃𝑃+𝐽𝑅𝑃𝑃))−((𝑅𝐸𝐶_𝑠𝑢𝑟𝑟𝑒𝑛𝑑𝑒𝑟𝑒𝑑−𝑅𝐸𝐶_𝑜𝑛𝑠𝑖𝑡𝑒 )×10^3 ))×𝐸𝐹_(𝑅𝑀𝐹2,𝑒𝑙𝑒𝑐)×10^(−3)</a:t>
              </a:r>
              <a:endParaRPr lang="en-AU" sz="1000"/>
            </a:p>
          </xdr:txBody>
        </xdr:sp>
      </mc:Fallback>
    </mc:AlternateContent>
    <xdr:clientData/>
  </xdr:oneCellAnchor>
  <xdr:oneCellAnchor>
    <xdr:from>
      <xdr:col>6</xdr:col>
      <xdr:colOff>1227068</xdr:colOff>
      <xdr:row>25</xdr:row>
      <xdr:rowOff>161925</xdr:rowOff>
    </xdr:from>
    <xdr:ext cx="6986593" cy="25333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46FDFCA4-5EDC-4F05-B5B9-E627D3ED11BA}"/>
                </a:ext>
              </a:extLst>
            </xdr:cNvPr>
            <xdr:cNvSpPr txBox="1"/>
          </xdr:nvSpPr>
          <xdr:spPr>
            <a:xfrm>
              <a:off x="11085443" y="6486525"/>
              <a:ext cx="6986593"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m:rPr>
                        <m:sty m:val="p"/>
                      </m:rPr>
                      <a:rPr lang="en-AU" sz="1000" b="0" i="1">
                        <a:solidFill>
                          <a:srgbClr val="C00000"/>
                        </a:solidFill>
                        <a:latin typeface="Cambria Math" panose="02040503050406030204" pitchFamily="18" charset="0"/>
                      </a:rPr>
                      <m:t>ORIGINAL</m:t>
                    </m:r>
                    <m:r>
                      <a:rPr lang="en-AU" sz="1000" b="0" i="1">
                        <a:solidFill>
                          <a:srgbClr val="C00000"/>
                        </a:solidFill>
                        <a:latin typeface="Cambria Math" panose="02040503050406030204" pitchFamily="18" charset="0"/>
                      </a:rPr>
                      <m:t>: </m:t>
                    </m:r>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2,</m:t>
                        </m:r>
                        <m:r>
                          <a:rPr lang="en-AU" sz="1000" i="1">
                            <a:latin typeface="Cambria Math" panose="02040503050406030204" pitchFamily="18" charset="0"/>
                          </a:rPr>
                          <m:t>𝑒𝑙𝑒𝑐</m:t>
                        </m:r>
                      </m:sub>
                    </m:sSub>
                    <m:r>
                      <a:rPr lang="en-AU" sz="1000" i="1">
                        <a:latin typeface="Cambria Math" panose="02040503050406030204" pitchFamily="18" charset="0"/>
                      </a:rPr>
                      <m:t>=</m:t>
                    </m:r>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𝑒𝑙𝑒𝑐</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d>
                              <m:dPr>
                                <m:ctrlPr>
                                  <a:rPr lang="en-AU" sz="1000" i="1">
                                    <a:latin typeface="Cambria Math" panose="02040503050406030204" pitchFamily="18" charset="0"/>
                                  </a:rPr>
                                </m:ctrlPr>
                              </m:dPr>
                              <m:e>
                                <m:r>
                                  <a:rPr lang="en-AU" sz="1000" i="1">
                                    <a:latin typeface="Cambria Math" panose="02040503050406030204" pitchFamily="18" charset="0"/>
                                  </a:rPr>
                                  <m:t>𝑅𝑃𝑃</m:t>
                                </m:r>
                                <m:r>
                                  <a:rPr lang="en-AU" sz="1000" i="1">
                                    <a:latin typeface="Cambria Math" panose="02040503050406030204" pitchFamily="18" charset="0"/>
                                  </a:rPr>
                                  <m:t>+</m:t>
                                </m:r>
                                <m:r>
                                  <a:rPr lang="en-AU" sz="1000" i="1">
                                    <a:latin typeface="Cambria Math" panose="02040503050406030204" pitchFamily="18" charset="0"/>
                                  </a:rPr>
                                  <m:t>𝐽𝑅𝑃𝑃</m:t>
                                </m:r>
                              </m:e>
                            </m:d>
                          </m:e>
                        </m:d>
                        <m:r>
                          <a:rPr lang="en-AU" sz="1000" i="1">
                            <a:latin typeface="Cambria Math" panose="02040503050406030204" pitchFamily="18" charset="0"/>
                          </a:rPr>
                          <m:t>−</m:t>
                        </m:r>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𝑅𝐸</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𝑠𝑢𝑟𝑟𝑒𝑛𝑑𝑒𝑟𝑒𝑑</m:t>
                                    </m:r>
                                  </m:sub>
                                </m:sSub>
                                <m:r>
                                  <a:rPr lang="en-AU" sz="1000" i="1">
                                    <a:latin typeface="Cambria Math" panose="02040503050406030204" pitchFamily="18" charset="0"/>
                                  </a:rPr>
                                  <m:t>−</m:t>
                                </m:r>
                                <m:r>
                                  <a:rPr lang="en-AU" sz="1000" i="1">
                                    <a:latin typeface="Cambria Math" panose="02040503050406030204" pitchFamily="18" charset="0"/>
                                  </a:rPr>
                                  <m:t>𝑅𝐸</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𝑜𝑛𝑠𝑖𝑡𝑒</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d>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𝑅𝑀𝐹</m:t>
                        </m:r>
                        <m:r>
                          <a:rPr lang="en-AU" sz="1000" i="1">
                            <a:latin typeface="Cambria Math" panose="02040503050406030204" pitchFamily="18" charset="0"/>
                          </a:rPr>
                          <m:t>2,</m:t>
                        </m:r>
                        <m:r>
                          <a:rPr lang="en-AU" sz="1000" i="1">
                            <a:latin typeface="Cambria Math" panose="02040503050406030204" pitchFamily="18" charset="0"/>
                          </a:rPr>
                          <m:t>𝑒𝑙𝑒𝑐</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5" name="TextBox 4">
              <a:extLst>
                <a:ext uri="{FF2B5EF4-FFF2-40B4-BE49-F238E27FC236}">
                  <a16:creationId xmlns:a16="http://schemas.microsoft.com/office/drawing/2014/main" id="{46FDFCA4-5EDC-4F05-B5B9-E627D3ED11BA}"/>
                </a:ext>
              </a:extLst>
            </xdr:cNvPr>
            <xdr:cNvSpPr txBox="1"/>
          </xdr:nvSpPr>
          <xdr:spPr>
            <a:xfrm>
              <a:off x="11085443" y="6486525"/>
              <a:ext cx="6986593"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b="0" i="0">
                  <a:solidFill>
                    <a:srgbClr val="C00000"/>
                  </a:solidFill>
                  <a:latin typeface="Cambria Math" panose="02040503050406030204" pitchFamily="18" charset="0"/>
                </a:rPr>
                <a:t>ORIGINAL: </a:t>
              </a:r>
              <a:r>
                <a:rPr lang="en-AU" sz="1000" i="0">
                  <a:latin typeface="Cambria Math" panose="02040503050406030204" pitchFamily="18" charset="0"/>
                </a:rPr>
                <a:t>𝐸_(2,𝑒𝑙𝑒𝑐)=(𝑄_𝑒𝑙𝑒𝑐×(1−(𝑅𝑃𝑃+𝐽𝑅𝑃𝑃))−((𝑅𝐸𝐶_𝑠𝑢𝑟𝑟𝑒𝑛𝑑𝑒𝑟𝑒𝑑−𝑅𝐸𝐶_𝑜𝑛𝑠𝑖𝑡𝑒 )×10^(−3) ))×𝐸𝐹_(𝑅𝑀𝐹2,𝑒𝑙𝑒𝑐)×10^(−3)</a:t>
              </a:r>
              <a:endParaRPr lang="en-AU" sz="1000"/>
            </a:p>
          </xdr:txBody>
        </xdr:sp>
      </mc:Fallback>
    </mc:AlternateContent>
    <xdr:clientData/>
  </xdr:oneCellAnchor>
</xdr:wsDr>
</file>

<file path=xl/drawings/drawing16.xml><?xml version="1.0" encoding="utf-8"?>
<xdr:wsDr xmlns:xdr="http://schemas.openxmlformats.org/drawingml/2006/spreadsheetDrawing" xmlns:a="http://schemas.openxmlformats.org/drawingml/2006/main">
  <xdr:oneCellAnchor>
    <xdr:from>
      <xdr:col>3</xdr:col>
      <xdr:colOff>43237</xdr:colOff>
      <xdr:row>7</xdr:row>
      <xdr:rowOff>61924</xdr:rowOff>
    </xdr:from>
    <xdr:ext cx="2433230" cy="312906"/>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1EF45110-26E6-41EC-BA43-8FFB71DEBD70}"/>
                </a:ext>
              </a:extLst>
            </xdr:cNvPr>
            <xdr:cNvSpPr txBox="1"/>
          </xdr:nvSpPr>
          <xdr:spPr>
            <a:xfrm>
              <a:off x="3091237" y="1928824"/>
              <a:ext cx="2433230"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𝑐</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𝑜</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𝑁</m:t>
                                    </m:r>
                                  </m:e>
                                  <m:sub>
                                    <m:r>
                                      <a:rPr lang="en-AU" sz="1000" i="1">
                                        <a:latin typeface="Cambria Math" panose="02040503050406030204" pitchFamily="18" charset="0"/>
                                      </a:rPr>
                                      <m:t>𝑐𝑜</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𝑊</m:t>
                                    </m:r>
                                  </m:e>
                                  <m:sub>
                                    <m:r>
                                      <a:rPr lang="en-AU" sz="1000" i="1">
                                        <a:latin typeface="Cambria Math" panose="02040503050406030204" pitchFamily="18" charset="0"/>
                                      </a:rPr>
                                      <m:t>𝑐𝑜</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𝑐𝑜</m:t>
                                    </m:r>
                                  </m:sub>
                                </m:sSub>
                              </m:e>
                            </m:d>
                          </m:e>
                        </m:nary>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2" name="TextBox 1">
              <a:extLst>
                <a:ext uri="{FF2B5EF4-FFF2-40B4-BE49-F238E27FC236}">
                  <a16:creationId xmlns:a16="http://schemas.microsoft.com/office/drawing/2014/main" id="{1EF45110-26E6-41EC-BA43-8FFB71DEBD70}"/>
                </a:ext>
              </a:extLst>
            </xdr:cNvPr>
            <xdr:cNvSpPr txBox="1"/>
          </xdr:nvSpPr>
          <xdr:spPr>
            <a:xfrm>
              <a:off x="3091237" y="1928824"/>
              <a:ext cx="2433230"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𝐸=∑2_𝑐▒∑2_𝑜▒(𝑁_𝑐𝑜×𝑊_𝑐𝑜×𝐸𝐹_𝑐𝑜 ) ×10^(−3)</a:t>
              </a:r>
              <a:endParaRPr lang="en-AU" sz="1000"/>
            </a:p>
          </xdr:txBody>
        </xdr:sp>
      </mc:Fallback>
    </mc:AlternateContent>
    <xdr:clientData/>
  </xdr:oneCellAnchor>
  <xdr:oneCellAnchor>
    <xdr:from>
      <xdr:col>3</xdr:col>
      <xdr:colOff>43237</xdr:colOff>
      <xdr:row>101</xdr:row>
      <xdr:rowOff>61924</xdr:rowOff>
    </xdr:from>
    <xdr:ext cx="1651028" cy="33207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6556477-D53A-4DD6-BB63-34ED65372EB8}"/>
                </a:ext>
              </a:extLst>
            </xdr:cNvPr>
            <xdr:cNvSpPr txBox="1"/>
          </xdr:nvSpPr>
          <xdr:spPr>
            <a:xfrm>
              <a:off x="3091237" y="25207924"/>
              <a:ext cx="165102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𝑗</m:t>
                                </m:r>
                              </m:sub>
                            </m:sSub>
                          </m:e>
                        </m:d>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3" name="TextBox 2">
              <a:extLst>
                <a:ext uri="{FF2B5EF4-FFF2-40B4-BE49-F238E27FC236}">
                  <a16:creationId xmlns:a16="http://schemas.microsoft.com/office/drawing/2014/main" id="{E6556477-D53A-4DD6-BB63-34ED65372EB8}"/>
                </a:ext>
              </a:extLst>
            </xdr:cNvPr>
            <xdr:cNvSpPr txBox="1"/>
          </xdr:nvSpPr>
          <xdr:spPr>
            <a:xfrm>
              <a:off x="3091237" y="25207924"/>
              <a:ext cx="165102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𝐸=∑2_𝑗▒(𝑄_𝑗×𝐸𝐹_𝑗 ) ×10^(−3)</a:t>
              </a:r>
              <a:endParaRPr lang="en-AU" sz="1000"/>
            </a:p>
          </xdr:txBody>
        </xdr:sp>
      </mc:Fallback>
    </mc:AlternateContent>
    <xdr:clientData/>
  </xdr:oneCellAnchor>
  <xdr:oneCellAnchor>
    <xdr:from>
      <xdr:col>3</xdr:col>
      <xdr:colOff>43237</xdr:colOff>
      <xdr:row>166</xdr:row>
      <xdr:rowOff>61924</xdr:rowOff>
    </xdr:from>
    <xdr:ext cx="1780296" cy="31290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6611517B-8795-4BF0-98E7-38FE7EB360E3}"/>
                </a:ext>
              </a:extLst>
            </xdr:cNvPr>
            <xdr:cNvSpPr txBox="1"/>
          </xdr:nvSpPr>
          <xdr:spPr>
            <a:xfrm>
              <a:off x="3091237" y="41305174"/>
              <a:ext cx="178029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𝑚</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𝑚</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𝑚</m:t>
                                </m:r>
                              </m:sub>
                            </m:sSub>
                          </m:e>
                        </m:d>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4" name="TextBox 3">
              <a:extLst>
                <a:ext uri="{FF2B5EF4-FFF2-40B4-BE49-F238E27FC236}">
                  <a16:creationId xmlns:a16="http://schemas.microsoft.com/office/drawing/2014/main" id="{6611517B-8795-4BF0-98E7-38FE7EB360E3}"/>
                </a:ext>
              </a:extLst>
            </xdr:cNvPr>
            <xdr:cNvSpPr txBox="1"/>
          </xdr:nvSpPr>
          <xdr:spPr>
            <a:xfrm>
              <a:off x="3091237" y="41305174"/>
              <a:ext cx="1780296"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𝐸=∑2_𝑚▒(𝑄_𝑚×𝐸𝐹_𝑚 ) ×10^(−3)</a:t>
              </a:r>
              <a:endParaRPr lang="en-AU" sz="1000"/>
            </a:p>
          </xdr:txBody>
        </xdr:sp>
      </mc:Fallback>
    </mc:AlternateContent>
    <xdr:clientData/>
  </xdr:oneCellAnchor>
  <xdr:oneCellAnchor>
    <xdr:from>
      <xdr:col>3</xdr:col>
      <xdr:colOff>43237</xdr:colOff>
      <xdr:row>203</xdr:row>
      <xdr:rowOff>61924</xdr:rowOff>
    </xdr:from>
    <xdr:ext cx="2099229" cy="33207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71481378-14B1-4594-8C42-960B5C2A7053}"/>
                </a:ext>
              </a:extLst>
            </xdr:cNvPr>
            <xdr:cNvSpPr txBox="1"/>
          </xdr:nvSpPr>
          <xdr:spPr>
            <a:xfrm>
              <a:off x="3091237" y="50468224"/>
              <a:ext cx="2099229"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r>
                                  <a:rPr lang="en-AU" sz="1000" i="1">
                                    <a:latin typeface="Cambria Math" panose="02040503050406030204" pitchFamily="18" charset="0"/>
                                  </a:rPr>
                                  <m:t>𝑇</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𝑓</m:t>
                                    </m:r>
                                  </m:sub>
                                </m:sSub>
                              </m:e>
                            </m:d>
                          </m:e>
                        </m:nary>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5" name="TextBox 4">
              <a:extLst>
                <a:ext uri="{FF2B5EF4-FFF2-40B4-BE49-F238E27FC236}">
                  <a16:creationId xmlns:a16="http://schemas.microsoft.com/office/drawing/2014/main" id="{71481378-14B1-4594-8C42-960B5C2A7053}"/>
                </a:ext>
              </a:extLst>
            </xdr:cNvPr>
            <xdr:cNvSpPr txBox="1"/>
          </xdr:nvSpPr>
          <xdr:spPr>
            <a:xfrm>
              <a:off x="3091237" y="50468224"/>
              <a:ext cx="2099229"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𝐸=∑2_𝑓▒∑2_𝑗▒(𝑇𝑀_𝑗𝑓×𝐸𝐹_𝑓 ) ×10^(−3)</a:t>
              </a:r>
              <a:endParaRPr lang="en-AU" sz="1000"/>
            </a:p>
          </xdr:txBody>
        </xdr:sp>
      </mc:Fallback>
    </mc:AlternateContent>
    <xdr:clientData/>
  </xdr:oneCellAnchor>
  <xdr:oneCellAnchor>
    <xdr:from>
      <xdr:col>4</xdr:col>
      <xdr:colOff>1999881</xdr:colOff>
      <xdr:row>218</xdr:row>
      <xdr:rowOff>51204</xdr:rowOff>
    </xdr:from>
    <xdr:ext cx="2458430" cy="256032"/>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561C5C5E-E683-4A50-845C-1DE93476AD87}"/>
                </a:ext>
              </a:extLst>
            </xdr:cNvPr>
            <xdr:cNvSpPr txBox="1"/>
          </xdr:nvSpPr>
          <xdr:spPr>
            <a:xfrm>
              <a:off x="7086231" y="54172254"/>
              <a:ext cx="2458430" cy="2560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b="1">
                  <a:solidFill>
                    <a:srgbClr val="C00000"/>
                  </a:solidFill>
                </a:rPr>
                <a:t>ORIGINAL:</a:t>
              </a:r>
              <a:r>
                <a:rPr lang="en-AU" sz="1000" baseline="0"/>
                <a:t> </a:t>
              </a:r>
              <a14:m>
                <m:oMath xmlns:m="http://schemas.openxmlformats.org/officeDocument/2006/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𝑐</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f>
                                    <m:fPr>
                                      <m:ctrlPr>
                                        <a:rPr lang="en-AU" sz="1000" i="1">
                                          <a:latin typeface="Cambria Math" panose="02040503050406030204" pitchFamily="18" charset="0"/>
                                        </a:rPr>
                                      </m:ctrlPr>
                                    </m:fPr>
                                    <m:num>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𝑐𝑓</m:t>
                                          </m:r>
                                        </m:sub>
                                      </m:sSub>
                                      <m:r>
                                        <a:rPr lang="en-AU" sz="1000" i="1">
                                          <a:latin typeface="Cambria Math" panose="02040503050406030204" pitchFamily="18" charset="0"/>
                                        </a:rPr>
                                        <m:t>×</m:t>
                                      </m:r>
                                      <m:r>
                                        <a:rPr lang="en-AU" sz="1000" i="1">
                                          <a:latin typeface="Cambria Math" panose="02040503050406030204" pitchFamily="18" charset="0"/>
                                        </a:rPr>
                                        <m:t>𝑇</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𝑗𝑓</m:t>
                                          </m:r>
                                        </m:sub>
                                      </m:sSub>
                                    </m:num>
                                    <m:den>
                                      <m:r>
                                        <a:rPr lang="en-AU" sz="1000" i="1">
                                          <a:latin typeface="Cambria Math" panose="02040503050406030204" pitchFamily="18" charset="0"/>
                                        </a:rPr>
                                        <m:t>100</m:t>
                                      </m:r>
                                    </m:den>
                                  </m:f>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𝑐</m:t>
                                      </m:r>
                                    </m:sub>
                                  </m:sSub>
                                </m:e>
                              </m:d>
                            </m:e>
                          </m:nary>
                        </m:e>
                      </m:nary>
                    </m:e>
                  </m:nary>
                </m:oMath>
              </a14:m>
              <a:endParaRPr lang="en-AU" sz="1000"/>
            </a:p>
          </xdr:txBody>
        </xdr:sp>
      </mc:Choice>
      <mc:Fallback xmlns="">
        <xdr:sp macro="" textlink="">
          <xdr:nvSpPr>
            <xdr:cNvPr id="6" name="TextBox 5">
              <a:extLst>
                <a:ext uri="{FF2B5EF4-FFF2-40B4-BE49-F238E27FC236}">
                  <a16:creationId xmlns:a16="http://schemas.microsoft.com/office/drawing/2014/main" id="{561C5C5E-E683-4A50-845C-1DE93476AD87}"/>
                </a:ext>
              </a:extLst>
            </xdr:cNvPr>
            <xdr:cNvSpPr txBox="1"/>
          </xdr:nvSpPr>
          <xdr:spPr>
            <a:xfrm>
              <a:off x="7086231" y="54172254"/>
              <a:ext cx="2458430" cy="2560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b="1">
                  <a:solidFill>
                    <a:srgbClr val="C00000"/>
                  </a:solidFill>
                </a:rPr>
                <a:t>ORIGINAL:</a:t>
              </a:r>
              <a:r>
                <a:rPr lang="en-AU" sz="1000" baseline="0"/>
                <a:t> </a:t>
              </a:r>
              <a:r>
                <a:rPr lang="en-AU" sz="1000" i="0">
                  <a:latin typeface="Cambria Math" panose="02040503050406030204" pitchFamily="18" charset="0"/>
                </a:rPr>
                <a:t>𝐸=∑2_𝑓▒∑2_𝑐▒∑2_𝑗▒((𝐹_𝑐𝑓×𝑇𝑀_𝑗𝑓)/100×𝐸𝐹_𝑐 ) </a:t>
              </a:r>
              <a:endParaRPr lang="en-AU" sz="1000"/>
            </a:p>
          </xdr:txBody>
        </xdr:sp>
      </mc:Fallback>
    </mc:AlternateContent>
    <xdr:clientData/>
  </xdr:oneCellAnchor>
  <xdr:oneCellAnchor>
    <xdr:from>
      <xdr:col>3</xdr:col>
      <xdr:colOff>2070</xdr:colOff>
      <xdr:row>218</xdr:row>
      <xdr:rowOff>60464</xdr:rowOff>
    </xdr:from>
    <xdr:ext cx="2708818" cy="332079"/>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9B9685B1-9415-4A5D-BABC-63F5BD3E3E02}"/>
                </a:ext>
              </a:extLst>
            </xdr:cNvPr>
            <xdr:cNvSpPr txBox="1"/>
          </xdr:nvSpPr>
          <xdr:spPr>
            <a:xfrm>
              <a:off x="3050070" y="54181514"/>
              <a:ext cx="270881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𝑐</m:t>
                            </m:r>
                          </m:sub>
                          <m:sup/>
                          <m:e>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𝑐𝑓</m:t>
                                        </m:r>
                                      </m:sub>
                                    </m:sSub>
                                    <m:r>
                                      <a:rPr lang="en-AU" sz="1000" i="1">
                                        <a:latin typeface="Cambria Math" panose="02040503050406030204" pitchFamily="18" charset="0"/>
                                      </a:rPr>
                                      <m:t>×</m:t>
                                    </m:r>
                                    <m:r>
                                      <a:rPr lang="en-AU" sz="1000" i="1">
                                        <a:latin typeface="Cambria Math" panose="02040503050406030204" pitchFamily="18" charset="0"/>
                                      </a:rPr>
                                      <m:t>𝑇</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𝑗𝑓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𝑐</m:t>
                                        </m:r>
                                      </m:sub>
                                    </m:sSub>
                                  </m:e>
                                </m:d>
                              </m:e>
                            </m:nary>
                          </m:e>
                        </m:nary>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7" name="TextBox 6">
              <a:extLst>
                <a:ext uri="{FF2B5EF4-FFF2-40B4-BE49-F238E27FC236}">
                  <a16:creationId xmlns:a16="http://schemas.microsoft.com/office/drawing/2014/main" id="{9B9685B1-9415-4A5D-BABC-63F5BD3E3E02}"/>
                </a:ext>
              </a:extLst>
            </xdr:cNvPr>
            <xdr:cNvSpPr txBox="1"/>
          </xdr:nvSpPr>
          <xdr:spPr>
            <a:xfrm>
              <a:off x="3050070" y="54181514"/>
              <a:ext cx="270881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𝐸=∑2_𝑓▒∑2_𝑐▒∑2_𝑗▒(𝐹_𝑐𝑓×𝑇𝑀_𝑗𝑓×𝐸𝐹_𝑐 ) ×10^(−3)</a:t>
              </a:r>
              <a:endParaRPr lang="en-AU" sz="1000"/>
            </a:p>
          </xdr:txBody>
        </xdr:sp>
      </mc:Fallback>
    </mc:AlternateContent>
    <xdr:clientData/>
  </xdr:oneCellAnchor>
  <xdr:oneCellAnchor>
    <xdr:from>
      <xdr:col>3</xdr:col>
      <xdr:colOff>19050</xdr:colOff>
      <xdr:row>189</xdr:row>
      <xdr:rowOff>114300</xdr:rowOff>
    </xdr:from>
    <xdr:ext cx="1375312" cy="312906"/>
    <mc:AlternateContent xmlns:mc="http://schemas.openxmlformats.org/markup-compatibility/2006" xmlns:a14="http://schemas.microsoft.com/office/drawing/2010/main">
      <mc:Choice Requires="a14">
        <xdr:sp macro="" textlink="">
          <xdr:nvSpPr>
            <xdr:cNvPr id="8" name="TextBox 7">
              <a:extLst>
                <a:ext uri="{FF2B5EF4-FFF2-40B4-BE49-F238E27FC236}">
                  <a16:creationId xmlns:a16="http://schemas.microsoft.com/office/drawing/2014/main" id="{8259C4B0-B966-4A83-B95B-9A8E1D821C38}"/>
                </a:ext>
              </a:extLst>
            </xdr:cNvPr>
            <xdr:cNvSpPr txBox="1"/>
          </xdr:nvSpPr>
          <xdr:spPr>
            <a:xfrm>
              <a:off x="3067050" y="47053500"/>
              <a:ext cx="1375312"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𝑓</m:t>
                        </m:r>
                      </m:sub>
                    </m:sSub>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𝑐</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𝑐𝑓</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𝑐</m:t>
                                </m:r>
                              </m:sub>
                            </m:sSub>
                          </m:e>
                        </m:d>
                      </m:e>
                    </m:nary>
                  </m:oMath>
                </m:oMathPara>
              </a14:m>
              <a:endParaRPr lang="en-AU" sz="1000"/>
            </a:p>
          </xdr:txBody>
        </xdr:sp>
      </mc:Choice>
      <mc:Fallback xmlns="">
        <xdr:sp macro="" textlink="">
          <xdr:nvSpPr>
            <xdr:cNvPr id="8" name="TextBox 7">
              <a:extLst>
                <a:ext uri="{FF2B5EF4-FFF2-40B4-BE49-F238E27FC236}">
                  <a16:creationId xmlns:a16="http://schemas.microsoft.com/office/drawing/2014/main" id="{8259C4B0-B966-4A83-B95B-9A8E1D821C38}"/>
                </a:ext>
              </a:extLst>
            </xdr:cNvPr>
            <xdr:cNvSpPr txBox="1"/>
          </xdr:nvSpPr>
          <xdr:spPr>
            <a:xfrm>
              <a:off x="3067050" y="47053500"/>
              <a:ext cx="1375312" cy="3129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𝐸𝐹_𝑓=∑2_𝑐▒(𝐹_𝑐𝑓×𝐸𝐹_𝑐 ) </a:t>
              </a:r>
              <a:endParaRPr lang="en-AU" sz="1000"/>
            </a:p>
          </xdr:txBody>
        </xdr:sp>
      </mc:Fallback>
    </mc:AlternateContent>
    <xdr:clientData/>
  </xdr:oneCellAnchor>
  <xdr:oneCellAnchor>
    <xdr:from>
      <xdr:col>3</xdr:col>
      <xdr:colOff>19051</xdr:colOff>
      <xdr:row>273</xdr:row>
      <xdr:rowOff>153521</xdr:rowOff>
    </xdr:from>
    <xdr:ext cx="1698157" cy="312971"/>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8201EFB9-2060-421C-A6F5-CD6056FA79DA}"/>
                </a:ext>
              </a:extLst>
            </xdr:cNvPr>
            <xdr:cNvSpPr txBox="1"/>
          </xdr:nvSpPr>
          <xdr:spPr>
            <a:xfrm>
              <a:off x="3067051" y="67895321"/>
              <a:ext cx="1698157" cy="3129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ℎ</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ℎ</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ℎ</m:t>
                                </m:r>
                              </m:sub>
                            </m:sSub>
                          </m:e>
                        </m:d>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9" name="TextBox 8">
              <a:extLst>
                <a:ext uri="{FF2B5EF4-FFF2-40B4-BE49-F238E27FC236}">
                  <a16:creationId xmlns:a16="http://schemas.microsoft.com/office/drawing/2014/main" id="{8201EFB9-2060-421C-A6F5-CD6056FA79DA}"/>
                </a:ext>
              </a:extLst>
            </xdr:cNvPr>
            <xdr:cNvSpPr txBox="1"/>
          </xdr:nvSpPr>
          <xdr:spPr>
            <a:xfrm>
              <a:off x="3067051" y="67895321"/>
              <a:ext cx="1698157" cy="3129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𝐸=∑2_ℎ▒(𝑄_ℎ×𝐸𝐹_ℎ ) ×10^(−3)</a:t>
              </a:r>
              <a:endParaRPr lang="en-AU" sz="1000"/>
            </a:p>
          </xdr:txBody>
        </xdr:sp>
      </mc:Fallback>
    </mc:AlternateContent>
    <xdr:clientData/>
  </xdr:oneCellAnchor>
  <xdr:oneCellAnchor>
    <xdr:from>
      <xdr:col>3</xdr:col>
      <xdr:colOff>30256</xdr:colOff>
      <xdr:row>305</xdr:row>
      <xdr:rowOff>97491</xdr:rowOff>
    </xdr:from>
    <xdr:ext cx="1022459" cy="173766"/>
    <mc:AlternateContent xmlns:mc="http://schemas.openxmlformats.org/markup-compatibility/2006" xmlns:a14="http://schemas.microsoft.com/office/drawing/2010/main">
      <mc:Choice Requires="a14">
        <xdr:sp macro="" textlink="">
          <xdr:nvSpPr>
            <xdr:cNvPr id="10" name="TextBox 9">
              <a:extLst>
                <a:ext uri="{FF2B5EF4-FFF2-40B4-BE49-F238E27FC236}">
                  <a16:creationId xmlns:a16="http://schemas.microsoft.com/office/drawing/2014/main" id="{47536230-4749-4668-AF7E-2FCAF720E64A}"/>
                </a:ext>
              </a:extLst>
            </xdr:cNvPr>
            <xdr:cNvSpPr txBox="1"/>
          </xdr:nvSpPr>
          <xdr:spPr>
            <a:xfrm>
              <a:off x="3078256" y="75764091"/>
              <a:ext cx="102245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𝑀</m:t>
                        </m:r>
                      </m:e>
                      <m:sub>
                        <m:r>
                          <a:rPr lang="en-AU" sz="1000" i="1">
                            <a:latin typeface="Cambria Math" panose="02040503050406030204" pitchFamily="18" charset="0"/>
                          </a:rPr>
                          <m:t>𝑙𝑖𝑚𝑒</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𝑙</m:t>
                        </m:r>
                      </m:sub>
                    </m:sSub>
                  </m:oMath>
                </m:oMathPara>
              </a14:m>
              <a:endParaRPr lang="en-AU" sz="1000"/>
            </a:p>
          </xdr:txBody>
        </xdr:sp>
      </mc:Choice>
      <mc:Fallback xmlns="">
        <xdr:sp macro="" textlink="">
          <xdr:nvSpPr>
            <xdr:cNvPr id="10" name="TextBox 9">
              <a:extLst>
                <a:ext uri="{FF2B5EF4-FFF2-40B4-BE49-F238E27FC236}">
                  <a16:creationId xmlns:a16="http://schemas.microsoft.com/office/drawing/2014/main" id="{47536230-4749-4668-AF7E-2FCAF720E64A}"/>
                </a:ext>
              </a:extLst>
            </xdr:cNvPr>
            <xdr:cNvSpPr txBox="1"/>
          </xdr:nvSpPr>
          <xdr:spPr>
            <a:xfrm>
              <a:off x="3078256" y="75764091"/>
              <a:ext cx="102245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𝐸=𝑀_𝑙𝑖𝑚𝑒×𝐸𝐹_𝑙</a:t>
              </a:r>
              <a:endParaRPr lang="en-AU" sz="1000"/>
            </a:p>
          </xdr:txBody>
        </xdr:sp>
      </mc:Fallback>
    </mc:AlternateContent>
    <xdr:clientData/>
  </xdr:oneCellAnchor>
  <xdr:oneCellAnchor>
    <xdr:from>
      <xdr:col>3</xdr:col>
      <xdr:colOff>97491</xdr:colOff>
      <xdr:row>338</xdr:row>
      <xdr:rowOff>75080</xdr:rowOff>
    </xdr:from>
    <xdr:ext cx="1692515" cy="331501"/>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9A571BC6-0DC7-4C7E-84B5-5170A12BF188}"/>
                </a:ext>
              </a:extLst>
            </xdr:cNvPr>
            <xdr:cNvSpPr txBox="1"/>
          </xdr:nvSpPr>
          <xdr:spPr>
            <a:xfrm>
              <a:off x="3145491" y="83914130"/>
              <a:ext cx="1692515"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𝑝</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𝐴</m:t>
                                </m:r>
                              </m:e>
                              <m:sub>
                                <m:r>
                                  <a:rPr lang="en-AU" sz="1000" i="1">
                                    <a:latin typeface="Cambria Math" panose="02040503050406030204" pitchFamily="18" charset="0"/>
                                  </a:rPr>
                                  <m:t>𝑝</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𝑝</m:t>
                                </m:r>
                              </m:sub>
                            </m:sSub>
                          </m:e>
                        </m:d>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11" name="TextBox 10">
              <a:extLst>
                <a:ext uri="{FF2B5EF4-FFF2-40B4-BE49-F238E27FC236}">
                  <a16:creationId xmlns:a16="http://schemas.microsoft.com/office/drawing/2014/main" id="{9A571BC6-0DC7-4C7E-84B5-5170A12BF188}"/>
                </a:ext>
              </a:extLst>
            </xdr:cNvPr>
            <xdr:cNvSpPr txBox="1"/>
          </xdr:nvSpPr>
          <xdr:spPr>
            <a:xfrm>
              <a:off x="3145491" y="83914130"/>
              <a:ext cx="1692515"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𝐸=∑2_𝑝▒(𝐴_𝑝×𝐸𝐹_𝑝 ) ×10^(−3)</a:t>
              </a:r>
              <a:endParaRPr lang="en-AU" sz="1000"/>
            </a:p>
          </xdr:txBody>
        </xdr:sp>
      </mc:Fallback>
    </mc:AlternateContent>
    <xdr:clientData/>
  </xdr:oneCellAnchor>
  <xdr:oneCellAnchor>
    <xdr:from>
      <xdr:col>3</xdr:col>
      <xdr:colOff>63874</xdr:colOff>
      <xdr:row>370</xdr:row>
      <xdr:rowOff>119902</xdr:rowOff>
    </xdr:from>
    <xdr:ext cx="1694117" cy="331501"/>
    <mc:AlternateContent xmlns:mc="http://schemas.openxmlformats.org/markup-compatibility/2006" xmlns:a14="http://schemas.microsoft.com/office/drawing/2010/main">
      <mc:Choice Requires="a14">
        <xdr:sp macro="" textlink="">
          <xdr:nvSpPr>
            <xdr:cNvPr id="12" name="TextBox 11">
              <a:extLst>
                <a:ext uri="{FF2B5EF4-FFF2-40B4-BE49-F238E27FC236}">
                  <a16:creationId xmlns:a16="http://schemas.microsoft.com/office/drawing/2014/main" id="{6BB7CC07-F64F-4927-8E6A-9F1901495A71}"/>
                </a:ext>
              </a:extLst>
            </xdr:cNvPr>
            <xdr:cNvSpPr txBox="1"/>
          </xdr:nvSpPr>
          <xdr:spPr>
            <a:xfrm>
              <a:off x="3111874" y="91883752"/>
              <a:ext cx="1694117"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𝑝</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𝑝</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𝑝</m:t>
                                </m:r>
                              </m:sub>
                            </m:sSub>
                          </m:e>
                        </m:d>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12" name="TextBox 11">
              <a:extLst>
                <a:ext uri="{FF2B5EF4-FFF2-40B4-BE49-F238E27FC236}">
                  <a16:creationId xmlns:a16="http://schemas.microsoft.com/office/drawing/2014/main" id="{6BB7CC07-F64F-4927-8E6A-9F1901495A71}"/>
                </a:ext>
              </a:extLst>
            </xdr:cNvPr>
            <xdr:cNvSpPr txBox="1"/>
          </xdr:nvSpPr>
          <xdr:spPr>
            <a:xfrm>
              <a:off x="3111874" y="91883752"/>
              <a:ext cx="1694117"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𝐸=∑2_𝑝▒(𝑄_𝑝×𝐸𝐹_𝑝 ) ×10^(−3)</a:t>
              </a:r>
              <a:endParaRPr lang="en-AU" sz="1000"/>
            </a:p>
          </xdr:txBody>
        </xdr:sp>
      </mc:Fallback>
    </mc:AlternateContent>
    <xdr:clientData/>
  </xdr:oneCellAnchor>
  <xdr:oneCellAnchor>
    <xdr:from>
      <xdr:col>3</xdr:col>
      <xdr:colOff>41461</xdr:colOff>
      <xdr:row>400</xdr:row>
      <xdr:rowOff>131109</xdr:rowOff>
    </xdr:from>
    <xdr:ext cx="1698863" cy="332207"/>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42367FF8-8514-45B8-8BA4-05366A9930E9}"/>
                </a:ext>
              </a:extLst>
            </xdr:cNvPr>
            <xdr:cNvSpPr txBox="1"/>
          </xdr:nvSpPr>
          <xdr:spPr>
            <a:xfrm>
              <a:off x="3089461" y="99324459"/>
              <a:ext cx="1698863" cy="3322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𝑔</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𝑔</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𝑔</m:t>
                                </m:r>
                              </m:sub>
                            </m:sSub>
                          </m:e>
                        </m:d>
                      </m:e>
                    </m:nary>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13" name="TextBox 12">
              <a:extLst>
                <a:ext uri="{FF2B5EF4-FFF2-40B4-BE49-F238E27FC236}">
                  <a16:creationId xmlns:a16="http://schemas.microsoft.com/office/drawing/2014/main" id="{42367FF8-8514-45B8-8BA4-05366A9930E9}"/>
                </a:ext>
              </a:extLst>
            </xdr:cNvPr>
            <xdr:cNvSpPr txBox="1"/>
          </xdr:nvSpPr>
          <xdr:spPr>
            <a:xfrm>
              <a:off x="3089461" y="99324459"/>
              <a:ext cx="1698863" cy="33220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𝐸=∑2_𝑔▒(𝑄_𝑔×𝐸𝐹_𝑔 ) ×10^(−3)</a:t>
              </a:r>
              <a:endParaRPr lang="en-AU" sz="1000"/>
            </a:p>
          </xdr:txBody>
        </xdr:sp>
      </mc:Fallback>
    </mc:AlternateContent>
    <xdr:clientData/>
  </xdr:oneCellAnchor>
  <xdr:oneCellAnchor>
    <xdr:from>
      <xdr:col>3</xdr:col>
      <xdr:colOff>28575</xdr:colOff>
      <xdr:row>433</xdr:row>
      <xdr:rowOff>114299</xdr:rowOff>
    </xdr:from>
    <xdr:ext cx="2929969" cy="173766"/>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C23465DB-4A9C-4016-9179-30568780AB99}"/>
                </a:ext>
              </a:extLst>
            </xdr:cNvPr>
            <xdr:cNvSpPr txBox="1"/>
          </xdr:nvSpPr>
          <xdr:spPr>
            <a:xfrm>
              <a:off x="3076575" y="107480099"/>
              <a:ext cx="292996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𝑒𝑚𝑖𝑠𝑠𝑖𝑜𝑛𝑠</m:t>
                    </m:r>
                    <m:r>
                      <a:rPr lang="en-AU" sz="1000" i="1">
                        <a:latin typeface="Cambria Math" panose="02040503050406030204" pitchFamily="18" charset="0"/>
                      </a:rPr>
                      <m:t>=</m:t>
                    </m:r>
                    <m:r>
                      <a:rPr lang="en-AU" sz="1000" i="1">
                        <a:latin typeface="Cambria Math" panose="02040503050406030204" pitchFamily="18" charset="0"/>
                      </a:rPr>
                      <m:t>𝑎𝑐𝑡𝑖𝑣𝑖𝑡𝑦</m:t>
                    </m:r>
                    <m:r>
                      <m:rPr>
                        <m:lit/>
                      </m:rPr>
                      <a:rPr lang="en-AU" sz="1000" i="1">
                        <a:latin typeface="Cambria Math" panose="02040503050406030204" pitchFamily="18" charset="0"/>
                      </a:rPr>
                      <m:t>_</m:t>
                    </m:r>
                    <m:r>
                      <a:rPr lang="en-AU" sz="1000" i="1">
                        <a:latin typeface="Cambria Math" panose="02040503050406030204" pitchFamily="18" charset="0"/>
                      </a:rPr>
                      <m:t>𝑑𝑎𝑡𝑎</m:t>
                    </m:r>
                    <m:r>
                      <a:rPr lang="en-AU" sz="1000" i="1">
                        <a:latin typeface="Cambria Math" panose="02040503050406030204" pitchFamily="18" charset="0"/>
                      </a:rPr>
                      <m:t>×</m:t>
                    </m:r>
                    <m:r>
                      <a:rPr lang="en-AU" sz="1000" i="1">
                        <a:latin typeface="Cambria Math" panose="02040503050406030204" pitchFamily="18" charset="0"/>
                      </a:rPr>
                      <m:t>𝑒𝑚𝑖𝑠𝑠𝑖𝑜𝑛</m:t>
                    </m:r>
                    <m:r>
                      <m:rPr>
                        <m:lit/>
                      </m:rPr>
                      <a:rPr lang="en-AU" sz="1000" i="1">
                        <a:latin typeface="Cambria Math" panose="02040503050406030204" pitchFamily="18" charset="0"/>
                      </a:rPr>
                      <m:t>_</m:t>
                    </m:r>
                    <m:r>
                      <a:rPr lang="en-AU" sz="1000" i="1">
                        <a:latin typeface="Cambria Math" panose="02040503050406030204" pitchFamily="18" charset="0"/>
                      </a:rPr>
                      <m:t>𝑓𝑎𝑐𝑡𝑜𝑟</m:t>
                    </m:r>
                    <m:r>
                      <a:rPr lang="en-AU" sz="1000" i="1">
                        <a:latin typeface="Cambria Math" panose="02040503050406030204" pitchFamily="18" charset="0"/>
                      </a:rPr>
                      <m:t> </m:t>
                    </m:r>
                  </m:oMath>
                </m:oMathPara>
              </a14:m>
              <a:endParaRPr lang="en-AU" sz="1000"/>
            </a:p>
          </xdr:txBody>
        </xdr:sp>
      </mc:Choice>
      <mc:Fallback xmlns="">
        <xdr:sp macro="" textlink="">
          <xdr:nvSpPr>
            <xdr:cNvPr id="14" name="TextBox 13">
              <a:extLst>
                <a:ext uri="{FF2B5EF4-FFF2-40B4-BE49-F238E27FC236}">
                  <a16:creationId xmlns:a16="http://schemas.microsoft.com/office/drawing/2014/main" id="{C23465DB-4A9C-4016-9179-30568780AB99}"/>
                </a:ext>
              </a:extLst>
            </xdr:cNvPr>
            <xdr:cNvSpPr txBox="1"/>
          </xdr:nvSpPr>
          <xdr:spPr>
            <a:xfrm>
              <a:off x="3076575" y="107480099"/>
              <a:ext cx="2929969"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𝑒𝑚𝑖𝑠𝑠𝑖𝑜𝑛𝑠=𝑎𝑐𝑡𝑖𝑣𝑖𝑡𝑦\_𝑑𝑎𝑡𝑎×𝑒𝑚𝑖𝑠𝑠𝑖𝑜𝑛\_𝑓𝑎𝑐𝑡𝑜𝑟 </a:t>
              </a:r>
              <a:endParaRPr lang="en-AU" sz="1000"/>
            </a:p>
          </xdr:txBody>
        </xdr:sp>
      </mc:Fallback>
    </mc:AlternateContent>
    <xdr:clientData/>
  </xdr:oneCellAnchor>
  <xdr:oneCellAnchor>
    <xdr:from>
      <xdr:col>3</xdr:col>
      <xdr:colOff>30257</xdr:colOff>
      <xdr:row>523</xdr:row>
      <xdr:rowOff>103094</xdr:rowOff>
    </xdr:from>
    <xdr:ext cx="2229713" cy="331501"/>
    <mc:AlternateContent xmlns:mc="http://schemas.openxmlformats.org/markup-compatibility/2006" xmlns:a14="http://schemas.microsoft.com/office/drawing/2010/main">
      <mc:Choice Requires="a14">
        <xdr:sp macro="" textlink="">
          <xdr:nvSpPr>
            <xdr:cNvPr id="15" name="TextBox 14">
              <a:extLst>
                <a:ext uri="{FF2B5EF4-FFF2-40B4-BE49-F238E27FC236}">
                  <a16:creationId xmlns:a16="http://schemas.microsoft.com/office/drawing/2014/main" id="{BAC0C5BC-5991-4D16-95F7-90E9D5426281}"/>
                </a:ext>
              </a:extLst>
            </xdr:cNvPr>
            <xdr:cNvSpPr txBox="1"/>
          </xdr:nvSpPr>
          <xdr:spPr>
            <a:xfrm>
              <a:off x="3078257" y="129757394"/>
              <a:ext cx="2229713"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𝑞</m:t>
                        </m:r>
                      </m:sub>
                      <m:sup/>
                      <m:e>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𝑊𝑇𝑇</m:t>
                            </m:r>
                            <m:r>
                              <a:rPr lang="en-AU" sz="1000" i="1">
                                <a:latin typeface="Cambria Math" panose="02040503050406030204" pitchFamily="18" charset="0"/>
                              </a:rPr>
                              <m:t>,</m:t>
                            </m:r>
                            <m:r>
                              <a:rPr lang="en-AU" sz="1000" i="1">
                                <a:latin typeface="Cambria Math" panose="02040503050406030204" pitchFamily="18" charset="0"/>
                              </a:rPr>
                              <m:t>𝑡𝑟𝑎𝑛𝑠</m:t>
                            </m:r>
                            <m:r>
                              <a:rPr lang="en-AU" sz="1000" i="1">
                                <a:latin typeface="Cambria Math" panose="02040503050406030204" pitchFamily="18" charset="0"/>
                              </a:rPr>
                              <m:t>,</m:t>
                            </m:r>
                            <m:r>
                              <a:rPr lang="en-AU" sz="1000" i="1">
                                <a:latin typeface="Cambria Math" panose="02040503050406030204" pitchFamily="18" charset="0"/>
                              </a:rPr>
                              <m:t>𝑞</m:t>
                            </m:r>
                          </m:sub>
                        </m:sSub>
                      </m:e>
                    </m:nary>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𝑞</m:t>
                        </m:r>
                      </m:sub>
                      <m:sup/>
                      <m:e>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𝑊𝑇𝑇</m:t>
                            </m:r>
                            <m:r>
                              <a:rPr lang="en-AU" sz="1000" i="1">
                                <a:latin typeface="Cambria Math" panose="02040503050406030204" pitchFamily="18" charset="0"/>
                              </a:rPr>
                              <m:t>,</m:t>
                            </m:r>
                            <m:r>
                              <a:rPr lang="en-AU" sz="1000" i="1">
                                <a:latin typeface="Cambria Math" panose="02040503050406030204" pitchFamily="18" charset="0"/>
                              </a:rPr>
                              <m:t>𝑆𝐶</m:t>
                            </m:r>
                            <m:r>
                              <a:rPr lang="en-AU" sz="1000" i="1">
                                <a:latin typeface="Cambria Math" panose="02040503050406030204" pitchFamily="18" charset="0"/>
                              </a:rPr>
                              <m:t>,</m:t>
                            </m:r>
                            <m:r>
                              <a:rPr lang="en-AU" sz="1000" i="1">
                                <a:latin typeface="Cambria Math" panose="02040503050406030204" pitchFamily="18" charset="0"/>
                              </a:rPr>
                              <m:t>𝑞</m:t>
                            </m:r>
                          </m:sub>
                        </m:sSub>
                      </m:e>
                    </m:nary>
                  </m:oMath>
                </m:oMathPara>
              </a14:m>
              <a:endParaRPr lang="en-AU" sz="1000"/>
            </a:p>
          </xdr:txBody>
        </xdr:sp>
      </mc:Choice>
      <mc:Fallback xmlns="">
        <xdr:sp macro="" textlink="">
          <xdr:nvSpPr>
            <xdr:cNvPr id="15" name="TextBox 14">
              <a:extLst>
                <a:ext uri="{FF2B5EF4-FFF2-40B4-BE49-F238E27FC236}">
                  <a16:creationId xmlns:a16="http://schemas.microsoft.com/office/drawing/2014/main" id="{BAC0C5BC-5991-4D16-95F7-90E9D5426281}"/>
                </a:ext>
              </a:extLst>
            </xdr:cNvPr>
            <xdr:cNvSpPr txBox="1"/>
          </xdr:nvSpPr>
          <xdr:spPr>
            <a:xfrm>
              <a:off x="3078257" y="129757394"/>
              <a:ext cx="2229713" cy="331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𝐸=∑2_𝑞▒𝐸_(𝑊𝑇𝑇,𝑡𝑟𝑎𝑛𝑠,𝑞) +∑2_𝑞▒𝐸_(𝑊𝑇𝑇,𝑆𝐶,𝑞) </a:t>
              </a:r>
              <a:endParaRPr lang="en-AU" sz="1000"/>
            </a:p>
          </xdr:txBody>
        </xdr:sp>
      </mc:Fallback>
    </mc:AlternateContent>
    <xdr:clientData/>
  </xdr:oneCellAnchor>
  <xdr:oneCellAnchor>
    <xdr:from>
      <xdr:col>3</xdr:col>
      <xdr:colOff>30256</xdr:colOff>
      <xdr:row>538</xdr:row>
      <xdr:rowOff>80682</xdr:rowOff>
    </xdr:from>
    <xdr:ext cx="1958037" cy="180114"/>
    <mc:AlternateContent xmlns:mc="http://schemas.openxmlformats.org/markup-compatibility/2006" xmlns:a14="http://schemas.microsoft.com/office/drawing/2010/main">
      <mc:Choice Requires="a14">
        <xdr:sp macro="" textlink="">
          <xdr:nvSpPr>
            <xdr:cNvPr id="16" name="TextBox 15">
              <a:extLst>
                <a:ext uri="{FF2B5EF4-FFF2-40B4-BE49-F238E27FC236}">
                  <a16:creationId xmlns:a16="http://schemas.microsoft.com/office/drawing/2014/main" id="{B80A774F-805C-4B43-B395-CB5F105D3791}"/>
                </a:ext>
              </a:extLst>
            </xdr:cNvPr>
            <xdr:cNvSpPr txBox="1"/>
          </xdr:nvSpPr>
          <xdr:spPr>
            <a:xfrm>
              <a:off x="3078256" y="133449732"/>
              <a:ext cx="195803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3,</m:t>
                        </m:r>
                        <m:r>
                          <a:rPr lang="en-AU" sz="1000" i="1">
                            <a:latin typeface="Cambria Math" panose="02040503050406030204" pitchFamily="18" charset="0"/>
                          </a:rPr>
                          <m:t>𝑒𝑙𝑒𝑐</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𝑒𝑙𝑒𝑐</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3,</m:t>
                        </m:r>
                        <m:r>
                          <a:rPr lang="en-AU" sz="1000" i="1">
                            <a:latin typeface="Cambria Math" panose="02040503050406030204" pitchFamily="18" charset="0"/>
                          </a:rPr>
                          <m:t>𝑒𝑙𝑒𝑐</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16" name="TextBox 15">
              <a:extLst>
                <a:ext uri="{FF2B5EF4-FFF2-40B4-BE49-F238E27FC236}">
                  <a16:creationId xmlns:a16="http://schemas.microsoft.com/office/drawing/2014/main" id="{B80A774F-805C-4B43-B395-CB5F105D3791}"/>
                </a:ext>
              </a:extLst>
            </xdr:cNvPr>
            <xdr:cNvSpPr txBox="1"/>
          </xdr:nvSpPr>
          <xdr:spPr>
            <a:xfrm>
              <a:off x="3078256" y="133449732"/>
              <a:ext cx="1958037"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𝐸_(3,𝑒𝑙𝑒𝑐)=𝑄_𝑒𝑙𝑒𝑐×𝐸𝐹_(3,𝑒𝑙𝑒𝑐)×10^(−3)</a:t>
              </a:r>
              <a:endParaRPr lang="en-AU" sz="1000"/>
            </a:p>
          </xdr:txBody>
        </xdr:sp>
      </mc:Fallback>
    </mc:AlternateContent>
    <xdr:clientData/>
  </xdr:oneCellAnchor>
  <xdr:oneCellAnchor>
    <xdr:from>
      <xdr:col>5</xdr:col>
      <xdr:colOff>2137393</xdr:colOff>
      <xdr:row>555</xdr:row>
      <xdr:rowOff>162570</xdr:rowOff>
    </xdr:from>
    <xdr:ext cx="6938886" cy="191078"/>
    <mc:AlternateContent xmlns:mc="http://schemas.openxmlformats.org/markup-compatibility/2006" xmlns:a14="http://schemas.microsoft.com/office/drawing/2010/main">
      <mc:Choice Requires="a14">
        <xdr:sp macro="" textlink="">
          <xdr:nvSpPr>
            <xdr:cNvPr id="17" name="TextBox 16">
              <a:extLst>
                <a:ext uri="{FF2B5EF4-FFF2-40B4-BE49-F238E27FC236}">
                  <a16:creationId xmlns:a16="http://schemas.microsoft.com/office/drawing/2014/main" id="{4F885670-2D60-4572-99E1-A99C87B444C0}"/>
                </a:ext>
              </a:extLst>
            </xdr:cNvPr>
            <xdr:cNvSpPr txBox="1"/>
          </xdr:nvSpPr>
          <xdr:spPr>
            <a:xfrm>
              <a:off x="9166843" y="137741670"/>
              <a:ext cx="6938886"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b="0" i="1">
                            <a:solidFill>
                              <a:srgbClr val="C00000"/>
                            </a:solidFill>
                            <a:latin typeface="Cambria Math" panose="02040503050406030204" pitchFamily="18" charset="0"/>
                          </a:rPr>
                        </m:ctrlPr>
                      </m:sSubPr>
                      <m:e>
                        <m:r>
                          <m:rPr>
                            <m:sty m:val="p"/>
                          </m:rPr>
                          <a:rPr lang="en-AU" sz="1000" b="0" i="1">
                            <a:solidFill>
                              <a:srgbClr val="C00000"/>
                            </a:solidFill>
                            <a:latin typeface="Cambria Math" panose="02040503050406030204" pitchFamily="18" charset="0"/>
                          </a:rPr>
                          <m:t>ORIGINAL</m:t>
                        </m:r>
                        <m:r>
                          <a:rPr lang="en-AU" sz="1000" b="0" i="1">
                            <a:solidFill>
                              <a:srgbClr val="C00000"/>
                            </a:solidFill>
                            <a:latin typeface="Cambria Math" panose="02040503050406030204" pitchFamily="18" charset="0"/>
                          </a:rPr>
                          <m:t>: </m:t>
                        </m:r>
                        <m:r>
                          <a:rPr lang="en-AU" sz="1000" i="1">
                            <a:latin typeface="Cambria Math" panose="02040503050406030204" pitchFamily="18" charset="0"/>
                          </a:rPr>
                          <m:t>𝐸</m:t>
                        </m:r>
                      </m:e>
                      <m:sub>
                        <m:r>
                          <a:rPr lang="en-AU" sz="1000" i="1">
                            <a:latin typeface="Cambria Math" panose="02040503050406030204" pitchFamily="18" charset="0"/>
                          </a:rPr>
                          <m:t>3,</m:t>
                        </m:r>
                        <m:r>
                          <a:rPr lang="en-AU" sz="1000" i="1">
                            <a:latin typeface="Cambria Math" panose="02040503050406030204" pitchFamily="18" charset="0"/>
                          </a:rPr>
                          <m:t>𝑒𝑙𝑒𝑐</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𝑒𝑙𝑒𝑐</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d>
                          <m:dPr>
                            <m:ctrlPr>
                              <a:rPr lang="en-AU" sz="1000" i="1">
                                <a:latin typeface="Cambria Math" panose="02040503050406030204" pitchFamily="18" charset="0"/>
                              </a:rPr>
                            </m:ctrlPr>
                          </m:dPr>
                          <m:e>
                            <m:r>
                              <a:rPr lang="en-AU" sz="1000" i="1">
                                <a:latin typeface="Cambria Math" panose="02040503050406030204" pitchFamily="18" charset="0"/>
                              </a:rPr>
                              <m:t>𝑅𝑃𝑃</m:t>
                            </m:r>
                            <m:r>
                              <a:rPr lang="en-AU" sz="1000" i="1">
                                <a:latin typeface="Cambria Math" panose="02040503050406030204" pitchFamily="18" charset="0"/>
                              </a:rPr>
                              <m:t>+</m:t>
                            </m:r>
                            <m:r>
                              <a:rPr lang="en-AU" sz="1000" i="1">
                                <a:latin typeface="Cambria Math" panose="02040503050406030204" pitchFamily="18" charset="0"/>
                              </a:rPr>
                              <m:t>𝐽𝑅𝑃𝑃</m:t>
                            </m:r>
                          </m:e>
                        </m:d>
                      </m:e>
                    </m:d>
                    <m:r>
                      <a:rPr lang="en-AU" sz="1000" i="1">
                        <a:latin typeface="Cambria Math" panose="02040503050406030204" pitchFamily="18" charset="0"/>
                      </a:rPr>
                      <m:t>−</m:t>
                    </m:r>
                    <m:d>
                      <m:dPr>
                        <m:begChr m:val=""/>
                        <m:endChr m:val="]"/>
                        <m:ctrlPr>
                          <a:rPr lang="en-AU" sz="1000" i="1">
                            <a:latin typeface="Cambria Math" panose="02040503050406030204" pitchFamily="18" charset="0"/>
                          </a:rPr>
                        </m:ctrlPr>
                      </m:dPr>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𝑅𝐸</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𝑠𝑢𝑟𝑟𝑒𝑛𝑑𝑒𝑟𝑒𝑑</m:t>
                                    </m:r>
                                  </m:sub>
                                </m:sSub>
                                <m:r>
                                  <a:rPr lang="en-AU" sz="1000" i="1">
                                    <a:latin typeface="Cambria Math" panose="02040503050406030204" pitchFamily="18" charset="0"/>
                                  </a:rPr>
                                  <m:t>−</m:t>
                                </m:r>
                                <m:r>
                                  <a:rPr lang="en-AU" sz="1000" i="1">
                                    <a:latin typeface="Cambria Math" panose="02040503050406030204" pitchFamily="18" charset="0"/>
                                  </a:rPr>
                                  <m:t>𝑅𝐸</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𝑜𝑛𝑠𝑖𝑡𝑒</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d>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𝑅𝑀𝐹</m:t>
                        </m:r>
                        <m:r>
                          <a:rPr lang="en-AU" sz="1000" i="1">
                            <a:latin typeface="Cambria Math" panose="02040503050406030204" pitchFamily="18" charset="0"/>
                          </a:rPr>
                          <m:t>3,</m:t>
                        </m:r>
                        <m:r>
                          <a:rPr lang="en-AU" sz="1000" i="1">
                            <a:latin typeface="Cambria Math" panose="02040503050406030204" pitchFamily="18" charset="0"/>
                          </a:rPr>
                          <m:t>𝑒𝑙𝑒𝑐</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17" name="TextBox 16">
              <a:extLst>
                <a:ext uri="{FF2B5EF4-FFF2-40B4-BE49-F238E27FC236}">
                  <a16:creationId xmlns:a16="http://schemas.microsoft.com/office/drawing/2014/main" id="{4F885670-2D60-4572-99E1-A99C87B444C0}"/>
                </a:ext>
              </a:extLst>
            </xdr:cNvPr>
            <xdr:cNvSpPr txBox="1"/>
          </xdr:nvSpPr>
          <xdr:spPr>
            <a:xfrm>
              <a:off x="9166843" y="137741670"/>
              <a:ext cx="6938886"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b="0" i="0">
                  <a:solidFill>
                    <a:srgbClr val="C00000"/>
                  </a:solidFill>
                  <a:latin typeface="Cambria Math" panose="02040503050406030204" pitchFamily="18" charset="0"/>
                </a:rPr>
                <a:t>〖ORIGINAL: </a:t>
              </a:r>
              <a:r>
                <a:rPr lang="en-AU" sz="1000" i="0">
                  <a:latin typeface="Cambria Math" panose="02040503050406030204" pitchFamily="18" charset="0"/>
                </a:rPr>
                <a:t>𝐸</a:t>
              </a:r>
              <a:r>
                <a:rPr lang="en-AU" sz="1000" b="0" i="0">
                  <a:solidFill>
                    <a:srgbClr val="C00000"/>
                  </a:solidFill>
                  <a:latin typeface="Cambria Math" panose="02040503050406030204" pitchFamily="18" charset="0"/>
                </a:rPr>
                <a:t>〗_(</a:t>
              </a:r>
              <a:r>
                <a:rPr lang="en-AU" sz="1000" i="0">
                  <a:latin typeface="Cambria Math" panose="02040503050406030204" pitchFamily="18" charset="0"/>
                </a:rPr>
                <a:t>3,𝑒𝑙𝑒𝑐</a:t>
              </a:r>
              <a:r>
                <a:rPr lang="en-AU" sz="1000" b="0" i="0">
                  <a:solidFill>
                    <a:srgbClr val="C00000"/>
                  </a:solidFill>
                  <a:latin typeface="Cambria Math" panose="02040503050406030204" pitchFamily="18" charset="0"/>
                </a:rPr>
                <a:t>)</a:t>
              </a:r>
              <a:r>
                <a:rPr lang="en-AU" sz="1000" i="0">
                  <a:latin typeface="Cambria Math" panose="02040503050406030204" pitchFamily="18" charset="0"/>
                </a:rPr>
                <a:t>=[𝑄_𝑒𝑙𝑒𝑐×(1−(𝑅𝑃𝑃+𝐽𝑅𝑃𝑃))−├ ((𝑅𝐸𝐶_𝑠𝑢𝑟𝑟𝑒𝑛𝑑𝑒𝑟𝑒𝑑−𝑅𝐸𝐶_𝑜𝑛𝑠𝑖𝑡𝑒 )×10^(−3) )]×𝐸𝐹_(𝑅𝑀𝐹3,𝑒𝑙𝑒𝑐)×10^(−3)</a:t>
              </a:r>
              <a:endParaRPr lang="en-AU" sz="1000"/>
            </a:p>
          </xdr:txBody>
        </xdr:sp>
      </mc:Fallback>
    </mc:AlternateContent>
    <xdr:clientData/>
  </xdr:oneCellAnchor>
  <xdr:oneCellAnchor>
    <xdr:from>
      <xdr:col>3</xdr:col>
      <xdr:colOff>5351</xdr:colOff>
      <xdr:row>555</xdr:row>
      <xdr:rowOff>182789</xdr:rowOff>
    </xdr:from>
    <xdr:ext cx="6155275" cy="191078"/>
    <mc:AlternateContent xmlns:mc="http://schemas.openxmlformats.org/markup-compatibility/2006" xmlns:a14="http://schemas.microsoft.com/office/drawing/2010/main">
      <mc:Choice Requires="a14">
        <xdr:sp macro="" textlink="">
          <xdr:nvSpPr>
            <xdr:cNvPr id="18" name="TextBox 17">
              <a:extLst>
                <a:ext uri="{FF2B5EF4-FFF2-40B4-BE49-F238E27FC236}">
                  <a16:creationId xmlns:a16="http://schemas.microsoft.com/office/drawing/2014/main" id="{53B62870-F581-4849-88F4-BF66FE658E47}"/>
                </a:ext>
              </a:extLst>
            </xdr:cNvPr>
            <xdr:cNvSpPr txBox="1"/>
          </xdr:nvSpPr>
          <xdr:spPr>
            <a:xfrm>
              <a:off x="3053351" y="137761889"/>
              <a:ext cx="6155275"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3,</m:t>
                        </m:r>
                        <m:r>
                          <a:rPr lang="en-AU" sz="1000" i="1">
                            <a:latin typeface="Cambria Math" panose="02040503050406030204" pitchFamily="18" charset="0"/>
                          </a:rPr>
                          <m:t>𝑒𝑙𝑒𝑐</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𝑒𝑙𝑒𝑐</m:t>
                        </m:r>
                      </m:sub>
                    </m:sSub>
                    <m:r>
                      <a:rPr lang="en-AU" sz="1000" i="1">
                        <a:latin typeface="Cambria Math" panose="02040503050406030204" pitchFamily="18" charset="0"/>
                      </a:rPr>
                      <m:t>×</m:t>
                    </m:r>
                    <m:d>
                      <m:dPr>
                        <m:ctrlPr>
                          <a:rPr lang="en-AU" sz="1000" i="1">
                            <a:latin typeface="Cambria Math" panose="02040503050406030204" pitchFamily="18" charset="0"/>
                          </a:rPr>
                        </m:ctrlPr>
                      </m:dPr>
                      <m:e>
                        <m:r>
                          <a:rPr lang="en-AU" sz="1000" i="1">
                            <a:latin typeface="Cambria Math" panose="02040503050406030204" pitchFamily="18" charset="0"/>
                          </a:rPr>
                          <m:t>1−</m:t>
                        </m:r>
                        <m:d>
                          <m:dPr>
                            <m:ctrlPr>
                              <a:rPr lang="en-AU" sz="1000" i="1">
                                <a:latin typeface="Cambria Math" panose="02040503050406030204" pitchFamily="18" charset="0"/>
                              </a:rPr>
                            </m:ctrlPr>
                          </m:dPr>
                          <m:e>
                            <m:r>
                              <a:rPr lang="en-AU" sz="1000" i="1">
                                <a:latin typeface="Cambria Math" panose="02040503050406030204" pitchFamily="18" charset="0"/>
                              </a:rPr>
                              <m:t>𝑅𝑃𝑃</m:t>
                            </m:r>
                            <m:r>
                              <a:rPr lang="en-AU" sz="1000" i="1">
                                <a:latin typeface="Cambria Math" panose="02040503050406030204" pitchFamily="18" charset="0"/>
                              </a:rPr>
                              <m:t>+</m:t>
                            </m:r>
                            <m:r>
                              <a:rPr lang="en-AU" sz="1000" i="1">
                                <a:latin typeface="Cambria Math" panose="02040503050406030204" pitchFamily="18" charset="0"/>
                              </a:rPr>
                              <m:t>𝐽𝑅𝑃𝑃</m:t>
                            </m:r>
                          </m:e>
                        </m:d>
                      </m:e>
                    </m:d>
                    <m:r>
                      <a:rPr lang="en-AU" sz="1000" i="1">
                        <a:latin typeface="Cambria Math" panose="02040503050406030204" pitchFamily="18" charset="0"/>
                      </a:rPr>
                      <m:t>−</m:t>
                    </m:r>
                    <m:d>
                      <m:dPr>
                        <m:begChr m:val=""/>
                        <m:endChr m:val="]"/>
                        <m:ctrlPr>
                          <a:rPr lang="en-AU" sz="1000" i="1">
                            <a:latin typeface="Cambria Math" panose="02040503050406030204" pitchFamily="18" charset="0"/>
                          </a:rPr>
                        </m:ctrlPr>
                      </m:dPr>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r>
                                  <a:rPr lang="en-AU" sz="1000" i="1">
                                    <a:latin typeface="Cambria Math" panose="02040503050406030204" pitchFamily="18" charset="0"/>
                                  </a:rPr>
                                  <m:t>𝑅𝐸</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𝑠𝑢𝑟𝑟𝑒𝑛𝑑𝑒𝑟𝑒𝑑</m:t>
                                    </m:r>
                                  </m:sub>
                                </m:sSub>
                                <m:r>
                                  <a:rPr lang="en-AU" sz="1000" i="1">
                                    <a:latin typeface="Cambria Math" panose="02040503050406030204" pitchFamily="18" charset="0"/>
                                  </a:rPr>
                                  <m:t>−</m:t>
                                </m:r>
                                <m:r>
                                  <a:rPr lang="en-AU" sz="1000" i="1">
                                    <a:latin typeface="Cambria Math" panose="02040503050406030204" pitchFamily="18" charset="0"/>
                                  </a:rPr>
                                  <m:t>𝑅𝐸</m:t>
                                </m:r>
                                <m:sSub>
                                  <m:sSubPr>
                                    <m:ctrlPr>
                                      <a:rPr lang="en-AU" sz="1000" i="1">
                                        <a:latin typeface="Cambria Math" panose="02040503050406030204" pitchFamily="18" charset="0"/>
                                      </a:rPr>
                                    </m:ctrlPr>
                                  </m:sSubPr>
                                  <m:e>
                                    <m:r>
                                      <a:rPr lang="en-AU" sz="1000" i="1">
                                        <a:latin typeface="Cambria Math" panose="02040503050406030204" pitchFamily="18" charset="0"/>
                                      </a:rPr>
                                      <m:t>𝐶</m:t>
                                    </m:r>
                                  </m:e>
                                  <m:sub>
                                    <m:r>
                                      <a:rPr lang="en-AU" sz="1000" i="1">
                                        <a:latin typeface="Cambria Math" panose="02040503050406030204" pitchFamily="18" charset="0"/>
                                      </a:rPr>
                                      <m:t>𝑜𝑛𝑠𝑖𝑡𝑒</m:t>
                                    </m:r>
                                  </m:sub>
                                </m:sSub>
                              </m:e>
                            </m:d>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e>
                        </m:d>
                      </m:e>
                    </m:d>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𝑅𝑀𝐹</m:t>
                        </m:r>
                        <m:r>
                          <a:rPr lang="en-AU" sz="1000" i="1">
                            <a:latin typeface="Cambria Math" panose="02040503050406030204" pitchFamily="18" charset="0"/>
                          </a:rPr>
                          <m:t>3,</m:t>
                        </m:r>
                        <m:r>
                          <a:rPr lang="en-AU" sz="1000" i="1">
                            <a:latin typeface="Cambria Math" panose="02040503050406030204" pitchFamily="18" charset="0"/>
                          </a:rPr>
                          <m:t>𝑒𝑙𝑒𝑐</m:t>
                        </m:r>
                      </m:sub>
                    </m:sSub>
                    <m:r>
                      <a:rPr lang="en-AU" sz="1000" i="1">
                        <a:latin typeface="Cambria Math" panose="02040503050406030204" pitchFamily="18" charset="0"/>
                      </a:rPr>
                      <m:t>×</m:t>
                    </m:r>
                    <m:sSup>
                      <m:sSupPr>
                        <m:ctrlPr>
                          <a:rPr lang="en-AU" sz="1000" i="1">
                            <a:latin typeface="Cambria Math" panose="02040503050406030204" pitchFamily="18" charset="0"/>
                          </a:rPr>
                        </m:ctrlPr>
                      </m:sSupPr>
                      <m:e>
                        <m:r>
                          <a:rPr lang="en-AU" sz="1000" i="1">
                            <a:latin typeface="Cambria Math" panose="02040503050406030204" pitchFamily="18" charset="0"/>
                          </a:rPr>
                          <m:t>10</m:t>
                        </m:r>
                      </m:e>
                      <m:sup>
                        <m:r>
                          <a:rPr lang="en-AU" sz="1000" i="1">
                            <a:latin typeface="Cambria Math" panose="02040503050406030204" pitchFamily="18" charset="0"/>
                          </a:rPr>
                          <m:t>−3</m:t>
                        </m:r>
                      </m:sup>
                    </m:sSup>
                  </m:oMath>
                </m:oMathPara>
              </a14:m>
              <a:endParaRPr lang="en-AU" sz="1000"/>
            </a:p>
          </xdr:txBody>
        </xdr:sp>
      </mc:Choice>
      <mc:Fallback xmlns="">
        <xdr:sp macro="" textlink="">
          <xdr:nvSpPr>
            <xdr:cNvPr id="18" name="TextBox 17">
              <a:extLst>
                <a:ext uri="{FF2B5EF4-FFF2-40B4-BE49-F238E27FC236}">
                  <a16:creationId xmlns:a16="http://schemas.microsoft.com/office/drawing/2014/main" id="{53B62870-F581-4849-88F4-BF66FE658E47}"/>
                </a:ext>
              </a:extLst>
            </xdr:cNvPr>
            <xdr:cNvSpPr txBox="1"/>
          </xdr:nvSpPr>
          <xdr:spPr>
            <a:xfrm>
              <a:off x="3053351" y="137761889"/>
              <a:ext cx="6155275" cy="19107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𝐸_(3,𝑒𝑙𝑒𝑐)=[𝑄_𝑒𝑙𝑒𝑐×(1−(𝑅𝑃𝑃+𝐽𝑅𝑃𝑃))−├ ((𝑅𝐸𝐶_𝑠𝑢𝑟𝑟𝑒𝑛𝑑𝑒𝑟𝑒𝑑−𝑅𝐸𝐶_𝑜𝑛𝑠𝑖𝑡𝑒 )×10^3 )]×𝐸𝐹_(𝑅𝑀𝐹3,𝑒𝑙𝑒𝑐)×10^(−3)</a:t>
              </a:r>
              <a:endParaRPr lang="en-AU" sz="1000"/>
            </a:p>
          </xdr:txBody>
        </xdr:sp>
      </mc:Fallback>
    </mc:AlternateContent>
    <xdr:clientData/>
  </xdr:oneCellAnchor>
  <xdr:oneCellAnchor>
    <xdr:from>
      <xdr:col>2</xdr:col>
      <xdr:colOff>344020</xdr:colOff>
      <xdr:row>576</xdr:row>
      <xdr:rowOff>114299</xdr:rowOff>
    </xdr:from>
    <xdr:ext cx="1519327" cy="173766"/>
    <mc:AlternateContent xmlns:mc="http://schemas.openxmlformats.org/markup-compatibility/2006" xmlns:a14="http://schemas.microsoft.com/office/drawing/2010/main">
      <mc:Choice Requires="a14">
        <xdr:sp macro="" textlink="">
          <xdr:nvSpPr>
            <xdr:cNvPr id="19" name="TextBox 18">
              <a:extLst>
                <a:ext uri="{FF2B5EF4-FFF2-40B4-BE49-F238E27FC236}">
                  <a16:creationId xmlns:a16="http://schemas.microsoft.com/office/drawing/2014/main" id="{1D79F0C0-03A4-4737-B09C-FE3671EAA5CF}"/>
                </a:ext>
              </a:extLst>
            </xdr:cNvPr>
            <xdr:cNvSpPr txBox="1"/>
          </xdr:nvSpPr>
          <xdr:spPr>
            <a:xfrm>
              <a:off x="3049120" y="142894049"/>
              <a:ext cx="151932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𝑁</m:t>
                        </m:r>
                        <m:r>
                          <a:rPr lang="en-AU" sz="1000" i="1">
                            <a:latin typeface="Cambria Math" panose="02040503050406030204" pitchFamily="18" charset="0"/>
                          </a:rPr>
                          <m:t>2</m:t>
                        </m:r>
                        <m:r>
                          <a:rPr lang="en-AU" sz="1000" i="1">
                            <a:latin typeface="Cambria Math" panose="02040503050406030204" pitchFamily="18" charset="0"/>
                          </a:rPr>
                          <m:t>𝑂</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𝑎𝑑</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𝐸</m:t>
                        </m:r>
                      </m:e>
                      <m:sub>
                        <m:r>
                          <a:rPr lang="en-AU" sz="1000" i="1">
                            <a:latin typeface="Cambria Math" panose="02040503050406030204" pitchFamily="18" charset="0"/>
                          </a:rPr>
                          <m:t>𝑙𝑒𝑎𝑐ℎ</m:t>
                        </m:r>
                      </m:sub>
                    </m:sSub>
                  </m:oMath>
                </m:oMathPara>
              </a14:m>
              <a:endParaRPr lang="en-AU" sz="1000"/>
            </a:p>
          </xdr:txBody>
        </xdr:sp>
      </mc:Choice>
      <mc:Fallback xmlns="">
        <xdr:sp macro="" textlink="">
          <xdr:nvSpPr>
            <xdr:cNvPr id="19" name="TextBox 18">
              <a:extLst>
                <a:ext uri="{FF2B5EF4-FFF2-40B4-BE49-F238E27FC236}">
                  <a16:creationId xmlns:a16="http://schemas.microsoft.com/office/drawing/2014/main" id="{1D79F0C0-03A4-4737-B09C-FE3671EAA5CF}"/>
                </a:ext>
              </a:extLst>
            </xdr:cNvPr>
            <xdr:cNvSpPr txBox="1"/>
          </xdr:nvSpPr>
          <xdr:spPr>
            <a:xfrm>
              <a:off x="3049120" y="142894049"/>
              <a:ext cx="1519327"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𝐸=𝐸_𝑁2𝑂+𝐸_𝑎𝑑+𝐸_𝑙𝑒𝑎𝑐ℎ</a:t>
              </a:r>
              <a:endParaRPr lang="en-AU" sz="1000"/>
            </a:p>
          </xdr:txBody>
        </xdr:sp>
      </mc:Fallback>
    </mc:AlternateContent>
    <xdr:clientData/>
  </xdr:oneCellAnchor>
  <xdr:oneCellAnchor>
    <xdr:from>
      <xdr:col>3</xdr:col>
      <xdr:colOff>30257</xdr:colOff>
      <xdr:row>609</xdr:row>
      <xdr:rowOff>136712</xdr:rowOff>
    </xdr:from>
    <xdr:ext cx="1725537" cy="332014"/>
    <mc:AlternateContent xmlns:mc="http://schemas.openxmlformats.org/markup-compatibility/2006" xmlns:a14="http://schemas.microsoft.com/office/drawing/2010/main">
      <mc:Choice Requires="a14">
        <xdr:sp macro="" textlink="">
          <xdr:nvSpPr>
            <xdr:cNvPr id="20" name="TextBox 19">
              <a:extLst>
                <a:ext uri="{FF2B5EF4-FFF2-40B4-BE49-F238E27FC236}">
                  <a16:creationId xmlns:a16="http://schemas.microsoft.com/office/drawing/2014/main" id="{E6FAEBEF-81DA-4358-B282-EDE57A42DEF9}"/>
                </a:ext>
              </a:extLst>
            </xdr:cNvPr>
            <xdr:cNvSpPr txBox="1"/>
          </xdr:nvSpPr>
          <xdr:spPr>
            <a:xfrm>
              <a:off x="3078257" y="151088912"/>
              <a:ext cx="1725537"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𝑓</m:t>
                        </m:r>
                      </m:sub>
                      <m:sup/>
                      <m:e>
                        <m:d>
                          <m:dPr>
                            <m:ctrlPr>
                              <a:rPr lang="en-AU" sz="1000" i="1">
                                <a:latin typeface="Cambria Math" panose="02040503050406030204" pitchFamily="18" charset="0"/>
                              </a:rPr>
                            </m:ctrlPr>
                          </m:dPr>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𝑊</m:t>
                                    </m:r>
                                  </m:e>
                                  <m:sub>
                                    <m:r>
                                      <a:rPr lang="en-AU" sz="1000" i="1">
                                        <a:latin typeface="Cambria Math" panose="02040503050406030204" pitchFamily="18" charset="0"/>
                                      </a:rPr>
                                      <m:t>𝑓</m:t>
                                    </m:r>
                                  </m:sub>
                                </m:sSub>
                                <m:r>
                                  <a:rPr lang="en-AU" sz="1000" i="1">
                                    <a:latin typeface="Cambria Math" panose="02040503050406030204" pitchFamily="18" charset="0"/>
                                  </a:rPr>
                                  <m:t>×</m:t>
                                </m:r>
                                <m:sSub>
                                  <m:sSubPr>
                                    <m:ctrlPr>
                                      <a:rPr lang="en-AU" sz="1000" i="1">
                                        <a:latin typeface="Cambria Math" panose="02040503050406030204" pitchFamily="18" charset="0"/>
                                      </a:rPr>
                                    </m:ctrlPr>
                                  </m:sSubPr>
                                  <m:e>
                                    <m:r>
                                      <a:rPr lang="en-AU" sz="1000" i="1">
                                        <a:latin typeface="Cambria Math" panose="02040503050406030204" pitchFamily="18" charset="0"/>
                                      </a:rPr>
                                      <m:t>𝐷</m:t>
                                    </m:r>
                                  </m:e>
                                  <m:sub>
                                    <m:r>
                                      <a:rPr lang="en-AU" sz="1000" i="1">
                                        <a:latin typeface="Cambria Math" panose="02040503050406030204" pitchFamily="18" charset="0"/>
                                      </a:rPr>
                                      <m:t>𝑓</m:t>
                                    </m:r>
                                  </m:sub>
                                </m:sSub>
                              </m:e>
                            </m:d>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𝑓</m:t>
                                </m:r>
                              </m:sub>
                            </m:sSub>
                          </m:e>
                        </m:d>
                      </m:e>
                    </m:nary>
                  </m:oMath>
                </m:oMathPara>
              </a14:m>
              <a:endParaRPr lang="en-AU" sz="1000"/>
            </a:p>
          </xdr:txBody>
        </xdr:sp>
      </mc:Choice>
      <mc:Fallback xmlns="">
        <xdr:sp macro="" textlink="">
          <xdr:nvSpPr>
            <xdr:cNvPr id="20" name="TextBox 19">
              <a:extLst>
                <a:ext uri="{FF2B5EF4-FFF2-40B4-BE49-F238E27FC236}">
                  <a16:creationId xmlns:a16="http://schemas.microsoft.com/office/drawing/2014/main" id="{E6FAEBEF-81DA-4358-B282-EDE57A42DEF9}"/>
                </a:ext>
              </a:extLst>
            </xdr:cNvPr>
            <xdr:cNvSpPr txBox="1"/>
          </xdr:nvSpPr>
          <xdr:spPr>
            <a:xfrm>
              <a:off x="3078257" y="151088912"/>
              <a:ext cx="1725537"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𝐸=∑2_𝑓▒((𝑊_𝑓×𝐷_𝑓 )×𝐸𝐹_𝑓 ) </a:t>
              </a:r>
              <a:endParaRPr lang="en-AU" sz="1000"/>
            </a:p>
          </xdr:txBody>
        </xdr:sp>
      </mc:Fallback>
    </mc:AlternateContent>
    <xdr:clientData/>
  </xdr:oneCellAnchor>
  <xdr:oneCellAnchor>
    <xdr:from>
      <xdr:col>3</xdr:col>
      <xdr:colOff>25919</xdr:colOff>
      <xdr:row>169</xdr:row>
      <xdr:rowOff>143567</xdr:rowOff>
    </xdr:from>
    <xdr:ext cx="1191032" cy="332079"/>
    <mc:AlternateContent xmlns:mc="http://schemas.openxmlformats.org/markup-compatibility/2006" xmlns:a14="http://schemas.microsoft.com/office/drawing/2010/main">
      <mc:Choice Requires="a14">
        <xdr:sp macro="" textlink="">
          <xdr:nvSpPr>
            <xdr:cNvPr id="21" name="TextBox 20">
              <a:extLst>
                <a:ext uri="{FF2B5EF4-FFF2-40B4-BE49-F238E27FC236}">
                  <a16:creationId xmlns:a16="http://schemas.microsoft.com/office/drawing/2014/main" id="{03F83099-6CE1-420F-86EF-CAFBE4517F36}"/>
                </a:ext>
              </a:extLst>
            </xdr:cNvPr>
            <xdr:cNvSpPr txBox="1"/>
          </xdr:nvSpPr>
          <xdr:spPr>
            <a:xfrm>
              <a:off x="3073919" y="42129767"/>
              <a:ext cx="119103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𝑗</m:t>
                                </m:r>
                              </m:sub>
                            </m:sSub>
                          </m:e>
                        </m:d>
                      </m:e>
                    </m:nary>
                  </m:oMath>
                </m:oMathPara>
              </a14:m>
              <a:endParaRPr lang="en-AU" sz="1000"/>
            </a:p>
          </xdr:txBody>
        </xdr:sp>
      </mc:Choice>
      <mc:Fallback xmlns="">
        <xdr:sp macro="" textlink="">
          <xdr:nvSpPr>
            <xdr:cNvPr id="21" name="TextBox 20">
              <a:extLst>
                <a:ext uri="{FF2B5EF4-FFF2-40B4-BE49-F238E27FC236}">
                  <a16:creationId xmlns:a16="http://schemas.microsoft.com/office/drawing/2014/main" id="{03F83099-6CE1-420F-86EF-CAFBE4517F36}"/>
                </a:ext>
              </a:extLst>
            </xdr:cNvPr>
            <xdr:cNvSpPr txBox="1"/>
          </xdr:nvSpPr>
          <xdr:spPr>
            <a:xfrm>
              <a:off x="3073919" y="42129767"/>
              <a:ext cx="119103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000" i="0">
                  <a:latin typeface="Cambria Math" panose="02040503050406030204" pitchFamily="18" charset="0"/>
                </a:rPr>
                <a:t>𝐸=∑2_𝑗▒(𝑄_𝑗×𝐸𝐹_𝑗 ) </a:t>
              </a:r>
              <a:endParaRPr lang="en-AU" sz="1000"/>
            </a:p>
          </xdr:txBody>
        </xdr:sp>
      </mc:Fallback>
    </mc:AlternateContent>
    <xdr:clientData/>
  </xdr:oneCellAnchor>
  <xdr:oneCellAnchor>
    <xdr:from>
      <xdr:col>5</xdr:col>
      <xdr:colOff>263673</xdr:colOff>
      <xdr:row>101</xdr:row>
      <xdr:rowOff>23824</xdr:rowOff>
    </xdr:from>
    <xdr:ext cx="1703480" cy="200696"/>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0A6EF480-38A8-4A81-A841-E738AB141F4C}"/>
                </a:ext>
              </a:extLst>
            </xdr:cNvPr>
            <xdr:cNvSpPr txBox="1"/>
          </xdr:nvSpPr>
          <xdr:spPr>
            <a:xfrm>
              <a:off x="7388373" y="25169824"/>
              <a:ext cx="1703480" cy="2006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b="1">
                  <a:solidFill>
                    <a:srgbClr val="FF0000"/>
                  </a:solidFill>
                </a:rPr>
                <a:t>ORIGINAL: </a:t>
              </a:r>
              <a14:m>
                <m:oMath xmlns:m="http://schemas.openxmlformats.org/officeDocument/2006/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𝑗</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𝑗</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𝑗</m:t>
                              </m:r>
                            </m:sub>
                          </m:sSub>
                        </m:e>
                      </m:d>
                    </m:e>
                  </m:nary>
                </m:oMath>
              </a14:m>
              <a:endParaRPr lang="en-AU" sz="1000"/>
            </a:p>
          </xdr:txBody>
        </xdr:sp>
      </mc:Choice>
      <mc:Fallback xmlns="">
        <xdr:sp macro="" textlink="">
          <xdr:nvSpPr>
            <xdr:cNvPr id="22" name="TextBox 21">
              <a:extLst>
                <a:ext uri="{FF2B5EF4-FFF2-40B4-BE49-F238E27FC236}">
                  <a16:creationId xmlns:a16="http://schemas.microsoft.com/office/drawing/2014/main" id="{0A6EF480-38A8-4A81-A841-E738AB141F4C}"/>
                </a:ext>
              </a:extLst>
            </xdr:cNvPr>
            <xdr:cNvSpPr txBox="1"/>
          </xdr:nvSpPr>
          <xdr:spPr>
            <a:xfrm>
              <a:off x="7388373" y="25169824"/>
              <a:ext cx="1703480" cy="2006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b="1">
                  <a:solidFill>
                    <a:srgbClr val="FF0000"/>
                  </a:solidFill>
                </a:rPr>
                <a:t>ORIGINAL: </a:t>
              </a:r>
              <a:r>
                <a:rPr lang="en-AU" sz="1000" i="0">
                  <a:latin typeface="Cambria Math" panose="02040503050406030204" pitchFamily="18" charset="0"/>
                </a:rPr>
                <a:t>𝐸=∑2_𝑗▒(𝑄_𝑗×𝐸𝐹_𝑗 ) </a:t>
              </a:r>
              <a:endParaRPr lang="en-AU" sz="1000"/>
            </a:p>
          </xdr:txBody>
        </xdr:sp>
      </mc:Fallback>
    </mc:AlternateContent>
    <xdr:clientData/>
  </xdr:oneCellAnchor>
  <xdr:oneCellAnchor>
    <xdr:from>
      <xdr:col>4</xdr:col>
      <xdr:colOff>437030</xdr:colOff>
      <xdr:row>166</xdr:row>
      <xdr:rowOff>22412</xdr:rowOff>
    </xdr:from>
    <xdr:ext cx="1832746" cy="173766"/>
    <mc:AlternateContent xmlns:mc="http://schemas.openxmlformats.org/markup-compatibility/2006" xmlns:a14="http://schemas.microsoft.com/office/drawing/2010/main">
      <mc:Choice Requires="a14">
        <xdr:sp macro="" textlink="">
          <xdr:nvSpPr>
            <xdr:cNvPr id="23" name="TextBox 22">
              <a:extLst>
                <a:ext uri="{FF2B5EF4-FFF2-40B4-BE49-F238E27FC236}">
                  <a16:creationId xmlns:a16="http://schemas.microsoft.com/office/drawing/2014/main" id="{BC67C5F3-16B7-412E-8810-161AEE7E0752}"/>
                </a:ext>
              </a:extLst>
            </xdr:cNvPr>
            <xdr:cNvSpPr txBox="1"/>
          </xdr:nvSpPr>
          <xdr:spPr>
            <a:xfrm>
              <a:off x="5523380" y="41265662"/>
              <a:ext cx="1832746"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b="1">
                  <a:solidFill>
                    <a:srgbClr val="FF0000"/>
                  </a:solidFill>
                </a:rPr>
                <a:t>ORIGINAL:</a:t>
              </a:r>
              <a:r>
                <a:rPr lang="en-AU" sz="1000"/>
                <a:t> </a:t>
              </a:r>
              <a14:m>
                <m:oMath xmlns:m="http://schemas.openxmlformats.org/officeDocument/2006/math">
                  <m:r>
                    <a:rPr lang="en-AU" sz="1000" i="1">
                      <a:latin typeface="Cambria Math" panose="02040503050406030204" pitchFamily="18" charset="0"/>
                    </a:rPr>
                    <m:t>𝐸</m:t>
                  </m:r>
                  <m:r>
                    <a:rPr lang="en-AU" sz="1000" i="1">
                      <a:latin typeface="Cambria Math" panose="02040503050406030204" pitchFamily="18" charset="0"/>
                    </a:rPr>
                    <m:t>=</m:t>
                  </m:r>
                  <m:nary>
                    <m:naryPr>
                      <m:chr m:val="∑"/>
                      <m:limLoc m:val="subSup"/>
                      <m:supHide m:val="on"/>
                      <m:ctrlPr>
                        <a:rPr lang="en-AU" sz="1000" i="1">
                          <a:latin typeface="Cambria Math" panose="02040503050406030204" pitchFamily="18" charset="0"/>
                        </a:rPr>
                      </m:ctrlPr>
                    </m:naryPr>
                    <m:sub>
                      <m:r>
                        <a:rPr lang="en-AU" sz="1000" i="1">
                          <a:latin typeface="Cambria Math" panose="02040503050406030204" pitchFamily="18" charset="0"/>
                        </a:rPr>
                        <m:t>𝑚</m:t>
                      </m:r>
                    </m:sub>
                    <m:sup/>
                    <m:e>
                      <m:d>
                        <m:dPr>
                          <m:ctrlPr>
                            <a:rPr lang="en-AU" sz="1000" i="1">
                              <a:latin typeface="Cambria Math" panose="02040503050406030204" pitchFamily="18" charset="0"/>
                            </a:rPr>
                          </m:ctrlPr>
                        </m:dPr>
                        <m:e>
                          <m:sSub>
                            <m:sSubPr>
                              <m:ctrlPr>
                                <a:rPr lang="en-AU" sz="1000" i="1">
                                  <a:latin typeface="Cambria Math" panose="02040503050406030204" pitchFamily="18" charset="0"/>
                                </a:rPr>
                              </m:ctrlPr>
                            </m:sSubPr>
                            <m:e>
                              <m:r>
                                <a:rPr lang="en-AU" sz="1000" i="1">
                                  <a:latin typeface="Cambria Math" panose="02040503050406030204" pitchFamily="18" charset="0"/>
                                </a:rPr>
                                <m:t>𝑄</m:t>
                              </m:r>
                            </m:e>
                            <m:sub>
                              <m:r>
                                <a:rPr lang="en-AU" sz="1000" i="1">
                                  <a:latin typeface="Cambria Math" panose="02040503050406030204" pitchFamily="18" charset="0"/>
                                </a:rPr>
                                <m:t>𝑚</m:t>
                              </m:r>
                            </m:sub>
                          </m:sSub>
                          <m:r>
                            <a:rPr lang="en-AU" sz="1000" i="1">
                              <a:latin typeface="Cambria Math" panose="02040503050406030204" pitchFamily="18" charset="0"/>
                            </a:rPr>
                            <m:t>×</m:t>
                          </m:r>
                          <m:r>
                            <a:rPr lang="en-AU" sz="1000" i="1">
                              <a:latin typeface="Cambria Math" panose="02040503050406030204" pitchFamily="18" charset="0"/>
                            </a:rPr>
                            <m:t>𝐸</m:t>
                          </m:r>
                          <m:sSub>
                            <m:sSubPr>
                              <m:ctrlPr>
                                <a:rPr lang="en-AU" sz="1000" i="1">
                                  <a:latin typeface="Cambria Math" panose="02040503050406030204" pitchFamily="18" charset="0"/>
                                </a:rPr>
                              </m:ctrlPr>
                            </m:sSubPr>
                            <m:e>
                              <m:r>
                                <a:rPr lang="en-AU" sz="1000" i="1">
                                  <a:latin typeface="Cambria Math" panose="02040503050406030204" pitchFamily="18" charset="0"/>
                                </a:rPr>
                                <m:t>𝐹</m:t>
                              </m:r>
                            </m:e>
                            <m:sub>
                              <m:r>
                                <a:rPr lang="en-AU" sz="1000" i="1">
                                  <a:latin typeface="Cambria Math" panose="02040503050406030204" pitchFamily="18" charset="0"/>
                                </a:rPr>
                                <m:t>𝑚</m:t>
                              </m:r>
                            </m:sub>
                          </m:sSub>
                        </m:e>
                      </m:d>
                    </m:e>
                  </m:nary>
                </m:oMath>
              </a14:m>
              <a:endParaRPr lang="en-AU" sz="1000"/>
            </a:p>
          </xdr:txBody>
        </xdr:sp>
      </mc:Choice>
      <mc:Fallback xmlns="">
        <xdr:sp macro="" textlink="">
          <xdr:nvSpPr>
            <xdr:cNvPr id="23" name="TextBox 22">
              <a:extLst>
                <a:ext uri="{FF2B5EF4-FFF2-40B4-BE49-F238E27FC236}">
                  <a16:creationId xmlns:a16="http://schemas.microsoft.com/office/drawing/2014/main" id="{BC67C5F3-16B7-412E-8810-161AEE7E0752}"/>
                </a:ext>
              </a:extLst>
            </xdr:cNvPr>
            <xdr:cNvSpPr txBox="1"/>
          </xdr:nvSpPr>
          <xdr:spPr>
            <a:xfrm>
              <a:off x="5523380" y="41265662"/>
              <a:ext cx="1832746" cy="1737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000" b="1">
                  <a:solidFill>
                    <a:srgbClr val="FF0000"/>
                  </a:solidFill>
                </a:rPr>
                <a:t>ORIGINAL:</a:t>
              </a:r>
              <a:r>
                <a:rPr lang="en-AU" sz="1000"/>
                <a:t> </a:t>
              </a:r>
              <a:r>
                <a:rPr lang="en-AU" sz="1000" i="0">
                  <a:latin typeface="Cambria Math" panose="02040503050406030204" pitchFamily="18" charset="0"/>
                </a:rPr>
                <a:t>𝐸=∑2_𝑚▒(𝑄_𝑚×𝐸𝐹_𝑚 ) </a:t>
              </a:r>
              <a:endParaRPr lang="en-AU" sz="10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023F9A9-894D-4DDA-8C25-E7DAC6870038}" name="Table_Input_Enterprise_PlantingRemovals" displayName="Table_Input_Enterprise_PlantingRemovals" ref="D41:G42" totalsRowShown="0">
  <autoFilter ref="D41:G42" xr:uid="{F023F9A9-894D-4DDA-8C25-E7DAC6870038}"/>
  <tableColumns count="4">
    <tableColumn id="1" xr3:uid="{8F8E4361-8257-4137-8EDC-59B7213402A5}" name="Planting name" dataCellStyle="Input text"/>
    <tableColumn id="2" xr3:uid="{DD40DC10-E06A-4FC1-8C41-EA8FB38A2523}" name="Total removed CO2" dataCellStyle="Input number general"/>
    <tableColumn id="3" xr3:uid="{136E6C57-B7EE-4EB6-9579-D117B756EBEA}" name="Percent allocated to this enterprise" dataCellStyle="Input percent"/>
    <tableColumn id="4" xr3:uid="{D192E6A4-99D9-4CC9-AC9D-975914BE3CEB}" name="Removal allocated to this enterprise" dataCellStyle="Content normal">
      <calculatedColumnFormula>Table_Input_Enterprise_PlantingRemovals[[#This Row],[Total removed CO2]]*Table_Input_Enterprise_PlantingRemovals[[#This Row],[Percent allocated to this enterprise]]</calculatedColumnFormula>
    </tableColumn>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304666C-F395-4C08-85BC-47A84FA3BD02}" name="Table_Input_InorganicFertiliser_Brands" displayName="Table_Input_InorganicFertiliser_Brands" ref="D11:Z21" headerRowDxfId="416" dataDxfId="415" totalsRowDxfId="414">
  <autoFilter ref="D11:Z21" xr:uid="{5673927C-FAF3-425F-8E58-192CAB5E17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autoFilter>
  <tableColumns count="23">
    <tableColumn id="2" xr3:uid="{F72C59ED-4277-4532-88C2-DDF319C9DA39}" name="Product (select)" dataDxfId="413" totalsRowDxfId="412" dataCellStyle="Input select"/>
    <tableColumn id="23" xr3:uid="{19AEEEA2-1C3F-4047-B7B2-FEDE901CFD74}" name="Amount applied per hectare" totalsRowFunction="custom" dataDxfId="411" totalsRowDxfId="410">
      <totalsRowFormula>SUM(Table_Input_InorganicFertiliser_Brands[[#Headers],[#Data],[Amount applied per hectare]])</totalsRowFormula>
    </tableColumn>
    <tableColumn id="12" xr3:uid="{205E51E0-1D7A-4F69-AF46-EEE941D06A53}" name="Application unit" dataDxfId="409" totalsRowDxfId="408" dataCellStyle="Input number 2 decimal places"/>
    <tableColumn id="6" xr3:uid="{453878F3-B4A4-4136-8573-2891B2511A2F}" name="Application area (ha)" dataDxfId="407" totalsRowDxfId="406">
      <calculatedColumnFormula>X_Cell_Fertiliser_AreaUnderCropping</calculatedColumnFormula>
    </tableColumn>
    <tableColumn id="9" xr3:uid="{6EF82D84-AA80-401D-8B39-E6DA74EF6874}" name="Density" dataDxfId="405" totalsRowDxfId="404" dataCellStyle="Input number general calculated"/>
    <tableColumn id="1" xr3:uid="{8D0B1C6A-9497-427A-ABFA-7DBA4FAEE26C}" name="Total applied (kg)" dataDxfId="403" totalsRowDxfId="402" dataCellStyle="Input number general calculated">
      <calculatedColumnFormula>(Table_Input_InorganicFertiliser_Brands[[#This Row],[Amount applied per hectare]]*Table_Input_InorganicFertiliser_Brands[[#This Row],[Density]])*Table_Input_InorganicFertiliser_Brands[[#This Row],[Application area (ha)]]</calculatedColumnFormula>
    </tableColumn>
    <tableColumn id="3" xr3:uid="{2136B9A5-4632-4B85-9A8B-A0448CC7ABAF}" name="Ingredient 1" dataDxfId="401" totalsRowDxfId="400" dataCellStyle="Input number general calculated"/>
    <tableColumn id="4" xr3:uid="{45A48A56-9111-4E11-84B5-40E61F157467}" name="Ingredient 1 percent" dataDxfId="399" dataCellStyle="Input number general calculated"/>
    <tableColumn id="7" xr3:uid="{B60834CD-B9D3-4C3B-9F7E-2A03B3AC36BF}" name="Ingredient 2" dataDxfId="398" dataCellStyle="Input number general calculated"/>
    <tableColumn id="8" xr3:uid="{3FB5A794-319D-40EB-AEDE-07B589205B7B}" name="Ingredient 2 percent" dataDxfId="397" totalsRowDxfId="396" dataCellStyle="Input number general calculated"/>
    <tableColumn id="10" xr3:uid="{EA359BB5-ED33-46C0-93E4-8B5916BE9DFF}" name="Ingredient 3" dataDxfId="395" totalsRowDxfId="394" dataCellStyle="Input number general calculated"/>
    <tableColumn id="11" xr3:uid="{63B2F7C6-41B5-4295-9EB4-BA66647BE96D}" name="Ingredient 3 percent" dataDxfId="393" totalsRowDxfId="392" dataCellStyle="Input number general calculated"/>
    <tableColumn id="13" xr3:uid="{C6620889-AEE5-4FCA-959A-6E39F9A5629F}" name="Ingredient 4" dataDxfId="391" totalsRowDxfId="390" dataCellStyle="Input number general calculated"/>
    <tableColumn id="14" xr3:uid="{B7A9143D-D3CC-44BB-96CA-E524F39A5332}" name="Ingredient 4 percent" dataDxfId="389" dataCellStyle="Input number general calculated"/>
    <tableColumn id="16" xr3:uid="{1FF753C3-172B-4DC0-9954-84DEF5A5352F}" name="Ingredient 5" dataDxfId="388" dataCellStyle="Input number general calculated"/>
    <tableColumn id="17" xr3:uid="{03B8BBC0-7CF5-4B75-B6D2-3213F219DE85}" name="Ingredient 5 percent" dataDxfId="387" dataCellStyle="Input number general calculated"/>
    <tableColumn id="19" xr3:uid="{0B7ECC4F-1C35-4A0D-BBF6-4FEBC37365B9}" name="Ingredient 6" dataDxfId="386" dataCellStyle="Input number general calculated"/>
    <tableColumn id="20" xr3:uid="{4853CA23-9971-402C-8927-3F7A5E27E0B1}" name="Ingredient 6 percent" dataDxfId="385" dataCellStyle="Input number general calculated"/>
    <tableColumn id="21" xr3:uid="{59E01896-F833-4834-BC9F-33D640D3C0EC}" name="% N (Ingredients)" dataDxfId="384" dataCellStyle="Input number general calculated"/>
    <tableColumn id="22" xr3:uid="{A3C11824-9442-498F-B1D8-F2FED640BA40}" name="% N (declared)" dataDxfId="383" dataCellStyle="Content normal"/>
    <tableColumn id="5" xr3:uid="{7407DFD2-73A9-4AF2-88D7-355A2C67D70C}" name="N application rate (kg/ha)" dataDxfId="382" totalsRowDxfId="381" dataCellStyle="Input number general calculated">
      <calculatedColumnFormula>(Table_Input_InorganicFertiliser_Brands[[#This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calculatedColumnFormula>
    </tableColumn>
    <tableColumn id="15" xr3:uid="{43954860-4C1D-472E-818A-27E39A05D130}" name="Urea source" dataDxfId="380" totalsRowDxfId="379" dataCellStyle="Input number general calculated"/>
    <tableColumn id="18" xr3:uid="{AD22D0AE-94BA-4DED-AA9F-335D3F2D0793}" name="Ammonia source" dataDxfId="378" totalsRowDxfId="377" dataCellStyle="Input number general calculated"/>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F2C4543-7AD4-4EC7-9AE6-2C8E952CC46D}" name="Table_Input_InorganicFertiliser_Custom" displayName="Table_Input_InorganicFertiliser_Custom" ref="D24:R34" totalsRowShown="0" headerRowDxfId="376" dataDxfId="375">
  <autoFilter ref="D24:R34" xr:uid="{6024A338-4140-4535-9AA6-449DA88B1C2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58E6E933-13C1-49E9-B930-CC186C718E06}" name="Custom blend name" dataCellStyle="Input text"/>
    <tableColumn id="2" xr3:uid="{E0097DD4-F3E1-4729-A245-354EF0003782}" name="Amount applied (kg / ha)" dataDxfId="374"/>
    <tableColumn id="3" xr3:uid="{97F76F64-580D-484C-B8B0-CB7A57B196B2}" name="Application area (ha)" dataDxfId="373" dataCellStyle="Input number 2 decimal places">
      <calculatedColumnFormula>X_Cell_Fertiliser_AreaUnderCropping</calculatedColumnFormula>
    </tableColumn>
    <tableColumn id="4" xr3:uid="{639BED60-9872-4FAF-A9B5-D2BA457B8C3F}" name="Total applied (kg)" dataDxfId="372" dataCellStyle="Input number general calculated">
      <calculatedColumnFormula>Table_Input_InorganicFertiliser_Custom[[#This Row],[Amount applied (kg / ha)]]*Table_Input_InorganicFertiliser_Custom[[#This Row],[Application area (ha)]]</calculatedColumnFormula>
    </tableColumn>
    <tableColumn id="5" xr3:uid="{253D3BA7-D8AD-4107-8533-6DC6C3024606}" name="Ingredient 1 (select)" dataDxfId="371" dataCellStyle="Input select"/>
    <tableColumn id="6" xr3:uid="{66CC85D3-751A-459A-AEDA-ECF7B7B4C356}" name="Ingredient 1 percent" dataDxfId="370"/>
    <tableColumn id="8" xr3:uid="{01F21A7A-C079-4B4A-BF4B-98883786DBA6}" name="Ingredient 2" dataDxfId="369" dataCellStyle="Input select"/>
    <tableColumn id="9" xr3:uid="{3EA452CD-B5CD-4263-8FC6-31C96122B664}" name="Ingredient 2 percent" dataDxfId="368"/>
    <tableColumn id="11" xr3:uid="{D8EF5F58-3638-4FA7-B361-2205F2D8C10C}" name="Ingredient 3" dataDxfId="367" dataCellStyle="Input select"/>
    <tableColumn id="12" xr3:uid="{AD8E9DB3-DF67-47EC-8758-2681C424991E}" name="Ingredient 3 percent" dataDxfId="366"/>
    <tableColumn id="14" xr3:uid="{D9E2903E-7C1D-48C2-A60D-5A13ACEFD931}" name="Ingredient 4" dataDxfId="365" dataCellStyle="Input select"/>
    <tableColumn id="15" xr3:uid="{F1E22E8F-D6C9-48C8-A5BB-6F4B18FC863E}" name="Ingredient 4 percent" dataCellStyle="Input percent"/>
    <tableColumn id="7" xr3:uid="{5257A934-C343-43C9-A9EE-8CC397496DA3}" name="N application rate (kg/ha)" dataDxfId="364" dataCellStyle="Input number general calculated"/>
    <tableColumn id="10" xr3:uid="{A7E5F142-BB9B-4188-A35F-919F5FEC492A}" name="Urea source (Select)" dataCellStyle="Input select"/>
    <tableColumn id="13" xr3:uid="{B934B494-88C8-4A58-A0D1-D70201374D8F}" name="Ammonia source (select)" dataCellStyle="Input select"/>
  </tableColumns>
  <tableStyleInfo name="Editable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1E29C780-0EF7-4DA2-8C13-46FC73858D18}" name="Table_Input_Lime" displayName="Table_Input_Lime" ref="D41:K44" totalsRowShown="0" headerRowDxfId="363" dataDxfId="362" headerRowCellStyle="Input table column header">
  <autoFilter ref="D41:K44" xr:uid="{2C84B33D-ED8D-4C1D-B319-1B5D2D0181A1}">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99855701-D9E1-44A0-83F7-E339F56DF236}" name="Product" dataDxfId="361"/>
    <tableColumn id="2" xr3:uid="{20A290D6-ABE5-4B00-AE80-3F98EEF5C7B7}" name="Amount applied (t/hectare)" dataDxfId="360"/>
    <tableColumn id="4" xr3:uid="{55DD5560-749F-44EC-B4AD-A31706B69792}" name="Application area (ha)" dataDxfId="359" dataCellStyle="Input number 2 decimal places">
      <calculatedColumnFormula>X_Cell_Fertiliser_AreaUnderCropping</calculatedColumnFormula>
    </tableColumn>
    <tableColumn id="3" xr3:uid="{34089426-1ED1-4A88-AEB0-7363BBF7F392}" name="Total amount applied (t)" dataDxfId="358" dataCellStyle="Input number general calculated">
      <calculatedColumnFormula>IFERROR(Table_Input_Lime[[#This Row],[Amount applied (t/hectare)]]*Table_Input_Lime[[#This Row],[Application area (ha)]], 0)</calculatedColumnFormula>
    </tableColumn>
    <tableColumn id="6" xr3:uid="{2563578F-137C-463B-8000-012D6306A3FE}" name="Percent Lime CaCO3" dataDxfId="357"/>
    <tableColumn id="8" xr3:uid="{DF82480F-5B70-4C00-951A-4FAD9794F99C}" name="Percent Dolomite CaMg(CO3)2" dataDxfId="356"/>
    <tableColumn id="7" xr3:uid="{2A65645C-A387-4DB3-AC8B-3350318C21AD}" name="Percent Gypsum" dataDxfId="355"/>
    <tableColumn id="10" xr3:uid="{2C71BCE9-EFAC-4C36-AC1D-D0D65CED3F95}" name="Total" dataDxfId="354" dataCellStyle="Percent">
      <calculatedColumnFormula>SUM(Table_Input_Lime[[#This Row],[Percent Lime CaCO3]:[Percent Gypsum]])</calculatedColumnFormula>
    </tableColumn>
  </tableColumns>
  <tableStyleInfo name="Editable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1167388-5FC2-40A6-8E6F-B99A1B3F91AD}" name="Table_Input_OrganicFertiliser" displayName="Table_Input_OrganicFertiliser" ref="D53:J56" totalsRowShown="0" headerRowDxfId="353" dataDxfId="352" headerRowCellStyle="Input table column header">
  <autoFilter ref="D53:J56" xr:uid="{1424D04C-9CD1-4344-A611-A0F26AAC6A0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E709F944-8A10-4BB7-85D0-6532F0B258D6}" name="Organic fertiliser type (select)" dataDxfId="351" dataCellStyle="Input select"/>
    <tableColumn id="5" xr3:uid="{DA79EB8E-CB6D-4D09-A017-52EE0CA0A232}" name="Percentage of N in fertiliser" dataDxfId="350"/>
    <tableColumn id="2" xr3:uid="{A9CCC04F-822F-489D-964C-4FEC83E53F0E}" name="Amount applied (kg/hectare)" dataDxfId="349"/>
    <tableColumn id="11" xr3:uid="{D99049DC-C37F-46FA-A719-741E7035754F}" name="Amount N applied (kg/hectare)" dataDxfId="348" dataCellStyle="Input number general calculated">
      <calculatedColumnFormula>Table_Input_OrganicFertiliser[[#This Row],[Amount applied (kg/hectare)]]*Table_Input_OrganicFertiliser[[#This Row],[Percentage of N in fertiliser]]</calculatedColumnFormula>
    </tableColumn>
    <tableColumn id="4" xr3:uid="{63B5AA04-7C24-4AB0-ABC3-7ED05C343B3B}" name="Application area (ha)" dataDxfId="347" dataCellStyle="Input number 2 decimal places">
      <calculatedColumnFormula>X_Cell_Fertiliser_AreaUnderCropping</calculatedColumnFormula>
    </tableColumn>
    <tableColumn id="7" xr3:uid="{1AE379DE-EEDA-4136-87BA-B25BD7A5A7DA}" name="Total organic fertliser applied" dataDxfId="346" dataCellStyle="Input number general calculated">
      <calculatedColumnFormula>Table_Input_OrganicFertiliser[[#This Row],[Amount applied (kg/hectare)]]*Table_Input_OrganicFertiliser[[#This Row],[Application area (ha)]]</calculatedColumnFormula>
    </tableColumn>
    <tableColumn id="3" xr3:uid="{2A9E1B53-6FEF-490E-9DD1-B81B55AD88B2}" name="Total nitrogen applied (kg)" dataDxfId="345" dataCellStyle="Input number general calculated">
      <calculatedColumnFormula>IFERROR(Table_Input_OrganicFertiliser[[#This Row],[Amount N applied (kg/hectare)]]*Table_Input_OrganicFertiliser[[#This Row],[Application area (ha)]], 0)</calculatedColumnFormula>
    </tableColumn>
  </tableColumns>
  <tableStyleInfo name="Editable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27F03484-A471-4C93-9C6E-440E557249EC}" name="Table_Input_Fuel" displayName="Table_Input_Fuel" ref="D16:J21" totalsRowDxfId="344" headerRowCellStyle="Input table column header">
  <autoFilter ref="D16:J21" xr:uid="{6E44059A-C219-4316-A7A0-AD77B0121F06}">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2" xr3:uid="{C61BD1D3-6377-4753-A802-E53D3024B309}" name="Fuel use (select)" totalsRowFunction="average" totalsRowDxfId="343" dataCellStyle="Input select" totalsRowCellStyle="Input select"/>
    <tableColumn id="3" xr3:uid="{C2D4BF8E-692B-416F-B696-75A52D373151}" name="Fuel type (select)" totalsRowDxfId="342" dataCellStyle="Input select" totalsRowCellStyle="Input select"/>
    <tableColumn id="4" xr3:uid="{36347828-7F53-4774-BFD5-3CEFA5BA7671}" name="Amount purchased" totalsRowDxfId="341" totalsRowCellStyle="Content bold"/>
    <tableColumn id="6" xr3:uid="{601022F9-E97A-4812-938C-D325ED647F14}" name="Amount unit" totalsRowDxfId="340" dataCellStyle="Input number general calculated" totalsRowCellStyle="Input text calculated"/>
    <tableColumn id="5" xr3:uid="{2D4707B1-E3E3-4B0C-A9C7-9B8896885318}" name="Percent consumed" totalsRowDxfId="339" totalsRowCellStyle="Input percent">
      <calculatedColumnFormula>1</calculatedColumnFormula>
    </tableColumn>
    <tableColumn id="1" xr3:uid="{90AF4206-D134-49D8-AE6F-3E2F3DD0CC32}" name="Amount consumed" totalsRowFunction="custom" totalsRowDxfId="338" dataCellStyle="Input number general calculated" totalsRowCellStyle="Input number 3 decimal places calculated">
      <calculatedColumnFormula>Table_Input_Fuel[[#This Row],[Amount purchased]]*Table_Input_Fuel[[#This Row],[Percent consumed]]*IF(Table_Input_Fuel[[#This Row],[Amount unit]]="L", 10^-3, 1)</calculatedColumnFormula>
      <totalsRowFormula>SUM(Table_Input_Fuel[Amount consumed])</totalsRowFormula>
    </tableColumn>
    <tableColumn id="7" xr3:uid="{753408F4-C955-48E1-808F-FBF3FC33EF1C}" name="Amount consumed unit" totalsRowDxfId="337" dataCellStyle="Input number general calculated"/>
  </tableColumns>
  <tableStyleInfo name="Editable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557D1714-B648-4828-AF67-89E96718590F}" name="Table_Input_RECSurrendered" displayName="Table_Input_RECSurrendered" ref="D36:I39" totalsRowShown="0" headerRowCellStyle="Input table column header">
  <autoFilter ref="D36:I39" xr:uid="{AB3DA401-69B9-4F52-A3AF-08FA63C556A0}">
    <filterColumn colId="0" hiddenButton="1"/>
    <filterColumn colId="1" hiddenButton="1"/>
    <filterColumn colId="2" hiddenButton="1"/>
    <filterColumn colId="3" hiddenButton="1"/>
    <filterColumn colId="4" hiddenButton="1"/>
    <filterColumn colId="5" hiddenButton="1"/>
  </autoFilter>
  <tableColumns count="6">
    <tableColumn id="1" xr3:uid="{442A9191-56BF-4C41-BAD0-50E455C9A409}" name="Description"/>
    <tableColumn id="5" xr3:uid="{86736CBA-C613-45C4-A26F-0CE1EC1F9599}" name="Source (select)" dataCellStyle="Input select"/>
    <tableColumn id="2" xr3:uid="{8FABB4C9-5FE1-40F8-BD0F-E93D4C6B27DA}" name="Generation date" dataDxfId="336"/>
    <tableColumn id="3" xr3:uid="{EC9B0329-52B6-44F7-A14E-101F5097A7D3}" name="Number of certificates"/>
    <tableColumn id="4" xr3:uid="{7E2F9A56-8A4C-4FCC-8D27-FA2A6CC0932E}" name="MWh" dataCellStyle="Input number general calculated">
      <calculatedColumnFormula>Table_Input_RECSurrendered[[#This Row],[Number of certificates]]</calculatedColumnFormula>
    </tableColumn>
    <tableColumn id="7" xr3:uid="{D949B899-BBEA-439E-99DC-E28DE5383C0B}" name="Elegibility" dataCellStyle="Input number general calculated">
      <calculatedColumnFormula>IF(DATEDIF(Table_Input_RECSurrendered[[#This Row],[Generation date]],DATEVALUE($E$30),"M")&gt;36,"Ineligible - older than 36 months","Elegible")</calculatedColumnFormula>
    </tableColumn>
  </tableColumns>
  <tableStyleInfo name="Editable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FB5B3B21-2EFD-422E-A6DC-4AB26CE0798C}" name="Table_Input_RECConsumedByEntity" displayName="Table_Input_RECConsumedByEntity" ref="D45:I48" totalsRowShown="0" headerRowCellStyle="Input table column header">
  <autoFilter ref="D45:I48" xr:uid="{58D24162-9496-4032-8FB2-02E312F8AA25}">
    <filterColumn colId="0" hiddenButton="1"/>
    <filterColumn colId="1" hiddenButton="1"/>
    <filterColumn colId="2" hiddenButton="1"/>
    <filterColumn colId="3" hiddenButton="1"/>
    <filterColumn colId="4" hiddenButton="1"/>
    <filterColumn colId="5" hiddenButton="1"/>
  </autoFilter>
  <tableColumns count="6">
    <tableColumn id="1" xr3:uid="{31EE11D4-3097-4072-A298-C430BFFB4DEC}" name="Description"/>
    <tableColumn id="5" xr3:uid="{F1BD6BD7-2A7E-4C79-A06D-EFB3BE2A8DCC}" name="Source" dataCellStyle="Input text calculated">
      <calculatedColumnFormula>"Issued for generated electricity"</calculatedColumnFormula>
    </tableColumn>
    <tableColumn id="2" xr3:uid="{BDB2A707-7946-4D0F-B255-AF308CE3C788}" name="Generation date" dataDxfId="335"/>
    <tableColumn id="3" xr3:uid="{35C2D7CD-74D3-425F-B213-A8DF99B927C0}" name="Number of certificates"/>
    <tableColumn id="4" xr3:uid="{8BE01111-DE2B-4972-BDA6-F98204A597E9}" name="MWh" dataCellStyle="Input number general calculated">
      <calculatedColumnFormula>Table_Input_RECConsumedByEntity[[#This Row],[Number of certificates]]</calculatedColumnFormula>
    </tableColumn>
    <tableColumn id="7" xr3:uid="{D955422D-CD78-478C-BDF7-8069A420D510}" name="Elegibility" dataCellStyle="Input number general calculated">
      <calculatedColumnFormula>IF(AND(Table_Input_RECConsumedByEntity[[#This Row],[Generation date]]&gt;=DATEVALUE($E$29), Table_Input_RECConsumedByEntity[[#This Row],[Generation date]]&lt;= DATEVALUE($E$30)), "Elegible", "Ineligible - outside reporting year")</calculatedColumnFormula>
    </tableColumn>
  </tableColumns>
  <tableStyleInfo name="Editable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0AC35C88-1B6B-4129-8C2E-4BEA56FD4A9D}" name="Table_Input_ChemicalsCleaning" displayName="Table_Input_ChemicalsCleaning" ref="D7:F17" totalsRowShown="0" headerRowCellStyle="Input table column header">
  <autoFilter ref="D7:F17" xr:uid="{4FE24B05-BD40-4784-8F98-E98038ED84BF}">
    <filterColumn colId="0" hiddenButton="1"/>
    <filterColumn colId="1" hiddenButton="1"/>
    <filterColumn colId="2" hiddenButton="1"/>
  </autoFilter>
  <tableColumns count="3">
    <tableColumn id="3" xr3:uid="{CA764B6C-08D1-4AB2-A32E-1333A1014C4C}" name="Product name" dataCellStyle="Input text"/>
    <tableColumn id="1" xr3:uid="{D2C32B71-ED24-428F-B93C-DD08DC3373E4}" name="Type (select)" dataCellStyle="Input select"/>
    <tableColumn id="2" xr3:uid="{4D9C5097-9DF0-4FDC-AC84-296FE40B538B}" name="Quantity purchased (kg)" dataCellStyle="Input number general"/>
  </tableColumns>
  <tableStyleInfo name="Editable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630875A0-418A-41C6-A41E-7BD4FE65824F}" name="Table_Input_UncategorisedProductsServices" displayName="Table_Input_UncategorisedProductsServices" ref="D37:F47" totalsRowShown="0" headerRowCellStyle="Input table column header">
  <autoFilter ref="D37:F47" xr:uid="{1E43041F-45A9-4FE7-B27E-F3B8135FFECA}">
    <filterColumn colId="0" hiddenButton="1"/>
    <filterColumn colId="1" hiddenButton="1"/>
    <filterColumn colId="2" hiddenButton="1"/>
  </autoFilter>
  <tableColumns count="3">
    <tableColumn id="1" xr3:uid="{F4D68A49-1EC3-4E2B-9689-93993FE833A6}" name="Product / service name" dataCellStyle="Input text"/>
    <tableColumn id="2" xr3:uid="{BBFE59A5-DC6D-4823-B5C6-40394A24615F}" name="Amount" dataCellStyle="Input number general"/>
    <tableColumn id="3" xr3:uid="{FCE53112-1B32-4263-9D5F-B8364F5B7C65}" name="Amount unit" dataCellStyle="Input text"/>
  </tableColumns>
  <tableStyleInfo name="Editable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A58D4C46-548C-4E93-81F6-365084EA85AD}" name="Table_Input_ServicesAndContractors" displayName="Table_Input_ServicesAndContractors" ref="D22:G32" totalsRowShown="0">
  <autoFilter ref="D22:G32" xr:uid="{EAE4AE15-2AB9-4C21-9268-5CB94316E6E4}">
    <filterColumn colId="0" hiddenButton="1"/>
    <filterColumn colId="1" hiddenButton="1"/>
    <filterColumn colId="2" hiddenButton="1"/>
    <filterColumn colId="3" hiddenButton="1"/>
  </autoFilter>
  <tableColumns count="4">
    <tableColumn id="1" xr3:uid="{3A5F0A4C-C584-4F0E-B577-EB52DAA855E9}" name="Service provider / contractor" dataCellStyle="Input text"/>
    <tableColumn id="4" xr3:uid="{39AE1F3D-5DFF-4B2A-B1E5-0C61A109F6C4}" name="Activity" dataCellStyle="Input text"/>
    <tableColumn id="2" xr3:uid="{A3D08B10-5528-42D7-A76D-899B2E4F97F2}" name="Total amount" dataCellStyle="Input number general"/>
    <tableColumn id="3" xr3:uid="{0422B513-97C1-4167-BC08-785AE0F7C37B}" name="Amount unit" dataCellStyle="Input select"/>
  </tableColumns>
  <tableStyleInfo name="Editable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4FD2A279-81C9-4BDB-917D-69BB53D3D053}" name="Table_Input_Pesticides" displayName="Table_Input_Pesticides" ref="D9:R19" totalsRowShown="0" headerRowDxfId="334">
  <autoFilter ref="D9:R19" xr:uid="{BA52E4BB-C3D1-441A-A568-0AD50449E880}"/>
  <tableColumns count="15">
    <tableColumn id="1" xr3:uid="{F4695E83-8541-4544-A9A3-CCFCAD56A276}" name="Product name"/>
    <tableColumn id="2" xr3:uid="{E199CA20-A5DB-4776-B237-F15A1AC8C547}" name="Amount applied per ha"/>
    <tableColumn id="7" xr3:uid="{700FF3AC-FB02-4D26-8FA8-94FA514EB899}" name="Application unit (select)" dataCellStyle="Input select"/>
    <tableColumn id="6" xr3:uid="{734E9AB9-63B5-4D65-9D7C-E2C29903EF5D}" name="Application area (ha)" dataCellStyle="Input number general"/>
    <tableColumn id="3" xr3:uid="{A7A69AF4-2B26-4AC1-A29B-10AF68DA6316}" name="Total applied" dataCellStyle="Input number general calculated">
      <calculatedColumnFormula>Table_Input_Pesticides[[#This Row],[Amount applied per ha]]*Table_Input_Pesticides[[#This Row],[Application area (ha)]]</calculatedColumnFormula>
    </tableColumn>
    <tableColumn id="5" xr3:uid="{745A0FBE-1FF0-4377-859A-F4E2E46F164A}" name="Constituent unit (select)" dataCellStyle="Input select"/>
    <tableColumn id="4" xr3:uid="{27D3524B-BEDE-4AE4-AF50-B7C49FBFD428}" name="Active ingredient 1 (select)" dataCellStyle="Input select"/>
    <tableColumn id="8" xr3:uid="{DEF86060-1826-4BA9-9519-F8C6D08EF280}" name="Active ingredient 1 amount" dataCellStyle="Input number general"/>
    <tableColumn id="16" xr3:uid="{89A17C16-FD31-484D-B89E-E8266A904B02}" name="Total active ingredient 1 (kg)" dataCellStyle="Input number general calculated">
      <calculatedColumnFormula>Table_Input_Pesticides[[#This Row],[Total applied]]*Table_Input_Pesticides[[#This Row],[Active ingredient 1 amount]]*IF(Table_Input_Pesticides[[#This Row],[Constituent unit (select)]]="fraction of product", 1, 10^-3)</calculatedColumnFormula>
    </tableColumn>
    <tableColumn id="9" xr3:uid="{9AE72A34-7ADD-4AD1-BD63-38D70C106AB2}" name="Active ingredient 2 (select)" dataCellStyle="Input select"/>
    <tableColumn id="11" xr3:uid="{134FA7BF-F6E9-43DD-B6DB-A954B99660EE}" name="Active ingredient 2 amount" dataCellStyle="Input number general"/>
    <tableColumn id="17" xr3:uid="{22C9F17E-737E-4093-AFD8-60518361A3F7}" name="Total active ingredient 2 (kg)" dataCellStyle="Input number general calculated">
      <calculatedColumnFormula>Table_Input_Pesticides[[#This Row],[Total applied]]*Table_Input_Pesticides[[#This Row],[Active ingredient 2 amount]]*IF(Table_Input_Pesticides[[#This Row],[Constituent unit (select)]]="fraction of product", 1, 10^-3)</calculatedColumnFormula>
    </tableColumn>
    <tableColumn id="12" xr3:uid="{7EEDAFFD-A815-4CF7-AF8E-E0921AD6468E}" name="Active ingredient 3 (select)" dataCellStyle="Input select"/>
    <tableColumn id="14" xr3:uid="{DF3039C6-BF1F-473E-B7D3-2E9497AABDBC}" name="Active ingredient 3 amount" dataCellStyle="Input number general"/>
    <tableColumn id="18" xr3:uid="{CC628652-64C4-4901-AA9C-90934AB398CF}" name="Total active ingredient 3 (kg)" dataCellStyle="Input number general calculated">
      <calculatedColumnFormula>Table_Input_Pesticides[[#This Row],[Total applied]]*Table_Input_Pesticides[[#This Row],[Active ingredient 3 amount]]*IF(Table_Input_Pesticides[[#This Row],[Constituent unit (select)]]="fraction of product", 1, 10^-3)</calculatedColumnFormula>
    </tableColumn>
  </tableColumns>
  <tableStyleInfo name="Editable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0FFF3A1F-DB57-46FE-8AC1-F21B2F5747EB}" name="Table_Input_FreightIncoming" displayName="Table_Input_FreightIncoming" ref="D8:H18" totalsRowShown="0">
  <autoFilter ref="D8:H18" xr:uid="{4DDF930F-94B2-4B93-B728-B92082E231C7}">
    <filterColumn colId="0" hiddenButton="1"/>
    <filterColumn colId="1" hiddenButton="1"/>
    <filterColumn colId="2" hiddenButton="1"/>
    <filterColumn colId="3" hiddenButton="1"/>
    <filterColumn colId="4" hiddenButton="1"/>
  </autoFilter>
  <tableColumns count="5">
    <tableColumn id="1" xr3:uid="{6DE51C85-98F1-4FA4-909E-29D90CB05486}" name="Route name" dataCellStyle="Input text"/>
    <tableColumn id="2" xr3:uid="{E3EC12C9-BDD4-42F3-B715-23D30C7317FC}" name="Freight type (select)" dataCellStyle="Input select"/>
    <tableColumn id="3" xr3:uid="{E5D0F4C7-6C2D-4FC7-95DC-E9E2874A4CB7}" name="Route distance (km)"/>
    <tableColumn id="4" xr3:uid="{32A7B90B-852B-402E-AC60-74B8527388B9}" name="Average weight of freight per trip (t)"/>
    <tableColumn id="5" xr3:uid="{9FBA3EF7-314A-4C52-A34D-9A41B85C34D0}" name="Number of trips taken"/>
  </tableColumns>
  <tableStyleInfo name="Editable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1FEDB2E0-2923-4D09-A5D7-1111D455A66A}" name="Table_Input_FreightOutgoing" displayName="Table_Input_FreightOutgoing" ref="D24:H34" totalsRowShown="0">
  <autoFilter ref="D24:H34" xr:uid="{C8AEF287-0BE7-46A0-967D-68ED52A309D6}">
    <filterColumn colId="0" hiddenButton="1"/>
    <filterColumn colId="1" hiddenButton="1"/>
    <filterColumn colId="2" hiddenButton="1"/>
    <filterColumn colId="3" hiddenButton="1"/>
    <filterColumn colId="4" hiddenButton="1"/>
  </autoFilter>
  <tableColumns count="5">
    <tableColumn id="1" xr3:uid="{3AF494C5-95FF-4730-BD5C-B852530C46A7}" name="Route name" dataCellStyle="Input text"/>
    <tableColumn id="2" xr3:uid="{F0CBE517-CB1E-4B13-90DC-15E7931A6D63}" name="Freight type (select)" dataCellStyle="Input select"/>
    <tableColumn id="3" xr3:uid="{6721F510-E70E-42CC-9367-D75F71B7B30B}" name="Route distance (km)"/>
    <tableColumn id="4" xr3:uid="{4ED74929-62FD-4411-A5E9-053E10AB2269}" name="Average weight of freight per trip (t)"/>
    <tableColumn id="5" xr3:uid="{CB007B89-6D32-4C3A-9ED0-6E028D749A2F}" name="Number of trips taken"/>
  </tableColumns>
  <tableStyleInfo name="Editable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B7378250-0141-4773-B483-C3A76A6C5FFD}" name="Table_Input_SolidWaste" displayName="Table_Input_SolidWaste" ref="D9:I32" totalsRowShown="0" headerRowCellStyle="Input table column header">
  <autoFilter ref="D9:I32" xr:uid="{AB3DA401-69B9-4F52-A3AF-08FA63C556A0}">
    <filterColumn colId="0" hiddenButton="1"/>
    <filterColumn colId="1" hiddenButton="1"/>
    <filterColumn colId="2" hiddenButton="1"/>
    <filterColumn colId="3" hiddenButton="1"/>
    <filterColumn colId="4" hiddenButton="1"/>
    <filterColumn colId="5" hiddenButton="1"/>
  </autoFilter>
  <tableColumns count="6">
    <tableColumn id="1" xr3:uid="{EA9DFCCA-343A-4215-B360-D19C30A232A2}" name="Description" dataCellStyle="Input text"/>
    <tableColumn id="5" xr3:uid="{331D6FB3-5BA7-4297-B460-37BFA6D6B125}" name="Treatment type (select)" dataCellStyle="Input select"/>
    <tableColumn id="2" xr3:uid="{DFC670AF-8D69-43FB-853B-93A5D9A18839}" name="Waste type (select)" dataCellStyle="Input select"/>
    <tableColumn id="3" xr3:uid="{AEF34D1C-6CC5-42ED-9D96-FD932E39237E}" name="Treatment location (select)" dataCellStyle="Input select"/>
    <tableColumn id="4" xr3:uid="{D085C6B5-11BC-4424-9F11-5A4420B9A0ED}" name="Amount" dataCellStyle="Input number general"/>
    <tableColumn id="7" xr3:uid="{B5B36731-65E8-4EC3-BBAF-13E42C2B5830}" name="Amount unit (select)" dataCellStyle="Input select"/>
  </tableColumns>
  <tableStyleInfo name="Editable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1371B2E4-FAF6-4ADD-BAE3-4AECD4BC9B53}" name="Table_SourceData_CropAttributes" displayName="Table_SourceData_CropAttributes" ref="D19:L37" totalsRowShown="0">
  <autoFilter ref="D19:L37" xr:uid="{B5F7211C-A71E-4F6D-A358-4E6EB133956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AEA9B890-9408-493F-97ED-33DB0BC011E5}" name="Crop type">
      <calculatedColumnFormula array="1">Common_InputFunctions.Utility_DisplayArrayInTable(Agresidue_SourceData.CropAttributes_Data(),Table_SourceData_CropAttributes[[#Headers],[Crop type]], -1)</calculatedColumnFormula>
    </tableColumn>
    <tableColumn id="2" xr3:uid="{C5622109-18E8-4E34-B78B-2A631376BCA6}" name="Residue: Crop ratio">
      <calculatedColumnFormula array="1">Common_InputFunctions.Utility_DisplayArrayInTable(Agresidue_SourceData.CropAttributes_Data(),Table_SourceData_CropAttributes[[#Headers],[Crop type]], -1)</calculatedColumnFormula>
    </tableColumn>
    <tableColumn id="3" xr3:uid="{0E2D0B1B-15A7-46F3-8C20-0209DCCB5450}" name="Below-ground: above-ground residue ratio">
      <calculatedColumnFormula array="1">Common_InputFunctions.Utility_DisplayArrayInTable(Agresidue_SourceData.CropAttributes_Data(),Table_SourceData_CropAttributes[[#Headers],[Crop type]], -1)</calculatedColumnFormula>
    </tableColumn>
    <tableColumn id="4" xr3:uid="{565CB3EA-4B28-4688-BDA8-3F685C3360C5}" name="Dry matter content">
      <calculatedColumnFormula array="1">Common_InputFunctions.Utility_DisplayArrayInTable(Agresidue_SourceData.CropAttributes_Data(),Table_SourceData_CropAttributes[[#Headers],[Crop type]], -1)</calculatedColumnFormula>
    </tableColumn>
    <tableColumn id="5" xr3:uid="{BFC44EDA-8229-4997-819E-307124B00CE9}" name="Carbon fraction in dry matter">
      <calculatedColumnFormula array="1">Common_InputFunctions.Utility_DisplayArrayInTable(Agresidue_SourceData.CropAttributes_Data(),Table_SourceData_CropAttributes[[#Headers],[Crop type]], -1)</calculatedColumnFormula>
    </tableColumn>
    <tableColumn id="6" xr3:uid="{9E6B8078-92FD-426C-8E89-BD9089FDD079}" name="N content above-ground">
      <calculatedColumnFormula array="1">Common_InputFunctions.Utility_DisplayArrayInTable(Agresidue_SourceData.CropAttributes_Data(),Table_SourceData_CropAttributes[[#Headers],[Crop type]], -1)</calculatedColumnFormula>
    </tableColumn>
    <tableColumn id="7" xr3:uid="{78D60F49-4BED-4689-BA8D-95646AD6A61B}" name="N content below-ground">
      <calculatedColumnFormula array="1">Common_InputFunctions.Utility_DisplayArrayInTable(Agresidue_SourceData.CropAttributes_Data(),Table_SourceData_CropAttributes[[#Headers],[Crop type]], -1)</calculatedColumnFormula>
    </tableColumn>
    <tableColumn id="8" xr3:uid="{C37E4D8B-3719-43C4-96D9-47771718D135}" name="Fraction of residue remaining at time of burning (b)">
      <calculatedColumnFormula array="1">Common_InputFunctions.Utility_DisplayArrayInTable(Agresidue_SourceData.CropAttributes_Data(),Table_SourceData_CropAttributes[[#Headers],[Crop type]], -1)</calculatedColumnFormula>
    </tableColumn>
    <tableColumn id="9" xr3:uid="{6D93F24D-547F-4D3F-AD40-DFFA80396136}" name="Fraction burnt">
      <calculatedColumnFormula array="1">Common_InputFunctions.Utility_DisplayArrayInTable(Agresidue_SourceData.CropAttributes_Data(),Table_SourceData_CropAttributes[[#Headers],[Crop type]], -1)</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75D526DC-EBEE-4A25-9249-F38C71072A82}" name="Table76" displayName="Table76" ref="D73:F89" totalsRowShown="0">
  <autoFilter ref="D73:F89" xr:uid="{7CD0B032-9881-4EF1-81E3-483C7C16D9D0}">
    <filterColumn colId="0" hiddenButton="1"/>
    <filterColumn colId="1" hiddenButton="1"/>
    <filterColumn colId="2" hiddenButton="1"/>
  </autoFilter>
  <tableColumns count="3">
    <tableColumn id="1" xr3:uid="{023C7541-B908-446F-A679-FF728E907342}" name="Crop type c">
      <calculatedColumnFormula array="1">Common_InputFunctions.Utility_DisplayArrayInTable(Agresidue_SourceData.CropFractionRemoved_Data(), Table76[[#Headers],[Crop type c]], 0)</calculatedColumnFormula>
    </tableColumn>
    <tableColumn id="2" xr3:uid="{DB1CB7F9-31E1-47DE-8CF8-DAC3BDF48E16}" name="State" dataDxfId="333">
      <calculatedColumnFormula array="1">Common_InputFunctions.Utility_DisplayArrayInTable(Agresidue_SourceData.CropFractionRemoved_Data(), Table76[[#Headers],[Crop type c]], 0)</calculatedColumnFormula>
    </tableColumn>
    <tableColumn id="3" xr3:uid="{E06E3533-1FB2-44F0-9D14-29C64B2C7193}" name="Fraction removed" dataDxfId="332">
      <calculatedColumnFormula array="1">Common_InputFunctions.Utility_DisplayArrayInTable(Agresidue_SourceData.CropFractionRemoved_Data(), Table76[[#Headers],[Crop type c]],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04DCCB72-6F44-4100-A9F7-86C25363E055}" name="Table77" displayName="Table77" ref="D92:F235" totalsRowShown="0">
  <autoFilter ref="D92:F235" xr:uid="{1FA7CC86-1C1E-41FA-9AA1-AAD48AA2EEF0}">
    <filterColumn colId="0" hiddenButton="1"/>
    <filterColumn colId="1" hiddenButton="1"/>
    <filterColumn colId="2" hiddenButton="1"/>
  </autoFilter>
  <tableColumns count="3">
    <tableColumn id="1" xr3:uid="{A531934B-A074-49BD-B2B5-48DCABF9425E}" name="Crop type c">
      <calculatedColumnFormula array="1">Common_InputFunctions.Utility_DisplayArrayInTable(Agresidue_SourceData.CropFractionRemoved_CustomisedData(), Table77[[#Headers],[Crop type c]], 0)</calculatedColumnFormula>
    </tableColumn>
    <tableColumn id="2" xr3:uid="{FC9D0863-1949-4BA5-B6A5-6208449BD5BF}" name="State" dataDxfId="331">
      <calculatedColumnFormula array="1">Common_InputFunctions.Utility_DisplayArrayInTable(Agresidue_SourceData.CropFractionRemoved_CustomisedData(), Table77[[#Headers],[Crop type c]], 0)</calculatedColumnFormula>
    </tableColumn>
    <tableColumn id="3" xr3:uid="{30FA6D1B-3E3D-4DF9-8D15-762A46F092C5}" name="Fraction removed" dataDxfId="330">
      <calculatedColumnFormula array="1">Common_InputFunctions.Utility_DisplayArrayInTable(Agresidue_SourceData.CropFractionRemoved_CustomisedData(), Table77[[#Headers],[Crop type c]],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F2B636FF-6405-4D57-96E9-9A0672CACC10}" name="Table_SourceData_N2OEFOrganicFert" displayName="Table_SourceData_N2OEFOrganicFert" ref="D43:E45" totalsRowShown="0" dataDxfId="329" dataCellStyle="Content bold">
  <autoFilter ref="D43:E45" xr:uid="{2270AB6D-D03A-4D71-95C0-00BA6BB02732}">
    <filterColumn colId="0" hiddenButton="1"/>
    <filterColumn colId="1" hiddenButton="1"/>
  </autoFilter>
  <tableColumns count="2">
    <tableColumn id="1" xr3:uid="{A414913E-BEC4-43D7-88BE-25901E237DC2}" name="Climate zone type i" dataDxfId="328" dataCellStyle="Content bold">
      <calculatedColumnFormula array="1">Common_InputFunctions.Utility_DisplayArrayInTable(Agresidue_SourceData.N2OEFOrganicFertiliser_Data(), Table_SourceData_N2OEFOrganicFert[[#Headers],[Climate zone type i]], 0)</calculatedColumnFormula>
    </tableColumn>
    <tableColumn id="2" xr3:uid="{97AB1ECC-8409-4F1B-9127-2F5A45B0CDAE}" name="EF i N2O" dataDxfId="327" dataCellStyle="Content bold">
      <calculatedColumnFormula array="1">Common_InputFunctions.Utility_DisplayArrayInTable(Agresidue_SourceData.N2OEFOrganicFertiliser_Data(), Table_SourceData_N2OEFOrganicFert[[#Headers],[Climate zone type i]],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46CFEC79-5E57-4212-9907-06F10573BE28}" name="Table_SourceData_PastureAttributes" displayName="Table_SourceData_PastureAttributes" ref="D51:I56" totalsRowShown="0" dataDxfId="326" dataCellStyle="Content normal">
  <autoFilter ref="D51:I56" xr:uid="{F6AE5C0F-BD48-43B0-80A1-E554D23A8F67}">
    <filterColumn colId="0" hiddenButton="1"/>
    <filterColumn colId="1" hiddenButton="1"/>
    <filterColumn colId="2" hiddenButton="1"/>
    <filterColumn colId="3" hiddenButton="1"/>
    <filterColumn colId="4" hiddenButton="1"/>
    <filterColumn colId="5" hiddenButton="1"/>
  </autoFilter>
  <tableColumns count="6">
    <tableColumn id="1" xr3:uid="{6D1B8B6C-2DC3-4801-B05E-C3CE9D956E07}" name="Pasture type" dataDxfId="325" dataCellStyle="Content normal">
      <calculatedColumnFormula array="1">Common_InputFunctions.Utility_DisplayArrayInTable(Agresidue_SourceData.PastureAttributes_Data(), Table_SourceData_PastureAttributes[[#Headers],[Pasture type]], 0)</calculatedColumnFormula>
    </tableColumn>
    <tableColumn id="2" xr3:uid="{6F3583AD-8F63-48FC-BBC5-DE45B5F6F588}" name="Average Yield (t DM ha) Yp" dataDxfId="324" dataCellStyle="Content normal">
      <calculatedColumnFormula array="1">Common_InputFunctions.Utility_DisplayArrayInTable(Agresidue_SourceData.PastureAttributes_Data(), Table_SourceData_PastureAttributes[[#Headers],[Pasture type]], 0)</calculatedColumnFormula>
    </tableColumn>
    <tableColumn id="3" xr3:uid="{6138D31A-5CE7-4675-AE9D-4321FC0327C7}" name="Below-ground: above-ground residue ratio RBGp" dataDxfId="323" dataCellStyle="Content normal">
      <calculatedColumnFormula array="1">Common_InputFunctions.Utility_DisplayArrayInTable(Agresidue_SourceData.PastureAttributes_Data(), Table_SourceData_PastureAttributes[[#Headers],[Pasture type]], 0)</calculatedColumnFormula>
    </tableColumn>
    <tableColumn id="4" xr3:uid="{0986FF68-B353-45B4-A4D0-CADE82FBA9A4}" name="N content Above-ground NCAGp" dataDxfId="322" dataCellStyle="Content normal">
      <calculatedColumnFormula array="1">Common_InputFunctions.Utility_DisplayArrayInTable(Agresidue_SourceData.PastureAttributes_Data(), Table_SourceData_PastureAttributes[[#Headers],[Pasture type]], 0)</calculatedColumnFormula>
    </tableColumn>
    <tableColumn id="5" xr3:uid="{968D93B0-63A2-4296-9AB7-BAB720CE9A3A}" name="N content Below-ground NCBGp" dataDxfId="321" dataCellStyle="Content normal">
      <calculatedColumnFormula array="1">Common_InputFunctions.Utility_DisplayArrayInTable(Agresidue_SourceData.PastureAttributes_Data(), Table_SourceData_PastureAttributes[[#Headers],[Pasture type]], 0)</calculatedColumnFormula>
    </tableColumn>
    <tableColumn id="6" xr3:uid="{F94679D6-9749-460E-A684-002ED49237C9}" name="Fraction of pasture yield that is removed FFODp" dataDxfId="320" dataCellStyle="Content normal">
      <calculatedColumnFormula array="1">Common_InputFunctions.Utility_DisplayArrayInTable(Agresidue_SourceData.PastureAttributes_Data(), Table_SourceData_PastureAttributes[[#Headers],[Pasture type]],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FC64275D-FA1A-4778-900A-94A6A5224A7C}" name="Table_SourceData_BurningResidueEFs" displayName="Table_SourceData_BurningResidueEFs" ref="D62:F67" totalsRowShown="0">
  <autoFilter ref="D62:F67" xr:uid="{8F5439AB-496D-443A-987D-2B47D1EC32A7}">
    <filterColumn colId="0" hiddenButton="1"/>
    <filterColumn colId="1" hiddenButton="1"/>
    <filterColumn colId="2" hiddenButton="1"/>
  </autoFilter>
  <tableColumns count="3">
    <tableColumn id="1" xr3:uid="{D629C545-998F-44AC-82B1-990718C5DF60}" name="Gas species">
      <calculatedColumnFormula array="1">Common_InputFunctions.Utility_DisplayArrayInTable(AgResidues_SourceData.BurningOfAgriculturalResiduesEFs_Data(), Table_SourceData_BurningResidueEFs[[#Headers],[Gas species]], 0)</calculatedColumnFormula>
    </tableColumn>
    <tableColumn id="2" xr3:uid="{9BC2EBAF-B42D-43D6-B236-104DF841AF3F}" name="Emission factor EFg (Gg element in species/ Gg element in fuel burnt)" dataDxfId="319" dataCellStyle="Content normal">
      <calculatedColumnFormula array="1">Common_InputFunctions.Utility_DisplayArrayInTable(AgResidues_SourceData.BurningOfAgriculturalResiduesEFs_Data(), Table_SourceData_BurningResidueEFs[[#Headers],[Gas species]], 0)</calculatedColumnFormula>
    </tableColumn>
    <tableColumn id="3" xr3:uid="{7872BB39-21BD-490E-B803-F5F0F92143C0}" name="Elemental to molecular mass conversion factor (Cg)" dataDxfId="318" dataCellStyle="Content normal">
      <calculatedColumnFormula array="1">Common_InputFunctions.Utility_DisplayArrayInTable(AgResidues_SourceData.BurningOfAgriculturalResiduesEFs_Data(), Table_SourceData_BurningResidueEFs[[#Headers],[Gas species]],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BF9BEBCE-0990-459C-A5C6-5C378A068AEF}" name="Table_SourceData_CropPurposeAndYields" displayName="Table_SourceData_CropPurposeAndYields" ref="D7:K10" totalsRowShown="0" headerRowDxfId="317">
  <autoFilter ref="D7:K10" xr:uid="{A2BEDD81-DD4E-48EE-9D36-B81EDA1F3FAE}">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EE827AB6-E362-4561-A876-BBF7D69B294C}" name="Purpose">
      <calculatedColumnFormula array="1">Common_InputFunctions.Utility_DisplayArrayInTable(Agresidue_SourceData.CropPurposeAndYield_Data(), Table_SourceData_CropPurposeAndYields[[#Headers],[Purpose]], 0)</calculatedColumnFormula>
    </tableColumn>
    <tableColumn id="2" xr3:uid="{16D92A9B-2F98-4899-914F-C15910FF72D2}" name="Per hectare unit">
      <calculatedColumnFormula array="1">Common_InputFunctions.Utility_DisplayArrayInTable(Agresidue_SourceData.CropPurposeAndYield_Data(), Table_SourceData_CropPurposeAndYields[[#Headers],[Purpose]], 0)</calculatedColumnFormula>
    </tableColumn>
    <tableColumn id="3" xr3:uid="{73AFC118-A03E-47B6-872E-75487AF1FEC7}" name="harvest term">
      <calculatedColumnFormula array="1">Common_InputFunctions.Utility_DisplayArrayInTable(Agresidue_SourceData.CropPurposeAndYield_Data(), Table_SourceData_CropPurposeAndYields[[#Headers],[Purpose]], 0)</calculatedColumnFormula>
    </tableColumn>
    <tableColumn id="4" xr3:uid="{3A313D54-C755-4DAA-A62F-B63D4DD16FFA}" name="harvest endpoint">
      <calculatedColumnFormula array="1">Common_InputFunctions.Utility_DisplayArrayInTable(Agresidue_SourceData.CropPurposeAndYield_Data(), Table_SourceData_CropPurposeAndYields[[#Headers],[Purpose]], 0)</calculatedColumnFormula>
    </tableColumn>
    <tableColumn id="5" xr3:uid="{6534D63C-A170-4F16-8B2C-AC7C15BB1D52}" name="Harvest uit">
      <calculatedColumnFormula array="1">Common_InputFunctions.Utility_DisplayArrayInTable(Agresidue_SourceData.CropPurposeAndYield_Data(), Table_SourceData_CropPurposeAndYields[[#Headers],[Purpose]], 0)</calculatedColumnFormula>
    </tableColumn>
    <tableColumn id="6" xr3:uid="{681A744B-C23F-4AB8-9A3A-C186BB879AF5}" name="Yield note">
      <calculatedColumnFormula array="1">Common_InputFunctions.Utility_DisplayArrayInTable(Agresidue_SourceData.CropPurposeAndYield_Data(), Table_SourceData_CropPurposeAndYields[[#Headers],[Purpose]], 0)</calculatedColumnFormula>
    </tableColumn>
    <tableColumn id="8" xr3:uid="{1EA89115-2DFA-4234-B471-72830DD5587B}" name="Residue crop ratio note">
      <calculatedColumnFormula array="1">Common_InputFunctions.Utility_DisplayArrayInTable(Agresidue_SourceData.CropPurposeAndYield_Data(), Table_SourceData_CropPurposeAndYields[[#Headers],[Purpose]], 0)</calculatedColumnFormula>
    </tableColumn>
    <tableColumn id="9" xr3:uid="{50EC3522-71A5-4985-B833-D2885BCCE858}" name="Total production note">
      <calculatedColumnFormula array="1">Common_InputFunctions.Utility_DisplayArrayInTable(Agresidue_SourceData.CropPurposeAndYield_Data(), Table_SourceData_CropPurposeAndYields[[#Headers],[Purpose]],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D5D2F967-AE37-4328-BBC7-35679B293A73}" name="Table_SourceData_Fertiliser_IrrigationMethods71" displayName="Table_SourceData_Fertiliser_IrrigationMethods71" ref="N21:N26" totalsRowShown="0">
  <autoFilter ref="N21:N26" xr:uid="{1AC5909E-E06C-4A79-81E9-C25A0B6D9E90}">
    <filterColumn colId="0" hiddenButton="1"/>
  </autoFilter>
  <tableColumns count="1">
    <tableColumn id="1" xr3:uid="{077FC9BA-D1A3-4002-9749-D0730FB46DA1}" name="Irrigation method"/>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55F6D3C9-3471-4CA1-93A8-45E234DBBA1D}" name="Table_SourceData_ElectricityEFs" displayName="Table_SourceData_ElectricityEFs" ref="D9:F19" totalsRowShown="0" headerRowDxfId="316">
  <autoFilter ref="D9:F19" xr:uid="{3144A982-7A4D-4CF2-8790-1A30DAE3E0A4}">
    <filterColumn colId="0" hiddenButton="1"/>
    <filterColumn colId="1" hiddenButton="1"/>
    <filterColumn colId="2" hiddenButton="1"/>
  </autoFilter>
  <tableColumns count="3">
    <tableColumn id="1" xr3:uid="{B9B281C4-617E-473E-9E5E-819865085E91}" name="State, Territory or grid description">
      <calculatedColumnFormula array="1">Common_InputFunctions.Utility_DisplayArrayInTable(Electricity_SourceData.Electricity_Scope2Scope3LocationBased_Data(), Table_SourceData_ElectricityEFs[[#Headers],[State, Territory or grid description]], 0)</calculatedColumnFormula>
    </tableColumn>
    <tableColumn id="2" xr3:uid="{2D18FE70-AB7A-4974-AAA2-2A5D9C34BB62}" name="Scope 2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 id="3" xr3:uid="{37EAC09E-CED0-4EDD-A1E9-A05ED0A26D3D}" name="Scope 3 Emission Factors (kg CO2-e/kWh)">
      <calculatedColumnFormula array="1">Common_InputFunctions.Utility_DisplayArrayInTable(Electricity_SourceData.Electricity_Scope2Scope3LocationBased_Data(), Table_SourceData_ElectricityEFs[[#Headers],[State, Territory or grid description]],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5B0DAF9E-6EBB-4FF2-B0D7-E04F3D8CFCBE}" name="Table_SourceData_ElectricityEFsMarketBased" displayName="Table_SourceData_ElectricityEFsMarketBased" ref="D24:H25" totalsRowShown="0">
  <autoFilter ref="D24:H25" xr:uid="{87EEFE36-44F1-40A4-8394-9054D486E209}">
    <filterColumn colId="0" hiddenButton="1"/>
    <filterColumn colId="1" hiddenButton="1"/>
    <filterColumn colId="2" hiddenButton="1"/>
    <filterColumn colId="3" hiddenButton="1"/>
    <filterColumn colId="4" hiddenButton="1"/>
  </autoFilter>
  <tableColumns count="5">
    <tableColumn id="1" xr3:uid="{800B84EB-6F5D-448C-A81B-57DC637FB707}" name="State, Territory or grid description"/>
    <tableColumn id="2" xr3:uid="{00BB5C7E-6DFA-4694-8350-8F345294DA76}" name="Scope 2 EF (kg CO2-e/kWh)"/>
    <tableColumn id="3" xr3:uid="{A314A27D-C37C-4F83-857A-60BAC66B9DE3}" name="Scope 2 EF (kg CO2-e/GJ)"/>
    <tableColumn id="4" xr3:uid="{FF70DDC8-6E0B-4CE5-8024-EB368B92FF01}" name="Scope 3 EF (kg CO2-e/kWh)"/>
    <tableColumn id="5" xr3:uid="{4656E3F0-262C-43BB-8F90-40C3860872E7}" name="Scope 3 EF (kg CO2-e/GJ)"/>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A533F906-7CBD-4124-A1DA-26000ACC3454}" name="Table_Fertiliser_ChemicalCompounds" displayName="Table_Fertiliser_ChemicalCompounds" ref="D19:I38" totalsRowShown="0">
  <autoFilter ref="D19:I38" xr:uid="{C62DD19F-CBC4-42A0-AD7E-F034180A8AA9}">
    <filterColumn colId="0" hiddenButton="1"/>
    <filterColumn colId="1" hiddenButton="1"/>
    <filterColumn colId="2" hiddenButton="1"/>
    <filterColumn colId="3" hiddenButton="1"/>
    <filterColumn colId="4" hiddenButton="1"/>
    <filterColumn colId="5" hiddenButton="1"/>
  </autoFilter>
  <tableColumns count="6">
    <tableColumn id="1" xr3:uid="{71D38BCE-44C9-4AB6-9051-668E590FF1CD}" name="Fertiliser type f">
      <calculatedColumnFormula array="1">Common_InputFunctions.Utility_DisplayArrayInTable(Fertiliser_SourceData.Fertiliser_ChemicalCompoundElements_Data(),Table_Fertiliser_ChemicalCompounds[[#Headers],[Fertiliser type f]], 0)</calculatedColumnFormula>
    </tableColumn>
    <tableColumn id="2" xr3:uid="{F0E2CD84-8742-4B23-B853-5D6BDE47F975}" name="FNinorganic f">
      <calculatedColumnFormula array="1">Common_InputFunctions.Utility_DisplayArrayInTable(Fertiliser_SourceData.Fertiliser_ChemicalCompoundElements_Data(),Table_Fertiliser_ChemicalCompounds[[#Headers],[Fertiliser type f]], 0)</calculatedColumnFormula>
    </tableColumn>
    <tableColumn id="3" xr3:uid="{617FBCEA-5A42-4ABF-9C8D-C44B7950F351}" name="FU f">
      <calculatedColumnFormula array="1">Common_InputFunctions.Utility_DisplayArrayInTable(Fertiliser_SourceData.Fertiliser_ChemicalCompoundElements_Data(),Table_Fertiliser_ChemicalCompounds[[#Headers],[Fertiliser type f]], 0)</calculatedColumnFormula>
    </tableColumn>
    <tableColumn id="4" xr3:uid="{CD727441-D56A-419C-A4E7-6DED5BBBD76F}" name="Basis">
      <calculatedColumnFormula array="1">Common_InputFunctions.Utility_DisplayArrayInTable(Fertiliser_SourceData.Fertiliser_ChemicalCompoundElements_Data(),Table_Fertiliser_ChemicalCompounds[[#Headers],[Fertiliser type f]], 0)</calculatedColumnFormula>
    </tableColumn>
    <tableColumn id="5" xr3:uid="{0D525534-C6EA-47B0-AC81-34F87D3ED97D}" name="Lifecycles Scope 3 definition">
      <calculatedColumnFormula array="1">Common_InputFunctions.Utility_DisplayArrayInTable(Fertiliser_SourceData.Fertiliser_ChemicalCompoundElements_Data(),Table_Fertiliser_ChemicalCompounds[[#Headers],[Fertiliser type f]], 0)</calculatedColumnFormula>
    </tableColumn>
    <tableColumn id="6" xr3:uid="{0D50DC9D-FD62-42C8-9C54-2E057AA6AE41}" name="Source">
      <calculatedColumnFormula array="1">Common_InputFunctions.Utility_DisplayArrayInTable(Fertiliser_SourceData.Fertiliser_ChemicalCompoundElements_Data(),Table_Fertiliser_ChemicalCompounds[[#Headers],[Fertiliser type f]],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3029E2D0-384D-4CE0-AFCE-2681796AFB2D}" name="FertiliserProducts" displayName="FertiliserProducts" ref="D89:AH223">
  <autoFilter ref="D89:AH223" xr:uid="{CF03620B-9968-447A-A13F-E60FF3C81E4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autoFilter>
  <tableColumns count="31">
    <tableColumn id="1" xr3:uid="{CFFB9D01-F61B-40B3-9082-9B413B1F3F90}" name="Company" totalsRowFunction="custom" totalsRowDxfId="426">
      <calculatedColumnFormula array="1">Common_InputFunctions.Utility_DisplayArrayInTable(Fertiliser_SourceData.Fertiliser_Products_Data1(),FertiliserProducts[[#Headers],[Company]], -1)</calculatedColumnFormula>
      <totalsRowFormula array="1">Common_InputFunctions.Utility_DisplayArrayInTable(Fertiliser_SourceData.Fertiliser_Products_Data3(), FertiliserProducts[[#Headers],[Company]],61)</totalsRowFormula>
    </tableColumn>
    <tableColumn id="2" xr3:uid="{AA919D4E-9FCE-402D-9FCA-86657E4A4E45}" name="Product" totalsRowFunction="custom" totalsRowCellStyle="Content normal">
      <calculatedColumnFormula array="1">Common_InputFunctions.Utility_DisplayArrayInTable(Fertiliser_SourceData.Fertiliser_Products_Data1(),FertiliserProducts[[#Headers],[Company]], 0)</calculatedColumnFormula>
      <totalsRowFormula array="1">Common_InputFunctions.Utility_DisplayArrayInTable(Fertiliser_SourceData.Fertiliser_Products_Data3(), FertiliserProducts[[#Headers],[Company]],61)</totalsRowFormula>
    </tableColumn>
    <tableColumn id="3" xr3:uid="{C78543A4-9BBA-4111-83CF-D48594E627EA}" name="Unit" totalsRowFunction="custom" totalsRowCellStyle="Content normal">
      <calculatedColumnFormula array="1">Common_InputFunctions.Utility_DisplayArrayInTable(Fertiliser_SourceData.Fertiliser_Products_Data1(),FertiliserProducts[[#Headers],[Company]], 0)</calculatedColumnFormula>
      <totalsRowFormula array="1">Common_InputFunctions.Utility_DisplayArrayInTable(Fertiliser_SourceData.Fertiliser_Products_Data3(), FertiliserProducts[[#Headers],[Company]],61)</totalsRowFormula>
    </tableColumn>
    <tableColumn id="4" xr3:uid="{FA24C725-0D6E-4A9E-BA1B-B72D853823FD}" name="Density" totalsRowFunction="custom" totalsRowCellStyle="Content normal">
      <calculatedColumnFormula array="1">Common_InputFunctions.Utility_DisplayArrayInTable(Fertiliser_SourceData.Fertiliser_Products_Data1(),FertiliserProducts[[#Headers],[Company]], 0)</calculatedColumnFormula>
      <totalsRowFormula array="1">Common_InputFunctions.Utility_DisplayArrayInTable(Fertiliser_SourceData.Fertiliser_Products_Data3(), FertiliserProducts[[#Headers],[Company]],61)</totalsRowFormula>
    </tableColumn>
    <tableColumn id="5" xr3:uid="{963E6A37-68FF-4ACD-A7F9-E57578BD7968}" name="Contains inhibitor"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6" xr3:uid="{429213B6-3232-4C56-82D0-310228665349}" name="Urea source"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7" xr3:uid="{C80B68E9-3C91-4E58-B8E0-417CD88FF85A}" name="Ammonia source"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8" xr3:uid="{D0A7D76C-2E28-458B-8FEC-F5C17158835E}" name="N declared"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9" xr3:uid="{51DDEFE5-38B4-47D5-B425-286356063933}" name="P declared"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0" xr3:uid="{D5383485-A37D-420A-A9DC-46CD6A0A9930}" name="K declared"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1" xr3:uid="{2C8757F7-C7A1-4E03-8665-742CC178A539}" name="S declared"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7" xr3:uid="{132C2AC0-D968-475E-9986-C485429DFEB9}" name="Ingredient 1" totalsRowFunction="custom" totalsRowCellStyle="Content normal">
      <totalsRowFormula array="1">Common_InputFunctions.Utility_DisplayArrayInTable(Fertiliser_SourceData.Fertiliser_Products_Data3(), FertiliserProducts[[#Headers],[Company]],61)</totalsRowFormula>
    </tableColumn>
    <tableColumn id="22" xr3:uid="{A2742024-D586-421D-911C-898C0A3B6674}" name="Ingredient 1 percent" totalsRowFunction="custom" totalsRowCellStyle="Content normal">
      <totalsRowFormula array="1">Common_InputFunctions.Utility_DisplayArrayInTable(Fertiliser_SourceData.Fertiliser_Products_Data3(), FertiliserProducts[[#Headers],[Company]],61)</totalsRowFormula>
    </tableColumn>
    <tableColumn id="12" xr3:uid="{54D0DD26-B01F-4A7E-9AC1-B1108AEEADD8}" name="Ingredient 2"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3" xr3:uid="{7C2B7CE3-05C4-4BA8-8814-17EE151ABD2B}" name="Ingredient 2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4" xr3:uid="{472308FF-7D7A-4968-96B3-204308D1FE66}" name="Ingredient 3"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5" xr3:uid="{6ECB2C64-23C4-42F1-BF48-94566B244F16}" name="Ingredient 3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6" xr3:uid="{40498BCD-6D97-49F9-AEB9-C125686BC254}" name="Ingredient 4"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7" xr3:uid="{C86FA3FF-563F-4F01-B306-938D51C11C3C}" name="Ingredient 4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8" xr3:uid="{94D84135-4729-4278-8FE5-CC684321763E}" name="Ingredient 5"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19" xr3:uid="{A123838A-A59A-4D1B-B871-772E9FFF43F0}" name="Ingredient 5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37" xr3:uid="{C6817E7F-5AA7-41DD-8E9A-782A0AE886D4}" name="Ingredient 6"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0" xr3:uid="{3AB39730-21F7-47E9-B7E5-9191073D05C2}" name="Ingredient 6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4" xr3:uid="{F51E27D5-FB74-48CE-BFD2-A7375309A3E2}" name="Ingredient 7"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3" xr3:uid="{55F2A8BB-9771-4A1E-BB42-5688AE20D01E}" name="Ingredient 7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6" xr3:uid="{843053F6-503A-4531-8B5F-D5D6F132E99A}" name="Ingredient 8"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5" xr3:uid="{EC5B69D3-67F2-47AE-A839-327373C49011}" name="Ingredient 8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30" xr3:uid="{3CAE50B1-8838-44C2-AAC0-6FB97580F3CE}" name="Ingredient 9"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9" xr3:uid="{99851B8D-9C61-4B5C-A4A3-813BAA60B5FC}" name="Ingredient 9 percent"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28" xr3:uid="{C1AF89D1-BA1E-4B3C-8B47-923E80F5FEC4}" name="Ingredient 10" totalsRowFunction="custom" totalsRowCellStyle="Content normal">
      <calculatedColumnFormula array="1">Common_InputFunctions.Utility_DisplayArrayInTable(Fertiliser_SourceData.Fertiliser_Products_Data1(),FertiliserProducts[[#Headers],[Company]], 0,4)</calculatedColumnFormula>
      <totalsRowFormula array="1">Common_InputFunctions.Utility_DisplayArrayInTable(Fertiliser_SourceData.Fertiliser_Products_Data3(), FertiliserProducts[[#Headers],[Company]],61)</totalsRowFormula>
    </tableColumn>
    <tableColumn id="31" xr3:uid="{136175BD-0928-4F65-837C-26F15A29464F}" name="Ingredient 10 percent" totalsRowCellStyle="Content normal"/>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A06AB6A9-EBD5-43FB-ABFF-38B378D86B82}" name="Table_SourceData_Fertiliser_FracGASF" displayName="Table_SourceData_Fertiliser_FracGASF" ref="D50:E55" totalsRowShown="0">
  <autoFilter ref="D50:E55" xr:uid="{BA6279EA-7DA2-46FA-80C0-81926E3CFC51}">
    <filterColumn colId="0" hiddenButton="1"/>
    <filterColumn colId="1" hiddenButton="1"/>
  </autoFilter>
  <tableColumns count="2">
    <tableColumn id="1" xr3:uid="{6FA40DFD-F8F2-48AC-A141-32D9BE35BF06}" name="Fertiliser type f">
      <calculatedColumnFormula array="1">Common_InputFunctions.Utility_DisplayArrayInTable(Fertiliser_SourceData.Fertiliser_FracGASF_Data(), Table_SourceData_Fertiliser_FracGASF[[#Headers],[Fertiliser type f]], 0)</calculatedColumnFormula>
    </tableColumn>
    <tableColumn id="2" xr3:uid="{7C2BD482-F6C2-4C28-8371-C534A8F85A6F}" name="FracGASF f" dataDxfId="425" dataCellStyle="Content normal">
      <calculatedColumnFormula array="1">Common_InputFunctions.Utility_DisplayArrayInTable(Fertiliser_SourceData.Fertiliser_FracGASF_Data(), Table_SourceData_Fertiliser_FracGASF[[#Headers],[Fertiliser type f]],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EFA11BE6-B9D9-41F8-90F0-2DA0559637EC}" name="Table_SourceData_Fertiliser_CropProdSystems" displayName="Table_SourceData_Fertiliser_CropProdSystems" ref="D41:D43" totalsRowShown="0">
  <autoFilter ref="D41:D43" xr:uid="{24F3A11E-40F5-4BB9-BFF4-A71FA2ADA0EF}">
    <filterColumn colId="0" hiddenButton="1"/>
  </autoFilter>
  <tableColumns count="1">
    <tableColumn id="1" xr3:uid="{38434ECB-5721-47E8-835B-8EC8563B5D45}" name="Production system">
      <calculatedColumnFormula>#REF!</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8E15B32F-3930-4CF7-8913-E88EDE075A70}" name="Table_SourceData_Fertiliser_IrrigationMethods" displayName="Table_SourceData_Fertiliser_IrrigationMethods" ref="H41:H46" totalsRowShown="0">
  <autoFilter ref="H41:H46" xr:uid="{B6754DF9-B9B7-4777-A419-208519289931}">
    <filterColumn colId="0" hiddenButton="1"/>
  </autoFilter>
  <tableColumns count="1">
    <tableColumn id="1" xr3:uid="{442DD313-8899-4543-8AE9-CC9AC26707DF}" name="Irrigation method"/>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52794A2E-09B5-4A38-B437-F2374D5F1378}" name="Table_SourceData_Fertiliser_CropTypes" displayName="Table_SourceData_Fertiliser_CropTypes" ref="F41:F45" totalsRowShown="0">
  <autoFilter ref="F41:F45" xr:uid="{CB5044B5-FA3C-4AA2-B1AB-72F7E61D072F}">
    <filterColumn colId="0" hiddenButton="1"/>
  </autoFilter>
  <tableColumns count="1">
    <tableColumn id="1" xr3:uid="{6BD4B8EE-8F01-4ECB-8B9D-3B6A22FBAE5F}" name="Production system"/>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4FF9DBDF-A761-4F63-A1FC-99C567592220}" name="Table_SourceData_OrganicFertiliserTypes" displayName="Table_SourceData_OrganicFertiliserTypes" ref="J41:J46" totalsRowShown="0">
  <autoFilter ref="J41:J46" xr:uid="{B44627B1-537E-4ABC-92C3-57282CEE5B40}">
    <filterColumn colId="0" hiddenButton="1"/>
  </autoFilter>
  <tableColumns count="1">
    <tableColumn id="1" xr3:uid="{2E307688-EE29-4B39-A439-FF47F59EE167}" name="Organic fertiliser type"/>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6912D487-2661-4E97-BA5F-74AFD711C3B4}" name="Table_SourceData_Fertiliser_LimeDolomiteConstants" displayName="Table_SourceData_Fertiliser_LimeDolomiteConstants" ref="D65:F68" totalsRowShown="0">
  <autoFilter ref="D65:F68" xr:uid="{300169C1-BC7A-441C-840D-3C2EFD141B42}">
    <filterColumn colId="0" hiddenButton="1"/>
    <filterColumn colId="1" hiddenButton="1"/>
    <filterColumn colId="2" hiddenButton="1"/>
  </autoFilter>
  <tableColumns count="3">
    <tableColumn id="1" xr3:uid="{CD148851-4C8E-461C-9247-0D36DB371191}" name="Element">
      <calculatedColumnFormula array="1">Common_InputFunctions.Utility_DisplayArrayInTable(Fertiliser_SourceData.Fertiliser_LimeDolomiteGypsumConstants_Data(), Table_SourceData_Fertiliser_LimeDolomiteConstants[[#Headers],[Element]], 0)</calculatedColumnFormula>
    </tableColumn>
    <tableColumn id="2" xr3:uid="{B91A69FF-BD15-465F-A978-13774FA9CB37}" name="P" dataDxfId="424"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 id="3" xr3:uid="{FB117BF4-BC1D-468A-A090-7CAE5F97B6EF}" name="EF" dataDxfId="423"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2045B418-FA09-4963-9A45-32A7EAD3ED42}" name="Table2" displayName="Table2" ref="K19:L28" totalsRowShown="0" dataDxfId="422" dataCellStyle="Content normal">
  <autoFilter ref="K19:L28" xr:uid="{27B93029-EB1F-4C4A-A946-CD673A8A6C46}">
    <filterColumn colId="0" hiddenButton="1"/>
    <filterColumn colId="1" hiddenButton="1"/>
  </autoFilter>
  <tableColumns count="2">
    <tableColumn id="1" xr3:uid="{45A902F4-EE35-4FC7-9E4C-677BA2C8436B}" name="Fertiliser type f" dataDxfId="421" dataCellStyle="Content normal">
      <calculatedColumnFormula array="1">Common_InputFunctions.Utility_DisplayArrayInTable(Fertiliser_SourceData.Fertiliser_FractionNCommonFertilisers_Data(), Table2[[#Headers],[Fertiliser type f]], 0)</calculatedColumnFormula>
    </tableColumn>
    <tableColumn id="2" xr3:uid="{FEAAD6AD-9A82-40D6-ADE8-5F05E7F960A5}" name="FNinorganic f" dataDxfId="420" dataCellStyle="Content normal">
      <calculatedColumnFormula array="1">Common_InputFunctions.Utility_DisplayArrayInTable(Fertiliser_SourceData.Fertiliser_FractionNCommonFertilisers_Data(), Table2[[#Headers],[Fertiliser type f]], 0)</calculatedColumnFormula>
    </tableColumn>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C62D8A27-71E0-460F-B762-2320F6E01C55}" name="Table28" displayName="Table28" ref="Q19:R28" totalsRowShown="0" dataDxfId="419" dataCellStyle="Content normal">
  <autoFilter ref="Q19:R28" xr:uid="{791CEA59-796C-47AB-86BC-41E8F699030C}">
    <filterColumn colId="0" hiddenButton="1"/>
    <filterColumn colId="1" hiddenButton="1"/>
  </autoFilter>
  <tableColumns count="2">
    <tableColumn id="1" xr3:uid="{167357C8-6BD9-4D5E-8E57-F59E3CECCB85}" name="Fertiliser type f" dataDxfId="418" dataCellStyle="Content normal">
      <calculatedColumnFormula array="1">Common_InputFunctions.Utility_DisplayArrayInTable(Fertiliser_SourceData.Fertiliser_FractionUreaCommonFertilisers_Data(), Table28[[#Headers],[Fertiliser type f]], 0)</calculatedColumnFormula>
    </tableColumn>
    <tableColumn id="2" xr3:uid="{884B865D-069B-4ECE-9D3C-BDB26B830A25}" name="FNinorganic f" dataDxfId="417" dataCellStyle="Content normal">
      <calculatedColumnFormula array="1">Common_InputFunctions.Utility_DisplayArrayInTable(Fertiliser_SourceData.Fertiliser_FractionUreaCommonFertilisers_Data(), Table28[[#Headers],[Fertiliser type f]], 0)</calculatedColumnFormula>
    </tableColumn>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FAF7691B-199D-45F8-B2D1-BD0F805EFB1B}" name="Table_SourceData_Fertiliser_UreaAmmoniaSources" displayName="Table_SourceData_Fertiliser_UreaAmmoniaSources" ref="V19:V23" totalsRowShown="0">
  <autoFilter ref="V19:V23" xr:uid="{FCD2F96D-F34B-40EA-87DE-66D680DF332D}">
    <filterColumn colId="0" hiddenButton="1"/>
  </autoFilter>
  <tableColumns count="1">
    <tableColumn id="1" xr3:uid="{24A1BB72-36A1-43B0-BBAC-ADBCD895F764}" name="Source">
      <calculatedColumnFormula array="1">Common_InputFunctions.Utility_DisplayArrayInTable(Fertiliser_SourceData.Fertiliser_UreaAmmoniaSourceRegions_Data(),Table_SourceData_Fertiliser_UreaAmmoniaSources[[#Headers],[Source]],0)</calculatedColumnFormula>
    </tableColumn>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77DD2890-51BC-44EF-9445-4B7B936805BE}" name="Table_Fuel_EFs_StationaryLiquid" displayName="Table_Fuel_EFs_StationaryLiquid" ref="D53:K77" totalsRowShown="0" headerRowDxfId="315" dataDxfId="314">
  <autoFilter ref="D53:K77" xr:uid="{2781308E-D97C-445B-A805-DE74F822CC4F}">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B1DC1AFB-EAC4-4C21-AC09-6417160A3199}" name="Fuel combusted" dataDxfId="313">
      <calculatedColumnFormula array="1">Common_InputFunctions.Utility_DisplayArrayInTable(Fuel_SourceData.Fuel_Scope1Scope3EmissionFactorsStationaryLiquid_Data(), Table_Fuel_EFs_StationaryLiquid[[#Headers],[Fuel combusted]],0)</calculatedColumnFormula>
    </tableColumn>
    <tableColumn id="2" xr3:uid="{2136EA63-110E-413D-B724-0ADB4C22E787}" name="Energy Content Factor (GJ per unit of fuel)" dataDxfId="312">
      <calculatedColumnFormula array="1">Common_InputFunctions.Utility_DisplayArrayInTable(Fuel_SourceData.Fuel_Scope1Scope3EmissionFactorsStationaryLiquid_Data(), Table_Fuel_EFs_StationaryLiquid[[#Headers],[Fuel combusted]],0)</calculatedColumnFormula>
    </tableColumn>
    <tableColumn id="3" xr3:uid="{384B0954-A685-4DAD-B30C-5D294581D3ED}" name="Fuel unit" dataDxfId="311">
      <calculatedColumnFormula array="1">Common_InputFunctions.Utility_DisplayArrayInTable(Fuel_SourceData.Fuel_Scope1Scope3EmissionFactorsStationaryLiquid_Data(), Table_Fuel_EFs_StationaryLiquid[[#Headers],[Fuel combusted]],0)</calculatedColumnFormula>
    </tableColumn>
    <tableColumn id="4" xr3:uid="{9039CBC7-C6BB-47AC-A0C2-A83EB09D0ADA}" name="Scope 1 Emission Factor (kg CO2 - e / GJ) CO2" dataDxfId="310">
      <calculatedColumnFormula array="1">Common_InputFunctions.Utility_DisplayArrayInTable(Fuel_SourceData.Fuel_Scope1Scope3EmissionFactorsStationaryLiquid_Data(), Table_Fuel_EFs_StationaryLiquid[[#Headers],[Fuel combusted]],0)</calculatedColumnFormula>
    </tableColumn>
    <tableColumn id="5" xr3:uid="{FA171EAD-D7C1-4379-97AE-2BD533155B6F}" name="Scope 1 Emission Factor (kg CO2 - e / GJ) CH4" dataDxfId="309">
      <calculatedColumnFormula array="1">Common_InputFunctions.Utility_DisplayArrayInTable(Fuel_SourceData.Fuel_Scope1Scope3EmissionFactorsStationaryLiquid_Data(), Table_Fuel_EFs_StationaryLiquid[[#Headers],[Fuel combusted]],0)</calculatedColumnFormula>
    </tableColumn>
    <tableColumn id="6" xr3:uid="{F4F8C7E8-D254-447A-9388-296E7B048269}" name="Scope 1 Emission Factor (kg CO2 - e / GJ) N2O" dataDxfId="308">
      <calculatedColumnFormula array="1">Common_InputFunctions.Utility_DisplayArrayInTable(Fuel_SourceData.Fuel_Scope1Scope3EmissionFactorsStationaryLiquid_Data(), Table_Fuel_EFs_StationaryLiquid[[#Headers],[Fuel combusted]],0)</calculatedColumnFormula>
    </tableColumn>
    <tableColumn id="7" xr3:uid="{4FEB2E55-8F59-4CA5-9B17-71DDC3159CAA}" name="Scope 1 Emission Factor (kg CO2 - e / GJ) Combined gases" dataDxfId="307">
      <calculatedColumnFormula array="1">Common_InputFunctions.Utility_DisplayArrayInTable(Fuel_SourceData.Fuel_Scope1Scope3EmissionFactorsStationaryLiquid_Data(), Table_Fuel_EFs_StationaryLiquid[[#Headers],[Fuel combusted]],0)</calculatedColumnFormula>
    </tableColumn>
    <tableColumn id="8" xr3:uid="{F17100FF-1F7A-4E64-AE0C-65C3B28A8258}" name="Scope 3 Emission Factor (kg CO2 - e / GJ)" dataDxfId="306">
      <calculatedColumnFormula array="1">Common_InputFunctions.Utility_DisplayArrayInTable(Fuel_SourceData.Fuel_Scope1Scope3EmissionFactorsStationaryLiquid_Data(), Table_Fuel_EFs_StationaryLiquid[[#Headers],[Fuel combusted]],0)</calculatedColumnFormula>
    </tableColumn>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518B86DD-EE3B-46A5-931E-7EA2E7077116}" name="Table_Fuel_EFs_Transport" displayName="Table_Fuel_EFs_Transport" ref="D9:L34" totalsRowShown="0" headerRowDxfId="305" dataDxfId="304">
  <autoFilter ref="D9:L34" xr:uid="{52589EE1-5F69-4B49-BF30-7629445C443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4FCFEB9A-E79C-41D2-B194-FD714E0EA444}" name="Transport type" dataDxfId="303">
      <calculatedColumnFormula array="1">Common_InputFunctions.Utility_DisplayArrayInTable(Fuel_SourceData.Fuel_Scope1Scope3EmissionFactorsTransport_Data(), Table_Fuel_EFs_Transport[[#Headers],[Transport type]], 0)</calculatedColumnFormula>
    </tableColumn>
    <tableColumn id="2" xr3:uid="{C4CABD4F-C314-437B-9588-E6DBD907A9BB}" name="Fuel combusted" dataDxfId="302">
      <calculatedColumnFormula array="1">Common_InputFunctions.Utility_DisplayArrayInTable(Fuel_SourceData.Fuel_Scope1Scope3EmissionFactorsTransport_Data(), Table_Fuel_EFs_Transport[[#Headers],[Transport type]], 0)</calculatedColumnFormula>
    </tableColumn>
    <tableColumn id="3" xr3:uid="{46816EFB-573B-465D-BA1B-9985FC59667D}" name="Energy Content Factor (GJ per unit of fuel)" dataDxfId="301">
      <calculatedColumnFormula array="1">Common_InputFunctions.Utility_DisplayArrayInTable(Fuel_SourceData.Fuel_Scope1Scope3EmissionFactorsTransport_Data(), Table_Fuel_EFs_Transport[[#Headers],[Transport type]], 0)</calculatedColumnFormula>
    </tableColumn>
    <tableColumn id="4" xr3:uid="{FEEB459F-15AA-4596-B02F-1BCA7AA11FEE}" name="Fuel unit" dataDxfId="300">
      <calculatedColumnFormula array="1">Common_InputFunctions.Utility_DisplayArrayInTable(Fuel_SourceData.Fuel_Scope1Scope3EmissionFactorsTransport_Data(), Table_Fuel_EFs_Transport[[#Headers],[Transport type]], 0)</calculatedColumnFormula>
    </tableColumn>
    <tableColumn id="8" xr3:uid="{CD6215F2-4000-4AFD-BDD3-A5BFCBCF50CD}" name="Scope 1 Emission Factor (kg CO2 - e / GJ) CO2" dataDxfId="299">
      <calculatedColumnFormula array="1">Common_InputFunctions.Utility_DisplayArrayInTable(Fuel_SourceData.Fuel_Scope1Scope3EmissionFactorsTransport_Data(), Table_Fuel_EFs_Transport[[#Headers],[Transport type]], 0)</calculatedColumnFormula>
    </tableColumn>
    <tableColumn id="9" xr3:uid="{88935450-9A81-4390-823E-28410EBE13F8}" name="Scope 1 Emission Factor (kg CO2 - e / GJ) CH4" dataDxfId="298">
      <calculatedColumnFormula array="1">Common_InputFunctions.Utility_DisplayArrayInTable(Fuel_SourceData.Fuel_Scope1Scope3EmissionFactorsTransport_Data(), Table_Fuel_EFs_Transport[[#Headers],[Transport type]], 0)</calculatedColumnFormula>
    </tableColumn>
    <tableColumn id="10" xr3:uid="{57DDA7F2-9C96-4EBA-8B17-3E4FF2A6222E}" name="Scope 1 Emission Factor (kg CO2 - e / GJ) N2O" dataDxfId="297">
      <calculatedColumnFormula array="1">Common_InputFunctions.Utility_DisplayArrayInTable(Fuel_SourceData.Fuel_Scope1Scope3EmissionFactorsTransport_Data(), Table_Fuel_EFs_Transport[[#Headers],[Transport type]], 0)</calculatedColumnFormula>
    </tableColumn>
    <tableColumn id="11" xr3:uid="{5164E56D-30E4-427D-8DC0-60F6608E694E}" name="Scope 1 Emission Factor (kg CO2 - e / GJ) Combined gases" dataDxfId="296">
      <calculatedColumnFormula array="1">Common_InputFunctions.Utility_DisplayArrayInTable(Fuel_SourceData.Fuel_Scope1Scope3EmissionFactorsTransport_Data(), Table_Fuel_EFs_Transport[[#Headers],[Transport type]], 0)</calculatedColumnFormula>
    </tableColumn>
    <tableColumn id="12" xr3:uid="{914D3BFE-B608-49C6-8732-B4849AB20C62}" name="Scope 3 Emission Factor (kg CO2 - e / GJ)" dataDxfId="295">
      <calculatedColumnFormula array="1">Common_InputFunctions.Utility_DisplayArrayInTable(Fuel_SourceData.Fuel_Scope1Scope3EmissionFactorsTransport_Data(), Table_Fuel_EFs_Transport[[#Headers],[Transport type]], 0)</calculatedColumnFormula>
    </tableColumn>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31352761-9283-4332-982A-9D315AC09908}" name="Table_FuelTypesPerUse" displayName="Table_FuelTypesPerUse" ref="D130:I139" totalsRowShown="0" headerRowDxfId="294" dataDxfId="293">
  <autoFilter ref="D130:I139" xr:uid="{5CE27F6B-DBAC-48D7-85B3-77E92E77D6C0}">
    <filterColumn colId="0" hiddenButton="1"/>
    <filterColumn colId="1" hiddenButton="1"/>
    <filterColumn colId="2" hiddenButton="1"/>
    <filterColumn colId="3" hiddenButton="1"/>
    <filterColumn colId="4" hiddenButton="1"/>
    <filterColumn colId="5" hiddenButton="1"/>
  </autoFilter>
  <tableColumns count="6">
    <tableColumn id="1" xr3:uid="{19148E42-BC7E-4F94-BB40-532A500682AC}" name="Generators" dataDxfId="292"/>
    <tableColumn id="2" xr3:uid="{2FC3EFF6-2915-4A45-9E25-2E940524D2FB}" name="Power standalone machinery or heating" dataDxfId="291"/>
    <tableColumn id="3" xr3:uid="{AC05CE1D-6A28-4DF7-B4EA-21F1FBE1C40B}" name="Aviation" dataDxfId="290"/>
    <tableColumn id="5" xr3:uid="{D952A581-6855-4E06-865F-9AB052B45D59}" name="Cars and light commercial vehicles" dataDxfId="289"/>
    <tableColumn id="7" xr3:uid="{143B4A96-D55B-4DB8-B2EA-BC99E0EB404F}" name="Off-road Agriculture and forestry equipment" dataDxfId="288" dataCellStyle="Content bold"/>
    <tableColumn id="8" xr3:uid="{C0332670-51BC-420D-A6F3-6BBC05033FED}" name="Vessels" dataDxfId="287" dataCellStyle="Content bold"/>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CA857AD4-887D-4D0A-BB85-914B7F8FF181}" name="Table_Fuel_EFs_StationaryGaseous" displayName="Table_Fuel_EFs_StationaryGaseous" ref="D86:J104" totalsRowShown="0" headerRowDxfId="286" dataDxfId="285">
  <autoFilter ref="D86:J104" xr:uid="{2DFA7F9E-607A-4EC9-89A5-ADF4BF63C858}">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6470B5D3-124C-444F-A6E5-A42F739B6592}" name="Fuel combusted" dataDxfId="284">
      <calculatedColumnFormula array="1">Common_InputFunctions.Utility_DisplayArrayInTable(Fuel_SourceData.Fuel_Scope1EmissionFactorsStationaryGaseous_Data(), Table_Fuel_EFs_StationaryGaseous[[#Headers],[Fuel combusted]],0)</calculatedColumnFormula>
    </tableColumn>
    <tableColumn id="2" xr3:uid="{87C1904C-2423-4CC1-9BFF-3C18AE554007}" name="Energy Content Factor (GJ per unit of fuel)" dataDxfId="283">
      <calculatedColumnFormula array="1">Common_InputFunctions.Utility_DisplayArrayInTable(Fuel_SourceData.Fuel_Scope1EmissionFactorsStationaryGaseous_Data(), Table_Fuel_EFs_StationaryGaseous[[#Headers],[Fuel combusted]],0)</calculatedColumnFormula>
    </tableColumn>
    <tableColumn id="3" xr3:uid="{6A0AFC1F-7DC2-4819-B576-BB9DAC933AD5}" name="Fuel unit" dataDxfId="282">
      <calculatedColumnFormula array="1">Common_InputFunctions.Utility_DisplayArrayInTable(Fuel_SourceData.Fuel_Scope1EmissionFactorsStationaryGaseous_Data(), Table_Fuel_EFs_StationaryGaseous[[#Headers],[Fuel combusted]],0)</calculatedColumnFormula>
    </tableColumn>
    <tableColumn id="4" xr3:uid="{D4A9B3EA-1F24-42BD-8753-5C72AC0A8015}" name="Scope 1 Emission Factor (kg CO2 - e / GJ) CO2" dataDxfId="281">
      <calculatedColumnFormula array="1">Common_InputFunctions.Utility_DisplayArrayInTable(Fuel_SourceData.Fuel_Scope1EmissionFactorsStationaryGaseous_Data(), Table_Fuel_EFs_StationaryGaseous[[#Headers],[Fuel combusted]],0)</calculatedColumnFormula>
    </tableColumn>
    <tableColumn id="5" xr3:uid="{A9FE7AD6-10A7-4CFB-968E-F1F46C5A7670}" name="Scope 1 Emission Factor (kg CO2 - e / GJ) CH4" dataDxfId="280">
      <calculatedColumnFormula array="1">Common_InputFunctions.Utility_DisplayArrayInTable(Fuel_SourceData.Fuel_Scope1EmissionFactorsStationaryGaseous_Data(), Table_Fuel_EFs_StationaryGaseous[[#Headers],[Fuel combusted]],0)</calculatedColumnFormula>
    </tableColumn>
    <tableColumn id="6" xr3:uid="{1297DEB3-3276-4B15-AD86-E3E0A1AB19B3}" name="Scope 1 Emission Factor (kg CO2 - e / GJ) N2O" dataDxfId="279">
      <calculatedColumnFormula array="1">Common_InputFunctions.Utility_DisplayArrayInTable(Fuel_SourceData.Fuel_Scope1EmissionFactorsStationaryGaseous_Data(), Table_Fuel_EFs_StationaryGaseous[[#Headers],[Fuel combusted]],0)</calculatedColumnFormula>
    </tableColumn>
    <tableColumn id="7" xr3:uid="{A74B45FB-5E83-4393-B07B-3601E07F4A33}" name="Scope 1 Emission Factor (kg CO2 - e / GJ) Combined gases" dataDxfId="278">
      <calculatedColumnFormula array="1">Common_InputFunctions.Utility_DisplayArrayInTable(Fuel_SourceData.Fuel_Scope1EmissionFactorsStationaryGaseous_Data(), Table_Fuel_EFs_StationaryGaseous[[#Headers],[Fuel combusted]],0)</calculatedColumnFormula>
    </tableColumn>
  </tableColumns>
  <tableStyleInfo name="Equation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2DF58DED-4F0C-49B9-A2AA-62D044F8144F}" name="Table_Fuel_EFs_StationaryGaseous34" displayName="Table_Fuel_EFs_StationaryGaseous34" ref="D112:G120" headerRowDxfId="277" totalsRowDxfId="276">
  <autoFilter ref="D112:G120" xr:uid="{7D6CE29D-2354-4FAC-9965-9A66FFA42416}">
    <filterColumn colId="0" hiddenButton="1"/>
    <filterColumn colId="1" hiddenButton="1"/>
    <filterColumn colId="2" hiddenButton="1"/>
    <filterColumn colId="3" hiddenButton="1"/>
  </autoFilter>
  <tableColumns count="4">
    <tableColumn id="1" xr3:uid="{3644FF24-39BD-4D6B-AD70-8198831A4A07}" name="State or territory" totalsRowDxfId="275">
      <calculatedColumnFormula array="1">Common_InputFunctions.Utility_DisplayArrayInTable(Fuel_SourceData.Fuel_Scope3EmissionFactorsStationaryGaseous_Data(), Table_Fuel_EFs_StationaryGaseous34[[#Headers],[State or territory]],0)</calculatedColumnFormula>
    </tableColumn>
    <tableColumn id="2" xr3:uid="{04FDD4EC-ADAC-4FC2-89E5-2EFF3518CBB7}" name="Metro" totalsRowDxfId="274">
      <calculatedColumnFormula array="1">Common_InputFunctions.Utility_DisplayArrayInTable(Fuel_SourceData.Fuel_Scope3EmissionFactorsStationaryGaseous_Data(), Table_Fuel_EFs_StationaryGaseous34[[#Headers],[State or territory]],0)</calculatedColumnFormula>
    </tableColumn>
    <tableColumn id="3" xr3:uid="{F8967F3D-9790-4E46-B777-35510A933FB7}" name="Non-metro" totalsRowDxfId="273">
      <calculatedColumnFormula array="1">Common_InputFunctions.Utility_DisplayArrayInTable(Fuel_SourceData.Fuel_Scope3EmissionFactorsStationaryGaseous_Data(), Table_Fuel_EFs_StationaryGaseous34[[#Headers],[State or territory]],0)</calculatedColumnFormula>
    </tableColumn>
    <tableColumn id="4" xr3:uid="{5A816824-1A93-48F8-9062-930CAB79DA3D}" name="Column1" dataDxfId="0" totalsRowDxfId="1" dataCellStyle="Content normal"/>
  </tableColumns>
  <tableStyleInfo name="Equation table"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E113D9F3-0B84-4D8F-8A0F-4AD5EE0DCC8E}" name="Table_FuelTypes_Units" displayName="Table_FuelTypes_Units" ref="D142:F162" totalsRowShown="0">
  <autoFilter ref="D142:F162" xr:uid="{74386805-E5CF-44F9-982C-CBCADB323E30}">
    <filterColumn colId="0" hiddenButton="1"/>
    <filterColumn colId="1" hiddenButton="1"/>
    <filterColumn colId="2" hiddenButton="1"/>
  </autoFilter>
  <tableColumns count="3">
    <tableColumn id="1" xr3:uid="{9E51061E-850C-4784-A6AF-687971E40461}" name="Fuel type"/>
    <tableColumn id="2" xr3:uid="{6B11FD96-80CF-4122-8C96-EE27116B46F9}" name="Unit"/>
    <tableColumn id="3" xr3:uid="{02C20D4E-26A9-403B-AF8B-E23564B56A8C}" name="Input Unit" dataDxfId="272"/>
  </tableColumns>
  <tableStyleInfo name="Equation table"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973F456A-725E-43D8-B0AA-6346C058940D}" name="Table_SourceData_Fuel_TransportOffroad" displayName="Table_SourceData_Fuel_TransportOffroad" ref="D39:J43" totalsRowShown="0">
  <autoFilter ref="D39:J43" xr:uid="{456A2798-6FBD-4412-969A-03F7173DF55E}">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238E4B21-7210-4B4C-BD65-B997F0616E29}" name="Transport type t">
      <calculatedColumnFormula array="1">Common_InputFunctions.Utility_DisplayArrayInTable(Fuel_SourceData.Fuel_Scope1Scope3EmissionFactorsTransportOffRoad_Data(), Table_SourceData_Fuel_TransportOffroad[[#Headers],[Transport type t]],0)</calculatedColumnFormula>
    </tableColumn>
    <tableColumn id="2" xr3:uid="{EADA35AD-A906-482D-9B6A-BC9B9FE00EEE}" name="Fuel type q" dataDxfId="271"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3" xr3:uid="{0C50B43E-653C-4D8C-A8DA-784E8E54959B}" name="ECTrans,q (GJ/kL)" dataDxfId="270"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4" xr3:uid="{B0BAC83F-9AA3-4DE3-879D-5C8CCEB28F02}" name="Scope 1 CO2 EFTran,1,tqg (kg CO2-e/GJ)" dataDxfId="269"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5" xr3:uid="{3EABE8A7-993C-4CED-8C16-A105CAFB3EAE}" name="Scope 1 CH4 EFTran,1,tgg (kg CO2-e/GJ)" dataDxfId="268"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6" xr3:uid="{0E6B9D7C-6A0C-40F5-91DB-1731CEFD241F}" name="Scope 1 N2O EFTran,1,tgg (kg CO2-e/GJ)" dataDxfId="267"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 id="7" xr3:uid="{30B8C15D-1AB1-44DB-ABEF-01370E4E5125}" name="Scope 3 EFTrans,3,q (kg CO2-e/GJ)" dataDxfId="266" dataCellStyle="Content normal">
      <calculatedColumnFormula array="1">Common_InputFunctions.Utility_DisplayArrayInTable(Fuel_SourceData.Fuel_Scope1Scope3EmissionFactorsTransportOffRoad_Data(), Table_SourceData_Fuel_TransportOffroad[[#Headers],[Transport type t]],0)</calculatedColumnFormula>
    </tableColumn>
  </tableColumns>
  <tableStyleInfo name="Equation table"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FFDB899E-76F2-44B5-A363-4ECF9B850DFE}" name="Table_SourceData_Scope3_Animals" displayName="Table_SourceData_Scope3_Animals" ref="D33:J74" totalsRowShown="0">
  <autoFilter ref="D33:J74" xr:uid="{750CD25E-51AF-4085-A595-601E6358D38C}">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1840A7F2-6B7F-4DA0-9703-4097DD49CDCD}" name="Category" dataDxfId="265" dataCellStyle="Content normal">
      <calculatedColumnFormula array="1">Common_InputFunctions.Utility_DisplayArrayInTable(Scope3_SourceData.Scope3_Livestock_Data(), Table_SourceData_Scope3_Animals[[#Headers],[Category]], 0, 2)</calculatedColumnFormula>
    </tableColumn>
    <tableColumn id="2" xr3:uid="{9A9F3D43-9948-42C1-9F16-5C78EDD949F6}" name="Product" dataDxfId="264" dataCellStyle="Content normal">
      <calculatedColumnFormula array="1">Common_InputFunctions.Utility_DisplayArrayInTable(Scope3_SourceData.Scope3_Livestock_Data(), Table_SourceData_Scope3_Animals[[#Headers],[Category]], 0, 2)</calculatedColumnFormula>
    </tableColumn>
    <tableColumn id="3" xr3:uid="{EC8850FB-4ABD-4933-AFF9-6BBBD551A8CF}" name="Region of origin" dataDxfId="263" dataCellStyle="Content normal">
      <calculatedColumnFormula array="1">Common_InputFunctions.Utility_DisplayArrayInTable(Scope3_SourceData.Scope3_Livestock_Data(), Table_SourceData_Scope3_Animals[[#Headers],[Category]], 0, 2)</calculatedColumnFormula>
    </tableColumn>
    <tableColumn id="8" xr3:uid="{FFE904DF-3A0E-4F5C-9E64-63FD8A8A5CB9}" name="Quantity Unit" dataDxfId="262" dataCellStyle="Content normal">
      <calculatedColumnFormula array="1">Common_InputFunctions.Utility_DisplayArrayInTable(Scope3_SourceData.Scope3_Livestock_Data(), Table_SourceData_Scope3_Animals[[#Headers],[Category]], 0, 2)</calculatedColumnFormula>
    </tableColumn>
    <tableColumn id="9" xr3:uid="{42973EE1-7E22-46E5-AC6F-AF1E9E336B0D}" name="Emissions intensity" dataDxfId="261" dataCellStyle="Content normal">
      <calculatedColumnFormula array="1">Common_InputFunctions.Utility_DisplayArrayInTable(Scope3_SourceData.Scope3_Livestock_Data(), Table_SourceData_Scope3_Animals[[#Headers],[Category]], 0, 2)</calculatedColumnFormula>
    </tableColumn>
    <tableColumn id="10" xr3:uid="{FEA3E0CB-793C-46F1-BA8D-391DB118B8D8}" name="System boundary" dataDxfId="260" dataCellStyle="Content normal">
      <calculatedColumnFormula array="1">Common_InputFunctions.Utility_DisplayArrayInTable(Scope3_SourceData.Scope3_Livestock_Data(), Table_SourceData_Scope3_Animals[[#Headers],[Category]], 0, 2)</calculatedColumnFormula>
    </tableColumn>
    <tableColumn id="4" xr3:uid="{82A60B5B-64E0-4929-AE8D-EF1388D65DD0}" name="Source" dataDxfId="259" dataCellStyle="Content normal"/>
  </tableColumns>
  <tableStyleInfo name="Equation table"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33AEFB50-5498-4C37-B372-1F32974B6873}" name="Table_SourceData_Scope3_ChemicalsCleaning" displayName="Table_SourceData_Scope3_ChemicalsCleaning" ref="D77:J80" totalsRowShown="0">
  <autoFilter ref="D77:J80" xr:uid="{10291E5F-4512-44BD-934A-80D446AD4B71}">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3F06F276-11C0-4FCF-999E-7E73F24E4B10}" name="Category" dataDxfId="258" dataCellStyle="Content normal">
      <calculatedColumnFormula array="1">Common_InputFunctions.Utility_DisplayArrayInTable(Scope3_SourceData.Scope3_Chemicals_Data(), Table_SourceData_Scope3_ChemicalsCleaning[[#Headers],[Category]], 0, 2)</calculatedColumnFormula>
    </tableColumn>
    <tableColumn id="2" xr3:uid="{62E7AE2C-4876-4F17-B4C5-BCA46DE0030E}" name="Product" dataDxfId="257" dataCellStyle="Content normal">
      <calculatedColumnFormula array="1">Common_InputFunctions.Utility_DisplayArrayInTable(Scope3_SourceData.Scope3_Chemicals_Data(), Table_SourceData_Scope3_ChemicalsCleaning[[#Headers],[Category]], 0, 2)</calculatedColumnFormula>
    </tableColumn>
    <tableColumn id="3" xr3:uid="{08E13827-DE82-4D96-B97E-B4229F297E7F}" name="Region of origin" dataDxfId="256" dataCellStyle="Content normal">
      <calculatedColumnFormula array="1">Common_InputFunctions.Utility_DisplayArrayInTable(Scope3_SourceData.Scope3_Chemicals_Data(), Table_SourceData_Scope3_ChemicalsCleaning[[#Headers],[Category]], 0, 2)</calculatedColumnFormula>
    </tableColumn>
    <tableColumn id="8" xr3:uid="{088789DD-80D2-4B6D-92EC-959EE083E9FE}" name="Quantity Unit" dataDxfId="255" dataCellStyle="Content normal">
      <calculatedColumnFormula array="1">Common_InputFunctions.Utility_DisplayArrayInTable(Scope3_SourceData.Scope3_Chemicals_Data(), Table_SourceData_Scope3_ChemicalsCleaning[[#Headers],[Category]], 0, 2)</calculatedColumnFormula>
    </tableColumn>
    <tableColumn id="9" xr3:uid="{A0ECF5EA-ADB6-411A-80F8-700F68863528}" name="Emissions intensity" dataDxfId="254" dataCellStyle="Content normal">
      <calculatedColumnFormula array="1">Common_InputFunctions.Utility_DisplayArrayInTable(Scope3_SourceData.Scope3_Chemicals_Data(), Table_SourceData_Scope3_ChemicalsCleaning[[#Headers],[Category]], 0, 2)</calculatedColumnFormula>
    </tableColumn>
    <tableColumn id="10" xr3:uid="{18D22361-8FD9-43EB-9FD9-A4CDE5CCD31B}" name="System boundary" dataDxfId="253" dataCellStyle="Content normal">
      <calculatedColumnFormula array="1">Common_InputFunctions.Utility_DisplayArrayInTable(Scope3_SourceData.Scope3_Chemicals_Data(), Table_SourceData_Scope3_ChemicalsCleaning[[#Headers],[Category]], 0, 2)</calculatedColumnFormula>
    </tableColumn>
    <tableColumn id="4" xr3:uid="{9182BD7F-48E1-484C-9417-F2275932C44C}" name="Source" dataDxfId="252" dataCellStyle="Content normal"/>
  </tableColumns>
  <tableStyleInfo name="Equation table"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CB3EC388-4177-4EBB-A571-47D44A86B628}" name="Table_SourceData_Scope3_Feed" displayName="Table_SourceData_Scope3_Feed" ref="D89:J158" dataDxfId="251" dataCellStyle="Content normal">
  <autoFilter ref="D89:J158" xr:uid="{7C99A3AF-4B60-47B5-BB9C-19833DBDFFC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7329D4E4-B002-4152-9D4D-54BEEB79EB6A}" name="Category" totalsRowFunction="custom" dataDxfId="250" totalsRowDxfId="249"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2" xr3:uid="{A47F6FAE-5FBA-4528-A4A2-0A5775880C12}" name="Product" totalsRowFunction="custom" dataDxfId="248" totalsRowDxfId="247"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3" xr3:uid="{16F6436A-1F21-4319-90E1-945EEA4EF8B9}" name="Region of origin" totalsRowFunction="custom" dataDxfId="246" totalsRowDxfId="245"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8" xr3:uid="{7FFD73A5-C071-4AAF-A403-0C577212661F}" name="Quantity Unit" totalsRowFunction="custom" dataDxfId="244" totalsRowDxfId="243"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9" xr3:uid="{C70D854B-F1A7-45B1-9114-8FCBCD2E50A0}" name="Emissions intensity" totalsRowFunction="custom" dataDxfId="242" totalsRowDxfId="241"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10" xr3:uid="{D0BEC72A-A6CD-46BA-B704-2C9B3108E446}" name="System boundary" totalsRowFunction="custom" dataDxfId="240" totalsRowDxfId="239" dataCellStyle="Content normal">
      <calculatedColumnFormula array="1">Common_InputFunctions.Utility_DisplayArrayInTable(Scope3_SourceData.Scope3_Feed_Data(), Table_SourceData_Scope3_Feed[[#Headers],[Category]], 0, 2)</calculatedColumnFormula>
      <totalsRowFormula array="1">Common_InputFunctions.Utility_DisplayArrayInTable(Scope3_SourceData.Scope3_Feed_Data(), Table_SourceData_Scope3_Feed[[#Headers],[Category]], -5, 2)</totalsRowFormula>
    </tableColumn>
    <tableColumn id="4" xr3:uid="{487D6D69-135B-4EB8-BD93-C8B92EE2C8E5}" name="Source" totalsRowLabel="GHGEI-MIAFF" dataDxfId="238" totalsRowDxfId="237" dataCellStyle="Content normal"/>
  </tableColumns>
  <tableStyleInfo name="Equation table"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7C7976F2-0002-4EA4-8D3C-9B0FE73A2B24}" name="Table_SourceData_Scope3_InorganicFertiliser" displayName="Table_SourceData_Scope3_InorganicFertiliser" ref="D173:N198" totalsRowShown="0">
  <autoFilter ref="D173:N198" xr:uid="{0DD1C989-E9CA-4596-81C6-3E0390BF715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3BB500ED-0781-420E-9E80-C9AEFEBD033A}" name="Category">
      <calculatedColumnFormula array="1">Common_InputFunctions.Utility_DisplayArrayInTable(Scope3_SourceData.Scope3_InorganicFertilisers_Data(), Table_SourceData_Scope3_InorganicFertiliser[[#Headers],[Category]], 0, 2)</calculatedColumnFormula>
    </tableColumn>
    <tableColumn id="2" xr3:uid="{9298297D-58B3-4937-8DE2-B3F01E4501D8}" name="Product">
      <calculatedColumnFormula array="1">Common_InputFunctions.Utility_DisplayArrayInTable(Scope3_SourceData.Scope3_InorganicFertilisers_Data(), Table_SourceData_Scope3_InorganicFertiliser[[#Headers],[Category]], 0, 2)</calculatedColumnFormula>
    </tableColumn>
    <tableColumn id="3" xr3:uid="{D6C0C84A-33D7-40D4-BD21-DC8667012CC5}" name="Region of origin">
      <calculatedColumnFormula array="1">Common_InputFunctions.Utility_DisplayArrayInTable(Scope3_SourceData.Scope3_InorganicFertilisers_Data(), Table_SourceData_Scope3_InorganicFertiliser[[#Headers],[Category]], 0, 2)</calculatedColumnFormula>
    </tableColumn>
    <tableColumn id="4" xr3:uid="{CEA04A0B-FC94-48C4-A2C2-115207BB577E}" name="Chemical compound"/>
    <tableColumn id="5" xr3:uid="{6ABA62FC-3A66-4C26-B503-417E14845328}" name="Urea source"/>
    <tableColumn id="6" xr3:uid="{3BCF523C-D0AE-426A-BA95-8A8EF14377A9}" name="Ammonia source"/>
    <tableColumn id="7" xr3:uid="{1F8D85D8-D22D-4655-BE49-6139F221119A}" name="Quantity"/>
    <tableColumn id="8" xr3:uid="{28BDAE87-102D-4F17-BC47-8ABFA9AF7AAC}" name="Quantity Unit">
      <calculatedColumnFormula array="1">Common_InputFunctions.Utility_DisplayArrayInTable(Scope3_SourceData.Scope3_InorganicFertilisers_Data(), Table_SourceData_Scope3_InorganicFertiliser[[#Headers],[Category]], 0, -2)</calculatedColumnFormula>
    </tableColumn>
    <tableColumn id="9" xr3:uid="{62CCEF47-0D8A-4A44-B77C-D9EB67A002AD}" name="Emissions intensity">
      <calculatedColumnFormula array="1">Common_InputFunctions.Utility_DisplayArrayInTable(Scope3_SourceData.Scope3_InorganicFertilisers_Data(), Table_SourceData_Scope3_InorganicFertiliser[[#Headers],[Category]], 0, -2)</calculatedColumnFormula>
    </tableColumn>
    <tableColumn id="10" xr3:uid="{01EDD824-3793-40BC-B6E2-3A08B5943C2B}" name="System boundary" dataDxfId="236" dataCellStyle="Content normal">
      <calculatedColumnFormula array="1">Common_InputFunctions.Utility_DisplayArrayInTable(Scope3_SourceData.Scope3_InorganicFertilisers_Data(), Table_SourceData_Scope3_InorganicFertiliser[[#Headers],[Category]], 0, -2)</calculatedColumnFormula>
    </tableColumn>
    <tableColumn id="11" xr3:uid="{06061749-7FCA-4EE7-8EDE-DDC93E2F6BB6}" name="Source" dataDxfId="235" dataCellStyle="Content normal"/>
  </tableColumns>
  <tableStyleInfo name="Equation table"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B0D0CCBB-7164-4712-9DF2-637E015A5BED}" name="Table_SourceData_Scope3_Other" displayName="Table_SourceData_Scope3_Other" ref="D201:J209" totalsRowShown="0" dataDxfId="234" dataCellStyle="Content normal">
  <autoFilter ref="D201:J209" xr:uid="{C703DCE8-2DA9-4607-8111-1323D636A81C}">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09D2E03-D603-4446-930D-AEEFB3B18FDF}" name="Category" dataDxfId="233" dataCellStyle="Content normal">
      <calculatedColumnFormula array="1">Common_InputFunctions.Utility_DisplayArrayInTable(Scope3_SourceData.Scope3_Other_Data(), Table_SourceData_Scope3_Other[[#Headers],[Category]], 0, 2)</calculatedColumnFormula>
    </tableColumn>
    <tableColumn id="2" xr3:uid="{32671AAA-9331-45BA-8A34-08B394F0D3F8}" name="Product" dataDxfId="232" dataCellStyle="Content normal">
      <calculatedColumnFormula array="1">Common_InputFunctions.Utility_DisplayArrayInTable(Scope3_SourceData.Scope3_Other_Data(), Table_SourceData_Scope3_Other[[#Headers],[Category]], 0, 2)</calculatedColumnFormula>
    </tableColumn>
    <tableColumn id="3" xr3:uid="{E8CC1A0D-221A-4238-940B-C54EC2549A73}" name="Region of origin" dataDxfId="231" dataCellStyle="Content normal">
      <calculatedColumnFormula array="1">Common_InputFunctions.Utility_DisplayArrayInTable(Scope3_SourceData.Scope3_Other_Data(), Table_SourceData_Scope3_Other[[#Headers],[Category]], 0, 2)</calculatedColumnFormula>
    </tableColumn>
    <tableColumn id="8" xr3:uid="{59FBF6F9-B443-4EB3-BB8E-B719C5885E65}" name="Quantity Unit" dataDxfId="230" dataCellStyle="Content normal">
      <calculatedColumnFormula array="1">Common_InputFunctions.Utility_DisplayArrayInTable(Scope3_SourceData.Scope3_Other_Data(), Table_SourceData_Scope3_Other[[#Headers],[Category]], 0, 2)</calculatedColumnFormula>
    </tableColumn>
    <tableColumn id="9" xr3:uid="{C44E49E9-F203-4A23-9646-A42BF26CB275}" name="Emissions intensity" dataDxfId="229" dataCellStyle="Content normal">
      <calculatedColumnFormula array="1">Common_InputFunctions.Utility_DisplayArrayInTable(Scope3_SourceData.Scope3_Other_Data(), Table_SourceData_Scope3_Other[[#Headers],[Category]], 0, 2)</calculatedColumnFormula>
    </tableColumn>
    <tableColumn id="10" xr3:uid="{7E2E86EF-DD72-47AA-BAFA-0E84AE10E53E}" name="System boundary" dataDxfId="228" dataCellStyle="Content normal">
      <calculatedColumnFormula array="1">Common_InputFunctions.Utility_DisplayArrayInTable(Scope3_SourceData.Scope3_Other_Data(), Table_SourceData_Scope3_Other[[#Headers],[Category]], 0, 2)</calculatedColumnFormula>
    </tableColumn>
    <tableColumn id="4" xr3:uid="{83A9B8E7-AF33-481D-A573-9A875DA9EF77}" name="Source" dataDxfId="227" dataCellStyle="Content normal"/>
  </tableColumns>
  <tableStyleInfo name="Equation table"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B16342DC-1C52-48E2-813E-B5B761B11EB8}" name="Table_SourceData_Scope3_Packaging" displayName="Table_SourceData_Scope3_Packaging" ref="D212:J216" totalsRowShown="0" dataDxfId="226" dataCellStyle="Content normal">
  <autoFilter ref="D212:J216" xr:uid="{B95A04D9-DAAA-402E-80F2-94850F70AD8D}">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A9F94897-1148-4B4D-A6F9-BC7C2E2DCE4C}" name="Category" dataDxfId="225" dataCellStyle="Content normal">
      <calculatedColumnFormula array="1">Common_InputFunctions.Utility_DisplayArrayInTable(Scope3_SourceData.Scope3_Packaging_Data(), Table_SourceData_Scope3_Packaging[[#Headers],[Category]], 0, 2)</calculatedColumnFormula>
    </tableColumn>
    <tableColumn id="2" xr3:uid="{6A399F3B-A6FE-482B-9842-453F4B65DAEE}" name="Product" dataDxfId="224" dataCellStyle="Content normal">
      <calculatedColumnFormula array="1">Common_InputFunctions.Utility_DisplayArrayInTable(Scope3_SourceData.Scope3_Packaging_Data(), Table_SourceData_Scope3_Packaging[[#Headers],[Category]], 0, 2)</calculatedColumnFormula>
    </tableColumn>
    <tableColumn id="3" xr3:uid="{B071B268-5FBC-42C1-8743-1442C32AEBE5}" name="Region of origin" dataDxfId="223" dataCellStyle="Content normal">
      <calculatedColumnFormula array="1">Common_InputFunctions.Utility_DisplayArrayInTable(Scope3_SourceData.Scope3_Packaging_Data(), Table_SourceData_Scope3_Packaging[[#Headers],[Category]], 0, 2)</calculatedColumnFormula>
    </tableColumn>
    <tableColumn id="8" xr3:uid="{233F80AC-C370-4BE4-A5EE-738EDDC99785}" name="Quantity Unit" dataDxfId="222" dataCellStyle="Content normal">
      <calculatedColumnFormula array="1">Common_InputFunctions.Utility_DisplayArrayInTable(Scope3_SourceData.Scope3_Packaging_Data(), Table_SourceData_Scope3_Packaging[[#Headers],[Category]], 0, 2)</calculatedColumnFormula>
    </tableColumn>
    <tableColumn id="9" xr3:uid="{231D2DD1-E8EC-4294-A769-21D2EE5772BC}" name="Emissions intensity" dataDxfId="221" dataCellStyle="Content normal">
      <calculatedColumnFormula array="1">Common_InputFunctions.Utility_DisplayArrayInTable(Scope3_SourceData.Scope3_Packaging_Data(), Table_SourceData_Scope3_Packaging[[#Headers],[Category]], 0, 2)</calculatedColumnFormula>
    </tableColumn>
    <tableColumn id="10" xr3:uid="{C4415EBB-505B-47A3-8F52-A91CC9974312}" name="System boundary" dataDxfId="220" dataCellStyle="Content normal">
      <calculatedColumnFormula array="1">Common_InputFunctions.Utility_DisplayArrayInTable(Scope3_SourceData.Scope3_Packaging_Data(), Table_SourceData_Scope3_Packaging[[#Headers],[Category]], 0, 2)</calculatedColumnFormula>
    </tableColumn>
    <tableColumn id="4" xr3:uid="{6EDA9862-C2E0-4EFF-B45F-A9BB11B81B9C}" name="Source" dataDxfId="219" dataCellStyle="Content normal"/>
  </tableColumns>
  <tableStyleInfo name="Equation table"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39073506-3BCF-42B6-8812-85930CED5724}" name="Table_SourceData_Scope3_Pesticides" displayName="Table_SourceData_Scope3_Pesticides" ref="D219:J231" totalsRowShown="0" dataDxfId="218" dataCellStyle="Content normal">
  <autoFilter ref="D219:J231" xr:uid="{C77460DE-4B5B-491B-885F-B6A288A52BB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6BF29BD5-8809-4011-9263-48BFB7732E67}" name="Category" dataDxfId="217" dataCellStyle="Content normal">
      <calculatedColumnFormula array="1">Common_InputFunctions.Utility_DisplayArrayInTable(Scope3_SourceData.Scope3_Pesticides_Data(), Table_SourceData_Scope3_Pesticides[[#Headers],[Category]], 0, 2)</calculatedColumnFormula>
    </tableColumn>
    <tableColumn id="2" xr3:uid="{B20EA132-5868-481B-8445-03A14C617069}" name="Product" dataDxfId="216" dataCellStyle="Content normal">
      <calculatedColumnFormula array="1">Common_InputFunctions.Utility_DisplayArrayInTable(Scope3_SourceData.Scope3_Pesticides_Data(), Table_SourceData_Scope3_Pesticides[[#Headers],[Category]], 0, 2)</calculatedColumnFormula>
    </tableColumn>
    <tableColumn id="3" xr3:uid="{2A77A513-2210-41F0-8345-D77DD6EED114}" name="Region of origin" dataDxfId="215" dataCellStyle="Content normal">
      <calculatedColumnFormula array="1">Common_InputFunctions.Utility_DisplayArrayInTable(Scope3_SourceData.Scope3_Pesticides_Data(), Table_SourceData_Scope3_Pesticides[[#Headers],[Category]], 0, 2)</calculatedColumnFormula>
    </tableColumn>
    <tableColumn id="8" xr3:uid="{0A73635C-2DF0-4884-B7F4-A83845E34195}" name="Quantity Unit" dataDxfId="214" dataCellStyle="Content normal">
      <calculatedColumnFormula array="1">Common_InputFunctions.Utility_DisplayArrayInTable(Scope3_SourceData.Scope3_Pesticides_Data(), Table_SourceData_Scope3_Pesticides[[#Headers],[Category]], 0, 2)</calculatedColumnFormula>
    </tableColumn>
    <tableColumn id="9" xr3:uid="{2A14B132-CA45-4242-A4DE-F7467570BAF1}" name="Emissions intensity" dataDxfId="213" dataCellStyle="Content normal">
      <calculatedColumnFormula array="1">Common_InputFunctions.Utility_DisplayArrayInTable(Scope3_SourceData.Scope3_Pesticides_Data(), Table_SourceData_Scope3_Pesticides[[#Headers],[Category]], 0, 2)</calculatedColumnFormula>
    </tableColumn>
    <tableColumn id="10" xr3:uid="{712653DA-A055-4D35-8D90-E33B8DF943CD}" name="System boundary" dataDxfId="212" dataCellStyle="Content normal">
      <calculatedColumnFormula array="1">Common_InputFunctions.Utility_DisplayArrayInTable(Scope3_SourceData.Scope3_Pesticides_Data(), Table_SourceData_Scope3_Pesticides[[#Headers],[Category]], 0, 2)</calculatedColumnFormula>
    </tableColumn>
    <tableColumn id="4" xr3:uid="{5EB95F56-1BB6-4C81-B298-857A21E0EEAE}" name="Source" dataDxfId="211" dataCellStyle="Content normal"/>
  </tableColumns>
  <tableStyleInfo name="Equation table"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6E1A44DC-6838-454B-A229-8113A9B91088}" name="Table_SourceData_Scope3_SoilAmeliorants" displayName="Table_SourceData_Scope3_SoilAmeliorants" ref="D234:J237" totalsRowShown="0" dataDxfId="210" dataCellStyle="Content normal">
  <autoFilter ref="D234:J237" xr:uid="{E06B8FD7-21E4-417D-AAFE-EA3785475B05}">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8DA3FA70-01CA-4284-A947-116924C0C948}" name="Category" dataDxfId="209" dataCellStyle="Content normal">
      <calculatedColumnFormula array="1">Common_InputFunctions.Utility_DisplayArrayInTable(Scope3_SourceData.Scope3_SoilAmendments_Data(), Table_SourceData_Scope3_SoilAmeliorants[[#Headers],[Category]], 0, 2)</calculatedColumnFormula>
    </tableColumn>
    <tableColumn id="2" xr3:uid="{84841E67-E3B8-4FFD-9AC9-F37CF8F8D37B}" name="Product" dataDxfId="208" dataCellStyle="Content normal">
      <calculatedColumnFormula array="1">Common_InputFunctions.Utility_DisplayArrayInTable(Scope3_SourceData.Scope3_SoilAmendments_Data(), Table_SourceData_Scope3_SoilAmeliorants[[#Headers],[Category]], 0, 2)</calculatedColumnFormula>
    </tableColumn>
    <tableColumn id="3" xr3:uid="{D20B08FF-5324-49CE-B39A-C40C53F77051}" name="Region of origin" dataDxfId="207" dataCellStyle="Content normal">
      <calculatedColumnFormula array="1">Common_InputFunctions.Utility_DisplayArrayInTable(Scope3_SourceData.Scope3_SoilAmendments_Data(), Table_SourceData_Scope3_SoilAmeliorants[[#Headers],[Category]], 0, 2)</calculatedColumnFormula>
    </tableColumn>
    <tableColumn id="8" xr3:uid="{0616B03E-6960-4157-9097-30D6CDB9B7D9}" name="Quantity Unit" dataDxfId="206" dataCellStyle="Content normal">
      <calculatedColumnFormula array="1">Common_InputFunctions.Utility_DisplayArrayInTable(Scope3_SourceData.Scope3_SoilAmendments_Data(), Table_SourceData_Scope3_SoilAmeliorants[[#Headers],[Category]], 0, 2)</calculatedColumnFormula>
    </tableColumn>
    <tableColumn id="9" xr3:uid="{50C150FE-D45F-4228-BF34-C66FE18C28E9}" name="Emissions intensity" dataDxfId="205" dataCellStyle="Content normal">
      <calculatedColumnFormula array="1">Common_InputFunctions.Utility_DisplayArrayInTable(Scope3_SourceData.Scope3_SoilAmendments_Data(), Table_SourceData_Scope3_SoilAmeliorants[[#Headers],[Category]], 0, 2)</calculatedColumnFormula>
    </tableColumn>
    <tableColumn id="10" xr3:uid="{42F4DED3-B138-4CF8-AECE-0E399264C858}" name="System boundary" dataDxfId="204" dataCellStyle="Content normal">
      <calculatedColumnFormula array="1">Common_InputFunctions.Utility_DisplayArrayInTable(Scope3_SourceData.Scope3_SoilAmendments_Data(), Table_SourceData_Scope3_SoilAmeliorants[[#Headers],[Category]], 0, 2)</calculatedColumnFormula>
    </tableColumn>
    <tableColumn id="4" xr3:uid="{FC8690F6-B55A-450A-8CB1-7A9514B72989}" name="Source" dataDxfId="203" dataCellStyle="Content normal"/>
  </tableColumns>
  <tableStyleInfo name="Equation table"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3CA01B3E-D614-42A0-82DC-B2D380A8E1D2}" name="Table_SourceData_Scope3_ChemicalsPharmacy" displayName="Table_SourceData_Scope3_ChemicalsPharmacy" ref="D82:J86" totalsRowShown="0" dataDxfId="202" dataCellStyle="Content normal">
  <autoFilter ref="D82:J86" xr:uid="{C4160DCA-2AAF-4965-B3AD-B53F778A649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30978A1B-A2FD-4072-84C2-AE7AAC47CEE2}" name="Category" dataDxfId="201" dataCellStyle="Content normal">
      <calculatedColumnFormula array="1">Common_InputFunctions.Utility_DisplayArrayInTable(Scope3_SourceData.Scope3_Chemicals_Data(), Table_SourceData_Scope3_ChemicalsPharmacy[[#Headers],[Category]], -3, 2)</calculatedColumnFormula>
    </tableColumn>
    <tableColumn id="2" xr3:uid="{3DD11489-0A09-4FFF-BABD-F076BF07D91D}" name="Product" dataDxfId="200" dataCellStyle="Content normal">
      <calculatedColumnFormula array="1">Common_InputFunctions.Utility_DisplayArrayInTable(Scope3_SourceData.Scope3_Chemicals_Data(), Table_SourceData_Scope3_ChemicalsPharmacy[[#Headers],[Category]], -3, 2)</calculatedColumnFormula>
    </tableColumn>
    <tableColumn id="3" xr3:uid="{C75BE964-5D5C-4E62-8396-35446A2B7DAC}" name="Region of origin" dataDxfId="199" dataCellStyle="Content normal">
      <calculatedColumnFormula array="1">Common_InputFunctions.Utility_DisplayArrayInTable(Scope3_SourceData.Scope3_Chemicals_Data(), Table_SourceData_Scope3_ChemicalsPharmacy[[#Headers],[Category]], -3, 2)</calculatedColumnFormula>
    </tableColumn>
    <tableColumn id="8" xr3:uid="{5943ED68-5730-4EB0-AC3E-DE129C80B0ED}" name="Quantity Unit" dataDxfId="198" dataCellStyle="Content normal">
      <calculatedColumnFormula array="1">Common_InputFunctions.Utility_DisplayArrayInTable(Scope3_SourceData.Scope3_Chemicals_Data(), Table_SourceData_Scope3_ChemicalsPharmacy[[#Headers],[Category]], -3, 2)</calculatedColumnFormula>
    </tableColumn>
    <tableColumn id="9" xr3:uid="{4E39722B-BF28-4770-AE25-E0C65CF83C37}" name="Emissions intensity" dataDxfId="197" dataCellStyle="Content normal">
      <calculatedColumnFormula array="1">Common_InputFunctions.Utility_DisplayArrayInTable(Scope3_SourceData.Scope3_Chemicals_Data(), Table_SourceData_Scope3_ChemicalsPharmacy[[#Headers],[Category]], -3, 2)</calculatedColumnFormula>
    </tableColumn>
    <tableColumn id="10" xr3:uid="{C91C4CEE-1ECC-44F3-B67C-2915620B87A8}" name="System boundary" dataDxfId="196" dataCellStyle="Content normal">
      <calculatedColumnFormula array="1">Common_InputFunctions.Utility_DisplayArrayInTable(Scope3_SourceData.Scope3_Chemicals_Data(), Table_SourceData_Scope3_ChemicalsPharmacy[[#Headers],[Category]], -3, 2)</calculatedColumnFormula>
    </tableColumn>
    <tableColumn id="4" xr3:uid="{2BAB9DE2-0C57-4991-BFFA-D3E0CC7B06EF}" name="Source" dataDxfId="195" dataCellStyle="Content normal"/>
  </tableColumns>
  <tableStyleInfo name="Equation table"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1EDD71B8-7CED-498E-B0E9-01FA8591DE34}" name="Table_SourceData_Scope3_LickBlocks" displayName="Table_SourceData_Scope3_LickBlocks" ref="D167:J170" totalsRowShown="0" headerRowDxfId="194" headerRowCellStyle="Content normal">
  <autoFilter ref="D167:J170" xr:uid="{606CCDDA-2BB2-4AA5-B657-09AAAA73295A}">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0C81B950-6A82-4B4A-8FED-D07F53139617}" name="Category" dataDxfId="193" dataCellStyle="Content normal">
      <calculatedColumnFormula array="1">Common_InputFunctions.Utility_DisplayArrayInTable(Scope3_SourceData.Scope3_Feed_Data(), Table_SourceData_Scope3_LickBlocks[[#Headers],[Category]], -73, 2)</calculatedColumnFormula>
    </tableColumn>
    <tableColumn id="2" xr3:uid="{4BF3E654-BB7D-4FC2-B239-8489C237D0EE}" name="Product" dataDxfId="192" dataCellStyle="Content normal">
      <calculatedColumnFormula array="1">Common_InputFunctions.Utility_DisplayArrayInTable(Scope3_SourceData.Scope3_Feed_Data(), Table_SourceData_Scope3_LickBlocks[[#Headers],[Category]], -73, 2)</calculatedColumnFormula>
    </tableColumn>
    <tableColumn id="3" xr3:uid="{DB8B88E5-EBFA-47FB-884E-FC1A6456BD35}" name="Region of origin" dataDxfId="191" dataCellStyle="Content normal">
      <calculatedColumnFormula array="1">Common_InputFunctions.Utility_DisplayArrayInTable(Scope3_SourceData.Scope3_Feed_Data(), Table_SourceData_Scope3_LickBlocks[[#Headers],[Category]], -73, 2)</calculatedColumnFormula>
    </tableColumn>
    <tableColumn id="4" xr3:uid="{983088F1-216C-4988-8C4A-164897915BEC}" name="Quantity Unit" dataDxfId="190" dataCellStyle="Content normal">
      <calculatedColumnFormula array="1">Common_InputFunctions.Utility_DisplayArrayInTable(Scope3_SourceData.Scope3_Feed_Data(), Table_SourceData_Scope3_LickBlocks[[#Headers],[Category]], -73, 2)</calculatedColumnFormula>
    </tableColumn>
    <tableColumn id="5" xr3:uid="{8CDF83AC-89D2-4305-9F52-BE02519B1DB7}" name="Emissions intensity" dataDxfId="189" dataCellStyle="Content normal">
      <calculatedColumnFormula array="1">Common_InputFunctions.Utility_DisplayArrayInTable(Scope3_SourceData.Scope3_Feed_Data(), Table_SourceData_Scope3_LickBlocks[[#Headers],[Category]], -73, 2)</calculatedColumnFormula>
    </tableColumn>
    <tableColumn id="6" xr3:uid="{527E8D18-6061-4AAF-9CB3-7A975AE9D037}" name="System boundary" dataDxfId="188" dataCellStyle="Content normal">
      <calculatedColumnFormula array="1">Common_InputFunctions.Utility_DisplayArrayInTable(Scope3_SourceData.Scope3_Feed_Data(), Table_SourceData_Scope3_LickBlocks[[#Headers],[Category]], -73, 2)</calculatedColumnFormula>
    </tableColumn>
    <tableColumn id="7" xr3:uid="{C7F73F5F-8D96-4597-B291-4B3813AB56B1}" name="Source" dataDxfId="187" dataCellStyle="Content normal"/>
  </tableColumns>
  <tableStyleInfo name="Equation table"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D547B5FF-5D18-41E0-8B20-34BB637A3C34}" name="Table_SourceData_Scope3_MixedRations" displayName="Table_SourceData_Scope3_MixedRations" ref="D161:J165" totalsRowShown="0" headerRowDxfId="186" headerRowCellStyle="Content normal">
  <autoFilter ref="D161:J165" xr:uid="{1D958255-6879-4BEB-9F61-8AFE685165BB}">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FA86FC03-23F6-4CF3-B9B9-E5EE4D1E1868}" name="Category" dataDxfId="185" dataCellStyle="Content normal">
      <calculatedColumnFormula array="1">Common_InputFunctions.Utility_DisplayArrayInTable(Scope3_SourceData.Scope3_Feed_Data(), Table_SourceData_Scope3_MixedRations[[#Headers],[Category]], -66, 2)</calculatedColumnFormula>
    </tableColumn>
    <tableColumn id="2" xr3:uid="{23864863-0110-43DE-BF50-25BE80EFE207}" name="Product" dataDxfId="184" dataCellStyle="Content normal">
      <calculatedColumnFormula array="1">Common_InputFunctions.Utility_DisplayArrayInTable(Scope3_SourceData.Scope3_Feed_Data(), Table_SourceData_Scope3_MixedRations[[#Headers],[Category]], -66, 2)</calculatedColumnFormula>
    </tableColumn>
    <tableColumn id="3" xr3:uid="{03F01ED7-4419-4F98-BB39-13F3541500EA}" name="Region of origin" dataDxfId="183" dataCellStyle="Content normal">
      <calculatedColumnFormula array="1">Common_InputFunctions.Utility_DisplayArrayInTable(Scope3_SourceData.Scope3_Feed_Data(), Table_SourceData_Scope3_MixedRations[[#Headers],[Category]], -66, 2)</calculatedColumnFormula>
    </tableColumn>
    <tableColumn id="4" xr3:uid="{4D1E1F71-755F-4995-A7A1-648A8AA1A2D8}" name="Quantity Unit" dataDxfId="182" dataCellStyle="Content normal">
      <calculatedColumnFormula array="1">Common_InputFunctions.Utility_DisplayArrayInTable(Scope3_SourceData.Scope3_Feed_Data(), Table_SourceData_Scope3_MixedRations[[#Headers],[Category]], -66, 2)</calculatedColumnFormula>
    </tableColumn>
    <tableColumn id="5" xr3:uid="{F0B9F2C3-2F0B-457A-B383-DC942B48EE54}" name="Emissions intensity" dataDxfId="181" dataCellStyle="Content normal">
      <calculatedColumnFormula array="1">Common_InputFunctions.Utility_DisplayArrayInTable(Scope3_SourceData.Scope3_Feed_Data(), Table_SourceData_Scope3_MixedRations[[#Headers],[Category]], -66, 2)</calculatedColumnFormula>
    </tableColumn>
    <tableColumn id="6" xr3:uid="{4865E1F0-3438-4303-9835-A521D05B46B5}" name="System boundary" dataDxfId="180" dataCellStyle="Content normal">
      <calculatedColumnFormula array="1">Common_InputFunctions.Utility_DisplayArrayInTable(Scope3_SourceData.Scope3_Feed_Data(), Table_SourceData_Scope3_MixedRations[[#Headers],[Category]], -66, 2)</calculatedColumnFormula>
    </tableColumn>
    <tableColumn id="7" xr3:uid="{BF106796-C93F-4671-871A-DD3188CFE930}" name="Source" dataDxfId="179" dataCellStyle="Content normal"/>
  </tableColumns>
  <tableStyleInfo name="Equation table"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8" xr:uid="{8E2EBDA7-C586-412D-8A25-1E9A15295661}" name="Table_ProductRegions_Sardineswhole" displayName="Table_ProductRegions_Sardineswhole" ref="L241:M243" totalsRowShown="0">
  <autoFilter ref="L241:M243" xr:uid="{CE347908-ACBC-4A97-A54B-325F495C7F74}">
    <filterColumn colId="0" hiddenButton="1"/>
    <filterColumn colId="1" hiddenButton="1"/>
  </autoFilter>
  <tableColumns count="2">
    <tableColumn id="1" xr3:uid="{7942D931-E86A-48DD-BC09-38850C36B4B8}" name="Product">
      <calculatedColumnFormula>Table_SourceData_Scope3_FishFeedAndBait[[#This Row],[Product]]</calculatedColumnFormula>
    </tableColumn>
    <tableColumn id="2" xr3:uid="{EC862C12-0399-4147-9995-77908585C3A2}" name="Region">
      <calculatedColumnFormula>Table_SourceData_Scope3_FishFeedAndBait[[#This Row],[Region of origin]]</calculatedColumnFormula>
    </tableColumn>
  </tableColumns>
  <tableStyleInfo name="Equation table"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9" xr:uid="{20280CC6-6410-45FA-8A75-27ABF8270D22}" name="Table_ProductRegions_Barleygrain" displayName="Table_ProductRegions_Barleygrain" ref="O89:P97" totalsRowShown="0">
  <autoFilter ref="O89:P97" xr:uid="{4CC6C9C2-1CED-45A7-AB1B-72FD8DBB4178}">
    <filterColumn colId="0" hiddenButton="1"/>
    <filterColumn colId="1" hiddenButton="1"/>
  </autoFilter>
  <tableColumns count="2">
    <tableColumn id="1" xr3:uid="{4FC6E703-DC3F-4D51-88ED-6F9568AF5350}" name="Product">
      <calculatedColumnFormula>Table_SourceData_Scope3_Feed[[#This Row],[Product]]</calculatedColumnFormula>
    </tableColumn>
    <tableColumn id="2" xr3:uid="{77D78202-1D11-415F-BFE0-0D0503FC0165}" name="Region">
      <calculatedColumnFormula>Table_SourceData_Scope3_Feed[[#This Row],[Region of origin]]</calculatedColumnFormula>
    </tableColumn>
  </tableColumns>
  <tableStyleInfo name="Equation table"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F92C1283-430C-4AB6-A64F-AD1A3C16AD8A}" name="Table_ProductRegions_Maizegrain" displayName="Table_ProductRegions_Maizegrain" ref="L97:M104" totalsRowShown="0" headerRowDxfId="178" headerRowCellStyle="Content normal">
  <autoFilter ref="L97:M104" xr:uid="{70F320A7-5DBE-4A83-91E4-C9B3BDA564BD}">
    <filterColumn colId="0" hiddenButton="1"/>
    <filterColumn colId="1" hiddenButton="1"/>
  </autoFilter>
  <tableColumns count="2">
    <tableColumn id="1" xr3:uid="{3D4D5464-FD69-4ACB-86CE-E6AEFA500B02}" name="Product">
      <calculatedColumnFormula>Table_SourceData_Scope3_Feed[[#This Row],[Product]]</calculatedColumnFormula>
    </tableColumn>
    <tableColumn id="2" xr3:uid="{CFE0C4F6-6859-4448-BE38-BE8548A508D7}" name="Region">
      <calculatedColumnFormula>Table_SourceData_Scope3_Feed[[#This Row],[Region of origin]]</calculatedColumnFormula>
    </tableColumn>
  </tableColumns>
  <tableStyleInfo name="Equation table"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659740E2-5CFA-426C-9DA1-7DC33E586CFD}" name="Table_ProductRegions_Sorghumgrain" displayName="Table_ProductRegions_Sorghumgrain" ref="O104:P109" totalsRowShown="0" headerRowDxfId="177" headerRowCellStyle="Content normal">
  <autoFilter ref="O104:P109" xr:uid="{90205417-8A77-41A3-A4E2-624BD92B7269}">
    <filterColumn colId="0" hiddenButton="1"/>
    <filterColumn colId="1" hiddenButton="1"/>
  </autoFilter>
  <tableColumns count="2">
    <tableColumn id="1" xr3:uid="{A813A6EE-626C-4E4B-A4A1-EFF45A2DA25B}" name="Product">
      <calculatedColumnFormula>Table_SourceData_Scope3_Feed[[#This Row],[Product]]</calculatedColumnFormula>
    </tableColumn>
    <tableColumn id="2" xr3:uid="{9CDE6F74-B94F-4B10-9E73-2FC2CC556045}" name="Region">
      <calculatedColumnFormula>Table_SourceData_Scope3_Feed[[#This Row],[Region of origin]]</calculatedColumnFormula>
    </tableColumn>
  </tableColumns>
  <tableStyleInfo name="Equation table"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B301EAD5-920B-4A59-BC3D-FC9F7A0E60FB}" name="Table_ProductRegions_Wheatgrain" displayName="Table_ProductRegions_Wheatgrain" ref="L109:M117" totalsRowShown="0" headerRowDxfId="176" headerRowCellStyle="Content normal">
  <autoFilter ref="L109:M117" xr:uid="{9DD7D3AD-59A1-48FC-B80D-99C25A2A79F5}">
    <filterColumn colId="0" hiddenButton="1"/>
    <filterColumn colId="1" hiddenButton="1"/>
  </autoFilter>
  <tableColumns count="2">
    <tableColumn id="1" xr3:uid="{328D2F59-47E1-4025-BF6B-C35040EC1AFA}" name="Product">
      <calculatedColumnFormula>Table_SourceData_Scope3_Feed[[#This Row],[Product]]</calculatedColumnFormula>
    </tableColumn>
    <tableColumn id="2" xr3:uid="{F13B83D9-5850-4528-8A8B-28907D3F4EF3}" name="Region">
      <calculatedColumnFormula>Table_SourceData_Scope3_Feed[[#This Row],[Region of origin]]</calculatedColumnFormula>
    </tableColumn>
  </tableColumns>
  <tableStyleInfo name="Equation table"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974F4D61-A427-4CA9-92A3-1CF7099F3FAC}" name="Table_ProductRegions_Cerealhay" displayName="Table_ProductRegions_Cerealhay" ref="O117:P124" totalsRowShown="0">
  <autoFilter ref="O117:P124" xr:uid="{245CC575-8EB6-4B35-B4B5-B1CE9D9C39F8}">
    <filterColumn colId="0" hiddenButton="1"/>
    <filterColumn colId="1" hiddenButton="1"/>
  </autoFilter>
  <tableColumns count="2">
    <tableColumn id="1" xr3:uid="{339A3E04-EC97-4935-8941-22225708F1C2}" name="Product">
      <calculatedColumnFormula>Table_SourceData_Scope3_Feed[[#This Row],[Product]]</calculatedColumnFormula>
    </tableColumn>
    <tableColumn id="2" xr3:uid="{A7F16295-6065-4CD1-A7D0-7BAF780F3344}" name="Region">
      <calculatedColumnFormula>Table_SourceData_Scope3_Feed[[#This Row],[Region of origin]]</calculatedColumnFormula>
    </tableColumn>
  </tableColumns>
  <tableStyleInfo name="Equation table"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86DDEE31-F787-49E8-A39F-64437B242AAE}" name="Table_ProductRegions_Cerealsilage" displayName="Table_ProductRegions_Cerealsilage" ref="L124:M130" totalsRowShown="0">
  <autoFilter ref="L124:M130" xr:uid="{FD45B7F5-0F1B-474D-A048-21B8C1E86239}">
    <filterColumn colId="0" hiddenButton="1"/>
    <filterColumn colId="1" hiddenButton="1"/>
  </autoFilter>
  <tableColumns count="2">
    <tableColumn id="1" xr3:uid="{7DD5DD9D-7495-4F66-B789-3E64F21F8FCF}" name="Product">
      <calculatedColumnFormula>Table_SourceData_Scope3_Feed[[#This Row],[Product]]</calculatedColumnFormula>
    </tableColumn>
    <tableColumn id="2" xr3:uid="{6ADCAEB6-0274-4C56-A019-9B00909D1848}" name="Region">
      <calculatedColumnFormula>Table_SourceData_Scope3_Feed[[#This Row],[Region of origin]]</calculatedColumnFormula>
    </tableColumn>
  </tableColumns>
  <tableStyleInfo name="Equation table"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BA79FC11-0E25-4EB1-9E74-04EC2F6814C4}" name="Table_ProductRegions_Lucernehay" displayName="Table_ProductRegions_Lucernehay" ref="O130:P137" totalsRowShown="0">
  <autoFilter ref="O130:P137" xr:uid="{4DF6C49E-FF29-4EC2-AABA-1FE3CF552A22}">
    <filterColumn colId="0" hiddenButton="1"/>
    <filterColumn colId="1" hiddenButton="1"/>
  </autoFilter>
  <tableColumns count="2">
    <tableColumn id="1" xr3:uid="{DF01CAC3-593F-4702-8C2C-71F5942D375D}" name="Product">
      <calculatedColumnFormula>Table_SourceData_Scope3_Feed[[#This Row],[Product]]</calculatedColumnFormula>
    </tableColumn>
    <tableColumn id="2" xr3:uid="{292CC378-8A47-4402-BF34-7AA42A4BD4CF}" name="Region">
      <calculatedColumnFormula>Table_SourceData_Scope3_Feed[[#This Row],[Region of origin]]</calculatedColumnFormula>
    </tableColumn>
  </tableColumns>
  <tableStyleInfo name="Equation table"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BAC119B7-A2E7-427D-B7F2-5C78C5932F75}" name="Table_ProductRegions_Oatenhay" displayName="Table_ProductRegions_Oatenhay" ref="L137:M143" totalsRowShown="0">
  <autoFilter ref="L137:M143" xr:uid="{5CE14642-4488-4D3C-A2B0-48CEF5738148}">
    <filterColumn colId="0" hiddenButton="1"/>
    <filterColumn colId="1" hiddenButton="1"/>
  </autoFilter>
  <tableColumns count="2">
    <tableColumn id="1" xr3:uid="{CB9A3D0C-BA27-4C82-957D-2CB42AE2842E}" name="Product">
      <calculatedColumnFormula>Table_SourceData_Scope3_Feed[[#This Row],[Product]]</calculatedColumnFormula>
    </tableColumn>
    <tableColumn id="2" xr3:uid="{A4A5F872-2942-4C08-9413-C40BBF8C76E0}" name="Region">
      <calculatedColumnFormula>Table_SourceData_Scope3_Feed[[#This Row],[Region of origin]]</calculatedColumnFormula>
    </tableColumn>
  </tableColumns>
  <tableStyleInfo name="Equation table"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34D20523-2302-4BF0-A98F-0FD80C38DD9B}" name="Table_ProductRegions_Pasturehay" displayName="Table_ProductRegions_Pasturehay" ref="O143:P150" totalsRowShown="0">
  <autoFilter ref="O143:P150" xr:uid="{BD72E544-66B7-4CC1-B2C8-F2136AAB32F7}">
    <filterColumn colId="0" hiddenButton="1"/>
    <filterColumn colId="1" hiddenButton="1"/>
  </autoFilter>
  <tableColumns count="2">
    <tableColumn id="1" xr3:uid="{68610656-9656-46E8-AE2A-146F9DD6E64F}" name="Product">
      <calculatedColumnFormula>Table_SourceData_Scope3_Feed[[#This Row],[Product]]</calculatedColumnFormula>
    </tableColumn>
    <tableColumn id="2" xr3:uid="{C7455BB6-D281-4CD4-ABA6-CFAB076F8919}" name="Region">
      <calculatedColumnFormula>Table_SourceData_Scope3_Feed[[#This Row],[Region of origin]]</calculatedColumnFormula>
    </tableColumn>
  </tableColumns>
  <tableStyleInfo name="Equation table"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70CF14E4-E680-40BC-BE68-134933826EF4}" name="Table_ProductRegions_Canolameal" displayName="Table_ProductRegions_Canolameal" ref="L150:M151" totalsRowShown="0" headerRowDxfId="175" headerRowCellStyle="Content normal" dataCellStyle="Content normal">
  <autoFilter ref="L150:M151" xr:uid="{58F78B6F-294E-4D4E-8E3B-BFE4FA85583E}">
    <filterColumn colId="0" hiddenButton="1"/>
    <filterColumn colId="1" hiddenButton="1"/>
  </autoFilter>
  <tableColumns count="2">
    <tableColumn id="1" xr3:uid="{B049F995-2CBF-4392-8A39-A379BBCBD1ED}" name="Product" dataCellStyle="Content normal">
      <calculatedColumnFormula>Table_SourceData_Scope3_Feed[[#This Row],[Product]]</calculatedColumnFormula>
    </tableColumn>
    <tableColumn id="2" xr3:uid="{383683F1-3DDB-430A-9EFA-CF5826131A45}" name="Region" dataCellStyle="Content normal">
      <calculatedColumnFormula>Table_SourceData_Scope3_Feed[[#This Row],[Region of origin]]</calculatedColumnFormula>
    </tableColumn>
  </tableColumns>
  <tableStyleInfo name="Equation table"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98E90AD9-087B-44F7-8347-2F3B2964B640}" name="Table_ProductRegions_Meatmeal" displayName="Table_ProductRegions_Meatmeal" ref="O151:P152" totalsRowShown="0">
  <autoFilter ref="O151:P152" xr:uid="{D9ACC97D-5A56-40C9-A49D-02AE70D1528F}">
    <filterColumn colId="0" hiddenButton="1"/>
    <filterColumn colId="1" hiddenButton="1"/>
  </autoFilter>
  <tableColumns count="2">
    <tableColumn id="1" xr3:uid="{0CEC6F5F-576B-47F5-B2A3-F1BBA686A419}" name="Product">
      <calculatedColumnFormula>Table_SourceData_Scope3_Feed[[#This Row],[Product]]</calculatedColumnFormula>
    </tableColumn>
    <tableColumn id="2" xr3:uid="{965DDBD3-B605-4A63-B238-E7EB1336B9D5}" name="Region">
      <calculatedColumnFormula>Table_SourceData_Scope3_Feed[[#This Row],[Region of origin]]</calculatedColumnFormula>
    </tableColumn>
  </tableColumns>
  <tableStyleInfo name="Equation table"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167E47A6-2EF6-4F50-B458-BF924DEB9CDD}" name="Table_ProductRegions_Soybeanmeal" displayName="Table_ProductRegions_Soybeanmeal" ref="L152:M153" totalsRowShown="0">
  <autoFilter ref="L152:M153" xr:uid="{1C990ACD-1539-48DE-9CB9-7E6ABD45F865}">
    <filterColumn colId="0" hiddenButton="1"/>
    <filterColumn colId="1" hiddenButton="1"/>
  </autoFilter>
  <tableColumns count="2">
    <tableColumn id="1" xr3:uid="{AF033BF5-F271-4EC8-82E8-E2C96E539B46}" name="Product">
      <calculatedColumnFormula>Table_SourceData_Scope3_Feed[[#This Row],[Product]]</calculatedColumnFormula>
    </tableColumn>
    <tableColumn id="2" xr3:uid="{928726D8-6B9F-4279-8F65-FB15B219DC2E}" name="Region">
      <calculatedColumnFormula>Table_SourceData_Scope3_Feed[[#This Row],[Region of origin]]</calculatedColumnFormula>
    </tableColumn>
  </tableColumns>
  <tableStyleInfo name="Equation table"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CE73BB43-37C9-4ADB-AE95-25A7688243B9}" name="Table_ProductRegions_Wheatbran" displayName="Table_ProductRegions_Wheatbran" ref="O153:P154" totalsRowShown="0">
  <autoFilter ref="O153:P154" xr:uid="{27F97D39-363D-44DD-BCB4-6C8D8B6B10B7}">
    <filterColumn colId="0" hiddenButton="1"/>
    <filterColumn colId="1" hiddenButton="1"/>
  </autoFilter>
  <tableColumns count="2">
    <tableColumn id="1" xr3:uid="{3038BD33-FD7C-4DA7-A180-530326151E2D}" name="Product">
      <calculatedColumnFormula>Table_SourceData_Scope3_Feed[[#This Row],[Product]]</calculatedColumnFormula>
    </tableColumn>
    <tableColumn id="2" xr3:uid="{AD54A542-8B25-4E59-8CC8-277604E3EEA6}" name="Region">
      <calculatedColumnFormula>Table_SourceData_Scope3_Feed[[#This Row],[Region of origin]]</calculatedColumnFormula>
    </tableColumn>
  </tableColumns>
  <tableStyleInfo name="Equation table"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2" xr:uid="{30901B38-DA23-44DC-8875-CF85BDBDC2F1}" name="Table_ProductRegions_Bentonite" displayName="Table_ProductRegions_Bentonite" ref="L154:M155" totalsRowShown="0">
  <autoFilter ref="L154:M155" xr:uid="{09E4264E-4E86-40F1-AA3A-76335558A05D}">
    <filterColumn colId="0" hiddenButton="1"/>
    <filterColumn colId="1" hiddenButton="1"/>
  </autoFilter>
  <tableColumns count="2">
    <tableColumn id="1" xr3:uid="{9374F067-5EE4-45A6-A73B-9A0F3674567E}" name="Product">
      <calculatedColumnFormula>Table_SourceData_Scope3_Feed[[#This Row],[Product]]</calculatedColumnFormula>
    </tableColumn>
    <tableColumn id="2" xr3:uid="{9194AEF2-63BB-4DE8-9124-1021E87CA0A6}" name="Region">
      <calculatedColumnFormula>Table_SourceData_Scope3_Feed[[#This Row],[Region of origin]]</calculatedColumnFormula>
    </tableColumn>
  </tableColumns>
  <tableStyleInfo name="Equation table"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3" xr:uid="{3B257854-65C1-4E04-A2B2-8B9F2BF47A19}" name="Table_ProductRegions_Canolaoil" displayName="Table_ProductRegions_Canolaoil" ref="O155:P156" totalsRowShown="0">
  <autoFilter ref="O155:P156" xr:uid="{A0E0877F-5B97-438A-89BF-391F139E6C20}">
    <filterColumn colId="0" hiddenButton="1"/>
    <filterColumn colId="1" hiddenButton="1"/>
  </autoFilter>
  <tableColumns count="2">
    <tableColumn id="1" xr3:uid="{7D44E5D0-7B58-43CD-87F0-156E43C14199}" name="Product">
      <calculatedColumnFormula>Table_SourceData_Scope3_Feed[[#This Row],[Product]]</calculatedColumnFormula>
    </tableColumn>
    <tableColumn id="2" xr3:uid="{B751A06A-7E7C-4A06-BA1D-DD3387BFA7D4}" name="Region">
      <calculatedColumnFormula>Table_SourceData_Scope3_Feed[[#This Row],[Region of origin]]</calculatedColumnFormula>
    </tableColumn>
  </tableColumns>
  <tableStyleInfo name="Equation table"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4" xr:uid="{436EACC8-D721-4B32-8740-2C4D2C231EC0}" name="Table_ProductRegions_Cottonseed" displayName="Table_ProductRegions_Cottonseed" ref="L156:M157" totalsRowShown="0">
  <autoFilter ref="L156:M157" xr:uid="{77EE7649-CF58-45FA-964C-E4A392F4902C}">
    <filterColumn colId="0" hiddenButton="1"/>
    <filterColumn colId="1" hiddenButton="1"/>
  </autoFilter>
  <tableColumns count="2">
    <tableColumn id="1" xr3:uid="{827F12DD-8D56-45B7-AA26-F9B8A63203AA}" name="Product">
      <calculatedColumnFormula>Table_SourceData_Scope3_Feed[[#This Row],[Product]]</calculatedColumnFormula>
    </tableColumn>
    <tableColumn id="2" xr3:uid="{8379FE16-1227-49AA-A295-CDC9885F3746}" name="Region">
      <calculatedColumnFormula>Table_SourceData_Scope3_Feed[[#This Row],[Region of origin]]</calculatedColumnFormula>
    </tableColumn>
  </tableColumns>
  <tableStyleInfo name="Equation table"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5" xr:uid="{6E87E2B0-6DDC-4F01-9200-A814E7E52C4C}" name="Table_ProductRegions_Molasses" displayName="Table_ProductRegions_Molasses" ref="O157:P158" totalsRowShown="0">
  <autoFilter ref="O157:P158" xr:uid="{EBEFFF0B-F932-4AFC-ABDF-6907D5107FE5}">
    <filterColumn colId="0" hiddenButton="1"/>
    <filterColumn colId="1" hiddenButton="1"/>
  </autoFilter>
  <tableColumns count="2">
    <tableColumn id="1" xr3:uid="{086A6EBF-065F-4E65-B440-BA9937CA5DD7}" name="Product">
      <calculatedColumnFormula>Table_SourceData_Scope3_Feed[[#This Row],[Product]]</calculatedColumnFormula>
    </tableColumn>
    <tableColumn id="2" xr3:uid="{87E1EA5F-F5C8-4848-B379-68CF0A62FB07}" name="Region">
      <calculatedColumnFormula>Table_SourceData_Scope3_Feed[[#This Row],[Region of origin]]</calculatedColumnFormula>
    </tableColumn>
  </tableColumns>
  <tableStyleInfo name="Equation table"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6" xr:uid="{7438A557-5B43-4C54-8FDB-15B8AE25679A}" name="Table_ProductRegions_Beefcattle" displayName="Table_ProductRegions_Beefcattle" ref="L33:M49" totalsRowShown="0">
  <autoFilter ref="L33:M49" xr:uid="{77539992-728B-4655-965B-FB28372E4BBC}">
    <filterColumn colId="0" hiddenButton="1"/>
    <filterColumn colId="1" hiddenButton="1"/>
  </autoFilter>
  <tableColumns count="2">
    <tableColumn id="1" xr3:uid="{A5DCD9F9-9E08-476F-B029-EA24FFE51876}" name="Region"/>
    <tableColumn id="2" xr3:uid="{E1D067BB-72C7-43B3-9012-3C66413EE74A}" name="Scope3 region"/>
  </tableColumns>
  <tableStyleInfo name="Equation table"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7" xr:uid="{3E840864-098F-4B8E-9776-91214FA9C28D}" name="Table_SourceData_Scope3_FishFeedAndBait" displayName="Table_SourceData_Scope3_FishFeedAndBait" ref="D241:J247" totalsRowShown="0" dataDxfId="174" dataCellStyle="Content normal">
  <autoFilter ref="D241:J247" xr:uid="{CB2ECEE9-6AEB-4C74-BD8F-E665996241EB}">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6" xr3:uid="{FA023B83-CB29-4C53-B3BA-9DBA667D8CCD}" name="Category" dataDxfId="173" dataCellStyle="Content normal">
      <calculatedColumnFormula array="1">Common_InputFunctions.Utility_DisplayArrayInTable(Scope3_SourceData.Scope3_FishFeedAndBait_Data(), Table_SourceData_Scope3_FishFeedAndBait[[#Headers],[Category]], 0, 1)</calculatedColumnFormula>
    </tableColumn>
    <tableColumn id="1" xr3:uid="{DE4A42B8-50A1-4363-A990-506FD939194C}" name="Product" dataDxfId="172" dataCellStyle="Content normal">
      <calculatedColumnFormula array="1">Common_InputFunctions.Utility_DisplayArrayInTable(Scope3_SourceData.Scope3_FishFeedAndBait_Data(), Table_SourceData_Scope3_FishFeedAndBait[[#Headers],[Category]], 0, 1)</calculatedColumnFormula>
    </tableColumn>
    <tableColumn id="2" xr3:uid="{7D45B980-D318-4C6F-8BF6-7BA30600FAC5}" name="Region of origin" dataDxfId="171" dataCellStyle="Content normal">
      <calculatedColumnFormula array="1">Common_InputFunctions.Utility_DisplayArrayInTable(Scope3_SourceData.Scope3_FishFeedAndBait_Data(), Table_SourceData_Scope3_FishFeedAndBait[[#Headers],[Category]], 0, 1)</calculatedColumnFormula>
    </tableColumn>
    <tableColumn id="3" xr3:uid="{71030BD3-6DB4-430C-A799-CFACB1424BBF}" name="Quantity Unit" dataDxfId="170" dataCellStyle="Content normal">
      <calculatedColumnFormula array="1">Common_InputFunctions.Utility_DisplayArrayInTable(Scope3_SourceData.Scope3_FishFeedAndBait_Data(), Table_SourceData_Scope3_FishFeedAndBait[[#Headers],[Category]], 0, 1)</calculatedColumnFormula>
    </tableColumn>
    <tableColumn id="4" xr3:uid="{02C76F0C-AF4E-425B-85A4-ADFF1800F687}" name="Emissions intensity" dataDxfId="169" dataCellStyle="Content normal">
      <calculatedColumnFormula array="1">Common_InputFunctions.Utility_DisplayArrayInTable(Scope3_SourceData.Scope3_FishFeedAndBait_Data(), Table_SourceData_Scope3_FishFeedAndBait[[#Headers],[Category]], 0, 1)</calculatedColumnFormula>
    </tableColumn>
    <tableColumn id="5" xr3:uid="{CF79FE11-E921-44FE-BEA3-057B094F71B6}" name="System boundary" dataDxfId="168" dataCellStyle="Content normal">
      <calculatedColumnFormula array="1">Common_InputFunctions.Utility_DisplayArrayInTable(Scope3_SourceData.Scope3_FishFeedAndBait_Data(), Table_SourceData_Scope3_FishFeedAndBait[[#Headers],[Category]], 0, 1)</calculatedColumnFormula>
    </tableColumn>
    <tableColumn id="8" xr3:uid="{7B8DE6A8-FEF6-4CB2-8121-4A36AB63CE6B}" name="Source" dataDxfId="167" dataCellStyle="Content normal"/>
  </tableColumns>
  <tableStyleInfo name="Equation table"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CB963FFC-D69A-4ED3-AF45-D44FA78C61CF}" name="Table_SourceData_WasteSolid_WasteTreatmentEFs" displayName="Table_SourceData_WasteSolid_WasteTreatmentEFs" ref="D16:G50" totalsRowShown="0">
  <autoFilter ref="D16:G50" xr:uid="{4AF52C87-665B-4565-984D-010681CEE8B6}">
    <filterColumn colId="0" hiddenButton="1"/>
    <filterColumn colId="1" hiddenButton="1"/>
    <filterColumn colId="2" hiddenButton="1"/>
    <filterColumn colId="3" hiddenButton="1"/>
  </autoFilter>
  <tableColumns count="4">
    <tableColumn id="1" xr3:uid="{A2FC8CEA-A246-4D91-AF33-1B57D0938558}" name="Treatment type t">
      <calculatedColumnFormula array="1">Common_InputFunctions.Utility_DisplayArrayInTable(WasteSolid_SourceData.Waste_EmissionFactorsForWasteTreatment_Data(), Table_SourceData_WasteSolid_WasteTreatmentEFs[[#Headers],[Treatment type t]], 0)</calculatedColumnFormula>
    </tableColumn>
    <tableColumn id="2" xr3:uid="{388CEDA4-43CD-4E5A-BB75-A254D70A5F3B}" name="Waste type w" dataDxfId="166"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 id="3" xr3:uid="{6BBF39F5-EBB1-4F09-AFCA-05B8C6002578}" name="EFwt" dataDxfId="165"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 id="4" xr3:uid="{58AE031E-EA2A-4127-8E9C-A7DA301C41C0}" name="EF source" dataDxfId="164" dataCellStyle="Content normal">
      <calculatedColumnFormula array="1">Common_InputFunctions.Utility_DisplayArrayInTable(WasteSolid_SourceData.Waste_EmissionFactorsForWasteTreatment_Data(), Table_SourceData_WasteSolid_WasteTreatmentEFs[[#Headers],[Treatment type t]], 0)</calculatedColumnFormula>
    </tableColumn>
  </tableColumns>
  <tableStyleInfo name="Equation table"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9B72C8F2-F70A-416D-8EA3-29E6F0E22704}" name="Table_SourceData_WasteSolid_VolumeToMassConversion" displayName="Table_SourceData_WasteSolid_VolumeToMassConversion" ref="D57:E68" totalsRowShown="0">
  <autoFilter ref="D57:E68" xr:uid="{7322750E-D63A-47D8-AB88-7693F1AFBB78}">
    <filterColumn colId="0" hiddenButton="1"/>
    <filterColumn colId="1" hiddenButton="1"/>
  </autoFilter>
  <tableColumns count="2">
    <tableColumn id="1" xr3:uid="{F7391F39-566A-4361-A7ED-0E7832A95CAB}" name="Waste type w">
      <calculatedColumnFormula array="1">Common_InputFunctions.Utility_DisplayArrayInTable(WasteSolid_SourceData.Waste_WasteVolumeToMassConversion_Data(), Table_SourceData_WasteSolid_VolumeToMassConversion[[#Headers],[Waste type w]], 0)</calculatedColumnFormula>
    </tableColumn>
    <tableColumn id="2" xr3:uid="{D1C83F59-7F3A-4E21-A8D7-2297D1AECB72}" name="VTMw" dataDxfId="163" dataCellStyle="Content normal">
      <calculatedColumnFormula array="1">Common_InputFunctions.Utility_DisplayArrayInTable(WasteSolid_SourceData.Waste_WasteVolumeToMassConversion_Data(), Table_SourceData_WasteSolid_VolumeToMassConversion[[#Headers],[Waste type w]], 0)</calculatedColumnFormula>
    </tableColumn>
  </tableColumns>
  <tableStyleInfo name="Equation table" showFirstColumn="0" showLastColumn="0" showRowStripes="1" showColumnStripes="0"/>
</table>
</file>

<file path=xl/tables/table7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7CD4ADD1-B1D7-40B1-9D86-5D93F88195B2}" name="Table_WasteTypes_Landfill" displayName="Table_WasteTypes_Landfill" ref="I16:I27" totalsRowShown="0">
  <autoFilter ref="I16:I27" xr:uid="{99B942E3-1D24-4166-921C-DCC10960718D}">
    <filterColumn colId="0" hiddenButton="1"/>
  </autoFilter>
  <tableColumns count="1">
    <tableColumn id="1" xr3:uid="{F53CCB7B-8DF3-4BF9-AE96-3713EF47B45E}" name="Waste type w">
      <calculatedColumnFormula>Table_SourceData_WasteSolid_WasteTreatmentEFs[[#This Row],[Waste type w]]</calculatedColumnFormula>
    </tableColumn>
  </tableColumns>
  <tableStyleInfo name="Equation table" showFirstColumn="0" showLastColumn="0" showRowStripes="1" showColumnStripes="0"/>
</table>
</file>

<file path=xl/tables/table7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980A8839-BC54-4397-A8AB-8442D4C9F28E}" name="Table_WasteTypes_Incineration" displayName="Table_WasteTypes_Incineration" ref="K16:K26" totalsRowShown="0" headerRowDxfId="162" headerRowCellStyle="Content normal" dataCellStyle="Content normal">
  <autoFilter ref="K16:K26" xr:uid="{9A900595-7035-4239-9059-ACC16835BF72}">
    <filterColumn colId="0" hiddenButton="1"/>
  </autoFilter>
  <tableColumns count="1">
    <tableColumn id="1" xr3:uid="{543FFC3C-407B-4974-842D-58CC16329FA2}" name="Waste type w" dataCellStyle="Content normal">
      <calculatedColumnFormula>E29</calculatedColumnFormula>
    </tableColumn>
  </tableColumns>
  <tableStyleInfo name="Equation table" showFirstColumn="0" showLastColumn="0" showRowStripes="1" showColumnStripes="0"/>
</table>
</file>

<file path=xl/tables/table7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2698A8AD-3A44-4E59-A8AF-9AD6680770D9}" name="Table_WasteTypes_Composting" displayName="Table_WasteTypes_Composting" ref="M16:M21" totalsRowShown="0" headerRowDxfId="161" headerRowCellStyle="Content normal" dataCellStyle="Content normal">
  <autoFilter ref="M16:M21" xr:uid="{5C8D39D3-1330-49EB-B431-1B2B8C8238DC}">
    <filterColumn colId="0" hiddenButton="1"/>
  </autoFilter>
  <tableColumns count="1">
    <tableColumn id="1" xr3:uid="{C1B941CD-72E3-4FDF-A678-4F8115FEBAF0}" name="Waste type w" totalsRowDxfId="160" dataCellStyle="Content normal">
      <calculatedColumnFormula>E40</calculatedColumnFormula>
    </tableColumn>
  </tableColumns>
  <tableStyleInfo name="Equation table" showFirstColumn="0" showLastColumn="0" showRowStripes="1" showColumnStripes="0"/>
</table>
</file>

<file path=xl/tables/table8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072E3045-AC55-4811-A119-5B246E77E6CA}" name="Table_WasteTypes_Anaerobicdigestion" displayName="Table_WasteTypes_Anaerobicdigestion" ref="O16:O21" totalsRowShown="0" headerRowDxfId="159" headerRowCellStyle="Content normal" dataCellStyle="Content normal">
  <autoFilter ref="O16:O21" xr:uid="{331EC43E-DF68-429F-A2A4-58BFE6216EC3}">
    <filterColumn colId="0" hiddenButton="1"/>
  </autoFilter>
  <tableColumns count="1">
    <tableColumn id="1" xr3:uid="{8DBD4290-7E2F-4240-A733-902DFFA0F375}" name="Waste type w" totalsRowDxfId="158" dataCellStyle="Content normal">
      <calculatedColumnFormula>E46</calculatedColumnFormula>
    </tableColumn>
  </tableColumns>
  <tableStyleInfo name="Equation table" showFirstColumn="0" showLastColumn="0" showRowStripes="1" showColumnStripes="0"/>
</table>
</file>

<file path=xl/tables/table8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E5DAB1B-E2E2-457B-8EC2-85C9E6034F93}"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141EDE3A-D4F1-463C-A1A1-6E6DC3810C83}" name="State/Territory">
      <calculatedColumnFormula array="1">Common_InputFunctions.Utility_DisplayArrayInTable(Common_SourceData.Common_SourceData_AustralianStatesTerritories_Data(),Table_AustralianStates[[#Headers],[State/Territory]],0)</calculatedColumnFormula>
    </tableColumn>
    <tableColumn id="2" xr3:uid="{28E996F7-E11C-4718-9A56-505885A3261B}" name="Common Name">
      <calculatedColumnFormula array="1">Common_InputFunctions.Utility_DisplayArrayInTable(Common_SourceData.Common_SourceData_AustralianStatesTerritories_Data(),Table_AustralianStates[[#Headers],[State/Territory]],0)</calculatedColumnFormula>
    </tableColumn>
    <tableColumn id="3" xr3:uid="{124BB972-AB3E-4499-BB37-7BE00370D5AB}"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8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979C2B9C-EA53-43CC-83C9-86D15CCC8F80}" name="Table_WASA4Areas" displayName="Table_WASA4Areas" ref="D20:D30" totalsRowShown="0">
  <autoFilter ref="D20:D30" xr:uid="{5FA81339-C6C8-4D36-BEEA-6C4AEDD9E676}">
    <filterColumn colId="0" hiddenButton="1"/>
  </autoFilter>
  <tableColumns count="1">
    <tableColumn id="1" xr3:uid="{052BF038-B042-499D-B26B-ACB38C3026C2}"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8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3267EB44-489E-4C0E-B82F-5E051FE9BF4A}" name="Table_GWPData" displayName="Table_GWPData" ref="D36:E43" totalsRowShown="0">
  <autoFilter ref="D36:E43" xr:uid="{B8E87A66-3E41-4AD3-925D-01EE21B43D7A}">
    <filterColumn colId="0" hiddenButton="1"/>
    <filterColumn colId="1" hiddenButton="1"/>
  </autoFilter>
  <tableColumns count="2">
    <tableColumn id="1" xr3:uid="{2EA1B09C-EFB1-43EC-8CCD-0AD2E14B783C}" name="Gas">
      <calculatedColumnFormula array="1">Common_InputFunctions.Utility_DisplayArrayInTable(Common_SourceData.Common_SourceData_GWP_Data(), Table_GWPData[[#Headers],[Gas]], 0)</calculatedColumnFormula>
    </tableColumn>
    <tableColumn id="2" xr3:uid="{D5BC830A-D63B-42AE-AB9F-A4B78D260F6F}"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8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514797D9-5E87-4C9E-A5E2-FE5FDB03DDA3}"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FA151FC8-3695-4719-A4EF-7D04EC031B31}" name="Gas">
      <calculatedColumnFormula array="1">Common_InputFunctions.Utility_DisplayArrayInTable(Common_SourceData.Common_SourceData_ConvertGasElementalToMolecular_Data(),Table_GasToMolecularConversionFactor[[#Headers],[Gas]], 0)</calculatedColumnFormula>
    </tableColumn>
    <tableColumn id="5" xr3:uid="{C5A54C07-D112-4D55-AF20-931C32D3D04D}" name="Conversion factor">
      <calculatedColumnFormula array="1">Common_InputFunctions.Utility_DisplayArrayInTable(Common_SourceData.Common_SourceData_ConvertGasElementalToMolecular_Data(),Table_GasToMolecularConversionFactor[[#Headers],[Gas]], 0)</calculatedColumnFormula>
    </tableColumn>
    <tableColumn id="2" xr3:uid="{E068EBC3-E598-409A-A232-E6C5BCE51A48}" name="Conversion factor 1">
      <calculatedColumnFormula array="1">Common_InputFunctions.Utility_DisplayArrayInTable(Common_SourceData.Common_SourceData_ConvertGasElementalToMolecular_Data(),Table_GasToMolecularConversionFactor[[#Headers],[Gas]], 0)</calculatedColumnFormula>
    </tableColumn>
    <tableColumn id="3" xr3:uid="{EF9871F0-4365-41D5-B3FE-1693C79370F8}" name="Conversion factor 2">
      <calculatedColumnFormula array="1">Common_InputFunctions.Utility_DisplayArrayInTable(Common_SourceData.Common_SourceData_ConvertGasElementalToMolecular_Data(),Table_GasToMolecularConversionFactor[[#Headers],[Gas]], 0)</calculatedColumnFormula>
    </tableColumn>
    <tableColumn id="4" xr3:uid="{E50E8067-6E8A-45AD-9E1A-D6A8EEC20566}"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8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2CF9E070-EC5E-422A-AE63-360FA7300FDF}"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C292125F-3A0F-4FB3-9096-9A6C09064CE7}"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FD91884A-B7CC-43A5-89E2-EB9ADAD79B74}" name="MAT" totalsRowDxfId="157" totalsRowCellStyle="Content bold">
      <calculatedColumnFormula array="1">Common_InputFunctions.Utility_DisplayArrayInTable(Common_SourceData.Common_SourceData_ClimateZones_Data(), Table_SourceData_ClimateZones[[#Headers],[Climate zone]], 0)</calculatedColumnFormula>
    </tableColumn>
    <tableColumn id="3" xr3:uid="{B580D36E-E641-4419-A5E9-56AD94FD9711}" name="MAP" totalsRowDxfId="156" totalsRowCellStyle="Content bold">
      <calculatedColumnFormula array="1">Common_InputFunctions.Utility_DisplayArrayInTable(Common_SourceData.Common_SourceData_ClimateZones_Data(), Table_SourceData_ClimateZones[[#Headers],[Climate zone]], 0)</calculatedColumnFormula>
    </tableColumn>
    <tableColumn id="4" xr3:uid="{0CE926DB-8FBB-46DD-B2F5-74DB63757391}" name="Frost days per year" totalsRowDxfId="155" totalsRowCellStyle="Content bold">
      <calculatedColumnFormula array="1">Common_InputFunctions.Utility_DisplayArrayInTable(Common_SourceData.Common_SourceData_ClimateZones_Data(), Table_SourceData_ClimateZones[[#Headers],[Climate zone]], 0)</calculatedColumnFormula>
    </tableColumn>
    <tableColumn id="5" xr3:uid="{47751D32-289E-4A5A-90B8-231DD67C9832}" name="Elevation" totalsRowDxfId="154" totalsRowCellStyle="Content bold">
      <calculatedColumnFormula array="1">Common_InputFunctions.Utility_DisplayArrayInTable(Common_SourceData.Common_SourceData_ClimateZones_Data(), Table_SourceData_ClimateZones[[#Headers],[Climate zone]], 0)</calculatedColumnFormula>
    </tableColumn>
    <tableColumn id="6" xr3:uid="{4F949F03-6B35-4E94-829B-0336C4645775}" name="MAP:PET" totalsRowDxfId="153" totalsRowCellStyle="Content bold">
      <calculatedColumnFormula array="1">Common_InputFunctions.Utility_DisplayArrayInTable(Common_SourceData.Common_SourceData_ClimateZones_Data(), Table_SourceData_ClimateZones[[#Headers],[Climate zone]], 0)</calculatedColumnFormula>
    </tableColumn>
    <tableColumn id="7" xr3:uid="{3FBCB33B-842D-41D5-AD5F-83D615C11114}" name="Min temp" totalsRowDxfId="152" totalsRowCellStyle="Content bold">
      <calculatedColumnFormula array="1">Common_InputFunctions.Utility_DisplayArrayInTable(Common_SourceData.Common_SourceData_ClimateZones_Data(), Table_SourceData_ClimateZones[[#Headers],[Climate zone]], 0)</calculatedColumnFormula>
    </tableColumn>
    <tableColumn id="8" xr3:uid="{C2619C9C-0794-4F06-A862-63A4C3CA66EC}" name="Max temp" totalsRowDxfId="151" totalsRowCellStyle="Content bold">
      <calculatedColumnFormula array="1">Common_InputFunctions.Utility_DisplayArrayInTable(Common_SourceData.Common_SourceData_ClimateZones_Data(), Table_SourceData_ClimateZones[[#Headers],[Climate zone]], 0)</calculatedColumnFormula>
    </tableColumn>
    <tableColumn id="9" xr3:uid="{FAF7977F-60AC-4F2F-AA73-CCFEA07FF532}" name="Min rainfall" totalsRowDxfId="150" totalsRowCellStyle="Content bold">
      <calculatedColumnFormula array="1">Common_InputFunctions.Utility_DisplayArrayInTable(Common_SourceData.Common_SourceData_ClimateZones_Data(), Table_SourceData_ClimateZones[[#Headers],[Climate zone]], 0)</calculatedColumnFormula>
    </tableColumn>
    <tableColumn id="10" xr3:uid="{D90DF110-8E64-41CE-9DF1-5AD24AE94500}" name="Max rainfall" totalsRowDxfId="149" totalsRowCellStyle="Content bold">
      <calculatedColumnFormula array="1">Common_InputFunctions.Utility_DisplayArrayInTable(Common_SourceData.Common_SourceData_ClimateZones_Data(), Table_SourceData_ClimateZones[[#Headers],[Climate zone]], 0)</calculatedColumnFormula>
    </tableColumn>
    <tableColumn id="11" xr3:uid="{1226E44E-433A-4C43-A126-43AC4AD90613}" name="Min frost days" totalsRowDxfId="148" totalsRowCellStyle="Content bold">
      <calculatedColumnFormula array="1">Common_InputFunctions.Utility_DisplayArrayInTable(Common_SourceData.Common_SourceData_ClimateZones_Data(), Table_SourceData_ClimateZones[[#Headers],[Climate zone]], 0)</calculatedColumnFormula>
    </tableColumn>
    <tableColumn id="15" xr3:uid="{39232AE3-3382-4B1D-A883-69EAEC386BCA}" name="Max frost days" totalsRowDxfId="147" totalsRowCellStyle="Content bold">
      <calculatedColumnFormula array="1">Common_InputFunctions.Utility_DisplayArrayInTable(Common_SourceData.Common_SourceData_ClimateZones_Data(), Table_SourceData_ClimateZones[[#Headers],[Climate zone]], 0)</calculatedColumnFormula>
    </tableColumn>
    <tableColumn id="12" xr3:uid="{59F4DDE6-C7E7-4BB5-BB18-F669A3EE8FF3}" name="Min elevation" totalsRowDxfId="146" totalsRowCellStyle="Content bold">
      <calculatedColumnFormula array="1">Common_InputFunctions.Utility_DisplayArrayInTable(Common_SourceData.Common_SourceData_ClimateZones_Data(), Table_SourceData_ClimateZones[[#Headers],[Climate zone]], 0)</calculatedColumnFormula>
    </tableColumn>
    <tableColumn id="16" xr3:uid="{72A56AAE-52D9-45B2-A13B-93D81D4FB64C}" name="Max elevation" totalsRowDxfId="145" totalsRowCellStyle="Content bold">
      <calculatedColumnFormula array="1">Common_InputFunctions.Utility_DisplayArrayInTable(Common_SourceData.Common_SourceData_ClimateZones_Data(), Table_SourceData_ClimateZones[[#Headers],[Climate zone]], 0)</calculatedColumnFormula>
    </tableColumn>
    <tableColumn id="13" xr3:uid="{EE7B4570-E79C-43AD-A951-1CDFABFAAADA}" name="Min MAP:PET" totalsRowDxfId="144" totalsRowCellStyle="Content bold">
      <calculatedColumnFormula array="1">Common_InputFunctions.Utility_DisplayArrayInTable(Common_SourceData.Common_SourceData_ClimateZones_Data(), Table_SourceData_ClimateZones[[#Headers],[Climate zone]], 0)</calculatedColumnFormula>
    </tableColumn>
    <tableColumn id="17" xr3:uid="{A609D4ED-0384-43E1-9D16-AE8544F53232}" name="Max MAP:PET" totalsRowDxfId="143"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8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8B6ABB3D-00EB-4F67-B55C-B508EAA963D1}"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4CF489C9-0C88-4CCB-A29C-4C5E0A706490}"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15DEBDB4-D8D7-40B9-83B3-DA303173B97A}" name="Wet or Dry Zone" totalsRowDxfId="142"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8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43EE2944-F83E-4446-B64E-48FA3FE70F7E}"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DD46E4B8-878F-4360-99A1-6CE0E4A5E003}" name="Temperature Zone">
      <calculatedColumnFormula array="1">Common_InputFunctions.Utility_DisplayArrayInTable(Common_SourceData.Common_SourceData_TemperatureZones_Data(),Table_SourceData_TemperatureZones[[#Headers],[Temperature Zone]],0)</calculatedColumnFormula>
    </tableColumn>
    <tableColumn id="2" xr3:uid="{932495B2-C13E-4102-A127-9F5124B82CF5}" name="MAT">
      <calculatedColumnFormula array="1">Common_InputFunctions.Utility_DisplayArrayInTable(Common_SourceData.Common_SourceData_TemperatureZones_Data(),Table_SourceData_TemperatureZones[[#Headers],[Temperature Zone]],0)</calculatedColumnFormula>
    </tableColumn>
    <tableColumn id="3" xr3:uid="{F82B298A-282C-4596-A446-8DF92BDC6128}" name="Min MAT">
      <calculatedColumnFormula array="1">Common_InputFunctions.Utility_DisplayArrayInTable(Common_SourceData.Common_SourceData_TemperatureZones_Data(),Table_SourceData_TemperatureZones[[#Headers],[Temperature Zone]],0)</calculatedColumnFormula>
    </tableColumn>
    <tableColumn id="4" xr3:uid="{B4E9480A-A0F0-4B00-ADC0-4B48A0BE56BE}"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8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2380F265-B880-4441-BD8C-DA4A3D7D0969}"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9D3146BF-5F3C-4544-85A3-255604FC5EA1}" name="Rainfall Zone">
      <calculatedColumnFormula array="1">Common_InputFunctions.Utility_DisplayArrayInTable(Common_SourceData.Common_SourceData_RainfallZones_Data(),Table_SourceData_RainfallZones[[#Headers],[Rainfall Zone]],0)</calculatedColumnFormula>
    </tableColumn>
    <tableColumn id="2" xr3:uid="{FF1BCB7D-96C0-4CBD-B2D8-67F056D138E8}" name="Annual rainfall">
      <calculatedColumnFormula array="1">Common_InputFunctions.Utility_DisplayArrayInTable(Common_SourceData.Common_SourceData_RainfallZones_Data(),Table_SourceData_RainfallZones[[#Headers],[Rainfall Zone]],0)</calculatedColumnFormula>
    </tableColumn>
    <tableColumn id="3" xr3:uid="{366380E1-365A-4FFC-8CDF-20279E5243C1}" name="Min rainfall">
      <calculatedColumnFormula array="1">Common_InputFunctions.Utility_DisplayArrayInTable(Common_SourceData.Common_SourceData_RainfallZones_Data(),Table_SourceData_RainfallZones[[#Headers],[Rainfall Zone]],0)</calculatedColumnFormula>
    </tableColumn>
    <tableColumn id="4" xr3:uid="{9FF04DBF-5494-4944-A10B-F1873331455E}"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8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31591D-D840-4C63-B843-7E7AB936311C}"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A5582C67-7F1A-4CB9-81A7-806C7922D294}" name="Leaching Zone">
      <calculatedColumnFormula array="1">Common_InputFunctions.Utility_DisplayArrayInTable(Common_SourceData.Common_SourceData_LeachingZones_Data(), Table_SourceData_LeachingZones[[#Headers],[Leaching Zone]], 0)</calculatedColumnFormula>
    </tableColumn>
    <tableColumn id="2" xr3:uid="{FF42B095-B4EA-47C0-A4CE-2C18113997C1}"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9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9071B43-84C5-4A9B-AC56-87E088211B7C}"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19B94965-E9CF-461F-974A-9D878EA9BE16}" name="Data source">
      <calculatedColumnFormula array="1">Common_InputFunctions.Utility_DisplayArrayInTable(Common_SourceData.Common_SourceData_DataScores_Scope3_Data(), Table_SourceData_DataScores_Scope3[[#Headers],[Data source]], 0)</calculatedColumnFormula>
    </tableColumn>
    <tableColumn id="2" xr3:uid="{A47D2B04-79A0-439E-8055-16F2C7A1BBFD}"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9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6518494-8C9E-4786-94D1-C5716A0FA1E2}" name="Table_SourceData_FracWET" displayName="Table_SourceData_FracWET" ref="D134:E136" totalsRowShown="0">
  <autoFilter ref="D134:E136" xr:uid="{308E99BE-FE1F-47A4-B2CA-97217277C4E9}">
    <filterColumn colId="0" hiddenButton="1"/>
    <filterColumn colId="1" hiddenButton="1"/>
  </autoFilter>
  <tableColumns count="2">
    <tableColumn id="1" xr3:uid="{22C2C6AE-DA6F-4ADB-859F-88523E4E47DC}" name="Is in leaching zone">
      <calculatedColumnFormula array="1">Common_InputFunctions.Utility_DisplayArrayInTable(Common_SourceData.Common_SourceData_FracWET_Data(),Table_SourceData_FracWET[[#Headers],[Is in leaching zone]],0)</calculatedColumnFormula>
    </tableColumn>
    <tableColumn id="2" xr3:uid="{961AE704-9742-40C1-9D0C-522CDADB57B4}" name="FracWET" dataDxfId="141">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9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5930FF5B-D32A-4E20-8001-BEC538B5ADB5}"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F5579B01-6791-4441-A783-A578EA998185}" name="Production system j">
      <calculatedColumnFormula array="1">Common_InputFunctions.Utility_DisplayArrayInTable(Common_SourceData.Common_SourceData_EFN2O_Data(), Table_SourceData_Common_EFN2O[[#Headers],[Production system j]], 0)</calculatedColumnFormula>
    </tableColumn>
    <tableColumn id="2" xr3:uid="{951BC42C-328B-45C5-8A5E-DEC49F0A7633}" name="EFN2O">
      <calculatedColumnFormula array="1">Common_InputFunctions.Utility_DisplayArrayInTable(Common_SourceData.Common_SourceData_EFN2O_Data(), Table_SourceData_Common_EFN2O[[#Headers],[Production system j]], 0)</calculatedColumnFormula>
    </tableColumn>
    <tableColumn id="3" xr3:uid="{8C5AD5F0-605F-405F-BC1E-6F6960ECDAF1}" name="Production system only">
      <calculatedColumnFormula array="1">Common_InputFunctions.Utility_DisplayArrayInTable(Common_SourceData.Common_SourceData_EFN2O_Data(), Table_SourceData_Common_EFN2O[[#Headers],[Production system j]], 0)</calculatedColumnFormula>
    </tableColumn>
    <tableColumn id="4" xr3:uid="{3C9492A3-4106-4C7B-9209-216C3BE40055}" name="Irrigation method">
      <calculatedColumnFormula array="1">Common_InputFunctions.Utility_DisplayArrayInTable(Common_SourceData.Common_SourceData_EFN2O_Data(), Table_SourceData_Common_EFN2O[[#Headers],[Production system j]], 0)</calculatedColumnFormula>
    </tableColumn>
    <tableColumn id="5" xr3:uid="{70FBD27E-C4BC-4A2A-9757-D59BA4C8C67D}"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9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72BFD65A-21D6-4297-B99D-D0D42176D761}"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89B8C9C0-487C-456F-A38C-2227312F423D}" name="Irrigation type i">
      <calculatedColumnFormula array="1">Common_InputFunctions.Utility_DisplayArrayInTable(Common_SourceData.Common_SourceData_FracWETIrrigation_Data(), Table_SourceData_FracWETIrrigation[[#Headers],[Irrigation type i]], 0)</calculatedColumnFormula>
    </tableColumn>
    <tableColumn id="2" xr3:uid="{76FEBB52-4BA8-4878-ABD5-A1D385C9CBB2}" name="FracWET" dataDxfId="140"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9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4F89208A-A2F1-4521-BFB3-FD49A86DCF37}"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B3194017-8420-4A75-BF58-D94E8E366FA5}"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DB7689A4-5F79-4DC6-AEDA-BD27AA7735DE}" name="EFPRP" dataDxfId="139"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9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EC6B72B8-D330-4DFF-B354-ADB4E9F1BE85}"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CFA27088-5584-4432-9EBF-9CC908BB3F73}" name="Month">
      <calculatedColumnFormula array="1">Common_InputFunctions.Utility_DisplayArrayInTable(Common_SourceData.Common_SourceData_MonthsToSeasons_Data(), Table_SourceData_Common_MonthToSeason[[#Headers],[Month]], 0)</calculatedColumnFormula>
    </tableColumn>
    <tableColumn id="2" xr3:uid="{562A242E-2C18-4700-B87C-BF0E6D72E55D}" name="Season" dataDxfId="138"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9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B15BB5D5-D7B7-49C7-8998-F0613D37DA06}"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B9C03558-7821-48FC-BA43-9E83FD9DD214}"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AE651B1E-905B-4999-A25B-F342CDE64E0F}" name="MAT (ºC)" dataDxfId="13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DB270A2A-6E0B-40B1-8BF5-FD175022D5E5}" name="Anaerobic lagoon" dataDxfId="13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21E38317-525E-4A5B-86A6-35AD41B903A1}" name="Digester / covered lagoons" dataDxfId="13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017EAE1F-F1D4-4ECA-B2BF-27F27C0B710C}" name="Liquid systems" dataDxfId="13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8D7C0588-F29D-41D2-A4F1-2B6AE80CCB2F}" name="Daily spread" dataDxfId="13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2D7D514E-D604-458B-8BB0-C81C5E0B188D}" name="Composting (passive windrow)" dataDxfId="13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F7536CDB-8030-4364-AAA8-EF005F5E86F7}" name="Solid storage" dataDxfId="13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9C345CB6-1C20-4DB9-BB29-CB0010CAD450}" name="Pit storage" dataDxfId="13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124CEA8D-4055-4FCC-9831-B9F593B59067}" name="Deep litter" dataDxfId="12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BE546694-46BB-4C32-9C9E-789A7FB89886}" name="Poultry manure with bedding" dataDxfId="12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12DFD68D-580C-4C50-B683-5DD09E98F6BA}" name="Poultry manure without bedding" dataDxfId="12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E5502853-37BF-4EF6-8B81-BFA61AB1A883}" name="Direct processing" dataDxfId="12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E4B91790-27EC-4CF9-8F1E-156D88349580}" name="Direct application" dataDxfId="12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7B2BAB32-A63B-41E1-BE03-B2A6435DA45E}" name="Pasture range and paddock" dataDxfId="12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B52E7C0B-2A2F-4D94-B3EE-F55684FCD251}" name="MAT raw" dataDxfId="123"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9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47ABB6EE-804C-4EDC-AFDE-C9586C36A971}"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672554FB-5647-43EE-81BE-BD170F3983CE}"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9E3B7306-38E5-41D5-9D76-8FDBDD9AE302}" name="EFNi &amp; EFN2Oi" dataDxfId="122"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9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BFCF4F82-9E1B-4FB1-927B-5EDFE80502DA}" name="Table_SourceData_DataQuality_TemporalRepresentativeness" displayName="Table_SourceData_DataQuality_TemporalRepresentativeness" ref="D265:G270" totalsRowShown="0">
  <autoFilter ref="D265:G270" xr:uid="{9AD44602-D2F2-4D97-923C-A32E98F8C17A}">
    <filterColumn colId="0" hiddenButton="1"/>
    <filterColumn colId="1" hiddenButton="1"/>
    <filterColumn colId="2" hiddenButton="1"/>
    <filterColumn colId="3" hiddenButton="1"/>
  </autoFilter>
  <tableColumns count="4">
    <tableColumn id="4" xr3:uid="{67CB5F21-5858-42C0-820C-FA4341C92233}" name="User friendly description" dataDxfId="121" dataCellStyle="Content normal"/>
    <tableColumn id="2" xr3:uid="{A467D3D2-FAE8-4B4F-AD2F-273B449008EF}" name="Description" dataDxfId="120" dataCellStyle="Content normal"/>
    <tableColumn id="1" xr3:uid="{0177D8A5-3CAD-4019-91CC-E9E92C7CD148}" name="ID"/>
    <tableColumn id="3" xr3:uid="{D129B7D0-4F30-40BA-A6A7-54FEE1CB39A7}" name="Score"/>
  </tableColumns>
  <tableStyleInfo name="Equation table" showFirstColumn="0" showLastColumn="0" showRowStripes="1" showColumnStripes="0"/>
</table>
</file>

<file path=xl/tables/table9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486AF9B4-7499-497E-86B5-6690E450DDAE}" name="Table_SourceData_DataQuality_SpatialRepresentativeness" displayName="Table_SourceData_DataQuality_SpatialRepresentativeness" ref="D274:G279" totalsRowShown="0">
  <autoFilter ref="D274:G279" xr:uid="{95094D65-3E0E-45CE-A3F4-F41E74C11901}">
    <filterColumn colId="0" hiddenButton="1"/>
    <filterColumn colId="1" hiddenButton="1"/>
    <filterColumn colId="2" hiddenButton="1"/>
    <filterColumn colId="3" hiddenButton="1"/>
  </autoFilter>
  <tableColumns count="4">
    <tableColumn id="4" xr3:uid="{E3087997-1A71-41E6-95DA-00D25217CB77}" name="User friendly description" dataDxfId="119" dataCellStyle="Content normal"/>
    <tableColumn id="1" xr3:uid="{76CE025C-B272-4023-B793-440DED678242}" name="Description"/>
    <tableColumn id="2" xr3:uid="{7F57D207-1D4F-4A28-8836-C5DC431E1625}" name="ID"/>
    <tableColumn id="3" xr3:uid="{559F6435-AB23-47A3-B30E-D5E467BA68A8}" name="Score"/>
  </tableColumns>
  <tableStyleInfo name="Equation table" showFirstColumn="0" showLastColumn="0" showRowStripes="1" showColumnStripes="0"/>
</table>
</file>

<file path=xl/tables/table10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93E91645-F61A-4118-8970-B7814D138119}" name="Table_SourceData_DataQuality_SampleSize" displayName="Table_SourceData_DataQuality_SampleSize" ref="D283:G288" totalsRowShown="0">
  <autoFilter ref="D283:G288" xr:uid="{DE8F748C-E65A-4AA2-81BB-D28A432CF334}">
    <filterColumn colId="0" hiddenButton="1"/>
    <filterColumn colId="1" hiddenButton="1"/>
    <filterColumn colId="2" hiddenButton="1"/>
    <filterColumn colId="3" hiddenButton="1"/>
  </autoFilter>
  <tableColumns count="4">
    <tableColumn id="4" xr3:uid="{DF638216-436F-4C10-B75A-DAAFFCC99904}" name="User friendly description" dataDxfId="118" dataCellStyle="Content normal"/>
    <tableColumn id="1" xr3:uid="{349901AD-9801-4819-B144-89B773FED959}" name="Description"/>
    <tableColumn id="2" xr3:uid="{BBC89306-46D2-4929-8947-68EE38366C09}" name="ID"/>
    <tableColumn id="3" xr3:uid="{865818AA-73D1-46C8-89D3-B389E9CADD7C}" name="Score"/>
  </tableColumns>
  <tableStyleInfo name="Equation table" showFirstColumn="0" showLastColumn="0" showRowStripes="1" showColumnStripes="0"/>
</table>
</file>

<file path=xl/tables/table10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9D68B119-42F4-4131-8EB1-5EF9ED33597F}" name="Table_SourceData_DataQuality_Scope3" displayName="Table_SourceData_DataQuality_Scope3" ref="D292:G297" totalsRowShown="0">
  <autoFilter ref="D292:G297" xr:uid="{43A1C4DA-75D1-45DF-BA9A-1798C2CC5A4B}">
    <filterColumn colId="0" hiddenButton="1"/>
    <filterColumn colId="1" hiddenButton="1"/>
    <filterColumn colId="2" hiddenButton="1"/>
    <filterColumn colId="3" hiddenButton="1"/>
  </autoFilter>
  <tableColumns count="4">
    <tableColumn id="4" xr3:uid="{BA23F989-3F7E-4E10-B48D-200333055957}" name="User friendly description" dataDxfId="117" dataCellStyle="Content normal"/>
    <tableColumn id="1" xr3:uid="{55A1F1EC-210E-48D2-BED8-03D5FB58A9A5}" name="Description"/>
    <tableColumn id="2" xr3:uid="{4F17639D-3869-4472-8F9F-1819280657B0}" name="ID"/>
    <tableColumn id="3" xr3:uid="{77FE4131-90F7-4C8B-929C-08DA8DF35F1C}" name="Score"/>
  </tableColumns>
  <tableStyleInfo name="Equation table" showFirstColumn="0" showLastColumn="0" showRowStripes="1" showColumnStripes="0"/>
</table>
</file>

<file path=xl/tables/table10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9228A77-AAF0-4E4B-B3B6-548B8379325D}" name="Table_Input_DataQuality_Enterprise" displayName="Table_Input_DataQuality_Enterprise" ref="D7:J13" totalsRowShown="0" headerRowCellStyle="Input table column header">
  <autoFilter ref="D7:J13" xr:uid="{A9228A77-AAF0-4E4B-B3B6-548B8379325D}"/>
  <tableColumns count="7">
    <tableColumn id="1" xr3:uid="{D973B6CD-DC02-4FB9-BC72-C7D59E0878F5}" name="Data type" dataCellStyle="Content normal"/>
    <tableColumn id="2" xr3:uid="{8628A244-7FCA-4923-B809-B69CE86B5CDE}" name="When was the data sourced?" dataCellStyle="Input select"/>
    <tableColumn id="3" xr3:uid="{FAD9C63D-6E32-48F0-8A23-222E15F46B11}" name="Where is the data sourced from?" dataCellStyle="Input select"/>
    <tableColumn id="4" xr3:uid="{5EDBE82F-7B3C-458A-8638-8F86879CF287}" name="How much of the data was from direct samples?" dataCellStyle="Input select"/>
    <tableColumn id="5" xr3:uid="{58811FFB-FE3A-4DD8-BE53-E8CB588BCB77}" name="Notes" dataDxfId="116"/>
    <tableColumn id="6" xr3:uid="{1219F6AC-7C79-4EDD-8C55-F7A78277AE3F}" name="Evidence files" dataDxfId="115"/>
    <tableColumn id="7" xr3:uid="{A201D4C4-5F18-4228-8444-52A30734BB16}" name="Score" dataCellStyle="Input number general calculated">
      <calculatedColumnFormula>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10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4EAFF54-6A37-4172-83F2-4CF40A8CE922}" name="Table_Input_DataQuality_Site" displayName="Table_Input_DataQuality_Site" ref="D18:J24" totalsRowShown="0" headerRowCellStyle="Input table column header">
  <autoFilter ref="D18:J24" xr:uid="{14EAFF54-6A37-4172-83F2-4CF40A8CE922}"/>
  <tableColumns count="7">
    <tableColumn id="1" xr3:uid="{77CE9F47-8CFA-4692-926E-40DA38A1B418}" name="Data type" dataCellStyle="Content normal"/>
    <tableColumn id="2" xr3:uid="{0E7A6865-A484-4EA8-BE54-5D641629A627}" name="When was the data sourced?" dataCellStyle="Input select"/>
    <tableColumn id="3" xr3:uid="{3E8C7762-D226-4D20-9E9C-87D78E3C44EB}" name="Where is the data sourced from?" dataCellStyle="Input select"/>
    <tableColumn id="4" xr3:uid="{4BFD5FBC-8263-4629-836C-DDA0F8DB50DF}" name="How much of the data was from direct samples?" dataCellStyle="Input select"/>
    <tableColumn id="5" xr3:uid="{E8075AB8-A4A6-48D2-A746-36F9CD68017F}" name="Notes" dataDxfId="114"/>
    <tableColumn id="6" xr3:uid="{73F97399-8A3B-4EFB-9481-CBD7CB1C44EB}" name="Evidence files" dataDxfId="113"/>
    <tableColumn id="7" xr3:uid="{5C3D4C29-1D29-4869-8E15-91152F19AFCD}" name="Score" dataCellStyle="Input number general calculated">
      <calculatedColumnFormula>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10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59F3E1E-E80D-4491-B5B5-2B0458B11142}" name="Table_Input_DataQuality_PastureManagement" displayName="Table_Input_DataQuality_PastureManagement" ref="D29:J33" totalsRowShown="0" headerRowCellStyle="Input table column header">
  <autoFilter ref="D29:J33" xr:uid="{E59F3E1E-E80D-4491-B5B5-2B0458B11142}"/>
  <tableColumns count="7">
    <tableColumn id="1" xr3:uid="{07B7AEAC-42D5-4F2A-9254-E28170F20541}" name="Data type" dataCellStyle="Content normal"/>
    <tableColumn id="2" xr3:uid="{F15C1AF3-5D79-4EFF-A7BC-85CD71AF8BCF}" name="When was the data sourced?" dataCellStyle="Input select"/>
    <tableColumn id="3" xr3:uid="{E627CA70-3484-4F31-AEDF-45A8D9B88D5B}" name="Where is the data sourced from?" dataCellStyle="Input select"/>
    <tableColumn id="4" xr3:uid="{17EAABE4-C534-43AF-A841-58EDEBD26AB6}" name="How much of the data was from direct samples?" dataCellStyle="Input select"/>
    <tableColumn id="5" xr3:uid="{179CA6A6-4732-423D-BA28-31ED41FEC488}" name="Notes" dataDxfId="112"/>
    <tableColumn id="6" xr3:uid="{865FA280-4A36-4101-BD09-20356916B4D5}" name="Evidence files" dataDxfId="111"/>
    <tableColumn id="7" xr3:uid="{399918FC-2F3F-431B-90D1-3CF016CF6FB7}" name="Score" dataCellStyle="Input number general calculated">
      <calculatedColumnFormula>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10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C3D1E6C-FF7F-4D22-8D4B-093B5FC76F99}" name="Table_Input_DataQuality_FertiliserApplications" displayName="Table_Input_DataQuality_FertiliserApplications" ref="D38:J42" totalsRowShown="0" headerRowCellStyle="Input table column header">
  <autoFilter ref="D38:J42" xr:uid="{9C3D1E6C-FF7F-4D22-8D4B-093B5FC76F99}"/>
  <tableColumns count="7">
    <tableColumn id="1" xr3:uid="{56FDEC71-E0C9-4D04-A9A0-6CC0FF1B2B4D}" name="Data type" dataCellStyle="Content normal"/>
    <tableColumn id="2" xr3:uid="{D6C96F63-36E8-4824-8C95-BC4F6A076292}" name="When was the data sourced?" dataCellStyle="Input select"/>
    <tableColumn id="3" xr3:uid="{6D6CAE5E-4461-40B3-B8DC-047E72C1E057}" name="Where is the data sourced from?" dataCellStyle="Input select"/>
    <tableColumn id="4" xr3:uid="{1CF6EB6B-3987-44BA-AF58-FE9F4194D42F}" name="How much of the data was from direct samples?" dataCellStyle="Input select"/>
    <tableColumn id="5" xr3:uid="{2217AC95-A768-492F-A36E-74569D5596D4}" name="Notes" dataDxfId="110"/>
    <tableColumn id="6" xr3:uid="{410620E5-5948-4B74-B5C6-B017CD8C09FE}" name="Evidence files" dataDxfId="109"/>
    <tableColumn id="7" xr3:uid="{D000D4F8-1A71-478C-A273-A9B02C735D2D}" name="Score" dataCellStyle="Input number general calculated">
      <calculatedColumnFormula>IFERROR(_xlfn.XLOOKUP(Table_Input_DataQuality_FertiliserApplications[[#This Row],[When was the data sourced?]],Table_SourceData_DataQuality_TemporalRepresentativeness[User friendly description],Table_SourceData_DataQuality_TemporalRepresentativeness[Score])+_xlfn.XLOOKUP(Table_Input_DataQuality_FertiliserApplications[[#This Row],[Where is the data sourced from?]],Table_SourceData_DataQuality_SpatialRepresentativeness[User friendly description],Table_SourceData_DataQuality_SpatialRepresentativeness[Score])+_xlfn.XLOOKUP(Table_Input_DataQuality_FertiliserApplications[[#This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10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3CC3CF1-FC3F-4295-9CAA-23D9BE9805DD}" name="Table_Input_DataQuality_FuelElectricity" displayName="Table_Input_DataQuality_FuelElectricity" ref="D47:J51" totalsRowShown="0" headerRowCellStyle="Input table column header">
  <autoFilter ref="D47:J51" xr:uid="{23CC3CF1-FC3F-4295-9CAA-23D9BE9805DD}"/>
  <tableColumns count="7">
    <tableColumn id="1" xr3:uid="{FF68AAD8-CA28-48F0-919A-B5EE00EEC959}" name="Data type" dataCellStyle="Content normal"/>
    <tableColumn id="2" xr3:uid="{BC53EBA0-F074-453F-8CEB-CA1F6ECC908D}" name="When was the data sourced?" dataCellStyle="Input select"/>
    <tableColumn id="3" xr3:uid="{443C80E7-5900-4A26-A586-B5571F50B9F7}" name="Where is the data sourced from?" dataCellStyle="Input select"/>
    <tableColumn id="4" xr3:uid="{C01B1081-DB35-4821-8766-E86DBB122E80}" name="How much of the data was from direct samples?" dataCellStyle="Input select"/>
    <tableColumn id="5" xr3:uid="{A1104D67-6CCD-4845-87B4-822F83200DD9}" name="Notes" dataDxfId="108"/>
    <tableColumn id="6" xr3:uid="{690D112F-6792-478E-99EE-B77B520B2164}" name="Evidence files" dataDxfId="107"/>
    <tableColumn id="7" xr3:uid="{6CAA4E36-3A57-4A0B-8F59-4A9A9900E954}" name="Score" dataCellStyle="Input number general calculated">
      <calculatedColumnFormula>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10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686FF9E-0D3A-4B3C-AA24-5C854A47B3EC}" name="Table_Input_DataQuality_FarmInputsFreightWaste" displayName="Table_Input_DataQuality_FarmInputsFreightWaste" ref="D57:J61" totalsRowShown="0" headerRowCellStyle="Input table column header">
  <autoFilter ref="D57:J61" xr:uid="{3686FF9E-0D3A-4B3C-AA24-5C854A47B3EC}"/>
  <tableColumns count="7">
    <tableColumn id="1" xr3:uid="{C51E7368-348D-4A43-9E3F-127769A67275}" name="Data type" dataCellStyle="Content normal"/>
    <tableColumn id="2" xr3:uid="{4E3BAE35-86E5-4F71-98DC-491AD05B9B47}" name="When was the data sourced?" dataCellStyle="Input select"/>
    <tableColumn id="3" xr3:uid="{27B2AE81-8632-4140-9460-9C99650189CD}" name="Where is the data sourced from?" dataCellStyle="Input select"/>
    <tableColumn id="4" xr3:uid="{9C973ECC-975D-44BC-8B9B-BFC0C605F944}" name="How much of the data was from direct samples?" dataCellStyle="Input select"/>
    <tableColumn id="5" xr3:uid="{F255A018-D1E3-4FA7-9B50-4726EC2E2E56}" name="Notes" dataDxfId="106"/>
    <tableColumn id="6" xr3:uid="{16D79CDB-80AA-4F28-B5E0-282205F97C41}" name="Evidence files" dataDxfId="105"/>
    <tableColumn id="7" xr3:uid="{73A8FFE4-648C-4FC3-BBE0-724E1B5D1A5A}" name="Score" dataCellStyle="Input number general calculated">
      <calculatedColumnFormula>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10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8" xr:uid="{FC63CF25-FCAB-4267-BE6E-AFCB3BCE1728}"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2DCD80BE-AED2-4290-8D7F-DA96979B5C8D}" name="Symbol">
      <calculatedColumnFormula array="1">Common_InputFunctions.Utility_DisplayArrayInTable(CommonLivestock_SourceData.SourceData_Livestock_Common_SymbolsMMS_Data(), Table_Data_MMSSymbols[[#Headers],[Symbol]], 0)</calculatedColumnFormula>
    </tableColumn>
    <tableColumn id="2" xr3:uid="{AD4F7E71-7DFE-4ED2-96B7-7DE685C8E78B}" name="Manure management system">
      <calculatedColumnFormula array="1">Common_InputFunctions.Utility_DisplayArrayInTable(CommonLivestock_SourceData.SourceData_Livestock_Common_SymbolsMMS_Data(), Table_Data_MMSSymbols[[#Headers],[Symbol]], 0)</calculatedColumnFormula>
    </tableColumn>
    <tableColumn id="3" xr3:uid="{2D440117-97C7-4BBA-9B38-0CE2548D623E}" name="Symbol and MMS">
      <calculatedColumnFormula array="1">Common_InputFunctions.Utility_DisplayArrayInTable(CommonLivestock_SourceData.SourceData_Livestock_Common_SymbolsMMS_Data(),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ables/table10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9" xr:uid="{267AC298-CC1B-4E96-BBBA-2DCE4734ACE9}" name="Table_SourceData_LivestockProduct_Beefcattle" displayName="Table_SourceData_LivestockProduct_Beefcattle" ref="D31:E39" totalsRowShown="0">
  <autoFilter ref="D31:E39" xr:uid="{953E8E36-CE90-4001-9CFA-9307A0C836A9}"/>
  <tableColumns count="2">
    <tableColumn id="1" xr3:uid="{9622FE17-75EB-4B0A-971F-8A033030689E}" name="Product">
      <calculatedColumnFormula array="1">Common_InputFunctions.Utility_DisplayArrayInTable(CommonLivestock_SourceData.SourceData_Livestock_Product_BeefCattle_Data(),Table_SourceData_LivestockProduct_Beefcattle[[#Headers],[Product]],0)</calculatedColumnFormula>
    </tableColumn>
    <tableColumn id="2" xr3:uid="{D39960EA-D114-47F1-920F-CCD0F3A30056}" name="Source region" dataDxfId="104" dataCellStyle="Content normal">
      <calculatedColumnFormula array="1">Common_InputFunctions.Utility_DisplayArrayInTable(CommonLivestock_SourceData.SourceData_Livestock_Product_BeefCattle_Data(),Table_SourceData_LivestockProduct_Beefcattle[[#Headers],[Product]],0)</calculatedColumnFormula>
    </tableColumn>
  </tableColumns>
  <tableStyleInfo name="Equation table" showFirstColumn="0" showLastColumn="0" showRowStripes="1" showColumnStripes="0"/>
</table>
</file>

<file path=xl/tables/table1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0" xr:uid="{09422505-5869-4777-8893-8519987DCC7D}" name="Table_SourceData_LivestockProduct_Sheep" displayName="Table_SourceData_LivestockProduct_Sheep" ref="D43:E50" totalsRowShown="0" dataDxfId="103" dataCellStyle="Content normal">
  <autoFilter ref="D43:E50" xr:uid="{995536B5-6CA5-4D7D-A704-9B6B595C2491}"/>
  <tableColumns count="2">
    <tableColumn id="1" xr3:uid="{F0BF449F-646E-4ABA-9A1D-AA30D9C77D65}" name="Product" dataDxfId="102" dataCellStyle="Content normal">
      <calculatedColumnFormula array="1">Common_InputFunctions.Utility_DisplayArrayInTable(CommonLivestock_SourceData.SourceData_Livestock_Product_Sheep_Data(),Table_SourceData_LivestockProduct_Sheep[[#Headers],[Product]],0)</calculatedColumnFormula>
    </tableColumn>
    <tableColumn id="2" xr3:uid="{C456583A-3072-44EF-A58F-4A0ECF2F980D}" name="Source region" dataDxfId="101" dataCellStyle="Content normal">
      <calculatedColumnFormula array="1">Common_InputFunctions.Utility_DisplayArrayInTable(CommonLivestock_SourceData.SourceData_Livestock_Product_Sheep_Data(),Table_SourceData_LivestockProduct_Sheep[[#Headers],[Product]],0)</calculatedColumnFormula>
    </tableColumn>
  </tableColumns>
  <tableStyleInfo name="Equation table" showFirstColumn="0" showLastColumn="0" showRowStripes="1" showColumnStripes="0"/>
</table>
</file>

<file path=xl/tables/table1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1" xr:uid="{0F35E068-53FB-4BFB-A3CA-D1074896FD7C}" name="Table_SourceData_LivestockProduct_Chickens" displayName="Table_SourceData_LivestockProduct_Chickens" ref="D54:E55" totalsRowShown="0" dataDxfId="100" dataCellStyle="Content normal">
  <autoFilter ref="D54:E55" xr:uid="{257D8456-031C-4EEF-A8C4-474F215C3208}"/>
  <tableColumns count="2">
    <tableColumn id="1" xr3:uid="{B90A03E2-51A9-4C99-B670-E1E13593EE85}" name="Product" dataDxfId="99" dataCellStyle="Content normal"/>
    <tableColumn id="2" xr3:uid="{CF71A12C-20FE-4B2C-A0B6-630FBF035B41}" name="Source region" dataDxfId="98" dataCellStyle="Content normal"/>
  </tableColumns>
  <tableStyleInfo name="Equation table" showFirstColumn="0" showLastColumn="0" showRowStripes="1" showColumnStripes="0"/>
</table>
</file>

<file path=xl/tables/table1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2" xr:uid="{6A9E5399-7AA7-446B-9095-9B60476D6FDC}" name="Table_SourceData_LivestockProduct_Dairycattle" displayName="Table_SourceData_LivestockProduct_Dairycattle" ref="D59:E60" totalsRowShown="0" dataDxfId="97" dataCellStyle="Content normal">
  <autoFilter ref="D59:E60" xr:uid="{71833C62-BA2B-4519-92E0-B189E393D12F}"/>
  <tableColumns count="2">
    <tableColumn id="1" xr3:uid="{F93A75DF-3FDA-44A4-BB3C-2C9EAC2614B4}" name="Product" dataDxfId="96" dataCellStyle="Content normal"/>
    <tableColumn id="2" xr3:uid="{B9AACA62-E8ED-4287-B26F-618FAB22FF9B}" name="Source region" dataDxfId="95" dataCellStyle="Content normal"/>
  </tableColumns>
  <tableStyleInfo name="Equation table" showFirstColumn="0" showLastColumn="0" showRowStripes="1" showColumnStripes="0"/>
</table>
</file>

<file path=xl/tables/table1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3" xr:uid="{86321542-1850-4D31-8786-10B256A4518F}" name="Table_SourceData_LivestockProduct_Pigs" displayName="Table_SourceData_LivestockProduct_Pigs" ref="D64:E65" totalsRowShown="0" dataDxfId="94" dataCellStyle="Content normal">
  <autoFilter ref="D64:E65" xr:uid="{65FF5EF6-2A75-4137-9345-8328E2DA8F9C}"/>
  <tableColumns count="2">
    <tableColumn id="1" xr3:uid="{6CF64B98-E270-4A45-A8F9-5F6E810349F7}" name="Product" dataDxfId="93" dataCellStyle="Content normal"/>
    <tableColumn id="2" xr3:uid="{BBC16C43-8B1B-4851-A01E-8264F4F97551}" name="Source region" dataDxfId="92" dataCellStyle="Content normal"/>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912"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3.bin"/><Relationship Id="rId5" Type="http://schemas.openxmlformats.org/officeDocument/2006/relationships/table" Target="../tables/table5.xml"/><Relationship Id="rId4" Type="http://schemas.openxmlformats.org/officeDocument/2006/relationships/table" Target="../tables/table4.xml"/></Relationships>
</file>

<file path=xl/worksheets/_rels/sheet9.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table" Target="../tables/table7.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table" Target="../tables/table9.xml"/><Relationship Id="rId1" Type="http://schemas.openxmlformats.org/officeDocument/2006/relationships/printerSettings" Target="../printerSettings/printerSettings6.bin"/><Relationship Id="rId4"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2" Type="http://schemas.openxmlformats.org/officeDocument/2006/relationships/table" Target="../tables/table15.xml"/><Relationship Id="rId1"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9.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0.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3.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4.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5.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6.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7.bin"/></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8.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9.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0.bin"/></Relationships>
</file>

<file path=xl/worksheets/_rels/sheet29.xml.rels><?xml version="1.0" encoding="UTF-8" standalone="yes"?>
<Relationships xmlns="http://schemas.openxmlformats.org/package/2006/relationships"><Relationship Id="rId8" Type="http://schemas.openxmlformats.org/officeDocument/2006/relationships/table" Target="../tables/table22.xml"/><Relationship Id="rId3" Type="http://schemas.openxmlformats.org/officeDocument/2006/relationships/table" Target="../tables/table17.xml"/><Relationship Id="rId7" Type="http://schemas.openxmlformats.org/officeDocument/2006/relationships/table" Target="../tables/table21.xml"/><Relationship Id="rId2" Type="http://schemas.openxmlformats.org/officeDocument/2006/relationships/table" Target="../tables/table16.xml"/><Relationship Id="rId1" Type="http://schemas.openxmlformats.org/officeDocument/2006/relationships/printerSettings" Target="../printerSettings/printerSettings21.bin"/><Relationship Id="rId6" Type="http://schemas.openxmlformats.org/officeDocument/2006/relationships/table" Target="../tables/table20.xml"/><Relationship Id="rId5" Type="http://schemas.openxmlformats.org/officeDocument/2006/relationships/table" Target="../tables/table19.xml"/><Relationship Id="rId4" Type="http://schemas.openxmlformats.org/officeDocument/2006/relationships/table" Target="../tables/table18.xml"/><Relationship Id="rId9" Type="http://schemas.openxmlformats.org/officeDocument/2006/relationships/table" Target="../tables/table23.xml"/></Relationships>
</file>

<file path=xl/worksheets/_rels/sheet30.xml.rels><?xml version="1.0" encoding="UTF-8" standalone="yes"?>
<Relationships xmlns="http://schemas.openxmlformats.org/package/2006/relationships"><Relationship Id="rId2" Type="http://schemas.openxmlformats.org/officeDocument/2006/relationships/table" Target="../tables/table25.xml"/><Relationship Id="rId1" Type="http://schemas.openxmlformats.org/officeDocument/2006/relationships/table" Target="../tables/table24.xml"/></Relationships>
</file>

<file path=xl/worksheets/_rels/sheet31.xml.rels><?xml version="1.0" encoding="UTF-8" standalone="yes"?>
<Relationships xmlns="http://schemas.openxmlformats.org/package/2006/relationships"><Relationship Id="rId8" Type="http://schemas.openxmlformats.org/officeDocument/2006/relationships/table" Target="../tables/table32.xml"/><Relationship Id="rId3" Type="http://schemas.openxmlformats.org/officeDocument/2006/relationships/table" Target="../tables/table27.xml"/><Relationship Id="rId7" Type="http://schemas.openxmlformats.org/officeDocument/2006/relationships/table" Target="../tables/table31.xml"/><Relationship Id="rId12" Type="http://schemas.openxmlformats.org/officeDocument/2006/relationships/table" Target="../tables/table36.xml"/><Relationship Id="rId2" Type="http://schemas.openxmlformats.org/officeDocument/2006/relationships/table" Target="../tables/table26.xml"/><Relationship Id="rId1" Type="http://schemas.openxmlformats.org/officeDocument/2006/relationships/printerSettings" Target="../printerSettings/printerSettings22.bin"/><Relationship Id="rId6" Type="http://schemas.openxmlformats.org/officeDocument/2006/relationships/table" Target="../tables/table30.xml"/><Relationship Id="rId11" Type="http://schemas.openxmlformats.org/officeDocument/2006/relationships/table" Target="../tables/table35.xml"/><Relationship Id="rId5" Type="http://schemas.openxmlformats.org/officeDocument/2006/relationships/table" Target="../tables/table29.xml"/><Relationship Id="rId10" Type="http://schemas.openxmlformats.org/officeDocument/2006/relationships/table" Target="../tables/table34.xml"/><Relationship Id="rId4" Type="http://schemas.openxmlformats.org/officeDocument/2006/relationships/table" Target="../tables/table28.xml"/><Relationship Id="rId9" Type="http://schemas.openxmlformats.org/officeDocument/2006/relationships/table" Target="../tables/table33.xml"/></Relationships>
</file>

<file path=xl/worksheets/_rels/sheet32.xml.rels><?xml version="1.0" encoding="UTF-8" standalone="yes"?>
<Relationships xmlns="http://schemas.openxmlformats.org/package/2006/relationships"><Relationship Id="rId3" Type="http://schemas.openxmlformats.org/officeDocument/2006/relationships/table" Target="../tables/table39.xml"/><Relationship Id="rId7" Type="http://schemas.openxmlformats.org/officeDocument/2006/relationships/table" Target="../tables/table43.xml"/><Relationship Id="rId2" Type="http://schemas.openxmlformats.org/officeDocument/2006/relationships/table" Target="../tables/table38.xml"/><Relationship Id="rId1" Type="http://schemas.openxmlformats.org/officeDocument/2006/relationships/table" Target="../tables/table37.xml"/><Relationship Id="rId6" Type="http://schemas.openxmlformats.org/officeDocument/2006/relationships/table" Target="../tables/table42.xml"/><Relationship Id="rId5" Type="http://schemas.openxmlformats.org/officeDocument/2006/relationships/table" Target="../tables/table41.xml"/><Relationship Id="rId4" Type="http://schemas.openxmlformats.org/officeDocument/2006/relationships/table" Target="../tables/table40.xml"/></Relationships>
</file>

<file path=xl/worksheets/_rels/sheet33.xml.rels><?xml version="1.0" encoding="UTF-8" standalone="yes"?>
<Relationships xmlns="http://schemas.openxmlformats.org/package/2006/relationships"><Relationship Id="rId8" Type="http://schemas.openxmlformats.org/officeDocument/2006/relationships/table" Target="../tables/table51.xml"/><Relationship Id="rId13" Type="http://schemas.openxmlformats.org/officeDocument/2006/relationships/table" Target="../tables/table56.xml"/><Relationship Id="rId18" Type="http://schemas.openxmlformats.org/officeDocument/2006/relationships/table" Target="../tables/table61.xml"/><Relationship Id="rId26" Type="http://schemas.openxmlformats.org/officeDocument/2006/relationships/table" Target="../tables/table69.xml"/><Relationship Id="rId3" Type="http://schemas.openxmlformats.org/officeDocument/2006/relationships/table" Target="../tables/table46.xml"/><Relationship Id="rId21" Type="http://schemas.openxmlformats.org/officeDocument/2006/relationships/table" Target="../tables/table64.xml"/><Relationship Id="rId7" Type="http://schemas.openxmlformats.org/officeDocument/2006/relationships/table" Target="../tables/table50.xml"/><Relationship Id="rId12" Type="http://schemas.openxmlformats.org/officeDocument/2006/relationships/table" Target="../tables/table55.xml"/><Relationship Id="rId17" Type="http://schemas.openxmlformats.org/officeDocument/2006/relationships/table" Target="../tables/table60.xml"/><Relationship Id="rId25" Type="http://schemas.openxmlformats.org/officeDocument/2006/relationships/table" Target="../tables/table68.xml"/><Relationship Id="rId2" Type="http://schemas.openxmlformats.org/officeDocument/2006/relationships/table" Target="../tables/table45.xml"/><Relationship Id="rId16" Type="http://schemas.openxmlformats.org/officeDocument/2006/relationships/table" Target="../tables/table59.xml"/><Relationship Id="rId20" Type="http://schemas.openxmlformats.org/officeDocument/2006/relationships/table" Target="../tables/table63.xml"/><Relationship Id="rId29" Type="http://schemas.openxmlformats.org/officeDocument/2006/relationships/table" Target="../tables/table72.xml"/><Relationship Id="rId1" Type="http://schemas.openxmlformats.org/officeDocument/2006/relationships/table" Target="../tables/table44.xml"/><Relationship Id="rId6" Type="http://schemas.openxmlformats.org/officeDocument/2006/relationships/table" Target="../tables/table49.xml"/><Relationship Id="rId11" Type="http://schemas.openxmlformats.org/officeDocument/2006/relationships/table" Target="../tables/table54.xml"/><Relationship Id="rId24" Type="http://schemas.openxmlformats.org/officeDocument/2006/relationships/table" Target="../tables/table67.xml"/><Relationship Id="rId5" Type="http://schemas.openxmlformats.org/officeDocument/2006/relationships/table" Target="../tables/table48.xml"/><Relationship Id="rId15" Type="http://schemas.openxmlformats.org/officeDocument/2006/relationships/table" Target="../tables/table58.xml"/><Relationship Id="rId23" Type="http://schemas.openxmlformats.org/officeDocument/2006/relationships/table" Target="../tables/table66.xml"/><Relationship Id="rId28" Type="http://schemas.openxmlformats.org/officeDocument/2006/relationships/table" Target="../tables/table71.xml"/><Relationship Id="rId10" Type="http://schemas.openxmlformats.org/officeDocument/2006/relationships/table" Target="../tables/table53.xml"/><Relationship Id="rId19" Type="http://schemas.openxmlformats.org/officeDocument/2006/relationships/table" Target="../tables/table62.xml"/><Relationship Id="rId31" Type="http://schemas.openxmlformats.org/officeDocument/2006/relationships/table" Target="../tables/table74.xml"/><Relationship Id="rId4" Type="http://schemas.openxmlformats.org/officeDocument/2006/relationships/table" Target="../tables/table47.xml"/><Relationship Id="rId9" Type="http://schemas.openxmlformats.org/officeDocument/2006/relationships/table" Target="../tables/table52.xml"/><Relationship Id="rId14" Type="http://schemas.openxmlformats.org/officeDocument/2006/relationships/table" Target="../tables/table57.xml"/><Relationship Id="rId22" Type="http://schemas.openxmlformats.org/officeDocument/2006/relationships/table" Target="../tables/table65.xml"/><Relationship Id="rId27" Type="http://schemas.openxmlformats.org/officeDocument/2006/relationships/table" Target="../tables/table70.xml"/><Relationship Id="rId30" Type="http://schemas.openxmlformats.org/officeDocument/2006/relationships/table" Target="../tables/table73.xml"/></Relationships>
</file>

<file path=xl/worksheets/_rels/sheet34.xml.rels><?xml version="1.0" encoding="UTF-8" standalone="yes"?>
<Relationships xmlns="http://schemas.openxmlformats.org/package/2006/relationships"><Relationship Id="rId3" Type="http://schemas.openxmlformats.org/officeDocument/2006/relationships/table" Target="../tables/table76.xml"/><Relationship Id="rId7" Type="http://schemas.openxmlformats.org/officeDocument/2006/relationships/table" Target="../tables/table80.xml"/><Relationship Id="rId2" Type="http://schemas.openxmlformats.org/officeDocument/2006/relationships/table" Target="../tables/table75.xml"/><Relationship Id="rId1" Type="http://schemas.openxmlformats.org/officeDocument/2006/relationships/printerSettings" Target="../printerSettings/printerSettings23.bin"/><Relationship Id="rId6" Type="http://schemas.openxmlformats.org/officeDocument/2006/relationships/table" Target="../tables/table79.xml"/><Relationship Id="rId5" Type="http://schemas.openxmlformats.org/officeDocument/2006/relationships/table" Target="../tables/table78.xml"/><Relationship Id="rId4" Type="http://schemas.openxmlformats.org/officeDocument/2006/relationships/table" Target="../tables/table77.xml"/></Relationships>
</file>

<file path=xl/worksheets/_rels/sheet35.xml.rels><?xml version="1.0" encoding="UTF-8" standalone="yes"?>
<Relationships xmlns="http://schemas.openxmlformats.org/package/2006/relationships"><Relationship Id="rId8" Type="http://schemas.openxmlformats.org/officeDocument/2006/relationships/table" Target="../tables/table87.xml"/><Relationship Id="rId13" Type="http://schemas.openxmlformats.org/officeDocument/2006/relationships/table" Target="../tables/table92.xml"/><Relationship Id="rId18" Type="http://schemas.openxmlformats.org/officeDocument/2006/relationships/table" Target="../tables/table97.xml"/><Relationship Id="rId3" Type="http://schemas.openxmlformats.org/officeDocument/2006/relationships/table" Target="../tables/table82.xml"/><Relationship Id="rId21" Type="http://schemas.openxmlformats.org/officeDocument/2006/relationships/table" Target="../tables/table100.xml"/><Relationship Id="rId7" Type="http://schemas.openxmlformats.org/officeDocument/2006/relationships/table" Target="../tables/table86.xml"/><Relationship Id="rId12" Type="http://schemas.openxmlformats.org/officeDocument/2006/relationships/table" Target="../tables/table91.xml"/><Relationship Id="rId17" Type="http://schemas.openxmlformats.org/officeDocument/2006/relationships/table" Target="../tables/table96.xml"/><Relationship Id="rId2" Type="http://schemas.openxmlformats.org/officeDocument/2006/relationships/table" Target="../tables/table81.xml"/><Relationship Id="rId16" Type="http://schemas.openxmlformats.org/officeDocument/2006/relationships/table" Target="../tables/table95.xml"/><Relationship Id="rId20" Type="http://schemas.openxmlformats.org/officeDocument/2006/relationships/table" Target="../tables/table99.xml"/><Relationship Id="rId1" Type="http://schemas.openxmlformats.org/officeDocument/2006/relationships/printerSettings" Target="../printerSettings/printerSettings24.bin"/><Relationship Id="rId6" Type="http://schemas.openxmlformats.org/officeDocument/2006/relationships/table" Target="../tables/table85.xml"/><Relationship Id="rId11" Type="http://schemas.openxmlformats.org/officeDocument/2006/relationships/table" Target="../tables/table90.xml"/><Relationship Id="rId5" Type="http://schemas.openxmlformats.org/officeDocument/2006/relationships/table" Target="../tables/table84.xml"/><Relationship Id="rId15" Type="http://schemas.openxmlformats.org/officeDocument/2006/relationships/table" Target="../tables/table94.xml"/><Relationship Id="rId10" Type="http://schemas.openxmlformats.org/officeDocument/2006/relationships/table" Target="../tables/table89.xml"/><Relationship Id="rId19" Type="http://schemas.openxmlformats.org/officeDocument/2006/relationships/table" Target="../tables/table98.xml"/><Relationship Id="rId4" Type="http://schemas.openxmlformats.org/officeDocument/2006/relationships/table" Target="../tables/table83.xml"/><Relationship Id="rId9" Type="http://schemas.openxmlformats.org/officeDocument/2006/relationships/table" Target="../tables/table88.xml"/><Relationship Id="rId14" Type="http://schemas.openxmlformats.org/officeDocument/2006/relationships/table" Target="../tables/table93.xml"/><Relationship Id="rId22" Type="http://schemas.openxmlformats.org/officeDocument/2006/relationships/table" Target="../tables/table101.xml"/></Relationships>
</file>

<file path=xl/worksheets/_rels/sheet36.xml.rels><?xml version="1.0" encoding="UTF-8" standalone="yes"?>
<Relationships xmlns="http://schemas.openxmlformats.org/package/2006/relationships"><Relationship Id="rId3" Type="http://schemas.openxmlformats.org/officeDocument/2006/relationships/table" Target="../tables/table104.xml"/><Relationship Id="rId2" Type="http://schemas.openxmlformats.org/officeDocument/2006/relationships/table" Target="../tables/table103.xml"/><Relationship Id="rId1" Type="http://schemas.openxmlformats.org/officeDocument/2006/relationships/table" Target="../tables/table102.xml"/><Relationship Id="rId6" Type="http://schemas.openxmlformats.org/officeDocument/2006/relationships/table" Target="../tables/table107.xml"/><Relationship Id="rId5" Type="http://schemas.openxmlformats.org/officeDocument/2006/relationships/table" Target="../tables/table106.xml"/><Relationship Id="rId4" Type="http://schemas.openxmlformats.org/officeDocument/2006/relationships/table" Target="../tables/table105.xml"/></Relationships>
</file>

<file path=xl/worksheets/_rels/sheet37.xml.rels><?xml version="1.0" encoding="UTF-8" standalone="yes"?>
<Relationships xmlns="http://schemas.openxmlformats.org/package/2006/relationships"><Relationship Id="rId3" Type="http://schemas.openxmlformats.org/officeDocument/2006/relationships/table" Target="../tables/table109.xml"/><Relationship Id="rId7" Type="http://schemas.openxmlformats.org/officeDocument/2006/relationships/table" Target="../tables/table113.xml"/><Relationship Id="rId2" Type="http://schemas.openxmlformats.org/officeDocument/2006/relationships/table" Target="../tables/table108.xml"/><Relationship Id="rId1" Type="http://schemas.openxmlformats.org/officeDocument/2006/relationships/printerSettings" Target="../printerSettings/printerSettings25.bin"/><Relationship Id="rId6" Type="http://schemas.openxmlformats.org/officeDocument/2006/relationships/table" Target="../tables/table112.xml"/><Relationship Id="rId5" Type="http://schemas.openxmlformats.org/officeDocument/2006/relationships/table" Target="../tables/table111.xml"/><Relationship Id="rId4" Type="http://schemas.openxmlformats.org/officeDocument/2006/relationships/table" Target="../tables/table1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sheetPr>
    <tabColor rgb="FF0C769E"/>
  </sheetPr>
  <dimension ref="A1:A48"/>
  <sheetViews>
    <sheetView zoomScaleNormal="100" workbookViewId="0">
      <pane xSplit="1" topLeftCell="B1" activePane="topRight" state="frozenSplit"/>
      <selection pane="topRight" activeCell="A47" sqref="A47"/>
    </sheetView>
  </sheetViews>
  <sheetFormatPr defaultRowHeight="20.100000000000001" customHeight="1" x14ac:dyDescent="0.2"/>
  <cols>
    <col min="1" max="1" width="36.7109375" customWidth="1"/>
  </cols>
  <sheetData>
    <row r="1" spans="1:1" ht="30" customHeight="1" x14ac:dyDescent="0.35">
      <c r="A1" s="10" t="e" vm="1">
        <v>#VALUE!</v>
      </c>
    </row>
    <row r="3" spans="1:1" ht="20.100000000000001" customHeight="1" x14ac:dyDescent="0.2">
      <c r="A3" s="244" t="str">
        <f>HYPERLINK("#'Home'!A1", "Home")</f>
        <v>Home</v>
      </c>
    </row>
    <row r="4" spans="1:1" ht="20.100000000000001" customHeight="1" x14ac:dyDescent="0.2">
      <c r="A4" s="5" t="str">
        <f>HYPERLINK("#'Results - Activity period'!A1", "Results - Activity period")</f>
        <v>Results - Activity period</v>
      </c>
    </row>
    <row r="5" spans="1:1" ht="20.100000000000001" customHeight="1" x14ac:dyDescent="0.2">
      <c r="A5" s="5" t="str">
        <f>HYPERLINK("#'Results - Product EI'!A1", "Results - Product EI")</f>
        <v>Results - Product EI</v>
      </c>
    </row>
    <row r="8" spans="1:1" ht="20.100000000000001" customHeight="1" x14ac:dyDescent="0.2">
      <c r="A8" s="7" t="s">
        <v>0</v>
      </c>
    </row>
    <row r="9" spans="1:1" ht="20.100000000000001" customHeight="1" x14ac:dyDescent="0.2">
      <c r="A9" s="5" t="str">
        <f>HYPERLINK("#'Input - Enterprise'!A1", "Enterprise")</f>
        <v>Enterprise</v>
      </c>
    </row>
    <row r="10" spans="1:1" ht="20.100000000000001" customHeight="1" x14ac:dyDescent="0.2">
      <c r="A10" s="5" t="str">
        <f>HYPERLINK("#'Input - Site'!A1", "Site")</f>
        <v>Site</v>
      </c>
    </row>
    <row r="11" spans="1:1" ht="20.100000000000001" customHeight="1" x14ac:dyDescent="0.2">
      <c r="A11" s="5" t="str">
        <f>HYPERLINK("#'Input - Crop'!A1", "Crop")</f>
        <v>Crop</v>
      </c>
    </row>
    <row r="12" spans="1:1" ht="20.100000000000001" customHeight="1" x14ac:dyDescent="0.2">
      <c r="A12" s="5" t="str">
        <f>HYPERLINK("#'Input - Fert Prod System'!A1", "Fert Prod System")</f>
        <v>Fert Prod System</v>
      </c>
    </row>
    <row r="13" spans="1:1" ht="20.100000000000001" customHeight="1" x14ac:dyDescent="0.2">
      <c r="A13" s="5" t="str">
        <f>HYPERLINK("#'Input - Fertiliser'!A1", "Fertiliser")</f>
        <v>Fertiliser</v>
      </c>
    </row>
    <row r="14" spans="1:1" ht="20.100000000000001" customHeight="1" x14ac:dyDescent="0.2">
      <c r="A14" s="5" t="str">
        <f>HYPERLINK("#'Input - Fuel'!A1", "Fuel")</f>
        <v>Fuel</v>
      </c>
    </row>
    <row r="15" spans="1:1" ht="20.100000000000001" customHeight="1" x14ac:dyDescent="0.2">
      <c r="A15" s="5" t="str">
        <f>HYPERLINK("#'Input - Electricity'!A1", "Electricity")</f>
        <v>Electricity</v>
      </c>
    </row>
    <row r="16" spans="1:1" ht="20.100000000000001" customHeight="1" x14ac:dyDescent="0.2">
      <c r="A16" s="5" t="str">
        <f>HYPERLINK("#'Input - Common farm inputs'!A1", "Common farm inputs")</f>
        <v>Common farm inputs</v>
      </c>
    </row>
    <row r="17" spans="1:1" ht="20.100000000000001" customHeight="1" x14ac:dyDescent="0.2">
      <c r="A17" s="5" t="str">
        <f>HYPERLINK("#'Input - Crop pasture farm input'!A1", "Crop pasture farm input")</f>
        <v>Crop pasture farm input</v>
      </c>
    </row>
    <row r="18" spans="1:1" ht="20.100000000000001" customHeight="1" x14ac:dyDescent="0.2">
      <c r="A18" s="5" t="str">
        <f>HYPERLINK("#'Input - Freight'!A1", "Freight")</f>
        <v>Freight</v>
      </c>
    </row>
    <row r="19" spans="1:1" ht="20.100000000000001" customHeight="1" x14ac:dyDescent="0.2">
      <c r="A19" s="5" t="str">
        <f>HYPERLINK("#'Input - Solid waste'!A1", "Solid waste")</f>
        <v>Solid waste</v>
      </c>
    </row>
    <row r="20" spans="1:1" ht="20.100000000000001" customHeight="1" x14ac:dyDescent="0.2">
      <c r="A20" s="5" t="str">
        <f>HYPERLINK("#'Input - Data quality'!A1", "Data quality")</f>
        <v>Data quality</v>
      </c>
    </row>
    <row r="23" spans="1:1" ht="20.100000000000001" customHeight="1" x14ac:dyDescent="0.2">
      <c r="A23" s="6" t="s">
        <v>2</v>
      </c>
    </row>
    <row r="24" spans="1:1" ht="20.100000000000001" customHeight="1" x14ac:dyDescent="0.2">
      <c r="A24" s="5" t="str">
        <f>HYPERLINK("#'5.1.1.1-2 Inorganic fert N2O'!A1", "5.1.1.1-2 Inorganic fert N2O")</f>
        <v>5.1.1.1-2 Inorganic fert N2O</v>
      </c>
    </row>
    <row r="25" spans="1:1" ht="20.100000000000001" customHeight="1" x14ac:dyDescent="0.2">
      <c r="A25" s="5" t="str">
        <f>HYPERLINK("#'5.1.1.3-4 Inorganic fert CO2'!A1", "5.1.1.3-4 Inorganic fert CO2")</f>
        <v>5.1.1.3-4 Inorganic fert CO2</v>
      </c>
    </row>
    <row r="26" spans="1:1" ht="20.100000000000001" customHeight="1" x14ac:dyDescent="0.2">
      <c r="A26" s="5" t="str">
        <f>HYPERLINK("#'5.2.1.1-2 Organic Fert N2O'!A1", "5.2.1.1-2 Organic fert N2O")</f>
        <v>5.2.1.1-2 Organic fert N2O</v>
      </c>
    </row>
    <row r="27" spans="1:1" ht="20.100000000000001" customHeight="1" x14ac:dyDescent="0.2">
      <c r="A27" s="5" t="str">
        <f>HYPERLINK("#'5.3.1.1-2 Lime CO2'!A1", "5.3.1.1-2 Lime CO2")</f>
        <v>5.3.1.1-2 Lime CO2</v>
      </c>
    </row>
    <row r="28" spans="1:1" ht="20.100000000000001" customHeight="1" x14ac:dyDescent="0.2">
      <c r="A28" s="5" t="str">
        <f>HYPERLINK("#'5.4.1.1-4 Atmos deposition'!A1", "5.4.1.1-4 Atmos. deposition")</f>
        <v>5.4.1.1-4 Atmos. deposition</v>
      </c>
    </row>
    <row r="29" spans="1:1" ht="20.100000000000001" customHeight="1" x14ac:dyDescent="0.2">
      <c r="A29" s="5" t="str">
        <f>HYPERLINK("#'5.5.1.1-2 Leaching and runoff'!A1", "5.5.1.1-2 Leaching &amp; runoff")</f>
        <v>5.5.1.1-2 Leaching &amp; runoff</v>
      </c>
    </row>
    <row r="30" spans="1:1" ht="20.100000000000001" customHeight="1" x14ac:dyDescent="0.2">
      <c r="A30" s="5" t="str">
        <f>HYPERLINK("#'6.1.1.1-2 Crop residue N2O'!A1", "6.1.1.1-2 Crop residue N2O")</f>
        <v>6.1.1.1-2 Crop residue N2O</v>
      </c>
    </row>
    <row r="31" spans="1:1" ht="20.100000000000001" customHeight="1" x14ac:dyDescent="0.2">
      <c r="A31" s="5" t="str">
        <f>HYPERLINK("#'6.3.1.1-2 Leach runoff crop'!A1", "6.3.1.1-2 Leach &amp; runoff (crop)")</f>
        <v>6.3.1.1-2 Leach &amp; runoff (crop)</v>
      </c>
    </row>
    <row r="32" spans="1:1" ht="20.100000000000001" customHeight="1" x14ac:dyDescent="0.2">
      <c r="A32" s="5" t="str">
        <f>HYPERLINK("#'6.4.1.1-2 Residue burning'!A1", "6.4.1.1-2 Residue burning")</f>
        <v>6.4.1.1-2 Residue burning</v>
      </c>
    </row>
    <row r="33" spans="1:1" ht="20.100000000000001" customHeight="1" x14ac:dyDescent="0.2">
      <c r="A33" s="5" t="str">
        <f>HYPERLINK("#'8.1.1.1-2 Transport fuel'!A1", "8.1.1.1-2 Transport fuel")</f>
        <v>8.1.1.1-2 Transport fuel</v>
      </c>
    </row>
    <row r="34" spans="1:1" ht="20.100000000000001" customHeight="1" x14ac:dyDescent="0.2">
      <c r="A34" s="5" t="str">
        <f>HYPERLINK("#'8.2.1.1-2 Stationary fuel'!A1", "8.2.1.1-2 Stationary fuel")</f>
        <v>8.2.1.1-2 Stationary fuel</v>
      </c>
    </row>
    <row r="35" spans="1:1" ht="20.100000000000001" customHeight="1" x14ac:dyDescent="0.2">
      <c r="A35" s="5" t="str">
        <f>HYPERLINK("#'10.1.1-2 Solid waste treatment'!A1", "10.1.1.1-2 Solid waste")</f>
        <v>10.1.1.1-2 Solid waste</v>
      </c>
    </row>
    <row r="36" spans="1:1" ht="20.100000000000001" customHeight="1" x14ac:dyDescent="0.2">
      <c r="A36" s="5" t="str">
        <f>HYPERLINK("#'14.1.1-2 Purchased electricity'!A1", "14.1.1-2 Purchased electricity")</f>
        <v>14.1.1-2 Purchased electricity</v>
      </c>
    </row>
    <row r="37" spans="1:1" ht="20.100000000000001" customHeight="1" x14ac:dyDescent="0.2">
      <c r="A37" s="5" t="str">
        <f>HYPERLINK("#'15 Scope 3'!A1", "15 Scope 3")</f>
        <v>15 Scope 3</v>
      </c>
    </row>
    <row r="40" spans="1:1" ht="20.100000000000001" customHeight="1" x14ac:dyDescent="0.2">
      <c r="A40" s="82" t="s">
        <v>1</v>
      </c>
    </row>
    <row r="41" spans="1:1" ht="20.100000000000001" customHeight="1" x14ac:dyDescent="0.2">
      <c r="A41" s="5" t="str">
        <f>HYPERLINK("#'Constants - Ag Residue'!A1", "Constants - Ag residue")</f>
        <v>Constants - Ag residue</v>
      </c>
    </row>
    <row r="42" spans="1:1" ht="20.100000000000001" customHeight="1" x14ac:dyDescent="0.2">
      <c r="A42" s="5" t="str">
        <f>HYPERLINK("#'Constants - Electricity'!A1", "Constants - Electricity")</f>
        <v>Constants - Electricity</v>
      </c>
    </row>
    <row r="43" spans="1:1" ht="20.100000000000001" customHeight="1" x14ac:dyDescent="0.2">
      <c r="A43" s="5" t="str">
        <f>HYPERLINK("#'Constants - Fertiliser'!A1", "Constants - Fertiliser")</f>
        <v>Constants - Fertiliser</v>
      </c>
    </row>
    <row r="44" spans="1:1" ht="20.100000000000001" customHeight="1" x14ac:dyDescent="0.2">
      <c r="A44" s="5" t="str">
        <f>HYPERLINK("#'Constants - Fuel'!A1", "Constants - Fuel")</f>
        <v>Constants - Fuel</v>
      </c>
    </row>
    <row r="45" spans="1:1" ht="20.100000000000001" customHeight="1" x14ac:dyDescent="0.2">
      <c r="A45" s="5" t="str">
        <f>HYPERLINK("#'Constants - Scope 3'!A1", "Constants - Scope 3")</f>
        <v>Constants - Scope 3</v>
      </c>
    </row>
    <row r="46" spans="1:1" ht="20.100000000000001" customHeight="1" x14ac:dyDescent="0.2">
      <c r="A46" s="5" t="str">
        <f>HYPERLINK("#'Constants - Solid Waste'!A1", "Constants - Solid Waste")</f>
        <v>Constants - Solid Waste</v>
      </c>
    </row>
    <row r="47" spans="1:1" ht="20.100000000000001" customHeight="1" x14ac:dyDescent="0.2">
      <c r="A47" s="5" t="str">
        <f>HYPERLINK("#'Constants - Common'!A1", "Constants - Common")</f>
        <v>Constants - Common</v>
      </c>
    </row>
    <row r="48" spans="1:1" ht="20.100000000000001" customHeight="1" x14ac:dyDescent="0.2">
      <c r="A48" s="5" t="str">
        <f>HYPERLINK("#'Constants - Common Livestock'!A1", "Constants - Common Livestock")</f>
        <v>Constants - Common Livestock</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tabColor rgb="FF0C769E"/>
    <pageSetUpPr autoPageBreaks="0"/>
  </sheetPr>
  <dimension ref="A1:K63"/>
  <sheetViews>
    <sheetView showGridLines="0" topLeftCell="A21" zoomScaleNormal="100" workbookViewId="0">
      <pane xSplit="1" topLeftCell="B1" activePane="topRight" state="frozenSplit"/>
      <selection pane="topRight" activeCell="A43" sqref="A43"/>
    </sheetView>
  </sheetViews>
  <sheetFormatPr defaultRowHeight="20.100000000000001" customHeight="1" x14ac:dyDescent="0.2"/>
  <cols>
    <col min="1" max="1" width="36.7109375" customWidth="1"/>
    <col min="2" max="2" width="2.7109375" customWidth="1"/>
    <col min="3" max="3" width="2.7109375" style="1" customWidth="1"/>
    <col min="4" max="4" width="78.42578125" style="1" customWidth="1"/>
    <col min="5" max="10" width="30.7109375" style="1" customWidth="1"/>
    <col min="11" max="11" width="4.7109375" style="1" customWidth="1"/>
    <col min="12" max="12" width="4.7109375" customWidth="1"/>
    <col min="13" max="26" width="28.7109375" customWidth="1"/>
  </cols>
  <sheetData>
    <row r="1" spans="1:11" ht="30" customHeight="1" x14ac:dyDescent="0.35">
      <c r="A1" s="10" t="e" vm="1">
        <v>#VALUE!</v>
      </c>
      <c r="C1" s="92" t="s">
        <v>295</v>
      </c>
      <c r="D1" s="92"/>
      <c r="E1" s="92"/>
      <c r="F1" s="92"/>
      <c r="G1" s="92"/>
      <c r="H1" s="92"/>
      <c r="I1" s="92"/>
      <c r="J1" s="92"/>
      <c r="K1" s="92"/>
    </row>
    <row r="2" spans="1:11" ht="20.100000000000001" customHeight="1" x14ac:dyDescent="0.2">
      <c r="C2" s="3"/>
      <c r="D2" s="3"/>
      <c r="E2" s="3"/>
      <c r="F2" s="3"/>
      <c r="G2" s="3"/>
      <c r="H2" s="3"/>
      <c r="I2" s="3"/>
      <c r="J2" s="3"/>
      <c r="K2" s="3"/>
    </row>
    <row r="3" spans="1:11" ht="20.100000000000001" customHeight="1" x14ac:dyDescent="0.2">
      <c r="A3" s="5" t="str">
        <f>HYPERLINK("#'Home'!A1", "Home")</f>
        <v>Home</v>
      </c>
      <c r="C3" s="93"/>
      <c r="D3" s="93"/>
      <c r="E3" s="93"/>
      <c r="F3" s="93"/>
      <c r="G3" s="93"/>
      <c r="H3" s="93"/>
      <c r="I3" s="93"/>
      <c r="J3" s="93"/>
      <c r="K3" s="93"/>
    </row>
    <row r="4" spans="1:11" ht="20.100000000000001" customHeight="1" x14ac:dyDescent="0.2">
      <c r="A4" s="244" t="str">
        <f>HYPERLINK("#'Results - Activity period'!A1", "Results - Activity period")</f>
        <v>Results - Activity period</v>
      </c>
      <c r="D4" s="2" t="str">
        <f>"Emissions breakdown for activities running between " &amp; TEXT(X_Cell_Site_StartDate, "dd mmmm yyyy") &amp; " and " &amp; TEXT('Input - Enterprise'!E13, "dd mmmm yyyy")</f>
        <v>Emissions breakdown for activities running between 01 January 2025 and 31 December 2025</v>
      </c>
    </row>
    <row r="5" spans="1:11" ht="20.100000000000001" customHeight="1" x14ac:dyDescent="0.2">
      <c r="A5" s="5" t="str">
        <f>HYPERLINK("#'Results - Product EI'!A1", "Results - Product EI")</f>
        <v>Results - Product EI</v>
      </c>
    </row>
    <row r="6" spans="1:11" ht="20.100000000000001" customHeight="1" x14ac:dyDescent="0.2">
      <c r="D6" s="79" t="s">
        <v>271</v>
      </c>
    </row>
    <row r="8" spans="1:11" ht="20.100000000000001" customHeight="1" x14ac:dyDescent="0.2">
      <c r="A8" s="7" t="s">
        <v>0</v>
      </c>
      <c r="D8" s="11" t="s">
        <v>3</v>
      </c>
      <c r="E8" s="11" t="s">
        <v>8</v>
      </c>
      <c r="F8" s="11" t="s">
        <v>9</v>
      </c>
      <c r="G8" s="11" t="s">
        <v>5</v>
      </c>
      <c r="H8" s="11" t="s">
        <v>10</v>
      </c>
      <c r="I8" s="11" t="s">
        <v>11</v>
      </c>
      <c r="J8" s="11"/>
    </row>
    <row r="9" spans="1:11" ht="20.100000000000001" customHeight="1" x14ac:dyDescent="0.2">
      <c r="A9" s="5" t="str">
        <f>HYPERLINK("#'Input - Enterprise'!A1", "Enterprise")</f>
        <v>Enterprise</v>
      </c>
      <c r="D9" s="1" t="s">
        <v>133</v>
      </c>
      <c r="E9" s="1" cm="1">
        <f t="array" ref="E9">VEERG_5_1_1_1__1_InorganicFertiliserApplicationN2OEmissions_Result_Method1</f>
        <v>2.0110749340000003</v>
      </c>
      <c r="F9" s="1" cm="1">
        <f t="array" ref="F9">VEERG_5_1_1_1__1_InorganicFertiliserApplicationN2OEmissions_Result_Method2</f>
        <v>2.0110749999999999</v>
      </c>
      <c r="G9" s="9" t="s">
        <v>12</v>
      </c>
      <c r="H9" s="1" cm="1">
        <f t="array" ref="H9">Common_Equations.Common_ConvertN2OToCO2e(E9,_xlfn.XLOOKUP("N2O", Table_GWPData[Gas],Table_GWPData[CO2-e factor]))</f>
        <v>532.93485751000003</v>
      </c>
      <c r="I9" s="1" cm="1">
        <f t="array" ref="I9">Common_Equations.Common_ConvertN2OToCO2e(F9,_xlfn.XLOOKUP("N2O", Table_GWPData[Gas],Table_GWPData[CO2-e factor]))</f>
        <v>532.93487500000003</v>
      </c>
      <c r="J9" s="9" t="s">
        <v>7</v>
      </c>
    </row>
    <row r="10" spans="1:11" ht="20.100000000000001" customHeight="1" x14ac:dyDescent="0.2">
      <c r="A10" s="5" t="str">
        <f>HYPERLINK("#'Input - Site'!A1", "Site")</f>
        <v>Site</v>
      </c>
      <c r="D10" s="1" t="s">
        <v>134</v>
      </c>
      <c r="E10" s="1" cm="1">
        <f t="array" ref="E10">VEERG_5_1_1_3__1_InorganicFertiliserApplicationCO2Emissions_Result_Method1</f>
        <v>184.92752666666664</v>
      </c>
      <c r="F10" s="1">
        <f>E10</f>
        <v>184.92752666666664</v>
      </c>
      <c r="G10" s="9" t="s">
        <v>127</v>
      </c>
      <c r="H10" s="1">
        <f>E10</f>
        <v>184.92752666666664</v>
      </c>
      <c r="I10" s="1">
        <f>F10</f>
        <v>184.92752666666664</v>
      </c>
      <c r="J10" s="9" t="s">
        <v>7</v>
      </c>
    </row>
    <row r="11" spans="1:11" ht="20.100000000000001" customHeight="1" x14ac:dyDescent="0.2">
      <c r="A11" s="5" t="str">
        <f>HYPERLINK("#'Input - Crop'!A1", "Crop")</f>
        <v>Crop</v>
      </c>
      <c r="D11" s="1" t="s">
        <v>135</v>
      </c>
      <c r="E11" s="1" cm="1">
        <f t="array" ref="E11">VEERG_5_2_1_1__2_MassOfNitrogenInOrganicFertiliser_Result_Method1</f>
        <v>5.5785714285714286E-2</v>
      </c>
      <c r="F11" s="1">
        <f>E11</f>
        <v>5.5785714285714286E-2</v>
      </c>
      <c r="G11" s="9" t="s">
        <v>12</v>
      </c>
      <c r="H11" s="1" cm="1">
        <f t="array" ref="H11">Common_Equations.Common_ConvertN2OToCO2e(E11,_xlfn.XLOOKUP("N2O", Table_GWPData[Gas],Table_GWPData[CO2-e factor]))</f>
        <v>14.783214285714285</v>
      </c>
      <c r="I11" s="1" cm="1">
        <f t="array" ref="I11">Common_Equations.Common_ConvertN2OToCO2e(F11,_xlfn.XLOOKUP("N2O", Table_GWPData[Gas],Table_GWPData[CO2-e factor]))</f>
        <v>14.783214285714285</v>
      </c>
      <c r="J11" s="9" t="s">
        <v>7</v>
      </c>
    </row>
    <row r="12" spans="1:11" ht="20.100000000000001" customHeight="1" x14ac:dyDescent="0.2">
      <c r="A12" s="5" t="str">
        <f>HYPERLINK("#'Input - Fert Prod System'!A1", "Fert Prod System")</f>
        <v>Fert Prod System</v>
      </c>
      <c r="D12" s="1" t="s">
        <v>136</v>
      </c>
      <c r="E12" s="1" cm="1">
        <f t="array" ref="E12">VEERG_5_3_1_1__1_LimeApplicationCO2Emissions_Result_Method1</f>
        <v>758.08333333333326</v>
      </c>
      <c r="F12" s="1">
        <f>E12</f>
        <v>758.08333333333326</v>
      </c>
      <c r="G12" s="9" t="s">
        <v>127</v>
      </c>
      <c r="H12" s="1">
        <f>E12</f>
        <v>758.08333333333326</v>
      </c>
      <c r="I12" s="1">
        <f>F12</f>
        <v>758.08333333333326</v>
      </c>
      <c r="J12" s="9" t="s">
        <v>7</v>
      </c>
    </row>
    <row r="13" spans="1:11" ht="20.100000000000001" customHeight="1" x14ac:dyDescent="0.2">
      <c r="A13" s="5" t="str">
        <f>HYPERLINK("#'Input - Fertiliser'!A1", "Fertiliser")</f>
        <v>Fertiliser</v>
      </c>
      <c r="D13" s="1" t="s">
        <v>137</v>
      </c>
      <c r="E13" s="1">
        <v>1.6401E-3</v>
      </c>
      <c r="F13" s="1">
        <f>E13</f>
        <v>1.6401E-3</v>
      </c>
      <c r="G13" s="9" t="s">
        <v>12</v>
      </c>
      <c r="H13" s="1" cm="1">
        <f t="array" ref="H13">Common_Equations.Common_ConvertN2OToCO2e(E13,_xlfn.XLOOKUP("N2O", Table_GWPData[Gas],Table_GWPData[CO2-e factor]))</f>
        <v>0.43462650000000003</v>
      </c>
      <c r="I13" s="1" cm="1">
        <f t="array" ref="I13">Common_Equations.Common_ConvertN2OToCO2e(F13,_xlfn.XLOOKUP("N2O", Table_GWPData[Gas],Table_GWPData[CO2-e factor]))</f>
        <v>0.43462650000000003</v>
      </c>
      <c r="J13" s="9" t="s">
        <v>7</v>
      </c>
    </row>
    <row r="14" spans="1:11" ht="20.100000000000001" customHeight="1" x14ac:dyDescent="0.2">
      <c r="A14" s="5" t="str">
        <f>HYPERLINK("#'Input - Fuel'!A1", "Fuel")</f>
        <v>Fuel</v>
      </c>
      <c r="D14" s="1" t="s">
        <v>138</v>
      </c>
      <c r="E14" s="1">
        <v>7.8791740367999977E-2</v>
      </c>
      <c r="F14" s="1">
        <f>E14</f>
        <v>7.8791740367999977E-2</v>
      </c>
      <c r="G14" s="9" t="s">
        <v>12</v>
      </c>
      <c r="H14" s="1" cm="1">
        <f t="array" ref="H14">Common_Equations.Common_ConvertN2OToCO2e(E14,_xlfn.XLOOKUP("N2O", Table_GWPData[Gas],Table_GWPData[CO2-e factor]))</f>
        <v>20.879811197519995</v>
      </c>
      <c r="I14" s="1" cm="1">
        <f t="array" ref="I14">Common_Equations.Common_ConvertN2OToCO2e(F14,_xlfn.XLOOKUP("N2O", Table_GWPData[Gas],Table_GWPData[CO2-e factor]))</f>
        <v>20.879811197519995</v>
      </c>
      <c r="J14" s="9" t="s">
        <v>7</v>
      </c>
    </row>
    <row r="15" spans="1:11" ht="20.100000000000001" customHeight="1" x14ac:dyDescent="0.2">
      <c r="A15" s="5" t="str">
        <f>HYPERLINK("#'Input - Electricity'!A1", "Electricity")</f>
        <v>Electricity</v>
      </c>
      <c r="D15" s="1" t="s">
        <v>173</v>
      </c>
      <c r="E15" s="1" cm="1">
        <f t="array" ref="E15">VEERG_6_1_1_1__1__NitrousOxideEmissionsFromCropResidues_Result_Method1</f>
        <v>0.66792000000000007</v>
      </c>
      <c r="F15" s="1" cm="1">
        <f t="array" ref="F15">VEERG_6_1_1_1__1__NitrousOxideEmissionsFromCropResidues_Result_Method2</f>
        <v>0.66792000000000007</v>
      </c>
      <c r="G15" s="9" t="s">
        <v>12</v>
      </c>
      <c r="H15" s="1" cm="1">
        <f t="array" ref="H15">Common_Equations.Common_ConvertN2OToCO2e(E15,_xlfn.XLOOKUP("N2O", Table_GWPData[Gas],Table_GWPData[CO2-e factor]))</f>
        <v>176.99880000000002</v>
      </c>
      <c r="I15" s="1" cm="1">
        <f t="array" ref="I15">Common_Equations.Common_ConvertN2OToCO2e(F15,_xlfn.XLOOKUP("N2O", Table_GWPData[Gas],Table_GWPData[CO2-e factor]))</f>
        <v>176.99880000000002</v>
      </c>
      <c r="J15" s="9" t="s">
        <v>7</v>
      </c>
    </row>
    <row r="16" spans="1:11" ht="20.100000000000001" customHeight="1" x14ac:dyDescent="0.2">
      <c r="A16" s="5" t="str">
        <f>HYPERLINK("#'Input - Common farm inputs'!A1", "Common farm inputs")</f>
        <v>Common farm inputs</v>
      </c>
      <c r="D16" s="1" t="s">
        <v>172</v>
      </c>
      <c r="E16" s="1" cm="1">
        <f t="array" ref="E16">VEERG_6_3_1_1__1__LeachingAndRunoffEmissionsCropAndPastureResidue_CropOnly_Result_Method1</f>
        <v>0.35266175999999999</v>
      </c>
      <c r="F16" s="1" cm="1">
        <f t="array" ref="F16">VEERG_6_3_1_1__1__LeachingAndRunoffEmissionsCropAndPastureResidue_CropOnly_Result_Method2</f>
        <v>0.35266175999999999</v>
      </c>
      <c r="G16" s="9" t="s">
        <v>12</v>
      </c>
      <c r="H16" s="1" cm="1">
        <f t="array" ref="H16">Common_Equations.Common_ConvertN2OToCO2e(E16,_xlfn.XLOOKUP("N2O", Table_GWPData[Gas],Table_GWPData[CO2-e factor]))</f>
        <v>93.455366400000003</v>
      </c>
      <c r="I16" s="1" cm="1">
        <f t="array" ref="I16">Common_Equations.Common_ConvertN2OToCO2e(F16,_xlfn.XLOOKUP("N2O", Table_GWPData[Gas],Table_GWPData[CO2-e factor]))</f>
        <v>93.455366400000003</v>
      </c>
      <c r="J16" s="9" t="s">
        <v>7</v>
      </c>
    </row>
    <row r="17" spans="1:10" ht="20.100000000000001" customHeight="1" x14ac:dyDescent="0.2">
      <c r="A17" s="5" t="str">
        <f>HYPERLINK("#'Input - Crop pasture farm input'!A1", "Crop pasture farm input")</f>
        <v>Crop pasture farm input</v>
      </c>
      <c r="D17" s="1" t="s">
        <v>175</v>
      </c>
      <c r="E17" s="1" cm="1">
        <f t="array" ref="E17">VEERG_6_4_1_1__2__NitrousOxideEmissionsFromBurningOfCropResidues_Result_Method1</f>
        <v>0.12769302857142856</v>
      </c>
      <c r="F17" s="1">
        <f t="shared" ref="F17:F22" si="0">E17</f>
        <v>0.12769302857142856</v>
      </c>
      <c r="G17" s="9" t="s">
        <v>12</v>
      </c>
      <c r="H17" s="1" cm="1">
        <f t="array" ref="H17">Common_Equations.Common_ConvertN2OToCO2e(E17,_xlfn.XLOOKUP("N2O", Table_GWPData[Gas],Table_GWPData[CO2-e factor]))</f>
        <v>33.838652571428568</v>
      </c>
      <c r="I17" s="1" cm="1">
        <f t="array" ref="I17">Common_Equations.Common_ConvertN2OToCO2e(F17,_xlfn.XLOOKUP("N2O", Table_GWPData[Gas],Table_GWPData[CO2-e factor]))</f>
        <v>33.838652571428568</v>
      </c>
      <c r="J17" s="9" t="s">
        <v>7</v>
      </c>
    </row>
    <row r="18" spans="1:10" ht="20.100000000000001" customHeight="1" x14ac:dyDescent="0.2">
      <c r="A18" s="5" t="str">
        <f>HYPERLINK("#'Input - Freight'!A1", "Freight")</f>
        <v>Freight</v>
      </c>
      <c r="D18" s="1" t="s">
        <v>174</v>
      </c>
      <c r="E18" s="1" cm="1">
        <f t="array" ref="E18">VEERG_6_4_1_1__1__MethaneEmissionsFromBurningOfCropResidues_Result_Method1</f>
        <v>3.3264</v>
      </c>
      <c r="F18" s="1">
        <f t="shared" si="0"/>
        <v>3.3264</v>
      </c>
      <c r="G18" s="9" t="s">
        <v>6</v>
      </c>
      <c r="H18" s="1" cm="1">
        <f t="array" ref="H18">Common_Equations.Common_ConvertCH4ToCO2e(E18,_xlfn.XLOOKUP("CH4", Table_GWPData[Gas],Table_GWPData[CO2-e factor]))</f>
        <v>93.139200000000002</v>
      </c>
      <c r="I18" s="1" cm="1">
        <f t="array" ref="I18">Common_Equations.Common_ConvertCH4ToCO2e(F18,_xlfn.XLOOKUP("CH4", Table_GWPData[Gas],Table_GWPData[CO2-e factor]))</f>
        <v>93.139200000000002</v>
      </c>
      <c r="J18" s="9" t="s">
        <v>7</v>
      </c>
    </row>
    <row r="19" spans="1:10" ht="20.100000000000001" customHeight="1" x14ac:dyDescent="0.2">
      <c r="A19" s="5" t="str">
        <f>HYPERLINK("#'Input - Solid waste'!A1", "Solid waste")</f>
        <v>Solid waste</v>
      </c>
      <c r="D19" s="1" t="s">
        <v>139</v>
      </c>
      <c r="E19" s="1" cm="1">
        <f t="array" ref="E19">VEERG_8_1_1_1__1_FuelCombustionTransport_Result_CO2</f>
        <v>83.182000000000002</v>
      </c>
      <c r="F19" s="1">
        <f t="shared" si="0"/>
        <v>83.182000000000002</v>
      </c>
      <c r="G19" s="9" t="s">
        <v>127</v>
      </c>
      <c r="H19" s="1">
        <f>E19</f>
        <v>83.182000000000002</v>
      </c>
      <c r="I19" s="1">
        <f>F19</f>
        <v>83.182000000000002</v>
      </c>
      <c r="J19" s="9" t="s">
        <v>7</v>
      </c>
    </row>
    <row r="20" spans="1:10" ht="20.100000000000001" customHeight="1" x14ac:dyDescent="0.2">
      <c r="A20" s="5" t="str">
        <f>HYPERLINK("#'Input - Data quality'!A1", "Data quality")</f>
        <v>Data quality</v>
      </c>
      <c r="D20" s="1" t="s">
        <v>141</v>
      </c>
      <c r="E20" s="1" cm="1">
        <f t="array" ref="E20">VEERG_8_1_1_1__1_FuelCombustionTransport_Result_CH4</f>
        <v>0.19906000000000001</v>
      </c>
      <c r="F20" s="1">
        <f t="shared" si="0"/>
        <v>0.19906000000000001</v>
      </c>
      <c r="G20" s="9" t="s">
        <v>6</v>
      </c>
      <c r="H20" s="1" cm="1">
        <f t="array" ref="H20">Common_Equations.Common_ConvertCH4ToCO2e(E20,_xlfn.XLOOKUP("CH4", Table_GWPData[Gas],Table_GWPData[CO2-e factor]))</f>
        <v>5.5736800000000004</v>
      </c>
      <c r="I20" s="1" cm="1">
        <f t="array" ref="I20">Common_Equations.Common_ConvertCH4ToCO2e(F20,_xlfn.XLOOKUP("CH4", Table_GWPData[Gas],Table_GWPData[CO2-e factor]))</f>
        <v>5.5736800000000004</v>
      </c>
      <c r="J20" s="9" t="s">
        <v>7</v>
      </c>
    </row>
    <row r="21" spans="1:10" ht="20.100000000000001" customHeight="1" x14ac:dyDescent="0.2">
      <c r="D21" s="1" t="s">
        <v>140</v>
      </c>
      <c r="E21" s="1" cm="1">
        <f t="array" ref="E21">VEERG_8_1_1_1__1_FuelCombustionTransport_Result_N2O</f>
        <v>0.58450000000000002</v>
      </c>
      <c r="F21" s="1">
        <f t="shared" si="0"/>
        <v>0.58450000000000002</v>
      </c>
      <c r="G21" s="9" t="s">
        <v>12</v>
      </c>
      <c r="H21" s="1" cm="1">
        <f t="array" ref="H21">Common_Equations.Common_ConvertN2OToCO2e(E21,_xlfn.XLOOKUP("N2O", Table_GWPData[Gas],Table_GWPData[CO2-e factor]))</f>
        <v>154.89250000000001</v>
      </c>
      <c r="I21" s="1" cm="1">
        <f t="array" ref="I21">Common_Equations.Common_ConvertN2OToCO2e(F21,_xlfn.XLOOKUP("N2O", Table_GWPData[Gas],Table_GWPData[CO2-e factor]))</f>
        <v>154.89250000000001</v>
      </c>
      <c r="J21" s="9" t="s">
        <v>7</v>
      </c>
    </row>
    <row r="22" spans="1:10" ht="20.100000000000001" customHeight="1" x14ac:dyDescent="0.2">
      <c r="D22" s="1" t="s">
        <v>142</v>
      </c>
      <c r="E22" s="1" cm="1">
        <f t="array" ref="E22">VEERG_8_2_1_1__1_FuelCombustionStationary_Result_CO2</f>
        <v>29.070800000000002</v>
      </c>
      <c r="F22" s="1">
        <f t="shared" si="0"/>
        <v>29.070800000000002</v>
      </c>
      <c r="G22" s="9" t="s">
        <v>127</v>
      </c>
      <c r="H22" s="1">
        <f>E22</f>
        <v>29.070800000000002</v>
      </c>
      <c r="I22" s="1">
        <f>F22</f>
        <v>29.070800000000002</v>
      </c>
      <c r="J22" s="9" t="s">
        <v>7</v>
      </c>
    </row>
    <row r="23" spans="1:10" ht="20.100000000000001" customHeight="1" x14ac:dyDescent="0.2">
      <c r="A23" s="6" t="s">
        <v>2</v>
      </c>
      <c r="D23" s="1" t="s">
        <v>143</v>
      </c>
      <c r="E23" s="1" cm="1">
        <f t="array" ref="E23">VEERG_8_2_1_1__1_FuelCombustionStationary_Result_CH4</f>
        <v>7.2400000000000006E-2</v>
      </c>
      <c r="F23" s="1">
        <f t="shared" ref="F23:F26" si="1">E23</f>
        <v>7.2400000000000006E-2</v>
      </c>
      <c r="G23" s="9" t="s">
        <v>6</v>
      </c>
      <c r="H23" s="1" cm="1">
        <f t="array" ref="H23">Common_Equations.Common_ConvertCH4ToCO2e(E23,_xlfn.XLOOKUP("CH4", Table_GWPData[Gas],Table_GWPData[CO2-e factor]))</f>
        <v>2.0272000000000001</v>
      </c>
      <c r="I23" s="1" cm="1">
        <f t="array" ref="I23">Common_Equations.Common_ConvertCH4ToCO2e(F23,_xlfn.XLOOKUP("CH4", Table_GWPData[Gas],Table_GWPData[CO2-e factor]))</f>
        <v>2.0272000000000001</v>
      </c>
      <c r="J23" s="9" t="s">
        <v>7</v>
      </c>
    </row>
    <row r="24" spans="1:10" ht="20.100000000000001" customHeight="1" x14ac:dyDescent="0.2">
      <c r="A24" s="5" t="str">
        <f>HYPERLINK("#'5.1.1.1-2 Inorganic fert N2O'!A1", "5.1.1.1-2 Inorganic fert N2O")</f>
        <v>5.1.1.1-2 Inorganic fert N2O</v>
      </c>
      <c r="D24" s="1" t="s">
        <v>144</v>
      </c>
      <c r="E24" s="1" cm="1">
        <f t="array" ref="E24">VEERG_8_2_1_1__1_FuelCombustionStationary_Result_N2O</f>
        <v>7.1400000000000005E-2</v>
      </c>
      <c r="F24" s="1">
        <f t="shared" si="1"/>
        <v>7.1400000000000005E-2</v>
      </c>
      <c r="G24" s="9" t="s">
        <v>12</v>
      </c>
      <c r="H24" s="1" cm="1">
        <f t="array" ref="H24">Common_Equations.Common_ConvertN2OToCO2e(E24,_xlfn.XLOOKUP("N2O", Table_GWPData[Gas],Table_GWPData[CO2-e factor]))</f>
        <v>18.921000000000003</v>
      </c>
      <c r="I24" s="1" cm="1">
        <f t="array" ref="I24">Common_Equations.Common_ConvertN2OToCO2e(F24,_xlfn.XLOOKUP("N2O", Table_GWPData[Gas],Table_GWPData[CO2-e factor]))</f>
        <v>18.921000000000003</v>
      </c>
      <c r="J24" s="9" t="s">
        <v>7</v>
      </c>
    </row>
    <row r="25" spans="1:10" ht="20.100000000000001" customHeight="1" x14ac:dyDescent="0.2">
      <c r="A25" s="5" t="str">
        <f>HYPERLINK("#'5.1.1.3-4 Inorganic fert CO2'!A1", "5.1.1.3-4 Inorganic fert CO2")</f>
        <v>5.1.1.3-4 Inorganic fert CO2</v>
      </c>
      <c r="D25" s="1" t="s">
        <v>145</v>
      </c>
      <c r="E25" s="1" cm="1">
        <f t="array" ref="E25">VEERG_14_1_1__1_LocationBasedScopeElectricityEmissions_Result_Method1</f>
        <v>16.8</v>
      </c>
      <c r="F25" s="1">
        <f t="shared" si="1"/>
        <v>16.8</v>
      </c>
      <c r="G25" s="9" t="s">
        <v>7</v>
      </c>
      <c r="H25" s="1">
        <f>E25</f>
        <v>16.8</v>
      </c>
      <c r="I25" s="1">
        <f>F25</f>
        <v>16.8</v>
      </c>
      <c r="J25" s="9" t="s">
        <v>7</v>
      </c>
    </row>
    <row r="26" spans="1:10" ht="20.100000000000001" customHeight="1" x14ac:dyDescent="0.2">
      <c r="A26" s="5" t="str">
        <f>HYPERLINK("#'5.2.1.1-2 Organic Fert N2O'!A1", "5.2.1.1-2 Organic fert N2O")</f>
        <v>5.2.1.1-2 Organic fert N2O</v>
      </c>
      <c r="D26" s="1" t="s">
        <v>146</v>
      </c>
      <c r="E26" s="1" cm="1">
        <f t="array" ref="E26">VEERG_14_1_2__1_MarketBasedScopeElectricityEmissionsVariation_Result_Method1</f>
        <v>9.7200000000000006</v>
      </c>
      <c r="F26" s="1">
        <f t="shared" si="1"/>
        <v>9.7200000000000006</v>
      </c>
      <c r="G26" s="9" t="s">
        <v>7</v>
      </c>
      <c r="H26" s="1">
        <f>E26</f>
        <v>9.7200000000000006</v>
      </c>
      <c r="I26" s="1">
        <f>F26</f>
        <v>9.7200000000000006</v>
      </c>
      <c r="J26" s="9" t="s">
        <v>7</v>
      </c>
    </row>
    <row r="27" spans="1:10" ht="20.100000000000001" customHeight="1" x14ac:dyDescent="0.2">
      <c r="A27" s="5" t="str">
        <f>HYPERLINK("#'5.3.1.1-2 Lime CO2'!A1", "5.3.1.1-2 Lime CO2")</f>
        <v>5.3.1.1-2 Lime CO2</v>
      </c>
      <c r="D27" s="87" t="s">
        <v>4</v>
      </c>
      <c r="E27" s="88"/>
      <c r="F27" s="88"/>
      <c r="G27" s="88"/>
      <c r="H27" s="87">
        <f>SUM(H9:H26)</f>
        <v>2229.6625684646629</v>
      </c>
      <c r="I27" s="87">
        <f>SUM(I9:I26)</f>
        <v>2229.6625859546625</v>
      </c>
      <c r="J27" s="97" t="s">
        <v>7</v>
      </c>
    </row>
    <row r="28" spans="1:10" ht="20.100000000000001" customHeight="1" x14ac:dyDescent="0.2">
      <c r="A28" s="5" t="str">
        <f>HYPERLINK("#'5.4.1.1-4 Atmos deposition'!A1", "5.4.1.1-4 Atmos. deposition")</f>
        <v>5.4.1.1-4 Atmos. deposition</v>
      </c>
    </row>
    <row r="29" spans="1:10" ht="20.100000000000001" customHeight="1" x14ac:dyDescent="0.2">
      <c r="A29" s="5" t="str">
        <f>HYPERLINK("#'5.5.1.1-2 Leaching and runoff'!A1", "5.5.1.1-2 Leaching &amp; runoff")</f>
        <v>5.5.1.1-2 Leaching &amp; runoff</v>
      </c>
    </row>
    <row r="30" spans="1:10" ht="20.100000000000001" customHeight="1" x14ac:dyDescent="0.2">
      <c r="A30" s="5" t="str">
        <f>HYPERLINK("#'6.1.1.1-2 Crop residue N2O'!A1", "6.1.1.1-2 Crop residue N2O")</f>
        <v>6.1.1.1-2 Crop residue N2O</v>
      </c>
      <c r="D30" s="79" t="s">
        <v>272</v>
      </c>
    </row>
    <row r="31" spans="1:10" ht="20.100000000000001" customHeight="1" x14ac:dyDescent="0.2">
      <c r="A31" s="5" t="str">
        <f>HYPERLINK("#'6.3.1.1-2 Leach runoff crop'!A1", "6.3.1.1-2 Leach &amp; runoff (crop)")</f>
        <v>6.3.1.1-2 Leach &amp; runoff (crop)</v>
      </c>
    </row>
    <row r="32" spans="1:10" ht="20.100000000000001" customHeight="1" x14ac:dyDescent="0.2">
      <c r="A32" s="5" t="str">
        <f>HYPERLINK("#'6.4.1.1-2 Residue burning'!A1", "6.4.1.1-2 Residue burning")</f>
        <v>6.4.1.1-2 Residue burning</v>
      </c>
      <c r="D32" s="11" t="s">
        <v>273</v>
      </c>
      <c r="E32" s="11" t="s">
        <v>8</v>
      </c>
      <c r="F32" s="11" t="s">
        <v>9</v>
      </c>
      <c r="G32" s="11" t="s">
        <v>5</v>
      </c>
      <c r="H32" s="11" t="s">
        <v>10</v>
      </c>
      <c r="I32" s="11" t="s">
        <v>11</v>
      </c>
      <c r="J32" s="11"/>
    </row>
    <row r="33" spans="1:10" ht="20.100000000000001" customHeight="1" x14ac:dyDescent="0.2">
      <c r="A33" s="5" t="str">
        <f>HYPERLINK("#'8.1.1.1-2 Transport fuel'!A1", "8.1.1.1-2 Transport fuel")</f>
        <v>8.1.1.1-2 Transport fuel</v>
      </c>
      <c r="D33" s="1" t="str" cm="1">
        <f t="array" ref="D33">"14.1.1-2 Purchased electricity " &amp; IF(X_Cell_Electricity_CalculationMethod="Location-based (simpler)", "(Location-based)", "(Market-based)")</f>
        <v>14.1.1-2 Purchased electricity (Location-based)</v>
      </c>
      <c r="E33" s="1" cm="1">
        <f t="array" ref="E33">IF(X_Cell_Electricity_CalculationMethod="Location-based (simpler)", VEERG_14_1_1__1_LocationBasedScopeElectricityEmissions_Result_Method1, VEERG_14_1_2__1_MarketBasedScopeElectricityEmissionsVariation_Result_Method1)</f>
        <v>16.8</v>
      </c>
      <c r="F33" s="1">
        <f>E33</f>
        <v>16.8</v>
      </c>
      <c r="G33" s="9" t="s">
        <v>7</v>
      </c>
      <c r="H33" s="1">
        <f>E33</f>
        <v>16.8</v>
      </c>
      <c r="I33" s="1">
        <f>F33</f>
        <v>16.8</v>
      </c>
      <c r="J33" s="9" t="s">
        <v>7</v>
      </c>
    </row>
    <row r="34" spans="1:10" ht="20.100000000000001" customHeight="1" x14ac:dyDescent="0.2">
      <c r="A34" s="5" t="str">
        <f>HYPERLINK("#'8.2.1.1-2 Stationary fuel'!A1", "8.2.1.1-2 Stationary fuel")</f>
        <v>8.2.1.1-2 Stationary fuel</v>
      </c>
      <c r="D34" s="87" t="s">
        <v>274</v>
      </c>
      <c r="E34" s="88"/>
      <c r="F34" s="88"/>
      <c r="G34" s="88"/>
      <c r="H34" s="87">
        <f>SUM(H33:H33)</f>
        <v>16.8</v>
      </c>
      <c r="I34" s="87">
        <f>SUM(I33:I33)</f>
        <v>16.8</v>
      </c>
      <c r="J34" s="97" t="s">
        <v>7</v>
      </c>
    </row>
    <row r="35" spans="1:10" ht="20.100000000000001" customHeight="1" x14ac:dyDescent="0.2">
      <c r="A35" s="5" t="str">
        <f>HYPERLINK("#'10.1.1-2 Solid waste treatment'!A1", "10.1.1.1-2 Solid waste")</f>
        <v>10.1.1.1-2 Solid waste</v>
      </c>
    </row>
    <row r="36" spans="1:10" ht="20.100000000000001" customHeight="1" x14ac:dyDescent="0.2">
      <c r="A36" s="5" t="str">
        <f>HYPERLINK("#'14.1.1-2 Purchased electricity'!A1", "14.1.1-2 Purchased electricity")</f>
        <v>14.1.1-2 Purchased electricity</v>
      </c>
    </row>
    <row r="37" spans="1:10" ht="20.100000000000001" customHeight="1" x14ac:dyDescent="0.2">
      <c r="A37" s="5" t="str">
        <f>HYPERLINK("#'15 Scope 3'!A1", "15 Scope 3")</f>
        <v>15 Scope 3</v>
      </c>
      <c r="D37" s="79" t="s">
        <v>275</v>
      </c>
    </row>
    <row r="39" spans="1:10" ht="20.100000000000001" customHeight="1" x14ac:dyDescent="0.2">
      <c r="D39" s="11" t="s">
        <v>276</v>
      </c>
      <c r="E39" s="11" t="s">
        <v>8</v>
      </c>
      <c r="F39" s="11" t="s">
        <v>9</v>
      </c>
      <c r="G39" s="11" t="s">
        <v>5</v>
      </c>
      <c r="H39" s="11" t="s">
        <v>10</v>
      </c>
      <c r="I39" s="11" t="s">
        <v>11</v>
      </c>
      <c r="J39" s="11"/>
    </row>
    <row r="40" spans="1:10" ht="20.100000000000001" customHeight="1" x14ac:dyDescent="0.2">
      <c r="A40" s="82" t="s">
        <v>1</v>
      </c>
      <c r="D40" s="1" t="s">
        <v>277</v>
      </c>
      <c r="E40" s="1" cm="1">
        <f t="array" ref="E40">VEERG_15_4_1_1__2_EmissionsFromPurchasedFertiliserComponentsVariation_Result_Method1</f>
        <v>518.80600000000004</v>
      </c>
      <c r="F40" s="1" cm="1">
        <f t="array" ref="F40">VEERG_15_4_1_1__2_EmissionsFromPurchasedFertiliserComponentsVariation_Result_Method2</f>
        <v>599.726</v>
      </c>
      <c r="G40" s="9" t="s">
        <v>7</v>
      </c>
      <c r="H40" s="1">
        <f t="shared" ref="H40:H47" si="2">E40</f>
        <v>518.80600000000004</v>
      </c>
      <c r="I40" s="1">
        <f t="shared" ref="I40:I50" si="3">F40</f>
        <v>599.726</v>
      </c>
      <c r="J40" s="9" t="s">
        <v>7</v>
      </c>
    </row>
    <row r="41" spans="1:10" ht="20.100000000000001" customHeight="1" x14ac:dyDescent="0.2">
      <c r="A41" s="5" t="str">
        <f>HYPERLINK("#'Constants - Ag Residue'!A1", "Constants - Ag residue")</f>
        <v>Constants - Ag residue</v>
      </c>
      <c r="D41" s="1" t="s">
        <v>278</v>
      </c>
      <c r="E41" s="1" cm="1">
        <f t="array" ref="E41">VEERG_15_5_1_1__1_EmissionsFromPurchasedAgrichemicals_Result_Method1</f>
        <v>7.5159999999999991</v>
      </c>
      <c r="F41" s="1" cm="1">
        <f t="array" ref="F41">VEERG_15_5_1_1__1_EmissionsFromPurchasedAgrichemicals_Result_Method2</f>
        <v>7.4959999999999996</v>
      </c>
      <c r="G41" s="9" t="s">
        <v>7</v>
      </c>
      <c r="H41" s="1">
        <f t="shared" si="2"/>
        <v>7.5159999999999991</v>
      </c>
      <c r="I41" s="1">
        <f t="shared" si="3"/>
        <v>7.4959999999999996</v>
      </c>
      <c r="J41" s="9" t="s">
        <v>7</v>
      </c>
    </row>
    <row r="42" spans="1:10" ht="20.100000000000001" customHeight="1" x14ac:dyDescent="0.2">
      <c r="A42" s="5" t="str">
        <f>HYPERLINK("#'Constants - Electricity'!A1", "Constants - Electricity")</f>
        <v>Constants - Electricity</v>
      </c>
      <c r="D42" s="1" t="s">
        <v>279</v>
      </c>
      <c r="E42" s="1" cm="1">
        <f t="array" ref="E42">VEERG_15_6_1_1__1_EmissionsFromPurchasedLime_Result_Method1</f>
        <v>0.16553999999999999</v>
      </c>
      <c r="F42" s="1" cm="1">
        <f t="array" ref="F42">VEERG_15_6_1_1__1_EmissionsFromPurchasedLime_Result_Method2</f>
        <v>0.14399999999999999</v>
      </c>
      <c r="G42" s="9" t="s">
        <v>7</v>
      </c>
      <c r="H42" s="1">
        <f t="shared" si="2"/>
        <v>0.16553999999999999</v>
      </c>
      <c r="I42" s="1">
        <f t="shared" si="3"/>
        <v>0.14399999999999999</v>
      </c>
      <c r="J42" s="9" t="s">
        <v>7</v>
      </c>
    </row>
    <row r="43" spans="1:10" ht="20.100000000000001" customHeight="1" x14ac:dyDescent="0.2">
      <c r="A43" s="5" t="str">
        <f>HYPERLINK("#'Constants - Fertiliser'!A1", "Constants - Fertiliser")</f>
        <v>Constants - Fertiliser</v>
      </c>
      <c r="D43" s="1" t="s">
        <v>280</v>
      </c>
      <c r="E43" s="1" t="str" cm="1">
        <f t="array" ref="E43">VEERG_15_7_1_1__1_EmissionsFromPurchasedServices_Result_Method1</f>
        <v>No data</v>
      </c>
      <c r="F43" s="1" cm="1">
        <f t="array" ref="F43">VEERG_15_7_1_1__1_EmissionsFromPurchasedServices_Result_Method2</f>
        <v>1.1000000000000001</v>
      </c>
      <c r="G43" s="9" t="s">
        <v>7</v>
      </c>
      <c r="H43" s="1" t="str">
        <f t="shared" si="2"/>
        <v>No data</v>
      </c>
      <c r="I43" s="1">
        <f t="shared" si="3"/>
        <v>1.1000000000000001</v>
      </c>
      <c r="J43" s="9" t="s">
        <v>7</v>
      </c>
    </row>
    <row r="44" spans="1:10" ht="20.100000000000001" customHeight="1" x14ac:dyDescent="0.2">
      <c r="A44" s="5" t="str">
        <f>HYPERLINK("#'Constants - Fuel'!A1", "Constants - Fuel")</f>
        <v>Constants - Fuel</v>
      </c>
      <c r="D44" s="1" t="s">
        <v>281</v>
      </c>
      <c r="E44" s="1" cm="1">
        <f t="array" ref="E44">VEERG_15_10_1_1__1_OtherPurchasedGoodsAndServices_CleaningChemicals_Result_Method1</f>
        <v>0.50509999999999999</v>
      </c>
      <c r="F44" s="1" cm="1">
        <f t="array" ref="F44">VEERG_15_10_1_1__1_OtherPurchasedGoodsAndServices_CleaningChemicals_Result_Method2</f>
        <v>0.5</v>
      </c>
      <c r="G44" s="9" t="s">
        <v>7</v>
      </c>
      <c r="H44" s="1">
        <f t="shared" si="2"/>
        <v>0.50509999999999999</v>
      </c>
      <c r="I44" s="1">
        <f t="shared" si="3"/>
        <v>0.5</v>
      </c>
      <c r="J44" s="9" t="s">
        <v>7</v>
      </c>
    </row>
    <row r="45" spans="1:10" ht="20.100000000000001" customHeight="1" x14ac:dyDescent="0.2">
      <c r="A45" s="5" t="str">
        <f>HYPERLINK("#'Constants - Scope 3'!A1", "Constants - Scope 3")</f>
        <v>Constants - Scope 3</v>
      </c>
      <c r="D45" s="1" t="s">
        <v>282</v>
      </c>
      <c r="E45" s="1" t="str" cm="1">
        <f t="array" ref="E45">VEERG_15_10_1_1__1_OtherPurchasedGoodsAndServices_Uncategorised_Result_Method1</f>
        <v>No data</v>
      </c>
      <c r="F45" s="1" cm="1">
        <f t="array" ref="F45">VEERG_15_10_1_1__1_OtherPurchasedGoodsAndServices_Uncategorised_Result_Method2</f>
        <v>4000</v>
      </c>
      <c r="G45" s="9" t="s">
        <v>7</v>
      </c>
      <c r="H45" s="1" t="str">
        <f t="shared" si="2"/>
        <v>No data</v>
      </c>
      <c r="I45" s="1">
        <f t="shared" si="3"/>
        <v>4000</v>
      </c>
      <c r="J45" s="9" t="s">
        <v>7</v>
      </c>
    </row>
    <row r="46" spans="1:10" ht="20.100000000000001" customHeight="1" x14ac:dyDescent="0.2">
      <c r="A46" s="5" t="str">
        <f>HYPERLINK("#'Constants - Solid Waste'!A1", "Constants - Solid Waste")</f>
        <v>Constants - Solid Waste</v>
      </c>
      <c r="D46" s="1" t="s">
        <v>283</v>
      </c>
      <c r="E46" s="1" cm="1">
        <f t="array" ref="E46">VEERG_15_11_1_1__1_TotalUpstreamEmissionsFromFuel_Result</f>
        <v>26.794</v>
      </c>
      <c r="F46" s="1">
        <f>E46</f>
        <v>26.794</v>
      </c>
      <c r="G46" s="9" t="s">
        <v>7</v>
      </c>
      <c r="H46" s="1">
        <f t="shared" si="2"/>
        <v>26.794</v>
      </c>
      <c r="I46" s="1">
        <f t="shared" si="3"/>
        <v>26.794</v>
      </c>
      <c r="J46" s="9" t="s">
        <v>7</v>
      </c>
    </row>
    <row r="47" spans="1:10" ht="20.100000000000001" customHeight="1" x14ac:dyDescent="0.2">
      <c r="A47" s="5" t="str">
        <f>HYPERLINK("#'Constants - Common'!A1", "Constants - Common")</f>
        <v>Constants - Common</v>
      </c>
      <c r="D47" s="1" t="str" cm="1">
        <f t="array" ref="D47">"15.12.1.1 Purchased electricity " &amp; IF(X_Cell_Electricity_CalculationMethod="Location-based (simpler)", "(Location-based)", "(Market-based)")</f>
        <v>15.12.1.1 Purchased electricity (Location-based)</v>
      </c>
      <c r="E47" s="1" cm="1">
        <f t="array" ref="E47">IF(X_Cell_Electricity_CalculationMethod="Location-based (simpler)", VEERG_15_12_1_1__1_UpstreamPurchasedElectricityLocationBased_Result, VEERG_15_12_1_1__1_UpstreamPurchasedElectricityMarketBased_Result)</f>
        <v>2.7</v>
      </c>
      <c r="F47" s="1">
        <f>E47</f>
        <v>2.7</v>
      </c>
      <c r="G47" s="9" t="s">
        <v>7</v>
      </c>
      <c r="H47" s="1">
        <f t="shared" si="2"/>
        <v>2.7</v>
      </c>
      <c r="I47" s="1">
        <f t="shared" si="3"/>
        <v>2.7</v>
      </c>
      <c r="J47" s="9" t="s">
        <v>7</v>
      </c>
    </row>
    <row r="48" spans="1:10" ht="20.100000000000001" customHeight="1" x14ac:dyDescent="0.2">
      <c r="A48" s="5" t="str">
        <f>HYPERLINK("#'Constants - Common Livestock'!A1", "Constants - Common Livestock")</f>
        <v>Constants - Common Livestock</v>
      </c>
      <c r="D48" s="1" t="s">
        <v>284</v>
      </c>
      <c r="E48" s="1" t="str" cm="1">
        <f t="array" ref="E48">VEERG_15_14_1_1__1_EmbeddedEmissionsFromUpstreamFreight_Incoming_Result_Method1</f>
        <v>No data</v>
      </c>
      <c r="F48" s="1" cm="1">
        <f t="array" ref="F48">VEERG_15_14_1_1__1_EmbeddedEmissionsFromUpstreamFreight_Incoming_Result_Method2</f>
        <v>5166.2</v>
      </c>
      <c r="G48" s="9" t="s">
        <v>7</v>
      </c>
      <c r="H48" s="1" t="str">
        <f>E48</f>
        <v>No data</v>
      </c>
      <c r="I48" s="1">
        <f t="shared" si="3"/>
        <v>5166.2</v>
      </c>
      <c r="J48" s="9" t="s">
        <v>7</v>
      </c>
    </row>
    <row r="49" spans="1:10" ht="20.100000000000001" customHeight="1" x14ac:dyDescent="0.2">
      <c r="D49" s="1" t="s">
        <v>285</v>
      </c>
      <c r="E49" s="1" cm="1">
        <f t="array" ref="E49">VEERG_10_1_1_1__1_EmissionsFromWasteManagement_Scope3_Result_Method1</f>
        <v>441.15000000000003</v>
      </c>
      <c r="F49" s="1">
        <f>E49</f>
        <v>441.15000000000003</v>
      </c>
      <c r="G49" s="9" t="s">
        <v>7</v>
      </c>
      <c r="H49" s="1">
        <f t="shared" ref="H49:H50" si="4">E49</f>
        <v>441.15000000000003</v>
      </c>
      <c r="I49" s="1">
        <f t="shared" si="3"/>
        <v>441.15000000000003</v>
      </c>
      <c r="J49" s="9" t="s">
        <v>7</v>
      </c>
    </row>
    <row r="50" spans="1:10" ht="20.100000000000001" customHeight="1" x14ac:dyDescent="0.2">
      <c r="D50" s="1" t="s">
        <v>286</v>
      </c>
      <c r="E50" s="1" t="str" cm="1">
        <f t="array" ref="E50">VEERG_15_14_1_1__1_EmbeddedEmissionsFromUpstreamFreight_Outgoing_Result_Method1</f>
        <v>No data</v>
      </c>
      <c r="F50" s="1" cm="1">
        <f t="array" ref="F50">VEERG_15_14_1_1__1_EmbeddedEmissionsFromUpstreamFreight_Outgoing_Result_Method2</f>
        <v>676</v>
      </c>
      <c r="G50" s="9" t="s">
        <v>7</v>
      </c>
      <c r="H50" s="1" t="str">
        <f t="shared" si="4"/>
        <v>No data</v>
      </c>
      <c r="I50" s="1">
        <f t="shared" si="3"/>
        <v>676</v>
      </c>
      <c r="J50" s="9" t="s">
        <v>7</v>
      </c>
    </row>
    <row r="51" spans="1:10" ht="20.100000000000001" customHeight="1" x14ac:dyDescent="0.2">
      <c r="D51" s="87" t="s">
        <v>287</v>
      </c>
      <c r="E51" s="88"/>
      <c r="F51" s="88"/>
      <c r="G51" s="88"/>
      <c r="H51" s="87">
        <f>SUM(H40:H50)</f>
        <v>997.63663999999994</v>
      </c>
      <c r="I51" s="87">
        <f>SUM(I40:I50)</f>
        <v>10921.81</v>
      </c>
      <c r="J51" s="97" t="s">
        <v>7</v>
      </c>
    </row>
    <row r="54" spans="1:10" ht="20.100000000000001" customHeight="1" x14ac:dyDescent="0.2">
      <c r="D54" s="79" t="str">
        <f>"Carbon removals from plantings for the activity period " &amp; TEXT(X_Cell_Site_StartDate, "d mmmm yyyy") &amp; " and " &amp; TEXT(X_Cell_Site_EndDate, "d mmmm yyyy")</f>
        <v>Carbon removals from plantings for the activity period 1 January 2025 and 31 December 2025</v>
      </c>
    </row>
    <row r="56" spans="1:10" ht="20.100000000000001" customHeight="1" x14ac:dyDescent="0.2">
      <c r="D56" s="87" t="s">
        <v>288</v>
      </c>
      <c r="E56" s="88">
        <f>SUM(Table_Input_Enterprise_PlantingRemovals[Removal allocated to this enterprise])</f>
        <v>0</v>
      </c>
      <c r="F56" s="97" t="s">
        <v>127</v>
      </c>
    </row>
    <row r="59" spans="1:10" ht="20.100000000000001" customHeight="1" x14ac:dyDescent="0.2">
      <c r="A59" s="81" t="str">
        <f>HYPERLINK("#A1", "▲ Back to top")</f>
        <v>▲ Back to top</v>
      </c>
      <c r="D59" s="79" t="str">
        <f>"Net emissions for the activity period " &amp; TEXT(X_Cell_Site_StartDate, "d mmmm yyyy") &amp; " and " &amp; TEXT(X_Cell_Site_EndDate, "d mmmm yyyy")</f>
        <v>Net emissions for the activity period 1 January 2025 and 31 December 2025</v>
      </c>
    </row>
    <row r="61" spans="1:10" ht="20.100000000000001" customHeight="1" x14ac:dyDescent="0.2">
      <c r="D61" s="11"/>
      <c r="E61" s="11" t="s">
        <v>130</v>
      </c>
      <c r="F61" s="11" t="s">
        <v>131</v>
      </c>
      <c r="G61" s="11"/>
    </row>
    <row r="62" spans="1:10" ht="20.100000000000001" customHeight="1" x14ac:dyDescent="0.2">
      <c r="D62" s="96" t="s">
        <v>289</v>
      </c>
      <c r="E62" s="94">
        <f>Result_Enterprise_Scope1_Method1+Result_Enterprise_Scope2_Method1+Result_Enterprise_Scope3_Method1</f>
        <v>3244.0992084646632</v>
      </c>
      <c r="F62" s="94">
        <f>Result_Enterprise_Scope1_Method2+Result_Enterprise_Scope2_Method2+Result_Enterprise_Scope3_Method2</f>
        <v>13168.272585954663</v>
      </c>
      <c r="G62" s="95" t="s">
        <v>290</v>
      </c>
    </row>
    <row r="63" spans="1:10" ht="20.100000000000001" customHeight="1" x14ac:dyDescent="0.2">
      <c r="D63" s="96" t="s">
        <v>291</v>
      </c>
      <c r="E63" s="94">
        <f>Result_Enterprise_Gross_Method1-Result_Enterprise_Removals</f>
        <v>3244.0992084646632</v>
      </c>
      <c r="F63" s="94">
        <f>Result_Enterprise_Gross_Method2-Result_Enterprise_Removals</f>
        <v>13168.272585954663</v>
      </c>
      <c r="G63" s="95" t="s">
        <v>290</v>
      </c>
    </row>
  </sheetData>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2C70A-3829-41AD-8C72-9BB34460C4F5}">
  <sheetPr>
    <tabColor rgb="FF0C769E"/>
  </sheetPr>
  <dimension ref="A1:N58"/>
  <sheetViews>
    <sheetView showGridLines="0" zoomScaleNormal="100" workbookViewId="0">
      <pane xSplit="1" topLeftCell="B1" activePane="topRight" state="frozenSplit"/>
      <selection pane="topRight" activeCell="A47" sqref="A47"/>
    </sheetView>
  </sheetViews>
  <sheetFormatPr defaultRowHeight="20.100000000000001" customHeight="1" x14ac:dyDescent="0.2"/>
  <cols>
    <col min="1" max="1" width="36.7109375" customWidth="1"/>
    <col min="2" max="2" width="4.7109375" customWidth="1"/>
    <col min="3" max="3" width="4.7109375" style="1" customWidth="1"/>
    <col min="4" max="4" width="51.7109375" style="1" customWidth="1"/>
    <col min="5" max="13" width="30.7109375" style="1" customWidth="1"/>
    <col min="14" max="14" width="9.140625" style="1"/>
  </cols>
  <sheetData>
    <row r="1" spans="1:14" s="92" customFormat="1" ht="30" customHeight="1" x14ac:dyDescent="0.35">
      <c r="A1" s="10" t="e" vm="1">
        <v>#VALUE!</v>
      </c>
      <c r="C1" s="92" t="s">
        <v>294</v>
      </c>
    </row>
    <row r="2" spans="1:14" s="3" customFormat="1" ht="20.100000000000001" customHeight="1" x14ac:dyDescent="0.2">
      <c r="A2"/>
    </row>
    <row r="3" spans="1:14" ht="20.100000000000001" customHeight="1" x14ac:dyDescent="0.2">
      <c r="A3" s="5" t="str">
        <f>HYPERLINK("#'Home'!A1", "Home")</f>
        <v>Home</v>
      </c>
      <c r="C3" s="93"/>
      <c r="D3" s="93"/>
      <c r="E3" s="93"/>
      <c r="F3" s="93"/>
      <c r="G3" s="93"/>
      <c r="H3" s="93"/>
      <c r="I3" s="93"/>
      <c r="J3" s="93"/>
      <c r="K3" s="93"/>
      <c r="L3" s="93"/>
      <c r="M3" s="93"/>
      <c r="N3" s="93"/>
    </row>
    <row r="4" spans="1:14" ht="20.100000000000001" customHeight="1" x14ac:dyDescent="0.2">
      <c r="A4" s="5" t="str">
        <f>HYPERLINK("#'Results - Activity period'!A1", "Results - Activity period")</f>
        <v>Results - Activity period</v>
      </c>
    </row>
    <row r="5" spans="1:14" ht="20.100000000000001" customHeight="1" x14ac:dyDescent="0.2">
      <c r="A5" s="244" t="str">
        <f>HYPERLINK("#'Results - Product EI'!A1", "Results - Product EI")</f>
        <v>Results - Product EI</v>
      </c>
    </row>
    <row r="8" spans="1:14" ht="20.100000000000001" customHeight="1" x14ac:dyDescent="0.2">
      <c r="A8" s="7" t="s">
        <v>0</v>
      </c>
    </row>
    <row r="9" spans="1:14" ht="20.100000000000001" customHeight="1" x14ac:dyDescent="0.2">
      <c r="A9" s="5" t="str">
        <f>HYPERLINK("#'Input - Enterprise'!A1", "Enterprise")</f>
        <v>Enterprise</v>
      </c>
    </row>
    <row r="10" spans="1:14" ht="20.100000000000001" customHeight="1" x14ac:dyDescent="0.2">
      <c r="A10" s="5" t="str">
        <f>HYPERLINK("#'Input - Site'!A1", "Site")</f>
        <v>Site</v>
      </c>
    </row>
    <row r="11" spans="1:14" ht="20.100000000000001" customHeight="1" x14ac:dyDescent="0.2">
      <c r="A11" s="5" t="str">
        <f>HYPERLINK("#'Input - Crop'!A1", "Crop")</f>
        <v>Crop</v>
      </c>
    </row>
    <row r="12" spans="1:14" ht="20.100000000000001" customHeight="1" x14ac:dyDescent="0.2">
      <c r="A12" s="5" t="str">
        <f>HYPERLINK("#'Input - Fert Prod System'!A1", "Fert Prod System")</f>
        <v>Fert Prod System</v>
      </c>
    </row>
    <row r="13" spans="1:14" ht="20.100000000000001" customHeight="1" x14ac:dyDescent="0.2">
      <c r="A13" s="5" t="str">
        <f>HYPERLINK("#'Input - Fertiliser'!A1", "Fertiliser")</f>
        <v>Fertiliser</v>
      </c>
    </row>
    <row r="14" spans="1:14" ht="20.100000000000001" customHeight="1" x14ac:dyDescent="0.2">
      <c r="A14" s="5" t="str">
        <f>HYPERLINK("#'Input - Fuel'!A1", "Fuel")</f>
        <v>Fuel</v>
      </c>
    </row>
    <row r="15" spans="1:14" ht="20.100000000000001" customHeight="1" x14ac:dyDescent="0.2">
      <c r="A15" s="5" t="str">
        <f>HYPERLINK("#'Input - Electricity'!A1", "Electricity")</f>
        <v>Electricity</v>
      </c>
    </row>
    <row r="16" spans="1:14" ht="20.100000000000001" customHeight="1" x14ac:dyDescent="0.2">
      <c r="A16" s="5" t="str">
        <f>HYPERLINK("#'Input - Common farm inputs'!A1", "Common farm inputs")</f>
        <v>Common farm inputs</v>
      </c>
    </row>
    <row r="17" spans="1:4" ht="20.100000000000001" customHeight="1" x14ac:dyDescent="0.2">
      <c r="A17" s="5" t="str">
        <f>HYPERLINK("#'Input - Crop pasture farm input'!A1", "Crop pasture farm input")</f>
        <v>Crop pasture farm input</v>
      </c>
    </row>
    <row r="18" spans="1:4" ht="20.100000000000001" customHeight="1" x14ac:dyDescent="0.2">
      <c r="A18" s="5" t="str">
        <f>HYPERLINK("#'Input - Freight'!A1", "Freight")</f>
        <v>Freight</v>
      </c>
    </row>
    <row r="19" spans="1:4" ht="20.100000000000001" customHeight="1" x14ac:dyDescent="0.2">
      <c r="A19" s="5" t="str">
        <f>HYPERLINK("#'Input - Solid waste'!A1", "Solid waste")</f>
        <v>Solid waste</v>
      </c>
    </row>
    <row r="20" spans="1:4" ht="20.100000000000001" customHeight="1" x14ac:dyDescent="0.2">
      <c r="A20" s="5" t="str">
        <f>HYPERLINK("#'Input - Data quality'!A1", "Data quality")</f>
        <v>Data quality</v>
      </c>
    </row>
    <row r="23" spans="1:4" ht="20.100000000000001" customHeight="1" x14ac:dyDescent="0.2">
      <c r="A23" s="6" t="s">
        <v>2</v>
      </c>
    </row>
    <row r="24" spans="1:4" ht="20.100000000000001" customHeight="1" x14ac:dyDescent="0.2">
      <c r="A24" s="5" t="str">
        <f>HYPERLINK("#'5.1.1.1-2 Inorganic fert N2O'!A1", "5.1.1.1-2 Inorganic fert N2O")</f>
        <v>5.1.1.1-2 Inorganic fert N2O</v>
      </c>
    </row>
    <row r="25" spans="1:4" ht="20.100000000000001" customHeight="1" x14ac:dyDescent="0.2">
      <c r="A25" s="5" t="str">
        <f>HYPERLINK("#'5.1.1.3-4 Inorganic fert CO2'!A1", "5.1.1.3-4 Inorganic fert CO2")</f>
        <v>5.1.1.3-4 Inorganic fert CO2</v>
      </c>
    </row>
    <row r="26" spans="1:4" ht="20.100000000000001" customHeight="1" x14ac:dyDescent="0.2">
      <c r="A26" s="5" t="str">
        <f>HYPERLINK("#'5.2.1.1-2 Organic Fert N2O'!A1", "5.2.1.1-2 Organic fert N2O")</f>
        <v>5.2.1.1-2 Organic fert N2O</v>
      </c>
    </row>
    <row r="27" spans="1:4" ht="20.100000000000001" customHeight="1" x14ac:dyDescent="0.2">
      <c r="A27" s="5" t="str">
        <f>HYPERLINK("#'5.3.1.1-2 Lime CO2'!A1", "5.3.1.1-2 Lime CO2")</f>
        <v>5.3.1.1-2 Lime CO2</v>
      </c>
    </row>
    <row r="28" spans="1:4" ht="20.100000000000001" customHeight="1" x14ac:dyDescent="0.2">
      <c r="A28" s="5" t="str">
        <f>HYPERLINK("#'5.4.1.1-4 Atmos deposition'!A1", "5.4.1.1-4 Atmos. deposition")</f>
        <v>5.4.1.1-4 Atmos. deposition</v>
      </c>
    </row>
    <row r="29" spans="1:4" ht="20.100000000000001" customHeight="1" x14ac:dyDescent="0.2">
      <c r="A29" s="5" t="str">
        <f>HYPERLINK("#'5.5.1.1-2 Leaching and runoff'!A1", "5.5.1.1-2 Leaching &amp; runoff")</f>
        <v>5.5.1.1-2 Leaching &amp; runoff</v>
      </c>
    </row>
    <row r="30" spans="1:4" ht="20.100000000000001" customHeight="1" x14ac:dyDescent="0.2">
      <c r="A30" s="5" t="str">
        <f>HYPERLINK("#'6.1.1.1-2 Crop residue N2O'!A1", "6.1.1.1-2 Crop residue N2O")</f>
        <v>6.1.1.1-2 Crop residue N2O</v>
      </c>
    </row>
    <row r="31" spans="1:4" ht="20.100000000000001" customHeight="1" x14ac:dyDescent="0.2">
      <c r="A31" s="5" t="str">
        <f>HYPERLINK("#'6.3.1.1-2 Leach runoff crop'!A1", "6.3.1.1-2 Leach &amp; runoff (crop)")</f>
        <v>6.3.1.1-2 Leach &amp; runoff (crop)</v>
      </c>
    </row>
    <row r="32" spans="1:4" ht="20.100000000000001" customHeight="1" x14ac:dyDescent="0.2">
      <c r="A32" s="5" t="str">
        <f>HYPERLINK("#'6.4.1.1-2 Residue burning'!A1", "6.4.1.1-2 Residue burning")</f>
        <v>6.4.1.1-2 Residue burning</v>
      </c>
      <c r="D32" s="2" t="str">
        <f>"Emissions for whole production cycle running between " &amp; TEXT(X_Cell_Enterprise_ProductionTimeframeStart, "d mmmm yyyy") &amp; " and " &amp; TEXT(X_Cell_Enterprise_ProductionTimeframeEnd, "d mmmm yyyy")</f>
        <v>Emissions for whole production cycle running between 1 November 2025 and 31 March 2026</v>
      </c>
    </row>
    <row r="33" spans="1:10" ht="20.100000000000001" customHeight="1" x14ac:dyDescent="0.2">
      <c r="A33" s="5" t="str">
        <f>HYPERLINK("#'8.1.1.1-2 Transport fuel'!A1", "8.1.1.1-2 Transport fuel")</f>
        <v>8.1.1.1-2 Transport fuel</v>
      </c>
    </row>
    <row r="34" spans="1:10" ht="20.100000000000001" customHeight="1" x14ac:dyDescent="0.2">
      <c r="A34" s="5" t="str">
        <f>HYPERLINK("#'8.2.1.1-2 Stationary fuel'!A1", "8.2.1.1-2 Stationary fuel")</f>
        <v>8.2.1.1-2 Stationary fuel</v>
      </c>
    </row>
    <row r="35" spans="1:10" ht="20.100000000000001" customHeight="1" x14ac:dyDescent="0.2">
      <c r="A35" s="5" t="str">
        <f>HYPERLINK("#'10.1.1-2 Solid waste treatment'!A1", "10.1.1.1-2 Solid waste")</f>
        <v>10.1.1.1-2 Solid waste</v>
      </c>
      <c r="D35" s="11"/>
      <c r="E35" s="11" t="s">
        <v>130</v>
      </c>
      <c r="F35" s="11" t="s">
        <v>131</v>
      </c>
      <c r="G35" s="11"/>
    </row>
    <row r="36" spans="1:10" ht="20.100000000000001" customHeight="1" x14ac:dyDescent="0.2">
      <c r="A36" s="5" t="str">
        <f>HYPERLINK("#'14.1.1-2 Purchased electricity'!A1", "14.1.1-2 Purchased electricity")</f>
        <v>14.1.1-2 Purchased electricity</v>
      </c>
      <c r="D36" s="77" t="s">
        <v>292</v>
      </c>
      <c r="E36" s="1">
        <f>Result_EmissionsForWholeProductionCycle_Gross_Method1</f>
        <v>3244.0992084646632</v>
      </c>
      <c r="F36" s="1">
        <f>Result_EmissionsForWholeProductionCycle_Gross_Method2</f>
        <v>13168.272585954663</v>
      </c>
      <c r="G36" s="9" t="s">
        <v>7</v>
      </c>
    </row>
    <row r="37" spans="1:10" ht="20.100000000000001" customHeight="1" x14ac:dyDescent="0.2">
      <c r="A37" s="5" t="str">
        <f>HYPERLINK("#'15 Scope 3'!A1", "15 Scope 3")</f>
        <v>15 Scope 3</v>
      </c>
      <c r="D37" s="77" t="s">
        <v>293</v>
      </c>
      <c r="E37" s="1">
        <f>Result_EmissionsForWholeProductionCycle_Net_Method1</f>
        <v>3244.0992084646632</v>
      </c>
      <c r="F37" s="1">
        <f>Result_EmissionsForWholeProductionCycle_Net_Method2</f>
        <v>13168.272585954663</v>
      </c>
      <c r="G37" s="9" t="s">
        <v>7</v>
      </c>
    </row>
    <row r="39" spans="1:10" ht="20.100000000000001" customHeight="1" x14ac:dyDescent="0.2">
      <c r="D39" s="2" t="str">
        <f>"Product emissions intensity for whole production cycle running between " &amp; TEXT(X_Cell_Enterprise_ProductionTimeframeStart, "d mmmm yyyy") &amp; " and " &amp; TEXT(X_Cell_Enterprise_ProductionTimeframeEnd, "d mmmm yyyy")</f>
        <v>Product emissions intensity for whole production cycle running between 1 November 2025 and 31 March 2026</v>
      </c>
    </row>
    <row r="40" spans="1:10" ht="20.100000000000001" customHeight="1" x14ac:dyDescent="0.2">
      <c r="A40" s="82" t="s">
        <v>1</v>
      </c>
    </row>
    <row r="41" spans="1:10" ht="20.100000000000001" customHeight="1" x14ac:dyDescent="0.2">
      <c r="A41" s="5" t="str">
        <f>HYPERLINK("#'Constants - Ag Residue'!A1", "Constants - Ag residue")</f>
        <v>Constants - Ag residue</v>
      </c>
    </row>
    <row r="42" spans="1:10" ht="20.100000000000001" customHeight="1" x14ac:dyDescent="0.2">
      <c r="A42" s="5" t="str">
        <f>HYPERLINK("#'Constants - Electricity'!A1", "Constants - Electricity")</f>
        <v>Constants - Electricity</v>
      </c>
      <c r="D42" s="1" t="s">
        <v>166</v>
      </c>
    </row>
    <row r="43" spans="1:10" ht="20.100000000000001" customHeight="1" x14ac:dyDescent="0.2">
      <c r="A43" s="5" t="str">
        <f>HYPERLINK("#'Constants - Fertiliser'!A1", "Constants - Fertiliser")</f>
        <v>Constants - Fertiliser</v>
      </c>
      <c r="D43" s="11" t="s">
        <v>132</v>
      </c>
      <c r="E43" s="11" t="s">
        <v>121</v>
      </c>
      <c r="F43" s="11" t="s">
        <v>117</v>
      </c>
      <c r="G43" s="11" t="s">
        <v>163</v>
      </c>
      <c r="H43" s="11" t="s">
        <v>119</v>
      </c>
      <c r="I43" s="11" t="s">
        <v>120</v>
      </c>
      <c r="J43" s="11" t="s">
        <v>118</v>
      </c>
    </row>
    <row r="44" spans="1:10" ht="20.100000000000001" customHeight="1" x14ac:dyDescent="0.2">
      <c r="A44" s="5" t="str">
        <f>HYPERLINK("#'Constants - Fuel'!A1", "Constants - Fuel")</f>
        <v>Constants - Fuel</v>
      </c>
      <c r="D44" s="1" t="s">
        <v>168</v>
      </c>
      <c r="E44" s="1" t="s">
        <v>122</v>
      </c>
      <c r="F44" s="1">
        <f>X_Cell_Enterprise_GrainYield*X_Cell_Enterprise_PercentGrainSold</f>
        <v>1000</v>
      </c>
      <c r="G44" s="1">
        <f>F44/(F44+F47)</f>
        <v>0.75187969924812026</v>
      </c>
      <c r="H44" s="1">
        <f>(E36/F44)*G44</f>
        <v>2.4391723371914757</v>
      </c>
      <c r="I44" s="1">
        <f>(F36/F44)*G44</f>
        <v>9.9009568315448586</v>
      </c>
      <c r="J44" s="9" t="s">
        <v>160</v>
      </c>
    </row>
    <row r="45" spans="1:10" ht="20.100000000000001" customHeight="1" x14ac:dyDescent="0.2">
      <c r="A45" s="5" t="str">
        <f>HYPERLINK("#'Constants - Scope 3'!A1", "Constants - Scope 3")</f>
        <v>Constants - Scope 3</v>
      </c>
      <c r="D45" s="1" t="s">
        <v>169</v>
      </c>
      <c r="E45" s="1" t="s">
        <v>122</v>
      </c>
      <c r="F45" s="1">
        <f>F44</f>
        <v>1000</v>
      </c>
      <c r="G45" s="1">
        <f>G44</f>
        <v>0.75187969924812026</v>
      </c>
      <c r="H45" s="1">
        <f>(E37/F45)*G45</f>
        <v>2.4391723371914757</v>
      </c>
      <c r="I45" s="1">
        <f>(F37/F45)*G45</f>
        <v>9.9009568315448586</v>
      </c>
      <c r="J45" s="9" t="s">
        <v>160</v>
      </c>
    </row>
    <row r="46" spans="1:10" ht="20.100000000000001" customHeight="1" x14ac:dyDescent="0.2">
      <c r="A46" s="5" t="str">
        <f>HYPERLINK("#'Constants - Solid Waste'!A1", "Constants - Solid Waste")</f>
        <v>Constants - Solid Waste</v>
      </c>
      <c r="D46" s="1" t="s">
        <v>158</v>
      </c>
      <c r="E46" s="1" t="s">
        <v>125</v>
      </c>
      <c r="F46" s="1">
        <f>X_Cell_Enterprise_GrainYield*X_Cell_Enterprise_PercentGrainUsedAsFeed</f>
        <v>1000</v>
      </c>
      <c r="G46" s="1" t="s">
        <v>124</v>
      </c>
      <c r="H46" s="1" t="s">
        <v>124</v>
      </c>
      <c r="I46" s="1" t="s">
        <v>124</v>
      </c>
      <c r="J46" s="9"/>
    </row>
    <row r="47" spans="1:10" ht="20.100000000000001" customHeight="1" x14ac:dyDescent="0.2">
      <c r="A47" s="5" t="str">
        <f>HYPERLINK("#'Constants - Common'!A1", "Constants - Common")</f>
        <v>Constants - Common</v>
      </c>
      <c r="D47" s="1" t="s">
        <v>170</v>
      </c>
      <c r="E47" s="1" t="s">
        <v>123</v>
      </c>
      <c r="F47" s="1">
        <f>X_Cell_BaledHayYield*X_Cell_PercentBaledHaySold</f>
        <v>330</v>
      </c>
      <c r="G47" s="1">
        <f>F47/(F44+F47)</f>
        <v>0.24812030075187969</v>
      </c>
      <c r="H47" s="1">
        <f>(E36/F47)*G47</f>
        <v>2.4391723371914757</v>
      </c>
      <c r="I47" s="1">
        <f>(F36/F47)*G47</f>
        <v>9.9009568315448586</v>
      </c>
      <c r="J47" s="9" t="s">
        <v>161</v>
      </c>
    </row>
    <row r="48" spans="1:10" ht="20.100000000000001" customHeight="1" x14ac:dyDescent="0.2">
      <c r="A48" s="5" t="str">
        <f>HYPERLINK("#'Constants - Common Livestock'!A1", "Constants - Common Livestock")</f>
        <v>Constants - Common Livestock</v>
      </c>
      <c r="D48" s="1" t="s">
        <v>171</v>
      </c>
      <c r="E48" s="1" t="s">
        <v>123</v>
      </c>
      <c r="F48" s="1">
        <f>F47</f>
        <v>330</v>
      </c>
      <c r="G48" s="1">
        <f>G47</f>
        <v>0.24812030075187969</v>
      </c>
      <c r="H48" s="98">
        <f>(E37/F48)*G48</f>
        <v>2.4391723371914757</v>
      </c>
      <c r="I48" s="98">
        <f>(F37/F48)*G48</f>
        <v>9.9009568315448586</v>
      </c>
      <c r="J48" s="9" t="s">
        <v>161</v>
      </c>
    </row>
    <row r="49" spans="4:10" ht="20.100000000000001" customHeight="1" x14ac:dyDescent="0.2">
      <c r="D49" s="1" t="s">
        <v>159</v>
      </c>
      <c r="E49" s="1" t="s">
        <v>125</v>
      </c>
      <c r="F49" s="1">
        <f>X_Cell_BaledHayYield*X_Cell_PercentBaledHayUsedOnFarm</f>
        <v>165</v>
      </c>
      <c r="G49" s="1" t="s">
        <v>124</v>
      </c>
      <c r="H49" s="1" t="s">
        <v>124</v>
      </c>
      <c r="I49" s="1" t="s">
        <v>124</v>
      </c>
      <c r="J49" s="9"/>
    </row>
    <row r="51" spans="4:10" ht="20.100000000000001" customHeight="1" x14ac:dyDescent="0.2">
      <c r="D51" s="1" t="s">
        <v>167</v>
      </c>
    </row>
    <row r="52" spans="4:10" ht="20.100000000000001" customHeight="1" x14ac:dyDescent="0.2">
      <c r="D52" s="11" t="s">
        <v>132</v>
      </c>
      <c r="E52" s="11" t="s">
        <v>121</v>
      </c>
      <c r="F52" s="11" t="s">
        <v>117</v>
      </c>
      <c r="G52" s="11" t="s">
        <v>162</v>
      </c>
      <c r="H52" s="11" t="s">
        <v>164</v>
      </c>
      <c r="I52" s="11" t="s">
        <v>165</v>
      </c>
      <c r="J52" s="11" t="s">
        <v>118</v>
      </c>
    </row>
    <row r="53" spans="4:10" ht="20.100000000000001" customHeight="1" x14ac:dyDescent="0.2">
      <c r="D53" s="1" t="s">
        <v>168</v>
      </c>
      <c r="E53" s="1" t="s">
        <v>122</v>
      </c>
      <c r="F53" s="1">
        <f>X_Cell_Enterprise_GrainYield*X_Cell_Enterprise_PercentGrainSold</f>
        <v>1000</v>
      </c>
      <c r="G53" s="1">
        <f>X_Cell_Enterprise_PercentIncomeFromGrain</f>
        <v>0.8</v>
      </c>
      <c r="H53" s="1">
        <f>E36*G53/F53</f>
        <v>2.5952793667717304</v>
      </c>
      <c r="I53" s="1">
        <f>F36*G53/F53</f>
        <v>10.534618068763731</v>
      </c>
      <c r="J53" s="9" t="s">
        <v>160</v>
      </c>
    </row>
    <row r="54" spans="4:10" ht="20.100000000000001" customHeight="1" x14ac:dyDescent="0.2">
      <c r="D54" s="1" t="s">
        <v>169</v>
      </c>
      <c r="E54" s="1" t="s">
        <v>122</v>
      </c>
      <c r="F54" s="1">
        <f>F53</f>
        <v>1000</v>
      </c>
      <c r="G54" s="1">
        <f>G53</f>
        <v>0.8</v>
      </c>
      <c r="H54" s="1">
        <f>E37*G54/F54</f>
        <v>2.5952793667717304</v>
      </c>
      <c r="I54" s="1">
        <f>F37*G54/F54</f>
        <v>10.534618068763731</v>
      </c>
      <c r="J54" s="9" t="s">
        <v>160</v>
      </c>
    </row>
    <row r="55" spans="4:10" ht="20.100000000000001" customHeight="1" x14ac:dyDescent="0.2">
      <c r="D55" s="1" t="s">
        <v>158</v>
      </c>
      <c r="E55" s="1" t="s">
        <v>125</v>
      </c>
      <c r="F55" s="1">
        <f>X_Cell_Enterprise_GrainYield*X_Cell_Enterprise_PercentGrainUsedAsFeed</f>
        <v>1000</v>
      </c>
      <c r="G55" s="1" t="s">
        <v>124</v>
      </c>
      <c r="H55" s="1" t="s">
        <v>124</v>
      </c>
      <c r="I55" s="1" t="s">
        <v>124</v>
      </c>
      <c r="J55" s="9"/>
    </row>
    <row r="56" spans="4:10" ht="20.100000000000001" customHeight="1" x14ac:dyDescent="0.2">
      <c r="D56" s="1" t="s">
        <v>170</v>
      </c>
      <c r="E56" s="1" t="s">
        <v>123</v>
      </c>
      <c r="F56" s="1">
        <f>X_Cell_BaledHayYield*X_Cell_PercentBaledHaySold</f>
        <v>330</v>
      </c>
      <c r="G56" s="1">
        <f>X_Cell_Enterprise_PercentIncomeFromGrain</f>
        <v>0.8</v>
      </c>
      <c r="H56" s="1">
        <f>E36*G56/F56</f>
        <v>7.864482929611305</v>
      </c>
      <c r="I56" s="1">
        <f>F36*G56/F56</f>
        <v>31.923085056859794</v>
      </c>
      <c r="J56" s="9" t="s">
        <v>161</v>
      </c>
    </row>
    <row r="57" spans="4:10" ht="20.100000000000001" customHeight="1" x14ac:dyDescent="0.2">
      <c r="D57" s="1" t="s">
        <v>171</v>
      </c>
      <c r="E57" s="1" t="s">
        <v>123</v>
      </c>
      <c r="F57" s="1">
        <f>F56</f>
        <v>330</v>
      </c>
      <c r="G57" s="1">
        <f>G56</f>
        <v>0.8</v>
      </c>
      <c r="H57" s="1">
        <f>E37*G57/F57</f>
        <v>7.864482929611305</v>
      </c>
      <c r="I57" s="1">
        <f>F37*G57/F57</f>
        <v>31.923085056859794</v>
      </c>
      <c r="J57" s="9" t="s">
        <v>161</v>
      </c>
    </row>
    <row r="58" spans="4:10" ht="20.100000000000001" customHeight="1" x14ac:dyDescent="0.2">
      <c r="D58" s="1" t="s">
        <v>159</v>
      </c>
      <c r="E58" s="1" t="s">
        <v>125</v>
      </c>
      <c r="F58" s="1">
        <f>X_Cell_BaledHayYield*X_Cell_PercentBaledHayUsedOnFarm</f>
        <v>165</v>
      </c>
      <c r="G58" s="1" t="s">
        <v>124</v>
      </c>
      <c r="H58" s="1" t="s">
        <v>124</v>
      </c>
      <c r="I58" s="1" t="s">
        <v>124</v>
      </c>
      <c r="J58" s="9"/>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171F5-957D-4D10-AA21-0CE17EC217CD}">
  <sheetPr>
    <tabColor rgb="FFCC6600"/>
  </sheetPr>
  <dimension ref="A1:J83"/>
  <sheetViews>
    <sheetView showGridLines="0" zoomScaleNormal="100" workbookViewId="0">
      <pane xSplit="1" topLeftCell="B1" activePane="topRight" state="frozenSplit"/>
      <selection pane="topRight" activeCell="A47" sqref="A47"/>
      <extLst>
        <ext xmlns:xlsdti="http://schemas.microsoft.com/office/spreadsheetml/2023/showDataTypeIcons" uri="{77bfe23e-c014-4d31-8a63-9c772dbf06b6}">
          <xlsdti:showDataTypeIcons visible="0"/>
        </ext>
      </extLst>
    </sheetView>
  </sheetViews>
  <sheetFormatPr defaultRowHeight="20.100000000000001" customHeight="1" x14ac:dyDescent="0.2"/>
  <cols>
    <col min="1" max="1" width="36.7109375" customWidth="1"/>
    <col min="2" max="2" width="4.7109375" customWidth="1"/>
    <col min="3" max="3" width="4.7109375" style="1" customWidth="1"/>
    <col min="4" max="4" width="69.28515625" style="1" customWidth="1"/>
    <col min="5" max="9" width="30.7109375" style="1" customWidth="1"/>
    <col min="10" max="10" width="4.7109375" style="1" customWidth="1"/>
    <col min="11" max="11" width="30.7109375" customWidth="1"/>
  </cols>
  <sheetData>
    <row r="1" spans="1:10" ht="30" customHeight="1" x14ac:dyDescent="0.35">
      <c r="A1" s="10" t="e" vm="1">
        <v>#VALUE!</v>
      </c>
      <c r="C1" s="28" t="s">
        <v>147</v>
      </c>
      <c r="D1" s="22"/>
      <c r="E1" s="22"/>
      <c r="F1" s="22"/>
      <c r="G1" s="22"/>
      <c r="H1" s="22"/>
      <c r="I1" s="22"/>
      <c r="J1" s="22"/>
    </row>
    <row r="2" spans="1:10" ht="20.100000000000001" customHeight="1" x14ac:dyDescent="0.2">
      <c r="C2" s="3"/>
      <c r="D2" s="3"/>
      <c r="E2" s="3"/>
      <c r="F2" s="3"/>
      <c r="G2" s="3"/>
      <c r="H2" s="3"/>
      <c r="I2" s="3"/>
      <c r="J2" s="3"/>
    </row>
    <row r="3" spans="1:10" ht="20.100000000000001" customHeight="1" x14ac:dyDescent="0.2">
      <c r="A3" s="5" t="str">
        <f>HYPERLINK("#'Home'!A1", "Home")</f>
        <v>Home</v>
      </c>
      <c r="C3" s="29"/>
      <c r="D3" s="29"/>
      <c r="E3" s="29"/>
      <c r="F3" s="29"/>
      <c r="G3" s="29"/>
      <c r="H3" s="29"/>
      <c r="I3" s="29"/>
      <c r="J3" s="29"/>
    </row>
    <row r="4" spans="1:10" ht="20.100000000000001" customHeight="1" x14ac:dyDescent="0.2">
      <c r="A4" s="5" t="str">
        <f>HYPERLINK("#'Results - Activity period'!A1", "Results - Activity period")</f>
        <v>Results - Activity period</v>
      </c>
    </row>
    <row r="5" spans="1:10" ht="20.100000000000001" customHeight="1" x14ac:dyDescent="0.2">
      <c r="A5" s="5" t="str">
        <f>HYPERLINK("#'Results - Product EI'!A1", "Results - Product EI")</f>
        <v>Results - Product EI</v>
      </c>
      <c r="D5" s="2" t="s">
        <v>87</v>
      </c>
      <c r="E5" s="25"/>
      <c r="F5" s="25"/>
      <c r="G5" s="25"/>
    </row>
    <row r="6" spans="1:10" ht="20.100000000000001" customHeight="1" x14ac:dyDescent="0.2">
      <c r="D6" s="32"/>
      <c r="E6" s="25"/>
      <c r="F6" s="25"/>
      <c r="G6" s="25"/>
    </row>
    <row r="7" spans="1:10" ht="20.100000000000001" customHeight="1" x14ac:dyDescent="0.2">
      <c r="D7" s="1" t="s">
        <v>88</v>
      </c>
      <c r="E7" s="34" t="s">
        <v>89</v>
      </c>
      <c r="F7" s="16"/>
      <c r="G7" s="25"/>
    </row>
    <row r="8" spans="1:10" ht="20.100000000000001" customHeight="1" x14ac:dyDescent="0.2">
      <c r="A8" s="7" t="s">
        <v>0</v>
      </c>
      <c r="D8" s="12" t="s">
        <v>90</v>
      </c>
      <c r="E8" s="34" t="s">
        <v>91</v>
      </c>
      <c r="F8" s="25"/>
      <c r="G8" s="25"/>
    </row>
    <row r="9" spans="1:10" ht="20.100000000000001" customHeight="1" x14ac:dyDescent="0.2">
      <c r="A9" s="102" t="str">
        <f>HYPERLINK("#'Input - Enterprise'!A1", "Enterprise")</f>
        <v>Enterprise</v>
      </c>
      <c r="D9" s="25"/>
      <c r="E9" s="25"/>
      <c r="F9" s="25"/>
      <c r="G9" s="25"/>
    </row>
    <row r="10" spans="1:10" ht="20.100000000000001" customHeight="1" x14ac:dyDescent="0.2">
      <c r="A10" s="5" t="str">
        <f>HYPERLINK("#'Input - Site'!A1", "Site")</f>
        <v>Site</v>
      </c>
      <c r="D10" s="36" t="s">
        <v>92</v>
      </c>
      <c r="E10" s="37"/>
      <c r="F10" s="38"/>
      <c r="G10" s="39"/>
    </row>
    <row r="11" spans="1:10" ht="20.100000000000001" customHeight="1" x14ac:dyDescent="0.2">
      <c r="A11" s="5" t="str">
        <f>HYPERLINK("#'Input - Crop'!A1", "Crop")</f>
        <v>Crop</v>
      </c>
      <c r="D11" s="25"/>
      <c r="E11" s="25"/>
      <c r="F11" s="25"/>
      <c r="G11" s="25"/>
    </row>
    <row r="12" spans="1:10" ht="20.100000000000001" customHeight="1" x14ac:dyDescent="0.2">
      <c r="A12" s="5" t="str">
        <f>HYPERLINK("#'Input - Fert Prod System'!A1", "Fert Prod System")</f>
        <v>Fert Prod System</v>
      </c>
      <c r="D12" s="12" t="s">
        <v>16</v>
      </c>
      <c r="E12" s="14">
        <v>45658</v>
      </c>
      <c r="F12" s="16" t="s">
        <v>93</v>
      </c>
      <c r="G12" s="25"/>
    </row>
    <row r="13" spans="1:10" ht="20.100000000000001" customHeight="1" x14ac:dyDescent="0.2">
      <c r="A13" s="5" t="str">
        <f>HYPERLINK("#'Input - Fertiliser'!A1", "Fertiliser")</f>
        <v>Fertiliser</v>
      </c>
      <c r="D13" s="12" t="s">
        <v>17</v>
      </c>
      <c r="E13" s="41">
        <f>DATE(YEAR(E12)+1,MONTH(E12),DAY(E12))-1</f>
        <v>46022</v>
      </c>
      <c r="F13" s="16" t="s">
        <v>94</v>
      </c>
      <c r="G13" s="25"/>
    </row>
    <row r="14" spans="1:10" ht="20.100000000000001" customHeight="1" x14ac:dyDescent="0.2">
      <c r="A14" s="5" t="str">
        <f>HYPERLINK("#'Input - Fuel'!A1", "Fuel")</f>
        <v>Fuel</v>
      </c>
      <c r="F14" s="25"/>
      <c r="G14" s="25"/>
    </row>
    <row r="15" spans="1:10" ht="20.100000000000001" customHeight="1" x14ac:dyDescent="0.2">
      <c r="A15" s="5" t="str">
        <f>HYPERLINK("#'Input - Electricity'!A1", "Electricity")</f>
        <v>Electricity</v>
      </c>
    </row>
    <row r="16" spans="1:10" ht="20.100000000000001" customHeight="1" x14ac:dyDescent="0.2">
      <c r="A16" s="5" t="str">
        <f>HYPERLINK("#'Input - Common farm inputs'!A1", "Common farm inputs")</f>
        <v>Common farm inputs</v>
      </c>
      <c r="D16" s="2" t="s">
        <v>18</v>
      </c>
    </row>
    <row r="17" spans="1:6" ht="20.100000000000001" customHeight="1" x14ac:dyDescent="0.2">
      <c r="A17" s="5" t="str">
        <f>HYPERLINK("#'Input - Crop pasture farm input'!A1", "Crop pasture farm input")</f>
        <v>Crop pasture farm input</v>
      </c>
    </row>
    <row r="18" spans="1:6" ht="20.100000000000001" customHeight="1" x14ac:dyDescent="0.2">
      <c r="A18" s="5" t="str">
        <f>HYPERLINK("#'Input - Freight'!A1", "Freight")</f>
        <v>Freight</v>
      </c>
      <c r="D18" s="1" t="s">
        <v>13</v>
      </c>
      <c r="E18" s="14">
        <v>45962</v>
      </c>
      <c r="F18" s="16" t="s">
        <v>93</v>
      </c>
    </row>
    <row r="19" spans="1:6" ht="20.100000000000001" customHeight="1" x14ac:dyDescent="0.2">
      <c r="A19" s="5" t="str">
        <f>HYPERLINK("#'Input - Solid waste'!A1", "Solid waste")</f>
        <v>Solid waste</v>
      </c>
      <c r="D19" s="1" t="s">
        <v>14</v>
      </c>
      <c r="E19" s="14">
        <v>46112</v>
      </c>
      <c r="F19" s="16" t="s">
        <v>93</v>
      </c>
    </row>
    <row r="20" spans="1:6" ht="20.100000000000001" customHeight="1" x14ac:dyDescent="0.2">
      <c r="A20" s="5" t="str">
        <f>HYPERLINK("#'Input - Data quality'!A1", "Data quality")</f>
        <v>Data quality</v>
      </c>
      <c r="D20" s="1" t="s">
        <v>15</v>
      </c>
      <c r="E20" s="15">
        <f>DATEDIF(E18,E19+1,"m")</f>
        <v>5</v>
      </c>
      <c r="F20" s="16" t="s">
        <v>116</v>
      </c>
    </row>
    <row r="22" spans="1:6" ht="20.100000000000001" customHeight="1" x14ac:dyDescent="0.2">
      <c r="D22" s="1" t="s">
        <v>149</v>
      </c>
      <c r="E22" s="78" cm="1">
        <f t="array" ref="E22">IF(X_Cell_Crop_CropPurpose = "Cash grain crop", X_Cell_Crop_TotalProductionOfCrop, 0)</f>
        <v>10000</v>
      </c>
      <c r="F22" s="16" t="s">
        <v>19</v>
      </c>
    </row>
    <row r="23" spans="1:6" ht="20.100000000000001" customHeight="1" x14ac:dyDescent="0.2">
      <c r="A23" s="6" t="s">
        <v>2</v>
      </c>
      <c r="D23" s="1" t="s">
        <v>153</v>
      </c>
      <c r="E23" s="18">
        <v>0.1</v>
      </c>
      <c r="F23" s="16" t="s">
        <v>148</v>
      </c>
    </row>
    <row r="24" spans="1:6" ht="20.100000000000001" customHeight="1" x14ac:dyDescent="0.2">
      <c r="A24" s="5" t="str">
        <f>HYPERLINK("#'5.1.1.1-2 Inorganic fert N2O'!A1", "5.1.1.1-2 Inorganic fert N2O")</f>
        <v>5.1.1.1-2 Inorganic fert N2O</v>
      </c>
      <c r="D24" s="1" t="s">
        <v>154</v>
      </c>
      <c r="E24" s="18">
        <v>0.1</v>
      </c>
      <c r="F24" s="16" t="s">
        <v>148</v>
      </c>
    </row>
    <row r="25" spans="1:6" ht="20.100000000000001" customHeight="1" x14ac:dyDescent="0.2">
      <c r="A25" s="5" t="str">
        <f>HYPERLINK("#'5.1.1.3-4 Inorganic fert CO2'!A1", "5.1.1.3-4 Inorganic fert CO2")</f>
        <v>5.1.1.3-4 Inorganic fert CO2</v>
      </c>
      <c r="D25" s="1" t="s">
        <v>155</v>
      </c>
      <c r="E25" s="19">
        <f>100%-E23-E24</f>
        <v>0.8</v>
      </c>
      <c r="F25" s="16" t="s">
        <v>148</v>
      </c>
    </row>
    <row r="26" spans="1:6" ht="20.100000000000001" customHeight="1" x14ac:dyDescent="0.2">
      <c r="A26" s="5" t="str">
        <f>HYPERLINK("#'5.2.1.1-2 Organic Fert N2O'!A1", "5.2.1.1-2 Organic fert N2O")</f>
        <v>5.2.1.1-2 Organic fert N2O</v>
      </c>
    </row>
    <row r="27" spans="1:6" ht="20.100000000000001" customHeight="1" x14ac:dyDescent="0.2">
      <c r="A27" s="5" t="str">
        <f>HYPERLINK("#'5.3.1.1-2 Lime CO2'!A1", "5.3.1.1-2 Lime CO2")</f>
        <v>5.3.1.1-2 Lime CO2</v>
      </c>
      <c r="D27" s="1" t="s">
        <v>151</v>
      </c>
      <c r="E27" s="78" cm="1">
        <f t="array" ref="E27">X_Cell_Crop_TotalResidueBaled</f>
        <v>1650</v>
      </c>
      <c r="F27" s="16" t="s">
        <v>19</v>
      </c>
    </row>
    <row r="28" spans="1:6" ht="20.100000000000001" customHeight="1" x14ac:dyDescent="0.2">
      <c r="A28" s="5" t="str">
        <f>HYPERLINK("#'5.4.1.1-4 Atmos deposition'!A1", "5.4.1.1-4 Atmos. deposition")</f>
        <v>5.4.1.1-4 Atmos. deposition</v>
      </c>
      <c r="D28" s="1" t="s">
        <v>156</v>
      </c>
      <c r="E28" s="18">
        <v>0.2</v>
      </c>
      <c r="F28" s="16" t="s">
        <v>148</v>
      </c>
    </row>
    <row r="29" spans="1:6" ht="20.100000000000001" customHeight="1" x14ac:dyDescent="0.2">
      <c r="A29" s="5" t="str">
        <f>HYPERLINK("#'5.5.1.1-2 Leaching and runoff'!A1", "5.5.1.1-2 Leaching &amp; runoff")</f>
        <v>5.5.1.1-2 Leaching &amp; runoff</v>
      </c>
      <c r="D29" s="1" t="s">
        <v>157</v>
      </c>
      <c r="E29" s="18">
        <v>0.1</v>
      </c>
      <c r="F29" s="16" t="s">
        <v>148</v>
      </c>
    </row>
    <row r="30" spans="1:6" ht="20.100000000000001" customHeight="1" x14ac:dyDescent="0.2">
      <c r="A30" s="5" t="str">
        <f>HYPERLINK("#'6.1.1.1-2 Crop residue N2O'!A1", "6.1.1.1-2 Crop residue N2O")</f>
        <v>6.1.1.1-2 Crop residue N2O</v>
      </c>
      <c r="D30" s="1" t="s">
        <v>155</v>
      </c>
      <c r="E30" s="19">
        <f>100%-E28-E29</f>
        <v>0.70000000000000007</v>
      </c>
      <c r="F30" s="16" t="s">
        <v>148</v>
      </c>
    </row>
    <row r="31" spans="1:6" ht="20.100000000000001" customHeight="1" x14ac:dyDescent="0.2">
      <c r="A31" s="5" t="str">
        <f>HYPERLINK("#'6.3.1.1-2 Leach runoff crop'!A1", "6.3.1.1-2 Leach &amp; runoff (crop)")</f>
        <v>6.3.1.1-2 Leach &amp; runoff (crop)</v>
      </c>
    </row>
    <row r="32" spans="1:6" ht="20.100000000000001" customHeight="1" x14ac:dyDescent="0.2">
      <c r="A32" s="5" t="str">
        <f>HYPERLINK("#'6.4.1.1-2 Residue burning'!A1", "6.4.1.1-2 Residue burning")</f>
        <v>6.4.1.1-2 Residue burning</v>
      </c>
      <c r="D32" s="1" t="s">
        <v>150</v>
      </c>
      <c r="E32" s="18">
        <v>0.8</v>
      </c>
      <c r="F32" s="16" t="s">
        <v>148</v>
      </c>
    </row>
    <row r="33" spans="1:7" ht="20.100000000000001" customHeight="1" x14ac:dyDescent="0.2">
      <c r="A33" s="5" t="str">
        <f>HYPERLINK("#'8.1.1.1-2 Transport fuel'!A1", "8.1.1.1-2 Transport fuel")</f>
        <v>8.1.1.1-2 Transport fuel</v>
      </c>
      <c r="D33" s="1" t="s">
        <v>152</v>
      </c>
      <c r="E33" s="18">
        <v>0.2</v>
      </c>
      <c r="F33" s="16" t="s">
        <v>148</v>
      </c>
    </row>
    <row r="34" spans="1:7" ht="20.100000000000001" customHeight="1" x14ac:dyDescent="0.2">
      <c r="A34" s="5" t="str">
        <f>HYPERLINK("#'8.2.1.1-2 Stationary fuel'!A1", "8.2.1.1-2 Stationary fuel")</f>
        <v>8.2.1.1-2 Stationary fuel</v>
      </c>
    </row>
    <row r="35" spans="1:7" ht="20.100000000000001" customHeight="1" x14ac:dyDescent="0.2">
      <c r="A35" s="5" t="str">
        <f>HYPERLINK("#'10.1.1-2 Solid waste treatment'!A1", "10.1.1.1-2 Solid waste")</f>
        <v>10.1.1.1-2 Solid waste</v>
      </c>
    </row>
    <row r="36" spans="1:7" ht="20.100000000000001" customHeight="1" x14ac:dyDescent="0.2">
      <c r="A36" s="5" t="str">
        <f>HYPERLINK("#'14.1.1-2 Purchased electricity'!A1", "14.1.1-2 Purchased electricity")</f>
        <v>14.1.1-2 Purchased electricity</v>
      </c>
      <c r="D36" s="2" t="s">
        <v>264</v>
      </c>
    </row>
    <row r="37" spans="1:7" ht="20.100000000000001" customHeight="1" x14ac:dyDescent="0.2">
      <c r="A37" s="5" t="str">
        <f>HYPERLINK("#'15 Scope 3'!A1", "15 Scope 3")</f>
        <v>15 Scope 3</v>
      </c>
    </row>
    <row r="39" spans="1:7" ht="20.100000000000001" customHeight="1" x14ac:dyDescent="0.2">
      <c r="D39" s="79" t="str">
        <f>"Carbon captured from " &amp; TEXT(X_Cell_Site_StartDate, "d mmmm yyyy") &amp; " to " &amp; TEXT(X_Cell_Site_EndDate, "d, mmmm, yyyy") &amp; " from environmental plantings"</f>
        <v>Carbon captured from 1 January 2025 to 31, December, 2025 from environmental plantings</v>
      </c>
    </row>
    <row r="40" spans="1:7" ht="20.100000000000001" customHeight="1" x14ac:dyDescent="0.2">
      <c r="A40" s="82" t="s">
        <v>1</v>
      </c>
    </row>
    <row r="41" spans="1:7" ht="20.100000000000001" customHeight="1" x14ac:dyDescent="0.2">
      <c r="A41" s="5" t="str">
        <f>HYPERLINK("#'Constants - Ag Residue'!A1", "Constants - Ag residue")</f>
        <v>Constants - Ag residue</v>
      </c>
      <c r="D41" s="20" t="s">
        <v>265</v>
      </c>
      <c r="E41" s="20" t="s">
        <v>266</v>
      </c>
      <c r="F41" s="20" t="s">
        <v>267</v>
      </c>
      <c r="G41" s="80" t="s">
        <v>268</v>
      </c>
    </row>
    <row r="42" spans="1:7" ht="20.100000000000001" customHeight="1" x14ac:dyDescent="0.2">
      <c r="A42" s="5" t="str">
        <f>HYPERLINK("#'Constants - Electricity'!A1", "Constants - Electricity")</f>
        <v>Constants - Electricity</v>
      </c>
      <c r="D42" s="34"/>
      <c r="E42" s="76"/>
      <c r="F42" s="18"/>
      <c r="G42" s="1">
        <f>Table_Input_Enterprise_PlantingRemovals[[#This Row],[Total removed CO2]]*Table_Input_Enterprise_PlantingRemovals[[#This Row],[Percent allocated to this enterprise]]</f>
        <v>0</v>
      </c>
    </row>
    <row r="43" spans="1:7" ht="20.100000000000001" customHeight="1" x14ac:dyDescent="0.2">
      <c r="A43" s="5" t="str">
        <f>HYPERLINK("#'Constants - Fertiliser'!A1", "Constants - Fertiliser")</f>
        <v>Constants - Fertiliser</v>
      </c>
    </row>
    <row r="44" spans="1:7" ht="20.100000000000001" customHeight="1" x14ac:dyDescent="0.2">
      <c r="A44" s="5" t="str">
        <f>HYPERLINK("#'Constants - Fuel'!A1", "Constants - Fuel")</f>
        <v>Constants - Fuel</v>
      </c>
    </row>
    <row r="45" spans="1:7" ht="20.100000000000001" customHeight="1" x14ac:dyDescent="0.2">
      <c r="A45" s="5" t="str">
        <f>HYPERLINK("#'Constants - Scope 3'!A1", "Constants - Scope 3")</f>
        <v>Constants - Scope 3</v>
      </c>
    </row>
    <row r="46" spans="1:7" ht="20.100000000000001" customHeight="1" x14ac:dyDescent="0.2">
      <c r="A46" s="5" t="str">
        <f>HYPERLINK("#'Constants - Solid Waste'!A1", "Constants - Solid Waste")</f>
        <v>Constants - Solid Waste</v>
      </c>
      <c r="D46" s="2" t="s">
        <v>269</v>
      </c>
    </row>
    <row r="47" spans="1:7" ht="20.100000000000001" customHeight="1" x14ac:dyDescent="0.2">
      <c r="A47" s="5" t="str">
        <f>HYPERLINK("#'Constants - Common'!A1", "Constants - Common")</f>
        <v>Constants - Common</v>
      </c>
    </row>
    <row r="48" spans="1:7" ht="20.100000000000001" customHeight="1" x14ac:dyDescent="0.2">
      <c r="A48" s="5" t="str">
        <f>HYPERLINK("#'Constants - Common Livestock'!A1", "Constants - Common Livestock")</f>
        <v>Constants - Common Livestock</v>
      </c>
      <c r="D48" s="79" t="str">
        <f>"Gross emissions from other activity periods in the production timeframe " &amp; TEXT(X_Cell_Enterprise_ProductionTimeframeStart, "d mmmm yyyy") &amp; " to " &amp; TEXT(X_Cell_Enterprise_ProductionTimeframeEnd, "d mmmm yyyy")</f>
        <v>Gross emissions from other activity periods in the production timeframe 1 November 2025 to 31 March 2026</v>
      </c>
    </row>
    <row r="50" spans="1:7" ht="20.100000000000001" customHeight="1" x14ac:dyDescent="0.2">
      <c r="D50" s="89" t="str" cm="1">
        <f t="array" ref="D50">"There are " &amp; Common_InputFunctions.getOverlappingReportingCycles(X_Cell_Enterprise_ProductionTimeframeStart,X_Cell_Enterprise_ProductionTimeframeEnd,X_Cell_Site_StartDate) &amp; " emissions calculation periods that need to be completed before total product emissions can be determined."</f>
        <v>There are 2 emissions calculation periods that need to be completed before total product emissions can be determined.</v>
      </c>
    </row>
    <row r="51" spans="1:7" ht="20.100000000000001" customHeight="1" x14ac:dyDescent="0.2">
      <c r="D51" s="1" t="s">
        <v>270</v>
      </c>
    </row>
    <row r="53" spans="1:7" ht="20.100000000000001" customHeight="1" x14ac:dyDescent="0.2">
      <c r="D53" s="80" t="s">
        <v>115</v>
      </c>
      <c r="E53" s="80" t="s">
        <v>10</v>
      </c>
      <c r="F53" s="80" t="s">
        <v>11</v>
      </c>
    </row>
    <row r="54" spans="1:7" ht="20.100000000000001" customHeight="1" x14ac:dyDescent="0.2">
      <c r="D54" s="1" t="str" cm="1">
        <f t="array" ref="D54:D55">Common_InputFunctions.getOverlappingReportingPeriods(X_Cell_Enterprise_ProductionTimeframeStart,X_Cell_Enterprise_ProductionTimeframeEnd,X_Cell_Site_StartDate)</f>
        <v>01 Jan 2025 to 31 Dec 2025 (This reporting cycle)</v>
      </c>
      <c r="E54" s="76">
        <f>IF(ISBLANK($D54), 0, IF(ISNUMBER(SEARCH("reporting", $D54)), Result_Enterprise_Gross_Method1, "Enter value"))</f>
        <v>3244.0992084646632</v>
      </c>
      <c r="F54" s="76">
        <f>IF(ISBLANK($D54), 0, IF(ISNUMBER(SEARCH("reporting", $D54)), Result_Enterprise_Gross_Method2, "Enter value"))</f>
        <v>13168.272585954663</v>
      </c>
      <c r="G54" s="9" t="s">
        <v>7</v>
      </c>
    </row>
    <row r="55" spans="1:7" ht="20.100000000000001" customHeight="1" x14ac:dyDescent="0.2">
      <c r="D55" s="1" t="str">
        <v>01 Jan 2026 to 31 Dec 2026</v>
      </c>
      <c r="E55" s="76" t="str">
        <f>IF(ISBLANK($D55), 0, IF(ISNUMBER(SEARCH("reporting", $D55)), Result_Enterprise_Gross_Method1, "Enter value"))</f>
        <v>Enter value</v>
      </c>
      <c r="F55" s="76" t="str">
        <f>IF(ISBLANK($D55), 0, IF(ISNUMBER(SEARCH("reporting", $D55)), Result_Enterprise_Gross_Method2, "Enter value"))</f>
        <v>Enter value</v>
      </c>
      <c r="G55" s="9" t="s">
        <v>7</v>
      </c>
    </row>
    <row r="56" spans="1:7" ht="20.100000000000001" customHeight="1" x14ac:dyDescent="0.2">
      <c r="E56" s="76">
        <f>IF(ISBLANK($D56), 0, IF(ISNUMBER(SEARCH("reporting", $D56)), Result_Enterprise_Gross_Method1, "Enter value"))</f>
        <v>0</v>
      </c>
      <c r="F56" s="76">
        <f>IF(ISBLANK($D56), 0, IF(ISNUMBER(SEARCH("reporting", $D56)), Result_Enterprise_Gross_Method2, "Enter value"))</f>
        <v>0</v>
      </c>
      <c r="G56" s="9" t="s">
        <v>7</v>
      </c>
    </row>
    <row r="57" spans="1:7" ht="20.100000000000001" customHeight="1" x14ac:dyDescent="0.2">
      <c r="E57" s="76">
        <f>IF(ISBLANK($D57), 0, IF(ISNUMBER(SEARCH("reporting", $D57)), Result_Enterprise_Gross_Method1, "Enter value"))</f>
        <v>0</v>
      </c>
      <c r="F57" s="76">
        <f>IF(ISBLANK($D57), 0, IF(ISNUMBER(SEARCH("reporting", $D57)), Result_Enterprise_Gross_Method2, "Enter value"))</f>
        <v>0</v>
      </c>
      <c r="G57" s="9" t="s">
        <v>7</v>
      </c>
    </row>
    <row r="58" spans="1:7" ht="20.100000000000001" customHeight="1" x14ac:dyDescent="0.2">
      <c r="E58" s="76">
        <f>IF(ISBLANK($D58), 0, IF(ISNUMBER(SEARCH("reporting", $D58)), Result_Enterprise_Gross_Method1, "Enter value"))</f>
        <v>0</v>
      </c>
      <c r="F58" s="76">
        <f>IF(ISBLANK($D58), 0, IF(ISNUMBER(SEARCH("reporting", $D58)), Result_Enterprise_Gross_Method2, "Enter value"))</f>
        <v>0</v>
      </c>
      <c r="G58" s="9" t="s">
        <v>7</v>
      </c>
    </row>
    <row r="59" spans="1:7" ht="20.100000000000001" customHeight="1" x14ac:dyDescent="0.2">
      <c r="A59" s="81" t="str">
        <f>HYPERLINK("#A1", "▲ Back to top")</f>
        <v>▲ Back to top</v>
      </c>
      <c r="D59" s="90" t="s">
        <v>128</v>
      </c>
      <c r="E59" s="85">
        <f>SUM(E54:E58)</f>
        <v>3244.0992084646632</v>
      </c>
      <c r="F59" s="85">
        <f>SUM(F54:F58)</f>
        <v>13168.272585954663</v>
      </c>
      <c r="G59" s="91" t="s">
        <v>7</v>
      </c>
    </row>
    <row r="64" spans="1:7" ht="20.100000000000001" customHeight="1" x14ac:dyDescent="0.2">
      <c r="D64" s="79" t="str">
        <f>"Carbon removals from environmental plantings for whole production cycle running between " &amp; TEXT(X_Cell_Enterprise_ProductionTimeframeStart, "d mmmm yyyy") &amp; " and " &amp; TEXT(X_Cell_Enterprise_ProductionTimeframeEnd, "d mmmm yyyy")</f>
        <v>Carbon removals from environmental plantings for whole production cycle running between 1 November 2025 and 31 March 2026</v>
      </c>
    </row>
    <row r="66" spans="4:7" ht="20.100000000000001" customHeight="1" x14ac:dyDescent="0.2">
      <c r="D66" s="80" t="s">
        <v>115</v>
      </c>
      <c r="E66" s="80" t="s">
        <v>126</v>
      </c>
      <c r="F66" s="80"/>
    </row>
    <row r="67" spans="4:7" ht="20.100000000000001" customHeight="1" x14ac:dyDescent="0.2">
      <c r="D67" s="1" t="str" cm="1">
        <f t="array" ref="D67:D68">Common_InputFunctions.getOverlappingReportingPeriods(X_Cell_Enterprise_ProductionTimeframeStart,X_Cell_Enterprise_ProductionTimeframeEnd,X_Cell_Site_StartDate)</f>
        <v>01 Jan 2025 to 31 Dec 2025 (This reporting cycle)</v>
      </c>
      <c r="E67" s="76">
        <f>IF(ISBLANK($D67), 0, IF(ISNUMBER(SEARCH("reporting", $D67)), SUM(Table_Input_Enterprise_PlantingRemovals[Removal allocated to this enterprise]), "Enter value"))</f>
        <v>0</v>
      </c>
      <c r="F67" s="9" t="s">
        <v>127</v>
      </c>
    </row>
    <row r="68" spans="4:7" ht="20.100000000000001" customHeight="1" x14ac:dyDescent="0.2">
      <c r="D68" s="1" t="str">
        <v>01 Jan 2026 to 31 Dec 2026</v>
      </c>
      <c r="E68" s="76" t="str">
        <f>IF(ISBLANK($D68), 0, IF(ISNUMBER(SEARCH("reporting", $D68)), SUM(Table_Input_Enterprise_PlantingRemovals[Removal allocated to this enterprise]), "Enter value"))</f>
        <v>Enter value</v>
      </c>
      <c r="F68" s="9" t="s">
        <v>127</v>
      </c>
    </row>
    <row r="69" spans="4:7" ht="20.100000000000001" customHeight="1" x14ac:dyDescent="0.2">
      <c r="E69" s="76">
        <f>IF(ISBLANK($D69), 0, IF(ISNUMBER(SEARCH("reporting", $D69)), SUM(Table_Input_Enterprise_PlantingRemovals[Removal allocated to this enterprise]), "Enter value"))</f>
        <v>0</v>
      </c>
      <c r="F69" s="9" t="s">
        <v>127</v>
      </c>
    </row>
    <row r="70" spans="4:7" ht="20.100000000000001" customHeight="1" x14ac:dyDescent="0.2">
      <c r="E70" s="76">
        <f>IF(ISBLANK($D70), 0, IF(ISNUMBER(SEARCH("reporting", $D70)), SUM(Table_Input_Enterprise_PlantingRemovals[Removal allocated to this enterprise]), "Enter value"))</f>
        <v>0</v>
      </c>
      <c r="F70" s="9" t="s">
        <v>127</v>
      </c>
    </row>
    <row r="71" spans="4:7" ht="20.100000000000001" customHeight="1" x14ac:dyDescent="0.2">
      <c r="E71" s="76">
        <f>IF(ISBLANK($D71), 0, IF(ISNUMBER(SEARCH("reporting", $D71)), SUM(Table_Input_Enterprise_PlantingRemovals[Removal allocated to this enterprise]), "Enter value"))</f>
        <v>0</v>
      </c>
      <c r="F71" s="9" t="s">
        <v>127</v>
      </c>
    </row>
    <row r="72" spans="4:7" ht="20.100000000000001" customHeight="1" x14ac:dyDescent="0.2">
      <c r="D72" s="90" t="s">
        <v>129</v>
      </c>
      <c r="E72" s="85">
        <f>SUM(E67:E71)</f>
        <v>0</v>
      </c>
      <c r="F72" s="91" t="s">
        <v>127</v>
      </c>
    </row>
    <row r="75" spans="4:7" ht="20.100000000000001" customHeight="1" x14ac:dyDescent="0.2">
      <c r="D75" s="79" t="str">
        <f>"Net emissions from other activity periods in the production timeframe " &amp; TEXT(X_Cell_Enterprise_ProductionTimeframeStart, "d mmmm yyyy") &amp; " to " &amp; TEXT(X_Cell_Enterprise_ProductionTimeframeEnd, "d mmmm yyyy")</f>
        <v>Net emissions from other activity periods in the production timeframe 1 November 2025 to 31 March 2026</v>
      </c>
    </row>
    <row r="77" spans="4:7" ht="20.100000000000001" customHeight="1" x14ac:dyDescent="0.2">
      <c r="D77" s="80" t="s">
        <v>115</v>
      </c>
      <c r="E77" s="80" t="s">
        <v>10</v>
      </c>
      <c r="F77" s="80" t="s">
        <v>11</v>
      </c>
    </row>
    <row r="78" spans="4:7" ht="20.100000000000001" customHeight="1" x14ac:dyDescent="0.2">
      <c r="D78" s="1" t="str" cm="1">
        <f t="array" ref="D78:D79">Common_InputFunctions.getOverlappingReportingPeriods(X_Cell_Enterprise_ProductionTimeframeStart,X_Cell_Enterprise_ProductionTimeframeEnd,X_Cell_Site_StartDate)</f>
        <v>01 Jan 2025 to 31 Dec 2025 (This reporting cycle)</v>
      </c>
      <c r="E78" s="76">
        <f>IF(ISBLANK($D78), 0, IF(ISNUMBER(SEARCH("reporting", $D78)), E54-$E$67, "Enter value"))</f>
        <v>3244.0992084646632</v>
      </c>
      <c r="F78" s="76">
        <f>IF(ISBLANK($D78), 0, IF(ISNUMBER(SEARCH("reporting", $D78)), F54-$E$67, "Enter value"))</f>
        <v>13168.272585954663</v>
      </c>
      <c r="G78" s="9" t="s">
        <v>7</v>
      </c>
    </row>
    <row r="79" spans="4:7" ht="20.100000000000001" customHeight="1" x14ac:dyDescent="0.2">
      <c r="D79" s="1" t="str">
        <v>01 Jan 2026 to 31 Dec 2026</v>
      </c>
      <c r="E79" s="76" t="str">
        <f>IF(ISBLANK($D79), 0, IF(ISNUMBER(SEARCH("reporting", $D79)), E55-$E$68, "Enter value"))</f>
        <v>Enter value</v>
      </c>
      <c r="F79" s="76" t="str">
        <f>IF(ISBLANK($D79), 0, IF(ISNUMBER(SEARCH("reporting", $D79)), F55-$E$68, "Enter value"))</f>
        <v>Enter value</v>
      </c>
      <c r="G79" s="9" t="s">
        <v>7</v>
      </c>
    </row>
    <row r="80" spans="4:7" ht="20.100000000000001" customHeight="1" x14ac:dyDescent="0.2">
      <c r="E80" s="76">
        <f>IF(ISBLANK($D80), 0, IF(ISNUMBER(SEARCH("reporting", $D80)), E56-$E$69, "Enter value"))</f>
        <v>0</v>
      </c>
      <c r="F80" s="76">
        <f>IF(ISBLANK($D80), 0, IF(ISNUMBER(SEARCH("reporting", $D80)), F56-$E$69, "Enter value"))</f>
        <v>0</v>
      </c>
      <c r="G80" s="9" t="s">
        <v>7</v>
      </c>
    </row>
    <row r="81" spans="4:7" ht="20.100000000000001" customHeight="1" x14ac:dyDescent="0.2">
      <c r="E81" s="76">
        <f>IF(ISBLANK($D81), 0, IF(ISNUMBER(SEARCH("reporting", $D81)), E57-$E$70, "Enter value"))</f>
        <v>0</v>
      </c>
      <c r="F81" s="76">
        <f>IF(ISBLANK($D81), 0, IF(ISNUMBER(SEARCH("reporting", $D81)), F57-$E$70, "Enter value"))</f>
        <v>0</v>
      </c>
      <c r="G81" s="9" t="s">
        <v>7</v>
      </c>
    </row>
    <row r="82" spans="4:7" ht="20.100000000000001" customHeight="1" x14ac:dyDescent="0.2">
      <c r="E82" s="76">
        <f>IF(ISBLANK($D82), 0, IF(ISNUMBER(SEARCH("reporting", $D82)), E58-$E$71, "Enter value"))</f>
        <v>0</v>
      </c>
      <c r="F82" s="76">
        <f>IF(ISBLANK($D82), 0, IF(ISNUMBER(SEARCH("reporting", $D82)), F58-$E$71, "Enter value"))</f>
        <v>0</v>
      </c>
      <c r="G82" s="9" t="s">
        <v>7</v>
      </c>
    </row>
    <row r="83" spans="4:7" ht="20.100000000000001" customHeight="1" x14ac:dyDescent="0.2">
      <c r="D83" s="90" t="s">
        <v>128</v>
      </c>
      <c r="E83" s="85">
        <f>SUM(E78:E82)</f>
        <v>3244.0992084646632</v>
      </c>
      <c r="F83" s="85">
        <f>SUM(F78:F82)</f>
        <v>13168.272585954663</v>
      </c>
      <c r="G83" s="91" t="s">
        <v>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91D62-75BF-4814-B1FA-242161A163DA}">
  <sheetPr>
    <tabColor rgb="FFCC6600"/>
    <pageSetUpPr autoPageBreaks="0"/>
  </sheetPr>
  <dimension ref="A1:AA195"/>
  <sheetViews>
    <sheetView showGridLines="0" zoomScaleNormal="100" workbookViewId="0">
      <pane xSplit="1" topLeftCell="B1" activePane="topRight" state="frozenSplit"/>
      <selection pane="topRight" activeCell="A47" sqref="A47"/>
    </sheetView>
  </sheetViews>
  <sheetFormatPr defaultColWidth="9.140625" defaultRowHeight="20.100000000000001" customHeight="1" x14ac:dyDescent="0.2"/>
  <cols>
    <col min="1" max="1" width="36.7109375" style="4" customWidth="1"/>
    <col min="2" max="2" width="4.7109375" style="22" customWidth="1"/>
    <col min="3" max="3" width="4.7109375" style="25" customWidth="1"/>
    <col min="4" max="4" width="60.7109375" style="25" customWidth="1"/>
    <col min="5" max="5" width="50.7109375" style="25" customWidth="1"/>
    <col min="6" max="11" width="28.7109375" style="25" customWidth="1"/>
    <col min="12" max="25" width="28.7109375" style="22" customWidth="1"/>
    <col min="26" max="27" width="9.140625" style="22"/>
    <col min="28" max="16384" width="9.140625" style="25"/>
  </cols>
  <sheetData>
    <row r="1" spans="1:24" s="22" customFormat="1" ht="30" customHeight="1" x14ac:dyDescent="0.35">
      <c r="A1" s="10" t="e" vm="1">
        <v>#VALUE!</v>
      </c>
      <c r="C1" s="28" t="s">
        <v>86</v>
      </c>
    </row>
    <row r="2" spans="1:24" s="22" customFormat="1" ht="20.100000000000001" customHeight="1" x14ac:dyDescent="0.2">
      <c r="A2"/>
      <c r="C2" s="3"/>
      <c r="D2" s="3"/>
      <c r="E2" s="3"/>
      <c r="F2" s="3"/>
      <c r="G2" s="3"/>
      <c r="H2" s="3"/>
      <c r="I2" s="3"/>
      <c r="J2" s="3"/>
    </row>
    <row r="3" spans="1:24" ht="20.100000000000001" customHeight="1" x14ac:dyDescent="0.2">
      <c r="A3" s="5" t="str">
        <f>HYPERLINK("#'Home'!A1", "Home")</f>
        <v>Home</v>
      </c>
      <c r="C3" s="29"/>
      <c r="D3" s="29"/>
      <c r="E3" s="29"/>
      <c r="F3" s="29"/>
      <c r="G3" s="29"/>
      <c r="H3" s="29"/>
      <c r="I3" s="29"/>
      <c r="J3" s="29"/>
      <c r="K3" s="29"/>
      <c r="M3" s="24"/>
      <c r="N3" s="24"/>
      <c r="O3" s="24"/>
      <c r="P3" s="24"/>
      <c r="Q3" s="24"/>
      <c r="R3" s="24"/>
      <c r="S3" s="24"/>
      <c r="T3" s="24"/>
      <c r="U3" s="24"/>
      <c r="V3" s="24"/>
      <c r="W3" s="24"/>
      <c r="X3" s="24"/>
    </row>
    <row r="4" spans="1:24" ht="20.100000000000001" customHeight="1" x14ac:dyDescent="0.2">
      <c r="A4" s="5" t="str">
        <f>HYPERLINK("#'Results - Activity period'!A1", "Results - Activity period")</f>
        <v>Results - Activity period</v>
      </c>
      <c r="C4" s="30"/>
      <c r="D4" s="30"/>
      <c r="E4" s="30"/>
      <c r="F4" s="30"/>
      <c r="G4" s="30"/>
      <c r="H4" s="30"/>
      <c r="I4" s="30"/>
      <c r="J4" s="30"/>
      <c r="K4" s="30"/>
    </row>
    <row r="5" spans="1:24" ht="20.100000000000001" customHeight="1" x14ac:dyDescent="0.2">
      <c r="A5" s="5" t="str">
        <f>HYPERLINK("#'Results - Product EI'!A1", "Results - Product EI")</f>
        <v>Results - Product EI</v>
      </c>
      <c r="D5" s="2" t="s">
        <v>95</v>
      </c>
      <c r="N5" s="31"/>
    </row>
    <row r="6" spans="1:24" ht="20.100000000000001" customHeight="1" x14ac:dyDescent="0.2">
      <c r="A6"/>
      <c r="N6" s="33"/>
    </row>
    <row r="7" spans="1:24" ht="20.100000000000001" customHeight="1" x14ac:dyDescent="0.2">
      <c r="A7"/>
      <c r="D7" s="43" t="s">
        <v>96</v>
      </c>
      <c r="E7" s="44"/>
      <c r="F7" s="44"/>
      <c r="G7" s="45"/>
    </row>
    <row r="8" spans="1:24" ht="20.100000000000001" customHeight="1" x14ac:dyDescent="0.2">
      <c r="A8" s="7" t="s">
        <v>0</v>
      </c>
      <c r="D8" s="46" t="s">
        <v>97</v>
      </c>
      <c r="E8" s="47"/>
      <c r="F8" s="47"/>
      <c r="G8" s="48"/>
    </row>
    <row r="9" spans="1:24" ht="20.100000000000001" customHeight="1" x14ac:dyDescent="0.2">
      <c r="A9" s="5" t="str">
        <f>HYPERLINK("#'Input - Enterprise'!A1", "Enterprise")</f>
        <v>Enterprise</v>
      </c>
      <c r="D9" s="1"/>
      <c r="E9" s="49"/>
      <c r="F9" s="16"/>
      <c r="N9" s="35"/>
    </row>
    <row r="10" spans="1:24" ht="20.100000000000001" customHeight="1" x14ac:dyDescent="0.2">
      <c r="A10" s="102" t="str">
        <f>HYPERLINK("#'Input - Site'!A1", "Site")</f>
        <v>Site</v>
      </c>
      <c r="D10" s="1" t="s">
        <v>98</v>
      </c>
      <c r="E10" s="13" t="s">
        <v>99</v>
      </c>
      <c r="F10" s="16" t="s">
        <v>100</v>
      </c>
      <c r="N10" s="35"/>
    </row>
    <row r="11" spans="1:24" ht="20.100000000000001" customHeight="1" x14ac:dyDescent="0.2">
      <c r="A11" s="5" t="str">
        <f>HYPERLINK("#'Input - Crop'!A1", "Crop")</f>
        <v>Crop</v>
      </c>
      <c r="D11" s="1" t="s">
        <v>101</v>
      </c>
      <c r="E11" s="13" t="s">
        <v>102</v>
      </c>
      <c r="F11" s="16" t="s">
        <v>100</v>
      </c>
      <c r="G11" s="1"/>
      <c r="N11" s="40"/>
    </row>
    <row r="12" spans="1:24" ht="20.100000000000001" customHeight="1" x14ac:dyDescent="0.2">
      <c r="A12" s="5" t="str">
        <f>HYPERLINK("#'Input - Fert Prod System'!A1", "Fert Prod System")</f>
        <v>Fert Prod System</v>
      </c>
      <c r="D12" s="1" t="s">
        <v>103</v>
      </c>
      <c r="E12" s="13" t="s">
        <v>104</v>
      </c>
      <c r="F12" s="16" t="s">
        <v>100</v>
      </c>
    </row>
    <row r="13" spans="1:24" ht="20.100000000000001" customHeight="1" x14ac:dyDescent="0.2">
      <c r="A13" s="5" t="str">
        <f>HYPERLINK("#'Input - Fertiliser'!A1", "Fertiliser")</f>
        <v>Fertiliser</v>
      </c>
      <c r="D13" s="1" t="s">
        <v>36</v>
      </c>
      <c r="E13" s="34">
        <v>307.7</v>
      </c>
      <c r="F13" s="16" t="s">
        <v>105</v>
      </c>
      <c r="N13" s="42"/>
      <c r="O13" s="42"/>
    </row>
    <row r="14" spans="1:24" ht="20.100000000000001" customHeight="1" x14ac:dyDescent="0.2">
      <c r="A14" s="5" t="str">
        <f>HYPERLINK("#'Input - Fuel'!A1", "Fuel")</f>
        <v>Fuel</v>
      </c>
      <c r="D14" s="1" t="s">
        <v>106</v>
      </c>
      <c r="E14" s="34">
        <v>18</v>
      </c>
      <c r="F14" s="16" t="s">
        <v>107</v>
      </c>
      <c r="N14" s="42"/>
      <c r="O14" s="42"/>
    </row>
    <row r="15" spans="1:24" ht="20.100000000000001" customHeight="1" x14ac:dyDescent="0.2">
      <c r="A15" s="5" t="str">
        <f>HYPERLINK("#'Input - Electricity'!A1", "Electricity")</f>
        <v>Electricity</v>
      </c>
      <c r="D15" s="1" t="s">
        <v>108</v>
      </c>
      <c r="E15" s="34">
        <v>601</v>
      </c>
      <c r="F15" s="16" t="s">
        <v>109</v>
      </c>
      <c r="N15" s="42"/>
      <c r="O15" s="42"/>
    </row>
    <row r="16" spans="1:24" ht="20.100000000000001" customHeight="1" x14ac:dyDescent="0.2">
      <c r="A16" s="5" t="str">
        <f>HYPERLINK("#'Input - Common farm inputs'!A1", "Common farm inputs")</f>
        <v>Common farm inputs</v>
      </c>
      <c r="D16" s="12" t="s">
        <v>110</v>
      </c>
      <c r="E16" s="34">
        <v>1326</v>
      </c>
      <c r="F16" s="16" t="s">
        <v>109</v>
      </c>
      <c r="N16" s="42"/>
      <c r="O16" s="42"/>
    </row>
    <row r="17" spans="1:25" ht="20.100000000000001" customHeight="1" x14ac:dyDescent="0.2">
      <c r="A17" s="5" t="str">
        <f>HYPERLINK("#'Input - Crop pasture farm input'!A1", "Crop pasture farm input")</f>
        <v>Crop pasture farm input</v>
      </c>
      <c r="D17" s="1" t="s">
        <v>111</v>
      </c>
      <c r="E17" s="34">
        <v>7</v>
      </c>
      <c r="F17" s="16" t="s">
        <v>112</v>
      </c>
    </row>
    <row r="18" spans="1:25" ht="20.100000000000001" customHeight="1" x14ac:dyDescent="0.2">
      <c r="A18" s="5" t="str">
        <f>HYPERLINK("#'Input - Freight'!A1", "Freight")</f>
        <v>Freight</v>
      </c>
      <c r="D18" s="12" t="s">
        <v>113</v>
      </c>
      <c r="E18" s="15">
        <f>E15/E16</f>
        <v>0.45324283559577677</v>
      </c>
      <c r="F18" s="16"/>
    </row>
    <row r="19" spans="1:25" ht="20.100000000000001" customHeight="1" x14ac:dyDescent="0.2">
      <c r="A19" s="5" t="str">
        <f>HYPERLINK("#'Input - Solid waste'!A1", "Solid waste")</f>
        <v>Solid waste</v>
      </c>
      <c r="D19" s="12" t="s">
        <v>64</v>
      </c>
      <c r="E19" s="15" t="str">
        <f>Common_InputFunctions.Utility_LookupItemFromMinMax(E15,Table_SourceData_RainfallZones[Min rainfall],Table_SourceData_RainfallZones[Max rainfall],Table_SourceData_RainfallZones[Rainfall Zone])</f>
        <v>High rainfall</v>
      </c>
      <c r="G19" s="50"/>
      <c r="N19" s="31"/>
    </row>
    <row r="20" spans="1:25" ht="20.100000000000001" customHeight="1" x14ac:dyDescent="0.2">
      <c r="A20" s="5" t="str">
        <f>HYPERLINK("#'Input - Data quality'!A1", "Data quality")</f>
        <v>Data quality</v>
      </c>
      <c r="D20" s="1" t="s">
        <v>31</v>
      </c>
      <c r="E20" s="15" t="str">
        <f>Common_InputFunctions.Utility_GetClimateZone(E14,E15,E17,E13,E18,Table_SourceData_ClimateZones[Min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20" s="1"/>
      <c r="G20" s="49"/>
      <c r="N20" s="33"/>
    </row>
    <row r="21" spans="1:25" ht="20.100000000000001" customHeight="1" x14ac:dyDescent="0.2">
      <c r="A21"/>
      <c r="D21" s="1" t="s">
        <v>114</v>
      </c>
      <c r="E21" s="15" t="str">
        <f>Common_InputFunctions.Utility_LookupValueInTable($E$20,Table_SourceData_WetDryZones[Climate zone],Table_SourceData_WetDryZones[Wet or Dry Zone])</f>
        <v>Dry climate zone</v>
      </c>
      <c r="F21" s="1"/>
      <c r="G21" s="49"/>
    </row>
    <row r="22" spans="1:25" ht="20.100000000000001" customHeight="1" x14ac:dyDescent="0.2">
      <c r="A22"/>
      <c r="D22" s="1" t="s">
        <v>68</v>
      </c>
      <c r="E22" s="15" t="str">
        <f>Common_InputFunctions.Utility_LookupItemFromMinMax(E14,Table_SourceData_TemperatureZones[Min MAT],Table_SourceData_TemperatureZones[Max MAT],Table_SourceData_TemperatureZones[Temperature Zone])</f>
        <v>Temperate</v>
      </c>
      <c r="G22" s="53"/>
    </row>
    <row r="23" spans="1:25" ht="20.100000000000001" customHeight="1" x14ac:dyDescent="0.2">
      <c r="A23" s="6" t="s">
        <v>2</v>
      </c>
    </row>
    <row r="24" spans="1:25" ht="20.100000000000001" customHeight="1" x14ac:dyDescent="0.2">
      <c r="A24" s="5" t="str">
        <f>HYPERLINK("#'5.1.1.1-2 Inorganic fert N2O'!A1", "5.1.1.1-2 Inorganic fert N2O")</f>
        <v>5.1.1.1-2 Inorganic fert N2O</v>
      </c>
    </row>
    <row r="25" spans="1:25" ht="20.100000000000001" customHeight="1" x14ac:dyDescent="0.2">
      <c r="A25" s="5" t="str">
        <f>HYPERLINK("#'5.1.1.3-4 Inorganic fert CO2'!A1", "5.1.1.3-4 Inorganic fert CO2")</f>
        <v>5.1.1.3-4 Inorganic fert CO2</v>
      </c>
      <c r="N25" s="33"/>
    </row>
    <row r="26" spans="1:25" ht="20.100000000000001" customHeight="1" x14ac:dyDescent="0.2">
      <c r="A26" s="5" t="str">
        <f>HYPERLINK("#'5.2.1.1-2 Organic Fert N2O'!A1", "5.2.1.1-2 Organic fert N2O")</f>
        <v>5.2.1.1-2 Organic fert N2O</v>
      </c>
    </row>
    <row r="27" spans="1:25" ht="20.100000000000001" customHeight="1" x14ac:dyDescent="0.2">
      <c r="A27" s="5" t="str">
        <f>HYPERLINK("#'5.3.1.1-2 Lime CO2'!A1", "5.3.1.1-2 Lime CO2")</f>
        <v>5.3.1.1-2 Lime CO2</v>
      </c>
    </row>
    <row r="28" spans="1:25" ht="20.100000000000001" customHeight="1" x14ac:dyDescent="0.2">
      <c r="A28" s="5" t="str">
        <f>HYPERLINK("#'5.4.1.1-4 Atmos deposition'!A1", "5.4.1.1-4 Atmos. deposition")</f>
        <v>5.4.1.1-4 Atmos. deposition</v>
      </c>
    </row>
    <row r="29" spans="1:25" ht="20.100000000000001" customHeight="1" x14ac:dyDescent="0.2">
      <c r="A29" s="5" t="str">
        <f>HYPERLINK("#'5.5.1.1-2 Leaching and runoff'!A1", "5.5.1.1-2 Leaching &amp; runoff")</f>
        <v>5.5.1.1-2 Leaching &amp; runoff</v>
      </c>
    </row>
    <row r="30" spans="1:25" ht="20.100000000000001" customHeight="1" x14ac:dyDescent="0.2">
      <c r="A30" s="5" t="str">
        <f>HYPERLINK("#'6.1.1.1-2 Crop residue N2O'!A1", "6.1.1.1-2 Crop residue N2O")</f>
        <v>6.1.1.1-2 Crop residue N2O</v>
      </c>
      <c r="L30" s="51"/>
      <c r="M30" s="51"/>
      <c r="N30" s="51"/>
      <c r="O30" s="51"/>
      <c r="P30" s="51"/>
      <c r="Q30" s="51"/>
      <c r="R30" s="51"/>
      <c r="S30" s="51"/>
      <c r="T30" s="51"/>
      <c r="U30" s="51"/>
      <c r="V30" s="51"/>
      <c r="W30" s="51"/>
      <c r="X30" s="51"/>
      <c r="Y30" s="51"/>
    </row>
    <row r="31" spans="1:25" ht="20.100000000000001" customHeight="1" x14ac:dyDescent="0.2">
      <c r="A31" s="5" t="str">
        <f>HYPERLINK("#'6.3.1.1-2 Leach runoff crop'!A1", "6.3.1.1-2 Leach &amp; runoff (crop)")</f>
        <v>6.3.1.1-2 Leach &amp; runoff (crop)</v>
      </c>
      <c r="L31" s="52"/>
      <c r="M31" s="52"/>
      <c r="N31" s="52"/>
      <c r="O31" s="52"/>
      <c r="P31" s="52"/>
      <c r="Q31" s="52"/>
      <c r="R31" s="52"/>
      <c r="S31" s="52"/>
      <c r="T31" s="52"/>
      <c r="U31" s="52"/>
      <c r="V31" s="52"/>
      <c r="W31" s="52"/>
      <c r="X31" s="52"/>
      <c r="Y31" s="52"/>
    </row>
    <row r="32" spans="1:25" ht="20.100000000000001" customHeight="1" x14ac:dyDescent="0.2">
      <c r="A32" s="5" t="str">
        <f>HYPERLINK("#'6.4.1.1-2 Residue burning'!A1", "6.4.1.1-2 Residue burning")</f>
        <v>6.4.1.1-2 Residue burning</v>
      </c>
      <c r="L32" s="52"/>
      <c r="M32" s="52"/>
      <c r="N32" s="52"/>
      <c r="O32" s="52"/>
      <c r="P32" s="52"/>
      <c r="Q32" s="52"/>
      <c r="R32" s="52"/>
      <c r="S32" s="52"/>
      <c r="T32" s="52"/>
      <c r="U32" s="52"/>
      <c r="V32" s="52"/>
      <c r="W32" s="52"/>
      <c r="X32" s="52"/>
      <c r="Y32" s="52"/>
    </row>
    <row r="33" spans="1:25" ht="20.100000000000001" customHeight="1" x14ac:dyDescent="0.2">
      <c r="A33" s="5" t="str">
        <f>HYPERLINK("#'8.1.1.1-2 Transport fuel'!A1", "8.1.1.1-2 Transport fuel")</f>
        <v>8.1.1.1-2 Transport fuel</v>
      </c>
      <c r="L33" s="52"/>
      <c r="M33" s="52"/>
      <c r="N33" s="52"/>
      <c r="O33" s="52"/>
      <c r="P33" s="52"/>
      <c r="Q33" s="52"/>
      <c r="R33" s="52"/>
      <c r="S33" s="52"/>
      <c r="T33" s="52"/>
      <c r="U33" s="52"/>
      <c r="V33" s="52"/>
      <c r="W33" s="52"/>
      <c r="X33" s="52"/>
      <c r="Y33" s="52"/>
    </row>
    <row r="34" spans="1:25" ht="20.100000000000001" customHeight="1" x14ac:dyDescent="0.2">
      <c r="A34" s="5" t="str">
        <f>HYPERLINK("#'8.2.1.1-2 Stationary fuel'!A1", "8.2.1.1-2 Stationary fuel")</f>
        <v>8.2.1.1-2 Stationary fuel</v>
      </c>
      <c r="J34" s="54"/>
      <c r="K34" s="55"/>
      <c r="L34" s="52"/>
      <c r="M34" s="52"/>
      <c r="N34" s="52"/>
      <c r="O34" s="52"/>
      <c r="P34" s="52"/>
      <c r="Q34" s="52"/>
      <c r="R34" s="52"/>
      <c r="S34" s="52"/>
      <c r="T34" s="52"/>
      <c r="U34" s="52"/>
      <c r="V34" s="52"/>
      <c r="W34" s="52"/>
      <c r="X34" s="52"/>
      <c r="Y34" s="52"/>
    </row>
    <row r="35" spans="1:25" ht="20.100000000000001" customHeight="1" x14ac:dyDescent="0.2">
      <c r="A35" s="5" t="str">
        <f>HYPERLINK("#'10.1.1-2 Solid waste treatment'!A1", "10.1.1.1-2 Solid waste")</f>
        <v>10.1.1.1-2 Solid waste</v>
      </c>
      <c r="J35" s="54"/>
      <c r="K35" s="55"/>
      <c r="L35" s="52"/>
      <c r="M35" s="52"/>
      <c r="N35" s="52"/>
      <c r="O35" s="52"/>
      <c r="P35" s="52"/>
      <c r="Q35" s="52"/>
      <c r="R35" s="52"/>
      <c r="S35" s="52"/>
      <c r="T35" s="52"/>
      <c r="U35" s="52"/>
      <c r="V35" s="52"/>
      <c r="W35" s="52"/>
      <c r="X35" s="52"/>
      <c r="Y35" s="52"/>
    </row>
    <row r="36" spans="1:25" ht="20.100000000000001" customHeight="1" x14ac:dyDescent="0.2">
      <c r="A36" s="5" t="str">
        <f>HYPERLINK("#'14.1.1-2 Purchased electricity'!A1", "14.1.1-2 Purchased electricity")</f>
        <v>14.1.1-2 Purchased electricity</v>
      </c>
      <c r="D36" s="56"/>
      <c r="E36" s="56"/>
      <c r="F36" s="57"/>
      <c r="G36" s="54"/>
      <c r="H36" s="54"/>
      <c r="I36" s="58"/>
      <c r="J36" s="54"/>
      <c r="K36" s="55"/>
      <c r="L36" s="52"/>
      <c r="M36" s="52"/>
      <c r="N36" s="52"/>
      <c r="O36" s="52"/>
      <c r="P36" s="52"/>
      <c r="Q36" s="52"/>
      <c r="R36" s="52"/>
      <c r="S36" s="52"/>
      <c r="T36" s="52"/>
      <c r="U36" s="52"/>
      <c r="V36" s="52"/>
      <c r="W36" s="52"/>
      <c r="X36" s="52"/>
      <c r="Y36" s="52"/>
    </row>
    <row r="37" spans="1:25" ht="20.100000000000001" customHeight="1" x14ac:dyDescent="0.2">
      <c r="A37" s="5" t="str">
        <f>HYPERLINK("#'15 Scope 3'!A1", "15 Scope 3")</f>
        <v>15 Scope 3</v>
      </c>
      <c r="D37" s="56"/>
      <c r="E37" s="56"/>
      <c r="F37" s="57"/>
      <c r="G37" s="54"/>
      <c r="H37" s="54"/>
      <c r="I37" s="58"/>
      <c r="J37" s="54"/>
      <c r="K37" s="55"/>
      <c r="L37" s="52"/>
      <c r="M37" s="52"/>
      <c r="N37" s="52"/>
      <c r="O37" s="52"/>
      <c r="P37" s="52"/>
      <c r="Q37" s="52"/>
      <c r="R37" s="52"/>
      <c r="S37" s="52"/>
      <c r="T37" s="52"/>
      <c r="U37" s="52"/>
      <c r="V37" s="52"/>
      <c r="W37" s="52"/>
      <c r="X37" s="52"/>
      <c r="Y37" s="52"/>
    </row>
    <row r="38" spans="1:25" ht="20.100000000000001" customHeight="1" x14ac:dyDescent="0.2">
      <c r="A38"/>
      <c r="D38" s="56"/>
      <c r="E38" s="56"/>
      <c r="F38" s="57"/>
      <c r="G38" s="54"/>
      <c r="H38" s="54"/>
      <c r="I38" s="58"/>
      <c r="J38" s="54"/>
      <c r="K38" s="55"/>
      <c r="L38" s="52"/>
      <c r="M38" s="52"/>
      <c r="N38" s="52"/>
      <c r="O38" s="52"/>
      <c r="P38" s="52"/>
      <c r="Q38" s="52"/>
      <c r="R38" s="52"/>
      <c r="S38" s="52"/>
      <c r="T38" s="52"/>
      <c r="U38" s="52"/>
      <c r="V38" s="52"/>
      <c r="W38" s="52"/>
      <c r="X38" s="52"/>
      <c r="Y38" s="52"/>
    </row>
    <row r="39" spans="1:25" ht="20.100000000000001" customHeight="1" x14ac:dyDescent="0.2">
      <c r="A39"/>
      <c r="D39" s="56"/>
      <c r="E39" s="56"/>
      <c r="F39" s="57"/>
      <c r="G39" s="54"/>
      <c r="H39" s="54"/>
      <c r="I39" s="58"/>
      <c r="J39" s="54"/>
      <c r="K39" s="55"/>
      <c r="L39" s="52"/>
      <c r="M39" s="52"/>
      <c r="N39" s="52"/>
      <c r="O39" s="52"/>
      <c r="P39" s="52"/>
      <c r="Q39" s="52"/>
      <c r="R39" s="52"/>
      <c r="S39" s="52"/>
      <c r="T39" s="52"/>
      <c r="U39" s="52"/>
      <c r="V39" s="52"/>
      <c r="W39" s="52"/>
      <c r="X39" s="52"/>
      <c r="Y39" s="52"/>
    </row>
    <row r="40" spans="1:25" ht="20.100000000000001" customHeight="1" x14ac:dyDescent="0.2">
      <c r="A40" s="82" t="s">
        <v>1</v>
      </c>
      <c r="D40" s="59"/>
      <c r="E40" s="59"/>
      <c r="F40" s="59"/>
      <c r="G40" s="60"/>
      <c r="H40" s="61"/>
      <c r="I40" s="61"/>
      <c r="J40" s="61"/>
      <c r="K40" s="61"/>
      <c r="L40" s="62"/>
      <c r="M40" s="62"/>
      <c r="N40" s="62"/>
      <c r="O40" s="62"/>
      <c r="P40" s="62"/>
      <c r="Q40" s="62"/>
      <c r="R40" s="62"/>
      <c r="S40" s="62"/>
      <c r="T40" s="62"/>
      <c r="U40" s="62"/>
      <c r="V40" s="62"/>
      <c r="W40" s="62"/>
      <c r="X40" s="62"/>
      <c r="Y40" s="62"/>
    </row>
    <row r="41" spans="1:25" ht="20.100000000000001" customHeight="1" x14ac:dyDescent="0.2">
      <c r="A41" s="5" t="str">
        <f>HYPERLINK("#'Constants - Ag Residue'!A1", "Constants - Ag residue")</f>
        <v>Constants - Ag residue</v>
      </c>
    </row>
    <row r="42" spans="1:25" ht="20.100000000000001" customHeight="1" x14ac:dyDescent="0.2">
      <c r="A42" s="5" t="str">
        <f>HYPERLINK("#'Constants - Electricity'!A1", "Constants - Electricity")</f>
        <v>Constants - Electricity</v>
      </c>
    </row>
    <row r="43" spans="1:25" ht="20.100000000000001" customHeight="1" x14ac:dyDescent="0.2">
      <c r="A43" s="5" t="str">
        <f>HYPERLINK("#'Constants - Fertiliser'!A1", "Constants - Fertiliser")</f>
        <v>Constants - Fertiliser</v>
      </c>
    </row>
    <row r="44" spans="1:25" ht="20.100000000000001" customHeight="1" x14ac:dyDescent="0.2">
      <c r="A44" s="5" t="str">
        <f>HYPERLINK("#'Constants - Fuel'!A1", "Constants - Fuel")</f>
        <v>Constants - Fuel</v>
      </c>
    </row>
    <row r="45" spans="1:25" ht="20.100000000000001" customHeight="1" x14ac:dyDescent="0.2">
      <c r="A45" s="5" t="str">
        <f>HYPERLINK("#'Constants - Scope 3'!A1", "Constants - Scope 3")</f>
        <v>Constants - Scope 3</v>
      </c>
      <c r="D45" s="2"/>
    </row>
    <row r="46" spans="1:25" ht="20.100000000000001" customHeight="1" x14ac:dyDescent="0.2">
      <c r="A46" s="5" t="str">
        <f>HYPERLINK("#'Constants - Solid Waste'!A1", "Constants - Solid Waste")</f>
        <v>Constants - Solid Waste</v>
      </c>
      <c r="D46" s="2"/>
    </row>
    <row r="47" spans="1:25" ht="20.100000000000001" customHeight="1" x14ac:dyDescent="0.2">
      <c r="A47" s="5" t="str">
        <f>HYPERLINK("#'Constants - Common'!A1", "Constants - Common")</f>
        <v>Constants - Common</v>
      </c>
      <c r="D47" s="63"/>
      <c r="E47" s="63"/>
      <c r="F47" s="63"/>
      <c r="G47" s="63"/>
      <c r="H47" s="63"/>
    </row>
    <row r="48" spans="1:25" ht="20.100000000000001" customHeight="1" x14ac:dyDescent="0.2">
      <c r="A48" s="5" t="str">
        <f>HYPERLINK("#'Constants - Common Livestock'!A1", "Constants - Common Livestock")</f>
        <v>Constants - Common Livestock</v>
      </c>
      <c r="D48" s="64"/>
      <c r="E48" s="64"/>
      <c r="F48" s="65"/>
      <c r="G48" s="65"/>
      <c r="H48" s="64"/>
    </row>
    <row r="49" spans="1:8" ht="20.100000000000001" customHeight="1" x14ac:dyDescent="0.2">
      <c r="A49"/>
      <c r="D49" s="64"/>
      <c r="E49" s="64"/>
      <c r="F49" s="65"/>
      <c r="G49" s="65"/>
      <c r="H49" s="64"/>
    </row>
    <row r="50" spans="1:8" ht="20.100000000000001" customHeight="1" x14ac:dyDescent="0.2">
      <c r="A50"/>
      <c r="D50" s="64"/>
      <c r="E50" s="64"/>
      <c r="F50" s="65"/>
      <c r="G50" s="65"/>
      <c r="H50" s="64"/>
    </row>
    <row r="51" spans="1:8" ht="20.100000000000001" customHeight="1" x14ac:dyDescent="0.2">
      <c r="A51"/>
      <c r="D51" s="66"/>
      <c r="E51" s="67"/>
      <c r="F51" s="67"/>
      <c r="G51" s="67"/>
      <c r="H51" s="68"/>
    </row>
    <row r="52" spans="1:8" ht="20.100000000000001" customHeight="1" x14ac:dyDescent="0.2">
      <c r="A52"/>
    </row>
    <row r="53" spans="1:8" ht="20.100000000000001" customHeight="1" x14ac:dyDescent="0.2">
      <c r="A53"/>
    </row>
    <row r="54" spans="1:8" ht="20.100000000000001" customHeight="1" x14ac:dyDescent="0.2">
      <c r="A54"/>
      <c r="G54" s="69"/>
    </row>
    <row r="55" spans="1:8" ht="20.100000000000001" customHeight="1" x14ac:dyDescent="0.2">
      <c r="A55"/>
      <c r="D55" s="2"/>
    </row>
    <row r="56" spans="1:8" ht="20.100000000000001" customHeight="1" x14ac:dyDescent="0.2">
      <c r="A56"/>
    </row>
    <row r="57" spans="1:8" ht="20.100000000000001" customHeight="1" x14ac:dyDescent="0.2">
      <c r="A57"/>
      <c r="D57" s="70"/>
      <c r="F57" s="71"/>
    </row>
    <row r="58" spans="1:8" ht="20.100000000000001" customHeight="1" x14ac:dyDescent="0.2">
      <c r="A58"/>
      <c r="D58" s="1"/>
      <c r="E58" s="72"/>
    </row>
    <row r="59" spans="1:8" ht="20.100000000000001" customHeight="1" x14ac:dyDescent="0.2">
      <c r="A59"/>
      <c r="D59" s="1"/>
      <c r="E59" s="72"/>
    </row>
    <row r="60" spans="1:8" ht="20.100000000000001" customHeight="1" x14ac:dyDescent="0.2">
      <c r="A60"/>
      <c r="D60" s="1"/>
      <c r="E60" s="73"/>
    </row>
    <row r="61" spans="1:8" ht="20.100000000000001" customHeight="1" x14ac:dyDescent="0.2">
      <c r="A61"/>
      <c r="D61" s="1"/>
    </row>
    <row r="62" spans="1:8" ht="20.100000000000001" customHeight="1" x14ac:dyDescent="0.2">
      <c r="A62"/>
    </row>
    <row r="63" spans="1:8" ht="20.100000000000001" customHeight="1" x14ac:dyDescent="0.2">
      <c r="A63"/>
      <c r="D63" s="70"/>
    </row>
    <row r="64" spans="1:8" ht="20.100000000000001" customHeight="1" x14ac:dyDescent="0.2">
      <c r="A64"/>
      <c r="D64" s="1"/>
      <c r="E64" s="72"/>
    </row>
    <row r="65" spans="1:9" ht="20.100000000000001" customHeight="1" x14ac:dyDescent="0.2">
      <c r="A65"/>
      <c r="D65" s="1"/>
      <c r="E65" s="72"/>
    </row>
    <row r="66" spans="1:9" ht="20.100000000000001" customHeight="1" x14ac:dyDescent="0.2">
      <c r="A66"/>
      <c r="D66" s="1"/>
      <c r="E66" s="73"/>
    </row>
    <row r="67" spans="1:9" ht="20.100000000000001" customHeight="1" x14ac:dyDescent="0.2">
      <c r="A67"/>
    </row>
    <row r="68" spans="1:9" ht="20.100000000000001" customHeight="1" x14ac:dyDescent="0.2">
      <c r="A68"/>
    </row>
    <row r="69" spans="1:9" ht="20.100000000000001" customHeight="1" x14ac:dyDescent="0.2">
      <c r="A69"/>
      <c r="D69" s="74"/>
      <c r="E69" s="74"/>
      <c r="F69" s="74"/>
      <c r="G69" s="74"/>
      <c r="H69" s="74"/>
      <c r="I69" s="74"/>
    </row>
    <row r="70" spans="1:9" ht="20.100000000000001" customHeight="1" x14ac:dyDescent="0.2">
      <c r="A70"/>
      <c r="D70" s="74"/>
      <c r="E70" s="74"/>
      <c r="F70" s="74"/>
      <c r="G70" s="74"/>
      <c r="H70" s="74"/>
      <c r="I70" s="74"/>
    </row>
    <row r="71" spans="1:9" ht="20.100000000000001" customHeight="1" x14ac:dyDescent="0.2">
      <c r="A71"/>
      <c r="D71" s="74"/>
      <c r="E71" s="74"/>
      <c r="F71" s="74"/>
      <c r="G71" s="74"/>
      <c r="H71" s="74"/>
      <c r="I71" s="74"/>
    </row>
    <row r="72" spans="1:9" ht="20.100000000000001" customHeight="1" x14ac:dyDescent="0.2">
      <c r="A72"/>
      <c r="D72" s="74"/>
      <c r="E72" s="74"/>
      <c r="F72" s="74"/>
      <c r="G72" s="74"/>
      <c r="H72" s="74"/>
      <c r="I72" s="74"/>
    </row>
    <row r="73" spans="1:9" ht="20.100000000000001" customHeight="1" x14ac:dyDescent="0.2">
      <c r="A73"/>
    </row>
    <row r="74" spans="1:9" ht="20.100000000000001" customHeight="1" x14ac:dyDescent="0.2">
      <c r="A74"/>
    </row>
    <row r="75" spans="1:9" ht="20.100000000000001" customHeight="1" x14ac:dyDescent="0.2">
      <c r="A75"/>
    </row>
    <row r="76" spans="1:9" ht="20.100000000000001" customHeight="1" x14ac:dyDescent="0.2">
      <c r="A76"/>
    </row>
    <row r="77" spans="1:9" ht="20.100000000000001" customHeight="1" x14ac:dyDescent="0.2">
      <c r="A77"/>
    </row>
    <row r="78" spans="1:9" ht="20.100000000000001" customHeight="1" x14ac:dyDescent="0.2">
      <c r="A78"/>
      <c r="D78" s="75"/>
    </row>
    <row r="79" spans="1:9" ht="20.100000000000001" customHeight="1" x14ac:dyDescent="0.2">
      <c r="A79"/>
      <c r="D79" s="75"/>
    </row>
    <row r="80" spans="1:9" ht="20.100000000000001" customHeight="1" x14ac:dyDescent="0.2">
      <c r="A80"/>
      <c r="D80" s="75"/>
    </row>
    <row r="81" spans="1:4" ht="20.100000000000001" customHeight="1" x14ac:dyDescent="0.2">
      <c r="A81"/>
      <c r="D81" s="75"/>
    </row>
    <row r="82" spans="1:4" ht="20.100000000000001" customHeight="1" x14ac:dyDescent="0.2">
      <c r="A82"/>
      <c r="D82" s="75"/>
    </row>
    <row r="83" spans="1:4" ht="20.100000000000001" customHeight="1" x14ac:dyDescent="0.2">
      <c r="A83"/>
    </row>
    <row r="84" spans="1:4" ht="20.100000000000001" customHeight="1" x14ac:dyDescent="0.2">
      <c r="A84"/>
    </row>
    <row r="85" spans="1:4" ht="20.100000000000001" customHeight="1" x14ac:dyDescent="0.2">
      <c r="A85"/>
    </row>
    <row r="86" spans="1:4" ht="20.100000000000001" customHeight="1" x14ac:dyDescent="0.2">
      <c r="A86"/>
    </row>
    <row r="87" spans="1:4" ht="20.100000000000001" customHeight="1" x14ac:dyDescent="0.2">
      <c r="A87"/>
    </row>
    <row r="88" spans="1:4" ht="20.100000000000001" customHeight="1" x14ac:dyDescent="0.2">
      <c r="A88"/>
    </row>
    <row r="89" spans="1:4" ht="20.100000000000001" customHeight="1" x14ac:dyDescent="0.2">
      <c r="A89"/>
    </row>
    <row r="90" spans="1:4" ht="20.100000000000001" customHeight="1" x14ac:dyDescent="0.2">
      <c r="A90"/>
    </row>
    <row r="91" spans="1:4" ht="20.100000000000001" customHeight="1" x14ac:dyDescent="0.2">
      <c r="A91"/>
    </row>
    <row r="92" spans="1:4" ht="20.100000000000001" customHeight="1" x14ac:dyDescent="0.2">
      <c r="A92"/>
    </row>
    <row r="93" spans="1:4" ht="20.100000000000001" customHeight="1" x14ac:dyDescent="0.2">
      <c r="A93"/>
    </row>
    <row r="94" spans="1:4" ht="20.100000000000001" customHeight="1" x14ac:dyDescent="0.2">
      <c r="A94"/>
    </row>
    <row r="95" spans="1:4" ht="20.100000000000001" customHeight="1" x14ac:dyDescent="0.2">
      <c r="A95"/>
    </row>
    <row r="96" spans="1:4" ht="20.100000000000001" customHeight="1" x14ac:dyDescent="0.2">
      <c r="A96"/>
    </row>
    <row r="97" spans="1:1" ht="20.100000000000001" customHeight="1" x14ac:dyDescent="0.2">
      <c r="A97"/>
    </row>
    <row r="98" spans="1:1" ht="20.100000000000001" customHeight="1" x14ac:dyDescent="0.2">
      <c r="A98"/>
    </row>
    <row r="99" spans="1:1" ht="20.100000000000001" customHeight="1" x14ac:dyDescent="0.2">
      <c r="A99"/>
    </row>
    <row r="100" spans="1:1" ht="20.100000000000001" customHeight="1" x14ac:dyDescent="0.2">
      <c r="A100"/>
    </row>
    <row r="101" spans="1:1" ht="20.100000000000001" customHeight="1" x14ac:dyDescent="0.2">
      <c r="A101"/>
    </row>
    <row r="102" spans="1:1" ht="20.100000000000001" customHeight="1" x14ac:dyDescent="0.2">
      <c r="A102"/>
    </row>
    <row r="103" spans="1:1" ht="20.100000000000001" customHeight="1" x14ac:dyDescent="0.2">
      <c r="A103"/>
    </row>
    <row r="104" spans="1:1" ht="20.100000000000001" customHeight="1" x14ac:dyDescent="0.2">
      <c r="A104"/>
    </row>
    <row r="105" spans="1:1" ht="20.100000000000001" customHeight="1" x14ac:dyDescent="0.2">
      <c r="A105"/>
    </row>
    <row r="106" spans="1:1" ht="20.100000000000001" customHeight="1" x14ac:dyDescent="0.2">
      <c r="A106"/>
    </row>
    <row r="107" spans="1:1" ht="20.100000000000001" customHeight="1" x14ac:dyDescent="0.2">
      <c r="A107"/>
    </row>
    <row r="108" spans="1:1" ht="20.100000000000001" customHeight="1" x14ac:dyDescent="0.2">
      <c r="A108"/>
    </row>
    <row r="109" spans="1:1" ht="20.100000000000001" customHeight="1" x14ac:dyDescent="0.2">
      <c r="A109"/>
    </row>
    <row r="110" spans="1:1" ht="20.100000000000001" customHeight="1" x14ac:dyDescent="0.2">
      <c r="A110"/>
    </row>
    <row r="111" spans="1:1" ht="20.100000000000001" customHeight="1" x14ac:dyDescent="0.2">
      <c r="A111"/>
    </row>
    <row r="112" spans="1:1" ht="20.100000000000001" customHeight="1" x14ac:dyDescent="0.2">
      <c r="A112"/>
    </row>
    <row r="113" spans="1:1" ht="20.100000000000001" customHeight="1" x14ac:dyDescent="0.2">
      <c r="A113"/>
    </row>
    <row r="114" spans="1:1" ht="20.100000000000001" customHeight="1" x14ac:dyDescent="0.2">
      <c r="A114"/>
    </row>
    <row r="115" spans="1:1" ht="20.100000000000001" customHeight="1" x14ac:dyDescent="0.2">
      <c r="A115"/>
    </row>
    <row r="116" spans="1:1" ht="20.100000000000001" customHeight="1" x14ac:dyDescent="0.2">
      <c r="A116"/>
    </row>
    <row r="117" spans="1:1" ht="20.100000000000001" customHeight="1" x14ac:dyDescent="0.2">
      <c r="A117"/>
    </row>
    <row r="118" spans="1:1" ht="20.100000000000001" customHeight="1" x14ac:dyDescent="0.2">
      <c r="A118"/>
    </row>
    <row r="119" spans="1:1" ht="20.100000000000001" customHeight="1" x14ac:dyDescent="0.2">
      <c r="A119"/>
    </row>
    <row r="120" spans="1:1" ht="20.100000000000001" customHeight="1" x14ac:dyDescent="0.2">
      <c r="A120"/>
    </row>
    <row r="121" spans="1:1" ht="20.100000000000001" customHeight="1" x14ac:dyDescent="0.2">
      <c r="A121"/>
    </row>
    <row r="122" spans="1:1" ht="20.100000000000001" customHeight="1" x14ac:dyDescent="0.2">
      <c r="A122"/>
    </row>
    <row r="123" spans="1:1" ht="20.100000000000001" customHeight="1" x14ac:dyDescent="0.2">
      <c r="A123"/>
    </row>
    <row r="124" spans="1:1" ht="20.100000000000001" customHeight="1" x14ac:dyDescent="0.2">
      <c r="A124"/>
    </row>
    <row r="125" spans="1:1" ht="20.100000000000001" customHeight="1" x14ac:dyDescent="0.2">
      <c r="A125"/>
    </row>
    <row r="126" spans="1:1" ht="20.100000000000001" customHeight="1" x14ac:dyDescent="0.2">
      <c r="A126"/>
    </row>
    <row r="127" spans="1:1" ht="20.100000000000001" customHeight="1" x14ac:dyDescent="0.2">
      <c r="A127"/>
    </row>
    <row r="128" spans="1:1" ht="20.100000000000001" customHeight="1" x14ac:dyDescent="0.2">
      <c r="A128"/>
    </row>
    <row r="129" spans="1:1" ht="20.100000000000001" customHeight="1" x14ac:dyDescent="0.2">
      <c r="A129"/>
    </row>
    <row r="130" spans="1:1" ht="20.100000000000001" customHeight="1" x14ac:dyDescent="0.2">
      <c r="A130"/>
    </row>
    <row r="131" spans="1:1" ht="20.100000000000001" customHeight="1" x14ac:dyDescent="0.2">
      <c r="A131"/>
    </row>
    <row r="132" spans="1:1" ht="20.100000000000001" customHeight="1" x14ac:dyDescent="0.2">
      <c r="A132"/>
    </row>
    <row r="133" spans="1:1" ht="20.100000000000001" customHeight="1" x14ac:dyDescent="0.2">
      <c r="A133"/>
    </row>
    <row r="134" spans="1:1" ht="20.100000000000001" customHeight="1" x14ac:dyDescent="0.2">
      <c r="A134"/>
    </row>
    <row r="135" spans="1:1" ht="20.100000000000001" customHeight="1" x14ac:dyDescent="0.2">
      <c r="A135"/>
    </row>
    <row r="136" spans="1:1" ht="20.100000000000001" customHeight="1" x14ac:dyDescent="0.2">
      <c r="A136"/>
    </row>
    <row r="137" spans="1:1" ht="20.100000000000001" customHeight="1" x14ac:dyDescent="0.2">
      <c r="A137"/>
    </row>
    <row r="138" spans="1:1" ht="20.100000000000001" customHeight="1" x14ac:dyDescent="0.2">
      <c r="A138"/>
    </row>
    <row r="139" spans="1:1" ht="20.100000000000001" customHeight="1" x14ac:dyDescent="0.2">
      <c r="A139"/>
    </row>
    <row r="140" spans="1:1" ht="20.100000000000001" customHeight="1" x14ac:dyDescent="0.2">
      <c r="A140"/>
    </row>
    <row r="141" spans="1:1" ht="20.100000000000001" customHeight="1" x14ac:dyDescent="0.2">
      <c r="A141"/>
    </row>
    <row r="142" spans="1:1" ht="20.100000000000001" customHeight="1" x14ac:dyDescent="0.2">
      <c r="A142"/>
    </row>
    <row r="143" spans="1:1" ht="20.100000000000001" customHeight="1" x14ac:dyDescent="0.2">
      <c r="A143"/>
    </row>
    <row r="144" spans="1:1" ht="20.100000000000001" customHeight="1" x14ac:dyDescent="0.2">
      <c r="A144"/>
    </row>
    <row r="145" spans="1:1" ht="20.100000000000001" customHeight="1" x14ac:dyDescent="0.2">
      <c r="A145"/>
    </row>
    <row r="146" spans="1:1" ht="20.100000000000001" customHeight="1" x14ac:dyDescent="0.2">
      <c r="A146"/>
    </row>
    <row r="147" spans="1:1" ht="20.100000000000001" customHeight="1" x14ac:dyDescent="0.2">
      <c r="A147"/>
    </row>
    <row r="148" spans="1:1" ht="20.100000000000001" customHeight="1" x14ac:dyDescent="0.2">
      <c r="A148"/>
    </row>
    <row r="149" spans="1:1" ht="20.100000000000001" customHeight="1" x14ac:dyDescent="0.2">
      <c r="A149"/>
    </row>
    <row r="150" spans="1:1" ht="20.100000000000001" customHeight="1" x14ac:dyDescent="0.2">
      <c r="A150"/>
    </row>
    <row r="151" spans="1:1" ht="20.100000000000001" customHeight="1" x14ac:dyDescent="0.2">
      <c r="A151"/>
    </row>
    <row r="152" spans="1:1" ht="20.100000000000001" customHeight="1" x14ac:dyDescent="0.2">
      <c r="A152"/>
    </row>
    <row r="153" spans="1:1" ht="20.100000000000001" customHeight="1" x14ac:dyDescent="0.2">
      <c r="A153"/>
    </row>
    <row r="154" spans="1:1" ht="20.100000000000001" customHeight="1" x14ac:dyDescent="0.2">
      <c r="A154"/>
    </row>
    <row r="155" spans="1:1" ht="20.100000000000001" customHeight="1" x14ac:dyDescent="0.2">
      <c r="A155"/>
    </row>
    <row r="156" spans="1:1" ht="20.100000000000001" customHeight="1" x14ac:dyDescent="0.2">
      <c r="A156"/>
    </row>
    <row r="157" spans="1:1" ht="20.100000000000001" customHeight="1" x14ac:dyDescent="0.2">
      <c r="A157"/>
    </row>
    <row r="158" spans="1:1" ht="20.100000000000001" customHeight="1" x14ac:dyDescent="0.2">
      <c r="A158"/>
    </row>
    <row r="159" spans="1:1" ht="20.100000000000001" customHeight="1" x14ac:dyDescent="0.2">
      <c r="A159"/>
    </row>
    <row r="160" spans="1:1" ht="20.100000000000001" customHeight="1" x14ac:dyDescent="0.2">
      <c r="A160"/>
    </row>
    <row r="161" spans="1:1" ht="20.100000000000001" customHeight="1" x14ac:dyDescent="0.2">
      <c r="A161"/>
    </row>
    <row r="162" spans="1:1" ht="20.100000000000001" customHeight="1" x14ac:dyDescent="0.2">
      <c r="A162"/>
    </row>
    <row r="163" spans="1:1" ht="20.100000000000001" customHeight="1" x14ac:dyDescent="0.2">
      <c r="A163"/>
    </row>
    <row r="164" spans="1:1" ht="20.100000000000001" customHeight="1" x14ac:dyDescent="0.2">
      <c r="A164"/>
    </row>
    <row r="165" spans="1:1" ht="20.100000000000001" customHeight="1" x14ac:dyDescent="0.2">
      <c r="A165"/>
    </row>
    <row r="166" spans="1:1" ht="20.100000000000001" customHeight="1" x14ac:dyDescent="0.2">
      <c r="A166"/>
    </row>
    <row r="167" spans="1:1" ht="20.100000000000001" customHeight="1" x14ac:dyDescent="0.2">
      <c r="A167"/>
    </row>
    <row r="168" spans="1:1" ht="20.100000000000001" customHeight="1" x14ac:dyDescent="0.2">
      <c r="A168"/>
    </row>
    <row r="169" spans="1:1" ht="20.100000000000001" customHeight="1" x14ac:dyDescent="0.2">
      <c r="A169"/>
    </row>
    <row r="170" spans="1:1" ht="20.100000000000001" customHeight="1" x14ac:dyDescent="0.2">
      <c r="A170"/>
    </row>
    <row r="171" spans="1:1" ht="20.100000000000001" customHeight="1" x14ac:dyDescent="0.2">
      <c r="A171"/>
    </row>
    <row r="172" spans="1:1" ht="20.100000000000001" customHeight="1" x14ac:dyDescent="0.2">
      <c r="A172"/>
    </row>
    <row r="173" spans="1:1" ht="20.100000000000001" customHeight="1" x14ac:dyDescent="0.2">
      <c r="A173"/>
    </row>
    <row r="174" spans="1:1" ht="20.100000000000001" customHeight="1" x14ac:dyDescent="0.2">
      <c r="A174"/>
    </row>
    <row r="175" spans="1:1" ht="20.100000000000001" customHeight="1" x14ac:dyDescent="0.2">
      <c r="A175"/>
    </row>
    <row r="176" spans="1:1" ht="20.100000000000001" customHeight="1" x14ac:dyDescent="0.2">
      <c r="A176"/>
    </row>
    <row r="177" spans="1:1" ht="20.100000000000001" customHeight="1" x14ac:dyDescent="0.2">
      <c r="A177"/>
    </row>
    <row r="178" spans="1:1" ht="20.100000000000001" customHeight="1" x14ac:dyDescent="0.2">
      <c r="A178"/>
    </row>
    <row r="179" spans="1:1" ht="20.100000000000001" customHeight="1" x14ac:dyDescent="0.2">
      <c r="A179"/>
    </row>
    <row r="180" spans="1:1" ht="20.100000000000001" customHeight="1" x14ac:dyDescent="0.2">
      <c r="A180"/>
    </row>
    <row r="181" spans="1:1" ht="20.100000000000001" customHeight="1" x14ac:dyDescent="0.2">
      <c r="A181"/>
    </row>
    <row r="182" spans="1:1" ht="20.100000000000001" customHeight="1" x14ac:dyDescent="0.2">
      <c r="A182"/>
    </row>
    <row r="183" spans="1:1" ht="20.100000000000001" customHeight="1" x14ac:dyDescent="0.2">
      <c r="A183"/>
    </row>
    <row r="184" spans="1:1" ht="20.100000000000001" customHeight="1" x14ac:dyDescent="0.2">
      <c r="A184"/>
    </row>
    <row r="185" spans="1:1" ht="20.100000000000001" customHeight="1" x14ac:dyDescent="0.2">
      <c r="A185"/>
    </row>
    <row r="186" spans="1:1" ht="20.100000000000001" customHeight="1" x14ac:dyDescent="0.2">
      <c r="A186"/>
    </row>
    <row r="187" spans="1:1" ht="20.100000000000001" customHeight="1" x14ac:dyDescent="0.2">
      <c r="A187"/>
    </row>
    <row r="188" spans="1:1" ht="20.100000000000001" customHeight="1" x14ac:dyDescent="0.2">
      <c r="A188"/>
    </row>
    <row r="189" spans="1:1" ht="20.100000000000001" customHeight="1" x14ac:dyDescent="0.2">
      <c r="A189"/>
    </row>
    <row r="190" spans="1:1" ht="20.100000000000001" customHeight="1" x14ac:dyDescent="0.2">
      <c r="A190"/>
    </row>
    <row r="191" spans="1:1" ht="20.100000000000001" customHeight="1" x14ac:dyDescent="0.2">
      <c r="A191"/>
    </row>
    <row r="192" spans="1:1" ht="20.100000000000001" customHeight="1" x14ac:dyDescent="0.2">
      <c r="A192"/>
    </row>
    <row r="193" spans="1:1" ht="20.100000000000001" customHeight="1" x14ac:dyDescent="0.2">
      <c r="A193"/>
    </row>
    <row r="194" spans="1:1" ht="20.100000000000001" customHeight="1" x14ac:dyDescent="0.2">
      <c r="A194"/>
    </row>
    <row r="195" spans="1:1" ht="20.100000000000001" customHeight="1" x14ac:dyDescent="0.2">
      <c r="A195"/>
    </row>
  </sheetData>
  <dataValidations count="4">
    <dataValidation type="list" allowBlank="1" showInputMessage="1" showErrorMessage="1" sqref="E12" xr:uid="{620909BD-05B7-4260-BB85-4888DFAEE1F3}">
      <formula1>"YES - In leaching zone, NO - Not in leaching zone"</formula1>
    </dataValidation>
    <dataValidation type="list" allowBlank="1" showInputMessage="1" showErrorMessage="1" sqref="G36:G39" xr:uid="{FC4F355F-8194-44E7-BAB7-2E788D632391}">
      <formula1>$D$41:$D$43</formula1>
    </dataValidation>
    <dataValidation type="list" allowBlank="1" showInputMessage="1" showErrorMessage="1" sqref="E11" xr:uid="{674A5993-80C6-40F8-9C7E-8360EE985D6D}">
      <formula1>INDIRECT("Table_WASA4Areas[SA 4 Name]")</formula1>
    </dataValidation>
    <dataValidation type="list" allowBlank="1" showInputMessage="1" showErrorMessage="1" sqref="E10" xr:uid="{3E5D42A7-7A09-4510-8DDD-588AA6407F0E}">
      <formula1>INDIRECT("Table_AustralianStates[Common Name]")</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0231CB-0422-4516-9EE0-F4442B673917}">
  <sheetPr>
    <tabColor theme="5" tint="-0.249977111117893"/>
  </sheetPr>
  <dimension ref="A1:H361"/>
  <sheetViews>
    <sheetView showGridLines="0" zoomScaleNormal="100" workbookViewId="0">
      <pane xSplit="1" topLeftCell="B1" activePane="topRight" state="frozenSplit"/>
      <selection pane="topRight" activeCell="A47" sqref="A47"/>
    </sheetView>
  </sheetViews>
  <sheetFormatPr defaultRowHeight="20.100000000000001" customHeight="1" x14ac:dyDescent="0.2"/>
  <cols>
    <col min="1" max="1" width="36.7109375" customWidth="1"/>
    <col min="2" max="2" width="4.7109375" customWidth="1"/>
    <col min="3" max="3" width="4.7109375" style="1" customWidth="1"/>
    <col min="4" max="4" width="52.140625" style="1" customWidth="1"/>
    <col min="5" max="7" width="30.7109375" style="1" customWidth="1"/>
    <col min="8" max="8" width="4.7109375" style="1" customWidth="1"/>
    <col min="9" max="9" width="4.7109375" customWidth="1"/>
  </cols>
  <sheetData>
    <row r="1" spans="1:8" s="10" customFormat="1" ht="30" customHeight="1" x14ac:dyDescent="0.35">
      <c r="A1" s="10" t="e" vm="1">
        <v>#VALUE!</v>
      </c>
      <c r="C1" s="10" t="s">
        <v>707</v>
      </c>
    </row>
    <row r="2" spans="1:8" s="3" customFormat="1" ht="20.100000000000001" customHeight="1" x14ac:dyDescent="0.2">
      <c r="A2"/>
    </row>
    <row r="3" spans="1:8" ht="20.100000000000001" customHeight="1" x14ac:dyDescent="0.2">
      <c r="A3" s="5" t="str">
        <f>HYPERLINK("#'Home'!A1", "Home")</f>
        <v>Home</v>
      </c>
      <c r="C3" s="29"/>
      <c r="D3" s="29"/>
      <c r="E3" s="29"/>
      <c r="F3" s="29"/>
      <c r="G3" s="29"/>
      <c r="H3" s="29"/>
    </row>
    <row r="4" spans="1:8" ht="20.100000000000001" customHeight="1" x14ac:dyDescent="0.2">
      <c r="A4" s="5" t="str">
        <f>HYPERLINK("#'Results - Activity period'!A1", "Results - Activity period")</f>
        <v>Results - Activity period</v>
      </c>
    </row>
    <row r="5" spans="1:8" ht="20.100000000000001" customHeight="1" x14ac:dyDescent="0.2">
      <c r="A5" s="5" t="str">
        <f>HYPERLINK("#'Results - Product EI'!A1", "Results - Product EI")</f>
        <v>Results - Product EI</v>
      </c>
      <c r="D5" s="2" t="s">
        <v>708</v>
      </c>
    </row>
    <row r="7" spans="1:8" ht="20.100000000000001" customHeight="1" x14ac:dyDescent="0.2">
      <c r="D7" s="36" t="s">
        <v>709</v>
      </c>
      <c r="E7" s="38"/>
      <c r="F7" s="38"/>
      <c r="G7" s="39"/>
    </row>
    <row r="8" spans="1:8" ht="20.100000000000001" customHeight="1" x14ac:dyDescent="0.2">
      <c r="A8" s="7" t="s">
        <v>0</v>
      </c>
    </row>
    <row r="9" spans="1:8" ht="20.100000000000001" customHeight="1" x14ac:dyDescent="0.2">
      <c r="A9" s="5" t="str">
        <f>HYPERLINK("#'Input - Enterprise'!A1", "Enterprise")</f>
        <v>Enterprise</v>
      </c>
      <c r="D9" s="1" t="s">
        <v>179</v>
      </c>
      <c r="E9" s="13" t="s">
        <v>710</v>
      </c>
      <c r="F9" s="16" t="s">
        <v>711</v>
      </c>
    </row>
    <row r="10" spans="1:8" ht="20.100000000000001" customHeight="1" x14ac:dyDescent="0.2">
      <c r="A10" s="5" t="str">
        <f>HYPERLINK("#'Input - Site'!A1", "Site")</f>
        <v>Site</v>
      </c>
      <c r="D10" s="1" t="s">
        <v>712</v>
      </c>
      <c r="E10" s="13" t="s">
        <v>713</v>
      </c>
      <c r="F10" s="16" t="s">
        <v>711</v>
      </c>
    </row>
    <row r="11" spans="1:8" ht="20.100000000000001" customHeight="1" x14ac:dyDescent="0.2">
      <c r="A11" s="102" t="str">
        <f>HYPERLINK("#'Input - Crop'!A1", "Crop")</f>
        <v>Crop</v>
      </c>
      <c r="D11" s="12" t="s">
        <v>63</v>
      </c>
      <c r="E11" s="13" t="s">
        <v>475</v>
      </c>
      <c r="F11" s="16" t="s">
        <v>711</v>
      </c>
    </row>
    <row r="12" spans="1:8" ht="20.100000000000001" customHeight="1" x14ac:dyDescent="0.2">
      <c r="A12" s="5" t="str">
        <f>HYPERLINK("#'Input - Fert Prod System'!A1", "Fert Prod System")</f>
        <v>Fert Prod System</v>
      </c>
    </row>
    <row r="13" spans="1:8" ht="20.100000000000001" customHeight="1" x14ac:dyDescent="0.2">
      <c r="A13" s="5" t="str">
        <f>HYPERLINK("#'Input - Fertiliser'!A1", "Fertiliser")</f>
        <v>Fertiliser</v>
      </c>
      <c r="D13" s="1" t="s">
        <v>180</v>
      </c>
      <c r="E13" s="168">
        <v>1000</v>
      </c>
      <c r="F13" s="16" t="s">
        <v>714</v>
      </c>
    </row>
    <row r="14" spans="1:8" ht="20.100000000000001" customHeight="1" x14ac:dyDescent="0.2">
      <c r="A14" s="5" t="str">
        <f>HYPERLINK("#'Input - Fuel'!A1", "Fuel")</f>
        <v>Fuel</v>
      </c>
    </row>
    <row r="15" spans="1:8" ht="20.100000000000001" customHeight="1" x14ac:dyDescent="0.2">
      <c r="A15" s="5" t="str">
        <f>HYPERLINK("#'Input - Electricity'!A1", "Electricity")</f>
        <v>Electricity</v>
      </c>
      <c r="D15" s="2" t="s">
        <v>715</v>
      </c>
    </row>
    <row r="16" spans="1:8" ht="20.100000000000001" customHeight="1" x14ac:dyDescent="0.2">
      <c r="A16" s="5" t="str">
        <f>HYPERLINK("#'Input - Common farm inputs'!A1", "Common farm inputs")</f>
        <v>Common farm inputs</v>
      </c>
    </row>
    <row r="17" spans="1:6" ht="20.100000000000001" customHeight="1" x14ac:dyDescent="0.2">
      <c r="A17" s="5" t="str">
        <f>HYPERLINK("#'Input - Crop pasture farm input'!A1", "Crop pasture farm input")</f>
        <v>Crop pasture farm input</v>
      </c>
      <c r="D17" s="1" t="str">
        <f>X_Cell_Crop_CropPurpose &amp; " " &amp; _xlfn.XLOOKUP(X_Cell_Crop_CropPurpose,Table_SourceData_CropPurposeAndYields[Purpose], Table_SourceData_CropPurposeAndYields[harvest term]) &amp; " per hectare¹"</f>
        <v>Cash grain crop yield per hectare¹</v>
      </c>
      <c r="E17" s="76">
        <v>10</v>
      </c>
      <c r="F17" s="16" t="str">
        <f>"Tonnes " &amp; _xlfn.XLOOKUP(X_Cell_Crop_CropPurpose, Table_SourceData_CropPurposeAndYields[Purpose], Table_SourceData_CropPurposeAndYields[Per hectare unit], FALSE) &amp; " per hectare"</f>
        <v>Tonnes grain per hectare</v>
      </c>
    </row>
    <row r="18" spans="1:6" ht="20.100000000000001" customHeight="1" x14ac:dyDescent="0.2">
      <c r="A18" s="5" t="str">
        <f>HYPERLINK("#'Input - Freight'!A1", "Freight")</f>
        <v>Freight</v>
      </c>
      <c r="D18" s="1" t="s">
        <v>716</v>
      </c>
      <c r="E18" s="15">
        <f>_xlfn.IFS(X_Cell_Crop_CropPurpose="Cash grain crop", Common_InputFunctions.Utility_LookupValueInTableNumber(X_Cell_Crop_CropType, Table_SourceData_CropAttributes[Crop type],Table_SourceData_CropAttributes[Residue: Crop ratio]), X_Cell_Crop_CropPurpose="Cash crop for hay/silage", 0, X_Cell_Crop_CropPurpose="Cover crop", 1)</f>
        <v>1.5</v>
      </c>
    </row>
    <row r="19" spans="1:6" ht="20.100000000000001" customHeight="1" x14ac:dyDescent="0.2">
      <c r="A19" s="5" t="str">
        <f>HYPERLINK("#'Input - Solid waste'!A1", "Solid waste")</f>
        <v>Solid waste</v>
      </c>
      <c r="D19" s="1" t="s">
        <v>717</v>
      </c>
      <c r="E19" s="15">
        <f>X_Cell_Crop_YieldPerHectare*E18</f>
        <v>15</v>
      </c>
      <c r="F19" s="16" t="s">
        <v>718</v>
      </c>
    </row>
    <row r="20" spans="1:6" ht="20.100000000000001" customHeight="1" x14ac:dyDescent="0.2">
      <c r="A20" s="5" t="str">
        <f>HYPERLINK("#'Input - Data quality'!A1", "Data quality")</f>
        <v>Data quality</v>
      </c>
      <c r="D20" s="1" t="s">
        <v>719</v>
      </c>
      <c r="E20" s="15">
        <f>X_Cell_Crop_YieldPerHectare+E19</f>
        <v>25</v>
      </c>
      <c r="F20" s="16" t="s">
        <v>718</v>
      </c>
    </row>
    <row r="22" spans="1:6" ht="20.100000000000001" customHeight="1" x14ac:dyDescent="0.2">
      <c r="D22" s="77" t="s">
        <v>720</v>
      </c>
      <c r="E22" s="15">
        <f>X_Cell_Crop_YieldPerHectare*X_Cell_Crop_AreaUnderCropping</f>
        <v>10000</v>
      </c>
      <c r="F22" s="16" t="str">
        <f>"Tonnes " &amp; _xlfn.XLOOKUP(X_Cell_Crop_CropPurpose, Table_SourceData_CropPurposeAndYields[Purpose], Table_SourceData_CropPurposeAndYields[Harvest uit], FALSE)</f>
        <v>Tonnes grain</v>
      </c>
    </row>
    <row r="23" spans="1:6" ht="20.100000000000001" customHeight="1" x14ac:dyDescent="0.2">
      <c r="A23" s="6" t="s">
        <v>2</v>
      </c>
    </row>
    <row r="24" spans="1:6" ht="20.100000000000001" customHeight="1" x14ac:dyDescent="0.2">
      <c r="A24" s="5" t="str">
        <f>HYPERLINK("#'5.1.1.1-2 Inorganic fert N2O'!A1", "5.1.1.1-2 Inorganic fert N2O")</f>
        <v>5.1.1.1-2 Inorganic fert N2O</v>
      </c>
      <c r="D24" s="89" t="str">
        <f>"¹ " &amp; _xlfn.XLOOKUP(X_Cell_Crop_CropPurpose, Table_SourceData_CropPurposeAndYields[Purpose],Table_SourceData_CropPurposeAndYields[Yield note])</f>
        <v>¹ Yield is the grain harvested from the plant</v>
      </c>
    </row>
    <row r="25" spans="1:6" ht="20.100000000000001" customHeight="1" x14ac:dyDescent="0.2">
      <c r="A25" s="5" t="str">
        <f>HYPERLINK("#'5.1.1.3-4 Inorganic fert CO2'!A1", "5.1.1.3-4 Inorganic fert CO2")</f>
        <v>5.1.1.3-4 Inorganic fert CO2</v>
      </c>
      <c r="D25" s="89" t="str">
        <f>"² " &amp; _xlfn.XLOOKUP(X_Cell_Crop_CropPurpose, Table_SourceData_CropPurposeAndYields[Purpose],Table_SourceData_CropPurposeAndYields[Residue crop ratio note])</f>
        <v>² Residue to crop ratio is provided from default values</v>
      </c>
    </row>
    <row r="26" spans="1:6" ht="20.100000000000001" customHeight="1" x14ac:dyDescent="0.2">
      <c r="A26" s="5" t="str">
        <f>HYPERLINK("#'5.2.1.1-2 Organic Fert N2O'!A1", "5.2.1.1-2 Organic fert N2O")</f>
        <v>5.2.1.1-2 Organic fert N2O</v>
      </c>
      <c r="D26" s="89" t="str">
        <f>"³ " &amp; _xlfn.XLOOKUP(X_Cell_Crop_CropPurpose,Table_SourceData_CropPurposeAndYields[Purpose],Table_SourceData_CropPurposeAndYields[Total production note])</f>
        <v>³ Total production is the total grain harvested</v>
      </c>
    </row>
    <row r="27" spans="1:6" ht="20.100000000000001" customHeight="1" x14ac:dyDescent="0.2">
      <c r="A27" s="5" t="str">
        <f>HYPERLINK("#'5.3.1.1-2 Lime CO2'!A1", "5.3.1.1-2 Lime CO2")</f>
        <v>5.3.1.1-2 Lime CO2</v>
      </c>
    </row>
    <row r="28" spans="1:6" ht="20.100000000000001" customHeight="1" x14ac:dyDescent="0.2">
      <c r="A28" s="5" t="str">
        <f>HYPERLINK("#'5.4.1.1-4 Atmos deposition'!A1", "5.4.1.1-4 Atmos. deposition")</f>
        <v>5.4.1.1-4 Atmos. deposition</v>
      </c>
      <c r="D28" s="2" t="s">
        <v>721</v>
      </c>
    </row>
    <row r="29" spans="1:6" ht="20.100000000000001" customHeight="1" x14ac:dyDescent="0.2">
      <c r="A29" s="5" t="str">
        <f>HYPERLINK("#'5.5.1.1-2 Leaching and runoff'!A1", "5.5.1.1-2 Leaching &amp; runoff")</f>
        <v>5.5.1.1-2 Leaching &amp; runoff</v>
      </c>
    </row>
    <row r="30" spans="1:6" ht="20.100000000000001" customHeight="1" x14ac:dyDescent="0.2">
      <c r="A30" s="5" t="str">
        <f>HYPERLINK("#'6.1.1.1-2 Crop residue N2O'!A1", "6.1.1.1-2 Crop residue N2O")</f>
        <v>6.1.1.1-2 Crop residue N2O</v>
      </c>
      <c r="D30" s="1" t="str">
        <f>"Residue after " &amp; VLOOKUP(X_Cell_Crop_CropPurpose,'Constants - Ag Residue'!D8:G10, 4, FALSE)</f>
        <v>Residue after harvest</v>
      </c>
      <c r="E30" s="15">
        <f>E19*X_Cell_Crop_AreaUnderCropping</f>
        <v>15000</v>
      </c>
      <c r="F30" s="16" t="s">
        <v>722</v>
      </c>
    </row>
    <row r="31" spans="1:6" ht="20.100000000000001" customHeight="1" x14ac:dyDescent="0.2">
      <c r="A31" s="5" t="str">
        <f>HYPERLINK("#'6.3.1.1-2 Leach runoff crop'!A1", "6.3.1.1-2 Leach &amp; runoff (crop)")</f>
        <v>6.3.1.1-2 Leach &amp; runoff (crop)</v>
      </c>
    </row>
    <row r="32" spans="1:6" ht="20.100000000000001" customHeight="1" x14ac:dyDescent="0.2">
      <c r="A32" s="5" t="str">
        <f>HYPERLINK("#'6.4.1.1-2 Residue burning'!A1", "6.4.1.1-2 Residue burning")</f>
        <v>6.4.1.1-2 Residue burning</v>
      </c>
      <c r="D32" s="79" t="s">
        <v>723</v>
      </c>
    </row>
    <row r="33" spans="1:8" ht="20.100000000000001" customHeight="1" x14ac:dyDescent="0.2">
      <c r="A33" s="5" t="str">
        <f>HYPERLINK("#'8.1.1.1-2 Transport fuel'!A1", "8.1.1.1-2 Transport fuel")</f>
        <v>8.1.1.1-2 Transport fuel</v>
      </c>
      <c r="D33" s="1" t="s">
        <v>724</v>
      </c>
      <c r="E33" s="18">
        <v>0.11</v>
      </c>
      <c r="F33" s="16" t="s">
        <v>725</v>
      </c>
    </row>
    <row r="34" spans="1:8" ht="20.100000000000001" customHeight="1" x14ac:dyDescent="0.2">
      <c r="A34" s="5" t="str">
        <f>HYPERLINK("#'8.2.1.1-2 Stationary fuel'!A1", "8.2.1.1-2 Stationary fuel")</f>
        <v>8.2.1.1-2 Stationary fuel</v>
      </c>
      <c r="D34" s="1" t="s">
        <v>726</v>
      </c>
      <c r="E34" s="76">
        <v>60</v>
      </c>
      <c r="F34" s="16" t="s">
        <v>727</v>
      </c>
    </row>
    <row r="35" spans="1:8" ht="20.100000000000001" customHeight="1" x14ac:dyDescent="0.2">
      <c r="A35" s="5" t="str">
        <f>HYPERLINK("#'10.1.1-2 Solid waste treatment'!A1", "10.1.1.1-2 Solid waste")</f>
        <v>10.1.1.1-2 Solid waste</v>
      </c>
      <c r="D35" s="77" t="s">
        <v>728</v>
      </c>
      <c r="E35" s="220">
        <f>IFERROR((X_Cell_Crop_TotalResidueBaled*10^3)/X_Cell_Crop_AverageWeightPerBale, 0)</f>
        <v>27500</v>
      </c>
      <c r="F35" s="16" t="s">
        <v>729</v>
      </c>
    </row>
    <row r="36" spans="1:8" ht="20.100000000000001" customHeight="1" x14ac:dyDescent="0.2">
      <c r="A36" s="5" t="str">
        <f>HYPERLINK("#'14.1.1-2 Purchased electricity'!A1", "14.1.1-2 Purchased electricity")</f>
        <v>14.1.1-2 Purchased electricity</v>
      </c>
      <c r="D36" s="77" t="s">
        <v>730</v>
      </c>
      <c r="E36" s="15">
        <f>E30*X_Cell_Crop_PercentResidueBaled</f>
        <v>1650</v>
      </c>
      <c r="F36" s="16" t="s">
        <v>722</v>
      </c>
    </row>
    <row r="37" spans="1:8" ht="20.100000000000001" customHeight="1" x14ac:dyDescent="0.2">
      <c r="A37" s="5" t="str">
        <f>HYPERLINK("#'15 Scope 3'!A1", "15 Scope 3")</f>
        <v>15 Scope 3</v>
      </c>
      <c r="C37" s="116"/>
    </row>
    <row r="38" spans="1:8" ht="20.100000000000001" customHeight="1" x14ac:dyDescent="0.2">
      <c r="C38" s="116"/>
      <c r="D38" s="79" t="s">
        <v>731</v>
      </c>
    </row>
    <row r="39" spans="1:8" ht="20.100000000000001" customHeight="1" x14ac:dyDescent="0.2">
      <c r="D39" s="1" t="s">
        <v>732</v>
      </c>
      <c r="E39" s="18">
        <v>0.3</v>
      </c>
      <c r="F39" s="16" t="s">
        <v>725</v>
      </c>
    </row>
    <row r="40" spans="1:8" s="128" customFormat="1" ht="20.100000000000001" customHeight="1" x14ac:dyDescent="0.2">
      <c r="A40" s="82" t="s">
        <v>1</v>
      </c>
      <c r="C40" s="1"/>
      <c r="D40" s="1" t="s">
        <v>733</v>
      </c>
      <c r="E40" s="15">
        <f>E30*X_Cell_Crop_PercentResidueBurned</f>
        <v>4500</v>
      </c>
      <c r="F40" s="16" t="s">
        <v>722</v>
      </c>
      <c r="G40" s="1"/>
      <c r="H40" s="1"/>
    </row>
    <row r="41" spans="1:8" s="128" customFormat="1" ht="20.100000000000001" customHeight="1" x14ac:dyDescent="0.2">
      <c r="A41" s="5" t="str">
        <f>HYPERLINK("#'Constants - Ag Residue'!A1", "Constants - Ag residue")</f>
        <v>Constants - Ag residue</v>
      </c>
      <c r="C41" s="1"/>
      <c r="D41" s="1"/>
      <c r="E41" s="1"/>
      <c r="F41" s="1"/>
      <c r="G41" s="1"/>
      <c r="H41" s="1"/>
    </row>
    <row r="42" spans="1:8" ht="20.100000000000001" customHeight="1" x14ac:dyDescent="0.2">
      <c r="A42" s="5" t="str">
        <f>HYPERLINK("#'Constants - Electricity'!A1", "Constants - Electricity")</f>
        <v>Constants - Electricity</v>
      </c>
      <c r="D42" s="1" t="s">
        <v>734</v>
      </c>
      <c r="E42" s="15">
        <f>E30-X_Cell_Crop_TotalResidueBaled-E40</f>
        <v>8850</v>
      </c>
      <c r="F42" s="16" t="s">
        <v>722</v>
      </c>
    </row>
    <row r="43" spans="1:8" ht="20.100000000000001" customHeight="1" x14ac:dyDescent="0.2">
      <c r="A43" s="5" t="str">
        <f>HYPERLINK("#'Constants - Fertiliser'!A1", "Constants - Fertiliser")</f>
        <v>Constants - Fertiliser</v>
      </c>
    </row>
    <row r="44" spans="1:8" ht="20.100000000000001" customHeight="1" x14ac:dyDescent="0.2">
      <c r="A44" s="5" t="str">
        <f>HYPERLINK("#'Constants - Fuel'!A1", "Constants - Fuel")</f>
        <v>Constants - Fuel</v>
      </c>
    </row>
    <row r="45" spans="1:8" ht="20.100000000000001" customHeight="1" x14ac:dyDescent="0.2">
      <c r="A45" s="5" t="str">
        <f>HYPERLINK("#'Constants - Scope 3'!A1", "Constants - Scope 3")</f>
        <v>Constants - Scope 3</v>
      </c>
    </row>
    <row r="46" spans="1:8" ht="20.100000000000001" customHeight="1" x14ac:dyDescent="0.2">
      <c r="A46" s="5" t="str">
        <f>HYPERLINK("#'Constants - Solid Waste'!A1", "Constants - Solid Waste")</f>
        <v>Constants - Solid Waste</v>
      </c>
    </row>
    <row r="47" spans="1:8" ht="20.100000000000001" customHeight="1" x14ac:dyDescent="0.2">
      <c r="A47" s="5" t="str">
        <f>HYPERLINK("#'Constants - Common'!A1", "Constants - Common")</f>
        <v>Constants - Common</v>
      </c>
    </row>
    <row r="48" spans="1:8" ht="20.100000000000001" customHeight="1" x14ac:dyDescent="0.2">
      <c r="A48" s="5" t="str">
        <f>HYPERLINK("#'Constants - Common Livestock'!A1", "Constants - Common Livestock")</f>
        <v>Constants - Common Livestock</v>
      </c>
      <c r="D48" s="2"/>
    </row>
    <row r="50" spans="4:6" ht="20.100000000000001" customHeight="1" x14ac:dyDescent="0.2">
      <c r="D50" s="12"/>
      <c r="F50" s="16"/>
    </row>
    <row r="361" spans="4:4" ht="20.100000000000001" customHeight="1" x14ac:dyDescent="0.2">
      <c r="D361" s="89"/>
    </row>
  </sheetData>
  <conditionalFormatting sqref="E210:G210">
    <cfRule type="cellIs" dxfId="91" priority="6" operator="lessThan">
      <formula>0</formula>
    </cfRule>
  </conditionalFormatting>
  <conditionalFormatting sqref="F42">
    <cfRule type="cellIs" dxfId="90" priority="5" operator="lessThan">
      <formula>0</formula>
    </cfRule>
  </conditionalFormatting>
  <conditionalFormatting sqref="F126:F127">
    <cfRule type="cellIs" dxfId="89" priority="4" operator="lessThan">
      <formula>0</formula>
    </cfRule>
  </conditionalFormatting>
  <conditionalFormatting sqref="F138:F139">
    <cfRule type="cellIs" dxfId="88" priority="3" operator="lessThan">
      <formula>0</formula>
    </cfRule>
  </conditionalFormatting>
  <conditionalFormatting sqref="F150:F151">
    <cfRule type="cellIs" dxfId="87" priority="2" operator="lessThan">
      <formula>0</formula>
    </cfRule>
  </conditionalFormatting>
  <conditionalFormatting sqref="F162:F163">
    <cfRule type="cellIs" dxfId="86" priority="1" operator="lessThan">
      <formula>0</formula>
    </cfRule>
  </conditionalFormatting>
  <conditionalFormatting sqref="F250:F251">
    <cfRule type="cellIs" dxfId="85" priority="12" operator="lessThan">
      <formula>0</formula>
    </cfRule>
  </conditionalFormatting>
  <conditionalFormatting sqref="F255:F256">
    <cfRule type="cellIs" dxfId="84" priority="11" operator="lessThan">
      <formula>0</formula>
    </cfRule>
  </conditionalFormatting>
  <conditionalFormatting sqref="F260:F261">
    <cfRule type="cellIs" dxfId="83" priority="10" operator="lessThan">
      <formula>0</formula>
    </cfRule>
  </conditionalFormatting>
  <conditionalFormatting sqref="F284:F285">
    <cfRule type="cellIs" dxfId="82" priority="9" operator="lessThan">
      <formula>0</formula>
    </cfRule>
  </conditionalFormatting>
  <conditionalFormatting sqref="F289:F290">
    <cfRule type="cellIs" dxfId="81" priority="8" operator="lessThan">
      <formula>0</formula>
    </cfRule>
  </conditionalFormatting>
  <conditionalFormatting sqref="F294:F295">
    <cfRule type="cellIs" dxfId="80" priority="7" operator="lessThan">
      <formula>0</formula>
    </cfRule>
  </conditionalFormatting>
  <dataValidations count="8">
    <dataValidation type="list" allowBlank="1" showInputMessage="1" showErrorMessage="1" sqref="E11" xr:uid="{BE4C718F-2CEB-4B4A-AD3F-CE4699C97DEC}">
      <formula1>INDIRECT("Table_SourceData_Fertiliser_IrrigationMethods[Irrigation method]")</formula1>
    </dataValidation>
    <dataValidation type="list" allowBlank="1" showInputMessage="1" showErrorMessage="1" sqref="E9" xr:uid="{04348212-C010-48B1-A918-A9A54CC1866F}">
      <formula1>INDIRECT("Table_SourceData_CropAttributes[Crop type]")</formula1>
    </dataValidation>
    <dataValidation type="list" allowBlank="1" showInputMessage="1" showErrorMessage="1" sqref="E10" xr:uid="{172A0971-1860-4495-91E9-6E14BDA178B6}">
      <formula1>INDIRECT("Table_SourceData_CropPurposeAndYields[Purpose]")</formula1>
    </dataValidation>
    <dataValidation type="list" allowBlank="1" showInputMessage="1" showErrorMessage="1" sqref="E64" xr:uid="{EAC3C987-9EE1-4B04-9E78-9824B23008EE}">
      <formula1>INDIRECT("Table_SourceData_Swine_CropProdSystems[Production system]")</formula1>
    </dataValidation>
    <dataValidation type="list" allowBlank="1" showInputMessage="1" showErrorMessage="1" sqref="E65" xr:uid="{ED845689-DBC1-4E8A-8848-F303F0107E25}">
      <formula1>INDIRECT("Table_SourceData_Swine_IrrigationMethods[Irrigation method]")</formula1>
    </dataValidation>
    <dataValidation type="list" allowBlank="1" showInputMessage="1" showErrorMessage="1" sqref="E249 E254 E259 E293 E288 E283 E161 E149 E125 E137" xr:uid="{921C7B93-4DF3-4396-B9AD-B7DE31F1CF97}">
      <formula1>"Yes, No"</formula1>
    </dataValidation>
    <dataValidation type="list" allowBlank="1" showInputMessage="1" showErrorMessage="1" sqref="E225" xr:uid="{ABD6A86C-A809-40B4-B8B4-852D202F63B9}">
      <formula1>INDIRECT("Table_SourceData_Dairy_ProductionSystemTemplates[Area]")</formula1>
    </dataValidation>
    <dataValidation type="list" allowBlank="1" showInputMessage="1" showErrorMessage="1" sqref="D277" xr:uid="{2C97BCFE-2BC8-4DE8-AC07-61F834BD79D0}">
      <formula1>INDIRECT("Table_SourceData_PoultryMMSStage1[MMS]")</formula1>
    </dataValidation>
  </dataValidation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198B5-7ECE-40EA-8499-B24C208F76C0}">
  <sheetPr>
    <tabColor rgb="FFCC6600"/>
  </sheetPr>
  <dimension ref="A1:K48"/>
  <sheetViews>
    <sheetView showGridLines="0" zoomScaleNormal="100" workbookViewId="0">
      <pane xSplit="1" topLeftCell="B1" activePane="topRight" state="frozenSplit"/>
      <selection pane="topRight" activeCell="A47" sqref="A47"/>
      <extLst>
        <ext xmlns:xlsdti="http://schemas.microsoft.com/office/spreadsheetml/2023/showDataTypeIcons" uri="{77bfe23e-c014-4d31-8a63-9c772dbf06b6}">
          <xlsdti:showDataTypeIcons visible="0"/>
        </ext>
      </extLst>
    </sheetView>
  </sheetViews>
  <sheetFormatPr defaultRowHeight="20.100000000000001" customHeight="1" x14ac:dyDescent="0.2"/>
  <cols>
    <col min="1" max="1" width="36.7109375" customWidth="1"/>
    <col min="2" max="2" width="4.7109375" customWidth="1"/>
    <col min="3" max="3" width="4.7109375" style="1" customWidth="1"/>
    <col min="4" max="10" width="30.7109375" style="1" customWidth="1"/>
    <col min="11" max="11" width="4.7109375" style="1" customWidth="1"/>
  </cols>
  <sheetData>
    <row r="1" spans="1:11" s="10" customFormat="1" ht="30" customHeight="1" x14ac:dyDescent="0.35">
      <c r="A1" s="10" t="e" vm="1">
        <v>#VALUE!</v>
      </c>
      <c r="C1" s="10" t="s">
        <v>176</v>
      </c>
    </row>
    <row r="2" spans="1:11" s="3" customFormat="1" ht="20.100000000000001" customHeight="1" x14ac:dyDescent="0.2">
      <c r="A2"/>
    </row>
    <row r="3" spans="1:11" ht="20.100000000000001" customHeight="1" x14ac:dyDescent="0.2">
      <c r="A3" s="5" t="str">
        <f>HYPERLINK("#'Home'!A1", "Home")</f>
        <v>Home</v>
      </c>
      <c r="C3" s="29"/>
      <c r="D3" s="29"/>
      <c r="E3" s="29"/>
      <c r="F3" s="29"/>
      <c r="G3" s="29"/>
      <c r="H3" s="29"/>
      <c r="I3" s="29"/>
      <c r="J3" s="29"/>
      <c r="K3" s="29"/>
    </row>
    <row r="4" spans="1:11" ht="20.100000000000001" customHeight="1" x14ac:dyDescent="0.2">
      <c r="A4" s="5" t="str">
        <f>HYPERLINK("#'Results - Activity period'!A1", "Results - Activity period")</f>
        <v>Results - Activity period</v>
      </c>
    </row>
    <row r="5" spans="1:11" ht="20.100000000000001" customHeight="1" x14ac:dyDescent="0.2">
      <c r="A5" s="5" t="str">
        <f>HYPERLINK("#'Results - Product EI'!A1", "Results - Product EI")</f>
        <v>Results - Product EI</v>
      </c>
      <c r="D5" s="70" t="s">
        <v>181</v>
      </c>
      <c r="E5" s="70"/>
      <c r="F5" s="70"/>
      <c r="G5" s="70"/>
    </row>
    <row r="6" spans="1:11" ht="20.100000000000001" customHeight="1" x14ac:dyDescent="0.2">
      <c r="F6" s="16"/>
    </row>
    <row r="7" spans="1:11" ht="20.100000000000001" customHeight="1" x14ac:dyDescent="0.2">
      <c r="D7" s="1" t="s">
        <v>177</v>
      </c>
      <c r="E7" s="15" t="s">
        <v>178</v>
      </c>
      <c r="F7" s="16"/>
    </row>
    <row r="8" spans="1:11" ht="20.100000000000001" customHeight="1" x14ac:dyDescent="0.2">
      <c r="A8" s="7" t="s">
        <v>0</v>
      </c>
      <c r="D8" s="1" t="s">
        <v>179</v>
      </c>
      <c r="E8" s="15" t="str" cm="1">
        <f t="array" ref="E8">_xlfn.IFS(X_Cell_Crop_CropType="Maize", "Maize", X_Cell_Crop_CropType="Cotton", "Cotton", TRUE, "Grains")</f>
        <v>Grains</v>
      </c>
      <c r="F8" s="16"/>
    </row>
    <row r="9" spans="1:11" ht="20.100000000000001" customHeight="1" x14ac:dyDescent="0.2">
      <c r="A9" s="5" t="str">
        <f>HYPERLINK("#'Input - Enterprise'!A1", "Enterprise")</f>
        <v>Enterprise</v>
      </c>
      <c r="D9" s="1" t="s">
        <v>63</v>
      </c>
      <c r="E9" s="15" t="str" cm="1">
        <f t="array" ref="E9">X_Cell_Crop_IrrigationMethod</f>
        <v>Sprinkler irrigation</v>
      </c>
    </row>
    <row r="10" spans="1:11" ht="20.100000000000001" customHeight="1" x14ac:dyDescent="0.2">
      <c r="A10" s="5" t="str">
        <f>HYPERLINK("#'Input - Site'!A1", "Site")</f>
        <v>Site</v>
      </c>
      <c r="D10" s="1" t="s">
        <v>180</v>
      </c>
      <c r="E10" s="15" cm="1">
        <f t="array" ref="E10">X_Cell_Crop_AreaUnderCropping</f>
        <v>1000</v>
      </c>
    </row>
    <row r="11" spans="1:11" ht="20.100000000000001" customHeight="1" x14ac:dyDescent="0.2">
      <c r="A11" s="5" t="str">
        <f>HYPERLINK("#'Input - Crop'!A1", "Crop")</f>
        <v>Crop</v>
      </c>
    </row>
    <row r="12" spans="1:11" ht="20.100000000000001" customHeight="1" x14ac:dyDescent="0.2">
      <c r="A12" s="102" t="str">
        <f>HYPERLINK("#'Input - Fert Prod System'!A1", "Fert Prod System")</f>
        <v>Fert Prod System</v>
      </c>
    </row>
    <row r="13" spans="1:11" ht="20.100000000000001" customHeight="1" x14ac:dyDescent="0.2">
      <c r="A13" s="5" t="str">
        <f>HYPERLINK("#'Input - Fertiliser'!A1", "Fertiliser")</f>
        <v>Fertiliser</v>
      </c>
    </row>
    <row r="14" spans="1:11" ht="20.100000000000001" customHeight="1" x14ac:dyDescent="0.2">
      <c r="A14" s="5" t="str">
        <f>HYPERLINK("#'Input - Fuel'!A1", "Fuel")</f>
        <v>Fuel</v>
      </c>
    </row>
    <row r="15" spans="1:11" ht="20.100000000000001" customHeight="1" x14ac:dyDescent="0.2">
      <c r="A15" s="5" t="str">
        <f>HYPERLINK("#'Input - Electricity'!A1", "Electricity")</f>
        <v>Electricity</v>
      </c>
    </row>
    <row r="16" spans="1:11" ht="20.100000000000001" customHeight="1" x14ac:dyDescent="0.2">
      <c r="A16" s="5" t="str">
        <f>HYPERLINK("#'Input - Common farm inputs'!A1", "Common farm inputs")</f>
        <v>Common farm inputs</v>
      </c>
    </row>
    <row r="17" spans="1:1" ht="20.100000000000001" customHeight="1" x14ac:dyDescent="0.2">
      <c r="A17" s="5" t="str">
        <f>HYPERLINK("#'Input - Crop pasture farm input'!A1", "Crop pasture farm input")</f>
        <v>Crop pasture farm input</v>
      </c>
    </row>
    <row r="18" spans="1:1" ht="20.100000000000001" customHeight="1" x14ac:dyDescent="0.2">
      <c r="A18" s="5" t="str">
        <f>HYPERLINK("#'Input - Freight'!A1", "Freight")</f>
        <v>Freight</v>
      </c>
    </row>
    <row r="19" spans="1:1" ht="20.100000000000001" customHeight="1" x14ac:dyDescent="0.2">
      <c r="A19" s="5" t="str">
        <f>HYPERLINK("#'Input - Solid waste'!A1", "Solid waste")</f>
        <v>Solid waste</v>
      </c>
    </row>
    <row r="20" spans="1:1" ht="20.100000000000001" customHeight="1" x14ac:dyDescent="0.2">
      <c r="A20" s="5" t="str">
        <f>HYPERLINK("#'Input - Data quality'!A1", "Data quality")</f>
        <v>Data quality</v>
      </c>
    </row>
    <row r="23" spans="1:1" ht="20.100000000000001" customHeight="1" x14ac:dyDescent="0.2">
      <c r="A23" s="6" t="s">
        <v>2</v>
      </c>
    </row>
    <row r="24" spans="1:1" ht="20.100000000000001" customHeight="1" x14ac:dyDescent="0.2">
      <c r="A24" s="5" t="str">
        <f>HYPERLINK("#'5.1.1.1-2 Inorganic fert N2O'!A1", "5.1.1.1-2 Inorganic fert N2O")</f>
        <v>5.1.1.1-2 Inorganic fert N2O</v>
      </c>
    </row>
    <row r="25" spans="1:1" ht="20.100000000000001" customHeight="1" x14ac:dyDescent="0.2">
      <c r="A25" s="5" t="str">
        <f>HYPERLINK("#'5.1.1.3-4 Inorganic fert CO2'!A1", "5.1.1.3-4 Inorganic fert CO2")</f>
        <v>5.1.1.3-4 Inorganic fert CO2</v>
      </c>
    </row>
    <row r="26" spans="1:1" ht="20.100000000000001" customHeight="1" x14ac:dyDescent="0.2">
      <c r="A26" s="5" t="str">
        <f>HYPERLINK("#'5.2.1.1-2 Organic Fert N2O'!A1", "5.2.1.1-2 Organic fert N2O")</f>
        <v>5.2.1.1-2 Organic fert N2O</v>
      </c>
    </row>
    <row r="27" spans="1:1" ht="20.100000000000001" customHeight="1" x14ac:dyDescent="0.2">
      <c r="A27" s="5" t="str">
        <f>HYPERLINK("#'5.3.1.1-2 Lime CO2'!A1", "5.3.1.1-2 Lime CO2")</f>
        <v>5.3.1.1-2 Lime CO2</v>
      </c>
    </row>
    <row r="28" spans="1:1" ht="20.100000000000001" customHeight="1" x14ac:dyDescent="0.2">
      <c r="A28" s="5" t="str">
        <f>HYPERLINK("#'5.4.1.1-4 Atmos deposition'!A1", "5.4.1.1-4 Atmos. deposition")</f>
        <v>5.4.1.1-4 Atmos. deposition</v>
      </c>
    </row>
    <row r="29" spans="1:1" ht="20.100000000000001" customHeight="1" x14ac:dyDescent="0.2">
      <c r="A29" s="5" t="str">
        <f>HYPERLINK("#'5.5.1.1-2 Leaching and runoff'!A1", "5.5.1.1-2 Leaching &amp; runoff")</f>
        <v>5.5.1.1-2 Leaching &amp; runoff</v>
      </c>
    </row>
    <row r="30" spans="1:1" ht="20.100000000000001" customHeight="1" x14ac:dyDescent="0.2">
      <c r="A30" s="5" t="str">
        <f>HYPERLINK("#'6.1.1.1-2 Crop residue N2O'!A1", "6.1.1.1-2 Crop residue N2O")</f>
        <v>6.1.1.1-2 Crop residue N2O</v>
      </c>
    </row>
    <row r="31" spans="1:1" ht="20.100000000000001" customHeight="1" x14ac:dyDescent="0.2">
      <c r="A31" s="5" t="str">
        <f>HYPERLINK("#'6.3.1.1-2 Leach runoff crop'!A1", "6.3.1.1-2 Leach &amp; runoff (crop)")</f>
        <v>6.3.1.1-2 Leach &amp; runoff (crop)</v>
      </c>
    </row>
    <row r="32" spans="1:1" ht="20.100000000000001" customHeight="1" x14ac:dyDescent="0.2">
      <c r="A32" s="5" t="str">
        <f>HYPERLINK("#'6.4.1.1-2 Residue burning'!A1", "6.4.1.1-2 Residue burning")</f>
        <v>6.4.1.1-2 Residue burning</v>
      </c>
    </row>
    <row r="33" spans="1:1" ht="20.100000000000001" customHeight="1" x14ac:dyDescent="0.2">
      <c r="A33" s="5" t="str">
        <f>HYPERLINK("#'8.1.1.1-2 Transport fuel'!A1", "8.1.1.1-2 Transport fuel")</f>
        <v>8.1.1.1-2 Transport fuel</v>
      </c>
    </row>
    <row r="34" spans="1:1" ht="20.100000000000001" customHeight="1" x14ac:dyDescent="0.2">
      <c r="A34" s="5" t="str">
        <f>HYPERLINK("#'8.2.1.1-2 Stationary fuel'!A1", "8.2.1.1-2 Stationary fuel")</f>
        <v>8.2.1.1-2 Stationary fuel</v>
      </c>
    </row>
    <row r="35" spans="1:1" ht="20.100000000000001" customHeight="1" x14ac:dyDescent="0.2">
      <c r="A35" s="5" t="str">
        <f>HYPERLINK("#'10.1.1-2 Solid waste treatment'!A1", "10.1.1.1-2 Solid waste")</f>
        <v>10.1.1.1-2 Solid waste</v>
      </c>
    </row>
    <row r="36" spans="1:1" ht="20.100000000000001" customHeight="1" x14ac:dyDescent="0.2">
      <c r="A36" s="5" t="str">
        <f>HYPERLINK("#'14.1.1-2 Purchased electricity'!A1", "14.1.1-2 Purchased electricity")</f>
        <v>14.1.1-2 Purchased electricity</v>
      </c>
    </row>
    <row r="37" spans="1:1" ht="20.100000000000001" customHeight="1" x14ac:dyDescent="0.2">
      <c r="A37" s="5" t="str">
        <f>HYPERLINK("#'15 Scope 3'!A1", "15 Scope 3")</f>
        <v>15 Scope 3</v>
      </c>
    </row>
    <row r="40" spans="1:1" ht="20.100000000000001" customHeight="1" x14ac:dyDescent="0.2">
      <c r="A40" s="82" t="s">
        <v>1</v>
      </c>
    </row>
    <row r="41" spans="1:1" ht="20.100000000000001" customHeight="1" x14ac:dyDescent="0.2">
      <c r="A41" s="5" t="str">
        <f>HYPERLINK("#'Constants - Ag Residue'!A1", "Constants - Ag residue")</f>
        <v>Constants - Ag residue</v>
      </c>
    </row>
    <row r="42" spans="1:1" ht="20.100000000000001" customHeight="1" x14ac:dyDescent="0.2">
      <c r="A42" s="5" t="str">
        <f>HYPERLINK("#'Constants - Electricity'!A1", "Constants - Electricity")</f>
        <v>Constants - Electricity</v>
      </c>
    </row>
    <row r="43" spans="1:1" ht="20.100000000000001" customHeight="1" x14ac:dyDescent="0.2">
      <c r="A43" s="5" t="str">
        <f>HYPERLINK("#'Constants - Fertiliser'!A1", "Constants - Fertiliser")</f>
        <v>Constants - Fertiliser</v>
      </c>
    </row>
    <row r="44" spans="1:1" ht="20.100000000000001" customHeight="1" x14ac:dyDescent="0.2">
      <c r="A44" s="5" t="str">
        <f>HYPERLINK("#'Constants - Fuel'!A1", "Constants - Fuel")</f>
        <v>Constants - Fuel</v>
      </c>
    </row>
    <row r="45" spans="1:1" ht="20.100000000000001" customHeight="1" x14ac:dyDescent="0.2">
      <c r="A45" s="5" t="str">
        <f>HYPERLINK("#'Constants - Scope 3'!A1", "Constants - Scope 3")</f>
        <v>Constants - Scope 3</v>
      </c>
    </row>
    <row r="46" spans="1:1" ht="20.100000000000001" customHeight="1" x14ac:dyDescent="0.2">
      <c r="A46" s="5" t="str">
        <f>HYPERLINK("#'Constants - Solid Waste'!A1", "Constants - Solid Waste")</f>
        <v>Constants - Solid Waste</v>
      </c>
    </row>
    <row r="47" spans="1:1" ht="20.100000000000001" customHeight="1" x14ac:dyDescent="0.2">
      <c r="A47" s="5" t="str">
        <f>HYPERLINK("#'Constants - Common'!A1", "Constants - Common")</f>
        <v>Constants - Common</v>
      </c>
    </row>
    <row r="48" spans="1:1" ht="20.100000000000001" customHeight="1" x14ac:dyDescent="0.2">
      <c r="A48" s="5" t="str">
        <f>HYPERLINK("#'Constants - Common Livestock'!A1", "Constants - Common Livestock")</f>
        <v>Constants - Common Livestock</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D1128-F559-41E5-81C7-19E9399108BD}">
  <sheetPr>
    <tabColor theme="5" tint="-0.249977111117893"/>
  </sheetPr>
  <dimension ref="A1:AA378"/>
  <sheetViews>
    <sheetView showGridLines="0" zoomScaleNormal="100" workbookViewId="0">
      <pane xSplit="1" topLeftCell="B1" activePane="topRight" state="frozenSplit"/>
      <selection pane="topRight" activeCell="A47" sqref="A47"/>
    </sheetView>
  </sheetViews>
  <sheetFormatPr defaultRowHeight="20.100000000000001" customHeight="1" x14ac:dyDescent="0.2"/>
  <cols>
    <col min="1" max="1" width="36.7109375" customWidth="1"/>
    <col min="2" max="2" width="4.7109375" customWidth="1"/>
    <col min="3" max="3" width="4.7109375" style="1" customWidth="1"/>
    <col min="4" max="4" width="52.140625" style="1" customWidth="1"/>
    <col min="5" max="24" width="30.7109375" style="1" customWidth="1"/>
    <col min="25" max="26" width="20.7109375" style="1" customWidth="1"/>
    <col min="27" max="27" width="4.7109375" style="1" customWidth="1"/>
  </cols>
  <sheetData>
    <row r="1" spans="1:27" s="10" customFormat="1" ht="30" customHeight="1" x14ac:dyDescent="0.35">
      <c r="A1" s="10" t="e" vm="1">
        <v>#VALUE!</v>
      </c>
      <c r="C1" s="10" t="s">
        <v>297</v>
      </c>
    </row>
    <row r="2" spans="1:27" s="3" customFormat="1" ht="20.100000000000001" customHeight="1" x14ac:dyDescent="0.2">
      <c r="A2"/>
    </row>
    <row r="3" spans="1:27" ht="20.100000000000001" customHeight="1" x14ac:dyDescent="0.2">
      <c r="A3" s="5" t="str">
        <f>HYPERLINK("#'Home'!A1", "Home")</f>
        <v>Home</v>
      </c>
      <c r="C3" s="29"/>
      <c r="D3" s="29"/>
      <c r="E3" s="29"/>
      <c r="F3" s="29"/>
      <c r="G3" s="29"/>
      <c r="H3" s="29"/>
      <c r="I3" s="29"/>
      <c r="J3" s="29"/>
      <c r="K3" s="29"/>
      <c r="L3" s="29"/>
      <c r="M3" s="29"/>
      <c r="N3" s="29"/>
      <c r="O3" s="29"/>
      <c r="P3" s="29"/>
      <c r="Q3" s="29"/>
      <c r="R3" s="29"/>
      <c r="S3" s="29"/>
      <c r="T3" s="29"/>
      <c r="U3" s="29"/>
      <c r="V3" s="29"/>
      <c r="W3" s="29"/>
      <c r="X3" s="29"/>
      <c r="Y3" s="29"/>
      <c r="Z3" s="29"/>
      <c r="AA3" s="29"/>
    </row>
    <row r="4" spans="1:27" ht="20.100000000000001" customHeight="1" x14ac:dyDescent="0.2">
      <c r="A4" s="5" t="str">
        <f>HYPERLINK("#'Results - Activity period'!A1", "Results - Activity period")</f>
        <v>Results - Activity period</v>
      </c>
    </row>
    <row r="5" spans="1:27" ht="20.100000000000001" customHeight="1" x14ac:dyDescent="0.2">
      <c r="A5" s="5" t="str">
        <f>HYPERLINK("#'Results - Product EI'!A1", "Results - Product EI")</f>
        <v>Results - Product EI</v>
      </c>
      <c r="D5" s="2" t="s">
        <v>298</v>
      </c>
      <c r="E5" s="25"/>
      <c r="F5" s="25"/>
      <c r="G5" s="25"/>
      <c r="H5" s="25"/>
      <c r="I5" s="25"/>
      <c r="J5" s="25"/>
      <c r="K5" s="25"/>
      <c r="L5" s="25"/>
      <c r="M5" s="25"/>
    </row>
    <row r="6" spans="1:27" ht="20.100000000000001" customHeight="1" x14ac:dyDescent="0.2">
      <c r="D6" s="8"/>
      <c r="E6" s="8"/>
      <c r="F6" s="8"/>
      <c r="G6" s="8"/>
      <c r="H6" s="8"/>
      <c r="I6" s="8"/>
      <c r="J6" s="8"/>
      <c r="K6" s="8"/>
      <c r="L6" s="8"/>
      <c r="M6" s="8"/>
    </row>
    <row r="7" spans="1:27" ht="20.100000000000001" customHeight="1" x14ac:dyDescent="0.2">
      <c r="D7" s="99" t="s">
        <v>299</v>
      </c>
      <c r="E7" s="44"/>
      <c r="F7" s="44"/>
      <c r="G7" s="44"/>
      <c r="H7" s="45"/>
      <c r="I7" s="100"/>
      <c r="J7" s="101"/>
      <c r="K7" s="101"/>
      <c r="L7" s="101"/>
      <c r="M7" s="101"/>
    </row>
    <row r="8" spans="1:27" ht="20.100000000000001" customHeight="1" x14ac:dyDescent="0.2">
      <c r="A8" s="7" t="s">
        <v>0</v>
      </c>
      <c r="D8" s="46" t="s">
        <v>300</v>
      </c>
      <c r="E8" s="47"/>
      <c r="F8" s="47"/>
      <c r="G8" s="47"/>
      <c r="H8" s="48"/>
      <c r="I8" s="8"/>
      <c r="J8" s="8"/>
      <c r="K8" s="8"/>
      <c r="L8" s="8"/>
      <c r="M8" s="8"/>
    </row>
    <row r="9" spans="1:27" ht="20.100000000000001" customHeight="1" x14ac:dyDescent="0.2">
      <c r="A9" s="5" t="str">
        <f>HYPERLINK("#'Input - Enterprise'!A1", "Enterprise")</f>
        <v>Enterprise</v>
      </c>
      <c r="D9" s="8"/>
      <c r="E9" s="8"/>
      <c r="F9" s="8"/>
      <c r="G9" s="8"/>
      <c r="H9" s="8"/>
      <c r="I9" s="8"/>
      <c r="J9" s="8"/>
      <c r="K9" s="8"/>
      <c r="L9" s="8"/>
      <c r="M9" s="8"/>
    </row>
    <row r="10" spans="1:27" ht="20.100000000000001" customHeight="1" x14ac:dyDescent="0.2">
      <c r="A10" s="5" t="str">
        <f>HYPERLINK("#'Input - Site'!A1", "Site")</f>
        <v>Site</v>
      </c>
      <c r="D10" s="79" t="s">
        <v>301</v>
      </c>
      <c r="E10" s="8"/>
      <c r="F10" s="8"/>
      <c r="G10" s="8"/>
      <c r="H10" s="8"/>
      <c r="I10" s="8"/>
      <c r="J10" s="8"/>
      <c r="K10" s="8"/>
      <c r="L10" s="8"/>
      <c r="M10" s="8"/>
    </row>
    <row r="11" spans="1:27" ht="20.100000000000001" customHeight="1" x14ac:dyDescent="0.2">
      <c r="A11" s="5" t="str">
        <f>HYPERLINK("#'Input - Crop'!A1", "Crop")</f>
        <v>Crop</v>
      </c>
      <c r="D11" s="103" t="s">
        <v>302</v>
      </c>
      <c r="E11" s="104" t="s">
        <v>303</v>
      </c>
      <c r="F11" s="105" t="s">
        <v>304</v>
      </c>
      <c r="G11" s="104" t="s">
        <v>305</v>
      </c>
      <c r="H11" s="105" t="s">
        <v>306</v>
      </c>
      <c r="I11" s="104" t="s">
        <v>307</v>
      </c>
      <c r="J11" s="103" t="s">
        <v>308</v>
      </c>
      <c r="K11" s="103" t="s">
        <v>309</v>
      </c>
      <c r="L11" s="103" t="s">
        <v>310</v>
      </c>
      <c r="M11" s="103" t="s">
        <v>311</v>
      </c>
      <c r="N11" s="103" t="s">
        <v>312</v>
      </c>
      <c r="O11" s="103" t="s">
        <v>313</v>
      </c>
      <c r="P11" s="103" t="s">
        <v>314</v>
      </c>
      <c r="Q11" s="103" t="s">
        <v>315</v>
      </c>
      <c r="R11" s="103" t="s">
        <v>316</v>
      </c>
      <c r="S11" s="103" t="s">
        <v>317</v>
      </c>
      <c r="T11" s="103" t="s">
        <v>318</v>
      </c>
      <c r="U11" s="103" t="s">
        <v>319</v>
      </c>
      <c r="V11" s="103" t="s">
        <v>320</v>
      </c>
      <c r="W11" s="103" t="s">
        <v>321</v>
      </c>
      <c r="X11" s="103" t="s">
        <v>322</v>
      </c>
      <c r="Y11" s="103" t="s">
        <v>323</v>
      </c>
      <c r="Z11" s="103" t="s">
        <v>324</v>
      </c>
    </row>
    <row r="12" spans="1:27" ht="20.100000000000001" customHeight="1" x14ac:dyDescent="0.2">
      <c r="A12" s="5" t="str">
        <f>HYPERLINK("#'Input - Fert Prod System'!A1", "Fert Prod System")</f>
        <v>Fert Prod System</v>
      </c>
      <c r="D12" s="106" t="s">
        <v>325</v>
      </c>
      <c r="E12" s="107">
        <v>100</v>
      </c>
      <c r="F12" s="15" t="str">
        <f>IFERROR(_xlfn.XLOOKUP(Table_Input_InorganicFertiliser_Brands[[#This Row],[Product (select)]],FertiliserProducts[Product],FertiliserProducts[Unit]), "kg")</f>
        <v>kg</v>
      </c>
      <c r="G12" s="107">
        <f t="shared" ref="G12" si="0">X_Cell_Fertiliser_AreaUnderCropping</f>
        <v>1000</v>
      </c>
      <c r="H12" s="108">
        <f>IFERROR(_xlfn.XLOOKUP(Table_Input_InorganicFertiliser_Brands[[#This Row],[Product (select)]],FertiliserProducts[Product],FertiliserProducts[Density]), 1)</f>
        <v>1</v>
      </c>
      <c r="I12" s="109">
        <f>(Table_Input_InorganicFertiliser_Brands[[#This Row],[Amount applied per hectare]]*Table_Input_InorganicFertiliser_Brands[[#This Row],[Density]])*Table_Input_InorganicFertiliser_Brands[[#This Row],[Application area (ha)]]</f>
        <v>100000</v>
      </c>
      <c r="J12" s="109" t="str" cm="1">
        <f t="array" ref="J12">Fertiliser_InputFunctions.Fertiliser_FertiliserProductLookup(Table_Input_InorganicFertiliser_Brands[[#This Row],[Product (select)]], Table_Input_InorganicFertiliser_Brands[[#Headers],[Ingredient 1]], FertiliserProducts[#Data], FertiliserProducts[Product], FertiliserProducts[#Headers])</f>
        <v>Urea</v>
      </c>
      <c r="K12" s="109" cm="1">
        <f t="array" ref="K12">Fertiliser_InputFunctions.Fertiliser_FertiliserProductLookup(Table_Input_InorganicFertiliser_Brands[[#This Row],[Product (select)]], Table_Input_InorganicFertiliser_Brands[[#Headers],[Ingredient 1 percent]], FertiliserProducts[#Data], FertiliserProducts[Product], FertiliserProducts[#Headers])</f>
        <v>1</v>
      </c>
      <c r="L12" s="109" cm="1">
        <f t="array" ref="L12">Fertiliser_InputFunctions.Fertiliser_FertiliserProductLookup(Table_Input_InorganicFertiliser_Brands[[#This Row],[Product (select)]], Table_Input_InorganicFertiliser_Brands[[#Headers],[Ingredient 2]], FertiliserProducts[#Data], FertiliserProducts[Product], FertiliserProducts[#Headers])</f>
        <v>0</v>
      </c>
      <c r="M12" s="109" cm="1">
        <f t="array" ref="M12">Fertiliser_InputFunctions.Fertiliser_FertiliserProductLookup(Table_Input_InorganicFertiliser_Brands[[#This Row],[Product (select)]], Table_Input_InorganicFertiliser_Brands[[#Headers],[Ingredient 2 percent]], FertiliserProducts[#Data], FertiliserProducts[Product], FertiliserProducts[#Headers])</f>
        <v>0</v>
      </c>
      <c r="N12" s="109" cm="1">
        <f t="array" ref="N12">Fertiliser_InputFunctions.Fertiliser_FertiliserProductLookup(Table_Input_InorganicFertiliser_Brands[[#This Row],[Product (select)]], Table_Input_InorganicFertiliser_Brands[[#Headers],[Ingredient 3]], FertiliserProducts[#Data], FertiliserProducts[Product], FertiliserProducts[#Headers])</f>
        <v>0</v>
      </c>
      <c r="O12" s="109" cm="1">
        <f t="array" ref="O12">Fertiliser_InputFunctions.Fertiliser_FertiliserProductLookup(Table_Input_InorganicFertiliser_Brands[[#This Row],[Product (select)]], Table_Input_InorganicFertiliser_Brands[[#Headers],[Ingredient 3 percent]], FertiliserProducts[#Data], FertiliserProducts[Product], FertiliserProducts[#Headers])</f>
        <v>0</v>
      </c>
      <c r="P12" s="109" cm="1">
        <f t="array" ref="P12">Fertiliser_InputFunctions.Fertiliser_FertiliserProductLookup(Table_Input_InorganicFertiliser_Brands[[#This Row],[Product (select)]], Table_Input_InorganicFertiliser_Brands[[#Headers],[Ingredient 4]], FertiliserProducts[#Data], FertiliserProducts[Product], FertiliserProducts[#Headers])</f>
        <v>0</v>
      </c>
      <c r="Q12" s="109" cm="1">
        <f t="array" ref="Q12">Fertiliser_InputFunctions.Fertiliser_FertiliserProductLookup(Table_Input_InorganicFertiliser_Brands[[#This Row],[Product (select)]], Table_Input_InorganicFertiliser_Brands[[#Headers],[Ingredient 4 percent]], FertiliserProducts[#Data], FertiliserProducts[Product], FertiliserProducts[#Headers])</f>
        <v>0</v>
      </c>
      <c r="R12" s="109" cm="1">
        <f t="array" ref="R12">Fertiliser_InputFunctions.Fertiliser_FertiliserProductLookup(Table_Input_InorganicFertiliser_Brands[[#This Row],[Product (select)]], Table_Input_InorganicFertiliser_Brands[[#Headers],[Ingredient 5]], FertiliserProducts[#Data], FertiliserProducts[Product], FertiliserProducts[#Headers])</f>
        <v>0</v>
      </c>
      <c r="S12" s="109" cm="1">
        <f t="array" ref="S12">Fertiliser_InputFunctions.Fertiliser_FertiliserProductLookup(Table_Input_InorganicFertiliser_Brands[[#This Row],[Product (select)]], Table_Input_InorganicFertiliser_Brands[[#Headers],[Ingredient 5 percent]], FertiliserProducts[#Data], FertiliserProducts[Product], FertiliserProducts[#Headers])</f>
        <v>0</v>
      </c>
      <c r="T12" s="109" cm="1">
        <f t="array" ref="T12">Fertiliser_InputFunctions.Fertiliser_FertiliserProductLookup(Table_Input_InorganicFertiliser_Brands[[#This Row],[Product (select)]], Table_Input_InorganicFertiliser_Brands[[#Headers],[Ingredient 6]], FertiliserProducts[#Data], FertiliserProducts[Product], FertiliserProducts[#Headers])</f>
        <v>0</v>
      </c>
      <c r="U12" s="109" cm="1">
        <f t="array" ref="U12">Fertiliser_InputFunctions.Fertiliser_FertiliserProductLookup(Table_Input_InorganicFertiliser_Brands[[#This Row],[Product (select)]], Table_Input_InorganicFertiliser_Brands[[#Headers],[Ingredient 6 percent]], FertiliserProducts[#Data], FertiliserProducts[Product], FertiliserProducts[#Headers])</f>
        <v>0</v>
      </c>
      <c r="V12" s="109">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0.46</v>
      </c>
      <c r="W12" s="109" cm="1">
        <f t="array" ref="W12">IFERROR(Fertiliser_InputFunctions.Fertiliser_FertiliserProductLookup(Table_Input_InorganicFertiliser_Brands[[#This Row],[Product (select)]], "N declared", FertiliserProducts[#Data], FertiliserProducts[Product], FertiliserProducts[#Headers])*0.01, 0)</f>
        <v>0.46</v>
      </c>
      <c r="X12" s="109">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46</v>
      </c>
      <c r="Y12" s="109">
        <f>IFERROR(_xlfn.XLOOKUP(Table_Input_InorganicFertiliser_Brands[[#This Row],[Product (select)]],FertiliserProducts[Product],FertiliserProducts[Urea source]), "")</f>
        <v>0</v>
      </c>
      <c r="Z12" s="109">
        <f>IFERROR(_xlfn.XLOOKUP(Table_Input_InorganicFertiliser_Brands[[#This Row],[Product (select)]],FertiliserProducts[Product],FertiliserProducts[Ammonia source]), "")</f>
        <v>0</v>
      </c>
    </row>
    <row r="13" spans="1:27" ht="20.100000000000001" customHeight="1" x14ac:dyDescent="0.2">
      <c r="A13" s="102" t="str">
        <f>HYPERLINK("#'Input - Fertiliser'!A1", "Fertiliser")</f>
        <v>Fertiliser</v>
      </c>
      <c r="D13" s="106" t="s">
        <v>326</v>
      </c>
      <c r="E13" s="107">
        <v>100</v>
      </c>
      <c r="F13" s="15" t="str">
        <f>IFERROR(_xlfn.XLOOKUP(Table_Input_InorganicFertiliser_Brands[[#This Row],[Product (select)]],FertiliserProducts[Product],FertiliserProducts[Unit]), "kg")</f>
        <v>kg</v>
      </c>
      <c r="G13" s="107">
        <f t="shared" ref="G13" si="1">X_Cell_Fertiliser_AreaUnderCropping</f>
        <v>1000</v>
      </c>
      <c r="H13" s="108">
        <f>IFERROR(_xlfn.XLOOKUP(Table_Input_InorganicFertiliser_Brands[[#This Row],[Product (select)]],FertiliserProducts[Product],FertiliserProducts[Density]), 1)</f>
        <v>1</v>
      </c>
      <c r="I13" s="109">
        <f>(Table_Input_InorganicFertiliser_Brands[[#This Row],[Amount applied per hectare]]*Table_Input_InorganicFertiliser_Brands[[#This Row],[Density]])*Table_Input_InorganicFertiliser_Brands[[#This Row],[Application area (ha)]]</f>
        <v>100000</v>
      </c>
      <c r="J13" s="109" t="str" cm="1">
        <f t="array" ref="J13">Fertiliser_InputFunctions.Fertiliser_FertiliserProductLookup(Table_Input_InorganicFertiliser_Brands[[#This Row],[Product (select)]], Table_Input_InorganicFertiliser_Brands[[#Headers],[Ingredient 1]], FertiliserProducts[#Data], FertiliserProducts[Product], FertiliserProducts[#Headers])</f>
        <v>Urea</v>
      </c>
      <c r="K13" s="109" cm="1">
        <f t="array" ref="K13">Fertiliser_InputFunctions.Fertiliser_FertiliserProductLookup(Table_Input_InorganicFertiliser_Brands[[#This Row],[Product (select)]], Table_Input_InorganicFertiliser_Brands[[#Headers],[Ingredient 1 percent]], FertiliserProducts[#Data], FertiliserProducts[Product], FertiliserProducts[#Headers])</f>
        <v>0.52173899999999995</v>
      </c>
      <c r="L13" s="109" t="str" cm="1">
        <f t="array" ref="L13">Fertiliser_InputFunctions.Fertiliser_FertiliserProductLookup(Table_Input_InorganicFertiliser_Brands[[#This Row],[Product (select)]], Table_Input_InorganicFertiliser_Brands[[#Headers],[Ingredient 2]], FertiliserProducts[#Data], FertiliserProducts[Product], FertiliserProducts[#Headers])</f>
        <v>Potassium - Generic</v>
      </c>
      <c r="M13" s="109" cm="1">
        <f t="array" ref="M13">Fertiliser_InputFunctions.Fertiliser_FertiliserProductLookup(Table_Input_InorganicFertiliser_Brands[[#This Row],[Product (select)]], Table_Input_InorganicFertiliser_Brands[[#Headers],[Ingredient 2 percent]], FertiliserProducts[#Data], FertiliserProducts[Product], FertiliserProducts[#Headers])</f>
        <v>0.08</v>
      </c>
      <c r="N13" s="109" t="str" cm="1">
        <f t="array" ref="N13">Fertiliser_InputFunctions.Fertiliser_FertiliserProductLookup(Table_Input_InorganicFertiliser_Brands[[#This Row],[Product (select)]], Table_Input_InorganicFertiliser_Brands[[#Headers],[Ingredient 3]], FertiliserProducts[#Data], FertiliserProducts[Product], FertiliserProducts[#Headers])</f>
        <v>Sulfur - Generic</v>
      </c>
      <c r="O13" s="109" cm="1">
        <f t="array" ref="O13">Fertiliser_InputFunctions.Fertiliser_FertiliserProductLookup(Table_Input_InorganicFertiliser_Brands[[#This Row],[Product (select)]], Table_Input_InorganicFertiliser_Brands[[#Headers],[Ingredient 3 percent]], FertiliserProducts[#Data], FertiliserProducts[Product], FertiliserProducts[#Headers])</f>
        <v>5.2999999999999999E-2</v>
      </c>
      <c r="P13" s="109" t="str" cm="1">
        <f t="array" ref="P13">Fertiliser_InputFunctions.Fertiliser_FertiliserProductLookup(Table_Input_InorganicFertiliser_Brands[[#This Row],[Product (select)]], Table_Input_InorganicFertiliser_Brands[[#Headers],[Ingredient 4]], FertiliserProducts[#Data], FertiliserProducts[Product], FertiliserProducts[#Headers])</f>
        <v>Phosphorus - Generic</v>
      </c>
      <c r="Q13" s="109" cm="1">
        <f t="array" ref="Q13">Fertiliser_InputFunctions.Fertiliser_FertiliserProductLookup(Table_Input_InorganicFertiliser_Brands[[#This Row],[Product (select)]], Table_Input_InorganicFertiliser_Brands[[#Headers],[Ingredient 4 percent]], FertiliserProducts[#Data], FertiliserProducts[Product], FertiliserProducts[#Headers])</f>
        <v>5.1999999999999998E-2</v>
      </c>
      <c r="R13" s="109" t="str" cm="1">
        <f t="array" ref="R13">Fertiliser_InputFunctions.Fertiliser_FertiliserProductLookup(Table_Input_InorganicFertiliser_Brands[[#This Row],[Product (select)]], Table_Input_InorganicFertiliser_Brands[[#Headers],[Ingredient 5]], FertiliserProducts[#Data], FertiliserProducts[Product], FertiliserProducts[#Headers])</f>
        <v>Magnesium</v>
      </c>
      <c r="S13" s="109" cm="1">
        <f t="array" ref="S13">Fertiliser_InputFunctions.Fertiliser_FertiliserProductLookup(Table_Input_InorganicFertiliser_Brands[[#This Row],[Product (select)]], Table_Input_InorganicFertiliser_Brands[[#Headers],[Ingredient 5 percent]], FertiliserProducts[#Data], FertiliserProducts[Product], FertiliserProducts[#Headers])</f>
        <v>1.2999999999999999E-2</v>
      </c>
      <c r="T13" s="109" t="str" cm="1">
        <f t="array" ref="T13">Fertiliser_InputFunctions.Fertiliser_FertiliserProductLookup(Table_Input_InorganicFertiliser_Brands[[#This Row],[Product (select)]], Table_Input_InorganicFertiliser_Brands[[#Headers],[Ingredient 6]], FertiliserProducts[#Data], FertiliserProducts[Product], FertiliserProducts[#Headers])</f>
        <v>Zinc</v>
      </c>
      <c r="U13" s="109" cm="1">
        <f t="array" ref="U13">Fertiliser_InputFunctions.Fertiliser_FertiliserProductLookup(Table_Input_InorganicFertiliser_Brands[[#This Row],[Product (select)]], Table_Input_InorganicFertiliser_Brands[[#Headers],[Ingredient 6 percent]], FertiliserProducts[#Data], FertiliserProducts[Product], FertiliserProducts[#Headers])</f>
        <v>2E-3</v>
      </c>
      <c r="V13" s="109">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0.23999993999999999</v>
      </c>
      <c r="W13" s="110" cm="1">
        <f t="array" ref="W13">IFERROR(Fertiliser_InputFunctions.Fertiliser_FertiliserProductLookup(Table_Input_InorganicFertiliser_Brands[[#This Row],[Product (select)]], "N declared", FertiliserProducts[#Data], FertiliserProducts[Product], FertiliserProducts[#Headers])*0.01, 0)</f>
        <v>0.24</v>
      </c>
      <c r="X13" s="109">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24</v>
      </c>
      <c r="Y13" s="109">
        <f>IFERROR(_xlfn.XLOOKUP(Table_Input_InorganicFertiliser_Brands[[#This Row],[Product (select)]],FertiliserProducts[Product],FertiliserProducts[Urea source]), "")</f>
        <v>0</v>
      </c>
      <c r="Z13" s="109">
        <f>IFERROR(_xlfn.XLOOKUP(Table_Input_InorganicFertiliser_Brands[[#This Row],[Product (select)]],FertiliserProducts[Product],FertiliserProducts[Ammonia source]), "")</f>
        <v>0</v>
      </c>
    </row>
    <row r="14" spans="1:27" ht="20.100000000000001" customHeight="1" x14ac:dyDescent="0.2">
      <c r="A14" s="5" t="str">
        <f>HYPERLINK("#'Input - Fuel'!A1", "Fuel")</f>
        <v>Fuel</v>
      </c>
      <c r="D14" s="106" t="s">
        <v>327</v>
      </c>
      <c r="E14" s="107">
        <v>100</v>
      </c>
      <c r="F14" s="15" t="str">
        <f>IFERROR(_xlfn.XLOOKUP(Table_Input_InorganicFertiliser_Brands[[#This Row],[Product (select)]],FertiliserProducts[Product],FertiliserProducts[Unit]), "kg")</f>
        <v>kg</v>
      </c>
      <c r="G14" s="107">
        <f t="shared" ref="G14" si="2">X_Cell_Fertiliser_AreaUnderCropping</f>
        <v>1000</v>
      </c>
      <c r="H14" s="108">
        <f>IFERROR(_xlfn.XLOOKUP(Table_Input_InorganicFertiliser_Brands[[#This Row],[Product (select)]],FertiliserProducts[Product],FertiliserProducts[Density]), 1)</f>
        <v>1</v>
      </c>
      <c r="I14" s="109">
        <f>(Table_Input_InorganicFertiliser_Brands[[#This Row],[Amount applied per hectare]]*Table_Input_InorganicFertiliser_Brands[[#This Row],[Density]])*Table_Input_InorganicFertiliser_Brands[[#This Row],[Application area (ha)]]</f>
        <v>100000</v>
      </c>
      <c r="J14" s="109" t="str" cm="1">
        <f t="array" ref="J14">Fertiliser_InputFunctions.Fertiliser_FertiliserProductLookup(Table_Input_InorganicFertiliser_Brands[[#This Row],[Product (select)]], Table_Input_InorganicFertiliser_Brands[[#Headers],[Ingredient 1]], FertiliserProducts[#Data], FertiliserProducts[Product], FertiliserProducts[#Headers])</f>
        <v>Nitrogen - Nitrate</v>
      </c>
      <c r="K14" s="109" cm="1">
        <f t="array" ref="K14">Fertiliser_InputFunctions.Fertiliser_FertiliserProductLookup(Table_Input_InorganicFertiliser_Brands[[#This Row],[Product (select)]], Table_Input_InorganicFertiliser_Brands[[#Headers],[Ingredient 1 percent]], FertiliserProducts[#Data], FertiliserProducts[Product], FertiliserProducts[#Headers])</f>
        <v>5.5E-2</v>
      </c>
      <c r="L14" s="109" t="str" cm="1">
        <f t="array" ref="L14">Fertiliser_InputFunctions.Fertiliser_FertiliserProductLookup(Table_Input_InorganicFertiliser_Brands[[#This Row],[Product (select)]], Table_Input_InorganicFertiliser_Brands[[#Headers],[Ingredient 2]], FertiliserProducts[#Data], FertiliserProducts[Product], FertiliserProducts[#Headers])</f>
        <v>Nitrogen - Ammoniacal</v>
      </c>
      <c r="M14" s="109" cm="1">
        <f t="array" ref="M14">Fertiliser_InputFunctions.Fertiliser_FertiliserProductLookup(Table_Input_InorganicFertiliser_Brands[[#This Row],[Product (select)]], Table_Input_InorganicFertiliser_Brands[[#Headers],[Ingredient 2 percent]], FertiliserProducts[#Data], FertiliserProducts[Product], FertiliserProducts[#Headers])</f>
        <v>0.124</v>
      </c>
      <c r="N14" s="109" t="str" cm="1">
        <f t="array" ref="N14">Fertiliser_InputFunctions.Fertiliser_FertiliserProductLookup(Table_Input_InorganicFertiliser_Brands[[#This Row],[Product (select)]], Table_Input_InorganicFertiliser_Brands[[#Headers],[Ingredient 3]], FertiliserProducts[#Data], FertiliserProducts[Product], FertiliserProducts[#Headers])</f>
        <v>Potassium - Generic</v>
      </c>
      <c r="O14" s="109" cm="1">
        <f t="array" ref="O14">Fertiliser_InputFunctions.Fertiliser_FertiliserProductLookup(Table_Input_InorganicFertiliser_Brands[[#This Row],[Product (select)]], Table_Input_InorganicFertiliser_Brands[[#Headers],[Ingredient 3 percent]], FertiliserProducts[#Data], FertiliserProducts[Product], FertiliserProducts[#Headers])</f>
        <v>0.15</v>
      </c>
      <c r="P14" s="109" t="str" cm="1">
        <f t="array" ref="P14">Fertiliser_InputFunctions.Fertiliser_FertiliserProductLookup(Table_Input_InorganicFertiliser_Brands[[#This Row],[Product (select)]], Table_Input_InorganicFertiliser_Brands[[#Headers],[Ingredient 4]], FertiliserProducts[#Data], FertiliserProducts[Product], FertiliserProducts[#Headers])</f>
        <v>Sulfur - Generic</v>
      </c>
      <c r="Q14" s="109" cm="1">
        <f t="array" ref="Q14">Fertiliser_InputFunctions.Fertiliser_FertiliserProductLookup(Table_Input_InorganicFertiliser_Brands[[#This Row],[Product (select)]], Table_Input_InorganicFertiliser_Brands[[#Headers],[Ingredient 4 percent]], FertiliserProducts[#Data], FertiliserProducts[Product], FertiliserProducts[#Headers])</f>
        <v>3.5999999999999997E-2</v>
      </c>
      <c r="R14" s="109" t="str" cm="1">
        <f t="array" ref="R14">Fertiliser_InputFunctions.Fertiliser_FertiliserProductLookup(Table_Input_InorganicFertiliser_Brands[[#This Row],[Product (select)]], Table_Input_InorganicFertiliser_Brands[[#Headers],[Ingredient 5]], FertiliserProducts[#Data], FertiliserProducts[Product], FertiliserProducts[#Headers])</f>
        <v>Calcium</v>
      </c>
      <c r="S14" s="109" cm="1">
        <f t="array" ref="S14">Fertiliser_InputFunctions.Fertiliser_FertiliserProductLookup(Table_Input_InorganicFertiliser_Brands[[#This Row],[Product (select)]], Table_Input_InorganicFertiliser_Brands[[#Headers],[Ingredient 5 percent]], FertiliserProducts[#Data], FertiliserProducts[Product], FertiliserProducts[#Headers])</f>
        <v>4.3999999999999997E-2</v>
      </c>
      <c r="T14" s="109" cm="1">
        <f t="array" ref="T14">Fertiliser_InputFunctions.Fertiliser_FertiliserProductLookup(Table_Input_InorganicFertiliser_Brands[[#This Row],[Product (select)]], Table_Input_InorganicFertiliser_Brands[[#Headers],[Ingredient 6]], FertiliserProducts[#Data], FertiliserProducts[Product], FertiliserProducts[#Headers])</f>
        <v>0</v>
      </c>
      <c r="U14" s="109" cm="1">
        <f t="array" ref="U14">Fertiliser_InputFunctions.Fertiliser_FertiliserProductLookup(Table_Input_InorganicFertiliser_Brands[[#This Row],[Product (select)]], Table_Input_InorganicFertiliser_Brands[[#Headers],[Ingredient 6 percent]], FertiliserProducts[#Data], FertiliserProducts[Product], FertiliserProducts[#Headers])</f>
        <v>0</v>
      </c>
      <c r="V14" s="109">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0.17899999999999999</v>
      </c>
      <c r="W14" s="110" cm="1">
        <f t="array" ref="W14">IFERROR(Fertiliser_InputFunctions.Fertiliser_FertiliserProductLookup(Table_Input_InorganicFertiliser_Brands[[#This Row],[Product (select)]], "N declared", FertiliserProducts[#Data], FertiliserProducts[Product], FertiliserProducts[#Headers])*0.01, 0)</f>
        <v>0.17899999999999999</v>
      </c>
      <c r="X14" s="109">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17.899999999999999</v>
      </c>
      <c r="Y14" s="109">
        <f>IFERROR(_xlfn.XLOOKUP(Table_Input_InorganicFertiliser_Brands[[#This Row],[Product (select)]],FertiliserProducts[Product],FertiliserProducts[Urea source]), "")</f>
        <v>0</v>
      </c>
      <c r="Z14" s="109">
        <f>IFERROR(_xlfn.XLOOKUP(Table_Input_InorganicFertiliser_Brands[[#This Row],[Product (select)]],FertiliserProducts[Product],FertiliserProducts[Ammonia source]), "")</f>
        <v>0</v>
      </c>
    </row>
    <row r="15" spans="1:27" ht="20.100000000000001" customHeight="1" x14ac:dyDescent="0.2">
      <c r="A15" s="5" t="str">
        <f>HYPERLINK("#'Input - Electricity'!A1", "Electricity")</f>
        <v>Electricity</v>
      </c>
      <c r="D15" s="106"/>
      <c r="E15" s="107"/>
      <c r="F15" s="15" t="str">
        <f>IFERROR(_xlfn.XLOOKUP(Table_Input_InorganicFertiliser_Brands[[#This Row],[Product (select)]],FertiliserProducts[Product],FertiliserProducts[Unit]), "kg")</f>
        <v>kg</v>
      </c>
      <c r="G15" s="107">
        <f t="shared" ref="G15" si="3">X_Cell_Fertiliser_AreaUnderCropping</f>
        <v>1000</v>
      </c>
      <c r="H15" s="108">
        <f>IFERROR(_xlfn.XLOOKUP(Table_Input_InorganicFertiliser_Brands[[#This Row],[Product (select)]],FertiliserProducts[Product],FertiliserProducts[Density]), 1)</f>
        <v>1</v>
      </c>
      <c r="I15" s="109">
        <f>(Table_Input_InorganicFertiliser_Brands[[#This Row],[Amount applied per hectare]]*Table_Input_InorganicFertiliser_Brands[[#This Row],[Density]])*Table_Input_InorganicFertiliser_Brands[[#This Row],[Application area (ha)]]</f>
        <v>0</v>
      </c>
      <c r="J15" s="109" t="str" cm="1">
        <f t="array" ref="J15">Fertiliser_InputFunctions.Fertiliser_FertiliserProductLookup(Table_Input_InorganicFertiliser_Brands[[#This Row],[Product (select)]], Table_Input_InorganicFertiliser_Brands[[#Headers],[Ingredient 1]], FertiliserProducts[#Data], FertiliserProducts[Product], FertiliserProducts[#Headers])</f>
        <v/>
      </c>
      <c r="K15" s="109" t="str" cm="1">
        <f t="array" ref="K15">Fertiliser_InputFunctions.Fertiliser_FertiliserProductLookup(Table_Input_InorganicFertiliser_Brands[[#This Row],[Product (select)]], Table_Input_InorganicFertiliser_Brands[[#Headers],[Ingredient 1 percent]], FertiliserProducts[#Data], FertiliserProducts[Product], FertiliserProducts[#Headers])</f>
        <v/>
      </c>
      <c r="L15" s="109" t="str" cm="1">
        <f t="array" ref="L15">Fertiliser_InputFunctions.Fertiliser_FertiliserProductLookup(Table_Input_InorganicFertiliser_Brands[[#This Row],[Product (select)]], Table_Input_InorganicFertiliser_Brands[[#Headers],[Ingredient 2]], FertiliserProducts[#Data], FertiliserProducts[Product], FertiliserProducts[#Headers])</f>
        <v/>
      </c>
      <c r="M15" s="109" t="str" cm="1">
        <f t="array" ref="M15">Fertiliser_InputFunctions.Fertiliser_FertiliserProductLookup(Table_Input_InorganicFertiliser_Brands[[#This Row],[Product (select)]], Table_Input_InorganicFertiliser_Brands[[#Headers],[Ingredient 2 percent]], FertiliserProducts[#Data], FertiliserProducts[Product], FertiliserProducts[#Headers])</f>
        <v/>
      </c>
      <c r="N15" s="109" t="str" cm="1">
        <f t="array" ref="N15">Fertiliser_InputFunctions.Fertiliser_FertiliserProductLookup(Table_Input_InorganicFertiliser_Brands[[#This Row],[Product (select)]], Table_Input_InorganicFertiliser_Brands[[#Headers],[Ingredient 3]], FertiliserProducts[#Data], FertiliserProducts[Product], FertiliserProducts[#Headers])</f>
        <v/>
      </c>
      <c r="O15" s="109" t="str" cm="1">
        <f t="array" ref="O15">Fertiliser_InputFunctions.Fertiliser_FertiliserProductLookup(Table_Input_InorganicFertiliser_Brands[[#This Row],[Product (select)]], Table_Input_InorganicFertiliser_Brands[[#Headers],[Ingredient 3 percent]], FertiliserProducts[#Data], FertiliserProducts[Product], FertiliserProducts[#Headers])</f>
        <v/>
      </c>
      <c r="P15" s="109" t="str" cm="1">
        <f t="array" ref="P15">Fertiliser_InputFunctions.Fertiliser_FertiliserProductLookup(Table_Input_InorganicFertiliser_Brands[[#This Row],[Product (select)]], Table_Input_InorganicFertiliser_Brands[[#Headers],[Ingredient 4]], FertiliserProducts[#Data], FertiliserProducts[Product], FertiliserProducts[#Headers])</f>
        <v/>
      </c>
      <c r="Q15" s="109" t="str" cm="1">
        <f t="array" ref="Q15">Fertiliser_InputFunctions.Fertiliser_FertiliserProductLookup(Table_Input_InorganicFertiliser_Brands[[#This Row],[Product (select)]], Table_Input_InorganicFertiliser_Brands[[#Headers],[Ingredient 4 percent]], FertiliserProducts[#Data], FertiliserProducts[Product], FertiliserProducts[#Headers])</f>
        <v/>
      </c>
      <c r="R15" s="109" t="str" cm="1">
        <f t="array" ref="R15">Fertiliser_InputFunctions.Fertiliser_FertiliserProductLookup(Table_Input_InorganicFertiliser_Brands[[#This Row],[Product (select)]], Table_Input_InorganicFertiliser_Brands[[#Headers],[Ingredient 5]], FertiliserProducts[#Data], FertiliserProducts[Product], FertiliserProducts[#Headers])</f>
        <v/>
      </c>
      <c r="S15" s="109" t="str" cm="1">
        <f t="array" ref="S15">Fertiliser_InputFunctions.Fertiliser_FertiliserProductLookup(Table_Input_InorganicFertiliser_Brands[[#This Row],[Product (select)]], Table_Input_InorganicFertiliser_Brands[[#Headers],[Ingredient 5 percent]], FertiliserProducts[#Data], FertiliserProducts[Product], FertiliserProducts[#Headers])</f>
        <v/>
      </c>
      <c r="T15" s="109" t="str" cm="1">
        <f t="array" ref="T15">Fertiliser_InputFunctions.Fertiliser_FertiliserProductLookup(Table_Input_InorganicFertiliser_Brands[[#This Row],[Product (select)]], Table_Input_InorganicFertiliser_Brands[[#Headers],[Ingredient 6]], FertiliserProducts[#Data], FertiliserProducts[Product], FertiliserProducts[#Headers])</f>
        <v/>
      </c>
      <c r="U15" s="109" t="str" cm="1">
        <f t="array" ref="U15">Fertiliser_InputFunctions.Fertiliser_FertiliserProductLookup(Table_Input_InorganicFertiliser_Brands[[#This Row],[Product (select)]], Table_Input_InorganicFertiliser_Brands[[#Headers],[Ingredient 6 percent]], FertiliserProducts[#Data], FertiliserProducts[Product], FertiliserProducts[#Headers])</f>
        <v/>
      </c>
      <c r="V15" s="109">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5" s="110" cm="1">
        <f t="array" ref="W15">IFERROR(Fertiliser_InputFunctions.Fertiliser_FertiliserProductLookup(Table_Input_InorganicFertiliser_Brands[[#This Row],[Product (select)]], "N declared", FertiliserProducts[#Data], FertiliserProducts[Product], FertiliserProducts[#Headers])*0.01, 0)</f>
        <v>0</v>
      </c>
      <c r="X15" s="109">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5" s="109" t="str">
        <f>IFERROR(_xlfn.XLOOKUP(Table_Input_InorganicFertiliser_Brands[[#This Row],[Product (select)]],FertiliserProducts[Product],FertiliserProducts[Urea source]), "")</f>
        <v/>
      </c>
      <c r="Z15" s="109" t="str">
        <f>IFERROR(_xlfn.XLOOKUP(Table_Input_InorganicFertiliser_Brands[[#This Row],[Product (select)]],FertiliserProducts[Product],FertiliserProducts[Ammonia source]), "")</f>
        <v/>
      </c>
    </row>
    <row r="16" spans="1:27" ht="20.100000000000001" customHeight="1" x14ac:dyDescent="0.2">
      <c r="A16" s="5" t="str">
        <f>HYPERLINK("#'Input - Common farm inputs'!A1", "Common farm inputs")</f>
        <v>Common farm inputs</v>
      </c>
      <c r="D16" s="106"/>
      <c r="E16" s="107"/>
      <c r="F16" s="15" t="str">
        <f>IFERROR(_xlfn.XLOOKUP(Table_Input_InorganicFertiliser_Brands[[#This Row],[Product (select)]],FertiliserProducts[Product],FertiliserProducts[Unit]), "kg")</f>
        <v>kg</v>
      </c>
      <c r="G16" s="107">
        <f t="shared" ref="G16" si="4">X_Cell_Fertiliser_AreaUnderCropping</f>
        <v>1000</v>
      </c>
      <c r="H16" s="108">
        <f>IFERROR(_xlfn.XLOOKUP(Table_Input_InorganicFertiliser_Brands[[#This Row],[Product (select)]],FertiliserProducts[Product],FertiliserProducts[Density]), 1)</f>
        <v>1</v>
      </c>
      <c r="I16" s="109">
        <f>(Table_Input_InorganicFertiliser_Brands[[#This Row],[Amount applied per hectare]]*Table_Input_InorganicFertiliser_Brands[[#This Row],[Density]])*Table_Input_InorganicFertiliser_Brands[[#This Row],[Application area (ha)]]</f>
        <v>0</v>
      </c>
      <c r="J16" s="109" t="str" cm="1">
        <f t="array" ref="J16">Fertiliser_InputFunctions.Fertiliser_FertiliserProductLookup(Table_Input_InorganicFertiliser_Brands[[#This Row],[Product (select)]], Table_Input_InorganicFertiliser_Brands[[#Headers],[Ingredient 1]], FertiliserProducts[#Data], FertiliserProducts[Product], FertiliserProducts[#Headers])</f>
        <v/>
      </c>
      <c r="K16" s="109" t="str" cm="1">
        <f t="array" ref="K16">Fertiliser_InputFunctions.Fertiliser_FertiliserProductLookup(Table_Input_InorganicFertiliser_Brands[[#This Row],[Product (select)]], Table_Input_InorganicFertiliser_Brands[[#Headers],[Ingredient 1 percent]], FertiliserProducts[#Data], FertiliserProducts[Product], FertiliserProducts[#Headers])</f>
        <v/>
      </c>
      <c r="L16" s="109" t="str" cm="1">
        <f t="array" ref="L16">Fertiliser_InputFunctions.Fertiliser_FertiliserProductLookup(Table_Input_InorganicFertiliser_Brands[[#This Row],[Product (select)]], Table_Input_InorganicFertiliser_Brands[[#Headers],[Ingredient 2]], FertiliserProducts[#Data], FertiliserProducts[Product], FertiliserProducts[#Headers])</f>
        <v/>
      </c>
      <c r="M16" s="109" t="str" cm="1">
        <f t="array" ref="M16">Fertiliser_InputFunctions.Fertiliser_FertiliserProductLookup(Table_Input_InorganicFertiliser_Brands[[#This Row],[Product (select)]], Table_Input_InorganicFertiliser_Brands[[#Headers],[Ingredient 2 percent]], FertiliserProducts[#Data], FertiliserProducts[Product], FertiliserProducts[#Headers])</f>
        <v/>
      </c>
      <c r="N16" s="109" t="str" cm="1">
        <f t="array" ref="N16">Fertiliser_InputFunctions.Fertiliser_FertiliserProductLookup(Table_Input_InorganicFertiliser_Brands[[#This Row],[Product (select)]], Table_Input_InorganicFertiliser_Brands[[#Headers],[Ingredient 3]], FertiliserProducts[#Data], FertiliserProducts[Product], FertiliserProducts[#Headers])</f>
        <v/>
      </c>
      <c r="O16" s="109" t="str" cm="1">
        <f t="array" ref="O16">Fertiliser_InputFunctions.Fertiliser_FertiliserProductLookup(Table_Input_InorganicFertiliser_Brands[[#This Row],[Product (select)]], Table_Input_InorganicFertiliser_Brands[[#Headers],[Ingredient 3 percent]], FertiliserProducts[#Data], FertiliserProducts[Product], FertiliserProducts[#Headers])</f>
        <v/>
      </c>
      <c r="P16" s="109" t="str" cm="1">
        <f t="array" ref="P16">Fertiliser_InputFunctions.Fertiliser_FertiliserProductLookup(Table_Input_InorganicFertiliser_Brands[[#This Row],[Product (select)]], Table_Input_InorganicFertiliser_Brands[[#Headers],[Ingredient 4]], FertiliserProducts[#Data], FertiliserProducts[Product], FertiliserProducts[#Headers])</f>
        <v/>
      </c>
      <c r="Q16" s="109" t="str" cm="1">
        <f t="array" ref="Q16">Fertiliser_InputFunctions.Fertiliser_FertiliserProductLookup(Table_Input_InorganicFertiliser_Brands[[#This Row],[Product (select)]], Table_Input_InorganicFertiliser_Brands[[#Headers],[Ingredient 4 percent]], FertiliserProducts[#Data], FertiliserProducts[Product], FertiliserProducts[#Headers])</f>
        <v/>
      </c>
      <c r="R16" s="109" t="str" cm="1">
        <f t="array" ref="R16">Fertiliser_InputFunctions.Fertiliser_FertiliserProductLookup(Table_Input_InorganicFertiliser_Brands[[#This Row],[Product (select)]], Table_Input_InorganicFertiliser_Brands[[#Headers],[Ingredient 5]], FertiliserProducts[#Data], FertiliserProducts[Product], FertiliserProducts[#Headers])</f>
        <v/>
      </c>
      <c r="S16" s="109" t="str" cm="1">
        <f t="array" ref="S16">Fertiliser_InputFunctions.Fertiliser_FertiliserProductLookup(Table_Input_InorganicFertiliser_Brands[[#This Row],[Product (select)]], Table_Input_InorganicFertiliser_Brands[[#Headers],[Ingredient 5 percent]], FertiliserProducts[#Data], FertiliserProducts[Product], FertiliserProducts[#Headers])</f>
        <v/>
      </c>
      <c r="T16" s="109" t="str" cm="1">
        <f t="array" ref="T16">Fertiliser_InputFunctions.Fertiliser_FertiliserProductLookup(Table_Input_InorganicFertiliser_Brands[[#This Row],[Product (select)]], Table_Input_InorganicFertiliser_Brands[[#Headers],[Ingredient 6]], FertiliserProducts[#Data], FertiliserProducts[Product], FertiliserProducts[#Headers])</f>
        <v/>
      </c>
      <c r="U16" s="109" t="str" cm="1">
        <f t="array" ref="U16">Fertiliser_InputFunctions.Fertiliser_FertiliserProductLookup(Table_Input_InorganicFertiliser_Brands[[#This Row],[Product (select)]], Table_Input_InorganicFertiliser_Brands[[#Headers],[Ingredient 6 percent]], FertiliserProducts[#Data], FertiliserProducts[Product], FertiliserProducts[#Headers])</f>
        <v/>
      </c>
      <c r="V16" s="109">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6" s="110" cm="1">
        <f t="array" ref="W16">IFERROR(Fertiliser_InputFunctions.Fertiliser_FertiliserProductLookup(Table_Input_InorganicFertiliser_Brands[[#This Row],[Product (select)]], "N declared", FertiliserProducts[#Data], FertiliserProducts[Product], FertiliserProducts[#Headers])*0.01, 0)</f>
        <v>0</v>
      </c>
      <c r="X16" s="109">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6" s="109" t="str">
        <f>IFERROR(_xlfn.XLOOKUP(Table_Input_InorganicFertiliser_Brands[[#This Row],[Product (select)]],FertiliserProducts[Product],FertiliserProducts[Urea source]), "")</f>
        <v/>
      </c>
      <c r="Z16" s="109" t="str">
        <f>IFERROR(_xlfn.XLOOKUP(Table_Input_InorganicFertiliser_Brands[[#This Row],[Product (select)]],FertiliserProducts[Product],FertiliserProducts[Ammonia source]), "")</f>
        <v/>
      </c>
    </row>
    <row r="17" spans="1:26" ht="20.100000000000001" customHeight="1" x14ac:dyDescent="0.2">
      <c r="A17" s="5" t="str">
        <f>HYPERLINK("#'Input - Crop pasture farm input'!A1", "Crop pasture farm input")</f>
        <v>Crop pasture farm input</v>
      </c>
      <c r="D17" s="106"/>
      <c r="E17" s="107"/>
      <c r="F17" s="15" t="str">
        <f>IFERROR(_xlfn.XLOOKUP(Table_Input_InorganicFertiliser_Brands[[#This Row],[Product (select)]],FertiliserProducts[Product],FertiliserProducts[Unit]), "kg")</f>
        <v>kg</v>
      </c>
      <c r="G17" s="107">
        <f t="shared" ref="G17" si="5">X_Cell_Fertiliser_AreaUnderCropping</f>
        <v>1000</v>
      </c>
      <c r="H17" s="108">
        <f>IFERROR(_xlfn.XLOOKUP(Table_Input_InorganicFertiliser_Brands[[#This Row],[Product (select)]],FertiliserProducts[Product],FertiliserProducts[Density]), 1)</f>
        <v>1</v>
      </c>
      <c r="I17" s="109">
        <f>(Table_Input_InorganicFertiliser_Brands[[#This Row],[Amount applied per hectare]]*Table_Input_InorganicFertiliser_Brands[[#This Row],[Density]])*Table_Input_InorganicFertiliser_Brands[[#This Row],[Application area (ha)]]</f>
        <v>0</v>
      </c>
      <c r="J17" s="109" t="str" cm="1">
        <f t="array" ref="J17">Fertiliser_InputFunctions.Fertiliser_FertiliserProductLookup(Table_Input_InorganicFertiliser_Brands[[#This Row],[Product (select)]], Table_Input_InorganicFertiliser_Brands[[#Headers],[Ingredient 1]], FertiliserProducts[#Data], FertiliserProducts[Product], FertiliserProducts[#Headers])</f>
        <v/>
      </c>
      <c r="K17" s="109" t="str" cm="1">
        <f t="array" ref="K17">Fertiliser_InputFunctions.Fertiliser_FertiliserProductLookup(Table_Input_InorganicFertiliser_Brands[[#This Row],[Product (select)]], Table_Input_InorganicFertiliser_Brands[[#Headers],[Ingredient 1 percent]], FertiliserProducts[#Data], FertiliserProducts[Product], FertiliserProducts[#Headers])</f>
        <v/>
      </c>
      <c r="L17" s="109" t="str" cm="1">
        <f t="array" ref="L17">Fertiliser_InputFunctions.Fertiliser_FertiliserProductLookup(Table_Input_InorganicFertiliser_Brands[[#This Row],[Product (select)]], Table_Input_InorganicFertiliser_Brands[[#Headers],[Ingredient 2]], FertiliserProducts[#Data], FertiliserProducts[Product], FertiliserProducts[#Headers])</f>
        <v/>
      </c>
      <c r="M17" s="109" t="str" cm="1">
        <f t="array" ref="M17">Fertiliser_InputFunctions.Fertiliser_FertiliserProductLookup(Table_Input_InorganicFertiliser_Brands[[#This Row],[Product (select)]], Table_Input_InorganicFertiliser_Brands[[#Headers],[Ingredient 2 percent]], FertiliserProducts[#Data], FertiliserProducts[Product], FertiliserProducts[#Headers])</f>
        <v/>
      </c>
      <c r="N17" s="109" t="str" cm="1">
        <f t="array" ref="N17">Fertiliser_InputFunctions.Fertiliser_FertiliserProductLookup(Table_Input_InorganicFertiliser_Brands[[#This Row],[Product (select)]], Table_Input_InorganicFertiliser_Brands[[#Headers],[Ingredient 3]], FertiliserProducts[#Data], FertiliserProducts[Product], FertiliserProducts[#Headers])</f>
        <v/>
      </c>
      <c r="O17" s="109" t="str" cm="1">
        <f t="array" ref="O17">Fertiliser_InputFunctions.Fertiliser_FertiliserProductLookup(Table_Input_InorganicFertiliser_Brands[[#This Row],[Product (select)]], Table_Input_InorganicFertiliser_Brands[[#Headers],[Ingredient 3 percent]], FertiliserProducts[#Data], FertiliserProducts[Product], FertiliserProducts[#Headers])</f>
        <v/>
      </c>
      <c r="P17" s="109" t="str" cm="1">
        <f t="array" ref="P17">Fertiliser_InputFunctions.Fertiliser_FertiliserProductLookup(Table_Input_InorganicFertiliser_Brands[[#This Row],[Product (select)]], Table_Input_InorganicFertiliser_Brands[[#Headers],[Ingredient 4]], FertiliserProducts[#Data], FertiliserProducts[Product], FertiliserProducts[#Headers])</f>
        <v/>
      </c>
      <c r="Q17" s="109" t="str" cm="1">
        <f t="array" ref="Q17">Fertiliser_InputFunctions.Fertiliser_FertiliserProductLookup(Table_Input_InorganicFertiliser_Brands[[#This Row],[Product (select)]], Table_Input_InorganicFertiliser_Brands[[#Headers],[Ingredient 4 percent]], FertiliserProducts[#Data], FertiliserProducts[Product], FertiliserProducts[#Headers])</f>
        <v/>
      </c>
      <c r="R17" s="109" t="str" cm="1">
        <f t="array" ref="R17">Fertiliser_InputFunctions.Fertiliser_FertiliserProductLookup(Table_Input_InorganicFertiliser_Brands[[#This Row],[Product (select)]], Table_Input_InorganicFertiliser_Brands[[#Headers],[Ingredient 5]], FertiliserProducts[#Data], FertiliserProducts[Product], FertiliserProducts[#Headers])</f>
        <v/>
      </c>
      <c r="S17" s="109" t="str" cm="1">
        <f t="array" ref="S17">Fertiliser_InputFunctions.Fertiliser_FertiliserProductLookup(Table_Input_InorganicFertiliser_Brands[[#This Row],[Product (select)]], Table_Input_InorganicFertiliser_Brands[[#Headers],[Ingredient 5 percent]], FertiliserProducts[#Data], FertiliserProducts[Product], FertiliserProducts[#Headers])</f>
        <v/>
      </c>
      <c r="T17" s="109" t="str" cm="1">
        <f t="array" ref="T17">Fertiliser_InputFunctions.Fertiliser_FertiliserProductLookup(Table_Input_InorganicFertiliser_Brands[[#This Row],[Product (select)]], Table_Input_InorganicFertiliser_Brands[[#Headers],[Ingredient 6]], FertiliserProducts[#Data], FertiliserProducts[Product], FertiliserProducts[#Headers])</f>
        <v/>
      </c>
      <c r="U17" s="109" t="str" cm="1">
        <f t="array" ref="U17">Fertiliser_InputFunctions.Fertiliser_FertiliserProductLookup(Table_Input_InorganicFertiliser_Brands[[#This Row],[Product (select)]], Table_Input_InorganicFertiliser_Brands[[#Headers],[Ingredient 6 percent]], FertiliserProducts[#Data], FertiliserProducts[Product], FertiliserProducts[#Headers])</f>
        <v/>
      </c>
      <c r="V17" s="109">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7" s="110" cm="1">
        <f t="array" ref="W17">IFERROR(Fertiliser_InputFunctions.Fertiliser_FertiliserProductLookup(Table_Input_InorganicFertiliser_Brands[[#This Row],[Product (select)]], "N declared", FertiliserProducts[#Data], FertiliserProducts[Product], FertiliserProducts[#Headers])*0.01, 0)</f>
        <v>0</v>
      </c>
      <c r="X17" s="109">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7" s="109" t="str">
        <f>IFERROR(_xlfn.XLOOKUP(Table_Input_InorganicFertiliser_Brands[[#This Row],[Product (select)]],FertiliserProducts[Product],FertiliserProducts[Urea source]), "")</f>
        <v/>
      </c>
      <c r="Z17" s="109" t="str">
        <f>IFERROR(_xlfn.XLOOKUP(Table_Input_InorganicFertiliser_Brands[[#This Row],[Product (select)]],FertiliserProducts[Product],FertiliserProducts[Ammonia source]), "")</f>
        <v/>
      </c>
    </row>
    <row r="18" spans="1:26" ht="20.100000000000001" customHeight="1" x14ac:dyDescent="0.2">
      <c r="A18" s="5" t="str">
        <f>HYPERLINK("#'Input - Freight'!A1", "Freight")</f>
        <v>Freight</v>
      </c>
      <c r="D18" s="106"/>
      <c r="E18" s="107"/>
      <c r="F18" s="15" t="str">
        <f>IFERROR(_xlfn.XLOOKUP(Table_Input_InorganicFertiliser_Brands[[#This Row],[Product (select)]],FertiliserProducts[Product],FertiliserProducts[Unit]), "kg")</f>
        <v>kg</v>
      </c>
      <c r="G18" s="107">
        <f t="shared" ref="G18" si="6">X_Cell_Fertiliser_AreaUnderCropping</f>
        <v>1000</v>
      </c>
      <c r="H18" s="108">
        <f>IFERROR(_xlfn.XLOOKUP(Table_Input_InorganicFertiliser_Brands[[#This Row],[Product (select)]],FertiliserProducts[Product],FertiliserProducts[Density]), 1)</f>
        <v>1</v>
      </c>
      <c r="I18" s="109">
        <f>(Table_Input_InorganicFertiliser_Brands[[#This Row],[Amount applied per hectare]]*Table_Input_InorganicFertiliser_Brands[[#This Row],[Density]])*Table_Input_InorganicFertiliser_Brands[[#This Row],[Application area (ha)]]</f>
        <v>0</v>
      </c>
      <c r="J18" s="109" t="str" cm="1">
        <f t="array" ref="J18">Fertiliser_InputFunctions.Fertiliser_FertiliserProductLookup(Table_Input_InorganicFertiliser_Brands[[#This Row],[Product (select)]], Table_Input_InorganicFertiliser_Brands[[#Headers],[Ingredient 1]], FertiliserProducts[#Data], FertiliserProducts[Product], FertiliserProducts[#Headers])</f>
        <v/>
      </c>
      <c r="K18" s="109" t="str" cm="1">
        <f t="array" ref="K18">Fertiliser_InputFunctions.Fertiliser_FertiliserProductLookup(Table_Input_InorganicFertiliser_Brands[[#This Row],[Product (select)]], Table_Input_InorganicFertiliser_Brands[[#Headers],[Ingredient 1 percent]], FertiliserProducts[#Data], FertiliserProducts[Product], FertiliserProducts[#Headers])</f>
        <v/>
      </c>
      <c r="L18" s="109" t="str" cm="1">
        <f t="array" ref="L18">Fertiliser_InputFunctions.Fertiliser_FertiliserProductLookup(Table_Input_InorganicFertiliser_Brands[[#This Row],[Product (select)]], Table_Input_InorganicFertiliser_Brands[[#Headers],[Ingredient 2]], FertiliserProducts[#Data], FertiliserProducts[Product], FertiliserProducts[#Headers])</f>
        <v/>
      </c>
      <c r="M18" s="109" t="str" cm="1">
        <f t="array" ref="M18">Fertiliser_InputFunctions.Fertiliser_FertiliserProductLookup(Table_Input_InorganicFertiliser_Brands[[#This Row],[Product (select)]], Table_Input_InorganicFertiliser_Brands[[#Headers],[Ingredient 2 percent]], FertiliserProducts[#Data], FertiliserProducts[Product], FertiliserProducts[#Headers])</f>
        <v/>
      </c>
      <c r="N18" s="109" t="str" cm="1">
        <f t="array" ref="N18">Fertiliser_InputFunctions.Fertiliser_FertiliserProductLookup(Table_Input_InorganicFertiliser_Brands[[#This Row],[Product (select)]], Table_Input_InorganicFertiliser_Brands[[#Headers],[Ingredient 3]], FertiliserProducts[#Data], FertiliserProducts[Product], FertiliserProducts[#Headers])</f>
        <v/>
      </c>
      <c r="O18" s="109" t="str" cm="1">
        <f t="array" ref="O18">Fertiliser_InputFunctions.Fertiliser_FertiliserProductLookup(Table_Input_InorganicFertiliser_Brands[[#This Row],[Product (select)]], Table_Input_InorganicFertiliser_Brands[[#Headers],[Ingredient 3 percent]], FertiliserProducts[#Data], FertiliserProducts[Product], FertiliserProducts[#Headers])</f>
        <v/>
      </c>
      <c r="P18" s="109" t="str" cm="1">
        <f t="array" ref="P18">Fertiliser_InputFunctions.Fertiliser_FertiliserProductLookup(Table_Input_InorganicFertiliser_Brands[[#This Row],[Product (select)]], Table_Input_InorganicFertiliser_Brands[[#Headers],[Ingredient 4]], FertiliserProducts[#Data], FertiliserProducts[Product], FertiliserProducts[#Headers])</f>
        <v/>
      </c>
      <c r="Q18" s="109" t="str" cm="1">
        <f t="array" ref="Q18">Fertiliser_InputFunctions.Fertiliser_FertiliserProductLookup(Table_Input_InorganicFertiliser_Brands[[#This Row],[Product (select)]], Table_Input_InorganicFertiliser_Brands[[#Headers],[Ingredient 4 percent]], FertiliserProducts[#Data], FertiliserProducts[Product], FertiliserProducts[#Headers])</f>
        <v/>
      </c>
      <c r="R18" s="109" t="str" cm="1">
        <f t="array" ref="R18">Fertiliser_InputFunctions.Fertiliser_FertiliserProductLookup(Table_Input_InorganicFertiliser_Brands[[#This Row],[Product (select)]], Table_Input_InorganicFertiliser_Brands[[#Headers],[Ingredient 5]], FertiliserProducts[#Data], FertiliserProducts[Product], FertiliserProducts[#Headers])</f>
        <v/>
      </c>
      <c r="S18" s="109" t="str" cm="1">
        <f t="array" ref="S18">Fertiliser_InputFunctions.Fertiliser_FertiliserProductLookup(Table_Input_InorganicFertiliser_Brands[[#This Row],[Product (select)]], Table_Input_InorganicFertiliser_Brands[[#Headers],[Ingredient 5 percent]], FertiliserProducts[#Data], FertiliserProducts[Product], FertiliserProducts[#Headers])</f>
        <v/>
      </c>
      <c r="T18" s="109" t="str" cm="1">
        <f t="array" ref="T18">Fertiliser_InputFunctions.Fertiliser_FertiliserProductLookup(Table_Input_InorganicFertiliser_Brands[[#This Row],[Product (select)]], Table_Input_InorganicFertiliser_Brands[[#Headers],[Ingredient 6]], FertiliserProducts[#Data], FertiliserProducts[Product], FertiliserProducts[#Headers])</f>
        <v/>
      </c>
      <c r="U18" s="109" t="str" cm="1">
        <f t="array" ref="U18">Fertiliser_InputFunctions.Fertiliser_FertiliserProductLookup(Table_Input_InorganicFertiliser_Brands[[#This Row],[Product (select)]], Table_Input_InorganicFertiliser_Brands[[#Headers],[Ingredient 6 percent]], FertiliserProducts[#Data], FertiliserProducts[Product], FertiliserProducts[#Headers])</f>
        <v/>
      </c>
      <c r="V18" s="109">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8" s="110" cm="1">
        <f t="array" ref="W18">IFERROR(Fertiliser_InputFunctions.Fertiliser_FertiliserProductLookup(Table_Input_InorganicFertiliser_Brands[[#This Row],[Product (select)]], "N declared", FertiliserProducts[#Data], FertiliserProducts[Product], FertiliserProducts[#Headers])*0.01, 0)</f>
        <v>0</v>
      </c>
      <c r="X18" s="109">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8" s="109" t="str">
        <f>IFERROR(_xlfn.XLOOKUP(Table_Input_InorganicFertiliser_Brands[[#This Row],[Product (select)]],FertiliserProducts[Product],FertiliserProducts[Urea source]), "")</f>
        <v/>
      </c>
      <c r="Z18" s="109" t="str">
        <f>IFERROR(_xlfn.XLOOKUP(Table_Input_InorganicFertiliser_Brands[[#This Row],[Product (select)]],FertiliserProducts[Product],FertiliserProducts[Ammonia source]), "")</f>
        <v/>
      </c>
    </row>
    <row r="19" spans="1:26" ht="20.100000000000001" customHeight="1" x14ac:dyDescent="0.2">
      <c r="A19" s="5" t="str">
        <f>HYPERLINK("#'Input - Solid waste'!A1", "Solid waste")</f>
        <v>Solid waste</v>
      </c>
      <c r="D19" s="106"/>
      <c r="E19" s="107"/>
      <c r="F19" s="15" t="str">
        <f>IFERROR(_xlfn.XLOOKUP(Table_Input_InorganicFertiliser_Brands[[#This Row],[Product (select)]],FertiliserProducts[Product],FertiliserProducts[Unit]), "kg")</f>
        <v>kg</v>
      </c>
      <c r="G19" s="107">
        <f t="shared" ref="G19" si="7">X_Cell_Fertiliser_AreaUnderCropping</f>
        <v>1000</v>
      </c>
      <c r="H19" s="108">
        <f>IFERROR(_xlfn.XLOOKUP(Table_Input_InorganicFertiliser_Brands[[#This Row],[Product (select)]],FertiliserProducts[Product],FertiliserProducts[Density]), 1)</f>
        <v>1</v>
      </c>
      <c r="I19" s="109">
        <f>(Table_Input_InorganicFertiliser_Brands[[#This Row],[Amount applied per hectare]]*Table_Input_InorganicFertiliser_Brands[[#This Row],[Density]])*Table_Input_InorganicFertiliser_Brands[[#This Row],[Application area (ha)]]</f>
        <v>0</v>
      </c>
      <c r="J19" s="109" t="str" cm="1">
        <f t="array" ref="J19">Fertiliser_InputFunctions.Fertiliser_FertiliserProductLookup(Table_Input_InorganicFertiliser_Brands[[#This Row],[Product (select)]], Table_Input_InorganicFertiliser_Brands[[#Headers],[Ingredient 1]], FertiliserProducts[#Data], FertiliserProducts[Product], FertiliserProducts[#Headers])</f>
        <v/>
      </c>
      <c r="K19" s="109" t="str" cm="1">
        <f t="array" ref="K19">Fertiliser_InputFunctions.Fertiliser_FertiliserProductLookup(Table_Input_InorganicFertiliser_Brands[[#This Row],[Product (select)]], Table_Input_InorganicFertiliser_Brands[[#Headers],[Ingredient 1 percent]], FertiliserProducts[#Data], FertiliserProducts[Product], FertiliserProducts[#Headers])</f>
        <v/>
      </c>
      <c r="L19" s="109" t="str" cm="1">
        <f t="array" ref="L19">Fertiliser_InputFunctions.Fertiliser_FertiliserProductLookup(Table_Input_InorganicFertiliser_Brands[[#This Row],[Product (select)]], Table_Input_InorganicFertiliser_Brands[[#Headers],[Ingredient 2]], FertiliserProducts[#Data], FertiliserProducts[Product], FertiliserProducts[#Headers])</f>
        <v/>
      </c>
      <c r="M19" s="109" t="str" cm="1">
        <f t="array" ref="M19">Fertiliser_InputFunctions.Fertiliser_FertiliserProductLookup(Table_Input_InorganicFertiliser_Brands[[#This Row],[Product (select)]], Table_Input_InorganicFertiliser_Brands[[#Headers],[Ingredient 2 percent]], FertiliserProducts[#Data], FertiliserProducts[Product], FertiliserProducts[#Headers])</f>
        <v/>
      </c>
      <c r="N19" s="109" t="str" cm="1">
        <f t="array" ref="N19">Fertiliser_InputFunctions.Fertiliser_FertiliserProductLookup(Table_Input_InorganicFertiliser_Brands[[#This Row],[Product (select)]], Table_Input_InorganicFertiliser_Brands[[#Headers],[Ingredient 3]], FertiliserProducts[#Data], FertiliserProducts[Product], FertiliserProducts[#Headers])</f>
        <v/>
      </c>
      <c r="O19" s="109" t="str" cm="1">
        <f t="array" ref="O19">Fertiliser_InputFunctions.Fertiliser_FertiliserProductLookup(Table_Input_InorganicFertiliser_Brands[[#This Row],[Product (select)]], Table_Input_InorganicFertiliser_Brands[[#Headers],[Ingredient 3 percent]], FertiliserProducts[#Data], FertiliserProducts[Product], FertiliserProducts[#Headers])</f>
        <v/>
      </c>
      <c r="P19" s="109" t="str" cm="1">
        <f t="array" ref="P19">Fertiliser_InputFunctions.Fertiliser_FertiliserProductLookup(Table_Input_InorganicFertiliser_Brands[[#This Row],[Product (select)]], Table_Input_InorganicFertiliser_Brands[[#Headers],[Ingredient 4]], FertiliserProducts[#Data], FertiliserProducts[Product], FertiliserProducts[#Headers])</f>
        <v/>
      </c>
      <c r="Q19" s="109" t="str" cm="1">
        <f t="array" ref="Q19">Fertiliser_InputFunctions.Fertiliser_FertiliserProductLookup(Table_Input_InorganicFertiliser_Brands[[#This Row],[Product (select)]], Table_Input_InorganicFertiliser_Brands[[#Headers],[Ingredient 4 percent]], FertiliserProducts[#Data], FertiliserProducts[Product], FertiliserProducts[#Headers])</f>
        <v/>
      </c>
      <c r="R19" s="109" t="str" cm="1">
        <f t="array" ref="R19">Fertiliser_InputFunctions.Fertiliser_FertiliserProductLookup(Table_Input_InorganicFertiliser_Brands[[#This Row],[Product (select)]], Table_Input_InorganicFertiliser_Brands[[#Headers],[Ingredient 5]], FertiliserProducts[#Data], FertiliserProducts[Product], FertiliserProducts[#Headers])</f>
        <v/>
      </c>
      <c r="S19" s="109" t="str" cm="1">
        <f t="array" ref="S19">Fertiliser_InputFunctions.Fertiliser_FertiliserProductLookup(Table_Input_InorganicFertiliser_Brands[[#This Row],[Product (select)]], Table_Input_InorganicFertiliser_Brands[[#Headers],[Ingredient 5 percent]], FertiliserProducts[#Data], FertiliserProducts[Product], FertiliserProducts[#Headers])</f>
        <v/>
      </c>
      <c r="T19" s="109" t="str" cm="1">
        <f t="array" ref="T19">Fertiliser_InputFunctions.Fertiliser_FertiliserProductLookup(Table_Input_InorganicFertiliser_Brands[[#This Row],[Product (select)]], Table_Input_InorganicFertiliser_Brands[[#Headers],[Ingredient 6]], FertiliserProducts[#Data], FertiliserProducts[Product], FertiliserProducts[#Headers])</f>
        <v/>
      </c>
      <c r="U19" s="109" t="str" cm="1">
        <f t="array" ref="U19">Fertiliser_InputFunctions.Fertiliser_FertiliserProductLookup(Table_Input_InorganicFertiliser_Brands[[#This Row],[Product (select)]], Table_Input_InorganicFertiliser_Brands[[#Headers],[Ingredient 6 percent]], FertiliserProducts[#Data], FertiliserProducts[Product], FertiliserProducts[#Headers])</f>
        <v/>
      </c>
      <c r="V19" s="109">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9" s="110" cm="1">
        <f t="array" ref="W19">IFERROR(Fertiliser_InputFunctions.Fertiliser_FertiliserProductLookup(Table_Input_InorganicFertiliser_Brands[[#This Row],[Product (select)]], "N declared", FertiliserProducts[#Data], FertiliserProducts[Product], FertiliserProducts[#Headers])*0.01, 0)</f>
        <v>0</v>
      </c>
      <c r="X19" s="109">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19" s="109" t="str">
        <f>IFERROR(_xlfn.XLOOKUP(Table_Input_InorganicFertiliser_Brands[[#This Row],[Product (select)]],FertiliserProducts[Product],FertiliserProducts[Urea source]), "")</f>
        <v/>
      </c>
      <c r="Z19" s="109" t="str">
        <f>IFERROR(_xlfn.XLOOKUP(Table_Input_InorganicFertiliser_Brands[[#This Row],[Product (select)]],FertiliserProducts[Product],FertiliserProducts[Ammonia source]), "")</f>
        <v/>
      </c>
    </row>
    <row r="20" spans="1:26" ht="20.100000000000001" customHeight="1" x14ac:dyDescent="0.2">
      <c r="A20" s="5" t="str">
        <f>HYPERLINK("#'Input - Data quality'!A1", "Data quality")</f>
        <v>Data quality</v>
      </c>
      <c r="D20" s="106"/>
      <c r="E20" s="107"/>
      <c r="F20" s="15" t="str">
        <f>IFERROR(_xlfn.XLOOKUP(Table_Input_InorganicFertiliser_Brands[[#This Row],[Product (select)]],FertiliserProducts[Product],FertiliserProducts[Unit]), "kg")</f>
        <v>kg</v>
      </c>
      <c r="G20" s="107">
        <f t="shared" ref="G20" si="8">X_Cell_Fertiliser_AreaUnderCropping</f>
        <v>1000</v>
      </c>
      <c r="H20" s="108">
        <f>IFERROR(_xlfn.XLOOKUP(Table_Input_InorganicFertiliser_Brands[[#This Row],[Product (select)]],FertiliserProducts[Product],FertiliserProducts[Density]), 1)</f>
        <v>1</v>
      </c>
      <c r="I20" s="109">
        <f>(Table_Input_InorganicFertiliser_Brands[[#This Row],[Amount applied per hectare]]*Table_Input_InorganicFertiliser_Brands[[#This Row],[Density]])*Table_Input_InorganicFertiliser_Brands[[#This Row],[Application area (ha)]]</f>
        <v>0</v>
      </c>
      <c r="J20" s="109" t="str" cm="1">
        <f t="array" ref="J20">Fertiliser_InputFunctions.Fertiliser_FertiliserProductLookup(Table_Input_InorganicFertiliser_Brands[[#This Row],[Product (select)]], Table_Input_InorganicFertiliser_Brands[[#Headers],[Ingredient 1]], FertiliserProducts[#Data], FertiliserProducts[Product], FertiliserProducts[#Headers])</f>
        <v/>
      </c>
      <c r="K20" s="109" t="str" cm="1">
        <f t="array" ref="K20">Fertiliser_InputFunctions.Fertiliser_FertiliserProductLookup(Table_Input_InorganicFertiliser_Brands[[#This Row],[Product (select)]], Table_Input_InorganicFertiliser_Brands[[#Headers],[Ingredient 1 percent]], FertiliserProducts[#Data], FertiliserProducts[Product], FertiliserProducts[#Headers])</f>
        <v/>
      </c>
      <c r="L20" s="109" t="str" cm="1">
        <f t="array" ref="L20">Fertiliser_InputFunctions.Fertiliser_FertiliserProductLookup(Table_Input_InorganicFertiliser_Brands[[#This Row],[Product (select)]], Table_Input_InorganicFertiliser_Brands[[#Headers],[Ingredient 2]], FertiliserProducts[#Data], FertiliserProducts[Product], FertiliserProducts[#Headers])</f>
        <v/>
      </c>
      <c r="M20" s="109" t="str" cm="1">
        <f t="array" ref="M20">Fertiliser_InputFunctions.Fertiliser_FertiliserProductLookup(Table_Input_InorganicFertiliser_Brands[[#This Row],[Product (select)]], Table_Input_InorganicFertiliser_Brands[[#Headers],[Ingredient 2 percent]], FertiliserProducts[#Data], FertiliserProducts[Product], FertiliserProducts[#Headers])</f>
        <v/>
      </c>
      <c r="N20" s="109" t="str" cm="1">
        <f t="array" ref="N20">Fertiliser_InputFunctions.Fertiliser_FertiliserProductLookup(Table_Input_InorganicFertiliser_Brands[[#This Row],[Product (select)]], Table_Input_InorganicFertiliser_Brands[[#Headers],[Ingredient 3]], FertiliserProducts[#Data], FertiliserProducts[Product], FertiliserProducts[#Headers])</f>
        <v/>
      </c>
      <c r="O20" s="109" t="str" cm="1">
        <f t="array" ref="O20">Fertiliser_InputFunctions.Fertiliser_FertiliserProductLookup(Table_Input_InorganicFertiliser_Brands[[#This Row],[Product (select)]], Table_Input_InorganicFertiliser_Brands[[#Headers],[Ingredient 3 percent]], FertiliserProducts[#Data], FertiliserProducts[Product], FertiliserProducts[#Headers])</f>
        <v/>
      </c>
      <c r="P20" s="109" t="str" cm="1">
        <f t="array" ref="P20">Fertiliser_InputFunctions.Fertiliser_FertiliserProductLookup(Table_Input_InorganicFertiliser_Brands[[#This Row],[Product (select)]], Table_Input_InorganicFertiliser_Brands[[#Headers],[Ingredient 4]], FertiliserProducts[#Data], FertiliserProducts[Product], FertiliserProducts[#Headers])</f>
        <v/>
      </c>
      <c r="Q20" s="109" t="str" cm="1">
        <f t="array" ref="Q20">Fertiliser_InputFunctions.Fertiliser_FertiliserProductLookup(Table_Input_InorganicFertiliser_Brands[[#This Row],[Product (select)]], Table_Input_InorganicFertiliser_Brands[[#Headers],[Ingredient 4 percent]], FertiliserProducts[#Data], FertiliserProducts[Product], FertiliserProducts[#Headers])</f>
        <v/>
      </c>
      <c r="R20" s="109" t="str" cm="1">
        <f t="array" ref="R20">Fertiliser_InputFunctions.Fertiliser_FertiliserProductLookup(Table_Input_InorganicFertiliser_Brands[[#This Row],[Product (select)]], Table_Input_InorganicFertiliser_Brands[[#Headers],[Ingredient 5]], FertiliserProducts[#Data], FertiliserProducts[Product], FertiliserProducts[#Headers])</f>
        <v/>
      </c>
      <c r="S20" s="109" t="str" cm="1">
        <f t="array" ref="S20">Fertiliser_InputFunctions.Fertiliser_FertiliserProductLookup(Table_Input_InorganicFertiliser_Brands[[#This Row],[Product (select)]], Table_Input_InorganicFertiliser_Brands[[#Headers],[Ingredient 5 percent]], FertiliserProducts[#Data], FertiliserProducts[Product], FertiliserProducts[#Headers])</f>
        <v/>
      </c>
      <c r="T20" s="109" t="str" cm="1">
        <f t="array" ref="T20">Fertiliser_InputFunctions.Fertiliser_FertiliserProductLookup(Table_Input_InorganicFertiliser_Brands[[#This Row],[Product (select)]], Table_Input_InorganicFertiliser_Brands[[#Headers],[Ingredient 6]], FertiliserProducts[#Data], FertiliserProducts[Product], FertiliserProducts[#Headers])</f>
        <v/>
      </c>
      <c r="U20" s="109" t="str" cm="1">
        <f t="array" ref="U20">Fertiliser_InputFunctions.Fertiliser_FertiliserProductLookup(Table_Input_InorganicFertiliser_Brands[[#This Row],[Product (select)]], Table_Input_InorganicFertiliser_Brands[[#Headers],[Ingredient 6 percent]], FertiliserProducts[#Data], FertiliserProducts[Product], FertiliserProducts[#Headers])</f>
        <v/>
      </c>
      <c r="V20" s="109">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20" s="110" cm="1">
        <f t="array" ref="W20">IFERROR(Fertiliser_InputFunctions.Fertiliser_FertiliserProductLookup(Table_Input_InorganicFertiliser_Brands[[#This Row],[Product (select)]], "N declared", FertiliserProducts[#Data], FertiliserProducts[Product], FertiliserProducts[#Headers])*0.01, 0)</f>
        <v>0</v>
      </c>
      <c r="X20" s="109">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20" s="109" t="str">
        <f>IFERROR(_xlfn.XLOOKUP(Table_Input_InorganicFertiliser_Brands[[#This Row],[Product (select)]],FertiliserProducts[Product],FertiliserProducts[Urea source]), "")</f>
        <v/>
      </c>
      <c r="Z20" s="109" t="str">
        <f>IFERROR(_xlfn.XLOOKUP(Table_Input_InorganicFertiliser_Brands[[#This Row],[Product (select)]],FertiliserProducts[Product],FertiliserProducts[Ammonia source]), "")</f>
        <v/>
      </c>
    </row>
    <row r="21" spans="1:26" ht="20.100000000000001" customHeight="1" x14ac:dyDescent="0.2">
      <c r="D21" s="106"/>
      <c r="E21" s="107"/>
      <c r="F21" s="15" t="str">
        <f>IFERROR(_xlfn.XLOOKUP(Table_Input_InorganicFertiliser_Brands[[#This Row],[Product (select)]],FertiliserProducts[Product],FertiliserProducts[Unit]), "kg")</f>
        <v>kg</v>
      </c>
      <c r="G21" s="107">
        <f t="shared" ref="G21" si="9">X_Cell_Fertiliser_AreaUnderCropping</f>
        <v>1000</v>
      </c>
      <c r="H21" s="108">
        <f>IFERROR(_xlfn.XLOOKUP(Table_Input_InorganicFertiliser_Brands[[#This Row],[Product (select)]],FertiliserProducts[Product],FertiliserProducts[Density]), 1)</f>
        <v>1</v>
      </c>
      <c r="I21" s="109">
        <f>(Table_Input_InorganicFertiliser_Brands[[#This Row],[Amount applied per hectare]]*Table_Input_InorganicFertiliser_Brands[[#This Row],[Density]])*Table_Input_InorganicFertiliser_Brands[[#This Row],[Application area (ha)]]</f>
        <v>0</v>
      </c>
      <c r="J21" s="109" t="str" cm="1">
        <f t="array" ref="J21">Fertiliser_InputFunctions.Fertiliser_FertiliserProductLookup(Table_Input_InorganicFertiliser_Brands[[#This Row],[Product (select)]], Table_Input_InorganicFertiliser_Brands[[#Headers],[Ingredient 1]], FertiliserProducts[#Data], FertiliserProducts[Product], FertiliserProducts[#Headers])</f>
        <v/>
      </c>
      <c r="K21" s="109" t="str" cm="1">
        <f t="array" ref="K21">Fertiliser_InputFunctions.Fertiliser_FertiliserProductLookup(Table_Input_InorganicFertiliser_Brands[[#This Row],[Product (select)]], Table_Input_InorganicFertiliser_Brands[[#Headers],[Ingredient 1 percent]], FertiliserProducts[#Data], FertiliserProducts[Product], FertiliserProducts[#Headers])</f>
        <v/>
      </c>
      <c r="L21" s="109" t="str" cm="1">
        <f t="array" ref="L21">Fertiliser_InputFunctions.Fertiliser_FertiliserProductLookup(Table_Input_InorganicFertiliser_Brands[[#This Row],[Product (select)]], Table_Input_InorganicFertiliser_Brands[[#Headers],[Ingredient 2]], FertiliserProducts[#Data], FertiliserProducts[Product], FertiliserProducts[#Headers])</f>
        <v/>
      </c>
      <c r="M21" s="109" t="str" cm="1">
        <f t="array" ref="M21">Fertiliser_InputFunctions.Fertiliser_FertiliserProductLookup(Table_Input_InorganicFertiliser_Brands[[#This Row],[Product (select)]], Table_Input_InorganicFertiliser_Brands[[#Headers],[Ingredient 2 percent]], FertiliserProducts[#Data], FertiliserProducts[Product], FertiliserProducts[#Headers])</f>
        <v/>
      </c>
      <c r="N21" s="109" t="str" cm="1">
        <f t="array" ref="N21">Fertiliser_InputFunctions.Fertiliser_FertiliserProductLookup(Table_Input_InorganicFertiliser_Brands[[#This Row],[Product (select)]], Table_Input_InorganicFertiliser_Brands[[#Headers],[Ingredient 3]], FertiliserProducts[#Data], FertiliserProducts[Product], FertiliserProducts[#Headers])</f>
        <v/>
      </c>
      <c r="O21" s="109" t="str" cm="1">
        <f t="array" ref="O21">Fertiliser_InputFunctions.Fertiliser_FertiliserProductLookup(Table_Input_InorganicFertiliser_Brands[[#This Row],[Product (select)]], Table_Input_InorganicFertiliser_Brands[[#Headers],[Ingredient 3 percent]], FertiliserProducts[#Data], FertiliserProducts[Product], FertiliserProducts[#Headers])</f>
        <v/>
      </c>
      <c r="P21" s="109" t="str" cm="1">
        <f t="array" ref="P21">Fertiliser_InputFunctions.Fertiliser_FertiliserProductLookup(Table_Input_InorganicFertiliser_Brands[[#This Row],[Product (select)]], Table_Input_InorganicFertiliser_Brands[[#Headers],[Ingredient 4]], FertiliserProducts[#Data], FertiliserProducts[Product], FertiliserProducts[#Headers])</f>
        <v/>
      </c>
      <c r="Q21" s="109" t="str" cm="1">
        <f t="array" ref="Q21">Fertiliser_InputFunctions.Fertiliser_FertiliserProductLookup(Table_Input_InorganicFertiliser_Brands[[#This Row],[Product (select)]], Table_Input_InorganicFertiliser_Brands[[#Headers],[Ingredient 4 percent]], FertiliserProducts[#Data], FertiliserProducts[Product], FertiliserProducts[#Headers])</f>
        <v/>
      </c>
      <c r="R21" s="109" t="str" cm="1">
        <f t="array" ref="R21">Fertiliser_InputFunctions.Fertiliser_FertiliserProductLookup(Table_Input_InorganicFertiliser_Brands[[#This Row],[Product (select)]], Table_Input_InorganicFertiliser_Brands[[#Headers],[Ingredient 5]], FertiliserProducts[#Data], FertiliserProducts[Product], FertiliserProducts[#Headers])</f>
        <v/>
      </c>
      <c r="S21" s="109" t="str" cm="1">
        <f t="array" ref="S21">Fertiliser_InputFunctions.Fertiliser_FertiliserProductLookup(Table_Input_InorganicFertiliser_Brands[[#This Row],[Product (select)]], Table_Input_InorganicFertiliser_Brands[[#Headers],[Ingredient 5 percent]], FertiliserProducts[#Data], FertiliserProducts[Product], FertiliserProducts[#Headers])</f>
        <v/>
      </c>
      <c r="T21" s="109" t="str" cm="1">
        <f t="array" ref="T21">Fertiliser_InputFunctions.Fertiliser_FertiliserProductLookup(Table_Input_InorganicFertiliser_Brands[[#This Row],[Product (select)]], Table_Input_InorganicFertiliser_Brands[[#Headers],[Ingredient 6]], FertiliserProducts[#Data], FertiliserProducts[Product], FertiliserProducts[#Headers])</f>
        <v/>
      </c>
      <c r="U21" s="109" t="str" cm="1">
        <f t="array" ref="U21">Fertiliser_InputFunctions.Fertiliser_FertiliserProductLookup(Table_Input_InorganicFertiliser_Brands[[#This Row],[Product (select)]], Table_Input_InorganicFertiliser_Brands[[#Headers],[Ingredient 6 percent]], FertiliserProducts[#Data], FertiliserProducts[Product], FertiliserProducts[#Headers])</f>
        <v/>
      </c>
      <c r="V21" s="109">
        <f>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21" s="110" cm="1">
        <f t="array" ref="W21">IFERROR(Fertiliser_InputFunctions.Fertiliser_FertiliserProductLookup(Table_Input_InorganicFertiliser_Brands[[#This Row],[Product (select)]], "N declared", FertiliserProducts[#Data], FertiliserProducts[Product], FertiliserProducts[#Headers])*0.01, 0)</f>
        <v>0</v>
      </c>
      <c r="X21" s="109">
        <f>(Table_Input_InorganicFertiliser_Brands[[#This Row],[Amount applied per hectare]]*Table_Input_InorganicFertiliser_Brands[[#This Row],[Density]])*(IF(Table_Input_InorganicFertiliser_Brands[[#This Row],[% N (declared)]], Table_Input_InorganicFertiliser_Brands[[#This Row],[% N (declared)]], Table_Input_InorganicFertiliser_Brands[[#This Row],[% N (Ingredients)]]))</f>
        <v>0</v>
      </c>
      <c r="Y21" s="109" t="str">
        <f>IFERROR(_xlfn.XLOOKUP(Table_Input_InorganicFertiliser_Brands[[#This Row],[Product (select)]],FertiliserProducts[Product],FertiliserProducts[Urea source]), "")</f>
        <v/>
      </c>
      <c r="Z21" s="109" t="str">
        <f>IFERROR(_xlfn.XLOOKUP(Table_Input_InorganicFertiliser_Brands[[#This Row],[Product (select)]],FertiliserProducts[Product],FertiliserProducts[Ammonia source]), "")</f>
        <v/>
      </c>
    </row>
    <row r="22" spans="1:26" ht="20.100000000000001" customHeight="1" x14ac:dyDescent="0.2">
      <c r="D22" s="111"/>
      <c r="E22" s="112"/>
      <c r="F22" s="113"/>
      <c r="G22" s="113"/>
      <c r="H22" s="113"/>
      <c r="I22" s="113"/>
      <c r="J22" s="114"/>
      <c r="K22" s="114"/>
      <c r="L22" s="115"/>
      <c r="M22" s="115"/>
      <c r="N22" s="116"/>
      <c r="O22" s="116"/>
      <c r="P22" s="116"/>
      <c r="Q22" s="116"/>
      <c r="R22" s="116"/>
      <c r="S22" s="116"/>
      <c r="T22" s="116"/>
      <c r="U22" s="116"/>
      <c r="V22" s="116"/>
      <c r="W22" s="116"/>
      <c r="X22" s="116"/>
    </row>
    <row r="23" spans="1:26" ht="20.100000000000001" customHeight="1" x14ac:dyDescent="0.2">
      <c r="A23" s="6" t="s">
        <v>2</v>
      </c>
      <c r="D23" s="117" t="s">
        <v>328</v>
      </c>
      <c r="E23" s="118"/>
      <c r="F23" s="118"/>
      <c r="G23" s="118"/>
      <c r="H23" s="118"/>
      <c r="I23" s="118"/>
      <c r="J23" s="118"/>
      <c r="K23" s="118"/>
      <c r="L23" s="118"/>
      <c r="M23" s="118"/>
      <c r="N23" s="116"/>
      <c r="O23" s="116"/>
      <c r="P23" s="116"/>
      <c r="Q23" s="116"/>
      <c r="R23" s="116"/>
      <c r="S23" s="116"/>
      <c r="T23" s="116"/>
      <c r="V23" s="116"/>
      <c r="W23" s="116"/>
      <c r="X23" s="116"/>
    </row>
    <row r="24" spans="1:26" ht="20.100000000000001" customHeight="1" x14ac:dyDescent="0.2">
      <c r="A24" s="5" t="str">
        <f>HYPERLINK("#'5.1.1.1-2 Inorganic fert N2O'!A1", "5.1.1.1-2 Inorganic fert N2O")</f>
        <v>5.1.1.1-2 Inorganic fert N2O</v>
      </c>
      <c r="D24" s="104" t="s">
        <v>329</v>
      </c>
      <c r="E24" s="104" t="s">
        <v>330</v>
      </c>
      <c r="F24" s="104" t="s">
        <v>305</v>
      </c>
      <c r="G24" s="104" t="s">
        <v>307</v>
      </c>
      <c r="H24" s="104" t="s">
        <v>331</v>
      </c>
      <c r="I24" s="104" t="s">
        <v>309</v>
      </c>
      <c r="J24" s="104" t="s">
        <v>310</v>
      </c>
      <c r="K24" s="104" t="s">
        <v>311</v>
      </c>
      <c r="L24" s="104" t="s">
        <v>312</v>
      </c>
      <c r="M24" s="104" t="s">
        <v>313</v>
      </c>
      <c r="N24" s="104" t="s">
        <v>314</v>
      </c>
      <c r="O24" s="104" t="s">
        <v>315</v>
      </c>
      <c r="P24" s="104" t="s">
        <v>322</v>
      </c>
      <c r="Q24" s="119" t="s">
        <v>332</v>
      </c>
      <c r="R24" s="119" t="s">
        <v>333</v>
      </c>
      <c r="S24" s="116"/>
      <c r="T24" s="116"/>
      <c r="V24" s="116"/>
      <c r="W24" s="116"/>
      <c r="X24" s="116"/>
    </row>
    <row r="25" spans="1:26" ht="20.100000000000001" customHeight="1" x14ac:dyDescent="0.2">
      <c r="A25" s="5" t="str">
        <f>HYPERLINK("#'5.1.1.3-4 Inorganic fert CO2'!A1", "5.1.1.3-4 Inorganic fert CO2")</f>
        <v>5.1.1.3-4 Inorganic fert CO2</v>
      </c>
      <c r="D25" s="34" t="s">
        <v>334</v>
      </c>
      <c r="E25" s="104">
        <v>100</v>
      </c>
      <c r="F25" s="107">
        <f t="shared" ref="F25:F34" si="10">X_Cell_Fertiliser_AreaUnderCropping</f>
        <v>1000</v>
      </c>
      <c r="G25" s="109">
        <f>Table_Input_InorganicFertiliser_Custom[[#This Row],[Amount applied (kg / ha)]]*Table_Input_InorganicFertiliser_Custom[[#This Row],[Application area (ha)]]</f>
        <v>100000</v>
      </c>
      <c r="H25" s="120" t="s">
        <v>335</v>
      </c>
      <c r="I25" s="121">
        <v>0.5</v>
      </c>
      <c r="J25" s="120" t="s">
        <v>336</v>
      </c>
      <c r="K25" s="121">
        <v>0.2</v>
      </c>
      <c r="L25" s="120" t="s">
        <v>337</v>
      </c>
      <c r="M25" s="121">
        <v>0.2</v>
      </c>
      <c r="N25" s="122" t="s">
        <v>338</v>
      </c>
      <c r="O25" s="18">
        <v>0.1</v>
      </c>
      <c r="P25" s="109">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7.75</v>
      </c>
      <c r="Q25" s="13"/>
      <c r="R25" s="13"/>
      <c r="T25" s="77"/>
      <c r="V25" s="116"/>
    </row>
    <row r="26" spans="1:26" ht="20.100000000000001" customHeight="1" x14ac:dyDescent="0.2">
      <c r="A26" s="5" t="str">
        <f>HYPERLINK("#'5.2.1.1-2 Organic Fert N2O'!A1", "5.2.1.1-2 Organic fert N2O")</f>
        <v>5.2.1.1-2 Organic fert N2O</v>
      </c>
      <c r="D26" s="34" t="s">
        <v>339</v>
      </c>
      <c r="E26" s="104">
        <v>100</v>
      </c>
      <c r="F26" s="107">
        <f t="shared" si="10"/>
        <v>1000</v>
      </c>
      <c r="G26" s="109">
        <f>Table_Input_InorganicFertiliser_Custom[[#This Row],[Amount applied (kg / ha)]]*Table_Input_InorganicFertiliser_Custom[[#This Row],[Application area (ha)]]</f>
        <v>100000</v>
      </c>
      <c r="H26" s="120" t="s">
        <v>325</v>
      </c>
      <c r="I26" s="123">
        <v>1</v>
      </c>
      <c r="J26" s="120"/>
      <c r="K26" s="123"/>
      <c r="L26" s="120"/>
      <c r="M26" s="123"/>
      <c r="N26" s="122"/>
      <c r="O26" s="18"/>
      <c r="P26" s="109">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46</v>
      </c>
      <c r="Q26" s="13"/>
      <c r="R26" s="13"/>
      <c r="V26" s="116"/>
      <c r="W26" s="77"/>
    </row>
    <row r="27" spans="1:26" ht="20.100000000000001" customHeight="1" x14ac:dyDescent="0.2">
      <c r="A27" s="5" t="str">
        <f>HYPERLINK("#'5.3.1.1-2 Lime CO2'!A1", "5.3.1.1-2 Lime CO2")</f>
        <v>5.3.1.1-2 Lime CO2</v>
      </c>
      <c r="D27" s="34" t="s">
        <v>340</v>
      </c>
      <c r="E27" s="104">
        <v>100</v>
      </c>
      <c r="F27" s="107">
        <f t="shared" si="10"/>
        <v>1000</v>
      </c>
      <c r="G27" s="109">
        <f>Table_Input_InorganicFertiliser_Custom[[#This Row],[Amount applied (kg / ha)]]*Table_Input_InorganicFertiliser_Custom[[#This Row],[Application area (ha)]]</f>
        <v>100000</v>
      </c>
      <c r="H27" s="120" t="s">
        <v>341</v>
      </c>
      <c r="I27" s="123">
        <v>0.5</v>
      </c>
      <c r="J27" s="120"/>
      <c r="K27" s="123"/>
      <c r="L27" s="120"/>
      <c r="M27" s="123"/>
      <c r="N27" s="122"/>
      <c r="O27" s="18"/>
      <c r="P27" s="109">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41.174999999999997</v>
      </c>
      <c r="Q27" s="13"/>
      <c r="R27" s="13"/>
      <c r="V27" s="116"/>
    </row>
    <row r="28" spans="1:26" ht="20.100000000000001" customHeight="1" x14ac:dyDescent="0.2">
      <c r="A28" s="5" t="str">
        <f>HYPERLINK("#'5.4.1.1-4 Atmos deposition'!A1", "5.4.1.1-4 Atmos. deposition")</f>
        <v>5.4.1.1-4 Atmos. deposition</v>
      </c>
      <c r="D28" s="34"/>
      <c r="E28" s="104"/>
      <c r="F28" s="124">
        <f t="shared" si="10"/>
        <v>1000</v>
      </c>
      <c r="G28" s="109">
        <f>Table_Input_InorganicFertiliser_Custom[[#This Row],[Amount applied (kg / ha)]]*Table_Input_InorganicFertiliser_Custom[[#This Row],[Application area (ha)]]</f>
        <v>0</v>
      </c>
      <c r="H28" s="120"/>
      <c r="I28" s="123"/>
      <c r="J28" s="120"/>
      <c r="K28" s="123"/>
      <c r="L28" s="120"/>
      <c r="M28" s="123"/>
      <c r="N28" s="122"/>
      <c r="O28" s="18"/>
      <c r="P28" s="109">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28" s="13"/>
      <c r="R28" s="13"/>
      <c r="V28" s="77"/>
    </row>
    <row r="29" spans="1:26" ht="20.100000000000001" customHeight="1" x14ac:dyDescent="0.2">
      <c r="A29" s="5" t="str">
        <f>HYPERLINK("#'5.5.1.1-2 Leaching and runoff'!A1", "5.5.1.1-2 Leaching &amp; runoff")</f>
        <v>5.5.1.1-2 Leaching &amp; runoff</v>
      </c>
      <c r="D29" s="34"/>
      <c r="E29" s="104"/>
      <c r="F29" s="124">
        <f t="shared" si="10"/>
        <v>1000</v>
      </c>
      <c r="G29" s="109">
        <f>Table_Input_InorganicFertiliser_Custom[[#This Row],[Amount applied (kg / ha)]]*Table_Input_InorganicFertiliser_Custom[[#This Row],[Application area (ha)]]</f>
        <v>0</v>
      </c>
      <c r="H29" s="120"/>
      <c r="I29" s="123"/>
      <c r="J29" s="120"/>
      <c r="K29" s="123"/>
      <c r="L29" s="120"/>
      <c r="M29" s="123"/>
      <c r="N29" s="122"/>
      <c r="O29" s="18"/>
      <c r="P29" s="109">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29" s="13"/>
      <c r="R29" s="13"/>
    </row>
    <row r="30" spans="1:26" ht="20.100000000000001" customHeight="1" x14ac:dyDescent="0.2">
      <c r="A30" s="5" t="str">
        <f>HYPERLINK("#'6.1.1.1-2 Crop residue N2O'!A1", "6.1.1.1-2 Crop residue N2O")</f>
        <v>6.1.1.1-2 Crop residue N2O</v>
      </c>
      <c r="D30" s="34"/>
      <c r="E30" s="104"/>
      <c r="F30" s="124">
        <f t="shared" si="10"/>
        <v>1000</v>
      </c>
      <c r="G30" s="109">
        <f>Table_Input_InorganicFertiliser_Custom[[#This Row],[Amount applied (kg / ha)]]*Table_Input_InorganicFertiliser_Custom[[#This Row],[Application area (ha)]]</f>
        <v>0</v>
      </c>
      <c r="H30" s="120"/>
      <c r="I30" s="123"/>
      <c r="J30" s="120"/>
      <c r="K30" s="123"/>
      <c r="L30" s="120"/>
      <c r="M30" s="123"/>
      <c r="N30" s="122"/>
      <c r="O30" s="18"/>
      <c r="P30" s="109">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0" s="13"/>
      <c r="R30" s="13"/>
    </row>
    <row r="31" spans="1:26" ht="20.100000000000001" customHeight="1" x14ac:dyDescent="0.2">
      <c r="A31" s="5" t="str">
        <f>HYPERLINK("#'6.3.1.1-2 Leach runoff crop'!A1", "6.3.1.1-2 Leach &amp; runoff (crop)")</f>
        <v>6.3.1.1-2 Leach &amp; runoff (crop)</v>
      </c>
      <c r="D31" s="34"/>
      <c r="E31" s="104"/>
      <c r="F31" s="124">
        <f t="shared" si="10"/>
        <v>1000</v>
      </c>
      <c r="G31" s="109">
        <f>Table_Input_InorganicFertiliser_Custom[[#This Row],[Amount applied (kg / ha)]]*Table_Input_InorganicFertiliser_Custom[[#This Row],[Application area (ha)]]</f>
        <v>0</v>
      </c>
      <c r="H31" s="120"/>
      <c r="I31" s="123"/>
      <c r="J31" s="120"/>
      <c r="K31" s="123"/>
      <c r="L31" s="120"/>
      <c r="M31" s="123"/>
      <c r="N31" s="122"/>
      <c r="O31" s="18"/>
      <c r="P31" s="109">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1" s="13"/>
      <c r="R31" s="13"/>
    </row>
    <row r="32" spans="1:26" ht="20.100000000000001" customHeight="1" x14ac:dyDescent="0.2">
      <c r="A32" s="5" t="str">
        <f>HYPERLINK("#'6.4.1.1-2 Residue burning'!A1", "6.4.1.1-2 Residue burning")</f>
        <v>6.4.1.1-2 Residue burning</v>
      </c>
      <c r="D32" s="34"/>
      <c r="E32" s="104"/>
      <c r="F32" s="124">
        <f t="shared" si="10"/>
        <v>1000</v>
      </c>
      <c r="G32" s="109">
        <f>Table_Input_InorganicFertiliser_Custom[[#This Row],[Amount applied (kg / ha)]]*Table_Input_InorganicFertiliser_Custom[[#This Row],[Application area (ha)]]</f>
        <v>0</v>
      </c>
      <c r="H32" s="120"/>
      <c r="I32" s="123"/>
      <c r="J32" s="120"/>
      <c r="K32" s="123"/>
      <c r="L32" s="120"/>
      <c r="M32" s="123"/>
      <c r="N32" s="122"/>
      <c r="O32" s="18"/>
      <c r="P32" s="109">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2" s="13"/>
      <c r="R32" s="13"/>
    </row>
    <row r="33" spans="1:27" ht="20.100000000000001" customHeight="1" x14ac:dyDescent="0.2">
      <c r="A33" s="5" t="str">
        <f>HYPERLINK("#'8.1.1.1-2 Transport fuel'!A1", "8.1.1.1-2 Transport fuel")</f>
        <v>8.1.1.1-2 Transport fuel</v>
      </c>
      <c r="D33" s="34"/>
      <c r="E33" s="104"/>
      <c r="F33" s="124">
        <f t="shared" si="10"/>
        <v>1000</v>
      </c>
      <c r="G33" s="109">
        <f>Table_Input_InorganicFertiliser_Custom[[#This Row],[Amount applied (kg / ha)]]*Table_Input_InorganicFertiliser_Custom[[#This Row],[Application area (ha)]]</f>
        <v>0</v>
      </c>
      <c r="H33" s="120"/>
      <c r="I33" s="123"/>
      <c r="J33" s="120"/>
      <c r="K33" s="123"/>
      <c r="L33" s="120"/>
      <c r="M33" s="123"/>
      <c r="N33" s="122"/>
      <c r="O33" s="18"/>
      <c r="P33" s="109">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3" s="13"/>
      <c r="R33" s="13"/>
    </row>
    <row r="34" spans="1:27" ht="20.100000000000001" customHeight="1" x14ac:dyDescent="0.2">
      <c r="A34" s="5" t="str">
        <f>HYPERLINK("#'8.2.1.1-2 Stationary fuel'!A1", "8.2.1.1-2 Stationary fuel")</f>
        <v>8.2.1.1-2 Stationary fuel</v>
      </c>
      <c r="D34" s="34"/>
      <c r="E34" s="104"/>
      <c r="F34" s="124">
        <f t="shared" si="10"/>
        <v>1000</v>
      </c>
      <c r="G34" s="109">
        <f>Table_Input_InorganicFertiliser_Custom[[#This Row],[Amount applied (kg / ha)]]*Table_Input_InorganicFertiliser_Custom[[#This Row],[Application area (ha)]]</f>
        <v>0</v>
      </c>
      <c r="H34" s="120"/>
      <c r="I34" s="123"/>
      <c r="J34" s="120"/>
      <c r="K34" s="123"/>
      <c r="L34" s="120"/>
      <c r="M34" s="123"/>
      <c r="N34" s="122"/>
      <c r="O34" s="18"/>
      <c r="P34" s="109">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0</v>
      </c>
      <c r="Q34" s="13"/>
      <c r="R34" s="13"/>
    </row>
    <row r="35" spans="1:27" ht="20.100000000000001" customHeight="1" x14ac:dyDescent="0.2">
      <c r="A35" s="5" t="str">
        <f>HYPERLINK("#'10.1.1-2 Solid waste treatment'!A1", "10.1.1.1-2 Solid waste")</f>
        <v>10.1.1.1-2 Solid waste</v>
      </c>
    </row>
    <row r="36" spans="1:27" ht="20.100000000000001" customHeight="1" x14ac:dyDescent="0.2">
      <c r="A36" s="5" t="str">
        <f>HYPERLINK("#'14.1.1-2 Purchased electricity'!A1", "14.1.1-2 Purchased electricity")</f>
        <v>14.1.1-2 Purchased electricity</v>
      </c>
      <c r="D36" s="2" t="s">
        <v>342</v>
      </c>
      <c r="E36" s="25"/>
      <c r="F36" s="25"/>
      <c r="G36" s="25"/>
      <c r="H36" s="25"/>
      <c r="I36" s="25"/>
      <c r="J36" s="25"/>
      <c r="K36" s="8"/>
      <c r="L36" s="8"/>
      <c r="M36" s="8"/>
    </row>
    <row r="37" spans="1:27" ht="20.100000000000001" customHeight="1" x14ac:dyDescent="0.2">
      <c r="A37" s="5" t="str">
        <f>HYPERLINK("#'15 Scope 3'!A1", "15 Scope 3")</f>
        <v>15 Scope 3</v>
      </c>
      <c r="D37" s="99" t="s">
        <v>343</v>
      </c>
      <c r="E37" s="44"/>
      <c r="F37" s="45"/>
      <c r="G37" s="99"/>
      <c r="H37" s="45"/>
      <c r="I37" s="25"/>
      <c r="J37" s="25"/>
      <c r="K37" s="8"/>
      <c r="L37" s="8"/>
      <c r="M37" s="25"/>
    </row>
    <row r="38" spans="1:27" ht="20.100000000000001" customHeight="1" x14ac:dyDescent="0.2">
      <c r="C38" s="116"/>
      <c r="D38" s="125" t="s">
        <v>344</v>
      </c>
      <c r="E38" s="126"/>
      <c r="F38" s="127"/>
      <c r="G38" s="125"/>
      <c r="H38" s="127"/>
      <c r="I38" s="8"/>
      <c r="J38" s="8"/>
      <c r="K38" s="8"/>
      <c r="L38" s="8"/>
      <c r="M38" s="8"/>
    </row>
    <row r="39" spans="1:27" ht="20.100000000000001" customHeight="1" x14ac:dyDescent="0.2">
      <c r="C39" s="116"/>
      <c r="D39" s="46" t="s">
        <v>300</v>
      </c>
      <c r="E39" s="47"/>
      <c r="F39" s="47"/>
      <c r="G39" s="47"/>
      <c r="H39" s="48"/>
      <c r="I39" s="8"/>
      <c r="J39" s="8"/>
      <c r="K39" s="8"/>
      <c r="L39" s="8"/>
      <c r="M39" s="25"/>
    </row>
    <row r="40" spans="1:27" s="128" customFormat="1" ht="20.100000000000001" customHeight="1" x14ac:dyDescent="0.2">
      <c r="A40" s="82" t="s">
        <v>1</v>
      </c>
      <c r="C40" s="1"/>
      <c r="D40" s="89" t="str">
        <f>IF(MAX(Table_Input_Lime[Total]) &gt; 1, "There can not be more than 100% ingredients in a product. Check the table below.", "")</f>
        <v/>
      </c>
      <c r="E40" s="1"/>
      <c r="F40" s="1"/>
      <c r="G40" s="1"/>
      <c r="H40" s="1"/>
      <c r="I40" s="1"/>
      <c r="J40" s="1"/>
      <c r="K40" s="1"/>
      <c r="L40" s="8"/>
      <c r="M40" s="25"/>
      <c r="N40" s="1"/>
      <c r="O40" s="1"/>
      <c r="P40" s="1"/>
      <c r="Q40" s="1"/>
      <c r="R40" s="1"/>
      <c r="S40" s="1"/>
      <c r="T40" s="1"/>
      <c r="U40" s="1"/>
      <c r="V40" s="1"/>
      <c r="W40" s="1"/>
      <c r="X40" s="1"/>
      <c r="Y40" s="1"/>
      <c r="Z40" s="1"/>
      <c r="AA40" s="1"/>
    </row>
    <row r="41" spans="1:27" s="128" customFormat="1" ht="20.100000000000001" customHeight="1" x14ac:dyDescent="0.2">
      <c r="A41" s="5" t="str">
        <f>HYPERLINK("#'Constants - Ag Residue'!A1", "Constants - Ag residue")</f>
        <v>Constants - Ag residue</v>
      </c>
      <c r="C41" s="1"/>
      <c r="D41" s="129" t="s">
        <v>132</v>
      </c>
      <c r="E41" s="129" t="s">
        <v>345</v>
      </c>
      <c r="F41" s="129" t="s">
        <v>305</v>
      </c>
      <c r="G41" s="129" t="s">
        <v>346</v>
      </c>
      <c r="H41" s="129" t="s">
        <v>347</v>
      </c>
      <c r="I41" s="129" t="s">
        <v>348</v>
      </c>
      <c r="J41" s="129" t="s">
        <v>349</v>
      </c>
      <c r="K41" s="129" t="s">
        <v>4</v>
      </c>
      <c r="L41" s="1"/>
      <c r="M41" s="1"/>
      <c r="N41" s="1"/>
      <c r="O41" s="1"/>
      <c r="P41" s="1"/>
      <c r="Q41" s="1"/>
      <c r="R41" s="1"/>
      <c r="S41" s="116"/>
      <c r="T41" s="1"/>
      <c r="U41" s="1"/>
      <c r="V41" s="1"/>
      <c r="W41" s="1"/>
      <c r="X41" s="1"/>
      <c r="Y41" s="1"/>
      <c r="Z41" s="1"/>
      <c r="AA41" s="1"/>
    </row>
    <row r="42" spans="1:27" ht="20.100000000000001" customHeight="1" x14ac:dyDescent="0.2">
      <c r="A42" s="5" t="str">
        <f>HYPERLINK("#'Constants - Electricity'!A1", "Constants - Electricity")</f>
        <v>Constants - Electricity</v>
      </c>
      <c r="D42" s="130" t="s">
        <v>350</v>
      </c>
      <c r="E42" s="107">
        <v>1</v>
      </c>
      <c r="F42" s="107">
        <f>X_Cell_Fertiliser_AreaUnderCropping</f>
        <v>1000</v>
      </c>
      <c r="G42" s="109">
        <f>IFERROR(Table_Input_Lime[[#This Row],[Amount applied (t/hectare)]]*Table_Input_Lime[[#This Row],[Application area (ha)]], 0)</f>
        <v>1000</v>
      </c>
      <c r="H42" s="131">
        <v>0.8</v>
      </c>
      <c r="I42" s="131">
        <v>0.1</v>
      </c>
      <c r="J42" s="131">
        <v>0.1</v>
      </c>
      <c r="K42" s="132">
        <f>SUM(Table_Input_Lime[[#This Row],[Percent Lime CaCO3]:[Percent Gypsum]])</f>
        <v>1</v>
      </c>
      <c r="S42" s="116"/>
    </row>
    <row r="43" spans="1:27" ht="20.100000000000001" customHeight="1" x14ac:dyDescent="0.2">
      <c r="A43" s="5" t="str">
        <f>HYPERLINK("#'Constants - Fertiliser'!A1", "Constants - Fertiliser")</f>
        <v>Constants - Fertiliser</v>
      </c>
      <c r="D43" s="130" t="s">
        <v>351</v>
      </c>
      <c r="E43" s="107">
        <v>1</v>
      </c>
      <c r="F43" s="107">
        <f>X_Cell_Fertiliser_AreaUnderCropping</f>
        <v>1000</v>
      </c>
      <c r="G43" s="109">
        <f>IFERROR(Table_Input_Lime[[#This Row],[Amount applied (t/hectare)]]*Table_Input_Lime[[#This Row],[Application area (ha)]], 0)</f>
        <v>1000</v>
      </c>
      <c r="H43" s="131">
        <v>1</v>
      </c>
      <c r="I43" s="131"/>
      <c r="J43" s="131"/>
      <c r="K43" s="132">
        <f>SUM(Table_Input_Lime[[#This Row],[Percent Lime CaCO3]:[Percent Gypsum]])</f>
        <v>1</v>
      </c>
    </row>
    <row r="44" spans="1:27" ht="20.100000000000001" customHeight="1" x14ac:dyDescent="0.2">
      <c r="A44" s="5" t="str">
        <f>HYPERLINK("#'Constants - Fuel'!A1", "Constants - Fuel")</f>
        <v>Constants - Fuel</v>
      </c>
      <c r="D44" s="130" t="s">
        <v>352</v>
      </c>
      <c r="E44" s="107">
        <v>1</v>
      </c>
      <c r="F44" s="107">
        <f>X_Cell_Fertiliser_AreaUnderCropping</f>
        <v>1000</v>
      </c>
      <c r="G44" s="109">
        <f>IFERROR(Table_Input_Lime[[#This Row],[Amount applied (t/hectare)]]*Table_Input_Lime[[#This Row],[Application area (ha)]], 0)</f>
        <v>1000</v>
      </c>
      <c r="H44" s="131">
        <v>0</v>
      </c>
      <c r="I44" s="131"/>
      <c r="J44" s="131">
        <v>1</v>
      </c>
      <c r="K44" s="132">
        <f>SUM(Table_Input_Lime[[#This Row],[Percent Lime CaCO3]:[Percent Gypsum]])</f>
        <v>1</v>
      </c>
      <c r="L44" s="25"/>
    </row>
    <row r="45" spans="1:27" ht="20.100000000000001" customHeight="1" x14ac:dyDescent="0.2">
      <c r="A45" s="5" t="str">
        <f>HYPERLINK("#'Constants - Scope 3'!A1", "Constants - Scope 3")</f>
        <v>Constants - Scope 3</v>
      </c>
      <c r="L45" s="25"/>
      <c r="M45" s="25"/>
    </row>
    <row r="46" spans="1:27" ht="20.100000000000001" customHeight="1" x14ac:dyDescent="0.2">
      <c r="A46" s="5" t="str">
        <f>HYPERLINK("#'Constants - Solid Waste'!A1", "Constants - Solid Waste")</f>
        <v>Constants - Solid Waste</v>
      </c>
      <c r="D46" s="8"/>
      <c r="E46" s="8"/>
      <c r="F46" s="8"/>
      <c r="G46" s="8"/>
      <c r="H46" s="8"/>
      <c r="I46" s="8"/>
      <c r="J46" s="8"/>
      <c r="L46" s="8"/>
      <c r="M46" s="25"/>
    </row>
    <row r="47" spans="1:27" ht="20.100000000000001" customHeight="1" x14ac:dyDescent="0.2">
      <c r="A47" s="5" t="str">
        <f>HYPERLINK("#'Constants - Common'!A1", "Constants - Common")</f>
        <v>Constants - Common</v>
      </c>
      <c r="D47" s="8"/>
      <c r="E47" s="8"/>
      <c r="F47" s="8"/>
      <c r="G47" s="8"/>
      <c r="H47" s="8"/>
      <c r="I47" s="8"/>
      <c r="J47" s="133"/>
      <c r="K47" s="25"/>
      <c r="L47" s="8"/>
      <c r="M47" s="8"/>
    </row>
    <row r="48" spans="1:27" ht="20.100000000000001" customHeight="1" x14ac:dyDescent="0.2">
      <c r="A48" s="5" t="str">
        <f>HYPERLINK("#'Constants - Common Livestock'!A1", "Constants - Common Livestock")</f>
        <v>Constants - Common Livestock</v>
      </c>
      <c r="D48" s="2" t="s">
        <v>353</v>
      </c>
      <c r="E48" s="25"/>
      <c r="F48" s="25"/>
      <c r="G48" s="25"/>
      <c r="H48" s="8"/>
      <c r="I48" s="8"/>
      <c r="J48" s="8"/>
      <c r="K48" s="8"/>
      <c r="L48" s="8"/>
      <c r="M48" s="8"/>
    </row>
    <row r="49" spans="4:18" ht="20.100000000000001" customHeight="1" x14ac:dyDescent="0.2">
      <c r="D49" s="8"/>
      <c r="E49" s="8"/>
      <c r="F49" s="8"/>
      <c r="G49" s="8"/>
      <c r="H49" s="8"/>
      <c r="I49" s="8"/>
      <c r="J49" s="8"/>
      <c r="K49" s="8"/>
      <c r="L49" s="8"/>
      <c r="M49" s="8"/>
      <c r="Q49" s="116"/>
      <c r="R49" s="116"/>
    </row>
    <row r="50" spans="4:18" ht="20.100000000000001" customHeight="1" x14ac:dyDescent="0.2">
      <c r="D50" s="99" t="s">
        <v>343</v>
      </c>
      <c r="E50" s="44"/>
      <c r="F50" s="44"/>
      <c r="G50" s="44"/>
      <c r="H50" s="45"/>
      <c r="I50" s="8"/>
      <c r="J50" s="8"/>
      <c r="K50" s="8"/>
      <c r="L50" s="8"/>
      <c r="M50" s="8"/>
      <c r="O50" s="116"/>
      <c r="P50" s="116"/>
      <c r="Q50" s="116"/>
      <c r="R50" s="116"/>
    </row>
    <row r="51" spans="4:18" ht="20.100000000000001" customHeight="1" x14ac:dyDescent="0.2">
      <c r="D51" s="46" t="s">
        <v>300</v>
      </c>
      <c r="E51" s="47"/>
      <c r="F51" s="47"/>
      <c r="G51" s="47"/>
      <c r="H51" s="48"/>
      <c r="I51" s="8"/>
      <c r="J51" s="8"/>
      <c r="K51" s="8"/>
      <c r="L51" s="118"/>
      <c r="M51" s="116"/>
      <c r="N51" s="116"/>
      <c r="O51" s="116"/>
      <c r="P51" s="116"/>
    </row>
    <row r="52" spans="4:18" ht="20.100000000000001" customHeight="1" x14ac:dyDescent="0.2">
      <c r="D52" s="8"/>
      <c r="E52" s="8"/>
      <c r="F52" s="8"/>
      <c r="G52" s="8"/>
      <c r="H52" s="8"/>
      <c r="I52" s="8"/>
      <c r="J52" s="8"/>
      <c r="K52" s="8"/>
      <c r="L52" s="118"/>
      <c r="M52" s="116"/>
      <c r="N52" s="116"/>
    </row>
    <row r="53" spans="4:18" ht="20.100000000000001" customHeight="1" x14ac:dyDescent="0.2">
      <c r="D53" s="129" t="s">
        <v>354</v>
      </c>
      <c r="E53" s="129" t="s">
        <v>355</v>
      </c>
      <c r="F53" s="129" t="s">
        <v>356</v>
      </c>
      <c r="G53" s="129" t="s">
        <v>357</v>
      </c>
      <c r="H53" s="129" t="s">
        <v>305</v>
      </c>
      <c r="I53" s="129" t="s">
        <v>358</v>
      </c>
      <c r="J53" s="129" t="s">
        <v>359</v>
      </c>
      <c r="K53" s="118"/>
    </row>
    <row r="54" spans="4:18" ht="20.100000000000001" customHeight="1" x14ac:dyDescent="0.2">
      <c r="D54" s="106" t="s">
        <v>360</v>
      </c>
      <c r="E54" s="131">
        <v>0.3</v>
      </c>
      <c r="F54" s="107">
        <v>10</v>
      </c>
      <c r="G54" s="109">
        <f>Table_Input_OrganicFertiliser[[#This Row],[Amount applied (kg/hectare)]]*Table_Input_OrganicFertiliser[[#This Row],[Percentage of N in fertiliser]]</f>
        <v>3</v>
      </c>
      <c r="H54" s="107">
        <f>X_Cell_Fertiliser_AreaUnderCropping</f>
        <v>1000</v>
      </c>
      <c r="I54" s="109">
        <f>Table_Input_OrganicFertiliser[[#This Row],[Amount applied (kg/hectare)]]*Table_Input_OrganicFertiliser[[#This Row],[Application area (ha)]]</f>
        <v>10000</v>
      </c>
      <c r="J54" s="109">
        <f>IFERROR(Table_Input_OrganicFertiliser[[#This Row],[Amount N applied (kg/hectare)]]*Table_Input_OrganicFertiliser[[#This Row],[Application area (ha)]], 0)</f>
        <v>3000</v>
      </c>
      <c r="K54" s="118"/>
    </row>
    <row r="55" spans="4:18" ht="20.100000000000001" customHeight="1" x14ac:dyDescent="0.2">
      <c r="D55" s="106" t="s">
        <v>361</v>
      </c>
      <c r="E55" s="131">
        <v>0.25</v>
      </c>
      <c r="F55" s="107">
        <v>10</v>
      </c>
      <c r="G55" s="109">
        <f>Table_Input_OrganicFertiliser[[#This Row],[Amount applied (kg/hectare)]]*Table_Input_OrganicFertiliser[[#This Row],[Percentage of N in fertiliser]]</f>
        <v>2.5</v>
      </c>
      <c r="H55" s="107">
        <f>X_Cell_Fertiliser_AreaUnderCropping</f>
        <v>1000</v>
      </c>
      <c r="I55" s="109">
        <f>Table_Input_OrganicFertiliser[[#This Row],[Amount applied (kg/hectare)]]*Table_Input_OrganicFertiliser[[#This Row],[Application area (ha)]]</f>
        <v>10000</v>
      </c>
      <c r="J55" s="109">
        <f>IFERROR(Table_Input_OrganicFertiliser[[#This Row],[Amount N applied (kg/hectare)]]*Table_Input_OrganicFertiliser[[#This Row],[Application area (ha)]], 0)</f>
        <v>2500</v>
      </c>
    </row>
    <row r="56" spans="4:18" ht="20.100000000000001" customHeight="1" x14ac:dyDescent="0.2">
      <c r="D56" s="106" t="s">
        <v>362</v>
      </c>
      <c r="E56" s="131">
        <v>0.16</v>
      </c>
      <c r="F56" s="107">
        <v>10</v>
      </c>
      <c r="G56" s="109">
        <f>Table_Input_OrganicFertiliser[[#This Row],[Amount applied (kg/hectare)]]*Table_Input_OrganicFertiliser[[#This Row],[Percentage of N in fertiliser]]</f>
        <v>1.6</v>
      </c>
      <c r="H56" s="107">
        <f>X_Cell_Fertiliser_AreaUnderCropping</f>
        <v>1000</v>
      </c>
      <c r="I56" s="109">
        <f>Table_Input_OrganicFertiliser[[#This Row],[Amount applied (kg/hectare)]]*Table_Input_OrganicFertiliser[[#This Row],[Application area (ha)]]</f>
        <v>10000</v>
      </c>
      <c r="J56" s="109">
        <f>IFERROR(Table_Input_OrganicFertiliser[[#This Row],[Amount N applied (kg/hectare)]]*Table_Input_OrganicFertiliser[[#This Row],[Application area (ha)]], 0)</f>
        <v>1600</v>
      </c>
    </row>
    <row r="126" spans="13:13" ht="20.100000000000001" customHeight="1" x14ac:dyDescent="0.2">
      <c r="M126" s="25"/>
    </row>
    <row r="127" spans="13:13" ht="20.100000000000001" customHeight="1" x14ac:dyDescent="0.2">
      <c r="M127" s="25"/>
    </row>
    <row r="128" spans="13:13" ht="20.100000000000001" customHeight="1" x14ac:dyDescent="0.2">
      <c r="M128" s="25"/>
    </row>
    <row r="129" spans="13:13" ht="20.100000000000001" customHeight="1" x14ac:dyDescent="0.2">
      <c r="M129" s="25"/>
    </row>
    <row r="130" spans="13:13" ht="20.100000000000001" customHeight="1" x14ac:dyDescent="0.2">
      <c r="M130" s="25"/>
    </row>
    <row r="131" spans="13:13" ht="20.100000000000001" customHeight="1" x14ac:dyDescent="0.2">
      <c r="M131" s="25"/>
    </row>
    <row r="132" spans="13:13" ht="20.100000000000001" customHeight="1" x14ac:dyDescent="0.2">
      <c r="M132" s="25"/>
    </row>
    <row r="133" spans="13:13" ht="20.100000000000001" customHeight="1" x14ac:dyDescent="0.2">
      <c r="M133" s="25"/>
    </row>
    <row r="134" spans="13:13" ht="20.100000000000001" customHeight="1" x14ac:dyDescent="0.2">
      <c r="M134" s="25"/>
    </row>
    <row r="135" spans="13:13" ht="20.100000000000001" customHeight="1" x14ac:dyDescent="0.2">
      <c r="M135" s="25"/>
    </row>
    <row r="136" spans="13:13" ht="20.100000000000001" customHeight="1" x14ac:dyDescent="0.2">
      <c r="M136" s="25"/>
    </row>
    <row r="137" spans="13:13" ht="20.100000000000001" customHeight="1" x14ac:dyDescent="0.2">
      <c r="M137" s="25"/>
    </row>
    <row r="138" spans="13:13" ht="20.100000000000001" customHeight="1" x14ac:dyDescent="0.2">
      <c r="M138" s="25"/>
    </row>
    <row r="139" spans="13:13" ht="20.100000000000001" customHeight="1" x14ac:dyDescent="0.2">
      <c r="M139" s="25"/>
    </row>
    <row r="140" spans="13:13" ht="20.100000000000001" customHeight="1" x14ac:dyDescent="0.2">
      <c r="M140" s="25"/>
    </row>
    <row r="141" spans="13:13" ht="20.100000000000001" customHeight="1" x14ac:dyDescent="0.2">
      <c r="M141" s="25"/>
    </row>
    <row r="142" spans="13:13" ht="20.100000000000001" customHeight="1" x14ac:dyDescent="0.2">
      <c r="M142" s="25"/>
    </row>
    <row r="143" spans="13:13" ht="20.100000000000001" customHeight="1" x14ac:dyDescent="0.2">
      <c r="M143" s="25"/>
    </row>
    <row r="144" spans="13:13" ht="20.100000000000001" customHeight="1" x14ac:dyDescent="0.2">
      <c r="M144" s="25"/>
    </row>
    <row r="145" spans="13:13" ht="20.100000000000001" customHeight="1" x14ac:dyDescent="0.2">
      <c r="M145" s="25"/>
    </row>
    <row r="146" spans="13:13" ht="20.100000000000001" customHeight="1" x14ac:dyDescent="0.2">
      <c r="M146" s="25"/>
    </row>
    <row r="147" spans="13:13" ht="20.100000000000001" customHeight="1" x14ac:dyDescent="0.2">
      <c r="M147" s="25"/>
    </row>
    <row r="224" spans="12:12" ht="20.100000000000001" customHeight="1" x14ac:dyDescent="0.2">
      <c r="L224" s="16"/>
    </row>
    <row r="225" spans="12:12" ht="20.100000000000001" customHeight="1" x14ac:dyDescent="0.2">
      <c r="L225" s="16"/>
    </row>
    <row r="226" spans="12:12" ht="20.100000000000001" customHeight="1" x14ac:dyDescent="0.2">
      <c r="L226" s="16"/>
    </row>
    <row r="227" spans="12:12" ht="20.100000000000001" customHeight="1" x14ac:dyDescent="0.2">
      <c r="L227" s="16"/>
    </row>
    <row r="228" spans="12:12" ht="20.100000000000001" customHeight="1" x14ac:dyDescent="0.2">
      <c r="L228" s="16"/>
    </row>
    <row r="230" spans="12:12" ht="20.100000000000001" customHeight="1" x14ac:dyDescent="0.2">
      <c r="L230" s="16"/>
    </row>
    <row r="232" spans="12:12" ht="20.100000000000001" customHeight="1" x14ac:dyDescent="0.2">
      <c r="L232" s="16"/>
    </row>
    <row r="233" spans="12:12" ht="20.100000000000001" customHeight="1" x14ac:dyDescent="0.2">
      <c r="L233" s="16"/>
    </row>
    <row r="234" spans="12:12" ht="20.100000000000001" customHeight="1" x14ac:dyDescent="0.2">
      <c r="L234" s="16"/>
    </row>
    <row r="235" spans="12:12" ht="20.100000000000001" customHeight="1" x14ac:dyDescent="0.2">
      <c r="L235" s="16"/>
    </row>
    <row r="237" spans="12:12" ht="20.100000000000001" customHeight="1" x14ac:dyDescent="0.2">
      <c r="L237" s="16"/>
    </row>
    <row r="245" spans="12:12" ht="20.100000000000001" customHeight="1" x14ac:dyDescent="0.2">
      <c r="L245" s="16"/>
    </row>
    <row r="246" spans="12:12" ht="20.100000000000001" customHeight="1" x14ac:dyDescent="0.2">
      <c r="L246" s="16"/>
    </row>
    <row r="247" spans="12:12" ht="20.100000000000001" customHeight="1" x14ac:dyDescent="0.2">
      <c r="L247" s="16"/>
    </row>
    <row r="250" spans="12:12" ht="20.100000000000001" customHeight="1" x14ac:dyDescent="0.2">
      <c r="L250" s="16"/>
    </row>
    <row r="251" spans="12:12" ht="20.100000000000001" customHeight="1" x14ac:dyDescent="0.2">
      <c r="L251" s="16"/>
    </row>
    <row r="252" spans="12:12" ht="20.100000000000001" customHeight="1" x14ac:dyDescent="0.2">
      <c r="L252" s="16"/>
    </row>
    <row r="255" spans="12:12" ht="20.100000000000001" customHeight="1" x14ac:dyDescent="0.2">
      <c r="L255" s="16"/>
    </row>
    <row r="256" spans="12:12" ht="20.100000000000001" customHeight="1" x14ac:dyDescent="0.2">
      <c r="L256" s="16"/>
    </row>
    <row r="257" spans="11:12" ht="20.100000000000001" customHeight="1" x14ac:dyDescent="0.2">
      <c r="L257" s="16"/>
    </row>
    <row r="260" spans="11:12" ht="20.100000000000001" customHeight="1" x14ac:dyDescent="0.2">
      <c r="L260" s="16"/>
    </row>
    <row r="261" spans="11:12" ht="20.100000000000001" customHeight="1" x14ac:dyDescent="0.2">
      <c r="L261" s="16"/>
    </row>
    <row r="262" spans="11:12" ht="20.100000000000001" customHeight="1" x14ac:dyDescent="0.2">
      <c r="L262" s="16"/>
    </row>
    <row r="263" spans="11:12" ht="20.100000000000001" customHeight="1" x14ac:dyDescent="0.2">
      <c r="K263" s="16"/>
    </row>
    <row r="268" spans="11:12" ht="20.100000000000001" customHeight="1" x14ac:dyDescent="0.2">
      <c r="K268" s="16"/>
    </row>
    <row r="269" spans="11:12" ht="20.100000000000001" customHeight="1" x14ac:dyDescent="0.2">
      <c r="L269" s="16"/>
    </row>
    <row r="270" spans="11:12" ht="20.100000000000001" customHeight="1" x14ac:dyDescent="0.2">
      <c r="L270" s="16"/>
    </row>
    <row r="271" spans="11:12" ht="20.100000000000001" customHeight="1" x14ac:dyDescent="0.2">
      <c r="L271" s="16"/>
    </row>
    <row r="273" spans="11:12" ht="20.100000000000001" customHeight="1" x14ac:dyDescent="0.2">
      <c r="K273" s="16"/>
    </row>
    <row r="274" spans="11:12" ht="20.100000000000001" customHeight="1" x14ac:dyDescent="0.2">
      <c r="L274" s="16"/>
    </row>
    <row r="275" spans="11:12" ht="20.100000000000001" customHeight="1" x14ac:dyDescent="0.2">
      <c r="L275" s="16"/>
    </row>
    <row r="276" spans="11:12" ht="20.100000000000001" customHeight="1" x14ac:dyDescent="0.2">
      <c r="L276" s="16"/>
    </row>
    <row r="278" spans="11:12" ht="20.100000000000001" customHeight="1" x14ac:dyDescent="0.2">
      <c r="K278" s="16"/>
    </row>
    <row r="279" spans="11:12" ht="20.100000000000001" customHeight="1" x14ac:dyDescent="0.2">
      <c r="K279" s="16"/>
      <c r="L279" s="16"/>
    </row>
    <row r="280" spans="11:12" ht="20.100000000000001" customHeight="1" x14ac:dyDescent="0.2">
      <c r="K280" s="16"/>
      <c r="L280" s="16"/>
    </row>
    <row r="281" spans="11:12" ht="20.100000000000001" customHeight="1" x14ac:dyDescent="0.2">
      <c r="K281" s="16"/>
      <c r="L281" s="16"/>
    </row>
    <row r="282" spans="11:12" ht="20.100000000000001" customHeight="1" x14ac:dyDescent="0.2">
      <c r="K282" s="16"/>
    </row>
    <row r="284" spans="11:12" ht="20.100000000000001" customHeight="1" x14ac:dyDescent="0.2">
      <c r="K284" s="16"/>
      <c r="L284" s="16"/>
    </row>
    <row r="285" spans="11:12" ht="20.100000000000001" customHeight="1" x14ac:dyDescent="0.2">
      <c r="L285" s="16"/>
    </row>
    <row r="286" spans="11:12" ht="20.100000000000001" customHeight="1" x14ac:dyDescent="0.2">
      <c r="K286" s="16"/>
      <c r="L286" s="16"/>
    </row>
    <row r="287" spans="11:12" ht="20.100000000000001" customHeight="1" x14ac:dyDescent="0.2">
      <c r="K287" s="16"/>
    </row>
    <row r="288" spans="11:12" ht="20.100000000000001" customHeight="1" x14ac:dyDescent="0.2">
      <c r="K288" s="16"/>
    </row>
    <row r="289" spans="11:11" ht="20.100000000000001" customHeight="1" x14ac:dyDescent="0.2">
      <c r="K289" s="16"/>
    </row>
    <row r="291" spans="11:11" ht="20.100000000000001" customHeight="1" x14ac:dyDescent="0.2">
      <c r="K291" s="16"/>
    </row>
    <row r="297" spans="11:11" ht="20.100000000000001" customHeight="1" x14ac:dyDescent="0.2">
      <c r="K297" s="16"/>
    </row>
    <row r="302" spans="11:11" ht="20.100000000000001" customHeight="1" x14ac:dyDescent="0.2">
      <c r="K302" s="16"/>
    </row>
    <row r="307" spans="11:11" ht="20.100000000000001" customHeight="1" x14ac:dyDescent="0.2">
      <c r="K307" s="16"/>
    </row>
    <row r="312" spans="11:11" ht="20.100000000000001" customHeight="1" x14ac:dyDescent="0.2">
      <c r="K312" s="16"/>
    </row>
    <row r="313" spans="11:11" ht="20.100000000000001" customHeight="1" x14ac:dyDescent="0.2">
      <c r="K313" s="16"/>
    </row>
    <row r="314" spans="11:11" ht="20.100000000000001" customHeight="1" x14ac:dyDescent="0.2">
      <c r="K314" s="16"/>
    </row>
    <row r="315" spans="11:11" ht="20.100000000000001" customHeight="1" x14ac:dyDescent="0.2">
      <c r="K315" s="16"/>
    </row>
    <row r="316" spans="11:11" ht="20.100000000000001" customHeight="1" x14ac:dyDescent="0.2">
      <c r="K316" s="16"/>
    </row>
    <row r="318" spans="11:11" ht="20.100000000000001" customHeight="1" x14ac:dyDescent="0.2">
      <c r="K318" s="16"/>
    </row>
    <row r="320" spans="11:11" ht="20.100000000000001" customHeight="1" x14ac:dyDescent="0.2">
      <c r="K320" s="16"/>
    </row>
    <row r="321" spans="11:11" ht="20.100000000000001" customHeight="1" x14ac:dyDescent="0.2">
      <c r="K321" s="16"/>
    </row>
    <row r="322" spans="11:11" ht="20.100000000000001" customHeight="1" x14ac:dyDescent="0.2">
      <c r="K322" s="16"/>
    </row>
    <row r="323" spans="11:11" ht="20.100000000000001" customHeight="1" x14ac:dyDescent="0.2">
      <c r="K323" s="16"/>
    </row>
    <row r="325" spans="11:11" ht="20.100000000000001" customHeight="1" x14ac:dyDescent="0.2">
      <c r="K325" s="16"/>
    </row>
    <row r="333" spans="11:11" ht="20.100000000000001" customHeight="1" x14ac:dyDescent="0.2">
      <c r="K333" s="16"/>
    </row>
    <row r="334" spans="11:11" ht="20.100000000000001" customHeight="1" x14ac:dyDescent="0.2">
      <c r="K334" s="16"/>
    </row>
    <row r="335" spans="11:11" ht="20.100000000000001" customHeight="1" x14ac:dyDescent="0.2">
      <c r="K335" s="16"/>
    </row>
    <row r="338" spans="11:11" ht="20.100000000000001" customHeight="1" x14ac:dyDescent="0.2">
      <c r="K338" s="16"/>
    </row>
    <row r="339" spans="11:11" ht="20.100000000000001" customHeight="1" x14ac:dyDescent="0.2">
      <c r="K339" s="16"/>
    </row>
    <row r="340" spans="11:11" ht="20.100000000000001" customHeight="1" x14ac:dyDescent="0.2">
      <c r="K340" s="16"/>
    </row>
    <row r="343" spans="11:11" ht="20.100000000000001" customHeight="1" x14ac:dyDescent="0.2">
      <c r="K343" s="16"/>
    </row>
    <row r="344" spans="11:11" ht="20.100000000000001" customHeight="1" x14ac:dyDescent="0.2">
      <c r="K344" s="16"/>
    </row>
    <row r="345" spans="11:11" ht="20.100000000000001" customHeight="1" x14ac:dyDescent="0.2">
      <c r="K345" s="16"/>
    </row>
    <row r="348" spans="11:11" ht="20.100000000000001" customHeight="1" x14ac:dyDescent="0.2">
      <c r="K348" s="16"/>
    </row>
    <row r="349" spans="11:11" ht="20.100000000000001" customHeight="1" x14ac:dyDescent="0.2">
      <c r="K349" s="16"/>
    </row>
    <row r="350" spans="11:11" ht="20.100000000000001" customHeight="1" x14ac:dyDescent="0.2">
      <c r="K350" s="16"/>
    </row>
    <row r="357" spans="11:11" ht="20.100000000000001" customHeight="1" x14ac:dyDescent="0.2">
      <c r="K357" s="16"/>
    </row>
    <row r="358" spans="11:11" ht="20.100000000000001" customHeight="1" x14ac:dyDescent="0.2">
      <c r="K358" s="16"/>
    </row>
    <row r="359" spans="11:11" ht="20.100000000000001" customHeight="1" x14ac:dyDescent="0.2">
      <c r="K359" s="16"/>
    </row>
    <row r="362" spans="11:11" ht="20.100000000000001" customHeight="1" x14ac:dyDescent="0.2">
      <c r="K362" s="16"/>
    </row>
    <row r="363" spans="11:11" ht="20.100000000000001" customHeight="1" x14ac:dyDescent="0.2">
      <c r="K363" s="16"/>
    </row>
    <row r="364" spans="11:11" ht="20.100000000000001" customHeight="1" x14ac:dyDescent="0.2">
      <c r="K364" s="16"/>
    </row>
    <row r="367" spans="11:11" ht="20.100000000000001" customHeight="1" x14ac:dyDescent="0.2">
      <c r="K367" s="16"/>
    </row>
    <row r="368" spans="11:11" ht="20.100000000000001" customHeight="1" x14ac:dyDescent="0.2">
      <c r="K368" s="16"/>
    </row>
    <row r="369" spans="4:11" ht="20.100000000000001" customHeight="1" x14ac:dyDescent="0.2">
      <c r="K369" s="16"/>
    </row>
    <row r="372" spans="4:11" ht="20.100000000000001" customHeight="1" x14ac:dyDescent="0.2">
      <c r="K372" s="16"/>
    </row>
    <row r="373" spans="4:11" ht="20.100000000000001" customHeight="1" x14ac:dyDescent="0.2">
      <c r="K373" s="16"/>
    </row>
    <row r="374" spans="4:11" ht="20.100000000000001" customHeight="1" x14ac:dyDescent="0.2">
      <c r="K374" s="16"/>
    </row>
    <row r="378" spans="4:11" ht="20.100000000000001" customHeight="1" x14ac:dyDescent="0.2">
      <c r="D378" s="89"/>
    </row>
  </sheetData>
  <conditionalFormatting sqref="F155:F156">
    <cfRule type="cellIs" dxfId="79" priority="15" operator="lessThan">
      <formula>0</formula>
    </cfRule>
  </conditionalFormatting>
  <conditionalFormatting sqref="F167:F168">
    <cfRule type="cellIs" dxfId="78" priority="14" operator="lessThan">
      <formula>0</formula>
    </cfRule>
  </conditionalFormatting>
  <conditionalFormatting sqref="F179:F180">
    <cfRule type="cellIs" dxfId="77" priority="13" operator="lessThan">
      <formula>0</formula>
    </cfRule>
  </conditionalFormatting>
  <conditionalFormatting sqref="F267:F268">
    <cfRule type="cellIs" dxfId="76" priority="26" operator="lessThan">
      <formula>0</formula>
    </cfRule>
  </conditionalFormatting>
  <conditionalFormatting sqref="F272:F273">
    <cfRule type="cellIs" dxfId="75" priority="25" operator="lessThan">
      <formula>0</formula>
    </cfRule>
  </conditionalFormatting>
  <conditionalFormatting sqref="F277:F278">
    <cfRule type="cellIs" dxfId="74" priority="24" operator="lessThan">
      <formula>0</formula>
    </cfRule>
  </conditionalFormatting>
  <conditionalFormatting sqref="F301:F302">
    <cfRule type="cellIs" dxfId="73" priority="23" operator="lessThan">
      <formula>0</formula>
    </cfRule>
  </conditionalFormatting>
  <conditionalFormatting sqref="F306:F307">
    <cfRule type="cellIs" dxfId="72" priority="22" operator="lessThan">
      <formula>0</formula>
    </cfRule>
  </conditionalFormatting>
  <conditionalFormatting sqref="F311:F312">
    <cfRule type="cellIs" dxfId="71" priority="21" operator="lessThan">
      <formula>0</formula>
    </cfRule>
  </conditionalFormatting>
  <conditionalFormatting sqref="H53 F143:F144">
    <cfRule type="cellIs" dxfId="70" priority="16" operator="lessThan">
      <formula>0</formula>
    </cfRule>
  </conditionalFormatting>
  <conditionalFormatting sqref="I39 I51:I52 O53 N54 I57 I59:I61 I63:I64 I221:J221 E227:G227 I227:J227 K263 J265 K268 J270 K273 J275 K278:K282 J280:J284 K284 J286 K286:K289 J288:J291 K291 J293 K297 J299 K302 J304 K307 J309 K312:K316 J314:J318 K318 J320 K320:K323 J322:J325 K325 J327">
    <cfRule type="cellIs" dxfId="69" priority="20" operator="lessThan">
      <formula>0</formula>
    </cfRule>
  </conditionalFormatting>
  <conditionalFormatting sqref="I41:I44 I46:I47 F58 I75:I78 L198 K200 L202:L203 K204:K205 L206:L207 K208:K209 L212:L213 K214:K215 L216:L217 K218:K219 L223:L228 K225">
    <cfRule type="cellIs" dxfId="68" priority="18" operator="lessThan">
      <formula>0</formula>
    </cfRule>
  </conditionalFormatting>
  <conditionalFormatting sqref="I82 M119 I141:J141">
    <cfRule type="cellIs" dxfId="67" priority="19" operator="lessThan">
      <formula>0</formula>
    </cfRule>
  </conditionalFormatting>
  <conditionalFormatting sqref="I93:I95">
    <cfRule type="cellIs" dxfId="66" priority="3" operator="lessThan">
      <formula>0</formula>
    </cfRule>
  </conditionalFormatting>
  <conditionalFormatting sqref="I99:I102">
    <cfRule type="cellIs" dxfId="65" priority="2" operator="lessThan">
      <formula>0</formula>
    </cfRule>
  </conditionalFormatting>
  <conditionalFormatting sqref="I106:I110">
    <cfRule type="cellIs" dxfId="64" priority="1" operator="lessThan">
      <formula>0</formula>
    </cfRule>
  </conditionalFormatting>
  <conditionalFormatting sqref="J169">
    <cfRule type="cellIs" dxfId="63" priority="17" operator="lessThan">
      <formula>0</formula>
    </cfRule>
  </conditionalFormatting>
  <conditionalFormatting sqref="L131:L134">
    <cfRule type="cellIs" dxfId="62" priority="7" operator="lessThan">
      <formula>0</formula>
    </cfRule>
  </conditionalFormatting>
  <conditionalFormatting sqref="L137">
    <cfRule type="cellIs" dxfId="61" priority="12" operator="lessThan">
      <formula>0</formula>
    </cfRule>
  </conditionalFormatting>
  <conditionalFormatting sqref="L143:L146">
    <cfRule type="cellIs" dxfId="60" priority="6" operator="lessThan">
      <formula>0</formula>
    </cfRule>
  </conditionalFormatting>
  <conditionalFormatting sqref="L149">
    <cfRule type="cellIs" dxfId="59" priority="11" operator="lessThan">
      <formula>0</formula>
    </cfRule>
  </conditionalFormatting>
  <conditionalFormatting sqref="L155:L158">
    <cfRule type="cellIs" dxfId="58" priority="5" operator="lessThan">
      <formula>0</formula>
    </cfRule>
  </conditionalFormatting>
  <conditionalFormatting sqref="L161">
    <cfRule type="cellIs" dxfId="57" priority="10" operator="lessThan">
      <formula>0</formula>
    </cfRule>
  </conditionalFormatting>
  <conditionalFormatting sqref="L167:L170">
    <cfRule type="cellIs" dxfId="56" priority="4" operator="lessThan">
      <formula>0</formula>
    </cfRule>
  </conditionalFormatting>
  <conditionalFormatting sqref="L173">
    <cfRule type="cellIs" dxfId="55" priority="9" operator="lessThan">
      <formula>0</formula>
    </cfRule>
  </conditionalFormatting>
  <conditionalFormatting sqref="L177:L178">
    <cfRule type="cellIs" dxfId="54" priority="8" operator="lessThan">
      <formula>0</formula>
    </cfRule>
  </conditionalFormatting>
  <conditionalFormatting sqref="L230 L232:L235 L237 J245:J247 J250:J252">
    <cfRule type="cellIs" dxfId="53" priority="27" operator="lessThan">
      <formula>0</formula>
    </cfRule>
  </conditionalFormatting>
  <dataValidations count="9">
    <dataValidation type="list" allowBlank="1" showInputMessage="1" showErrorMessage="1" sqref="D12:D21" xr:uid="{C2403A48-1BDA-41DD-BAB1-C6C0572F43A1}">
      <formula1>INDIRECT("FertiliserProducts[Product]")</formula1>
    </dataValidation>
    <dataValidation type="list" allowBlank="1" showInputMessage="1" showErrorMessage="1" sqref="Q25:R34" xr:uid="{735181F9-9252-48A2-B63B-A3DDB457B867}">
      <formula1>INDIRECT("Table_SourceData_Fertiliser_UreaAmmoniaSources[Source]")</formula1>
    </dataValidation>
    <dataValidation type="list" allowBlank="1" showInputMessage="1" showErrorMessage="1" sqref="D54:D56" xr:uid="{4501BBC7-306D-4AD0-8CED-D484EC6F5767}">
      <formula1>INDIRECT("Table_SourceData_OrganicFertiliserTypes[Organic fertiliser type]")</formula1>
    </dataValidation>
    <dataValidation type="list" allowBlank="1" showInputMessage="1" showErrorMessage="1" sqref="H25:H34 J25:J34 L25:L34 N25:N34" xr:uid="{DB3F7C43-7262-4B97-AB3D-82EDED6032A9}">
      <formula1>INDIRECT("Table_Fertiliser_ChemicalCompounds[Fertiliser type f]")</formula1>
    </dataValidation>
    <dataValidation type="list" allowBlank="1" showInputMessage="1" showErrorMessage="1" sqref="E81" xr:uid="{46F5AFC2-6076-4232-BE82-DAE66841A4B4}">
      <formula1>INDIRECT("Table_SourceData_Swine_CropProdSystems[Production system]")</formula1>
    </dataValidation>
    <dataValidation type="list" allowBlank="1" showInputMessage="1" showErrorMessage="1" sqref="E82" xr:uid="{A52F42F3-740A-4B14-A434-3F66C2140201}">
      <formula1>INDIRECT("Table_SourceData_Swine_IrrigationMethods[Irrigation method]")</formula1>
    </dataValidation>
    <dataValidation type="list" allowBlank="1" showInputMessage="1" showErrorMessage="1" sqref="E266 E271 E276 E310 E305 E300 E178 E166 E142 E154" xr:uid="{68D07642-5120-4C59-A17F-2968A9503A8A}">
      <formula1>"Yes, No"</formula1>
    </dataValidation>
    <dataValidation type="list" allowBlank="1" showInputMessage="1" showErrorMessage="1" sqref="E242" xr:uid="{AA2DBEE9-1F2F-4939-A26D-A38BF808E586}">
      <formula1>INDIRECT("Table_SourceData_Dairy_ProductionSystemTemplates[Area]")</formula1>
    </dataValidation>
    <dataValidation type="list" allowBlank="1" showInputMessage="1" showErrorMessage="1" sqref="D294" xr:uid="{14A062FD-7572-4C3D-91CC-E025773FDC60}">
      <formula1>INDIRECT("Table_SourceData_PoultryMMSStage1[MMS]")</formula1>
    </dataValidation>
  </dataValidations>
  <pageMargins left="0.7" right="0.7" top="0.75" bottom="0.75" header="0.3" footer="0.3"/>
  <pageSetup paperSize="9" orientation="portrait" r:id="rId1"/>
  <tableParts count="4">
    <tablePart r:id="rId2"/>
    <tablePart r:id="rId3"/>
    <tablePart r:id="rId4"/>
    <tablePart r:id="rId5"/>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A39F8E-56A2-463D-8FD9-76EC7B05EEFD}">
  <sheetPr>
    <tabColor theme="5" tint="-0.249977111117893"/>
  </sheetPr>
  <dimension ref="A1:K346"/>
  <sheetViews>
    <sheetView showGridLines="0" zoomScaleNormal="100" workbookViewId="0">
      <pane xSplit="1" topLeftCell="B1" activePane="topRight" state="frozenSplit"/>
      <selection pane="topRight" activeCell="A47" sqref="A47"/>
    </sheetView>
  </sheetViews>
  <sheetFormatPr defaultRowHeight="20.100000000000001" customHeight="1" x14ac:dyDescent="0.2"/>
  <cols>
    <col min="1" max="1" width="36.7109375" customWidth="1"/>
    <col min="2" max="2" width="4.7109375" customWidth="1"/>
    <col min="3" max="3" width="4.7109375" style="1" customWidth="1"/>
    <col min="4" max="4" width="52.140625" style="1" customWidth="1"/>
    <col min="5" max="5" width="47" style="1" customWidth="1"/>
    <col min="6" max="10" width="24.85546875" style="1" customWidth="1"/>
    <col min="11" max="11" width="4.7109375" style="1" customWidth="1"/>
    <col min="12" max="12" width="4.7109375" customWidth="1"/>
  </cols>
  <sheetData>
    <row r="1" spans="1:11" s="10" customFormat="1" ht="30" customHeight="1" x14ac:dyDescent="0.35">
      <c r="A1" s="10" t="e" vm="1">
        <v>#VALUE!</v>
      </c>
      <c r="C1" s="10" t="s">
        <v>542</v>
      </c>
    </row>
    <row r="2" spans="1:11" s="3" customFormat="1" ht="20.100000000000001" customHeight="1" x14ac:dyDescent="0.2">
      <c r="A2"/>
    </row>
    <row r="3" spans="1:11" ht="20.100000000000001" customHeight="1" x14ac:dyDescent="0.2">
      <c r="A3" s="5" t="str">
        <f>HYPERLINK("#'Home'!A1", "Home")</f>
        <v>Home</v>
      </c>
      <c r="C3" s="29"/>
      <c r="D3" s="29"/>
      <c r="E3" s="29"/>
      <c r="F3" s="29"/>
      <c r="G3" s="29"/>
      <c r="H3" s="29"/>
      <c r="I3" s="29"/>
      <c r="J3" s="29"/>
      <c r="K3" s="29"/>
    </row>
    <row r="4" spans="1:11" ht="20.100000000000001" customHeight="1" x14ac:dyDescent="0.2">
      <c r="A4" s="5" t="str">
        <f>HYPERLINK("#'Results - Activity period'!A1", "Results - Activity period")</f>
        <v>Results - Activity period</v>
      </c>
    </row>
    <row r="5" spans="1:11" ht="20.100000000000001" customHeight="1" x14ac:dyDescent="0.2">
      <c r="A5" s="5" t="str">
        <f>HYPERLINK("#'Results - Product EI'!A1", "Results - Product EI")</f>
        <v>Results - Product EI</v>
      </c>
      <c r="D5" s="2" t="s">
        <v>543</v>
      </c>
      <c r="E5" s="25"/>
      <c r="F5" s="25"/>
      <c r="G5" s="25"/>
      <c r="H5" s="25"/>
    </row>
    <row r="6" spans="1:11" ht="20.100000000000001" customHeight="1" x14ac:dyDescent="0.2">
      <c r="D6" s="8"/>
      <c r="E6" s="8"/>
      <c r="F6" s="8"/>
      <c r="G6" s="8"/>
      <c r="H6" s="8"/>
      <c r="I6" s="8"/>
      <c r="J6" s="8"/>
    </row>
    <row r="7" spans="1:11" ht="20.100000000000001" customHeight="1" x14ac:dyDescent="0.2">
      <c r="D7" s="1" t="s">
        <v>544</v>
      </c>
    </row>
    <row r="8" spans="1:11" ht="20.100000000000001" customHeight="1" x14ac:dyDescent="0.2">
      <c r="A8" s="7" t="s">
        <v>0</v>
      </c>
      <c r="D8" s="1" t="s">
        <v>545</v>
      </c>
    </row>
    <row r="9" spans="1:11" ht="20.100000000000001" customHeight="1" x14ac:dyDescent="0.2">
      <c r="A9" s="5" t="str">
        <f>HYPERLINK("#'Input - Enterprise'!A1", "Enterprise")</f>
        <v>Enterprise</v>
      </c>
      <c r="D9" s="1" t="s">
        <v>546</v>
      </c>
    </row>
    <row r="10" spans="1:11" ht="20.100000000000001" customHeight="1" x14ac:dyDescent="0.2">
      <c r="A10" s="5" t="str">
        <f>HYPERLINK("#'Input - Site'!A1", "Site")</f>
        <v>Site</v>
      </c>
    </row>
    <row r="11" spans="1:11" ht="20.100000000000001" customHeight="1" x14ac:dyDescent="0.2">
      <c r="A11" s="5" t="str">
        <f>HYPERLINK("#'Input - Crop'!A1", "Crop")</f>
        <v>Crop</v>
      </c>
      <c r="D11" s="1" t="s">
        <v>547</v>
      </c>
      <c r="E11" s="13" t="s">
        <v>548</v>
      </c>
      <c r="F11" s="16" t="s">
        <v>100</v>
      </c>
    </row>
    <row r="12" spans="1:11" ht="20.100000000000001" customHeight="1" x14ac:dyDescent="0.2">
      <c r="A12" s="5" t="str">
        <f>HYPERLINK("#'Input - Fert Prod System'!A1", "Fert Prod System")</f>
        <v>Fert Prod System</v>
      </c>
    </row>
    <row r="13" spans="1:11" ht="20.100000000000001" customHeight="1" x14ac:dyDescent="0.2">
      <c r="A13" s="5" t="str">
        <f>HYPERLINK("#'Input - Fertiliser'!A1", "Fertiliser")</f>
        <v>Fertiliser</v>
      </c>
      <c r="D13" s="99" t="s">
        <v>515</v>
      </c>
      <c r="E13" s="44"/>
      <c r="F13" s="44"/>
      <c r="G13" s="44"/>
      <c r="H13" s="45"/>
    </row>
    <row r="14" spans="1:11" ht="20.100000000000001" customHeight="1" x14ac:dyDescent="0.2">
      <c r="A14" s="102" t="str">
        <f>HYPERLINK("#'Input - Fuel'!A1", "Fuel")</f>
        <v>Fuel</v>
      </c>
      <c r="D14" s="46" t="s">
        <v>549</v>
      </c>
      <c r="E14" s="47"/>
      <c r="F14" s="47"/>
      <c r="G14" s="47"/>
      <c r="H14" s="48"/>
    </row>
    <row r="15" spans="1:11" ht="20.100000000000001" customHeight="1" x14ac:dyDescent="0.2">
      <c r="A15" s="5" t="str">
        <f>HYPERLINK("#'Input - Electricity'!A1", "Electricity")</f>
        <v>Electricity</v>
      </c>
      <c r="D15" s="8"/>
      <c r="E15" s="8"/>
      <c r="F15" s="8"/>
      <c r="G15" s="8"/>
      <c r="H15" s="8"/>
      <c r="I15" s="8"/>
      <c r="J15" s="8"/>
    </row>
    <row r="16" spans="1:11" ht="20.100000000000001" customHeight="1" x14ac:dyDescent="0.2">
      <c r="A16" s="5" t="str">
        <f>HYPERLINK("#'Input - Common farm inputs'!A1", "Common farm inputs")</f>
        <v>Common farm inputs</v>
      </c>
      <c r="D16" s="80" t="s">
        <v>550</v>
      </c>
      <c r="E16" s="80" t="s">
        <v>551</v>
      </c>
      <c r="F16" s="80" t="s">
        <v>552</v>
      </c>
      <c r="G16" s="80" t="s">
        <v>553</v>
      </c>
      <c r="H16" s="80" t="s">
        <v>554</v>
      </c>
      <c r="I16" s="80" t="s">
        <v>555</v>
      </c>
      <c r="J16" s="80" t="s">
        <v>556</v>
      </c>
    </row>
    <row r="17" spans="1:10" ht="20.100000000000001" customHeight="1" x14ac:dyDescent="0.2">
      <c r="A17" s="5" t="str">
        <f>HYPERLINK("#'Input - Crop pasture farm input'!A1", "Crop pasture farm input")</f>
        <v>Crop pasture farm input</v>
      </c>
      <c r="D17" s="13" t="s">
        <v>557</v>
      </c>
      <c r="E17" s="13" t="s">
        <v>558</v>
      </c>
      <c r="F17" s="176">
        <v>100</v>
      </c>
      <c r="G17" s="15" t="str" cm="1">
        <f t="array" ref="G17">Common_InputFunctions.Utility_LookupValueInTable(Table_Input_Fuel[[#This Row],[Fuel type (select)]],Table_FuelTypes_Units[Fuel type], Table_FuelTypes_Units[Input Unit])</f>
        <v>GJ</v>
      </c>
      <c r="H17" s="177">
        <f>1</f>
        <v>1</v>
      </c>
      <c r="I17" s="15">
        <f>Table_Input_Fuel[[#This Row],[Amount purchased]]*Table_Input_Fuel[[#This Row],[Percent consumed]]*IF(Table_Input_Fuel[[#This Row],[Amount unit]]="L", 10^-3, 1)</f>
        <v>100</v>
      </c>
      <c r="J17" s="15" t="str" cm="1">
        <f t="array" ref="J17">Common_InputFunctions.Utility_LookupValueInTable(Table_Input_Fuel[[#This Row],[Fuel type (select)]],Table_FuelTypes_Units[Fuel type], Table_FuelTypes_Units[Unit])</f>
        <v>GJ</v>
      </c>
    </row>
    <row r="18" spans="1:10" ht="20.100000000000001" customHeight="1" x14ac:dyDescent="0.2">
      <c r="A18" s="5" t="str">
        <f>HYPERLINK("#'Input - Freight'!A1", "Freight")</f>
        <v>Freight</v>
      </c>
      <c r="D18" s="13" t="s">
        <v>557</v>
      </c>
      <c r="E18" s="13" t="s">
        <v>559</v>
      </c>
      <c r="F18" s="176">
        <v>10000</v>
      </c>
      <c r="G18" s="15" t="str" cm="1">
        <f t="array" ref="G18">Common_InputFunctions.Utility_LookupValueInTable(Table_Input_Fuel[[#This Row],[Fuel type (select)]],Table_FuelTypes_Units[Fuel type], Table_FuelTypes_Units[Input Unit])</f>
        <v>L</v>
      </c>
      <c r="H18" s="178">
        <f>1</f>
        <v>1</v>
      </c>
      <c r="I18" s="15">
        <f>Table_Input_Fuel[[#This Row],[Amount purchased]]*Table_Input_Fuel[[#This Row],[Percent consumed]]*IF(Table_Input_Fuel[[#This Row],[Amount unit]]="L", 10^-3, 1)</f>
        <v>10</v>
      </c>
      <c r="J18" s="15" t="str" cm="1">
        <f t="array" ref="J18">Common_InputFunctions.Utility_LookupValueInTable(Table_Input_Fuel[[#This Row],[Fuel type (select)]],Table_FuelTypes_Units[Fuel type], Table_FuelTypes_Units[Unit])</f>
        <v>kL</v>
      </c>
    </row>
    <row r="19" spans="1:10" ht="20.100000000000001" customHeight="1" x14ac:dyDescent="0.2">
      <c r="A19" s="5" t="str">
        <f>HYPERLINK("#'Input - Solid waste'!A1", "Solid waste")</f>
        <v>Solid waste</v>
      </c>
      <c r="D19" s="13" t="s">
        <v>560</v>
      </c>
      <c r="E19" s="13" t="s">
        <v>561</v>
      </c>
      <c r="F19" s="176">
        <v>10000</v>
      </c>
      <c r="G19" s="15" t="str" cm="1">
        <f t="array" ref="G19">Common_InputFunctions.Utility_LookupValueInTable(Table_Input_Fuel[[#This Row],[Fuel type (select)]],Table_FuelTypes_Units[Fuel type], Table_FuelTypes_Units[Input Unit])</f>
        <v>L</v>
      </c>
      <c r="H19" s="178">
        <f>1</f>
        <v>1</v>
      </c>
      <c r="I19" s="15">
        <f>Table_Input_Fuel[[#This Row],[Amount purchased]]*Table_Input_Fuel[[#This Row],[Percent consumed]]*IF(Table_Input_Fuel[[#This Row],[Amount unit]]="L", 10^-3, 1)</f>
        <v>10</v>
      </c>
      <c r="J19" s="15" t="str" cm="1">
        <f t="array" ref="J19">Common_InputFunctions.Utility_LookupValueInTable(Table_Input_Fuel[[#This Row],[Fuel type (select)]],Table_FuelTypes_Units[Fuel type], Table_FuelTypes_Units[Unit])</f>
        <v>kL</v>
      </c>
    </row>
    <row r="20" spans="1:10" ht="20.100000000000001" customHeight="1" x14ac:dyDescent="0.2">
      <c r="A20" s="5" t="str">
        <f>HYPERLINK("#'Input - Data quality'!A1", "Data quality")</f>
        <v>Data quality</v>
      </c>
      <c r="D20" s="13" t="s">
        <v>562</v>
      </c>
      <c r="E20" s="13" t="s">
        <v>561</v>
      </c>
      <c r="F20" s="176">
        <v>10000</v>
      </c>
      <c r="G20" s="15" t="str" cm="1">
        <f t="array" ref="G20">Common_InputFunctions.Utility_LookupValueInTable(Table_Input_Fuel[[#This Row],[Fuel type (select)]],Table_FuelTypes_Units[Fuel type], Table_FuelTypes_Units[Input Unit])</f>
        <v>L</v>
      </c>
      <c r="H20" s="178">
        <f>1</f>
        <v>1</v>
      </c>
      <c r="I20" s="15">
        <f>Table_Input_Fuel[[#This Row],[Amount purchased]]*Table_Input_Fuel[[#This Row],[Percent consumed]]*IF(Table_Input_Fuel[[#This Row],[Amount unit]]="L", 10^-3, 1)</f>
        <v>10</v>
      </c>
      <c r="J20" s="15" t="str" cm="1">
        <f t="array" ref="J20">Common_InputFunctions.Utility_LookupValueInTable(Table_Input_Fuel[[#This Row],[Fuel type (select)]],Table_FuelTypes_Units[Fuel type], Table_FuelTypes_Units[Unit])</f>
        <v>kL</v>
      </c>
    </row>
    <row r="21" spans="1:10" ht="20.100000000000001" customHeight="1" x14ac:dyDescent="0.2">
      <c r="D21" s="86" t="s">
        <v>563</v>
      </c>
      <c r="E21" s="86" t="s">
        <v>564</v>
      </c>
      <c r="F21" s="176">
        <v>10000</v>
      </c>
      <c r="G21" s="179" t="str" cm="1">
        <f t="array" ref="G21">Common_InputFunctions.Utility_LookupValueInTable(Table_Input_Fuel[[#This Row],[Fuel type (select)]],Table_FuelTypes_Units[Fuel type], Table_FuelTypes_Units[Input Unit])</f>
        <v>L</v>
      </c>
      <c r="H21" s="180">
        <f>1</f>
        <v>1</v>
      </c>
      <c r="I21" s="179">
        <f>Table_Input_Fuel[[#This Row],[Amount purchased]]*Table_Input_Fuel[[#This Row],[Percent consumed]]*IF(Table_Input_Fuel[[#This Row],[Amount unit]]="L", 10^-3, 1)</f>
        <v>10</v>
      </c>
      <c r="J21" s="15" t="str" cm="1">
        <f t="array" ref="J21">Common_InputFunctions.Utility_LookupValueInTable(Table_Input_Fuel[[#This Row],[Fuel type (select)]],Table_FuelTypes_Units[Fuel type], Table_FuelTypes_Units[Unit])</f>
        <v>kL</v>
      </c>
    </row>
    <row r="23" spans="1:10" ht="20.100000000000001" customHeight="1" x14ac:dyDescent="0.2">
      <c r="A23" s="6" t="s">
        <v>2</v>
      </c>
    </row>
    <row r="24" spans="1:10" ht="20.100000000000001" customHeight="1" x14ac:dyDescent="0.2">
      <c r="A24" s="5" t="str">
        <f>HYPERLINK("#'5.1.1.1-2 Inorganic fert N2O'!A1", "5.1.1.1-2 Inorganic fert N2O")</f>
        <v>5.1.1.1-2 Inorganic fert N2O</v>
      </c>
    </row>
    <row r="25" spans="1:10" ht="20.100000000000001" customHeight="1" x14ac:dyDescent="0.2">
      <c r="A25" s="5" t="str">
        <f>HYPERLINK("#'5.1.1.3-4 Inorganic fert CO2'!A1", "5.1.1.3-4 Inorganic fert CO2")</f>
        <v>5.1.1.3-4 Inorganic fert CO2</v>
      </c>
    </row>
    <row r="26" spans="1:10" ht="20.100000000000001" customHeight="1" x14ac:dyDescent="0.2">
      <c r="A26" s="5" t="str">
        <f>HYPERLINK("#'5.2.1.1-2 Organic Fert N2O'!A1", "5.2.1.1-2 Organic fert N2O")</f>
        <v>5.2.1.1-2 Organic fert N2O</v>
      </c>
    </row>
    <row r="27" spans="1:10" ht="20.100000000000001" customHeight="1" x14ac:dyDescent="0.2">
      <c r="A27" s="5" t="str">
        <f>HYPERLINK("#'5.3.1.1-2 Lime CO2'!A1", "5.3.1.1-2 Lime CO2")</f>
        <v>5.3.1.1-2 Lime CO2</v>
      </c>
    </row>
    <row r="28" spans="1:10" ht="20.100000000000001" customHeight="1" x14ac:dyDescent="0.2">
      <c r="A28" s="5" t="str">
        <f>HYPERLINK("#'5.4.1.1-4 Atmos deposition'!A1", "5.4.1.1-4 Atmos. deposition")</f>
        <v>5.4.1.1-4 Atmos. deposition</v>
      </c>
    </row>
    <row r="29" spans="1:10" ht="20.100000000000001" customHeight="1" x14ac:dyDescent="0.2">
      <c r="A29" s="5" t="str">
        <f>HYPERLINK("#'5.5.1.1-2 Leaching and runoff'!A1", "5.5.1.1-2 Leaching &amp; runoff")</f>
        <v>5.5.1.1-2 Leaching &amp; runoff</v>
      </c>
    </row>
    <row r="30" spans="1:10" ht="20.100000000000001" customHeight="1" x14ac:dyDescent="0.2">
      <c r="A30" s="5" t="str">
        <f>HYPERLINK("#'6.1.1.1-2 Crop residue N2O'!A1", "6.1.1.1-2 Crop residue N2O")</f>
        <v>6.1.1.1-2 Crop residue N2O</v>
      </c>
    </row>
    <row r="31" spans="1:10" ht="20.100000000000001" customHeight="1" x14ac:dyDescent="0.2">
      <c r="A31" s="5" t="str">
        <f>HYPERLINK("#'6.3.1.1-2 Leach runoff crop'!A1", "6.3.1.1-2 Leach &amp; runoff (crop)")</f>
        <v>6.3.1.1-2 Leach &amp; runoff (crop)</v>
      </c>
    </row>
    <row r="32" spans="1:10" ht="20.100000000000001" customHeight="1" x14ac:dyDescent="0.2">
      <c r="A32" s="5" t="str">
        <f>HYPERLINK("#'6.4.1.1-2 Residue burning'!A1", "6.4.1.1-2 Residue burning")</f>
        <v>6.4.1.1-2 Residue burning</v>
      </c>
    </row>
    <row r="33" spans="1:11" ht="20.100000000000001" customHeight="1" x14ac:dyDescent="0.2">
      <c r="A33" s="5" t="str">
        <f>HYPERLINK("#'8.1.1.1-2 Transport fuel'!A1", "8.1.1.1-2 Transport fuel")</f>
        <v>8.1.1.1-2 Transport fuel</v>
      </c>
    </row>
    <row r="34" spans="1:11" ht="20.100000000000001" customHeight="1" x14ac:dyDescent="0.2">
      <c r="A34" s="5" t="str">
        <f>HYPERLINK("#'8.2.1.1-2 Stationary fuel'!A1", "8.2.1.1-2 Stationary fuel")</f>
        <v>8.2.1.1-2 Stationary fuel</v>
      </c>
    </row>
    <row r="35" spans="1:11" ht="20.100000000000001" customHeight="1" x14ac:dyDescent="0.2">
      <c r="A35" s="5" t="str">
        <f>HYPERLINK("#'10.1.1-2 Solid waste treatment'!A1", "10.1.1.1-2 Solid waste")</f>
        <v>10.1.1.1-2 Solid waste</v>
      </c>
    </row>
    <row r="36" spans="1:11" ht="20.100000000000001" customHeight="1" x14ac:dyDescent="0.2">
      <c r="A36" s="5" t="str">
        <f>HYPERLINK("#'14.1.1-2 Purchased electricity'!A1", "14.1.1-2 Purchased electricity")</f>
        <v>14.1.1-2 Purchased electricity</v>
      </c>
    </row>
    <row r="37" spans="1:11" ht="20.100000000000001" customHeight="1" x14ac:dyDescent="0.2">
      <c r="A37" s="5" t="str">
        <f>HYPERLINK("#'15 Scope 3'!A1", "15 Scope 3")</f>
        <v>15 Scope 3</v>
      </c>
    </row>
    <row r="38" spans="1:11" ht="20.100000000000001" customHeight="1" x14ac:dyDescent="0.2">
      <c r="C38" s="116"/>
      <c r="K38" s="116"/>
    </row>
    <row r="39" spans="1:11" ht="20.100000000000001" customHeight="1" x14ac:dyDescent="0.2">
      <c r="C39" s="116"/>
      <c r="K39" s="116"/>
    </row>
    <row r="40" spans="1:11" s="128" customFormat="1" ht="20.100000000000001" customHeight="1" x14ac:dyDescent="0.2">
      <c r="A40" s="82" t="s">
        <v>1</v>
      </c>
      <c r="C40" s="1"/>
      <c r="D40" s="1"/>
      <c r="E40" s="1"/>
      <c r="F40" s="1"/>
      <c r="G40" s="1"/>
      <c r="H40" s="1"/>
      <c r="I40" s="1"/>
      <c r="J40" s="1"/>
      <c r="K40" s="1"/>
    </row>
    <row r="41" spans="1:11" s="128" customFormat="1" ht="20.100000000000001" customHeight="1" x14ac:dyDescent="0.2">
      <c r="A41" s="5" t="str">
        <f>HYPERLINK("#'Constants - Ag Residue'!A1", "Constants - Ag residue")</f>
        <v>Constants - Ag residue</v>
      </c>
      <c r="C41" s="1"/>
      <c r="D41" s="1"/>
      <c r="E41" s="1"/>
      <c r="F41" s="1"/>
      <c r="G41" s="1"/>
      <c r="H41" s="1"/>
      <c r="I41" s="1"/>
      <c r="J41" s="1"/>
      <c r="K41" s="1"/>
    </row>
    <row r="42" spans="1:11" ht="20.100000000000001" customHeight="1" x14ac:dyDescent="0.2">
      <c r="A42" s="5" t="str">
        <f>HYPERLINK("#'Constants - Electricity'!A1", "Constants - Electricity")</f>
        <v>Constants - Electricity</v>
      </c>
    </row>
    <row r="43" spans="1:11" ht="20.100000000000001" customHeight="1" x14ac:dyDescent="0.2">
      <c r="A43" s="5" t="str">
        <f>HYPERLINK("#'Constants - Fertiliser'!A1", "Constants - Fertiliser")</f>
        <v>Constants - Fertiliser</v>
      </c>
    </row>
    <row r="44" spans="1:11" ht="20.100000000000001" customHeight="1" x14ac:dyDescent="0.2">
      <c r="A44" s="5" t="str">
        <f>HYPERLINK("#'Constants - Fuel'!A1", "Constants - Fuel")</f>
        <v>Constants - Fuel</v>
      </c>
    </row>
    <row r="45" spans="1:11" ht="20.100000000000001" customHeight="1" x14ac:dyDescent="0.2">
      <c r="A45" s="5" t="str">
        <f>HYPERLINK("#'Constants - Scope 3'!A1", "Constants - Scope 3")</f>
        <v>Constants - Scope 3</v>
      </c>
    </row>
    <row r="46" spans="1:11" ht="20.100000000000001" customHeight="1" x14ac:dyDescent="0.2">
      <c r="A46" s="5" t="str">
        <f>HYPERLINK("#'Constants - Solid Waste'!A1", "Constants - Solid Waste")</f>
        <v>Constants - Solid Waste</v>
      </c>
    </row>
    <row r="47" spans="1:11" ht="20.100000000000001" customHeight="1" x14ac:dyDescent="0.2">
      <c r="A47" s="5" t="str">
        <f>HYPERLINK("#'Constants - Common'!A1", "Constants - Common")</f>
        <v>Constants - Common</v>
      </c>
    </row>
    <row r="48" spans="1:11" ht="20.100000000000001" customHeight="1" x14ac:dyDescent="0.2">
      <c r="A48" s="5" t="str">
        <f>HYPERLINK("#'Constants - Common Livestock'!A1", "Constants - Common Livestock")</f>
        <v>Constants - Common Livestock</v>
      </c>
    </row>
    <row r="346" spans="4:4" ht="20.100000000000001" customHeight="1" x14ac:dyDescent="0.2">
      <c r="D346" s="89"/>
    </row>
  </sheetData>
  <conditionalFormatting sqref="F32">
    <cfRule type="cellIs" dxfId="52" priority="9" operator="lessThan">
      <formula>0</formula>
    </cfRule>
  </conditionalFormatting>
  <conditionalFormatting sqref="F111:F112">
    <cfRule type="cellIs" dxfId="51" priority="8" operator="lessThan">
      <formula>0</formula>
    </cfRule>
  </conditionalFormatting>
  <conditionalFormatting sqref="F123:F124">
    <cfRule type="cellIs" dxfId="50" priority="7" operator="lessThan">
      <formula>0</formula>
    </cfRule>
  </conditionalFormatting>
  <conditionalFormatting sqref="F135:F136">
    <cfRule type="cellIs" dxfId="49" priority="6" operator="lessThan">
      <formula>0</formula>
    </cfRule>
  </conditionalFormatting>
  <conditionalFormatting sqref="F147:F148">
    <cfRule type="cellIs" dxfId="48" priority="5" operator="lessThan">
      <formula>0</formula>
    </cfRule>
  </conditionalFormatting>
  <conditionalFormatting sqref="F235:F236">
    <cfRule type="cellIs" dxfId="47" priority="17" operator="lessThan">
      <formula>0</formula>
    </cfRule>
  </conditionalFormatting>
  <conditionalFormatting sqref="F240:F241">
    <cfRule type="cellIs" dxfId="46" priority="16" operator="lessThan">
      <formula>0</formula>
    </cfRule>
  </conditionalFormatting>
  <conditionalFormatting sqref="F245:F246">
    <cfRule type="cellIs" dxfId="45" priority="15" operator="lessThan">
      <formula>0</formula>
    </cfRule>
  </conditionalFormatting>
  <conditionalFormatting sqref="F269:F270">
    <cfRule type="cellIs" dxfId="44" priority="14" operator="lessThan">
      <formula>0</formula>
    </cfRule>
  </conditionalFormatting>
  <conditionalFormatting sqref="F274:F275">
    <cfRule type="cellIs" dxfId="43" priority="13" operator="lessThan">
      <formula>0</formula>
    </cfRule>
  </conditionalFormatting>
  <conditionalFormatting sqref="F279:F280">
    <cfRule type="cellIs" dxfId="42" priority="12" operator="lessThan">
      <formula>0</formula>
    </cfRule>
  </conditionalFormatting>
  <conditionalFormatting sqref="I26:J27 H28:H30 I31:J31 I33:J35 I37:J38 I189:J189 E195:G195 I195:J195">
    <cfRule type="cellIs" dxfId="41" priority="11" operator="lessThan">
      <formula>0</formula>
    </cfRule>
  </conditionalFormatting>
  <conditionalFormatting sqref="I42:J46">
    <cfRule type="cellIs" dxfId="40" priority="4" operator="lessThan">
      <formula>0</formula>
    </cfRule>
  </conditionalFormatting>
  <conditionalFormatting sqref="I50:J50 I109:J109">
    <cfRule type="cellIs" dxfId="39" priority="10" operator="lessThan">
      <formula>0</formula>
    </cfRule>
  </conditionalFormatting>
  <conditionalFormatting sqref="I61:J63">
    <cfRule type="cellIs" dxfId="38" priority="3" operator="lessThan">
      <formula>0</formula>
    </cfRule>
  </conditionalFormatting>
  <conditionalFormatting sqref="I67:J70">
    <cfRule type="cellIs" dxfId="37" priority="2" operator="lessThan">
      <formula>0</formula>
    </cfRule>
  </conditionalFormatting>
  <conditionalFormatting sqref="I74:J78">
    <cfRule type="cellIs" dxfId="36" priority="1" operator="lessThan">
      <formula>0</formula>
    </cfRule>
  </conditionalFormatting>
  <dataValidations count="9">
    <dataValidation type="list" allowBlank="1" showInputMessage="1" showErrorMessage="1" sqref="E17:E21" xr:uid="{64B80CE0-3DBE-4CE3-83E0-20EDACB5B690}">
      <formula1>_xlfn.TRIMRANGE(INDIRECT("Table_FuelTypesPerUse["&amp;D17&amp;"]"))</formula1>
    </dataValidation>
    <dataValidation type="list" allowBlank="1" showInputMessage="1" showErrorMessage="1" sqref="D17:D21" xr:uid="{4C726802-2A6F-46FF-B1A2-F4DAB16EF486}">
      <formula1>INDIRECT("Table_FuelTypesPerUse[#Headers]")</formula1>
    </dataValidation>
    <dataValidation type="list" allowBlank="1" showInputMessage="1" showErrorMessage="1" sqref="E11" xr:uid="{DAA4ADD8-DA1E-4CE2-BD2E-23A8B6DDD555}">
      <formula1>"Metro, Non-metro"</formula1>
    </dataValidation>
    <dataValidation type="list" allowBlank="1" showInputMessage="1" showErrorMessage="1" sqref="D29:D30" xr:uid="{3FBACCB1-95DB-4A06-8B8C-220FDD204EA3}">
      <formula1>INDIRECT("Table_SourceData_OrganicFertiliserTypes[Organic fertiliser type]")</formula1>
    </dataValidation>
    <dataValidation type="list" allowBlank="1" showInputMessage="1" showErrorMessage="1" sqref="E49" xr:uid="{06886908-7527-414E-9AA7-C1368B5BA991}">
      <formula1>INDIRECT("Table_SourceData_Swine_CropProdSystems[Production system]")</formula1>
    </dataValidation>
    <dataValidation type="list" allowBlank="1" showInputMessage="1" showErrorMessage="1" sqref="E50" xr:uid="{F6285D96-E7CD-4CE9-835C-B5F707EB2CF9}">
      <formula1>INDIRECT("Table_SourceData_Swine_IrrigationMethods[Irrigation method]")</formula1>
    </dataValidation>
    <dataValidation type="list" allowBlank="1" showInputMessage="1" showErrorMessage="1" sqref="E234 E239 E244 E278 E273 E268 E146 E134 E110 E122" xr:uid="{AFD0745F-9CF8-4333-8D71-673C466D5BA3}">
      <formula1>"Yes, No"</formula1>
    </dataValidation>
    <dataValidation type="list" allowBlank="1" showInputMessage="1" showErrorMessage="1" sqref="E210" xr:uid="{FDC7BB0A-0CB8-4EB3-9AE4-46B863D5ED3D}">
      <formula1>INDIRECT("Table_SourceData_Dairy_ProductionSystemTemplates[Area]")</formula1>
    </dataValidation>
    <dataValidation type="list" allowBlank="1" showInputMessage="1" showErrorMessage="1" sqref="D262" xr:uid="{055D88C0-8656-4D53-842E-6203D708262B}">
      <formula1>INDIRECT("Table_SourceData_PoultryMMSStage1[MMS]")</formula1>
    </dataValidation>
  </dataValidations>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14A81-EBA6-4DCA-9F56-7A359B610F4D}">
  <sheetPr>
    <tabColor theme="5" tint="-0.249977111117893"/>
  </sheetPr>
  <dimension ref="A1:L365"/>
  <sheetViews>
    <sheetView showGridLines="0" zoomScaleNormal="100" workbookViewId="0">
      <pane xSplit="1" topLeftCell="B1" activePane="topRight" state="frozenSplit"/>
      <selection pane="topRight" activeCell="A47" sqref="A47"/>
    </sheetView>
  </sheetViews>
  <sheetFormatPr defaultRowHeight="20.100000000000001" customHeight="1" x14ac:dyDescent="0.2"/>
  <cols>
    <col min="1" max="1" width="36.7109375" customWidth="1"/>
    <col min="2" max="2" width="4.7109375" customWidth="1"/>
    <col min="3" max="3" width="4.7109375" style="1" customWidth="1"/>
    <col min="4" max="4" width="66.7109375" style="1" customWidth="1"/>
    <col min="5" max="5" width="47" style="1" customWidth="1"/>
    <col min="6" max="8" width="24.85546875" style="1" customWidth="1"/>
    <col min="9" max="9" width="29.7109375" style="1" customWidth="1"/>
    <col min="10" max="10" width="4.7109375" style="1" customWidth="1"/>
    <col min="11" max="11" width="4.7109375" customWidth="1"/>
  </cols>
  <sheetData>
    <row r="1" spans="1:10" s="10" customFormat="1" ht="30" customHeight="1" x14ac:dyDescent="0.35">
      <c r="A1" s="10" t="e" vm="1">
        <v>#VALUE!</v>
      </c>
      <c r="C1" s="10" t="s">
        <v>496</v>
      </c>
    </row>
    <row r="2" spans="1:10" s="3" customFormat="1" ht="20.100000000000001" customHeight="1" x14ac:dyDescent="0.2">
      <c r="A2"/>
    </row>
    <row r="3" spans="1:10" ht="20.100000000000001" customHeight="1" x14ac:dyDescent="0.2">
      <c r="A3" s="5" t="str">
        <f>HYPERLINK("#'Home'!A1", "Home")</f>
        <v>Home</v>
      </c>
      <c r="C3" s="29"/>
      <c r="D3" s="29"/>
      <c r="E3" s="29"/>
      <c r="F3" s="29"/>
      <c r="G3" s="29"/>
      <c r="H3" s="29"/>
      <c r="I3" s="29"/>
      <c r="J3" s="29"/>
    </row>
    <row r="4" spans="1:10" ht="20.100000000000001" customHeight="1" x14ac:dyDescent="0.2">
      <c r="A4" s="5" t="str">
        <f>HYPERLINK("#'Results - Activity period'!A1", "Results - Activity period")</f>
        <v>Results - Activity period</v>
      </c>
    </row>
    <row r="5" spans="1:10" ht="20.100000000000001" customHeight="1" x14ac:dyDescent="0.2">
      <c r="A5" s="5" t="str">
        <f>HYPERLINK("#'Results - Product EI'!A1", "Results - Product EI")</f>
        <v>Results - Product EI</v>
      </c>
      <c r="D5" s="1" t="s">
        <v>497</v>
      </c>
      <c r="E5" s="13" t="s">
        <v>498</v>
      </c>
      <c r="F5" s="16" t="s">
        <v>100</v>
      </c>
    </row>
    <row r="6" spans="1:10" ht="20.100000000000001" customHeight="1" x14ac:dyDescent="0.2">
      <c r="E6" s="89" t="str">
        <f>IF(X_Cell_Electricity_CalculationMethod="Location-based (simpler)", "Complete the fields in the Location-based section", "Complete the fields in the Market-based section")</f>
        <v>Complete the fields in the Location-based section</v>
      </c>
    </row>
    <row r="8" spans="1:10" ht="20.100000000000001" customHeight="1" x14ac:dyDescent="0.2">
      <c r="A8" s="7" t="s">
        <v>0</v>
      </c>
      <c r="C8" s="85"/>
      <c r="D8" s="85"/>
      <c r="E8" s="85"/>
      <c r="F8" s="85"/>
      <c r="G8" s="85"/>
      <c r="H8" s="85"/>
      <c r="I8" s="85"/>
      <c r="J8" s="85"/>
    </row>
    <row r="9" spans="1:10" ht="20.100000000000001" customHeight="1" x14ac:dyDescent="0.2">
      <c r="A9" s="5" t="str">
        <f>HYPERLINK("#'Input - Enterprise'!A1", "Enterprise")</f>
        <v>Enterprise</v>
      </c>
      <c r="D9" s="2" t="s">
        <v>499</v>
      </c>
    </row>
    <row r="10" spans="1:10" ht="20.100000000000001" customHeight="1" x14ac:dyDescent="0.2">
      <c r="A10" s="5" t="str">
        <f>HYPERLINK("#'Input - Site'!A1", "Site")</f>
        <v>Site</v>
      </c>
    </row>
    <row r="11" spans="1:10" ht="20.100000000000001" customHeight="1" x14ac:dyDescent="0.2">
      <c r="A11" s="5" t="str">
        <f>HYPERLINK("#'Input - Crop'!A1", "Crop")</f>
        <v>Crop</v>
      </c>
      <c r="D11" s="79" t="s">
        <v>500</v>
      </c>
    </row>
    <row r="12" spans="1:10" ht="20.100000000000001" customHeight="1" x14ac:dyDescent="0.2">
      <c r="A12" s="5" t="str">
        <f>HYPERLINK("#'Input - Fert Prod System'!A1", "Fert Prod System")</f>
        <v>Fert Prod System</v>
      </c>
    </row>
    <row r="13" spans="1:10" ht="20.100000000000001" customHeight="1" x14ac:dyDescent="0.2">
      <c r="A13" s="5" t="str">
        <f>HYPERLINK("#'Input - Fertiliser'!A1", "Fertiliser")</f>
        <v>Fertiliser</v>
      </c>
      <c r="D13" s="36" t="s">
        <v>501</v>
      </c>
      <c r="E13" s="39"/>
      <c r="F13" s="8"/>
    </row>
    <row r="14" spans="1:10" ht="20.100000000000001" customHeight="1" x14ac:dyDescent="0.2">
      <c r="A14" s="5" t="str">
        <f>HYPERLINK("#'Input - Fuel'!A1", "Fuel")</f>
        <v>Fuel</v>
      </c>
      <c r="D14" s="8"/>
      <c r="E14" s="8"/>
      <c r="F14" s="8"/>
    </row>
    <row r="15" spans="1:10" ht="20.100000000000001" customHeight="1" x14ac:dyDescent="0.2">
      <c r="A15" s="102" t="str">
        <f>HYPERLINK("#'Input - Electricity'!A1", "Electricity")</f>
        <v>Electricity</v>
      </c>
      <c r="D15" s="1" t="s">
        <v>502</v>
      </c>
      <c r="E15" s="168">
        <v>30000</v>
      </c>
      <c r="F15" s="16" t="s">
        <v>503</v>
      </c>
    </row>
    <row r="16" spans="1:10" ht="20.100000000000001" customHeight="1" x14ac:dyDescent="0.2">
      <c r="A16" s="5" t="str">
        <f>HYPERLINK("#'Input - Common farm inputs'!A1", "Common farm inputs")</f>
        <v>Common farm inputs</v>
      </c>
      <c r="D16" s="1" t="s">
        <v>504</v>
      </c>
      <c r="E16" s="15" t="str">
        <f>IF(X_Cell_Site_State="Western Australia", X_Cell_Site_Region, X_Cell_Site_State)</f>
        <v>Western Australia - Outback (South)</v>
      </c>
      <c r="F16" s="8"/>
    </row>
    <row r="17" spans="1:11" ht="20.100000000000001" customHeight="1" x14ac:dyDescent="0.2">
      <c r="A17" s="5" t="str">
        <f>HYPERLINK("#'Input - Crop pasture farm input'!A1", "Crop pasture farm input")</f>
        <v>Crop pasture farm input</v>
      </c>
      <c r="D17" s="1" t="s">
        <v>505</v>
      </c>
      <c r="E17" s="13" t="s">
        <v>506</v>
      </c>
      <c r="F17" s="16" t="s">
        <v>100</v>
      </c>
    </row>
    <row r="18" spans="1:11" ht="20.100000000000001" customHeight="1" x14ac:dyDescent="0.2">
      <c r="A18" s="5" t="str">
        <f>HYPERLINK("#'Input - Freight'!A1", "Freight")</f>
        <v>Freight</v>
      </c>
    </row>
    <row r="19" spans="1:11" ht="20.100000000000001" customHeight="1" x14ac:dyDescent="0.2">
      <c r="A19" s="5" t="str">
        <f>HYPERLINK("#'Input - Solid waste'!A1", "Solid waste")</f>
        <v>Solid waste</v>
      </c>
    </row>
    <row r="20" spans="1:11" ht="20.100000000000001" customHeight="1" x14ac:dyDescent="0.2">
      <c r="A20" s="5" t="str">
        <f>HYPERLINK("#'Input - Data quality'!A1", "Data quality")</f>
        <v>Data quality</v>
      </c>
      <c r="C20" s="85"/>
      <c r="D20" s="85"/>
      <c r="E20" s="85"/>
      <c r="F20" s="85"/>
      <c r="G20" s="85"/>
      <c r="H20" s="85"/>
      <c r="I20" s="85"/>
      <c r="J20" s="85"/>
    </row>
    <row r="21" spans="1:11" ht="20.100000000000001" customHeight="1" x14ac:dyDescent="0.2">
      <c r="D21" s="2" t="s">
        <v>507</v>
      </c>
    </row>
    <row r="22" spans="1:11" ht="20.100000000000001" customHeight="1" x14ac:dyDescent="0.2">
      <c r="E22" s="89" t="str">
        <f>IF(E16="ACT", "", "ALERT: Your farm is not in the ACT, so the JRPP is not applicable")</f>
        <v>ALERT: Your farm is not in the ACT, so the JRPP is not applicable</v>
      </c>
    </row>
    <row r="23" spans="1:11" ht="20.100000000000001" customHeight="1" x14ac:dyDescent="0.2">
      <c r="A23" s="6" t="s">
        <v>2</v>
      </c>
      <c r="D23" s="1" t="s">
        <v>508</v>
      </c>
      <c r="E23" s="168">
        <v>30000</v>
      </c>
      <c r="F23" s="16" t="s">
        <v>503</v>
      </c>
    </row>
    <row r="24" spans="1:11" ht="20.100000000000001" customHeight="1" x14ac:dyDescent="0.2">
      <c r="A24" s="5" t="str">
        <f>HYPERLINK("#'5.1.1.1-2 Inorganic fert N2O'!A1", "5.1.1.1-2 Inorganic fert N2O")</f>
        <v>5.1.1.1-2 Inorganic fert N2O</v>
      </c>
      <c r="D24" s="1" t="s">
        <v>509</v>
      </c>
      <c r="E24" s="18">
        <v>0.1</v>
      </c>
      <c r="F24" s="16" t="s">
        <v>148</v>
      </c>
    </row>
    <row r="25" spans="1:11" ht="20.100000000000001" customHeight="1" x14ac:dyDescent="0.2">
      <c r="A25" s="5" t="str">
        <f>HYPERLINK("#'5.1.1.3-4 Inorganic fert CO2'!A1", "5.1.1.3-4 Inorganic fert CO2")</f>
        <v>5.1.1.3-4 Inorganic fert CO2</v>
      </c>
      <c r="D25" s="1" t="s">
        <v>510</v>
      </c>
      <c r="E25" s="18">
        <v>0.1</v>
      </c>
      <c r="F25" s="16" t="s">
        <v>148</v>
      </c>
    </row>
    <row r="26" spans="1:11" ht="20.100000000000001" customHeight="1" x14ac:dyDescent="0.2">
      <c r="A26" s="5" t="str">
        <f>HYPERLINK("#'5.2.1.1-2 Organic Fert N2O'!A1", "5.2.1.1-2 Organic fert N2O")</f>
        <v>5.2.1.1-2 Organic fert N2O</v>
      </c>
    </row>
    <row r="27" spans="1:11" ht="20.100000000000001" customHeight="1" x14ac:dyDescent="0.2">
      <c r="A27" s="5" t="str">
        <f>HYPERLINK("#'5.3.1.1-2 Lime CO2'!A1", "5.3.1.1-2 Lime CO2")</f>
        <v>5.3.1.1-2 Lime CO2</v>
      </c>
      <c r="D27" s="1" t="s">
        <v>511</v>
      </c>
      <c r="E27" s="168">
        <v>10000</v>
      </c>
      <c r="F27" s="16" t="s">
        <v>503</v>
      </c>
    </row>
    <row r="28" spans="1:11" ht="20.100000000000001" customHeight="1" x14ac:dyDescent="0.2">
      <c r="A28" s="5" t="str">
        <f>HYPERLINK("#'5.4.1.1-4 Atmos deposition'!A1", "5.4.1.1-4 Atmos. deposition")</f>
        <v>5.4.1.1-4 Atmos. deposition</v>
      </c>
    </row>
    <row r="29" spans="1:11" ht="20.100000000000001" customHeight="1" x14ac:dyDescent="0.2">
      <c r="A29" s="5" t="str">
        <f>HYPERLINK("#'5.5.1.1-2 Leaching and runoff'!A1", "5.5.1.1-2 Leaching &amp; runoff")</f>
        <v>5.5.1.1-2 Leaching &amp; runoff</v>
      </c>
      <c r="D29" s="1" t="s">
        <v>512</v>
      </c>
      <c r="E29" s="169" t="str">
        <f>TEXT(X_Cell_Site_StartDate, "dd mmm yyyy")</f>
        <v>01 Jan 2025</v>
      </c>
      <c r="K29" s="128"/>
    </row>
    <row r="30" spans="1:11" ht="20.100000000000001" customHeight="1" x14ac:dyDescent="0.2">
      <c r="A30" s="5" t="str">
        <f>HYPERLINK("#'6.1.1.1-2 Crop residue N2O'!A1", "6.1.1.1-2 Crop residue N2O")</f>
        <v>6.1.1.1-2 Crop residue N2O</v>
      </c>
      <c r="D30" s="1" t="s">
        <v>513</v>
      </c>
      <c r="E30" s="169" t="str">
        <f>TEXT(X_Cell_Site_EndDate, "dd mmm yyyy")</f>
        <v>31 Dec 2025</v>
      </c>
      <c r="K30" s="128"/>
    </row>
    <row r="31" spans="1:11" ht="20.100000000000001" customHeight="1" x14ac:dyDescent="0.2">
      <c r="A31" s="5" t="str">
        <f>HYPERLINK("#'6.3.1.1-2 Leach runoff crop'!A1", "6.3.1.1-2 Leach &amp; runoff (crop)")</f>
        <v>6.3.1.1-2 Leach &amp; runoff (crop)</v>
      </c>
      <c r="K31" s="128"/>
    </row>
    <row r="32" spans="1:11" ht="20.100000000000001" customHeight="1" x14ac:dyDescent="0.2">
      <c r="A32" s="5" t="str">
        <f>HYPERLINK("#'6.4.1.1-2 Residue burning'!A1", "6.4.1.1-2 Residue burning")</f>
        <v>6.4.1.1-2 Residue burning</v>
      </c>
      <c r="D32" s="79" t="s">
        <v>514</v>
      </c>
      <c r="K32" s="128"/>
    </row>
    <row r="33" spans="1:12" ht="20.100000000000001" customHeight="1" x14ac:dyDescent="0.2">
      <c r="A33" s="5" t="str">
        <f>HYPERLINK("#'8.1.1.1-2 Transport fuel'!A1", "8.1.1.1-2 Transport fuel")</f>
        <v>8.1.1.1-2 Transport fuel</v>
      </c>
      <c r="K33" s="128"/>
    </row>
    <row r="34" spans="1:12" ht="20.100000000000001" customHeight="1" x14ac:dyDescent="0.2">
      <c r="A34" s="5" t="str">
        <f>HYPERLINK("#'8.2.1.1-2 Stationary fuel'!A1", "8.2.1.1-2 Stationary fuel")</f>
        <v>8.2.1.1-2 Stationary fuel</v>
      </c>
      <c r="D34" s="36" t="s">
        <v>515</v>
      </c>
      <c r="E34" s="39"/>
      <c r="K34" s="128"/>
    </row>
    <row r="35" spans="1:12" ht="20.100000000000001" customHeight="1" x14ac:dyDescent="0.2">
      <c r="A35" s="5" t="str">
        <f>HYPERLINK("#'10.1.1-2 Solid waste treatment'!A1", "10.1.1.1-2 Solid waste")</f>
        <v>10.1.1.1-2 Solid waste</v>
      </c>
    </row>
    <row r="36" spans="1:12" ht="20.100000000000001" customHeight="1" x14ac:dyDescent="0.2">
      <c r="A36" s="5" t="str">
        <f>HYPERLINK("#'14.1.1-2 Purchased electricity'!A1", "14.1.1-2 Purchased electricity")</f>
        <v>14.1.1-2 Purchased electricity</v>
      </c>
      <c r="D36" s="80" t="s">
        <v>191</v>
      </c>
      <c r="E36" s="80" t="s">
        <v>516</v>
      </c>
      <c r="F36" s="80" t="s">
        <v>517</v>
      </c>
      <c r="G36" s="80" t="s">
        <v>518</v>
      </c>
      <c r="H36" s="80" t="s">
        <v>519</v>
      </c>
      <c r="I36" s="80" t="s">
        <v>520</v>
      </c>
      <c r="L36" s="128"/>
    </row>
    <row r="37" spans="1:12" ht="20.100000000000001" customHeight="1" x14ac:dyDescent="0.2">
      <c r="A37" s="5" t="str">
        <f>HYPERLINK("#'15 Scope 3'!A1", "15 Scope 3")</f>
        <v>15 Scope 3</v>
      </c>
      <c r="D37" s="20" t="s">
        <v>521</v>
      </c>
      <c r="E37" s="13" t="s">
        <v>522</v>
      </c>
      <c r="F37" s="170">
        <v>44185</v>
      </c>
      <c r="G37" s="20">
        <v>12</v>
      </c>
      <c r="H37" s="15">
        <f>Table_Input_RECSurrendered[[#This Row],[Number of certificates]]</f>
        <v>12</v>
      </c>
      <c r="I37" s="15" t="str">
        <f>IF(DATEDIF(Table_Input_RECSurrendered[[#This Row],[Generation date]],DATEVALUE($E$30),"M")&gt;36,"Ineligible - older than 36 months","Elegible")</f>
        <v>Ineligible - older than 36 months</v>
      </c>
      <c r="L37" s="128"/>
    </row>
    <row r="38" spans="1:12" ht="20.100000000000001" customHeight="1" x14ac:dyDescent="0.2">
      <c r="D38" s="20" t="s">
        <v>523</v>
      </c>
      <c r="E38" s="13" t="s">
        <v>524</v>
      </c>
      <c r="F38" s="170">
        <v>44575</v>
      </c>
      <c r="G38" s="20">
        <v>5</v>
      </c>
      <c r="H38" s="15">
        <f>Table_Input_RECSurrendered[[#This Row],[Number of certificates]]</f>
        <v>5</v>
      </c>
      <c r="I38" s="15" t="str">
        <f>IF(DATEDIF(Table_Input_RECSurrendered[[#This Row],[Generation date]],DATEVALUE($E$30),"M")&gt;36,"Ineligible - older than 36 months","Elegible")</f>
        <v>Ineligible - older than 36 months</v>
      </c>
    </row>
    <row r="39" spans="1:12" ht="20.100000000000001" customHeight="1" x14ac:dyDescent="0.2">
      <c r="D39" s="20" t="s">
        <v>525</v>
      </c>
      <c r="E39" s="13" t="s">
        <v>522</v>
      </c>
      <c r="F39" s="170">
        <v>45438</v>
      </c>
      <c r="G39" s="20">
        <v>5</v>
      </c>
      <c r="H39" s="15">
        <f>Table_Input_RECSurrendered[[#This Row],[Number of certificates]]</f>
        <v>5</v>
      </c>
      <c r="I39" s="15" t="str">
        <f>IF(DATEDIF(Table_Input_RECSurrendered[[#This Row],[Generation date]],DATEVALUE($E$30),"M")&gt;36,"Ineligible - older than 36 months","Elegible")</f>
        <v>Elegible</v>
      </c>
    </row>
    <row r="40" spans="1:12" s="128" customFormat="1" ht="20.100000000000001" customHeight="1" x14ac:dyDescent="0.2">
      <c r="A40" s="82" t="s">
        <v>1</v>
      </c>
      <c r="C40" s="1"/>
      <c r="D40" s="1"/>
      <c r="E40" s="1"/>
      <c r="F40" s="1"/>
      <c r="G40" s="1"/>
      <c r="H40" s="1"/>
      <c r="I40" s="1"/>
      <c r="J40" s="1"/>
    </row>
    <row r="41" spans="1:12" s="128" customFormat="1" ht="20.100000000000001" customHeight="1" x14ac:dyDescent="0.2">
      <c r="A41" s="5" t="str">
        <f>HYPERLINK("#'Constants - Ag Residue'!A1", "Constants - Ag residue")</f>
        <v>Constants - Ag residue</v>
      </c>
      <c r="C41" s="1"/>
      <c r="D41" s="1" t="s">
        <v>526</v>
      </c>
      <c r="E41" s="15">
        <f>SUMIF(Table_Input_RECSurrendered[Elegibility], "Elegible", Table_Input_RECSurrendered[MWh])</f>
        <v>5</v>
      </c>
      <c r="F41" s="16" t="s">
        <v>519</v>
      </c>
      <c r="G41" s="1"/>
      <c r="H41" s="1"/>
      <c r="I41" s="1"/>
      <c r="J41" s="1"/>
      <c r="L41" s="128" t="s">
        <v>527</v>
      </c>
    </row>
    <row r="42" spans="1:12" ht="20.100000000000001" customHeight="1" x14ac:dyDescent="0.2">
      <c r="A42" s="5" t="str">
        <f>HYPERLINK("#'Constants - Electricity'!A1", "Constants - Electricity")</f>
        <v>Constants - Electricity</v>
      </c>
      <c r="C42" s="116"/>
    </row>
    <row r="43" spans="1:12" ht="20.100000000000001" customHeight="1" x14ac:dyDescent="0.2">
      <c r="A43" s="5" t="str">
        <f>HYPERLINK("#'Constants - Fertiliser'!A1", "Constants - Fertiliser")</f>
        <v>Constants - Fertiliser</v>
      </c>
      <c r="C43" s="116"/>
      <c r="D43" s="79" t="s">
        <v>528</v>
      </c>
      <c r="J43" s="116"/>
    </row>
    <row r="44" spans="1:12" ht="20.100000000000001" customHeight="1" x14ac:dyDescent="0.2">
      <c r="A44" s="5" t="str">
        <f>HYPERLINK("#'Constants - Fuel'!A1", "Constants - Fuel")</f>
        <v>Constants - Fuel</v>
      </c>
    </row>
    <row r="45" spans="1:12" ht="20.100000000000001" customHeight="1" x14ac:dyDescent="0.2">
      <c r="A45" s="5" t="str">
        <f>HYPERLINK("#'Constants - Scope 3'!A1", "Constants - Scope 3")</f>
        <v>Constants - Scope 3</v>
      </c>
      <c r="D45" s="80" t="s">
        <v>191</v>
      </c>
      <c r="E45" s="80" t="s">
        <v>463</v>
      </c>
      <c r="F45" s="80" t="s">
        <v>517</v>
      </c>
      <c r="G45" s="80" t="s">
        <v>518</v>
      </c>
      <c r="H45" s="80" t="s">
        <v>519</v>
      </c>
      <c r="I45" s="80" t="s">
        <v>520</v>
      </c>
    </row>
    <row r="46" spans="1:12" ht="20.100000000000001" customHeight="1" x14ac:dyDescent="0.2">
      <c r="A46" s="5" t="str">
        <f>HYPERLINK("#'Constants - Solid Waste'!A1", "Constants - Solid Waste")</f>
        <v>Constants - Solid Waste</v>
      </c>
      <c r="D46" s="20" t="s">
        <v>529</v>
      </c>
      <c r="E46" s="171" t="str">
        <f>"Issued for generated electricity"</f>
        <v>Issued for generated electricity</v>
      </c>
      <c r="F46" s="170">
        <v>44697</v>
      </c>
      <c r="G46" s="20">
        <v>10</v>
      </c>
      <c r="H46" s="15">
        <f>Table_Input_RECConsumedByEntity[[#This Row],[Number of certificates]]</f>
        <v>10</v>
      </c>
      <c r="I46" s="15" t="str">
        <f>IF(AND(Table_Input_RECConsumedByEntity[[#This Row],[Generation date]]&gt;=DATEVALUE($E$29), Table_Input_RECConsumedByEntity[[#This Row],[Generation date]]&lt;= DATEVALUE($E$30)), "Elegible", "Ineligible - outside reporting year")</f>
        <v>Ineligible - outside reporting year</v>
      </c>
    </row>
    <row r="47" spans="1:12" ht="20.100000000000001" customHeight="1" x14ac:dyDescent="0.2">
      <c r="A47" s="5" t="str">
        <f>HYPERLINK("#'Constants - Common'!A1", "Constants - Common")</f>
        <v>Constants - Common</v>
      </c>
      <c r="D47" s="20" t="s">
        <v>530</v>
      </c>
      <c r="E47" s="171" t="str">
        <f>"Issued for generated electricity"</f>
        <v>Issued for generated electricity</v>
      </c>
      <c r="F47" s="170">
        <v>45483</v>
      </c>
      <c r="G47" s="20">
        <v>4</v>
      </c>
      <c r="H47" s="15">
        <f>Table_Input_RECConsumedByEntity[[#This Row],[Number of certificates]]</f>
        <v>4</v>
      </c>
      <c r="I47" s="15" t="str">
        <f>IF(AND(Table_Input_RECConsumedByEntity[[#This Row],[Generation date]]&gt;=DATEVALUE($E$29), Table_Input_RECConsumedByEntity[[#This Row],[Generation date]]&lt;= DATEVALUE($E$30)), "Elegible", "Ineligible - outside reporting year")</f>
        <v>Ineligible - outside reporting year</v>
      </c>
    </row>
    <row r="48" spans="1:12" ht="20.100000000000001" customHeight="1" x14ac:dyDescent="0.2">
      <c r="A48" s="5" t="str">
        <f>HYPERLINK("#'Constants - Common Livestock'!A1", "Constants - Common Livestock")</f>
        <v>Constants - Common Livestock</v>
      </c>
      <c r="D48" s="172">
        <v>45597</v>
      </c>
      <c r="E48" s="171" t="str">
        <f>"Issued for generated electricity"</f>
        <v>Issued for generated electricity</v>
      </c>
      <c r="F48" s="170">
        <v>45607</v>
      </c>
      <c r="G48" s="20">
        <v>7</v>
      </c>
      <c r="H48" s="15">
        <f>Table_Input_RECConsumedByEntity[[#This Row],[Number of certificates]]</f>
        <v>7</v>
      </c>
      <c r="I48" s="15" t="str">
        <f>IF(AND(Table_Input_RECConsumedByEntity[[#This Row],[Generation date]]&gt;=DATEVALUE($E$29), Table_Input_RECConsumedByEntity[[#This Row],[Generation date]]&lt;= DATEVALUE($E$30)), "Elegible", "Ineligible - outside reporting year")</f>
        <v>Ineligible - outside reporting year</v>
      </c>
    </row>
    <row r="50" spans="4:6" ht="20.100000000000001" customHeight="1" x14ac:dyDescent="0.2">
      <c r="D50" s="1" t="s">
        <v>531</v>
      </c>
      <c r="E50" s="15">
        <f>SUMIF(Table_Input_RECConsumedByEntity[Elegibility], "Elegible", Table_Input_RECConsumedByEntity[Number of certificates])</f>
        <v>0</v>
      </c>
      <c r="F50" s="16" t="s">
        <v>519</v>
      </c>
    </row>
    <row r="55" spans="4:6" ht="20.100000000000001" customHeight="1" x14ac:dyDescent="0.2">
      <c r="D55" s="173"/>
    </row>
    <row r="56" spans="4:6" ht="20.100000000000001" customHeight="1" x14ac:dyDescent="0.2">
      <c r="D56" s="173"/>
    </row>
    <row r="365" spans="4:4" ht="20.100000000000001" customHeight="1" x14ac:dyDescent="0.2">
      <c r="D365" s="89"/>
    </row>
  </sheetData>
  <conditionalFormatting sqref="F130:F131">
    <cfRule type="cellIs" dxfId="35" priority="8" operator="lessThan">
      <formula>0</formula>
    </cfRule>
  </conditionalFormatting>
  <conditionalFormatting sqref="F142:F143">
    <cfRule type="cellIs" dxfId="34" priority="7" operator="lessThan">
      <formula>0</formula>
    </cfRule>
  </conditionalFormatting>
  <conditionalFormatting sqref="F154:F155">
    <cfRule type="cellIs" dxfId="33" priority="6" operator="lessThan">
      <formula>0</formula>
    </cfRule>
  </conditionalFormatting>
  <conditionalFormatting sqref="F166:F167">
    <cfRule type="cellIs" dxfId="32" priority="5" operator="lessThan">
      <formula>0</formula>
    </cfRule>
  </conditionalFormatting>
  <conditionalFormatting sqref="F254:F255">
    <cfRule type="cellIs" dxfId="31" priority="17" operator="lessThan">
      <formula>0</formula>
    </cfRule>
  </conditionalFormatting>
  <conditionalFormatting sqref="F259:F260">
    <cfRule type="cellIs" dxfId="30" priority="16" operator="lessThan">
      <formula>0</formula>
    </cfRule>
  </conditionalFormatting>
  <conditionalFormatting sqref="F264:F265">
    <cfRule type="cellIs" dxfId="29" priority="15" operator="lessThan">
      <formula>0</formula>
    </cfRule>
  </conditionalFormatting>
  <conditionalFormatting sqref="F288:F289">
    <cfRule type="cellIs" dxfId="28" priority="14" operator="lessThan">
      <formula>0</formula>
    </cfRule>
  </conditionalFormatting>
  <conditionalFormatting sqref="F293:F294">
    <cfRule type="cellIs" dxfId="27" priority="13" operator="lessThan">
      <formula>0</formula>
    </cfRule>
  </conditionalFormatting>
  <conditionalFormatting sqref="F298:F299">
    <cfRule type="cellIs" dxfId="26" priority="12" operator="lessThan">
      <formula>0</formula>
    </cfRule>
  </conditionalFormatting>
  <conditionalFormatting sqref="I59:I63">
    <cfRule type="cellIs" dxfId="25" priority="4" operator="lessThan">
      <formula>0</formula>
    </cfRule>
  </conditionalFormatting>
  <conditionalFormatting sqref="I67 I126">
    <cfRule type="cellIs" dxfId="24" priority="10" operator="lessThan">
      <formula>0</formula>
    </cfRule>
  </conditionalFormatting>
  <conditionalFormatting sqref="I78:I80">
    <cfRule type="cellIs" dxfId="23" priority="3" operator="lessThan">
      <formula>0</formula>
    </cfRule>
  </conditionalFormatting>
  <conditionalFormatting sqref="I84:I87">
    <cfRule type="cellIs" dxfId="22" priority="2" operator="lessThan">
      <formula>0</formula>
    </cfRule>
  </conditionalFormatting>
  <conditionalFormatting sqref="I91:I95">
    <cfRule type="cellIs" dxfId="21" priority="1" operator="lessThan">
      <formula>0</formula>
    </cfRule>
  </conditionalFormatting>
  <conditionalFormatting sqref="J35 I49:I50 H51:H53 I52 I54:I55 I206 I212 E214:G214">
    <cfRule type="cellIs" dxfId="20" priority="11" operator="lessThan">
      <formula>0</formula>
    </cfRule>
  </conditionalFormatting>
  <conditionalFormatting sqref="J39 I40 J41 I43">
    <cfRule type="cellIs" dxfId="19" priority="9" operator="lessThan">
      <formula>0</formula>
    </cfRule>
  </conditionalFormatting>
  <dataValidations count="7">
    <dataValidation type="list" allowBlank="1" showInputMessage="1" showErrorMessage="1" sqref="E5" xr:uid="{0666975C-FE5F-43FA-A481-49D7D1799662}">
      <formula1>"Location-based (simpler), Market-based (more complex)"</formula1>
    </dataValidation>
    <dataValidation type="list" allowBlank="1" showInputMessage="1" showErrorMessage="1" sqref="E37:E39" xr:uid="{1A0B76A0-EA5E-4C6F-BEC7-2A1590FAF48C}">
      <formula1>"Purchased certificate, Issued for generated electricity"</formula1>
    </dataValidation>
    <dataValidation type="list" allowBlank="1" showInputMessage="1" showErrorMessage="1" sqref="E17" xr:uid="{3623FDBF-856E-473B-B258-E63CF8061A21}">
      <formula1>INDIRECT("Table_SourceData_ElectricityEFs[State, Territory or grid description]")</formula1>
    </dataValidation>
    <dataValidation type="list" allowBlank="1" showInputMessage="1" showErrorMessage="1" sqref="E69" xr:uid="{328491B3-999D-402A-B63D-6E4C7C2CC939}">
      <formula1>INDIRECT("Table_SourceData_Swine_IrrigationMethods[Irrigation method]")</formula1>
    </dataValidation>
    <dataValidation type="list" allowBlank="1" showInputMessage="1" showErrorMessage="1" sqref="E253 E258 E263 E297 E292 E287 E165 E153 E129 E141" xr:uid="{1C8AE5DF-9EF6-4D34-83A1-0EAD67D93A0F}">
      <formula1>"Yes, No"</formula1>
    </dataValidation>
    <dataValidation type="list" allowBlank="1" showInputMessage="1" showErrorMessage="1" sqref="E229" xr:uid="{87C394EC-3534-4C08-A956-F1E9CD1861C4}">
      <formula1>INDIRECT("Table_SourceData_Dairy_ProductionSystemTemplates[Area]")</formula1>
    </dataValidation>
    <dataValidation type="list" allowBlank="1" showInputMessage="1" showErrorMessage="1" sqref="D281" xr:uid="{4D5F7224-DC83-4D3B-A5D1-F03E1EFC5C45}">
      <formula1>INDIRECT("Table_SourceData_PoultryMMSStage1[MMS]")</formula1>
    </dataValidation>
  </dataValidations>
  <pageMargins left="0.7" right="0.7" top="0.75" bottom="0.75" header="0.3" footer="0.3"/>
  <pageSetup paperSize="9" orientation="portrait" r:id="rId1"/>
  <tableParts count="2">
    <tablePart r:id="rId2"/>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0A218-7E0D-4091-8512-B5E1480F8CC3}">
  <sheetPr>
    <tabColor theme="5" tint="-0.249977111117893"/>
  </sheetPr>
  <dimension ref="A1:S195"/>
  <sheetViews>
    <sheetView showGridLines="0" zoomScaleNormal="100" workbookViewId="0">
      <pane xSplit="1" topLeftCell="B1" activePane="topRight" state="frozenSplit"/>
      <selection pane="topRight" activeCell="A47" sqref="A47"/>
    </sheetView>
  </sheetViews>
  <sheetFormatPr defaultColWidth="9" defaultRowHeight="20.100000000000001" customHeight="1" x14ac:dyDescent="0.2"/>
  <cols>
    <col min="1" max="1" width="36.7109375" style="229" customWidth="1"/>
    <col min="2" max="2" width="4.140625" style="229" customWidth="1"/>
    <col min="3" max="3" width="4.140625" style="230" customWidth="1"/>
    <col min="4" max="4" width="41.28515625" style="230" customWidth="1"/>
    <col min="5" max="10" width="26.85546875" style="230" customWidth="1"/>
    <col min="11" max="18" width="30.5703125" style="1" customWidth="1"/>
    <col min="19" max="19" width="4.5703125" style="1" customWidth="1"/>
    <col min="20" max="16384" width="9" style="229"/>
  </cols>
  <sheetData>
    <row r="1" spans="1:19" ht="30" customHeight="1" x14ac:dyDescent="0.35">
      <c r="A1" s="10" t="e" vm="1">
        <v>#VALUE!</v>
      </c>
      <c r="C1" s="28" t="s">
        <v>784</v>
      </c>
      <c r="D1" s="22"/>
      <c r="E1" s="22"/>
      <c r="F1" s="22"/>
      <c r="G1" s="22"/>
      <c r="H1" s="22"/>
      <c r="I1" s="22"/>
      <c r="J1" s="22"/>
      <c r="K1" s="22"/>
      <c r="L1" s="22"/>
      <c r="M1" s="22"/>
      <c r="N1" s="22"/>
      <c r="O1" s="22"/>
      <c r="P1" s="22"/>
      <c r="Q1" s="22"/>
      <c r="R1" s="22"/>
      <c r="S1" s="22"/>
    </row>
    <row r="2" spans="1:19" ht="20.100000000000001" customHeight="1" x14ac:dyDescent="0.2">
      <c r="A2"/>
      <c r="C2" s="3"/>
      <c r="D2" s="3"/>
      <c r="E2" s="3"/>
      <c r="F2" s="3"/>
      <c r="G2" s="3"/>
      <c r="H2" s="3"/>
      <c r="I2" s="3"/>
      <c r="J2" s="3"/>
      <c r="K2" s="3"/>
      <c r="L2" s="3"/>
      <c r="M2" s="3"/>
      <c r="N2" s="3"/>
      <c r="O2" s="3"/>
      <c r="P2" s="3"/>
      <c r="Q2" s="3"/>
      <c r="R2" s="3"/>
      <c r="S2" s="3"/>
    </row>
    <row r="3" spans="1:19" ht="20.100000000000001" customHeight="1" x14ac:dyDescent="0.2">
      <c r="A3" s="5" t="str">
        <f>HYPERLINK("#'Home'!A1", "Home")</f>
        <v>Home</v>
      </c>
      <c r="C3" s="29"/>
      <c r="D3" s="29"/>
      <c r="E3" s="29"/>
      <c r="F3" s="29"/>
      <c r="G3" s="29"/>
      <c r="H3" s="29"/>
      <c r="I3" s="29"/>
      <c r="J3" s="29"/>
      <c r="K3" s="29"/>
      <c r="L3" s="29"/>
      <c r="M3" s="29"/>
      <c r="N3" s="29"/>
      <c r="O3" s="29"/>
      <c r="P3" s="29"/>
      <c r="Q3" s="29"/>
      <c r="R3" s="29"/>
      <c r="S3" s="29"/>
    </row>
    <row r="4" spans="1:19" ht="20.100000000000001" customHeight="1" x14ac:dyDescent="0.2">
      <c r="A4" s="5" t="str">
        <f>HYPERLINK("#'Results - Activity period'!A1", "Results - Activity period")</f>
        <v>Results - Activity period</v>
      </c>
      <c r="C4" s="25"/>
      <c r="D4" s="25"/>
      <c r="E4" s="25"/>
      <c r="F4" s="25"/>
      <c r="G4" s="25"/>
      <c r="H4" s="25"/>
      <c r="I4" s="25"/>
      <c r="J4" s="25"/>
    </row>
    <row r="5" spans="1:19" ht="20.100000000000001" customHeight="1" x14ac:dyDescent="0.2">
      <c r="A5" s="5" t="str">
        <f>HYPERLINK("#'Results - Product EI'!A1", "Results - Product EI")</f>
        <v>Results - Product EI</v>
      </c>
      <c r="C5" s="1"/>
      <c r="D5" s="2" t="s">
        <v>785</v>
      </c>
      <c r="E5" s="25"/>
      <c r="F5" s="25"/>
      <c r="G5" s="25"/>
      <c r="H5" s="25"/>
      <c r="I5" s="25"/>
      <c r="J5" s="25"/>
    </row>
    <row r="6" spans="1:19" ht="20.100000000000001" customHeight="1" x14ac:dyDescent="0.2">
      <c r="A6"/>
      <c r="C6" s="1"/>
    </row>
    <row r="7" spans="1:19" ht="20.100000000000001" customHeight="1" x14ac:dyDescent="0.2">
      <c r="A7"/>
      <c r="C7" s="1"/>
      <c r="D7" s="80" t="s">
        <v>786</v>
      </c>
      <c r="E7" s="80" t="s">
        <v>787</v>
      </c>
      <c r="F7" s="80" t="s">
        <v>788</v>
      </c>
    </row>
    <row r="8" spans="1:19" ht="20.100000000000001" customHeight="1" x14ac:dyDescent="0.2">
      <c r="A8" s="7" t="s">
        <v>0</v>
      </c>
      <c r="C8" s="1"/>
      <c r="D8" s="34" t="s">
        <v>789</v>
      </c>
      <c r="E8" s="13" t="s">
        <v>790</v>
      </c>
      <c r="F8" s="76">
        <v>100</v>
      </c>
    </row>
    <row r="9" spans="1:19" ht="20.100000000000001" customHeight="1" x14ac:dyDescent="0.2">
      <c r="A9" s="5" t="str">
        <f>HYPERLINK("#'Input - Enterprise'!A1", "Enterprise")</f>
        <v>Enterprise</v>
      </c>
      <c r="C9" s="1"/>
      <c r="D9" s="34" t="s">
        <v>791</v>
      </c>
      <c r="E9" s="86" t="s">
        <v>792</v>
      </c>
      <c r="F9" s="231">
        <v>100</v>
      </c>
    </row>
    <row r="10" spans="1:19" ht="20.100000000000001" customHeight="1" x14ac:dyDescent="0.2">
      <c r="A10" s="5" t="str">
        <f>HYPERLINK("#'Input - Site'!A1", "Site")</f>
        <v>Site</v>
      </c>
      <c r="D10" s="34" t="s">
        <v>793</v>
      </c>
      <c r="E10" s="86" t="s">
        <v>794</v>
      </c>
      <c r="F10" s="231">
        <v>100</v>
      </c>
    </row>
    <row r="11" spans="1:19" ht="20.100000000000001" customHeight="1" x14ac:dyDescent="0.2">
      <c r="A11" s="5" t="str">
        <f>HYPERLINK("#'Input - Crop'!A1", "Crop")</f>
        <v>Crop</v>
      </c>
      <c r="D11" s="34" t="s">
        <v>793</v>
      </c>
      <c r="E11" s="86" t="s">
        <v>794</v>
      </c>
      <c r="F11" s="231">
        <v>100</v>
      </c>
    </row>
    <row r="12" spans="1:19" ht="20.100000000000001" customHeight="1" x14ac:dyDescent="0.2">
      <c r="A12" s="5" t="str">
        <f>HYPERLINK("#'Input - Fert Prod System'!A1", "Fert Prod System")</f>
        <v>Fert Prod System</v>
      </c>
      <c r="C12" s="1"/>
      <c r="D12" s="34" t="s">
        <v>789</v>
      </c>
      <c r="E12" s="86" t="s">
        <v>790</v>
      </c>
      <c r="F12" s="231">
        <v>100</v>
      </c>
    </row>
    <row r="13" spans="1:19" ht="20.100000000000001" customHeight="1" x14ac:dyDescent="0.2">
      <c r="A13" s="5" t="str">
        <f>HYPERLINK("#'Input - Fertiliser'!A1", "Fertiliser")</f>
        <v>Fertiliser</v>
      </c>
      <c r="C13" s="1"/>
      <c r="D13" s="34" t="s">
        <v>789</v>
      </c>
      <c r="E13" s="86" t="s">
        <v>790</v>
      </c>
      <c r="F13" s="231">
        <v>100</v>
      </c>
    </row>
    <row r="14" spans="1:19" ht="20.100000000000001" customHeight="1" x14ac:dyDescent="0.2">
      <c r="A14" s="5" t="str">
        <f>HYPERLINK("#'Input - Fuel'!A1", "Fuel")</f>
        <v>Fuel</v>
      </c>
      <c r="D14" s="34"/>
      <c r="E14" s="13"/>
      <c r="F14" s="76"/>
    </row>
    <row r="15" spans="1:19" ht="20.100000000000001" customHeight="1" x14ac:dyDescent="0.2">
      <c r="A15" s="5" t="str">
        <f>HYPERLINK("#'Input - Electricity'!A1", "Electricity")</f>
        <v>Electricity</v>
      </c>
      <c r="D15" s="34"/>
      <c r="E15" s="13"/>
      <c r="F15" s="76"/>
    </row>
    <row r="16" spans="1:19" ht="20.100000000000001" customHeight="1" x14ac:dyDescent="0.2">
      <c r="A16" s="102" t="str">
        <f>HYPERLINK("#'Input - Common farm inputs'!A1", "Common farm inputs")</f>
        <v>Common farm inputs</v>
      </c>
      <c r="D16" s="34"/>
      <c r="E16" s="13"/>
      <c r="F16" s="76"/>
    </row>
    <row r="17" spans="1:10" ht="20.100000000000001" customHeight="1" x14ac:dyDescent="0.2">
      <c r="A17" s="5" t="str">
        <f>HYPERLINK("#'Input - Crop pasture farm input'!A1", "Crop pasture farm input")</f>
        <v>Crop pasture farm input</v>
      </c>
      <c r="C17" s="1"/>
      <c r="D17" s="34"/>
      <c r="E17" s="13"/>
      <c r="F17" s="76"/>
    </row>
    <row r="18" spans="1:10" ht="20.100000000000001" customHeight="1" x14ac:dyDescent="0.2">
      <c r="A18" s="5" t="str">
        <f>HYPERLINK("#'Input - Freight'!A1", "Freight")</f>
        <v>Freight</v>
      </c>
      <c r="C18" s="1"/>
    </row>
    <row r="19" spans="1:10" ht="20.100000000000001" customHeight="1" x14ac:dyDescent="0.2">
      <c r="A19" s="5" t="str">
        <f>HYPERLINK("#'Input - Solid waste'!A1", "Solid waste")</f>
        <v>Solid waste</v>
      </c>
    </row>
    <row r="20" spans="1:10" ht="20.100000000000001" customHeight="1" x14ac:dyDescent="0.2">
      <c r="A20" s="5" t="str">
        <f>HYPERLINK("#'Input - Data quality'!A1", "Data quality")</f>
        <v>Data quality</v>
      </c>
      <c r="D20" s="2" t="s">
        <v>795</v>
      </c>
    </row>
    <row r="21" spans="1:10" ht="20.100000000000001" customHeight="1" x14ac:dyDescent="0.2">
      <c r="A21"/>
      <c r="D21" s="26"/>
      <c r="I21" s="25"/>
      <c r="J21" s="25"/>
    </row>
    <row r="22" spans="1:10" ht="20.100000000000001" customHeight="1" x14ac:dyDescent="0.2">
      <c r="A22"/>
      <c r="D22" s="232" t="s">
        <v>796</v>
      </c>
      <c r="E22" s="232" t="s">
        <v>797</v>
      </c>
      <c r="F22" s="232" t="s">
        <v>798</v>
      </c>
      <c r="G22" s="232" t="s">
        <v>553</v>
      </c>
    </row>
    <row r="23" spans="1:10" ht="20.100000000000001" customHeight="1" x14ac:dyDescent="0.2">
      <c r="A23" s="6" t="s">
        <v>2</v>
      </c>
      <c r="D23" s="34" t="s">
        <v>799</v>
      </c>
      <c r="E23" s="34" t="s">
        <v>800</v>
      </c>
      <c r="F23" s="76">
        <v>10000</v>
      </c>
      <c r="G23" s="13" t="s">
        <v>801</v>
      </c>
    </row>
    <row r="24" spans="1:10" ht="20.100000000000001" customHeight="1" x14ac:dyDescent="0.2">
      <c r="A24" s="5" t="str">
        <f>HYPERLINK("#'5.1.1.1-2 Inorganic fert N2O'!A1", "5.1.1.1-2 Inorganic fert N2O")</f>
        <v>5.1.1.1-2 Inorganic fert N2O</v>
      </c>
      <c r="D24" s="34" t="s">
        <v>802</v>
      </c>
      <c r="E24" s="34" t="s">
        <v>803</v>
      </c>
      <c r="F24" s="76">
        <v>1000</v>
      </c>
      <c r="G24" s="13" t="s">
        <v>804</v>
      </c>
    </row>
    <row r="25" spans="1:10" ht="20.100000000000001" customHeight="1" x14ac:dyDescent="0.2">
      <c r="A25" s="5" t="str">
        <f>HYPERLINK("#'5.1.1.3-4 Inorganic fert CO2'!A1", "5.1.1.3-4 Inorganic fert CO2")</f>
        <v>5.1.1.3-4 Inorganic fert CO2</v>
      </c>
      <c r="C25" s="1"/>
      <c r="D25" s="34"/>
      <c r="E25" s="34"/>
      <c r="F25" s="76"/>
      <c r="G25" s="13"/>
    </row>
    <row r="26" spans="1:10" ht="20.100000000000001" customHeight="1" x14ac:dyDescent="0.2">
      <c r="A26" s="5" t="str">
        <f>HYPERLINK("#'5.2.1.1-2 Organic Fert N2O'!A1", "5.2.1.1-2 Organic fert N2O")</f>
        <v>5.2.1.1-2 Organic fert N2O</v>
      </c>
      <c r="C26" s="1"/>
      <c r="D26" s="34"/>
      <c r="E26" s="34"/>
      <c r="F26" s="76"/>
      <c r="G26" s="13"/>
    </row>
    <row r="27" spans="1:10" ht="20.100000000000001" customHeight="1" x14ac:dyDescent="0.2">
      <c r="A27" s="5" t="str">
        <f>HYPERLINK("#'5.3.1.1-2 Lime CO2'!A1", "5.3.1.1-2 Lime CO2")</f>
        <v>5.3.1.1-2 Lime CO2</v>
      </c>
      <c r="C27" s="1"/>
      <c r="D27" s="34"/>
      <c r="E27" s="34"/>
      <c r="F27" s="76"/>
      <c r="G27" s="13"/>
    </row>
    <row r="28" spans="1:10" ht="20.100000000000001" customHeight="1" x14ac:dyDescent="0.2">
      <c r="A28" s="5" t="str">
        <f>HYPERLINK("#'5.4.1.1-4 Atmos deposition'!A1", "5.4.1.1-4 Atmos. deposition")</f>
        <v>5.4.1.1-4 Atmos. deposition</v>
      </c>
      <c r="D28" s="34"/>
      <c r="E28" s="34"/>
      <c r="F28" s="76"/>
      <c r="G28" s="13"/>
    </row>
    <row r="29" spans="1:10" ht="20.100000000000001" customHeight="1" x14ac:dyDescent="0.2">
      <c r="A29" s="5" t="str">
        <f>HYPERLINK("#'5.5.1.1-2 Leaching and runoff'!A1", "5.5.1.1-2 Leaching &amp; runoff")</f>
        <v>5.5.1.1-2 Leaching &amp; runoff</v>
      </c>
      <c r="D29" s="34"/>
      <c r="E29" s="34"/>
      <c r="F29" s="76"/>
      <c r="G29" s="13"/>
    </row>
    <row r="30" spans="1:10" ht="20.100000000000001" customHeight="1" x14ac:dyDescent="0.2">
      <c r="A30" s="5" t="str">
        <f>HYPERLINK("#'6.1.1.1-2 Crop residue N2O'!A1", "6.1.1.1-2 Crop residue N2O")</f>
        <v>6.1.1.1-2 Crop residue N2O</v>
      </c>
      <c r="D30" s="34"/>
      <c r="E30" s="34"/>
      <c r="F30" s="76"/>
      <c r="G30" s="13"/>
    </row>
    <row r="31" spans="1:10" ht="20.100000000000001" customHeight="1" x14ac:dyDescent="0.2">
      <c r="A31" s="5" t="str">
        <f>HYPERLINK("#'6.3.1.1-2 Leach runoff crop'!A1", "6.3.1.1-2 Leach &amp; runoff (crop)")</f>
        <v>6.3.1.1-2 Leach &amp; runoff (crop)</v>
      </c>
      <c r="D31" s="34"/>
      <c r="E31" s="34"/>
      <c r="F31" s="76"/>
      <c r="G31" s="13"/>
    </row>
    <row r="32" spans="1:10" ht="20.100000000000001" customHeight="1" x14ac:dyDescent="0.2">
      <c r="A32" s="5" t="str">
        <f>HYPERLINK("#'6.4.1.1-2 Residue burning'!A1", "6.4.1.1-2 Residue burning")</f>
        <v>6.4.1.1-2 Residue burning</v>
      </c>
      <c r="D32" s="34"/>
      <c r="E32" s="34"/>
      <c r="F32" s="76"/>
      <c r="G32" s="13"/>
    </row>
    <row r="33" spans="1:6" ht="20.100000000000001" customHeight="1" x14ac:dyDescent="0.2">
      <c r="A33" s="5" t="str">
        <f>HYPERLINK("#'8.1.1.1-2 Transport fuel'!A1", "8.1.1.1-2 Transport fuel")</f>
        <v>8.1.1.1-2 Transport fuel</v>
      </c>
    </row>
    <row r="34" spans="1:6" ht="20.100000000000001" customHeight="1" x14ac:dyDescent="0.2">
      <c r="A34" s="5" t="str">
        <f>HYPERLINK("#'8.2.1.1-2 Stationary fuel'!A1", "8.2.1.1-2 Stationary fuel")</f>
        <v>8.2.1.1-2 Stationary fuel</v>
      </c>
    </row>
    <row r="35" spans="1:6" ht="20.100000000000001" customHeight="1" x14ac:dyDescent="0.2">
      <c r="A35" s="5" t="str">
        <f>HYPERLINK("#'10.1.1-2 Solid waste treatment'!A1", "10.1.1.1-2 Solid waste")</f>
        <v>10.1.1.1-2 Solid waste</v>
      </c>
      <c r="D35" s="2" t="s">
        <v>805</v>
      </c>
    </row>
    <row r="36" spans="1:6" ht="20.100000000000001" customHeight="1" x14ac:dyDescent="0.2">
      <c r="A36" s="5" t="str">
        <f>HYPERLINK("#'14.1.1-2 Purchased electricity'!A1", "14.1.1-2 Purchased electricity")</f>
        <v>14.1.1-2 Purchased electricity</v>
      </c>
      <c r="D36" s="26"/>
    </row>
    <row r="37" spans="1:6" ht="20.100000000000001" customHeight="1" x14ac:dyDescent="0.2">
      <c r="A37" s="5" t="str">
        <f>HYPERLINK("#'15 Scope 3'!A1", "15 Scope 3")</f>
        <v>15 Scope 3</v>
      </c>
      <c r="D37" s="80" t="s">
        <v>806</v>
      </c>
      <c r="E37" s="80" t="s">
        <v>644</v>
      </c>
      <c r="F37" s="80" t="s">
        <v>553</v>
      </c>
    </row>
    <row r="38" spans="1:6" ht="20.100000000000001" customHeight="1" x14ac:dyDescent="0.2">
      <c r="A38"/>
      <c r="D38" s="34" t="s">
        <v>807</v>
      </c>
      <c r="E38" s="76">
        <v>1000</v>
      </c>
      <c r="F38" s="34" t="s">
        <v>370</v>
      </c>
    </row>
    <row r="39" spans="1:6" ht="20.100000000000001" customHeight="1" x14ac:dyDescent="0.2">
      <c r="A39"/>
      <c r="D39" s="34"/>
      <c r="E39" s="76"/>
      <c r="F39" s="34"/>
    </row>
    <row r="40" spans="1:6" ht="20.100000000000001" customHeight="1" x14ac:dyDescent="0.2">
      <c r="A40" s="82" t="s">
        <v>1</v>
      </c>
      <c r="D40" s="34"/>
      <c r="E40" s="76"/>
      <c r="F40" s="34"/>
    </row>
    <row r="41" spans="1:6" ht="20.100000000000001" customHeight="1" x14ac:dyDescent="0.2">
      <c r="A41" s="5" t="str">
        <f>HYPERLINK("#'Constants - Ag Residue'!A1", "Constants - Ag residue")</f>
        <v>Constants - Ag residue</v>
      </c>
      <c r="D41" s="34"/>
      <c r="E41" s="76"/>
      <c r="F41" s="34"/>
    </row>
    <row r="42" spans="1:6" ht="20.100000000000001" customHeight="1" x14ac:dyDescent="0.2">
      <c r="A42" s="5" t="str">
        <f>HYPERLINK("#'Constants - Electricity'!A1", "Constants - Electricity")</f>
        <v>Constants - Electricity</v>
      </c>
      <c r="D42" s="34"/>
      <c r="E42" s="76"/>
      <c r="F42" s="34"/>
    </row>
    <row r="43" spans="1:6" ht="20.100000000000001" customHeight="1" x14ac:dyDescent="0.2">
      <c r="A43" s="5" t="str">
        <f>HYPERLINK("#'Constants - Fertiliser'!A1", "Constants - Fertiliser")</f>
        <v>Constants - Fertiliser</v>
      </c>
      <c r="D43" s="34"/>
      <c r="E43" s="76"/>
      <c r="F43" s="34"/>
    </row>
    <row r="44" spans="1:6" ht="20.100000000000001" customHeight="1" x14ac:dyDescent="0.2">
      <c r="A44" s="5" t="str">
        <f>HYPERLINK("#'Constants - Fuel'!A1", "Constants - Fuel")</f>
        <v>Constants - Fuel</v>
      </c>
      <c r="C44" s="1"/>
      <c r="D44" s="34"/>
      <c r="E44" s="76"/>
      <c r="F44" s="34"/>
    </row>
    <row r="45" spans="1:6" ht="20.100000000000001" customHeight="1" x14ac:dyDescent="0.2">
      <c r="A45" s="5" t="str">
        <f>HYPERLINK("#'Constants - Scope 3'!A1", "Constants - Scope 3")</f>
        <v>Constants - Scope 3</v>
      </c>
      <c r="C45" s="1"/>
      <c r="D45" s="34"/>
      <c r="E45" s="76"/>
      <c r="F45" s="34"/>
    </row>
    <row r="46" spans="1:6" ht="20.100000000000001" customHeight="1" x14ac:dyDescent="0.2">
      <c r="A46" s="5" t="str">
        <f>HYPERLINK("#'Constants - Solid Waste'!A1", "Constants - Solid Waste")</f>
        <v>Constants - Solid Waste</v>
      </c>
      <c r="C46" s="1"/>
      <c r="D46" s="34"/>
      <c r="E46" s="76"/>
      <c r="F46" s="34"/>
    </row>
    <row r="47" spans="1:6" ht="20.100000000000001" customHeight="1" x14ac:dyDescent="0.2">
      <c r="A47" s="5" t="str">
        <f>HYPERLINK("#'Constants - Common'!A1", "Constants - Common")</f>
        <v>Constants - Common</v>
      </c>
      <c r="C47" s="1"/>
      <c r="D47" s="34"/>
      <c r="E47" s="76"/>
      <c r="F47" s="34"/>
    </row>
    <row r="48" spans="1:6" ht="20.100000000000001" customHeight="1" x14ac:dyDescent="0.2">
      <c r="A48" s="5" t="str">
        <f>HYPERLINK("#'Constants - Common Livestock'!A1", "Constants - Common Livestock")</f>
        <v>Constants - Common Livestock</v>
      </c>
      <c r="C48" s="1"/>
    </row>
    <row r="49" spans="1:3" ht="20.100000000000001" customHeight="1" x14ac:dyDescent="0.2">
      <c r="A49"/>
      <c r="C49" s="1"/>
    </row>
    <row r="50" spans="1:3" ht="20.100000000000001" customHeight="1" x14ac:dyDescent="0.2">
      <c r="A50"/>
    </row>
    <row r="51" spans="1:3" ht="20.100000000000001" customHeight="1" x14ac:dyDescent="0.2">
      <c r="A51"/>
    </row>
    <row r="52" spans="1:3" ht="20.100000000000001" customHeight="1" x14ac:dyDescent="0.2">
      <c r="A52"/>
    </row>
    <row r="53" spans="1:3" ht="20.100000000000001" customHeight="1" x14ac:dyDescent="0.2">
      <c r="A53"/>
    </row>
    <row r="54" spans="1:3" ht="20.100000000000001" customHeight="1" x14ac:dyDescent="0.2">
      <c r="A54"/>
    </row>
    <row r="55" spans="1:3" ht="20.100000000000001" customHeight="1" x14ac:dyDescent="0.2">
      <c r="A55"/>
    </row>
    <row r="56" spans="1:3" ht="20.100000000000001" customHeight="1" x14ac:dyDescent="0.2">
      <c r="A56"/>
    </row>
    <row r="57" spans="1:3" ht="20.100000000000001" customHeight="1" x14ac:dyDescent="0.2">
      <c r="A57"/>
    </row>
    <row r="58" spans="1:3" ht="20.100000000000001" customHeight="1" x14ac:dyDescent="0.2">
      <c r="A58"/>
    </row>
    <row r="59" spans="1:3" ht="20.100000000000001" customHeight="1" x14ac:dyDescent="0.2">
      <c r="A59"/>
    </row>
    <row r="60" spans="1:3" ht="20.100000000000001" customHeight="1" x14ac:dyDescent="0.2">
      <c r="A60"/>
    </row>
    <row r="61" spans="1:3" ht="20.100000000000001" customHeight="1" x14ac:dyDescent="0.2">
      <c r="A61"/>
    </row>
    <row r="62" spans="1:3" ht="20.100000000000001" customHeight="1" x14ac:dyDescent="0.2">
      <c r="A62"/>
    </row>
    <row r="63" spans="1:3" ht="20.100000000000001" customHeight="1" x14ac:dyDescent="0.2">
      <c r="A63"/>
    </row>
    <row r="64" spans="1:3" ht="20.100000000000001" customHeight="1" x14ac:dyDescent="0.2">
      <c r="A64"/>
    </row>
    <row r="65" spans="1:11" ht="20.100000000000001" customHeight="1" x14ac:dyDescent="0.2">
      <c r="A65"/>
    </row>
    <row r="66" spans="1:11" ht="20.100000000000001" customHeight="1" x14ac:dyDescent="0.2">
      <c r="A66"/>
    </row>
    <row r="67" spans="1:11" ht="20.100000000000001" customHeight="1" x14ac:dyDescent="0.2">
      <c r="A67"/>
    </row>
    <row r="68" spans="1:11" ht="20.100000000000001" customHeight="1" x14ac:dyDescent="0.2">
      <c r="A68"/>
    </row>
    <row r="69" spans="1:11" ht="20.100000000000001" customHeight="1" x14ac:dyDescent="0.2">
      <c r="A69"/>
    </row>
    <row r="70" spans="1:11" ht="20.100000000000001" customHeight="1" x14ac:dyDescent="0.2">
      <c r="A70"/>
    </row>
    <row r="71" spans="1:11" ht="20.100000000000001" customHeight="1" x14ac:dyDescent="0.2">
      <c r="A71"/>
    </row>
    <row r="72" spans="1:11" ht="20.100000000000001" customHeight="1" x14ac:dyDescent="0.2">
      <c r="A72"/>
    </row>
    <row r="73" spans="1:11" ht="20.100000000000001" customHeight="1" x14ac:dyDescent="0.2">
      <c r="A73"/>
    </row>
    <row r="74" spans="1:11" ht="20.100000000000001" customHeight="1" x14ac:dyDescent="0.2">
      <c r="A74"/>
      <c r="K74" s="230"/>
    </row>
    <row r="75" spans="1:11" ht="20.100000000000001" customHeight="1" x14ac:dyDescent="0.2">
      <c r="A75"/>
    </row>
    <row r="76" spans="1:11" ht="20.100000000000001" customHeight="1" x14ac:dyDescent="0.2">
      <c r="A76"/>
    </row>
    <row r="77" spans="1:11" ht="20.100000000000001" customHeight="1" x14ac:dyDescent="0.2">
      <c r="A77"/>
    </row>
    <row r="78" spans="1:11" ht="20.100000000000001" customHeight="1" x14ac:dyDescent="0.2">
      <c r="A78"/>
    </row>
    <row r="79" spans="1:11" ht="20.100000000000001" customHeight="1" x14ac:dyDescent="0.2">
      <c r="A79"/>
    </row>
    <row r="80" spans="1:11" ht="20.100000000000001" customHeight="1" x14ac:dyDescent="0.2">
      <c r="A80"/>
    </row>
    <row r="81" spans="1:10" ht="20.100000000000001" customHeight="1" x14ac:dyDescent="0.2">
      <c r="A81"/>
    </row>
    <row r="82" spans="1:10" ht="20.100000000000001" customHeight="1" x14ac:dyDescent="0.2">
      <c r="A82"/>
    </row>
    <row r="83" spans="1:10" ht="20.100000000000001" customHeight="1" x14ac:dyDescent="0.2">
      <c r="A83"/>
    </row>
    <row r="84" spans="1:10" ht="20.100000000000001" customHeight="1" x14ac:dyDescent="0.2">
      <c r="A84"/>
    </row>
    <row r="85" spans="1:10" ht="20.100000000000001" customHeight="1" x14ac:dyDescent="0.2">
      <c r="A85"/>
    </row>
    <row r="86" spans="1:10" ht="20.100000000000001" customHeight="1" x14ac:dyDescent="0.2">
      <c r="A86"/>
    </row>
    <row r="87" spans="1:10" ht="20.100000000000001" customHeight="1" x14ac:dyDescent="0.2">
      <c r="A87"/>
    </row>
    <row r="88" spans="1:10" ht="20.100000000000001" customHeight="1" x14ac:dyDescent="0.2">
      <c r="A88"/>
    </row>
    <row r="89" spans="1:10" ht="20.100000000000001" customHeight="1" x14ac:dyDescent="0.2">
      <c r="A89"/>
    </row>
    <row r="90" spans="1:10" ht="20.100000000000001" customHeight="1" x14ac:dyDescent="0.2">
      <c r="A90"/>
    </row>
    <row r="91" spans="1:10" ht="20.100000000000001" customHeight="1" x14ac:dyDescent="0.2">
      <c r="A91"/>
    </row>
    <row r="92" spans="1:10" ht="20.100000000000001" customHeight="1" x14ac:dyDescent="0.2">
      <c r="A92"/>
      <c r="J92" s="25"/>
    </row>
    <row r="93" spans="1:10" ht="20.100000000000001" customHeight="1" x14ac:dyDescent="0.2">
      <c r="A93"/>
      <c r="J93" s="25"/>
    </row>
    <row r="94" spans="1:10" ht="20.100000000000001" customHeight="1" x14ac:dyDescent="0.2">
      <c r="A94"/>
      <c r="J94" s="25"/>
    </row>
    <row r="95" spans="1:10" ht="20.100000000000001" customHeight="1" x14ac:dyDescent="0.2">
      <c r="A95"/>
      <c r="J95" s="25"/>
    </row>
    <row r="96" spans="1:10" ht="20.100000000000001" customHeight="1" x14ac:dyDescent="0.2">
      <c r="A96"/>
      <c r="J96" s="25"/>
    </row>
    <row r="97" spans="1:10" ht="20.100000000000001" customHeight="1" x14ac:dyDescent="0.2">
      <c r="A97"/>
      <c r="J97" s="2"/>
    </row>
    <row r="98" spans="1:10" ht="20.100000000000001" customHeight="1" x14ac:dyDescent="0.2">
      <c r="A98"/>
      <c r="J98" s="1"/>
    </row>
    <row r="99" spans="1:10" ht="20.100000000000001" customHeight="1" x14ac:dyDescent="0.2">
      <c r="A99"/>
      <c r="J99" s="1"/>
    </row>
    <row r="100" spans="1:10" ht="20.100000000000001" customHeight="1" x14ac:dyDescent="0.2">
      <c r="A100"/>
      <c r="J100" s="1"/>
    </row>
    <row r="101" spans="1:10" ht="20.100000000000001" customHeight="1" x14ac:dyDescent="0.2">
      <c r="A101"/>
      <c r="J101" s="1"/>
    </row>
    <row r="102" spans="1:10" ht="20.100000000000001" customHeight="1" x14ac:dyDescent="0.2">
      <c r="A102"/>
      <c r="J102" s="1"/>
    </row>
    <row r="103" spans="1:10" ht="20.100000000000001" customHeight="1" x14ac:dyDescent="0.2">
      <c r="A103"/>
    </row>
    <row r="104" spans="1:10" ht="20.100000000000001" customHeight="1" x14ac:dyDescent="0.2">
      <c r="A104"/>
    </row>
    <row r="105" spans="1:10" ht="20.100000000000001" customHeight="1" x14ac:dyDescent="0.2">
      <c r="A105"/>
    </row>
    <row r="106" spans="1:10" ht="20.100000000000001" customHeight="1" x14ac:dyDescent="0.2">
      <c r="A106"/>
    </row>
    <row r="107" spans="1:10" ht="20.100000000000001" customHeight="1" x14ac:dyDescent="0.2">
      <c r="A107"/>
      <c r="J107" s="1"/>
    </row>
    <row r="108" spans="1:10" ht="20.100000000000001" customHeight="1" x14ac:dyDescent="0.2">
      <c r="A108"/>
      <c r="J108" s="1"/>
    </row>
    <row r="109" spans="1:10" ht="20.100000000000001" customHeight="1" x14ac:dyDescent="0.2">
      <c r="A109"/>
      <c r="J109" s="1"/>
    </row>
    <row r="110" spans="1:10" ht="20.100000000000001" customHeight="1" x14ac:dyDescent="0.2">
      <c r="A110"/>
      <c r="J110" s="1"/>
    </row>
    <row r="111" spans="1:10" ht="20.100000000000001" customHeight="1" x14ac:dyDescent="0.2">
      <c r="A111"/>
      <c r="J111" s="1"/>
    </row>
    <row r="112" spans="1:10" ht="20.100000000000001" customHeight="1" x14ac:dyDescent="0.2">
      <c r="A112"/>
      <c r="J112" s="1"/>
    </row>
    <row r="113" spans="1:16" ht="20.100000000000001" customHeight="1" x14ac:dyDescent="0.2">
      <c r="A113"/>
      <c r="J113" s="1"/>
      <c r="L113" s="25"/>
      <c r="M113" s="25"/>
      <c r="N113" s="25"/>
      <c r="O113" s="25"/>
      <c r="P113" s="25"/>
    </row>
    <row r="114" spans="1:16" ht="20.100000000000001" customHeight="1" x14ac:dyDescent="0.2">
      <c r="A114"/>
      <c r="J114" s="1"/>
      <c r="L114" s="25"/>
      <c r="M114" s="25"/>
      <c r="N114" s="25"/>
      <c r="O114" s="25"/>
      <c r="P114" s="25"/>
    </row>
    <row r="115" spans="1:16" ht="20.100000000000001" customHeight="1" x14ac:dyDescent="0.2">
      <c r="A115"/>
      <c r="J115" s="1"/>
      <c r="L115" s="25"/>
      <c r="M115" s="25"/>
      <c r="N115" s="25"/>
      <c r="O115" s="25"/>
      <c r="P115" s="25"/>
    </row>
    <row r="116" spans="1:16" ht="20.100000000000001" customHeight="1" x14ac:dyDescent="0.2">
      <c r="A116"/>
      <c r="I116" s="25"/>
      <c r="J116" s="1"/>
      <c r="N116" s="25"/>
      <c r="O116" s="25"/>
      <c r="P116" s="25"/>
    </row>
    <row r="117" spans="1:16" ht="20.100000000000001" customHeight="1" x14ac:dyDescent="0.2">
      <c r="A117"/>
      <c r="I117" s="25"/>
      <c r="J117" s="1"/>
      <c r="N117" s="25"/>
      <c r="O117" s="25"/>
      <c r="P117" s="25"/>
    </row>
    <row r="118" spans="1:16" ht="20.100000000000001" customHeight="1" x14ac:dyDescent="0.2">
      <c r="A118"/>
      <c r="J118" s="25"/>
      <c r="N118" s="2"/>
      <c r="O118" s="2"/>
      <c r="P118" s="25"/>
    </row>
    <row r="119" spans="1:16" ht="20.100000000000001" customHeight="1" x14ac:dyDescent="0.2">
      <c r="A119"/>
      <c r="J119" s="25"/>
      <c r="P119" s="8"/>
    </row>
    <row r="120" spans="1:16" ht="20.100000000000001" customHeight="1" x14ac:dyDescent="0.2">
      <c r="A120"/>
      <c r="J120" s="25"/>
      <c r="P120" s="8"/>
    </row>
    <row r="121" spans="1:16" ht="20.100000000000001" customHeight="1" x14ac:dyDescent="0.2">
      <c r="A121"/>
      <c r="J121" s="2"/>
      <c r="P121" s="8"/>
    </row>
    <row r="122" spans="1:16" ht="20.100000000000001" customHeight="1" x14ac:dyDescent="0.2">
      <c r="A122"/>
      <c r="G122" s="25"/>
      <c r="H122" s="1"/>
      <c r="J122" s="1"/>
      <c r="P122" s="8"/>
    </row>
    <row r="123" spans="1:16" ht="20.100000000000001" customHeight="1" x14ac:dyDescent="0.2">
      <c r="A123"/>
      <c r="G123" s="25"/>
      <c r="H123" s="1"/>
      <c r="J123" s="1"/>
      <c r="P123" s="8"/>
    </row>
    <row r="124" spans="1:16" ht="20.100000000000001" customHeight="1" x14ac:dyDescent="0.2">
      <c r="A124"/>
      <c r="G124" s="25"/>
      <c r="H124" s="25"/>
      <c r="J124" s="1"/>
      <c r="N124" s="25"/>
      <c r="O124" s="25"/>
      <c r="P124" s="25"/>
    </row>
    <row r="125" spans="1:16" ht="20.100000000000001" customHeight="1" x14ac:dyDescent="0.2">
      <c r="A125"/>
      <c r="G125" s="25"/>
      <c r="H125" s="25"/>
      <c r="I125" s="25"/>
      <c r="J125" s="1"/>
      <c r="N125" s="25"/>
      <c r="O125" s="25"/>
      <c r="P125" s="25"/>
    </row>
    <row r="126" spans="1:16" ht="20.100000000000001" customHeight="1" x14ac:dyDescent="0.2">
      <c r="A126"/>
      <c r="G126" s="25"/>
      <c r="I126" s="25"/>
      <c r="J126" s="1"/>
    </row>
    <row r="127" spans="1:16" ht="20.100000000000001" customHeight="1" x14ac:dyDescent="0.2">
      <c r="A127"/>
      <c r="I127" s="25"/>
      <c r="J127" s="25"/>
    </row>
    <row r="128" spans="1:16" ht="20.100000000000001" customHeight="1" x14ac:dyDescent="0.2">
      <c r="A128"/>
      <c r="I128" s="25"/>
      <c r="J128" s="25"/>
    </row>
    <row r="129" spans="1:13" ht="20.100000000000001" customHeight="1" x14ac:dyDescent="0.2">
      <c r="A129"/>
      <c r="I129" s="25"/>
      <c r="L129" s="25"/>
      <c r="M129" s="25"/>
    </row>
    <row r="130" spans="1:13" ht="20.100000000000001" customHeight="1" x14ac:dyDescent="0.2">
      <c r="A130"/>
      <c r="I130" s="25"/>
      <c r="L130" s="25"/>
      <c r="M130" s="25"/>
    </row>
    <row r="131" spans="1:13" ht="20.100000000000001" customHeight="1" x14ac:dyDescent="0.2">
      <c r="A131"/>
      <c r="G131" s="1"/>
      <c r="I131" s="1"/>
      <c r="L131" s="2"/>
      <c r="M131" s="2"/>
    </row>
    <row r="132" spans="1:13" ht="20.100000000000001" customHeight="1" x14ac:dyDescent="0.2">
      <c r="A132"/>
      <c r="G132" s="25"/>
      <c r="I132" s="1"/>
    </row>
    <row r="133" spans="1:13" ht="20.100000000000001" customHeight="1" x14ac:dyDescent="0.2">
      <c r="A133"/>
      <c r="G133" s="25"/>
      <c r="I133" s="1"/>
    </row>
    <row r="134" spans="1:13" ht="20.100000000000001" customHeight="1" x14ac:dyDescent="0.2">
      <c r="A134"/>
      <c r="I134" s="1"/>
    </row>
    <row r="135" spans="1:13" ht="20.100000000000001" customHeight="1" x14ac:dyDescent="0.2">
      <c r="A135"/>
      <c r="I135" s="1"/>
    </row>
    <row r="136" spans="1:13" ht="20.100000000000001" customHeight="1" x14ac:dyDescent="0.2">
      <c r="A136"/>
      <c r="I136" s="25"/>
    </row>
    <row r="137" spans="1:13" ht="20.100000000000001" customHeight="1" x14ac:dyDescent="0.2">
      <c r="A137"/>
      <c r="I137" s="25"/>
      <c r="L137" s="25"/>
      <c r="M137" s="25"/>
    </row>
    <row r="138" spans="1:13" ht="20.100000000000001" customHeight="1" x14ac:dyDescent="0.2">
      <c r="A138"/>
      <c r="L138" s="25"/>
      <c r="M138" s="25"/>
    </row>
    <row r="139" spans="1:13" ht="20.100000000000001" customHeight="1" x14ac:dyDescent="0.2">
      <c r="A139"/>
    </row>
    <row r="140" spans="1:13" ht="20.100000000000001" customHeight="1" x14ac:dyDescent="0.2">
      <c r="A140"/>
    </row>
    <row r="141" spans="1:13" ht="20.100000000000001" customHeight="1" x14ac:dyDescent="0.2">
      <c r="A141"/>
    </row>
    <row r="142" spans="1:13" ht="20.100000000000001" customHeight="1" x14ac:dyDescent="0.2">
      <c r="A142"/>
    </row>
    <row r="143" spans="1:13" ht="20.100000000000001" customHeight="1" x14ac:dyDescent="0.2">
      <c r="A143"/>
    </row>
    <row r="144" spans="1:13" ht="20.100000000000001" customHeight="1" x14ac:dyDescent="0.2">
      <c r="A144"/>
    </row>
    <row r="145" spans="1:1" ht="20.100000000000001" customHeight="1" x14ac:dyDescent="0.2">
      <c r="A145"/>
    </row>
    <row r="146" spans="1:1" ht="20.100000000000001" customHeight="1" x14ac:dyDescent="0.2">
      <c r="A146"/>
    </row>
    <row r="147" spans="1:1" ht="20.100000000000001" customHeight="1" x14ac:dyDescent="0.2">
      <c r="A147"/>
    </row>
    <row r="148" spans="1:1" ht="20.100000000000001" customHeight="1" x14ac:dyDescent="0.2">
      <c r="A148"/>
    </row>
    <row r="149" spans="1:1" ht="20.100000000000001" customHeight="1" x14ac:dyDescent="0.2">
      <c r="A149"/>
    </row>
    <row r="150" spans="1:1" ht="20.100000000000001" customHeight="1" x14ac:dyDescent="0.2">
      <c r="A150"/>
    </row>
    <row r="151" spans="1:1" ht="20.100000000000001" customHeight="1" x14ac:dyDescent="0.2">
      <c r="A151"/>
    </row>
    <row r="152" spans="1:1" ht="20.100000000000001" customHeight="1" x14ac:dyDescent="0.2">
      <c r="A152"/>
    </row>
    <row r="153" spans="1:1" ht="20.100000000000001" customHeight="1" x14ac:dyDescent="0.2">
      <c r="A153"/>
    </row>
    <row r="154" spans="1:1" ht="20.100000000000001" customHeight="1" x14ac:dyDescent="0.2">
      <c r="A154"/>
    </row>
    <row r="155" spans="1:1" ht="20.100000000000001" customHeight="1" x14ac:dyDescent="0.2">
      <c r="A155"/>
    </row>
    <row r="156" spans="1:1" ht="20.100000000000001" customHeight="1" x14ac:dyDescent="0.2">
      <c r="A156"/>
    </row>
    <row r="157" spans="1:1" ht="20.100000000000001" customHeight="1" x14ac:dyDescent="0.2">
      <c r="A157"/>
    </row>
    <row r="158" spans="1:1" ht="20.100000000000001" customHeight="1" x14ac:dyDescent="0.2">
      <c r="A158"/>
    </row>
    <row r="159" spans="1:1" ht="20.100000000000001" customHeight="1" x14ac:dyDescent="0.2">
      <c r="A159"/>
    </row>
    <row r="160" spans="1:1" ht="20.100000000000001" customHeight="1" x14ac:dyDescent="0.2">
      <c r="A160"/>
    </row>
    <row r="161" spans="1:19" ht="20.100000000000001" customHeight="1" x14ac:dyDescent="0.2">
      <c r="A161"/>
    </row>
    <row r="162" spans="1:19" ht="20.100000000000001" customHeight="1" x14ac:dyDescent="0.2">
      <c r="A162"/>
    </row>
    <row r="163" spans="1:19" ht="20.100000000000001" customHeight="1" x14ac:dyDescent="0.2">
      <c r="A163"/>
    </row>
    <row r="164" spans="1:19" ht="20.100000000000001" customHeight="1" x14ac:dyDescent="0.2">
      <c r="A164"/>
    </row>
    <row r="165" spans="1:19" ht="20.100000000000001" customHeight="1" x14ac:dyDescent="0.2">
      <c r="A165"/>
      <c r="S165" s="229"/>
    </row>
    <row r="166" spans="1:19" ht="20.100000000000001" customHeight="1" x14ac:dyDescent="0.2">
      <c r="A166"/>
      <c r="S166" s="229"/>
    </row>
    <row r="167" spans="1:19" ht="20.100000000000001" customHeight="1" x14ac:dyDescent="0.2">
      <c r="A167"/>
      <c r="S167" s="229"/>
    </row>
    <row r="168" spans="1:19" ht="20.100000000000001" customHeight="1" x14ac:dyDescent="0.2">
      <c r="A168"/>
      <c r="S168" s="229"/>
    </row>
    <row r="169" spans="1:19" ht="20.100000000000001" customHeight="1" x14ac:dyDescent="0.2">
      <c r="A169"/>
      <c r="S169" s="229"/>
    </row>
    <row r="170" spans="1:19" ht="20.100000000000001" customHeight="1" x14ac:dyDescent="0.2">
      <c r="A170"/>
      <c r="S170" s="229"/>
    </row>
    <row r="171" spans="1:19" ht="20.100000000000001" customHeight="1" x14ac:dyDescent="0.2">
      <c r="A171"/>
      <c r="S171" s="229"/>
    </row>
    <row r="172" spans="1:19" ht="20.100000000000001" customHeight="1" x14ac:dyDescent="0.2">
      <c r="A172"/>
      <c r="S172" s="229"/>
    </row>
    <row r="173" spans="1:19" ht="20.100000000000001" customHeight="1" x14ac:dyDescent="0.2">
      <c r="A173"/>
      <c r="S173" s="229"/>
    </row>
    <row r="174" spans="1:19" ht="20.100000000000001" customHeight="1" x14ac:dyDescent="0.2">
      <c r="A174"/>
      <c r="S174" s="229"/>
    </row>
    <row r="175" spans="1:19" ht="20.100000000000001" customHeight="1" x14ac:dyDescent="0.2">
      <c r="A175"/>
      <c r="S175" s="229"/>
    </row>
    <row r="176" spans="1:19" ht="20.100000000000001" customHeight="1" x14ac:dyDescent="0.2">
      <c r="A176"/>
      <c r="K176" s="25"/>
    </row>
    <row r="177" spans="1:19" ht="20.100000000000001" customHeight="1" x14ac:dyDescent="0.2">
      <c r="A177"/>
      <c r="K177" s="25"/>
    </row>
    <row r="178" spans="1:19" ht="20.100000000000001" customHeight="1" x14ac:dyDescent="0.2">
      <c r="A178"/>
    </row>
    <row r="179" spans="1:19" ht="20.100000000000001" customHeight="1" x14ac:dyDescent="0.2">
      <c r="A179"/>
    </row>
    <row r="180" spans="1:19" ht="20.100000000000001" customHeight="1" x14ac:dyDescent="0.2">
      <c r="A180"/>
      <c r="S180" s="229"/>
    </row>
    <row r="181" spans="1:19" ht="20.100000000000001" customHeight="1" x14ac:dyDescent="0.2">
      <c r="A181"/>
      <c r="S181" s="229"/>
    </row>
    <row r="182" spans="1:19" ht="20.100000000000001" customHeight="1" x14ac:dyDescent="0.2">
      <c r="A182"/>
      <c r="S182" s="229"/>
    </row>
    <row r="183" spans="1:19" ht="20.100000000000001" customHeight="1" x14ac:dyDescent="0.2">
      <c r="A183"/>
      <c r="S183" s="229"/>
    </row>
    <row r="184" spans="1:19" ht="20.100000000000001" customHeight="1" x14ac:dyDescent="0.2">
      <c r="A184"/>
      <c r="S184" s="229"/>
    </row>
    <row r="185" spans="1:19" ht="20.100000000000001" customHeight="1" x14ac:dyDescent="0.2">
      <c r="A185"/>
      <c r="S185" s="229"/>
    </row>
    <row r="186" spans="1:19" ht="20.100000000000001" customHeight="1" x14ac:dyDescent="0.2">
      <c r="A186"/>
      <c r="S186" s="229"/>
    </row>
    <row r="187" spans="1:19" ht="20.100000000000001" customHeight="1" x14ac:dyDescent="0.2">
      <c r="A187"/>
      <c r="S187" s="229"/>
    </row>
    <row r="188" spans="1:19" ht="20.100000000000001" customHeight="1" x14ac:dyDescent="0.2">
      <c r="A188"/>
      <c r="S188" s="229"/>
    </row>
    <row r="189" spans="1:19" ht="20.100000000000001" customHeight="1" x14ac:dyDescent="0.2">
      <c r="A189"/>
      <c r="S189" s="229"/>
    </row>
    <row r="190" spans="1:19" ht="20.100000000000001" customHeight="1" x14ac:dyDescent="0.2">
      <c r="A190"/>
      <c r="S190" s="229"/>
    </row>
    <row r="191" spans="1:19" ht="20.100000000000001" customHeight="1" x14ac:dyDescent="0.2">
      <c r="A191"/>
    </row>
    <row r="192" spans="1:19" ht="20.100000000000001" customHeight="1" x14ac:dyDescent="0.2">
      <c r="A192"/>
    </row>
    <row r="193" spans="1:1" ht="20.100000000000001" customHeight="1" x14ac:dyDescent="0.2">
      <c r="A193"/>
    </row>
    <row r="194" spans="1:1" ht="20.100000000000001" customHeight="1" x14ac:dyDescent="0.2">
      <c r="A194"/>
    </row>
    <row r="195" spans="1:1" ht="20.100000000000001" customHeight="1" x14ac:dyDescent="0.2">
      <c r="A195"/>
    </row>
  </sheetData>
  <dataValidations count="3">
    <dataValidation type="list" allowBlank="1" showInputMessage="1" showErrorMessage="1" sqref="N122:N123 H122:H123 J125:J126 L135:L136" xr:uid="{95DA5137-1423-402F-A03F-8EB821B346DD}">
      <formula1>INDIRECT("Table_Scope3_AquacultureFeedBait[Feed / Bait ingredient]")</formula1>
    </dataValidation>
    <dataValidation type="list" allowBlank="1" showInputMessage="1" showErrorMessage="1" sqref="G23:G32" xr:uid="{45D569A5-7BE2-4496-BCD6-185179E69BD0}">
      <formula1>"Hour, Hectare"</formula1>
    </dataValidation>
    <dataValidation type="list" allowBlank="1" showInputMessage="1" showErrorMessage="1" sqref="E8:E17" xr:uid="{981BAF19-8DF7-4766-90A4-E418B2008C8C}">
      <formula1>INDIRECT("Table_SourceData_Scope3_ChemicalsCleaning[Product]")</formula1>
    </dataValidation>
  </dataValidations>
  <pageMargins left="0.7" right="0.7" top="0.75" bottom="0.75" header="0.3" footer="0.3"/>
  <pageSetup orientation="portrait" r:id="rId1"/>
  <tableParts count="3">
    <tablePart r:id="rId2"/>
    <tablePart r:id="rId3"/>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4F331-14E0-49B3-B58D-BF1F86A75211}">
  <sheetPr>
    <tabColor theme="5" tint="-0.249977111117893"/>
  </sheetPr>
  <dimension ref="A1:S48"/>
  <sheetViews>
    <sheetView showGridLines="0" zoomScaleNormal="100" workbookViewId="0">
      <pane xSplit="1" topLeftCell="B1" activePane="topRight" state="frozenSplit"/>
      <selection pane="topRight" activeCell="A47" sqref="A47"/>
    </sheetView>
  </sheetViews>
  <sheetFormatPr defaultRowHeight="20.100000000000001" customHeight="1" x14ac:dyDescent="0.2"/>
  <cols>
    <col min="1" max="1" width="36.7109375" customWidth="1"/>
    <col min="2" max="2" width="4.5703125" customWidth="1"/>
    <col min="3" max="3" width="4.5703125" style="1" customWidth="1"/>
    <col min="4" max="18" width="30.5703125" style="1" customWidth="1"/>
    <col min="19" max="19" width="4.5703125" style="1" customWidth="1"/>
  </cols>
  <sheetData>
    <row r="1" spans="1:19" s="10" customFormat="1" ht="30" customHeight="1" x14ac:dyDescent="0.35">
      <c r="C1" s="10" t="s">
        <v>808</v>
      </c>
    </row>
    <row r="2" spans="1:19" s="3" customFormat="1" ht="20.100000000000001" customHeight="1" x14ac:dyDescent="0.2">
      <c r="A2"/>
    </row>
    <row r="3" spans="1:19" ht="20.100000000000001" customHeight="1" x14ac:dyDescent="0.2">
      <c r="A3" s="5" t="str">
        <f>HYPERLINK("#'Home'!A1", "Home")</f>
        <v>Home</v>
      </c>
      <c r="C3" s="29"/>
      <c r="D3" s="29"/>
      <c r="E3" s="29"/>
      <c r="F3" s="29"/>
      <c r="G3" s="29"/>
      <c r="H3" s="29"/>
      <c r="I3" s="29"/>
      <c r="J3" s="29"/>
      <c r="K3" s="29"/>
      <c r="L3" s="29"/>
      <c r="M3" s="29"/>
      <c r="N3" s="29"/>
      <c r="O3" s="29"/>
      <c r="P3" s="29"/>
      <c r="Q3" s="29"/>
      <c r="R3" s="29"/>
      <c r="S3" s="29"/>
    </row>
    <row r="4" spans="1:19" ht="20.100000000000001" customHeight="1" x14ac:dyDescent="0.2">
      <c r="A4" s="5" t="str">
        <f>HYPERLINK("#'Results - Activity period'!A1", "Results - Activity period")</f>
        <v>Results - Activity period</v>
      </c>
    </row>
    <row r="5" spans="1:19" ht="20.100000000000001" customHeight="1" x14ac:dyDescent="0.2">
      <c r="A5" s="5" t="str">
        <f>HYPERLINK("#'Results - Product EI'!A1", "Results - Product EI")</f>
        <v>Results - Product EI</v>
      </c>
      <c r="D5" s="233" t="s">
        <v>809</v>
      </c>
      <c r="E5" s="8"/>
      <c r="F5" s="8"/>
      <c r="G5" s="8"/>
      <c r="H5" s="8"/>
      <c r="I5" s="8"/>
      <c r="J5" s="8"/>
    </row>
    <row r="6" spans="1:19" ht="20.100000000000001" customHeight="1" x14ac:dyDescent="0.2">
      <c r="D6" s="234" t="s">
        <v>810</v>
      </c>
      <c r="E6" s="234"/>
      <c r="F6" s="99"/>
      <c r="G6" s="45"/>
      <c r="H6" s="25"/>
      <c r="I6" s="25"/>
      <c r="J6" s="25"/>
    </row>
    <row r="7" spans="1:19" ht="20.100000000000001" customHeight="1" x14ac:dyDescent="0.2">
      <c r="D7" s="46" t="s">
        <v>811</v>
      </c>
      <c r="E7" s="47"/>
      <c r="F7" s="47"/>
      <c r="G7" s="48"/>
      <c r="H7" s="25"/>
      <c r="I7" s="25"/>
      <c r="J7" s="25"/>
    </row>
    <row r="8" spans="1:19" ht="20.100000000000001" customHeight="1" x14ac:dyDescent="0.2">
      <c r="A8" s="7" t="s">
        <v>0</v>
      </c>
      <c r="D8" s="8"/>
      <c r="E8" s="8"/>
      <c r="F8" s="8"/>
      <c r="G8" s="8"/>
      <c r="H8" s="8"/>
      <c r="I8" s="8"/>
      <c r="J8" s="8"/>
      <c r="K8" s="89" t="str" cm="1">
        <f t="array" ref="K8">IF(
  SUMPRODUCT((Table_Input_Pesticides[Constituent unit (select)]="fraction of product")*(Table_Input_Pesticides[Active ingredient 1 amount]&gt;1)*(Table_Input_Pesticides[Active ingredient 2 amount]&lt;&gt;""))&gt;0,
  "Alert: If constituent unit is fraction of product, amount cannot exceed 1",
  IF(
    SUMPRODUCT((Table_Input_Pesticides[Constituent unit (select)]="grams/litre or grams/kg")*(Table_Input_Pesticides[Active ingredient 1 amount]&lt;1)*(Table_Input_Pesticides[Active ingredient 2 amount]&lt;&gt;""))&gt;0,
    "Alert: If constituent unit is grams/kg or litre, amount cannot be less than 1",
    ""
  )
)</f>
        <v/>
      </c>
      <c r="N8" s="89" t="str" cm="1">
        <f t="array" ref="N8">IF(
  SUMPRODUCT((Table_Input_Pesticides[Constituent unit (select)]="fraction of product")*(Table_Input_Pesticides[Active ingredient 2 amount]&gt;1)*(Table_Input_Pesticides[Active ingredient 2 amount]&lt;&gt;""))&gt;0,
  "Alert: If constituent unit is fraction of product, amount cannot exceed 1",
  IF(
    SUMPRODUCT((Table_Input_Pesticides[Constituent unit (select)]="grams/litre or grams/kg")*(Table_Input_Pesticides[Active ingredient 2 amount]&lt;1)*(Table_Input_Pesticides[Active ingredient 2 amount]&lt;&gt;""))&gt;0,
    "Alert: If constituent unit is grams/kg or litre, amount cannot be less than 1",
    ""
  )
)</f>
        <v/>
      </c>
      <c r="Q8" s="89" t="str" cm="1">
        <f t="array" ref="Q8">IF(
  SUMPRODUCT((Table_Input_Pesticides[Constituent unit (select)]="fraction of product")*(Table_Input_Pesticides[Active ingredient 3 amount]&gt;1)*(Table_Input_Pesticides[Active ingredient 3 amount]&lt;&gt;""))&gt;0,
  "Alert: If constituent unit is fraction of product, amount cannot exceed 1",
  IF(
    SUMPRODUCT((Table_Input_Pesticides[Constituent unit (select)]="grams/litre or grams/kg")*(Table_Input_Pesticides[Active ingredient 3 amount]&lt;1)*(Table_Input_Pesticides[Active ingredient 3 amount]&lt;&gt;""))&gt;0,
    "Alert: If constituent unit is grams/kg or litre, amount cannot be less than 1",
    ""
  )
)</f>
        <v/>
      </c>
    </row>
    <row r="9" spans="1:19" ht="20.100000000000001" customHeight="1" x14ac:dyDescent="0.2">
      <c r="A9" s="5" t="str">
        <f>HYPERLINK("#'Input - Enterprise'!A1", "Enterprise")</f>
        <v>Enterprise</v>
      </c>
      <c r="D9" s="104" t="s">
        <v>786</v>
      </c>
      <c r="E9" s="104" t="s">
        <v>812</v>
      </c>
      <c r="F9" s="104" t="s">
        <v>813</v>
      </c>
      <c r="G9" s="104" t="s">
        <v>305</v>
      </c>
      <c r="H9" s="104" t="s">
        <v>814</v>
      </c>
      <c r="I9" s="104" t="s">
        <v>815</v>
      </c>
      <c r="J9" s="104" t="s">
        <v>816</v>
      </c>
      <c r="K9" s="235" t="s">
        <v>817</v>
      </c>
      <c r="L9" s="235" t="s">
        <v>818</v>
      </c>
      <c r="M9" s="235" t="s">
        <v>819</v>
      </c>
      <c r="N9" s="235" t="s">
        <v>820</v>
      </c>
      <c r="O9" s="235" t="s">
        <v>821</v>
      </c>
      <c r="P9" s="235" t="s">
        <v>822</v>
      </c>
      <c r="Q9" s="235" t="s">
        <v>823</v>
      </c>
      <c r="R9" s="235" t="s">
        <v>824</v>
      </c>
    </row>
    <row r="10" spans="1:19" ht="20.100000000000001" customHeight="1" x14ac:dyDescent="0.2">
      <c r="A10" s="5" t="str">
        <f>HYPERLINK("#'Input - Site'!A1", "Site")</f>
        <v>Site</v>
      </c>
      <c r="D10" s="236" t="s">
        <v>825</v>
      </c>
      <c r="E10" s="237">
        <v>10</v>
      </c>
      <c r="F10" s="13" t="s">
        <v>368</v>
      </c>
      <c r="G10" s="76">
        <v>100</v>
      </c>
      <c r="H10" s="15">
        <f>Table_Input_Pesticides[[#This Row],[Amount applied per ha]]*Table_Input_Pesticides[[#This Row],[Application area (ha)]]</f>
        <v>1000</v>
      </c>
      <c r="I10" s="13" t="s">
        <v>826</v>
      </c>
      <c r="J10" s="13" t="s">
        <v>827</v>
      </c>
      <c r="K10" s="76">
        <v>100</v>
      </c>
      <c r="L10" s="15">
        <f>Table_Input_Pesticides[[#This Row],[Total applied]]*Table_Input_Pesticides[[#This Row],[Active ingredient 1 amount]]*IF(Table_Input_Pesticides[[#This Row],[Constituent unit (select)]]="fraction of product", 1, 10^-3)</f>
        <v>100</v>
      </c>
      <c r="M10" s="13" t="s">
        <v>827</v>
      </c>
      <c r="N10" s="76">
        <v>100</v>
      </c>
      <c r="O10" s="15">
        <f>Table_Input_Pesticides[[#This Row],[Total applied]]*Table_Input_Pesticides[[#This Row],[Active ingredient 2 amount]]*IF(Table_Input_Pesticides[[#This Row],[Constituent unit (select)]]="fraction of product", 1, 10^-3)</f>
        <v>100</v>
      </c>
      <c r="P10" s="13" t="s">
        <v>828</v>
      </c>
      <c r="Q10" s="76">
        <v>100</v>
      </c>
      <c r="R10" s="15">
        <f>Table_Input_Pesticides[[#This Row],[Total applied]]*Table_Input_Pesticides[[#This Row],[Active ingredient 3 amount]]*IF(Table_Input_Pesticides[[#This Row],[Constituent unit (select)]]="fraction of product", 1, 10^-3)</f>
        <v>100</v>
      </c>
    </row>
    <row r="11" spans="1:19" ht="20.100000000000001" customHeight="1" x14ac:dyDescent="0.2">
      <c r="A11" s="5" t="str">
        <f>HYPERLINK("#'Input - Crop'!A1", "Crop")</f>
        <v>Crop</v>
      </c>
      <c r="D11" s="236" t="s">
        <v>829</v>
      </c>
      <c r="E11" s="237">
        <v>10</v>
      </c>
      <c r="F11" s="13" t="s">
        <v>830</v>
      </c>
      <c r="G11" s="76">
        <v>100</v>
      </c>
      <c r="H11" s="15">
        <f>Table_Input_Pesticides[[#This Row],[Amount applied per ha]]*Table_Input_Pesticides[[#This Row],[Application area (ha)]]</f>
        <v>1000</v>
      </c>
      <c r="I11" s="13" t="s">
        <v>826</v>
      </c>
      <c r="J11" s="13" t="s">
        <v>827</v>
      </c>
      <c r="K11" s="76">
        <v>100</v>
      </c>
      <c r="L11" s="15">
        <f>Table_Input_Pesticides[[#This Row],[Total applied]]*Table_Input_Pesticides[[#This Row],[Active ingredient 1 amount]]*IF(Table_Input_Pesticides[[#This Row],[Constituent unit (select)]]="fraction of product", 1, 10^-3)</f>
        <v>100</v>
      </c>
      <c r="M11" s="13" t="s">
        <v>831</v>
      </c>
      <c r="N11" s="76">
        <v>100</v>
      </c>
      <c r="O11" s="15">
        <f>Table_Input_Pesticides[[#This Row],[Total applied]]*Table_Input_Pesticides[[#This Row],[Active ingredient 2 amount]]*IF(Table_Input_Pesticides[[#This Row],[Constituent unit (select)]]="fraction of product", 1, 10^-3)</f>
        <v>100</v>
      </c>
      <c r="P11" s="13" t="s">
        <v>832</v>
      </c>
      <c r="Q11" s="76">
        <v>100</v>
      </c>
      <c r="R11" s="15">
        <f>Table_Input_Pesticides[[#This Row],[Total applied]]*Table_Input_Pesticides[[#This Row],[Active ingredient 3 amount]]*IF(Table_Input_Pesticides[[#This Row],[Constituent unit (select)]]="fraction of product", 1, 10^-3)</f>
        <v>100</v>
      </c>
    </row>
    <row r="12" spans="1:19" ht="20.100000000000001" customHeight="1" x14ac:dyDescent="0.2">
      <c r="A12" s="5" t="str">
        <f>HYPERLINK("#'Input - Fert Prod System'!A1", "Fert Prod System")</f>
        <v>Fert Prod System</v>
      </c>
      <c r="D12" s="236" t="s">
        <v>833</v>
      </c>
      <c r="E12" s="237">
        <v>10</v>
      </c>
      <c r="F12" s="13" t="s">
        <v>368</v>
      </c>
      <c r="G12" s="76">
        <v>100</v>
      </c>
      <c r="H12" s="15">
        <f>Table_Input_Pesticides[[#This Row],[Amount applied per ha]]*Table_Input_Pesticides[[#This Row],[Application area (ha)]]</f>
        <v>1000</v>
      </c>
      <c r="I12" s="13" t="s">
        <v>826</v>
      </c>
      <c r="J12" s="13" t="s">
        <v>827</v>
      </c>
      <c r="K12" s="76">
        <v>100</v>
      </c>
      <c r="L12" s="15">
        <f>Table_Input_Pesticides[[#This Row],[Total applied]]*Table_Input_Pesticides[[#This Row],[Active ingredient 1 amount]]*IF(Table_Input_Pesticides[[#This Row],[Constituent unit (select)]]="fraction of product", 1, 10^-3)</f>
        <v>100</v>
      </c>
      <c r="M12" s="13" t="s">
        <v>834</v>
      </c>
      <c r="N12" s="76">
        <v>100</v>
      </c>
      <c r="O12" s="15">
        <f>Table_Input_Pesticides[[#This Row],[Total applied]]*Table_Input_Pesticides[[#This Row],[Active ingredient 2 amount]]*IF(Table_Input_Pesticides[[#This Row],[Constituent unit (select)]]="fraction of product", 1, 10^-3)</f>
        <v>100</v>
      </c>
      <c r="P12" s="13" t="s">
        <v>835</v>
      </c>
      <c r="Q12" s="76">
        <v>100</v>
      </c>
      <c r="R12" s="15">
        <f>Table_Input_Pesticides[[#This Row],[Total applied]]*Table_Input_Pesticides[[#This Row],[Active ingredient 3 amount]]*IF(Table_Input_Pesticides[[#This Row],[Constituent unit (select)]]="fraction of product", 1, 10^-3)</f>
        <v>100</v>
      </c>
    </row>
    <row r="13" spans="1:19" ht="20.100000000000001" customHeight="1" x14ac:dyDescent="0.2">
      <c r="A13" s="5" t="str">
        <f>HYPERLINK("#'Input - Fertiliser'!A1", "Fertiliser")</f>
        <v>Fertiliser</v>
      </c>
      <c r="D13" s="236"/>
      <c r="E13" s="237"/>
      <c r="F13" s="13"/>
      <c r="G13" s="76"/>
      <c r="H13" s="15">
        <f>Table_Input_Pesticides[[#This Row],[Amount applied per ha]]*Table_Input_Pesticides[[#This Row],[Application area (ha)]]</f>
        <v>0</v>
      </c>
      <c r="I13" s="13"/>
      <c r="J13" s="13"/>
      <c r="K13" s="76"/>
      <c r="L13" s="15">
        <f>Table_Input_Pesticides[[#This Row],[Total applied]]*Table_Input_Pesticides[[#This Row],[Active ingredient 1 amount]]*IF(Table_Input_Pesticides[[#This Row],[Constituent unit (select)]]="fraction of product", 1, 10^-3)</f>
        <v>0</v>
      </c>
      <c r="M13" s="13"/>
      <c r="N13" s="76"/>
      <c r="O13" s="15">
        <f>Table_Input_Pesticides[[#This Row],[Total applied]]*Table_Input_Pesticides[[#This Row],[Active ingredient 2 amount]]*IF(Table_Input_Pesticides[[#This Row],[Constituent unit (select)]]="fraction of product", 1, 10^-3)</f>
        <v>0</v>
      </c>
      <c r="P13" s="13"/>
      <c r="Q13" s="76"/>
      <c r="R13" s="15">
        <f>Table_Input_Pesticides[[#This Row],[Total applied]]*Table_Input_Pesticides[[#This Row],[Active ingredient 3 amount]]*IF(Table_Input_Pesticides[[#This Row],[Constituent unit (select)]]="fraction of product", 1, 10^-3)</f>
        <v>0</v>
      </c>
    </row>
    <row r="14" spans="1:19" ht="20.100000000000001" customHeight="1" x14ac:dyDescent="0.2">
      <c r="A14" s="5" t="str">
        <f>HYPERLINK("#'Input - Fuel'!A1", "Fuel")</f>
        <v>Fuel</v>
      </c>
      <c r="D14" s="236"/>
      <c r="E14" s="237"/>
      <c r="F14" s="13"/>
      <c r="G14" s="76"/>
      <c r="H14" s="15">
        <f>Table_Input_Pesticides[[#This Row],[Amount applied per ha]]*Table_Input_Pesticides[[#This Row],[Application area (ha)]]</f>
        <v>0</v>
      </c>
      <c r="I14" s="13"/>
      <c r="J14" s="13"/>
      <c r="K14" s="76"/>
      <c r="L14" s="15">
        <f>Table_Input_Pesticides[[#This Row],[Total applied]]*Table_Input_Pesticides[[#This Row],[Active ingredient 1 amount]]*IF(Table_Input_Pesticides[[#This Row],[Constituent unit (select)]]="fraction of product", 1, 10^-3)</f>
        <v>0</v>
      </c>
      <c r="M14" s="13"/>
      <c r="N14" s="76"/>
      <c r="O14" s="15">
        <f>Table_Input_Pesticides[[#This Row],[Total applied]]*Table_Input_Pesticides[[#This Row],[Active ingredient 2 amount]]*IF(Table_Input_Pesticides[[#This Row],[Constituent unit (select)]]="fraction of product", 1, 10^-3)</f>
        <v>0</v>
      </c>
      <c r="P14" s="13"/>
      <c r="Q14" s="76"/>
      <c r="R14" s="15">
        <f>Table_Input_Pesticides[[#This Row],[Total applied]]*Table_Input_Pesticides[[#This Row],[Active ingredient 3 amount]]*IF(Table_Input_Pesticides[[#This Row],[Constituent unit (select)]]="fraction of product", 1, 10^-3)</f>
        <v>0</v>
      </c>
    </row>
    <row r="15" spans="1:19" ht="20.100000000000001" customHeight="1" x14ac:dyDescent="0.2">
      <c r="A15" s="5" t="str">
        <f>HYPERLINK("#'Input - Electricity'!A1", "Electricity")</f>
        <v>Electricity</v>
      </c>
      <c r="D15" s="236"/>
      <c r="E15" s="237"/>
      <c r="F15" s="13"/>
      <c r="G15" s="76"/>
      <c r="H15" s="15">
        <f>Table_Input_Pesticides[[#This Row],[Amount applied per ha]]*Table_Input_Pesticides[[#This Row],[Application area (ha)]]</f>
        <v>0</v>
      </c>
      <c r="I15" s="13"/>
      <c r="J15" s="13"/>
      <c r="K15" s="76"/>
      <c r="L15" s="15">
        <f>Table_Input_Pesticides[[#This Row],[Total applied]]*Table_Input_Pesticides[[#This Row],[Active ingredient 1 amount]]*IF(Table_Input_Pesticides[[#This Row],[Constituent unit (select)]]="fraction of product", 1, 10^-3)</f>
        <v>0</v>
      </c>
      <c r="M15" s="13"/>
      <c r="N15" s="76"/>
      <c r="O15" s="15">
        <f>Table_Input_Pesticides[[#This Row],[Total applied]]*Table_Input_Pesticides[[#This Row],[Active ingredient 2 amount]]*IF(Table_Input_Pesticides[[#This Row],[Constituent unit (select)]]="fraction of product", 1, 10^-3)</f>
        <v>0</v>
      </c>
      <c r="P15" s="13"/>
      <c r="Q15" s="76"/>
      <c r="R15" s="15">
        <f>Table_Input_Pesticides[[#This Row],[Total applied]]*Table_Input_Pesticides[[#This Row],[Active ingredient 3 amount]]*IF(Table_Input_Pesticides[[#This Row],[Constituent unit (select)]]="fraction of product", 1, 10^-3)</f>
        <v>0</v>
      </c>
    </row>
    <row r="16" spans="1:19" ht="20.100000000000001" customHeight="1" x14ac:dyDescent="0.2">
      <c r="A16" s="5" t="str">
        <f>HYPERLINK("#'Input - Common farm inputs'!A1", "Common farm inputs")</f>
        <v>Common farm inputs</v>
      </c>
      <c r="D16" s="236"/>
      <c r="E16" s="237"/>
      <c r="F16" s="13"/>
      <c r="G16" s="76"/>
      <c r="H16" s="15">
        <f>Table_Input_Pesticides[[#This Row],[Amount applied per ha]]*Table_Input_Pesticides[[#This Row],[Application area (ha)]]</f>
        <v>0</v>
      </c>
      <c r="I16" s="13"/>
      <c r="J16" s="13"/>
      <c r="K16" s="76"/>
      <c r="L16" s="15">
        <f>Table_Input_Pesticides[[#This Row],[Total applied]]*Table_Input_Pesticides[[#This Row],[Active ingredient 1 amount]]*IF(Table_Input_Pesticides[[#This Row],[Constituent unit (select)]]="fraction of product", 1, 10^-3)</f>
        <v>0</v>
      </c>
      <c r="M16" s="13"/>
      <c r="N16" s="76"/>
      <c r="O16" s="15">
        <f>Table_Input_Pesticides[[#This Row],[Total applied]]*Table_Input_Pesticides[[#This Row],[Active ingredient 2 amount]]*IF(Table_Input_Pesticides[[#This Row],[Constituent unit (select)]]="fraction of product", 1, 10^-3)</f>
        <v>0</v>
      </c>
      <c r="P16" s="13"/>
      <c r="Q16" s="76"/>
      <c r="R16" s="15">
        <f>Table_Input_Pesticides[[#This Row],[Total applied]]*Table_Input_Pesticides[[#This Row],[Active ingredient 3 amount]]*IF(Table_Input_Pesticides[[#This Row],[Constituent unit (select)]]="fraction of product", 1, 10^-3)</f>
        <v>0</v>
      </c>
    </row>
    <row r="17" spans="1:18" ht="20.100000000000001" customHeight="1" x14ac:dyDescent="0.2">
      <c r="A17" s="102" t="str">
        <f>HYPERLINK("#'Input - Crop pasture farm input'!A1", "Crop pasture farm input")</f>
        <v>Crop pasture farm input</v>
      </c>
      <c r="D17" s="236"/>
      <c r="E17" s="237"/>
      <c r="F17" s="13"/>
      <c r="G17" s="76"/>
      <c r="H17" s="15">
        <f>Table_Input_Pesticides[[#This Row],[Amount applied per ha]]*Table_Input_Pesticides[[#This Row],[Application area (ha)]]</f>
        <v>0</v>
      </c>
      <c r="I17" s="13"/>
      <c r="J17" s="13"/>
      <c r="K17" s="76"/>
      <c r="L17" s="15">
        <f>Table_Input_Pesticides[[#This Row],[Total applied]]*Table_Input_Pesticides[[#This Row],[Active ingredient 1 amount]]*IF(Table_Input_Pesticides[[#This Row],[Constituent unit (select)]]="fraction of product", 1, 10^-3)</f>
        <v>0</v>
      </c>
      <c r="M17" s="13"/>
      <c r="N17" s="76"/>
      <c r="O17" s="15">
        <f>Table_Input_Pesticides[[#This Row],[Total applied]]*Table_Input_Pesticides[[#This Row],[Active ingredient 2 amount]]*IF(Table_Input_Pesticides[[#This Row],[Constituent unit (select)]]="fraction of product", 1, 10^-3)</f>
        <v>0</v>
      </c>
      <c r="P17" s="13"/>
      <c r="Q17" s="76"/>
      <c r="R17" s="15">
        <f>Table_Input_Pesticides[[#This Row],[Total applied]]*Table_Input_Pesticides[[#This Row],[Active ingredient 3 amount]]*IF(Table_Input_Pesticides[[#This Row],[Constituent unit (select)]]="fraction of product", 1, 10^-3)</f>
        <v>0</v>
      </c>
    </row>
    <row r="18" spans="1:18" ht="20.100000000000001" customHeight="1" x14ac:dyDescent="0.2">
      <c r="A18" s="5" t="str">
        <f>HYPERLINK("#'Input - Freight'!A1", "Freight")</f>
        <v>Freight</v>
      </c>
      <c r="D18" s="236"/>
      <c r="E18" s="237"/>
      <c r="F18" s="13"/>
      <c r="G18" s="76"/>
      <c r="H18" s="15">
        <f>Table_Input_Pesticides[[#This Row],[Amount applied per ha]]*Table_Input_Pesticides[[#This Row],[Application area (ha)]]</f>
        <v>0</v>
      </c>
      <c r="I18" s="13"/>
      <c r="J18" s="13"/>
      <c r="K18" s="76"/>
      <c r="L18" s="15">
        <f>Table_Input_Pesticides[[#This Row],[Total applied]]*Table_Input_Pesticides[[#This Row],[Active ingredient 1 amount]]*IF(Table_Input_Pesticides[[#This Row],[Constituent unit (select)]]="fraction of product", 1, 10^-3)</f>
        <v>0</v>
      </c>
      <c r="M18" s="13"/>
      <c r="N18" s="76"/>
      <c r="O18" s="15">
        <f>Table_Input_Pesticides[[#This Row],[Total applied]]*Table_Input_Pesticides[[#This Row],[Active ingredient 2 amount]]*IF(Table_Input_Pesticides[[#This Row],[Constituent unit (select)]]="fraction of product", 1, 10^-3)</f>
        <v>0</v>
      </c>
      <c r="P18" s="13"/>
      <c r="Q18" s="76"/>
      <c r="R18" s="15">
        <f>Table_Input_Pesticides[[#This Row],[Total applied]]*Table_Input_Pesticides[[#This Row],[Active ingredient 3 amount]]*IF(Table_Input_Pesticides[[#This Row],[Constituent unit (select)]]="fraction of product", 1, 10^-3)</f>
        <v>0</v>
      </c>
    </row>
    <row r="19" spans="1:18" ht="20.100000000000001" customHeight="1" x14ac:dyDescent="0.2">
      <c r="A19" s="5" t="str">
        <f>HYPERLINK("#'Input - Solid waste'!A1", "Solid waste")</f>
        <v>Solid waste</v>
      </c>
      <c r="D19" s="236"/>
      <c r="E19" s="237"/>
      <c r="F19" s="13"/>
      <c r="G19" s="76"/>
      <c r="H19" s="15">
        <f>Table_Input_Pesticides[[#This Row],[Amount applied per ha]]*Table_Input_Pesticides[[#This Row],[Application area (ha)]]</f>
        <v>0</v>
      </c>
      <c r="I19" s="13"/>
      <c r="J19" s="13"/>
      <c r="K19" s="76"/>
      <c r="L19" s="15">
        <f>Table_Input_Pesticides[[#This Row],[Total applied]]*Table_Input_Pesticides[[#This Row],[Active ingredient 1 amount]]*IF(Table_Input_Pesticides[[#This Row],[Constituent unit (select)]]="fraction of product", 1, 10^-3)</f>
        <v>0</v>
      </c>
      <c r="M19" s="13"/>
      <c r="N19" s="76"/>
      <c r="O19" s="15">
        <f>Table_Input_Pesticides[[#This Row],[Total applied]]*Table_Input_Pesticides[[#This Row],[Active ingredient 2 amount]]*IF(Table_Input_Pesticides[[#This Row],[Constituent unit (select)]]="fraction of product", 1, 10^-3)</f>
        <v>0</v>
      </c>
      <c r="P19" s="13"/>
      <c r="Q19" s="76"/>
      <c r="R19" s="15">
        <f>Table_Input_Pesticides[[#This Row],[Total applied]]*Table_Input_Pesticides[[#This Row],[Active ingredient 3 amount]]*IF(Table_Input_Pesticides[[#This Row],[Constituent unit (select)]]="fraction of product", 1, 10^-3)</f>
        <v>0</v>
      </c>
    </row>
    <row r="20" spans="1:18" ht="20.100000000000001" customHeight="1" x14ac:dyDescent="0.2">
      <c r="A20" s="5" t="str">
        <f>HYPERLINK("#'Input - Data quality'!A1", "Data quality")</f>
        <v>Data quality</v>
      </c>
    </row>
    <row r="22" spans="1:18" ht="20.100000000000001" customHeight="1" x14ac:dyDescent="0.2">
      <c r="D22" s="2" t="s">
        <v>836</v>
      </c>
      <c r="E22" s="230"/>
      <c r="F22" s="230"/>
    </row>
    <row r="23" spans="1:18" ht="20.100000000000001" customHeight="1" x14ac:dyDescent="0.2">
      <c r="A23" s="6" t="s">
        <v>2</v>
      </c>
      <c r="D23" s="1" t="str">
        <f>'Constants - Scope 3'!E204</f>
        <v>Barley grain (for seed)</v>
      </c>
      <c r="E23" s="76">
        <v>500</v>
      </c>
      <c r="F23" s="16" t="s">
        <v>370</v>
      </c>
    </row>
    <row r="24" spans="1:18" ht="20.100000000000001" customHeight="1" x14ac:dyDescent="0.2">
      <c r="A24" s="5" t="str">
        <f>HYPERLINK("#'5.1.1.1-2 Inorganic fert N2O'!A1", "5.1.1.1-2 Inorganic fert N2O")</f>
        <v>5.1.1.1-2 Inorganic fert N2O</v>
      </c>
      <c r="D24" s="1" t="str">
        <f>'Constants - Scope 3'!E205</f>
        <v>Maize grain (for seed)</v>
      </c>
      <c r="E24" s="76">
        <v>600</v>
      </c>
      <c r="F24" s="16" t="s">
        <v>370</v>
      </c>
    </row>
    <row r="25" spans="1:18" ht="20.100000000000001" customHeight="1" x14ac:dyDescent="0.2">
      <c r="A25" s="5" t="str">
        <f>HYPERLINK("#'5.1.1.3-4 Inorganic fert CO2'!A1", "5.1.1.3-4 Inorganic fert CO2")</f>
        <v>5.1.1.3-4 Inorganic fert CO2</v>
      </c>
      <c r="D25" s="1" t="str">
        <f>'Constants - Scope 3'!E207</f>
        <v>Oat grain (for seed)</v>
      </c>
      <c r="E25" s="76">
        <v>700</v>
      </c>
      <c r="F25" s="16" t="s">
        <v>370</v>
      </c>
    </row>
    <row r="26" spans="1:18" ht="20.100000000000001" customHeight="1" x14ac:dyDescent="0.2">
      <c r="A26" s="5" t="str">
        <f>HYPERLINK("#'5.2.1.1-2 Organic Fert N2O'!A1", "5.2.1.1-2 Organic fert N2O")</f>
        <v>5.2.1.1-2 Organic fert N2O</v>
      </c>
      <c r="D26" s="1" t="str">
        <f>'Constants - Scope 3'!E208</f>
        <v>Sorghum grain (for seed)</v>
      </c>
      <c r="E26" s="76">
        <v>800</v>
      </c>
      <c r="F26" s="16" t="s">
        <v>370</v>
      </c>
    </row>
    <row r="27" spans="1:18" ht="20.100000000000001" customHeight="1" x14ac:dyDescent="0.2">
      <c r="A27" s="5" t="str">
        <f>HYPERLINK("#'5.3.1.1-2 Lime CO2'!A1", "5.3.1.1-2 Lime CO2")</f>
        <v>5.3.1.1-2 Lime CO2</v>
      </c>
      <c r="D27" s="1" t="str">
        <f>'Constants - Scope 3'!E209</f>
        <v>Wheat grain (for seed)</v>
      </c>
      <c r="E27" s="76">
        <v>900</v>
      </c>
      <c r="F27" s="16" t="s">
        <v>370</v>
      </c>
    </row>
    <row r="28" spans="1:18" ht="20.100000000000001" customHeight="1" x14ac:dyDescent="0.2">
      <c r="A28" s="5" t="str">
        <f>HYPERLINK("#'5.4.1.1-4 Atmos deposition'!A1", "5.4.1.1-4 Atmos. deposition")</f>
        <v>5.4.1.1-4 Atmos. deposition</v>
      </c>
    </row>
    <row r="29" spans="1:18" ht="20.100000000000001" customHeight="1" x14ac:dyDescent="0.2">
      <c r="A29" s="5" t="str">
        <f>HYPERLINK("#'5.5.1.1-2 Leaching and runoff'!A1", "5.5.1.1-2 Leaching &amp; runoff")</f>
        <v>5.5.1.1-2 Leaching &amp; runoff</v>
      </c>
    </row>
    <row r="30" spans="1:18" ht="20.100000000000001" customHeight="1" x14ac:dyDescent="0.2">
      <c r="A30" s="5" t="str">
        <f>HYPERLINK("#'6.1.1.1-2 Crop residue N2O'!A1", "6.1.1.1-2 Crop residue N2O")</f>
        <v>6.1.1.1-2 Crop residue N2O</v>
      </c>
    </row>
    <row r="31" spans="1:18" ht="20.100000000000001" customHeight="1" x14ac:dyDescent="0.2">
      <c r="A31" s="5" t="str">
        <f>HYPERLINK("#'6.3.1.1-2 Leach runoff crop'!A1", "6.3.1.1-2 Leach &amp; runoff (crop)")</f>
        <v>6.3.1.1-2 Leach &amp; runoff (crop)</v>
      </c>
    </row>
    <row r="32" spans="1:18" ht="20.100000000000001" customHeight="1" x14ac:dyDescent="0.2">
      <c r="A32" s="5" t="str">
        <f>HYPERLINK("#'6.4.1.1-2 Residue burning'!A1", "6.4.1.1-2 Residue burning")</f>
        <v>6.4.1.1-2 Residue burning</v>
      </c>
    </row>
    <row r="33" spans="1:1" ht="20.100000000000001" customHeight="1" x14ac:dyDescent="0.2">
      <c r="A33" s="5" t="str">
        <f>HYPERLINK("#'8.1.1.1-2 Transport fuel'!A1", "8.1.1.1-2 Transport fuel")</f>
        <v>8.1.1.1-2 Transport fuel</v>
      </c>
    </row>
    <row r="34" spans="1:1" ht="20.100000000000001" customHeight="1" x14ac:dyDescent="0.2">
      <c r="A34" s="5" t="str">
        <f>HYPERLINK("#'8.2.1.1-2 Stationary fuel'!A1", "8.2.1.1-2 Stationary fuel")</f>
        <v>8.2.1.1-2 Stationary fuel</v>
      </c>
    </row>
    <row r="35" spans="1:1" ht="20.100000000000001" customHeight="1" x14ac:dyDescent="0.2">
      <c r="A35" s="5" t="str">
        <f>HYPERLINK("#'10.1.1-2 Solid waste treatment'!A1", "10.1.1.1-2 Solid waste")</f>
        <v>10.1.1.1-2 Solid waste</v>
      </c>
    </row>
    <row r="36" spans="1:1" ht="20.100000000000001" customHeight="1" x14ac:dyDescent="0.2">
      <c r="A36" s="5" t="str">
        <f>HYPERLINK("#'14.1.1-2 Purchased electricity'!A1", "14.1.1-2 Purchased electricity")</f>
        <v>14.1.1-2 Purchased electricity</v>
      </c>
    </row>
    <row r="37" spans="1:1" ht="20.100000000000001" customHeight="1" x14ac:dyDescent="0.2">
      <c r="A37" s="5" t="str">
        <f>HYPERLINK("#'15 Scope 3'!A1", "15 Scope 3")</f>
        <v>15 Scope 3</v>
      </c>
    </row>
    <row r="40" spans="1:1" ht="20.100000000000001" customHeight="1" x14ac:dyDescent="0.2">
      <c r="A40" s="82" t="s">
        <v>1</v>
      </c>
    </row>
    <row r="41" spans="1:1" ht="20.100000000000001" customHeight="1" x14ac:dyDescent="0.2">
      <c r="A41" s="5" t="str">
        <f>HYPERLINK("#'Constants - Ag Residue'!A1", "Constants - Ag residue")</f>
        <v>Constants - Ag residue</v>
      </c>
    </row>
    <row r="42" spans="1:1" ht="20.100000000000001" customHeight="1" x14ac:dyDescent="0.2">
      <c r="A42" s="5" t="str">
        <f>HYPERLINK("#'Constants - Electricity'!A1", "Constants - Electricity")</f>
        <v>Constants - Electricity</v>
      </c>
    </row>
    <row r="43" spans="1:1" ht="20.100000000000001" customHeight="1" x14ac:dyDescent="0.2">
      <c r="A43" s="5" t="str">
        <f>HYPERLINK("#'Constants - Fertiliser'!A1", "Constants - Fertiliser")</f>
        <v>Constants - Fertiliser</v>
      </c>
    </row>
    <row r="44" spans="1:1" ht="20.100000000000001" customHeight="1" x14ac:dyDescent="0.2">
      <c r="A44" s="5" t="str">
        <f>HYPERLINK("#'Constants - Fuel'!A1", "Constants - Fuel")</f>
        <v>Constants - Fuel</v>
      </c>
    </row>
    <row r="45" spans="1:1" ht="20.100000000000001" customHeight="1" x14ac:dyDescent="0.2">
      <c r="A45" s="5" t="str">
        <f>HYPERLINK("#'Constants - Scope 3'!A1", "Constants - Scope 3")</f>
        <v>Constants - Scope 3</v>
      </c>
    </row>
    <row r="46" spans="1:1" ht="20.100000000000001" customHeight="1" x14ac:dyDescent="0.2">
      <c r="A46" s="5" t="str">
        <f>HYPERLINK("#'Constants - Solid Waste'!A1", "Constants - Solid Waste")</f>
        <v>Constants - Solid Waste</v>
      </c>
    </row>
    <row r="47" spans="1:1" ht="20.100000000000001" customHeight="1" x14ac:dyDescent="0.2">
      <c r="A47" s="5" t="str">
        <f>HYPERLINK("#'Constants - Common'!A1", "Constants - Common")</f>
        <v>Constants - Common</v>
      </c>
    </row>
    <row r="48" spans="1:1" ht="20.100000000000001" customHeight="1" x14ac:dyDescent="0.2">
      <c r="A48" s="5" t="str">
        <f>HYPERLINK("#'Constants - Common Livestock'!A1", "Constants - Common Livestock")</f>
        <v>Constants - Common Livestock</v>
      </c>
    </row>
  </sheetData>
  <dataValidations count="3">
    <dataValidation type="list" allowBlank="1" showInputMessage="1" showErrorMessage="1" sqref="J10:J19 M10:M19 P10:P19" xr:uid="{EC019A5D-67C5-419F-8680-EB6ED3852587}">
      <formula1>INDIRECT("Table_SourceData_Scope3_Pesticides[Product]")</formula1>
    </dataValidation>
    <dataValidation type="list" allowBlank="1" showInputMessage="1" showErrorMessage="1" sqref="I10:I19" xr:uid="{60E06B57-4CAA-4170-AA21-86547A811E63}">
      <formula1>"grams/litre or grams/kg, fraction of product"</formula1>
    </dataValidation>
    <dataValidation type="list" allowBlank="1" showInputMessage="1" showErrorMessage="1" sqref="F10:F19" xr:uid="{41868520-8477-402F-A153-D85850EFE1A3}">
      <formula1>"kg / hectare, litre / hectare"</formula1>
    </dataValidation>
  </dataValidations>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E58286-A5FF-445B-81FA-7FAA946F5B43}">
  <sheetPr>
    <tabColor theme="5" tint="-0.249977111117893"/>
  </sheetPr>
  <dimension ref="A1:J48"/>
  <sheetViews>
    <sheetView showGridLines="0" zoomScaleNormal="100" workbookViewId="0">
      <pane xSplit="1" topLeftCell="B1" activePane="topRight" state="frozenSplit"/>
      <selection pane="topRight" activeCell="A47" sqref="A47"/>
    </sheetView>
  </sheetViews>
  <sheetFormatPr defaultRowHeight="20.100000000000001" customHeight="1" x14ac:dyDescent="0.2"/>
  <cols>
    <col min="1" max="1" width="36.7109375" customWidth="1"/>
    <col min="2" max="2" width="4.5703125" customWidth="1"/>
    <col min="3" max="3" width="4.5703125" style="1" customWidth="1"/>
    <col min="4" max="4" width="40.7109375" style="1" customWidth="1"/>
    <col min="5" max="9" width="30.5703125" style="1" customWidth="1"/>
    <col min="10" max="10" width="4.5703125" style="1" customWidth="1"/>
  </cols>
  <sheetData>
    <row r="1" spans="1:10" s="10" customFormat="1" ht="30" customHeight="1" x14ac:dyDescent="0.35">
      <c r="C1" s="10" t="s">
        <v>837</v>
      </c>
    </row>
    <row r="2" spans="1:10" s="3" customFormat="1" ht="20.100000000000001" customHeight="1" x14ac:dyDescent="0.2">
      <c r="A2"/>
    </row>
    <row r="3" spans="1:10" ht="20.100000000000001" customHeight="1" x14ac:dyDescent="0.2">
      <c r="A3" s="5" t="str">
        <f>HYPERLINK("#'Home'!A1", "Home")</f>
        <v>Home</v>
      </c>
      <c r="C3" s="29"/>
      <c r="D3" s="29"/>
      <c r="E3" s="29"/>
      <c r="F3" s="29"/>
      <c r="G3" s="29"/>
      <c r="H3" s="29"/>
      <c r="I3" s="29"/>
      <c r="J3" s="29"/>
    </row>
    <row r="4" spans="1:10" ht="20.100000000000001" customHeight="1" x14ac:dyDescent="0.2">
      <c r="A4" s="5" t="str">
        <f>HYPERLINK("#'Results - Activity period'!A1", "Results - Activity period")</f>
        <v>Results - Activity period</v>
      </c>
    </row>
    <row r="5" spans="1:10" ht="20.100000000000001" customHeight="1" x14ac:dyDescent="0.2">
      <c r="A5" s="5" t="str">
        <f>HYPERLINK("#'Results - Product EI'!A1", "Results - Product EI")</f>
        <v>Results - Product EI</v>
      </c>
    </row>
    <row r="6" spans="1:10" ht="20.100000000000001" customHeight="1" x14ac:dyDescent="0.2">
      <c r="D6" s="2" t="s">
        <v>838</v>
      </c>
    </row>
    <row r="8" spans="1:10" ht="20.100000000000001" customHeight="1" x14ac:dyDescent="0.2">
      <c r="A8" s="7" t="s">
        <v>0</v>
      </c>
      <c r="D8" s="20" t="s">
        <v>839</v>
      </c>
      <c r="E8" s="20" t="s">
        <v>840</v>
      </c>
      <c r="F8" s="20" t="s">
        <v>841</v>
      </c>
      <c r="G8" s="20" t="s">
        <v>842</v>
      </c>
      <c r="H8" s="20" t="s">
        <v>843</v>
      </c>
    </row>
    <row r="9" spans="1:10" ht="20.100000000000001" customHeight="1" x14ac:dyDescent="0.2">
      <c r="A9" s="5" t="str">
        <f>HYPERLINK("#'Input - Enterprise'!A1", "Enterprise")</f>
        <v>Enterprise</v>
      </c>
      <c r="D9" s="34" t="s">
        <v>844</v>
      </c>
      <c r="E9" s="13" t="s">
        <v>845</v>
      </c>
      <c r="F9" s="20">
        <v>986</v>
      </c>
      <c r="G9" s="20">
        <v>10</v>
      </c>
      <c r="H9" s="20">
        <v>52</v>
      </c>
    </row>
    <row r="10" spans="1:10" ht="20.100000000000001" customHeight="1" x14ac:dyDescent="0.2">
      <c r="A10" s="5" t="str">
        <f>HYPERLINK("#'Input - Site'!A1", "Site")</f>
        <v>Site</v>
      </c>
      <c r="D10" s="34" t="s">
        <v>846</v>
      </c>
      <c r="E10" s="13" t="s">
        <v>847</v>
      </c>
      <c r="F10" s="20">
        <v>65</v>
      </c>
      <c r="G10" s="20">
        <v>10</v>
      </c>
      <c r="H10" s="20">
        <v>6</v>
      </c>
    </row>
    <row r="11" spans="1:10" ht="20.100000000000001" customHeight="1" x14ac:dyDescent="0.2">
      <c r="A11" s="5" t="str">
        <f>HYPERLINK("#'Input - Crop'!A1", "Crop")</f>
        <v>Crop</v>
      </c>
      <c r="D11" s="34"/>
      <c r="E11" s="13"/>
      <c r="F11" s="20"/>
      <c r="G11" s="20"/>
      <c r="H11" s="20"/>
    </row>
    <row r="12" spans="1:10" ht="20.100000000000001" customHeight="1" x14ac:dyDescent="0.2">
      <c r="A12" s="5" t="str">
        <f>HYPERLINK("#'Input - Fert Prod System'!A1", "Fert Prod System")</f>
        <v>Fert Prod System</v>
      </c>
      <c r="D12" s="34"/>
      <c r="E12" s="13"/>
      <c r="F12" s="20"/>
      <c r="G12" s="20"/>
      <c r="H12" s="20"/>
    </row>
    <row r="13" spans="1:10" ht="20.100000000000001" customHeight="1" x14ac:dyDescent="0.2">
      <c r="A13" s="5" t="str">
        <f>HYPERLINK("#'Input - Fertiliser'!A1", "Fertiliser")</f>
        <v>Fertiliser</v>
      </c>
      <c r="D13" s="34"/>
      <c r="E13" s="13"/>
      <c r="F13" s="20"/>
      <c r="G13" s="20"/>
      <c r="H13" s="20"/>
    </row>
    <row r="14" spans="1:10" ht="20.100000000000001" customHeight="1" x14ac:dyDescent="0.2">
      <c r="A14" s="5" t="str">
        <f>HYPERLINK("#'Input - Fuel'!A1", "Fuel")</f>
        <v>Fuel</v>
      </c>
      <c r="D14" s="34"/>
      <c r="E14" s="13"/>
      <c r="F14" s="20"/>
      <c r="G14" s="20"/>
      <c r="H14" s="20"/>
    </row>
    <row r="15" spans="1:10" ht="20.100000000000001" customHeight="1" x14ac:dyDescent="0.2">
      <c r="A15" s="5" t="str">
        <f>HYPERLINK("#'Input - Electricity'!A1", "Electricity")</f>
        <v>Electricity</v>
      </c>
      <c r="D15" s="34"/>
      <c r="E15" s="13"/>
      <c r="F15" s="20"/>
      <c r="G15" s="20"/>
      <c r="H15" s="20"/>
    </row>
    <row r="16" spans="1:10" ht="20.100000000000001" customHeight="1" x14ac:dyDescent="0.2">
      <c r="A16" s="5" t="str">
        <f>HYPERLINK("#'Input - Common farm inputs'!A1", "Common farm inputs")</f>
        <v>Common farm inputs</v>
      </c>
      <c r="D16" s="34"/>
      <c r="E16" s="13"/>
      <c r="F16" s="20"/>
      <c r="G16" s="20"/>
      <c r="H16" s="20"/>
    </row>
    <row r="17" spans="1:8" ht="20.100000000000001" customHeight="1" x14ac:dyDescent="0.2">
      <c r="A17" s="5" t="str">
        <f>HYPERLINK("#'Input - Crop pasture farm input'!A1", "Crop pasture farm input")</f>
        <v>Crop pasture farm input</v>
      </c>
      <c r="D17" s="34"/>
      <c r="E17" s="13"/>
      <c r="F17" s="20"/>
      <c r="G17" s="20"/>
      <c r="H17" s="20"/>
    </row>
    <row r="18" spans="1:8" ht="20.100000000000001" customHeight="1" x14ac:dyDescent="0.2">
      <c r="A18" s="102" t="str">
        <f>HYPERLINK("#'Input - Freight'!A1", "Freight")</f>
        <v>Freight</v>
      </c>
      <c r="D18" s="34"/>
      <c r="E18" s="13"/>
      <c r="F18" s="20"/>
      <c r="G18" s="20"/>
      <c r="H18" s="20"/>
    </row>
    <row r="19" spans="1:8" ht="20.100000000000001" customHeight="1" x14ac:dyDescent="0.2">
      <c r="A19" s="5" t="str">
        <f>HYPERLINK("#'Input - Solid waste'!A1", "Solid waste")</f>
        <v>Solid waste</v>
      </c>
    </row>
    <row r="20" spans="1:8" ht="20.100000000000001" customHeight="1" x14ac:dyDescent="0.2">
      <c r="A20" s="5" t="str">
        <f>HYPERLINK("#'Input - Data quality'!A1", "Data quality")</f>
        <v>Data quality</v>
      </c>
    </row>
    <row r="22" spans="1:8" ht="20.100000000000001" customHeight="1" x14ac:dyDescent="0.2">
      <c r="D22" s="2" t="s">
        <v>848</v>
      </c>
    </row>
    <row r="23" spans="1:8" ht="20.100000000000001" customHeight="1" x14ac:dyDescent="0.2">
      <c r="A23" s="6" t="s">
        <v>2</v>
      </c>
    </row>
    <row r="24" spans="1:8" ht="20.100000000000001" customHeight="1" x14ac:dyDescent="0.2">
      <c r="A24" s="5" t="str">
        <f>HYPERLINK("#'5.1.1.1-2 Inorganic fert N2O'!A1", "5.1.1.1-2 Inorganic fert N2O")</f>
        <v>5.1.1.1-2 Inorganic fert N2O</v>
      </c>
      <c r="D24" s="20" t="s">
        <v>839</v>
      </c>
      <c r="E24" s="20" t="s">
        <v>840</v>
      </c>
      <c r="F24" s="20" t="s">
        <v>841</v>
      </c>
      <c r="G24" s="20" t="s">
        <v>842</v>
      </c>
      <c r="H24" s="20" t="s">
        <v>843</v>
      </c>
    </row>
    <row r="25" spans="1:8" ht="20.100000000000001" customHeight="1" x14ac:dyDescent="0.2">
      <c r="A25" s="5" t="str">
        <f>HYPERLINK("#'5.1.1.3-4 Inorganic fert CO2'!A1", "5.1.1.3-4 Inorganic fert CO2")</f>
        <v>5.1.1.3-4 Inorganic fert CO2</v>
      </c>
      <c r="D25" s="34" t="s">
        <v>849</v>
      </c>
      <c r="E25" s="13" t="s">
        <v>845</v>
      </c>
      <c r="F25" s="20">
        <v>65</v>
      </c>
      <c r="G25" s="20">
        <v>20</v>
      </c>
      <c r="H25" s="20">
        <v>52</v>
      </c>
    </row>
    <row r="26" spans="1:8" ht="20.100000000000001" customHeight="1" x14ac:dyDescent="0.2">
      <c r="A26" s="5" t="str">
        <f>HYPERLINK("#'5.2.1.1-2 Organic Fert N2O'!A1", "5.2.1.1-2 Organic fert N2O")</f>
        <v>5.2.1.1-2 Organic fert N2O</v>
      </c>
      <c r="D26" s="34"/>
      <c r="E26" s="13"/>
      <c r="F26" s="20"/>
      <c r="G26" s="20"/>
      <c r="H26" s="20"/>
    </row>
    <row r="27" spans="1:8" ht="20.100000000000001" customHeight="1" x14ac:dyDescent="0.2">
      <c r="A27" s="5" t="str">
        <f>HYPERLINK("#'5.3.1.1-2 Lime CO2'!A1", "5.3.1.1-2 Lime CO2")</f>
        <v>5.3.1.1-2 Lime CO2</v>
      </c>
      <c r="D27" s="34"/>
      <c r="E27" s="13"/>
      <c r="F27" s="20"/>
      <c r="G27" s="20"/>
      <c r="H27" s="20"/>
    </row>
    <row r="28" spans="1:8" ht="20.100000000000001" customHeight="1" x14ac:dyDescent="0.2">
      <c r="A28" s="5" t="str">
        <f>HYPERLINK("#'5.4.1.1-4 Atmos deposition'!A1", "5.4.1.1-4 Atmos. deposition")</f>
        <v>5.4.1.1-4 Atmos. deposition</v>
      </c>
      <c r="D28" s="34"/>
      <c r="E28" s="13"/>
      <c r="F28" s="20"/>
      <c r="G28" s="20"/>
      <c r="H28" s="20"/>
    </row>
    <row r="29" spans="1:8" ht="20.100000000000001" customHeight="1" x14ac:dyDescent="0.2">
      <c r="A29" s="5" t="str">
        <f>HYPERLINK("#'5.5.1.1-2 Leaching and runoff'!A1", "5.5.1.1-2 Leaching &amp; runoff")</f>
        <v>5.5.1.1-2 Leaching &amp; runoff</v>
      </c>
      <c r="D29" s="34"/>
      <c r="E29" s="13"/>
      <c r="F29" s="20"/>
      <c r="G29" s="20"/>
      <c r="H29" s="20"/>
    </row>
    <row r="30" spans="1:8" ht="20.100000000000001" customHeight="1" x14ac:dyDescent="0.2">
      <c r="A30" s="5" t="str">
        <f>HYPERLINK("#'6.1.1.1-2 Crop residue N2O'!A1", "6.1.1.1-2 Crop residue N2O")</f>
        <v>6.1.1.1-2 Crop residue N2O</v>
      </c>
      <c r="D30" s="34"/>
      <c r="E30" s="13"/>
      <c r="F30" s="20"/>
      <c r="G30" s="20"/>
      <c r="H30" s="20"/>
    </row>
    <row r="31" spans="1:8" ht="20.100000000000001" customHeight="1" x14ac:dyDescent="0.2">
      <c r="A31" s="5" t="str">
        <f>HYPERLINK("#'6.3.1.1-2 Leach runoff crop'!A1", "6.3.1.1-2 Leach &amp; runoff (crop)")</f>
        <v>6.3.1.1-2 Leach &amp; runoff (crop)</v>
      </c>
      <c r="D31" s="34"/>
      <c r="E31" s="13"/>
      <c r="F31" s="20"/>
      <c r="G31" s="20"/>
      <c r="H31" s="20"/>
    </row>
    <row r="32" spans="1:8" ht="20.100000000000001" customHeight="1" x14ac:dyDescent="0.2">
      <c r="A32" s="5" t="str">
        <f>HYPERLINK("#'6.4.1.1-2 Residue burning'!A1", "6.4.1.1-2 Residue burning")</f>
        <v>6.4.1.1-2 Residue burning</v>
      </c>
      <c r="D32" s="34"/>
      <c r="E32" s="13"/>
      <c r="F32" s="20"/>
      <c r="G32" s="20"/>
      <c r="H32" s="20"/>
    </row>
    <row r="33" spans="1:8" ht="20.100000000000001" customHeight="1" x14ac:dyDescent="0.2">
      <c r="A33" s="5" t="str">
        <f>HYPERLINK("#'8.1.1.1-2 Transport fuel'!A1", "8.1.1.1-2 Transport fuel")</f>
        <v>8.1.1.1-2 Transport fuel</v>
      </c>
      <c r="D33" s="34"/>
      <c r="E33" s="13"/>
      <c r="F33" s="20"/>
      <c r="G33" s="20"/>
      <c r="H33" s="20"/>
    </row>
    <row r="34" spans="1:8" ht="20.100000000000001" customHeight="1" x14ac:dyDescent="0.2">
      <c r="A34" s="5" t="str">
        <f>HYPERLINK("#'8.2.1.1-2 Stationary fuel'!A1", "8.2.1.1-2 Stationary fuel")</f>
        <v>8.2.1.1-2 Stationary fuel</v>
      </c>
      <c r="D34" s="34"/>
      <c r="E34" s="13"/>
      <c r="F34" s="20"/>
      <c r="G34" s="20"/>
      <c r="H34" s="20"/>
    </row>
    <row r="35" spans="1:8" ht="20.100000000000001" customHeight="1" x14ac:dyDescent="0.2">
      <c r="A35" s="5" t="str">
        <f>HYPERLINK("#'10.1.1-2 Solid waste treatment'!A1", "10.1.1.1-2 Solid waste")</f>
        <v>10.1.1.1-2 Solid waste</v>
      </c>
    </row>
    <row r="36" spans="1:8" ht="20.100000000000001" customHeight="1" x14ac:dyDescent="0.2">
      <c r="A36" s="5" t="str">
        <f>HYPERLINK("#'14.1.1-2 Purchased electricity'!A1", "14.1.1-2 Purchased electricity")</f>
        <v>14.1.1-2 Purchased electricity</v>
      </c>
    </row>
    <row r="37" spans="1:8" ht="20.100000000000001" customHeight="1" x14ac:dyDescent="0.2">
      <c r="A37" s="5" t="str">
        <f>HYPERLINK("#'15 Scope 3'!A1", "15 Scope 3")</f>
        <v>15 Scope 3</v>
      </c>
    </row>
    <row r="40" spans="1:8" ht="20.100000000000001" customHeight="1" x14ac:dyDescent="0.2">
      <c r="A40" s="82" t="s">
        <v>1</v>
      </c>
    </row>
    <row r="41" spans="1:8" ht="20.100000000000001" customHeight="1" x14ac:dyDescent="0.2">
      <c r="A41" s="5" t="str">
        <f>HYPERLINK("#'Constants - Ag Residue'!A1", "Constants - Ag residue")</f>
        <v>Constants - Ag residue</v>
      </c>
    </row>
    <row r="42" spans="1:8" ht="20.100000000000001" customHeight="1" x14ac:dyDescent="0.2">
      <c r="A42" s="5" t="str">
        <f>HYPERLINK("#'Constants - Electricity'!A1", "Constants - Electricity")</f>
        <v>Constants - Electricity</v>
      </c>
    </row>
    <row r="43" spans="1:8" ht="20.100000000000001" customHeight="1" x14ac:dyDescent="0.2">
      <c r="A43" s="5" t="str">
        <f>HYPERLINK("#'Constants - Fertiliser'!A1", "Constants - Fertiliser")</f>
        <v>Constants - Fertiliser</v>
      </c>
    </row>
    <row r="44" spans="1:8" ht="20.100000000000001" customHeight="1" x14ac:dyDescent="0.2">
      <c r="A44" s="5" t="str">
        <f>HYPERLINK("#'Constants - Fuel'!A1", "Constants - Fuel")</f>
        <v>Constants - Fuel</v>
      </c>
    </row>
    <row r="45" spans="1:8" ht="20.100000000000001" customHeight="1" x14ac:dyDescent="0.2">
      <c r="A45" s="5" t="str">
        <f>HYPERLINK("#'Constants - Scope 3'!A1", "Constants - Scope 3")</f>
        <v>Constants - Scope 3</v>
      </c>
    </row>
    <row r="46" spans="1:8" ht="20.100000000000001" customHeight="1" x14ac:dyDescent="0.2">
      <c r="A46" s="5" t="str">
        <f>HYPERLINK("#'Constants - Solid Waste'!A1", "Constants - Solid Waste")</f>
        <v>Constants - Solid Waste</v>
      </c>
    </row>
    <row r="47" spans="1:8" ht="20.100000000000001" customHeight="1" x14ac:dyDescent="0.2">
      <c r="A47" s="5" t="str">
        <f>HYPERLINK("#'Constants - Common'!A1", "Constants - Common")</f>
        <v>Constants - Common</v>
      </c>
    </row>
    <row r="48" spans="1:8" ht="20.100000000000001" customHeight="1" x14ac:dyDescent="0.2">
      <c r="A48" s="5" t="str">
        <f>HYPERLINK("#'Constants - Common Livestock'!A1", "Constants - Common Livestock")</f>
        <v>Constants - Common Livestock</v>
      </c>
    </row>
  </sheetData>
  <dataValidations count="1">
    <dataValidation type="list" allowBlank="1" showInputMessage="1" showErrorMessage="1" sqref="E9:E18 E25:E34" xr:uid="{C0379EA4-504A-40F6-97E8-F6D829531046}">
      <formula1>"Transport in truck, Rail, Long haul flight, medium haul flight, Small container ship, Large container ship"</formula1>
    </dataValidation>
  </dataValidations>
  <pageMargins left="0.7" right="0.7" top="0.75" bottom="0.75" header="0.3" footer="0.3"/>
  <tableParts count="2">
    <tablePart r:id="rId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BE326-D11C-4F3E-BFAC-992FE20C667D}">
  <sheetPr>
    <tabColor theme="5" tint="-0.249977111117893"/>
  </sheetPr>
  <dimension ref="A1:L385"/>
  <sheetViews>
    <sheetView showGridLines="0" zoomScaleNormal="100" workbookViewId="0">
      <pane xSplit="1" topLeftCell="B1" activePane="topRight" state="frozenSplit"/>
      <selection pane="topRight" activeCell="A47" sqref="A47"/>
    </sheetView>
  </sheetViews>
  <sheetFormatPr defaultRowHeight="20.100000000000001" customHeight="1" x14ac:dyDescent="0.2"/>
  <cols>
    <col min="1" max="1" width="36.7109375" customWidth="1"/>
    <col min="2" max="2" width="4.7109375" customWidth="1"/>
    <col min="3" max="3" width="4.7109375" style="1" customWidth="1"/>
    <col min="4" max="4" width="66.7109375" style="1" customWidth="1"/>
    <col min="5" max="5" width="47" style="1" customWidth="1"/>
    <col min="6" max="6" width="67.7109375" style="1" customWidth="1"/>
    <col min="7" max="7" width="30.85546875" style="1" customWidth="1"/>
    <col min="8" max="8" width="24.85546875" style="1" customWidth="1"/>
    <col min="9" max="9" width="29.7109375" style="1" customWidth="1"/>
    <col min="10" max="10" width="4.7109375" style="1" customWidth="1"/>
    <col min="11" max="11" width="4.7109375" customWidth="1"/>
  </cols>
  <sheetData>
    <row r="1" spans="1:10" s="10" customFormat="1" ht="30" customHeight="1" x14ac:dyDescent="0.35">
      <c r="A1" s="10" t="e" vm="1">
        <v>#VALUE!</v>
      </c>
      <c r="C1" s="10" t="s">
        <v>639</v>
      </c>
    </row>
    <row r="2" spans="1:10" s="3" customFormat="1" ht="20.100000000000001" customHeight="1" x14ac:dyDescent="0.2">
      <c r="A2"/>
    </row>
    <row r="3" spans="1:10" ht="20.100000000000001" customHeight="1" x14ac:dyDescent="0.2">
      <c r="A3" s="5" t="str">
        <f>HYPERLINK("#'Home'!A1", "Home")</f>
        <v>Home</v>
      </c>
      <c r="C3" s="29"/>
      <c r="D3" s="29"/>
      <c r="E3" s="29"/>
      <c r="F3" s="29"/>
      <c r="G3" s="29"/>
      <c r="H3" s="29"/>
      <c r="I3" s="29"/>
      <c r="J3" s="29"/>
    </row>
    <row r="4" spans="1:10" ht="20.100000000000001" customHeight="1" x14ac:dyDescent="0.2">
      <c r="A4" s="5" t="str">
        <f>HYPERLINK("#'Results - Activity period'!A1", "Results - Activity period")</f>
        <v>Results - Activity period</v>
      </c>
    </row>
    <row r="5" spans="1:10" ht="20.100000000000001" customHeight="1" x14ac:dyDescent="0.2">
      <c r="A5" s="5" t="str">
        <f>HYPERLINK("#'Results - Product EI'!A1", "Results - Product EI")</f>
        <v>Results - Product EI</v>
      </c>
      <c r="D5" s="2" t="s">
        <v>640</v>
      </c>
    </row>
    <row r="7" spans="1:10" ht="20.100000000000001" customHeight="1" x14ac:dyDescent="0.2">
      <c r="D7" s="36" t="s">
        <v>515</v>
      </c>
      <c r="E7" s="39"/>
    </row>
    <row r="8" spans="1:10" ht="20.100000000000001" customHeight="1" x14ac:dyDescent="0.2">
      <c r="A8" s="7" t="s">
        <v>0</v>
      </c>
    </row>
    <row r="9" spans="1:10" ht="20.100000000000001" customHeight="1" x14ac:dyDescent="0.2">
      <c r="A9" s="5" t="str">
        <f>HYPERLINK("#'Input - Enterprise'!A1", "Enterprise")</f>
        <v>Enterprise</v>
      </c>
      <c r="D9" s="80" t="s">
        <v>191</v>
      </c>
      <c r="E9" s="80" t="s">
        <v>641</v>
      </c>
      <c r="F9" s="80" t="s">
        <v>642</v>
      </c>
      <c r="G9" s="80" t="s">
        <v>643</v>
      </c>
      <c r="H9" s="80" t="s">
        <v>644</v>
      </c>
      <c r="I9" s="80" t="s">
        <v>645</v>
      </c>
    </row>
    <row r="10" spans="1:10" ht="20.100000000000001" customHeight="1" x14ac:dyDescent="0.2">
      <c r="A10" s="5" t="str">
        <f>HYPERLINK("#'Input - Site'!A1", "Site")</f>
        <v>Site</v>
      </c>
      <c r="D10" s="34" t="s">
        <v>646</v>
      </c>
      <c r="E10" s="13" t="s">
        <v>647</v>
      </c>
      <c r="F10" s="13" t="s">
        <v>648</v>
      </c>
      <c r="G10" s="13" t="s">
        <v>649</v>
      </c>
      <c r="H10" s="76">
        <v>50</v>
      </c>
      <c r="I10" s="13" t="s">
        <v>19</v>
      </c>
    </row>
    <row r="11" spans="1:10" ht="20.100000000000001" customHeight="1" x14ac:dyDescent="0.2">
      <c r="A11" s="5" t="str">
        <f>HYPERLINK("#'Input - Crop'!A1", "Crop")</f>
        <v>Crop</v>
      </c>
      <c r="D11" s="34" t="s">
        <v>650</v>
      </c>
      <c r="E11" s="13" t="s">
        <v>647</v>
      </c>
      <c r="F11" s="13" t="s">
        <v>648</v>
      </c>
      <c r="G11" s="13" t="s">
        <v>651</v>
      </c>
      <c r="H11" s="76">
        <v>50</v>
      </c>
      <c r="I11" s="13" t="s">
        <v>652</v>
      </c>
    </row>
    <row r="12" spans="1:10" ht="20.100000000000001" customHeight="1" x14ac:dyDescent="0.2">
      <c r="A12" s="5" t="str">
        <f>HYPERLINK("#'Input - Fert Prod System'!A1", "Fert Prod System")</f>
        <v>Fert Prod System</v>
      </c>
      <c r="D12" s="34" t="s">
        <v>653</v>
      </c>
      <c r="E12" s="13" t="s">
        <v>647</v>
      </c>
      <c r="F12" s="13" t="s">
        <v>654</v>
      </c>
      <c r="G12" s="13" t="s">
        <v>649</v>
      </c>
      <c r="H12" s="76">
        <v>50</v>
      </c>
      <c r="I12" s="13" t="s">
        <v>19</v>
      </c>
    </row>
    <row r="13" spans="1:10" ht="20.100000000000001" customHeight="1" x14ac:dyDescent="0.2">
      <c r="A13" s="5" t="str">
        <f>HYPERLINK("#'Input - Fertiliser'!A1", "Fertiliser")</f>
        <v>Fertiliser</v>
      </c>
      <c r="D13" s="34" t="s">
        <v>655</v>
      </c>
      <c r="E13" s="13" t="s">
        <v>647</v>
      </c>
      <c r="F13" s="13" t="s">
        <v>654</v>
      </c>
      <c r="G13" s="13" t="s">
        <v>651</v>
      </c>
      <c r="H13" s="76">
        <v>50</v>
      </c>
      <c r="I13" s="13" t="s">
        <v>652</v>
      </c>
    </row>
    <row r="14" spans="1:10" ht="20.100000000000001" customHeight="1" x14ac:dyDescent="0.2">
      <c r="A14" s="5" t="str">
        <f>HYPERLINK("#'Input - Fuel'!A1", "Fuel")</f>
        <v>Fuel</v>
      </c>
      <c r="D14" s="34" t="s">
        <v>656</v>
      </c>
      <c r="E14" s="13" t="s">
        <v>657</v>
      </c>
      <c r="F14" s="13" t="s">
        <v>654</v>
      </c>
      <c r="G14" s="13" t="s">
        <v>649</v>
      </c>
      <c r="H14" s="76">
        <v>50</v>
      </c>
      <c r="I14" s="13" t="s">
        <v>19</v>
      </c>
    </row>
    <row r="15" spans="1:10" ht="20.100000000000001" customHeight="1" x14ac:dyDescent="0.2">
      <c r="A15" s="5" t="str">
        <f>HYPERLINK("#'Input - Electricity'!A1", "Electricity")</f>
        <v>Electricity</v>
      </c>
      <c r="D15" s="34" t="s">
        <v>658</v>
      </c>
      <c r="E15" s="13" t="s">
        <v>657</v>
      </c>
      <c r="F15" s="13" t="s">
        <v>654</v>
      </c>
      <c r="G15" s="13" t="s">
        <v>649</v>
      </c>
      <c r="H15" s="76">
        <v>50</v>
      </c>
      <c r="I15" s="13" t="s">
        <v>652</v>
      </c>
    </row>
    <row r="16" spans="1:10" ht="20.100000000000001" customHeight="1" x14ac:dyDescent="0.2">
      <c r="A16" s="5" t="str">
        <f>HYPERLINK("#'Input - Common farm inputs'!A1", "Common farm inputs")</f>
        <v>Common farm inputs</v>
      </c>
      <c r="D16" s="34" t="s">
        <v>659</v>
      </c>
      <c r="E16" s="13" t="s">
        <v>657</v>
      </c>
      <c r="F16" s="13" t="s">
        <v>654</v>
      </c>
      <c r="G16" s="13" t="s">
        <v>651</v>
      </c>
      <c r="H16" s="76">
        <v>50</v>
      </c>
      <c r="I16" s="13" t="s">
        <v>19</v>
      </c>
    </row>
    <row r="17" spans="1:11" ht="20.100000000000001" customHeight="1" x14ac:dyDescent="0.2">
      <c r="A17" s="5" t="str">
        <f>HYPERLINK("#'Input - Crop pasture farm input'!A1", "Crop pasture farm input")</f>
        <v>Crop pasture farm input</v>
      </c>
      <c r="D17" s="34" t="s">
        <v>660</v>
      </c>
      <c r="E17" s="13" t="s">
        <v>657</v>
      </c>
      <c r="F17" s="13" t="s">
        <v>654</v>
      </c>
      <c r="G17" s="13" t="s">
        <v>651</v>
      </c>
      <c r="H17" s="76">
        <v>50</v>
      </c>
      <c r="I17" s="13" t="s">
        <v>652</v>
      </c>
    </row>
    <row r="18" spans="1:11" ht="20.100000000000001" customHeight="1" x14ac:dyDescent="0.2">
      <c r="A18" s="5" t="str">
        <f>HYPERLINK("#'Input - Freight'!A1", "Freight")</f>
        <v>Freight</v>
      </c>
      <c r="D18" s="34" t="s">
        <v>661</v>
      </c>
      <c r="E18" s="13" t="s">
        <v>657</v>
      </c>
      <c r="F18" s="13" t="s">
        <v>648</v>
      </c>
      <c r="G18" s="13" t="s">
        <v>649</v>
      </c>
      <c r="H18" s="76">
        <v>50</v>
      </c>
      <c r="I18" s="13" t="s">
        <v>19</v>
      </c>
    </row>
    <row r="19" spans="1:11" ht="20.100000000000001" customHeight="1" x14ac:dyDescent="0.2">
      <c r="A19" s="102" t="str">
        <f>HYPERLINK("#'Input - Solid waste'!A1", "Solid waste")</f>
        <v>Solid waste</v>
      </c>
      <c r="D19" s="34" t="s">
        <v>662</v>
      </c>
      <c r="E19" s="13" t="s">
        <v>657</v>
      </c>
      <c r="F19" s="13" t="s">
        <v>648</v>
      </c>
      <c r="G19" s="13" t="s">
        <v>649</v>
      </c>
      <c r="H19" s="76">
        <v>50</v>
      </c>
      <c r="I19" s="13" t="s">
        <v>652</v>
      </c>
    </row>
    <row r="20" spans="1:11" ht="20.100000000000001" customHeight="1" x14ac:dyDescent="0.2">
      <c r="A20" s="5" t="str">
        <f>HYPERLINK("#'Input - Data quality'!A1", "Data quality")</f>
        <v>Data quality</v>
      </c>
      <c r="D20" s="34" t="s">
        <v>663</v>
      </c>
      <c r="E20" s="13" t="s">
        <v>657</v>
      </c>
      <c r="F20" s="13" t="s">
        <v>648</v>
      </c>
      <c r="G20" s="13" t="s">
        <v>651</v>
      </c>
      <c r="H20" s="76">
        <v>50</v>
      </c>
      <c r="I20" s="13" t="s">
        <v>19</v>
      </c>
    </row>
    <row r="21" spans="1:11" ht="20.100000000000001" customHeight="1" x14ac:dyDescent="0.2">
      <c r="D21" s="34" t="s">
        <v>664</v>
      </c>
      <c r="E21" s="13" t="s">
        <v>657</v>
      </c>
      <c r="F21" s="13" t="s">
        <v>648</v>
      </c>
      <c r="G21" s="13" t="s">
        <v>651</v>
      </c>
      <c r="H21" s="76">
        <v>50</v>
      </c>
      <c r="I21" s="13" t="s">
        <v>652</v>
      </c>
    </row>
    <row r="22" spans="1:11" ht="20.100000000000001" customHeight="1" x14ac:dyDescent="0.2">
      <c r="D22" s="34" t="s">
        <v>665</v>
      </c>
      <c r="E22" s="13" t="s">
        <v>657</v>
      </c>
      <c r="F22" s="13" t="s">
        <v>666</v>
      </c>
      <c r="G22" s="13" t="s">
        <v>649</v>
      </c>
      <c r="H22" s="76">
        <v>50</v>
      </c>
      <c r="I22" s="13" t="s">
        <v>19</v>
      </c>
    </row>
    <row r="23" spans="1:11" ht="20.100000000000001" customHeight="1" x14ac:dyDescent="0.2">
      <c r="A23" s="6" t="s">
        <v>2</v>
      </c>
      <c r="D23" s="34" t="s">
        <v>667</v>
      </c>
      <c r="E23" s="13" t="s">
        <v>657</v>
      </c>
      <c r="F23" s="13" t="s">
        <v>666</v>
      </c>
      <c r="G23" s="13" t="s">
        <v>649</v>
      </c>
      <c r="H23" s="76">
        <v>50</v>
      </c>
      <c r="I23" s="13" t="s">
        <v>652</v>
      </c>
    </row>
    <row r="24" spans="1:11" ht="20.100000000000001" customHeight="1" x14ac:dyDescent="0.2">
      <c r="A24" s="5" t="str">
        <f>HYPERLINK("#'5.1.1.1-2 Inorganic fert N2O'!A1", "5.1.1.1-2 Inorganic fert N2O")</f>
        <v>5.1.1.1-2 Inorganic fert N2O</v>
      </c>
      <c r="D24" s="34" t="s">
        <v>668</v>
      </c>
      <c r="E24" s="13" t="s">
        <v>657</v>
      </c>
      <c r="F24" s="13" t="s">
        <v>666</v>
      </c>
      <c r="G24" s="13" t="s">
        <v>651</v>
      </c>
      <c r="H24" s="76">
        <v>50</v>
      </c>
      <c r="I24" s="13" t="s">
        <v>19</v>
      </c>
    </row>
    <row r="25" spans="1:11" ht="20.100000000000001" customHeight="1" x14ac:dyDescent="0.2">
      <c r="A25" s="5" t="str">
        <f>HYPERLINK("#'5.1.1.3-4 Inorganic fert CO2'!A1", "5.1.1.3-4 Inorganic fert CO2")</f>
        <v>5.1.1.3-4 Inorganic fert CO2</v>
      </c>
      <c r="D25" s="34" t="s">
        <v>669</v>
      </c>
      <c r="E25" s="13" t="s">
        <v>657</v>
      </c>
      <c r="F25" s="13" t="s">
        <v>666</v>
      </c>
      <c r="G25" s="13" t="s">
        <v>651</v>
      </c>
      <c r="H25" s="76">
        <v>50</v>
      </c>
      <c r="I25" s="13" t="s">
        <v>652</v>
      </c>
    </row>
    <row r="26" spans="1:11" ht="20.100000000000001" customHeight="1" x14ac:dyDescent="0.2">
      <c r="A26" s="5" t="str">
        <f>HYPERLINK("#'5.2.1.1-2 Organic Fert N2O'!A1", "5.2.1.1-2 Organic fert N2O")</f>
        <v>5.2.1.1-2 Organic fert N2O</v>
      </c>
      <c r="D26" s="34" t="s">
        <v>670</v>
      </c>
      <c r="E26" s="13" t="s">
        <v>671</v>
      </c>
      <c r="F26" s="13" t="s">
        <v>648</v>
      </c>
      <c r="G26" s="13" t="s">
        <v>651</v>
      </c>
      <c r="H26" s="76">
        <v>50</v>
      </c>
      <c r="I26" s="13" t="s">
        <v>19</v>
      </c>
    </row>
    <row r="27" spans="1:11" ht="20.100000000000001" customHeight="1" x14ac:dyDescent="0.2">
      <c r="A27" s="5" t="str">
        <f>HYPERLINK("#'5.3.1.1-2 Lime CO2'!A1", "5.3.1.1-2 Lime CO2")</f>
        <v>5.3.1.1-2 Lime CO2</v>
      </c>
      <c r="D27" s="34" t="s">
        <v>672</v>
      </c>
      <c r="E27" s="13" t="s">
        <v>671</v>
      </c>
      <c r="F27" s="13" t="s">
        <v>648</v>
      </c>
      <c r="G27" s="13" t="s">
        <v>651</v>
      </c>
      <c r="H27" s="76">
        <v>50</v>
      </c>
      <c r="I27" s="13" t="s">
        <v>652</v>
      </c>
    </row>
    <row r="28" spans="1:11" ht="20.100000000000001" customHeight="1" x14ac:dyDescent="0.2">
      <c r="A28" s="5" t="str">
        <f>HYPERLINK("#'5.4.1.1-4 Atmos deposition'!A1", "5.4.1.1-4 Atmos. deposition")</f>
        <v>5.4.1.1-4 Atmos. deposition</v>
      </c>
      <c r="D28" s="34" t="s">
        <v>673</v>
      </c>
      <c r="E28" s="13" t="s">
        <v>671</v>
      </c>
      <c r="F28" s="13" t="s">
        <v>666</v>
      </c>
      <c r="G28" s="13" t="s">
        <v>651</v>
      </c>
      <c r="H28" s="76">
        <v>50</v>
      </c>
      <c r="I28" s="13" t="s">
        <v>19</v>
      </c>
    </row>
    <row r="29" spans="1:11" ht="20.100000000000001" customHeight="1" x14ac:dyDescent="0.2">
      <c r="A29" s="5" t="str">
        <f>HYPERLINK("#'5.5.1.1-2 Leaching and runoff'!A1", "5.5.1.1-2 Leaching &amp; runoff")</f>
        <v>5.5.1.1-2 Leaching &amp; runoff</v>
      </c>
      <c r="D29" s="34" t="s">
        <v>674</v>
      </c>
      <c r="E29" s="13" t="s">
        <v>671</v>
      </c>
      <c r="F29" s="13" t="s">
        <v>666</v>
      </c>
      <c r="G29" s="13" t="s">
        <v>651</v>
      </c>
      <c r="H29" s="76">
        <v>50</v>
      </c>
      <c r="I29" s="13" t="s">
        <v>652</v>
      </c>
      <c r="K29" s="128"/>
    </row>
    <row r="30" spans="1:11" ht="20.100000000000001" customHeight="1" x14ac:dyDescent="0.2">
      <c r="A30" s="5" t="str">
        <f>HYPERLINK("#'6.1.1.1-2 Crop residue N2O'!A1", "6.1.1.1-2 Crop residue N2O")</f>
        <v>6.1.1.1-2 Crop residue N2O</v>
      </c>
      <c r="D30" s="34" t="s">
        <v>675</v>
      </c>
      <c r="E30" s="13" t="s">
        <v>671</v>
      </c>
      <c r="F30" s="13" t="s">
        <v>666</v>
      </c>
      <c r="G30" s="13" t="s">
        <v>649</v>
      </c>
      <c r="H30" s="76">
        <v>50</v>
      </c>
      <c r="I30" s="13" t="s">
        <v>19</v>
      </c>
      <c r="K30" s="128"/>
    </row>
    <row r="31" spans="1:11" ht="20.100000000000001" customHeight="1" x14ac:dyDescent="0.2">
      <c r="A31" s="5" t="str">
        <f>HYPERLINK("#'6.3.1.1-2 Leach runoff crop'!A1", "6.3.1.1-2 Leach &amp; runoff (crop)")</f>
        <v>6.3.1.1-2 Leach &amp; runoff (crop)</v>
      </c>
      <c r="D31" s="34" t="s">
        <v>676</v>
      </c>
      <c r="E31" s="13" t="s">
        <v>671</v>
      </c>
      <c r="F31" s="13" t="s">
        <v>666</v>
      </c>
      <c r="G31" s="13" t="s">
        <v>649</v>
      </c>
      <c r="H31" s="76">
        <v>50</v>
      </c>
      <c r="I31" s="13" t="s">
        <v>652</v>
      </c>
      <c r="K31" s="128"/>
    </row>
    <row r="32" spans="1:11" ht="20.100000000000001" customHeight="1" x14ac:dyDescent="0.2">
      <c r="A32" s="5" t="str">
        <f>HYPERLINK("#'6.4.1.1-2 Residue burning'!A1", "6.4.1.1-2 Residue burning")</f>
        <v>6.4.1.1-2 Residue burning</v>
      </c>
      <c r="D32" s="34" t="s">
        <v>674</v>
      </c>
      <c r="E32" s="13" t="s">
        <v>671</v>
      </c>
      <c r="F32" s="13" t="s">
        <v>666</v>
      </c>
      <c r="G32" s="13" t="s">
        <v>651</v>
      </c>
      <c r="H32" s="76">
        <v>50</v>
      </c>
      <c r="I32" s="13" t="s">
        <v>652</v>
      </c>
      <c r="K32" s="128"/>
    </row>
    <row r="33" spans="1:12" ht="20.100000000000001" customHeight="1" x14ac:dyDescent="0.2">
      <c r="A33" s="5" t="str">
        <f>HYPERLINK("#'8.1.1.1-2 Transport fuel'!A1", "8.1.1.1-2 Transport fuel")</f>
        <v>8.1.1.1-2 Transport fuel</v>
      </c>
      <c r="K33" s="128"/>
    </row>
    <row r="34" spans="1:12" ht="20.100000000000001" customHeight="1" x14ac:dyDescent="0.2">
      <c r="A34" s="5" t="str">
        <f>HYPERLINK("#'8.2.1.1-2 Stationary fuel'!A1", "8.2.1.1-2 Stationary fuel")</f>
        <v>8.2.1.1-2 Stationary fuel</v>
      </c>
      <c r="K34" s="128"/>
    </row>
    <row r="35" spans="1:12" ht="20.100000000000001" customHeight="1" x14ac:dyDescent="0.2">
      <c r="A35" s="5" t="str">
        <f>HYPERLINK("#'10.1.1-2 Solid waste treatment'!A1", "10.1.1.1-2 Solid waste")</f>
        <v>10.1.1.1-2 Solid waste</v>
      </c>
    </row>
    <row r="36" spans="1:12" ht="20.100000000000001" customHeight="1" x14ac:dyDescent="0.2">
      <c r="A36" s="5" t="str">
        <f>HYPERLINK("#'14.1.1-2 Purchased electricity'!A1", "14.1.1-2 Purchased electricity")</f>
        <v>14.1.1-2 Purchased electricity</v>
      </c>
      <c r="L36" s="128"/>
    </row>
    <row r="37" spans="1:12" ht="20.100000000000001" customHeight="1" x14ac:dyDescent="0.2">
      <c r="A37" s="5" t="str">
        <f>HYPERLINK("#'15 Scope 3'!A1", "15 Scope 3")</f>
        <v>15 Scope 3</v>
      </c>
      <c r="L37" s="128"/>
    </row>
    <row r="38" spans="1:12" ht="20.100000000000001" customHeight="1" x14ac:dyDescent="0.2">
      <c r="C38" s="116"/>
    </row>
    <row r="39" spans="1:12" ht="20.100000000000001" customHeight="1" x14ac:dyDescent="0.2">
      <c r="C39" s="116"/>
      <c r="J39" s="116"/>
    </row>
    <row r="40" spans="1:12" s="128" customFormat="1" ht="20.100000000000001" customHeight="1" x14ac:dyDescent="0.2">
      <c r="A40" s="82" t="s">
        <v>1</v>
      </c>
      <c r="C40" s="1"/>
      <c r="D40" s="1"/>
      <c r="E40" s="1"/>
      <c r="F40" s="1"/>
      <c r="G40" s="1"/>
      <c r="H40" s="1"/>
      <c r="I40" s="1"/>
      <c r="J40" s="1"/>
    </row>
    <row r="41" spans="1:12" s="128" customFormat="1" ht="20.100000000000001" customHeight="1" x14ac:dyDescent="0.2">
      <c r="A41" s="5" t="str">
        <f>HYPERLINK("#'Constants - Ag Residue'!A1", "Constants - Ag residue")</f>
        <v>Constants - Ag residue</v>
      </c>
      <c r="C41" s="1"/>
      <c r="D41" s="1"/>
      <c r="E41" s="1"/>
      <c r="F41" s="1"/>
      <c r="G41" s="1"/>
      <c r="H41" s="1"/>
      <c r="I41" s="1"/>
      <c r="J41" s="1"/>
      <c r="L41" s="128" t="s">
        <v>527</v>
      </c>
    </row>
    <row r="42" spans="1:12" ht="20.100000000000001" customHeight="1" x14ac:dyDescent="0.2">
      <c r="A42" s="5" t="str">
        <f>HYPERLINK("#'Constants - Electricity'!A1", "Constants - Electricity")</f>
        <v>Constants - Electricity</v>
      </c>
    </row>
    <row r="43" spans="1:12" ht="20.100000000000001" customHeight="1" x14ac:dyDescent="0.2">
      <c r="A43" s="5" t="str">
        <f>HYPERLINK("#'Constants - Fertiliser'!A1", "Constants - Fertiliser")</f>
        <v>Constants - Fertiliser</v>
      </c>
    </row>
    <row r="44" spans="1:12" ht="20.100000000000001" customHeight="1" x14ac:dyDescent="0.2">
      <c r="A44" s="5" t="str">
        <f>HYPERLINK("#'Constants - Fuel'!A1", "Constants - Fuel")</f>
        <v>Constants - Fuel</v>
      </c>
    </row>
    <row r="45" spans="1:12" ht="20.100000000000001" customHeight="1" x14ac:dyDescent="0.2">
      <c r="A45" s="5" t="str">
        <f>HYPERLINK("#'Constants - Scope 3'!A1", "Constants - Scope 3")</f>
        <v>Constants - Scope 3</v>
      </c>
    </row>
    <row r="46" spans="1:12" ht="20.100000000000001" customHeight="1" x14ac:dyDescent="0.2">
      <c r="A46" s="5" t="str">
        <f>HYPERLINK("#'Constants - Solid Waste'!A1", "Constants - Solid Waste")</f>
        <v>Constants - Solid Waste</v>
      </c>
    </row>
    <row r="47" spans="1:12" ht="20.100000000000001" customHeight="1" x14ac:dyDescent="0.2">
      <c r="A47" s="5" t="str">
        <f>HYPERLINK("#'Constants - Common'!A1", "Constants - Common")</f>
        <v>Constants - Common</v>
      </c>
    </row>
    <row r="48" spans="1:12" ht="20.100000000000001" customHeight="1" x14ac:dyDescent="0.2">
      <c r="A48" s="5" t="str">
        <f>HYPERLINK("#'Constants - Common Livestock'!A1", "Constants - Common Livestock")</f>
        <v>Constants - Common Livestock</v>
      </c>
    </row>
    <row r="73" spans="4:4" ht="20.100000000000001" customHeight="1" x14ac:dyDescent="0.2">
      <c r="D73" s="173"/>
    </row>
    <row r="75" spans="4:4" ht="20.100000000000001" customHeight="1" x14ac:dyDescent="0.2">
      <c r="D75" s="173"/>
    </row>
    <row r="76" spans="4:4" ht="20.100000000000001" customHeight="1" x14ac:dyDescent="0.2">
      <c r="D76" s="173"/>
    </row>
    <row r="385" spans="4:4" ht="20.100000000000001" customHeight="1" x14ac:dyDescent="0.2">
      <c r="D385" s="89"/>
    </row>
  </sheetData>
  <conditionalFormatting sqref="F162:F163">
    <cfRule type="cellIs" dxfId="18" priority="7" operator="lessThan">
      <formula>0</formula>
    </cfRule>
  </conditionalFormatting>
  <conditionalFormatting sqref="F174:F175">
    <cfRule type="cellIs" dxfId="17" priority="6" operator="lessThan">
      <formula>0</formula>
    </cfRule>
  </conditionalFormatting>
  <conditionalFormatting sqref="F186:F187">
    <cfRule type="cellIs" dxfId="16" priority="5" operator="lessThan">
      <formula>0</formula>
    </cfRule>
  </conditionalFormatting>
  <conditionalFormatting sqref="F274:F275">
    <cfRule type="cellIs" dxfId="15" priority="17" operator="lessThan">
      <formula>0</formula>
    </cfRule>
  </conditionalFormatting>
  <conditionalFormatting sqref="F279:F280">
    <cfRule type="cellIs" dxfId="14" priority="16" operator="lessThan">
      <formula>0</formula>
    </cfRule>
  </conditionalFormatting>
  <conditionalFormatting sqref="F284:F285">
    <cfRule type="cellIs" dxfId="13" priority="15" operator="lessThan">
      <formula>0</formula>
    </cfRule>
  </conditionalFormatting>
  <conditionalFormatting sqref="F308:F309">
    <cfRule type="cellIs" dxfId="12" priority="14" operator="lessThan">
      <formula>0</formula>
    </cfRule>
  </conditionalFormatting>
  <conditionalFormatting sqref="F313:F314">
    <cfRule type="cellIs" dxfId="11" priority="13" operator="lessThan">
      <formula>0</formula>
    </cfRule>
  </conditionalFormatting>
  <conditionalFormatting sqref="F318:F319">
    <cfRule type="cellIs" dxfId="10" priority="12" operator="lessThan">
      <formula>0</formula>
    </cfRule>
  </conditionalFormatting>
  <conditionalFormatting sqref="I33 F71">
    <cfRule type="cellIs" dxfId="9" priority="9" operator="lessThan">
      <formula>0</formula>
    </cfRule>
  </conditionalFormatting>
  <conditionalFormatting sqref="I79:I83">
    <cfRule type="cellIs" dxfId="8" priority="4" operator="lessThan">
      <formula>0</formula>
    </cfRule>
  </conditionalFormatting>
  <conditionalFormatting sqref="I87 I146">
    <cfRule type="cellIs" dxfId="7" priority="10" operator="lessThan">
      <formula>0</formula>
    </cfRule>
  </conditionalFormatting>
  <conditionalFormatting sqref="I98:I100">
    <cfRule type="cellIs" dxfId="6" priority="3" operator="lessThan">
      <formula>0</formula>
    </cfRule>
  </conditionalFormatting>
  <conditionalFormatting sqref="I104:I107">
    <cfRule type="cellIs" dxfId="5" priority="2" operator="lessThan">
      <formula>0</formula>
    </cfRule>
  </conditionalFormatting>
  <conditionalFormatting sqref="I111:I115">
    <cfRule type="cellIs" dxfId="4" priority="1" operator="lessThan">
      <formula>0</formula>
    </cfRule>
  </conditionalFormatting>
  <conditionalFormatting sqref="J8 I65:I66 H67:H69 I68 I70:I72 I74:I75 I226 I232 E234:G234">
    <cfRule type="cellIs" dxfId="3" priority="11" operator="lessThan">
      <formula>0</formula>
    </cfRule>
  </conditionalFormatting>
  <conditionalFormatting sqref="J37 I59 F150:F151">
    <cfRule type="cellIs" dxfId="2" priority="8" operator="lessThan">
      <formula>0</formula>
    </cfRule>
  </conditionalFormatting>
  <dataValidations count="9">
    <dataValidation type="list" allowBlank="1" showInputMessage="1" showErrorMessage="1" sqref="F10:F32" xr:uid="{11099E1B-618C-4867-80C6-DBEB6DD803BB}">
      <formula1>INDIRECT("Table_WasteTypes_" &amp; SUBSTITUTE(E10, " ", "") &amp; "[Waste type w]")</formula1>
    </dataValidation>
    <dataValidation type="list" allowBlank="1" showInputMessage="1" showErrorMessage="1" sqref="I10:I32" xr:uid="{D4481917-D701-44F6-B816-BA9FBCC73D62}">
      <formula1>"tonnes, cubic metres m3"</formula1>
    </dataValidation>
    <dataValidation type="list" allowBlank="1" showInputMessage="1" showErrorMessage="1" sqref="G10:G32" xr:uid="{768BDC84-7086-4DD6-B754-E40B8B1A5CA2}">
      <formula1>"Treated on-site, Removed and treated off-site"</formula1>
    </dataValidation>
    <dataValidation type="list" allowBlank="1" showInputMessage="1" showErrorMessage="1" sqref="E10:E32" xr:uid="{A3727D2E-0273-4908-B232-E40F4DCEB895}">
      <formula1>INDIRECT(_xlfn.UNIQUE("Table_SourceData_WasteSolid_WasteTreatmentEFs[Treatment type t]"))</formula1>
    </dataValidation>
    <dataValidation type="list" allowBlank="1" showInputMessage="1" showErrorMessage="1" sqref="E35" xr:uid="{C8C43511-3EC2-4D56-87A2-4A3AD4A6A1BD}">
      <formula1>INDIRECT("Table_SourceData_ElectricityEFs[State, Territory or grid description]")</formula1>
    </dataValidation>
    <dataValidation type="list" allowBlank="1" showInputMessage="1" showErrorMessage="1" sqref="E89" xr:uid="{5B819677-2D80-4088-883A-1508D1BF1A0B}">
      <formula1>INDIRECT("Table_SourceData_Swine_IrrigationMethods[Irrigation method]")</formula1>
    </dataValidation>
    <dataValidation type="list" allowBlank="1" showInputMessage="1" showErrorMessage="1" sqref="E273 E278 E283 E317 E312 E307 E185 E173 E149 E161" xr:uid="{CB502538-B4B6-41E7-8CA1-6370B6419CF4}">
      <formula1>"Yes, No"</formula1>
    </dataValidation>
    <dataValidation type="list" allowBlank="1" showInputMessage="1" showErrorMessage="1" sqref="E249" xr:uid="{EC926847-1EFE-420E-AC09-995E31EEDC7A}">
      <formula1>INDIRECT("Table_SourceData_Dairy_ProductionSystemTemplates[Area]")</formula1>
    </dataValidation>
    <dataValidation type="list" allowBlank="1" showInputMessage="1" showErrorMessage="1" sqref="D301" xr:uid="{73C97158-DC27-43D4-BCEC-E3F4809D70F6}">
      <formula1>INDIRECT("Table_SourceData_PoultryMMSStage1[MMS]")</formula1>
    </dataValidation>
  </dataValidations>
  <pageMargins left="0.7" right="0.7" top="0.75" bottom="0.75" header="0.3" footer="0.3"/>
  <pageSetup paperSize="9" orientation="portrait"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588B7-5093-4F43-A93D-B2B60E1374ED}">
  <sheetPr>
    <tabColor rgb="FF008000"/>
  </sheetPr>
  <dimension ref="A1:X342"/>
  <sheetViews>
    <sheetView showGridLines="0" zoomScaleNormal="100" workbookViewId="0">
      <pane xSplit="1" topLeftCell="B1" activePane="topRight" state="frozenSplit"/>
      <selection pane="topRight" activeCell="A47" sqref="A47"/>
    </sheetView>
  </sheetViews>
  <sheetFormatPr defaultRowHeight="20.100000000000001" customHeight="1" x14ac:dyDescent="0.2"/>
  <cols>
    <col min="1" max="1" width="36.7109375" customWidth="1"/>
    <col min="2" max="2" width="4.7109375" customWidth="1"/>
    <col min="3" max="3" width="4.7109375" style="1" customWidth="1"/>
    <col min="4" max="9" width="30.7109375" style="1" customWidth="1"/>
    <col min="10" max="10" width="25.28515625" style="1" customWidth="1"/>
    <col min="11" max="11" width="4.7109375" customWidth="1"/>
    <col min="12" max="12" width="4.7109375" style="1" customWidth="1"/>
    <col min="13" max="23" width="30.7109375" style="1" customWidth="1"/>
    <col min="24" max="24" width="4.7109375" style="1" customWidth="1"/>
  </cols>
  <sheetData>
    <row r="1" spans="1:24" s="21" customFormat="1" ht="30" customHeight="1" x14ac:dyDescent="0.35">
      <c r="A1" s="10" t="e" vm="1">
        <v>#VALUE!</v>
      </c>
      <c r="C1" s="21" t="s">
        <v>363</v>
      </c>
      <c r="K1"/>
    </row>
    <row r="2" spans="1:24" s="3" customFormat="1" ht="20.100000000000001" customHeight="1" x14ac:dyDescent="0.2">
      <c r="A2"/>
      <c r="K2"/>
    </row>
    <row r="3" spans="1:24" ht="20.100000000000001" customHeight="1" x14ac:dyDescent="0.2">
      <c r="A3" s="5" t="str">
        <f>HYPERLINK("#'Home'!A1", "Home")</f>
        <v>Home</v>
      </c>
      <c r="C3" s="23"/>
      <c r="D3" s="23" t="s">
        <v>130</v>
      </c>
      <c r="E3" s="23"/>
      <c r="F3" s="23"/>
      <c r="G3" s="23"/>
      <c r="H3" s="23"/>
      <c r="I3" s="23"/>
      <c r="J3" s="23"/>
      <c r="L3" s="23"/>
      <c r="M3" s="23" t="s">
        <v>131</v>
      </c>
      <c r="N3" s="23"/>
      <c r="O3" s="23"/>
      <c r="P3" s="23"/>
      <c r="Q3" s="23"/>
      <c r="R3" s="23"/>
      <c r="S3" s="23"/>
      <c r="T3" s="23"/>
      <c r="U3" s="23"/>
      <c r="V3" s="23"/>
      <c r="W3" s="23"/>
      <c r="X3" s="23"/>
    </row>
    <row r="4" spans="1:24" ht="20.100000000000001" customHeight="1" x14ac:dyDescent="0.2">
      <c r="A4" s="5" t="str">
        <f>HYPERLINK("#'Results - Activity period'!A1", "Results - Activity period")</f>
        <v>Results - Activity period</v>
      </c>
    </row>
    <row r="5" spans="1:24" ht="20.100000000000001" customHeight="1" x14ac:dyDescent="0.2">
      <c r="A5" s="5" t="str">
        <f>HYPERLINK("#'Results - Product EI'!A1", "Results - Product EI")</f>
        <v>Results - Product EI</v>
      </c>
      <c r="D5" s="2" t="s">
        <v>1026</v>
      </c>
      <c r="M5" s="89" t="s">
        <v>364</v>
      </c>
    </row>
    <row r="6" spans="1:24" ht="20.100000000000001" customHeight="1" x14ac:dyDescent="0.2">
      <c r="D6" s="17" t="s">
        <v>1027</v>
      </c>
      <c r="M6" s="70" t="s">
        <v>365</v>
      </c>
      <c r="N6" s="70"/>
      <c r="O6" s="70"/>
      <c r="P6" s="70"/>
      <c r="Q6" s="70"/>
      <c r="R6" s="70"/>
      <c r="S6" s="70"/>
    </row>
    <row r="7" spans="1:24" ht="20.100000000000001" customHeight="1" x14ac:dyDescent="0.2">
      <c r="D7" s="134"/>
      <c r="E7" s="134"/>
      <c r="M7" s="135" t="s">
        <v>366</v>
      </c>
    </row>
    <row r="8" spans="1:24" ht="20.100000000000001" customHeight="1" x14ac:dyDescent="0.2">
      <c r="A8" s="7" t="s">
        <v>0</v>
      </c>
      <c r="M8" s="136" t="s">
        <v>367</v>
      </c>
    </row>
    <row r="9" spans="1:24" ht="20.100000000000001" customHeight="1" x14ac:dyDescent="0.2">
      <c r="A9" s="5" t="str">
        <f>HYPERLINK("#'Input - Enterprise'!A1", "Enterprise")</f>
        <v>Enterprise</v>
      </c>
      <c r="O9" s="137" t="s">
        <v>368</v>
      </c>
      <c r="P9" s="137" t="s">
        <v>369</v>
      </c>
      <c r="Q9" s="137" t="s">
        <v>370</v>
      </c>
    </row>
    <row r="10" spans="1:24" ht="20.100000000000001" customHeight="1" x14ac:dyDescent="0.2">
      <c r="A10" s="5" t="str">
        <f>HYPERLINK("#'Input - Site'!A1", "Site")</f>
        <v>Site</v>
      </c>
      <c r="D10" s="77" t="s">
        <v>371</v>
      </c>
      <c r="E10" s="1" t="s">
        <v>1028</v>
      </c>
      <c r="M10" s="138" t="s">
        <v>372</v>
      </c>
      <c r="N10" s="80" t="s">
        <v>372</v>
      </c>
      <c r="O10" s="80" t="s">
        <v>373</v>
      </c>
      <c r="P10" s="80" t="s">
        <v>374</v>
      </c>
      <c r="Q10" s="138" t="s">
        <v>375</v>
      </c>
    </row>
    <row r="11" spans="1:24" ht="20.100000000000001" customHeight="1" x14ac:dyDescent="0.2">
      <c r="A11" s="5" t="str">
        <f>HYPERLINK("#'Input - Crop'!A1", "Crop")</f>
        <v>Crop</v>
      </c>
      <c r="D11" s="77" t="s">
        <v>118</v>
      </c>
      <c r="E11" s="9" t="s">
        <v>1029</v>
      </c>
      <c r="M11" s="15" t="s">
        <v>376</v>
      </c>
      <c r="N11" s="15" t="str" cm="1">
        <f t="array" ref="N11:N20">Table_Input_InorganicFertiliser_Brands[Product (select)]</f>
        <v>Urea</v>
      </c>
      <c r="O11" s="15" cm="1">
        <f t="array" ref="O11:O20">Table_Input_InorganicFertiliser_Brands[N application rate (kg/ha)]</f>
        <v>46</v>
      </c>
      <c r="P11" s="15" cm="1">
        <f t="array" ref="P11:P20">IF(Table_Input_InorganicFertiliser_Brands[N application rate (kg/ha)]&gt;0, Table_Input_InorganicFertiliser_Brands[Application area (ha)], 0)</f>
        <v>1000</v>
      </c>
      <c r="Q11" s="15">
        <f>O11*P11</f>
        <v>46000</v>
      </c>
    </row>
    <row r="12" spans="1:24" ht="20.100000000000001" customHeight="1" x14ac:dyDescent="0.2">
      <c r="A12" s="5" t="str">
        <f>HYPERLINK("#'Input - Fert Prod System'!A1", "Fert Prod System")</f>
        <v>Fert Prod System</v>
      </c>
      <c r="M12" s="15" t="s">
        <v>376</v>
      </c>
      <c r="N12" s="15" t="str">
        <v>Boost-It</v>
      </c>
      <c r="O12" s="15">
        <v>24</v>
      </c>
      <c r="P12" s="15">
        <v>1000</v>
      </c>
      <c r="Q12" s="15">
        <f>O12*P12</f>
        <v>24000</v>
      </c>
    </row>
    <row r="13" spans="1:24" ht="20.100000000000001" customHeight="1" x14ac:dyDescent="0.2">
      <c r="A13" s="5" t="str">
        <f>HYPERLINK("#'Input - Fertiliser'!A1", "Fertiliser")</f>
        <v>Fertiliser</v>
      </c>
      <c r="D13" s="139" t="s">
        <v>1030</v>
      </c>
      <c r="E13" s="139" t="s">
        <v>1031</v>
      </c>
      <c r="F13" s="139"/>
      <c r="G13" s="139" t="s">
        <v>370</v>
      </c>
      <c r="H13" s="141" t="s">
        <v>1034</v>
      </c>
      <c r="I13" s="143" t="str" cm="1">
        <f t="array" aca="1" ref="I13" ca="1">HYPERLINK(Common_InputFunctions.Utility_SourceHyperlink($D$16), $D$16)</f>
        <v>Table_MN_j_f</v>
      </c>
      <c r="M13" s="15" t="s">
        <v>376</v>
      </c>
      <c r="N13" s="15" t="str">
        <v>Cal-Gran 50/50</v>
      </c>
      <c r="O13" s="15">
        <v>17.899999999999999</v>
      </c>
      <c r="P13" s="15">
        <v>1000</v>
      </c>
      <c r="Q13" s="15">
        <f t="shared" ref="Q13:Q20" si="0">O13*P13</f>
        <v>17900</v>
      </c>
    </row>
    <row r="14" spans="1:24" ht="20.100000000000001" customHeight="1" x14ac:dyDescent="0.2">
      <c r="A14" s="5" t="str">
        <f>HYPERLINK("#'Input - Fuel'!A1", "Fuel")</f>
        <v>Fuel</v>
      </c>
      <c r="D14" s="139" t="s">
        <v>1032</v>
      </c>
      <c r="E14" s="140" t="s">
        <v>1033</v>
      </c>
      <c r="F14" s="145"/>
      <c r="G14" s="139" t="s">
        <v>1035</v>
      </c>
      <c r="H14" s="142" t="s">
        <v>1036</v>
      </c>
      <c r="I14" s="143" t="str" cm="1">
        <f t="array" aca="1" ref="I14" ca="1">HYPERLINK(Common_InputFunctions.Utility_SourceHyperlink($D$16), $D$16)</f>
        <v>Table_MN_j_f</v>
      </c>
      <c r="M14" s="15" t="s">
        <v>376</v>
      </c>
      <c r="N14" s="15">
        <v>0</v>
      </c>
      <c r="O14" s="15">
        <v>0</v>
      </c>
      <c r="P14" s="15">
        <v>0</v>
      </c>
      <c r="Q14" s="15">
        <f t="shared" si="0"/>
        <v>0</v>
      </c>
    </row>
    <row r="15" spans="1:24" ht="20.100000000000001" customHeight="1" x14ac:dyDescent="0.2">
      <c r="A15" s="5" t="str">
        <f>HYPERLINK("#'Input - Electricity'!A1", "Electricity")</f>
        <v>Electricity</v>
      </c>
      <c r="M15" s="15" t="s">
        <v>376</v>
      </c>
      <c r="N15" s="15">
        <v>0</v>
      </c>
      <c r="O15" s="15">
        <v>0</v>
      </c>
      <c r="P15" s="15">
        <v>0</v>
      </c>
      <c r="Q15" s="15">
        <f t="shared" si="0"/>
        <v>0</v>
      </c>
    </row>
    <row r="16" spans="1:24" ht="20.100000000000001" customHeight="1" x14ac:dyDescent="0.2">
      <c r="A16" s="5" t="str">
        <f>HYPERLINK("#'Input - Common farm inputs'!A1", "Common farm inputs")</f>
        <v>Common farm inputs</v>
      </c>
      <c r="D16" s="135" t="s">
        <v>377</v>
      </c>
      <c r="M16" s="15" t="s">
        <v>376</v>
      </c>
      <c r="N16" s="15">
        <v>0</v>
      </c>
      <c r="O16" s="15">
        <v>0</v>
      </c>
      <c r="P16" s="15">
        <v>0</v>
      </c>
      <c r="Q16" s="15">
        <f t="shared" si="0"/>
        <v>0</v>
      </c>
    </row>
    <row r="17" spans="1:17" ht="20.100000000000001" customHeight="1" x14ac:dyDescent="0.2">
      <c r="A17" s="5" t="str">
        <f>HYPERLINK("#'Input - Crop pasture farm input'!A1", "Crop pasture farm input")</f>
        <v>Crop pasture farm input</v>
      </c>
      <c r="D17" s="136" t="s">
        <v>378</v>
      </c>
      <c r="M17" s="15" t="s">
        <v>376</v>
      </c>
      <c r="N17" s="15">
        <v>0</v>
      </c>
      <c r="O17" s="15">
        <v>0</v>
      </c>
      <c r="P17" s="15">
        <v>0</v>
      </c>
      <c r="Q17" s="15">
        <f t="shared" si="0"/>
        <v>0</v>
      </c>
    </row>
    <row r="18" spans="1:17" ht="20.100000000000001" customHeight="1" x14ac:dyDescent="0.2">
      <c r="A18" s="5" t="str">
        <f>HYPERLINK("#'Input - Freight'!A1", "Freight")</f>
        <v>Freight</v>
      </c>
      <c r="D18" s="138" t="s">
        <v>379</v>
      </c>
      <c r="E18" s="80" t="s">
        <v>380</v>
      </c>
      <c r="F18" s="138" t="s">
        <v>381</v>
      </c>
      <c r="G18" s="138" t="s">
        <v>382</v>
      </c>
      <c r="M18" s="15" t="s">
        <v>376</v>
      </c>
      <c r="N18" s="15">
        <v>0</v>
      </c>
      <c r="O18" s="15">
        <v>0</v>
      </c>
      <c r="P18" s="15">
        <v>0</v>
      </c>
      <c r="Q18" s="15">
        <f t="shared" si="0"/>
        <v>0</v>
      </c>
    </row>
    <row r="19" spans="1:17" ht="20.100000000000001" customHeight="1" x14ac:dyDescent="0.2">
      <c r="A19" s="5" t="str">
        <f>HYPERLINK("#'Input - Solid waste'!A1", "Solid waste")</f>
        <v>Solid waste</v>
      </c>
      <c r="D19" s="15" t="str" cm="1">
        <f t="array" ref="D19:D37">Table_Fertiliser_ChemicalCompounds[Fertiliser type f]</f>
        <v>Monoammonium phosphate (MAP)</v>
      </c>
      <c r="E19" s="15" cm="1">
        <f t="array" ref="E19">Fertiliser_InputFunctions.Fertiliser_TotalChemicalCompoundAppliedAllIngredients($D19,Table_Input_InorganicFertiliser_Brands[Total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19" s="15" cm="1">
        <f t="array" ref="F19">Common_InputFunctions.Utility_LookupValueInTableNumber(D19,Table_Fertiliser_ChemicalCompounds[Fertiliser type f],Table_Fertiliser_ChemicalCompounds[FNinorganic f])</f>
        <v>0.1</v>
      </c>
      <c r="G19" s="15">
        <f>(E19 * F19)</f>
        <v>0</v>
      </c>
      <c r="M19" s="15" t="s">
        <v>376</v>
      </c>
      <c r="N19" s="15">
        <v>0</v>
      </c>
      <c r="O19" s="15">
        <v>0</v>
      </c>
      <c r="P19" s="15">
        <v>0</v>
      </c>
      <c r="Q19" s="15">
        <f t="shared" si="0"/>
        <v>0</v>
      </c>
    </row>
    <row r="20" spans="1:17" ht="20.100000000000001" customHeight="1" x14ac:dyDescent="0.2">
      <c r="A20" s="5" t="str">
        <f>HYPERLINK("#'Input - Data quality'!A1", "Data quality")</f>
        <v>Data quality</v>
      </c>
      <c r="D20" s="15" t="str">
        <v>Diammonium phosphate (DAP)</v>
      </c>
      <c r="E20" s="15" cm="1">
        <f t="array" ref="E20">Fertiliser_InputFunctions.Fertiliser_TotalChemicalCompoundAppliedAllIngredients($D20,Table_Input_InorganicFertiliser_Brands[Total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0" s="15" cm="1">
        <f t="array" ref="F20">Common_InputFunctions.Utility_LookupValueInTableNumber(D20,Table_Fertiliser_ChemicalCompounds[Fertiliser type f],Table_Fertiliser_ChemicalCompounds[FNinorganic f])</f>
        <v>0.18</v>
      </c>
      <c r="G20" s="15">
        <f>(E20 * F20)</f>
        <v>0</v>
      </c>
      <c r="M20" s="15" t="s">
        <v>376</v>
      </c>
      <c r="N20" s="15">
        <v>0</v>
      </c>
      <c r="O20" s="15">
        <v>0</v>
      </c>
      <c r="P20" s="15">
        <v>0</v>
      </c>
      <c r="Q20" s="15">
        <f t="shared" si="0"/>
        <v>0</v>
      </c>
    </row>
    <row r="21" spans="1:17" ht="20.100000000000001" customHeight="1" x14ac:dyDescent="0.2">
      <c r="D21" s="15" t="str">
        <v>Urea</v>
      </c>
      <c r="E21" s="15" cm="1">
        <f t="array" ref="E21">Fertiliser_InputFunctions.Fertiliser_TotalChemicalCompoundAppliedAllIngredients($D21,Table_Input_InorganicFertiliser_Brands[Total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252173.9</v>
      </c>
      <c r="F21" s="15" cm="1">
        <f t="array" ref="F21">Common_InputFunctions.Utility_LookupValueInTableNumber(D21,Table_Fertiliser_ChemicalCompounds[Fertiliser type f],Table_Fertiliser_ChemicalCompounds[FNinorganic f])</f>
        <v>0.46</v>
      </c>
      <c r="G21" s="15">
        <f>(E21 * F21)</f>
        <v>115999.99400000001</v>
      </c>
      <c r="M21" s="15" t="s">
        <v>383</v>
      </c>
      <c r="N21" s="15" t="str" cm="1">
        <f t="array" ref="N21:N30">Table_Input_InorganicFertiliser_Custom[Custom blend name]</f>
        <v>My first custom blend</v>
      </c>
      <c r="O21" s="15" cm="1">
        <f t="array" ref="O21:O30">Table_Input_InorganicFertiliser_Custom[N application rate (kg/ha)]</f>
        <v>7.75</v>
      </c>
      <c r="P21" s="15" cm="1">
        <f t="array" ref="P21:P30">IF(Table_Input_InorganicFertiliser_Custom[N application rate (kg/ha)]&gt;0, Table_Input_InorganicFertiliser_Custom[Application area (ha)],0)</f>
        <v>1000</v>
      </c>
      <c r="Q21" s="15">
        <f>O21*P21</f>
        <v>7750</v>
      </c>
    </row>
    <row r="22" spans="1:17" ht="20.100000000000001" customHeight="1" x14ac:dyDescent="0.2">
      <c r="D22" s="15" t="str">
        <v>Sulphate of ammonia (SOA)</v>
      </c>
      <c r="E22" s="15" cm="1">
        <f t="array" ref="E22">Fertiliser_InputFunctions.Fertiliser_TotalChemicalCompoundAppliedAllIngredients($D22,Table_Input_InorganicFertiliser_Brands[Total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2" s="15" cm="1">
        <f t="array" ref="F22">Common_InputFunctions.Utility_LookupValueInTableNumber(D22,Table_Fertiliser_ChemicalCompounds[Fertiliser type f],Table_Fertiliser_ChemicalCompounds[FNinorganic f])</f>
        <v>0.21</v>
      </c>
      <c r="G22" s="15">
        <f>(E22 * F22)</f>
        <v>0</v>
      </c>
      <c r="M22" s="15" t="s">
        <v>383</v>
      </c>
      <c r="N22" s="15" t="str">
        <v>My second custom blend</v>
      </c>
      <c r="O22" s="15">
        <v>46</v>
      </c>
      <c r="P22" s="15">
        <v>1000</v>
      </c>
      <c r="Q22" s="15">
        <f>O22*P22</f>
        <v>46000</v>
      </c>
    </row>
    <row r="23" spans="1:17" ht="20.100000000000001" customHeight="1" x14ac:dyDescent="0.2">
      <c r="A23" s="6" t="s">
        <v>2</v>
      </c>
      <c r="D23" s="15" t="str">
        <v>Urea-ammonium nitrate (UAN)</v>
      </c>
      <c r="E23" s="15" cm="1">
        <f t="array" ref="E23">Fertiliser_InputFunctions.Fertiliser_TotalChemicalCompoundAppliedAllIngredients($D23,Table_Input_InorganicFertiliser_Brands[Total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3" s="15" cm="1">
        <f t="array" ref="F23">Common_InputFunctions.Utility_LookupValueInTableNumber(D23,Table_Fertiliser_ChemicalCompounds[Fertiliser type f],Table_Fertiliser_ChemicalCompounds[FNinorganic f])</f>
        <v>0.32</v>
      </c>
      <c r="G23" s="15">
        <f>(E23 * F23)</f>
        <v>0</v>
      </c>
      <c r="M23" s="15" t="s">
        <v>383</v>
      </c>
      <c r="N23" s="15" t="str">
        <v>My third custom blend</v>
      </c>
      <c r="O23" s="15">
        <v>41.174999999999997</v>
      </c>
      <c r="P23" s="15">
        <v>1000</v>
      </c>
      <c r="Q23" s="15">
        <f>O23*P23</f>
        <v>41175</v>
      </c>
    </row>
    <row r="24" spans="1:17" ht="20.100000000000001" customHeight="1" x14ac:dyDescent="0.2">
      <c r="A24" s="144" t="str">
        <f>HYPERLINK("#'5.1.1.1-2 Inorganic fert N2O'!A1", "5.1.1.1-2 Inorganic fert N2O")</f>
        <v>5.1.1.1-2 Inorganic fert N2O</v>
      </c>
      <c r="D24" s="15" t="str">
        <v>Ammonium nitrate (AN)</v>
      </c>
      <c r="E24" s="15" cm="1">
        <f t="array" ref="E24">Fertiliser_InputFunctions.Fertiliser_TotalChemicalCompoundAppliedAllIngredients($D24,Table_Input_InorganicFertiliser_Brands[Total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4" s="15" cm="1">
        <f t="array" ref="F24">Common_InputFunctions.Utility_LookupValueInTableNumber(D24,Table_Fertiliser_ChemicalCompounds[Fertiliser type f],Table_Fertiliser_ChemicalCompounds[FNinorganic f])</f>
        <v>0.33700000000000002</v>
      </c>
      <c r="G24" s="15">
        <f>(E24 * F24)</f>
        <v>0</v>
      </c>
      <c r="J24" s="16"/>
      <c r="M24" s="15" t="s">
        <v>383</v>
      </c>
      <c r="N24" s="15">
        <v>0</v>
      </c>
      <c r="O24" s="15">
        <v>0</v>
      </c>
      <c r="P24" s="15">
        <v>0</v>
      </c>
      <c r="Q24" s="15">
        <f>O24*P24</f>
        <v>0</v>
      </c>
    </row>
    <row r="25" spans="1:17" ht="20.100000000000001" customHeight="1" x14ac:dyDescent="0.2">
      <c r="A25" s="5" t="str">
        <f>HYPERLINK("#'5.1.1.3-4 Inorganic fert CO2'!A1", "5.1.1.3-4 Inorganic fert CO2")</f>
        <v>5.1.1.3-4 Inorganic fert CO2</v>
      </c>
      <c r="D25" s="15" t="str">
        <v>Calcium ammonium nitrate (CAN)</v>
      </c>
      <c r="E25" s="15" cm="1">
        <f t="array" ref="E25">Fertiliser_InputFunctions.Fertiliser_TotalChemicalCompoundAppliedAllIngredients($D25,Table_Input_InorganicFertiliser_Brands[Total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5" s="15" cm="1">
        <f t="array" ref="F25">Common_InputFunctions.Utility_LookupValueInTableNumber(D25,Table_Fertiliser_ChemicalCompounds[Fertiliser type f],Table_Fertiliser_ChemicalCompounds[FNinorganic f])</f>
        <v>0.27</v>
      </c>
      <c r="G25" s="15">
        <f>(E25 * F25)</f>
        <v>0</v>
      </c>
      <c r="J25" s="16"/>
      <c r="M25" s="15" t="s">
        <v>383</v>
      </c>
      <c r="N25" s="15">
        <v>0</v>
      </c>
      <c r="O25" s="15">
        <v>0</v>
      </c>
      <c r="P25" s="15">
        <v>0</v>
      </c>
      <c r="Q25" s="15">
        <f>O25*P25</f>
        <v>0</v>
      </c>
    </row>
    <row r="26" spans="1:17" ht="20.100000000000001" customHeight="1" x14ac:dyDescent="0.2">
      <c r="A26" s="5" t="str">
        <f>HYPERLINK("#'5.2.1.1-2 Organic Fert N2O'!A1", "5.2.1.1-2 Organic fert N2O")</f>
        <v>5.2.1.1-2 Organic fert N2O</v>
      </c>
      <c r="D26" s="15" t="str">
        <v>Nitrogen - Ammoniacal</v>
      </c>
      <c r="E26" s="15" cm="1">
        <f t="array" ref="E26">Fertiliser_InputFunctions.Fertiliser_TotalChemicalCompoundAppliedAllIngredients($D26,Table_Input_InorganicFertiliser_Brands[Total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12400</v>
      </c>
      <c r="F26" s="15" cm="1">
        <f t="array" ref="F26">Common_InputFunctions.Utility_LookupValueInTableNumber(D26,Table_Fertiliser_ChemicalCompounds[Fertiliser type f],Table_Fertiliser_ChemicalCompounds[FNinorganic f])</f>
        <v>1</v>
      </c>
      <c r="G26" s="15">
        <f>(E26 * F26)</f>
        <v>12400</v>
      </c>
      <c r="M26" s="15" t="s">
        <v>383</v>
      </c>
      <c r="N26" s="15">
        <v>0</v>
      </c>
      <c r="O26" s="15">
        <v>0</v>
      </c>
      <c r="P26" s="15">
        <v>0</v>
      </c>
      <c r="Q26" s="15">
        <f t="shared" ref="Q26:Q30" si="1">O26*P26</f>
        <v>0</v>
      </c>
    </row>
    <row r="27" spans="1:17" ht="20.100000000000001" customHeight="1" x14ac:dyDescent="0.2">
      <c r="A27" s="5" t="str">
        <f>HYPERLINK("#'5.3.1.1-2 Lime CO2'!A1", "5.3.1.1-2 Lime CO2")</f>
        <v>5.3.1.1-2 Lime CO2</v>
      </c>
      <c r="D27" s="15" t="str">
        <v>Nitrogen - Nitrate</v>
      </c>
      <c r="E27" s="15" cm="1">
        <f t="array" ref="E27">Fertiliser_InputFunctions.Fertiliser_TotalChemicalCompoundAppliedAllIngredients($D27,Table_Input_InorganicFertiliser_Brands[Total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5500</v>
      </c>
      <c r="F27" s="15" cm="1">
        <f t="array" ref="F27">Common_InputFunctions.Utility_LookupValueInTableNumber(D27,Table_Fertiliser_ChemicalCompounds[Fertiliser type f],Table_Fertiliser_ChemicalCompounds[FNinorganic f])</f>
        <v>1</v>
      </c>
      <c r="G27" s="15">
        <f>(E27 * F27)</f>
        <v>5500</v>
      </c>
      <c r="M27" s="15" t="s">
        <v>383</v>
      </c>
      <c r="N27" s="15">
        <v>0</v>
      </c>
      <c r="O27" s="15">
        <v>0</v>
      </c>
      <c r="P27" s="15">
        <v>0</v>
      </c>
      <c r="Q27" s="15">
        <f t="shared" si="1"/>
        <v>0</v>
      </c>
    </row>
    <row r="28" spans="1:17" ht="20.100000000000001" customHeight="1" x14ac:dyDescent="0.2">
      <c r="A28" s="5" t="str">
        <f>HYPERLINK("#'5.4.1.1-4 Atmos deposition'!A1", "5.4.1.1-4 Atmos. deposition")</f>
        <v>5.4.1.1-4 Atmos. deposition</v>
      </c>
      <c r="D28" s="15" t="str">
        <v>Nitrogen - Generic</v>
      </c>
      <c r="E28" s="15" cm="1">
        <f t="array" ref="E28">Fertiliser_InputFunctions.Fertiliser_TotalChemicalCompoundAppliedAllIngredients($D28,Table_Input_InorganicFertiliser_Brands[Total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8" s="15" cm="1">
        <f t="array" ref="F28">Common_InputFunctions.Utility_LookupValueInTableNumber(D28,Table_Fertiliser_ChemicalCompounds[Fertiliser type f],Table_Fertiliser_ChemicalCompounds[FNinorganic f])</f>
        <v>1</v>
      </c>
      <c r="G28" s="15">
        <f>(E28 * F28)</f>
        <v>0</v>
      </c>
      <c r="M28" s="15" t="s">
        <v>383</v>
      </c>
      <c r="N28" s="15">
        <v>0</v>
      </c>
      <c r="O28" s="15">
        <v>0</v>
      </c>
      <c r="P28" s="15">
        <v>0</v>
      </c>
      <c r="Q28" s="15">
        <f t="shared" si="1"/>
        <v>0</v>
      </c>
    </row>
    <row r="29" spans="1:17" ht="20.100000000000001" customHeight="1" x14ac:dyDescent="0.2">
      <c r="A29" s="5" t="str">
        <f>HYPERLINK("#'5.5.1.1-2 Leaching and runoff'!A1", "5.5.1.1-2 Leaching &amp; runoff")</f>
        <v>5.5.1.1-2 Leaching &amp; runoff</v>
      </c>
      <c r="D29" s="15" t="str">
        <v>Phosphorus - Generic</v>
      </c>
      <c r="E29" s="15" cm="1">
        <f t="array" ref="E29">Fertiliser_InputFunctions.Fertiliser_TotalChemicalCompoundAppliedAllIngredients($D29,Table_Input_InorganicFertiliser_Brands[Total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5200</v>
      </c>
      <c r="F29" s="15" cm="1">
        <f t="array" ref="F29">Common_InputFunctions.Utility_LookupValueInTableNumber(D29,Table_Fertiliser_ChemicalCompounds[Fertiliser type f],Table_Fertiliser_ChemicalCompounds[FNinorganic f])</f>
        <v>0</v>
      </c>
      <c r="G29" s="15">
        <f>(E29 * F29)</f>
        <v>0</v>
      </c>
      <c r="M29" s="15" t="s">
        <v>383</v>
      </c>
      <c r="N29" s="15">
        <v>0</v>
      </c>
      <c r="O29" s="15">
        <v>0</v>
      </c>
      <c r="P29" s="15">
        <v>0</v>
      </c>
      <c r="Q29" s="15">
        <f t="shared" si="1"/>
        <v>0</v>
      </c>
    </row>
    <row r="30" spans="1:17" ht="20.100000000000001" customHeight="1" x14ac:dyDescent="0.2">
      <c r="A30" s="5" t="str">
        <f>HYPERLINK("#'6.1.1.1-2 Crop residue N2O'!A1", "6.1.1.1-2 Crop residue N2O")</f>
        <v>6.1.1.1-2 Crop residue N2O</v>
      </c>
      <c r="D30" s="15" t="str">
        <v>Potassium - Generic</v>
      </c>
      <c r="E30" s="15" cm="1">
        <f t="array" ref="E30">Fertiliser_InputFunctions.Fertiliser_TotalChemicalCompoundAppliedAllIngredients($D30,Table_Input_InorganicFertiliser_Brands[Total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43000</v>
      </c>
      <c r="F30" s="15" cm="1">
        <f t="array" ref="F30">Common_InputFunctions.Utility_LookupValueInTableNumber(D30,Table_Fertiliser_ChemicalCompounds[Fertiliser type f],Table_Fertiliser_ChemicalCompounds[FNinorganic f])</f>
        <v>0</v>
      </c>
      <c r="G30" s="15">
        <f>(E30 * F30)</f>
        <v>0</v>
      </c>
      <c r="M30" s="15" t="s">
        <v>383</v>
      </c>
      <c r="N30" s="15">
        <v>0</v>
      </c>
      <c r="O30" s="15">
        <v>0</v>
      </c>
      <c r="P30" s="15">
        <v>0</v>
      </c>
      <c r="Q30" s="15">
        <f t="shared" si="1"/>
        <v>0</v>
      </c>
    </row>
    <row r="31" spans="1:17" ht="20.100000000000001" customHeight="1" x14ac:dyDescent="0.2">
      <c r="A31" s="5" t="str">
        <f>HYPERLINK("#'6.3.1.1-2 Leach runoff crop'!A1", "6.3.1.1-2 Leach &amp; runoff (crop)")</f>
        <v>6.3.1.1-2 Leach &amp; runoff (crop)</v>
      </c>
      <c r="D31" s="15" t="str">
        <v>Sulfur - Generic</v>
      </c>
      <c r="E31" s="15" cm="1">
        <f t="array" ref="E31">Fertiliser_InputFunctions.Fertiliser_TotalChemicalCompoundAppliedAllIngredients($D31,Table_Input_InorganicFertiliser_Brands[Total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18900</v>
      </c>
      <c r="F31" s="15" cm="1">
        <f t="array" ref="F31">Common_InputFunctions.Utility_LookupValueInTableNumber(D31,Table_Fertiliser_ChemicalCompounds[Fertiliser type f],Table_Fertiliser_ChemicalCompounds[FNinorganic f])</f>
        <v>0</v>
      </c>
      <c r="G31" s="15">
        <f>(E31 * F31)</f>
        <v>0</v>
      </c>
    </row>
    <row r="32" spans="1:17" ht="20.100000000000001" customHeight="1" x14ac:dyDescent="0.2">
      <c r="A32" s="5" t="str">
        <f>HYPERLINK("#'6.4.1.1-2 Residue burning'!A1", "6.4.1.1-2 Residue burning")</f>
        <v>6.4.1.1-2 Residue burning</v>
      </c>
      <c r="D32" s="15" t="str">
        <v>Zinc - Generic</v>
      </c>
      <c r="E32" s="15" cm="1">
        <f t="array" ref="E32">Fertiliser_InputFunctions.Fertiliser_TotalChemicalCompoundAppliedAllIngredients($D32,Table_Input_InorganicFertiliser_Brands[Total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20000</v>
      </c>
      <c r="F32" s="15" cm="1">
        <f t="array" ref="F32">Common_InputFunctions.Utility_LookupValueInTableNumber(D32,Table_Fertiliser_ChemicalCompounds[Fertiliser type f],Table_Fertiliser_ChemicalCompounds[FNinorganic f])</f>
        <v>0</v>
      </c>
      <c r="G32" s="15">
        <f>(E32 * F32)</f>
        <v>0</v>
      </c>
    </row>
    <row r="33" spans="1:24" ht="20.100000000000001" customHeight="1" x14ac:dyDescent="0.2">
      <c r="A33" s="5" t="str">
        <f>HYPERLINK("#'8.1.1.1-2 Transport fuel'!A1", "8.1.1.1-2 Transport fuel")</f>
        <v>8.1.1.1-2 Transport fuel</v>
      </c>
      <c r="D33" s="15" t="str">
        <v>Muriate of potash (MOP)</v>
      </c>
      <c r="E33" s="15" cm="1">
        <f t="array" ref="E33">Fertiliser_InputFunctions.Fertiliser_TotalChemicalCompoundAppliedAllIngredients($D33,Table_Input_InorganicFertiliser_Brands[Total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3" s="15" cm="1">
        <f t="array" ref="F33">Common_InputFunctions.Utility_LookupValueInTableNumber(D33,Table_Fertiliser_ChemicalCompounds[Fertiliser type f],Table_Fertiliser_ChemicalCompounds[FNinorganic f])</f>
        <v>0</v>
      </c>
      <c r="G33" s="15">
        <f>(E33 * F33)</f>
        <v>0</v>
      </c>
      <c r="M33" s="90" t="s">
        <v>384</v>
      </c>
      <c r="N33" s="85">
        <f>SUM(Q11:Q30)</f>
        <v>182825</v>
      </c>
    </row>
    <row r="34" spans="1:24" ht="20.100000000000001" customHeight="1" x14ac:dyDescent="0.2">
      <c r="A34" s="5" t="str">
        <f>HYPERLINK("#'8.2.1.1-2 Stationary fuel'!A1", "8.2.1.1-2 Stationary fuel")</f>
        <v>8.2.1.1-2 Stationary fuel</v>
      </c>
      <c r="D34" s="15" t="str">
        <v>Double superphosphate</v>
      </c>
      <c r="E34" s="15" cm="1">
        <f t="array" ref="E34">Fertiliser_InputFunctions.Fertiliser_TotalChemicalCompoundAppliedAllIngredients($D34,Table_Input_InorganicFertiliser_Brands[Total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4" s="15" cm="1">
        <f t="array" ref="F34">Common_InputFunctions.Utility_LookupValueInTableNumber(D34,Table_Fertiliser_ChemicalCompounds[Fertiliser type f],Table_Fertiliser_ChemicalCompounds[FNinorganic f])</f>
        <v>0</v>
      </c>
      <c r="G34" s="15">
        <f>(E34 * F34)</f>
        <v>0</v>
      </c>
      <c r="M34" s="77" t="s">
        <v>385</v>
      </c>
      <c r="N34" s="1">
        <f>MAX(P11:P30)</f>
        <v>1000</v>
      </c>
    </row>
    <row r="35" spans="1:24" ht="20.100000000000001" customHeight="1" x14ac:dyDescent="0.2">
      <c r="A35" s="5" t="str">
        <f>HYPERLINK("#'10.1.1-2 Solid waste treatment'!A1", "10.1.1.1-2 Solid waste")</f>
        <v>10.1.1.1-2 Solid waste</v>
      </c>
      <c r="D35" s="15" t="str">
        <v>Single superphosphate (SSP)</v>
      </c>
      <c r="E35" s="15" cm="1">
        <f t="array" ref="E35">Fertiliser_InputFunctions.Fertiliser_TotalChemicalCompoundAppliedAllIngredients($D35,Table_Input_InorganicFertiliser_Brands[Total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5" s="15" cm="1">
        <f t="array" ref="F35">Common_InputFunctions.Utility_LookupValueInTableNumber(D35,Table_Fertiliser_ChemicalCompounds[Fertiliser type f],Table_Fertiliser_ChemicalCompounds[FNinorganic f])</f>
        <v>0</v>
      </c>
      <c r="G35" s="15">
        <f>(E35 * F35)</f>
        <v>0</v>
      </c>
      <c r="M35" s="77" t="s">
        <v>386</v>
      </c>
      <c r="N35" s="1">
        <f>N33/N34</f>
        <v>182.82499999999999</v>
      </c>
    </row>
    <row r="36" spans="1:24" ht="20.100000000000001" customHeight="1" x14ac:dyDescent="0.2">
      <c r="A36" s="5" t="str">
        <f>HYPERLINK("#'14.1.1-2 Purchased electricity'!A1", "14.1.1-2 Purchased electricity")</f>
        <v>14.1.1-2 Purchased electricity</v>
      </c>
      <c r="D36" s="15" t="str">
        <v>Ammonia</v>
      </c>
      <c r="E36" s="15" cm="1">
        <f t="array" ref="E36">Fertiliser_InputFunctions.Fertiliser_TotalChemicalCompoundAppliedAllIngredients($D36,Table_Input_InorganicFertiliser_Brands[Total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50000</v>
      </c>
      <c r="F36" s="15" cm="1">
        <f t="array" ref="F36">Common_InputFunctions.Utility_LookupValueInTableNumber(D36,Table_Fertiliser_ChemicalCompounds[Fertiliser type f],Table_Fertiliser_ChemicalCompounds[FNinorganic f])</f>
        <v>0.82350000000000001</v>
      </c>
      <c r="G36" s="15">
        <f>(E36 * F36)</f>
        <v>41175</v>
      </c>
    </row>
    <row r="37" spans="1:24" ht="20.100000000000001" customHeight="1" x14ac:dyDescent="0.2">
      <c r="A37" s="5" t="str">
        <f>HYPERLINK("#'15 Scope 3'!A1", "15 Scope 3")</f>
        <v>15 Scope 3</v>
      </c>
      <c r="D37" s="15" t="str">
        <v>Calcium nitrate</v>
      </c>
      <c r="E37" s="15" cm="1">
        <f t="array" ref="E37">Fertiliser_InputFunctions.Fertiliser_TotalChemicalCompoundAppliedAllIngredients($D37,Table_Input_InorganicFertiliser_Brands[Total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50000</v>
      </c>
      <c r="F37" s="15" cm="1">
        <f t="array" ref="F37">Common_InputFunctions.Utility_LookupValueInTableNumber(D37,Table_Fertiliser_ChemicalCompounds[Fertiliser type f],Table_Fertiliser_ChemicalCompounds[FNinorganic f])</f>
        <v>0.155</v>
      </c>
      <c r="G37" s="15">
        <f>(E37 * F37)</f>
        <v>7750</v>
      </c>
      <c r="L37" s="85"/>
      <c r="M37" s="85"/>
      <c r="N37" s="85"/>
      <c r="O37" s="85"/>
      <c r="P37" s="85"/>
      <c r="Q37" s="85"/>
      <c r="R37" s="85"/>
      <c r="S37" s="85"/>
      <c r="T37" s="85"/>
      <c r="U37" s="85"/>
      <c r="V37" s="85"/>
      <c r="W37" s="85"/>
      <c r="X37" s="85"/>
    </row>
    <row r="39" spans="1:24" ht="20.100000000000001" customHeight="1" x14ac:dyDescent="0.2">
      <c r="C39" s="85"/>
      <c r="D39" s="85"/>
      <c r="E39" s="85"/>
      <c r="F39" s="85"/>
      <c r="G39" s="85"/>
      <c r="H39" s="85"/>
      <c r="I39" s="85"/>
      <c r="J39" s="85"/>
      <c r="M39" s="2" t="s">
        <v>1037</v>
      </c>
    </row>
    <row r="40" spans="1:24" ht="20.100000000000001" customHeight="1" x14ac:dyDescent="0.2">
      <c r="A40" s="82" t="s">
        <v>1</v>
      </c>
      <c r="D40" s="2" t="s">
        <v>1039</v>
      </c>
      <c r="M40" s="17" t="s">
        <v>1038</v>
      </c>
    </row>
    <row r="41" spans="1:24" ht="20.100000000000001" customHeight="1" x14ac:dyDescent="0.2">
      <c r="A41" s="5" t="str">
        <f>HYPERLINK("#'Constants - Ag Residue'!A1", "Constants - Ag residue")</f>
        <v>Constants - Ag residue</v>
      </c>
      <c r="D41" s="17" t="s">
        <v>1040</v>
      </c>
    </row>
    <row r="42" spans="1:24" ht="20.100000000000001" customHeight="1" x14ac:dyDescent="0.2">
      <c r="A42" s="5" t="str">
        <f>HYPERLINK("#'Constants - Electricity'!A1", "Constants - Electricity")</f>
        <v>Constants - Electricity</v>
      </c>
      <c r="D42" s="134"/>
      <c r="E42" s="134"/>
      <c r="F42" s="16"/>
    </row>
    <row r="43" spans="1:24" ht="20.100000000000001" customHeight="1" x14ac:dyDescent="0.2">
      <c r="A43" s="5" t="str">
        <f>HYPERLINK("#'Constants - Fertiliser'!A1", "Constants - Fertiliser")</f>
        <v>Constants - Fertiliser</v>
      </c>
      <c r="F43" s="16"/>
      <c r="M43" s="77" t="s">
        <v>371</v>
      </c>
      <c r="N43" s="1" t="s">
        <v>1041</v>
      </c>
    </row>
    <row r="44" spans="1:24" ht="20.100000000000001" customHeight="1" x14ac:dyDescent="0.2">
      <c r="A44" s="5" t="str">
        <f>HYPERLINK("#'Constants - Fuel'!A1", "Constants - Fuel")</f>
        <v>Constants - Fuel</v>
      </c>
      <c r="F44" s="16"/>
      <c r="M44" s="77" t="s">
        <v>118</v>
      </c>
      <c r="N44" s="9" t="s">
        <v>1042</v>
      </c>
    </row>
    <row r="45" spans="1:24" ht="20.100000000000001" customHeight="1" x14ac:dyDescent="0.2">
      <c r="A45" s="5" t="str">
        <f>HYPERLINK("#'Constants - Scope 3'!A1", "Constants - Scope 3")</f>
        <v>Constants - Scope 3</v>
      </c>
      <c r="F45" s="16"/>
    </row>
    <row r="46" spans="1:24" ht="20.100000000000001" customHeight="1" x14ac:dyDescent="0.2">
      <c r="A46" s="5" t="str">
        <f>HYPERLINK("#'Constants - Solid Waste'!A1", "Constants - Solid Waste")</f>
        <v>Constants - Solid Waste</v>
      </c>
      <c r="D46" s="77" t="s">
        <v>371</v>
      </c>
      <c r="E46" s="1" t="s">
        <v>749</v>
      </c>
      <c r="F46" s="16"/>
      <c r="M46" s="139" t="s">
        <v>1043</v>
      </c>
      <c r="N46" s="140" t="s">
        <v>1044</v>
      </c>
      <c r="O46" s="146"/>
      <c r="P46" s="139" t="s">
        <v>1047</v>
      </c>
      <c r="Q46" s="141" t="s">
        <v>1034</v>
      </c>
      <c r="R46" s="147">
        <f>$N$35</f>
        <v>182.82499999999999</v>
      </c>
      <c r="S46" s="148"/>
    </row>
    <row r="47" spans="1:24" ht="20.100000000000001" customHeight="1" x14ac:dyDescent="0.2">
      <c r="A47" s="5" t="str">
        <f>HYPERLINK("#'Constants - Common'!A1", "Constants - Common")</f>
        <v>Constants - Common</v>
      </c>
      <c r="D47" s="77" t="s">
        <v>118</v>
      </c>
      <c r="E47" s="9" t="s">
        <v>12</v>
      </c>
      <c r="F47" s="16"/>
      <c r="M47" s="139" t="s">
        <v>1045</v>
      </c>
      <c r="N47" s="140" t="s">
        <v>1046</v>
      </c>
      <c r="O47" s="146"/>
      <c r="P47" s="139"/>
      <c r="Q47" s="142" t="s">
        <v>1036</v>
      </c>
      <c r="R47" s="140" t="s">
        <v>387</v>
      </c>
      <c r="S47" s="148"/>
    </row>
    <row r="48" spans="1:24" ht="20.100000000000001" customHeight="1" x14ac:dyDescent="0.2">
      <c r="A48" s="5" t="str">
        <f>HYPERLINK("#'Constants - Common Livestock'!A1", "Constants - Common Livestock")</f>
        <v>Constants - Common Livestock</v>
      </c>
      <c r="F48" s="16"/>
    </row>
    <row r="49" spans="1:19" ht="20.100000000000001" customHeight="1" x14ac:dyDescent="0.2">
      <c r="D49" s="139" t="s">
        <v>1028</v>
      </c>
      <c r="E49" s="140" t="s">
        <v>1048</v>
      </c>
      <c r="F49" s="146"/>
      <c r="G49" s="139" t="s">
        <v>1029</v>
      </c>
      <c r="H49" s="142" t="s">
        <v>1058</v>
      </c>
      <c r="I49" s="143" t="str" cm="1">
        <f t="array" aca="1" ref="I49" ca="1">HYPERLINK(Common_InputFunctions.Utility_SourceHyperlink(D16), D16)</f>
        <v>Table_MN_j_f</v>
      </c>
      <c r="M49" s="1" t="s">
        <v>388</v>
      </c>
      <c r="N49" s="1">
        <f>((-0.1474 + (0.0061 * R46)) * 10 ^ -2)</f>
        <v>9.6783250000000015E-3</v>
      </c>
      <c r="O49" s="9" t="str">
        <f>N44</f>
        <v>kg N2O-N/kg N applied</v>
      </c>
    </row>
    <row r="50" spans="1:19" ht="20.100000000000001" customHeight="1" x14ac:dyDescent="0.2">
      <c r="D50" s="139" t="s">
        <v>1049</v>
      </c>
      <c r="E50" s="140" t="s">
        <v>1050</v>
      </c>
      <c r="F50" s="146"/>
      <c r="G50" s="139" t="s">
        <v>1042</v>
      </c>
      <c r="H50" s="142" t="s">
        <v>1036</v>
      </c>
      <c r="I50" s="139">
        <f>Common_InputFunctions.Utility_LookupN2OEFFromProdIrrigationRainfall(I52,I54,I55,Table_SourceData_Common_EFN2O[Production system only],Table_SourceData_Common_EFN2O[Irrigation method],Table_SourceData_Common_EFN2O[Rainfall zone],Table_SourceData_Common_EFN2O[EFN2O])</f>
        <v>7.0000000000000001E-3</v>
      </c>
    </row>
    <row r="51" spans="1:19" ht="20.100000000000001" customHeight="1" x14ac:dyDescent="0.2">
      <c r="D51" s="139" t="s">
        <v>1051</v>
      </c>
      <c r="E51" s="140" t="s">
        <v>1052</v>
      </c>
      <c r="F51" s="146"/>
      <c r="G51" s="139"/>
      <c r="H51" s="142" t="s">
        <v>1036</v>
      </c>
      <c r="I51" s="139">
        <f>Common_InputFunctions.Utility_LookupValueInTableNumber("N2O",Table_GasToMolecularConversionFactor[Gas],Table_GasToMolecularConversionFactor[Conversion factor combined])</f>
        <v>1.5714285714285714</v>
      </c>
    </row>
    <row r="52" spans="1:19" ht="20.100000000000001" customHeight="1" x14ac:dyDescent="0.2">
      <c r="D52" s="139" t="s">
        <v>1053</v>
      </c>
      <c r="E52" s="140" t="s">
        <v>177</v>
      </c>
      <c r="F52" s="146"/>
      <c r="G52" s="139"/>
      <c r="H52" s="141" t="s">
        <v>1034</v>
      </c>
      <c r="I52" s="139" t="str">
        <f>X_Cell_Fertiliser_ProductionSystem</f>
        <v>Crop</v>
      </c>
    </row>
    <row r="53" spans="1:19" ht="20.100000000000001" customHeight="1" x14ac:dyDescent="0.2">
      <c r="D53" s="139" t="s">
        <v>1045</v>
      </c>
      <c r="E53" s="140" t="s">
        <v>1046</v>
      </c>
      <c r="F53" s="146"/>
      <c r="G53" s="139"/>
      <c r="H53" s="142" t="s">
        <v>1036</v>
      </c>
      <c r="I53" s="139" t="str">
        <f>"See " &amp; D57</f>
        <v>See M1_Table_E_N2O</v>
      </c>
      <c r="M53" s="2" t="s">
        <v>1059</v>
      </c>
    </row>
    <row r="54" spans="1:19" ht="20.100000000000001" customHeight="1" x14ac:dyDescent="0.2">
      <c r="D54" s="139" t="s">
        <v>1054</v>
      </c>
      <c r="E54" s="140" t="s">
        <v>1055</v>
      </c>
      <c r="F54" s="146"/>
      <c r="G54" s="139"/>
      <c r="H54" s="141" t="s">
        <v>1034</v>
      </c>
      <c r="I54" s="139" t="str">
        <f>X_Cell_Fertiliser_IrrigationMethod</f>
        <v>Sprinkler irrigation</v>
      </c>
      <c r="M54" s="17" t="s">
        <v>1060</v>
      </c>
    </row>
    <row r="55" spans="1:19" ht="20.100000000000001" customHeight="1" x14ac:dyDescent="0.2">
      <c r="D55" s="139" t="s">
        <v>1056</v>
      </c>
      <c r="E55" s="140" t="s">
        <v>1057</v>
      </c>
      <c r="F55" s="146"/>
      <c r="G55" s="139"/>
      <c r="H55" s="141" t="s">
        <v>1034</v>
      </c>
      <c r="I55" s="139" t="str">
        <f>X_Cell_Site_RainfallZone</f>
        <v>High rainfall</v>
      </c>
    </row>
    <row r="56" spans="1:19" ht="20.100000000000001" customHeight="1" x14ac:dyDescent="0.2">
      <c r="F56" s="16"/>
    </row>
    <row r="57" spans="1:19" ht="20.100000000000001" customHeight="1" x14ac:dyDescent="0.2">
      <c r="D57" s="135" t="s">
        <v>389</v>
      </c>
      <c r="F57" s="16"/>
      <c r="M57" s="77" t="s">
        <v>371</v>
      </c>
      <c r="N57" s="1" t="s">
        <v>1061</v>
      </c>
    </row>
    <row r="58" spans="1:19" ht="20.100000000000001" customHeight="1" x14ac:dyDescent="0.2">
      <c r="D58" s="136" t="s">
        <v>390</v>
      </c>
      <c r="F58" s="16"/>
      <c r="M58" s="77" t="s">
        <v>118</v>
      </c>
      <c r="N58" s="9" t="s">
        <v>1042</v>
      </c>
    </row>
    <row r="59" spans="1:19" ht="20.100000000000001" customHeight="1" x14ac:dyDescent="0.2">
      <c r="A59" s="81" t="str">
        <f>HYPERLINK("#A1", "▲ Back to top")</f>
        <v>▲ Back to top</v>
      </c>
      <c r="D59" s="138" t="s">
        <v>379</v>
      </c>
      <c r="E59" s="138" t="s">
        <v>391</v>
      </c>
    </row>
    <row r="60" spans="1:19" ht="20.100000000000001" customHeight="1" x14ac:dyDescent="0.2">
      <c r="D60" s="15" t="str" cm="1">
        <f t="array" ref="D60:D78">Table_Fertiliser_ChemicalCompounds[Fertiliser type f]</f>
        <v>Monoammonium phosphate (MAP)</v>
      </c>
      <c r="E60" s="15">
        <f>((G19 * $I$50 * $I$51) * 10 ^ -3)</f>
        <v>0</v>
      </c>
      <c r="F60" s="16" t="str">
        <f>E47</f>
        <v>t N2O</v>
      </c>
      <c r="M60" s="139" t="s">
        <v>1062</v>
      </c>
      <c r="N60" s="140" t="s">
        <v>1063</v>
      </c>
      <c r="O60" s="146"/>
      <c r="P60" s="139" t="s">
        <v>1047</v>
      </c>
      <c r="Q60" s="141" t="s">
        <v>1034</v>
      </c>
      <c r="R60" s="147">
        <f>$N$35</f>
        <v>182.82499999999999</v>
      </c>
      <c r="S60" s="148"/>
    </row>
    <row r="61" spans="1:19" ht="20.100000000000001" customHeight="1" x14ac:dyDescent="0.2">
      <c r="D61" s="15" t="str">
        <v>Diammonium phosphate (DAP)</v>
      </c>
      <c r="E61" s="15">
        <f>((G20 * $I$50 * $I$51) * 10 ^ -3)</f>
        <v>0</v>
      </c>
      <c r="M61" s="139" t="s">
        <v>1045</v>
      </c>
      <c r="N61" s="140" t="s">
        <v>1046</v>
      </c>
      <c r="O61" s="146"/>
      <c r="P61" s="139"/>
      <c r="Q61" s="142" t="s">
        <v>1036</v>
      </c>
      <c r="R61" s="140" t="s">
        <v>387</v>
      </c>
      <c r="S61" s="145"/>
    </row>
    <row r="62" spans="1:19" ht="20.100000000000001" customHeight="1" x14ac:dyDescent="0.2">
      <c r="D62" s="15" t="str">
        <v>Urea</v>
      </c>
      <c r="E62" s="15">
        <f>((G21 * $I$50 * $I$51) * 10 ^ -3)</f>
        <v>1.2759999340000001</v>
      </c>
    </row>
    <row r="63" spans="1:19" ht="20.100000000000001" customHeight="1" x14ac:dyDescent="0.2">
      <c r="D63" s="15" t="str">
        <v>Sulphate of ammonia (SOA)</v>
      </c>
      <c r="E63" s="15">
        <f>((G22 * $I$50 * $I$51) * 10 ^ -3)</f>
        <v>0</v>
      </c>
      <c r="M63" s="77" t="s">
        <v>392</v>
      </c>
      <c r="N63" s="1">
        <f>((0.0781 + (0.0075 * R60)) * 10 ^ -2)</f>
        <v>1.4492874999999999E-2</v>
      </c>
      <c r="O63" s="9" t="str">
        <f>N58</f>
        <v>kg N2O-N/kg N applied</v>
      </c>
    </row>
    <row r="64" spans="1:19" ht="20.100000000000001" customHeight="1" x14ac:dyDescent="0.2">
      <c r="D64" s="15" t="str">
        <v>Urea-ammonium nitrate (UAN)</v>
      </c>
      <c r="E64" s="15">
        <f>((G23 * $I$50 * $I$51) * 10 ^ -3)</f>
        <v>0</v>
      </c>
    </row>
    <row r="65" spans="4:20" ht="20.100000000000001" customHeight="1" x14ac:dyDescent="0.2">
      <c r="D65" s="15" t="str">
        <v>Ammonium nitrate (AN)</v>
      </c>
      <c r="E65" s="15">
        <f>((G24 * $I$50 * $I$51) * 10 ^ -3)</f>
        <v>0</v>
      </c>
    </row>
    <row r="66" spans="4:20" ht="20.100000000000001" customHeight="1" x14ac:dyDescent="0.2">
      <c r="D66" s="15" t="str">
        <v>Calcium ammonium nitrate (CAN)</v>
      </c>
      <c r="E66" s="15">
        <f>((G25 * $I$50 * $I$51) * 10 ^ -3)</f>
        <v>0</v>
      </c>
      <c r="M66" s="2" t="s">
        <v>1064</v>
      </c>
    </row>
    <row r="67" spans="4:20" ht="20.100000000000001" customHeight="1" x14ac:dyDescent="0.2">
      <c r="D67" s="15" t="str">
        <v>Nitrogen - Ammoniacal</v>
      </c>
      <c r="E67" s="15">
        <f>((G26 * $I$50 * $I$51) * 10 ^ -3)</f>
        <v>0.13640000000000002</v>
      </c>
      <c r="M67" s="17" t="s">
        <v>1065</v>
      </c>
    </row>
    <row r="68" spans="4:20" ht="20.100000000000001" customHeight="1" x14ac:dyDescent="0.2">
      <c r="D68" s="15" t="str">
        <v>Nitrogen - Nitrate</v>
      </c>
      <c r="E68" s="15">
        <f>((G27 * $I$50 * $I$51) * 10 ^ -3)</f>
        <v>6.0499999999999998E-2</v>
      </c>
    </row>
    <row r="69" spans="4:20" ht="20.100000000000001" customHeight="1" x14ac:dyDescent="0.2">
      <c r="D69" s="15" t="str">
        <v>Nitrogen - Generic</v>
      </c>
      <c r="E69" s="15">
        <f>((G28 * $I$50 * $I$51) * 10 ^ -3)</f>
        <v>0</v>
      </c>
    </row>
    <row r="70" spans="4:20" ht="20.100000000000001" customHeight="1" x14ac:dyDescent="0.2">
      <c r="D70" s="15" t="str">
        <v>Phosphorus - Generic</v>
      </c>
      <c r="E70" s="15">
        <f>((G29 * $I$50 * $I$51) * 10 ^ -3)</f>
        <v>0</v>
      </c>
    </row>
    <row r="71" spans="4:20" ht="20.100000000000001" customHeight="1" x14ac:dyDescent="0.2">
      <c r="D71" s="15" t="str">
        <v>Potassium - Generic</v>
      </c>
      <c r="E71" s="15">
        <f>((G30 * $I$50 * $I$51) * 10 ^ -3)</f>
        <v>0</v>
      </c>
      <c r="M71" s="77" t="s">
        <v>371</v>
      </c>
      <c r="N71" s="1" t="s">
        <v>1066</v>
      </c>
    </row>
    <row r="72" spans="4:20" ht="20.100000000000001" customHeight="1" x14ac:dyDescent="0.2">
      <c r="D72" s="15" t="str">
        <v>Sulfur - Generic</v>
      </c>
      <c r="E72" s="15">
        <f>((G31 * $I$50 * $I$51) * 10 ^ -3)</f>
        <v>0</v>
      </c>
      <c r="M72" s="77" t="s">
        <v>118</v>
      </c>
      <c r="N72" s="9" t="s">
        <v>1042</v>
      </c>
    </row>
    <row r="73" spans="4:20" ht="20.100000000000001" customHeight="1" x14ac:dyDescent="0.2">
      <c r="D73" s="15" t="str">
        <v>Zinc - Generic</v>
      </c>
      <c r="E73" s="15">
        <f>((G32 * $I$50 * $I$51) * 10 ^ -3)</f>
        <v>0</v>
      </c>
    </row>
    <row r="74" spans="4:20" ht="20.100000000000001" customHeight="1" x14ac:dyDescent="0.2">
      <c r="D74" s="15" t="str">
        <v>Muriate of potash (MOP)</v>
      </c>
      <c r="E74" s="15">
        <f>((G33 * $I$50 * $I$51) * 10 ^ -3)</f>
        <v>0</v>
      </c>
      <c r="M74" s="70" t="s">
        <v>393</v>
      </c>
      <c r="N74" s="70"/>
      <c r="O74" s="70"/>
      <c r="P74" s="70"/>
      <c r="Q74" s="70"/>
      <c r="R74" s="70"/>
      <c r="S74" s="70"/>
      <c r="T74" s="70"/>
    </row>
    <row r="75" spans="4:20" ht="20.100000000000001" customHeight="1" x14ac:dyDescent="0.2">
      <c r="D75" s="15" t="str">
        <v>Double superphosphate</v>
      </c>
      <c r="E75" s="15">
        <f>((G34 * $I$50 * $I$51) * 10 ^ -3)</f>
        <v>0</v>
      </c>
    </row>
    <row r="76" spans="4:20" ht="20.100000000000001" customHeight="1" x14ac:dyDescent="0.2">
      <c r="D76" s="15" t="str">
        <v>Single superphosphate (SSP)</v>
      </c>
      <c r="E76" s="15">
        <f>((G35 * $I$50 * $I$51) * 10 ^ -3)</f>
        <v>0</v>
      </c>
      <c r="M76" s="139" t="s">
        <v>1067</v>
      </c>
      <c r="N76" s="140" t="s">
        <v>1068</v>
      </c>
      <c r="O76" s="146"/>
      <c r="P76" s="140" t="s">
        <v>1047</v>
      </c>
      <c r="Q76" s="141" t="s">
        <v>1034</v>
      </c>
      <c r="R76" s="147">
        <f>MIN(300, $N$35)</f>
        <v>182.82499999999999</v>
      </c>
      <c r="S76" s="148"/>
    </row>
    <row r="77" spans="4:20" ht="20.100000000000001" customHeight="1" x14ac:dyDescent="0.2">
      <c r="D77" s="15" t="str">
        <v>Ammonia</v>
      </c>
      <c r="E77" s="15">
        <f>((G36 * $I$50 * $I$51) * 10 ^ -3)</f>
        <v>0.45292500000000002</v>
      </c>
      <c r="M77" s="139" t="s">
        <v>1045</v>
      </c>
      <c r="N77" s="140" t="s">
        <v>1046</v>
      </c>
      <c r="O77" s="146"/>
      <c r="P77" s="140"/>
      <c r="Q77" s="142" t="s">
        <v>1036</v>
      </c>
      <c r="R77" s="140" t="s">
        <v>387</v>
      </c>
      <c r="S77" s="145"/>
    </row>
    <row r="78" spans="4:20" ht="20.100000000000001" customHeight="1" x14ac:dyDescent="0.2">
      <c r="D78" s="15" t="str">
        <v>Calcium nitrate</v>
      </c>
      <c r="E78" s="15">
        <f>((G37 * $I$50 * $I$51) * 10 ^ -3)</f>
        <v>8.5250000000000006E-2</v>
      </c>
    </row>
    <row r="79" spans="4:20" ht="20.100000000000001" customHeight="1" x14ac:dyDescent="0.2">
      <c r="M79" s="77" t="s">
        <v>392</v>
      </c>
      <c r="N79" s="1">
        <f>((0.01 * (0.29 + ((0.007 * (EXP(0.037 * R76) - 1)) / R76))) * 10 ^ -2)</f>
        <v>3.231403335233797E-5</v>
      </c>
      <c r="O79" s="9" t="str">
        <f>N72</f>
        <v>kg N2O-N/kg N applied</v>
      </c>
    </row>
    <row r="80" spans="4:20" ht="20.100000000000001" customHeight="1" x14ac:dyDescent="0.2">
      <c r="D80" s="87" t="s">
        <v>394</v>
      </c>
      <c r="E80" s="88">
        <f>SUM(E60:E78)</f>
        <v>2.0110749340000003</v>
      </c>
      <c r="F80" s="97" t="str">
        <f>$E$47</f>
        <v>t N2O</v>
      </c>
    </row>
    <row r="82" spans="1:24" ht="20.100000000000001" customHeight="1" x14ac:dyDescent="0.2">
      <c r="D82" s="139" t="str" cm="1">
        <f t="array" ref="D82:E83">Common_Equations.Common_ConvertN2OToCO2e_Arguments()</f>
        <v>EN2O</v>
      </c>
      <c r="E82" s="140" t="str">
        <v>Nitrous oxide emissions (t N2O)</v>
      </c>
      <c r="F82" s="149"/>
      <c r="G82" s="15">
        <f>VEERG_5_1_1_1__1_InorganicFertiliserApplicationN2OEmissions_Result_Method1</f>
        <v>2.0110749340000003</v>
      </c>
      <c r="L82" s="85"/>
      <c r="M82" s="85"/>
      <c r="N82" s="85"/>
      <c r="O82" s="85"/>
      <c r="P82" s="85"/>
      <c r="Q82" s="85"/>
      <c r="R82" s="85"/>
      <c r="S82" s="85"/>
      <c r="T82" s="85"/>
      <c r="U82" s="85"/>
      <c r="V82" s="85"/>
      <c r="W82" s="85"/>
      <c r="X82" s="85"/>
    </row>
    <row r="83" spans="1:24" ht="20.100000000000001" customHeight="1" x14ac:dyDescent="0.2">
      <c r="D83" s="139" t="str">
        <v>GWPN2O</v>
      </c>
      <c r="E83" s="140" t="str">
        <v>Global warming potential for nitrous oxide (t CO2-e / t N2O)</v>
      </c>
      <c r="F83" s="149"/>
      <c r="G83" s="15">
        <f>Common_InputFunctions.Utility_LookupValueInTableNumber("N2O",Table_GWPData[Gas],Table_GWPData[CO2-e factor])</f>
        <v>265</v>
      </c>
      <c r="M83" s="2" t="s">
        <v>1039</v>
      </c>
    </row>
    <row r="84" spans="1:24" ht="20.100000000000001" customHeight="1" x14ac:dyDescent="0.2">
      <c r="M84" s="17" t="s">
        <v>1040</v>
      </c>
    </row>
    <row r="85" spans="1:24" ht="20.100000000000001" customHeight="1" x14ac:dyDescent="0.2">
      <c r="D85" s="85" t="s">
        <v>395</v>
      </c>
      <c r="E85" s="85" cm="1">
        <f t="array" ref="E85">Common_Equations.Common_ConvertN2OToCO2e(G82,G83)</f>
        <v>532.93485751000003</v>
      </c>
      <c r="F85" s="91" t="str" cm="1">
        <f t="array" ref="F85">Common_Equations.Common_ConvertN2OToCO2e_Unit()</f>
        <v>t CO2e</v>
      </c>
      <c r="M85" s="134"/>
      <c r="N85" s="134"/>
    </row>
    <row r="89" spans="1:24" ht="20.100000000000001" customHeight="1" x14ac:dyDescent="0.2">
      <c r="A89" s="81" t="str">
        <f>HYPERLINK("#A1", "▲ Back to top")</f>
        <v>▲ Back to top</v>
      </c>
      <c r="M89" s="77" t="s">
        <v>371</v>
      </c>
      <c r="N89" s="1" t="s">
        <v>749</v>
      </c>
    </row>
    <row r="90" spans="1:24" ht="20.100000000000001" customHeight="1" x14ac:dyDescent="0.2">
      <c r="M90" s="77" t="s">
        <v>118</v>
      </c>
      <c r="N90" s="9" t="s">
        <v>12</v>
      </c>
    </row>
    <row r="92" spans="1:24" ht="20.100000000000001" customHeight="1" x14ac:dyDescent="0.2">
      <c r="M92" s="139" t="s">
        <v>1028</v>
      </c>
      <c r="N92" s="140" t="s">
        <v>1048</v>
      </c>
      <c r="O92" s="146"/>
      <c r="P92" s="145"/>
      <c r="Q92" s="139" t="s">
        <v>1029</v>
      </c>
      <c r="R92" s="142" t="s">
        <v>1058</v>
      </c>
      <c r="S92" s="150">
        <f>N33</f>
        <v>182825</v>
      </c>
    </row>
    <row r="93" spans="1:24" ht="20.100000000000001" customHeight="1" x14ac:dyDescent="0.2">
      <c r="M93" s="139" t="s">
        <v>1049</v>
      </c>
      <c r="N93" s="140" t="s">
        <v>1050</v>
      </c>
      <c r="O93" s="146"/>
      <c r="P93" s="145"/>
      <c r="Q93" s="139" t="s">
        <v>1042</v>
      </c>
      <c r="R93" s="142" t="s">
        <v>1070</v>
      </c>
      <c r="S93" s="150">
        <f>_xlfn.XLOOKUP(TRUE,N105:N108,O105:O108)</f>
        <v>7.0000000000000001E-3</v>
      </c>
    </row>
    <row r="94" spans="1:24" ht="20.100000000000001" customHeight="1" x14ac:dyDescent="0.2">
      <c r="M94" s="139" t="s">
        <v>1051</v>
      </c>
      <c r="N94" s="140" t="s">
        <v>1052</v>
      </c>
      <c r="O94" s="146"/>
      <c r="P94" s="145"/>
      <c r="Q94" s="139"/>
      <c r="R94" s="142" t="s">
        <v>1036</v>
      </c>
      <c r="S94" s="139">
        <f>Common_InputFunctions.Utility_LookupValueInTableNumber("N2O",Table_GasToMolecularConversionFactor[Gas],Table_GasToMolecularConversionFactor[Conversion factor combined])</f>
        <v>1.5714285714285714</v>
      </c>
    </row>
    <row r="95" spans="1:24" ht="20.100000000000001" customHeight="1" x14ac:dyDescent="0.2">
      <c r="M95" s="139" t="s">
        <v>1053</v>
      </c>
      <c r="N95" s="140" t="s">
        <v>177</v>
      </c>
      <c r="O95" s="146"/>
      <c r="P95" s="145"/>
      <c r="Q95" s="139"/>
      <c r="R95" s="141" t="s">
        <v>1034</v>
      </c>
      <c r="S95" s="139" t="str">
        <f>X_Cell_Fertiliser_ProductionSystem</f>
        <v>Crop</v>
      </c>
    </row>
    <row r="96" spans="1:24" ht="20.100000000000001" customHeight="1" x14ac:dyDescent="0.2">
      <c r="M96" s="139" t="s">
        <v>1069</v>
      </c>
      <c r="N96" s="140" t="s">
        <v>179</v>
      </c>
      <c r="O96" s="146"/>
      <c r="P96" s="145"/>
      <c r="Q96" s="139"/>
      <c r="R96" s="141" t="s">
        <v>1034</v>
      </c>
      <c r="S96" s="139" t="str">
        <f>X_Cell_Fertiliser_CropType</f>
        <v>Grains</v>
      </c>
    </row>
    <row r="97" spans="13:19" ht="20.100000000000001" customHeight="1" x14ac:dyDescent="0.2">
      <c r="M97" s="139" t="s">
        <v>1045</v>
      </c>
      <c r="N97" s="140" t="s">
        <v>1046</v>
      </c>
      <c r="O97" s="146"/>
      <c r="P97" s="145"/>
      <c r="Q97" s="139"/>
      <c r="R97" s="142" t="s">
        <v>1036</v>
      </c>
      <c r="S97" s="139" t="s">
        <v>396</v>
      </c>
    </row>
    <row r="98" spans="13:19" ht="20.100000000000001" customHeight="1" x14ac:dyDescent="0.2">
      <c r="M98" s="139" t="s">
        <v>1054</v>
      </c>
      <c r="N98" s="140" t="s">
        <v>1055</v>
      </c>
      <c r="O98" s="146"/>
      <c r="P98" s="145"/>
      <c r="Q98" s="139"/>
      <c r="R98" s="141" t="s">
        <v>1034</v>
      </c>
      <c r="S98" s="139" t="str">
        <f>X_Cell_Fertiliser_IrrigationMethod</f>
        <v>Sprinkler irrigation</v>
      </c>
    </row>
    <row r="99" spans="13:19" ht="20.100000000000001" customHeight="1" x14ac:dyDescent="0.2">
      <c r="M99" s="140" t="s">
        <v>1056</v>
      </c>
      <c r="N99" s="140" t="s">
        <v>1057</v>
      </c>
      <c r="O99" s="146"/>
      <c r="P99" s="146"/>
      <c r="Q99" s="139"/>
      <c r="R99" s="141" t="s">
        <v>1034</v>
      </c>
      <c r="S99" s="139" t="str">
        <f>X_Cell_Site_RainfallZone</f>
        <v>High rainfall</v>
      </c>
    </row>
    <row r="102" spans="13:19" ht="20.100000000000001" customHeight="1" x14ac:dyDescent="0.2">
      <c r="M102" s="135" t="s">
        <v>397</v>
      </c>
    </row>
    <row r="103" spans="13:19" ht="20.100000000000001" customHeight="1" x14ac:dyDescent="0.2">
      <c r="M103" s="136" t="s">
        <v>398</v>
      </c>
    </row>
    <row r="104" spans="13:19" ht="20.100000000000001" customHeight="1" x14ac:dyDescent="0.2">
      <c r="M104" s="138" t="s">
        <v>177</v>
      </c>
      <c r="N104" s="138" t="s">
        <v>399</v>
      </c>
      <c r="O104" s="138" t="s">
        <v>400</v>
      </c>
    </row>
    <row r="105" spans="13:19" ht="20.100000000000001" customHeight="1" x14ac:dyDescent="0.2">
      <c r="M105" s="15" t="s">
        <v>401</v>
      </c>
      <c r="N105" s="15" t="b">
        <f>IF(AND(S96="Maize", NOT(S98="Not irrigated")), TRUE)</f>
        <v>0</v>
      </c>
      <c r="O105" s="15">
        <f>N49</f>
        <v>9.6783250000000015E-3</v>
      </c>
    </row>
    <row r="106" spans="13:19" ht="20.100000000000001" customHeight="1" x14ac:dyDescent="0.2">
      <c r="M106" s="15" t="s">
        <v>402</v>
      </c>
      <c r="N106" s="15" t="b">
        <f>IF(AND(S96="Grains", S98="Not irrigated", S99="High rainfall"), TRUE)</f>
        <v>0</v>
      </c>
      <c r="O106" s="15">
        <f>N63</f>
        <v>1.4492874999999999E-2</v>
      </c>
    </row>
    <row r="107" spans="13:19" ht="20.100000000000001" customHeight="1" x14ac:dyDescent="0.2">
      <c r="M107" s="15" t="s">
        <v>403</v>
      </c>
      <c r="N107" s="15" t="b">
        <f>IF(S96="Cotton", TRUE)</f>
        <v>0</v>
      </c>
      <c r="O107" s="151">
        <f>N79</f>
        <v>3.231403335233797E-5</v>
      </c>
    </row>
    <row r="108" spans="13:19" ht="20.100000000000001" customHeight="1" x14ac:dyDescent="0.2">
      <c r="M108" s="15" t="s">
        <v>404</v>
      </c>
      <c r="N108" s="15" t="b">
        <f>IF(AND(N105=FALSE, N107=FALSE, N106=FALSE),TRUE)</f>
        <v>1</v>
      </c>
      <c r="O108" s="15" cm="1">
        <f t="array" ref="O108">Common_InputFunctions.Utility_LookupN2OEFFromProdIrrigationRainfall($S$95,$S$98,$S$99,Table_SourceData_Common_EFN2O[Production system only],Table_SourceData_Common_EFN2O[Irrigation method],Table_SourceData_Common_EFN2O[Rainfall zone],Table_SourceData_Common_EFN2O[EFN2O])</f>
        <v>7.0000000000000001E-3</v>
      </c>
    </row>
    <row r="110" spans="13:19" ht="20.100000000000001" customHeight="1" x14ac:dyDescent="0.2">
      <c r="M110" s="87" t="s">
        <v>394</v>
      </c>
      <c r="N110" s="88">
        <f>((S92 * S93 * $S$94) * 10 ^ -3)</f>
        <v>2.0110749999999999</v>
      </c>
      <c r="O110" s="97" t="str">
        <f>$E$47</f>
        <v>t N2O</v>
      </c>
    </row>
    <row r="112" spans="13:19" ht="20.100000000000001" customHeight="1" x14ac:dyDescent="0.2">
      <c r="M112" s="139" t="str" cm="1">
        <f t="array" ref="M112:N113">Common_Equations.Common_ConvertN2OToCO2e_Arguments()</f>
        <v>EN2O</v>
      </c>
      <c r="N112" s="140" t="str">
        <v>Nitrous oxide emissions (t N2O)</v>
      </c>
      <c r="O112" s="149"/>
      <c r="P112" s="15">
        <f>VEERG_5_1_1_1__1_InorganicFertiliserApplicationN2OEmissions_Result_Method2</f>
        <v>2.0110749999999999</v>
      </c>
    </row>
    <row r="113" spans="13:16" ht="20.100000000000001" customHeight="1" x14ac:dyDescent="0.2">
      <c r="M113" s="139" t="str">
        <v>GWPN2O</v>
      </c>
      <c r="N113" s="140" t="str">
        <v>Global warming potential for nitrous oxide (t CO2-e / t N2O)</v>
      </c>
      <c r="O113" s="149"/>
      <c r="P113" s="15">
        <f>Common_InputFunctions.Utility_LookupValueInTableNumber("N2O",Table_GWPData[Gas],Table_GWPData[CO2-e factor])</f>
        <v>265</v>
      </c>
    </row>
    <row r="115" spans="13:16" ht="20.100000000000001" customHeight="1" x14ac:dyDescent="0.2">
      <c r="M115" s="85" t="s">
        <v>395</v>
      </c>
      <c r="N115" s="85" cm="1">
        <f t="array" ref="N115">Common_Equations.Common_ConvertN2OToCO2e(P112,P113)</f>
        <v>532.93487500000003</v>
      </c>
      <c r="O115" s="91" t="str" cm="1">
        <f t="array" ref="O115">Common_Equations.Common_ConvertN2OToCO2e_Unit()</f>
        <v>t CO2e</v>
      </c>
    </row>
    <row r="341" spans="8:8" ht="20.100000000000001" customHeight="1" x14ac:dyDescent="0.2">
      <c r="H341" s="8"/>
    </row>
    <row r="342" spans="8:8" ht="20.100000000000001" customHeight="1" x14ac:dyDescent="0.2">
      <c r="H342" s="8"/>
    </row>
  </sheetData>
  <dataValidations count="1">
    <dataValidation operator="equal" allowBlank="1" showInputMessage="1" showErrorMessage="1" sqref="N172:W172 E269 E228 R167:W167 G132 I129:I133 F134:I134 F129:F132 H128:H132 G129 F148:I148 I149 F150:I150" xr:uid="{DF7C48C1-E8B3-4D48-AC9F-44AA1A4AC401}"/>
  </dataValidations>
  <pageMargins left="0.7" right="0.7" top="0.75" bottom="0.75" header="0.3" footer="0.3"/>
  <pageSetup paperSize="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93C56-2DB9-43F5-AB93-F82391008284}">
  <sheetPr>
    <tabColor rgb="FF008000"/>
  </sheetPr>
  <dimension ref="A1:U78"/>
  <sheetViews>
    <sheetView showGridLines="0" zoomScaleNormal="100" workbookViewId="0">
      <pane xSplit="1" topLeftCell="B1" activePane="topRight" state="frozenSplit"/>
      <selection pane="topRight" activeCell="A47" sqref="A47"/>
    </sheetView>
  </sheetViews>
  <sheetFormatPr defaultRowHeight="20.100000000000001" customHeight="1" x14ac:dyDescent="0.2"/>
  <cols>
    <col min="1" max="1" width="36.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21" customFormat="1" ht="30" customHeight="1" x14ac:dyDescent="0.35">
      <c r="A1" s="10" t="e" vm="1">
        <v>#VALUE!</v>
      </c>
      <c r="C1" s="21" t="s">
        <v>405</v>
      </c>
    </row>
    <row r="2" spans="1:21" s="3" customFormat="1" ht="20.100000000000001" customHeight="1" x14ac:dyDescent="0.2">
      <c r="A2"/>
    </row>
    <row r="3" spans="1:21" ht="20.100000000000001" customHeight="1" x14ac:dyDescent="0.2">
      <c r="A3" s="5" t="str">
        <f>HYPERLINK("#'Home'!A1", "Home")</f>
        <v>Home</v>
      </c>
      <c r="C3" s="23"/>
      <c r="D3" s="23" t="s">
        <v>130</v>
      </c>
      <c r="E3" s="23"/>
      <c r="F3" s="23"/>
      <c r="G3" s="23"/>
      <c r="H3" s="23"/>
      <c r="I3" s="23"/>
      <c r="J3" s="23"/>
      <c r="K3" s="23"/>
      <c r="L3" s="23"/>
      <c r="N3" s="23"/>
      <c r="O3" s="23" t="s">
        <v>131</v>
      </c>
      <c r="P3" s="23"/>
      <c r="Q3" s="23"/>
      <c r="R3" s="23"/>
      <c r="S3" s="23"/>
      <c r="T3" s="23"/>
      <c r="U3" s="23"/>
    </row>
    <row r="4" spans="1:21" ht="20.100000000000001" customHeight="1" x14ac:dyDescent="0.2">
      <c r="A4" s="5" t="str">
        <f>HYPERLINK("#'Results - Activity period'!A1", "Results - Activity period")</f>
        <v>Results - Activity period</v>
      </c>
    </row>
    <row r="5" spans="1:21" ht="20.100000000000001" customHeight="1" x14ac:dyDescent="0.2">
      <c r="A5" s="5" t="str">
        <f>HYPERLINK("#'Results - Product EI'!A1", "Results - Product EI")</f>
        <v>Results - Product EI</v>
      </c>
      <c r="D5" s="2" t="s">
        <v>1071</v>
      </c>
    </row>
    <row r="6" spans="1:21" ht="20.100000000000001" customHeight="1" x14ac:dyDescent="0.2">
      <c r="D6" s="17" t="s">
        <v>1072</v>
      </c>
    </row>
    <row r="7" spans="1:21" ht="20.100000000000001" customHeight="1" x14ac:dyDescent="0.2">
      <c r="D7" s="134"/>
      <c r="E7" s="134"/>
    </row>
    <row r="8" spans="1:21" ht="20.100000000000001" customHeight="1" x14ac:dyDescent="0.2">
      <c r="A8" s="7" t="s">
        <v>0</v>
      </c>
    </row>
    <row r="9" spans="1:21" ht="20.100000000000001" customHeight="1" x14ac:dyDescent="0.2">
      <c r="A9" s="5" t="str">
        <f>HYPERLINK("#'Input - Enterprise'!A1", "Enterprise")</f>
        <v>Enterprise</v>
      </c>
    </row>
    <row r="10" spans="1:21" ht="20.100000000000001" customHeight="1" x14ac:dyDescent="0.2">
      <c r="A10" s="5" t="str">
        <f>HYPERLINK("#'Input - Site'!A1", "Site")</f>
        <v>Site</v>
      </c>
      <c r="D10" s="77" t="s">
        <v>371</v>
      </c>
      <c r="E10" s="1" t="s">
        <v>1073</v>
      </c>
    </row>
    <row r="11" spans="1:21" ht="20.100000000000001" customHeight="1" x14ac:dyDescent="0.2">
      <c r="A11" s="5" t="str">
        <f>HYPERLINK("#'Input - Crop'!A1", "Crop")</f>
        <v>Crop</v>
      </c>
      <c r="D11" s="77" t="s">
        <v>118</v>
      </c>
      <c r="E11" s="9" t="s">
        <v>1074</v>
      </c>
    </row>
    <row r="12" spans="1:21" ht="20.100000000000001" customHeight="1" x14ac:dyDescent="0.2">
      <c r="A12" s="5" t="str">
        <f>HYPERLINK("#'Input - Fert Prod System'!A1", "Fert Prod System")</f>
        <v>Fert Prod System</v>
      </c>
    </row>
    <row r="13" spans="1:21" ht="20.100000000000001" customHeight="1" x14ac:dyDescent="0.2">
      <c r="A13" s="5" t="str">
        <f>HYPERLINK("#'Input - Fertiliser'!A1", "Fertiliser")</f>
        <v>Fertiliser</v>
      </c>
      <c r="D13" s="139" t="s">
        <v>1030</v>
      </c>
      <c r="E13" s="140" t="s">
        <v>1031</v>
      </c>
      <c r="F13" s="145"/>
      <c r="G13" s="139" t="s">
        <v>370</v>
      </c>
      <c r="H13" s="141" t="s">
        <v>1034</v>
      </c>
      <c r="I13" s="143" t="str" cm="1">
        <f t="array" aca="1" ref="I13" ca="1">HYPERLINK(Common_InputFunctions.Utility_SourceHyperlink($D$16), $D$16)</f>
        <v>Table_MU_j_f</v>
      </c>
    </row>
    <row r="14" spans="1:21" ht="20.100000000000001" customHeight="1" x14ac:dyDescent="0.2">
      <c r="A14" s="5" t="str">
        <f>HYPERLINK("#'Input - Fuel'!A1", "Fuel")</f>
        <v>Fuel</v>
      </c>
      <c r="D14" s="139" t="s">
        <v>1075</v>
      </c>
      <c r="E14" s="140" t="s">
        <v>1076</v>
      </c>
      <c r="F14" s="145"/>
      <c r="G14" s="139" t="s">
        <v>1077</v>
      </c>
      <c r="H14" s="142" t="s">
        <v>1078</v>
      </c>
      <c r="I14" s="143" t="str" cm="1">
        <f t="array" aca="1" ref="I14" ca="1">HYPERLINK(Common_InputFunctions.Utility_SourceHyperlink($D$16), $D$16)</f>
        <v>Table_MU_j_f</v>
      </c>
    </row>
    <row r="15" spans="1:21" ht="20.100000000000001" customHeight="1" x14ac:dyDescent="0.2">
      <c r="A15" s="5" t="str">
        <f>HYPERLINK("#'Input - Electricity'!A1", "Electricity")</f>
        <v>Electricity</v>
      </c>
    </row>
    <row r="16" spans="1:21" ht="20.100000000000001" customHeight="1" x14ac:dyDescent="0.2">
      <c r="A16" s="5" t="str">
        <f>HYPERLINK("#'Input - Common farm inputs'!A1", "Common farm inputs")</f>
        <v>Common farm inputs</v>
      </c>
      <c r="D16" s="135" t="s">
        <v>406</v>
      </c>
    </row>
    <row r="17" spans="1:7" ht="20.100000000000001" customHeight="1" x14ac:dyDescent="0.2">
      <c r="A17" s="5" t="str">
        <f>HYPERLINK("#'Input - Crop pasture farm input'!A1", "Crop pasture farm input")</f>
        <v>Crop pasture farm input</v>
      </c>
      <c r="D17" s="136" t="s">
        <v>407</v>
      </c>
    </row>
    <row r="18" spans="1:7" ht="20.100000000000001" customHeight="1" x14ac:dyDescent="0.2">
      <c r="A18" s="5" t="str">
        <f>HYPERLINK("#'Input - Freight'!A1", "Freight")</f>
        <v>Freight</v>
      </c>
      <c r="D18" s="138" t="s">
        <v>379</v>
      </c>
      <c r="E18" s="80" t="s">
        <v>380</v>
      </c>
      <c r="F18" s="138" t="s">
        <v>408</v>
      </c>
      <c r="G18" s="138" t="s">
        <v>409</v>
      </c>
    </row>
    <row r="19" spans="1:7" ht="20.100000000000001" customHeight="1" x14ac:dyDescent="0.2">
      <c r="A19" s="5" t="str">
        <f>HYPERLINK("#'Input - Solid waste'!A1", "Solid waste")</f>
        <v>Solid waste</v>
      </c>
      <c r="D19" s="15" t="str" cm="1">
        <f t="array" ref="D19:D37">Table_Fertiliser_ChemicalCompounds[Fertiliser type f]</f>
        <v>Monoammonium phosphate (MAP)</v>
      </c>
      <c r="E19" s="15" cm="1">
        <f t="array" ref="E19">Fertiliser_InputFunctions.Fertiliser_TotalChemicalCompoundAppliedAllIngredients($D19,(Table_Input_InorganicFertiliser_Brands[Total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19" s="15" cm="1">
        <f t="array" ref="F19">Common_InputFunctions.Utility_LookupValueInTableNumber(D19,Table_Fertiliser_ChemicalCompounds[Fertiliser type f],Table_Fertiliser_ChemicalCompounds[FU f])</f>
        <v>0</v>
      </c>
      <c r="G19" s="15">
        <f>(E19 * F19)</f>
        <v>0</v>
      </c>
    </row>
    <row r="20" spans="1:7" ht="20.100000000000001" customHeight="1" x14ac:dyDescent="0.2">
      <c r="A20" s="5" t="str">
        <f>HYPERLINK("#'Input - Data quality'!A1", "Data quality")</f>
        <v>Data quality</v>
      </c>
      <c r="D20" s="15" t="str">
        <v>Diammonium phosphate (DAP)</v>
      </c>
      <c r="E20" s="15" cm="1">
        <f t="array" ref="E20">Fertiliser_InputFunctions.Fertiliser_TotalChemicalCompoundAppliedAllIngredients($D20,(Table_Input_InorganicFertiliser_Brands[Total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0" s="15" cm="1">
        <f t="array" ref="F20">Common_InputFunctions.Utility_LookupValueInTableNumber(D20,Table_Fertiliser_ChemicalCompounds[Fertiliser type f],Table_Fertiliser_ChemicalCompounds[FU f])</f>
        <v>0</v>
      </c>
      <c r="G20" s="15">
        <f>(E20 * F20)</f>
        <v>0</v>
      </c>
    </row>
    <row r="21" spans="1:7" ht="20.100000000000001" customHeight="1" x14ac:dyDescent="0.2">
      <c r="D21" s="15" t="str">
        <v>Urea</v>
      </c>
      <c r="E21" s="15" cm="1">
        <f t="array" ref="E21">Fertiliser_InputFunctions.Fertiliser_TotalChemicalCompoundAppliedAllIngredients($D21,(Table_Input_InorganicFertiliser_Brands[Total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252173.9</v>
      </c>
      <c r="F21" s="15" cm="1">
        <f t="array" ref="F21">Common_InputFunctions.Utility_LookupValueInTableNumber(D21,Table_Fertiliser_ChemicalCompounds[Fertiliser type f],Table_Fertiliser_ChemicalCompounds[FU f])</f>
        <v>1</v>
      </c>
      <c r="G21" s="15">
        <f>(E21 * F21)</f>
        <v>252173.9</v>
      </c>
    </row>
    <row r="22" spans="1:7" ht="20.100000000000001" customHeight="1" x14ac:dyDescent="0.2">
      <c r="D22" s="15" t="str">
        <v>Sulphate of ammonia (SOA)</v>
      </c>
      <c r="E22" s="15" cm="1">
        <f t="array" ref="E22">Fertiliser_InputFunctions.Fertiliser_TotalChemicalCompoundAppliedAllIngredients($D22,(Table_Input_InorganicFertiliser_Brands[Total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2" s="15" cm="1">
        <f t="array" ref="F22">Common_InputFunctions.Utility_LookupValueInTableNumber(D22,Table_Fertiliser_ChemicalCompounds[Fertiliser type f],Table_Fertiliser_ChemicalCompounds[FU f])</f>
        <v>0</v>
      </c>
      <c r="G22" s="15">
        <f>(E22 * F22)</f>
        <v>0</v>
      </c>
    </row>
    <row r="23" spans="1:7" ht="20.100000000000001" customHeight="1" x14ac:dyDescent="0.2">
      <c r="A23" s="6" t="s">
        <v>2</v>
      </c>
      <c r="D23" s="15" t="str">
        <v>Urea-ammonium nitrate (UAN)</v>
      </c>
      <c r="E23" s="15" cm="1">
        <f t="array" ref="E23">Fertiliser_InputFunctions.Fertiliser_TotalChemicalCompoundAppliedAllIngredients($D23,(Table_Input_InorganicFertiliser_Brands[Total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3" s="15" cm="1">
        <f t="array" ref="F23">Common_InputFunctions.Utility_LookupValueInTableNumber(D23,Table_Fertiliser_ChemicalCompounds[Fertiliser type f],Table_Fertiliser_ChemicalCompounds[FU f])</f>
        <v>0.35</v>
      </c>
      <c r="G23" s="15">
        <f>(E23 * F23)</f>
        <v>0</v>
      </c>
    </row>
    <row r="24" spans="1:7" ht="20.100000000000001" customHeight="1" x14ac:dyDescent="0.2">
      <c r="A24" s="5" t="str">
        <f>HYPERLINK("#'5.1.1.1-2 Inorganic fert N2O'!A1", "5.1.1.1-2 Inorganic fert N2O")</f>
        <v>5.1.1.1-2 Inorganic fert N2O</v>
      </c>
      <c r="D24" s="15" t="str">
        <v>Ammonium nitrate (AN)</v>
      </c>
      <c r="E24" s="15" cm="1">
        <f t="array" ref="E24">Fertiliser_InputFunctions.Fertiliser_TotalChemicalCompoundAppliedAllIngredients($D24,(Table_Input_InorganicFertiliser_Brands[Total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4" s="15" cm="1">
        <f t="array" ref="F24">Common_InputFunctions.Utility_LookupValueInTableNumber(D24,Table_Fertiliser_ChemicalCompounds[Fertiliser type f],Table_Fertiliser_ChemicalCompounds[FU f])</f>
        <v>0</v>
      </c>
      <c r="G24" s="15">
        <f>(E24 * F24)</f>
        <v>0</v>
      </c>
    </row>
    <row r="25" spans="1:7" ht="20.100000000000001" customHeight="1" x14ac:dyDescent="0.2">
      <c r="A25" s="144" t="str">
        <f>HYPERLINK("#'5.1.1.3-4 Inorganic fert CO2'!A1", "5.1.1.3-4 Inorganic fert CO2")</f>
        <v>5.1.1.3-4 Inorganic fert CO2</v>
      </c>
      <c r="D25" s="15" t="str">
        <v>Calcium ammonium nitrate (CAN)</v>
      </c>
      <c r="E25" s="15" cm="1">
        <f t="array" ref="E25">Fertiliser_InputFunctions.Fertiliser_TotalChemicalCompoundAppliedAllIngredients($D25,(Table_Input_InorganicFertiliser_Brands[Total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5" s="15" cm="1">
        <f t="array" ref="F25">Common_InputFunctions.Utility_LookupValueInTableNumber(D25,Table_Fertiliser_ChemicalCompounds[Fertiliser type f],Table_Fertiliser_ChemicalCompounds[FU f])</f>
        <v>0</v>
      </c>
      <c r="G25" s="15">
        <f>(E25 * F25)</f>
        <v>0</v>
      </c>
    </row>
    <row r="26" spans="1:7" ht="20.100000000000001" customHeight="1" x14ac:dyDescent="0.2">
      <c r="A26" s="5" t="str">
        <f>HYPERLINK("#'5.2.1.1-2 Organic Fert N2O'!A1", "5.2.1.1-2 Organic fert N2O")</f>
        <v>5.2.1.1-2 Organic fert N2O</v>
      </c>
      <c r="D26" s="15" t="str">
        <v>Nitrogen - Ammoniacal</v>
      </c>
      <c r="E26" s="15" cm="1">
        <f t="array" ref="E26">Fertiliser_InputFunctions.Fertiliser_TotalChemicalCompoundAppliedAllIngredients($D26,(Table_Input_InorganicFertiliser_Brands[Total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12400</v>
      </c>
      <c r="F26" s="15" cm="1">
        <f t="array" ref="F26">Common_InputFunctions.Utility_LookupValueInTableNumber(D26,Table_Fertiliser_ChemicalCompounds[Fertiliser type f],Table_Fertiliser_ChemicalCompounds[FU f])</f>
        <v>0</v>
      </c>
      <c r="G26" s="15">
        <f>(E26 * F26)</f>
        <v>0</v>
      </c>
    </row>
    <row r="27" spans="1:7" ht="20.100000000000001" customHeight="1" x14ac:dyDescent="0.2">
      <c r="A27" s="5" t="str">
        <f>HYPERLINK("#'5.3.1.1-2 Lime CO2'!A1", "5.3.1.1-2 Lime CO2")</f>
        <v>5.3.1.1-2 Lime CO2</v>
      </c>
      <c r="D27" s="15" t="str">
        <v>Nitrogen - Nitrate</v>
      </c>
      <c r="E27" s="15" cm="1">
        <f t="array" ref="E27">Fertiliser_InputFunctions.Fertiliser_TotalChemicalCompoundAppliedAllIngredients($D27,(Table_Input_InorganicFertiliser_Brands[Total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5500</v>
      </c>
      <c r="F27" s="15" cm="1">
        <f t="array" ref="F27">Common_InputFunctions.Utility_LookupValueInTableNumber(D27,Table_Fertiliser_ChemicalCompounds[Fertiliser type f],Table_Fertiliser_ChemicalCompounds[FU f])</f>
        <v>0</v>
      </c>
      <c r="G27" s="15">
        <f>(E27 * F27)</f>
        <v>0</v>
      </c>
    </row>
    <row r="28" spans="1:7" ht="20.100000000000001" customHeight="1" x14ac:dyDescent="0.2">
      <c r="A28" s="5" t="str">
        <f>HYPERLINK("#'5.4.1.1-4 Atmos deposition'!A1", "5.4.1.1-4 Atmos. deposition")</f>
        <v>5.4.1.1-4 Atmos. deposition</v>
      </c>
      <c r="D28" s="15" t="str">
        <v>Nitrogen - Generic</v>
      </c>
      <c r="E28" s="15" cm="1">
        <f t="array" ref="E28">Fertiliser_InputFunctions.Fertiliser_TotalChemicalCompoundAppliedAllIngredients($D28,(Table_Input_InorganicFertiliser_Brands[Total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8" s="15" cm="1">
        <f t="array" ref="F28">Common_InputFunctions.Utility_LookupValueInTableNumber(D28,Table_Fertiliser_ChemicalCompounds[Fertiliser type f],Table_Fertiliser_ChemicalCompounds[FU f])</f>
        <v>0</v>
      </c>
      <c r="G28" s="15">
        <f>(E28 * F28)</f>
        <v>0</v>
      </c>
    </row>
    <row r="29" spans="1:7" ht="20.100000000000001" customHeight="1" x14ac:dyDescent="0.2">
      <c r="A29" s="5" t="str">
        <f>HYPERLINK("#'5.5.1.1-2 Leaching and runoff'!A1", "5.5.1.1-2 Leaching &amp; runoff")</f>
        <v>5.5.1.1-2 Leaching &amp; runoff</v>
      </c>
      <c r="D29" s="15" t="str">
        <v>Phosphorus - Generic</v>
      </c>
      <c r="E29" s="15" cm="1">
        <f t="array" ref="E29">Fertiliser_InputFunctions.Fertiliser_TotalChemicalCompoundAppliedAllIngredients($D29,(Table_Input_InorganicFertiliser_Brands[Total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5200</v>
      </c>
      <c r="F29" s="15" cm="1">
        <f t="array" ref="F29">Common_InputFunctions.Utility_LookupValueInTableNumber(D29,Table_Fertiliser_ChemicalCompounds[Fertiliser type f],Table_Fertiliser_ChemicalCompounds[FU f])</f>
        <v>0</v>
      </c>
      <c r="G29" s="15">
        <f>(E29 * F29)</f>
        <v>0</v>
      </c>
    </row>
    <row r="30" spans="1:7" ht="20.100000000000001" customHeight="1" x14ac:dyDescent="0.2">
      <c r="A30" s="5" t="str">
        <f>HYPERLINK("#'6.1.1.1-2 Crop residue N2O'!A1", "6.1.1.1-2 Crop residue N2O")</f>
        <v>6.1.1.1-2 Crop residue N2O</v>
      </c>
      <c r="D30" s="15" t="str">
        <v>Potassium - Generic</v>
      </c>
      <c r="E30" s="15" cm="1">
        <f t="array" ref="E30">Fertiliser_InputFunctions.Fertiliser_TotalChemicalCompoundAppliedAllIngredients($D30,(Table_Input_InorganicFertiliser_Brands[Total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43000</v>
      </c>
      <c r="F30" s="15" cm="1">
        <f t="array" ref="F30">Common_InputFunctions.Utility_LookupValueInTableNumber(D30,Table_Fertiliser_ChemicalCompounds[Fertiliser type f],Table_Fertiliser_ChemicalCompounds[FU f])</f>
        <v>0</v>
      </c>
      <c r="G30" s="15">
        <f>(E30 * F30)</f>
        <v>0</v>
      </c>
    </row>
    <row r="31" spans="1:7" ht="20.100000000000001" customHeight="1" x14ac:dyDescent="0.2">
      <c r="A31" s="5" t="str">
        <f>HYPERLINK("#'6.3.1.1-2 Leach runoff crop'!A1", "6.3.1.1-2 Leach &amp; runoff (crop)")</f>
        <v>6.3.1.1-2 Leach &amp; runoff (crop)</v>
      </c>
      <c r="D31" s="15" t="str">
        <v>Sulfur - Generic</v>
      </c>
      <c r="E31" s="15" cm="1">
        <f t="array" ref="E31">Fertiliser_InputFunctions.Fertiliser_TotalChemicalCompoundAppliedAllIngredients($D31,(Table_Input_InorganicFertiliser_Brands[Total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18900</v>
      </c>
      <c r="F31" s="15" cm="1">
        <f t="array" ref="F31">Common_InputFunctions.Utility_LookupValueInTableNumber(D31,Table_Fertiliser_ChemicalCompounds[Fertiliser type f],Table_Fertiliser_ChemicalCompounds[FU f])</f>
        <v>0</v>
      </c>
      <c r="G31" s="15">
        <f>(E31 * F31)</f>
        <v>0</v>
      </c>
    </row>
    <row r="32" spans="1:7" ht="20.100000000000001" customHeight="1" x14ac:dyDescent="0.2">
      <c r="A32" s="5" t="str">
        <f>HYPERLINK("#'6.4.1.1-2 Residue burning'!A1", "6.4.1.1-2 Residue burning")</f>
        <v>6.4.1.1-2 Residue burning</v>
      </c>
      <c r="D32" s="15" t="str">
        <v>Zinc - Generic</v>
      </c>
      <c r="E32" s="15" cm="1">
        <f t="array" ref="E32">Fertiliser_InputFunctions.Fertiliser_TotalChemicalCompoundAppliedAllIngredients($D32,(Table_Input_InorganicFertiliser_Brands[Total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20000</v>
      </c>
      <c r="F32" s="15" cm="1">
        <f t="array" ref="F32">Common_InputFunctions.Utility_LookupValueInTableNumber(D32,Table_Fertiliser_ChemicalCompounds[Fertiliser type f],Table_Fertiliser_ChemicalCompounds[FU f])</f>
        <v>0</v>
      </c>
      <c r="G32" s="15">
        <f>(E32 * F32)</f>
        <v>0</v>
      </c>
    </row>
    <row r="33" spans="1:12" ht="20.100000000000001" customHeight="1" x14ac:dyDescent="0.2">
      <c r="A33" s="5" t="str">
        <f>HYPERLINK("#'8.1.1.1-2 Transport fuel'!A1", "8.1.1.1-2 Transport fuel")</f>
        <v>8.1.1.1-2 Transport fuel</v>
      </c>
      <c r="D33" s="15" t="str">
        <v>Muriate of potash (MOP)</v>
      </c>
      <c r="E33" s="15" cm="1">
        <f t="array" ref="E33">Fertiliser_InputFunctions.Fertiliser_TotalChemicalCompoundAppliedAllIngredients($D33,(Table_Input_InorganicFertiliser_Brands[Total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3" s="15" cm="1">
        <f t="array" ref="F33">Common_InputFunctions.Utility_LookupValueInTableNumber(D33,Table_Fertiliser_ChemicalCompounds[Fertiliser type f],Table_Fertiliser_ChemicalCompounds[FU f])</f>
        <v>0</v>
      </c>
      <c r="G33" s="15">
        <f>(E33 * F33)</f>
        <v>0</v>
      </c>
    </row>
    <row r="34" spans="1:12" ht="20.100000000000001" customHeight="1" x14ac:dyDescent="0.2">
      <c r="A34" s="5" t="str">
        <f>HYPERLINK("#'8.2.1.1-2 Stationary fuel'!A1", "8.2.1.1-2 Stationary fuel")</f>
        <v>8.2.1.1-2 Stationary fuel</v>
      </c>
      <c r="D34" s="15" t="str">
        <v>Double superphosphate</v>
      </c>
      <c r="E34" s="15" cm="1">
        <f t="array" ref="E34">Fertiliser_InputFunctions.Fertiliser_TotalChemicalCompoundAppliedAllIngredients($D34,(Table_Input_InorganicFertiliser_Brands[Total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4" s="15" cm="1">
        <f t="array" ref="F34">Common_InputFunctions.Utility_LookupValueInTableNumber(D34,Table_Fertiliser_ChemicalCompounds[Fertiliser type f],Table_Fertiliser_ChemicalCompounds[FU f])</f>
        <v>0</v>
      </c>
      <c r="G34" s="15">
        <f>(E34 * F34)</f>
        <v>0</v>
      </c>
    </row>
    <row r="35" spans="1:12" ht="20.100000000000001" customHeight="1" x14ac:dyDescent="0.2">
      <c r="A35" s="5" t="str">
        <f>HYPERLINK("#'10.1.1-2 Solid waste treatment'!A1", "10.1.1.1-2 Solid waste")</f>
        <v>10.1.1.1-2 Solid waste</v>
      </c>
      <c r="D35" s="15" t="str">
        <v>Single superphosphate (SSP)</v>
      </c>
      <c r="E35" s="15" cm="1">
        <f t="array" ref="E35">Fertiliser_InputFunctions.Fertiliser_TotalChemicalCompoundAppliedAllIngredients($D35,(Table_Input_InorganicFertiliser_Brands[Total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5" s="15" cm="1">
        <f t="array" ref="F35">Common_InputFunctions.Utility_LookupValueInTableNumber(D35,Table_Fertiliser_ChemicalCompounds[Fertiliser type f],Table_Fertiliser_ChemicalCompounds[FU f])</f>
        <v>0</v>
      </c>
      <c r="G35" s="15">
        <f>(E35 * F35)</f>
        <v>0</v>
      </c>
    </row>
    <row r="36" spans="1:12" ht="20.100000000000001" customHeight="1" x14ac:dyDescent="0.2">
      <c r="A36" s="5" t="str">
        <f>HYPERLINK("#'14.1.1-2 Purchased electricity'!A1", "14.1.1-2 Purchased electricity")</f>
        <v>14.1.1-2 Purchased electricity</v>
      </c>
      <c r="D36" s="15" t="str">
        <v>Ammonia</v>
      </c>
      <c r="E36" s="15" cm="1">
        <f t="array" ref="E36">Fertiliser_InputFunctions.Fertiliser_TotalChemicalCompoundAppliedAllIngredients($D36,(Table_Input_InorganicFertiliser_Brands[Total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50000</v>
      </c>
      <c r="F36" s="15" cm="1">
        <f t="array" ref="F36">Common_InputFunctions.Utility_LookupValueInTableNumber(D36,Table_Fertiliser_ChemicalCompounds[Fertiliser type f],Table_Fertiliser_ChemicalCompounds[FU f])</f>
        <v>0</v>
      </c>
      <c r="G36" s="15">
        <f>(E36 * F36)</f>
        <v>0</v>
      </c>
    </row>
    <row r="37" spans="1:12" ht="20.100000000000001" customHeight="1" x14ac:dyDescent="0.2">
      <c r="A37" s="5" t="str">
        <f>HYPERLINK("#'15 Scope 3'!A1", "15 Scope 3")</f>
        <v>15 Scope 3</v>
      </c>
      <c r="D37" s="15" t="str">
        <v>Calcium nitrate</v>
      </c>
      <c r="E37" s="15" cm="1">
        <f t="array" ref="E37">Fertiliser_InputFunctions.Fertiliser_TotalChemicalCompoundAppliedAllIngredients($D37,(Table_Input_InorganicFertiliser_Brands[Total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50000</v>
      </c>
      <c r="F37" s="15" cm="1">
        <f t="array" ref="F37">Common_InputFunctions.Utility_LookupValueInTableNumber(D37,Table_Fertiliser_ChemicalCompounds[Fertiliser type f],Table_Fertiliser_ChemicalCompounds[FU f])</f>
        <v>0</v>
      </c>
      <c r="G37" s="15">
        <f>(E37 * F37)</f>
        <v>0</v>
      </c>
    </row>
    <row r="40" spans="1:12" ht="20.100000000000001" customHeight="1" x14ac:dyDescent="0.2">
      <c r="A40" s="82" t="s">
        <v>1</v>
      </c>
      <c r="C40" s="85"/>
      <c r="D40" s="85"/>
      <c r="E40" s="85"/>
      <c r="F40" s="85"/>
      <c r="G40" s="85"/>
      <c r="H40" s="85"/>
      <c r="I40" s="85"/>
      <c r="J40" s="85"/>
      <c r="K40" s="85"/>
      <c r="L40" s="85"/>
    </row>
    <row r="41" spans="1:12" ht="20.100000000000001" customHeight="1" x14ac:dyDescent="0.2">
      <c r="A41" s="5" t="str">
        <f>HYPERLINK("#'Constants - Ag Residue'!A1", "Constants - Ag residue")</f>
        <v>Constants - Ag residue</v>
      </c>
      <c r="D41" s="2" t="s">
        <v>1079</v>
      </c>
    </row>
    <row r="42" spans="1:12" ht="20.100000000000001" customHeight="1" x14ac:dyDescent="0.2">
      <c r="A42" s="5" t="str">
        <f>HYPERLINK("#'Constants - Electricity'!A1", "Constants - Electricity")</f>
        <v>Constants - Electricity</v>
      </c>
      <c r="D42" s="17" t="s">
        <v>1080</v>
      </c>
    </row>
    <row r="43" spans="1:12" ht="20.100000000000001" customHeight="1" x14ac:dyDescent="0.2">
      <c r="A43" s="5" t="str">
        <f>HYPERLINK("#'Constants - Fertiliser'!A1", "Constants - Fertiliser")</f>
        <v>Constants - Fertiliser</v>
      </c>
      <c r="D43" s="134"/>
      <c r="E43" s="134"/>
    </row>
    <row r="44" spans="1:12" ht="20.100000000000001" customHeight="1" x14ac:dyDescent="0.2">
      <c r="A44" s="5" t="str">
        <f>HYPERLINK("#'Constants - Fuel'!A1", "Constants - Fuel")</f>
        <v>Constants - Fuel</v>
      </c>
    </row>
    <row r="45" spans="1:12" ht="20.100000000000001" customHeight="1" x14ac:dyDescent="0.2">
      <c r="A45" s="5" t="str">
        <f>HYPERLINK("#'Constants - Scope 3'!A1", "Constants - Scope 3")</f>
        <v>Constants - Scope 3</v>
      </c>
    </row>
    <row r="46" spans="1:12" ht="20.100000000000001" customHeight="1" x14ac:dyDescent="0.2">
      <c r="A46" s="5" t="str">
        <f>HYPERLINK("#'Constants - Solid Waste'!A1", "Constants - Solid Waste")</f>
        <v>Constants - Solid Waste</v>
      </c>
      <c r="D46" s="77" t="s">
        <v>371</v>
      </c>
      <c r="E46" s="1" t="s">
        <v>1081</v>
      </c>
    </row>
    <row r="47" spans="1:12" ht="20.100000000000001" customHeight="1" x14ac:dyDescent="0.2">
      <c r="A47" s="5" t="str">
        <f>HYPERLINK("#'Constants - Common'!A1", "Constants - Common")</f>
        <v>Constants - Common</v>
      </c>
      <c r="D47" s="77" t="s">
        <v>118</v>
      </c>
      <c r="E47" s="9" t="s">
        <v>127</v>
      </c>
    </row>
    <row r="48" spans="1:12" ht="20.100000000000001" customHeight="1" x14ac:dyDescent="0.2">
      <c r="A48" s="5" t="str">
        <f>HYPERLINK("#'Constants - Common Livestock'!A1", "Constants - Common Livestock")</f>
        <v>Constants - Common Livestock</v>
      </c>
    </row>
    <row r="49" spans="1:9" ht="20.100000000000001" customHeight="1" x14ac:dyDescent="0.2">
      <c r="D49" s="139" t="s">
        <v>1073</v>
      </c>
      <c r="E49" s="140" t="s">
        <v>1082</v>
      </c>
      <c r="F49" s="145"/>
      <c r="G49" s="139" t="s">
        <v>1074</v>
      </c>
      <c r="H49" s="142" t="s">
        <v>1087</v>
      </c>
      <c r="I49" s="143" t="str" cm="1">
        <f t="array" aca="1" ref="I49" ca="1">HYPERLINK(Common_InputFunctions.Utility_SourceHyperlink($D$16), $D$16)</f>
        <v>Table_MU_j_f</v>
      </c>
    </row>
    <row r="50" spans="1:9" ht="20.100000000000001" customHeight="1" x14ac:dyDescent="0.2">
      <c r="D50" s="139" t="s">
        <v>1083</v>
      </c>
      <c r="E50" s="140" t="s">
        <v>1084</v>
      </c>
      <c r="F50" s="145"/>
      <c r="G50" s="139" t="s">
        <v>1088</v>
      </c>
      <c r="H50" s="142" t="s">
        <v>1036</v>
      </c>
      <c r="I50" s="139">
        <f>Fertiliser_EFUreaCO2_Data</f>
        <v>0.2</v>
      </c>
    </row>
    <row r="51" spans="1:9" ht="20.100000000000001" customHeight="1" x14ac:dyDescent="0.2">
      <c r="D51" s="139" t="s">
        <v>1085</v>
      </c>
      <c r="E51" s="140" t="s">
        <v>1086</v>
      </c>
      <c r="F51" s="145"/>
      <c r="G51" s="139"/>
      <c r="H51" s="142" t="s">
        <v>1036</v>
      </c>
      <c r="I51" s="139">
        <f>Common_InputFunctions.Utility_LookupValueInTableNumber("CO2",Table_GasToMolecularConversionFactor[Gas], Table_GasToMolecularConversionFactor[Conversion factor combined])</f>
        <v>3.6666666666666665</v>
      </c>
    </row>
    <row r="52" spans="1:9" ht="20.100000000000001" customHeight="1" x14ac:dyDescent="0.2">
      <c r="D52" s="139" t="s">
        <v>1053</v>
      </c>
      <c r="E52" s="140" t="s">
        <v>177</v>
      </c>
      <c r="F52" s="145"/>
      <c r="G52" s="139"/>
      <c r="H52" s="141" t="s">
        <v>1034</v>
      </c>
      <c r="I52" s="139" t="str">
        <f>X_Cell_Fertiliser_ProductionSystem</f>
        <v>Crop</v>
      </c>
    </row>
    <row r="53" spans="1:9" ht="20.100000000000001" customHeight="1" x14ac:dyDescent="0.2">
      <c r="D53" s="139" t="s">
        <v>1045</v>
      </c>
      <c r="E53" s="140" t="s">
        <v>1046</v>
      </c>
      <c r="F53" s="145"/>
      <c r="G53" s="139"/>
      <c r="H53" s="142" t="s">
        <v>1078</v>
      </c>
      <c r="I53" s="143" t="str" cm="1">
        <f t="array" aca="1" ref="I53" ca="1">HYPERLINK(Common_InputFunctions.Utility_SourceHyperlink($D$16), $D$16)</f>
        <v>Table_MU_j_f</v>
      </c>
    </row>
    <row r="55" spans="1:9" ht="20.100000000000001" customHeight="1" x14ac:dyDescent="0.2">
      <c r="D55" s="135" t="s">
        <v>410</v>
      </c>
    </row>
    <row r="56" spans="1:9" ht="20.100000000000001" customHeight="1" x14ac:dyDescent="0.2">
      <c r="D56" s="136" t="s">
        <v>411</v>
      </c>
    </row>
    <row r="57" spans="1:9" ht="20.100000000000001" customHeight="1" x14ac:dyDescent="0.2">
      <c r="D57" s="138" t="s">
        <v>379</v>
      </c>
      <c r="E57" s="138" t="s">
        <v>391</v>
      </c>
    </row>
    <row r="58" spans="1:9" ht="20.100000000000001" customHeight="1" x14ac:dyDescent="0.2">
      <c r="D58" s="15" t="str" cm="1">
        <f t="array" ref="D58:D76">Table_Fertiliser_ChemicalCompounds[Fertiliser type f]</f>
        <v>Monoammonium phosphate (MAP)</v>
      </c>
      <c r="E58" s="15">
        <f>((G19 * $I$50 * $I$51) * 10 ^ -3)</f>
        <v>0</v>
      </c>
      <c r="F58" s="16" t="str">
        <f>$E$47</f>
        <v>t CO2</v>
      </c>
    </row>
    <row r="59" spans="1:9" ht="20.100000000000001" customHeight="1" x14ac:dyDescent="0.2">
      <c r="A59" s="81" t="str">
        <f>HYPERLINK("#A1", "▲ Back to top")</f>
        <v>▲ Back to top</v>
      </c>
      <c r="D59" s="15" t="str">
        <v>Diammonium phosphate (DAP)</v>
      </c>
      <c r="E59" s="15">
        <f>((G20 * $I$50 * $I$51) * 10 ^ -3)</f>
        <v>0</v>
      </c>
    </row>
    <row r="60" spans="1:9" ht="20.100000000000001" customHeight="1" x14ac:dyDescent="0.2">
      <c r="D60" s="15" t="str">
        <v>Urea</v>
      </c>
      <c r="E60" s="15">
        <f>((G21 * $I$50 * $I$51) * 10 ^ -3)</f>
        <v>184.92752666666664</v>
      </c>
    </row>
    <row r="61" spans="1:9" ht="20.100000000000001" customHeight="1" x14ac:dyDescent="0.2">
      <c r="D61" s="15" t="str">
        <v>Sulphate of ammonia (SOA)</v>
      </c>
      <c r="E61" s="15">
        <f>((G22 * $I$50 * $I$51) * 10 ^ -3)</f>
        <v>0</v>
      </c>
    </row>
    <row r="62" spans="1:9" ht="20.100000000000001" customHeight="1" x14ac:dyDescent="0.2">
      <c r="D62" s="15" t="str">
        <v>Urea-ammonium nitrate (UAN)</v>
      </c>
      <c r="E62" s="15">
        <f>((G23 * $I$50 * $I$51) * 10 ^ -3)</f>
        <v>0</v>
      </c>
    </row>
    <row r="63" spans="1:9" ht="20.100000000000001" customHeight="1" x14ac:dyDescent="0.2">
      <c r="D63" s="15" t="str">
        <v>Ammonium nitrate (AN)</v>
      </c>
      <c r="E63" s="15">
        <f>((G24 * $I$50 * $I$51) * 10 ^ -3)</f>
        <v>0</v>
      </c>
    </row>
    <row r="64" spans="1:9" ht="20.100000000000001" customHeight="1" x14ac:dyDescent="0.2">
      <c r="D64" s="15" t="str">
        <v>Calcium ammonium nitrate (CAN)</v>
      </c>
      <c r="E64" s="15">
        <f>((G25 * $I$50 * $I$51) * 10 ^ -3)</f>
        <v>0</v>
      </c>
    </row>
    <row r="65" spans="4:6" ht="20.100000000000001" customHeight="1" x14ac:dyDescent="0.2">
      <c r="D65" s="15" t="str">
        <v>Nitrogen - Ammoniacal</v>
      </c>
      <c r="E65" s="15">
        <f>((G26 * $I$50 * $I$51) * 10 ^ -3)</f>
        <v>0</v>
      </c>
    </row>
    <row r="66" spans="4:6" ht="20.100000000000001" customHeight="1" x14ac:dyDescent="0.2">
      <c r="D66" s="15" t="str">
        <v>Nitrogen - Nitrate</v>
      </c>
      <c r="E66" s="15">
        <f>((G27 * $I$50 * $I$51) * 10 ^ -3)</f>
        <v>0</v>
      </c>
    </row>
    <row r="67" spans="4:6" ht="20.100000000000001" customHeight="1" x14ac:dyDescent="0.2">
      <c r="D67" s="15" t="str">
        <v>Nitrogen - Generic</v>
      </c>
      <c r="E67" s="15">
        <f>((G28 * $I$50 * $I$51) * 10 ^ -3)</f>
        <v>0</v>
      </c>
    </row>
    <row r="68" spans="4:6" ht="20.100000000000001" customHeight="1" x14ac:dyDescent="0.2">
      <c r="D68" s="15" t="str">
        <v>Phosphorus - Generic</v>
      </c>
      <c r="E68" s="15">
        <f>((G29 * $I$50 * $I$51) * 10 ^ -3)</f>
        <v>0</v>
      </c>
    </row>
    <row r="69" spans="4:6" ht="20.100000000000001" customHeight="1" x14ac:dyDescent="0.2">
      <c r="D69" s="15" t="str">
        <v>Potassium - Generic</v>
      </c>
      <c r="E69" s="15">
        <f>((G30 * $I$50 * $I$51) * 10 ^ -3)</f>
        <v>0</v>
      </c>
    </row>
    <row r="70" spans="4:6" ht="20.100000000000001" customHeight="1" x14ac:dyDescent="0.2">
      <c r="D70" s="15" t="str">
        <v>Sulfur - Generic</v>
      </c>
      <c r="E70" s="15">
        <f>((G31 * $I$50 * $I$51) * 10 ^ -3)</f>
        <v>0</v>
      </c>
    </row>
    <row r="71" spans="4:6" ht="20.100000000000001" customHeight="1" x14ac:dyDescent="0.2">
      <c r="D71" s="15" t="str">
        <v>Zinc - Generic</v>
      </c>
      <c r="E71" s="15">
        <f>((G32 * $I$50 * $I$51) * 10 ^ -3)</f>
        <v>0</v>
      </c>
    </row>
    <row r="72" spans="4:6" ht="20.100000000000001" customHeight="1" x14ac:dyDescent="0.2">
      <c r="D72" s="15" t="str">
        <v>Muriate of potash (MOP)</v>
      </c>
      <c r="E72" s="15">
        <f>((G33 * $I$50 * $I$51) * 10 ^ -3)</f>
        <v>0</v>
      </c>
    </row>
    <row r="73" spans="4:6" ht="20.100000000000001" customHeight="1" x14ac:dyDescent="0.2">
      <c r="D73" s="15" t="str">
        <v>Double superphosphate</v>
      </c>
      <c r="E73" s="15">
        <f>((G34 * $I$50 * $I$51) * 10 ^ -3)</f>
        <v>0</v>
      </c>
    </row>
    <row r="74" spans="4:6" ht="20.100000000000001" customHeight="1" x14ac:dyDescent="0.2">
      <c r="D74" s="15" t="str">
        <v>Single superphosphate (SSP)</v>
      </c>
      <c r="E74" s="15">
        <f>((G35 * $I$50 * $I$51) * 10 ^ -3)</f>
        <v>0</v>
      </c>
    </row>
    <row r="75" spans="4:6" ht="20.100000000000001" customHeight="1" x14ac:dyDescent="0.2">
      <c r="D75" s="15" t="str">
        <v>Ammonia</v>
      </c>
      <c r="E75" s="15">
        <f>((G36 * $I$50 * $I$51) * 10 ^ -3)</f>
        <v>0</v>
      </c>
    </row>
    <row r="76" spans="4:6" ht="20.100000000000001" customHeight="1" x14ac:dyDescent="0.2">
      <c r="D76" s="15" t="str">
        <v>Calcium nitrate</v>
      </c>
      <c r="E76" s="15">
        <f>((G37 * $I$50 * $I$51) * 10 ^ -3)</f>
        <v>0</v>
      </c>
    </row>
    <row r="78" spans="4:6" ht="20.100000000000001" customHeight="1" x14ac:dyDescent="0.2">
      <c r="D78" s="87" t="s">
        <v>412</v>
      </c>
      <c r="E78" s="88">
        <f>SUM(E58:E76)</f>
        <v>184.92752666666664</v>
      </c>
      <c r="F78" s="97" t="str">
        <f>$E$47</f>
        <v>t CO2</v>
      </c>
    </row>
  </sheetData>
  <pageMargins left="0.7" right="0.7" top="0.75" bottom="0.75" header="0.3" footer="0.3"/>
  <pageSetup paperSize="9"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D7D3D-9CBD-4124-B101-FBF1D74704E9}">
  <sheetPr>
    <tabColor rgb="FF008000"/>
  </sheetPr>
  <dimension ref="A1:U55"/>
  <sheetViews>
    <sheetView showGridLines="0" zoomScaleNormal="100" workbookViewId="0">
      <pane xSplit="1" topLeftCell="B1" activePane="topRight" state="frozenSplit"/>
      <selection pane="topRight" activeCell="A47" sqref="A47"/>
    </sheetView>
  </sheetViews>
  <sheetFormatPr defaultRowHeight="20.100000000000001" customHeight="1" x14ac:dyDescent="0.2"/>
  <cols>
    <col min="1" max="1" width="36.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21" customFormat="1" ht="30" customHeight="1" x14ac:dyDescent="0.35">
      <c r="A1" s="10" t="e" vm="1">
        <v>#VALUE!</v>
      </c>
      <c r="C1" s="21" t="s">
        <v>413</v>
      </c>
    </row>
    <row r="2" spans="1:21" s="3" customFormat="1" ht="20.100000000000001" customHeight="1" x14ac:dyDescent="0.2">
      <c r="A2"/>
    </row>
    <row r="3" spans="1:21" ht="20.100000000000001" customHeight="1" x14ac:dyDescent="0.2">
      <c r="A3" s="5" t="str">
        <f>HYPERLINK("#'Home'!A1", "Home")</f>
        <v>Home</v>
      </c>
      <c r="C3" s="23"/>
      <c r="D3" s="23" t="s">
        <v>130</v>
      </c>
      <c r="E3" s="23"/>
      <c r="F3" s="23"/>
      <c r="G3" s="23"/>
      <c r="H3" s="23"/>
      <c r="I3" s="23"/>
      <c r="J3" s="23"/>
      <c r="K3" s="23"/>
      <c r="L3" s="23"/>
      <c r="N3" s="23"/>
      <c r="O3" s="23" t="s">
        <v>131</v>
      </c>
      <c r="P3" s="23"/>
      <c r="Q3" s="23"/>
      <c r="R3" s="23"/>
      <c r="S3" s="23"/>
      <c r="T3" s="23"/>
      <c r="U3" s="23"/>
    </row>
    <row r="4" spans="1:21" ht="20.100000000000001" customHeight="1" x14ac:dyDescent="0.2">
      <c r="A4" s="5" t="str">
        <f>HYPERLINK("#'Results - Activity period'!A1", "Results - Activity period")</f>
        <v>Results - Activity period</v>
      </c>
    </row>
    <row r="5" spans="1:21" ht="20.100000000000001" customHeight="1" x14ac:dyDescent="0.2">
      <c r="A5" s="5" t="str">
        <f>HYPERLINK("#'Results - Product EI'!A1", "Results - Product EI")</f>
        <v>Results - Product EI</v>
      </c>
      <c r="D5" s="2" t="s">
        <v>1089</v>
      </c>
    </row>
    <row r="6" spans="1:21" ht="20.100000000000001" customHeight="1" x14ac:dyDescent="0.2">
      <c r="D6" s="17" t="s">
        <v>1090</v>
      </c>
    </row>
    <row r="7" spans="1:21" ht="20.100000000000001" customHeight="1" x14ac:dyDescent="0.2">
      <c r="D7" s="134"/>
      <c r="E7" s="134"/>
    </row>
    <row r="8" spans="1:21" ht="20.100000000000001" customHeight="1" x14ac:dyDescent="0.2">
      <c r="A8" s="7" t="s">
        <v>0</v>
      </c>
    </row>
    <row r="9" spans="1:21" ht="20.100000000000001" customHeight="1" x14ac:dyDescent="0.2">
      <c r="A9" s="5" t="str">
        <f>HYPERLINK("#'Input - Enterprise'!A1", "Enterprise")</f>
        <v>Enterprise</v>
      </c>
    </row>
    <row r="10" spans="1:21" ht="20.100000000000001" customHeight="1" x14ac:dyDescent="0.2">
      <c r="A10" s="5" t="str">
        <f>HYPERLINK("#'Input - Site'!A1", "Site")</f>
        <v>Site</v>
      </c>
      <c r="D10" s="77" t="s">
        <v>371</v>
      </c>
      <c r="E10" s="1" t="s">
        <v>1091</v>
      </c>
    </row>
    <row r="11" spans="1:21" ht="20.100000000000001" customHeight="1" x14ac:dyDescent="0.2">
      <c r="A11" s="5" t="str">
        <f>HYPERLINK("#'Input - Crop'!A1", "Crop")</f>
        <v>Crop</v>
      </c>
      <c r="D11" s="77" t="s">
        <v>118</v>
      </c>
      <c r="E11" s="9" t="s">
        <v>1029</v>
      </c>
    </row>
    <row r="12" spans="1:21" ht="20.100000000000001" customHeight="1" x14ac:dyDescent="0.2">
      <c r="A12" s="5" t="str">
        <f>HYPERLINK("#'Input - Fert Prod System'!A1", "Fert Prod System")</f>
        <v>Fert Prod System</v>
      </c>
    </row>
    <row r="13" spans="1:21" ht="20.100000000000001" customHeight="1" x14ac:dyDescent="0.2">
      <c r="A13" s="5" t="str">
        <f>HYPERLINK("#'Input - Fertiliser'!A1", "Fertiliser")</f>
        <v>Fertiliser</v>
      </c>
      <c r="D13" s="139" t="s">
        <v>1092</v>
      </c>
      <c r="E13" s="140" t="s">
        <v>1093</v>
      </c>
      <c r="F13" s="145"/>
      <c r="G13" s="150" t="s">
        <v>370</v>
      </c>
      <c r="H13" s="141" t="s">
        <v>1034</v>
      </c>
      <c r="I13" s="143" t="str" cm="1">
        <f t="array" aca="1" ref="I13" ca="1">HYPERLINK(Common_InputFunctions.Utility_SourceHyperlink($D$17), $D$17)</f>
        <v>Table_MNSoil_j_f</v>
      </c>
    </row>
    <row r="14" spans="1:21" ht="20.100000000000001" customHeight="1" x14ac:dyDescent="0.2">
      <c r="A14" s="5" t="str">
        <f>HYPERLINK("#'Input - Fuel'!A1", "Fuel")</f>
        <v>Fuel</v>
      </c>
      <c r="D14" s="139" t="s">
        <v>1094</v>
      </c>
      <c r="E14" s="140" t="s">
        <v>1095</v>
      </c>
      <c r="F14" s="145"/>
      <c r="G14" s="150" t="s">
        <v>1035</v>
      </c>
      <c r="H14" s="141" t="s">
        <v>1034</v>
      </c>
      <c r="I14" s="143" t="str" cm="1">
        <f t="array" aca="1" ref="I14" ca="1">HYPERLINK(Common_InputFunctions.Utility_SourceHyperlink($D$17), $D$17)</f>
        <v>Table_MNSoil_j_f</v>
      </c>
    </row>
    <row r="15" spans="1:21" ht="20.100000000000001" customHeight="1" x14ac:dyDescent="0.2">
      <c r="A15" s="5" t="str">
        <f>HYPERLINK("#'Input - Electricity'!A1", "Electricity")</f>
        <v>Electricity</v>
      </c>
      <c r="D15" s="139" t="s">
        <v>1045</v>
      </c>
      <c r="E15" s="140" t="s">
        <v>468</v>
      </c>
      <c r="F15" s="145"/>
      <c r="G15" s="150"/>
      <c r="H15" s="141" t="s">
        <v>1034</v>
      </c>
      <c r="I15" s="143" t="str" cm="1">
        <f t="array" aca="1" ref="I15" ca="1">HYPERLINK(Common_InputFunctions.Utility_SourceHyperlink($D$17), $D$17)</f>
        <v>Table_MNSoil_j_f</v>
      </c>
    </row>
    <row r="16" spans="1:21" ht="20.100000000000001" customHeight="1" x14ac:dyDescent="0.2">
      <c r="A16" s="5" t="str">
        <f>HYPERLINK("#'Input - Common farm inputs'!A1", "Common farm inputs")</f>
        <v>Common farm inputs</v>
      </c>
    </row>
    <row r="17" spans="1:10" ht="20.100000000000001" customHeight="1" x14ac:dyDescent="0.2">
      <c r="A17" s="5" t="str">
        <f>HYPERLINK("#'Input - Crop pasture farm input'!A1", "Crop pasture farm input")</f>
        <v>Crop pasture farm input</v>
      </c>
      <c r="D17" s="135" t="s">
        <v>414</v>
      </c>
    </row>
    <row r="18" spans="1:10" ht="20.100000000000001" customHeight="1" x14ac:dyDescent="0.2">
      <c r="A18" s="5" t="str">
        <f>HYPERLINK("#'Input - Freight'!A1", "Freight")</f>
        <v>Freight</v>
      </c>
      <c r="D18" s="136" t="s">
        <v>415</v>
      </c>
    </row>
    <row r="19" spans="1:10" ht="20.100000000000001" customHeight="1" x14ac:dyDescent="0.2">
      <c r="A19" s="5" t="str">
        <f>HYPERLINK("#'Input - Solid waste'!A1", "Solid waste")</f>
        <v>Solid waste</v>
      </c>
      <c r="D19" s="80" t="s">
        <v>416</v>
      </c>
      <c r="E19" s="80" t="s">
        <v>417</v>
      </c>
      <c r="F19" s="80" t="s">
        <v>305</v>
      </c>
      <c r="G19" s="152" t="s">
        <v>418</v>
      </c>
      <c r="H19" s="80" t="s">
        <v>419</v>
      </c>
      <c r="I19" s="152" t="s">
        <v>420</v>
      </c>
    </row>
    <row r="20" spans="1:10" ht="20.100000000000001" customHeight="1" x14ac:dyDescent="0.2">
      <c r="A20" s="5" t="str">
        <f>HYPERLINK("#'Input - Data quality'!A1", "Data quality")</f>
        <v>Data quality</v>
      </c>
      <c r="D20" s="15" t="str" cm="1">
        <f t="array" ref="D20:D22">Table_Input_OrganicFertiliser[Organic fertiliser type (select)]</f>
        <v>Manure - Other</v>
      </c>
      <c r="E20" s="153" cm="1">
        <f t="array" ref="E20:E22">Table_Input_OrganicFertiliser[Amount applied (kg/hectare)]</f>
        <v>10</v>
      </c>
      <c r="F20" s="153" cm="1">
        <f t="array" ref="F20:F22">Table_Input_OrganicFertiliser[Application area (ha)]</f>
        <v>1000</v>
      </c>
      <c r="G20" s="15" cm="1">
        <f t="array" ref="G20:G22">Table_Input_OrganicFertiliser[Amount applied (kg/hectare)]*Table_Input_OrganicFertiliser[Application area (ha)]</f>
        <v>10000</v>
      </c>
      <c r="H20" s="154" cm="1">
        <f t="array" ref="H20:H22">Table_Input_OrganicFertiliser[Percentage of N in fertiliser]</f>
        <v>0.3</v>
      </c>
      <c r="I20" s="15">
        <f>(G20 * H20)</f>
        <v>3000</v>
      </c>
    </row>
    <row r="21" spans="1:10" ht="20.100000000000001" customHeight="1" x14ac:dyDescent="0.2">
      <c r="D21" s="15" t="str">
        <v>Manure - Poultry</v>
      </c>
      <c r="E21" s="15">
        <v>10</v>
      </c>
      <c r="F21" s="15">
        <v>1000</v>
      </c>
      <c r="G21" s="15">
        <v>10000</v>
      </c>
      <c r="H21" s="15">
        <v>0.25</v>
      </c>
      <c r="I21" s="15">
        <f>(G21 * H21)</f>
        <v>2500</v>
      </c>
    </row>
    <row r="22" spans="1:10" ht="20.100000000000001" customHeight="1" x14ac:dyDescent="0.2">
      <c r="D22" s="15" t="str">
        <v>Other organic fertiliser</v>
      </c>
      <c r="E22" s="15">
        <v>10</v>
      </c>
      <c r="F22" s="15">
        <v>1000</v>
      </c>
      <c r="G22" s="15">
        <v>10000</v>
      </c>
      <c r="H22" s="15">
        <v>0.16</v>
      </c>
      <c r="I22" s="15">
        <f>(G22 * H22)</f>
        <v>1600</v>
      </c>
    </row>
    <row r="23" spans="1:10" ht="20.100000000000001" customHeight="1" x14ac:dyDescent="0.2">
      <c r="A23" s="6" t="s">
        <v>2</v>
      </c>
      <c r="D23" s="15"/>
      <c r="E23" s="15"/>
      <c r="F23" s="15"/>
      <c r="G23" s="15"/>
      <c r="H23" s="15"/>
      <c r="I23" s="15">
        <f>(G23 * H23)</f>
        <v>0</v>
      </c>
    </row>
    <row r="24" spans="1:10" ht="20.100000000000001" customHeight="1" x14ac:dyDescent="0.2">
      <c r="A24" s="5" t="str">
        <f>HYPERLINK("#'5.1.1.1-2 Inorganic fert N2O'!A1", "5.1.1.1-2 Inorganic fert N2O")</f>
        <v>5.1.1.1-2 Inorganic fert N2O</v>
      </c>
      <c r="D24" s="15"/>
      <c r="E24" s="15"/>
      <c r="F24" s="15"/>
      <c r="G24" s="15"/>
      <c r="H24" s="15"/>
      <c r="I24" s="15">
        <f>(G24 * H24)</f>
        <v>0</v>
      </c>
    </row>
    <row r="25" spans="1:10" ht="20.100000000000001" customHeight="1" x14ac:dyDescent="0.2">
      <c r="A25" s="5" t="str">
        <f>HYPERLINK("#'5.1.1.3-4 Inorganic fert CO2'!A1", "5.1.1.3-4 Inorganic fert CO2")</f>
        <v>5.1.1.3-4 Inorganic fert CO2</v>
      </c>
      <c r="D25" s="15"/>
      <c r="E25" s="15"/>
      <c r="F25" s="15"/>
      <c r="G25" s="15"/>
      <c r="H25" s="15"/>
      <c r="I25" s="15">
        <f>(G25 * H25)</f>
        <v>0</v>
      </c>
    </row>
    <row r="26" spans="1:10" ht="20.100000000000001" customHeight="1" x14ac:dyDescent="0.2">
      <c r="A26" s="144" t="str">
        <f>HYPERLINK("#'5.2.1.1-2 Organic Fert N2O'!A1", "5.2.1.1-2 Organic fert N2O")</f>
        <v>5.2.1.1-2 Organic fert N2O</v>
      </c>
      <c r="D26" s="15"/>
      <c r="E26" s="15"/>
      <c r="F26" s="15"/>
      <c r="G26" s="15"/>
      <c r="H26" s="15"/>
      <c r="I26" s="15">
        <f>(G26 * H26)</f>
        <v>0</v>
      </c>
    </row>
    <row r="27" spans="1:10" ht="20.100000000000001" customHeight="1" x14ac:dyDescent="0.2">
      <c r="A27" s="5" t="str">
        <f>HYPERLINK("#'5.3.1.1-2 Lime CO2'!A1", "5.3.1.1-2 Lime CO2")</f>
        <v>5.3.1.1-2 Lime CO2</v>
      </c>
      <c r="D27" s="15"/>
      <c r="E27" s="15"/>
      <c r="F27" s="15"/>
      <c r="G27" s="15"/>
      <c r="H27" s="15"/>
      <c r="I27" s="15">
        <f>(G27 * H27)</f>
        <v>0</v>
      </c>
    </row>
    <row r="28" spans="1:10" ht="20.100000000000001" customHeight="1" x14ac:dyDescent="0.2">
      <c r="A28" s="5" t="str">
        <f>HYPERLINK("#'5.4.1.1-4 Atmos deposition'!A1", "5.4.1.1-4 Atmos. deposition")</f>
        <v>5.4.1.1-4 Atmos. deposition</v>
      </c>
      <c r="D28" s="15"/>
      <c r="E28" s="15"/>
      <c r="F28" s="15"/>
      <c r="G28" s="15"/>
      <c r="H28" s="15"/>
      <c r="I28" s="15">
        <f>(G28 * H28)</f>
        <v>0</v>
      </c>
    </row>
    <row r="29" spans="1:10" ht="20.100000000000001" customHeight="1" x14ac:dyDescent="0.2">
      <c r="A29" s="5" t="str">
        <f>HYPERLINK("#'5.5.1.1-2 Leaching and runoff'!A1", "5.5.1.1-2 Leaching &amp; runoff")</f>
        <v>5.5.1.1-2 Leaching &amp; runoff</v>
      </c>
      <c r="D29" s="15"/>
      <c r="E29" s="15"/>
      <c r="F29" s="15"/>
      <c r="G29" s="15"/>
      <c r="H29" s="15"/>
      <c r="I29" s="15">
        <f>(G29 * H29)</f>
        <v>0</v>
      </c>
    </row>
    <row r="30" spans="1:10" ht="20.100000000000001" customHeight="1" x14ac:dyDescent="0.2">
      <c r="A30" s="5" t="str">
        <f>HYPERLINK("#'6.1.1.1-2 Crop residue N2O'!A1", "6.1.1.1-2 Crop residue N2O")</f>
        <v>6.1.1.1-2 Crop residue N2O</v>
      </c>
      <c r="D30" s="15"/>
      <c r="E30" s="15"/>
      <c r="F30" s="15"/>
      <c r="G30" s="15"/>
      <c r="H30" s="15"/>
      <c r="I30" s="15">
        <f>(G30 * H30)</f>
        <v>0</v>
      </c>
    </row>
    <row r="31" spans="1:10" ht="20.100000000000001" customHeight="1" x14ac:dyDescent="0.2">
      <c r="A31" s="5" t="str">
        <f>HYPERLINK("#'6.3.1.1-2 Leach runoff crop'!A1", "6.3.1.1-2 Leach &amp; runoff (crop)")</f>
        <v>6.3.1.1-2 Leach &amp; runoff (crop)</v>
      </c>
      <c r="D31" s="155"/>
      <c r="E31" s="155"/>
      <c r="F31" s="155"/>
      <c r="G31" s="155"/>
      <c r="H31" s="155"/>
      <c r="I31" s="155"/>
      <c r="J31" s="155"/>
    </row>
    <row r="32" spans="1:10" ht="20.100000000000001" customHeight="1" x14ac:dyDescent="0.2">
      <c r="A32" s="5" t="str">
        <f>HYPERLINK("#'6.4.1.1-2 Residue burning'!A1", "6.4.1.1-2 Residue burning")</f>
        <v>6.4.1.1-2 Residue burning</v>
      </c>
      <c r="D32" s="90" t="s">
        <v>421</v>
      </c>
      <c r="E32" s="90">
        <f>SUM(I20:I30)</f>
        <v>7100</v>
      </c>
      <c r="F32" s="156" t="str">
        <f>$E$11</f>
        <v>kg N</v>
      </c>
      <c r="G32" s="155"/>
      <c r="H32" s="155"/>
      <c r="I32" s="155"/>
      <c r="J32" s="155"/>
    </row>
    <row r="33" spans="1:12" ht="20.100000000000001" customHeight="1" x14ac:dyDescent="0.2">
      <c r="A33" s="5" t="str">
        <f>HYPERLINK("#'8.1.1.1-2 Transport fuel'!A1", "8.1.1.1-2 Transport fuel")</f>
        <v>8.1.1.1-2 Transport fuel</v>
      </c>
    </row>
    <row r="34" spans="1:12" ht="20.100000000000001" customHeight="1" x14ac:dyDescent="0.2">
      <c r="A34" s="5" t="str">
        <f>HYPERLINK("#'8.2.1.1-2 Stationary fuel'!A1", "8.2.1.1-2 Stationary fuel")</f>
        <v>8.2.1.1-2 Stationary fuel</v>
      </c>
    </row>
    <row r="35" spans="1:12" ht="20.100000000000001" customHeight="1" x14ac:dyDescent="0.2">
      <c r="A35" s="5" t="str">
        <f>HYPERLINK("#'10.1.1-2 Solid waste treatment'!A1", "10.1.1.1-2 Solid waste")</f>
        <v>10.1.1.1-2 Solid waste</v>
      </c>
      <c r="C35" s="157"/>
      <c r="D35" s="157"/>
      <c r="E35" s="157"/>
      <c r="F35" s="157"/>
      <c r="G35" s="157"/>
      <c r="H35" s="157"/>
      <c r="I35" s="157"/>
      <c r="J35" s="157"/>
      <c r="K35" s="157"/>
      <c r="L35" s="157"/>
    </row>
    <row r="36" spans="1:12" ht="20.100000000000001" customHeight="1" x14ac:dyDescent="0.2">
      <c r="A36" s="5" t="str">
        <f>HYPERLINK("#'14.1.1-2 Purchased electricity'!A1", "14.1.1-2 Purchased electricity")</f>
        <v>14.1.1-2 Purchased electricity</v>
      </c>
      <c r="D36" s="2" t="s">
        <v>1096</v>
      </c>
    </row>
    <row r="37" spans="1:12" ht="20.100000000000001" customHeight="1" x14ac:dyDescent="0.2">
      <c r="A37" s="5" t="str">
        <f>HYPERLINK("#'15 Scope 3'!A1", "15 Scope 3")</f>
        <v>15 Scope 3</v>
      </c>
      <c r="D37" s="17" t="s">
        <v>1097</v>
      </c>
    </row>
    <row r="38" spans="1:12" ht="20.100000000000001" customHeight="1" x14ac:dyDescent="0.2">
      <c r="D38" s="134"/>
      <c r="E38" s="134"/>
    </row>
    <row r="40" spans="1:12" ht="20.100000000000001" customHeight="1" x14ac:dyDescent="0.2">
      <c r="A40" s="82" t="s">
        <v>1</v>
      </c>
    </row>
    <row r="41" spans="1:12" ht="20.100000000000001" customHeight="1" x14ac:dyDescent="0.2">
      <c r="A41" s="5" t="str">
        <f>HYPERLINK("#'Constants - Ag Residue'!A1", "Constants - Ag residue")</f>
        <v>Constants - Ag residue</v>
      </c>
      <c r="D41" s="77" t="s">
        <v>371</v>
      </c>
      <c r="E41" s="1" t="s">
        <v>749</v>
      </c>
    </row>
    <row r="42" spans="1:12" ht="20.100000000000001" customHeight="1" x14ac:dyDescent="0.2">
      <c r="A42" s="5" t="str">
        <f>HYPERLINK("#'Constants - Electricity'!A1", "Constants - Electricity")</f>
        <v>Constants - Electricity</v>
      </c>
      <c r="D42" s="77" t="s">
        <v>118</v>
      </c>
      <c r="E42" s="9" t="s">
        <v>12</v>
      </c>
    </row>
    <row r="43" spans="1:12" ht="20.100000000000001" customHeight="1" x14ac:dyDescent="0.2">
      <c r="A43" s="5" t="str">
        <f>HYPERLINK("#'Constants - Fertiliser'!A1", "Constants - Fertiliser")</f>
        <v>Constants - Fertiliser</v>
      </c>
    </row>
    <row r="44" spans="1:12" ht="20.100000000000001" customHeight="1" x14ac:dyDescent="0.2">
      <c r="A44" s="5" t="str">
        <f>HYPERLINK("#'Constants - Fuel'!A1", "Constants - Fuel")</f>
        <v>Constants - Fuel</v>
      </c>
      <c r="D44" s="150" t="s">
        <v>1091</v>
      </c>
      <c r="E44" s="147" t="s">
        <v>1098</v>
      </c>
      <c r="F44" s="158"/>
      <c r="G44" s="158"/>
      <c r="H44" s="159"/>
      <c r="I44" s="150" t="s">
        <v>1029</v>
      </c>
      <c r="J44" s="142" t="s">
        <v>1102</v>
      </c>
      <c r="K44" s="150">
        <f>$E$32</f>
        <v>7100</v>
      </c>
    </row>
    <row r="45" spans="1:12" ht="20.100000000000001" customHeight="1" x14ac:dyDescent="0.2">
      <c r="A45" s="5" t="str">
        <f>HYPERLINK("#'Constants - Scope 3'!A1", "Constants - Scope 3")</f>
        <v>Constants - Scope 3</v>
      </c>
      <c r="D45" s="150" t="s">
        <v>1099</v>
      </c>
      <c r="E45" s="147" t="s">
        <v>1100</v>
      </c>
      <c r="F45" s="158"/>
      <c r="G45" s="158"/>
      <c r="H45" s="159"/>
      <c r="I45" s="150" t="s">
        <v>1103</v>
      </c>
      <c r="J45" s="142" t="s">
        <v>1078</v>
      </c>
      <c r="K45" s="150">
        <f>Common_InputFunctions.Utility_LookupValueInTableNumber(K48, Table_SourceData_Common_EFOrganicFertCropResidues[Climate Zone],Table_SourceData_Common_EFOrganicFertCropResidues[EFNi &amp; EFN2Oi])</f>
        <v>5.0000000000000001E-3</v>
      </c>
    </row>
    <row r="46" spans="1:12" ht="20.100000000000001" customHeight="1" x14ac:dyDescent="0.2">
      <c r="A46" s="5" t="str">
        <f>HYPERLINK("#'Constants - Solid Waste'!A1", "Constants - Solid Waste")</f>
        <v>Constants - Solid Waste</v>
      </c>
      <c r="D46" s="150" t="s">
        <v>1051</v>
      </c>
      <c r="E46" s="147" t="s">
        <v>1052</v>
      </c>
      <c r="F46" s="158"/>
      <c r="G46" s="158"/>
      <c r="H46" s="159"/>
      <c r="I46" s="150"/>
      <c r="J46" s="142" t="s">
        <v>1036</v>
      </c>
      <c r="K46" s="139">
        <f>Common_InputFunctions.Utility_LookupValueInTableNumber("N2O",Table_GasToMolecularConversionFactor[Gas],Table_GasToMolecularConversionFactor[Conversion factor combined])</f>
        <v>1.5714285714285714</v>
      </c>
    </row>
    <row r="47" spans="1:12" ht="20.100000000000001" customHeight="1" x14ac:dyDescent="0.2">
      <c r="A47" s="5" t="str">
        <f>HYPERLINK("#'Constants - Common'!A1", "Constants - Common")</f>
        <v>Constants - Common</v>
      </c>
      <c r="D47" s="150" t="s">
        <v>1053</v>
      </c>
      <c r="E47" s="147" t="s">
        <v>177</v>
      </c>
      <c r="F47" s="158"/>
      <c r="G47" s="158"/>
      <c r="H47" s="159"/>
      <c r="I47" s="150"/>
      <c r="J47" s="141" t="s">
        <v>1034</v>
      </c>
      <c r="K47" s="150" t="str">
        <f>X_Cell_Fertiliser_ProductionSystem</f>
        <v>Crop</v>
      </c>
    </row>
    <row r="48" spans="1:12" ht="20.100000000000001" customHeight="1" x14ac:dyDescent="0.2">
      <c r="A48" s="5" t="str">
        <f>HYPERLINK("#'Constants - Common Livestock'!A1", "Constants - Common Livestock")</f>
        <v>Constants - Common Livestock</v>
      </c>
      <c r="D48" s="150" t="s">
        <v>1101</v>
      </c>
      <c r="E48" s="147" t="s">
        <v>114</v>
      </c>
      <c r="F48" s="158"/>
      <c r="G48" s="158"/>
      <c r="H48" s="159"/>
      <c r="I48" s="150"/>
      <c r="J48" s="141" t="s">
        <v>1034</v>
      </c>
      <c r="K48" s="150" t="str">
        <f>X_Cell_Site_WetOrDryClimateZone</f>
        <v>Dry climate zone</v>
      </c>
    </row>
    <row r="50" spans="4:7" ht="20.100000000000001" customHeight="1" x14ac:dyDescent="0.2">
      <c r="D50" s="87" t="s">
        <v>394</v>
      </c>
      <c r="E50" s="88">
        <f>((K44 * K45 * K46) * 10 ^ -3)</f>
        <v>5.5785714285714286E-2</v>
      </c>
      <c r="F50" s="97" t="str">
        <f>$E$42</f>
        <v>t N2O</v>
      </c>
    </row>
    <row r="52" spans="4:7" ht="20.100000000000001" customHeight="1" x14ac:dyDescent="0.2">
      <c r="D52" s="139" t="str" cm="1">
        <f t="array" ref="D52:E53">Common_Equations.Common_ConvertN2OToCO2e_Arguments()</f>
        <v>EN2O</v>
      </c>
      <c r="E52" s="140" t="str">
        <v>Nitrous oxide emissions (t N2O)</v>
      </c>
      <c r="F52" s="149"/>
      <c r="G52" s="15">
        <f>VEERG_5_2_1_1__2_MassOfNitrogenInOrganicFertiliser_Result_Method1</f>
        <v>5.5785714285714286E-2</v>
      </c>
    </row>
    <row r="53" spans="4:7" ht="20.100000000000001" customHeight="1" x14ac:dyDescent="0.2">
      <c r="D53" s="139" t="str">
        <v>GWPN2O</v>
      </c>
      <c r="E53" s="140" t="str">
        <v>Global warming potential for nitrous oxide (t CO2-e / t N2O)</v>
      </c>
      <c r="F53" s="149"/>
      <c r="G53" s="15">
        <f>Common_InputFunctions.Utility_LookupValueInTableNumber("N2O",Table_GWPData[Gas],Table_GWPData[CO2-e factor])</f>
        <v>265</v>
      </c>
    </row>
    <row r="55" spans="4:7" ht="20.100000000000001" customHeight="1" x14ac:dyDescent="0.2">
      <c r="D55" s="85" t="s">
        <v>395</v>
      </c>
      <c r="E55" s="85" cm="1">
        <f t="array" ref="E55">Common_Equations.Common_ConvertN2OToCO2e(G52,G53)</f>
        <v>14.783214285714285</v>
      </c>
      <c r="F55" s="91" t="str" cm="1">
        <f t="array" ref="F55">Common_Equations.Common_ConvertN2OToCO2e_Unit()</f>
        <v>t CO2e</v>
      </c>
    </row>
  </sheetData>
  <pageMargins left="0.7" right="0.7" top="0.75" bottom="0.75" header="0.3" footer="0.3"/>
  <pageSetup paperSize="9"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83C4D-5705-48A5-B5BC-79A3D058C25C}">
  <sheetPr>
    <tabColor rgb="FF008000"/>
  </sheetPr>
  <dimension ref="A1:U48"/>
  <sheetViews>
    <sheetView showGridLines="0" zoomScaleNormal="100" workbookViewId="0">
      <pane xSplit="1" topLeftCell="B1" activePane="topRight" state="frozenSplit"/>
      <selection pane="topRight" activeCell="A47" sqref="A47"/>
    </sheetView>
  </sheetViews>
  <sheetFormatPr defaultRowHeight="20.100000000000001" customHeight="1" x14ac:dyDescent="0.2"/>
  <cols>
    <col min="1" max="1" width="36.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21" customFormat="1" ht="30" customHeight="1" x14ac:dyDescent="0.35">
      <c r="A1" s="10" t="e" vm="1">
        <v>#VALUE!</v>
      </c>
      <c r="C1" s="21" t="s">
        <v>422</v>
      </c>
    </row>
    <row r="2" spans="1:21" s="3" customFormat="1" ht="20.100000000000001" customHeight="1" x14ac:dyDescent="0.2">
      <c r="A2"/>
    </row>
    <row r="3" spans="1:21" ht="20.100000000000001" customHeight="1" x14ac:dyDescent="0.2">
      <c r="A3" s="5" t="str">
        <f>HYPERLINK("#'Home'!A1", "Home")</f>
        <v>Home</v>
      </c>
      <c r="C3" s="23"/>
      <c r="D3" s="23" t="s">
        <v>130</v>
      </c>
      <c r="E3" s="23"/>
      <c r="F3" s="23"/>
      <c r="G3" s="23"/>
      <c r="H3" s="23"/>
      <c r="I3" s="23"/>
      <c r="J3" s="23"/>
      <c r="K3" s="23"/>
      <c r="L3" s="23"/>
      <c r="N3" s="23"/>
      <c r="O3" s="23" t="s">
        <v>131</v>
      </c>
      <c r="P3" s="23"/>
      <c r="Q3" s="23"/>
      <c r="R3" s="23"/>
      <c r="S3" s="23"/>
      <c r="T3" s="23"/>
      <c r="U3" s="23"/>
    </row>
    <row r="4" spans="1:21" ht="20.100000000000001" customHeight="1" x14ac:dyDescent="0.2">
      <c r="A4" s="5" t="str">
        <f>HYPERLINK("#'Results - Activity period'!A1", "Results - Activity period")</f>
        <v>Results - Activity period</v>
      </c>
    </row>
    <row r="5" spans="1:21" ht="20.100000000000001" customHeight="1" x14ac:dyDescent="0.2">
      <c r="A5" s="5" t="str">
        <f>HYPERLINK("#'Results - Product EI'!A1", "Results - Product EI")</f>
        <v>Results - Product EI</v>
      </c>
      <c r="D5" s="2" t="s">
        <v>1104</v>
      </c>
    </row>
    <row r="6" spans="1:21" ht="20.100000000000001" customHeight="1" x14ac:dyDescent="0.2">
      <c r="D6" s="17" t="s">
        <v>1105</v>
      </c>
    </row>
    <row r="7" spans="1:21" ht="20.100000000000001" customHeight="1" x14ac:dyDescent="0.2">
      <c r="D7" s="134"/>
      <c r="E7" s="134"/>
    </row>
    <row r="8" spans="1:21" ht="20.100000000000001" customHeight="1" x14ac:dyDescent="0.2">
      <c r="A8" s="7" t="s">
        <v>0</v>
      </c>
    </row>
    <row r="9" spans="1:21" ht="20.100000000000001" customHeight="1" x14ac:dyDescent="0.2">
      <c r="A9" s="5" t="str">
        <f>HYPERLINK("#'Input - Enterprise'!A1", "Enterprise")</f>
        <v>Enterprise</v>
      </c>
    </row>
    <row r="10" spans="1:21" ht="20.100000000000001" customHeight="1" x14ac:dyDescent="0.2">
      <c r="A10" s="5" t="str">
        <f>HYPERLINK("#'Input - Site'!A1", "Site")</f>
        <v>Site</v>
      </c>
      <c r="D10" s="77" t="s">
        <v>371</v>
      </c>
      <c r="E10" s="1" t="s">
        <v>1106</v>
      </c>
    </row>
    <row r="11" spans="1:21" ht="20.100000000000001" customHeight="1" x14ac:dyDescent="0.2">
      <c r="A11" s="5" t="str">
        <f>HYPERLINK("#'Input - Crop'!A1", "Crop")</f>
        <v>Crop</v>
      </c>
      <c r="D11" s="77" t="s">
        <v>118</v>
      </c>
      <c r="E11" s="9" t="s">
        <v>127</v>
      </c>
    </row>
    <row r="12" spans="1:21" ht="20.100000000000001" customHeight="1" x14ac:dyDescent="0.2">
      <c r="A12" s="5" t="str">
        <f>HYPERLINK("#'Input - Fert Prod System'!A1", "Fert Prod System")</f>
        <v>Fert Prod System</v>
      </c>
    </row>
    <row r="13" spans="1:21" ht="20.100000000000001" customHeight="1" x14ac:dyDescent="0.2">
      <c r="A13" s="5" t="str">
        <f>HYPERLINK("#'Input - Fertiliser'!A1", "Fertiliser")</f>
        <v>Fertiliser</v>
      </c>
      <c r="D13" s="150" t="s">
        <v>1107</v>
      </c>
      <c r="E13" s="147" t="s">
        <v>1108</v>
      </c>
      <c r="F13" s="159"/>
      <c r="G13" s="150" t="s">
        <v>370</v>
      </c>
      <c r="H13" s="141" t="s">
        <v>1034</v>
      </c>
      <c r="I13" s="143" t="str" cm="1">
        <f t="array" aca="1" ref="I13" ca="1">HYPERLINK(Common_InputFunctions.Utility_SourceHyperlink($D$22), $D$22)</f>
        <v>Table_E_lime</v>
      </c>
    </row>
    <row r="14" spans="1:21" ht="20.100000000000001" customHeight="1" x14ac:dyDescent="0.2">
      <c r="A14" s="5" t="str">
        <f>HYPERLINK("#'Input - Fuel'!A1", "Fuel")</f>
        <v>Fuel</v>
      </c>
      <c r="D14" s="150" t="s">
        <v>426</v>
      </c>
      <c r="E14" s="147" t="s">
        <v>1109</v>
      </c>
      <c r="F14" s="159"/>
      <c r="G14" s="150" t="s">
        <v>1120</v>
      </c>
      <c r="H14" s="141" t="s">
        <v>1034</v>
      </c>
      <c r="I14" s="143" t="str" cm="1">
        <f t="array" aca="1" ref="I14" ca="1">HYPERLINK(Common_InputFunctions.Utility_SourceHyperlink($D$22), $D$22)</f>
        <v>Table_E_lime</v>
      </c>
    </row>
    <row r="15" spans="1:21" ht="20.100000000000001" customHeight="1" x14ac:dyDescent="0.2">
      <c r="A15" s="5" t="str">
        <f>HYPERLINK("#'Input - Electricity'!A1", "Electricity")</f>
        <v>Electricity</v>
      </c>
      <c r="D15" s="150" t="s">
        <v>1110</v>
      </c>
      <c r="E15" s="147" t="s">
        <v>1111</v>
      </c>
      <c r="F15" s="159"/>
      <c r="G15" s="150" t="s">
        <v>1120</v>
      </c>
      <c r="H15" s="142" t="s">
        <v>1036</v>
      </c>
      <c r="I15" s="150">
        <f>'Constants - Fertiliser'!$E$66</f>
        <v>0.9</v>
      </c>
    </row>
    <row r="16" spans="1:21" ht="20.100000000000001" customHeight="1" x14ac:dyDescent="0.2">
      <c r="A16" s="5" t="str">
        <f>HYPERLINK("#'Input - Common farm inputs'!A1", "Common farm inputs")</f>
        <v>Common farm inputs</v>
      </c>
      <c r="D16" s="150" t="s">
        <v>1112</v>
      </c>
      <c r="E16" s="147" t="s">
        <v>1113</v>
      </c>
      <c r="F16" s="159"/>
      <c r="G16" s="150" t="s">
        <v>1121</v>
      </c>
      <c r="H16" s="142" t="s">
        <v>1036</v>
      </c>
      <c r="I16" s="150">
        <f>'Constants - Fertiliser'!$F$66</f>
        <v>0.12</v>
      </c>
    </row>
    <row r="17" spans="1:9" ht="20.100000000000001" customHeight="1" x14ac:dyDescent="0.2">
      <c r="A17" s="5" t="str">
        <f>HYPERLINK("#'Input - Crop pasture farm input'!A1", "Crop pasture farm input")</f>
        <v>Crop pasture farm input</v>
      </c>
      <c r="D17" s="150" t="s">
        <v>427</v>
      </c>
      <c r="E17" s="147" t="s">
        <v>1114</v>
      </c>
      <c r="F17" s="159"/>
      <c r="G17" s="150" t="s">
        <v>1120</v>
      </c>
      <c r="H17" s="141" t="s">
        <v>1034</v>
      </c>
      <c r="I17" s="143" t="str" cm="1">
        <f t="array" aca="1" ref="I17" ca="1">HYPERLINK(Common_InputFunctions.Utility_SourceHyperlink($D$22), $D$22)</f>
        <v>Table_E_lime</v>
      </c>
    </row>
    <row r="18" spans="1:9" ht="20.100000000000001" customHeight="1" x14ac:dyDescent="0.2">
      <c r="A18" s="5" t="str">
        <f>HYPERLINK("#'Input - Freight'!A1", "Freight")</f>
        <v>Freight</v>
      </c>
      <c r="D18" s="150" t="s">
        <v>1115</v>
      </c>
      <c r="E18" s="147" t="s">
        <v>1116</v>
      </c>
      <c r="F18" s="159"/>
      <c r="G18" s="150" t="s">
        <v>1120</v>
      </c>
      <c r="H18" s="142" t="s">
        <v>1036</v>
      </c>
      <c r="I18" s="150">
        <f>'Constants - Fertiliser'!$E$67</f>
        <v>0.95</v>
      </c>
    </row>
    <row r="19" spans="1:9" ht="20.100000000000001" customHeight="1" x14ac:dyDescent="0.2">
      <c r="A19" s="5" t="str">
        <f>HYPERLINK("#'Input - Solid waste'!A1", "Solid waste")</f>
        <v>Solid waste</v>
      </c>
      <c r="D19" s="150" t="s">
        <v>1117</v>
      </c>
      <c r="E19" s="147" t="s">
        <v>1118</v>
      </c>
      <c r="F19" s="159"/>
      <c r="G19" s="150" t="s">
        <v>1121</v>
      </c>
      <c r="H19" s="142" t="s">
        <v>1036</v>
      </c>
      <c r="I19" s="150">
        <f>'Constants - Fertiliser'!$F$67</f>
        <v>0.13</v>
      </c>
    </row>
    <row r="20" spans="1:9" ht="20.100000000000001" customHeight="1" x14ac:dyDescent="0.2">
      <c r="A20" s="5" t="str">
        <f>HYPERLINK("#'Input - Data quality'!A1", "Data quality")</f>
        <v>Data quality</v>
      </c>
      <c r="D20" s="150" t="s">
        <v>1085</v>
      </c>
      <c r="E20" s="147" t="s">
        <v>1119</v>
      </c>
      <c r="F20" s="159"/>
      <c r="G20" s="150"/>
      <c r="H20" s="142" t="s">
        <v>1036</v>
      </c>
      <c r="I20" s="139">
        <f>Common_InputFunctions.Utility_LookupValueInTableNumber("CO2",Table_GasToMolecularConversionFactor[Gas], Table_GasToMolecularConversionFactor[Conversion factor combined])</f>
        <v>3.6666666666666665</v>
      </c>
    </row>
    <row r="22" spans="1:9" ht="20.100000000000001" customHeight="1" x14ac:dyDescent="0.2">
      <c r="D22" s="135" t="s">
        <v>423</v>
      </c>
    </row>
    <row r="23" spans="1:9" ht="20.100000000000001" customHeight="1" x14ac:dyDescent="0.2">
      <c r="A23" s="6" t="s">
        <v>2</v>
      </c>
      <c r="D23" s="136" t="s">
        <v>342</v>
      </c>
    </row>
    <row r="24" spans="1:9" ht="20.100000000000001" customHeight="1" x14ac:dyDescent="0.2">
      <c r="A24" s="5" t="str">
        <f>HYPERLINK("#'5.1.1.1-2 Inorganic fert N2O'!A1", "5.1.1.1-2 Inorganic fert N2O")</f>
        <v>5.1.1.1-2 Inorganic fert N2O</v>
      </c>
      <c r="D24" s="80" t="s">
        <v>424</v>
      </c>
      <c r="E24" s="80" t="s">
        <v>425</v>
      </c>
      <c r="F24" s="80" t="s">
        <v>426</v>
      </c>
      <c r="G24" s="80" t="s">
        <v>427</v>
      </c>
      <c r="H24" s="138" t="s">
        <v>428</v>
      </c>
    </row>
    <row r="25" spans="1:9" ht="20.100000000000001" customHeight="1" x14ac:dyDescent="0.2">
      <c r="A25" s="5" t="str">
        <f>HYPERLINK("#'5.1.1.3-4 Inorganic fert CO2'!A1", "5.1.1.3-4 Inorganic fert CO2")</f>
        <v>5.1.1.3-4 Inorganic fert CO2</v>
      </c>
      <c r="D25" s="15" t="str" cm="1">
        <f t="array" ref="D25:D27">Table_Input_Lime[Product]</f>
        <v>Lime product 1</v>
      </c>
      <c r="E25" s="160" cm="1">
        <f t="array" ref="E25:E27">Table_Input_Lime[Total amount applied (t)]*10^3</f>
        <v>1000000</v>
      </c>
      <c r="F25" s="161" cm="1">
        <f t="array" ref="F25:F27">Table_Input_Lime[Percent Lime CaCO3]</f>
        <v>0.8</v>
      </c>
      <c r="G25" s="161" cm="1">
        <f t="array" ref="G25:G27">Table_Input_Lime[Percent Dolomite CaMg(CO3)2]</f>
        <v>0.1</v>
      </c>
      <c r="H25" s="15">
        <f>(((E25 * F25 * $I$15 * $I$16) + (E25 * G25 * $I$18 * $I$19)) * $I$20 * 10 ^ -3)</f>
        <v>362.08333333333331</v>
      </c>
    </row>
    <row r="26" spans="1:9" ht="20.100000000000001" customHeight="1" x14ac:dyDescent="0.2">
      <c r="A26" s="5" t="str">
        <f>HYPERLINK("#'5.2.1.1-2 Organic Fert N2O'!A1", "5.2.1.1-2 Organic fert N2O")</f>
        <v>5.2.1.1-2 Organic fert N2O</v>
      </c>
      <c r="D26" s="15" t="str">
        <v>Lime product 2</v>
      </c>
      <c r="E26" s="15">
        <v>1000000</v>
      </c>
      <c r="F26" s="15">
        <v>1</v>
      </c>
      <c r="G26" s="15">
        <v>0</v>
      </c>
      <c r="H26" s="15">
        <f>(((E26 * F26 * $I$15 * $I$16) + (E26 * G26 * $I$18 * $I$19)) * $I$20 * 10 ^ -3)</f>
        <v>396</v>
      </c>
    </row>
    <row r="27" spans="1:9" ht="20.100000000000001" customHeight="1" x14ac:dyDescent="0.2">
      <c r="A27" s="144" t="str">
        <f>HYPERLINK("#'5.3.1.1-2 Lime CO2'!A1", "5.3.1.1-2 Lime CO2")</f>
        <v>5.3.1.1-2 Lime CO2</v>
      </c>
      <c r="D27" s="15" t="str">
        <v>Lime product 3</v>
      </c>
      <c r="E27" s="15">
        <v>1000000</v>
      </c>
      <c r="F27" s="15">
        <v>0</v>
      </c>
      <c r="G27" s="15">
        <v>0</v>
      </c>
      <c r="H27" s="15">
        <f>(((E27 * F27 * $I$15 * $I$16) + (E27 * G27 * $I$18 * $I$19)) * $I$20 * 10 ^ -3)</f>
        <v>0</v>
      </c>
    </row>
    <row r="28" spans="1:9" ht="20.100000000000001" customHeight="1" x14ac:dyDescent="0.2">
      <c r="A28" s="5" t="str">
        <f>HYPERLINK("#'5.4.1.1-4 Atmos deposition'!A1", "5.4.1.1-4 Atmos. deposition")</f>
        <v>5.4.1.1-4 Atmos. deposition</v>
      </c>
      <c r="D28" s="15"/>
      <c r="E28" s="15"/>
      <c r="F28" s="15"/>
      <c r="G28" s="15"/>
      <c r="H28" s="15">
        <f>(((E28 * F28 * $I$15 * $I$16) + (E28 * G28 * $I$18 * $I$19)) * $I$20 * 10 ^ -3)</f>
        <v>0</v>
      </c>
    </row>
    <row r="29" spans="1:9" ht="20.100000000000001" customHeight="1" x14ac:dyDescent="0.2">
      <c r="A29" s="5" t="str">
        <f>HYPERLINK("#'5.5.1.1-2 Leaching and runoff'!A1", "5.5.1.1-2 Leaching &amp; runoff")</f>
        <v>5.5.1.1-2 Leaching &amp; runoff</v>
      </c>
      <c r="D29" s="15"/>
      <c r="E29" s="15"/>
      <c r="F29" s="15"/>
      <c r="G29" s="15"/>
      <c r="H29" s="15">
        <f>(((E29 * F29 * $I$15 * $I$16) + (E29 * G29 * $I$18 * $I$19)) * $I$20 * 10 ^ -3)</f>
        <v>0</v>
      </c>
    </row>
    <row r="30" spans="1:9" ht="20.100000000000001" customHeight="1" x14ac:dyDescent="0.2">
      <c r="A30" s="5" t="str">
        <f>HYPERLINK("#'6.1.1.1-2 Crop residue N2O'!A1", "6.1.1.1-2 Crop residue N2O")</f>
        <v>6.1.1.1-2 Crop residue N2O</v>
      </c>
    </row>
    <row r="31" spans="1:9" ht="20.100000000000001" customHeight="1" x14ac:dyDescent="0.2">
      <c r="A31" s="5" t="str">
        <f>HYPERLINK("#'6.3.1.1-2 Leach runoff crop'!A1", "6.3.1.1-2 Leach &amp; runoff (crop)")</f>
        <v>6.3.1.1-2 Leach &amp; runoff (crop)</v>
      </c>
      <c r="D31" s="87" t="s">
        <v>429</v>
      </c>
      <c r="E31" s="88">
        <f>SUM(H25:H29)</f>
        <v>758.08333333333326</v>
      </c>
      <c r="F31" s="162" t="s">
        <v>127</v>
      </c>
    </row>
    <row r="32" spans="1:9" ht="20.100000000000001" customHeight="1" x14ac:dyDescent="0.2">
      <c r="A32" s="5" t="str">
        <f>HYPERLINK("#'6.4.1.1-2 Residue burning'!A1", "6.4.1.1-2 Residue burning")</f>
        <v>6.4.1.1-2 Residue burning</v>
      </c>
    </row>
    <row r="33" spans="1:1" ht="20.100000000000001" customHeight="1" x14ac:dyDescent="0.2">
      <c r="A33" s="5" t="str">
        <f>HYPERLINK("#'8.1.1.1-2 Transport fuel'!A1", "8.1.1.1-2 Transport fuel")</f>
        <v>8.1.1.1-2 Transport fuel</v>
      </c>
    </row>
    <row r="34" spans="1:1" ht="20.100000000000001" customHeight="1" x14ac:dyDescent="0.2">
      <c r="A34" s="5" t="str">
        <f>HYPERLINK("#'8.2.1.1-2 Stationary fuel'!A1", "8.2.1.1-2 Stationary fuel")</f>
        <v>8.2.1.1-2 Stationary fuel</v>
      </c>
    </row>
    <row r="35" spans="1:1" ht="20.100000000000001" customHeight="1" x14ac:dyDescent="0.2">
      <c r="A35" s="5" t="str">
        <f>HYPERLINK("#'10.1.1-2 Solid waste treatment'!A1", "10.1.1.1-2 Solid waste")</f>
        <v>10.1.1.1-2 Solid waste</v>
      </c>
    </row>
    <row r="36" spans="1:1" ht="20.100000000000001" customHeight="1" x14ac:dyDescent="0.2">
      <c r="A36" s="5" t="str">
        <f>HYPERLINK("#'14.1.1-2 Purchased electricity'!A1", "14.1.1-2 Purchased electricity")</f>
        <v>14.1.1-2 Purchased electricity</v>
      </c>
    </row>
    <row r="37" spans="1:1" ht="20.100000000000001" customHeight="1" x14ac:dyDescent="0.2">
      <c r="A37" s="5" t="str">
        <f>HYPERLINK("#'15 Scope 3'!A1", "15 Scope 3")</f>
        <v>15 Scope 3</v>
      </c>
    </row>
    <row r="40" spans="1:1" ht="20.100000000000001" customHeight="1" x14ac:dyDescent="0.2">
      <c r="A40" s="82" t="s">
        <v>1</v>
      </c>
    </row>
    <row r="41" spans="1:1" ht="20.100000000000001" customHeight="1" x14ac:dyDescent="0.2">
      <c r="A41" s="5" t="str">
        <f>HYPERLINK("#'Constants - Ag Residue'!A1", "Constants - Ag residue")</f>
        <v>Constants - Ag residue</v>
      </c>
    </row>
    <row r="42" spans="1:1" ht="20.100000000000001" customHeight="1" x14ac:dyDescent="0.2">
      <c r="A42" s="5" t="str">
        <f>HYPERLINK("#'Constants - Electricity'!A1", "Constants - Electricity")</f>
        <v>Constants - Electricity</v>
      </c>
    </row>
    <row r="43" spans="1:1" ht="20.100000000000001" customHeight="1" x14ac:dyDescent="0.2">
      <c r="A43" s="5" t="str">
        <f>HYPERLINK("#'Constants - Fertiliser'!A1", "Constants - Fertiliser")</f>
        <v>Constants - Fertiliser</v>
      </c>
    </row>
    <row r="44" spans="1:1" ht="20.100000000000001" customHeight="1" x14ac:dyDescent="0.2">
      <c r="A44" s="5" t="str">
        <f>HYPERLINK("#'Constants - Fuel'!A1", "Constants - Fuel")</f>
        <v>Constants - Fuel</v>
      </c>
    </row>
    <row r="45" spans="1:1" ht="20.100000000000001" customHeight="1" x14ac:dyDescent="0.2">
      <c r="A45" s="5" t="str">
        <f>HYPERLINK("#'Constants - Scope 3'!A1", "Constants - Scope 3")</f>
        <v>Constants - Scope 3</v>
      </c>
    </row>
    <row r="46" spans="1:1" ht="20.100000000000001" customHeight="1" x14ac:dyDescent="0.2">
      <c r="A46" s="5" t="str">
        <f>HYPERLINK("#'Constants - Solid Waste'!A1", "Constants - Solid Waste")</f>
        <v>Constants - Solid Waste</v>
      </c>
    </row>
    <row r="47" spans="1:1" ht="20.100000000000001" customHeight="1" x14ac:dyDescent="0.2">
      <c r="A47" s="5" t="str">
        <f>HYPERLINK("#'Constants - Common'!A1", "Constants - Common")</f>
        <v>Constants - Common</v>
      </c>
    </row>
    <row r="48" spans="1:1" ht="20.100000000000001" customHeight="1" x14ac:dyDescent="0.2">
      <c r="A48" s="5" t="str">
        <f>HYPERLINK("#'Constants - Common Livestock'!A1", "Constants - Common Livestock")</f>
        <v>Constants - Common Livestock</v>
      </c>
    </row>
  </sheetData>
  <pageMargins left="0.7" right="0.7" top="0.75" bottom="0.75" header="0.3" footer="0.3"/>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5AEFE-0523-4BED-BFAF-0D56FC054D5E}">
  <sheetPr>
    <tabColor rgb="FF008000"/>
  </sheetPr>
  <dimension ref="A1:U151"/>
  <sheetViews>
    <sheetView showGridLines="0" zoomScaleNormal="100" workbookViewId="0">
      <pane xSplit="1" topLeftCell="B1" activePane="topRight" state="frozenSplit"/>
      <selection pane="topRight" activeCell="A47" sqref="A47"/>
    </sheetView>
  </sheetViews>
  <sheetFormatPr defaultRowHeight="20.100000000000001" customHeight="1" x14ac:dyDescent="0.2"/>
  <cols>
    <col min="1" max="1" width="36.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21" customFormat="1" ht="30" customHeight="1" x14ac:dyDescent="0.35">
      <c r="A1" s="10" t="e" vm="1">
        <v>#VALUE!</v>
      </c>
      <c r="C1" s="21" t="s">
        <v>430</v>
      </c>
    </row>
    <row r="2" spans="1:21" s="3" customFormat="1" ht="20.100000000000001" customHeight="1" x14ac:dyDescent="0.2">
      <c r="A2"/>
    </row>
    <row r="3" spans="1:21" ht="20.100000000000001" customHeight="1" x14ac:dyDescent="0.2">
      <c r="A3" s="5" t="str">
        <f>HYPERLINK("#'Home'!A1", "Home")</f>
        <v>Home</v>
      </c>
      <c r="C3" s="23"/>
      <c r="D3" s="23" t="s">
        <v>130</v>
      </c>
      <c r="E3" s="23"/>
      <c r="F3" s="23"/>
      <c r="G3" s="23"/>
      <c r="H3" s="23"/>
      <c r="I3" s="23"/>
      <c r="J3" s="23"/>
      <c r="K3" s="23"/>
      <c r="L3" s="23"/>
      <c r="N3" s="23"/>
      <c r="O3" s="23" t="s">
        <v>131</v>
      </c>
      <c r="P3" s="23"/>
      <c r="Q3" s="23"/>
      <c r="R3" s="23"/>
      <c r="S3" s="23"/>
      <c r="T3" s="23"/>
      <c r="U3" s="23"/>
    </row>
    <row r="4" spans="1:21" ht="20.100000000000001" customHeight="1" x14ac:dyDescent="0.2">
      <c r="A4" s="5" t="str">
        <f>HYPERLINK("#'Results - Activity period'!A1", "Results - Activity period")</f>
        <v>Results - Activity period</v>
      </c>
    </row>
    <row r="5" spans="1:21" ht="20.100000000000001" customHeight="1" x14ac:dyDescent="0.2">
      <c r="A5" s="5" t="str">
        <f>HYPERLINK("#'Results - Product EI'!A1", "Results - Product EI")</f>
        <v>Results - Product EI</v>
      </c>
      <c r="D5" s="2" t="s">
        <v>1122</v>
      </c>
    </row>
    <row r="6" spans="1:21" ht="20.100000000000001" customHeight="1" x14ac:dyDescent="0.2">
      <c r="D6" s="17" t="s">
        <v>1123</v>
      </c>
    </row>
    <row r="7" spans="1:21" ht="20.100000000000001" customHeight="1" x14ac:dyDescent="0.2">
      <c r="D7" s="134"/>
      <c r="E7" s="134"/>
    </row>
    <row r="8" spans="1:21" ht="20.100000000000001" customHeight="1" x14ac:dyDescent="0.2">
      <c r="A8" s="7" t="s">
        <v>0</v>
      </c>
    </row>
    <row r="9" spans="1:21" ht="20.100000000000001" customHeight="1" x14ac:dyDescent="0.2">
      <c r="A9" s="5" t="str">
        <f>HYPERLINK("#'Input - Enterprise'!A1", "Enterprise")</f>
        <v>Enterprise</v>
      </c>
    </row>
    <row r="10" spans="1:21" ht="20.100000000000001" customHeight="1" x14ac:dyDescent="0.2">
      <c r="A10" s="5" t="str">
        <f>HYPERLINK("#'Input - Site'!A1", "Site")</f>
        <v>Site</v>
      </c>
      <c r="D10" s="77" t="s">
        <v>371</v>
      </c>
      <c r="E10" s="1" t="s">
        <v>1124</v>
      </c>
    </row>
    <row r="11" spans="1:21" ht="20.100000000000001" customHeight="1" x14ac:dyDescent="0.2">
      <c r="A11" s="5" t="str">
        <f>HYPERLINK("#'Input - Crop'!A1", "Crop")</f>
        <v>Crop</v>
      </c>
      <c r="D11" s="77" t="s">
        <v>118</v>
      </c>
      <c r="E11" s="9" t="s">
        <v>1029</v>
      </c>
    </row>
    <row r="12" spans="1:21" ht="20.100000000000001" customHeight="1" x14ac:dyDescent="0.2">
      <c r="A12" s="5" t="str">
        <f>HYPERLINK("#'Input - Fert Prod System'!A1", "Fert Prod System")</f>
        <v>Fert Prod System</v>
      </c>
    </row>
    <row r="13" spans="1:21" ht="20.100000000000001" customHeight="1" x14ac:dyDescent="0.2">
      <c r="A13" s="5" t="str">
        <f>HYPERLINK("#'Input - Fertiliser'!A1", "Fertiliser")</f>
        <v>Fertiliser</v>
      </c>
      <c r="D13" s="150" t="s">
        <v>1028</v>
      </c>
      <c r="E13" s="147" t="s">
        <v>1125</v>
      </c>
      <c r="F13" s="159"/>
      <c r="G13" s="150" t="s">
        <v>1029</v>
      </c>
      <c r="H13" s="142" t="s">
        <v>1058</v>
      </c>
      <c r="I13" s="143" t="str" cm="1">
        <f t="array" aca="1" ref="I13" ca="1">HYPERLINK(Common_InputFunctions.Utility_SourceHyperlink($D$16),$D$16)</f>
        <v>Table_M_vol_inorganic_j_f</v>
      </c>
    </row>
    <row r="14" spans="1:21" ht="20.100000000000001" customHeight="1" x14ac:dyDescent="0.2">
      <c r="A14" s="5" t="str">
        <f>HYPERLINK("#'Input - Fuel'!A1", "Fuel")</f>
        <v>Fuel</v>
      </c>
      <c r="D14" s="150" t="s">
        <v>1126</v>
      </c>
      <c r="E14" s="147" t="s">
        <v>1127</v>
      </c>
      <c r="F14" s="159"/>
      <c r="G14" s="150" t="s">
        <v>1128</v>
      </c>
      <c r="H14" s="142" t="s">
        <v>1036</v>
      </c>
      <c r="I14" s="143" t="str" cm="1">
        <f t="array" aca="1" ref="I14" ca="1">HYPERLINK(Common_InputFunctions.Utility_SourceHyperlink($D$16),$D$16)</f>
        <v>Table_M_vol_inorganic_j_f</v>
      </c>
    </row>
    <row r="15" spans="1:21" ht="20.100000000000001" customHeight="1" x14ac:dyDescent="0.2">
      <c r="A15" s="5" t="str">
        <f>HYPERLINK("#'Input - Electricity'!A1", "Electricity")</f>
        <v>Electricity</v>
      </c>
    </row>
    <row r="16" spans="1:21" ht="20.100000000000001" customHeight="1" x14ac:dyDescent="0.2">
      <c r="A16" s="5" t="str">
        <f>HYPERLINK("#'Input - Common farm inputs'!A1", "Common farm inputs")</f>
        <v>Common farm inputs</v>
      </c>
      <c r="D16" s="135" t="s">
        <v>431</v>
      </c>
    </row>
    <row r="17" spans="1:8" ht="20.100000000000001" customHeight="1" x14ac:dyDescent="0.2">
      <c r="A17" s="5" t="str">
        <f>HYPERLINK("#'Input - Crop pasture farm input'!A1", "Crop pasture farm input")</f>
        <v>Crop pasture farm input</v>
      </c>
      <c r="D17" s="136" t="s">
        <v>432</v>
      </c>
    </row>
    <row r="18" spans="1:8" ht="20.100000000000001" customHeight="1" x14ac:dyDescent="0.2">
      <c r="A18" s="5" t="str">
        <f>HYPERLINK("#'Input - Freight'!A1", "Freight")</f>
        <v>Freight</v>
      </c>
      <c r="D18" s="138" t="s">
        <v>433</v>
      </c>
      <c r="E18" s="138" t="s">
        <v>434</v>
      </c>
      <c r="F18" s="138" t="s">
        <v>435</v>
      </c>
      <c r="G18" s="163" t="s">
        <v>436</v>
      </c>
      <c r="H18" s="163" t="s">
        <v>437</v>
      </c>
    </row>
    <row r="19" spans="1:8" ht="20.100000000000001" customHeight="1" x14ac:dyDescent="0.2">
      <c r="A19" s="5" t="str">
        <f>HYPERLINK("#'Input - Solid waste'!A1", "Solid waste")</f>
        <v>Solid waste</v>
      </c>
      <c r="D19" s="15" t="str" cm="1">
        <f t="array" ref="D19:D37">Table_Fertiliser_ChemicalCompounds[Fertiliser type f]</f>
        <v>Monoammonium phosphate (MAP)</v>
      </c>
      <c r="E19" s="15">
        <f>INDEX(Table_MN_j_f,2,4)</f>
        <v>0</v>
      </c>
      <c r="F19" s="15" t="str" cm="1">
        <f t="array" ref="F19">Common_InputFunctions.Utility_LookupValueInTable(D19, Table_Fertiliser_ChemicalCompounds[Fertiliser type f],Table_Fertiliser_ChemicalCompounds[Basis])</f>
        <v>Ammonium-based fertilisers</v>
      </c>
      <c r="G19" s="15" cm="1">
        <f t="array" ref="G19">Common_InputFunctions.Utility_LookupValueInTableNumber(F19, Table_SourceData_Fertiliser_FracGASF[Fertiliser type f],Table_SourceData_Fertiliser_FracGASF[FracGASF f])</f>
        <v>0.08</v>
      </c>
      <c r="H19" s="15">
        <f>(E19 * G19)</f>
        <v>0</v>
      </c>
    </row>
    <row r="20" spans="1:8" ht="20.100000000000001" customHeight="1" x14ac:dyDescent="0.2">
      <c r="A20" s="5" t="str">
        <f>HYPERLINK("#'Input - Data quality'!A1", "Data quality")</f>
        <v>Data quality</v>
      </c>
      <c r="D20" s="15" t="str">
        <v>Diammonium phosphate (DAP)</v>
      </c>
      <c r="E20" s="15">
        <f>INDEX(Table_MN_j_f,3,4)</f>
        <v>0</v>
      </c>
      <c r="F20" s="15" t="str" cm="1">
        <f t="array" ref="F20">Common_InputFunctions.Utility_LookupValueInTable(D20, Table_Fertiliser_ChemicalCompounds[Fertiliser type f],Table_Fertiliser_ChemicalCompounds[Basis])</f>
        <v>Ammonium-based fertilisers</v>
      </c>
      <c r="G20" s="15" cm="1">
        <f t="array" ref="G20">Common_InputFunctions.Utility_LookupValueInTableNumber(F20, Table_SourceData_Fertiliser_FracGASF[Fertiliser type f],Table_SourceData_Fertiliser_FracGASF[FracGASF f])</f>
        <v>0.08</v>
      </c>
      <c r="H20" s="15">
        <f>(E20 * G20)</f>
        <v>0</v>
      </c>
    </row>
    <row r="21" spans="1:8" ht="20.100000000000001" customHeight="1" x14ac:dyDescent="0.2">
      <c r="D21" s="15" t="str">
        <v>Urea</v>
      </c>
      <c r="E21" s="15">
        <f>INDEX(Table_MN_j_f,4,4)</f>
        <v>115999.99400000001</v>
      </c>
      <c r="F21" s="15" t="str" cm="1">
        <f t="array" ref="F21">Common_InputFunctions.Utility_LookupValueInTable(D21, Table_Fertiliser_ChemicalCompounds[Fertiliser type f],Table_Fertiliser_ChemicalCompounds[Basis])</f>
        <v>Urea-based fertilisers</v>
      </c>
      <c r="G21" s="15" cm="1">
        <f t="array" ref="G21">Common_InputFunctions.Utility_LookupValueInTableNumber(F21, Table_SourceData_Fertiliser_FracGASF[Fertiliser type f],Table_SourceData_Fertiliser_FracGASF[FracGASF f])</f>
        <v>0.15</v>
      </c>
      <c r="H21" s="15">
        <f>(E21 * G21)</f>
        <v>17399.999100000001</v>
      </c>
    </row>
    <row r="22" spans="1:8" ht="20.100000000000001" customHeight="1" x14ac:dyDescent="0.2">
      <c r="D22" s="15" t="str">
        <v>Sulphate of ammonia (SOA)</v>
      </c>
      <c r="E22" s="15">
        <f>INDEX(Table_MN_j_f,5,4)</f>
        <v>0</v>
      </c>
      <c r="F22" s="15" t="str" cm="1">
        <f t="array" ref="F22">Common_InputFunctions.Utility_LookupValueInTable(D22, Table_Fertiliser_ChemicalCompounds[Fertiliser type f],Table_Fertiliser_ChemicalCompounds[Basis])</f>
        <v>Ammonium-based fertilisers</v>
      </c>
      <c r="G22" s="15" cm="1">
        <f t="array" ref="G22">Common_InputFunctions.Utility_LookupValueInTableNumber(F22, Table_SourceData_Fertiliser_FracGASF[Fertiliser type f],Table_SourceData_Fertiliser_FracGASF[FracGASF f])</f>
        <v>0.08</v>
      </c>
      <c r="H22" s="15">
        <f>(E22 * G22)</f>
        <v>0</v>
      </c>
    </row>
    <row r="23" spans="1:8" ht="20.100000000000001" customHeight="1" x14ac:dyDescent="0.2">
      <c r="A23" s="6" t="s">
        <v>2</v>
      </c>
      <c r="D23" s="15" t="str">
        <v>Urea-ammonium nitrate (UAN)</v>
      </c>
      <c r="E23" s="15">
        <f>INDEX(Table_MN_j_f,6,4)</f>
        <v>0</v>
      </c>
      <c r="F23" s="15" t="str" cm="1">
        <f t="array" ref="F23">Common_InputFunctions.Utility_LookupValueInTable(D23, Table_Fertiliser_ChemicalCompounds[Fertiliser type f],Table_Fertiliser_ChemicalCompounds[Basis])</f>
        <v>Urea-based fertilisers</v>
      </c>
      <c r="G23" s="15" cm="1">
        <f t="array" ref="G23">Common_InputFunctions.Utility_LookupValueInTableNumber(F23, Table_SourceData_Fertiliser_FracGASF[Fertiliser type f],Table_SourceData_Fertiliser_FracGASF[FracGASF f])</f>
        <v>0.15</v>
      </c>
      <c r="H23" s="15">
        <f>(E23 * G23)</f>
        <v>0</v>
      </c>
    </row>
    <row r="24" spans="1:8" ht="20.100000000000001" customHeight="1" x14ac:dyDescent="0.2">
      <c r="A24" s="5" t="str">
        <f>HYPERLINK("#'5.1.1.1-2 Inorganic fert N2O'!A1", "5.1.1.1-2 Inorganic fert N2O")</f>
        <v>5.1.1.1-2 Inorganic fert N2O</v>
      </c>
      <c r="D24" s="15" t="str">
        <v>Ammonium nitrate (AN)</v>
      </c>
      <c r="E24" s="15">
        <f>INDEX(Table_MN_j_f,7,4)</f>
        <v>0</v>
      </c>
      <c r="F24" s="15" t="str" cm="1">
        <f t="array" ref="F24">Common_InputFunctions.Utility_LookupValueInTable(D24, Table_Fertiliser_ChemicalCompounds[Fertiliser type f],Table_Fertiliser_ChemicalCompounds[Basis])</f>
        <v>Ammonium-nitrate based fertilisers</v>
      </c>
      <c r="G24" s="15" cm="1">
        <f t="array" ref="G24">Common_InputFunctions.Utility_LookupValueInTableNumber(F24, Table_SourceData_Fertiliser_FracGASF[Fertiliser type f],Table_SourceData_Fertiliser_FracGASF[FracGASF f])</f>
        <v>0.05</v>
      </c>
      <c r="H24" s="15">
        <f>(E24 * G24)</f>
        <v>0</v>
      </c>
    </row>
    <row r="25" spans="1:8" ht="20.100000000000001" customHeight="1" x14ac:dyDescent="0.2">
      <c r="A25" s="5" t="str">
        <f>HYPERLINK("#'5.1.1.3-4 Inorganic fert CO2'!A1", "5.1.1.3-4 Inorganic fert CO2")</f>
        <v>5.1.1.3-4 Inorganic fert CO2</v>
      </c>
      <c r="D25" s="15" t="str">
        <v>Calcium ammonium nitrate (CAN)</v>
      </c>
      <c r="E25" s="15">
        <f>INDEX(Table_MN_j_f,8,4)</f>
        <v>0</v>
      </c>
      <c r="F25" s="15" t="str" cm="1">
        <f t="array" ref="F25">Common_InputFunctions.Utility_LookupValueInTable(D25, Table_Fertiliser_ChemicalCompounds[Fertiliser type f],Table_Fertiliser_ChemicalCompounds[Basis])</f>
        <v>Ammonium-nitrate based fertilisers</v>
      </c>
      <c r="G25" s="15" cm="1">
        <f t="array" ref="G25">Common_InputFunctions.Utility_LookupValueInTableNumber(F25, Table_SourceData_Fertiliser_FracGASF[Fertiliser type f],Table_SourceData_Fertiliser_FracGASF[FracGASF f])</f>
        <v>0.05</v>
      </c>
      <c r="H25" s="15">
        <f>(E25 * G25)</f>
        <v>0</v>
      </c>
    </row>
    <row r="26" spans="1:8" ht="20.100000000000001" customHeight="1" x14ac:dyDescent="0.2">
      <c r="A26" s="5" t="str">
        <f>HYPERLINK("#'5.2.1.1-2 Organic Fert N2O'!A1", "5.2.1.1-2 Organic fert N2O")</f>
        <v>5.2.1.1-2 Organic fert N2O</v>
      </c>
      <c r="D26" s="15" t="str">
        <v>Nitrogen - Ammoniacal</v>
      </c>
      <c r="E26" s="15">
        <f>INDEX(Table_MN_j_f,9,4)</f>
        <v>12400</v>
      </c>
      <c r="F26" s="15" t="str" cm="1">
        <f t="array" ref="F26">Common_InputFunctions.Utility_LookupValueInTable(D26, Table_Fertiliser_ChemicalCompounds[Fertiliser type f],Table_Fertiliser_ChemicalCompounds[Basis])</f>
        <v>Ammonium-based fertilisers</v>
      </c>
      <c r="G26" s="15" cm="1">
        <f t="array" ref="G26">Common_InputFunctions.Utility_LookupValueInTableNumber(F26, Table_SourceData_Fertiliser_FracGASF[Fertiliser type f],Table_SourceData_Fertiliser_FracGASF[FracGASF f])</f>
        <v>0.08</v>
      </c>
      <c r="H26" s="15">
        <f>(E26 * G26)</f>
        <v>992</v>
      </c>
    </row>
    <row r="27" spans="1:8" ht="20.100000000000001" customHeight="1" x14ac:dyDescent="0.2">
      <c r="A27" s="5" t="str">
        <f>HYPERLINK("#'5.3.1.1-2 Lime CO2'!A1", "5.3.1.1-2 Lime CO2")</f>
        <v>5.3.1.1-2 Lime CO2</v>
      </c>
      <c r="D27" s="15" t="str">
        <v>Nitrogen - Nitrate</v>
      </c>
      <c r="E27" s="15">
        <f>INDEX(Table_MN_j_f,10,4)</f>
        <v>5500</v>
      </c>
      <c r="F27" s="15" t="str" cm="1">
        <f t="array" ref="F27">Common_InputFunctions.Utility_LookupValueInTable(D27, Table_Fertiliser_ChemicalCompounds[Fertiliser type f],Table_Fertiliser_ChemicalCompounds[Basis])</f>
        <v>Nitrate-based fertilisers</v>
      </c>
      <c r="G27" s="15" cm="1">
        <f t="array" ref="G27">Common_InputFunctions.Utility_LookupValueInTableNumber(F27, Table_SourceData_Fertiliser_FracGASF[Fertiliser type f],Table_SourceData_Fertiliser_FracGASF[FracGASF f])</f>
        <v>0.01</v>
      </c>
      <c r="H27" s="15">
        <f>(E27 * G27)</f>
        <v>55</v>
      </c>
    </row>
    <row r="28" spans="1:8" ht="20.100000000000001" customHeight="1" x14ac:dyDescent="0.2">
      <c r="A28" s="144" t="str">
        <f>HYPERLINK("#'5.4.1.1-4 Atmos deposition'!A1", "5.4.1.1-4 Atmos. deposition")</f>
        <v>5.4.1.1-4 Atmos. deposition</v>
      </c>
      <c r="D28" s="15" t="str">
        <v>Nitrogen - Generic</v>
      </c>
      <c r="E28" s="15">
        <f>INDEX(Table_MN_j_f,11,4)</f>
        <v>0</v>
      </c>
      <c r="F28" s="15" t="str" cm="1">
        <f t="array" ref="F28">Common_InputFunctions.Utility_LookupValueInTable(D28, Table_Fertiliser_ChemicalCompounds[Fertiliser type f],Table_Fertiliser_ChemicalCompounds[Basis])</f>
        <v>Urea-based fertilisers</v>
      </c>
      <c r="G28" s="15" cm="1">
        <f t="array" ref="G28">Common_InputFunctions.Utility_LookupValueInTableNumber(F28, Table_SourceData_Fertiliser_FracGASF[Fertiliser type f],Table_SourceData_Fertiliser_FracGASF[FracGASF f])</f>
        <v>0.15</v>
      </c>
      <c r="H28" s="15">
        <f>(E28 * G28)</f>
        <v>0</v>
      </c>
    </row>
    <row r="29" spans="1:8" ht="20.100000000000001" customHeight="1" x14ac:dyDescent="0.2">
      <c r="A29" s="5" t="str">
        <f>HYPERLINK("#'5.5.1.1-2 Leaching and runoff'!A1", "5.5.1.1-2 Leaching &amp; runoff")</f>
        <v>5.5.1.1-2 Leaching &amp; runoff</v>
      </c>
      <c r="D29" s="15" t="str">
        <v>Phosphorus - Generic</v>
      </c>
      <c r="E29" s="15">
        <f>INDEX(Table_MN_j_f,12,4)</f>
        <v>0</v>
      </c>
      <c r="F29" s="15" t="str" cm="1">
        <f t="array" ref="F29">Common_InputFunctions.Utility_LookupValueInTable(D29, Table_Fertiliser_ChemicalCompounds[Fertiliser type f],Table_Fertiliser_ChemicalCompounds[Basis])</f>
        <v>Other fertilisers</v>
      </c>
      <c r="G29" s="15" cm="1">
        <f t="array" ref="G29">Common_InputFunctions.Utility_LookupValueInTableNumber(F29, Table_SourceData_Fertiliser_FracGASF[Fertiliser type f],Table_SourceData_Fertiliser_FracGASF[FracGASF f])</f>
        <v>0.11</v>
      </c>
      <c r="H29" s="15">
        <f>(E29 * G29)</f>
        <v>0</v>
      </c>
    </row>
    <row r="30" spans="1:8" ht="20.100000000000001" customHeight="1" x14ac:dyDescent="0.2">
      <c r="A30" s="5" t="str">
        <f>HYPERLINK("#'6.1.1.1-2 Crop residue N2O'!A1", "6.1.1.1-2 Crop residue N2O")</f>
        <v>6.1.1.1-2 Crop residue N2O</v>
      </c>
      <c r="D30" s="15" t="str">
        <v>Potassium - Generic</v>
      </c>
      <c r="E30" s="15">
        <f>INDEX(Table_MN_j_f,13,4)</f>
        <v>0</v>
      </c>
      <c r="F30" s="15" t="str" cm="1">
        <f t="array" ref="F30">Common_InputFunctions.Utility_LookupValueInTable(D30, Table_Fertiliser_ChemicalCompounds[Fertiliser type f],Table_Fertiliser_ChemicalCompounds[Basis])</f>
        <v>Other fertilisers</v>
      </c>
      <c r="G30" s="15" cm="1">
        <f t="array" ref="G30">Common_InputFunctions.Utility_LookupValueInTableNumber(F30, Table_SourceData_Fertiliser_FracGASF[Fertiliser type f],Table_SourceData_Fertiliser_FracGASF[FracGASF f])</f>
        <v>0.11</v>
      </c>
      <c r="H30" s="15">
        <f>(E30 * G30)</f>
        <v>0</v>
      </c>
    </row>
    <row r="31" spans="1:8" ht="20.100000000000001" customHeight="1" x14ac:dyDescent="0.2">
      <c r="A31" s="5" t="str">
        <f>HYPERLINK("#'6.3.1.1-2 Leach runoff crop'!A1", "6.3.1.1-2 Leach &amp; runoff (crop)")</f>
        <v>6.3.1.1-2 Leach &amp; runoff (crop)</v>
      </c>
      <c r="D31" s="15" t="str">
        <v>Sulfur - Generic</v>
      </c>
      <c r="E31" s="15">
        <f>INDEX(Table_MN_j_f,14,4)</f>
        <v>0</v>
      </c>
      <c r="F31" s="15" t="str" cm="1">
        <f t="array" ref="F31">Common_InputFunctions.Utility_LookupValueInTable(D31, Table_Fertiliser_ChemicalCompounds[Fertiliser type f],Table_Fertiliser_ChemicalCompounds[Basis])</f>
        <v>Other fertilisers</v>
      </c>
      <c r="G31" s="15" cm="1">
        <f t="array" ref="G31">Common_InputFunctions.Utility_LookupValueInTableNumber(F31, Table_SourceData_Fertiliser_FracGASF[Fertiliser type f],Table_SourceData_Fertiliser_FracGASF[FracGASF f])</f>
        <v>0.11</v>
      </c>
      <c r="H31" s="15">
        <f>(E31 * G31)</f>
        <v>0</v>
      </c>
    </row>
    <row r="32" spans="1:8" ht="20.100000000000001" customHeight="1" x14ac:dyDescent="0.2">
      <c r="A32" s="5" t="str">
        <f>HYPERLINK("#'6.4.1.1-2 Residue burning'!A1", "6.4.1.1-2 Residue burning")</f>
        <v>6.4.1.1-2 Residue burning</v>
      </c>
      <c r="D32" s="15" t="str">
        <v>Zinc - Generic</v>
      </c>
      <c r="E32" s="15">
        <f>INDEX(Table_MN_j_f,15,4)</f>
        <v>0</v>
      </c>
      <c r="F32" s="15" t="str" cm="1">
        <f t="array" ref="F32">Common_InputFunctions.Utility_LookupValueInTable(D32, Table_Fertiliser_ChemicalCompounds[Fertiliser type f],Table_Fertiliser_ChemicalCompounds[Basis])</f>
        <v>Other fertilisers</v>
      </c>
      <c r="G32" s="15" cm="1">
        <f t="array" ref="G32">Common_InputFunctions.Utility_LookupValueInTableNumber(F32, Table_SourceData_Fertiliser_FracGASF[Fertiliser type f],Table_SourceData_Fertiliser_FracGASF[FracGASF f])</f>
        <v>0.11</v>
      </c>
      <c r="H32" s="15">
        <f>(E32 * G32)</f>
        <v>0</v>
      </c>
    </row>
    <row r="33" spans="1:12" ht="20.100000000000001" customHeight="1" x14ac:dyDescent="0.2">
      <c r="A33" s="5" t="str">
        <f>HYPERLINK("#'8.1.1.1-2 Transport fuel'!A1", "8.1.1.1-2 Transport fuel")</f>
        <v>8.1.1.1-2 Transport fuel</v>
      </c>
      <c r="D33" s="15" t="str">
        <v>Muriate of potash (MOP)</v>
      </c>
      <c r="E33" s="15">
        <f>INDEX(Table_MN_j_f,16,4)</f>
        <v>0</v>
      </c>
      <c r="F33" s="15" t="str" cm="1">
        <f t="array" ref="F33">Common_InputFunctions.Utility_LookupValueInTable(D33, Table_Fertiliser_ChemicalCompounds[Fertiliser type f],Table_Fertiliser_ChemicalCompounds[Basis])</f>
        <v>Other fertilisers</v>
      </c>
      <c r="G33" s="15" cm="1">
        <f t="array" ref="G33">Common_InputFunctions.Utility_LookupValueInTableNumber(F33, Table_SourceData_Fertiliser_FracGASF[Fertiliser type f],Table_SourceData_Fertiliser_FracGASF[FracGASF f])</f>
        <v>0.11</v>
      </c>
      <c r="H33" s="15">
        <f>(E33 * G33)</f>
        <v>0</v>
      </c>
    </row>
    <row r="34" spans="1:12" ht="20.100000000000001" customHeight="1" x14ac:dyDescent="0.2">
      <c r="A34" s="5" t="str">
        <f>HYPERLINK("#'8.2.1.1-2 Stationary fuel'!A1", "8.2.1.1-2 Stationary fuel")</f>
        <v>8.2.1.1-2 Stationary fuel</v>
      </c>
      <c r="D34" s="15" t="str">
        <v>Double superphosphate</v>
      </c>
      <c r="E34" s="15">
        <f>INDEX(Table_MN_j_f,17,4)</f>
        <v>0</v>
      </c>
      <c r="F34" s="15" t="str" cm="1">
        <f t="array" ref="F34">Common_InputFunctions.Utility_LookupValueInTable(D34, Table_Fertiliser_ChemicalCompounds[Fertiliser type f],Table_Fertiliser_ChemicalCompounds[Basis])</f>
        <v>Other fertilisers</v>
      </c>
      <c r="G34" s="15" cm="1">
        <f t="array" ref="G34">Common_InputFunctions.Utility_LookupValueInTableNumber(F34, Table_SourceData_Fertiliser_FracGASF[Fertiliser type f],Table_SourceData_Fertiliser_FracGASF[FracGASF f])</f>
        <v>0.11</v>
      </c>
      <c r="H34" s="15">
        <f>(E34 * G34)</f>
        <v>0</v>
      </c>
    </row>
    <row r="35" spans="1:12" ht="20.100000000000001" customHeight="1" x14ac:dyDescent="0.2">
      <c r="A35" s="5" t="str">
        <f>HYPERLINK("#'10.1.1-2 Solid waste treatment'!A1", "10.1.1.1-2 Solid waste")</f>
        <v>10.1.1.1-2 Solid waste</v>
      </c>
      <c r="D35" s="15" t="str">
        <v>Single superphosphate (SSP)</v>
      </c>
      <c r="E35" s="15">
        <f>INDEX(Table_MN_j_f,18,4)</f>
        <v>0</v>
      </c>
      <c r="F35" s="15" t="str" cm="1">
        <f t="array" ref="F35">Common_InputFunctions.Utility_LookupValueInTable(D35, Table_Fertiliser_ChemicalCompounds[Fertiliser type f],Table_Fertiliser_ChemicalCompounds[Basis])</f>
        <v>Other fertilisers</v>
      </c>
      <c r="G35" s="15" cm="1">
        <f t="array" ref="G35">Common_InputFunctions.Utility_LookupValueInTableNumber(F35, Table_SourceData_Fertiliser_FracGASF[Fertiliser type f],Table_SourceData_Fertiliser_FracGASF[FracGASF f])</f>
        <v>0.11</v>
      </c>
      <c r="H35" s="15">
        <f>(E35 * G35)</f>
        <v>0</v>
      </c>
    </row>
    <row r="36" spans="1:12" ht="20.100000000000001" customHeight="1" x14ac:dyDescent="0.2">
      <c r="A36" s="5" t="str">
        <f>HYPERLINK("#'14.1.1-2 Purchased electricity'!A1", "14.1.1-2 Purchased electricity")</f>
        <v>14.1.1-2 Purchased electricity</v>
      </c>
      <c r="D36" s="15" t="str">
        <v>Ammonia</v>
      </c>
      <c r="E36" s="15">
        <f>INDEX(Table_MN_j_f,19,4)</f>
        <v>41175</v>
      </c>
      <c r="F36" s="15" t="str" cm="1">
        <f t="array" ref="F36">Common_InputFunctions.Utility_LookupValueInTable(D36, Table_Fertiliser_ChemicalCompounds[Fertiliser type f],Table_Fertiliser_ChemicalCompounds[Basis])</f>
        <v>Ammonium-based fertilisers</v>
      </c>
      <c r="G36" s="15" cm="1">
        <f t="array" ref="G36">Common_InputFunctions.Utility_LookupValueInTableNumber(F36, Table_SourceData_Fertiliser_FracGASF[Fertiliser type f],Table_SourceData_Fertiliser_FracGASF[FracGASF f])</f>
        <v>0.08</v>
      </c>
      <c r="H36" s="15">
        <f>(E36 * G36)</f>
        <v>3294</v>
      </c>
    </row>
    <row r="37" spans="1:12" ht="20.100000000000001" customHeight="1" x14ac:dyDescent="0.2">
      <c r="A37" s="5" t="str">
        <f>HYPERLINK("#'15 Scope 3'!A1", "15 Scope 3")</f>
        <v>15 Scope 3</v>
      </c>
      <c r="D37" s="15" t="str">
        <v>Calcium nitrate</v>
      </c>
      <c r="E37" s="15">
        <f>INDEX(Table_MN_j_f,20,4)</f>
        <v>7750</v>
      </c>
      <c r="F37" s="15" t="str" cm="1">
        <f t="array" ref="F37">Common_InputFunctions.Utility_LookupValueInTable(D37, Table_Fertiliser_ChemicalCompounds[Fertiliser type f],Table_Fertiliser_ChemicalCompounds[Basis])</f>
        <v>Nitrate-based fertilisers</v>
      </c>
      <c r="G37" s="15" cm="1">
        <f t="array" ref="G37">Common_InputFunctions.Utility_LookupValueInTableNumber(F37, Table_SourceData_Fertiliser_FracGASF[Fertiliser type f],Table_SourceData_Fertiliser_FracGASF[FracGASF f])</f>
        <v>0.01</v>
      </c>
      <c r="H37" s="15">
        <f>(E37 * G37)</f>
        <v>77.5</v>
      </c>
    </row>
    <row r="40" spans="1:12" ht="20.100000000000001" customHeight="1" x14ac:dyDescent="0.2">
      <c r="A40" s="82" t="s">
        <v>1</v>
      </c>
      <c r="C40" s="157"/>
      <c r="D40" s="157"/>
      <c r="E40" s="157"/>
      <c r="F40" s="157"/>
      <c r="G40" s="157"/>
      <c r="H40" s="157"/>
      <c r="I40" s="157"/>
      <c r="J40" s="157"/>
      <c r="K40" s="157"/>
      <c r="L40" s="157"/>
    </row>
    <row r="41" spans="1:12" ht="20.100000000000001" customHeight="1" x14ac:dyDescent="0.2">
      <c r="A41" s="5" t="str">
        <f>HYPERLINK("#'Constants - Ag Residue'!A1", "Constants - Ag residue")</f>
        <v>Constants - Ag residue</v>
      </c>
      <c r="D41" s="2" t="s">
        <v>1129</v>
      </c>
    </row>
    <row r="42" spans="1:12" ht="20.100000000000001" customHeight="1" x14ac:dyDescent="0.2">
      <c r="A42" s="5" t="str">
        <f>HYPERLINK("#'Constants - Electricity'!A1", "Constants - Electricity")</f>
        <v>Constants - Electricity</v>
      </c>
      <c r="D42" s="17" t="s">
        <v>1130</v>
      </c>
    </row>
    <row r="43" spans="1:12" ht="20.100000000000001" customHeight="1" x14ac:dyDescent="0.2">
      <c r="A43" s="5" t="str">
        <f>HYPERLINK("#'Constants - Fertiliser'!A1", "Constants - Fertiliser")</f>
        <v>Constants - Fertiliser</v>
      </c>
      <c r="D43" s="134"/>
      <c r="E43" s="134"/>
    </row>
    <row r="44" spans="1:12" ht="20.100000000000001" customHeight="1" x14ac:dyDescent="0.2">
      <c r="A44" s="5" t="str">
        <f>HYPERLINK("#'Constants - Fuel'!A1", "Constants - Fuel")</f>
        <v>Constants - Fuel</v>
      </c>
    </row>
    <row r="45" spans="1:12" ht="20.100000000000001" customHeight="1" x14ac:dyDescent="0.2">
      <c r="A45" s="5" t="str">
        <f>HYPERLINK("#'Constants - Scope 3'!A1", "Constants - Scope 3")</f>
        <v>Constants - Scope 3</v>
      </c>
    </row>
    <row r="46" spans="1:12" ht="20.100000000000001" customHeight="1" x14ac:dyDescent="0.2">
      <c r="A46" s="5" t="str">
        <f>HYPERLINK("#'Constants - Solid Waste'!A1", "Constants - Solid Waste")</f>
        <v>Constants - Solid Waste</v>
      </c>
      <c r="D46" s="77" t="s">
        <v>371</v>
      </c>
      <c r="E46" s="1" t="s">
        <v>1131</v>
      </c>
    </row>
    <row r="47" spans="1:12" ht="20.100000000000001" customHeight="1" x14ac:dyDescent="0.2">
      <c r="A47" s="5" t="str">
        <f>HYPERLINK("#'Constants - Common'!A1", "Constants - Common")</f>
        <v>Constants - Common</v>
      </c>
      <c r="D47" s="77" t="s">
        <v>118</v>
      </c>
      <c r="E47" s="9" t="s">
        <v>12</v>
      </c>
    </row>
    <row r="48" spans="1:12" ht="20.100000000000001" customHeight="1" x14ac:dyDescent="0.2">
      <c r="A48" s="5" t="str">
        <f>HYPERLINK("#'Constants - Common Livestock'!A1", "Constants - Common Livestock")</f>
        <v>Constants - Common Livestock</v>
      </c>
    </row>
    <row r="49" spans="1:10" ht="20.100000000000001" customHeight="1" x14ac:dyDescent="0.2">
      <c r="D49" s="150" t="s">
        <v>1124</v>
      </c>
      <c r="E49" s="147" t="s">
        <v>1132</v>
      </c>
      <c r="F49" s="158"/>
      <c r="G49" s="159"/>
      <c r="H49" s="150" t="s">
        <v>1029</v>
      </c>
      <c r="I49" s="142" t="s">
        <v>1137</v>
      </c>
      <c r="J49" s="143" t="str" cm="1">
        <f t="array" aca="1" ref="J49" ca="1">HYPERLINK(Common_InputFunctions.Utility_SourceHyperlink($D$16),$D$16)</f>
        <v>Table_M_vol_inorganic_j_f</v>
      </c>
    </row>
    <row r="50" spans="1:10" ht="20.100000000000001" customHeight="1" x14ac:dyDescent="0.2">
      <c r="D50" s="150" t="s">
        <v>1133</v>
      </c>
      <c r="E50" s="147" t="s">
        <v>1134</v>
      </c>
      <c r="F50" s="158"/>
      <c r="G50" s="159"/>
      <c r="H50" s="150" t="s">
        <v>1103</v>
      </c>
      <c r="I50" s="142" t="s">
        <v>1036</v>
      </c>
      <c r="J50" s="150">
        <f>Common_InputFunctions.Utility_LookupN2OEFFromProdIrrigationRainfall(J52,J53,J54,Table_SourceData_Common_EFN2O[Production system only],Table_SourceData_Common_EFN2O[Irrigation method],Table_SourceData_Common_EFN2O[Rainfall zone],Table_SourceData_Common_EFN2O[EFN2O])</f>
        <v>7.0000000000000001E-3</v>
      </c>
    </row>
    <row r="51" spans="1:10" ht="20.100000000000001" customHeight="1" x14ac:dyDescent="0.2">
      <c r="D51" s="150" t="s">
        <v>1051</v>
      </c>
      <c r="E51" s="147" t="s">
        <v>1052</v>
      </c>
      <c r="F51" s="158"/>
      <c r="G51" s="159"/>
      <c r="H51" s="150"/>
      <c r="I51" s="142" t="s">
        <v>1036</v>
      </c>
      <c r="J51" s="139">
        <f>Common_InputFunctions.Utility_LookupValueInTableNumber("N2O",Table_GasToMolecularConversionFactor[Gas],Table_GasToMolecularConversionFactor[Conversion factor combined])</f>
        <v>1.5714285714285714</v>
      </c>
    </row>
    <row r="52" spans="1:10" ht="20.100000000000001" customHeight="1" x14ac:dyDescent="0.2">
      <c r="D52" s="150" t="s">
        <v>1053</v>
      </c>
      <c r="E52" s="147" t="s">
        <v>177</v>
      </c>
      <c r="F52" s="158"/>
      <c r="G52" s="159"/>
      <c r="H52" s="150"/>
      <c r="I52" s="141" t="s">
        <v>1034</v>
      </c>
      <c r="J52" s="150" t="str">
        <f>X_Cell_Fertiliser_ProductionSystem</f>
        <v>Crop</v>
      </c>
    </row>
    <row r="53" spans="1:10" ht="20.100000000000001" customHeight="1" x14ac:dyDescent="0.2">
      <c r="D53" s="150" t="s">
        <v>1054</v>
      </c>
      <c r="E53" s="147" t="s">
        <v>1055</v>
      </c>
      <c r="F53" s="158"/>
      <c r="G53" s="159"/>
      <c r="H53" s="150"/>
      <c r="I53" s="141" t="s">
        <v>1034</v>
      </c>
      <c r="J53" s="150" t="str">
        <f>X_Cell_Fertiliser_IrrigationMethod</f>
        <v>Sprinkler irrigation</v>
      </c>
    </row>
    <row r="54" spans="1:10" ht="20.100000000000001" customHeight="1" x14ac:dyDescent="0.2">
      <c r="D54" s="150" t="s">
        <v>1135</v>
      </c>
      <c r="E54" s="147" t="s">
        <v>1136</v>
      </c>
      <c r="F54" s="158"/>
      <c r="G54" s="159"/>
      <c r="H54" s="150"/>
      <c r="I54" s="141" t="s">
        <v>1034</v>
      </c>
      <c r="J54" s="150" t="str">
        <f>X_Cell_Site_RainfallZone</f>
        <v>High rainfall</v>
      </c>
    </row>
    <row r="56" spans="1:10" ht="20.100000000000001" customHeight="1" x14ac:dyDescent="0.2">
      <c r="D56" s="135" t="s">
        <v>438</v>
      </c>
    </row>
    <row r="57" spans="1:10" ht="20.100000000000001" customHeight="1" x14ac:dyDescent="0.2">
      <c r="D57" s="136" t="s">
        <v>439</v>
      </c>
    </row>
    <row r="58" spans="1:10" ht="20.100000000000001" customHeight="1" x14ac:dyDescent="0.2">
      <c r="D58" s="138" t="s">
        <v>433</v>
      </c>
      <c r="E58" s="163" t="s">
        <v>437</v>
      </c>
      <c r="F58" s="163" t="s">
        <v>440</v>
      </c>
    </row>
    <row r="59" spans="1:10" ht="20.100000000000001" customHeight="1" x14ac:dyDescent="0.2">
      <c r="A59" s="81" t="str">
        <f>HYPERLINK("#A1", "▲ Back to top")</f>
        <v>▲ Back to top</v>
      </c>
      <c r="D59" s="15" t="str" cm="1">
        <f t="array" ref="D59:D77">Table_Fertiliser_ChemicalCompounds[Fertiliser type f]</f>
        <v>Monoammonium phosphate (MAP)</v>
      </c>
      <c r="E59" s="15">
        <f t="shared" ref="E59:E77" si="0">H19</f>
        <v>0</v>
      </c>
      <c r="F59" s="15">
        <f>((E59 * $J$50) * $J$51 * 10 ^ -3)</f>
        <v>0</v>
      </c>
      <c r="G59" s="16" t="str">
        <f>E47</f>
        <v>t N2O</v>
      </c>
    </row>
    <row r="60" spans="1:10" ht="20.100000000000001" customHeight="1" x14ac:dyDescent="0.2">
      <c r="D60" s="15" t="str">
        <v>Diammonium phosphate (DAP)</v>
      </c>
      <c r="E60" s="15">
        <f t="shared" si="0"/>
        <v>0</v>
      </c>
      <c r="F60" s="15">
        <f>((E60 * $J$50) * $J$51 * 10 ^ -3)</f>
        <v>0</v>
      </c>
    </row>
    <row r="61" spans="1:10" ht="20.100000000000001" customHeight="1" x14ac:dyDescent="0.2">
      <c r="D61" s="15" t="str">
        <v>Urea</v>
      </c>
      <c r="E61" s="15">
        <f t="shared" si="0"/>
        <v>17399.999100000001</v>
      </c>
      <c r="F61" s="15">
        <f>((E61 * $J$50) * $J$51 * 10 ^ -3)</f>
        <v>0.19139999010000003</v>
      </c>
    </row>
    <row r="62" spans="1:10" ht="20.100000000000001" customHeight="1" x14ac:dyDescent="0.2">
      <c r="D62" s="15" t="str">
        <v>Sulphate of ammonia (SOA)</v>
      </c>
      <c r="E62" s="15">
        <f t="shared" si="0"/>
        <v>0</v>
      </c>
      <c r="F62" s="15">
        <f>((E62 * $J$50) * $J$51 * 10 ^ -3)</f>
        <v>0</v>
      </c>
    </row>
    <row r="63" spans="1:10" ht="20.100000000000001" customHeight="1" x14ac:dyDescent="0.2">
      <c r="D63" s="15" t="str">
        <v>Urea-ammonium nitrate (UAN)</v>
      </c>
      <c r="E63" s="15">
        <f t="shared" si="0"/>
        <v>0</v>
      </c>
      <c r="F63" s="15">
        <f>((E63 * $J$50) * $J$51 * 10 ^ -3)</f>
        <v>0</v>
      </c>
    </row>
    <row r="64" spans="1:10" ht="20.100000000000001" customHeight="1" x14ac:dyDescent="0.2">
      <c r="D64" s="15" t="str">
        <v>Ammonium nitrate (AN)</v>
      </c>
      <c r="E64" s="15">
        <f t="shared" si="0"/>
        <v>0</v>
      </c>
      <c r="F64" s="15">
        <f>((E64 * $J$50) * $J$51 * 10 ^ -3)</f>
        <v>0</v>
      </c>
    </row>
    <row r="65" spans="4:6" ht="20.100000000000001" customHeight="1" x14ac:dyDescent="0.2">
      <c r="D65" s="15" t="str">
        <v>Calcium ammonium nitrate (CAN)</v>
      </c>
      <c r="E65" s="15">
        <f t="shared" si="0"/>
        <v>0</v>
      </c>
      <c r="F65" s="15">
        <f>((E65 * $J$50) * $J$51 * 10 ^ -3)</f>
        <v>0</v>
      </c>
    </row>
    <row r="66" spans="4:6" ht="20.100000000000001" customHeight="1" x14ac:dyDescent="0.2">
      <c r="D66" s="15" t="str">
        <v>Nitrogen - Ammoniacal</v>
      </c>
      <c r="E66" s="15">
        <f t="shared" si="0"/>
        <v>992</v>
      </c>
      <c r="F66" s="15">
        <f>((E66 * $J$50) * $J$51 * 10 ^ -3)</f>
        <v>1.0912E-2</v>
      </c>
    </row>
    <row r="67" spans="4:6" ht="20.100000000000001" customHeight="1" x14ac:dyDescent="0.2">
      <c r="D67" s="15" t="str">
        <v>Nitrogen - Nitrate</v>
      </c>
      <c r="E67" s="15">
        <f t="shared" si="0"/>
        <v>55</v>
      </c>
      <c r="F67" s="15">
        <f>((E67 * $J$50) * $J$51 * 10 ^ -3)</f>
        <v>6.0499999999999996E-4</v>
      </c>
    </row>
    <row r="68" spans="4:6" ht="20.100000000000001" customHeight="1" x14ac:dyDescent="0.2">
      <c r="D68" s="15" t="str">
        <v>Nitrogen - Generic</v>
      </c>
      <c r="E68" s="15">
        <f t="shared" si="0"/>
        <v>0</v>
      </c>
      <c r="F68" s="15">
        <f>((E68 * $J$50) * $J$51 * 10 ^ -3)</f>
        <v>0</v>
      </c>
    </row>
    <row r="69" spans="4:6" ht="20.100000000000001" customHeight="1" x14ac:dyDescent="0.2">
      <c r="D69" s="15" t="str">
        <v>Phosphorus - Generic</v>
      </c>
      <c r="E69" s="15">
        <f t="shared" si="0"/>
        <v>0</v>
      </c>
      <c r="F69" s="15">
        <f>((E69 * $J$50) * $J$51 * 10 ^ -3)</f>
        <v>0</v>
      </c>
    </row>
    <row r="70" spans="4:6" ht="20.100000000000001" customHeight="1" x14ac:dyDescent="0.2">
      <c r="D70" s="15" t="str">
        <v>Potassium - Generic</v>
      </c>
      <c r="E70" s="15">
        <f t="shared" si="0"/>
        <v>0</v>
      </c>
      <c r="F70" s="15">
        <f>((E70 * $J$50) * $J$51 * 10 ^ -3)</f>
        <v>0</v>
      </c>
    </row>
    <row r="71" spans="4:6" ht="20.100000000000001" customHeight="1" x14ac:dyDescent="0.2">
      <c r="D71" s="15" t="str">
        <v>Sulfur - Generic</v>
      </c>
      <c r="E71" s="15">
        <f t="shared" si="0"/>
        <v>0</v>
      </c>
      <c r="F71" s="15">
        <f>((E71 * $J$50) * $J$51 * 10 ^ -3)</f>
        <v>0</v>
      </c>
    </row>
    <row r="72" spans="4:6" ht="20.100000000000001" customHeight="1" x14ac:dyDescent="0.2">
      <c r="D72" s="15" t="str">
        <v>Zinc - Generic</v>
      </c>
      <c r="E72" s="15">
        <f t="shared" si="0"/>
        <v>0</v>
      </c>
      <c r="F72" s="15">
        <f>((E72 * $J$50) * $J$51 * 10 ^ -3)</f>
        <v>0</v>
      </c>
    </row>
    <row r="73" spans="4:6" ht="20.100000000000001" customHeight="1" x14ac:dyDescent="0.2">
      <c r="D73" s="15" t="str">
        <v>Muriate of potash (MOP)</v>
      </c>
      <c r="E73" s="15">
        <f t="shared" si="0"/>
        <v>0</v>
      </c>
      <c r="F73" s="15">
        <f>((E73 * $J$50) * $J$51 * 10 ^ -3)</f>
        <v>0</v>
      </c>
    </row>
    <row r="74" spans="4:6" ht="20.100000000000001" customHeight="1" x14ac:dyDescent="0.2">
      <c r="D74" s="15" t="str">
        <v>Double superphosphate</v>
      </c>
      <c r="E74" s="15">
        <f t="shared" si="0"/>
        <v>0</v>
      </c>
      <c r="F74" s="15">
        <f>((E74 * $J$50) * $J$51 * 10 ^ -3)</f>
        <v>0</v>
      </c>
    </row>
    <row r="75" spans="4:6" ht="20.100000000000001" customHeight="1" x14ac:dyDescent="0.2">
      <c r="D75" s="15" t="str">
        <v>Single superphosphate (SSP)</v>
      </c>
      <c r="E75" s="15">
        <f t="shared" si="0"/>
        <v>0</v>
      </c>
      <c r="F75" s="15">
        <f>((E75 * $J$50) * $J$51 * 10 ^ -3)</f>
        <v>0</v>
      </c>
    </row>
    <row r="76" spans="4:6" ht="20.100000000000001" customHeight="1" x14ac:dyDescent="0.2">
      <c r="D76" s="15" t="str">
        <v>Ammonia</v>
      </c>
      <c r="E76" s="15">
        <f t="shared" si="0"/>
        <v>3294</v>
      </c>
      <c r="F76" s="15">
        <f>((E76 * $J$50) * $J$51 * 10 ^ -3)</f>
        <v>3.6234000000000002E-2</v>
      </c>
    </row>
    <row r="77" spans="4:6" ht="20.100000000000001" customHeight="1" x14ac:dyDescent="0.2">
      <c r="D77" s="15" t="str">
        <v>Calcium nitrate</v>
      </c>
      <c r="E77" s="15">
        <f t="shared" si="0"/>
        <v>77.5</v>
      </c>
      <c r="F77" s="15">
        <f>((E77 * $J$50) * $J$51 * 10 ^ -3)</f>
        <v>8.5249999999999996E-4</v>
      </c>
    </row>
    <row r="79" spans="4:6" ht="20.100000000000001" customHeight="1" x14ac:dyDescent="0.2">
      <c r="D79" s="87" t="s">
        <v>441</v>
      </c>
      <c r="E79" s="88">
        <f>SUM(F59:F77)</f>
        <v>0.24000349010000002</v>
      </c>
      <c r="F79" s="97" t="str">
        <f>$E$47</f>
        <v>t N2O</v>
      </c>
    </row>
    <row r="81" spans="1:12" ht="20.100000000000001" customHeight="1" x14ac:dyDescent="0.2">
      <c r="D81" s="139" t="str" cm="1">
        <f t="array" ref="D81:E82">Common_Equations.Common_ConvertN2OToCO2e_Arguments()</f>
        <v>EN2O</v>
      </c>
      <c r="E81" s="140" t="str">
        <v>Nitrous oxide emissions (t N2O)</v>
      </c>
      <c r="F81" s="149"/>
      <c r="G81" s="15">
        <f>VEERG_5_4_1_1__1_InorganicFertiliserAtmosphericDepositionN2OEmissions_Result_Method1</f>
        <v>0.24000349010000002</v>
      </c>
    </row>
    <row r="82" spans="1:12" ht="20.100000000000001" customHeight="1" x14ac:dyDescent="0.2">
      <c r="D82" s="139" t="str">
        <v>GWPN2O</v>
      </c>
      <c r="E82" s="140" t="str">
        <v>Global warming potential for nitrous oxide (t CO2-e / t N2O)</v>
      </c>
      <c r="F82" s="149"/>
      <c r="G82" s="15">
        <f>Common_InputFunctions.Utility_LookupValueInTableNumber("N2O",Table_GWPData[Gas],Table_GWPData[CO2-e factor])</f>
        <v>265</v>
      </c>
    </row>
    <row r="84" spans="1:12" ht="20.100000000000001" customHeight="1" x14ac:dyDescent="0.2">
      <c r="D84" s="85" t="s">
        <v>395</v>
      </c>
      <c r="E84" s="85" cm="1">
        <f t="array" ref="E84">Common_Equations.Common_ConvertN2OToCO2e(G81,G82)</f>
        <v>63.600924876500002</v>
      </c>
      <c r="F84" s="91" t="str" cm="1">
        <f t="array" ref="F84">Common_Equations.Common_ConvertN2OToCO2e_Unit()</f>
        <v>t CO2e</v>
      </c>
    </row>
    <row r="87" spans="1:12" ht="20.100000000000001" customHeight="1" x14ac:dyDescent="0.2">
      <c r="C87" s="157"/>
      <c r="D87" s="157"/>
      <c r="E87" s="157"/>
      <c r="F87" s="157"/>
      <c r="G87" s="157"/>
      <c r="H87" s="157"/>
      <c r="I87" s="157"/>
      <c r="J87" s="157"/>
      <c r="K87" s="157"/>
      <c r="L87" s="157"/>
    </row>
    <row r="88" spans="1:12" ht="20.100000000000001" customHeight="1" x14ac:dyDescent="0.2">
      <c r="D88" s="2" t="s">
        <v>1138</v>
      </c>
    </row>
    <row r="89" spans="1:12" ht="20.100000000000001" customHeight="1" x14ac:dyDescent="0.2">
      <c r="A89" s="81" t="str">
        <f>HYPERLINK("#A1", "▲ Back to top")</f>
        <v>▲ Back to top</v>
      </c>
      <c r="D89" s="17" t="s">
        <v>1139</v>
      </c>
    </row>
    <row r="90" spans="1:12" ht="20.100000000000001" customHeight="1" x14ac:dyDescent="0.2">
      <c r="D90" s="134"/>
      <c r="E90" s="134"/>
    </row>
    <row r="93" spans="1:12" ht="20.100000000000001" customHeight="1" x14ac:dyDescent="0.2">
      <c r="D93" s="77" t="s">
        <v>371</v>
      </c>
      <c r="E93" s="1" t="s">
        <v>1140</v>
      </c>
    </row>
    <row r="94" spans="1:12" ht="20.100000000000001" customHeight="1" x14ac:dyDescent="0.2">
      <c r="D94" s="77" t="s">
        <v>118</v>
      </c>
      <c r="E94" s="9" t="s">
        <v>1029</v>
      </c>
    </row>
    <row r="96" spans="1:12" ht="20.100000000000001" customHeight="1" x14ac:dyDescent="0.2">
      <c r="D96" s="150" t="s">
        <v>1091</v>
      </c>
      <c r="E96" s="150" t="s">
        <v>1098</v>
      </c>
      <c r="F96" s="150"/>
      <c r="G96" s="150" t="s">
        <v>1029</v>
      </c>
      <c r="H96" s="142" t="s">
        <v>1102</v>
      </c>
      <c r="I96" s="143" t="str" cm="1">
        <f t="array" aca="1" ref="I96" ca="1">HYPERLINK(Common_InputFunctions.Utility_SourceHyperlink($D$99), $D$99)</f>
        <v>Table_M_vol_organic_j_f</v>
      </c>
    </row>
    <row r="97" spans="4:9" ht="20.100000000000001" customHeight="1" x14ac:dyDescent="0.2">
      <c r="D97" s="150" t="s">
        <v>1141</v>
      </c>
      <c r="E97" s="150" t="s">
        <v>1142</v>
      </c>
      <c r="F97" s="150"/>
      <c r="G97" s="150" t="s">
        <v>1128</v>
      </c>
      <c r="H97" s="142" t="s">
        <v>1036</v>
      </c>
      <c r="I97" s="150">
        <f>Fertiliser_FracGASMSoil_Data</f>
        <v>0.21</v>
      </c>
    </row>
    <row r="99" spans="4:9" ht="20.100000000000001" customHeight="1" x14ac:dyDescent="0.2">
      <c r="D99" s="135" t="s">
        <v>442</v>
      </c>
    </row>
    <row r="100" spans="4:9" ht="20.100000000000001" customHeight="1" x14ac:dyDescent="0.2">
      <c r="D100" s="136" t="s">
        <v>443</v>
      </c>
    </row>
    <row r="101" spans="4:9" ht="20.100000000000001" customHeight="1" x14ac:dyDescent="0.2">
      <c r="D101" s="80" t="s">
        <v>416</v>
      </c>
      <c r="E101" s="152" t="s">
        <v>420</v>
      </c>
      <c r="F101" s="152" t="s">
        <v>444</v>
      </c>
    </row>
    <row r="102" spans="4:9" ht="20.100000000000001" customHeight="1" x14ac:dyDescent="0.2">
      <c r="D102" s="15" t="str" cm="1">
        <f t="array" ref="D102:D104">Table_Input_OrganicFertiliser[Organic fertiliser type (select)]</f>
        <v>Manure - Other</v>
      </c>
      <c r="E102" s="15">
        <f>INDEX(Table_MNSoil_j_f,2,6)</f>
        <v>3000</v>
      </c>
      <c r="F102" s="15">
        <f>(E102 * $I$97)</f>
        <v>630</v>
      </c>
      <c r="G102" s="16" t="str">
        <f>$E$94</f>
        <v>kg N</v>
      </c>
    </row>
    <row r="103" spans="4:9" ht="20.100000000000001" customHeight="1" x14ac:dyDescent="0.2">
      <c r="D103" s="15" t="str">
        <v>Manure - Poultry</v>
      </c>
      <c r="E103" s="15">
        <f>INDEX(Table_MNSoil_j_f,3,6)</f>
        <v>2500</v>
      </c>
      <c r="F103" s="15">
        <f>(E103 * $I$97)</f>
        <v>525</v>
      </c>
    </row>
    <row r="104" spans="4:9" ht="20.100000000000001" customHeight="1" x14ac:dyDescent="0.2">
      <c r="D104" s="15" t="str">
        <v>Other organic fertiliser</v>
      </c>
      <c r="E104" s="15">
        <f>INDEX(Table_MNSoil_j_f,4,6)</f>
        <v>1600</v>
      </c>
      <c r="F104" s="15">
        <f>(E104 * $I$97)</f>
        <v>336</v>
      </c>
    </row>
    <row r="105" spans="4:9" ht="20.100000000000001" customHeight="1" x14ac:dyDescent="0.2">
      <c r="D105" s="15"/>
      <c r="E105" s="15">
        <f>'5.2.1.1-2 Organic Fert N2O'!I23</f>
        <v>0</v>
      </c>
      <c r="F105" s="15">
        <f>(E105 * $I$97)</f>
        <v>0</v>
      </c>
    </row>
    <row r="106" spans="4:9" ht="20.100000000000001" customHeight="1" x14ac:dyDescent="0.2">
      <c r="D106" s="15"/>
      <c r="E106" s="15">
        <f>'5.2.1.1-2 Organic Fert N2O'!I24</f>
        <v>0</v>
      </c>
      <c r="F106" s="15">
        <f>(E106 * $I$97)</f>
        <v>0</v>
      </c>
    </row>
    <row r="107" spans="4:9" ht="20.100000000000001" customHeight="1" x14ac:dyDescent="0.2">
      <c r="D107" s="15"/>
      <c r="E107" s="15">
        <f>'5.2.1.1-2 Organic Fert N2O'!I25</f>
        <v>0</v>
      </c>
      <c r="F107" s="15">
        <f>(E107 * $I$97)</f>
        <v>0</v>
      </c>
    </row>
    <row r="108" spans="4:9" ht="20.100000000000001" customHeight="1" x14ac:dyDescent="0.2">
      <c r="D108" s="15"/>
      <c r="E108" s="15">
        <f>'5.2.1.1-2 Organic Fert N2O'!I26</f>
        <v>0</v>
      </c>
      <c r="F108" s="15">
        <f>(E108 * $I$97)</f>
        <v>0</v>
      </c>
    </row>
    <row r="109" spans="4:9" ht="20.100000000000001" customHeight="1" x14ac:dyDescent="0.2">
      <c r="D109" s="15"/>
      <c r="E109" s="15">
        <f>'5.2.1.1-2 Organic Fert N2O'!I27</f>
        <v>0</v>
      </c>
      <c r="F109" s="15">
        <f>(E109 * $I$97)</f>
        <v>0</v>
      </c>
    </row>
    <row r="110" spans="4:9" ht="20.100000000000001" customHeight="1" x14ac:dyDescent="0.2">
      <c r="D110" s="15"/>
      <c r="E110" s="15">
        <f>'5.2.1.1-2 Organic Fert N2O'!I28</f>
        <v>0</v>
      </c>
      <c r="F110" s="15">
        <f>(E110 * $I$97)</f>
        <v>0</v>
      </c>
    </row>
    <row r="111" spans="4:9" ht="20.100000000000001" customHeight="1" x14ac:dyDescent="0.2">
      <c r="D111" s="15"/>
      <c r="E111" s="15">
        <f>'5.2.1.1-2 Organic Fert N2O'!I29</f>
        <v>0</v>
      </c>
      <c r="F111" s="15">
        <f>(E111 * $I$97)</f>
        <v>0</v>
      </c>
    </row>
    <row r="112" spans="4:9" ht="20.100000000000001" customHeight="1" x14ac:dyDescent="0.2">
      <c r="D112" s="15"/>
      <c r="E112" s="15">
        <f>'5.2.1.1-2 Organic Fert N2O'!I30</f>
        <v>0</v>
      </c>
      <c r="F112" s="15">
        <f>(E112 * $I$97)</f>
        <v>0</v>
      </c>
    </row>
    <row r="115" spans="1:12" ht="20.100000000000001" customHeight="1" x14ac:dyDescent="0.2">
      <c r="C115" s="157"/>
      <c r="D115" s="157"/>
      <c r="E115" s="157"/>
      <c r="F115" s="157"/>
      <c r="G115" s="157"/>
      <c r="H115" s="157"/>
      <c r="I115" s="157"/>
      <c r="J115" s="157"/>
      <c r="K115" s="157"/>
      <c r="L115" s="157"/>
    </row>
    <row r="116" spans="1:12" ht="20.100000000000001" customHeight="1" x14ac:dyDescent="0.2">
      <c r="D116" s="2" t="s">
        <v>1143</v>
      </c>
    </row>
    <row r="117" spans="1:12" ht="20.100000000000001" customHeight="1" x14ac:dyDescent="0.2">
      <c r="D117" s="17" t="s">
        <v>1144</v>
      </c>
    </row>
    <row r="118" spans="1:12" ht="20.100000000000001" customHeight="1" x14ac:dyDescent="0.2">
      <c r="D118" s="134"/>
      <c r="E118" s="134"/>
    </row>
    <row r="119" spans="1:12" ht="20.100000000000001" customHeight="1" x14ac:dyDescent="0.2">
      <c r="A119" s="81" t="str">
        <f>HYPERLINK("#A1", "▲ Back to top")</f>
        <v>▲ Back to top</v>
      </c>
    </row>
    <row r="121" spans="1:12" ht="20.100000000000001" customHeight="1" x14ac:dyDescent="0.2">
      <c r="D121" s="77" t="s">
        <v>371</v>
      </c>
      <c r="E121" s="1" t="s">
        <v>1145</v>
      </c>
    </row>
    <row r="122" spans="1:12" ht="20.100000000000001" customHeight="1" x14ac:dyDescent="0.2">
      <c r="D122" s="77" t="s">
        <v>118</v>
      </c>
      <c r="E122" s="9" t="s">
        <v>12</v>
      </c>
    </row>
    <row r="124" spans="1:12" ht="20.100000000000001" customHeight="1" x14ac:dyDescent="0.2">
      <c r="D124" s="150" t="s">
        <v>1140</v>
      </c>
      <c r="E124" s="147" t="s">
        <v>1146</v>
      </c>
      <c r="F124" s="159"/>
      <c r="G124" s="150" t="s">
        <v>1029</v>
      </c>
      <c r="H124" s="142" t="s">
        <v>1148</v>
      </c>
      <c r="I124" s="143" t="str" cm="1">
        <f t="array" aca="1" ref="I124" ca="1">HYPERLINK(Common_InputFunctions.Utility_SourceHyperlink($D$99), $D$99)</f>
        <v>Table_M_vol_organic_j_f</v>
      </c>
    </row>
    <row r="125" spans="1:12" ht="20.100000000000001" customHeight="1" x14ac:dyDescent="0.2">
      <c r="D125" s="150" t="s">
        <v>1133</v>
      </c>
      <c r="E125" s="147" t="s">
        <v>1147</v>
      </c>
      <c r="F125" s="159"/>
      <c r="G125" s="150" t="s">
        <v>1103</v>
      </c>
      <c r="H125" s="142" t="s">
        <v>1036</v>
      </c>
      <c r="I125" s="150">
        <f>Common_InputFunctions.Utility_LookupN2OEFFromProdIrrigationRainfall(I127,I128,I129,Table_SourceData_Common_EFN2O[Production system only],Table_SourceData_Common_EFN2O[Irrigation method],Table_SourceData_Common_EFN2O[Rainfall zone],Table_SourceData_Common_EFN2O[EFN2O])</f>
        <v>7.0000000000000001E-3</v>
      </c>
    </row>
    <row r="126" spans="1:12" ht="20.100000000000001" customHeight="1" x14ac:dyDescent="0.2">
      <c r="D126" s="150" t="s">
        <v>1051</v>
      </c>
      <c r="E126" s="147" t="s">
        <v>1052</v>
      </c>
      <c r="F126" s="159"/>
      <c r="G126" s="150"/>
      <c r="H126" s="142" t="s">
        <v>1036</v>
      </c>
      <c r="I126" s="139">
        <f>Common_InputFunctions.Utility_LookupValueInTableNumber("N2O",Table_GasToMolecularConversionFactor[Gas],Table_GasToMolecularConversionFactor[Conversion factor combined])</f>
        <v>1.5714285714285714</v>
      </c>
    </row>
    <row r="127" spans="1:12" ht="20.100000000000001" customHeight="1" x14ac:dyDescent="0.2">
      <c r="D127" s="150" t="s">
        <v>1053</v>
      </c>
      <c r="E127" s="147" t="s">
        <v>177</v>
      </c>
      <c r="F127" s="159"/>
      <c r="G127" s="150"/>
      <c r="H127" s="141" t="s">
        <v>1034</v>
      </c>
      <c r="I127" s="150" t="str">
        <f>X_Cell_Fertiliser_ProductionSystem</f>
        <v>Crop</v>
      </c>
    </row>
    <row r="128" spans="1:12" ht="20.100000000000001" customHeight="1" x14ac:dyDescent="0.2">
      <c r="D128" s="150" t="s">
        <v>1054</v>
      </c>
      <c r="E128" s="147" t="s">
        <v>1055</v>
      </c>
      <c r="F128" s="159"/>
      <c r="G128" s="150"/>
      <c r="H128" s="141" t="s">
        <v>1034</v>
      </c>
      <c r="I128" s="150" t="str">
        <f>X_Cell_Fertiliser_IrrigationMethod</f>
        <v>Sprinkler irrigation</v>
      </c>
    </row>
    <row r="129" spans="4:9" ht="20.100000000000001" customHeight="1" x14ac:dyDescent="0.2">
      <c r="D129" s="150" t="s">
        <v>1135</v>
      </c>
      <c r="E129" s="147" t="s">
        <v>1136</v>
      </c>
      <c r="F129" s="159"/>
      <c r="G129" s="150"/>
      <c r="H129" s="141" t="s">
        <v>1034</v>
      </c>
      <c r="I129" s="150" t="str">
        <f>X_Cell_Site_RainfallZone</f>
        <v>High rainfall</v>
      </c>
    </row>
    <row r="131" spans="4:9" ht="20.100000000000001" customHeight="1" x14ac:dyDescent="0.2">
      <c r="D131" s="135" t="s">
        <v>445</v>
      </c>
    </row>
    <row r="132" spans="4:9" ht="20.100000000000001" customHeight="1" x14ac:dyDescent="0.2">
      <c r="D132" s="136" t="s">
        <v>446</v>
      </c>
    </row>
    <row r="133" spans="4:9" ht="20.100000000000001" customHeight="1" x14ac:dyDescent="0.2">
      <c r="D133" s="80" t="s">
        <v>416</v>
      </c>
      <c r="E133" s="152" t="s">
        <v>444</v>
      </c>
      <c r="F133" s="152" t="s">
        <v>447</v>
      </c>
    </row>
    <row r="134" spans="4:9" ht="20.100000000000001" customHeight="1" x14ac:dyDescent="0.2">
      <c r="D134" s="15" t="str" cm="1">
        <f t="array" ref="D134:D136">Table_Input_OrganicFertiliser[Organic fertiliser type (select)]</f>
        <v>Manure - Other</v>
      </c>
      <c r="E134" s="15">
        <f>F102</f>
        <v>630</v>
      </c>
      <c r="F134" s="15">
        <f>((E134 * $I$125) * $I$126 * 10 ^ -3)</f>
        <v>6.9299999999999995E-3</v>
      </c>
    </row>
    <row r="135" spans="4:9" ht="20.100000000000001" customHeight="1" x14ac:dyDescent="0.2">
      <c r="D135" s="15" t="str">
        <v>Manure - Poultry</v>
      </c>
      <c r="E135" s="15">
        <f t="shared" ref="E135:E144" si="1">F103</f>
        <v>525</v>
      </c>
      <c r="F135" s="15">
        <f>((E135 * $I$125) * $I$126 * 10 ^ -3)</f>
        <v>5.7750000000000006E-3</v>
      </c>
    </row>
    <row r="136" spans="4:9" ht="20.100000000000001" customHeight="1" x14ac:dyDescent="0.2">
      <c r="D136" s="15" t="str">
        <v>Other organic fertiliser</v>
      </c>
      <c r="E136" s="15">
        <f t="shared" si="1"/>
        <v>336</v>
      </c>
      <c r="F136" s="15">
        <f>((E136 * $I$125) * $I$126 * 10 ^ -3)</f>
        <v>3.6959999999999996E-3</v>
      </c>
    </row>
    <row r="137" spans="4:9" ht="20.100000000000001" customHeight="1" x14ac:dyDescent="0.2">
      <c r="D137" s="15"/>
      <c r="E137" s="15">
        <f t="shared" si="1"/>
        <v>0</v>
      </c>
      <c r="F137" s="15">
        <f>((E137 * $I$125) * $I$126 * 10 ^ -3)</f>
        <v>0</v>
      </c>
    </row>
    <row r="138" spans="4:9" ht="20.100000000000001" customHeight="1" x14ac:dyDescent="0.2">
      <c r="D138" s="15"/>
      <c r="E138" s="15">
        <f t="shared" si="1"/>
        <v>0</v>
      </c>
      <c r="F138" s="15">
        <f>((E138 * $I$125) * $I$126 * 10 ^ -3)</f>
        <v>0</v>
      </c>
    </row>
    <row r="139" spans="4:9" ht="20.100000000000001" customHeight="1" x14ac:dyDescent="0.2">
      <c r="D139" s="15"/>
      <c r="E139" s="15">
        <f t="shared" si="1"/>
        <v>0</v>
      </c>
      <c r="F139" s="15">
        <f>((E139 * $I$125) * $I$126 * 10 ^ -3)</f>
        <v>0</v>
      </c>
    </row>
    <row r="140" spans="4:9" ht="20.100000000000001" customHeight="1" x14ac:dyDescent="0.2">
      <c r="D140" s="15"/>
      <c r="E140" s="15">
        <f t="shared" si="1"/>
        <v>0</v>
      </c>
      <c r="F140" s="15">
        <f>((E140 * $I$125) * $I$126 * 10 ^ -3)</f>
        <v>0</v>
      </c>
    </row>
    <row r="141" spans="4:9" ht="20.100000000000001" customHeight="1" x14ac:dyDescent="0.2">
      <c r="D141" s="15"/>
      <c r="E141" s="15">
        <f t="shared" si="1"/>
        <v>0</v>
      </c>
      <c r="F141" s="15">
        <f>((E141 * $I$125) * $I$126 * 10 ^ -3)</f>
        <v>0</v>
      </c>
    </row>
    <row r="142" spans="4:9" ht="20.100000000000001" customHeight="1" x14ac:dyDescent="0.2">
      <c r="D142" s="15"/>
      <c r="E142" s="15">
        <f t="shared" si="1"/>
        <v>0</v>
      </c>
      <c r="F142" s="15">
        <f>((E142 * $I$125) * $I$126 * 10 ^ -3)</f>
        <v>0</v>
      </c>
    </row>
    <row r="143" spans="4:9" ht="20.100000000000001" customHeight="1" x14ac:dyDescent="0.2">
      <c r="D143" s="15"/>
      <c r="E143" s="15">
        <f t="shared" si="1"/>
        <v>0</v>
      </c>
      <c r="F143" s="15">
        <f>((E143 * $I$125) * $I$126 * 10 ^ -3)</f>
        <v>0</v>
      </c>
    </row>
    <row r="144" spans="4:9" ht="20.100000000000001" customHeight="1" x14ac:dyDescent="0.2">
      <c r="D144" s="15"/>
      <c r="E144" s="15">
        <f t="shared" si="1"/>
        <v>0</v>
      </c>
      <c r="F144" s="15">
        <f>((E144 * $I$125) * $I$126 * 10 ^ -3)</f>
        <v>0</v>
      </c>
    </row>
    <row r="146" spans="1:7" ht="20.100000000000001" customHeight="1" x14ac:dyDescent="0.2">
      <c r="D146" s="87" t="s">
        <v>448</v>
      </c>
      <c r="E146" s="88">
        <f>SUM(F134:F144)</f>
        <v>1.6400999999999999E-2</v>
      </c>
      <c r="F146" s="97" t="str">
        <f>$E$122</f>
        <v>t N2O</v>
      </c>
    </row>
    <row r="148" spans="1:7" ht="20.100000000000001" customHeight="1" x14ac:dyDescent="0.2">
      <c r="D148" s="139" t="str" cm="1">
        <f t="array" ref="D148:E149">Common_Equations.Common_ConvertN2OToCO2e_Arguments()</f>
        <v>EN2O</v>
      </c>
      <c r="E148" s="140" t="str">
        <v>Nitrous oxide emissions (t N2O)</v>
      </c>
      <c r="F148" s="149"/>
      <c r="G148" s="15">
        <v>1.6401E-3</v>
      </c>
    </row>
    <row r="149" spans="1:7" ht="20.100000000000001" customHeight="1" x14ac:dyDescent="0.2">
      <c r="A149" s="81" t="str">
        <f>HYPERLINK("#A1", "▲ Back to top")</f>
        <v>▲ Back to top</v>
      </c>
      <c r="D149" s="139" t="str">
        <v>GWPN2O</v>
      </c>
      <c r="E149" s="140" t="str">
        <v>Global warming potential for nitrous oxide (t CO2-e / t N2O)</v>
      </c>
      <c r="F149" s="149"/>
      <c r="G149" s="15">
        <f>Common_InputFunctions.Utility_LookupValueInTableNumber("N2O",Table_GWPData[Gas],Table_GWPData[CO2-e factor])</f>
        <v>265</v>
      </c>
    </row>
    <row r="151" spans="1:7" ht="20.100000000000001" customHeight="1" x14ac:dyDescent="0.2">
      <c r="D151" s="85" t="s">
        <v>395</v>
      </c>
      <c r="E151" s="85" cm="1">
        <f t="array" ref="E151">Common_Equations.Common_ConvertN2OToCO2e(G148,G149)</f>
        <v>0.43462650000000003</v>
      </c>
      <c r="F151" s="91" t="str" cm="1">
        <f t="array" ref="F151">Common_Equations.Common_ConvertN2OToCO2e_Unit()</f>
        <v>t CO2e</v>
      </c>
    </row>
  </sheetData>
  <pageMargins left="0.7" right="0.7" top="0.75" bottom="0.75" header="0.3" footer="0.3"/>
  <pageSetup paperSize="9"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BD821-21F1-4DB0-9EC4-F1069715E575}">
  <sheetPr>
    <tabColor rgb="FF008000"/>
  </sheetPr>
  <dimension ref="A1:T99"/>
  <sheetViews>
    <sheetView showGridLines="0" zoomScaleNormal="100" workbookViewId="0">
      <pane xSplit="1" topLeftCell="B1" activePane="topRight" state="frozenSplit"/>
      <selection pane="topRight" activeCell="A47" sqref="A47"/>
    </sheetView>
  </sheetViews>
  <sheetFormatPr defaultRowHeight="20.100000000000001" customHeight="1" x14ac:dyDescent="0.2"/>
  <cols>
    <col min="1" max="1" width="36.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9" width="30.7109375" style="1" customWidth="1"/>
    <col min="20" max="20" width="4.7109375" style="1" customWidth="1"/>
  </cols>
  <sheetData>
    <row r="1" spans="1:20" s="21" customFormat="1" ht="30" customHeight="1" x14ac:dyDescent="0.35">
      <c r="A1" s="10" t="e" vm="1">
        <v>#VALUE!</v>
      </c>
      <c r="C1" s="21" t="s">
        <v>449</v>
      </c>
    </row>
    <row r="2" spans="1:20" s="3" customFormat="1" ht="20.100000000000001" customHeight="1" x14ac:dyDescent="0.2">
      <c r="A2"/>
    </row>
    <row r="3" spans="1:20" ht="20.100000000000001" customHeight="1" x14ac:dyDescent="0.2">
      <c r="A3" s="5" t="str">
        <f>HYPERLINK("#'Home'!A1", "Home")</f>
        <v>Home</v>
      </c>
      <c r="C3" s="23"/>
      <c r="D3" s="23" t="s">
        <v>130</v>
      </c>
      <c r="E3" s="23"/>
      <c r="F3" s="23"/>
      <c r="G3" s="23"/>
      <c r="H3" s="23"/>
      <c r="I3" s="23"/>
      <c r="J3" s="23"/>
      <c r="K3" s="23"/>
      <c r="M3" s="23"/>
      <c r="N3" s="23" t="s">
        <v>131</v>
      </c>
      <c r="O3" s="23"/>
      <c r="P3" s="23"/>
      <c r="Q3" s="23"/>
      <c r="R3" s="23"/>
      <c r="S3" s="23"/>
      <c r="T3" s="23"/>
    </row>
    <row r="4" spans="1:20" ht="20.100000000000001" customHeight="1" x14ac:dyDescent="0.2">
      <c r="A4" s="5" t="str">
        <f>HYPERLINK("#'Results - Activity period'!A1", "Results - Activity period")</f>
        <v>Results - Activity period</v>
      </c>
    </row>
    <row r="5" spans="1:20" ht="20.100000000000001" customHeight="1" x14ac:dyDescent="0.2">
      <c r="A5" s="5" t="str">
        <f>HYPERLINK("#'Results - Product EI'!A1", "Results - Product EI")</f>
        <v>Results - Product EI</v>
      </c>
      <c r="D5" s="2" t="s">
        <v>1149</v>
      </c>
    </row>
    <row r="6" spans="1:20" ht="20.100000000000001" customHeight="1" x14ac:dyDescent="0.2">
      <c r="D6" s="17" t="s">
        <v>1150</v>
      </c>
    </row>
    <row r="7" spans="1:20" ht="20.100000000000001" customHeight="1" x14ac:dyDescent="0.2">
      <c r="D7" s="134"/>
      <c r="E7" s="134"/>
    </row>
    <row r="8" spans="1:20" ht="20.100000000000001" customHeight="1" x14ac:dyDescent="0.2">
      <c r="A8" s="7" t="s">
        <v>0</v>
      </c>
    </row>
    <row r="9" spans="1:20" ht="20.100000000000001" customHeight="1" x14ac:dyDescent="0.2">
      <c r="A9" s="5" t="str">
        <f>HYPERLINK("#'Input - Enterprise'!A1", "Enterprise")</f>
        <v>Enterprise</v>
      </c>
    </row>
    <row r="10" spans="1:20" ht="20.100000000000001" customHeight="1" x14ac:dyDescent="0.2">
      <c r="A10" s="5" t="str">
        <f>HYPERLINK("#'Input - Site'!A1", "Site")</f>
        <v>Site</v>
      </c>
      <c r="D10" s="77" t="s">
        <v>371</v>
      </c>
      <c r="E10" s="1" t="s">
        <v>1151</v>
      </c>
    </row>
    <row r="11" spans="1:20" ht="20.100000000000001" customHeight="1" x14ac:dyDescent="0.2">
      <c r="A11" s="5" t="str">
        <f>HYPERLINK("#'Input - Crop'!A1", "Crop")</f>
        <v>Crop</v>
      </c>
      <c r="D11" s="77" t="s">
        <v>118</v>
      </c>
      <c r="E11" s="9" t="s">
        <v>1029</v>
      </c>
    </row>
    <row r="12" spans="1:20" ht="20.100000000000001" customHeight="1" x14ac:dyDescent="0.2">
      <c r="A12" s="5" t="str">
        <f>HYPERLINK("#'Input - Fert Prod System'!A1", "Fert Prod System")</f>
        <v>Fert Prod System</v>
      </c>
    </row>
    <row r="13" spans="1:20" ht="20.100000000000001" customHeight="1" x14ac:dyDescent="0.2">
      <c r="A13" s="5" t="str">
        <f>HYPERLINK("#'Input - Fertiliser'!A1", "Fertiliser")</f>
        <v>Fertiliser</v>
      </c>
      <c r="D13" s="150" t="s">
        <v>1028</v>
      </c>
      <c r="E13" s="147" t="s">
        <v>1152</v>
      </c>
      <c r="F13" s="159"/>
      <c r="G13" s="150" t="s">
        <v>1029</v>
      </c>
      <c r="H13" s="142" t="s">
        <v>1058</v>
      </c>
      <c r="I13" s="143" t="str" cm="1">
        <f t="array" aca="1" ref="I13" ca="1">HYPERLINK(Common_InputFunctions.Utility_SourceHyperlink(D20), D20)</f>
        <v>Table_M_leach_inorganic_j</v>
      </c>
    </row>
    <row r="14" spans="1:20" ht="20.100000000000001" customHeight="1" x14ac:dyDescent="0.2">
      <c r="A14" s="5" t="str">
        <f>HYPERLINK("#'Input - Fuel'!A1", "Fuel")</f>
        <v>Fuel</v>
      </c>
      <c r="D14" s="150" t="s">
        <v>1153</v>
      </c>
      <c r="E14" s="147" t="s">
        <v>1154</v>
      </c>
      <c r="F14" s="159"/>
      <c r="G14" s="150" t="s">
        <v>1120</v>
      </c>
      <c r="H14" s="142" t="s">
        <v>1036</v>
      </c>
      <c r="I14" s="150">
        <f>Common_InputFunctions.CommonCropping_GetFracWET(I16,I18,Table_SourceData_FracWET[Is in leaching zone],Table_SourceData_FracWET[FracWET],Table_SourceData_FracWETIrrigation[Irrigation type i],Table_SourceData_FracWETIrrigation[FracWET])</f>
        <v>1</v>
      </c>
    </row>
    <row r="15" spans="1:20" ht="20.100000000000001" customHeight="1" x14ac:dyDescent="0.2">
      <c r="A15" s="5" t="str">
        <f>HYPERLINK("#'Input - Electricity'!A1", "Electricity")</f>
        <v>Electricity</v>
      </c>
      <c r="D15" s="150" t="s">
        <v>1155</v>
      </c>
      <c r="E15" s="147" t="s">
        <v>1156</v>
      </c>
      <c r="F15" s="159"/>
      <c r="G15" s="150" t="s">
        <v>1120</v>
      </c>
      <c r="H15" s="142" t="s">
        <v>1036</v>
      </c>
      <c r="I15" s="150">
        <f>Fertiliser_FracLEACH_Data</f>
        <v>0.24</v>
      </c>
    </row>
    <row r="16" spans="1:20" ht="20.100000000000001" customHeight="1" x14ac:dyDescent="0.2">
      <c r="A16" s="5" t="str">
        <f>HYPERLINK("#'Input - Common farm inputs'!A1", "Common farm inputs")</f>
        <v>Common farm inputs</v>
      </c>
      <c r="D16" s="150" t="s">
        <v>1056</v>
      </c>
      <c r="E16" s="147" t="s">
        <v>1157</v>
      </c>
      <c r="F16" s="159"/>
      <c r="G16" s="150"/>
      <c r="H16" s="141" t="s">
        <v>1034</v>
      </c>
      <c r="I16" s="150" t="str">
        <f>X_Cell_Site_LeachingZone</f>
        <v>NO - Not in leaching zone</v>
      </c>
    </row>
    <row r="17" spans="1:9" ht="20.100000000000001" customHeight="1" x14ac:dyDescent="0.2">
      <c r="A17" s="5" t="str">
        <f>HYPERLINK("#'Input - Crop pasture farm input'!A1", "Crop pasture farm input")</f>
        <v>Crop pasture farm input</v>
      </c>
      <c r="D17" s="150" t="s">
        <v>1053</v>
      </c>
      <c r="E17" s="147" t="s">
        <v>1158</v>
      </c>
      <c r="F17" s="159"/>
      <c r="G17" s="150"/>
      <c r="H17" s="141" t="s">
        <v>1034</v>
      </c>
      <c r="I17" s="150" t="str">
        <f>X_Cell_Fertiliser_ProductionSystem</f>
        <v>Crop</v>
      </c>
    </row>
    <row r="18" spans="1:9" ht="20.100000000000001" customHeight="1" x14ac:dyDescent="0.2">
      <c r="A18" s="5" t="str">
        <f>HYPERLINK("#'Input - Freight'!A1", "Freight")</f>
        <v>Freight</v>
      </c>
      <c r="D18" s="150" t="s">
        <v>1054</v>
      </c>
      <c r="E18" s="147" t="s">
        <v>1055</v>
      </c>
      <c r="F18" s="159"/>
      <c r="G18" s="150"/>
      <c r="H18" s="141" t="s">
        <v>1034</v>
      </c>
      <c r="I18" s="150" t="str">
        <f>X_Cell_Fertiliser_IrrigationMethod</f>
        <v>Sprinkler irrigation</v>
      </c>
    </row>
    <row r="19" spans="1:9" ht="20.100000000000001" customHeight="1" x14ac:dyDescent="0.2">
      <c r="A19" s="5" t="str">
        <f>HYPERLINK("#'Input - Solid waste'!A1", "Solid waste")</f>
        <v>Solid waste</v>
      </c>
    </row>
    <row r="20" spans="1:9" ht="20.100000000000001" customHeight="1" x14ac:dyDescent="0.2">
      <c r="A20" s="5" t="str">
        <f>HYPERLINK("#'Input - Data quality'!A1", "Data quality")</f>
        <v>Data quality</v>
      </c>
      <c r="D20" s="135" t="s">
        <v>450</v>
      </c>
    </row>
    <row r="21" spans="1:9" ht="20.100000000000001" customHeight="1" x14ac:dyDescent="0.2">
      <c r="D21" s="136" t="s">
        <v>451</v>
      </c>
    </row>
    <row r="22" spans="1:9" ht="20.100000000000001" customHeight="1" x14ac:dyDescent="0.2">
      <c r="D22" s="138" t="s">
        <v>379</v>
      </c>
      <c r="E22" s="138" t="s">
        <v>434</v>
      </c>
      <c r="F22" s="138" t="s">
        <v>452</v>
      </c>
    </row>
    <row r="23" spans="1:9" ht="20.100000000000001" customHeight="1" x14ac:dyDescent="0.2">
      <c r="A23" s="6" t="s">
        <v>2</v>
      </c>
      <c r="D23" s="15" t="str" cm="1">
        <f t="array" ref="D23:D41">Table_Fertiliser_ChemicalCompounds[Fertiliser type f]</f>
        <v>Monoammonium phosphate (MAP)</v>
      </c>
      <c r="E23" s="15">
        <f>INDEX(Table_MN_j_f,2,4)</f>
        <v>0</v>
      </c>
      <c r="F23" s="15">
        <f>(E23 * $I$14 * $I$15)</f>
        <v>0</v>
      </c>
    </row>
    <row r="24" spans="1:9" ht="20.100000000000001" customHeight="1" x14ac:dyDescent="0.2">
      <c r="A24" s="5" t="str">
        <f>HYPERLINK("#'5.1.1.1-2 Inorganic fert N2O'!A1", "5.1.1.1-2 Inorganic fert N2O")</f>
        <v>5.1.1.1-2 Inorganic fert N2O</v>
      </c>
      <c r="D24" s="15" t="str">
        <v>Diammonium phosphate (DAP)</v>
      </c>
      <c r="E24" s="15">
        <f>INDEX(Table_MN_j_f,3,4)</f>
        <v>0</v>
      </c>
      <c r="F24" s="15">
        <f>(E24 * $I$14 * $I$15)</f>
        <v>0</v>
      </c>
    </row>
    <row r="25" spans="1:9" ht="20.100000000000001" customHeight="1" x14ac:dyDescent="0.2">
      <c r="A25" s="5" t="str">
        <f>HYPERLINK("#'5.1.1.3-4 Inorganic fert CO2'!A1", "5.1.1.3-4 Inorganic fert CO2")</f>
        <v>5.1.1.3-4 Inorganic fert CO2</v>
      </c>
      <c r="D25" s="15" t="str">
        <v>Urea</v>
      </c>
      <c r="E25" s="15">
        <f>INDEX(Table_MN_j_f,4,4)</f>
        <v>115999.99400000001</v>
      </c>
      <c r="F25" s="15">
        <f>(E25 * $I$14 * $I$15)</f>
        <v>27839.99856</v>
      </c>
    </row>
    <row r="26" spans="1:9" ht="20.100000000000001" customHeight="1" x14ac:dyDescent="0.2">
      <c r="A26" s="5" t="str">
        <f>HYPERLINK("#'5.2.1.1-2 Organic Fert N2O'!A1", "5.2.1.1-2 Organic fert N2O")</f>
        <v>5.2.1.1-2 Organic fert N2O</v>
      </c>
      <c r="D26" s="15" t="str">
        <v>Sulphate of ammonia (SOA)</v>
      </c>
      <c r="E26" s="15">
        <f>INDEX(Table_MN_j_f,5,4)</f>
        <v>0</v>
      </c>
      <c r="F26" s="15">
        <f>(E26 * $I$14 * $I$15)</f>
        <v>0</v>
      </c>
    </row>
    <row r="27" spans="1:9" ht="20.100000000000001" customHeight="1" x14ac:dyDescent="0.2">
      <c r="A27" s="5" t="str">
        <f>HYPERLINK("#'5.3.1.1-2 Lime CO2'!A1", "5.3.1.1-2 Lime CO2")</f>
        <v>5.3.1.1-2 Lime CO2</v>
      </c>
      <c r="D27" s="15" t="str">
        <v>Urea-ammonium nitrate (UAN)</v>
      </c>
      <c r="E27" s="15">
        <f>INDEX(Table_MN_j_f,6,4)</f>
        <v>0</v>
      </c>
      <c r="F27" s="15">
        <f>(E27 * $I$14 * $I$15)</f>
        <v>0</v>
      </c>
    </row>
    <row r="28" spans="1:9" ht="20.100000000000001" customHeight="1" x14ac:dyDescent="0.2">
      <c r="A28" s="5" t="str">
        <f>HYPERLINK("#'5.4.1.1-4 Atmos deposition'!A1", "5.4.1.1-4 Atmos. deposition")</f>
        <v>5.4.1.1-4 Atmos. deposition</v>
      </c>
      <c r="D28" s="15" t="str">
        <v>Ammonium nitrate (AN)</v>
      </c>
      <c r="E28" s="15">
        <f>INDEX(Table_MN_j_f,7,4)</f>
        <v>0</v>
      </c>
      <c r="F28" s="15">
        <f>(E28 * $I$14 * $I$15)</f>
        <v>0</v>
      </c>
    </row>
    <row r="29" spans="1:9" ht="20.100000000000001" customHeight="1" x14ac:dyDescent="0.2">
      <c r="A29" s="144" t="str">
        <f>HYPERLINK("#'5.5.1.1-2 Leaching and runoff'!A1", "5.5.1.1-2 Leaching &amp; runoff")</f>
        <v>5.5.1.1-2 Leaching &amp; runoff</v>
      </c>
      <c r="D29" s="15" t="str">
        <v>Calcium ammonium nitrate (CAN)</v>
      </c>
      <c r="E29" s="15">
        <f>INDEX(Table_MN_j_f,8,4)</f>
        <v>0</v>
      </c>
      <c r="F29" s="15">
        <f>(E29 * $I$14 * $I$15)</f>
        <v>0</v>
      </c>
    </row>
    <row r="30" spans="1:9" ht="20.100000000000001" customHeight="1" x14ac:dyDescent="0.2">
      <c r="A30" s="5" t="str">
        <f>HYPERLINK("#'6.1.1.1-2 Crop residue N2O'!A1", "6.1.1.1-2 Crop residue N2O")</f>
        <v>6.1.1.1-2 Crop residue N2O</v>
      </c>
      <c r="D30" s="15" t="str">
        <v>Nitrogen - Ammoniacal</v>
      </c>
      <c r="E30" s="15">
        <f>INDEX(Table_MN_j_f,9,4)</f>
        <v>12400</v>
      </c>
      <c r="F30" s="15">
        <f>(E30 * $I$14 * $I$15)</f>
        <v>2976</v>
      </c>
    </row>
    <row r="31" spans="1:9" ht="20.100000000000001" customHeight="1" x14ac:dyDescent="0.2">
      <c r="A31" s="5" t="str">
        <f>HYPERLINK("#'6.3.1.1-2 Leach runoff crop'!A1", "6.3.1.1-2 Leach &amp; runoff (crop)")</f>
        <v>6.3.1.1-2 Leach &amp; runoff (crop)</v>
      </c>
      <c r="D31" s="15" t="str">
        <v>Nitrogen - Nitrate</v>
      </c>
      <c r="E31" s="15">
        <f>INDEX(Table_MN_j_f,10,4)</f>
        <v>5500</v>
      </c>
      <c r="F31" s="15">
        <f>(E31 * $I$14 * $I$15)</f>
        <v>1320</v>
      </c>
    </row>
    <row r="32" spans="1:9" ht="20.100000000000001" customHeight="1" x14ac:dyDescent="0.2">
      <c r="A32" s="5" t="str">
        <f>HYPERLINK("#'6.4.1.1-2 Residue burning'!A1", "6.4.1.1-2 Residue burning")</f>
        <v>6.4.1.1-2 Residue burning</v>
      </c>
      <c r="D32" s="15" t="str">
        <v>Nitrogen - Generic</v>
      </c>
      <c r="E32" s="15">
        <f>INDEX(Table_MN_j_f,11,4)</f>
        <v>0</v>
      </c>
      <c r="F32" s="15">
        <f>(E32 * $I$14 * $I$15)</f>
        <v>0</v>
      </c>
    </row>
    <row r="33" spans="1:11" ht="20.100000000000001" customHeight="1" x14ac:dyDescent="0.2">
      <c r="A33" s="5" t="str">
        <f>HYPERLINK("#'8.1.1.1-2 Transport fuel'!A1", "8.1.1.1-2 Transport fuel")</f>
        <v>8.1.1.1-2 Transport fuel</v>
      </c>
      <c r="D33" s="15" t="str">
        <v>Phosphorus - Generic</v>
      </c>
      <c r="E33" s="15">
        <f>INDEX(Table_MN_j_f,12,4)</f>
        <v>0</v>
      </c>
      <c r="F33" s="15">
        <f>(E33 * $I$14 * $I$15)</f>
        <v>0</v>
      </c>
    </row>
    <row r="34" spans="1:11" ht="20.100000000000001" customHeight="1" x14ac:dyDescent="0.2">
      <c r="A34" s="5" t="str">
        <f>HYPERLINK("#'8.2.1.1-2 Stationary fuel'!A1", "8.2.1.1-2 Stationary fuel")</f>
        <v>8.2.1.1-2 Stationary fuel</v>
      </c>
      <c r="D34" s="15" t="str">
        <v>Potassium - Generic</v>
      </c>
      <c r="E34" s="15">
        <f>INDEX(Table_MN_j_f,13,4)</f>
        <v>0</v>
      </c>
      <c r="F34" s="15">
        <f>(E34 * $I$14 * $I$15)</f>
        <v>0</v>
      </c>
    </row>
    <row r="35" spans="1:11" ht="20.100000000000001" customHeight="1" x14ac:dyDescent="0.2">
      <c r="A35" s="5" t="str">
        <f>HYPERLINK("#'10.1.1-2 Solid waste treatment'!A1", "10.1.1.1-2 Solid waste")</f>
        <v>10.1.1.1-2 Solid waste</v>
      </c>
      <c r="D35" s="15" t="str">
        <v>Sulfur - Generic</v>
      </c>
      <c r="E35" s="15">
        <f>INDEX(Table_MN_j_f,14,4)</f>
        <v>0</v>
      </c>
      <c r="F35" s="15">
        <f>(E35 * $I$14 * $I$15)</f>
        <v>0</v>
      </c>
    </row>
    <row r="36" spans="1:11" ht="20.100000000000001" customHeight="1" x14ac:dyDescent="0.2">
      <c r="A36" s="5" t="str">
        <f>HYPERLINK("#'14.1.1-2 Purchased electricity'!A1", "14.1.1-2 Purchased electricity")</f>
        <v>14.1.1-2 Purchased electricity</v>
      </c>
      <c r="D36" s="15" t="str">
        <v>Zinc - Generic</v>
      </c>
      <c r="E36" s="15">
        <f>INDEX(Table_MN_j_f,15,4)</f>
        <v>0</v>
      </c>
      <c r="F36" s="15">
        <f>(E36 * $I$14 * $I$15)</f>
        <v>0</v>
      </c>
    </row>
    <row r="37" spans="1:11" ht="20.100000000000001" customHeight="1" x14ac:dyDescent="0.2">
      <c r="A37" s="5" t="str">
        <f>HYPERLINK("#'15 Scope 3'!A1", "15 Scope 3")</f>
        <v>15 Scope 3</v>
      </c>
      <c r="D37" s="15" t="str">
        <v>Muriate of potash (MOP)</v>
      </c>
      <c r="E37" s="15">
        <f>INDEX(Table_MN_j_f,16,4)</f>
        <v>0</v>
      </c>
      <c r="F37" s="15">
        <f>(E37 * $I$14 * $I$15)</f>
        <v>0</v>
      </c>
    </row>
    <row r="38" spans="1:11" ht="20.100000000000001" customHeight="1" x14ac:dyDescent="0.2">
      <c r="D38" s="15" t="str">
        <v>Double superphosphate</v>
      </c>
      <c r="E38" s="15">
        <f>INDEX(Table_MN_j_f,17,4)</f>
        <v>0</v>
      </c>
      <c r="F38" s="15">
        <f>(E38 * $I$14 * $I$15)</f>
        <v>0</v>
      </c>
    </row>
    <row r="39" spans="1:11" ht="20.100000000000001" customHeight="1" x14ac:dyDescent="0.2">
      <c r="D39" s="15" t="str">
        <v>Single superphosphate (SSP)</v>
      </c>
      <c r="E39" s="15">
        <f>INDEX(Table_MN_j_f,18,4)</f>
        <v>0</v>
      </c>
      <c r="F39" s="15">
        <f>(E39 * $I$14 * $I$15)</f>
        <v>0</v>
      </c>
    </row>
    <row r="40" spans="1:11" ht="20.100000000000001" customHeight="1" x14ac:dyDescent="0.2">
      <c r="A40" s="82" t="s">
        <v>1</v>
      </c>
      <c r="D40" s="15" t="str">
        <v>Ammonia</v>
      </c>
      <c r="E40" s="15">
        <f>INDEX(Table_MN_j_f,19,4)</f>
        <v>41175</v>
      </c>
      <c r="F40" s="15">
        <f>(E40 * $I$14 * $I$15)</f>
        <v>9882</v>
      </c>
    </row>
    <row r="41" spans="1:11" ht="20.100000000000001" customHeight="1" x14ac:dyDescent="0.2">
      <c r="A41" s="5" t="str">
        <f>HYPERLINK("#'Constants - Ag Residue'!A1", "Constants - Ag residue")</f>
        <v>Constants - Ag residue</v>
      </c>
      <c r="D41" s="15" t="str">
        <v>Calcium nitrate</v>
      </c>
      <c r="E41" s="15">
        <f>INDEX(Table_MN_j_f,20,4)</f>
        <v>7750</v>
      </c>
      <c r="F41" s="15">
        <f>(E41 * $I$14 * $I$15)</f>
        <v>1860</v>
      </c>
    </row>
    <row r="42" spans="1:11" ht="20.100000000000001" customHeight="1" x14ac:dyDescent="0.2">
      <c r="A42" s="5" t="str">
        <f>HYPERLINK("#'Constants - Electricity'!A1", "Constants - Electricity")</f>
        <v>Constants - Electricity</v>
      </c>
    </row>
    <row r="43" spans="1:11" ht="20.100000000000001" customHeight="1" x14ac:dyDescent="0.2">
      <c r="A43" s="5" t="str">
        <f>HYPERLINK("#'Constants - Fertiliser'!A1", "Constants - Fertiliser")</f>
        <v>Constants - Fertiliser</v>
      </c>
      <c r="D43" s="90" t="s">
        <v>453</v>
      </c>
      <c r="E43" s="85">
        <f>SUM(F23:F41)</f>
        <v>43877.99856</v>
      </c>
      <c r="F43" s="91" t="str">
        <f>$E$11</f>
        <v>kg N</v>
      </c>
    </row>
    <row r="44" spans="1:11" ht="20.100000000000001" customHeight="1" x14ac:dyDescent="0.2">
      <c r="A44" s="5" t="str">
        <f>HYPERLINK("#'Constants - Fuel'!A1", "Constants - Fuel")</f>
        <v>Constants - Fuel</v>
      </c>
    </row>
    <row r="45" spans="1:11" ht="20.100000000000001" customHeight="1" x14ac:dyDescent="0.2">
      <c r="A45" s="5" t="str">
        <f>HYPERLINK("#'Constants - Scope 3'!A1", "Constants - Scope 3")</f>
        <v>Constants - Scope 3</v>
      </c>
      <c r="C45" s="164"/>
      <c r="D45" s="164"/>
      <c r="E45" s="164"/>
      <c r="F45" s="164"/>
      <c r="G45" s="164"/>
      <c r="H45" s="164"/>
      <c r="I45" s="164"/>
      <c r="J45" s="164"/>
      <c r="K45" s="164"/>
    </row>
    <row r="46" spans="1:11" ht="20.100000000000001" customHeight="1" x14ac:dyDescent="0.2">
      <c r="A46" s="5" t="str">
        <f>HYPERLINK("#'Constants - Solid Waste'!A1", "Constants - Solid Waste")</f>
        <v>Constants - Solid Waste</v>
      </c>
    </row>
    <row r="47" spans="1:11" ht="20.100000000000001" customHeight="1" x14ac:dyDescent="0.2">
      <c r="A47" s="5" t="str">
        <f>HYPERLINK("#'Constants - Common'!A1", "Constants - Common")</f>
        <v>Constants - Common</v>
      </c>
      <c r="D47" s="2" t="s">
        <v>1159</v>
      </c>
    </row>
    <row r="48" spans="1:11" ht="20.100000000000001" customHeight="1" x14ac:dyDescent="0.2">
      <c r="A48" s="5" t="str">
        <f>HYPERLINK("#'Constants - Common Livestock'!A1", "Constants - Common Livestock")</f>
        <v>Constants - Common Livestock</v>
      </c>
      <c r="D48" s="17" t="s">
        <v>1160</v>
      </c>
    </row>
    <row r="49" spans="1:9" ht="20.100000000000001" customHeight="1" x14ac:dyDescent="0.2">
      <c r="D49" s="134"/>
      <c r="E49" s="134"/>
    </row>
    <row r="52" spans="1:9" ht="20.100000000000001" customHeight="1" x14ac:dyDescent="0.2">
      <c r="D52" s="77" t="s">
        <v>371</v>
      </c>
      <c r="E52" s="1" t="s">
        <v>1161</v>
      </c>
    </row>
    <row r="53" spans="1:9" ht="20.100000000000001" customHeight="1" x14ac:dyDescent="0.2">
      <c r="D53" s="77" t="s">
        <v>118</v>
      </c>
      <c r="E53" s="9" t="s">
        <v>1029</v>
      </c>
    </row>
    <row r="55" spans="1:9" ht="20.100000000000001" customHeight="1" x14ac:dyDescent="0.2">
      <c r="D55" s="150" t="s">
        <v>1091</v>
      </c>
      <c r="E55" s="147" t="s">
        <v>1162</v>
      </c>
      <c r="F55" s="159"/>
      <c r="G55" s="150" t="s">
        <v>1029</v>
      </c>
      <c r="H55" s="142" t="s">
        <v>1102</v>
      </c>
      <c r="I55" s="143" t="str" cm="1">
        <f t="array" aca="1" ref="I55" ca="1">HYPERLINK(Common_InputFunctions.Utility_SourceHyperlink(D62), D62)</f>
        <v>Table_M_leach_organic_j</v>
      </c>
    </row>
    <row r="56" spans="1:9" ht="20.100000000000001" customHeight="1" x14ac:dyDescent="0.2">
      <c r="D56" s="150" t="s">
        <v>1153</v>
      </c>
      <c r="E56" s="147" t="s">
        <v>1154</v>
      </c>
      <c r="F56" s="159"/>
      <c r="G56" s="150" t="s">
        <v>1120</v>
      </c>
      <c r="H56" s="142" t="s">
        <v>1036</v>
      </c>
      <c r="I56" s="150">
        <f>Common_InputFunctions.CommonCropping_GetFracWET(I58,I60,Table_SourceData_FracWET[Is in leaching zone],Table_SourceData_FracWET[FracWET],Table_SourceData_FracWETIrrigation[Irrigation type i],Table_SourceData_FracWETIrrigation[FracWET])</f>
        <v>1</v>
      </c>
    </row>
    <row r="57" spans="1:9" ht="20.100000000000001" customHeight="1" x14ac:dyDescent="0.2">
      <c r="D57" s="150" t="s">
        <v>1155</v>
      </c>
      <c r="E57" s="147" t="s">
        <v>1156</v>
      </c>
      <c r="F57" s="159"/>
      <c r="G57" s="150" t="s">
        <v>1120</v>
      </c>
      <c r="H57" s="142" t="s">
        <v>1036</v>
      </c>
      <c r="I57" s="150">
        <f>Fertiliser_FracLEACH_Data</f>
        <v>0.24</v>
      </c>
    </row>
    <row r="58" spans="1:9" ht="20.100000000000001" customHeight="1" x14ac:dyDescent="0.2">
      <c r="D58" s="150" t="s">
        <v>1056</v>
      </c>
      <c r="E58" s="147" t="s">
        <v>1157</v>
      </c>
      <c r="F58" s="159"/>
      <c r="G58" s="150"/>
      <c r="H58" s="141" t="s">
        <v>1034</v>
      </c>
      <c r="I58" s="150" t="str">
        <f>X_Cell_Site_LeachingZone</f>
        <v>NO - Not in leaching zone</v>
      </c>
    </row>
    <row r="59" spans="1:9" ht="20.100000000000001" customHeight="1" x14ac:dyDescent="0.2">
      <c r="A59" s="81" t="str">
        <f>HYPERLINK("#A1", "▲ Back to top")</f>
        <v>▲ Back to top</v>
      </c>
      <c r="D59" s="150" t="s">
        <v>1053</v>
      </c>
      <c r="E59" s="147" t="s">
        <v>1158</v>
      </c>
      <c r="F59" s="159"/>
      <c r="G59" s="150"/>
      <c r="H59" s="141" t="s">
        <v>1034</v>
      </c>
      <c r="I59" s="150" t="str">
        <f>X_Cell_Fertiliser_ProductionSystem</f>
        <v>Crop</v>
      </c>
    </row>
    <row r="60" spans="1:9" ht="20.100000000000001" customHeight="1" x14ac:dyDescent="0.2">
      <c r="D60" s="150" t="s">
        <v>1054</v>
      </c>
      <c r="E60" s="147" t="s">
        <v>1055</v>
      </c>
      <c r="F60" s="159"/>
      <c r="G60" s="150"/>
      <c r="H60" s="141" t="s">
        <v>1034</v>
      </c>
      <c r="I60" s="150" t="str">
        <f>X_Cell_Fertiliser_IrrigationMethod</f>
        <v>Sprinkler irrigation</v>
      </c>
    </row>
    <row r="62" spans="1:9" ht="20.100000000000001" customHeight="1" x14ac:dyDescent="0.2">
      <c r="D62" s="135" t="s">
        <v>454</v>
      </c>
    </row>
    <row r="63" spans="1:9" ht="20.100000000000001" customHeight="1" x14ac:dyDescent="0.2">
      <c r="D63" s="136" t="s">
        <v>455</v>
      </c>
    </row>
    <row r="64" spans="1:9" ht="20.100000000000001" customHeight="1" x14ac:dyDescent="0.2">
      <c r="D64" s="80" t="s">
        <v>416</v>
      </c>
      <c r="E64" s="165" t="s">
        <v>420</v>
      </c>
      <c r="F64" s="138" t="s">
        <v>456</v>
      </c>
    </row>
    <row r="65" spans="3:11" ht="20.100000000000001" customHeight="1" x14ac:dyDescent="0.2">
      <c r="D65" s="15" t="str">
        <f>INDEX(Table_MNSoil_j_f,2,1)</f>
        <v>Manure - Other</v>
      </c>
      <c r="E65" s="15">
        <f>INDEX(Table_MNSoil_j_f,2,6)</f>
        <v>3000</v>
      </c>
      <c r="F65" s="15">
        <f>(E65 * $I$56 * $I$57)</f>
        <v>720</v>
      </c>
    </row>
    <row r="66" spans="3:11" ht="20.100000000000001" customHeight="1" x14ac:dyDescent="0.2">
      <c r="D66" s="15" t="str">
        <f>INDEX(Table_MNSoil_j_f,3,1)</f>
        <v>Manure - Poultry</v>
      </c>
      <c r="E66" s="15">
        <f>INDEX(Table_MNSoil_j_f,3,6)</f>
        <v>2500</v>
      </c>
      <c r="F66" s="15">
        <f>(E66 * $I$56 * $I$57)</f>
        <v>600</v>
      </c>
    </row>
    <row r="67" spans="3:11" ht="20.100000000000001" customHeight="1" x14ac:dyDescent="0.2">
      <c r="D67" s="15" t="str">
        <f>INDEX(Table_MNSoil_j_f,4,1)</f>
        <v>Other organic fertiliser</v>
      </c>
      <c r="E67" s="15">
        <f>INDEX(Table_MNSoil_j_f,4,6)</f>
        <v>1600</v>
      </c>
      <c r="F67" s="15">
        <f>(E67 * $I$56 * $I$57)</f>
        <v>384</v>
      </c>
    </row>
    <row r="68" spans="3:11" ht="20.100000000000001" customHeight="1" x14ac:dyDescent="0.2">
      <c r="D68" s="15">
        <f>'5.2.1.1-2 Organic Fert N2O'!D23</f>
        <v>0</v>
      </c>
      <c r="E68" s="15">
        <f>'5.2.1.1-2 Organic Fert N2O'!I23</f>
        <v>0</v>
      </c>
      <c r="F68" s="15">
        <f>(E68 * $I$56 * $I$57)</f>
        <v>0</v>
      </c>
    </row>
    <row r="69" spans="3:11" ht="20.100000000000001" customHeight="1" x14ac:dyDescent="0.2">
      <c r="D69" s="15">
        <f>'5.2.1.1-2 Organic Fert N2O'!D24</f>
        <v>0</v>
      </c>
      <c r="E69" s="15">
        <f>'5.2.1.1-2 Organic Fert N2O'!I24</f>
        <v>0</v>
      </c>
      <c r="F69" s="15">
        <f>(E69 * $I$56 * $I$57)</f>
        <v>0</v>
      </c>
    </row>
    <row r="70" spans="3:11" ht="20.100000000000001" customHeight="1" x14ac:dyDescent="0.2">
      <c r="D70" s="15">
        <f>'5.2.1.1-2 Organic Fert N2O'!D25</f>
        <v>0</v>
      </c>
      <c r="E70" s="15">
        <f>'5.2.1.1-2 Organic Fert N2O'!I25</f>
        <v>0</v>
      </c>
      <c r="F70" s="15">
        <f>(E70 * $I$56 * $I$57)</f>
        <v>0</v>
      </c>
    </row>
    <row r="71" spans="3:11" ht="20.100000000000001" customHeight="1" x14ac:dyDescent="0.2">
      <c r="D71" s="15">
        <f>'5.2.1.1-2 Organic Fert N2O'!D26</f>
        <v>0</v>
      </c>
      <c r="E71" s="15">
        <f>'5.2.1.1-2 Organic Fert N2O'!I26</f>
        <v>0</v>
      </c>
      <c r="F71" s="15">
        <f>(E71 * $I$56 * $I$57)</f>
        <v>0</v>
      </c>
    </row>
    <row r="72" spans="3:11" ht="20.100000000000001" customHeight="1" x14ac:dyDescent="0.2">
      <c r="D72" s="15">
        <f>'5.2.1.1-2 Organic Fert N2O'!D27</f>
        <v>0</v>
      </c>
      <c r="E72" s="15">
        <f>'5.2.1.1-2 Organic Fert N2O'!I27</f>
        <v>0</v>
      </c>
      <c r="F72" s="15">
        <f>(E72 * $I$56 * $I$57)</f>
        <v>0</v>
      </c>
    </row>
    <row r="73" spans="3:11" ht="20.100000000000001" customHeight="1" x14ac:dyDescent="0.2">
      <c r="D73" s="15">
        <f>'5.2.1.1-2 Organic Fert N2O'!D28</f>
        <v>0</v>
      </c>
      <c r="E73" s="15">
        <f>'5.2.1.1-2 Organic Fert N2O'!I28</f>
        <v>0</v>
      </c>
      <c r="F73" s="15">
        <f>(E73 * $I$56 * $I$57)</f>
        <v>0</v>
      </c>
    </row>
    <row r="74" spans="3:11" ht="20.100000000000001" customHeight="1" x14ac:dyDescent="0.2">
      <c r="D74" s="15">
        <f>'5.2.1.1-2 Organic Fert N2O'!D29</f>
        <v>0</v>
      </c>
      <c r="E74" s="15">
        <f>'5.2.1.1-2 Organic Fert N2O'!I29</f>
        <v>0</v>
      </c>
      <c r="F74" s="15">
        <f>(E74 * $I$56 * $I$57)</f>
        <v>0</v>
      </c>
    </row>
    <row r="75" spans="3:11" ht="20.100000000000001" customHeight="1" x14ac:dyDescent="0.2">
      <c r="D75" s="15">
        <f>'5.2.1.1-2 Organic Fert N2O'!D30</f>
        <v>0</v>
      </c>
      <c r="E75" s="15">
        <f>'5.2.1.1-2 Organic Fert N2O'!I30</f>
        <v>0</v>
      </c>
      <c r="F75" s="15">
        <f>(E75 * $I$56 * $I$57)</f>
        <v>0</v>
      </c>
    </row>
    <row r="77" spans="3:11" ht="20.100000000000001" customHeight="1" x14ac:dyDescent="0.2">
      <c r="D77" s="90" t="s">
        <v>457</v>
      </c>
      <c r="E77" s="85">
        <f>SUM(F65:F75)</f>
        <v>1704</v>
      </c>
      <c r="F77" s="91" t="str">
        <f>$E$53</f>
        <v>kg N</v>
      </c>
    </row>
    <row r="79" spans="3:11" ht="20.100000000000001" customHeight="1" x14ac:dyDescent="0.2">
      <c r="C79" s="164"/>
      <c r="D79" s="164"/>
      <c r="E79" s="164"/>
      <c r="F79" s="164"/>
      <c r="G79" s="164"/>
      <c r="H79" s="164"/>
      <c r="I79" s="164"/>
      <c r="J79" s="164"/>
      <c r="K79" s="164"/>
    </row>
    <row r="81" spans="1:10" ht="20.100000000000001" customHeight="1" x14ac:dyDescent="0.2">
      <c r="D81" s="2" t="s">
        <v>1163</v>
      </c>
    </row>
    <row r="82" spans="1:10" ht="20.100000000000001" customHeight="1" x14ac:dyDescent="0.2">
      <c r="D82" s="17" t="s">
        <v>1164</v>
      </c>
    </row>
    <row r="83" spans="1:10" ht="20.100000000000001" customHeight="1" x14ac:dyDescent="0.2">
      <c r="D83" s="134"/>
      <c r="E83" s="134" t="s">
        <v>1025</v>
      </c>
    </row>
    <row r="86" spans="1:10" ht="20.100000000000001" customHeight="1" x14ac:dyDescent="0.2">
      <c r="D86" s="77" t="s">
        <v>371</v>
      </c>
      <c r="E86" s="1" t="s">
        <v>1165</v>
      </c>
    </row>
    <row r="87" spans="1:10" ht="20.100000000000001" customHeight="1" x14ac:dyDescent="0.2">
      <c r="D87" s="77" t="s">
        <v>118</v>
      </c>
      <c r="E87" s="9" t="s">
        <v>12</v>
      </c>
    </row>
    <row r="89" spans="1:10" ht="20.100000000000001" customHeight="1" x14ac:dyDescent="0.2">
      <c r="A89" s="81" t="str">
        <f>HYPERLINK("#A1", "▲ Back to top")</f>
        <v>▲ Back to top</v>
      </c>
      <c r="D89" s="150" t="s">
        <v>1151</v>
      </c>
      <c r="E89" s="147" t="s">
        <v>1166</v>
      </c>
      <c r="F89" s="158"/>
      <c r="G89" s="159"/>
      <c r="H89" s="150" t="s">
        <v>1029</v>
      </c>
      <c r="I89" s="142" t="s">
        <v>1170</v>
      </c>
      <c r="J89" s="150">
        <f>$E$43</f>
        <v>43877.99856</v>
      </c>
    </row>
    <row r="90" spans="1:10" ht="20.100000000000001" customHeight="1" x14ac:dyDescent="0.2">
      <c r="D90" s="150" t="s">
        <v>1161</v>
      </c>
      <c r="E90" s="147" t="s">
        <v>1167</v>
      </c>
      <c r="F90" s="158"/>
      <c r="G90" s="159"/>
      <c r="H90" s="150" t="s">
        <v>1029</v>
      </c>
      <c r="I90" s="142" t="s">
        <v>1171</v>
      </c>
      <c r="J90" s="150">
        <f>$E$77</f>
        <v>1704</v>
      </c>
    </row>
    <row r="91" spans="1:10" ht="20.100000000000001" customHeight="1" x14ac:dyDescent="0.2">
      <c r="D91" s="150" t="s">
        <v>1168</v>
      </c>
      <c r="E91" s="147" t="s">
        <v>1169</v>
      </c>
      <c r="F91" s="158"/>
      <c r="G91" s="159"/>
      <c r="H91" s="150" t="s">
        <v>1103</v>
      </c>
      <c r="I91" s="142" t="s">
        <v>1036</v>
      </c>
      <c r="J91" s="150">
        <f>Fertiliser_EFLeach_Data</f>
        <v>1.0999999999999999E-2</v>
      </c>
    </row>
    <row r="92" spans="1:10" ht="20.100000000000001" customHeight="1" x14ac:dyDescent="0.2">
      <c r="D92" s="150" t="s">
        <v>1051</v>
      </c>
      <c r="E92" s="147" t="s">
        <v>1052</v>
      </c>
      <c r="F92" s="158"/>
      <c r="G92" s="159"/>
      <c r="H92" s="150"/>
      <c r="I92" s="142" t="s">
        <v>1036</v>
      </c>
      <c r="J92" s="139">
        <f>Common_InputFunctions.Utility_LookupValueInTableNumber("N2O",Table_GasToMolecularConversionFactor[Gas],Table_GasToMolecularConversionFactor[Conversion factor combined])</f>
        <v>1.5714285714285714</v>
      </c>
    </row>
    <row r="94" spans="1:10" ht="20.100000000000001" customHeight="1" x14ac:dyDescent="0.2">
      <c r="D94" s="87" t="s">
        <v>458</v>
      </c>
      <c r="E94" s="88">
        <f>((J89 + J90) * J91 * J92 * 10 ^ -3)</f>
        <v>0.78791740368000007</v>
      </c>
      <c r="F94" s="97" t="str">
        <f>$E$87</f>
        <v>t N2O</v>
      </c>
    </row>
    <row r="96" spans="1:10" ht="20.100000000000001" customHeight="1" x14ac:dyDescent="0.2">
      <c r="D96" s="139" t="str" cm="1">
        <f t="array" ref="D96:E97">Common_Equations.Common_ConvertN2OToCO2e_Arguments()</f>
        <v>EN2O</v>
      </c>
      <c r="E96" s="140" t="str">
        <v>Nitrous oxide emissions (t N2O)</v>
      </c>
      <c r="F96" s="149"/>
      <c r="G96" s="15">
        <v>7.8791740367999977E-2</v>
      </c>
    </row>
    <row r="97" spans="4:7" ht="20.100000000000001" customHeight="1" x14ac:dyDescent="0.2">
      <c r="D97" s="139" t="str">
        <v>GWPN2O</v>
      </c>
      <c r="E97" s="140" t="str">
        <v>Global warming potential for nitrous oxide (t CO2-e / t N2O)</v>
      </c>
      <c r="F97" s="149"/>
      <c r="G97" s="15">
        <f>Common_InputFunctions.Utility_LookupValueInTableNumber("N2O",Table_GWPData[Gas],Table_GWPData[CO2-e factor])</f>
        <v>265</v>
      </c>
    </row>
    <row r="99" spans="4:7" ht="20.100000000000001" customHeight="1" x14ac:dyDescent="0.2">
      <c r="D99" s="85" t="s">
        <v>395</v>
      </c>
      <c r="E99" s="85" cm="1">
        <f t="array" ref="E99">Common_Equations.Common_ConvertN2OToCO2e(G96,G97)</f>
        <v>20.879811197519995</v>
      </c>
      <c r="F99" s="91" t="str" cm="1">
        <f t="array" ref="F99">Common_Equations.Common_ConvertN2OToCO2e_Unit()</f>
        <v>t CO2e</v>
      </c>
    </row>
  </sheetData>
  <pageMargins left="0.7" right="0.7" top="0.75" bottom="0.75" header="0.3" footer="0.3"/>
  <pageSetup paperSize="9"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424FB-08E7-402A-BF82-502039A39532}">
  <sheetPr>
    <tabColor rgb="FF008000"/>
  </sheetPr>
  <dimension ref="A1:T342"/>
  <sheetViews>
    <sheetView showGridLines="0" zoomScaleNormal="100" workbookViewId="0">
      <pane xSplit="1" topLeftCell="B1" activePane="topRight" state="frozenSplit"/>
      <selection pane="topRight" activeCell="A47" sqref="A47"/>
    </sheetView>
  </sheetViews>
  <sheetFormatPr defaultRowHeight="20.100000000000001" customHeight="1" x14ac:dyDescent="0.2"/>
  <cols>
    <col min="1" max="1" width="36.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9" width="30.7109375" style="1" customWidth="1"/>
    <col min="20" max="20" width="4.7109375" style="1" customWidth="1"/>
  </cols>
  <sheetData>
    <row r="1" spans="1:20" s="21" customFormat="1" ht="30" customHeight="1" x14ac:dyDescent="0.35">
      <c r="A1" s="10" t="e" vm="1">
        <v>#VALUE!</v>
      </c>
      <c r="C1" s="21" t="s">
        <v>735</v>
      </c>
      <c r="K1"/>
    </row>
    <row r="2" spans="1:20" s="3" customFormat="1" ht="20.100000000000001" customHeight="1" x14ac:dyDescent="0.2">
      <c r="A2"/>
      <c r="K2"/>
    </row>
    <row r="3" spans="1:20" ht="20.100000000000001" customHeight="1" x14ac:dyDescent="0.2">
      <c r="A3" s="5" t="str">
        <f>HYPERLINK("#'Home'!A1", "Home")</f>
        <v>Home</v>
      </c>
      <c r="C3" s="23"/>
      <c r="D3" s="23" t="s">
        <v>130</v>
      </c>
      <c r="E3" s="23"/>
      <c r="F3" s="23"/>
      <c r="G3" s="23"/>
      <c r="H3" s="23"/>
      <c r="I3" s="23"/>
      <c r="J3" s="23"/>
      <c r="L3" s="23"/>
      <c r="M3" s="23" t="s">
        <v>131</v>
      </c>
      <c r="N3" s="23"/>
      <c r="O3" s="23"/>
      <c r="P3" s="23"/>
      <c r="Q3" s="23"/>
      <c r="R3" s="23"/>
      <c r="S3" s="23"/>
      <c r="T3" s="23"/>
    </row>
    <row r="4" spans="1:20" ht="20.100000000000001" customHeight="1" x14ac:dyDescent="0.2">
      <c r="A4" s="5" t="str">
        <f>HYPERLINK("#'Results - Activity period'!A1", "Results - Activity period")</f>
        <v>Results - Activity period</v>
      </c>
    </row>
    <row r="5" spans="1:20" ht="20.100000000000001" customHeight="1" x14ac:dyDescent="0.2">
      <c r="A5" s="5" t="str">
        <f>HYPERLINK("#'Results - Product EI'!A1", "Results - Product EI")</f>
        <v>Results - Product EI</v>
      </c>
      <c r="D5" s="2" t="s">
        <v>1172</v>
      </c>
      <c r="E5" s="8"/>
      <c r="F5" s="8"/>
      <c r="G5" s="8"/>
      <c r="H5" s="8"/>
      <c r="L5" s="8"/>
      <c r="M5" s="2" t="s">
        <v>1174</v>
      </c>
      <c r="N5" s="8"/>
      <c r="O5" s="8"/>
      <c r="P5" s="8"/>
      <c r="Q5" s="8"/>
    </row>
    <row r="6" spans="1:20" ht="20.100000000000001" customHeight="1" x14ac:dyDescent="0.2">
      <c r="D6" s="17" t="s">
        <v>1173</v>
      </c>
      <c r="E6" s="8"/>
      <c r="F6" s="8"/>
      <c r="G6" s="8"/>
      <c r="H6" s="8"/>
      <c r="J6" s="8"/>
      <c r="L6" s="8"/>
      <c r="M6" s="17" t="s">
        <v>1175</v>
      </c>
      <c r="N6" s="8"/>
      <c r="O6" s="8"/>
      <c r="P6" s="8"/>
      <c r="Q6" s="8"/>
    </row>
    <row r="7" spans="1:20" ht="20.100000000000001" customHeight="1" x14ac:dyDescent="0.2">
      <c r="D7" s="134"/>
      <c r="E7" s="134"/>
      <c r="F7" s="8"/>
      <c r="G7" s="8"/>
      <c r="H7" s="8"/>
      <c r="J7" s="8"/>
      <c r="L7" s="8"/>
      <c r="M7" s="134"/>
      <c r="N7" s="134"/>
      <c r="O7" s="8"/>
      <c r="P7" s="8"/>
      <c r="Q7" s="8"/>
    </row>
    <row r="8" spans="1:20" ht="20.100000000000001" customHeight="1" x14ac:dyDescent="0.2">
      <c r="A8" s="7" t="s">
        <v>0</v>
      </c>
      <c r="F8" s="8"/>
      <c r="G8" s="8"/>
      <c r="H8" s="8"/>
      <c r="J8" s="8"/>
      <c r="L8" s="8"/>
      <c r="M8" s="8"/>
      <c r="N8" s="8"/>
      <c r="O8" s="8"/>
      <c r="P8" s="8"/>
      <c r="Q8" s="8"/>
    </row>
    <row r="9" spans="1:20" ht="20.100000000000001" customHeight="1" x14ac:dyDescent="0.2">
      <c r="A9" s="5" t="str">
        <f>HYPERLINK("#'Input - Enterprise'!A1", "Enterprise")</f>
        <v>Enterprise</v>
      </c>
      <c r="D9" s="8"/>
      <c r="E9" s="8"/>
      <c r="F9" s="8"/>
      <c r="G9" s="8"/>
      <c r="H9" s="8"/>
      <c r="J9" s="8"/>
      <c r="L9" s="8"/>
      <c r="M9" s="8"/>
      <c r="N9" s="8"/>
      <c r="O9" s="8"/>
      <c r="P9" s="8"/>
      <c r="Q9" s="8"/>
    </row>
    <row r="10" spans="1:20" ht="20.100000000000001" customHeight="1" x14ac:dyDescent="0.2">
      <c r="A10" s="5" t="str">
        <f>HYPERLINK("#'Input - Site'!A1", "Site")</f>
        <v>Site</v>
      </c>
      <c r="D10" s="77" t="s">
        <v>371</v>
      </c>
      <c r="E10" s="1" t="s">
        <v>1176</v>
      </c>
      <c r="F10" s="8"/>
      <c r="G10" s="8"/>
      <c r="H10" s="8"/>
      <c r="J10" s="8"/>
      <c r="L10" s="8"/>
      <c r="M10" s="8"/>
      <c r="N10" s="8"/>
      <c r="O10" s="8"/>
      <c r="P10" s="8"/>
      <c r="Q10" s="8"/>
    </row>
    <row r="11" spans="1:20" ht="20.100000000000001" customHeight="1" x14ac:dyDescent="0.2">
      <c r="A11" s="5" t="str">
        <f>HYPERLINK("#'Input - Crop'!A1", "Crop")</f>
        <v>Crop</v>
      </c>
      <c r="D11" s="77" t="s">
        <v>118</v>
      </c>
      <c r="E11" s="9" t="s">
        <v>1029</v>
      </c>
      <c r="F11" s="8"/>
      <c r="G11" s="8"/>
      <c r="H11" s="8"/>
      <c r="J11" s="8"/>
      <c r="L11" s="8"/>
      <c r="M11" s="77" t="s">
        <v>371</v>
      </c>
      <c r="N11" s="1" t="s">
        <v>1177</v>
      </c>
      <c r="O11" s="8"/>
      <c r="P11" s="8"/>
      <c r="Q11" s="8"/>
    </row>
    <row r="12" spans="1:20" ht="20.100000000000001" customHeight="1" x14ac:dyDescent="0.2">
      <c r="A12" s="5" t="str">
        <f>HYPERLINK("#'Input - Fert Prod System'!A1", "Fert Prod System")</f>
        <v>Fert Prod System</v>
      </c>
      <c r="D12" s="8"/>
      <c r="E12" s="8"/>
      <c r="F12" s="8"/>
      <c r="G12" s="8"/>
      <c r="J12" s="8"/>
      <c r="L12" s="8"/>
      <c r="M12" s="77" t="s">
        <v>118</v>
      </c>
      <c r="N12" s="9" t="s">
        <v>1120</v>
      </c>
      <c r="O12" s="8"/>
      <c r="P12" s="8"/>
      <c r="Q12" s="8"/>
    </row>
    <row r="13" spans="1:20" ht="20.100000000000001" customHeight="1" x14ac:dyDescent="0.2">
      <c r="A13" s="5" t="str">
        <f>HYPERLINK("#'Input - Fertiliser'!A1", "Fertiliser")</f>
        <v>Fertiliser</v>
      </c>
      <c r="D13" s="150" t="s">
        <v>1178</v>
      </c>
      <c r="E13" s="147" t="s">
        <v>1179</v>
      </c>
      <c r="F13" s="159"/>
      <c r="G13" s="150" t="s">
        <v>370</v>
      </c>
      <c r="H13" s="141" t="s">
        <v>1034</v>
      </c>
      <c r="I13" s="150">
        <f>X_Cell_Crop_TotalProductionOfCrop*10^3</f>
        <v>10000000</v>
      </c>
      <c r="J13" s="8"/>
      <c r="L13" s="8"/>
      <c r="M13" s="8"/>
      <c r="N13" s="8"/>
      <c r="O13" s="8"/>
      <c r="P13" s="8"/>
    </row>
    <row r="14" spans="1:20" ht="20.100000000000001" customHeight="1" x14ac:dyDescent="0.2">
      <c r="A14" s="5" t="str">
        <f>HYPERLINK("#'Input - Fuel'!A1", "Fuel")</f>
        <v>Fuel</v>
      </c>
      <c r="D14" s="150" t="s">
        <v>1180</v>
      </c>
      <c r="E14" s="147" t="s">
        <v>1181</v>
      </c>
      <c r="F14" s="159"/>
      <c r="G14" s="150"/>
      <c r="H14" s="142" t="s">
        <v>1036</v>
      </c>
      <c r="I14" s="150">
        <f>X_Cell_Crop_ResidueToCropRatio</f>
        <v>1.5</v>
      </c>
      <c r="J14" s="8"/>
      <c r="L14" s="8"/>
      <c r="M14" s="150" t="s">
        <v>1195</v>
      </c>
      <c r="N14" s="150" t="s">
        <v>1196</v>
      </c>
      <c r="O14" s="150"/>
      <c r="P14" s="141" t="s">
        <v>1034</v>
      </c>
      <c r="Q14" s="221">
        <f>X_Cell_Crop_NumberOfBales</f>
        <v>27500</v>
      </c>
    </row>
    <row r="15" spans="1:20" ht="20.100000000000001" customHeight="1" x14ac:dyDescent="0.2">
      <c r="A15" s="5" t="str">
        <f>HYPERLINK("#'Input - Electricity'!A1", "Electricity")</f>
        <v>Electricity</v>
      </c>
      <c r="D15" s="150" t="s">
        <v>1182</v>
      </c>
      <c r="E15" s="147" t="s">
        <v>1183</v>
      </c>
      <c r="F15" s="159"/>
      <c r="G15" s="150"/>
      <c r="H15" s="142" t="s">
        <v>1036</v>
      </c>
      <c r="I15" s="150" cm="1">
        <f t="array" ref="I15">Common_InputFunctions.Utility_LookupValueInTableNumber($I$21,Table_SourceData_CropAttributes[Crop type],Table_SourceData_CropAttributes[Below-ground: above-ground residue ratio])</f>
        <v>0.28999999999999998</v>
      </c>
      <c r="L15" s="8"/>
      <c r="M15" s="150" t="s">
        <v>1197</v>
      </c>
      <c r="N15" s="150" t="s">
        <v>1198</v>
      </c>
      <c r="O15" s="150" t="s">
        <v>370</v>
      </c>
      <c r="P15" s="141" t="s">
        <v>1034</v>
      </c>
      <c r="Q15" s="150">
        <f>X_Cell_Crop_AverageWeightPerBale</f>
        <v>60</v>
      </c>
    </row>
    <row r="16" spans="1:20" ht="20.100000000000001" customHeight="1" x14ac:dyDescent="0.2">
      <c r="A16" s="5" t="str">
        <f>HYPERLINK("#'Input - Common farm inputs'!A1", "Common farm inputs")</f>
        <v>Common farm inputs</v>
      </c>
      <c r="D16" s="150" t="s">
        <v>1184</v>
      </c>
      <c r="E16" s="147" t="s">
        <v>1185</v>
      </c>
      <c r="F16" s="159"/>
      <c r="G16" s="150" t="s">
        <v>1120</v>
      </c>
      <c r="H16" s="141" t="s">
        <v>1034</v>
      </c>
      <c r="I16" s="150">
        <f>X_Cell_Crop_PercentResidueBurned</f>
        <v>0.3</v>
      </c>
      <c r="L16" s="8"/>
      <c r="M16" s="150" t="s">
        <v>1178</v>
      </c>
      <c r="N16" s="150" t="s">
        <v>1179</v>
      </c>
      <c r="O16" s="150" t="s">
        <v>370</v>
      </c>
      <c r="P16" s="141" t="s">
        <v>1034</v>
      </c>
      <c r="Q16" s="150">
        <f>X_Cell_Crop_TotalProductionOfCrop*10^3</f>
        <v>10000000</v>
      </c>
    </row>
    <row r="17" spans="1:20" ht="20.100000000000001" customHeight="1" x14ac:dyDescent="0.2">
      <c r="A17" s="5" t="str">
        <f>HYPERLINK("#'Input - Crop pasture farm input'!A1", "Crop pasture farm input")</f>
        <v>Crop pasture farm input</v>
      </c>
      <c r="D17" s="150" t="s">
        <v>1177</v>
      </c>
      <c r="E17" s="147" t="s">
        <v>1186</v>
      </c>
      <c r="F17" s="159"/>
      <c r="G17" s="150" t="s">
        <v>1120</v>
      </c>
      <c r="H17" s="142" t="s">
        <v>1036</v>
      </c>
      <c r="I17" s="150" cm="1">
        <f t="array" ref="I17">IF(ISNUMBER(_xlfn.XLOOKUP(1, (Table77[Crop type c]=$I$21)*(Table77[State]=$I$22),Table77[Fraction removed])), _xlfn.XLOOKUP(1, (Table77[Crop type c]=$I$21)*(Table77[State]=$I$22),Table77[Fraction removed]), 0)</f>
        <v>0.11</v>
      </c>
      <c r="L17" s="8"/>
      <c r="M17" s="150" t="s">
        <v>1180</v>
      </c>
      <c r="N17" s="150" t="s">
        <v>1181</v>
      </c>
      <c r="O17" s="150"/>
      <c r="P17" s="142" t="s">
        <v>1036</v>
      </c>
      <c r="Q17" s="150">
        <f>'Input - Crop'!$E$18</f>
        <v>1.5</v>
      </c>
    </row>
    <row r="18" spans="1:20" ht="20.100000000000001" customHeight="1" x14ac:dyDescent="0.2">
      <c r="A18" s="5" t="str">
        <f>HYPERLINK("#'Input - Freight'!A1", "Freight")</f>
        <v>Freight</v>
      </c>
      <c r="D18" s="150" t="s">
        <v>1187</v>
      </c>
      <c r="E18" s="147" t="s">
        <v>1188</v>
      </c>
      <c r="F18" s="159"/>
      <c r="G18" s="150" t="s">
        <v>1193</v>
      </c>
      <c r="H18" s="142" t="s">
        <v>1036</v>
      </c>
      <c r="I18" s="150" cm="1">
        <f t="array" ref="I18">Common_InputFunctions.Utility_LookupValueInTableNumber($I$21,Table_SourceData_CropAttributes[Crop type],Table_SourceData_CropAttributes[Dry matter content])</f>
        <v>0.88</v>
      </c>
      <c r="L18" s="8"/>
      <c r="M18" s="150" t="s">
        <v>1069</v>
      </c>
      <c r="N18" s="150" t="s">
        <v>179</v>
      </c>
      <c r="O18" s="150"/>
      <c r="P18" s="141" t="s">
        <v>1034</v>
      </c>
      <c r="Q18" s="150" t="str">
        <f>X_Cell_Crop_CropType</f>
        <v>Wheat</v>
      </c>
    </row>
    <row r="19" spans="1:20" ht="20.100000000000001" customHeight="1" x14ac:dyDescent="0.2">
      <c r="A19" s="5" t="str">
        <f>HYPERLINK("#'Input - Solid waste'!A1", "Solid waste")</f>
        <v>Solid waste</v>
      </c>
      <c r="D19" s="150" t="s">
        <v>1189</v>
      </c>
      <c r="E19" s="147" t="s">
        <v>1190</v>
      </c>
      <c r="F19" s="159"/>
      <c r="G19" s="150" t="s">
        <v>1194</v>
      </c>
      <c r="H19" s="142" t="s">
        <v>1036</v>
      </c>
      <c r="I19" s="150" cm="1">
        <f t="array" ref="I19">Common_InputFunctions.Utility_LookupValueInTableNumber($I$21,Table_SourceData_CropAttributes[Crop type],Table_SourceData_CropAttributes[N content above-ground])</f>
        <v>6.0000000000000001E-3</v>
      </c>
      <c r="L19" s="8"/>
      <c r="M19" s="8"/>
      <c r="N19" s="8"/>
      <c r="O19" s="8"/>
      <c r="P19" s="8"/>
      <c r="Q19" s="8"/>
    </row>
    <row r="20" spans="1:20" ht="20.100000000000001" customHeight="1" x14ac:dyDescent="0.2">
      <c r="A20" s="5" t="str">
        <f>HYPERLINK("#'Input - Data quality'!A1", "Data quality")</f>
        <v>Data quality</v>
      </c>
      <c r="D20" s="150" t="s">
        <v>1191</v>
      </c>
      <c r="E20" s="147" t="s">
        <v>1192</v>
      </c>
      <c r="F20" s="159"/>
      <c r="G20" s="150" t="s">
        <v>1194</v>
      </c>
      <c r="H20" s="142" t="s">
        <v>1036</v>
      </c>
      <c r="I20" s="150" cm="1">
        <f t="array" ref="I20">Common_InputFunctions.Utility_LookupValueInTableNumber($I$21,Table_SourceData_CropAttributes[Crop type],Table_SourceData_CropAttributes[N content below-ground])</f>
        <v>0.01</v>
      </c>
      <c r="L20" s="8"/>
      <c r="M20" s="90" t="s">
        <v>736</v>
      </c>
      <c r="N20" s="85">
        <f>(IFERROR((Q14 * Q15) / (Q16 * Q17), 0))</f>
        <v>0.11</v>
      </c>
    </row>
    <row r="21" spans="1:20" ht="20.100000000000001" customHeight="1" x14ac:dyDescent="0.2">
      <c r="D21" s="150" t="s">
        <v>1069</v>
      </c>
      <c r="E21" s="147" t="s">
        <v>179</v>
      </c>
      <c r="F21" s="159"/>
      <c r="G21" s="150"/>
      <c r="H21" s="141" t="s">
        <v>1034</v>
      </c>
      <c r="I21" s="150" t="str">
        <f>X_Cell_Crop_CropType</f>
        <v>Wheat</v>
      </c>
      <c r="L21" s="8"/>
      <c r="M21" s="8"/>
      <c r="N21" s="8"/>
      <c r="O21" s="8"/>
      <c r="P21" s="8"/>
      <c r="Q21" s="8"/>
    </row>
    <row r="22" spans="1:20" ht="20.100000000000001" customHeight="1" x14ac:dyDescent="0.2">
      <c r="D22" s="150" t="s">
        <v>98</v>
      </c>
      <c r="E22" s="147" t="s">
        <v>613</v>
      </c>
      <c r="F22" s="159"/>
      <c r="G22" s="150"/>
      <c r="H22" s="141" t="s">
        <v>1034</v>
      </c>
      <c r="I22" s="150" t="str">
        <f>Common_InputFunctions.Utility_ConvertStateCommonNameToAbbreviation(X_Cell_Site_State,Table_AustralianStates[Common Name],Table_AustralianStates[Abbreviation])</f>
        <v>WA</v>
      </c>
      <c r="L22" s="8"/>
      <c r="M22" s="8"/>
      <c r="N22" s="8"/>
      <c r="O22" s="8"/>
      <c r="P22" s="8"/>
      <c r="Q22" s="8"/>
    </row>
    <row r="23" spans="1:20" ht="20.100000000000001" customHeight="1" x14ac:dyDescent="0.2">
      <c r="A23" s="6" t="s">
        <v>2</v>
      </c>
      <c r="D23" s="8"/>
      <c r="E23" s="8"/>
      <c r="F23" s="8"/>
      <c r="G23" s="8"/>
      <c r="H23" s="8"/>
      <c r="L23" s="85"/>
      <c r="M23" s="85"/>
      <c r="N23" s="85"/>
      <c r="O23" s="85"/>
      <c r="P23" s="85"/>
      <c r="Q23" s="85"/>
      <c r="R23" s="85"/>
      <c r="S23" s="85"/>
      <c r="T23" s="85"/>
    </row>
    <row r="24" spans="1:20" ht="20.100000000000001" customHeight="1" x14ac:dyDescent="0.2">
      <c r="A24" s="5" t="str">
        <f>HYPERLINK("#'5.1.1.1-2 Inorganic fert N2O'!A1", "5.1.1.1-2 Inorganic fert N2O")</f>
        <v>5.1.1.1-2 Inorganic fert N2O</v>
      </c>
      <c r="D24" s="90" t="s">
        <v>737</v>
      </c>
      <c r="E24" s="222">
        <f>((I13 * I14 * (1 - I16 - I17) * I18 * I19) + (I13 * I14 * I15 * I18 * I20))</f>
        <v>85008</v>
      </c>
      <c r="F24" s="156" t="str">
        <f>$E$11</f>
        <v>kg N</v>
      </c>
      <c r="M24" s="2" t="s">
        <v>1172</v>
      </c>
      <c r="N24" s="8"/>
      <c r="O24" s="8"/>
      <c r="P24" s="8"/>
      <c r="Q24" s="8"/>
    </row>
    <row r="25" spans="1:20" ht="20.100000000000001" customHeight="1" x14ac:dyDescent="0.2">
      <c r="A25" s="5" t="str">
        <f>HYPERLINK("#'5.1.1.3-4 Inorganic fert CO2'!A1", "5.1.1.3-4 Inorganic fert CO2")</f>
        <v>5.1.1.3-4 Inorganic fert CO2</v>
      </c>
      <c r="D25" s="77"/>
      <c r="E25" s="8"/>
      <c r="F25" s="8"/>
      <c r="G25" s="8"/>
      <c r="H25" s="8"/>
      <c r="L25" s="8"/>
      <c r="M25" s="17" t="s">
        <v>1173</v>
      </c>
      <c r="N25" s="8"/>
      <c r="O25" s="8"/>
      <c r="P25" s="8"/>
      <c r="Q25" s="8"/>
    </row>
    <row r="26" spans="1:20" ht="20.100000000000001" customHeight="1" x14ac:dyDescent="0.2">
      <c r="A26" s="5" t="str">
        <f>HYPERLINK("#'5.2.1.1-2 Organic Fert N2O'!A1", "5.2.1.1-2 Organic fert N2O")</f>
        <v>5.2.1.1-2 Organic fert N2O</v>
      </c>
      <c r="D26" s="8"/>
      <c r="E26" s="8"/>
      <c r="F26" s="8"/>
      <c r="G26" s="8"/>
      <c r="H26" s="8"/>
      <c r="L26" s="8"/>
      <c r="M26" s="134"/>
      <c r="N26" s="134"/>
      <c r="O26" s="8"/>
      <c r="P26" s="8"/>
      <c r="Q26" s="8"/>
    </row>
    <row r="27" spans="1:20" ht="20.100000000000001" customHeight="1" x14ac:dyDescent="0.2">
      <c r="A27" s="5" t="str">
        <f>HYPERLINK("#'5.3.1.1-2 Lime CO2'!A1", "5.3.1.1-2 Lime CO2")</f>
        <v>5.3.1.1-2 Lime CO2</v>
      </c>
      <c r="D27" s="223"/>
      <c r="E27" s="223"/>
      <c r="F27" s="223"/>
      <c r="G27" s="223"/>
      <c r="H27" s="223"/>
      <c r="I27" s="223"/>
      <c r="L27" s="8"/>
      <c r="O27" s="8"/>
      <c r="P27" s="8"/>
      <c r="Q27" s="8"/>
    </row>
    <row r="28" spans="1:20" ht="20.100000000000001" customHeight="1" x14ac:dyDescent="0.2">
      <c r="A28" s="5" t="str">
        <f>HYPERLINK("#'5.4.1.1-4 Atmos deposition'!A1", "5.4.1.1-4 Atmos. deposition")</f>
        <v>5.4.1.1-4 Atmos. deposition</v>
      </c>
      <c r="D28" s="2" t="s">
        <v>1199</v>
      </c>
      <c r="E28" s="8"/>
      <c r="F28" s="8"/>
      <c r="G28" s="8"/>
      <c r="H28" s="8"/>
      <c r="J28" s="8"/>
      <c r="L28" s="8"/>
      <c r="M28" s="8"/>
      <c r="N28" s="8"/>
      <c r="O28" s="8"/>
      <c r="P28" s="8"/>
      <c r="Q28" s="8"/>
    </row>
    <row r="29" spans="1:20" ht="20.100000000000001" customHeight="1" x14ac:dyDescent="0.2">
      <c r="A29" s="5" t="str">
        <f>HYPERLINK("#'5.5.1.1-2 Leaching and runoff'!A1", "5.5.1.1-2 Leaching &amp; runoff")</f>
        <v>5.5.1.1-2 Leaching &amp; runoff</v>
      </c>
      <c r="D29" s="17" t="s">
        <v>1200</v>
      </c>
      <c r="E29" s="8"/>
      <c r="F29" s="8"/>
      <c r="G29" s="8"/>
      <c r="H29" s="8"/>
      <c r="J29" s="8"/>
      <c r="L29" s="8"/>
      <c r="M29" s="77" t="s">
        <v>371</v>
      </c>
      <c r="N29" s="1" t="s">
        <v>1176</v>
      </c>
      <c r="O29" s="8"/>
      <c r="P29" s="8"/>
      <c r="Q29" s="8"/>
    </row>
    <row r="30" spans="1:20" ht="20.100000000000001" customHeight="1" x14ac:dyDescent="0.2">
      <c r="A30" s="144" t="str">
        <f>HYPERLINK("#'6.1.1.1-2 Crop residue N2O'!A1", "6.1.1.1-2 Crop residue N2O")</f>
        <v>6.1.1.1-2 Crop residue N2O</v>
      </c>
      <c r="D30" s="134"/>
      <c r="E30" s="134"/>
      <c r="F30" s="8"/>
      <c r="G30" s="8"/>
      <c r="H30" s="8"/>
      <c r="L30" s="8"/>
      <c r="M30" s="77" t="s">
        <v>118</v>
      </c>
      <c r="N30" s="9" t="s">
        <v>1029</v>
      </c>
      <c r="O30" s="8"/>
      <c r="P30" s="8"/>
      <c r="Q30" s="8"/>
    </row>
    <row r="31" spans="1:20" ht="20.100000000000001" customHeight="1" x14ac:dyDescent="0.2">
      <c r="A31" s="5" t="str">
        <f>HYPERLINK("#'6.3.1.1-2 Leach runoff crop'!A1", "6.3.1.1-2 Leach &amp; runoff (crop)")</f>
        <v>6.3.1.1-2 Leach &amp; runoff (crop)</v>
      </c>
      <c r="F31" s="8"/>
      <c r="G31" s="8"/>
      <c r="H31" s="8"/>
      <c r="J31" s="8"/>
      <c r="L31" s="8"/>
      <c r="M31" s="8"/>
      <c r="N31" s="8"/>
      <c r="O31" s="8"/>
      <c r="P31" s="8"/>
    </row>
    <row r="32" spans="1:20" ht="20.100000000000001" customHeight="1" x14ac:dyDescent="0.2">
      <c r="A32" s="5" t="str">
        <f>HYPERLINK("#'6.4.1.1-2 Residue burning'!A1", "6.4.1.1-2 Residue burning")</f>
        <v>6.4.1.1-2 Residue burning</v>
      </c>
      <c r="D32" s="8"/>
      <c r="E32" s="8"/>
      <c r="F32" s="8"/>
      <c r="G32" s="8"/>
      <c r="H32" s="8"/>
      <c r="J32" s="8"/>
      <c r="L32" s="8"/>
      <c r="M32" s="150" t="s">
        <v>1178</v>
      </c>
      <c r="N32" s="147" t="s">
        <v>1179</v>
      </c>
      <c r="O32" s="159"/>
      <c r="P32" s="150" t="s">
        <v>370</v>
      </c>
      <c r="Q32" s="141" t="s">
        <v>1034</v>
      </c>
      <c r="R32" s="150"/>
    </row>
    <row r="33" spans="1:20" ht="20.100000000000001" customHeight="1" x14ac:dyDescent="0.2">
      <c r="A33" s="5" t="str">
        <f>HYPERLINK("#'8.1.1.1-2 Transport fuel'!A1", "8.1.1.1-2 Transport fuel")</f>
        <v>8.1.1.1-2 Transport fuel</v>
      </c>
      <c r="D33" s="77" t="s">
        <v>371</v>
      </c>
      <c r="E33" s="1" t="s">
        <v>967</v>
      </c>
      <c r="F33" s="8"/>
      <c r="G33" s="8"/>
      <c r="H33" s="8"/>
      <c r="J33" s="8"/>
      <c r="M33" s="150" t="s">
        <v>1180</v>
      </c>
      <c r="N33" s="147" t="s">
        <v>1181</v>
      </c>
      <c r="O33" s="159"/>
      <c r="P33" s="150"/>
      <c r="Q33" s="142" t="s">
        <v>1036</v>
      </c>
      <c r="R33" s="150"/>
    </row>
    <row r="34" spans="1:20" ht="20.100000000000001" customHeight="1" x14ac:dyDescent="0.2">
      <c r="A34" s="5" t="str">
        <f>HYPERLINK("#'8.2.1.1-2 Stationary fuel'!A1", "8.2.1.1-2 Stationary fuel")</f>
        <v>8.2.1.1-2 Stationary fuel</v>
      </c>
      <c r="D34" s="77" t="s">
        <v>118</v>
      </c>
      <c r="E34" s="9" t="s">
        <v>12</v>
      </c>
      <c r="F34" s="8"/>
      <c r="G34" s="8"/>
      <c r="H34" s="8"/>
      <c r="J34" s="8"/>
      <c r="M34" s="150" t="s">
        <v>1182</v>
      </c>
      <c r="N34" s="147" t="s">
        <v>1183</v>
      </c>
      <c r="O34" s="159"/>
      <c r="P34" s="150"/>
      <c r="Q34" s="142" t="s">
        <v>1036</v>
      </c>
      <c r="R34" s="150"/>
    </row>
    <row r="35" spans="1:20" ht="20.100000000000001" customHeight="1" x14ac:dyDescent="0.2">
      <c r="A35" s="5" t="str">
        <f>HYPERLINK("#'10.1.1-2 Solid waste treatment'!A1", "10.1.1.1-2 Solid waste")</f>
        <v>10.1.1.1-2 Solid waste</v>
      </c>
      <c r="D35" s="8"/>
      <c r="E35" s="8"/>
      <c r="F35" s="8"/>
      <c r="G35" s="8"/>
      <c r="H35" s="8"/>
      <c r="J35" s="8"/>
      <c r="M35" s="150" t="s">
        <v>1184</v>
      </c>
      <c r="N35" s="147" t="s">
        <v>1185</v>
      </c>
      <c r="O35" s="159"/>
      <c r="P35" s="150" t="s">
        <v>1120</v>
      </c>
      <c r="Q35" s="141" t="s">
        <v>1034</v>
      </c>
      <c r="R35" s="150"/>
    </row>
    <row r="36" spans="1:20" ht="20.100000000000001" customHeight="1" x14ac:dyDescent="0.2">
      <c r="A36" s="5" t="str">
        <f>HYPERLINK("#'14.1.1-2 Purchased electricity'!A1", "14.1.1-2 Purchased electricity")</f>
        <v>14.1.1-2 Purchased electricity</v>
      </c>
      <c r="D36" s="150" t="s">
        <v>1176</v>
      </c>
      <c r="E36" s="147" t="s">
        <v>1202</v>
      </c>
      <c r="F36" s="159"/>
      <c r="G36" s="150" t="s">
        <v>1029</v>
      </c>
      <c r="H36" s="142" t="s">
        <v>1205</v>
      </c>
      <c r="I36" s="150">
        <f>VEERG_6_1_1_1__2__MassOfNitrogenInCropResidues_Result_Method1</f>
        <v>85008</v>
      </c>
      <c r="J36" s="8"/>
      <c r="M36" s="150" t="s">
        <v>1177</v>
      </c>
      <c r="N36" s="147" t="s">
        <v>1186</v>
      </c>
      <c r="O36" s="159"/>
      <c r="P36" s="150" t="s">
        <v>1120</v>
      </c>
      <c r="Q36" s="142" t="s">
        <v>1201</v>
      </c>
      <c r="R36" s="150">
        <f>VEERG_6_1_1_2__1__FractionOfCropResidueRemovedBaled_Result</f>
        <v>0.11</v>
      </c>
    </row>
    <row r="37" spans="1:20" ht="20.100000000000001" customHeight="1" x14ac:dyDescent="0.2">
      <c r="A37" s="5" t="str">
        <f>HYPERLINK("#'15 Scope 3'!A1", "15 Scope 3")</f>
        <v>15 Scope 3</v>
      </c>
      <c r="D37" s="150" t="s">
        <v>1203</v>
      </c>
      <c r="E37" s="147" t="s">
        <v>1204</v>
      </c>
      <c r="F37" s="159"/>
      <c r="G37" s="150" t="s">
        <v>1103</v>
      </c>
      <c r="H37" s="142" t="s">
        <v>1036</v>
      </c>
      <c r="I37" s="150" cm="1">
        <f t="array" ref="I37">Common_InputFunctions.Utility_LookupValueInTableNumber(I40,Table_SourceData_N2OEFOrganicFert[Climate zone type i],Table_SourceData_N2OEFOrganicFert[EF i N2O])</f>
        <v>5.0000000000000001E-3</v>
      </c>
      <c r="J37" s="8"/>
      <c r="M37" s="150" t="s">
        <v>1187</v>
      </c>
      <c r="N37" s="147" t="s">
        <v>1188</v>
      </c>
      <c r="O37" s="159"/>
      <c r="P37" s="150" t="s">
        <v>1193</v>
      </c>
      <c r="Q37" s="142" t="s">
        <v>1036</v>
      </c>
      <c r="R37" s="150"/>
    </row>
    <row r="38" spans="1:20" ht="20.100000000000001" customHeight="1" x14ac:dyDescent="0.2">
      <c r="D38" s="150" t="s">
        <v>1051</v>
      </c>
      <c r="E38" s="147" t="s">
        <v>1052</v>
      </c>
      <c r="F38" s="159"/>
      <c r="G38" s="150" t="s">
        <v>1206</v>
      </c>
      <c r="H38" s="142" t="s">
        <v>1036</v>
      </c>
      <c r="I38" s="150">
        <f>Common_InputFunctions.Utility_LookupValueInTableNumber("N2O",Table_GasToMolecularConversionFactor[Gas],Table_GasToMolecularConversionFactor[Conversion factor combined])</f>
        <v>1.5714285714285714</v>
      </c>
      <c r="J38" s="8"/>
      <c r="M38" s="150" t="s">
        <v>1189</v>
      </c>
      <c r="N38" s="147" t="s">
        <v>1190</v>
      </c>
      <c r="O38" s="159"/>
      <c r="P38" s="150" t="s">
        <v>1194</v>
      </c>
      <c r="Q38" s="142" t="s">
        <v>1036</v>
      </c>
      <c r="R38" s="150"/>
    </row>
    <row r="39" spans="1:20" ht="20.100000000000001" customHeight="1" x14ac:dyDescent="0.2">
      <c r="D39" s="150" t="s">
        <v>1069</v>
      </c>
      <c r="E39" s="147" t="s">
        <v>179</v>
      </c>
      <c r="F39" s="159"/>
      <c r="G39" s="150"/>
      <c r="H39" s="141" t="s">
        <v>1034</v>
      </c>
      <c r="I39" s="150" t="str">
        <f>X_Cell_Crop_CropType</f>
        <v>Wheat</v>
      </c>
      <c r="J39" s="8"/>
      <c r="M39" s="150" t="s">
        <v>1191</v>
      </c>
      <c r="N39" s="147" t="s">
        <v>1192</v>
      </c>
      <c r="O39" s="159"/>
      <c r="P39" s="150" t="s">
        <v>1194</v>
      </c>
      <c r="Q39" s="142" t="s">
        <v>1036</v>
      </c>
      <c r="R39" s="150"/>
    </row>
    <row r="40" spans="1:20" ht="20.100000000000001" customHeight="1" x14ac:dyDescent="0.2">
      <c r="A40" s="82" t="s">
        <v>1</v>
      </c>
      <c r="D40" s="150" t="s">
        <v>1101</v>
      </c>
      <c r="E40" s="147" t="s">
        <v>114</v>
      </c>
      <c r="F40" s="159"/>
      <c r="G40" s="150"/>
      <c r="H40" s="141" t="s">
        <v>1034</v>
      </c>
      <c r="I40" s="150" t="str">
        <f>X_Cell_Site_WetOrDryClimateZone</f>
        <v>Dry climate zone</v>
      </c>
      <c r="M40" s="150" t="s">
        <v>1069</v>
      </c>
      <c r="N40" s="147" t="s">
        <v>179</v>
      </c>
      <c r="O40" s="159"/>
      <c r="P40" s="150"/>
      <c r="Q40" s="141" t="s">
        <v>1034</v>
      </c>
      <c r="R40" s="150"/>
    </row>
    <row r="41" spans="1:20" ht="20.100000000000001" customHeight="1" x14ac:dyDescent="0.2">
      <c r="A41" s="5" t="str">
        <f>HYPERLINK("#'Constants - Ag Residue'!A1", "Constants - Ag residue")</f>
        <v>Constants - Ag residue</v>
      </c>
      <c r="D41" s="8"/>
      <c r="E41" s="8"/>
      <c r="F41" s="8"/>
      <c r="G41" s="8"/>
      <c r="H41" s="8"/>
      <c r="M41" s="150" t="s">
        <v>98</v>
      </c>
      <c r="N41" s="147" t="s">
        <v>613</v>
      </c>
      <c r="O41" s="159"/>
      <c r="P41" s="150"/>
      <c r="Q41" s="141" t="s">
        <v>1034</v>
      </c>
      <c r="R41" s="150"/>
    </row>
    <row r="42" spans="1:20" ht="20.100000000000001" customHeight="1" x14ac:dyDescent="0.2">
      <c r="A42" s="5" t="str">
        <f>HYPERLINK("#'Constants - Electricity'!A1", "Constants - Electricity")</f>
        <v>Constants - Electricity</v>
      </c>
      <c r="D42" s="87" t="s">
        <v>394</v>
      </c>
      <c r="E42" s="88">
        <f>(I36 * I37 * I38 * 10 ^ (-3))</f>
        <v>0.66792000000000007</v>
      </c>
      <c r="F42" s="97" t="str">
        <f>$E$34</f>
        <v>t N2O</v>
      </c>
      <c r="H42" s="8"/>
      <c r="M42" s="8"/>
      <c r="N42" s="8"/>
      <c r="O42" s="8"/>
      <c r="P42" s="8"/>
      <c r="Q42" s="8"/>
    </row>
    <row r="43" spans="1:20" ht="20.100000000000001" customHeight="1" x14ac:dyDescent="0.2">
      <c r="A43" s="5" t="str">
        <f>HYPERLINK("#'Constants - Fertiliser'!A1", "Constants - Fertiliser")</f>
        <v>Constants - Fertiliser</v>
      </c>
      <c r="H43" s="8"/>
      <c r="M43" s="90" t="s">
        <v>737</v>
      </c>
      <c r="N43" s="222">
        <f>((I13 * I14 * (1 - I16 - R36) * I18 * I19) + (I13 * I14 * I15 * I18 * I20))</f>
        <v>85008</v>
      </c>
      <c r="O43" s="156" t="str">
        <f>$E$11</f>
        <v>kg N</v>
      </c>
    </row>
    <row r="44" spans="1:20" ht="20.100000000000001" customHeight="1" x14ac:dyDescent="0.2">
      <c r="A44" s="5" t="str">
        <f>HYPERLINK("#'Constants - Fuel'!A1", "Constants - Fuel")</f>
        <v>Constants - Fuel</v>
      </c>
      <c r="D44" s="139" t="str" cm="1">
        <f t="array" ref="D44:E45">Common_Equations.Common_ConvertN2OToCO2e_Arguments()</f>
        <v>EN2O</v>
      </c>
      <c r="E44" s="140" t="str">
        <v>Nitrous oxide emissions (t N2O)</v>
      </c>
      <c r="F44" s="149"/>
      <c r="G44" s="15">
        <f>VEERG_6_1_1_1__1__NitrousOxideEmissionsFromCropResidues_Result_Method1</f>
        <v>0.66792000000000007</v>
      </c>
      <c r="M44" s="77"/>
      <c r="N44" s="8"/>
      <c r="O44" s="8"/>
      <c r="P44" s="8"/>
      <c r="Q44" s="8"/>
    </row>
    <row r="45" spans="1:20" ht="20.100000000000001" customHeight="1" x14ac:dyDescent="0.2">
      <c r="A45" s="5" t="str">
        <f>HYPERLINK("#'Constants - Scope 3'!A1", "Constants - Scope 3")</f>
        <v>Constants - Scope 3</v>
      </c>
      <c r="D45" s="139" t="str">
        <v>GWPN2O</v>
      </c>
      <c r="E45" s="140" t="str">
        <v>Global warming potential for nitrous oxide (t CO2-e / t N2O)</v>
      </c>
      <c r="F45" s="149"/>
      <c r="G45" s="15">
        <f>Common_InputFunctions.Utility_LookupValueInTableNumber("N2O",Table_GWPData[Gas],Table_GWPData[CO2-e factor])</f>
        <v>265</v>
      </c>
      <c r="J45" s="8"/>
      <c r="M45" s="8"/>
      <c r="N45" s="8"/>
      <c r="O45" s="8"/>
      <c r="P45" s="8"/>
      <c r="Q45" s="8"/>
    </row>
    <row r="46" spans="1:20" ht="20.100000000000001" customHeight="1" x14ac:dyDescent="0.2">
      <c r="A46" s="5" t="str">
        <f>HYPERLINK("#'Constants - Solid Waste'!A1", "Constants - Solid Waste")</f>
        <v>Constants - Solid Waste</v>
      </c>
      <c r="H46" s="8"/>
      <c r="J46" s="8"/>
      <c r="L46" s="223"/>
      <c r="M46" s="223"/>
      <c r="N46" s="223"/>
      <c r="O46" s="223"/>
      <c r="P46" s="223"/>
      <c r="Q46" s="223"/>
      <c r="R46" s="223"/>
      <c r="S46" s="223"/>
      <c r="T46" s="223"/>
    </row>
    <row r="47" spans="1:20" ht="20.100000000000001" customHeight="1" x14ac:dyDescent="0.2">
      <c r="A47" s="5" t="str">
        <f>HYPERLINK("#'Constants - Common'!A1", "Constants - Common")</f>
        <v>Constants - Common</v>
      </c>
      <c r="D47" s="85" t="s">
        <v>395</v>
      </c>
      <c r="E47" s="85" cm="1">
        <f t="array" ref="E47">Common_Equations.Common_ConvertN2OToCO2e(G44,G45)</f>
        <v>176.99880000000002</v>
      </c>
      <c r="F47" s="91" t="str" cm="1">
        <f t="array" ref="F47">Common_Equations.Common_ConvertN2OToCO2e_Unit()</f>
        <v>t CO2e</v>
      </c>
      <c r="H47" s="8"/>
      <c r="J47" s="8"/>
      <c r="L47" s="8"/>
      <c r="M47" s="2" t="s">
        <v>1199</v>
      </c>
      <c r="N47" s="8"/>
      <c r="O47" s="8"/>
      <c r="P47" s="8"/>
      <c r="Q47" s="8"/>
    </row>
    <row r="48" spans="1:20" ht="20.100000000000001" customHeight="1" x14ac:dyDescent="0.2">
      <c r="A48" s="5" t="str">
        <f>HYPERLINK("#'Constants - Common Livestock'!A1", "Constants - Common Livestock")</f>
        <v>Constants - Common Livestock</v>
      </c>
      <c r="D48" s="8"/>
      <c r="E48" s="8"/>
      <c r="F48" s="224"/>
      <c r="G48" s="8"/>
      <c r="H48" s="8"/>
      <c r="I48" s="8"/>
      <c r="J48" s="8"/>
      <c r="M48" s="17" t="s">
        <v>1200</v>
      </c>
      <c r="N48" s="8"/>
      <c r="O48" s="8"/>
      <c r="P48" s="8"/>
      <c r="Q48" s="8"/>
    </row>
    <row r="49" spans="1:18" ht="20.100000000000001" customHeight="1" x14ac:dyDescent="0.2">
      <c r="J49" s="8"/>
      <c r="L49" s="8"/>
      <c r="M49" s="134"/>
      <c r="N49" s="134"/>
      <c r="O49" s="8"/>
      <c r="P49" s="8"/>
      <c r="Q49" s="8"/>
    </row>
    <row r="50" spans="1:18" ht="20.100000000000001" customHeight="1" x14ac:dyDescent="0.2">
      <c r="J50" s="8"/>
      <c r="L50" s="8"/>
      <c r="O50" s="8"/>
      <c r="P50" s="8"/>
      <c r="Q50" s="8"/>
    </row>
    <row r="51" spans="1:18" ht="20.100000000000001" customHeight="1" x14ac:dyDescent="0.2">
      <c r="J51" s="8"/>
      <c r="L51" s="8"/>
      <c r="M51" s="8"/>
      <c r="N51" s="8"/>
      <c r="O51" s="8"/>
      <c r="P51" s="8"/>
      <c r="Q51" s="8"/>
    </row>
    <row r="52" spans="1:18" ht="20.100000000000001" customHeight="1" x14ac:dyDescent="0.2">
      <c r="J52" s="8"/>
      <c r="L52" s="8"/>
      <c r="M52" s="77" t="s">
        <v>371</v>
      </c>
      <c r="N52" s="1" t="s">
        <v>967</v>
      </c>
      <c r="O52" s="8"/>
      <c r="P52" s="8"/>
      <c r="Q52" s="8"/>
    </row>
    <row r="53" spans="1:18" ht="20.100000000000001" customHeight="1" x14ac:dyDescent="0.2">
      <c r="L53" s="8"/>
      <c r="M53" s="77" t="s">
        <v>118</v>
      </c>
      <c r="N53" s="9" t="s">
        <v>12</v>
      </c>
      <c r="O53" s="8"/>
      <c r="P53" s="8"/>
      <c r="Q53" s="8"/>
    </row>
    <row r="54" spans="1:18" ht="20.100000000000001" customHeight="1" x14ac:dyDescent="0.2">
      <c r="L54" s="8"/>
      <c r="M54" s="8"/>
      <c r="N54" s="8"/>
      <c r="O54" s="8"/>
      <c r="P54" s="8"/>
      <c r="Q54" s="8"/>
    </row>
    <row r="55" spans="1:18" ht="20.100000000000001" customHeight="1" x14ac:dyDescent="0.2">
      <c r="L55" s="8"/>
      <c r="M55" s="150" t="s">
        <v>1176</v>
      </c>
      <c r="N55" s="147" t="s">
        <v>1202</v>
      </c>
      <c r="O55" s="159"/>
      <c r="P55" s="150" t="s">
        <v>1029</v>
      </c>
      <c r="Q55" s="142" t="s">
        <v>1205</v>
      </c>
      <c r="R55" s="150">
        <f>VEERG_6_1_1_1__2__MassOfNitrogenInCropResidues_Result_Method2</f>
        <v>85008</v>
      </c>
    </row>
    <row r="56" spans="1:18" ht="20.100000000000001" customHeight="1" x14ac:dyDescent="0.2">
      <c r="L56" s="8"/>
      <c r="M56" s="150" t="s">
        <v>1203</v>
      </c>
      <c r="N56" s="147" t="s">
        <v>1204</v>
      </c>
      <c r="O56" s="159"/>
      <c r="P56" s="150" t="s">
        <v>1103</v>
      </c>
      <c r="Q56" s="142" t="s">
        <v>1036</v>
      </c>
      <c r="R56" s="150" cm="1">
        <f t="array" ref="R56">Common_InputFunctions.Utility_LookupValueInTableNumber(R59,Table_SourceData_N2OEFOrganicFert[Climate zone type i],Table_SourceData_N2OEFOrganicFert[EF i N2O])</f>
        <v>5.0000000000000001E-3</v>
      </c>
    </row>
    <row r="57" spans="1:18" ht="20.100000000000001" customHeight="1" x14ac:dyDescent="0.2">
      <c r="L57" s="8"/>
      <c r="M57" s="150" t="s">
        <v>1051</v>
      </c>
      <c r="N57" s="147" t="s">
        <v>1052</v>
      </c>
      <c r="O57" s="159"/>
      <c r="P57" s="150" t="s">
        <v>1206</v>
      </c>
      <c r="Q57" s="142" t="s">
        <v>1036</v>
      </c>
      <c r="R57" s="150">
        <f>Common_InputFunctions.Utility_LookupValueInTableNumber("N2O",Table_GasToMolecularConversionFactor[Gas],Table_GasToMolecularConversionFactor[Conversion factor combined])</f>
        <v>1.5714285714285714</v>
      </c>
    </row>
    <row r="58" spans="1:18" ht="20.100000000000001" customHeight="1" x14ac:dyDescent="0.2">
      <c r="L58" s="8"/>
      <c r="M58" s="150" t="s">
        <v>1069</v>
      </c>
      <c r="N58" s="147" t="s">
        <v>179</v>
      </c>
      <c r="O58" s="159"/>
      <c r="P58" s="150"/>
      <c r="Q58" s="141" t="s">
        <v>1034</v>
      </c>
      <c r="R58" s="150" t="str">
        <f>X_Cell_Crop_CropType</f>
        <v>Wheat</v>
      </c>
    </row>
    <row r="59" spans="1:18" ht="20.100000000000001" customHeight="1" x14ac:dyDescent="0.2">
      <c r="A59" s="81" t="str">
        <f>HYPERLINK("#A1", "▲ Back to top")</f>
        <v>▲ Back to top</v>
      </c>
      <c r="L59" s="8"/>
      <c r="M59" s="150" t="s">
        <v>1101</v>
      </c>
      <c r="N59" s="147" t="s">
        <v>114</v>
      </c>
      <c r="O59" s="159"/>
      <c r="P59" s="150"/>
      <c r="Q59" s="141" t="s">
        <v>1034</v>
      </c>
      <c r="R59" s="150" t="str">
        <f>X_Cell_Site_WetOrDryClimateZone</f>
        <v>Dry climate zone</v>
      </c>
    </row>
    <row r="60" spans="1:18" ht="20.100000000000001" customHeight="1" x14ac:dyDescent="0.2">
      <c r="L60" s="8"/>
      <c r="M60" s="8"/>
      <c r="N60" s="8"/>
      <c r="O60" s="8"/>
      <c r="P60" s="8"/>
      <c r="Q60" s="8"/>
    </row>
    <row r="61" spans="1:18" ht="20.100000000000001" customHeight="1" x14ac:dyDescent="0.2">
      <c r="L61" s="8"/>
      <c r="M61" s="87" t="s">
        <v>394</v>
      </c>
      <c r="N61" s="88">
        <f>(R55 * R56 * R57 * 10 ^ (-3))</f>
        <v>0.66792000000000007</v>
      </c>
      <c r="O61" s="97" t="str">
        <f>$E$34</f>
        <v>t N2O</v>
      </c>
      <c r="Q61" s="8"/>
    </row>
    <row r="62" spans="1:18" ht="20.100000000000001" customHeight="1" x14ac:dyDescent="0.2">
      <c r="L62" s="8"/>
      <c r="Q62" s="8"/>
    </row>
    <row r="63" spans="1:18" ht="20.100000000000001" customHeight="1" x14ac:dyDescent="0.2">
      <c r="L63" s="8"/>
      <c r="M63" s="139" t="str" cm="1">
        <f t="array" ref="M63:N64">Common_Equations.Common_ConvertN2OToCO2e_Arguments()</f>
        <v>EN2O</v>
      </c>
      <c r="N63" s="140" t="str">
        <v>Nitrous oxide emissions (t N2O)</v>
      </c>
      <c r="O63" s="149"/>
      <c r="P63" s="15">
        <f>VEERG_6_1_1_1__1__NitrousOxideEmissionsFromCropResidues_Result_Method2</f>
        <v>0.66792000000000007</v>
      </c>
    </row>
    <row r="64" spans="1:18" ht="20.100000000000001" customHeight="1" x14ac:dyDescent="0.2">
      <c r="L64" s="8"/>
      <c r="M64" s="139" t="str">
        <v>GWPN2O</v>
      </c>
      <c r="N64" s="140" t="str">
        <v>Global warming potential for nitrous oxide (t CO2-e / t N2O)</v>
      </c>
      <c r="O64" s="149"/>
      <c r="P64" s="15">
        <f>Common_InputFunctions.Utility_LookupValueInTableNumber("N2O",Table_GWPData[Gas],Table_GWPData[CO2-e factor])</f>
        <v>265</v>
      </c>
    </row>
    <row r="65" spans="12:18" ht="20.100000000000001" customHeight="1" x14ac:dyDescent="0.2">
      <c r="L65" s="8"/>
      <c r="Q65" s="8"/>
    </row>
    <row r="66" spans="12:18" ht="20.100000000000001" customHeight="1" x14ac:dyDescent="0.2">
      <c r="L66" s="8"/>
      <c r="M66" s="85" t="s">
        <v>395</v>
      </c>
      <c r="N66" s="85" cm="1">
        <f t="array" ref="N66">Common_Equations.Common_ConvertN2OToCO2e(P63,P64)</f>
        <v>176.99880000000002</v>
      </c>
      <c r="O66" s="91" t="str" cm="1">
        <f t="array" ref="O66">Common_Equations.Common_ConvertN2OToCO2e_Unit()</f>
        <v>t CO2e</v>
      </c>
      <c r="Q66" s="8"/>
    </row>
    <row r="67" spans="12:18" ht="20.100000000000001" customHeight="1" x14ac:dyDescent="0.2">
      <c r="L67" s="8"/>
      <c r="M67" s="8"/>
      <c r="N67" s="8"/>
      <c r="O67" s="224"/>
      <c r="P67" s="8"/>
      <c r="Q67" s="8"/>
      <c r="R67" s="8"/>
    </row>
    <row r="68" spans="12:18" ht="20.100000000000001" customHeight="1" x14ac:dyDescent="0.2">
      <c r="L68" s="8"/>
    </row>
    <row r="69" spans="12:18" ht="20.100000000000001" customHeight="1" x14ac:dyDescent="0.2">
      <c r="L69" s="8"/>
    </row>
    <row r="86" spans="12:12" ht="20.100000000000001" customHeight="1" x14ac:dyDescent="0.2">
      <c r="L86" s="8"/>
    </row>
    <row r="341" spans="8:8" ht="20.100000000000001" customHeight="1" x14ac:dyDescent="0.2">
      <c r="H341" s="8"/>
    </row>
    <row r="342" spans="8:8" ht="20.100000000000001" customHeight="1" x14ac:dyDescent="0.2">
      <c r="H342" s="8"/>
    </row>
  </sheetData>
  <dataValidations count="1">
    <dataValidation operator="equal" allowBlank="1" showInputMessage="1" showErrorMessage="1" sqref="N172:S172 O150:R150 E269 N166:S166 O143:S144 E228 O167:S167 G132 I129:I133 F134:I134 F129:F132 H128:H132 G129 F148:I148 I149 F150:I150 R149:S149" xr:uid="{CF0BB989-544D-45FC-91B0-C89CEF24966E}"/>
  </dataValidations>
  <pageMargins left="0.7" right="0.7" top="0.75" bottom="0.75" header="0.3" footer="0.3"/>
  <pageSetup paperSize="9"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9E970-02B7-4A60-982C-EAEEBDB6EEFE}">
  <sheetPr>
    <tabColor rgb="FF008000"/>
  </sheetPr>
  <dimension ref="A1:T61"/>
  <sheetViews>
    <sheetView showGridLines="0" zoomScaleNormal="100" workbookViewId="0">
      <pane xSplit="1" topLeftCell="B1" activePane="topRight" state="frozenSplit"/>
      <selection pane="topRight" activeCell="A47" sqref="A47"/>
    </sheetView>
  </sheetViews>
  <sheetFormatPr defaultRowHeight="20.100000000000001" customHeight="1" x14ac:dyDescent="0.2"/>
  <cols>
    <col min="1" max="1" width="36.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9" width="30.7109375" style="1" customWidth="1"/>
    <col min="20" max="20" width="4.7109375" style="1" customWidth="1"/>
  </cols>
  <sheetData>
    <row r="1" spans="1:20" s="21" customFormat="1" ht="30" customHeight="1" x14ac:dyDescent="0.35">
      <c r="A1" s="10" t="e" vm="1">
        <v>#VALUE!</v>
      </c>
      <c r="C1" s="21" t="s">
        <v>738</v>
      </c>
    </row>
    <row r="2" spans="1:20" s="3" customFormat="1" ht="20.100000000000001" customHeight="1" x14ac:dyDescent="0.2">
      <c r="A2"/>
    </row>
    <row r="3" spans="1:20" ht="20.100000000000001" customHeight="1" x14ac:dyDescent="0.2">
      <c r="A3" s="5" t="str">
        <f>HYPERLINK("#'Home'!A1", "Home")</f>
        <v>Home</v>
      </c>
      <c r="C3" s="23"/>
      <c r="D3" s="23" t="s">
        <v>130</v>
      </c>
      <c r="E3" s="23"/>
      <c r="F3" s="23"/>
      <c r="G3" s="23"/>
      <c r="H3" s="23"/>
      <c r="I3" s="23"/>
      <c r="J3" s="23"/>
      <c r="K3" s="23"/>
      <c r="M3" s="23"/>
      <c r="N3" s="23" t="s">
        <v>131</v>
      </c>
      <c r="O3" s="23"/>
      <c r="P3" s="23"/>
      <c r="Q3" s="23"/>
      <c r="R3" s="23"/>
      <c r="S3" s="23"/>
      <c r="T3" s="23"/>
    </row>
    <row r="4" spans="1:20" ht="20.100000000000001" customHeight="1" x14ac:dyDescent="0.2">
      <c r="A4" s="5" t="str">
        <f>HYPERLINK("#'Results - Activity period'!A1", "Results - Activity period")</f>
        <v>Results - Activity period</v>
      </c>
    </row>
    <row r="5" spans="1:20" ht="20.100000000000001" customHeight="1" x14ac:dyDescent="0.2">
      <c r="A5" s="5" t="str">
        <f>HYPERLINK("#'Results - Product EI'!A1", "Results - Product EI")</f>
        <v>Results - Product EI</v>
      </c>
      <c r="C5" s="8"/>
      <c r="D5" s="2" t="s">
        <v>1207</v>
      </c>
      <c r="E5" s="8"/>
      <c r="F5" s="8"/>
      <c r="G5" s="8"/>
      <c r="H5" s="8"/>
      <c r="I5" s="8"/>
      <c r="J5" s="8"/>
      <c r="K5" s="8"/>
    </row>
    <row r="6" spans="1:20" ht="20.100000000000001" customHeight="1" x14ac:dyDescent="0.2">
      <c r="C6" s="8"/>
      <c r="D6" s="17" t="s">
        <v>1208</v>
      </c>
      <c r="E6" s="8"/>
      <c r="F6" s="8"/>
      <c r="G6" s="8"/>
      <c r="H6" s="8"/>
      <c r="I6" s="8"/>
      <c r="J6" s="8"/>
      <c r="K6" s="8"/>
    </row>
    <row r="7" spans="1:20" ht="20.100000000000001" customHeight="1" x14ac:dyDescent="0.2">
      <c r="C7" s="8"/>
      <c r="D7" s="134"/>
      <c r="E7" s="134"/>
      <c r="F7" s="134"/>
      <c r="G7" s="8"/>
      <c r="H7" s="8"/>
      <c r="I7" s="8"/>
      <c r="J7" s="8"/>
      <c r="K7" s="8"/>
    </row>
    <row r="8" spans="1:20" ht="20.100000000000001" customHeight="1" x14ac:dyDescent="0.2">
      <c r="A8" s="7" t="s">
        <v>0</v>
      </c>
      <c r="C8" s="8"/>
      <c r="F8" s="8"/>
      <c r="G8" s="8"/>
      <c r="H8" s="8"/>
      <c r="I8" s="8"/>
      <c r="J8" s="8"/>
      <c r="K8" s="8"/>
    </row>
    <row r="9" spans="1:20" ht="20.100000000000001" customHeight="1" x14ac:dyDescent="0.2">
      <c r="A9" s="5" t="str">
        <f>HYPERLINK("#'Input - Enterprise'!A1", "Enterprise")</f>
        <v>Enterprise</v>
      </c>
      <c r="C9" s="8"/>
      <c r="D9" s="8"/>
      <c r="E9" s="8"/>
      <c r="F9" s="8"/>
      <c r="G9" s="8"/>
      <c r="H9" s="8"/>
      <c r="I9" s="8"/>
      <c r="J9" s="8"/>
      <c r="K9" s="8"/>
    </row>
    <row r="10" spans="1:20" ht="20.100000000000001" customHeight="1" x14ac:dyDescent="0.2">
      <c r="A10" s="5" t="str">
        <f>HYPERLINK("#'Input - Site'!A1", "Site")</f>
        <v>Site</v>
      </c>
      <c r="C10" s="8"/>
      <c r="D10" s="60" t="s">
        <v>371</v>
      </c>
      <c r="E10" s="8" t="s">
        <v>747</v>
      </c>
      <c r="F10" s="8"/>
      <c r="G10" s="17"/>
      <c r="H10" s="8"/>
      <c r="I10" s="8"/>
      <c r="J10" s="8"/>
      <c r="K10" s="8"/>
    </row>
    <row r="11" spans="1:20" ht="20.100000000000001" customHeight="1" x14ac:dyDescent="0.2">
      <c r="A11" s="5" t="str">
        <f>HYPERLINK("#'Input - Crop'!A1", "Crop")</f>
        <v>Crop</v>
      </c>
      <c r="C11" s="8"/>
      <c r="D11" s="60" t="s">
        <v>118</v>
      </c>
      <c r="E11" s="9" t="s">
        <v>1029</v>
      </c>
      <c r="F11" s="8"/>
      <c r="G11" s="8"/>
      <c r="H11" s="8"/>
      <c r="I11" s="8"/>
      <c r="J11" s="8"/>
      <c r="K11" s="8"/>
    </row>
    <row r="12" spans="1:20" ht="20.100000000000001" customHeight="1" x14ac:dyDescent="0.2">
      <c r="A12" s="5" t="str">
        <f>HYPERLINK("#'Input - Fert Prod System'!A1", "Fert Prod System")</f>
        <v>Fert Prod System</v>
      </c>
      <c r="C12" s="8"/>
      <c r="D12" s="8"/>
      <c r="E12" s="8"/>
      <c r="F12" s="8"/>
      <c r="G12" s="8"/>
      <c r="H12" s="8"/>
      <c r="I12" s="8"/>
      <c r="J12" s="8"/>
      <c r="K12" s="8"/>
    </row>
    <row r="13" spans="1:20" ht="20.100000000000001" customHeight="1" x14ac:dyDescent="0.2">
      <c r="A13" s="5" t="str">
        <f>HYPERLINK("#'Input - Fertiliser'!A1", "Fertiliser")</f>
        <v>Fertiliser</v>
      </c>
      <c r="C13" s="8"/>
      <c r="D13" s="150" t="s">
        <v>744</v>
      </c>
      <c r="E13" s="147" t="s">
        <v>1209</v>
      </c>
      <c r="F13" s="158"/>
      <c r="G13" s="159"/>
      <c r="H13" s="150" t="s">
        <v>1029</v>
      </c>
      <c r="I13" s="142" t="s">
        <v>1216</v>
      </c>
      <c r="J13" s="143" t="str" cm="1">
        <f t="array" aca="1" ref="J13" ca="1">HYPERLINK(Common_InputFunctions.Utility_SourceHyperlink($D$21), $D$21)</f>
        <v>M1_Table_M_leach_cp</v>
      </c>
      <c r="K13" s="8"/>
    </row>
    <row r="14" spans="1:20" ht="20.100000000000001" customHeight="1" x14ac:dyDescent="0.2">
      <c r="A14" s="5" t="str">
        <f>HYPERLINK("#'Input - Fuel'!A1", "Fuel")</f>
        <v>Fuel</v>
      </c>
      <c r="C14" s="8"/>
      <c r="D14" s="150" t="s">
        <v>746</v>
      </c>
      <c r="E14" s="147" t="s">
        <v>1210</v>
      </c>
      <c r="F14" s="158"/>
      <c r="G14" s="159"/>
      <c r="H14" s="150" t="s">
        <v>1120</v>
      </c>
      <c r="I14" s="142" t="s">
        <v>1036</v>
      </c>
      <c r="J14" s="143" t="str" cm="1">
        <f t="array" aca="1" ref="J14" ca="1">HYPERLINK(Common_InputFunctions.Utility_SourceHyperlink($D$21), $D$21)</f>
        <v>M1_Table_M_leach_cp</v>
      </c>
      <c r="K14" s="8"/>
    </row>
    <row r="15" spans="1:20" ht="20.100000000000001" customHeight="1" x14ac:dyDescent="0.2">
      <c r="A15" s="5" t="str">
        <f>HYPERLINK("#'Input - Electricity'!A1", "Electricity")</f>
        <v>Electricity</v>
      </c>
      <c r="C15" s="8"/>
      <c r="D15" s="150" t="s">
        <v>1155</v>
      </c>
      <c r="E15" s="147" t="s">
        <v>1156</v>
      </c>
      <c r="F15" s="158"/>
      <c r="G15" s="159"/>
      <c r="H15" s="150" t="s">
        <v>1120</v>
      </c>
      <c r="I15" s="142" t="s">
        <v>1036</v>
      </c>
      <c r="J15" s="150">
        <f>'Constants - Common'!$E$164</f>
        <v>0.24</v>
      </c>
      <c r="K15" s="8"/>
    </row>
    <row r="16" spans="1:20" ht="20.100000000000001" customHeight="1" x14ac:dyDescent="0.2">
      <c r="A16" s="5" t="str">
        <f>HYPERLINK("#'Input - Common farm inputs'!A1", "Common farm inputs")</f>
        <v>Common farm inputs</v>
      </c>
      <c r="C16" s="8"/>
      <c r="D16" s="150" t="s">
        <v>1056</v>
      </c>
      <c r="E16" s="147" t="s">
        <v>1211</v>
      </c>
      <c r="F16" s="158"/>
      <c r="G16" s="159"/>
      <c r="H16" s="150"/>
      <c r="I16" s="141" t="s">
        <v>1034</v>
      </c>
      <c r="J16" s="143" t="str" cm="1">
        <f t="array" aca="1" ref="J16" ca="1">HYPERLINK(Common_InputFunctions.Utility_SourceHyperlink($D$21), $D$21)</f>
        <v>M1_Table_M_leach_cp</v>
      </c>
      <c r="K16" s="8"/>
    </row>
    <row r="17" spans="1:20" ht="20.100000000000001" customHeight="1" x14ac:dyDescent="0.2">
      <c r="A17" s="5" t="str">
        <f>HYPERLINK("#'Input - Crop pasture farm input'!A1", "Crop pasture farm input")</f>
        <v>Crop pasture farm input</v>
      </c>
      <c r="C17" s="8"/>
      <c r="D17" s="150" t="s">
        <v>1069</v>
      </c>
      <c r="E17" s="147" t="s">
        <v>1212</v>
      </c>
      <c r="F17" s="158"/>
      <c r="G17" s="159"/>
      <c r="H17" s="150"/>
      <c r="I17" s="141" t="s">
        <v>1034</v>
      </c>
      <c r="J17" s="150" t="str">
        <f>X_Cell_Crop_CropType</f>
        <v>Wheat</v>
      </c>
      <c r="K17" s="8"/>
    </row>
    <row r="18" spans="1:20" ht="20.100000000000001" customHeight="1" x14ac:dyDescent="0.2">
      <c r="A18" s="5" t="str">
        <f>HYPERLINK("#'Input - Freight'!A1", "Freight")</f>
        <v>Freight</v>
      </c>
      <c r="C18" s="8"/>
      <c r="D18" s="150" t="s">
        <v>1213</v>
      </c>
      <c r="E18" s="147" t="s">
        <v>1214</v>
      </c>
      <c r="F18" s="158"/>
      <c r="G18" s="159"/>
      <c r="H18" s="150"/>
      <c r="I18" s="141" t="s">
        <v>1034</v>
      </c>
      <c r="J18" s="150" t="s">
        <v>124</v>
      </c>
      <c r="K18" s="8"/>
    </row>
    <row r="19" spans="1:20" ht="20.100000000000001" customHeight="1" x14ac:dyDescent="0.2">
      <c r="A19" s="5" t="str">
        <f>HYPERLINK("#'Input - Solid waste'!A1", "Solid waste")</f>
        <v>Solid waste</v>
      </c>
      <c r="C19" s="8"/>
      <c r="D19" s="150" t="s">
        <v>1054</v>
      </c>
      <c r="E19" s="147" t="s">
        <v>1215</v>
      </c>
      <c r="F19" s="158"/>
      <c r="G19" s="159"/>
      <c r="H19" s="150"/>
      <c r="I19" s="141" t="s">
        <v>1034</v>
      </c>
      <c r="J19" s="143" t="str" cm="1">
        <f t="array" aca="1" ref="J19" ca="1">HYPERLINK(Common_InputFunctions.Utility_SourceHyperlink($D$21), $D$21)</f>
        <v>M1_Table_M_leach_cp</v>
      </c>
      <c r="K19" s="8"/>
    </row>
    <row r="20" spans="1:20" ht="20.100000000000001" customHeight="1" x14ac:dyDescent="0.2">
      <c r="A20" s="5" t="str">
        <f>HYPERLINK("#'Input - Data quality'!A1", "Data quality")</f>
        <v>Data quality</v>
      </c>
      <c r="C20" s="8"/>
      <c r="D20" s="8"/>
      <c r="E20" s="8"/>
      <c r="F20" s="8"/>
      <c r="G20" s="8"/>
      <c r="H20" s="8"/>
      <c r="I20" s="8"/>
      <c r="J20" s="8"/>
      <c r="K20" s="8"/>
    </row>
    <row r="21" spans="1:20" ht="20.100000000000001" customHeight="1" x14ac:dyDescent="0.2">
      <c r="C21" s="8"/>
      <c r="D21" s="135" t="s">
        <v>739</v>
      </c>
      <c r="E21" s="8"/>
      <c r="F21" s="8"/>
      <c r="G21" s="8"/>
      <c r="H21" s="8"/>
      <c r="I21" s="8"/>
      <c r="J21" s="8"/>
      <c r="K21" s="8"/>
      <c r="N21" s="135" t="s">
        <v>740</v>
      </c>
      <c r="O21" s="8"/>
      <c r="P21" s="8"/>
      <c r="Q21" s="8"/>
      <c r="R21" s="8"/>
      <c r="S21" s="8"/>
    </row>
    <row r="22" spans="1:20" ht="20.100000000000001" customHeight="1" x14ac:dyDescent="0.2">
      <c r="C22" s="8"/>
      <c r="D22" s="136" t="s">
        <v>741</v>
      </c>
      <c r="E22" s="8"/>
      <c r="F22" s="8"/>
      <c r="G22" s="8"/>
      <c r="H22" s="8"/>
      <c r="I22" s="8"/>
      <c r="J22" s="8"/>
      <c r="K22" s="8"/>
      <c r="N22" s="136" t="s">
        <v>742</v>
      </c>
      <c r="O22" s="8"/>
      <c r="P22" s="8"/>
      <c r="Q22" s="8"/>
      <c r="R22" s="8"/>
      <c r="S22" s="8"/>
    </row>
    <row r="23" spans="1:20" ht="20.100000000000001" customHeight="1" x14ac:dyDescent="0.2">
      <c r="A23" s="6" t="s">
        <v>2</v>
      </c>
      <c r="C23" s="8"/>
      <c r="D23" s="80" t="s">
        <v>743</v>
      </c>
      <c r="E23" s="138" t="s">
        <v>744</v>
      </c>
      <c r="F23" s="80" t="s">
        <v>745</v>
      </c>
      <c r="G23" s="80" t="s">
        <v>103</v>
      </c>
      <c r="H23" s="138" t="s">
        <v>746</v>
      </c>
      <c r="I23" s="138" t="s">
        <v>747</v>
      </c>
      <c r="J23" s="8"/>
      <c r="K23" s="8"/>
      <c r="N23" s="80" t="s">
        <v>743</v>
      </c>
      <c r="O23" s="138" t="s">
        <v>744</v>
      </c>
      <c r="P23" s="80" t="s">
        <v>745</v>
      </c>
      <c r="Q23" s="80" t="s">
        <v>103</v>
      </c>
      <c r="R23" s="138" t="s">
        <v>746</v>
      </c>
      <c r="S23" s="138" t="s">
        <v>747</v>
      </c>
    </row>
    <row r="24" spans="1:20" ht="20.100000000000001" customHeight="1" x14ac:dyDescent="0.2">
      <c r="A24" s="5" t="str">
        <f>HYPERLINK("#'5.1.1.1-2 Inorganic fert N2O'!A1", "5.1.1.1-2 Inorganic fert N2O")</f>
        <v>5.1.1.1-2 Inorganic fert N2O</v>
      </c>
      <c r="D24" s="15" t="s">
        <v>178</v>
      </c>
      <c r="E24" s="15">
        <f>VEERG_6_1_1_1__2__MassOfNitrogenInCropResidues_Result_Method1</f>
        <v>85008</v>
      </c>
      <c r="F24" s="15" t="str">
        <f>X_Cell_Crop_IrrigationMethod</f>
        <v>Sprinkler irrigation</v>
      </c>
      <c r="G24" s="15" t="str">
        <f>X_Cell_Site_LeachingZone</f>
        <v>NO - Not in leaching zone</v>
      </c>
      <c r="H24" s="15">
        <f>CommonCropping_InputFunctions.CommonCropping_GetFracWET(G24,F24,Table_SourceData_FracWET[Is in leaching zone],Table_SourceData_FracWET[FracWET], Table_SourceData_FracWETIrrigation[Irrigation type i],Table_SourceData_FracWETIrrigation[FracWET])</f>
        <v>1</v>
      </c>
      <c r="I24" s="15">
        <f>(E24 * H24 * $J$15)</f>
        <v>20401.919999999998</v>
      </c>
      <c r="N24" s="15"/>
      <c r="O24" s="15">
        <f>VEERG_6_1_1_1__2__MassOfNitrogenInCropResidues_Result_Method2</f>
        <v>85008</v>
      </c>
      <c r="P24" s="15"/>
      <c r="Q24" s="15"/>
      <c r="R24" s="15"/>
      <c r="S24" s="15">
        <f>(O24 * H24 * $J$15)</f>
        <v>20401.919999999998</v>
      </c>
    </row>
    <row r="25" spans="1:20" ht="20.100000000000001" customHeight="1" x14ac:dyDescent="0.2">
      <c r="A25" s="5" t="str">
        <f>HYPERLINK("#'5.1.1.3-4 Inorganic fert CO2'!A1", "5.1.1.3-4 Inorganic fert CO2")</f>
        <v>5.1.1.3-4 Inorganic fert CO2</v>
      </c>
      <c r="D25" s="15" t="s">
        <v>469</v>
      </c>
      <c r="E25" s="15" t="s">
        <v>124</v>
      </c>
      <c r="F25" s="15" t="s">
        <v>124</v>
      </c>
      <c r="G25" s="15" t="s">
        <v>124</v>
      </c>
      <c r="H25" s="15" t="s">
        <v>124</v>
      </c>
      <c r="I25" s="15" t="s">
        <v>124</v>
      </c>
      <c r="N25" s="15"/>
      <c r="O25" s="15" t="s">
        <v>124</v>
      </c>
      <c r="P25" s="15"/>
      <c r="Q25" s="15"/>
      <c r="R25" s="15"/>
      <c r="S25" s="15" t="s">
        <v>124</v>
      </c>
    </row>
    <row r="26" spans="1:20" ht="20.100000000000001" customHeight="1" x14ac:dyDescent="0.2">
      <c r="A26" s="5" t="str">
        <f>HYPERLINK("#'5.2.1.1-2 Organic Fert N2O'!A1", "5.2.1.1-2 Organic fert N2O")</f>
        <v>5.2.1.1-2 Organic fert N2O</v>
      </c>
    </row>
    <row r="27" spans="1:20" ht="20.100000000000001" customHeight="1" x14ac:dyDescent="0.2">
      <c r="A27" s="5" t="str">
        <f>HYPERLINK("#'5.3.1.1-2 Lime CO2'!A1", "5.3.1.1-2 Lime CO2")</f>
        <v>5.3.1.1-2 Lime CO2</v>
      </c>
      <c r="C27" s="223"/>
      <c r="D27" s="223"/>
      <c r="E27" s="223"/>
      <c r="F27" s="223"/>
      <c r="G27" s="223"/>
      <c r="H27" s="223"/>
      <c r="I27" s="223"/>
      <c r="J27" s="223"/>
      <c r="K27" s="223"/>
      <c r="M27" s="223"/>
      <c r="N27" s="223"/>
      <c r="O27" s="223"/>
      <c r="P27" s="223"/>
      <c r="Q27" s="223"/>
      <c r="R27" s="223"/>
      <c r="S27" s="223"/>
      <c r="T27" s="223"/>
    </row>
    <row r="28" spans="1:20" ht="20.100000000000001" customHeight="1" x14ac:dyDescent="0.2">
      <c r="A28" s="5" t="str">
        <f>HYPERLINK("#'5.4.1.1-4 Atmos deposition'!A1", "5.4.1.1-4 Atmos. deposition")</f>
        <v>5.4.1.1-4 Atmos. deposition</v>
      </c>
      <c r="C28" s="8"/>
      <c r="D28" s="2" t="s">
        <v>1217</v>
      </c>
      <c r="E28" s="8"/>
      <c r="F28" s="225"/>
      <c r="G28" s="8"/>
      <c r="H28" s="8"/>
      <c r="I28" s="8"/>
      <c r="J28" s="8"/>
      <c r="K28" s="8"/>
    </row>
    <row r="29" spans="1:20" ht="20.100000000000001" customHeight="1" x14ac:dyDescent="0.2">
      <c r="A29" s="5" t="str">
        <f>HYPERLINK("#'5.5.1.1-2 Leaching and runoff'!A1", "5.5.1.1-2 Leaching &amp; runoff")</f>
        <v>5.5.1.1-2 Leaching &amp; runoff</v>
      </c>
      <c r="C29" s="8"/>
      <c r="D29" s="17" t="s">
        <v>1218</v>
      </c>
      <c r="E29" s="8"/>
      <c r="F29" s="8"/>
      <c r="G29" s="8"/>
      <c r="H29" s="8"/>
      <c r="I29" s="8"/>
      <c r="J29" s="8"/>
      <c r="K29" s="8"/>
    </row>
    <row r="30" spans="1:20" ht="20.100000000000001" customHeight="1" x14ac:dyDescent="0.2">
      <c r="A30" s="5" t="str">
        <f>HYPERLINK("#'6.1.1.1-2 Crop residue N2O'!A1", "6.1.1.1-2 Crop residue N2O")</f>
        <v>6.1.1.1-2 Crop residue N2O</v>
      </c>
      <c r="C30" s="8"/>
      <c r="D30" s="134"/>
      <c r="E30" s="134"/>
      <c r="F30" s="8"/>
      <c r="G30" s="8"/>
      <c r="H30" s="8"/>
      <c r="I30" s="8"/>
      <c r="J30" s="8"/>
      <c r="K30" s="8"/>
    </row>
    <row r="31" spans="1:20" ht="20.100000000000001" customHeight="1" x14ac:dyDescent="0.2">
      <c r="A31" s="144" t="str">
        <f>HYPERLINK("#'6.3.1.1-2 Leach runoff crop'!A1", "6.3.1.1-2 Leach &amp; runoff (crop)")</f>
        <v>6.3.1.1-2 Leach &amp; runoff (crop)</v>
      </c>
      <c r="C31" s="8"/>
      <c r="D31" s="8"/>
      <c r="E31" s="8"/>
      <c r="F31" s="8"/>
      <c r="G31" s="8"/>
      <c r="H31" s="8"/>
      <c r="I31" s="8"/>
      <c r="J31" s="8"/>
      <c r="K31" s="8"/>
    </row>
    <row r="32" spans="1:20" ht="20.100000000000001" customHeight="1" x14ac:dyDescent="0.2">
      <c r="A32" s="5" t="str">
        <f>HYPERLINK("#'6.4.1.1-2 Residue burning'!A1", "6.4.1.1-2 Residue burning")</f>
        <v>6.4.1.1-2 Residue burning</v>
      </c>
      <c r="C32" s="8"/>
      <c r="D32" s="8"/>
      <c r="E32" s="8"/>
      <c r="F32" s="17"/>
      <c r="G32" s="8"/>
      <c r="H32" s="8"/>
      <c r="I32" s="8"/>
      <c r="J32" s="8"/>
      <c r="K32" s="8"/>
    </row>
    <row r="33" spans="1:17" ht="20.100000000000001" customHeight="1" x14ac:dyDescent="0.2">
      <c r="A33" s="5" t="str">
        <f>HYPERLINK("#'8.1.1.1-2 Transport fuel'!A1", "8.1.1.1-2 Transport fuel")</f>
        <v>8.1.1.1-2 Transport fuel</v>
      </c>
      <c r="C33" s="8"/>
      <c r="D33" s="60" t="s">
        <v>371</v>
      </c>
      <c r="E33" s="8" t="s">
        <v>1219</v>
      </c>
      <c r="F33" s="8"/>
      <c r="G33" s="8"/>
      <c r="H33" s="8"/>
      <c r="I33" s="8"/>
      <c r="J33" s="8"/>
      <c r="K33" s="8"/>
    </row>
    <row r="34" spans="1:17" ht="20.100000000000001" customHeight="1" x14ac:dyDescent="0.2">
      <c r="A34" s="5" t="str">
        <f>HYPERLINK("#'8.2.1.1-2 Stationary fuel'!A1", "8.2.1.1-2 Stationary fuel")</f>
        <v>8.2.1.1-2 Stationary fuel</v>
      </c>
      <c r="C34" s="8"/>
      <c r="D34" s="60" t="s">
        <v>118</v>
      </c>
      <c r="E34" s="9" t="s">
        <v>12</v>
      </c>
      <c r="F34" s="8"/>
      <c r="G34" s="8"/>
      <c r="H34" s="8"/>
      <c r="I34" s="8"/>
      <c r="J34" s="8"/>
      <c r="K34" s="8"/>
    </row>
    <row r="35" spans="1:17" ht="20.100000000000001" customHeight="1" x14ac:dyDescent="0.2">
      <c r="A35" s="5" t="str">
        <f>HYPERLINK("#'10.1.1-2 Solid waste treatment'!A1", "10.1.1.1-2 Solid waste")</f>
        <v>10.1.1.1-2 Solid waste</v>
      </c>
      <c r="C35" s="8"/>
      <c r="D35" s="8"/>
      <c r="E35" s="8"/>
      <c r="F35" s="8"/>
      <c r="G35" s="8"/>
      <c r="H35" s="8"/>
      <c r="I35" s="8"/>
      <c r="J35" s="8"/>
      <c r="K35" s="8"/>
    </row>
    <row r="36" spans="1:17" ht="20.100000000000001" customHeight="1" x14ac:dyDescent="0.2">
      <c r="A36" s="5" t="str">
        <f>HYPERLINK("#'14.1.1-2 Purchased electricity'!A1", "14.1.1-2 Purchased electricity")</f>
        <v>14.1.1-2 Purchased electricity</v>
      </c>
      <c r="C36" s="8"/>
      <c r="D36" s="150" t="s">
        <v>747</v>
      </c>
      <c r="E36" s="147" t="s">
        <v>1220</v>
      </c>
      <c r="F36" s="158"/>
      <c r="G36" s="159"/>
      <c r="H36" s="150" t="s">
        <v>1029</v>
      </c>
      <c r="I36" s="142" t="s">
        <v>1222</v>
      </c>
      <c r="J36" s="150" t="str" cm="1">
        <f t="array" aca="1" ref="J36" ca="1">HYPERLINK(Common_InputFunctions.Utility_SourceHyperlink($D$21), $D$21)</f>
        <v>M1_Table_M_leach_cp</v>
      </c>
      <c r="K36" s="8"/>
    </row>
    <row r="37" spans="1:17" ht="20.100000000000001" customHeight="1" x14ac:dyDescent="0.2">
      <c r="A37" s="5" t="str">
        <f>HYPERLINK("#'15 Scope 3'!A1", "15 Scope 3")</f>
        <v>15 Scope 3</v>
      </c>
      <c r="C37" s="8"/>
      <c r="D37" s="150" t="s">
        <v>1168</v>
      </c>
      <c r="E37" s="147" t="s">
        <v>1221</v>
      </c>
      <c r="F37" s="158"/>
      <c r="G37" s="159"/>
      <c r="H37" s="150" t="s">
        <v>1103</v>
      </c>
      <c r="I37" s="142" t="s">
        <v>1036</v>
      </c>
      <c r="J37" s="150">
        <f>'Constants - Common'!$E$170</f>
        <v>1.0999999999999999E-2</v>
      </c>
      <c r="K37" s="8"/>
    </row>
    <row r="38" spans="1:17" ht="20.100000000000001" customHeight="1" x14ac:dyDescent="0.2">
      <c r="C38" s="8"/>
      <c r="D38" s="150" t="s">
        <v>1051</v>
      </c>
      <c r="E38" s="147" t="s">
        <v>1052</v>
      </c>
      <c r="F38" s="158"/>
      <c r="G38" s="159"/>
      <c r="H38" s="150" t="s">
        <v>1206</v>
      </c>
      <c r="I38" s="142" t="s">
        <v>1036</v>
      </c>
      <c r="J38" s="150">
        <f>Common_InputFunctions.Utility_LookupValueInTableNumber("N2O",Table_GasToMolecularConversionFactor[Gas],Table_GasToMolecularConversionFactor[Conversion factor combined])</f>
        <v>1.5714285714285714</v>
      </c>
      <c r="K38" s="8"/>
    </row>
    <row r="39" spans="1:17" ht="20.100000000000001" customHeight="1" x14ac:dyDescent="0.2">
      <c r="C39" s="8"/>
      <c r="D39" s="150" t="s">
        <v>1069</v>
      </c>
      <c r="E39" s="147" t="s">
        <v>1212</v>
      </c>
      <c r="F39" s="158"/>
      <c r="G39" s="159"/>
      <c r="H39" s="150"/>
      <c r="I39" s="141" t="s">
        <v>1034</v>
      </c>
      <c r="J39" s="150" t="str">
        <f>X_Cell_Crop_CropType</f>
        <v>Wheat</v>
      </c>
      <c r="K39" s="8"/>
    </row>
    <row r="40" spans="1:17" ht="20.100000000000001" customHeight="1" x14ac:dyDescent="0.2">
      <c r="A40" s="82" t="s">
        <v>1</v>
      </c>
      <c r="C40" s="8"/>
      <c r="D40" s="150" t="s">
        <v>1213</v>
      </c>
      <c r="E40" s="147" t="s">
        <v>1214</v>
      </c>
      <c r="F40" s="158"/>
      <c r="G40" s="159"/>
      <c r="H40" s="150"/>
      <c r="I40" s="141" t="s">
        <v>1034</v>
      </c>
      <c r="J40" s="150" t="s">
        <v>124</v>
      </c>
      <c r="K40" s="8"/>
    </row>
    <row r="41" spans="1:17" ht="20.100000000000001" customHeight="1" x14ac:dyDescent="0.2">
      <c r="A41" s="5" t="str">
        <f>HYPERLINK("#'Constants - Ag Residue'!A1", "Constants - Ag residue")</f>
        <v>Constants - Ag residue</v>
      </c>
      <c r="C41" s="8"/>
      <c r="D41" s="8"/>
      <c r="E41" s="8"/>
      <c r="F41" s="8"/>
      <c r="G41" s="8"/>
      <c r="H41" s="8"/>
      <c r="I41" s="8"/>
      <c r="J41" s="8"/>
      <c r="K41" s="8"/>
    </row>
    <row r="42" spans="1:17" ht="20.100000000000001" customHeight="1" x14ac:dyDescent="0.2">
      <c r="A42" s="5" t="str">
        <f>HYPERLINK("#'Constants - Electricity'!A1", "Constants - Electricity")</f>
        <v>Constants - Electricity</v>
      </c>
      <c r="C42" s="8"/>
      <c r="D42" s="135" t="s">
        <v>389</v>
      </c>
      <c r="E42" s="8"/>
      <c r="F42" s="8"/>
      <c r="G42" s="8"/>
      <c r="H42" s="8"/>
      <c r="I42" s="8"/>
      <c r="J42" s="8"/>
      <c r="K42" s="8"/>
      <c r="N42" s="135" t="s">
        <v>389</v>
      </c>
      <c r="O42" s="8"/>
      <c r="P42" s="8"/>
      <c r="Q42" s="8"/>
    </row>
    <row r="43" spans="1:17" ht="20.100000000000001" customHeight="1" x14ac:dyDescent="0.2">
      <c r="A43" s="5" t="str">
        <f>HYPERLINK("#'Constants - Fertiliser'!A1", "Constants - Fertiliser")</f>
        <v>Constants - Fertiliser</v>
      </c>
      <c r="C43" s="8"/>
      <c r="D43" s="136" t="s">
        <v>748</v>
      </c>
      <c r="E43" s="8"/>
      <c r="F43" s="8"/>
      <c r="G43" s="8"/>
      <c r="H43" s="8"/>
      <c r="I43" s="8"/>
      <c r="J43" s="8"/>
      <c r="K43" s="8"/>
      <c r="N43" s="136" t="s">
        <v>748</v>
      </c>
      <c r="O43" s="8"/>
      <c r="P43" s="8"/>
      <c r="Q43" s="8"/>
    </row>
    <row r="44" spans="1:17" ht="20.100000000000001" customHeight="1" x14ac:dyDescent="0.2">
      <c r="A44" s="5" t="str">
        <f>HYPERLINK("#'Constants - Fuel'!A1", "Constants - Fuel")</f>
        <v>Constants - Fuel</v>
      </c>
      <c r="C44" s="8"/>
      <c r="D44" s="138" t="s">
        <v>747</v>
      </c>
      <c r="E44" s="138" t="s">
        <v>749</v>
      </c>
      <c r="F44" s="8"/>
      <c r="G44" s="8"/>
      <c r="H44" s="8"/>
      <c r="I44" s="8"/>
      <c r="J44" s="8"/>
      <c r="K44" s="8"/>
      <c r="N44" s="138" t="s">
        <v>747</v>
      </c>
      <c r="O44" s="138" t="s">
        <v>749</v>
      </c>
      <c r="P44" s="8"/>
      <c r="Q44" s="8"/>
    </row>
    <row r="45" spans="1:17" ht="20.100000000000001" customHeight="1" x14ac:dyDescent="0.2">
      <c r="A45" s="5" t="str">
        <f>HYPERLINK("#'Constants - Scope 3'!A1", "Constants - Scope 3")</f>
        <v>Constants - Scope 3</v>
      </c>
      <c r="C45" s="8"/>
      <c r="D45" s="15">
        <f>I24</f>
        <v>20401.919999999998</v>
      </c>
      <c r="E45" s="15">
        <f>((D45 * $J$37) * $J$38 * 10 ^ (-3))</f>
        <v>0.35266175999999999</v>
      </c>
      <c r="F45" s="8"/>
      <c r="G45" s="8"/>
      <c r="H45" s="8"/>
      <c r="I45" s="8"/>
      <c r="J45" s="8"/>
      <c r="K45" s="8"/>
      <c r="N45" s="15">
        <f>S24</f>
        <v>20401.919999999998</v>
      </c>
      <c r="O45" s="15">
        <f>((N45 * $J$37) * $J$38 * 10 ^ (-3))</f>
        <v>0.35266175999999999</v>
      </c>
      <c r="P45" s="8"/>
      <c r="Q45" s="8"/>
    </row>
    <row r="46" spans="1:17" ht="20.100000000000001" customHeight="1" x14ac:dyDescent="0.2">
      <c r="A46" s="5" t="str">
        <f>HYPERLINK("#'Constants - Solid Waste'!A1", "Constants - Solid Waste")</f>
        <v>Constants - Solid Waste</v>
      </c>
      <c r="C46" s="8"/>
      <c r="D46" s="15" t="str">
        <f>I25</f>
        <v>N/A</v>
      </c>
      <c r="E46" s="15" t="s">
        <v>124</v>
      </c>
      <c r="F46" s="8"/>
      <c r="G46" s="8"/>
      <c r="H46" s="8"/>
      <c r="I46" s="8"/>
      <c r="J46" s="8"/>
      <c r="K46" s="8"/>
      <c r="N46" s="15" t="str">
        <f>S25</f>
        <v>N/A</v>
      </c>
      <c r="O46" s="15" t="s">
        <v>124</v>
      </c>
      <c r="P46" s="8"/>
      <c r="Q46" s="8"/>
    </row>
    <row r="47" spans="1:17" ht="20.100000000000001" customHeight="1" x14ac:dyDescent="0.2">
      <c r="A47" s="5" t="str">
        <f>HYPERLINK("#'Constants - Common'!A1", "Constants - Common")</f>
        <v>Constants - Common</v>
      </c>
      <c r="C47" s="8"/>
      <c r="F47" s="8"/>
      <c r="G47" s="8"/>
      <c r="H47" s="8"/>
      <c r="I47" s="8"/>
      <c r="J47" s="8"/>
      <c r="K47" s="8"/>
      <c r="P47" s="8"/>
      <c r="Q47" s="8"/>
    </row>
    <row r="48" spans="1:17" ht="20.100000000000001" customHeight="1" x14ac:dyDescent="0.35">
      <c r="A48" s="5" t="str">
        <f>HYPERLINK("#'Constants - Common Livestock'!A1", "Constants - Common Livestock")</f>
        <v>Constants - Common Livestock</v>
      </c>
      <c r="C48" s="8"/>
      <c r="D48" s="226" t="s">
        <v>750</v>
      </c>
      <c r="E48" s="227">
        <f>SUM(E45:E46)</f>
        <v>0.35266175999999999</v>
      </c>
      <c r="F48" s="97" t="str">
        <f>$E$34</f>
        <v>t N2O</v>
      </c>
      <c r="G48" s="8"/>
      <c r="H48" s="8"/>
      <c r="I48" s="8"/>
      <c r="J48" s="8"/>
      <c r="K48" s="8"/>
      <c r="N48" s="226" t="s">
        <v>750</v>
      </c>
      <c r="O48" s="227">
        <f>SUM(O45:O46)</f>
        <v>0.35266175999999999</v>
      </c>
      <c r="P48" s="97" t="str">
        <f>$E$34</f>
        <v>t N2O</v>
      </c>
      <c r="Q48" s="8"/>
    </row>
    <row r="49" spans="4:17" ht="20.100000000000001" customHeight="1" x14ac:dyDescent="0.2">
      <c r="D49" s="8"/>
      <c r="E49" s="8"/>
      <c r="F49" s="8"/>
      <c r="G49" s="8"/>
      <c r="N49" s="8"/>
      <c r="O49" s="8"/>
      <c r="P49" s="8"/>
      <c r="Q49" s="8"/>
    </row>
    <row r="50" spans="4:17" ht="20.100000000000001" customHeight="1" x14ac:dyDescent="0.2">
      <c r="D50" s="139" t="str" cm="1">
        <f t="array" ref="D50:E51">Common_Equations.Common_ConvertN2OToCO2e_Arguments()</f>
        <v>EN2O</v>
      </c>
      <c r="E50" s="140" t="str">
        <v>Nitrous oxide emissions (t N2O)</v>
      </c>
      <c r="F50" s="149"/>
      <c r="G50" s="15">
        <f>VEERG_6_3_1_1__1__LeachingAndRunoffEmissionsCropAndPastureResidue_CropOnly_Result_Method1</f>
        <v>0.35266175999999999</v>
      </c>
      <c r="N50" s="139" t="str" cm="1">
        <f t="array" ref="N50:O51">Common_Equations.Common_ConvertN2OToCO2e_Arguments()</f>
        <v>EN2O</v>
      </c>
      <c r="O50" s="140" t="str">
        <v>Nitrous oxide emissions (t N2O)</v>
      </c>
      <c r="P50" s="149"/>
      <c r="Q50" s="15">
        <f>VEERG_6_3_1_1__1__LeachingAndRunoffEmissionsCropAndPastureResidue_CropOnly_Result_Method2</f>
        <v>0.35266175999999999</v>
      </c>
    </row>
    <row r="51" spans="4:17" ht="20.100000000000001" customHeight="1" x14ac:dyDescent="0.2">
      <c r="D51" s="139" t="str">
        <v>GWPN2O</v>
      </c>
      <c r="E51" s="140" t="str">
        <v>Global warming potential for nitrous oxide (t CO2-e / t N2O)</v>
      </c>
      <c r="F51" s="149"/>
      <c r="G51" s="15">
        <f>Common_InputFunctions.Utility_LookupValueInTableNumber("N2O",Table_GWPData[Gas],Table_GWPData[CO2-e factor])</f>
        <v>265</v>
      </c>
      <c r="H51" s="8"/>
      <c r="I51" s="8"/>
      <c r="N51" s="139" t="str">
        <v>GWPN2O</v>
      </c>
      <c r="O51" s="140" t="str">
        <v>Global warming potential for nitrous oxide (t CO2-e / t N2O)</v>
      </c>
      <c r="P51" s="149"/>
      <c r="Q51" s="15">
        <f>Common_InputFunctions.Utility_LookupValueInTableNumber("N2O",Table_GWPData[Gas],Table_GWPData[CO2-e factor])</f>
        <v>265</v>
      </c>
    </row>
    <row r="52" spans="4:17" ht="20.100000000000001" customHeight="1" x14ac:dyDescent="0.2">
      <c r="H52" s="8"/>
      <c r="I52" s="8"/>
    </row>
    <row r="53" spans="4:17" ht="20.100000000000001" customHeight="1" x14ac:dyDescent="0.2">
      <c r="D53" s="85" t="s">
        <v>395</v>
      </c>
      <c r="E53" s="85" cm="1">
        <f t="array" ref="E53">Common_Equations.Common_ConvertN2OToCO2e(G50,G51)</f>
        <v>93.455366400000003</v>
      </c>
      <c r="F53" s="91" t="str" cm="1">
        <f t="array" ref="F53">Common_Equations.Common_ConvertN2OToCO2e_Unit()</f>
        <v>t CO2e</v>
      </c>
      <c r="I53" s="8"/>
      <c r="N53" s="85" t="s">
        <v>395</v>
      </c>
      <c r="O53" s="85" cm="1">
        <f t="array" ref="O53">Common_Equations.Common_ConvertN2OToCO2e(Q50,Q51)</f>
        <v>93.455366400000003</v>
      </c>
      <c r="P53" s="91" t="str" cm="1">
        <f t="array" ref="P53">Common_Equations.Common_ConvertN2OToCO2e_Unit()</f>
        <v>t CO2e</v>
      </c>
    </row>
    <row r="54" spans="4:17" ht="20.100000000000001" customHeight="1" x14ac:dyDescent="0.2">
      <c r="I54" s="8"/>
    </row>
    <row r="60" spans="4:17" ht="20.100000000000001" customHeight="1" x14ac:dyDescent="0.2">
      <c r="H60" s="8"/>
      <c r="I60" s="8"/>
    </row>
    <row r="61" spans="4:17" ht="20.100000000000001" customHeight="1" x14ac:dyDescent="0.2">
      <c r="H61" s="8"/>
      <c r="I61" s="8"/>
    </row>
  </sheetData>
  <pageMargins left="0.7" right="0.7" top="0.75" bottom="0.75" header="0.3" footer="0.3"/>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9D0966-69C8-4834-9D60-92C22D416BB9}">
  <sheetPr>
    <tabColor rgb="FF008000"/>
  </sheetPr>
  <dimension ref="A1:S67"/>
  <sheetViews>
    <sheetView showGridLines="0" zoomScaleNormal="100" workbookViewId="0">
      <pane xSplit="1" topLeftCell="B1" activePane="topRight" state="frozenSplit"/>
      <selection pane="topRight" activeCell="A47" sqref="A47"/>
    </sheetView>
  </sheetViews>
  <sheetFormatPr defaultRowHeight="20.100000000000001" customHeight="1" x14ac:dyDescent="0.2"/>
  <cols>
    <col min="1" max="1" width="36.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18" width="30.7109375" style="1" customWidth="1"/>
    <col min="19" max="19" width="4.7109375" style="1" customWidth="1"/>
  </cols>
  <sheetData>
    <row r="1" spans="1:19" s="21" customFormat="1" ht="30" customHeight="1" x14ac:dyDescent="0.35">
      <c r="A1" s="10" t="e" vm="1">
        <v>#VALUE!</v>
      </c>
      <c r="C1" s="21" t="s">
        <v>751</v>
      </c>
    </row>
    <row r="2" spans="1:19" s="3" customFormat="1" ht="20.100000000000001" customHeight="1" x14ac:dyDescent="0.2">
      <c r="A2"/>
    </row>
    <row r="3" spans="1:19" ht="20.100000000000001" customHeight="1" x14ac:dyDescent="0.2">
      <c r="A3" s="5" t="str">
        <f>HYPERLINK("#'Home'!A1", "Home")</f>
        <v>Home</v>
      </c>
      <c r="C3" s="23"/>
      <c r="D3" s="23" t="s">
        <v>130</v>
      </c>
      <c r="E3" s="23"/>
      <c r="F3" s="23"/>
      <c r="G3" s="23"/>
      <c r="H3" s="23"/>
      <c r="I3" s="23"/>
      <c r="J3" s="23"/>
      <c r="L3" s="23"/>
      <c r="M3" s="23" t="s">
        <v>131</v>
      </c>
      <c r="N3" s="23"/>
      <c r="O3" s="23"/>
      <c r="P3" s="23"/>
      <c r="Q3" s="23"/>
      <c r="R3" s="23"/>
      <c r="S3" s="23"/>
    </row>
    <row r="4" spans="1:19" ht="20.100000000000001" customHeight="1" x14ac:dyDescent="0.2">
      <c r="A4" s="5" t="str">
        <f>HYPERLINK("#'Results - Activity period'!A1", "Results - Activity period")</f>
        <v>Results - Activity period</v>
      </c>
    </row>
    <row r="5" spans="1:19" ht="20.100000000000001" customHeight="1" x14ac:dyDescent="0.2">
      <c r="A5" s="5" t="str">
        <f>HYPERLINK("#'Results - Product EI'!A1", "Results - Product EI")</f>
        <v>Results - Product EI</v>
      </c>
      <c r="D5" s="2" t="s">
        <v>1223</v>
      </c>
    </row>
    <row r="6" spans="1:19" ht="20.100000000000001" customHeight="1" x14ac:dyDescent="0.2">
      <c r="D6" s="17" t="s">
        <v>1224</v>
      </c>
    </row>
    <row r="7" spans="1:19" ht="20.100000000000001" customHeight="1" x14ac:dyDescent="0.2">
      <c r="D7" s="134"/>
      <c r="E7" s="134"/>
    </row>
    <row r="8" spans="1:19" ht="20.100000000000001" customHeight="1" x14ac:dyDescent="0.2">
      <c r="A8" s="7" t="s">
        <v>0</v>
      </c>
    </row>
    <row r="9" spans="1:19" ht="20.100000000000001" customHeight="1" x14ac:dyDescent="0.2">
      <c r="A9" s="5" t="str">
        <f>HYPERLINK("#'Input - Enterprise'!A1", "Enterprise")</f>
        <v>Enterprise</v>
      </c>
    </row>
    <row r="10" spans="1:19" ht="20.100000000000001" customHeight="1" x14ac:dyDescent="0.2">
      <c r="A10" s="5" t="str">
        <f>HYPERLINK("#'Input - Site'!A1", "Site")</f>
        <v>Site</v>
      </c>
      <c r="D10" s="77" t="s">
        <v>371</v>
      </c>
      <c r="E10" s="1" t="s">
        <v>1225</v>
      </c>
    </row>
    <row r="11" spans="1:19" ht="20.100000000000001" customHeight="1" x14ac:dyDescent="0.2">
      <c r="A11" s="5" t="str">
        <f>HYPERLINK("#'Input - Crop'!A1", "Crop")</f>
        <v>Crop</v>
      </c>
      <c r="D11" s="77" t="s">
        <v>118</v>
      </c>
      <c r="E11" s="9" t="s">
        <v>370</v>
      </c>
    </row>
    <row r="12" spans="1:19" ht="20.100000000000001" customHeight="1" x14ac:dyDescent="0.2">
      <c r="A12" s="5" t="str">
        <f>HYPERLINK("#'Input - Fert Prod System'!A1", "Fert Prod System")</f>
        <v>Fert Prod System</v>
      </c>
    </row>
    <row r="13" spans="1:19" ht="20.100000000000001" customHeight="1" x14ac:dyDescent="0.2">
      <c r="A13" s="5" t="str">
        <f>HYPERLINK("#'Input - Fertiliser'!A1", "Fertiliser")</f>
        <v>Fertiliser</v>
      </c>
      <c r="D13" s="150" t="s">
        <v>1178</v>
      </c>
      <c r="E13" s="147" t="s">
        <v>1226</v>
      </c>
      <c r="F13" s="159"/>
      <c r="G13" s="150" t="s">
        <v>370</v>
      </c>
      <c r="H13" s="141" t="s">
        <v>1034</v>
      </c>
      <c r="I13" s="150">
        <f>X_Cell_Crop_TotalProductionOfCrop*10^3</f>
        <v>10000000</v>
      </c>
    </row>
    <row r="14" spans="1:19" ht="20.100000000000001" customHeight="1" x14ac:dyDescent="0.2">
      <c r="A14" s="5" t="str">
        <f>HYPERLINK("#'Input - Fuel'!A1", "Fuel")</f>
        <v>Fuel</v>
      </c>
      <c r="D14" s="150" t="s">
        <v>1180</v>
      </c>
      <c r="E14" s="147" t="s">
        <v>1227</v>
      </c>
      <c r="F14" s="159"/>
      <c r="G14" s="150" t="s">
        <v>1234</v>
      </c>
      <c r="H14" s="142" t="s">
        <v>1036</v>
      </c>
      <c r="I14" s="150">
        <f>X_Cell_Crop_ResidueToCropRatio</f>
        <v>1.5</v>
      </c>
    </row>
    <row r="15" spans="1:19" ht="20.100000000000001" customHeight="1" x14ac:dyDescent="0.2">
      <c r="A15" s="5" t="str">
        <f>HYPERLINK("#'Input - Electricity'!A1", "Electricity")</f>
        <v>Electricity</v>
      </c>
      <c r="D15" s="150" t="s">
        <v>1228</v>
      </c>
      <c r="E15" s="147" t="s">
        <v>1229</v>
      </c>
      <c r="F15" s="159"/>
      <c r="G15" s="150" t="s">
        <v>1120</v>
      </c>
      <c r="H15" s="142" t="s">
        <v>1036</v>
      </c>
      <c r="I15" s="150" cm="1">
        <f t="array" ref="I15">Common_InputFunctions.Utility_LookupValueInTableNumber($I$19,Table_SourceData_CropAttributes[Crop type],Table_SourceData_CropAttributes[Fraction of residue remaining at time of burning (b)])</f>
        <v>0.5</v>
      </c>
    </row>
    <row r="16" spans="1:19" ht="20.100000000000001" customHeight="1" x14ac:dyDescent="0.2">
      <c r="A16" s="5" t="str">
        <f>HYPERLINK("#'Input - Common farm inputs'!A1", "Common farm inputs")</f>
        <v>Common farm inputs</v>
      </c>
      <c r="D16" s="150" t="s">
        <v>1187</v>
      </c>
      <c r="E16" s="147" t="s">
        <v>1230</v>
      </c>
      <c r="F16" s="159"/>
      <c r="G16" s="150" t="s">
        <v>1193</v>
      </c>
      <c r="H16" s="142" t="s">
        <v>1036</v>
      </c>
      <c r="I16" s="150" cm="1">
        <f t="array" ref="I16">Common_InputFunctions.Utility_LookupValueInTableNumber($I$19,Table_SourceData_CropAttributes[Crop type],Table_SourceData_CropAttributes[Dry matter content])</f>
        <v>0.88</v>
      </c>
    </row>
    <row r="17" spans="1:10" ht="20.100000000000001" customHeight="1" x14ac:dyDescent="0.2">
      <c r="A17" s="5" t="str">
        <f>HYPERLINK("#'Input - Crop pasture farm input'!A1", "Crop pasture farm input")</f>
        <v>Crop pasture farm input</v>
      </c>
      <c r="D17" s="150" t="s">
        <v>1231</v>
      </c>
      <c r="E17" s="147" t="s">
        <v>1232</v>
      </c>
      <c r="F17" s="159"/>
      <c r="G17" s="150"/>
      <c r="H17" s="142" t="s">
        <v>1036</v>
      </c>
      <c r="I17" s="150" cm="1">
        <f t="array" ref="I17">Common_InputFunctions.Utility_LookupValueInTableNumber($I$19,Table_SourceData_CropAttributes[Crop type],Table_SourceData_CropAttributes[Fraction burnt])</f>
        <v>0.9</v>
      </c>
    </row>
    <row r="18" spans="1:10" ht="20.100000000000001" customHeight="1" x14ac:dyDescent="0.2">
      <c r="A18" s="5" t="str">
        <f>HYPERLINK("#'Input - Freight'!A1", "Freight")</f>
        <v>Freight</v>
      </c>
      <c r="D18" s="150" t="s">
        <v>1184</v>
      </c>
      <c r="E18" s="147" t="s">
        <v>1233</v>
      </c>
      <c r="F18" s="159"/>
      <c r="G18" s="150" t="s">
        <v>1120</v>
      </c>
      <c r="H18" s="142" t="s">
        <v>1036</v>
      </c>
      <c r="I18" s="150">
        <f>X_Cell_Crop_PercentResidueBurned</f>
        <v>0.3</v>
      </c>
    </row>
    <row r="19" spans="1:10" ht="20.100000000000001" customHeight="1" x14ac:dyDescent="0.2">
      <c r="A19" s="5" t="str">
        <f>HYPERLINK("#'Input - Solid waste'!A1", "Solid waste")</f>
        <v>Solid waste</v>
      </c>
      <c r="D19" s="150" t="s">
        <v>1069</v>
      </c>
      <c r="E19" s="147" t="s">
        <v>179</v>
      </c>
      <c r="F19" s="159"/>
      <c r="G19" s="150"/>
      <c r="H19" s="141" t="s">
        <v>1034</v>
      </c>
      <c r="I19" s="150" t="str">
        <f>X_Cell_Crop_CropType</f>
        <v>Wheat</v>
      </c>
    </row>
    <row r="20" spans="1:10" ht="20.100000000000001" customHeight="1" x14ac:dyDescent="0.2">
      <c r="A20" s="5" t="str">
        <f>HYPERLINK("#'Input - Data quality'!A1", "Data quality")</f>
        <v>Data quality</v>
      </c>
    </row>
    <row r="21" spans="1:10" ht="20.100000000000001" customHeight="1" x14ac:dyDescent="0.2">
      <c r="D21" s="90" t="s">
        <v>752</v>
      </c>
      <c r="E21" s="85">
        <f>(I13 * I14 * I15 * I16 * I17 * I18)</f>
        <v>1782000</v>
      </c>
      <c r="F21" s="91" t="s">
        <v>370</v>
      </c>
    </row>
    <row r="23" spans="1:10" ht="20.100000000000001" customHeight="1" x14ac:dyDescent="0.2">
      <c r="A23" s="6" t="s">
        <v>2</v>
      </c>
    </row>
    <row r="24" spans="1:10" ht="20.100000000000001" customHeight="1" x14ac:dyDescent="0.2">
      <c r="A24" s="5" t="str">
        <f>HYPERLINK("#'5.1.1.1-2 Inorganic fert N2O'!A1", "5.1.1.1-2 Inorganic fert N2O")</f>
        <v>5.1.1.1-2 Inorganic fert N2O</v>
      </c>
      <c r="C24" s="85"/>
      <c r="D24" s="85"/>
      <c r="E24" s="85"/>
      <c r="F24" s="85"/>
      <c r="G24" s="85"/>
      <c r="H24" s="85"/>
      <c r="I24" s="85"/>
      <c r="J24" s="85"/>
    </row>
    <row r="25" spans="1:10" ht="20.100000000000001" customHeight="1" x14ac:dyDescent="0.2">
      <c r="A25" s="5" t="str">
        <f>HYPERLINK("#'5.1.1.3-4 Inorganic fert CO2'!A1", "5.1.1.3-4 Inorganic fert CO2")</f>
        <v>5.1.1.3-4 Inorganic fert CO2</v>
      </c>
      <c r="D25" s="2" t="s">
        <v>1235</v>
      </c>
    </row>
    <row r="26" spans="1:10" ht="20.100000000000001" customHeight="1" x14ac:dyDescent="0.2">
      <c r="A26" s="5" t="str">
        <f>HYPERLINK("#'5.2.1.1-2 Organic Fert N2O'!A1", "5.2.1.1-2 Organic fert N2O")</f>
        <v>5.2.1.1-2 Organic fert N2O</v>
      </c>
      <c r="D26" s="17" t="s">
        <v>1236</v>
      </c>
    </row>
    <row r="27" spans="1:10" ht="20.100000000000001" customHeight="1" x14ac:dyDescent="0.2">
      <c r="A27" s="5" t="str">
        <f>HYPERLINK("#'5.3.1.1-2 Lime CO2'!A1", "5.3.1.1-2 Lime CO2")</f>
        <v>5.3.1.1-2 Lime CO2</v>
      </c>
      <c r="D27" s="134"/>
      <c r="E27" s="134"/>
    </row>
    <row r="28" spans="1:10" ht="20.100000000000001" customHeight="1" x14ac:dyDescent="0.2">
      <c r="A28" s="5" t="str">
        <f>HYPERLINK("#'5.4.1.1-4 Atmos deposition'!A1", "5.4.1.1-4 Atmos. deposition")</f>
        <v>5.4.1.1-4 Atmos. deposition</v>
      </c>
    </row>
    <row r="29" spans="1:10" ht="20.100000000000001" customHeight="1" x14ac:dyDescent="0.2">
      <c r="A29" s="5" t="str">
        <f>HYPERLINK("#'5.5.1.1-2 Leaching and runoff'!A1", "5.5.1.1-2 Leaching &amp; runoff")</f>
        <v>5.5.1.1-2 Leaching &amp; runoff</v>
      </c>
    </row>
    <row r="30" spans="1:10" ht="20.100000000000001" customHeight="1" x14ac:dyDescent="0.2">
      <c r="A30" s="5" t="str">
        <f>HYPERLINK("#'6.1.1.1-2 Crop residue N2O'!A1", "6.1.1.1-2 Crop residue N2O")</f>
        <v>6.1.1.1-2 Crop residue N2O</v>
      </c>
      <c r="D30" s="77" t="s">
        <v>371</v>
      </c>
      <c r="E30" s="1" t="s">
        <v>1219</v>
      </c>
    </row>
    <row r="31" spans="1:10" ht="20.100000000000001" customHeight="1" x14ac:dyDescent="0.2">
      <c r="A31" s="5" t="str">
        <f>HYPERLINK("#'6.3.1.1-2 Leach runoff crop'!A1", "6.3.1.1-2 Leach &amp; runoff (crop)")</f>
        <v>6.3.1.1-2 Leach &amp; runoff (crop)</v>
      </c>
      <c r="D31" s="77" t="s">
        <v>118</v>
      </c>
      <c r="E31" s="9" t="s">
        <v>12</v>
      </c>
    </row>
    <row r="32" spans="1:10" ht="20.100000000000001" customHeight="1" x14ac:dyDescent="0.2">
      <c r="A32" s="144" t="str">
        <f>HYPERLINK("#'6.4.1.1-2 Residue burning'!A1", "6.4.1.1-2 Residue burning")</f>
        <v>6.4.1.1-2 Residue burning</v>
      </c>
    </row>
    <row r="33" spans="1:10" ht="20.100000000000001" customHeight="1" x14ac:dyDescent="0.2">
      <c r="A33" s="5" t="str">
        <f>HYPERLINK("#'8.1.1.1-2 Transport fuel'!A1", "8.1.1.1-2 Transport fuel")</f>
        <v>8.1.1.1-2 Transport fuel</v>
      </c>
      <c r="D33" s="150" t="s">
        <v>1225</v>
      </c>
      <c r="E33" s="147" t="s">
        <v>1237</v>
      </c>
      <c r="F33" s="159"/>
      <c r="G33" s="150" t="s">
        <v>370</v>
      </c>
      <c r="H33" s="142" t="s">
        <v>1241</v>
      </c>
      <c r="I33" s="150">
        <f>$E$21</f>
        <v>1782000</v>
      </c>
    </row>
    <row r="34" spans="1:10" ht="20.100000000000001" customHeight="1" x14ac:dyDescent="0.2">
      <c r="A34" s="5" t="str">
        <f>HYPERLINK("#'8.2.1.1-2 Stationary fuel'!A1", "8.2.1.1-2 Stationary fuel")</f>
        <v>8.2.1.1-2 Stationary fuel</v>
      </c>
      <c r="D34" s="150" t="s">
        <v>1189</v>
      </c>
      <c r="E34" s="147" t="s">
        <v>1238</v>
      </c>
      <c r="F34" s="159"/>
      <c r="G34" s="150" t="s">
        <v>1194</v>
      </c>
      <c r="H34" s="142" t="s">
        <v>1036</v>
      </c>
      <c r="I34" s="150" cm="1">
        <f t="array" ref="I34">Common_InputFunctions.Utility_LookupValueInTableNumber($I$37,Table_SourceData_CropAttributes[Crop type],Table_SourceData_CropAttributes[N content above-ground])</f>
        <v>6.0000000000000001E-3</v>
      </c>
    </row>
    <row r="35" spans="1:10" ht="20.100000000000001" customHeight="1" x14ac:dyDescent="0.2">
      <c r="A35" s="5" t="str">
        <f>HYPERLINK("#'10.1.1-2 Solid waste treatment'!A1", "10.1.1.1-2 Solid waste")</f>
        <v>10.1.1.1-2 Solid waste</v>
      </c>
      <c r="D35" s="150" t="s">
        <v>1239</v>
      </c>
      <c r="E35" s="147" t="s">
        <v>1240</v>
      </c>
      <c r="F35" s="159"/>
      <c r="G35" s="150" t="s">
        <v>1242</v>
      </c>
      <c r="H35" s="142" t="s">
        <v>1036</v>
      </c>
      <c r="I35" s="150" cm="1">
        <f t="array" ref="I35">Common_InputFunctions.Utility_LookupValueInTableNumber("N2O", Table_SourceData_BurningResidueEFs[Gas species],Table_SourceData_BurningResidueEFs[Emission factor EFg (Gg element in species/ Gg element in fuel burnt)])</f>
        <v>7.6E-3</v>
      </c>
    </row>
    <row r="36" spans="1:10" ht="20.100000000000001" customHeight="1" x14ac:dyDescent="0.2">
      <c r="A36" s="5" t="str">
        <f>HYPERLINK("#'14.1.1-2 Purchased electricity'!A1", "14.1.1-2 Purchased electricity")</f>
        <v>14.1.1-2 Purchased electricity</v>
      </c>
      <c r="D36" s="150" t="s">
        <v>1051</v>
      </c>
      <c r="E36" s="147" t="s">
        <v>1052</v>
      </c>
      <c r="F36" s="159"/>
      <c r="G36" s="150" t="s">
        <v>1206</v>
      </c>
      <c r="H36" s="142" t="s">
        <v>1036</v>
      </c>
      <c r="I36" s="150">
        <f>Common_InputFunctions.Utility_LookupValueInTableNumber("N2O",Table_GasToMolecularConversionFactor[Gas],Table_GasToMolecularConversionFactor[Conversion factor combined])</f>
        <v>1.5714285714285714</v>
      </c>
    </row>
    <row r="37" spans="1:10" ht="20.100000000000001" customHeight="1" x14ac:dyDescent="0.2">
      <c r="A37" s="5" t="str">
        <f>HYPERLINK("#'15 Scope 3'!A1", "15 Scope 3")</f>
        <v>15 Scope 3</v>
      </c>
      <c r="D37" s="150" t="s">
        <v>1069</v>
      </c>
      <c r="E37" s="147" t="s">
        <v>179</v>
      </c>
      <c r="F37" s="159"/>
      <c r="G37" s="150"/>
      <c r="H37" s="141" t="s">
        <v>1034</v>
      </c>
      <c r="I37" s="150" t="str">
        <f>X_Cell_Crop_CropType</f>
        <v>Wheat</v>
      </c>
    </row>
    <row r="39" spans="1:10" ht="20.100000000000001" customHeight="1" x14ac:dyDescent="0.2">
      <c r="D39" s="87" t="s">
        <v>394</v>
      </c>
      <c r="E39" s="88">
        <f>((I33 * I34) * I35 * I36 * 10 ^ (-3))</f>
        <v>0.12769302857142856</v>
      </c>
      <c r="F39" s="97" t="s">
        <v>12</v>
      </c>
    </row>
    <row r="40" spans="1:10" ht="20.100000000000001" customHeight="1" x14ac:dyDescent="0.2">
      <c r="A40" s="82" t="s">
        <v>1</v>
      </c>
    </row>
    <row r="41" spans="1:10" ht="20.100000000000001" customHeight="1" x14ac:dyDescent="0.2">
      <c r="A41" s="5" t="str">
        <f>HYPERLINK("#'Constants - Ag Residue'!A1", "Constants - Ag residue")</f>
        <v>Constants - Ag residue</v>
      </c>
      <c r="D41" s="139" t="str" cm="1">
        <f t="array" ref="D41:E42">Common_Equations.Common_ConvertN2OToCO2e_Arguments()</f>
        <v>EN2O</v>
      </c>
      <c r="E41" s="140" t="str">
        <v>Nitrous oxide emissions (t N2O)</v>
      </c>
      <c r="F41" s="149"/>
      <c r="G41" s="148"/>
      <c r="H41" s="15">
        <f>VEERG_6_4_1_1__2__NitrousOxideEmissionsFromBurningOfCropResidues_Result_Method1</f>
        <v>0.12769302857142856</v>
      </c>
    </row>
    <row r="42" spans="1:10" ht="20.100000000000001" customHeight="1" x14ac:dyDescent="0.2">
      <c r="A42" s="5" t="str">
        <f>HYPERLINK("#'Constants - Electricity'!A1", "Constants - Electricity")</f>
        <v>Constants - Electricity</v>
      </c>
      <c r="D42" s="139" t="str">
        <v>GWPN2O</v>
      </c>
      <c r="E42" s="140" t="str">
        <v>Global warming potential for nitrous oxide (t CO2-e / t N2O)</v>
      </c>
      <c r="F42" s="149"/>
      <c r="G42" s="148"/>
      <c r="H42" s="15">
        <f>Common_InputFunctions.Utility_LookupValueInTableNumber("N2O",Table_GWPData[Gas],Table_GWPData[CO2-e factor])</f>
        <v>265</v>
      </c>
    </row>
    <row r="43" spans="1:10" ht="20.100000000000001" customHeight="1" x14ac:dyDescent="0.2">
      <c r="A43" s="5" t="str">
        <f>HYPERLINK("#'Constants - Fertiliser'!A1", "Constants - Fertiliser")</f>
        <v>Constants - Fertiliser</v>
      </c>
      <c r="H43" s="8"/>
    </row>
    <row r="44" spans="1:10" ht="20.100000000000001" customHeight="1" x14ac:dyDescent="0.2">
      <c r="A44" s="5" t="str">
        <f>HYPERLINK("#'Constants - Fuel'!A1", "Constants - Fuel")</f>
        <v>Constants - Fuel</v>
      </c>
      <c r="D44" s="85" t="s">
        <v>395</v>
      </c>
      <c r="E44" s="85" cm="1">
        <f t="array" ref="E44">Common_Equations.Common_ConvertN2OToCO2e(H41,H42)</f>
        <v>33.838652571428568</v>
      </c>
      <c r="F44" s="91" t="str" cm="1">
        <f t="array" ref="F44">Common_Equations.Common_ConvertN2OToCO2e_Unit()</f>
        <v>t CO2e</v>
      </c>
      <c r="H44" s="8"/>
    </row>
    <row r="45" spans="1:10" ht="20.100000000000001" customHeight="1" x14ac:dyDescent="0.2">
      <c r="A45" s="5" t="str">
        <f>HYPERLINK("#'Constants - Scope 3'!A1", "Constants - Scope 3")</f>
        <v>Constants - Scope 3</v>
      </c>
    </row>
    <row r="46" spans="1:10" ht="20.100000000000001" customHeight="1" x14ac:dyDescent="0.2">
      <c r="A46" s="5" t="str">
        <f>HYPERLINK("#'Constants - Solid Waste'!A1", "Constants - Solid Waste")</f>
        <v>Constants - Solid Waste</v>
      </c>
    </row>
    <row r="47" spans="1:10" ht="20.100000000000001" customHeight="1" x14ac:dyDescent="0.2">
      <c r="A47" s="5" t="str">
        <f>HYPERLINK("#'Constants - Common'!A1", "Constants - Common")</f>
        <v>Constants - Common</v>
      </c>
      <c r="C47" s="85"/>
      <c r="D47" s="85"/>
      <c r="E47" s="85"/>
      <c r="F47" s="85"/>
      <c r="G47" s="85"/>
      <c r="H47" s="85"/>
      <c r="I47" s="85"/>
      <c r="J47" s="85"/>
    </row>
    <row r="48" spans="1:10" ht="20.100000000000001" customHeight="1" x14ac:dyDescent="0.2">
      <c r="A48" s="5" t="str">
        <f>HYPERLINK("#'Constants - Common Livestock'!A1", "Constants - Common Livestock")</f>
        <v>Constants - Common Livestock</v>
      </c>
      <c r="D48" s="2" t="s">
        <v>1243</v>
      </c>
    </row>
    <row r="49" spans="1:9" ht="20.100000000000001" customHeight="1" x14ac:dyDescent="0.2">
      <c r="D49" s="17" t="s">
        <v>1244</v>
      </c>
    </row>
    <row r="50" spans="1:9" ht="20.100000000000001" customHeight="1" x14ac:dyDescent="0.2">
      <c r="D50" s="134"/>
      <c r="E50" s="134"/>
    </row>
    <row r="53" spans="1:9" ht="20.100000000000001" customHeight="1" x14ac:dyDescent="0.2">
      <c r="D53" s="77" t="s">
        <v>371</v>
      </c>
      <c r="E53" s="1" t="s">
        <v>1245</v>
      </c>
      <c r="F53" s="17"/>
    </row>
    <row r="54" spans="1:9" ht="20.100000000000001" customHeight="1" x14ac:dyDescent="0.2">
      <c r="D54" s="77" t="s">
        <v>118</v>
      </c>
      <c r="E54" s="9" t="s">
        <v>6</v>
      </c>
    </row>
    <row r="56" spans="1:9" ht="20.100000000000001" customHeight="1" x14ac:dyDescent="0.2">
      <c r="D56" s="150" t="s">
        <v>1225</v>
      </c>
      <c r="E56" s="147" t="s">
        <v>1237</v>
      </c>
      <c r="F56" s="159"/>
      <c r="G56" s="150" t="s">
        <v>370</v>
      </c>
      <c r="H56" s="142" t="s">
        <v>1241</v>
      </c>
      <c r="I56" s="150">
        <f>$E$21</f>
        <v>1782000</v>
      </c>
    </row>
    <row r="57" spans="1:9" ht="20.100000000000001" customHeight="1" x14ac:dyDescent="0.2">
      <c r="D57" s="150" t="s">
        <v>1246</v>
      </c>
      <c r="E57" s="147" t="s">
        <v>1247</v>
      </c>
      <c r="F57" s="159"/>
      <c r="G57" s="150" t="s">
        <v>1120</v>
      </c>
      <c r="H57" s="142" t="s">
        <v>1036</v>
      </c>
      <c r="I57" s="150" cm="1">
        <f t="array" ref="I57">Common_InputFunctions.Utility_LookupValueInTableNumber($I$60,Table_SourceData_CropAttributes[Crop type],Table_SourceData_CropAttributes[Carbon fraction in dry matter])</f>
        <v>0.4</v>
      </c>
    </row>
    <row r="58" spans="1:9" ht="20.100000000000001" customHeight="1" x14ac:dyDescent="0.2">
      <c r="D58" s="150" t="s">
        <v>1248</v>
      </c>
      <c r="E58" s="147" t="s">
        <v>1249</v>
      </c>
      <c r="F58" s="159"/>
      <c r="G58" s="150" t="s">
        <v>1252</v>
      </c>
      <c r="H58" s="142" t="s">
        <v>1036</v>
      </c>
      <c r="I58" s="150" cm="1">
        <f t="array" ref="I58">Common_InputFunctions.Utility_LookupValueInTableNumber("CH4", Table_SourceData_BurningResidueEFs[Gas species],Table_SourceData_BurningResidueEFs[Emission factor EFg (Gg element in species/ Gg element in fuel burnt)])</f>
        <v>3.5000000000000001E-3</v>
      </c>
    </row>
    <row r="59" spans="1:9" ht="20.100000000000001" customHeight="1" x14ac:dyDescent="0.2">
      <c r="A59" s="81" t="str">
        <f>HYPERLINK("#A1", "▲ Back to top")</f>
        <v>▲ Back to top</v>
      </c>
      <c r="D59" s="150" t="s">
        <v>1250</v>
      </c>
      <c r="E59" s="147" t="s">
        <v>1251</v>
      </c>
      <c r="F59" s="159"/>
      <c r="G59" s="150" t="s">
        <v>1206</v>
      </c>
      <c r="H59" s="142" t="s">
        <v>1036</v>
      </c>
      <c r="I59" s="150">
        <f>Common_InputFunctions.Utility_LookupValueInTableNumber("CH4",Table_GasToMolecularConversionFactor[Gas],Table_GasToMolecularConversionFactor[Conversion factor combined])</f>
        <v>1.3333333333333333</v>
      </c>
    </row>
    <row r="60" spans="1:9" ht="20.100000000000001" customHeight="1" x14ac:dyDescent="0.2">
      <c r="D60" s="150" t="s">
        <v>1069</v>
      </c>
      <c r="E60" s="147" t="s">
        <v>179</v>
      </c>
      <c r="F60" s="159"/>
      <c r="G60" s="150"/>
      <c r="H60" s="141" t="s">
        <v>1034</v>
      </c>
      <c r="I60" s="150" t="str">
        <f>X_Cell_Crop_CropType</f>
        <v>Wheat</v>
      </c>
    </row>
    <row r="62" spans="1:9" ht="20.100000000000001" customHeight="1" x14ac:dyDescent="0.2">
      <c r="D62" s="87" t="s">
        <v>753</v>
      </c>
      <c r="E62" s="88">
        <f>((I56 * I57) * I58 * I59 * 10 ^ (-3))</f>
        <v>3.3264</v>
      </c>
      <c r="F62" s="97" t="str">
        <f>E54</f>
        <v>t CH4</v>
      </c>
    </row>
    <row r="64" spans="1:9" ht="20.100000000000001" customHeight="1" x14ac:dyDescent="0.2">
      <c r="D64" s="139" t="str" cm="1">
        <f t="array" ref="D64:E65">Common_Equations.Common_ConvertCH4ToCO2e_Arguments()</f>
        <v>ECH4</v>
      </c>
      <c r="E64" s="140" t="str">
        <v>Methane emissions (t CH4)</v>
      </c>
      <c r="F64" s="149"/>
      <c r="G64" s="148"/>
      <c r="H64" s="15">
        <f>VEERG_6_4_1_1__1__MethaneEmissionsFromBurningOfCropResidues_Result_Method1</f>
        <v>3.3264</v>
      </c>
    </row>
    <row r="65" spans="4:8" ht="20.100000000000001" customHeight="1" x14ac:dyDescent="0.2">
      <c r="D65" s="139" t="str">
        <v>GWPCH4</v>
      </c>
      <c r="E65" s="140" t="str">
        <v>Global warming potential for methane (t CO2-e / t CH4)</v>
      </c>
      <c r="F65" s="149"/>
      <c r="G65" s="148"/>
      <c r="H65" s="15">
        <f>Common_InputFunctions.Utility_LookupValueInTableNumber("CH4",Table_GWPData[Gas],Table_GWPData[CO2-e factor])</f>
        <v>28</v>
      </c>
    </row>
    <row r="66" spans="4:8" ht="20.100000000000001" customHeight="1" x14ac:dyDescent="0.2">
      <c r="H66" s="8"/>
    </row>
    <row r="67" spans="4:8" ht="20.100000000000001" customHeight="1" x14ac:dyDescent="0.2">
      <c r="D67" s="85" t="s">
        <v>395</v>
      </c>
      <c r="E67" s="85" cm="1">
        <f t="array" ref="E67">Common_Equations.Common_ConvertCH4ToCO2e(H64,H65)</f>
        <v>93.139200000000002</v>
      </c>
      <c r="F67" s="91" t="str" cm="1">
        <f t="array" ref="F67">Common_Equations.Common_ConvertCH4ToCO2e_Unit()</f>
        <v>t CO2e</v>
      </c>
      <c r="H67" s="8"/>
    </row>
  </sheetData>
  <pageMargins left="0.7" right="0.7" top="0.75" bottom="0.75" header="0.3" footer="0.3"/>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3887F-273D-4A47-A3A1-AE588B0CA47C}">
  <sheetPr>
    <tabColor rgb="FF008000"/>
  </sheetPr>
  <dimension ref="A1:R342"/>
  <sheetViews>
    <sheetView showGridLines="0" zoomScaleNormal="100" workbookViewId="0">
      <pane xSplit="1" topLeftCell="B1" activePane="topRight" state="frozenSplit"/>
      <selection pane="topRight" activeCell="A47" sqref="A47"/>
    </sheetView>
  </sheetViews>
  <sheetFormatPr defaultRowHeight="20.100000000000001" customHeight="1" x14ac:dyDescent="0.2"/>
  <cols>
    <col min="1" max="1" width="36.7109375" customWidth="1"/>
    <col min="2" max="2" width="4.7109375" customWidth="1"/>
    <col min="3" max="3" width="4.7109375" style="1" customWidth="1"/>
    <col min="4" max="4" width="46.28515625" style="1" customWidth="1"/>
    <col min="5" max="17" width="30.7109375" style="1" customWidth="1"/>
    <col min="18" max="18" width="4.7109375" style="1" customWidth="1"/>
  </cols>
  <sheetData>
    <row r="1" spans="1:18" s="21" customFormat="1" ht="30" customHeight="1" x14ac:dyDescent="0.35">
      <c r="A1" s="10" t="e" vm="1">
        <v>#VALUE!</v>
      </c>
      <c r="C1" s="21" t="s">
        <v>565</v>
      </c>
    </row>
    <row r="2" spans="1:18" s="3" customFormat="1" ht="20.100000000000001" customHeight="1" x14ac:dyDescent="0.2">
      <c r="A2"/>
    </row>
    <row r="3" spans="1:18" ht="20.100000000000001" customHeight="1" x14ac:dyDescent="0.2">
      <c r="A3" s="5" t="str">
        <f>HYPERLINK("#'Home'!A1", "Home")</f>
        <v>Home</v>
      </c>
      <c r="C3" s="23"/>
      <c r="D3" s="23" t="s">
        <v>130</v>
      </c>
      <c r="E3" s="23"/>
      <c r="F3" s="23"/>
      <c r="G3" s="23"/>
      <c r="H3" s="23"/>
      <c r="I3" s="23"/>
      <c r="J3" s="23"/>
      <c r="K3" s="23"/>
      <c r="L3" s="23"/>
      <c r="M3" s="23"/>
      <c r="N3" s="23"/>
      <c r="O3" s="23"/>
      <c r="P3" s="23"/>
      <c r="Q3" s="23"/>
      <c r="R3" s="23"/>
    </row>
    <row r="4" spans="1:18" ht="20.100000000000001" customHeight="1" x14ac:dyDescent="0.2">
      <c r="A4" s="5" t="str">
        <f>HYPERLINK("#'Results - Activity period'!A1", "Results - Activity period")</f>
        <v>Results - Activity period</v>
      </c>
    </row>
    <row r="5" spans="1:18" ht="20.100000000000001" customHeight="1" x14ac:dyDescent="0.2">
      <c r="A5" s="5" t="str">
        <f>HYPERLINK("#'Results - Product EI'!A1", "Results - Product EI")</f>
        <v>Results - Product EI</v>
      </c>
      <c r="D5" s="2" t="s">
        <v>1253</v>
      </c>
      <c r="K5" s="2" t="s">
        <v>1255</v>
      </c>
      <c r="O5" s="155"/>
      <c r="P5" s="155"/>
      <c r="Q5" s="155"/>
    </row>
    <row r="6" spans="1:18" ht="20.100000000000001" customHeight="1" x14ac:dyDescent="0.2">
      <c r="D6" s="17" t="s">
        <v>1254</v>
      </c>
      <c r="K6" s="17" t="s">
        <v>1256</v>
      </c>
      <c r="O6" s="155"/>
      <c r="P6" s="155"/>
      <c r="Q6" s="155"/>
    </row>
    <row r="7" spans="1:18" ht="20.100000000000001" customHeight="1" x14ac:dyDescent="0.2">
      <c r="D7" s="134"/>
      <c r="E7" s="134"/>
      <c r="K7" s="134"/>
      <c r="L7" s="134"/>
      <c r="O7" s="155"/>
      <c r="P7" s="155"/>
      <c r="Q7" s="155"/>
    </row>
    <row r="8" spans="1:18" ht="20.100000000000001" customHeight="1" x14ac:dyDescent="0.2">
      <c r="A8" s="7" t="s">
        <v>0</v>
      </c>
      <c r="E8" s="134"/>
      <c r="L8" s="134"/>
      <c r="O8" s="155"/>
      <c r="P8" s="155"/>
      <c r="Q8" s="155"/>
    </row>
    <row r="9" spans="1:18" ht="20.100000000000001" customHeight="1" x14ac:dyDescent="0.2">
      <c r="A9" s="5" t="str">
        <f>HYPERLINK("#'Input - Enterprise'!A1", "Enterprise")</f>
        <v>Enterprise</v>
      </c>
      <c r="G9" s="17"/>
      <c r="O9" s="155"/>
      <c r="P9" s="155"/>
      <c r="Q9" s="155"/>
    </row>
    <row r="10" spans="1:18" ht="20.100000000000001" customHeight="1" x14ac:dyDescent="0.2">
      <c r="A10" s="5" t="str">
        <f>HYPERLINK("#'Input - Site'!A1", "Site")</f>
        <v>Site</v>
      </c>
      <c r="O10" s="155"/>
      <c r="P10" s="155"/>
      <c r="Q10" s="155"/>
    </row>
    <row r="11" spans="1:18" ht="20.100000000000001" customHeight="1" x14ac:dyDescent="0.2">
      <c r="A11" s="5" t="str">
        <f>HYPERLINK("#'Input - Crop'!A1", "Crop")</f>
        <v>Crop</v>
      </c>
      <c r="D11" s="77" t="s">
        <v>371</v>
      </c>
      <c r="E11" s="1" t="s">
        <v>1257</v>
      </c>
      <c r="K11" s="77" t="s">
        <v>371</v>
      </c>
      <c r="L11" s="1" t="s">
        <v>1258</v>
      </c>
      <c r="O11" s="155"/>
      <c r="P11" s="155"/>
      <c r="Q11" s="155"/>
    </row>
    <row r="12" spans="1:18" ht="20.100000000000001" customHeight="1" x14ac:dyDescent="0.2">
      <c r="A12" s="5" t="str">
        <f>HYPERLINK("#'Input - Fert Prod System'!A1", "Fert Prod System")</f>
        <v>Fert Prod System</v>
      </c>
      <c r="D12" s="77" t="s">
        <v>118</v>
      </c>
      <c r="E12" s="9" t="s">
        <v>290</v>
      </c>
      <c r="K12" s="77" t="s">
        <v>118</v>
      </c>
      <c r="L12" s="9" t="s">
        <v>7</v>
      </c>
    </row>
    <row r="13" spans="1:18" ht="20.100000000000001" customHeight="1" x14ac:dyDescent="0.2">
      <c r="A13" s="5" t="str">
        <f>HYPERLINK("#'Input - Fertiliser'!A1", "Fertiliser")</f>
        <v>Fertiliser</v>
      </c>
    </row>
    <row r="14" spans="1:18" ht="20.100000000000001" customHeight="1" x14ac:dyDescent="0.2">
      <c r="A14" s="5" t="str">
        <f>HYPERLINK("#'Input - Fuel'!A1", "Fuel")</f>
        <v>Fuel</v>
      </c>
      <c r="D14" s="150" t="s">
        <v>1259</v>
      </c>
      <c r="E14" s="147" t="s">
        <v>1260</v>
      </c>
      <c r="F14" s="159"/>
      <c r="G14" s="150" t="s">
        <v>1270</v>
      </c>
      <c r="H14" s="141" t="s">
        <v>1034</v>
      </c>
      <c r="I14" s="143" t="str" cm="1">
        <f t="array" aca="1" ref="I14" ca="1">HYPERLINK(Common_InputFunctions.Utility_SourceHyperlink($D$22), $D$22)</f>
        <v>Table_E_g</v>
      </c>
      <c r="K14" s="150" t="s">
        <v>1273</v>
      </c>
      <c r="L14" s="150" t="s">
        <v>1274</v>
      </c>
      <c r="M14" s="150"/>
      <c r="N14" s="150" t="s">
        <v>620</v>
      </c>
      <c r="O14" s="141" t="s">
        <v>1034</v>
      </c>
      <c r="P14" s="143" t="str" cm="1">
        <f t="array" aca="1" ref="P14" ca="1">HYPERLINK(Common_InputFunctions.Utility_SourceHyperlink($D$22), $D$22)</f>
        <v>Table_E_g</v>
      </c>
      <c r="Q14" s="155"/>
    </row>
    <row r="15" spans="1:18" ht="20.100000000000001" customHeight="1" x14ac:dyDescent="0.2">
      <c r="A15" s="5" t="str">
        <f>HYPERLINK("#'Input - Electricity'!A1", "Electricity")</f>
        <v>Electricity</v>
      </c>
      <c r="D15" s="150" t="s">
        <v>1261</v>
      </c>
      <c r="E15" s="147" t="s">
        <v>1262</v>
      </c>
      <c r="F15" s="159"/>
      <c r="G15" s="150" t="s">
        <v>1271</v>
      </c>
      <c r="H15" s="142" t="s">
        <v>1036</v>
      </c>
      <c r="I15" s="143" t="str" cm="1">
        <f t="array" aca="1" ref="I15" ca="1">HYPERLINK(Common_InputFunctions.Utility_SourceHyperlink($D$22), $D$22)</f>
        <v>Table_E_g</v>
      </c>
      <c r="K15" s="150" t="s">
        <v>1261</v>
      </c>
      <c r="L15" s="150" t="s">
        <v>1275</v>
      </c>
      <c r="M15" s="150"/>
      <c r="N15" s="150" t="s">
        <v>1278</v>
      </c>
      <c r="O15" s="142" t="s">
        <v>1036</v>
      </c>
      <c r="P15" s="143" t="str" cm="1">
        <f t="array" aca="1" ref="P15" ca="1">HYPERLINK(Common_InputFunctions.Utility_SourceHyperlink($D$22), $D$22)</f>
        <v>Table_E_g</v>
      </c>
      <c r="Q15" s="155"/>
    </row>
    <row r="16" spans="1:18" ht="20.100000000000001" customHeight="1" x14ac:dyDescent="0.2">
      <c r="A16" s="5" t="str">
        <f>HYPERLINK("#'Input - Common farm inputs'!A1", "Common farm inputs")</f>
        <v>Common farm inputs</v>
      </c>
      <c r="D16" s="150" t="s">
        <v>1263</v>
      </c>
      <c r="E16" s="147" t="s">
        <v>1264</v>
      </c>
      <c r="F16" s="159"/>
      <c r="G16" s="150" t="s">
        <v>1272</v>
      </c>
      <c r="H16" s="142" t="s">
        <v>1036</v>
      </c>
      <c r="I16" s="143" t="str" cm="1">
        <f t="array" aca="1" ref="I16" ca="1">HYPERLINK(Common_InputFunctions.Utility_SourceHyperlink($D$22), $D$22)</f>
        <v>Table_E_g</v>
      </c>
      <c r="K16" s="150" t="s">
        <v>1276</v>
      </c>
      <c r="L16" s="150" t="s">
        <v>1277</v>
      </c>
      <c r="M16" s="150"/>
      <c r="N16" s="150" t="s">
        <v>1279</v>
      </c>
      <c r="O16" s="142" t="s">
        <v>1036</v>
      </c>
      <c r="P16" s="143" t="str" cm="1">
        <f t="array" aca="1" ref="P16" ca="1">HYPERLINK(Common_InputFunctions.Utility_SourceHyperlink($D$22), $D$22)</f>
        <v>Table_E_g</v>
      </c>
      <c r="Q16" s="155"/>
    </row>
    <row r="17" spans="1:17" ht="20.100000000000001" customHeight="1" x14ac:dyDescent="0.2">
      <c r="A17" s="5" t="str">
        <f>HYPERLINK("#'Input - Crop pasture farm input'!A1", "Crop pasture farm input")</f>
        <v>Crop pasture farm input</v>
      </c>
      <c r="D17" s="150" t="s">
        <v>1265</v>
      </c>
      <c r="E17" s="147" t="s">
        <v>618</v>
      </c>
      <c r="F17" s="159"/>
      <c r="G17" s="150"/>
      <c r="H17" s="142" t="s">
        <v>1036</v>
      </c>
      <c r="I17" s="143"/>
      <c r="J17" s="155"/>
      <c r="P17" s="155"/>
      <c r="Q17" s="155"/>
    </row>
    <row r="18" spans="1:17" ht="20.100000000000001" customHeight="1" x14ac:dyDescent="0.2">
      <c r="A18" s="5" t="str">
        <f>HYPERLINK("#'Input - Freight'!A1", "Freight")</f>
        <v>Freight</v>
      </c>
      <c r="D18" s="150" t="s">
        <v>1266</v>
      </c>
      <c r="E18" s="147" t="s">
        <v>1267</v>
      </c>
      <c r="F18" s="159"/>
      <c r="G18" s="150"/>
      <c r="H18" s="142" t="s">
        <v>1036</v>
      </c>
      <c r="I18" s="143"/>
      <c r="J18" s="155"/>
      <c r="L18" s="155"/>
      <c r="M18" s="155"/>
      <c r="N18" s="155"/>
      <c r="O18" s="155"/>
      <c r="P18" s="155"/>
      <c r="Q18" s="155"/>
    </row>
    <row r="19" spans="1:17" ht="20.100000000000001" customHeight="1" x14ac:dyDescent="0.2">
      <c r="A19" s="5" t="str">
        <f>HYPERLINK("#'Input - Solid waste'!A1", "Solid waste")</f>
        <v>Solid waste</v>
      </c>
      <c r="D19" s="150" t="s">
        <v>1268</v>
      </c>
      <c r="E19" s="147" t="s">
        <v>1269</v>
      </c>
      <c r="F19" s="159"/>
      <c r="G19" s="150"/>
      <c r="H19" s="142" t="s">
        <v>1036</v>
      </c>
      <c r="I19" s="143"/>
      <c r="J19" s="155"/>
      <c r="L19" s="155"/>
      <c r="M19" s="155"/>
      <c r="N19" s="155"/>
      <c r="O19" s="155"/>
      <c r="P19" s="155"/>
      <c r="Q19" s="155"/>
    </row>
    <row r="20" spans="1:17" ht="20.100000000000001" customHeight="1" x14ac:dyDescent="0.2">
      <c r="A20" s="5" t="str">
        <f>HYPERLINK("#'Input - Data quality'!A1", "Data quality")</f>
        <v>Data quality</v>
      </c>
      <c r="D20" s="150">
        <v>1</v>
      </c>
      <c r="E20" s="147" t="s">
        <v>271</v>
      </c>
      <c r="F20" s="159"/>
      <c r="G20" s="150"/>
      <c r="H20" s="142" t="s">
        <v>1036</v>
      </c>
      <c r="I20" s="143"/>
      <c r="J20" s="155"/>
      <c r="L20" s="155"/>
      <c r="M20" s="155"/>
      <c r="N20" s="155"/>
      <c r="O20" s="155"/>
      <c r="P20" s="155"/>
      <c r="Q20" s="155"/>
    </row>
    <row r="21" spans="1:17" ht="20.100000000000001" customHeight="1" x14ac:dyDescent="0.2">
      <c r="O21" s="155"/>
      <c r="P21" s="155"/>
      <c r="Q21" s="155"/>
    </row>
    <row r="22" spans="1:17" ht="20.100000000000001" customHeight="1" x14ac:dyDescent="0.2">
      <c r="D22" s="135" t="s">
        <v>566</v>
      </c>
    </row>
    <row r="23" spans="1:17" ht="20.100000000000001" customHeight="1" x14ac:dyDescent="0.2">
      <c r="A23" s="6" t="s">
        <v>2</v>
      </c>
      <c r="D23" s="136" t="s">
        <v>567</v>
      </c>
    </row>
    <row r="24" spans="1:17" ht="20.100000000000001" customHeight="1" x14ac:dyDescent="0.2">
      <c r="A24" s="5" t="str">
        <f>HYPERLINK("#'5.1.1.1-2 Inorganic fert N2O'!A1", "5.1.1.1-2 Inorganic fert N2O")</f>
        <v>5.1.1.1-2 Inorganic fert N2O</v>
      </c>
      <c r="D24" s="138" t="s">
        <v>568</v>
      </c>
      <c r="E24" s="138" t="s">
        <v>569</v>
      </c>
      <c r="F24" s="138" t="s">
        <v>570</v>
      </c>
      <c r="G24" s="138" t="s">
        <v>571</v>
      </c>
      <c r="H24" s="138" t="s">
        <v>572</v>
      </c>
      <c r="I24" s="138" t="s">
        <v>573</v>
      </c>
      <c r="J24" s="138" t="s">
        <v>574</v>
      </c>
      <c r="K24" s="138" t="s">
        <v>575</v>
      </c>
      <c r="L24" s="80" t="s">
        <v>576</v>
      </c>
      <c r="M24" s="138" t="s">
        <v>577</v>
      </c>
      <c r="N24" s="138" t="s">
        <v>578</v>
      </c>
      <c r="O24" s="138" t="s">
        <v>579</v>
      </c>
      <c r="P24" s="138" t="s">
        <v>580</v>
      </c>
      <c r="Q24" s="138" t="s">
        <v>581</v>
      </c>
    </row>
    <row r="25" spans="1:17" ht="20.100000000000001" customHeight="1" x14ac:dyDescent="0.2">
      <c r="A25" s="5" t="str">
        <f>HYPERLINK("#'5.1.1.3-4 Inorganic fert CO2'!A1", "5.1.1.3-4 Inorganic fert CO2")</f>
        <v>5.1.1.3-4 Inorganic fert CO2</v>
      </c>
      <c r="D25" s="25" t="str">
        <f>Table_FuelTypesPerUse[[#Headers],[Cars and light commercial vehicles]]</f>
        <v>Cars and light commercial vehicles</v>
      </c>
      <c r="E25" s="181" t="str">
        <f>'Constants - Fuel'!$E$10</f>
        <v>Gasoline</v>
      </c>
      <c r="F25" s="181" t="str">
        <f>'Constants - Fuel'!G131</f>
        <v>Petrol</v>
      </c>
      <c r="G25" s="15" cm="1">
        <f t="array" ref="G25">IFERROR(_xlfn.XLOOKUP(1, (Table_Fuel_EFs_Transport[Fuel combusted]=$E25)*(Table_Fuel_EFs_Transport[Transport type]=$D$25), Table_Fuel_EFs_Transport[Energy Content Factor (GJ per unit of fuel)]), 0)</f>
        <v>34.200000000000003</v>
      </c>
      <c r="H25" s="15" cm="1">
        <f t="array" ref="H25">IFERROR(_xlfn.XLOOKUP(1, (Table_Fuel_EFs_Transport[Fuel combusted]=$E25)*(Table_Fuel_EFs_Transport[Transport type]=$D$25), Table_Fuel_EFs_Transport[Scope 1 Emission Factor (kg CO2 - e / GJ) CO2]), 0)</f>
        <v>67.400000000000006</v>
      </c>
      <c r="I25" s="15" cm="1">
        <f t="array" ref="I25">IFERROR(_xlfn.XLOOKUP(1, (Table_Fuel_EFs_Transport[Fuel combusted]=$E25)*(Table_Fuel_EFs_Transport[Transport type]=$D$25), Table_Fuel_EFs_Transport[Scope 1 Emission Factor (kg CO2 - e / GJ) CH4]), 0)</f>
        <v>0.02</v>
      </c>
      <c r="J25" s="15" cm="1">
        <f t="array" ref="J25">IFERROR(_xlfn.XLOOKUP(1, (Table_Fuel_EFs_Transport[Fuel combusted]=$E25)*(Table_Fuel_EFs_Transport[Transport type]=$D$25), Table_Fuel_EFs_Transport[Scope 1 Emission Factor (kg CO2 - e / GJ) N2O]), 0)</f>
        <v>0.2</v>
      </c>
      <c r="K25" s="15" cm="1">
        <f t="array" ref="K25">IFERROR(_xlfn.XLOOKUP(1, (Table_Fuel_EFs_Transport[Fuel combusted]=$E25)*(Table_Fuel_EFs_Transport[Transport type]=$D$25), Table_Fuel_EFs_Transport[Scope 3 Emission Factor (kg CO2 - e / GJ)]), 0)</f>
        <v>17.2</v>
      </c>
      <c r="L25" s="161" cm="1">
        <f t="array" ref="L25">Fuel_InputFunctions.Fuel_TotalConsumption(Table_Input_Fuel[Amount consumed], Table_Input_Fuel[Fuel use (select)], D25, Table_Input_Fuel[Fuel type (select)],F25)</f>
        <v>0</v>
      </c>
      <c r="M25" s="161" t="str" cm="1">
        <f t="array" ref="M25">Common_InputFunctions.Utility_LookupValueInTable(F25,Table_FuelTypes_Units[Fuel type],Table_FuelTypes_Units[Unit])</f>
        <v>kL</v>
      </c>
      <c r="N25" s="182">
        <f>((($L25 * $G25 * $H25) * 10 ^ -3))</f>
        <v>0</v>
      </c>
      <c r="O25" s="182">
        <f>((($L25 * $G25 * $I25) * 10 ^ -3))</f>
        <v>0</v>
      </c>
      <c r="P25" s="182">
        <f>((($L25 * $G25 * $J25) * 10 ^ -3))</f>
        <v>0</v>
      </c>
      <c r="Q25" s="182">
        <f>((L25 * G25 * K25) * 10 ^ -3)</f>
        <v>0</v>
      </c>
    </row>
    <row r="26" spans="1:17" ht="20.100000000000001" customHeight="1" x14ac:dyDescent="0.2">
      <c r="A26" s="5" t="str">
        <f>HYPERLINK("#'5.2.1.1-2 Organic Fert N2O'!A1", "5.2.1.1-2 Organic fert N2O")</f>
        <v>5.2.1.1-2 Organic fert N2O</v>
      </c>
      <c r="D26" s="183" t="str">
        <f t="shared" ref="D26:D32" si="0">$D$25</f>
        <v>Cars and light commercial vehicles</v>
      </c>
      <c r="E26" s="181" t="str">
        <f>'Constants - Fuel'!$E$11</f>
        <v>Diesel oil</v>
      </c>
      <c r="F26" s="181" t="str">
        <f>'Constants - Fuel'!G132</f>
        <v>Diesel</v>
      </c>
      <c r="G26" s="15" cm="1">
        <f t="array" ref="G26">IFERROR(_xlfn.XLOOKUP(1, (Table_Fuel_EFs_Transport[Fuel combusted]=$E26)*(Table_Fuel_EFs_Transport[Transport type]=$D$25), Table_Fuel_EFs_Transport[Energy Content Factor (GJ per unit of fuel)]), 0)</f>
        <v>38.6</v>
      </c>
      <c r="H26" s="15" cm="1">
        <f t="array" ref="H26">IFERROR(_xlfn.XLOOKUP(1, (Table_Fuel_EFs_Transport[Fuel combusted]=$E26)*(Table_Fuel_EFs_Transport[Transport type]=$D$25), Table_Fuel_EFs_Transport[Scope 1 Emission Factor (kg CO2 - e / GJ) CO2]), 0)</f>
        <v>69.900000000000006</v>
      </c>
      <c r="I26" s="15" cm="1">
        <f t="array" ref="I26">IFERROR(_xlfn.XLOOKUP(1, (Table_Fuel_EFs_Transport[Fuel combusted]=$E26)*(Table_Fuel_EFs_Transport[Transport type]=$D$25), Table_Fuel_EFs_Transport[Scope 1 Emission Factor (kg CO2 - e / GJ) CH4]), 0)</f>
        <v>0.01</v>
      </c>
      <c r="J26" s="15" cm="1">
        <f t="array" ref="J26">IFERROR(_xlfn.XLOOKUP(1, (Table_Fuel_EFs_Transport[Fuel combusted]=$E26)*(Table_Fuel_EFs_Transport[Transport type]=$D$25), Table_Fuel_EFs_Transport[Scope 1 Emission Factor (kg CO2 - e / GJ) N2O]), 0)</f>
        <v>0.5</v>
      </c>
      <c r="K26" s="15" cm="1">
        <f t="array" ref="K26">IFERROR(_xlfn.XLOOKUP(1, (Table_Fuel_EFs_Transport[Fuel combusted]=$E26)*(Table_Fuel_EFs_Transport[Transport type]=$D$25), Table_Fuel_EFs_Transport[Scope 3 Emission Factor (kg CO2 - e / GJ)]), 0)</f>
        <v>17.3</v>
      </c>
      <c r="L26" s="161" cm="1">
        <f t="array" ref="L26">Fuel_InputFunctions.Fuel_TotalConsumption(Table_Input_Fuel[Amount consumed], Table_Input_Fuel[Fuel use (select)], D26, Table_Input_Fuel[Fuel type (select)],F26)</f>
        <v>10</v>
      </c>
      <c r="M26" s="161" t="str" cm="1">
        <f t="array" ref="M26">Common_InputFunctions.Utility_LookupValueInTable(F26,Table_FuelTypes_Units[Fuel type],Table_FuelTypes_Units[Unit])</f>
        <v>kL</v>
      </c>
      <c r="N26" s="182">
        <f>((($L26 * $G26 * $H26) * 10 ^ -3))</f>
        <v>26.981400000000001</v>
      </c>
      <c r="O26" s="182">
        <f>((($L26 * $G26 * $I26) * 10 ^ -3))</f>
        <v>3.8600000000000001E-3</v>
      </c>
      <c r="P26" s="182">
        <f>((($L26 * $G26 * $J26) * 10 ^ -3))</f>
        <v>0.193</v>
      </c>
      <c r="Q26" s="182">
        <f>((L26 * G26 * K26) * 10 ^ -3)</f>
        <v>6.6778000000000004</v>
      </c>
    </row>
    <row r="27" spans="1:17" ht="20.100000000000001" customHeight="1" x14ac:dyDescent="0.2">
      <c r="A27" s="5" t="str">
        <f>HYPERLINK("#'5.3.1.1-2 Lime CO2'!A1", "5.3.1.1-2 Lime CO2")</f>
        <v>5.3.1.1-2 Lime CO2</v>
      </c>
      <c r="D27" s="183" t="str">
        <f t="shared" si="0"/>
        <v>Cars and light commercial vehicles</v>
      </c>
      <c r="E27" s="181" t="str">
        <f>'Constants - Fuel'!$E$12</f>
        <v>Liquefied petroleum gas (LPG)</v>
      </c>
      <c r="F27" s="181" t="str">
        <f>'Constants - Fuel'!G133</f>
        <v>Liquefied petroleum gas (LPG)</v>
      </c>
      <c r="G27" s="15" cm="1">
        <f t="array" ref="G27">IFERROR(_xlfn.XLOOKUP(1, (Table_Fuel_EFs_Transport[Fuel combusted]=$E27)*(Table_Fuel_EFs_Transport[Transport type]=$D$25), Table_Fuel_EFs_Transport[Energy Content Factor (GJ per unit of fuel)]), 0)</f>
        <v>26.2</v>
      </c>
      <c r="H27" s="15" cm="1">
        <f t="array" ref="H27">IFERROR(_xlfn.XLOOKUP(1, (Table_Fuel_EFs_Transport[Fuel combusted]=$E27)*(Table_Fuel_EFs_Transport[Transport type]=$D$25), Table_Fuel_EFs_Transport[Scope 1 Emission Factor (kg CO2 - e / GJ) CO2]), 0)</f>
        <v>60.2</v>
      </c>
      <c r="I27" s="15" cm="1">
        <f t="array" ref="I27">IFERROR(_xlfn.XLOOKUP(1, (Table_Fuel_EFs_Transport[Fuel combusted]=$E27)*(Table_Fuel_EFs_Transport[Transport type]=$D$25), Table_Fuel_EFs_Transport[Scope 1 Emission Factor (kg CO2 - e / GJ) CH4]), 0)</f>
        <v>0.5</v>
      </c>
      <c r="J27" s="15" cm="1">
        <f t="array" ref="J27">IFERROR(_xlfn.XLOOKUP(1, (Table_Fuel_EFs_Transport[Fuel combusted]=$E27)*(Table_Fuel_EFs_Transport[Transport type]=$D$25), Table_Fuel_EFs_Transport[Scope 1 Emission Factor (kg CO2 - e / GJ) N2O]), 0)</f>
        <v>0.3</v>
      </c>
      <c r="K27" s="15" cm="1">
        <f t="array" ref="K27">IFERROR(_xlfn.XLOOKUP(1, (Table_Fuel_EFs_Transport[Fuel combusted]=$E27)*(Table_Fuel_EFs_Transport[Transport type]=$D$25), Table_Fuel_EFs_Transport[Scope 3 Emission Factor (kg CO2 - e / GJ)]), 0)</f>
        <v>20.2</v>
      </c>
      <c r="L27" s="161" cm="1">
        <f t="array" ref="L27">Fuel_InputFunctions.Fuel_TotalConsumption(Table_Input_Fuel[Amount consumed], Table_Input_Fuel[Fuel use (select)], D27, Table_Input_Fuel[Fuel type (select)],F27)</f>
        <v>0</v>
      </c>
      <c r="M27" s="161" t="str" cm="1">
        <f t="array" ref="M27">Common_InputFunctions.Utility_LookupValueInTable(F27,Table_FuelTypes_Units[Fuel type],Table_FuelTypes_Units[Unit])</f>
        <v>kL</v>
      </c>
      <c r="N27" s="182">
        <f>((($L27 * $G27 * $H27) * 10 ^ -3))</f>
        <v>0</v>
      </c>
      <c r="O27" s="182">
        <f>((($L27 * $G27 * $I27) * 10 ^ -3))</f>
        <v>0</v>
      </c>
      <c r="P27" s="182">
        <f>((($L27 * $G27 * $J27) * 10 ^ -3))</f>
        <v>0</v>
      </c>
      <c r="Q27" s="182">
        <f>((L27 * G27 * K27) * 10 ^ -3)</f>
        <v>0</v>
      </c>
    </row>
    <row r="28" spans="1:17" ht="20.100000000000001" customHeight="1" x14ac:dyDescent="0.2">
      <c r="A28" s="5" t="str">
        <f>HYPERLINK("#'5.4.1.1-4 Atmos deposition'!A1", "5.4.1.1-4 Atmos. deposition")</f>
        <v>5.4.1.1-4 Atmos. deposition</v>
      </c>
      <c r="D28" s="183" t="str">
        <f t="shared" si="0"/>
        <v>Cars and light commercial vehicles</v>
      </c>
      <c r="E28" s="181" t="str">
        <f>'Constants - Fuel'!$E$13</f>
        <v>Fuel oil</v>
      </c>
      <c r="F28" s="181" t="str">
        <f>'Constants - Fuel'!G134</f>
        <v>Fuel oil</v>
      </c>
      <c r="G28" s="15" cm="1">
        <f t="array" ref="G28">IFERROR(_xlfn.XLOOKUP(1, (Table_Fuel_EFs_Transport[Fuel combusted]=$E28)*(Table_Fuel_EFs_Transport[Transport type]=$D$25), Table_Fuel_EFs_Transport[Energy Content Factor (GJ per unit of fuel)]), 0)</f>
        <v>39.700000000000003</v>
      </c>
      <c r="H28" s="15" cm="1">
        <f t="array" ref="H28">IFERROR(_xlfn.XLOOKUP(1, (Table_Fuel_EFs_Transport[Fuel combusted]=$E28)*(Table_Fuel_EFs_Transport[Transport type]=$D$25), Table_Fuel_EFs_Transport[Scope 1 Emission Factor (kg CO2 - e / GJ) CO2]), 0)</f>
        <v>73.599999999999994</v>
      </c>
      <c r="I28" s="15" cm="1">
        <f t="array" ref="I28">IFERROR(_xlfn.XLOOKUP(1, (Table_Fuel_EFs_Transport[Fuel combusted]=$E28)*(Table_Fuel_EFs_Transport[Transport type]=$D$25), Table_Fuel_EFs_Transport[Scope 1 Emission Factor (kg CO2 - e / GJ) CH4]), 0)</f>
        <v>0.08</v>
      </c>
      <c r="J28" s="15" cm="1">
        <f t="array" ref="J28">IFERROR(_xlfn.XLOOKUP(1, (Table_Fuel_EFs_Transport[Fuel combusted]=$E28)*(Table_Fuel_EFs_Transport[Transport type]=$D$25), Table_Fuel_EFs_Transport[Scope 1 Emission Factor (kg CO2 - e / GJ) N2O]), 0)</f>
        <v>0.5</v>
      </c>
      <c r="K28" s="15" cm="1">
        <f t="array" ref="K28">IFERROR(_xlfn.XLOOKUP(1, (Table_Fuel_EFs_Transport[Fuel combusted]=$E28)*(Table_Fuel_EFs_Transport[Transport type]=$D$25), Table_Fuel_EFs_Transport[Scope 3 Emission Factor (kg CO2 - e / GJ)]), 0)</f>
        <v>18</v>
      </c>
      <c r="L28" s="161" cm="1">
        <f t="array" ref="L28">Fuel_InputFunctions.Fuel_TotalConsumption(Table_Input_Fuel[Amount consumed], Table_Input_Fuel[Fuel use (select)], D28, Table_Input_Fuel[Fuel type (select)],F28)</f>
        <v>0</v>
      </c>
      <c r="M28" s="161" t="str" cm="1">
        <f t="array" ref="M28">Common_InputFunctions.Utility_LookupValueInTable(F28,Table_FuelTypes_Units[Fuel type],Table_FuelTypes_Units[Unit])</f>
        <v>kL</v>
      </c>
      <c r="N28" s="182">
        <f>((($L28 * $G28 * $H28) * 10 ^ -3))</f>
        <v>0</v>
      </c>
      <c r="O28" s="182">
        <f>((($L28 * $G28 * $I28) * 10 ^ -3))</f>
        <v>0</v>
      </c>
      <c r="P28" s="182">
        <f>((($L28 * $G28 * $J28) * 10 ^ -3))</f>
        <v>0</v>
      </c>
      <c r="Q28" s="182">
        <f>((L28 * G28 * K28) * 10 ^ -3)</f>
        <v>0</v>
      </c>
    </row>
    <row r="29" spans="1:17" ht="20.100000000000001" customHeight="1" x14ac:dyDescent="0.2">
      <c r="A29" s="5" t="str">
        <f>HYPERLINK("#'5.5.1.1-2 Leaching and runoff'!A1", "5.5.1.1-2 Leaching &amp; runoff")</f>
        <v>5.5.1.1-2 Leaching &amp; runoff</v>
      </c>
      <c r="D29" s="183" t="str">
        <f t="shared" si="0"/>
        <v>Cars and light commercial vehicles</v>
      </c>
      <c r="E29" s="181" t="str">
        <f>'Constants - Fuel'!$E$14</f>
        <v>Ethanol</v>
      </c>
      <c r="F29" s="181" t="str">
        <f>'Constants - Fuel'!G135</f>
        <v>Ethanol</v>
      </c>
      <c r="G29" s="15" cm="1">
        <f t="array" ref="G29">IFERROR(_xlfn.XLOOKUP(1, (Table_Fuel_EFs_Transport[Fuel combusted]=$E29)*(Table_Fuel_EFs_Transport[Transport type]=$D$25), Table_Fuel_EFs_Transport[Energy Content Factor (GJ per unit of fuel)]), 0)</f>
        <v>23.4</v>
      </c>
      <c r="H29" s="15" cm="1">
        <f t="array" ref="H29">IFERROR(_xlfn.XLOOKUP(1, (Table_Fuel_EFs_Transport[Fuel combusted]=$E29)*(Table_Fuel_EFs_Transport[Transport type]=$D$25), Table_Fuel_EFs_Transport[Scope 1 Emission Factor (kg CO2 - e / GJ) CO2]), 0)</f>
        <v>0</v>
      </c>
      <c r="I29" s="15" cm="1">
        <f t="array" ref="I29">IFERROR(_xlfn.XLOOKUP(1, (Table_Fuel_EFs_Transport[Fuel combusted]=$E29)*(Table_Fuel_EFs_Transport[Transport type]=$D$25), Table_Fuel_EFs_Transport[Scope 1 Emission Factor (kg CO2 - e / GJ) CH4]), 0)</f>
        <v>0.2</v>
      </c>
      <c r="J29" s="15" cm="1">
        <f t="array" ref="J29">IFERROR(_xlfn.XLOOKUP(1, (Table_Fuel_EFs_Transport[Fuel combusted]=$E29)*(Table_Fuel_EFs_Transport[Transport type]=$D$25), Table_Fuel_EFs_Transport[Scope 1 Emission Factor (kg CO2 - e / GJ) N2O]), 0)</f>
        <v>0.2</v>
      </c>
      <c r="K29" s="15" t="str" cm="1">
        <f t="array" ref="K29">IFERROR(_xlfn.XLOOKUP(1, (Table_Fuel_EFs_Transport[Fuel combusted]=$E29)*(Table_Fuel_EFs_Transport[Transport type]=$D$25), Table_Fuel_EFs_Transport[Scope 3 Emission Factor (kg CO2 - e / GJ)]), 0)</f>
        <v>NE</v>
      </c>
      <c r="L29" s="161" cm="1">
        <f t="array" ref="L29">Fuel_InputFunctions.Fuel_TotalConsumption(Table_Input_Fuel[Amount consumed], Table_Input_Fuel[Fuel use (select)], D29, Table_Input_Fuel[Fuel type (select)],F29)</f>
        <v>0</v>
      </c>
      <c r="M29" s="161" t="str" cm="1">
        <f t="array" ref="M29">Common_InputFunctions.Utility_LookupValueInTable(F29,Table_FuelTypes_Units[Fuel type],Table_FuelTypes_Units[Unit])</f>
        <v>kL</v>
      </c>
      <c r="N29" s="182">
        <f>((($L29 * $G29 * $H29) * 10 ^ -3))</f>
        <v>0</v>
      </c>
      <c r="O29" s="182">
        <f>((($L29 * $G29 * $I29) * 10 ^ -3))</f>
        <v>0</v>
      </c>
      <c r="P29" s="182">
        <f>((($L29 * $G29 * $J29) * 10 ^ -3))</f>
        <v>0</v>
      </c>
      <c r="Q29" s="182">
        <f>((L29 * G29 * (IF(ISNUMBER(K29),K29,0))) * 10 ^ -3)</f>
        <v>0</v>
      </c>
    </row>
    <row r="30" spans="1:17" ht="20.100000000000001" customHeight="1" x14ac:dyDescent="0.2">
      <c r="A30" s="5" t="str">
        <f>HYPERLINK("#'6.1.1.1-2 Crop residue N2O'!A1", "6.1.1.1-2 Crop residue N2O")</f>
        <v>6.1.1.1-2 Crop residue N2O</v>
      </c>
      <c r="D30" s="183" t="str">
        <f t="shared" si="0"/>
        <v>Cars and light commercial vehicles</v>
      </c>
      <c r="E30" s="181" t="str">
        <f>'Constants - Fuel'!$E$15</f>
        <v>Biodiesel</v>
      </c>
      <c r="F30" s="181" t="str">
        <f>'Constants - Fuel'!G136</f>
        <v>Biodiesel</v>
      </c>
      <c r="G30" s="15" cm="1">
        <f t="array" ref="G30">IFERROR(_xlfn.XLOOKUP(1, (Table_Fuel_EFs_Transport[Fuel combusted]=$E30)*(Table_Fuel_EFs_Transport[Transport type]=$D$25), Table_Fuel_EFs_Transport[Energy Content Factor (GJ per unit of fuel)]), 0)</f>
        <v>34.6</v>
      </c>
      <c r="H30" s="15" cm="1">
        <f t="array" ref="H30">IFERROR(_xlfn.XLOOKUP(1, (Table_Fuel_EFs_Transport[Fuel combusted]=$E30)*(Table_Fuel_EFs_Transport[Transport type]=$D$25), Table_Fuel_EFs_Transport[Scope 1 Emission Factor (kg CO2 - e / GJ) CO2]), 0)</f>
        <v>0</v>
      </c>
      <c r="I30" s="15" cm="1">
        <f t="array" ref="I30">IFERROR(_xlfn.XLOOKUP(1, (Table_Fuel_EFs_Transport[Fuel combusted]=$E30)*(Table_Fuel_EFs_Transport[Transport type]=$D$25), Table_Fuel_EFs_Transport[Scope 1 Emission Factor (kg CO2 - e / GJ) CH4]), 0)</f>
        <v>0.8</v>
      </c>
      <c r="J30" s="15" cm="1">
        <f t="array" ref="J30">IFERROR(_xlfn.XLOOKUP(1, (Table_Fuel_EFs_Transport[Fuel combusted]=$E30)*(Table_Fuel_EFs_Transport[Transport type]=$D$25), Table_Fuel_EFs_Transport[Scope 1 Emission Factor (kg CO2 - e / GJ) N2O]), 0)</f>
        <v>1.7</v>
      </c>
      <c r="K30" s="15" t="str" cm="1">
        <f t="array" ref="K30">IFERROR(_xlfn.XLOOKUP(1, (Table_Fuel_EFs_Transport[Fuel combusted]=$E30)*(Table_Fuel_EFs_Transport[Transport type]=$D$25), Table_Fuel_EFs_Transport[Scope 3 Emission Factor (kg CO2 - e / GJ)]), 0)</f>
        <v>NE</v>
      </c>
      <c r="L30" s="161" cm="1">
        <f t="array" ref="L30">Fuel_InputFunctions.Fuel_TotalConsumption(Table_Input_Fuel[Amount consumed], Table_Input_Fuel[Fuel use (select)], D30, Table_Input_Fuel[Fuel type (select)],F30)</f>
        <v>0</v>
      </c>
      <c r="M30" s="161" t="str" cm="1">
        <f t="array" ref="M30">Common_InputFunctions.Utility_LookupValueInTable(F30,Table_FuelTypes_Units[Fuel type],Table_FuelTypes_Units[Unit])</f>
        <v>kL</v>
      </c>
      <c r="N30" s="182">
        <f>((($L30 * $G30 * $H30) * 10 ^ -3))</f>
        <v>0</v>
      </c>
      <c r="O30" s="182">
        <f>((($L30 * $G30 * $I30) * 10 ^ -3))</f>
        <v>0</v>
      </c>
      <c r="P30" s="182">
        <f>((($L30 * $G30 * $J30) * 10 ^ -3))</f>
        <v>0</v>
      </c>
      <c r="Q30" s="182">
        <f>((L30 * G30 * (IF(ISNUMBER(K30),K30,0))) * 10 ^ -3)</f>
        <v>0</v>
      </c>
    </row>
    <row r="31" spans="1:17" ht="20.100000000000001" customHeight="1" x14ac:dyDescent="0.2">
      <c r="A31" s="5" t="str">
        <f>HYPERLINK("#'6.3.1.1-2 Leach runoff crop'!A1", "6.3.1.1-2 Leach &amp; runoff (crop)")</f>
        <v>6.3.1.1-2 Leach &amp; runoff (crop)</v>
      </c>
      <c r="D31" s="183" t="str">
        <f t="shared" si="0"/>
        <v>Cars and light commercial vehicles</v>
      </c>
      <c r="E31" s="181" t="str">
        <f>'Constants - Fuel'!$E$16</f>
        <v>Renewable diesel</v>
      </c>
      <c r="F31" s="181" t="str">
        <f>'Constants - Fuel'!G137</f>
        <v>Renewable diesel</v>
      </c>
      <c r="G31" s="15" cm="1">
        <f t="array" ref="G31">IFERROR(_xlfn.XLOOKUP(1, (Table_Fuel_EFs_Transport[Fuel combusted]=$E31)*(Table_Fuel_EFs_Transport[Transport type]=$D$25), Table_Fuel_EFs_Transport[Energy Content Factor (GJ per unit of fuel)]), 0)</f>
        <v>38.6</v>
      </c>
      <c r="H31" s="15" cm="1">
        <f t="array" ref="H31">IFERROR(_xlfn.XLOOKUP(1, (Table_Fuel_EFs_Transport[Fuel combusted]=$E31)*(Table_Fuel_EFs_Transport[Transport type]=$D$25), Table_Fuel_EFs_Transport[Scope 1 Emission Factor (kg CO2 - e / GJ) CO2]), 0)</f>
        <v>0</v>
      </c>
      <c r="I31" s="15" cm="1">
        <f t="array" ref="I31">IFERROR(_xlfn.XLOOKUP(1, (Table_Fuel_EFs_Transport[Fuel combusted]=$E31)*(Table_Fuel_EFs_Transport[Transport type]=$D$25), Table_Fuel_EFs_Transport[Scope 1 Emission Factor (kg CO2 - e / GJ) CH4]), 0)</f>
        <v>0.01</v>
      </c>
      <c r="J31" s="15" cm="1">
        <f t="array" ref="J31">IFERROR(_xlfn.XLOOKUP(1, (Table_Fuel_EFs_Transport[Fuel combusted]=$E31)*(Table_Fuel_EFs_Transport[Transport type]=$D$25), Table_Fuel_EFs_Transport[Scope 1 Emission Factor (kg CO2 - e / GJ) N2O]), 0)</f>
        <v>0.5</v>
      </c>
      <c r="K31" s="15" t="str" cm="1">
        <f t="array" ref="K31">IFERROR(_xlfn.XLOOKUP(1, (Table_Fuel_EFs_Transport[Fuel combusted]=$E31)*(Table_Fuel_EFs_Transport[Transport type]=$D$25), Table_Fuel_EFs_Transport[Scope 3 Emission Factor (kg CO2 - e / GJ)]), 0)</f>
        <v>NE</v>
      </c>
      <c r="L31" s="161" cm="1">
        <f t="array" ref="L31">Fuel_InputFunctions.Fuel_TotalConsumption(Table_Input_Fuel[Amount consumed], Table_Input_Fuel[Fuel use (select)], D31, Table_Input_Fuel[Fuel type (select)],F31)</f>
        <v>0</v>
      </c>
      <c r="M31" s="161" t="str" cm="1">
        <f t="array" ref="M31">Common_InputFunctions.Utility_LookupValueInTable(F31,Table_FuelTypes_Units[Fuel type],Table_FuelTypes_Units[Unit])</f>
        <v>kL</v>
      </c>
      <c r="N31" s="182">
        <f>((($L31 * $G31 * $H31) * 10 ^ -3))</f>
        <v>0</v>
      </c>
      <c r="O31" s="182">
        <f>((($L31 * $G31 * $I31) * 10 ^ -3))</f>
        <v>0</v>
      </c>
      <c r="P31" s="182">
        <f>((($L31 * $G31 * $J31) * 10 ^ -3))</f>
        <v>0</v>
      </c>
      <c r="Q31" s="182">
        <f>((L31 * G31 * (IF(ISNUMBER(K31),K31,0))) * 10 ^ -3)</f>
        <v>0</v>
      </c>
    </row>
    <row r="32" spans="1:17" ht="20.100000000000001" customHeight="1" x14ac:dyDescent="0.2">
      <c r="A32" s="5" t="str">
        <f>HYPERLINK("#'6.4.1.1-2 Residue burning'!A1", "6.4.1.1-2 Residue burning")</f>
        <v>6.4.1.1-2 Residue burning</v>
      </c>
      <c r="D32" s="183" t="str">
        <f t="shared" si="0"/>
        <v>Cars and light commercial vehicles</v>
      </c>
      <c r="E32" s="181" t="str">
        <f>'Constants - Fuel'!$E$17</f>
        <v>Other biofuels</v>
      </c>
      <c r="F32" s="181" t="str">
        <f>'Constants - Fuel'!G138</f>
        <v>Other biofuels</v>
      </c>
      <c r="G32" s="15" cm="1">
        <f t="array" ref="G32">IFERROR(_xlfn.XLOOKUP(1, (Table_Fuel_EFs_Transport[Fuel combusted]=$E32)*(Table_Fuel_EFs_Transport[Transport type]=$D$25), Table_Fuel_EFs_Transport[Energy Content Factor (GJ per unit of fuel)]), 0)</f>
        <v>23.4</v>
      </c>
      <c r="H32" s="15" cm="1">
        <f t="array" ref="H32">IFERROR(_xlfn.XLOOKUP(1, (Table_Fuel_EFs_Transport[Fuel combusted]=$E32)*(Table_Fuel_EFs_Transport[Transport type]=$D$25), Table_Fuel_EFs_Transport[Scope 1 Emission Factor (kg CO2 - e / GJ) CO2]), 0)</f>
        <v>0</v>
      </c>
      <c r="I32" s="15" cm="1">
        <f t="array" ref="I32">IFERROR(_xlfn.XLOOKUP(1, (Table_Fuel_EFs_Transport[Fuel combusted]=$E32)*(Table_Fuel_EFs_Transport[Transport type]=$D$25), Table_Fuel_EFs_Transport[Scope 1 Emission Factor (kg CO2 - e / GJ) CH4]), 0)</f>
        <v>0.8</v>
      </c>
      <c r="J32" s="15" cm="1">
        <f t="array" ref="J32">IFERROR(_xlfn.XLOOKUP(1, (Table_Fuel_EFs_Transport[Fuel combusted]=$E32)*(Table_Fuel_EFs_Transport[Transport type]=$D$25), Table_Fuel_EFs_Transport[Scope 1 Emission Factor (kg CO2 - e / GJ) N2O]), 0)</f>
        <v>1.7</v>
      </c>
      <c r="K32" s="179" t="str" cm="1">
        <f t="array" ref="K32">IFERROR(_xlfn.XLOOKUP(1, (Table_Fuel_EFs_Transport[Fuel combusted]=$E32)*(Table_Fuel_EFs_Transport[Transport type]=$D$25), Table_Fuel_EFs_Transport[Scope 3 Emission Factor (kg CO2 - e / GJ)]), 0)</f>
        <v>NE</v>
      </c>
      <c r="L32" s="184" cm="1">
        <f t="array" ref="L32">Fuel_InputFunctions.Fuel_TotalConsumption(Table_Input_Fuel[Amount consumed], Table_Input_Fuel[Fuel use (select)], D32, Table_Input_Fuel[Fuel type (select)],F32)</f>
        <v>0</v>
      </c>
      <c r="M32" s="161" t="str" cm="1">
        <f t="array" ref="M32">Common_InputFunctions.Utility_LookupValueInTable(F32,Table_FuelTypes_Units[Fuel type],Table_FuelTypes_Units[Unit])</f>
        <v>kL</v>
      </c>
      <c r="N32" s="185">
        <f>((($L32 * $G32 * $H32) * 10 ^ -3))</f>
        <v>0</v>
      </c>
      <c r="O32" s="185">
        <f>((($L32 * $G32 * $I32) * 10 ^ -3))</f>
        <v>0</v>
      </c>
      <c r="P32" s="185">
        <f>((($L32 * $G32 * $J32) * 10 ^ -3))</f>
        <v>0</v>
      </c>
      <c r="Q32" s="182">
        <f>((L32 * G32 * (IF(ISNUMBER(K32),K32,0))) * 10 ^ -3)</f>
        <v>0</v>
      </c>
    </row>
    <row r="33" spans="1:17" ht="20.100000000000001" customHeight="1" x14ac:dyDescent="0.2">
      <c r="A33" s="144" t="str">
        <f>HYPERLINK("#'8.1.1.1-2 Transport fuel'!A1", "8.1.1.1-2 Transport fuel")</f>
        <v>8.1.1.1-2 Transport fuel</v>
      </c>
      <c r="D33" s="186" t="str">
        <f>Table_FuelTypesPerUse[[#Headers],[Off-road Agriculture and forestry equipment]]</f>
        <v>Off-road Agriculture and forestry equipment</v>
      </c>
      <c r="E33" s="187" t="str">
        <f>'Constants - Fuel'!$E$11</f>
        <v>Diesel oil</v>
      </c>
      <c r="F33" s="187" t="str">
        <f>'Constants - Fuel'!H131</f>
        <v>Diesel</v>
      </c>
      <c r="G33" s="188" cm="1">
        <f t="array" ref="G33">IFERROR(_xlfn.XLOOKUP(1, (Table_Fuel_EFs_Transport[Fuel combusted]=$E33)*(Table_Fuel_EFs_Transport[Transport type]=$D$33), Table_Fuel_EFs_Transport[Energy Content Factor (GJ per unit of fuel)]), 0)</f>
        <v>38.6</v>
      </c>
      <c r="H33" s="188" cm="1">
        <f t="array" ref="H33">IFERROR(_xlfn.XLOOKUP(1, (Table_Fuel_EFs_Transport[Fuel combusted]=$E33)*(Table_Fuel_EFs_Transport[Transport type]=$D$33), Table_Fuel_EFs_Transport[Scope 1 Emission Factor (kg CO2 - e / GJ) CO2]), 0)</f>
        <v>69.900000000000006</v>
      </c>
      <c r="I33" s="188" cm="1">
        <f t="array" ref="I33">IFERROR(_xlfn.XLOOKUP(1, (Table_Fuel_EFs_Transport[Fuel combusted]=$E33)*(Table_Fuel_EFs_Transport[Transport type]=$D$33), Table_Fuel_EFs_Transport[Scope 1 Emission Factor (kg CO2 - e / GJ) CH4]), 0)</f>
        <v>0.3</v>
      </c>
      <c r="J33" s="188" cm="1">
        <f t="array" ref="J33">IFERROR(_xlfn.XLOOKUP(1, (Table_Fuel_EFs_Transport[Fuel combusted]=$E33)*(Table_Fuel_EFs_Transport[Transport type]=$D$33), Table_Fuel_EFs_Transport[Scope 1 Emission Factor (kg CO2 - e / GJ) N2O]), 0)</f>
        <v>0.5</v>
      </c>
      <c r="K33" s="189" cm="1">
        <f t="array" ref="K33">IFERROR(_xlfn.XLOOKUP(1, (Table_Fuel_EFs_Transport[Fuel combusted]=$E33)*(Table_Fuel_EFs_Transport[Transport type]=$D$25), Table_Fuel_EFs_Transport[Scope 3 Emission Factor (kg CO2 - e / GJ)]), 0)</f>
        <v>17.3</v>
      </c>
      <c r="L33" s="190" cm="1">
        <f t="array" ref="L33">Fuel_InputFunctions.Fuel_TotalConsumption(Table_Input_Fuel[Amount consumed], Table_Input_Fuel[Fuel use (select)], D33, Table_Input_Fuel[Fuel type (select)],F33)</f>
        <v>10</v>
      </c>
      <c r="M33" s="191" t="str" cm="1">
        <f t="array" ref="M33">Common_InputFunctions.Utility_LookupValueInTable(F33,Table_FuelTypes_Units[Fuel type],Table_FuelTypes_Units[Unit])</f>
        <v>kL</v>
      </c>
      <c r="N33" s="192">
        <f>((($L33 * $G33 * $H33) * 10 ^ -3))</f>
        <v>26.981400000000001</v>
      </c>
      <c r="O33" s="192">
        <f>((($L33 * $G33 * $I33) * 10 ^ -3))</f>
        <v>0.1158</v>
      </c>
      <c r="P33" s="192">
        <f>((($L33 * $G33 * $J33) * 10 ^ -3))</f>
        <v>0.193</v>
      </c>
      <c r="Q33" s="193">
        <f>((L33 * G33 * K33) * 10 ^ -3)</f>
        <v>6.6778000000000004</v>
      </c>
    </row>
    <row r="34" spans="1:17" ht="20.100000000000001" customHeight="1" x14ac:dyDescent="0.2">
      <c r="A34" s="5" t="str">
        <f>HYPERLINK("#'8.2.1.1-2 Stationary fuel'!A1", "8.2.1.1-2 Stationary fuel")</f>
        <v>8.2.1.1-2 Stationary fuel</v>
      </c>
      <c r="D34" s="186" t="str">
        <f>Table_FuelTypesPerUse[[#Headers],[Aviation]]</f>
        <v>Aviation</v>
      </c>
      <c r="E34" s="187" t="str">
        <f>'Constants - Fuel'!$E$28</f>
        <v>Gasoline for use as fuel in an aircraft</v>
      </c>
      <c r="F34" s="187" t="str">
        <f>'Constants - Fuel'!$F$131</f>
        <v>Avgas</v>
      </c>
      <c r="G34" s="194" cm="1">
        <f t="array" ref="G34">IFERROR(_xlfn.XLOOKUP(1, (Table_Fuel_EFs_Transport[Fuel combusted]=$E34)*(Table_Fuel_EFs_Transport[Transport type]=$D$34), Table_Fuel_EFs_Transport[Energy Content Factor (GJ per unit of fuel)]), 0)</f>
        <v>33.1</v>
      </c>
      <c r="H34" s="194" cm="1">
        <f t="array" ref="H34">IFERROR(_xlfn.XLOOKUP(1, (Table_Fuel_EFs_Transport[Fuel combusted]=$E34)*(Table_Fuel_EFs_Transport[Transport type]=$D$34), Table_Fuel_EFs_Transport[Scope 1 Emission Factor (kg CO2 - e / GJ) CO2]), 0)</f>
        <v>67</v>
      </c>
      <c r="I34" s="194" cm="1">
        <f t="array" ref="I34">IFERROR(_xlfn.XLOOKUP(1, (Table_Fuel_EFs_Transport[Fuel combusted]=$E34)*(Table_Fuel_EFs_Transport[Transport type]=$D$34), Table_Fuel_EFs_Transport[Scope 1 Emission Factor (kg CO2 - e / GJ) CH4]), 0)</f>
        <v>0.06</v>
      </c>
      <c r="J34" s="194" cm="1">
        <f t="array" ref="J34">IFERROR(_xlfn.XLOOKUP(1, (Table_Fuel_EFs_Transport[Fuel combusted]=$E34)*(Table_Fuel_EFs_Transport[Transport type]=$D$34), Table_Fuel_EFs_Transport[Scope 1 Emission Factor (kg CO2 - e / GJ) N2O]), 0)</f>
        <v>0.6</v>
      </c>
      <c r="K34" s="194" cm="1">
        <f t="array" ref="K34">IFERROR(_xlfn.XLOOKUP(1, (Table_Fuel_EFs_Transport[Fuel combusted]=$E34)*(Table_Fuel_EFs_Transport[Transport type]=$D$25), Table_Fuel_EFs_Transport[Scope 3 Emission Factor (kg CO2 - e / GJ)]), 0)</f>
        <v>0</v>
      </c>
      <c r="L34" s="191" cm="1">
        <f t="array" ref="L34">Fuel_InputFunctions.Fuel_TotalConsumption(Table_Input_Fuel[Amount consumed], Table_Input_Fuel[Fuel use (select)], D34, Table_Input_Fuel[Fuel type (select)],F34)</f>
        <v>0</v>
      </c>
      <c r="M34" s="191" t="str" cm="1">
        <f t="array" ref="M34">Common_InputFunctions.Utility_LookupValueInTable(F34,Table_FuelTypes_Units[Fuel type],Table_FuelTypes_Units[Unit])</f>
        <v>kL</v>
      </c>
      <c r="N34" s="192">
        <f>((($L34 * $G34 * $H34) * 10 ^ -3))</f>
        <v>0</v>
      </c>
      <c r="O34" s="192">
        <f>((($L34 * $G34 * $I34) * 10 ^ -3))</f>
        <v>0</v>
      </c>
      <c r="P34" s="192">
        <f>((($L34 * $G34 * $J34) * 10 ^ -3))</f>
        <v>0</v>
      </c>
      <c r="Q34" s="192">
        <f>((L34 * G34 * K34) * 10 ^ -3)</f>
        <v>0</v>
      </c>
    </row>
    <row r="35" spans="1:17" ht="20.100000000000001" customHeight="1" x14ac:dyDescent="0.2">
      <c r="A35" s="5" t="str">
        <f>HYPERLINK("#'10.1.1-2 Solid waste treatment'!A1", "10.1.1.1-2 Solid waste")</f>
        <v>10.1.1.1-2 Solid waste</v>
      </c>
      <c r="D35" s="183" t="str">
        <f>$D$34</f>
        <v>Aviation</v>
      </c>
      <c r="E35" s="181" t="str">
        <f>'Constants - Fuel'!$E$29</f>
        <v>Kerosene for use as fuel in an aircraft</v>
      </c>
      <c r="F35" s="181" t="str">
        <f>'Constants - Fuel'!$F$132</f>
        <v>Jet A1, Jet B</v>
      </c>
      <c r="G35" s="15" cm="1">
        <f t="array" ref="G35">IFERROR(_xlfn.XLOOKUP(1, (Table_Fuel_EFs_Transport[Fuel combusted]=$E35)*(Table_Fuel_EFs_Transport[Transport type]=$D$34), Table_Fuel_EFs_Transport[Energy Content Factor (GJ per unit of fuel)]), 0)</f>
        <v>36.799999999999997</v>
      </c>
      <c r="H35" s="15" cm="1">
        <f t="array" ref="H35">IFERROR(_xlfn.XLOOKUP(1, (Table_Fuel_EFs_Transport[Fuel combusted]=$E35)*(Table_Fuel_EFs_Transport[Transport type]=$D$34), Table_Fuel_EFs_Transport[Scope 1 Emission Factor (kg CO2 - e / GJ) CO2]), 0)</f>
        <v>69.599999999999994</v>
      </c>
      <c r="I35" s="15" cm="1">
        <f t="array" ref="I35">IFERROR(_xlfn.XLOOKUP(1, (Table_Fuel_EFs_Transport[Fuel combusted]=$E35)*(Table_Fuel_EFs_Transport[Transport type]=$D$34), Table_Fuel_EFs_Transport[Scope 1 Emission Factor (kg CO2 - e / GJ) CH4]), 0)</f>
        <v>0.01</v>
      </c>
      <c r="J35" s="15" cm="1">
        <f t="array" ref="J35">IFERROR(_xlfn.XLOOKUP(1, (Table_Fuel_EFs_Transport[Fuel combusted]=$E35)*(Table_Fuel_EFs_Transport[Transport type]=$D$34), Table_Fuel_EFs_Transport[Scope 1 Emission Factor (kg CO2 - e / GJ) N2O]), 0)</f>
        <v>0.6</v>
      </c>
      <c r="K35" s="15" cm="1">
        <f t="array" ref="K35">IFERROR(_xlfn.XLOOKUP(1, (Table_Fuel_EFs_Transport[Fuel combusted]=$E35)*(Table_Fuel_EFs_Transport[Transport type]=$D$25), Table_Fuel_EFs_Transport[Scope 3 Emission Factor (kg CO2 - e / GJ)]), 0)</f>
        <v>0</v>
      </c>
      <c r="L35" s="161" cm="1">
        <f t="array" ref="L35">Fuel_InputFunctions.Fuel_TotalConsumption(Table_Input_Fuel[Amount consumed], Table_Input_Fuel[Fuel use (select)], D35, Table_Input_Fuel[Fuel type (select)],F35)</f>
        <v>0</v>
      </c>
      <c r="M35" s="161" t="str" cm="1">
        <f t="array" ref="M35">Common_InputFunctions.Utility_LookupValueInTable(F35,Table_FuelTypes_Units[Fuel type],Table_FuelTypes_Units[Unit])</f>
        <v>kL</v>
      </c>
      <c r="N35" s="182">
        <f>((($L35 * $G35 * $H35) * 10 ^ -3))</f>
        <v>0</v>
      </c>
      <c r="O35" s="182">
        <f>((($L35 * $G35 * $I35) * 10 ^ -3))</f>
        <v>0</v>
      </c>
      <c r="P35" s="182">
        <f>((($L35 * $G35 * $J35) * 10 ^ -3))</f>
        <v>0</v>
      </c>
      <c r="Q35" s="182">
        <f>((L35 * G35 * K35) * 10 ^ -3)</f>
        <v>0</v>
      </c>
    </row>
    <row r="36" spans="1:17" ht="20.100000000000001" customHeight="1" x14ac:dyDescent="0.2">
      <c r="A36" s="5" t="str">
        <f>HYPERLINK("#'14.1.1-2 Purchased electricity'!A1", "14.1.1-2 Purchased electricity")</f>
        <v>14.1.1-2 Purchased electricity</v>
      </c>
      <c r="D36" s="183" t="str">
        <f>$D$34</f>
        <v>Aviation</v>
      </c>
      <c r="E36" s="181" t="str">
        <f>'Constants - Fuel'!$E$30</f>
        <v>Renewable aviation kerosene</v>
      </c>
      <c r="F36" s="181" t="str">
        <f>'Constants - Fuel'!$F$133</f>
        <v>Renewable aviation kerosene</v>
      </c>
      <c r="G36" s="179" cm="1">
        <f t="array" ref="G36">IFERROR(_xlfn.XLOOKUP(1, (Table_Fuel_EFs_Transport[Fuel combusted]=$E36)*(Table_Fuel_EFs_Transport[Transport type]=$D$34), Table_Fuel_EFs_Transport[Energy Content Factor (GJ per unit of fuel)]), 0)</f>
        <v>36.799999999999997</v>
      </c>
      <c r="H36" s="179" cm="1">
        <f t="array" ref="H36">IFERROR(_xlfn.XLOOKUP(1, (Table_Fuel_EFs_Transport[Fuel combusted]=$E36)*(Table_Fuel_EFs_Transport[Transport type]=$D$34), Table_Fuel_EFs_Transport[Scope 1 Emission Factor (kg CO2 - e / GJ) CO2]), 0)</f>
        <v>0</v>
      </c>
      <c r="I36" s="179" cm="1">
        <f t="array" ref="I36">IFERROR(_xlfn.XLOOKUP(1, (Table_Fuel_EFs_Transport[Fuel combusted]=$E36)*(Table_Fuel_EFs_Transport[Transport type]=$D$34), Table_Fuel_EFs_Transport[Scope 1 Emission Factor (kg CO2 - e / GJ) CH4]), 0)</f>
        <v>0.01</v>
      </c>
      <c r="J36" s="179" cm="1">
        <f t="array" ref="J36">IFERROR(_xlfn.XLOOKUP(1, (Table_Fuel_EFs_Transport[Fuel combusted]=$E36)*(Table_Fuel_EFs_Transport[Transport type]=$D$34), Table_Fuel_EFs_Transport[Scope 1 Emission Factor (kg CO2 - e / GJ) N2O]), 0)</f>
        <v>0.6</v>
      </c>
      <c r="K36" s="179" cm="1">
        <f t="array" ref="K36">IFERROR(_xlfn.XLOOKUP(1, (Table_Fuel_EFs_Transport[Fuel combusted]=$E36)*(Table_Fuel_EFs_Transport[Transport type]=$D$25), Table_Fuel_EFs_Transport[Scope 3 Emission Factor (kg CO2 - e / GJ)]), 0)</f>
        <v>0</v>
      </c>
      <c r="L36" s="184" cm="1">
        <f t="array" ref="L36">Fuel_InputFunctions.Fuel_TotalConsumption(Table_Input_Fuel[Amount consumed], Table_Input_Fuel[Fuel use (select)], D36, Table_Input_Fuel[Fuel type (select)],F36)</f>
        <v>0</v>
      </c>
      <c r="M36" s="161" t="str" cm="1">
        <f t="array" ref="M36">Common_InputFunctions.Utility_LookupValueInTable(F36,Table_FuelTypes_Units[Fuel type],Table_FuelTypes_Units[Unit])</f>
        <v>kL</v>
      </c>
      <c r="N36" s="182">
        <f>((($L36 * $G36 * $H36) * 10 ^ -3))</f>
        <v>0</v>
      </c>
      <c r="O36" s="182">
        <f>((($L36 * $G36 * $I36) * 10 ^ -3))</f>
        <v>0</v>
      </c>
      <c r="P36" s="182">
        <f>((($L36 * $G36 * $J36) * 10 ^ -3))</f>
        <v>0</v>
      </c>
      <c r="Q36" s="185">
        <f>((L36 * G36 * K36) * 10 ^ -3)</f>
        <v>0</v>
      </c>
    </row>
    <row r="37" spans="1:17" ht="20.100000000000001" customHeight="1" x14ac:dyDescent="0.2">
      <c r="A37" s="5" t="str">
        <f>HYPERLINK("#'15 Scope 3'!A1", "15 Scope 3")</f>
        <v>15 Scope 3</v>
      </c>
      <c r="D37" s="186" t="str">
        <f>Table_FuelTypesPerUse[[#Headers],[Vessels]]</f>
        <v>Vessels</v>
      </c>
      <c r="E37" s="187" t="str">
        <f>'Constants - Fuel'!$E$10</f>
        <v>Gasoline</v>
      </c>
      <c r="F37" s="187" t="str">
        <f>'Constants - Fuel'!$I$131</f>
        <v>Petrol</v>
      </c>
      <c r="G37" s="194" cm="1">
        <f t="array" ref="G37">IFERROR(_xlfn.XLOOKUP(1, (Table_Fuel_EFs_Transport[Fuel combusted]=$E37)*(Table_Fuel_EFs_Transport[Transport type]=$D$37), Table_Fuel_EFs_Transport[Energy Content Factor (GJ per unit of fuel)]), 0)</f>
        <v>34.200000000000003</v>
      </c>
      <c r="H37" s="194" cm="1">
        <f t="array" ref="H37">IFERROR(_xlfn.XLOOKUP(1, (Table_Fuel_EFs_Transport[Fuel combusted]=$E37)*(Table_Fuel_EFs_Transport[Transport type]=$D$37), Table_Fuel_EFs_Transport[Scope 1 Emission Factor (kg CO2 - e / GJ) CO2]), 0)</f>
        <v>67.400000000000006</v>
      </c>
      <c r="I37" s="194" cm="1">
        <f t="array" ref="I37">IFERROR(_xlfn.XLOOKUP(1, (Table_Fuel_EFs_Transport[Fuel combusted]=$E37)*(Table_Fuel_EFs_Transport[Transport type]=$D$37), Table_Fuel_EFs_Transport[Scope 1 Emission Factor (kg CO2 - e / GJ) CH4]), 0)</f>
        <v>10.1</v>
      </c>
      <c r="J37" s="194" cm="1">
        <f t="array" ref="J37">IFERROR(_xlfn.XLOOKUP(1, (Table_Fuel_EFs_Transport[Fuel combusted]=$E37)*(Table_Fuel_EFs_Transport[Transport type]=$D$37), Table_Fuel_EFs_Transport[Scope 1 Emission Factor (kg CO2 - e / GJ) N2O]), 0)</f>
        <v>0.3</v>
      </c>
      <c r="K37" s="194" cm="1">
        <f t="array" ref="K37">IFERROR(_xlfn.XLOOKUP(1, (Table_Fuel_EFs_Transport[Fuel combusted]=$E37)*(Table_Fuel_EFs_Transport[Transport type]=$D$25), Table_Fuel_EFs_Transport[Scope 3 Emission Factor (kg CO2 - e / GJ)]), 0)</f>
        <v>17.2</v>
      </c>
      <c r="L37" s="191" cm="1">
        <f t="array" ref="L37">Fuel_InputFunctions.Fuel_TotalConsumption(Table_Input_Fuel[Amount consumed], Table_Input_Fuel[Fuel use (select)], D37, Table_Input_Fuel[Fuel type (select)],F37)</f>
        <v>0</v>
      </c>
      <c r="M37" s="195" t="str" cm="1">
        <f t="array" ref="M37">Common_InputFunctions.Utility_LookupValueInTable(F37,Table_FuelTypes_Units[Fuel type],Table_FuelTypes_Units[Unit])</f>
        <v>kL</v>
      </c>
      <c r="N37" s="192">
        <f>((($L37 * $G37 * $H37) * 10 ^ -3))</f>
        <v>0</v>
      </c>
      <c r="O37" s="192">
        <f>((($L37 * $G37 * $I37) * 10 ^ -3))</f>
        <v>0</v>
      </c>
      <c r="P37" s="192">
        <f>((($L37 * $G37 * $J37) * 10 ^ -3))</f>
        <v>0</v>
      </c>
      <c r="Q37" s="192">
        <f>((L37 * G37 * K37) * 10 ^ -3)</f>
        <v>0</v>
      </c>
    </row>
    <row r="38" spans="1:17" ht="20.100000000000001" customHeight="1" x14ac:dyDescent="0.2">
      <c r="D38" s="183" t="str">
        <f>$D$37</f>
        <v>Vessels</v>
      </c>
      <c r="E38" s="181" t="str">
        <f>'Constants - Fuel'!$E$11</f>
        <v>Diesel oil</v>
      </c>
      <c r="F38" s="181" t="str">
        <f>'Constants - Fuel'!$I$132</f>
        <v>Diesel</v>
      </c>
      <c r="G38" s="15" cm="1">
        <f t="array" ref="G38">IFERROR(_xlfn.XLOOKUP(1, (Table_Fuel_EFs_Transport[Fuel combusted]=$E38)*(Table_Fuel_EFs_Transport[Transport type]=$D$37), Table_Fuel_EFs_Transport[Energy Content Factor (GJ per unit of fuel)]), 0)</f>
        <v>38.6</v>
      </c>
      <c r="H38" s="15" cm="1">
        <f t="array" ref="H38">IFERROR(_xlfn.XLOOKUP(1, (Table_Fuel_EFs_Transport[Fuel combusted]=$E38)*(Table_Fuel_EFs_Transport[Transport type]=$D$37), Table_Fuel_EFs_Transport[Scope 1 Emission Factor (kg CO2 - e / GJ) CO2]), 0)</f>
        <v>69.900000000000006</v>
      </c>
      <c r="I38" s="15" cm="1">
        <f t="array" ref="I38">IFERROR(_xlfn.XLOOKUP(1, (Table_Fuel_EFs_Transport[Fuel combusted]=$E38)*(Table_Fuel_EFs_Transport[Transport type]=$D$37), Table_Fuel_EFs_Transport[Scope 1 Emission Factor (kg CO2 - e / GJ) CH4]), 0)</f>
        <v>0.2</v>
      </c>
      <c r="J38" s="15" cm="1">
        <f t="array" ref="J38">IFERROR(_xlfn.XLOOKUP(1, (Table_Fuel_EFs_Transport[Fuel combusted]=$E38)*(Table_Fuel_EFs_Transport[Transport type]=$D$37), Table_Fuel_EFs_Transport[Scope 1 Emission Factor (kg CO2 - e / GJ) N2O]), 0)</f>
        <v>0.5</v>
      </c>
      <c r="K38" s="15" cm="1">
        <f t="array" ref="K38">IFERROR(_xlfn.XLOOKUP(1, (Table_Fuel_EFs_Transport[Fuel combusted]=$E38)*(Table_Fuel_EFs_Transport[Transport type]=$D$25), Table_Fuel_EFs_Transport[Scope 3 Emission Factor (kg CO2 - e / GJ)]), 0)</f>
        <v>17.3</v>
      </c>
      <c r="L38" s="161" cm="1">
        <f t="array" ref="L38">Fuel_InputFunctions.Fuel_TotalConsumption(Table_Input_Fuel[Amount consumed], Table_Input_Fuel[Fuel use (select)], D38, Table_Input_Fuel[Fuel type (select)],F38)</f>
        <v>0</v>
      </c>
      <c r="M38" s="161" t="str" cm="1">
        <f t="array" ref="M38">Common_InputFunctions.Utility_LookupValueInTable(F38,Table_FuelTypes_Units[Fuel type],Table_FuelTypes_Units[Unit])</f>
        <v>kL</v>
      </c>
      <c r="N38" s="182">
        <f>((($L38 * $G38 * $H38) * 10 ^ -3))</f>
        <v>0</v>
      </c>
      <c r="O38" s="182">
        <f>((($L38 * $G38 * $I38) * 10 ^ -3))</f>
        <v>0</v>
      </c>
      <c r="P38" s="182">
        <f>((($L38 * $G38 * $J38) * 10 ^ -3))</f>
        <v>0</v>
      </c>
      <c r="Q38" s="182">
        <f>((L38 * G38 * K38) * 10 ^ -3)</f>
        <v>0</v>
      </c>
    </row>
    <row r="39" spans="1:17" ht="20.100000000000001" customHeight="1" x14ac:dyDescent="0.2">
      <c r="D39" s="183" t="str">
        <f>$D$37</f>
        <v>Vessels</v>
      </c>
      <c r="E39" s="181" t="str">
        <f>'Constants - Fuel'!E33</f>
        <v>Fuel Oil</v>
      </c>
      <c r="F39" s="181" t="str">
        <f>'Constants - Fuel'!$I$133</f>
        <v>Fuel oil</v>
      </c>
      <c r="G39" s="15" cm="1">
        <f t="array" ref="G39">IFERROR(_xlfn.XLOOKUP(1, (Table_Fuel_EFs_Transport[Fuel combusted]=$E39)*(Table_Fuel_EFs_Transport[Transport type]=$D$37), Table_Fuel_EFs_Transport[Energy Content Factor (GJ per unit of fuel)]), 0)</f>
        <v>39.700000000000003</v>
      </c>
      <c r="H39" s="15" cm="1">
        <f t="array" ref="H39">IFERROR(_xlfn.XLOOKUP(1, (Table_Fuel_EFs_Transport[Fuel combusted]=$E39)*(Table_Fuel_EFs_Transport[Transport type]=$D$37), Table_Fuel_EFs_Transport[Scope 1 Emission Factor (kg CO2 - e / GJ) CO2]), 0)</f>
        <v>73.599999999999994</v>
      </c>
      <c r="I39" s="15" cm="1">
        <f t="array" ref="I39">IFERROR(_xlfn.XLOOKUP(1, (Table_Fuel_EFs_Transport[Fuel combusted]=$E39)*(Table_Fuel_EFs_Transport[Transport type]=$D$37), Table_Fuel_EFs_Transport[Scope 1 Emission Factor (kg CO2 - e / GJ) CH4]), 0)</f>
        <v>0.2</v>
      </c>
      <c r="J39" s="15" cm="1">
        <f t="array" ref="J39">IFERROR(_xlfn.XLOOKUP(1, (Table_Fuel_EFs_Transport[Fuel combusted]=$E39)*(Table_Fuel_EFs_Transport[Transport type]=$D$37), Table_Fuel_EFs_Transport[Scope 1 Emission Factor (kg CO2 - e / GJ) N2O]), 0)</f>
        <v>0.5</v>
      </c>
      <c r="K39" s="15" cm="1">
        <f t="array" ref="K39">IFERROR(_xlfn.XLOOKUP(1, (Table_Fuel_EFs_Transport[Fuel combusted]=$E39)*(Table_Fuel_EFs_Transport[Transport type]=$D$25), Table_Fuel_EFs_Transport[Scope 3 Emission Factor (kg CO2 - e / GJ)]), 0)</f>
        <v>18</v>
      </c>
      <c r="L39" s="161" cm="1">
        <f t="array" ref="L39">Fuel_InputFunctions.Fuel_TotalConsumption(Table_Input_Fuel[Amount consumed], Table_Input_Fuel[Fuel use (select)], D39, Table_Input_Fuel[Fuel type (select)],F39)</f>
        <v>10</v>
      </c>
      <c r="M39" s="161" t="str" cm="1">
        <f t="array" ref="M39">Common_InputFunctions.Utility_LookupValueInTable(F39,Table_FuelTypes_Units[Fuel type],Table_FuelTypes_Units[Unit])</f>
        <v>kL</v>
      </c>
      <c r="N39" s="182">
        <f>((($L39 * $G39 * $H39) * 10 ^ -3))</f>
        <v>29.219199999999997</v>
      </c>
      <c r="O39" s="182">
        <f>((($L39 * $G39 * $I39) * 10 ^ -3))</f>
        <v>7.9400000000000012E-2</v>
      </c>
      <c r="P39" s="182">
        <f>((($L39 * $G39 * $J39) * 10 ^ -3))</f>
        <v>0.19850000000000001</v>
      </c>
      <c r="Q39" s="182">
        <f>((L39 * G39 * K39) * 10 ^ -3)</f>
        <v>7.1459999999999999</v>
      </c>
    </row>
    <row r="40" spans="1:17" ht="20.100000000000001" customHeight="1" x14ac:dyDescent="0.2">
      <c r="A40" s="82" t="s">
        <v>1</v>
      </c>
      <c r="H40" s="155"/>
      <c r="I40" s="155"/>
      <c r="J40" s="155"/>
      <c r="L40" s="155"/>
      <c r="M40" s="155"/>
      <c r="N40" s="155"/>
      <c r="O40" s="155"/>
      <c r="P40" s="155"/>
      <c r="Q40" s="155"/>
    </row>
    <row r="41" spans="1:17" ht="20.100000000000001" customHeight="1" x14ac:dyDescent="0.2">
      <c r="A41" s="5" t="str">
        <f>HYPERLINK("#'Constants - Ag Residue'!A1", "Constants - Ag residue")</f>
        <v>Constants - Ag residue</v>
      </c>
      <c r="H41" s="155"/>
      <c r="I41" s="155"/>
      <c r="J41" s="155"/>
      <c r="L41" s="155"/>
      <c r="M41" s="155"/>
      <c r="N41" s="155"/>
      <c r="O41" s="155"/>
      <c r="P41" s="155"/>
      <c r="Q41" s="155"/>
    </row>
    <row r="42" spans="1:17" ht="20.100000000000001" customHeight="1" x14ac:dyDescent="0.2">
      <c r="A42" s="5" t="str">
        <f>HYPERLINK("#'Constants - Electricity'!A1", "Constants - Electricity")</f>
        <v>Constants - Electricity</v>
      </c>
      <c r="D42" s="196" t="str">
        <f>"Total scope 1 - " &amp; D25</f>
        <v>Total scope 1 - Cars and light commercial vehicles</v>
      </c>
      <c r="E42" s="197"/>
      <c r="F42" s="198"/>
    </row>
    <row r="43" spans="1:17" ht="20.100000000000001" customHeight="1" x14ac:dyDescent="0.2">
      <c r="A43" s="5" t="str">
        <f>HYPERLINK("#'Constants - Fertiliser'!A1", "Constants - Fertiliser")</f>
        <v>Constants - Fertiliser</v>
      </c>
      <c r="D43" s="25" t="s">
        <v>582</v>
      </c>
      <c r="E43" s="199">
        <f>SUM(N25:N32)+N("Partial sum")</f>
        <v>26.981400000000001</v>
      </c>
      <c r="F43" s="16" t="str">
        <f>$E$12</f>
        <v>t CO2-e</v>
      </c>
    </row>
    <row r="44" spans="1:17" ht="20.100000000000001" customHeight="1" x14ac:dyDescent="0.2">
      <c r="A44" s="5" t="str">
        <f>HYPERLINK("#'Constants - Fuel'!A1", "Constants - Fuel")</f>
        <v>Constants - Fuel</v>
      </c>
      <c r="D44" s="25" t="s">
        <v>583</v>
      </c>
      <c r="E44" s="199">
        <f>SUM(O25:O32)+N("Partial sum")</f>
        <v>3.8600000000000001E-3</v>
      </c>
      <c r="F44" s="16" t="str">
        <f t="shared" ref="F44:F46" si="1">$E$12</f>
        <v>t CO2-e</v>
      </c>
    </row>
    <row r="45" spans="1:17" ht="20.100000000000001" customHeight="1" x14ac:dyDescent="0.2">
      <c r="A45" s="5" t="str">
        <f>HYPERLINK("#'Constants - Scope 3'!A1", "Constants - Scope 3")</f>
        <v>Constants - Scope 3</v>
      </c>
      <c r="D45" s="25" t="s">
        <v>584</v>
      </c>
      <c r="E45" s="199">
        <f>SUM(P25:P32)+N("Partial sum")</f>
        <v>0.193</v>
      </c>
      <c r="F45" s="16" t="str">
        <f t="shared" si="1"/>
        <v>t CO2-e</v>
      </c>
    </row>
    <row r="46" spans="1:17" ht="20.100000000000001" customHeight="1" x14ac:dyDescent="0.2">
      <c r="A46" s="5" t="str">
        <f>HYPERLINK("#'Constants - Solid Waste'!A1", "Constants - Solid Waste")</f>
        <v>Constants - Solid Waste</v>
      </c>
      <c r="D46" s="25" t="s">
        <v>275</v>
      </c>
      <c r="E46" s="199">
        <f>SUM(Q25:Q32)+N("Partial sum")</f>
        <v>6.6778000000000004</v>
      </c>
      <c r="F46" s="16" t="str">
        <f t="shared" si="1"/>
        <v>t CO2-e</v>
      </c>
    </row>
    <row r="47" spans="1:17" ht="20.100000000000001" customHeight="1" x14ac:dyDescent="0.2">
      <c r="A47" s="5" t="str">
        <f>HYPERLINK("#'Constants - Common'!A1", "Constants - Common")</f>
        <v>Constants - Common</v>
      </c>
      <c r="D47" s="155"/>
      <c r="E47" s="155"/>
      <c r="F47" s="155"/>
    </row>
    <row r="48" spans="1:17" ht="20.100000000000001" customHeight="1" x14ac:dyDescent="0.2">
      <c r="A48" s="5" t="str">
        <f>HYPERLINK("#'Constants - Common Livestock'!A1", "Constants - Common Livestock")</f>
        <v>Constants - Common Livestock</v>
      </c>
      <c r="D48" s="196" t="str">
        <f>"Total scope 1 - " &amp; D33</f>
        <v>Total scope 1 - Off-road Agriculture and forestry equipment</v>
      </c>
      <c r="E48" s="200"/>
      <c r="F48" s="198"/>
      <c r="H48" s="155"/>
      <c r="I48" s="155"/>
      <c r="J48" s="155"/>
      <c r="L48" s="155"/>
      <c r="M48" s="155"/>
      <c r="N48" s="155"/>
      <c r="O48" s="155"/>
      <c r="P48" s="155"/>
      <c r="Q48" s="155"/>
    </row>
    <row r="49" spans="1:17" ht="20.100000000000001" customHeight="1" x14ac:dyDescent="0.2">
      <c r="D49" s="25" t="s">
        <v>582</v>
      </c>
      <c r="E49" s="199">
        <f>SUM(N33:N33)+N("Partial sum")</f>
        <v>26.981400000000001</v>
      </c>
      <c r="F49" s="16" t="str">
        <f t="shared" ref="F49:F52" si="2">$E$12</f>
        <v>t CO2-e</v>
      </c>
      <c r="H49" s="155"/>
      <c r="I49" s="155"/>
      <c r="J49" s="155"/>
      <c r="L49" s="155"/>
      <c r="M49" s="155"/>
      <c r="N49" s="155"/>
      <c r="O49" s="155"/>
      <c r="P49" s="155"/>
      <c r="Q49" s="155"/>
    </row>
    <row r="50" spans="1:17" ht="20.100000000000001" customHeight="1" x14ac:dyDescent="0.2">
      <c r="D50" s="25" t="s">
        <v>583</v>
      </c>
      <c r="E50" s="199">
        <f>SUM(O33:O33)+N("Partial sum")</f>
        <v>0.1158</v>
      </c>
      <c r="F50" s="16" t="str">
        <f t="shared" si="2"/>
        <v>t CO2-e</v>
      </c>
      <c r="H50" s="155"/>
      <c r="I50" s="155"/>
      <c r="J50" s="155"/>
      <c r="L50" s="155"/>
      <c r="M50" s="155"/>
      <c r="N50" s="155"/>
      <c r="O50" s="155"/>
      <c r="P50" s="155"/>
      <c r="Q50" s="155"/>
    </row>
    <row r="51" spans="1:17" ht="20.100000000000001" customHeight="1" x14ac:dyDescent="0.2">
      <c r="D51" s="25" t="s">
        <v>584</v>
      </c>
      <c r="E51" s="199">
        <f>SUM(P33:P33)+N("Partial sum")</f>
        <v>0.193</v>
      </c>
      <c r="F51" s="16" t="str">
        <f t="shared" si="2"/>
        <v>t CO2-e</v>
      </c>
      <c r="H51" s="155"/>
      <c r="I51" s="155"/>
      <c r="J51" s="155"/>
      <c r="L51" s="155"/>
      <c r="M51" s="155"/>
      <c r="N51" s="155"/>
      <c r="O51" s="155"/>
      <c r="P51" s="155"/>
      <c r="Q51" s="155"/>
    </row>
    <row r="52" spans="1:17" ht="20.100000000000001" customHeight="1" x14ac:dyDescent="0.2">
      <c r="D52" s="25" t="s">
        <v>275</v>
      </c>
      <c r="E52" s="199">
        <f>SUM(Q33)+N("Partial sum")</f>
        <v>6.6778000000000004</v>
      </c>
      <c r="F52" s="16" t="str">
        <f t="shared" si="2"/>
        <v>t CO2-e</v>
      </c>
      <c r="H52" s="155"/>
      <c r="I52" s="155"/>
      <c r="J52" s="155"/>
      <c r="L52" s="155"/>
      <c r="M52" s="155"/>
      <c r="N52" s="155"/>
      <c r="O52" s="155"/>
      <c r="P52" s="155"/>
      <c r="Q52" s="155"/>
    </row>
    <row r="53" spans="1:17" ht="20.100000000000001" customHeight="1" x14ac:dyDescent="0.2">
      <c r="D53" s="155"/>
      <c r="E53" s="201"/>
      <c r="F53" s="155"/>
      <c r="G53" s="155"/>
      <c r="H53" s="155"/>
      <c r="I53" s="155"/>
      <c r="J53" s="155"/>
      <c r="L53" s="155"/>
      <c r="M53" s="155"/>
      <c r="N53" s="155"/>
      <c r="O53" s="155"/>
      <c r="P53" s="155"/>
      <c r="Q53" s="155"/>
    </row>
    <row r="54" spans="1:17" ht="20.100000000000001" customHeight="1" x14ac:dyDescent="0.2">
      <c r="D54" s="196" t="str">
        <f>"Total scope 1 - " &amp; D34</f>
        <v>Total scope 1 - Aviation</v>
      </c>
      <c r="E54" s="200"/>
      <c r="F54" s="198"/>
      <c r="G54" s="155"/>
      <c r="H54" s="155"/>
      <c r="I54" s="155"/>
      <c r="J54" s="155"/>
      <c r="L54" s="155"/>
      <c r="M54" s="155"/>
      <c r="N54" s="155"/>
      <c r="O54" s="155"/>
      <c r="P54" s="155"/>
      <c r="Q54" s="155"/>
    </row>
    <row r="55" spans="1:17" ht="20.100000000000001" customHeight="1" x14ac:dyDescent="0.2">
      <c r="D55" s="25" t="s">
        <v>582</v>
      </c>
      <c r="E55" s="199">
        <f>SUM(N34:N36)+N("Partial sum")</f>
        <v>0</v>
      </c>
      <c r="F55" s="16" t="str">
        <f t="shared" ref="F55:F58" si="3">$E$12</f>
        <v>t CO2-e</v>
      </c>
      <c r="G55" s="155"/>
      <c r="H55" s="155"/>
      <c r="I55" s="155"/>
      <c r="J55" s="155"/>
      <c r="L55" s="155"/>
      <c r="M55" s="155"/>
      <c r="N55" s="155"/>
      <c r="O55" s="155"/>
      <c r="P55" s="155"/>
      <c r="Q55" s="155"/>
    </row>
    <row r="56" spans="1:17" ht="20.100000000000001" customHeight="1" x14ac:dyDescent="0.2">
      <c r="D56" s="25" t="s">
        <v>583</v>
      </c>
      <c r="E56" s="199">
        <f>SUM(O34:O36)+N("Partial sum")</f>
        <v>0</v>
      </c>
      <c r="F56" s="16" t="str">
        <f t="shared" si="3"/>
        <v>t CO2-e</v>
      </c>
      <c r="G56" s="155"/>
      <c r="H56" s="155"/>
      <c r="I56" s="155"/>
      <c r="J56" s="155"/>
      <c r="L56" s="155"/>
      <c r="M56" s="155"/>
      <c r="N56" s="155"/>
      <c r="O56" s="155"/>
      <c r="P56" s="155"/>
      <c r="Q56" s="155"/>
    </row>
    <row r="57" spans="1:17" ht="20.100000000000001" customHeight="1" x14ac:dyDescent="0.2">
      <c r="D57" s="25" t="s">
        <v>584</v>
      </c>
      <c r="E57" s="199">
        <f>SUM(P34:P36)+N("Partial sum")</f>
        <v>0</v>
      </c>
      <c r="F57" s="16" t="str">
        <f t="shared" si="3"/>
        <v>t CO2-e</v>
      </c>
      <c r="G57" s="155"/>
      <c r="H57" s="155"/>
      <c r="I57" s="155"/>
      <c r="J57" s="155"/>
      <c r="L57" s="155"/>
      <c r="M57" s="155"/>
      <c r="N57" s="155"/>
      <c r="O57" s="155"/>
      <c r="P57" s="155"/>
      <c r="Q57" s="155"/>
    </row>
    <row r="58" spans="1:17" ht="20.100000000000001" customHeight="1" x14ac:dyDescent="0.2">
      <c r="D58" s="25" t="s">
        <v>275</v>
      </c>
      <c r="E58" s="199">
        <f>SUM(Q34:Q36)+N("Partial sum")</f>
        <v>0</v>
      </c>
      <c r="F58" s="16" t="str">
        <f t="shared" si="3"/>
        <v>t CO2-e</v>
      </c>
      <c r="G58" s="155"/>
      <c r="H58" s="155"/>
      <c r="I58" s="155"/>
      <c r="J58" s="155"/>
      <c r="L58" s="155"/>
      <c r="M58" s="155"/>
      <c r="N58" s="155"/>
      <c r="O58" s="155"/>
      <c r="P58" s="155"/>
      <c r="Q58" s="155"/>
    </row>
    <row r="59" spans="1:17" ht="20.100000000000001" customHeight="1" x14ac:dyDescent="0.2">
      <c r="A59" s="81" t="str">
        <f>HYPERLINK("#A1", "▲ Back to top")</f>
        <v>▲ Back to top</v>
      </c>
      <c r="D59" s="155"/>
      <c r="E59" s="201"/>
      <c r="F59" s="155"/>
      <c r="G59" s="155"/>
      <c r="H59" s="155"/>
      <c r="I59" s="155"/>
      <c r="J59" s="155"/>
      <c r="L59" s="155"/>
      <c r="M59" s="155"/>
      <c r="N59" s="155"/>
      <c r="O59" s="155"/>
      <c r="P59" s="155"/>
      <c r="Q59" s="155"/>
    </row>
    <row r="60" spans="1:17" ht="20.100000000000001" customHeight="1" x14ac:dyDescent="0.2">
      <c r="D60" s="196" t="str">
        <f>"Total scope 1 - " &amp; D37</f>
        <v>Total scope 1 - Vessels</v>
      </c>
      <c r="E60" s="200"/>
      <c r="F60" s="198"/>
      <c r="G60" s="155"/>
      <c r="H60" s="155"/>
      <c r="I60" s="155"/>
      <c r="J60" s="155"/>
      <c r="L60" s="155"/>
      <c r="M60" s="155"/>
      <c r="N60" s="155"/>
      <c r="O60" s="155"/>
      <c r="P60" s="155"/>
      <c r="Q60" s="155"/>
    </row>
    <row r="61" spans="1:17" ht="20.100000000000001" customHeight="1" x14ac:dyDescent="0.2">
      <c r="D61" s="25" t="s">
        <v>582</v>
      </c>
      <c r="E61" s="199">
        <f>SUM(N37:N39)+N("Partial sum")</f>
        <v>29.219199999999997</v>
      </c>
      <c r="F61" s="16" t="str">
        <f t="shared" ref="F61:F64" si="4">$E$12</f>
        <v>t CO2-e</v>
      </c>
      <c r="G61" s="155"/>
      <c r="H61" s="155"/>
      <c r="I61" s="155"/>
      <c r="J61" s="155"/>
      <c r="L61" s="155"/>
      <c r="M61" s="155"/>
      <c r="N61" s="155"/>
      <c r="O61" s="155"/>
      <c r="P61" s="155"/>
      <c r="Q61" s="155"/>
    </row>
    <row r="62" spans="1:17" ht="20.100000000000001" customHeight="1" x14ac:dyDescent="0.2">
      <c r="D62" s="25" t="s">
        <v>583</v>
      </c>
      <c r="E62" s="199">
        <f>SUM(O37:O39)+N("Partial sum")</f>
        <v>7.9400000000000012E-2</v>
      </c>
      <c r="F62" s="16" t="str">
        <f t="shared" si="4"/>
        <v>t CO2-e</v>
      </c>
      <c r="G62" s="155"/>
      <c r="H62" s="155"/>
      <c r="I62" s="155"/>
      <c r="J62" s="155"/>
      <c r="L62" s="155"/>
      <c r="M62" s="155"/>
      <c r="N62" s="155"/>
      <c r="O62" s="155"/>
      <c r="P62" s="155"/>
      <c r="Q62" s="155"/>
    </row>
    <row r="63" spans="1:17" ht="20.100000000000001" customHeight="1" x14ac:dyDescent="0.2">
      <c r="D63" s="25" t="s">
        <v>584</v>
      </c>
      <c r="E63" s="199">
        <f>SUM(P37:P39)+N("Partial sum")</f>
        <v>0.19850000000000001</v>
      </c>
      <c r="F63" s="16" t="str">
        <f t="shared" si="4"/>
        <v>t CO2-e</v>
      </c>
      <c r="G63" s="155"/>
      <c r="H63" s="155"/>
      <c r="I63" s="155"/>
      <c r="J63" s="155"/>
      <c r="L63" s="155"/>
      <c r="M63" s="155"/>
      <c r="N63" s="155"/>
      <c r="O63" s="155"/>
      <c r="P63" s="155"/>
      <c r="Q63" s="155"/>
    </row>
    <row r="64" spans="1:17" ht="20.100000000000001" customHeight="1" x14ac:dyDescent="0.2">
      <c r="D64" s="25" t="s">
        <v>275</v>
      </c>
      <c r="E64" s="199">
        <f>SUM(Q37:Q39)+N("Partial sum")</f>
        <v>7.1459999999999999</v>
      </c>
      <c r="F64" s="16" t="str">
        <f t="shared" si="4"/>
        <v>t CO2-e</v>
      </c>
      <c r="G64" s="155"/>
      <c r="H64" s="155"/>
      <c r="I64" s="155"/>
      <c r="J64" s="155"/>
      <c r="L64" s="155"/>
      <c r="M64" s="155"/>
      <c r="N64" s="155"/>
      <c r="O64" s="155"/>
      <c r="P64" s="155"/>
      <c r="Q64" s="155"/>
    </row>
    <row r="65" spans="4:17" ht="20.100000000000001" customHeight="1" x14ac:dyDescent="0.2">
      <c r="G65" s="155"/>
      <c r="H65" s="155"/>
      <c r="I65" s="155"/>
      <c r="J65" s="155"/>
      <c r="L65" s="155"/>
      <c r="M65" s="155"/>
      <c r="N65" s="155"/>
      <c r="O65" s="155"/>
      <c r="P65" s="155"/>
      <c r="Q65" s="155"/>
    </row>
    <row r="66" spans="4:17" ht="20.100000000000001" customHeight="1" x14ac:dyDescent="0.2">
      <c r="D66" s="196" t="s">
        <v>585</v>
      </c>
      <c r="E66" s="202"/>
      <c r="F66" s="198"/>
      <c r="G66" s="155"/>
      <c r="H66" s="155"/>
      <c r="I66" s="155"/>
      <c r="J66" s="155"/>
      <c r="L66" s="155"/>
      <c r="M66" s="155"/>
      <c r="N66" s="155"/>
      <c r="O66" s="155"/>
      <c r="P66" s="155"/>
      <c r="Q66" s="155"/>
    </row>
    <row r="67" spans="4:17" ht="20.100000000000001" customHeight="1" x14ac:dyDescent="0.2">
      <c r="D67" s="25" t="s">
        <v>582</v>
      </c>
      <c r="E67" s="199">
        <f>E43+E49+E55+E61</f>
        <v>83.182000000000002</v>
      </c>
      <c r="F67" s="16" t="str">
        <f t="shared" ref="F67:F70" si="5">$E$12</f>
        <v>t CO2-e</v>
      </c>
      <c r="G67" s="155"/>
    </row>
    <row r="68" spans="4:17" ht="20.100000000000001" customHeight="1" x14ac:dyDescent="0.2">
      <c r="D68" s="25" t="s">
        <v>583</v>
      </c>
      <c r="E68" s="199">
        <f t="shared" ref="E68:E70" si="6">E44+E50+E56+E62</f>
        <v>0.19906000000000001</v>
      </c>
      <c r="F68" s="16" t="str">
        <f t="shared" si="5"/>
        <v>t CO2-e</v>
      </c>
      <c r="G68" s="155"/>
    </row>
    <row r="69" spans="4:17" ht="20.100000000000001" customHeight="1" x14ac:dyDescent="0.2">
      <c r="D69" s="25" t="s">
        <v>584</v>
      </c>
      <c r="E69" s="199">
        <f t="shared" si="6"/>
        <v>0.58450000000000002</v>
      </c>
      <c r="F69" s="16" t="str">
        <f t="shared" si="5"/>
        <v>t CO2-e</v>
      </c>
      <c r="G69" s="155"/>
    </row>
    <row r="70" spans="4:17" ht="20.100000000000001" customHeight="1" x14ac:dyDescent="0.2">
      <c r="D70" s="25" t="s">
        <v>275</v>
      </c>
      <c r="E70" s="199">
        <f t="shared" si="6"/>
        <v>20.5016</v>
      </c>
      <c r="F70" s="16" t="str">
        <f t="shared" si="5"/>
        <v>t CO2-e</v>
      </c>
      <c r="G70" s="155"/>
    </row>
    <row r="71" spans="4:17" ht="20.100000000000001" customHeight="1" x14ac:dyDescent="0.2">
      <c r="G71" s="155"/>
    </row>
    <row r="341" spans="8:8" ht="20.100000000000001" customHeight="1" x14ac:dyDescent="0.2">
      <c r="H341" s="8"/>
    </row>
    <row r="342" spans="8:8" ht="20.100000000000001" customHeight="1" x14ac:dyDescent="0.2">
      <c r="H342" s="8"/>
    </row>
  </sheetData>
  <dataValidations count="1">
    <dataValidation operator="equal" allowBlank="1" showInputMessage="1" showErrorMessage="1" sqref="N172:Q172 O150:Q150 E269 N166:Q166 O143:Q144 E228 O167:Q167 G132 I129:I133 F134:I134 F129:F132 H128:H132 G129 F148:I148 I149 F150:I150" xr:uid="{E4E7F125-1844-4BCB-A981-B3DFCF102B83}"/>
  </dataValidations>
  <pageMargins left="0.7" right="0.7" top="0.75" bottom="0.75" header="0.3" footer="0.3"/>
  <pageSetup paperSize="9"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8AB97-A3E7-4818-AD9B-45A36A0F9EDE}">
  <sheetPr>
    <tabColor rgb="FF008000"/>
  </sheetPr>
  <dimension ref="A1:R71"/>
  <sheetViews>
    <sheetView showGridLines="0" zoomScaleNormal="100" workbookViewId="0">
      <pane xSplit="1" topLeftCell="B1" activePane="topRight" state="frozenSplit"/>
      <selection pane="topRight" activeCell="A47" sqref="A47"/>
    </sheetView>
  </sheetViews>
  <sheetFormatPr defaultRowHeight="20.100000000000001" customHeight="1" x14ac:dyDescent="0.2"/>
  <cols>
    <col min="1" max="1" width="36.7109375" customWidth="1"/>
    <col min="2" max="2" width="4.7109375" customWidth="1"/>
    <col min="3" max="3" width="4.7109375" style="1" customWidth="1"/>
    <col min="4" max="4" width="40.42578125" style="1" customWidth="1"/>
    <col min="5" max="17" width="30.7109375" style="1" customWidth="1"/>
    <col min="18" max="18" width="4.7109375" style="1" customWidth="1"/>
  </cols>
  <sheetData>
    <row r="1" spans="1:18" s="21" customFormat="1" ht="30" customHeight="1" x14ac:dyDescent="0.35">
      <c r="A1" s="10" t="e" vm="1">
        <v>#VALUE!</v>
      </c>
      <c r="C1" s="21" t="s">
        <v>586</v>
      </c>
    </row>
    <row r="2" spans="1:18" s="3" customFormat="1" ht="20.100000000000001" customHeight="1" x14ac:dyDescent="0.2">
      <c r="A2"/>
    </row>
    <row r="3" spans="1:18" ht="20.100000000000001" customHeight="1" x14ac:dyDescent="0.2">
      <c r="A3" s="5" t="str">
        <f>HYPERLINK("#'Home'!A1", "Home")</f>
        <v>Home</v>
      </c>
      <c r="C3" s="23"/>
      <c r="D3" s="23" t="s">
        <v>130</v>
      </c>
      <c r="E3" s="23"/>
      <c r="F3" s="23"/>
      <c r="G3" s="23"/>
      <c r="H3" s="23"/>
      <c r="I3" s="23"/>
      <c r="J3" s="23"/>
      <c r="K3" s="23"/>
      <c r="L3" s="23"/>
      <c r="M3" s="23"/>
      <c r="N3" s="23"/>
      <c r="O3" s="23"/>
      <c r="P3" s="23"/>
      <c r="Q3" s="23"/>
      <c r="R3" s="23"/>
    </row>
    <row r="4" spans="1:18" ht="20.100000000000001" customHeight="1" x14ac:dyDescent="0.2">
      <c r="A4" s="5" t="str">
        <f>HYPERLINK("#'Results - Activity period'!A1", "Results - Activity period")</f>
        <v>Results - Activity period</v>
      </c>
    </row>
    <row r="5" spans="1:18" ht="20.100000000000001" customHeight="1" x14ac:dyDescent="0.2">
      <c r="A5" s="5" t="str">
        <f>HYPERLINK("#'Results - Product EI'!A1", "Results - Product EI")</f>
        <v>Results - Product EI</v>
      </c>
      <c r="D5" s="2" t="s">
        <v>1280</v>
      </c>
      <c r="K5" s="2" t="s">
        <v>1282</v>
      </c>
      <c r="O5" s="155"/>
      <c r="P5" s="155"/>
      <c r="Q5" s="155"/>
      <c r="R5" s="155"/>
    </row>
    <row r="6" spans="1:18" ht="20.100000000000001" customHeight="1" x14ac:dyDescent="0.2">
      <c r="D6" s="17" t="s">
        <v>1281</v>
      </c>
      <c r="K6" s="17" t="s">
        <v>1283</v>
      </c>
      <c r="O6" s="155"/>
      <c r="P6" s="155"/>
      <c r="Q6" s="155"/>
      <c r="R6" s="155"/>
    </row>
    <row r="7" spans="1:18" ht="20.100000000000001" customHeight="1" x14ac:dyDescent="0.2">
      <c r="D7" s="134"/>
      <c r="E7" s="134"/>
      <c r="K7" s="26" t="s">
        <v>1284</v>
      </c>
      <c r="O7" s="155"/>
      <c r="P7" s="155"/>
      <c r="Q7" s="155"/>
      <c r="R7" s="155"/>
    </row>
    <row r="8" spans="1:18" ht="20.100000000000001" customHeight="1" x14ac:dyDescent="0.2">
      <c r="A8" s="7" t="s">
        <v>0</v>
      </c>
      <c r="K8" s="134"/>
      <c r="L8" s="134"/>
      <c r="O8" s="155"/>
      <c r="P8" s="155"/>
      <c r="Q8" s="155"/>
      <c r="R8" s="155"/>
    </row>
    <row r="9" spans="1:18" ht="20.100000000000001" customHeight="1" x14ac:dyDescent="0.2">
      <c r="A9" s="5" t="str">
        <f>HYPERLINK("#'Input - Enterprise'!A1", "Enterprise")</f>
        <v>Enterprise</v>
      </c>
      <c r="G9" s="17"/>
      <c r="O9" s="155"/>
      <c r="P9" s="155"/>
      <c r="Q9" s="155"/>
      <c r="R9" s="155"/>
    </row>
    <row r="10" spans="1:18" ht="20.100000000000001" customHeight="1" x14ac:dyDescent="0.2">
      <c r="A10" s="5" t="str">
        <f>HYPERLINK("#'Input - Site'!A1", "Site")</f>
        <v>Site</v>
      </c>
      <c r="O10" s="155"/>
      <c r="P10" s="155"/>
      <c r="Q10" s="155"/>
      <c r="R10" s="155"/>
    </row>
    <row r="11" spans="1:18" ht="20.100000000000001" customHeight="1" x14ac:dyDescent="0.2">
      <c r="A11" s="5" t="str">
        <f>HYPERLINK("#'Input - Crop'!A1", "Crop")</f>
        <v>Crop</v>
      </c>
      <c r="D11" s="77" t="s">
        <v>371</v>
      </c>
      <c r="E11" s="1" t="s">
        <v>1257</v>
      </c>
      <c r="K11" s="77" t="s">
        <v>371</v>
      </c>
      <c r="L11" s="1" t="s">
        <v>1285</v>
      </c>
      <c r="O11" s="155"/>
      <c r="P11" s="155"/>
      <c r="Q11" s="155"/>
      <c r="R11" s="155"/>
    </row>
    <row r="12" spans="1:18" ht="20.100000000000001" customHeight="1" x14ac:dyDescent="0.2">
      <c r="A12" s="5" t="str">
        <f>HYPERLINK("#'Input - Fert Prod System'!A1", "Fert Prod System")</f>
        <v>Fert Prod System</v>
      </c>
      <c r="D12" s="77" t="s">
        <v>118</v>
      </c>
      <c r="E12" s="9" t="s">
        <v>290</v>
      </c>
      <c r="K12" s="77" t="s">
        <v>118</v>
      </c>
      <c r="L12" s="9" t="s">
        <v>7</v>
      </c>
    </row>
    <row r="13" spans="1:18" ht="20.100000000000001" customHeight="1" x14ac:dyDescent="0.2">
      <c r="A13" s="5" t="str">
        <f>HYPERLINK("#'Input - Fertiliser'!A1", "Fertiliser")</f>
        <v>Fertiliser</v>
      </c>
    </row>
    <row r="14" spans="1:18" ht="20.100000000000001" customHeight="1" x14ac:dyDescent="0.2">
      <c r="A14" s="5" t="str">
        <f>HYPERLINK("#'Input - Fuel'!A1", "Fuel")</f>
        <v>Fuel</v>
      </c>
      <c r="D14" s="150" t="s">
        <v>1286</v>
      </c>
      <c r="E14" s="147" t="s">
        <v>1287</v>
      </c>
      <c r="F14" s="159"/>
      <c r="G14" s="150" t="s">
        <v>1270</v>
      </c>
      <c r="H14" s="141" t="s">
        <v>1034</v>
      </c>
      <c r="I14" s="143" t="str" cm="1">
        <f t="array" aca="1" ref="I14" ca="1">HYPERLINK(Common_InputFunctions.Utility_SourceHyperlink($D$22), $D$22)</f>
        <v>Table_E_g</v>
      </c>
      <c r="K14" s="150" t="s">
        <v>1286</v>
      </c>
      <c r="L14" s="150" t="s">
        <v>1294</v>
      </c>
      <c r="M14" s="150"/>
      <c r="N14" s="150" t="s">
        <v>620</v>
      </c>
      <c r="O14" s="141" t="s">
        <v>1034</v>
      </c>
      <c r="P14" s="143" t="str" cm="1">
        <f t="array" aca="1" ref="P14" ca="1">HYPERLINK(Common_InputFunctions.Utility_SourceHyperlink($D$22), $D$22)</f>
        <v>Table_E_g</v>
      </c>
      <c r="Q14" s="155"/>
    </row>
    <row r="15" spans="1:18" ht="20.100000000000001" customHeight="1" x14ac:dyDescent="0.2">
      <c r="A15" s="5" t="str">
        <f>HYPERLINK("#'Input - Electricity'!A1", "Electricity")</f>
        <v>Electricity</v>
      </c>
      <c r="D15" s="150" t="s">
        <v>1288</v>
      </c>
      <c r="E15" s="147" t="s">
        <v>1289</v>
      </c>
      <c r="F15" s="159"/>
      <c r="G15" s="150" t="s">
        <v>1271</v>
      </c>
      <c r="H15" s="142" t="s">
        <v>1036</v>
      </c>
      <c r="I15" s="143" t="str" cm="1">
        <f t="array" aca="1" ref="I15" ca="1">HYPERLINK(Common_InputFunctions.Utility_SourceHyperlink($D$22), $D$22)</f>
        <v>Table_E_g</v>
      </c>
      <c r="K15" s="150" t="s">
        <v>1288</v>
      </c>
      <c r="L15" s="150" t="s">
        <v>1295</v>
      </c>
      <c r="M15" s="150"/>
      <c r="N15" s="150" t="s">
        <v>1301</v>
      </c>
      <c r="O15" s="142" t="s">
        <v>1036</v>
      </c>
      <c r="P15" s="143" t="str" cm="1">
        <f t="array" aca="1" ref="P15" ca="1">HYPERLINK(Common_InputFunctions.Utility_SourceHyperlink($D$22), $D$22)</f>
        <v>Table_E_g</v>
      </c>
      <c r="Q15" s="155"/>
    </row>
    <row r="16" spans="1:18" ht="20.100000000000001" customHeight="1" x14ac:dyDescent="0.2">
      <c r="A16" s="5" t="str">
        <f>HYPERLINK("#'Input - Common farm inputs'!A1", "Common farm inputs")</f>
        <v>Common farm inputs</v>
      </c>
      <c r="D16" s="150" t="s">
        <v>1290</v>
      </c>
      <c r="E16" s="147" t="s">
        <v>1291</v>
      </c>
      <c r="F16" s="159"/>
      <c r="G16" s="150" t="s">
        <v>1272</v>
      </c>
      <c r="H16" s="142" t="s">
        <v>1036</v>
      </c>
      <c r="I16" s="143" t="str" cm="1">
        <f t="array" aca="1" ref="I16" ca="1">HYPERLINK(Common_InputFunctions.Utility_SourceHyperlink($D$22), $D$22)</f>
        <v>Table_E_g</v>
      </c>
      <c r="K16" s="150" t="s">
        <v>1296</v>
      </c>
      <c r="L16" s="150" t="s">
        <v>1297</v>
      </c>
      <c r="M16" s="150"/>
      <c r="N16" s="150" t="s">
        <v>1279</v>
      </c>
      <c r="O16" s="142" t="s">
        <v>1036</v>
      </c>
      <c r="P16" s="143" t="str" cm="1">
        <f t="array" aca="1" ref="P16" ca="1">HYPERLINK(Common_InputFunctions.Utility_SourceHyperlink($D$22), $D$22)</f>
        <v>Table_E_g</v>
      </c>
      <c r="Q16" s="155"/>
    </row>
    <row r="17" spans="1:17" ht="20.100000000000001" customHeight="1" x14ac:dyDescent="0.2">
      <c r="A17" s="5" t="str">
        <f>HYPERLINK("#'Input - Crop pasture farm input'!A1", "Crop pasture farm input")</f>
        <v>Crop pasture farm input</v>
      </c>
      <c r="D17" s="150" t="s">
        <v>1265</v>
      </c>
      <c r="E17" s="147" t="s">
        <v>618</v>
      </c>
      <c r="F17" s="159"/>
      <c r="G17" s="150"/>
      <c r="H17" s="142" t="s">
        <v>1036</v>
      </c>
      <c r="I17" s="143"/>
      <c r="J17" s="155"/>
      <c r="K17" s="150" t="s">
        <v>1101</v>
      </c>
      <c r="L17" s="147" t="s">
        <v>1298</v>
      </c>
      <c r="M17" s="159"/>
      <c r="N17" s="150"/>
      <c r="O17" s="141" t="s">
        <v>1034</v>
      </c>
      <c r="P17" s="150" t="str">
        <f>X_Cell_Site_State</f>
        <v>Western Australia</v>
      </c>
      <c r="Q17" s="155"/>
    </row>
    <row r="18" spans="1:17" ht="20.100000000000001" customHeight="1" x14ac:dyDescent="0.2">
      <c r="A18" s="5" t="str">
        <f>HYPERLINK("#'Input - Freight'!A1", "Freight")</f>
        <v>Freight</v>
      </c>
      <c r="D18" s="150" t="s">
        <v>1292</v>
      </c>
      <c r="E18" s="147" t="s">
        <v>1293</v>
      </c>
      <c r="F18" s="159"/>
      <c r="G18" s="150"/>
      <c r="H18" s="142" t="s">
        <v>1036</v>
      </c>
      <c r="I18" s="143"/>
      <c r="J18" s="155"/>
      <c r="K18" s="150" t="s">
        <v>1299</v>
      </c>
      <c r="L18" s="147" t="s">
        <v>1300</v>
      </c>
      <c r="M18" s="159"/>
      <c r="N18" s="150"/>
      <c r="O18" s="141" t="s">
        <v>1034</v>
      </c>
      <c r="P18" s="150" t="str">
        <f>X_Cell_Fuel_IsMetroLocation</f>
        <v>Metro</v>
      </c>
      <c r="Q18" s="155"/>
    </row>
    <row r="19" spans="1:17" ht="20.100000000000001" customHeight="1" x14ac:dyDescent="0.2">
      <c r="A19" s="5" t="str">
        <f>HYPERLINK("#'Input - Solid waste'!A1", "Solid waste")</f>
        <v>Solid waste</v>
      </c>
      <c r="D19" s="150" t="s">
        <v>1268</v>
      </c>
      <c r="E19" s="147" t="s">
        <v>1269</v>
      </c>
      <c r="F19" s="159"/>
      <c r="G19" s="150"/>
      <c r="H19" s="142" t="s">
        <v>1036</v>
      </c>
      <c r="I19" s="143"/>
      <c r="J19" s="155"/>
      <c r="L19" s="155"/>
      <c r="N19" s="155"/>
      <c r="O19" s="155"/>
      <c r="P19" s="155"/>
      <c r="Q19" s="155"/>
    </row>
    <row r="20" spans="1:17" ht="20.100000000000001" customHeight="1" x14ac:dyDescent="0.2">
      <c r="A20" s="5" t="str">
        <f>HYPERLINK("#'Input - Data quality'!A1", "Data quality")</f>
        <v>Data quality</v>
      </c>
      <c r="D20" s="150">
        <v>1</v>
      </c>
      <c r="E20" s="147" t="s">
        <v>271</v>
      </c>
      <c r="F20" s="159"/>
      <c r="G20" s="150"/>
      <c r="H20" s="142" t="s">
        <v>1036</v>
      </c>
      <c r="I20" s="143"/>
      <c r="J20" s="155"/>
      <c r="L20" s="155"/>
      <c r="N20" s="155"/>
      <c r="O20" s="155"/>
      <c r="P20" s="155"/>
      <c r="Q20" s="155"/>
    </row>
    <row r="21" spans="1:17" ht="20.100000000000001" customHeight="1" x14ac:dyDescent="0.2">
      <c r="O21" s="155"/>
      <c r="P21" s="155"/>
      <c r="Q21" s="155"/>
    </row>
    <row r="22" spans="1:17" ht="20.100000000000001" customHeight="1" x14ac:dyDescent="0.2">
      <c r="D22" s="135" t="s">
        <v>566</v>
      </c>
    </row>
    <row r="23" spans="1:17" ht="20.100000000000001" customHeight="1" x14ac:dyDescent="0.2">
      <c r="A23" s="6" t="s">
        <v>2</v>
      </c>
      <c r="D23" s="136" t="s">
        <v>587</v>
      </c>
    </row>
    <row r="24" spans="1:17" ht="20.100000000000001" customHeight="1" x14ac:dyDescent="0.2">
      <c r="A24" s="5" t="str">
        <f>HYPERLINK("#'5.1.1.1-2 Inorganic fert N2O'!A1", "5.1.1.1-2 Inorganic fert N2O")</f>
        <v>5.1.1.1-2 Inorganic fert N2O</v>
      </c>
      <c r="D24" s="138" t="s">
        <v>568</v>
      </c>
      <c r="E24" s="138" t="s">
        <v>569</v>
      </c>
      <c r="F24" s="138" t="s">
        <v>570</v>
      </c>
      <c r="G24" s="138" t="s">
        <v>588</v>
      </c>
      <c r="H24" s="138" t="s">
        <v>589</v>
      </c>
      <c r="I24" s="138" t="s">
        <v>590</v>
      </c>
      <c r="J24" s="138" t="s">
        <v>591</v>
      </c>
      <c r="K24" s="138" t="s">
        <v>592</v>
      </c>
      <c r="L24" s="80" t="s">
        <v>593</v>
      </c>
      <c r="M24" s="138" t="s">
        <v>577</v>
      </c>
      <c r="N24" s="138" t="s">
        <v>578</v>
      </c>
      <c r="O24" s="138" t="s">
        <v>579</v>
      </c>
      <c r="P24" s="138" t="s">
        <v>580</v>
      </c>
      <c r="Q24" s="138" t="s">
        <v>594</v>
      </c>
    </row>
    <row r="25" spans="1:17" ht="20.100000000000001" customHeight="1" x14ac:dyDescent="0.2">
      <c r="A25" s="5" t="str">
        <f>HYPERLINK("#'5.1.1.3-4 Inorganic fert CO2'!A1", "5.1.1.3-4 Inorganic fert CO2")</f>
        <v>5.1.1.3-4 Inorganic fert CO2</v>
      </c>
      <c r="D25" s="25" t="str">
        <f>Table_FuelTypesPerUse[[#Headers],[Generators]]</f>
        <v>Generators</v>
      </c>
      <c r="E25" s="181" t="str">
        <f>'Constants - Fuel'!$D$58</f>
        <v>Automotive gasoline / petrol (other than for use as fuel in an aircraft)</v>
      </c>
      <c r="F25" s="181" t="str">
        <f>'Constants - Fuel'!D131</f>
        <v>Petrol</v>
      </c>
      <c r="G25" s="15">
        <f>IFERROR(_xlfn.XLOOKUP($E25, Table_Fuel_EFs_StationaryLiquid[Fuel combusted], Table_Fuel_EFs_StationaryLiquid[Energy Content Factor (GJ per unit of fuel)]),0)</f>
        <v>34.200000000000003</v>
      </c>
      <c r="H25" s="15">
        <f>IFERROR(_xlfn.XLOOKUP($E25, Table_Fuel_EFs_StationaryLiquid[Fuel combusted], Table_Fuel_EFs_StationaryLiquid[Scope 1 Emission Factor (kg CO2 - e / GJ) CO2]),0)</f>
        <v>67.400000000000006</v>
      </c>
      <c r="I25" s="15">
        <f>IFERROR(_xlfn.XLOOKUP($E25, Table_Fuel_EFs_StationaryLiquid[Fuel combusted], Table_Fuel_EFs_StationaryLiquid[Scope 1 Emission Factor (kg CO2 - e / GJ) CH4]),0)</f>
        <v>0.2</v>
      </c>
      <c r="J25" s="15">
        <f>IFERROR(_xlfn.XLOOKUP($E25, Table_Fuel_EFs_StationaryLiquid[Fuel combusted], Table_Fuel_EFs_StationaryLiquid[Scope 1 Emission Factor (kg CO2 - e / GJ) N2O]),0)</f>
        <v>0.2</v>
      </c>
      <c r="K25" s="15">
        <f>IFERROR(_xlfn.XLOOKUP($E25, Table_Fuel_EFs_StationaryLiquid[Fuel combusted], Table_Fuel_EFs_StationaryLiquid[Scope 3 Emission Factor (kg CO2 - e / GJ)]),0)</f>
        <v>17.2</v>
      </c>
      <c r="L25" s="161" cm="1">
        <f t="array" ref="L25">Fuel_InputFunctions.Fuel_TotalConsumption(Table_Input_Fuel[Amount consumed], Table_Input_Fuel[Fuel use (select)], D25, Table_Input_Fuel[Fuel type (select)],F25)</f>
        <v>0</v>
      </c>
      <c r="M25" s="161" t="str" cm="1">
        <f t="array" ref="M25">Common_InputFunctions.Utility_LookupValueInTable(F25,Table_FuelTypes_Units[Fuel type],Table_FuelTypes_Units[Unit])</f>
        <v>kL</v>
      </c>
      <c r="N25" s="203">
        <f>((($L25 * $G25 * H25) * 10 ^ -3))</f>
        <v>0</v>
      </c>
      <c r="O25" s="203">
        <f>((($L25 * $G25 * I25) * 10 ^ -3))</f>
        <v>0</v>
      </c>
      <c r="P25" s="203">
        <f>((($L25 * $G25 * J25) * 10 ^ -3))</f>
        <v>0</v>
      </c>
      <c r="Q25" s="203">
        <f>((($L25 * $G25 * ((IF(ISNUMBER(K25), K25, 0)))) * 10 ^ -3))</f>
        <v>0</v>
      </c>
    </row>
    <row r="26" spans="1:17" ht="20.100000000000001" customHeight="1" x14ac:dyDescent="0.2">
      <c r="A26" s="5" t="str">
        <f>HYPERLINK("#'5.2.1.1-2 Organic Fert N2O'!A1", "5.2.1.1-2 Organic fert N2O")</f>
        <v>5.2.1.1-2 Organic fert N2O</v>
      </c>
      <c r="D26" s="183" t="str">
        <f t="shared" ref="D26:D31" si="0">$D$25</f>
        <v>Generators</v>
      </c>
      <c r="E26" s="181" t="str">
        <f>'Constants - Fuel'!$D$63</f>
        <v>Diesel oil</v>
      </c>
      <c r="F26" s="181" t="str">
        <f>'Constants - Fuel'!D132</f>
        <v>Diesel</v>
      </c>
      <c r="G26" s="15">
        <f>IFERROR(_xlfn.XLOOKUP($E26, Table_Fuel_EFs_StationaryLiquid[Fuel combusted], Table_Fuel_EFs_StationaryLiquid[Energy Content Factor (GJ per unit of fuel)]),0)</f>
        <v>38.6</v>
      </c>
      <c r="H26" s="15">
        <f>IFERROR(_xlfn.XLOOKUP($E26, Table_Fuel_EFs_StationaryLiquid[Fuel combusted], Table_Fuel_EFs_StationaryLiquid[Scope 1 Emission Factor (kg CO2 - e / GJ) CO2]),0)</f>
        <v>69.900000000000006</v>
      </c>
      <c r="I26" s="15">
        <f>IFERROR(_xlfn.XLOOKUP($E26, Table_Fuel_EFs_StationaryLiquid[Fuel combusted], Table_Fuel_EFs_StationaryLiquid[Scope 1 Emission Factor (kg CO2 - e / GJ) CH4]),0)</f>
        <v>0.1</v>
      </c>
      <c r="J26" s="15">
        <f>IFERROR(_xlfn.XLOOKUP($E26, Table_Fuel_EFs_StationaryLiquid[Fuel combusted], Table_Fuel_EFs_StationaryLiquid[Scope 1 Emission Factor (kg CO2 - e / GJ) N2O]),0)</f>
        <v>0.2</v>
      </c>
      <c r="K26" s="15">
        <f>IFERROR(_xlfn.XLOOKUP($E26, Table_Fuel_EFs_StationaryLiquid[Fuel combusted], Table_Fuel_EFs_StationaryLiquid[Scope 3 Emission Factor (kg CO2 - e / GJ)]),0)</f>
        <v>17.3</v>
      </c>
      <c r="L26" s="161" cm="1">
        <f t="array" ref="L26">Fuel_InputFunctions.Fuel_TotalConsumption(Table_Input_Fuel[Amount consumed], Table_Input_Fuel[Fuel use (select)], D26, Table_Input_Fuel[Fuel type (select)],F26)</f>
        <v>0</v>
      </c>
      <c r="M26" s="161" t="str" cm="1">
        <f t="array" ref="M26">Common_InputFunctions.Utility_LookupValueInTable(F26,Table_FuelTypes_Units[Fuel type],Table_FuelTypes_Units[Unit])</f>
        <v>kL</v>
      </c>
      <c r="N26" s="203">
        <f>((($L26 * $G26 * H26) * 10 ^ -3))</f>
        <v>0</v>
      </c>
      <c r="O26" s="203">
        <f>((($L26 * $G26 * I26) * 10 ^ -3))</f>
        <v>0</v>
      </c>
      <c r="P26" s="203">
        <f>((($L26 * $G26 * J26) * 10 ^ -3))</f>
        <v>0</v>
      </c>
      <c r="Q26" s="203">
        <f>((($L26 * $G26 * ((IF(ISNUMBER(K26), K26, 0)))) * 10 ^ -3))</f>
        <v>0</v>
      </c>
    </row>
    <row r="27" spans="1:17" ht="20.100000000000001" customHeight="1" x14ac:dyDescent="0.2">
      <c r="A27" s="5" t="str">
        <f>HYPERLINK("#'5.3.1.1-2 Lime CO2'!A1", "5.3.1.1-2 Lime CO2")</f>
        <v>5.3.1.1-2 Lime CO2</v>
      </c>
      <c r="D27" s="183" t="str">
        <f t="shared" si="0"/>
        <v>Generators</v>
      </c>
      <c r="E27" s="181" t="str">
        <f>'Constants - Fuel'!$D$67</f>
        <v>Liquefied petroleum gas (LPG)</v>
      </c>
      <c r="F27" s="181" t="str">
        <f>'Constants - Fuel'!D133</f>
        <v>Liquefied petroleum gas (LPG)</v>
      </c>
      <c r="G27" s="15">
        <f>IFERROR(_xlfn.XLOOKUP($E27, Table_Fuel_EFs_StationaryLiquid[Fuel combusted], Table_Fuel_EFs_StationaryLiquid[Energy Content Factor (GJ per unit of fuel)]),0)</f>
        <v>25.7</v>
      </c>
      <c r="H27" s="15">
        <f>IFERROR(_xlfn.XLOOKUP($E27, Table_Fuel_EFs_StationaryLiquid[Fuel combusted], Table_Fuel_EFs_StationaryLiquid[Scope 1 Emission Factor (kg CO2 - e / GJ) CO2]),0)</f>
        <v>60.2</v>
      </c>
      <c r="I27" s="15">
        <f>IFERROR(_xlfn.XLOOKUP($E27, Table_Fuel_EFs_StationaryLiquid[Fuel combusted], Table_Fuel_EFs_StationaryLiquid[Scope 1 Emission Factor (kg CO2 - e / GJ) CH4]),0)</f>
        <v>0.2</v>
      </c>
      <c r="J27" s="15">
        <f>IFERROR(_xlfn.XLOOKUP($E27, Table_Fuel_EFs_StationaryLiquid[Fuel combusted], Table_Fuel_EFs_StationaryLiquid[Scope 1 Emission Factor (kg CO2 - e / GJ) N2O]),0)</f>
        <v>0.2</v>
      </c>
      <c r="K27" s="15">
        <f>IFERROR(_xlfn.XLOOKUP($E27, Table_Fuel_EFs_StationaryLiquid[Fuel combusted], Table_Fuel_EFs_StationaryLiquid[Scope 3 Emission Factor (kg CO2 - e / GJ)]),0)</f>
        <v>20.2</v>
      </c>
      <c r="L27" s="161" cm="1">
        <f t="array" ref="L27">Fuel_InputFunctions.Fuel_TotalConsumption(Table_Input_Fuel[Amount consumed], Table_Input_Fuel[Fuel use (select)], D27, Table_Input_Fuel[Fuel type (select)],F27)</f>
        <v>0</v>
      </c>
      <c r="M27" s="161" t="str" cm="1">
        <f t="array" ref="M27">Common_InputFunctions.Utility_LookupValueInTable(F27,Table_FuelTypes_Units[Fuel type],Table_FuelTypes_Units[Unit])</f>
        <v>kL</v>
      </c>
      <c r="N27" s="203">
        <f>((($L27 * $G27 * H27) * 10 ^ -3))</f>
        <v>0</v>
      </c>
      <c r="O27" s="203">
        <f>((($L27 * $G27 * I27) * 10 ^ -3))</f>
        <v>0</v>
      </c>
      <c r="P27" s="203">
        <f>((($L27 * $G27 * J27) * 10 ^ -3))</f>
        <v>0</v>
      </c>
      <c r="Q27" s="203">
        <f>((($L27 * $G27 * ((IF(ISNUMBER(K27), K27, 0)))) * 10 ^ -3))</f>
        <v>0</v>
      </c>
    </row>
    <row r="28" spans="1:17" ht="20.100000000000001" customHeight="1" x14ac:dyDescent="0.2">
      <c r="A28" s="5" t="str">
        <f>HYPERLINK("#'5.4.1.1-4 Atmos deposition'!A1", "5.4.1.1-4 Atmos. deposition")</f>
        <v>5.4.1.1-4 Atmos. deposition</v>
      </c>
      <c r="D28" s="183" t="str">
        <f t="shared" si="0"/>
        <v>Generators</v>
      </c>
      <c r="E28" s="181" t="str">
        <f>'Constants - Fuel'!$D$73</f>
        <v>Biodiesel</v>
      </c>
      <c r="F28" s="181" t="str">
        <f>'Constants - Fuel'!D134</f>
        <v>Biodiesel</v>
      </c>
      <c r="G28" s="15">
        <f>IFERROR(_xlfn.XLOOKUP($E28, Table_Fuel_EFs_StationaryLiquid[Fuel combusted], Table_Fuel_EFs_StationaryLiquid[Energy Content Factor (GJ per unit of fuel)]),0)</f>
        <v>34.6</v>
      </c>
      <c r="H28" s="15">
        <f>IFERROR(_xlfn.XLOOKUP($E28, Table_Fuel_EFs_StationaryLiquid[Fuel combusted], Table_Fuel_EFs_StationaryLiquid[Scope 1 Emission Factor (kg CO2 - e / GJ) CO2]),0)</f>
        <v>0</v>
      </c>
      <c r="I28" s="15">
        <f>IFERROR(_xlfn.XLOOKUP($E28, Table_Fuel_EFs_StationaryLiquid[Fuel combusted], Table_Fuel_EFs_StationaryLiquid[Scope 1 Emission Factor (kg CO2 - e / GJ) CH4]),0)</f>
        <v>0.08</v>
      </c>
      <c r="J28" s="15">
        <f>IFERROR(_xlfn.XLOOKUP($E28, Table_Fuel_EFs_StationaryLiquid[Fuel combusted], Table_Fuel_EFs_StationaryLiquid[Scope 1 Emission Factor (kg CO2 - e / GJ) N2O]),0)</f>
        <v>0.2</v>
      </c>
      <c r="K28" s="15" t="str">
        <f>IFERROR(_xlfn.XLOOKUP($E28, Table_Fuel_EFs_StationaryLiquid[Fuel combusted], Table_Fuel_EFs_StationaryLiquid[Scope 3 Emission Factor (kg CO2 - e / GJ)]),0)</f>
        <v>NE</v>
      </c>
      <c r="L28" s="161" cm="1">
        <f t="array" ref="L28">Fuel_InputFunctions.Fuel_TotalConsumption(Table_Input_Fuel[Amount consumed], Table_Input_Fuel[Fuel use (select)], D28, Table_Input_Fuel[Fuel type (select)],F28)</f>
        <v>0</v>
      </c>
      <c r="M28" s="161" t="str" cm="1">
        <f t="array" ref="M28">Common_InputFunctions.Utility_LookupValueInTable(F28,Table_FuelTypes_Units[Fuel type],Table_FuelTypes_Units[Unit])</f>
        <v>kL</v>
      </c>
      <c r="N28" s="203">
        <f>((($L28 * $G28 * H28) * 10 ^ -3))</f>
        <v>0</v>
      </c>
      <c r="O28" s="203">
        <f>((($L28 * $G28 * I28) * 10 ^ -3))</f>
        <v>0</v>
      </c>
      <c r="P28" s="203">
        <f>((($L28 * $G28 * J28) * 10 ^ -3))</f>
        <v>0</v>
      </c>
      <c r="Q28" s="203">
        <f>((($L28 * $G28 * ((IF(ISNUMBER(K28), K28, 0)))) * 10 ^ -3))</f>
        <v>0</v>
      </c>
    </row>
    <row r="29" spans="1:17" ht="20.100000000000001" customHeight="1" x14ac:dyDescent="0.2">
      <c r="A29" s="5" t="str">
        <f>HYPERLINK("#'5.5.1.1-2 Leaching and runoff'!A1", "5.5.1.1-2 Leaching &amp; runoff")</f>
        <v>5.5.1.1-2 Leaching &amp; runoff</v>
      </c>
      <c r="D29" s="183" t="str">
        <f t="shared" si="0"/>
        <v>Generators</v>
      </c>
      <c r="E29" s="181" t="str">
        <f>'Constants - Fuel'!$D$74</f>
        <v>Ethanol for use as a fuel in an internal combustion engine</v>
      </c>
      <c r="F29" s="181" t="str">
        <f>'Constants - Fuel'!D135</f>
        <v>Ethanol</v>
      </c>
      <c r="G29" s="15">
        <f>IFERROR(_xlfn.XLOOKUP($E29, Table_Fuel_EFs_StationaryLiquid[Fuel combusted], Table_Fuel_EFs_StationaryLiquid[Energy Content Factor (GJ per unit of fuel)]),0)</f>
        <v>23.4</v>
      </c>
      <c r="H29" s="15">
        <f>IFERROR(_xlfn.XLOOKUP($E29, Table_Fuel_EFs_StationaryLiquid[Fuel combusted], Table_Fuel_EFs_StationaryLiquid[Scope 1 Emission Factor (kg CO2 - e / GJ) CO2]),0)</f>
        <v>0</v>
      </c>
      <c r="I29" s="15">
        <f>IFERROR(_xlfn.XLOOKUP($E29, Table_Fuel_EFs_StationaryLiquid[Fuel combusted], Table_Fuel_EFs_StationaryLiquid[Scope 1 Emission Factor (kg CO2 - e / GJ) CH4]),0)</f>
        <v>0.08</v>
      </c>
      <c r="J29" s="15">
        <f>IFERROR(_xlfn.XLOOKUP($E29, Table_Fuel_EFs_StationaryLiquid[Fuel combusted], Table_Fuel_EFs_StationaryLiquid[Scope 1 Emission Factor (kg CO2 - e / GJ) N2O]),0)</f>
        <v>0.2</v>
      </c>
      <c r="K29" s="15" t="str">
        <f>IFERROR(_xlfn.XLOOKUP($E29, Table_Fuel_EFs_StationaryLiquid[Fuel combusted], Table_Fuel_EFs_StationaryLiquid[Scope 3 Emission Factor (kg CO2 - e / GJ)]),0)</f>
        <v>NE</v>
      </c>
      <c r="L29" s="161" cm="1">
        <f t="array" ref="L29">Fuel_InputFunctions.Fuel_TotalConsumption(Table_Input_Fuel[Amount consumed], Table_Input_Fuel[Fuel use (select)], D29, Table_Input_Fuel[Fuel type (select)],F29)</f>
        <v>0</v>
      </c>
      <c r="M29" s="161" t="str" cm="1">
        <f t="array" ref="M29">Common_InputFunctions.Utility_LookupValueInTable(F29,Table_FuelTypes_Units[Fuel type],Table_FuelTypes_Units[Unit])</f>
        <v>kL</v>
      </c>
      <c r="N29" s="203">
        <f>((($L29 * $G29 * H29) * 10 ^ -3))</f>
        <v>0</v>
      </c>
      <c r="O29" s="203">
        <f>((($L29 * $G29 * I29) * 10 ^ -3))</f>
        <v>0</v>
      </c>
      <c r="P29" s="203">
        <f>((($L29 * $G29 * J29) * 10 ^ -3))</f>
        <v>0</v>
      </c>
      <c r="Q29" s="203">
        <f>((($L29 * $G29 * ((IF(ISNUMBER(K29), K29, 0)))) * 10 ^ -3))</f>
        <v>0</v>
      </c>
    </row>
    <row r="30" spans="1:17" ht="20.100000000000001" customHeight="1" x14ac:dyDescent="0.2">
      <c r="A30" s="5" t="str">
        <f>HYPERLINK("#'6.1.1.1-2 Crop residue N2O'!A1", "6.1.1.1-2 Crop residue N2O")</f>
        <v>6.1.1.1-2 Crop residue N2O</v>
      </c>
      <c r="D30" s="183" t="str">
        <f t="shared" si="0"/>
        <v>Generators</v>
      </c>
      <c r="E30" s="181" t="str">
        <f>'Constants - Fuel'!$D$75</f>
        <v>Biofuels other than those mentioned in the items above and below</v>
      </c>
      <c r="F30" s="181" t="str">
        <f>'Constants - Fuel'!D136</f>
        <v>Other biofuels</v>
      </c>
      <c r="G30" s="15">
        <f>IFERROR(_xlfn.XLOOKUP($E30, Table_Fuel_EFs_StationaryLiquid[Fuel combusted], Table_Fuel_EFs_StationaryLiquid[Energy Content Factor (GJ per unit of fuel)]),0)</f>
        <v>23.4</v>
      </c>
      <c r="H30" s="15">
        <f>IFERROR(_xlfn.XLOOKUP($E30, Table_Fuel_EFs_StationaryLiquid[Fuel combusted], Table_Fuel_EFs_StationaryLiquid[Scope 1 Emission Factor (kg CO2 - e / GJ) CO2]),0)</f>
        <v>0</v>
      </c>
      <c r="I30" s="15">
        <f>IFERROR(_xlfn.XLOOKUP($E30, Table_Fuel_EFs_StationaryLiquid[Fuel combusted], Table_Fuel_EFs_StationaryLiquid[Scope 1 Emission Factor (kg CO2 - e / GJ) CH4]),0)</f>
        <v>0.08</v>
      </c>
      <c r="J30" s="15">
        <f>IFERROR(_xlfn.XLOOKUP($E30, Table_Fuel_EFs_StationaryLiquid[Fuel combusted], Table_Fuel_EFs_StationaryLiquid[Scope 1 Emission Factor (kg CO2 - e / GJ) N2O]),0)</f>
        <v>0.2</v>
      </c>
      <c r="K30" s="15" t="str">
        <f>IFERROR(_xlfn.XLOOKUP($E30, Table_Fuel_EFs_StationaryLiquid[Fuel combusted], Table_Fuel_EFs_StationaryLiquid[Scope 3 Emission Factor (kg CO2 - e / GJ)]),0)</f>
        <v>NE</v>
      </c>
      <c r="L30" s="161" cm="1">
        <f t="array" ref="L30">Fuel_InputFunctions.Fuel_TotalConsumption(Table_Input_Fuel[Amount consumed], Table_Input_Fuel[Fuel use (select)], D30, Table_Input_Fuel[Fuel type (select)],F30)</f>
        <v>0</v>
      </c>
      <c r="M30" s="161" t="str" cm="1">
        <f t="array" ref="M30">Common_InputFunctions.Utility_LookupValueInTable(F30,Table_FuelTypes_Units[Fuel type],Table_FuelTypes_Units[Unit])</f>
        <v>kL</v>
      </c>
      <c r="N30" s="203">
        <f>((($L30 * $G30 * H30) * 10 ^ -3))</f>
        <v>0</v>
      </c>
      <c r="O30" s="203">
        <f>((($L30 * $G30 * I30) * 10 ^ -3))</f>
        <v>0</v>
      </c>
      <c r="P30" s="203">
        <f>((($L30 * $G30 * J30) * 10 ^ -3))</f>
        <v>0</v>
      </c>
      <c r="Q30" s="203">
        <f>((($L30 * $G30 * ((IF(ISNUMBER(K30), K30, 0)))) * 10 ^ -3))</f>
        <v>0</v>
      </c>
    </row>
    <row r="31" spans="1:17" ht="20.100000000000001" customHeight="1" x14ac:dyDescent="0.2">
      <c r="A31" s="5" t="str">
        <f>HYPERLINK("#'6.3.1.1-2 Leach runoff crop'!A1", "6.3.1.1-2 Leach &amp; runoff (crop)")</f>
        <v>6.3.1.1-2 Leach &amp; runoff (crop)</v>
      </c>
      <c r="D31" s="183" t="str">
        <f t="shared" si="0"/>
        <v>Generators</v>
      </c>
      <c r="E31" s="181" t="str">
        <f>'Constants - Fuel'!$D$77</f>
        <v>Renewable diesel</v>
      </c>
      <c r="F31" s="181" t="str">
        <f>'Constants - Fuel'!D137</f>
        <v>Renewable diesel</v>
      </c>
      <c r="G31" s="179">
        <f>IFERROR(_xlfn.XLOOKUP($E31, Table_Fuel_EFs_StationaryLiquid[Fuel combusted], Table_Fuel_EFs_StationaryLiquid[Energy Content Factor (GJ per unit of fuel)]),0)</f>
        <v>38.6</v>
      </c>
      <c r="H31" s="179">
        <f>IFERROR(_xlfn.XLOOKUP($E31, Table_Fuel_EFs_StationaryLiquid[Fuel combusted], Table_Fuel_EFs_StationaryLiquid[Scope 1 Emission Factor (kg CO2 - e / GJ) CO2]),0)</f>
        <v>0</v>
      </c>
      <c r="I31" s="179">
        <f>IFERROR(_xlfn.XLOOKUP($E31, Table_Fuel_EFs_StationaryLiquid[Fuel combusted], Table_Fuel_EFs_StationaryLiquid[Scope 1 Emission Factor (kg CO2 - e / GJ) CH4]),0)</f>
        <v>0.1</v>
      </c>
      <c r="J31" s="179">
        <f>IFERROR(_xlfn.XLOOKUP($E31, Table_Fuel_EFs_StationaryLiquid[Fuel combusted], Table_Fuel_EFs_StationaryLiquid[Scope 1 Emission Factor (kg CO2 - e / GJ) N2O]),0)</f>
        <v>0.2</v>
      </c>
      <c r="K31" s="179" t="str">
        <f>IFERROR(_xlfn.XLOOKUP($E31, Table_Fuel_EFs_StationaryLiquid[Fuel combusted], Table_Fuel_EFs_StationaryLiquid[Scope 3 Emission Factor (kg CO2 - e / GJ)]),0)</f>
        <v>NE</v>
      </c>
      <c r="L31" s="184" cm="1">
        <f t="array" ref="L31">Fuel_InputFunctions.Fuel_TotalConsumption(Table_Input_Fuel[Amount consumed], Table_Input_Fuel[Fuel use (select)], D31, Table_Input_Fuel[Fuel type (select)],F31)</f>
        <v>0</v>
      </c>
      <c r="M31" s="184" t="str" cm="1">
        <f t="array" ref="M31">Common_InputFunctions.Utility_LookupValueInTable(F31,Table_FuelTypes_Units[Fuel type],Table_FuelTypes_Units[Unit])</f>
        <v>kL</v>
      </c>
      <c r="N31" s="204">
        <f>((($L31 * $G31 * H31) * 10 ^ -3))</f>
        <v>0</v>
      </c>
      <c r="O31" s="204">
        <f>((($L31 * $G31 * I31) * 10 ^ -3))</f>
        <v>0</v>
      </c>
      <c r="P31" s="204">
        <f>((($L31 * $G31 * J31) * 10 ^ -3))</f>
        <v>0</v>
      </c>
      <c r="Q31" s="204">
        <f>((($L31 * $G31 * ((IF(ISNUMBER(K31), K31, 0)))) * 10 ^ -3))</f>
        <v>0</v>
      </c>
    </row>
    <row r="32" spans="1:17" ht="20.100000000000001" customHeight="1" x14ac:dyDescent="0.2">
      <c r="A32" s="5" t="str">
        <f>HYPERLINK("#'6.4.1.1-2 Residue burning'!A1", "6.4.1.1-2 Residue burning")</f>
        <v>6.4.1.1-2 Residue burning</v>
      </c>
      <c r="D32" s="186" t="str">
        <f>Table_FuelTypesPerUse[[#Headers],[Power standalone machinery or heating]]</f>
        <v>Power standalone machinery or heating</v>
      </c>
      <c r="E32" s="187" t="str">
        <f>'Constants - Fuel'!$D$58</f>
        <v>Automotive gasoline / petrol (other than for use as fuel in an aircraft)</v>
      </c>
      <c r="F32" s="187" t="str">
        <f>'Constants - Fuel'!E131</f>
        <v>Petrol</v>
      </c>
      <c r="G32" s="194">
        <f>IFERROR(_xlfn.XLOOKUP($E32, Table_Fuel_EFs_StationaryLiquid[Fuel combusted], Table_Fuel_EFs_StationaryLiquid[Energy Content Factor (GJ per unit of fuel)]),0)</f>
        <v>34.200000000000003</v>
      </c>
      <c r="H32" s="194">
        <f>IFERROR(_xlfn.XLOOKUP($E32, Table_Fuel_EFs_StationaryLiquid[Fuel combusted], Table_Fuel_EFs_StationaryLiquid[Scope 1 Emission Factor (kg CO2 - e / GJ) CO2]),0)</f>
        <v>67.400000000000006</v>
      </c>
      <c r="I32" s="194">
        <f>IFERROR(_xlfn.XLOOKUP($E32, Table_Fuel_EFs_StationaryLiquid[Fuel combusted], Table_Fuel_EFs_StationaryLiquid[Scope 1 Emission Factor (kg CO2 - e / GJ) CH4]),0)</f>
        <v>0.2</v>
      </c>
      <c r="J32" s="194">
        <f>IFERROR(_xlfn.XLOOKUP($E32, Table_Fuel_EFs_StationaryLiquid[Fuel combusted], Table_Fuel_EFs_StationaryLiquid[Scope 1 Emission Factor (kg CO2 - e / GJ) N2O]),0)</f>
        <v>0.2</v>
      </c>
      <c r="K32" s="194">
        <f>IFERROR(_xlfn.XLOOKUP($E32, Table_Fuel_EFs_StationaryLiquid[Fuel combusted], Table_Fuel_EFs_StationaryLiquid[Scope 3 Emission Factor (kg CO2 - e / GJ)]),0)</f>
        <v>17.2</v>
      </c>
      <c r="L32" s="190" cm="1">
        <f t="array" ref="L32">Fuel_InputFunctions.Fuel_TotalConsumption(Table_Input_Fuel[Amount consumed], Table_Input_Fuel[Fuel use (select)], D32, Table_Input_Fuel[Fuel type (select)],F32)</f>
        <v>10</v>
      </c>
      <c r="M32" s="191" t="str" cm="1">
        <f t="array" ref="M32">Common_InputFunctions.Utility_LookupValueInTable(F32,Table_FuelTypes_Units[Fuel type],Table_FuelTypes_Units[Unit])</f>
        <v>kL</v>
      </c>
      <c r="N32" s="205">
        <f>((($L32 * $G32 * H32) * 10 ^ -3))</f>
        <v>23.050800000000002</v>
      </c>
      <c r="O32" s="205">
        <f>((($L32 * $G32 * I32) * 10 ^ -3))</f>
        <v>6.8400000000000002E-2</v>
      </c>
      <c r="P32" s="205">
        <f>((($L32 * $G32 * J32) * 10 ^ -3))</f>
        <v>6.8400000000000002E-2</v>
      </c>
      <c r="Q32" s="205">
        <f>((($L32 * $G32 * ((IF(ISNUMBER(K32), K32, 0)))) * 10 ^ -3))</f>
        <v>5.8823999999999996</v>
      </c>
    </row>
    <row r="33" spans="1:17" ht="20.100000000000001" customHeight="1" x14ac:dyDescent="0.2">
      <c r="A33" s="5" t="str">
        <f>HYPERLINK("#'8.1.1.1-2 Transport fuel'!A1", "8.1.1.1-2 Transport fuel")</f>
        <v>8.1.1.1-2 Transport fuel</v>
      </c>
      <c r="D33" s="183" t="str">
        <f t="shared" ref="D33:D40" si="1">$D$32</f>
        <v>Power standalone machinery or heating</v>
      </c>
      <c r="E33" s="181" t="str">
        <f>'Constants - Fuel'!$D$63</f>
        <v>Diesel oil</v>
      </c>
      <c r="F33" s="181" t="str">
        <f>'Constants - Fuel'!E132</f>
        <v>Diesel</v>
      </c>
      <c r="G33" s="15">
        <f>IFERROR(_xlfn.XLOOKUP($E33, Table_Fuel_EFs_StationaryLiquid[Fuel combusted], Table_Fuel_EFs_StationaryLiquid[Energy Content Factor (GJ per unit of fuel)]),0)</f>
        <v>38.6</v>
      </c>
      <c r="H33" s="15">
        <f>IFERROR(_xlfn.XLOOKUP($E33, Table_Fuel_EFs_StationaryLiquid[Fuel combusted], Table_Fuel_EFs_StationaryLiquid[Scope 1 Emission Factor (kg CO2 - e / GJ) CO2]),0)</f>
        <v>69.900000000000006</v>
      </c>
      <c r="I33" s="15">
        <f>IFERROR(_xlfn.XLOOKUP($E33, Table_Fuel_EFs_StationaryLiquid[Fuel combusted], Table_Fuel_EFs_StationaryLiquid[Scope 1 Emission Factor (kg CO2 - e / GJ) CH4]),0)</f>
        <v>0.1</v>
      </c>
      <c r="J33" s="15">
        <f>IFERROR(_xlfn.XLOOKUP($E33, Table_Fuel_EFs_StationaryLiquid[Fuel combusted], Table_Fuel_EFs_StationaryLiquid[Scope 1 Emission Factor (kg CO2 - e / GJ) N2O]),0)</f>
        <v>0.2</v>
      </c>
      <c r="K33" s="15">
        <f>IFERROR(_xlfn.XLOOKUP($E33, Table_Fuel_EFs_StationaryLiquid[Fuel combusted], Table_Fuel_EFs_StationaryLiquid[Scope 3 Emission Factor (kg CO2 - e / GJ)]),0)</f>
        <v>17.3</v>
      </c>
      <c r="L33" s="15" cm="1">
        <f t="array" ref="L33">Fuel_InputFunctions.Fuel_TotalConsumption(Table_Input_Fuel[Amount consumed], Table_Input_Fuel[Fuel use (select)], D33, Table_Input_Fuel[Fuel type (select)],F33)</f>
        <v>0</v>
      </c>
      <c r="M33" s="15" t="str" cm="1">
        <f t="array" ref="M33">Common_InputFunctions.Utility_LookupValueInTable(F33,Table_FuelTypes_Units[Fuel type],Table_FuelTypes_Units[Unit])</f>
        <v>kL</v>
      </c>
      <c r="N33" s="203">
        <f>((($L33 * $G33 * H33) * 10 ^ -3))</f>
        <v>0</v>
      </c>
      <c r="O33" s="203">
        <f>((($L33 * $G33 * I33) * 10 ^ -3))</f>
        <v>0</v>
      </c>
      <c r="P33" s="203">
        <f>((($L33 * $G33 * J33) * 10 ^ -3))</f>
        <v>0</v>
      </c>
      <c r="Q33" s="203">
        <f>((($L33 * $G33 * ((IF(ISNUMBER(K33), K33, 0)))) * 10 ^ -3))</f>
        <v>0</v>
      </c>
    </row>
    <row r="34" spans="1:17" ht="20.100000000000001" customHeight="1" x14ac:dyDescent="0.2">
      <c r="A34" s="144" t="str">
        <f>HYPERLINK("#'8.2.1.1-2 Stationary fuel'!A1", "8.2.1.1-2 Stationary fuel")</f>
        <v>8.2.1.1-2 Stationary fuel</v>
      </c>
      <c r="D34" s="183" t="str">
        <f t="shared" si="1"/>
        <v>Power standalone machinery or heating</v>
      </c>
      <c r="E34" s="181" t="str">
        <f>'Constants - Fuel'!$D$67</f>
        <v>Liquefied petroleum gas (LPG)</v>
      </c>
      <c r="F34" s="181" t="str">
        <f>'Constants - Fuel'!E133</f>
        <v>Liquefied petroleum gas (LPG)</v>
      </c>
      <c r="G34" s="15">
        <f>IFERROR(_xlfn.XLOOKUP($E34, Table_Fuel_EFs_StationaryLiquid[Fuel combusted], Table_Fuel_EFs_StationaryLiquid[Energy Content Factor (GJ per unit of fuel)]),0)</f>
        <v>25.7</v>
      </c>
      <c r="H34" s="15">
        <f>IFERROR(_xlfn.XLOOKUP($E34, Table_Fuel_EFs_StationaryLiquid[Fuel combusted], Table_Fuel_EFs_StationaryLiquid[Scope 1 Emission Factor (kg CO2 - e / GJ) CO2]),0)</f>
        <v>60.2</v>
      </c>
      <c r="I34" s="15">
        <f>IFERROR(_xlfn.XLOOKUP($E34, Table_Fuel_EFs_StationaryLiquid[Fuel combusted], Table_Fuel_EFs_StationaryLiquid[Scope 1 Emission Factor (kg CO2 - e / GJ) CH4]),0)</f>
        <v>0.2</v>
      </c>
      <c r="J34" s="15">
        <f>IFERROR(_xlfn.XLOOKUP($E34, Table_Fuel_EFs_StationaryLiquid[Fuel combusted], Table_Fuel_EFs_StationaryLiquid[Scope 1 Emission Factor (kg CO2 - e / GJ) N2O]),0)</f>
        <v>0.2</v>
      </c>
      <c r="K34" s="15">
        <f>IFERROR(_xlfn.XLOOKUP($E34, Table_Fuel_EFs_StationaryLiquid[Fuel combusted], Table_Fuel_EFs_StationaryLiquid[Scope 3 Emission Factor (kg CO2 - e / GJ)]),0)</f>
        <v>20.2</v>
      </c>
      <c r="L34" s="15" cm="1">
        <f t="array" ref="L34">Fuel_InputFunctions.Fuel_TotalConsumption(Table_Input_Fuel[Amount consumed], Table_Input_Fuel[Fuel use (select)], D34, Table_Input_Fuel[Fuel type (select)],F34)</f>
        <v>0</v>
      </c>
      <c r="M34" s="15" t="str" cm="1">
        <f t="array" ref="M34">Common_InputFunctions.Utility_LookupValueInTable(F34,Table_FuelTypes_Units[Fuel type],Table_FuelTypes_Units[Unit])</f>
        <v>kL</v>
      </c>
      <c r="N34" s="203">
        <f>((($L34 * $G34 * H34) * 10 ^ -3))</f>
        <v>0</v>
      </c>
      <c r="O34" s="203">
        <f>((($L34 * $G34 * I34) * 10 ^ -3))</f>
        <v>0</v>
      </c>
      <c r="P34" s="203">
        <f>((($L34 * $G34 * J34) * 10 ^ -3))</f>
        <v>0</v>
      </c>
      <c r="Q34" s="203">
        <f>((($L34 * $G34 * ((IF(ISNUMBER(K34), K34, 0)))) * 10 ^ -3))</f>
        <v>0</v>
      </c>
    </row>
    <row r="35" spans="1:17" ht="20.100000000000001" customHeight="1" x14ac:dyDescent="0.2">
      <c r="A35" s="5" t="str">
        <f>HYPERLINK("#'10.1.1-2 Solid waste treatment'!A1", "10.1.1.1-2 Solid waste")</f>
        <v>10.1.1.1-2 Solid waste</v>
      </c>
      <c r="D35" s="183" t="str">
        <f t="shared" si="1"/>
        <v>Power standalone machinery or heating</v>
      </c>
      <c r="E35" s="181" t="str">
        <f>'Constants - Fuel'!$D$73</f>
        <v>Biodiesel</v>
      </c>
      <c r="F35" s="181" t="str">
        <f>'Constants - Fuel'!E134</f>
        <v>Biodiesel</v>
      </c>
      <c r="G35" s="15">
        <f>IFERROR(_xlfn.XLOOKUP($E35, Table_Fuel_EFs_StationaryLiquid[Fuel combusted], Table_Fuel_EFs_StationaryLiquid[Energy Content Factor (GJ per unit of fuel)]),0)</f>
        <v>34.6</v>
      </c>
      <c r="H35" s="15">
        <f>IFERROR(_xlfn.XLOOKUP($E35, Table_Fuel_EFs_StationaryLiquid[Fuel combusted], Table_Fuel_EFs_StationaryLiquid[Scope 1 Emission Factor (kg CO2 - e / GJ) CO2]),0)</f>
        <v>0</v>
      </c>
      <c r="I35" s="15">
        <f>IFERROR(_xlfn.XLOOKUP($E35, Table_Fuel_EFs_StationaryLiquid[Fuel combusted], Table_Fuel_EFs_StationaryLiquid[Scope 1 Emission Factor (kg CO2 - e / GJ) CH4]),0)</f>
        <v>0.08</v>
      </c>
      <c r="J35" s="15">
        <f>IFERROR(_xlfn.XLOOKUP($E35, Table_Fuel_EFs_StationaryLiquid[Fuel combusted], Table_Fuel_EFs_StationaryLiquid[Scope 1 Emission Factor (kg CO2 - e / GJ) N2O]),0)</f>
        <v>0.2</v>
      </c>
      <c r="K35" s="15" t="str">
        <f>IFERROR(_xlfn.XLOOKUP($E35, Table_Fuel_EFs_StationaryLiquid[Fuel combusted], Table_Fuel_EFs_StationaryLiquid[Scope 3 Emission Factor (kg CO2 - e / GJ)]),0)</f>
        <v>NE</v>
      </c>
      <c r="L35" s="15" cm="1">
        <f t="array" ref="L35">Fuel_InputFunctions.Fuel_TotalConsumption(Table_Input_Fuel[Amount consumed], Table_Input_Fuel[Fuel use (select)], D35, Table_Input_Fuel[Fuel type (select)],F35)</f>
        <v>0</v>
      </c>
      <c r="M35" s="15" t="str" cm="1">
        <f t="array" ref="M35">Common_InputFunctions.Utility_LookupValueInTable(F35,Table_FuelTypes_Units[Fuel type],Table_FuelTypes_Units[Unit])</f>
        <v>kL</v>
      </c>
      <c r="N35" s="203">
        <f>((($L35 * $G35 * H35) * 10 ^ -3))</f>
        <v>0</v>
      </c>
      <c r="O35" s="203">
        <f>((($L35 * $G35 * I35) * 10 ^ -3))</f>
        <v>0</v>
      </c>
      <c r="P35" s="203">
        <f>((($L35 * $G35 * J35) * 10 ^ -3))</f>
        <v>0</v>
      </c>
      <c r="Q35" s="203">
        <f>((($L35 * $G35 * ((IF(ISNUMBER(K35), K35, 0)))) * 10 ^ -3))</f>
        <v>0</v>
      </c>
    </row>
    <row r="36" spans="1:17" ht="20.100000000000001" customHeight="1" x14ac:dyDescent="0.2">
      <c r="A36" s="5" t="str">
        <f>HYPERLINK("#'14.1.1-2 Purchased electricity'!A1", "14.1.1-2 Purchased electricity")</f>
        <v>14.1.1-2 Purchased electricity</v>
      </c>
      <c r="D36" s="183" t="str">
        <f t="shared" si="1"/>
        <v>Power standalone machinery or heating</v>
      </c>
      <c r="E36" s="181" t="str">
        <f>'Constants - Fuel'!$D$74</f>
        <v>Ethanol for use as a fuel in an internal combustion engine</v>
      </c>
      <c r="F36" s="181" t="str">
        <f>'Constants - Fuel'!E135</f>
        <v>Ethanol</v>
      </c>
      <c r="G36" s="15">
        <f>IFERROR(_xlfn.XLOOKUP($E36, Table_Fuel_EFs_StationaryLiquid[Fuel combusted], Table_Fuel_EFs_StationaryLiquid[Energy Content Factor (GJ per unit of fuel)]),0)</f>
        <v>23.4</v>
      </c>
      <c r="H36" s="15">
        <f>IFERROR(_xlfn.XLOOKUP($E36, Table_Fuel_EFs_StationaryLiquid[Fuel combusted], Table_Fuel_EFs_StationaryLiquid[Scope 1 Emission Factor (kg CO2 - e / GJ) CO2]),0)</f>
        <v>0</v>
      </c>
      <c r="I36" s="15">
        <f>IFERROR(_xlfn.XLOOKUP($E36, Table_Fuel_EFs_StationaryLiquid[Fuel combusted], Table_Fuel_EFs_StationaryLiquid[Scope 1 Emission Factor (kg CO2 - e / GJ) CH4]),0)</f>
        <v>0.08</v>
      </c>
      <c r="J36" s="15">
        <f>IFERROR(_xlfn.XLOOKUP($E36, Table_Fuel_EFs_StationaryLiquid[Fuel combusted], Table_Fuel_EFs_StationaryLiquid[Scope 1 Emission Factor (kg CO2 - e / GJ) N2O]),0)</f>
        <v>0.2</v>
      </c>
      <c r="K36" s="15" t="str">
        <f>IFERROR(_xlfn.XLOOKUP($E36, Table_Fuel_EFs_StationaryLiquid[Fuel combusted], Table_Fuel_EFs_StationaryLiquid[Scope 3 Emission Factor (kg CO2 - e / GJ)]),0)</f>
        <v>NE</v>
      </c>
      <c r="L36" s="15" cm="1">
        <f t="array" ref="L36">Fuel_InputFunctions.Fuel_TotalConsumption(Table_Input_Fuel[Amount consumed], Table_Input_Fuel[Fuel use (select)], D36, Table_Input_Fuel[Fuel type (select)],F36)</f>
        <v>0</v>
      </c>
      <c r="M36" s="15" t="str" cm="1">
        <f t="array" ref="M36">Common_InputFunctions.Utility_LookupValueInTable(F36,Table_FuelTypes_Units[Fuel type],Table_FuelTypes_Units[Unit])</f>
        <v>kL</v>
      </c>
      <c r="N36" s="203">
        <f>((($L36 * $G36 * H36) * 10 ^ -3))</f>
        <v>0</v>
      </c>
      <c r="O36" s="203">
        <f>((($L36 * $G36 * I36) * 10 ^ -3))</f>
        <v>0</v>
      </c>
      <c r="P36" s="203">
        <f>((($L36 * $G36 * J36) * 10 ^ -3))</f>
        <v>0</v>
      </c>
      <c r="Q36" s="203">
        <f>((($L36 * $G36 * ((IF(ISNUMBER(K36), K36, 0)))) * 10 ^ -3))</f>
        <v>0</v>
      </c>
    </row>
    <row r="37" spans="1:17" ht="20.100000000000001" customHeight="1" x14ac:dyDescent="0.2">
      <c r="A37" s="5" t="str">
        <f>HYPERLINK("#'15 Scope 3'!A1", "15 Scope 3")</f>
        <v>15 Scope 3</v>
      </c>
      <c r="D37" s="183" t="str">
        <f t="shared" si="1"/>
        <v>Power standalone machinery or heating</v>
      </c>
      <c r="E37" s="181" t="str">
        <f>'Constants - Fuel'!$D$75</f>
        <v>Biofuels other than those mentioned in the items above and below</v>
      </c>
      <c r="F37" s="181" t="str">
        <f>'Constants - Fuel'!E136</f>
        <v>Other biofuels</v>
      </c>
      <c r="G37" s="15">
        <f>IFERROR(_xlfn.XLOOKUP($E37, Table_Fuel_EFs_StationaryLiquid[Fuel combusted], Table_Fuel_EFs_StationaryLiquid[Energy Content Factor (GJ per unit of fuel)]),0)</f>
        <v>23.4</v>
      </c>
      <c r="H37" s="15">
        <f>IFERROR(_xlfn.XLOOKUP($E37, Table_Fuel_EFs_StationaryLiquid[Fuel combusted], Table_Fuel_EFs_StationaryLiquid[Scope 1 Emission Factor (kg CO2 - e / GJ) CO2]),0)</f>
        <v>0</v>
      </c>
      <c r="I37" s="15">
        <f>IFERROR(_xlfn.XLOOKUP($E37, Table_Fuel_EFs_StationaryLiquid[Fuel combusted], Table_Fuel_EFs_StationaryLiquid[Scope 1 Emission Factor (kg CO2 - e / GJ) CH4]),0)</f>
        <v>0.08</v>
      </c>
      <c r="J37" s="15">
        <f>IFERROR(_xlfn.XLOOKUP($E37, Table_Fuel_EFs_StationaryLiquid[Fuel combusted], Table_Fuel_EFs_StationaryLiquid[Scope 1 Emission Factor (kg CO2 - e / GJ) N2O]),0)</f>
        <v>0.2</v>
      </c>
      <c r="K37" s="15" t="str">
        <f>IFERROR(_xlfn.XLOOKUP($E37, Table_Fuel_EFs_StationaryLiquid[Fuel combusted], Table_Fuel_EFs_StationaryLiquid[Scope 3 Emission Factor (kg CO2 - e / GJ)]),0)</f>
        <v>NE</v>
      </c>
      <c r="L37" s="15" cm="1">
        <f t="array" ref="L37">Fuel_InputFunctions.Fuel_TotalConsumption(Table_Input_Fuel[Amount consumed], Table_Input_Fuel[Fuel use (select)], D37, Table_Input_Fuel[Fuel type (select)],F37)</f>
        <v>0</v>
      </c>
      <c r="M37" s="15" t="str" cm="1">
        <f t="array" ref="M37">Common_InputFunctions.Utility_LookupValueInTable(F37,Table_FuelTypes_Units[Fuel type],Table_FuelTypes_Units[Unit])</f>
        <v>kL</v>
      </c>
      <c r="N37" s="203">
        <f>((($L37 * $G37 * H37) * 10 ^ -3))</f>
        <v>0</v>
      </c>
      <c r="O37" s="203">
        <f>((($L37 * $G37 * I37) * 10 ^ -3))</f>
        <v>0</v>
      </c>
      <c r="P37" s="203">
        <f>((($L37 * $G37 * J37) * 10 ^ -3))</f>
        <v>0</v>
      </c>
      <c r="Q37" s="203">
        <f>((($L37 * $G37 * ((IF(ISNUMBER(K37), K37, 0)))) * 10 ^ -3))</f>
        <v>0</v>
      </c>
    </row>
    <row r="38" spans="1:17" ht="20.100000000000001" customHeight="1" x14ac:dyDescent="0.2">
      <c r="D38" s="183" t="str">
        <f t="shared" si="1"/>
        <v>Power standalone machinery or heating</v>
      </c>
      <c r="E38" s="181" t="str">
        <f>'Constants - Fuel'!$D$77</f>
        <v>Renewable diesel</v>
      </c>
      <c r="F38" s="181" t="str">
        <f>'Constants - Fuel'!E137</f>
        <v>Renewable diesel</v>
      </c>
      <c r="G38" s="15">
        <f>IFERROR(_xlfn.XLOOKUP($E38, Table_Fuel_EFs_StationaryLiquid[Fuel combusted], Table_Fuel_EFs_StationaryLiquid[Energy Content Factor (GJ per unit of fuel)]),0)</f>
        <v>38.6</v>
      </c>
      <c r="H38" s="15">
        <f>IFERROR(_xlfn.XLOOKUP($E38, Table_Fuel_EFs_StationaryLiquid[Fuel combusted], Table_Fuel_EFs_StationaryLiquid[Scope 1 Emission Factor (kg CO2 - e / GJ) CO2]),0)</f>
        <v>0</v>
      </c>
      <c r="I38" s="15">
        <f>IFERROR(_xlfn.XLOOKUP($E38, Table_Fuel_EFs_StationaryLiquid[Fuel combusted], Table_Fuel_EFs_StationaryLiquid[Scope 1 Emission Factor (kg CO2 - e / GJ) CH4]),0)</f>
        <v>0.1</v>
      </c>
      <c r="J38" s="15">
        <f>IFERROR(_xlfn.XLOOKUP($E38, Table_Fuel_EFs_StationaryLiquid[Fuel combusted], Table_Fuel_EFs_StationaryLiquid[Scope 1 Emission Factor (kg CO2 - e / GJ) N2O]),0)</f>
        <v>0.2</v>
      </c>
      <c r="K38" s="15" t="str">
        <f>IFERROR(_xlfn.XLOOKUP($E38, Table_Fuel_EFs_StationaryLiquid[Fuel combusted], Table_Fuel_EFs_StationaryLiquid[Scope 3 Emission Factor (kg CO2 - e / GJ)]),0)</f>
        <v>NE</v>
      </c>
      <c r="L38" s="15" cm="1">
        <f t="array" ref="L38">Fuel_InputFunctions.Fuel_TotalConsumption(Table_Input_Fuel[Amount consumed], Table_Input_Fuel[Fuel use (select)], D38, Table_Input_Fuel[Fuel type (select)],F38)</f>
        <v>0</v>
      </c>
      <c r="M38" s="15" t="str" cm="1">
        <f t="array" ref="M38">Common_InputFunctions.Utility_LookupValueInTable(F38,Table_FuelTypes_Units[Fuel type],Table_FuelTypes_Units[Unit])</f>
        <v>kL</v>
      </c>
      <c r="N38" s="203">
        <f>((($L38 * $G38 * H38) * 10 ^ -3))</f>
        <v>0</v>
      </c>
      <c r="O38" s="203">
        <f>((($L38 * $G38 * I38) * 10 ^ -3))</f>
        <v>0</v>
      </c>
      <c r="P38" s="203">
        <f>((($L38 * $G38 * J38) * 10 ^ -3))</f>
        <v>0</v>
      </c>
      <c r="Q38" s="203">
        <f>((($L38 * $G38 * ((IF(ISNUMBER(K38), K38, 0)))) * 10 ^ -3))</f>
        <v>0</v>
      </c>
    </row>
    <row r="39" spans="1:17" ht="20.100000000000001" customHeight="1" x14ac:dyDescent="0.2">
      <c r="D39" s="183" t="str">
        <f t="shared" si="1"/>
        <v>Power standalone machinery or heating</v>
      </c>
      <c r="E39" s="181" t="str">
        <f>'Constants - Fuel'!$D$103</f>
        <v>Natural gas distributed in a pipeline - Gigajoules</v>
      </c>
      <c r="F39" s="181" t="str">
        <f>'Constants - Fuel'!E138</f>
        <v>Natural gas (via pipeline) in GJ</v>
      </c>
      <c r="G39" s="15">
        <f>IFERROR(_xlfn.XLOOKUP($E39, Table_Fuel_EFs_StationaryGaseous[Fuel combusted], Table_Fuel_EFs_StationaryGaseous[Energy Content Factor (GJ per unit of fuel)]),0)</f>
        <v>1</v>
      </c>
      <c r="H39" s="15">
        <f>IFERROR(_xlfn.XLOOKUP($E39, Table_Fuel_EFs_StationaryGaseous[Fuel combusted], Table_Fuel_EFs_StationaryGaseous[Scope 1 Emission Factor (kg CO2 - e / GJ) CO2]),0)</f>
        <v>51.4</v>
      </c>
      <c r="I39" s="15">
        <f>IFERROR(_xlfn.XLOOKUP($E39, Table_Fuel_EFs_StationaryGaseous[Fuel combusted], Table_Fuel_EFs_StationaryGaseous[Scope 1 Emission Factor (kg CO2 - e / GJ) CH4]),0)</f>
        <v>0.1</v>
      </c>
      <c r="J39" s="15">
        <f>IFERROR(_xlfn.XLOOKUP($E39, Table_Fuel_EFs_StationaryGaseous[Fuel combusted], Table_Fuel_EFs_StationaryGaseous[Scope 1 Emission Factor (kg CO2 - e / GJ) N2O]),0)</f>
        <v>0.03</v>
      </c>
      <c r="K39" s="15" cm="1">
        <f t="array" ref="K39">IFERROR(Common_InputFunctions.Utility_LookupValueInTableOneColumnAndHeader($P$17,$P$18,Table_Fuel_EFs_StationaryGaseous34[State or territory],Table_Fuel_EFs_StationaryGaseous34[#Headers],Table_Fuel_EFs_StationaryGaseous34[#Data]),0)</f>
        <v>4.0999999999999996</v>
      </c>
      <c r="L39" s="161" cm="1">
        <f t="array" ref="L39">Fuel_InputFunctions.Fuel_TotalConsumption(Table_Input_Fuel[Amount consumed], Table_Input_Fuel[Fuel use (select)], D39, Table_Input_Fuel[Fuel type (select)],F39)</f>
        <v>0</v>
      </c>
      <c r="M39" s="161" t="str" cm="1">
        <f t="array" ref="M39">Common_InputFunctions.Utility_LookupValueInTable(F39,Table_FuelTypes_Units[Fuel type],Table_FuelTypes_Units[Unit])</f>
        <v>GJ</v>
      </c>
      <c r="N39" s="203">
        <f>((($L39 * $G39 * H39) * 10 ^ -3))</f>
        <v>0</v>
      </c>
      <c r="O39" s="203">
        <f>((($L39 * $G39 * I39) * 10 ^ -3))</f>
        <v>0</v>
      </c>
      <c r="P39" s="203">
        <f>((($L39 * $G39 * J39) * 10 ^ -3))</f>
        <v>0</v>
      </c>
      <c r="Q39" s="203">
        <f>((($L39 * $G39 * ((IF(ISNUMBER(K39), K39, 0)))) * 10 ^ -3))</f>
        <v>0</v>
      </c>
    </row>
    <row r="40" spans="1:17" ht="20.100000000000001" customHeight="1" x14ac:dyDescent="0.2">
      <c r="A40" s="82" t="s">
        <v>1</v>
      </c>
      <c r="D40" s="183" t="str">
        <f t="shared" si="1"/>
        <v>Power standalone machinery or heating</v>
      </c>
      <c r="E40" s="181" t="str">
        <f>'Constants - Fuel'!$D$104</f>
        <v>Town gas - Gigajoules</v>
      </c>
      <c r="F40" s="181" t="str">
        <f>'Constants - Fuel'!E139</f>
        <v>Town gas in GJ</v>
      </c>
      <c r="G40" s="15">
        <f>IFERROR(_xlfn.XLOOKUP($E40, Table_Fuel_EFs_StationaryGaseous[Fuel combusted], Table_Fuel_EFs_StationaryGaseous[Energy Content Factor (GJ per unit of fuel)]),0)</f>
        <v>1</v>
      </c>
      <c r="H40" s="15">
        <f>IFERROR(_xlfn.XLOOKUP($E40, Table_Fuel_EFs_StationaryGaseous[Fuel combusted], Table_Fuel_EFs_StationaryGaseous[Scope 1 Emission Factor (kg CO2 - e / GJ) CO2]),0)</f>
        <v>60.2</v>
      </c>
      <c r="I40" s="15">
        <f>IFERROR(_xlfn.XLOOKUP($E40, Table_Fuel_EFs_StationaryGaseous[Fuel combusted], Table_Fuel_EFs_StationaryGaseous[Scope 1 Emission Factor (kg CO2 - e / GJ) CH4]),0)</f>
        <v>0.04</v>
      </c>
      <c r="J40" s="15">
        <f>IFERROR(_xlfn.XLOOKUP($E40, Table_Fuel_EFs_StationaryGaseous[Fuel combusted], Table_Fuel_EFs_StationaryGaseous[Scope 1 Emission Factor (kg CO2 - e / GJ) N2O]),0)</f>
        <v>0.03</v>
      </c>
      <c r="K40" s="15" cm="1">
        <f t="array" ref="K40">IFERROR(Common_InputFunctions.Utility_LookupValueInTableOneColumnAndHeader($P$17,$P$18,Table_Fuel_EFs_StationaryGaseous34[State or territory],Table_Fuel_EFs_StationaryGaseous34[#Headers],Table_Fuel_EFs_StationaryGaseous34[#Data]),0)</f>
        <v>4.0999999999999996</v>
      </c>
      <c r="L40" s="161" cm="1">
        <f t="array" ref="L40">Fuel_InputFunctions.Fuel_TotalConsumption(Table_Input_Fuel[Amount consumed], Table_Input_Fuel[Fuel use (select)], D40, Table_Input_Fuel[Fuel type (select)],F40)</f>
        <v>100</v>
      </c>
      <c r="M40" s="161" t="str" cm="1">
        <f t="array" ref="M40">Common_InputFunctions.Utility_LookupValueInTable(F40,Table_FuelTypes_Units[Fuel type],Table_FuelTypes_Units[Unit])</f>
        <v>GJ</v>
      </c>
      <c r="N40" s="203">
        <f>((($L40 * $G40 * H40) * 10 ^ -3))</f>
        <v>6.0200000000000005</v>
      </c>
      <c r="O40" s="203">
        <f>((($L40 * $G40 * I40) * 10 ^ -3))</f>
        <v>4.0000000000000001E-3</v>
      </c>
      <c r="P40" s="203">
        <f>((($L40 * $G40 * J40) * 10 ^ -3))</f>
        <v>3.0000000000000001E-3</v>
      </c>
      <c r="Q40" s="203">
        <f>((($L40 * $G40 * ((IF(ISNUMBER(K40), K40, 0)))) * 10 ^ -3))</f>
        <v>0.41</v>
      </c>
    </row>
    <row r="41" spans="1:17" ht="20.100000000000001" customHeight="1" x14ac:dyDescent="0.2">
      <c r="A41" s="5" t="str">
        <f>HYPERLINK("#'Constants - Ag Residue'!A1", "Constants - Ag residue")</f>
        <v>Constants - Ag residue</v>
      </c>
    </row>
    <row r="42" spans="1:17" ht="20.100000000000001" customHeight="1" x14ac:dyDescent="0.2">
      <c r="A42" s="5" t="str">
        <f>HYPERLINK("#'Constants - Electricity'!A1", "Constants - Electricity")</f>
        <v>Constants - Electricity</v>
      </c>
      <c r="D42" s="196" t="str">
        <f>"Total scope 1 - " &amp; D25</f>
        <v>Total scope 1 - Generators</v>
      </c>
      <c r="E42" s="197"/>
      <c r="F42" s="198"/>
    </row>
    <row r="43" spans="1:17" ht="20.100000000000001" customHeight="1" x14ac:dyDescent="0.2">
      <c r="A43" s="5" t="str">
        <f>HYPERLINK("#'Constants - Fertiliser'!A1", "Constants - Fertiliser")</f>
        <v>Constants - Fertiliser</v>
      </c>
      <c r="D43" s="25" t="s">
        <v>582</v>
      </c>
      <c r="E43" s="199">
        <f>SUM(N25:N31)+N("Partial sum")</f>
        <v>0</v>
      </c>
      <c r="F43" s="16" t="str">
        <f>$E$12</f>
        <v>t CO2-e</v>
      </c>
    </row>
    <row r="44" spans="1:17" ht="20.100000000000001" customHeight="1" x14ac:dyDescent="0.2">
      <c r="A44" s="5" t="str">
        <f>HYPERLINK("#'Constants - Fuel'!A1", "Constants - Fuel")</f>
        <v>Constants - Fuel</v>
      </c>
      <c r="D44" s="25" t="s">
        <v>583</v>
      </c>
      <c r="E44" s="199">
        <f>SUM(O25:O31)+N("Partial sum")</f>
        <v>0</v>
      </c>
      <c r="F44" s="16" t="str">
        <f t="shared" ref="F44:F46" si="2">$E$12</f>
        <v>t CO2-e</v>
      </c>
    </row>
    <row r="45" spans="1:17" ht="20.100000000000001" customHeight="1" x14ac:dyDescent="0.2">
      <c r="A45" s="5" t="str">
        <f>HYPERLINK("#'Constants - Scope 3'!A1", "Constants - Scope 3")</f>
        <v>Constants - Scope 3</v>
      </c>
      <c r="D45" s="25" t="s">
        <v>584</v>
      </c>
      <c r="E45" s="199">
        <f>SUM(P25:P31)+N("Partial sum")</f>
        <v>0</v>
      </c>
      <c r="F45" s="16" t="str">
        <f t="shared" si="2"/>
        <v>t CO2-e</v>
      </c>
    </row>
    <row r="46" spans="1:17" ht="20.100000000000001" customHeight="1" x14ac:dyDescent="0.2">
      <c r="A46" s="5" t="str">
        <f>HYPERLINK("#'Constants - Solid Waste'!A1", "Constants - Solid Waste")</f>
        <v>Constants - Solid Waste</v>
      </c>
      <c r="D46" s="25" t="s">
        <v>275</v>
      </c>
      <c r="E46" s="199">
        <f>SUM(Q25:Q31)+N("Partial sum")</f>
        <v>0</v>
      </c>
      <c r="F46" s="16" t="str">
        <f t="shared" si="2"/>
        <v>t CO2-e</v>
      </c>
    </row>
    <row r="47" spans="1:17" ht="20.100000000000001" customHeight="1" x14ac:dyDescent="0.2">
      <c r="A47" s="5" t="str">
        <f>HYPERLINK("#'Constants - Common'!A1", "Constants - Common")</f>
        <v>Constants - Common</v>
      </c>
      <c r="H47" s="155"/>
      <c r="I47" s="155"/>
      <c r="J47" s="155"/>
      <c r="L47" s="155"/>
      <c r="N47" s="155"/>
      <c r="O47" s="155"/>
      <c r="P47" s="155"/>
      <c r="Q47" s="155"/>
    </row>
    <row r="48" spans="1:17" ht="20.100000000000001" customHeight="1" x14ac:dyDescent="0.2">
      <c r="A48" s="5" t="str">
        <f>HYPERLINK("#'Constants - Common Livestock'!A1", "Constants - Common Livestock")</f>
        <v>Constants - Common Livestock</v>
      </c>
      <c r="D48" s="196" t="str">
        <f>"Total scope 1 - " &amp; D32</f>
        <v>Total scope 1 - Power standalone machinery or heating</v>
      </c>
      <c r="E48" s="200"/>
      <c r="F48" s="198"/>
      <c r="H48" s="155"/>
      <c r="I48" s="155"/>
      <c r="J48" s="155"/>
      <c r="L48" s="155"/>
      <c r="N48" s="155"/>
      <c r="O48" s="155"/>
      <c r="P48" s="155"/>
      <c r="Q48" s="155"/>
    </row>
    <row r="49" spans="4:17" ht="20.100000000000001" customHeight="1" x14ac:dyDescent="0.2">
      <c r="D49" s="25" t="s">
        <v>582</v>
      </c>
      <c r="E49" s="199">
        <f>SUM(N32:N40)+N("Partial sum")</f>
        <v>29.070800000000002</v>
      </c>
      <c r="F49" s="16" t="str">
        <f t="shared" ref="F49:F52" si="3">$E$12</f>
        <v>t CO2-e</v>
      </c>
      <c r="H49" s="155"/>
      <c r="I49" s="155"/>
      <c r="J49" s="155"/>
      <c r="L49" s="155"/>
      <c r="N49" s="155"/>
      <c r="O49" s="155"/>
      <c r="P49" s="155"/>
      <c r="Q49" s="155"/>
    </row>
    <row r="50" spans="4:17" ht="20.100000000000001" customHeight="1" x14ac:dyDescent="0.2">
      <c r="D50" s="25" t="s">
        <v>583</v>
      </c>
      <c r="E50" s="199">
        <f>SUM(O32:O40)+N("Partial sum")</f>
        <v>7.2400000000000006E-2</v>
      </c>
      <c r="F50" s="16" t="str">
        <f t="shared" si="3"/>
        <v>t CO2-e</v>
      </c>
      <c r="H50" s="155"/>
      <c r="I50" s="155"/>
      <c r="J50" s="155"/>
      <c r="L50" s="155"/>
      <c r="N50" s="155"/>
      <c r="O50" s="155"/>
      <c r="P50" s="155"/>
      <c r="Q50" s="155"/>
    </row>
    <row r="51" spans="4:17" ht="20.100000000000001" customHeight="1" x14ac:dyDescent="0.2">
      <c r="D51" s="25" t="s">
        <v>584</v>
      </c>
      <c r="E51" s="199">
        <f>SUM(P32:P40)+N("Partial sum")</f>
        <v>7.1400000000000005E-2</v>
      </c>
      <c r="F51" s="16" t="str">
        <f t="shared" si="3"/>
        <v>t CO2-e</v>
      </c>
      <c r="H51" s="155"/>
      <c r="I51" s="155"/>
      <c r="J51" s="155"/>
      <c r="L51" s="155"/>
      <c r="N51" s="155"/>
      <c r="O51" s="155"/>
      <c r="P51" s="155"/>
      <c r="Q51" s="155"/>
    </row>
    <row r="52" spans="4:17" ht="20.100000000000001" customHeight="1" x14ac:dyDescent="0.2">
      <c r="D52" s="25" t="s">
        <v>275</v>
      </c>
      <c r="E52" s="199">
        <f>SUM(Q32:Q40)+N("Partial sum")</f>
        <v>6.2923999999999998</v>
      </c>
      <c r="F52" s="16" t="str">
        <f t="shared" si="3"/>
        <v>t CO2-e</v>
      </c>
      <c r="G52" s="155"/>
      <c r="H52" s="155"/>
      <c r="I52" s="155"/>
      <c r="J52" s="155"/>
      <c r="L52" s="155"/>
      <c r="N52" s="155"/>
      <c r="O52" s="155"/>
      <c r="P52" s="155"/>
      <c r="Q52" s="155"/>
    </row>
    <row r="53" spans="4:17" ht="20.100000000000001" customHeight="1" x14ac:dyDescent="0.2">
      <c r="G53" s="155"/>
      <c r="H53" s="155"/>
      <c r="I53" s="155"/>
      <c r="J53" s="155"/>
      <c r="L53" s="155"/>
      <c r="N53" s="155"/>
      <c r="O53" s="155"/>
      <c r="P53" s="155"/>
      <c r="Q53" s="155"/>
    </row>
    <row r="54" spans="4:17" ht="20.100000000000001" customHeight="1" x14ac:dyDescent="0.2">
      <c r="D54" s="196" t="s">
        <v>595</v>
      </c>
      <c r="E54" s="200"/>
      <c r="F54" s="198"/>
      <c r="G54" s="155"/>
      <c r="H54" s="155"/>
      <c r="I54" s="155"/>
      <c r="J54" s="155"/>
      <c r="L54" s="155"/>
      <c r="N54" s="155"/>
      <c r="O54" s="155"/>
      <c r="P54" s="155"/>
      <c r="Q54" s="155"/>
    </row>
    <row r="55" spans="4:17" ht="20.100000000000001" customHeight="1" x14ac:dyDescent="0.2">
      <c r="D55" s="25" t="s">
        <v>582</v>
      </c>
      <c r="E55" s="199">
        <f>E43+E49</f>
        <v>29.070800000000002</v>
      </c>
      <c r="F55" s="16" t="str">
        <f t="shared" ref="F55:F58" si="4">$E$12</f>
        <v>t CO2-e</v>
      </c>
      <c r="G55" s="155"/>
      <c r="H55" s="155"/>
      <c r="I55" s="155"/>
      <c r="J55" s="155"/>
      <c r="L55" s="155"/>
      <c r="N55" s="155"/>
      <c r="O55" s="155"/>
      <c r="P55" s="155"/>
      <c r="Q55" s="155"/>
    </row>
    <row r="56" spans="4:17" ht="20.100000000000001" customHeight="1" x14ac:dyDescent="0.2">
      <c r="D56" s="25" t="s">
        <v>583</v>
      </c>
      <c r="E56" s="199">
        <f>E44+E50</f>
        <v>7.2400000000000006E-2</v>
      </c>
      <c r="F56" s="16" t="str">
        <f t="shared" si="4"/>
        <v>t CO2-e</v>
      </c>
      <c r="H56" s="155"/>
    </row>
    <row r="57" spans="4:17" ht="20.100000000000001" customHeight="1" x14ac:dyDescent="0.2">
      <c r="D57" s="25" t="s">
        <v>584</v>
      </c>
      <c r="E57" s="199">
        <f>E45+E51</f>
        <v>7.1400000000000005E-2</v>
      </c>
      <c r="F57" s="16" t="str">
        <f t="shared" si="4"/>
        <v>t CO2-e</v>
      </c>
      <c r="G57" s="155"/>
      <c r="H57" s="155"/>
      <c r="I57" s="155"/>
      <c r="J57" s="155"/>
      <c r="L57" s="155"/>
      <c r="N57" s="155"/>
      <c r="O57" s="155"/>
      <c r="P57" s="155"/>
      <c r="Q57" s="155"/>
    </row>
    <row r="58" spans="4:17" ht="20.100000000000001" customHeight="1" x14ac:dyDescent="0.2">
      <c r="D58" s="25" t="s">
        <v>275</v>
      </c>
      <c r="E58" s="199">
        <f>E46+E52</f>
        <v>6.2923999999999998</v>
      </c>
      <c r="F58" s="16" t="str">
        <f t="shared" si="4"/>
        <v>t CO2-e</v>
      </c>
      <c r="G58" s="155"/>
      <c r="H58" s="155"/>
      <c r="I58" s="155"/>
      <c r="J58" s="155"/>
      <c r="L58" s="155"/>
      <c r="N58" s="155"/>
      <c r="O58" s="155"/>
      <c r="P58" s="155"/>
      <c r="Q58" s="155"/>
    </row>
    <row r="59" spans="4:17" ht="20.100000000000001" customHeight="1" x14ac:dyDescent="0.2">
      <c r="G59" s="155"/>
      <c r="H59" s="155"/>
      <c r="I59" s="155"/>
      <c r="J59" s="155"/>
      <c r="L59" s="155"/>
      <c r="N59" s="155"/>
      <c r="O59" s="155"/>
      <c r="P59" s="155"/>
      <c r="Q59" s="155"/>
    </row>
    <row r="60" spans="4:17" ht="20.100000000000001" customHeight="1" x14ac:dyDescent="0.2">
      <c r="G60" s="155"/>
      <c r="H60" s="155"/>
      <c r="I60" s="155"/>
      <c r="J60" s="155"/>
      <c r="L60" s="155"/>
      <c r="N60" s="155"/>
      <c r="O60" s="155"/>
      <c r="P60" s="155"/>
      <c r="Q60" s="155"/>
    </row>
    <row r="61" spans="4:17" ht="20.100000000000001" customHeight="1" x14ac:dyDescent="0.2">
      <c r="G61" s="155"/>
      <c r="H61" s="155"/>
      <c r="I61" s="155"/>
      <c r="J61" s="155"/>
      <c r="L61" s="155"/>
      <c r="N61" s="155"/>
      <c r="O61" s="155"/>
      <c r="P61" s="155"/>
      <c r="Q61" s="155"/>
    </row>
    <row r="62" spans="4:17" ht="20.100000000000001" customHeight="1" x14ac:dyDescent="0.2">
      <c r="G62" s="155"/>
      <c r="H62" s="155"/>
      <c r="I62" s="155"/>
      <c r="J62" s="155"/>
      <c r="L62" s="155"/>
      <c r="N62" s="155"/>
      <c r="O62" s="155"/>
      <c r="P62" s="155"/>
      <c r="Q62" s="155"/>
    </row>
    <row r="63" spans="4:17" ht="20.100000000000001" customHeight="1" x14ac:dyDescent="0.2">
      <c r="G63" s="155"/>
      <c r="H63" s="155"/>
      <c r="I63" s="155"/>
      <c r="J63" s="155"/>
      <c r="L63" s="155"/>
      <c r="N63" s="155"/>
      <c r="O63" s="155"/>
      <c r="P63" s="155"/>
      <c r="Q63" s="155"/>
    </row>
    <row r="64" spans="4:17" ht="20.100000000000001" customHeight="1" x14ac:dyDescent="0.2">
      <c r="G64" s="155"/>
      <c r="H64" s="155"/>
      <c r="I64" s="155"/>
      <c r="J64" s="155"/>
      <c r="L64" s="155"/>
      <c r="N64" s="155"/>
      <c r="O64" s="155"/>
      <c r="P64" s="155"/>
      <c r="Q64" s="155"/>
    </row>
    <row r="65" spans="7:17" ht="20.100000000000001" customHeight="1" x14ac:dyDescent="0.2">
      <c r="G65" s="155"/>
      <c r="H65" s="155"/>
      <c r="I65" s="155"/>
      <c r="J65" s="155"/>
      <c r="L65" s="155"/>
      <c r="N65" s="155"/>
      <c r="O65" s="155"/>
      <c r="P65" s="155"/>
      <c r="Q65" s="155"/>
    </row>
    <row r="66" spans="7:17" ht="20.100000000000001" customHeight="1" x14ac:dyDescent="0.2">
      <c r="G66" s="155"/>
      <c r="H66" s="155"/>
      <c r="I66" s="155"/>
      <c r="J66" s="155"/>
      <c r="L66" s="155"/>
      <c r="N66" s="155"/>
      <c r="O66" s="155"/>
      <c r="P66" s="155"/>
      <c r="Q66" s="155"/>
    </row>
    <row r="67" spans="7:17" ht="20.100000000000001" customHeight="1" x14ac:dyDescent="0.2">
      <c r="G67" s="155"/>
    </row>
    <row r="68" spans="7:17" ht="20.100000000000001" customHeight="1" x14ac:dyDescent="0.2">
      <c r="G68" s="155"/>
    </row>
    <row r="69" spans="7:17" ht="20.100000000000001" customHeight="1" x14ac:dyDescent="0.2">
      <c r="G69" s="155"/>
    </row>
    <row r="70" spans="7:17" ht="20.100000000000001" customHeight="1" x14ac:dyDescent="0.2">
      <c r="G70" s="155"/>
    </row>
    <row r="71" spans="7:17" ht="20.100000000000001" customHeight="1" x14ac:dyDescent="0.2">
      <c r="G71" s="155"/>
    </row>
  </sheetData>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31A6B2-3404-4098-B597-B2688C3E3A3E}">
  <sheetPr>
    <tabColor rgb="FF008000"/>
  </sheetPr>
  <dimension ref="A1:L342"/>
  <sheetViews>
    <sheetView showGridLines="0" zoomScaleNormal="100" workbookViewId="0">
      <pane xSplit="1" topLeftCell="B1" activePane="topRight" state="frozenSplit"/>
      <selection pane="topRight" activeCell="A47" sqref="A47"/>
    </sheetView>
  </sheetViews>
  <sheetFormatPr defaultRowHeight="20.100000000000001" customHeight="1" x14ac:dyDescent="0.2"/>
  <cols>
    <col min="1" max="1" width="36.7109375" customWidth="1"/>
    <col min="2" max="2" width="4.7109375" customWidth="1"/>
    <col min="3" max="3" width="4.7109375" style="1" customWidth="1"/>
    <col min="4" max="4" width="46.28515625" style="1" customWidth="1"/>
    <col min="5" max="11" width="30.7109375" style="1" customWidth="1"/>
    <col min="12" max="12" width="4.7109375" style="1" customWidth="1"/>
  </cols>
  <sheetData>
    <row r="1" spans="1:12" s="21" customFormat="1" ht="30" customHeight="1" x14ac:dyDescent="0.35">
      <c r="A1" s="10" t="e" vm="1">
        <v>#VALUE!</v>
      </c>
      <c r="C1" s="21" t="s">
        <v>677</v>
      </c>
    </row>
    <row r="2" spans="1:12" s="3" customFormat="1" ht="20.100000000000001" customHeight="1" x14ac:dyDescent="0.2">
      <c r="A2"/>
    </row>
    <row r="3" spans="1:12" ht="20.100000000000001" customHeight="1" x14ac:dyDescent="0.2">
      <c r="A3" s="5" t="str">
        <f>HYPERLINK("#'Home'!A1", "Home")</f>
        <v>Home</v>
      </c>
      <c r="C3" s="23"/>
      <c r="D3" s="23" t="s">
        <v>130</v>
      </c>
      <c r="E3" s="23"/>
      <c r="F3" s="23"/>
      <c r="G3" s="23"/>
      <c r="H3" s="23"/>
      <c r="I3" s="23"/>
      <c r="J3" s="23"/>
      <c r="K3" s="23"/>
      <c r="L3" s="23"/>
    </row>
    <row r="4" spans="1:12" ht="20.100000000000001" customHeight="1" x14ac:dyDescent="0.2">
      <c r="A4" s="5" t="str">
        <f>HYPERLINK("#'Results - Activity period'!A1", "Results - Activity period")</f>
        <v>Results - Activity period</v>
      </c>
    </row>
    <row r="5" spans="1:12" ht="20.100000000000001" customHeight="1" x14ac:dyDescent="0.2">
      <c r="A5" s="5" t="str">
        <f>HYPERLINK("#'Results - Product EI'!A1", "Results - Product EI")</f>
        <v>Results - Product EI</v>
      </c>
      <c r="D5" s="2" t="s">
        <v>1302</v>
      </c>
    </row>
    <row r="6" spans="1:12" ht="20.100000000000001" customHeight="1" x14ac:dyDescent="0.2">
      <c r="D6" s="17" t="s">
        <v>1303</v>
      </c>
    </row>
    <row r="7" spans="1:12" ht="20.100000000000001" customHeight="1" x14ac:dyDescent="0.2">
      <c r="D7" s="134"/>
      <c r="E7" s="134"/>
    </row>
    <row r="8" spans="1:12" ht="20.100000000000001" customHeight="1" x14ac:dyDescent="0.2">
      <c r="A8" s="7" t="s">
        <v>0</v>
      </c>
    </row>
    <row r="9" spans="1:12" ht="20.100000000000001" customHeight="1" x14ac:dyDescent="0.2">
      <c r="A9" s="5" t="str">
        <f>HYPERLINK("#'Input - Enterprise'!A1", "Enterprise")</f>
        <v>Enterprise</v>
      </c>
    </row>
    <row r="10" spans="1:12" ht="20.100000000000001" customHeight="1" x14ac:dyDescent="0.2">
      <c r="A10" s="5" t="str">
        <f>HYPERLINK("#'Input - Site'!A1", "Site")</f>
        <v>Site</v>
      </c>
      <c r="D10" s="77" t="s">
        <v>371</v>
      </c>
      <c r="E10" s="1" t="s">
        <v>1304</v>
      </c>
    </row>
    <row r="11" spans="1:12" ht="20.100000000000001" customHeight="1" x14ac:dyDescent="0.2">
      <c r="A11" s="5" t="str">
        <f>HYPERLINK("#'Input - Crop'!A1", "Crop")</f>
        <v>Crop</v>
      </c>
      <c r="D11" s="77" t="s">
        <v>118</v>
      </c>
      <c r="E11" s="9" t="s">
        <v>1305</v>
      </c>
    </row>
    <row r="12" spans="1:12" ht="20.100000000000001" customHeight="1" x14ac:dyDescent="0.2">
      <c r="A12" s="5" t="str">
        <f>HYPERLINK("#'Input - Fert Prod System'!A1", "Fert Prod System")</f>
        <v>Fert Prod System</v>
      </c>
    </row>
    <row r="13" spans="1:12" ht="20.100000000000001" customHeight="1" x14ac:dyDescent="0.2">
      <c r="A13" s="5" t="str">
        <f>HYPERLINK("#'Input - Fertiliser'!A1", "Fertiliser")</f>
        <v>Fertiliser</v>
      </c>
      <c r="D13" s="150" t="s">
        <v>1306</v>
      </c>
      <c r="E13" s="147" t="s">
        <v>1307</v>
      </c>
      <c r="F13" s="159"/>
      <c r="G13" s="150" t="s">
        <v>1313</v>
      </c>
      <c r="H13" s="141" t="s">
        <v>1034</v>
      </c>
      <c r="I13" s="143" t="str" cm="1">
        <f t="array" aca="1" ref="I13" ca="1">HYPERLINK(Common_InputFunctions.Utility_SourceHyperlink($D$18),$D$18)</f>
        <v>Table_V_w_t_onsite</v>
      </c>
      <c r="J13" s="143" t="str" cm="1">
        <f t="array" aca="1" ref="J13" ca="1">HYPERLINK(Common_InputFunctions.Utility_SourceHyperlink($D$56),$D$56)</f>
        <v>Table_V_w_t_offsite</v>
      </c>
    </row>
    <row r="14" spans="1:12" ht="20.100000000000001" customHeight="1" x14ac:dyDescent="0.2">
      <c r="A14" s="5" t="str">
        <f>HYPERLINK("#'Input - Fuel'!A1", "Fuel")</f>
        <v>Fuel</v>
      </c>
      <c r="D14" s="150" t="s">
        <v>1308</v>
      </c>
      <c r="E14" s="147" t="s">
        <v>1309</v>
      </c>
      <c r="F14" s="159"/>
      <c r="G14" s="150" t="s">
        <v>1314</v>
      </c>
      <c r="H14" s="142" t="s">
        <v>1036</v>
      </c>
      <c r="I14" s="143" t="str" cm="1">
        <f t="array" aca="1" ref="I14" ca="1">HYPERLINK(Common_InputFunctions.Utility_SourceHyperlink($D$18),$D$18)</f>
        <v>Table_V_w_t_onsite</v>
      </c>
      <c r="J14" s="143" t="str" cm="1">
        <f t="array" aca="1" ref="J14" ca="1">HYPERLINK(Common_InputFunctions.Utility_SourceHyperlink($D$56),$D$56)</f>
        <v>Table_V_w_t_offsite</v>
      </c>
    </row>
    <row r="15" spans="1:12" ht="20.100000000000001" customHeight="1" x14ac:dyDescent="0.2">
      <c r="A15" s="5" t="str">
        <f>HYPERLINK("#'Input - Electricity'!A1", "Electricity")</f>
        <v>Electricity</v>
      </c>
      <c r="D15" s="150" t="s">
        <v>1310</v>
      </c>
      <c r="E15" s="147" t="s">
        <v>1311</v>
      </c>
      <c r="F15" s="159"/>
      <c r="G15" s="150"/>
      <c r="H15" s="141" t="s">
        <v>1034</v>
      </c>
      <c r="I15" s="143" t="str" cm="1">
        <f t="array" aca="1" ref="I15" ca="1">HYPERLINK(Common_InputFunctions.Utility_SourceHyperlink($D$18),$D$18)</f>
        <v>Table_V_w_t_onsite</v>
      </c>
      <c r="J15" s="143" t="str" cm="1">
        <f t="array" aca="1" ref="J15" ca="1">HYPERLINK(Common_InputFunctions.Utility_SourceHyperlink($D$56),$D$56)</f>
        <v>Table_V_w_t_offsite</v>
      </c>
    </row>
    <row r="16" spans="1:12" ht="20.100000000000001" customHeight="1" x14ac:dyDescent="0.2">
      <c r="A16" s="5" t="str">
        <f>HYPERLINK("#'Input - Common farm inputs'!A1", "Common farm inputs")</f>
        <v>Common farm inputs</v>
      </c>
      <c r="D16" s="150" t="s">
        <v>1305</v>
      </c>
      <c r="E16" s="147" t="s">
        <v>1312</v>
      </c>
      <c r="F16" s="159"/>
      <c r="G16" s="150"/>
      <c r="H16" s="141" t="s">
        <v>1034</v>
      </c>
      <c r="I16" s="143" t="str" cm="1">
        <f t="array" aca="1" ref="I16" ca="1">HYPERLINK(Common_InputFunctions.Utility_SourceHyperlink($D$18),$D$18)</f>
        <v>Table_V_w_t_onsite</v>
      </c>
      <c r="J16" s="143" t="str" cm="1">
        <f t="array" aca="1" ref="J16" ca="1">HYPERLINK(Common_InputFunctions.Utility_SourceHyperlink($D$56),$D$56)</f>
        <v>Table_V_w_t_offsite</v>
      </c>
    </row>
    <row r="17" spans="1:9" ht="20.100000000000001" customHeight="1" x14ac:dyDescent="0.2">
      <c r="A17" s="5" t="str">
        <f>HYPERLINK("#'Input - Crop pasture farm input'!A1", "Crop pasture farm input")</f>
        <v>Crop pasture farm input</v>
      </c>
    </row>
    <row r="18" spans="1:9" ht="20.100000000000001" customHeight="1" x14ac:dyDescent="0.2">
      <c r="A18" s="5" t="str">
        <f>HYPERLINK("#'Input - Freight'!A1", "Freight")</f>
        <v>Freight</v>
      </c>
      <c r="D18" s="135" t="s">
        <v>678</v>
      </c>
    </row>
    <row r="19" spans="1:9" ht="20.100000000000001" customHeight="1" x14ac:dyDescent="0.2">
      <c r="A19" s="5" t="str">
        <f>HYPERLINK("#'Input - Solid waste'!A1", "Solid waste")</f>
        <v>Solid waste</v>
      </c>
      <c r="D19" s="136" t="s">
        <v>679</v>
      </c>
    </row>
    <row r="20" spans="1:9" ht="20.100000000000001" customHeight="1" x14ac:dyDescent="0.2">
      <c r="A20" s="5" t="str">
        <f>HYPERLINK("#'Input - Data quality'!A1", "Data quality")</f>
        <v>Data quality</v>
      </c>
      <c r="D20" s="80" t="s">
        <v>680</v>
      </c>
      <c r="E20" s="80" t="s">
        <v>681</v>
      </c>
      <c r="F20" s="80"/>
      <c r="G20" s="80" t="s">
        <v>682</v>
      </c>
      <c r="H20" s="138" t="s">
        <v>683</v>
      </c>
      <c r="I20" s="138" t="s">
        <v>684</v>
      </c>
    </row>
    <row r="21" spans="1:9" ht="20.100000000000001" customHeight="1" x14ac:dyDescent="0.2">
      <c r="D21" s="150" t="str" cm="1">
        <f t="array" ref="D21:D54">Table_SourceData_WasteSolid_WasteTreatmentEFs[Treatment type t]</f>
        <v>Landfill</v>
      </c>
      <c r="E21" s="147" t="str" cm="1">
        <f t="array" ref="E21:E54">Table_SourceData_WasteSolid_WasteTreatmentEFs[Waste type w]</f>
        <v>Food waste (including animal carcasses, spoiled animal feed or crop)</v>
      </c>
      <c r="F21" s="148"/>
      <c r="G21" s="15" cm="1">
        <f t="array" ref="G21">WasteSolid_InputFunctions.WasteSolid_InputFunctions_SumWasteTreatment(Table_Input_SolidWaste[Treatment type (select)],Table_Input_SolidWaste[Waste type (select)],Table_Input_SolidWaste[Treatment location (select)],Table_Input_SolidWaste[Amount unit (select)],Table_Input_SolidWaste[Amount],D21,E21, "Treated on-site", "cubic metres m3")</f>
        <v>50</v>
      </c>
      <c r="H21" s="15" cm="1">
        <f t="array" ref="H21">Common_InputFunctions.Utility_LookupValueInTableNumber(E21,Table_SourceData_WasteSolid_VolumeToMassConversion[Waste type w],Table_SourceData_WasteSolid_VolumeToMassConversion[VTMw])</f>
        <v>0.5</v>
      </c>
      <c r="I21" s="15">
        <f>(G21 * H21)</f>
        <v>25</v>
      </c>
    </row>
    <row r="22" spans="1:9" ht="20.100000000000001" customHeight="1" x14ac:dyDescent="0.2">
      <c r="D22" s="150" t="str">
        <v>Landfill</v>
      </c>
      <c r="E22" s="147" t="str">
        <v>Paper and cardboard</v>
      </c>
      <c r="F22" s="148"/>
      <c r="G22" s="15" cm="1">
        <f t="array" ref="G22">WasteSolid_InputFunctions.WasteSolid_InputFunctions_SumWasteTreatment(Table_Input_SolidWaste[Treatment type (select)],Table_Input_SolidWaste[Waste type (select)],Table_Input_SolidWaste[Treatment location (select)],Table_Input_SolidWaste[Amount unit (select)],Table_Input_SolidWaste[Amount],D22,E22, "Treated on-site", "cubic metres m3")</f>
        <v>50</v>
      </c>
      <c r="H22" s="15" cm="1">
        <f t="array" ref="H22">Common_InputFunctions.Utility_LookupValueInTableNumber(E22,Table_SourceData_WasteSolid_VolumeToMassConversion[Waste type w],Table_SourceData_WasteSolid_VolumeToMassConversion[VTMw])</f>
        <v>0.09</v>
      </c>
      <c r="I22" s="15">
        <f>(G22 * H22)</f>
        <v>4.5</v>
      </c>
    </row>
    <row r="23" spans="1:9" ht="20.100000000000001" customHeight="1" x14ac:dyDescent="0.2">
      <c r="A23" s="6" t="s">
        <v>2</v>
      </c>
      <c r="D23" s="150" t="str">
        <v>Landfill</v>
      </c>
      <c r="E23" s="147" t="str">
        <v>Green waste (including crop residues or prunings)</v>
      </c>
      <c r="F23" s="148"/>
      <c r="G23" s="15" cm="1">
        <f t="array" ref="G23">WasteSolid_InputFunctions.WasteSolid_InputFunctions_SumWasteTreatment(Table_Input_SolidWaste[Treatment type (select)],Table_Input_SolidWaste[Waste type (select)],Table_Input_SolidWaste[Treatment location (select)],Table_Input_SolidWaste[Amount unit (select)],Table_Input_SolidWaste[Amount],D23,E23, "Treated on-site", "cubic metres m3")</f>
        <v>50</v>
      </c>
      <c r="H23" s="15" cm="1">
        <f t="array" ref="H23">Common_InputFunctions.Utility_LookupValueInTableNumber(E23,Table_SourceData_WasteSolid_VolumeToMassConversion[Waste type w],Table_SourceData_WasteSolid_VolumeToMassConversion[VTMw])</f>
        <v>0.24</v>
      </c>
      <c r="I23" s="15">
        <f>(G23 * H23)</f>
        <v>12</v>
      </c>
    </row>
    <row r="24" spans="1:9" ht="20.100000000000001" customHeight="1" x14ac:dyDescent="0.2">
      <c r="A24" s="5" t="str">
        <f>HYPERLINK("#'5.1.1.1-2 Inorganic fert N2O'!A1", "5.1.1.1-2 Inorganic fert N2O")</f>
        <v>5.1.1.1-2 Inorganic fert N2O</v>
      </c>
      <c r="D24" s="150" t="str">
        <v>Landfill</v>
      </c>
      <c r="E24" s="147" t="str">
        <v>Wood</v>
      </c>
      <c r="F24" s="148"/>
      <c r="G24" s="15" cm="1">
        <f t="array" ref="G24">WasteSolid_InputFunctions.WasteSolid_InputFunctions_SumWasteTreatment(Table_Input_SolidWaste[Treatment type (select)],Table_Input_SolidWaste[Waste type (select)],Table_Input_SolidWaste[Treatment location (select)],Table_Input_SolidWaste[Amount unit (select)],Table_Input_SolidWaste[Amount],D24,E24, "Treated on-site", "cubic metres m3")</f>
        <v>0</v>
      </c>
      <c r="H24" s="15" cm="1">
        <f t="array" ref="H24">Common_InputFunctions.Utility_LookupValueInTableNumber(E24,Table_SourceData_WasteSolid_VolumeToMassConversion[Waste type w],Table_SourceData_WasteSolid_VolumeToMassConversion[VTMw])</f>
        <v>0.15</v>
      </c>
      <c r="I24" s="15">
        <f>(G24 * H24)</f>
        <v>0</v>
      </c>
    </row>
    <row r="25" spans="1:9" ht="20.100000000000001" customHeight="1" x14ac:dyDescent="0.2">
      <c r="A25" s="5" t="str">
        <f>HYPERLINK("#'5.1.1.3-4 Inorganic fert CO2'!A1", "5.1.1.3-4 Inorganic fert CO2")</f>
        <v>5.1.1.3-4 Inorganic fert CO2</v>
      </c>
      <c r="D25" s="150" t="str">
        <v>Landfill</v>
      </c>
      <c r="E25" s="147" t="str">
        <v>Textiles</v>
      </c>
      <c r="F25" s="148"/>
      <c r="G25" s="15" cm="1">
        <f t="array" ref="G25">WasteSolid_InputFunctions.WasteSolid_InputFunctions_SumWasteTreatment(Table_Input_SolidWaste[Treatment type (select)],Table_Input_SolidWaste[Waste type (select)],Table_Input_SolidWaste[Treatment location (select)],Table_Input_SolidWaste[Amount unit (select)],Table_Input_SolidWaste[Amount],D25,E25, "Treated on-site", "cubic metres m3")</f>
        <v>0</v>
      </c>
      <c r="H25" s="15" cm="1">
        <f t="array" ref="H25">Common_InputFunctions.Utility_LookupValueInTableNumber(E25,Table_SourceData_WasteSolid_VolumeToMassConversion[Waste type w],Table_SourceData_WasteSolid_VolumeToMassConversion[VTMw])</f>
        <v>0.14000000000000001</v>
      </c>
      <c r="I25" s="15">
        <f>(G25 * H25)</f>
        <v>0</v>
      </c>
    </row>
    <row r="26" spans="1:9" ht="20.100000000000001" customHeight="1" x14ac:dyDescent="0.2">
      <c r="A26" s="5" t="str">
        <f>HYPERLINK("#'5.2.1.1-2 Organic Fert N2O'!A1", "5.2.1.1-2 Organic fert N2O")</f>
        <v>5.2.1.1-2 Organic fert N2O</v>
      </c>
      <c r="D26" s="150" t="str">
        <v>Landfill</v>
      </c>
      <c r="E26" s="147" t="str">
        <v>Sludge</v>
      </c>
      <c r="F26" s="148"/>
      <c r="G26" s="15" cm="1">
        <f t="array" ref="G26">WasteSolid_InputFunctions.WasteSolid_InputFunctions_SumWasteTreatment(Table_Input_SolidWaste[Treatment type (select)],Table_Input_SolidWaste[Waste type (select)],Table_Input_SolidWaste[Treatment location (select)],Table_Input_SolidWaste[Amount unit (select)],Table_Input_SolidWaste[Amount],D26,E26, "Treated on-site", "cubic metres m3")</f>
        <v>0</v>
      </c>
      <c r="H26" s="15" cm="1">
        <f t="array" ref="H26">Common_InputFunctions.Utility_LookupValueInTableNumber(E26,Table_SourceData_WasteSolid_VolumeToMassConversion[Waste type w],Table_SourceData_WasteSolid_VolumeToMassConversion[VTMw])</f>
        <v>0.72</v>
      </c>
      <c r="I26" s="15">
        <f>(G26 * H26)</f>
        <v>0</v>
      </c>
    </row>
    <row r="27" spans="1:9" ht="20.100000000000001" customHeight="1" x14ac:dyDescent="0.2">
      <c r="A27" s="5" t="str">
        <f>HYPERLINK("#'5.3.1.1-2 Lime CO2'!A1", "5.3.1.1-2 Lime CO2")</f>
        <v>5.3.1.1-2 Lime CO2</v>
      </c>
      <c r="D27" s="150" t="str">
        <v>Landfill</v>
      </c>
      <c r="E27" s="147" t="str">
        <v>Rubber and leather</v>
      </c>
      <c r="F27" s="148"/>
      <c r="G27" s="15" cm="1">
        <f t="array" ref="G27">WasteSolid_InputFunctions.WasteSolid_InputFunctions_SumWasteTreatment(Table_Input_SolidWaste[Treatment type (select)],Table_Input_SolidWaste[Waste type (select)],Table_Input_SolidWaste[Treatment location (select)],Table_Input_SolidWaste[Amount unit (select)],Table_Input_SolidWaste[Amount],D27,E27, "Treated on-site", "cubic metres m3")</f>
        <v>0</v>
      </c>
      <c r="H27" s="15" cm="1">
        <f t="array" ref="H27">Common_InputFunctions.Utility_LookupValueInTableNumber(E27,Table_SourceData_WasteSolid_VolumeToMassConversion[Waste type w],Table_SourceData_WasteSolid_VolumeToMassConversion[VTMw])</f>
        <v>0.14000000000000001</v>
      </c>
      <c r="I27" s="15">
        <f>(G27 * H27)</f>
        <v>0</v>
      </c>
    </row>
    <row r="28" spans="1:9" ht="20.100000000000001" customHeight="1" x14ac:dyDescent="0.2">
      <c r="A28" s="5" t="str">
        <f>HYPERLINK("#'5.4.1.1-4 Atmos deposition'!A1", "5.4.1.1-4 Atmos. deposition")</f>
        <v>5.4.1.1-4 Atmos. deposition</v>
      </c>
      <c r="D28" s="150" t="str">
        <v>Landfill</v>
      </c>
      <c r="E28" s="147" t="str">
        <v>Inert waste (including concrete, metal, plastic or glass)</v>
      </c>
      <c r="F28" s="148"/>
      <c r="G28" s="15" cm="1">
        <f t="array" ref="G28">WasteSolid_InputFunctions.WasteSolid_InputFunctions_SumWasteTreatment(Table_Input_SolidWaste[Treatment type (select)],Table_Input_SolidWaste[Waste type (select)],Table_Input_SolidWaste[Treatment location (select)],Table_Input_SolidWaste[Amount unit (select)],Table_Input_SolidWaste[Amount],D28,E28, "Treated on-site", "cubic metres m3")</f>
        <v>0</v>
      </c>
      <c r="H28" s="15" cm="1">
        <f t="array" ref="H28">Common_InputFunctions.Utility_LookupValueInTableNumber(E28,Table_SourceData_WasteSolid_VolumeToMassConversion[Waste type w],Table_SourceData_WasteSolid_VolumeToMassConversion[VTMw])</f>
        <v>0.42</v>
      </c>
      <c r="I28" s="15">
        <f>(G28 * H28)</f>
        <v>0</v>
      </c>
    </row>
    <row r="29" spans="1:9" ht="20.100000000000001" customHeight="1" x14ac:dyDescent="0.2">
      <c r="A29" s="5" t="str">
        <f>HYPERLINK("#'5.5.1.1-2 Leaching and runoff'!A1", "5.5.1.1-2 Leaching &amp; runoff")</f>
        <v>5.5.1.1-2 Leaching &amp; runoff</v>
      </c>
      <c r="D29" s="150" t="str">
        <v>Landfill</v>
      </c>
      <c r="E29" s="147" t="str">
        <v>Municipal solid waste</v>
      </c>
      <c r="F29" s="148"/>
      <c r="G29" s="15" cm="1">
        <f t="array" ref="G29">WasteSolid_InputFunctions.WasteSolid_InputFunctions_SumWasteTreatment(Table_Input_SolidWaste[Treatment type (select)],Table_Input_SolidWaste[Waste type (select)],Table_Input_SolidWaste[Treatment location (select)],Table_Input_SolidWaste[Amount unit (select)],Table_Input_SolidWaste[Amount],D29,E29, "Treated on-site", "cubic metres m3")</f>
        <v>0</v>
      </c>
      <c r="H29" s="15" cm="1">
        <f t="array" ref="H29">Common_InputFunctions.Utility_LookupValueInTableNumber(E29,Table_SourceData_WasteSolid_VolumeToMassConversion[Waste type w],Table_SourceData_WasteSolid_VolumeToMassConversion[VTMw])</f>
        <v>0.36</v>
      </c>
      <c r="I29" s="15">
        <f>(G29 * H29)</f>
        <v>0</v>
      </c>
    </row>
    <row r="30" spans="1:9" ht="20.100000000000001" customHeight="1" x14ac:dyDescent="0.2">
      <c r="A30" s="5" t="str">
        <f>HYPERLINK("#'6.1.1.1-2 Crop residue N2O'!A1", "6.1.1.1-2 Crop residue N2O")</f>
        <v>6.1.1.1-2 Crop residue N2O</v>
      </c>
      <c r="D30" s="150" t="str">
        <v>Landfill</v>
      </c>
      <c r="E30" s="147" t="str">
        <v>Commercial and industrial waste</v>
      </c>
      <c r="F30" s="148"/>
      <c r="G30" s="15" cm="1">
        <f t="array" ref="G30">WasteSolid_InputFunctions.WasteSolid_InputFunctions_SumWasteTreatment(Table_Input_SolidWaste[Treatment type (select)],Table_Input_SolidWaste[Waste type (select)],Table_Input_SolidWaste[Treatment location (select)],Table_Input_SolidWaste[Amount unit (select)],Table_Input_SolidWaste[Amount],D30,E30, "Treated on-site", "cubic metres m3")</f>
        <v>0</v>
      </c>
      <c r="H30" s="15" cm="1">
        <f t="array" ref="H30">Common_InputFunctions.Utility_LookupValueInTableNumber(E30,Table_SourceData_WasteSolid_VolumeToMassConversion[Waste type w],Table_SourceData_WasteSolid_VolumeToMassConversion[VTMw])</f>
        <v>0.33</v>
      </c>
      <c r="I30" s="15">
        <f>(G30 * H30)</f>
        <v>0</v>
      </c>
    </row>
    <row r="31" spans="1:9" ht="20.100000000000001" customHeight="1" x14ac:dyDescent="0.2">
      <c r="A31" s="5" t="str">
        <f>HYPERLINK("#'6.3.1.1-2 Leach runoff crop'!A1", "6.3.1.1-2 Leach &amp; runoff (crop)")</f>
        <v>6.3.1.1-2 Leach &amp; runoff (crop)</v>
      </c>
      <c r="D31" s="150" t="str">
        <v>Landfill</v>
      </c>
      <c r="E31" s="147" t="str">
        <v>Construction and demolition waste</v>
      </c>
      <c r="F31" s="148"/>
      <c r="G31" s="15" cm="1">
        <f t="array" ref="G31">WasteSolid_InputFunctions.WasteSolid_InputFunctions_SumWasteTreatment(Table_Input_SolidWaste[Treatment type (select)],Table_Input_SolidWaste[Waste type (select)],Table_Input_SolidWaste[Treatment location (select)],Table_Input_SolidWaste[Amount unit (select)],Table_Input_SolidWaste[Amount],D31,E31, "Treated on-site", "cubic metres m3")</f>
        <v>0</v>
      </c>
      <c r="H31" s="15" cm="1">
        <f t="array" ref="H31">Common_InputFunctions.Utility_LookupValueInTableNumber(E31,Table_SourceData_WasteSolid_VolumeToMassConversion[Waste type w],Table_SourceData_WasteSolid_VolumeToMassConversion[VTMw])</f>
        <v>0.39</v>
      </c>
      <c r="I31" s="15">
        <f>(G31 * H31)</f>
        <v>0</v>
      </c>
    </row>
    <row r="32" spans="1:9" ht="20.100000000000001" customHeight="1" x14ac:dyDescent="0.2">
      <c r="A32" s="5" t="str">
        <f>HYPERLINK("#'6.4.1.1-2 Residue burning'!A1", "6.4.1.1-2 Residue burning")</f>
        <v>6.4.1.1-2 Residue burning</v>
      </c>
      <c r="D32" s="150" t="str">
        <v>Incineration</v>
      </c>
      <c r="E32" s="147" t="str">
        <v>Food waste, green waste, wood, sludge</v>
      </c>
      <c r="F32" s="148"/>
      <c r="G32" s="15" t="s">
        <v>396</v>
      </c>
      <c r="H32" s="15" t="s">
        <v>396</v>
      </c>
      <c r="I32" s="15" t="s">
        <v>396</v>
      </c>
    </row>
    <row r="33" spans="1:9" ht="20.100000000000001" customHeight="1" x14ac:dyDescent="0.2">
      <c r="A33" s="5" t="str">
        <f>HYPERLINK("#'8.1.1.1-2 Transport fuel'!A1", "8.1.1.1-2 Transport fuel")</f>
        <v>8.1.1.1-2 Transport fuel</v>
      </c>
      <c r="D33" s="150" t="str">
        <v>Incineration</v>
      </c>
      <c r="E33" s="147" t="str">
        <v>Food waste (including animal carcasses, spoiled animal feed or crop)</v>
      </c>
      <c r="F33" s="148"/>
      <c r="G33" s="15" cm="1">
        <f t="array" ref="G33">WasteSolid_InputFunctions.WasteSolid_InputFunctions_SumWasteTreatment(Table_Input_SolidWaste[Treatment type (select)],Table_Input_SolidWaste[Waste type (select)],Table_Input_SolidWaste[Treatment location (select)],Table_Input_SolidWaste[Amount unit (select)],Table_Input_SolidWaste[Amount],D33,E33, "Treated on-site", "cubic metres m3")</f>
        <v>0</v>
      </c>
      <c r="H33" s="15" cm="1">
        <f t="array" ref="H33">Common_InputFunctions.Utility_LookupValueInTableNumber(E33,Table_SourceData_WasteSolid_VolumeToMassConversion[Waste type w],Table_SourceData_WasteSolid_VolumeToMassConversion[VTMw])</f>
        <v>0.5</v>
      </c>
      <c r="I33" s="15">
        <f>(G33 * H33)</f>
        <v>0</v>
      </c>
    </row>
    <row r="34" spans="1:9" ht="20.100000000000001" customHeight="1" x14ac:dyDescent="0.2">
      <c r="A34" s="5" t="str">
        <f>HYPERLINK("#'8.2.1.1-2 Stationary fuel'!A1", "8.2.1.1-2 Stationary fuel")</f>
        <v>8.2.1.1-2 Stationary fuel</v>
      </c>
      <c r="D34" s="150" t="str">
        <v>Incineration</v>
      </c>
      <c r="E34" s="147" t="str">
        <v>Green waste (including crop residues or prunings)</v>
      </c>
      <c r="F34" s="148"/>
      <c r="G34" s="15" cm="1">
        <f t="array" ref="G34">WasteSolid_InputFunctions.WasteSolid_InputFunctions_SumWasteTreatment(Table_Input_SolidWaste[Treatment type (select)],Table_Input_SolidWaste[Waste type (select)],Table_Input_SolidWaste[Treatment location (select)],Table_Input_SolidWaste[Amount unit (select)],Table_Input_SolidWaste[Amount],D34,E34, "Treated on-site", "cubic metres m3")</f>
        <v>100</v>
      </c>
      <c r="H34" s="15" cm="1">
        <f t="array" ref="H34">Common_InputFunctions.Utility_LookupValueInTableNumber(E34,Table_SourceData_WasteSolid_VolumeToMassConversion[Waste type w],Table_SourceData_WasteSolid_VolumeToMassConversion[VTMw])</f>
        <v>0.24</v>
      </c>
      <c r="I34" s="15">
        <f>(G34 * H34)</f>
        <v>24</v>
      </c>
    </row>
    <row r="35" spans="1:9" ht="20.100000000000001" customHeight="1" x14ac:dyDescent="0.2">
      <c r="A35" s="144" t="str">
        <f>HYPERLINK("#'10.1.1-2 Solid waste treatment'!A1", "10.1.1.1-2 Solid waste")</f>
        <v>10.1.1.1-2 Solid waste</v>
      </c>
      <c r="D35" s="150" t="str">
        <v>Incineration</v>
      </c>
      <c r="E35" s="147" t="str">
        <v>Wood</v>
      </c>
      <c r="F35" s="148"/>
      <c r="G35" s="15" cm="1">
        <f t="array" ref="G35">WasteSolid_InputFunctions.WasteSolid_InputFunctions_SumWasteTreatment(Table_Input_SolidWaste[Treatment type (select)],Table_Input_SolidWaste[Waste type (select)],Table_Input_SolidWaste[Treatment location (select)],Table_Input_SolidWaste[Amount unit (select)],Table_Input_SolidWaste[Amount],D35,E35, "Treated on-site", "cubic metres m3")</f>
        <v>0</v>
      </c>
      <c r="H35" s="15" cm="1">
        <f t="array" ref="H35">Common_InputFunctions.Utility_LookupValueInTableNumber(E35,Table_SourceData_WasteSolid_VolumeToMassConversion[Waste type w],Table_SourceData_WasteSolid_VolumeToMassConversion[VTMw])</f>
        <v>0.15</v>
      </c>
      <c r="I35" s="15">
        <f>(G35 * H35)</f>
        <v>0</v>
      </c>
    </row>
    <row r="36" spans="1:9" ht="20.100000000000001" customHeight="1" x14ac:dyDescent="0.2">
      <c r="A36" s="5" t="str">
        <f>HYPERLINK("#'14.1.1-2 Purchased electricity'!A1", "14.1.1-2 Purchased electricity")</f>
        <v>14.1.1-2 Purchased electricity</v>
      </c>
      <c r="D36" s="150" t="str">
        <v>Incineration</v>
      </c>
      <c r="E36" s="147" t="str">
        <v>Sludge</v>
      </c>
      <c r="F36" s="148"/>
      <c r="G36" s="15" cm="1">
        <f t="array" ref="G36">WasteSolid_InputFunctions.WasteSolid_InputFunctions_SumWasteTreatment(Table_Input_SolidWaste[Treatment type (select)],Table_Input_SolidWaste[Waste type (select)],Table_Input_SolidWaste[Treatment location (select)],Table_Input_SolidWaste[Amount unit (select)],Table_Input_SolidWaste[Amount],D36,E36, "Treated on-site", "cubic metres m3")</f>
        <v>0</v>
      </c>
      <c r="H36" s="15" cm="1">
        <f t="array" ref="H36">Common_InputFunctions.Utility_LookupValueInTableNumber(E36,Table_SourceData_WasteSolid_VolumeToMassConversion[Waste type w],Table_SourceData_WasteSolid_VolumeToMassConversion[VTMw])</f>
        <v>0.72</v>
      </c>
      <c r="I36" s="15">
        <f>(G36 * H36)</f>
        <v>0</v>
      </c>
    </row>
    <row r="37" spans="1:9" ht="20.100000000000001" customHeight="1" x14ac:dyDescent="0.2">
      <c r="A37" s="5" t="str">
        <f>HYPERLINK("#'15 Scope 3'!A1", "15 Scope 3")</f>
        <v>15 Scope 3</v>
      </c>
      <c r="D37" s="150" t="str">
        <v>Incineration</v>
      </c>
      <c r="E37" s="147" t="str">
        <v>Paper and cardboard</v>
      </c>
      <c r="F37" s="148"/>
      <c r="G37" s="15" cm="1">
        <f t="array" ref="G37">WasteSolid_InputFunctions.WasteSolid_InputFunctions_SumWasteTreatment(Table_Input_SolidWaste[Treatment type (select)],Table_Input_SolidWaste[Waste type (select)],Table_Input_SolidWaste[Treatment location (select)],Table_Input_SolidWaste[Amount unit (select)],Table_Input_SolidWaste[Amount],D37,E37, "Treated on-site", "cubic metres m3")</f>
        <v>50</v>
      </c>
      <c r="H37" s="15" cm="1">
        <f t="array" ref="H37">Common_InputFunctions.Utility_LookupValueInTableNumber(E37,Table_SourceData_WasteSolid_VolumeToMassConversion[Waste type w],Table_SourceData_WasteSolid_VolumeToMassConversion[VTMw])</f>
        <v>0.09</v>
      </c>
      <c r="I37" s="15">
        <f>(G37 * H37)</f>
        <v>4.5</v>
      </c>
    </row>
    <row r="38" spans="1:9" ht="20.100000000000001" customHeight="1" x14ac:dyDescent="0.2">
      <c r="D38" s="150" t="str">
        <v>Incineration</v>
      </c>
      <c r="E38" s="147" t="str">
        <v>Textiles</v>
      </c>
      <c r="F38" s="148"/>
      <c r="G38" s="15" cm="1">
        <f t="array" ref="G38">WasteSolid_InputFunctions.WasteSolid_InputFunctions_SumWasteTreatment(Table_Input_SolidWaste[Treatment type (select)],Table_Input_SolidWaste[Waste type (select)],Table_Input_SolidWaste[Treatment location (select)],Table_Input_SolidWaste[Amount unit (select)],Table_Input_SolidWaste[Amount],D38,E38, "Treated on-site", "cubic metres m3")</f>
        <v>0</v>
      </c>
      <c r="H38" s="15" cm="1">
        <f t="array" ref="H38">Common_InputFunctions.Utility_LookupValueInTableNumber(E38,Table_SourceData_WasteSolid_VolumeToMassConversion[Waste type w],Table_SourceData_WasteSolid_VolumeToMassConversion[VTMw])</f>
        <v>0.14000000000000001</v>
      </c>
      <c r="I38" s="15">
        <f>(G38 * H38)</f>
        <v>0</v>
      </c>
    </row>
    <row r="39" spans="1:9" ht="20.100000000000001" customHeight="1" x14ac:dyDescent="0.2">
      <c r="D39" s="150" t="str">
        <v>Incineration</v>
      </c>
      <c r="E39" s="147" t="str">
        <v>Rubber and leather</v>
      </c>
      <c r="F39" s="148"/>
      <c r="G39" s="15" cm="1">
        <f t="array" ref="G39">WasteSolid_InputFunctions.WasteSolid_InputFunctions_SumWasteTreatment(Table_Input_SolidWaste[Treatment type (select)],Table_Input_SolidWaste[Waste type (select)],Table_Input_SolidWaste[Treatment location (select)],Table_Input_SolidWaste[Amount unit (select)],Table_Input_SolidWaste[Amount],D39,E39, "Treated on-site", "cubic metres m3")</f>
        <v>0</v>
      </c>
      <c r="H39" s="15" cm="1">
        <f t="array" ref="H39">Common_InputFunctions.Utility_LookupValueInTableNumber(E39,Table_SourceData_WasteSolid_VolumeToMassConversion[Waste type w],Table_SourceData_WasteSolid_VolumeToMassConversion[VTMw])</f>
        <v>0.14000000000000001</v>
      </c>
      <c r="I39" s="15">
        <f>(G39 * H39)</f>
        <v>0</v>
      </c>
    </row>
    <row r="40" spans="1:9" ht="20.100000000000001" customHeight="1" x14ac:dyDescent="0.2">
      <c r="A40" s="82" t="s">
        <v>1</v>
      </c>
      <c r="D40" s="150" t="str">
        <v>Incineration</v>
      </c>
      <c r="E40" s="150" t="str">
        <v>Inert waste (including concrete, metal, plastic or glass)</v>
      </c>
      <c r="F40" s="150"/>
      <c r="G40" s="15" cm="1">
        <f t="array" ref="G40">WasteSolid_InputFunctions.WasteSolid_InputFunctions_SumWasteTreatment(Table_Input_SolidWaste[Treatment type (select)],Table_Input_SolidWaste[Waste type (select)],Table_Input_SolidWaste[Treatment location (select)],Table_Input_SolidWaste[Amount unit (select)],Table_Input_SolidWaste[Amount],D40,E40, "Treated on-site", "cubic metres m3")</f>
        <v>0</v>
      </c>
      <c r="H40" s="15" cm="1">
        <f t="array" ref="H40">Common_InputFunctions.Utility_LookupValueInTableNumber(E40,Table_SourceData_WasteSolid_VolumeToMassConversion[Waste type w],Table_SourceData_WasteSolid_VolumeToMassConversion[VTMw])</f>
        <v>0.42</v>
      </c>
      <c r="I40" s="15">
        <f>(G40 * H40)</f>
        <v>0</v>
      </c>
    </row>
    <row r="41" spans="1:9" ht="20.100000000000001" customHeight="1" x14ac:dyDescent="0.2">
      <c r="A41" s="5" t="str">
        <f>HYPERLINK("#'Constants - Ag Residue'!A1", "Constants - Ag residue")</f>
        <v>Constants - Ag residue</v>
      </c>
      <c r="D41" s="150" t="str">
        <v>Incineration</v>
      </c>
      <c r="E41" s="147" t="str">
        <v>Municipal solid waste</v>
      </c>
      <c r="F41" s="159"/>
      <c r="G41" s="15" cm="1">
        <f t="array" ref="G41">WasteSolid_InputFunctions.WasteSolid_InputFunctions_SumWasteTreatment(Table_Input_SolidWaste[Treatment type (select)],Table_Input_SolidWaste[Waste type (select)],Table_Input_SolidWaste[Treatment location (select)],Table_Input_SolidWaste[Amount unit (select)],Table_Input_SolidWaste[Amount],D41,E41, "Treated on-site", "cubic metres m3")</f>
        <v>0</v>
      </c>
      <c r="H41" s="15" cm="1">
        <f t="array" ref="H41">Common_InputFunctions.Utility_LookupValueInTableNumber(E41,Table_SourceData_WasteSolid_VolumeToMassConversion[Waste type w],Table_SourceData_WasteSolid_VolumeToMassConversion[VTMw])</f>
        <v>0.36</v>
      </c>
      <c r="I41" s="15">
        <f>(G41 * H41)</f>
        <v>0</v>
      </c>
    </row>
    <row r="42" spans="1:9" ht="20.100000000000001" customHeight="1" x14ac:dyDescent="0.2">
      <c r="A42" s="5" t="str">
        <f>HYPERLINK("#'Constants - Electricity'!A1", "Constants - Electricity")</f>
        <v>Constants - Electricity</v>
      </c>
      <c r="D42" s="150" t="str">
        <v>Incineration</v>
      </c>
      <c r="E42" s="147" t="str">
        <v>Commercial and industrial waste</v>
      </c>
      <c r="F42" s="159"/>
      <c r="G42" s="15" cm="1">
        <f t="array" ref="G42">WasteSolid_InputFunctions.WasteSolid_InputFunctions_SumWasteTreatment(Table_Input_SolidWaste[Treatment type (select)],Table_Input_SolidWaste[Waste type (select)],Table_Input_SolidWaste[Treatment location (select)],Table_Input_SolidWaste[Amount unit (select)],Table_Input_SolidWaste[Amount],D42,E42, "Treated on-site", "cubic metres m3")</f>
        <v>0</v>
      </c>
      <c r="H42" s="15" cm="1">
        <f t="array" ref="H42">Common_InputFunctions.Utility_LookupValueInTableNumber(E42,Table_SourceData_WasteSolid_VolumeToMassConversion[Waste type w],Table_SourceData_WasteSolid_VolumeToMassConversion[VTMw])</f>
        <v>0.33</v>
      </c>
      <c r="I42" s="15">
        <f>(G42 * H42)</f>
        <v>0</v>
      </c>
    </row>
    <row r="43" spans="1:9" ht="20.100000000000001" customHeight="1" x14ac:dyDescent="0.2">
      <c r="A43" s="5" t="str">
        <f>HYPERLINK("#'Constants - Fertiliser'!A1", "Constants - Fertiliser")</f>
        <v>Constants - Fertiliser</v>
      </c>
      <c r="D43" s="150" t="str">
        <v>Composting</v>
      </c>
      <c r="E43" s="147" t="str">
        <v>All organic waste</v>
      </c>
      <c r="F43" s="159"/>
      <c r="G43" s="15" t="s">
        <v>396</v>
      </c>
      <c r="H43" s="15" t="s">
        <v>396</v>
      </c>
      <c r="I43" s="15" t="s">
        <v>396</v>
      </c>
    </row>
    <row r="44" spans="1:9" ht="20.100000000000001" customHeight="1" x14ac:dyDescent="0.2">
      <c r="A44" s="5" t="str">
        <f>HYPERLINK("#'Constants - Fuel'!A1", "Constants - Fuel")</f>
        <v>Constants - Fuel</v>
      </c>
      <c r="D44" s="150" t="str">
        <v>Composting</v>
      </c>
      <c r="E44" s="147" t="str">
        <v>Food waste (including animal carcasses, spoiled animal feed or crop)</v>
      </c>
      <c r="F44" s="159"/>
      <c r="G44" s="15" cm="1">
        <f t="array" ref="G44">WasteSolid_InputFunctions.WasteSolid_InputFunctions_SumWasteTreatment(Table_Input_SolidWaste[Treatment type (select)],Table_Input_SolidWaste[Waste type (select)],Table_Input_SolidWaste[Treatment location (select)],Table_Input_SolidWaste[Amount unit (select)],Table_Input_SolidWaste[Amount],D44,E44, "Treated on-site", "cubic metres m3")</f>
        <v>50</v>
      </c>
      <c r="H44" s="15" cm="1">
        <f t="array" ref="H44">Common_InputFunctions.Utility_LookupValueInTableNumber(E44,Table_SourceData_WasteSolid_VolumeToMassConversion[Waste type w],Table_SourceData_WasteSolid_VolumeToMassConversion[VTMw])</f>
        <v>0.5</v>
      </c>
      <c r="I44" s="15">
        <f>(G44 * H44)</f>
        <v>25</v>
      </c>
    </row>
    <row r="45" spans="1:9" ht="20.100000000000001" customHeight="1" x14ac:dyDescent="0.2">
      <c r="A45" s="5" t="str">
        <f>HYPERLINK("#'Constants - Scope 3'!A1", "Constants - Scope 3")</f>
        <v>Constants - Scope 3</v>
      </c>
      <c r="D45" s="150" t="str">
        <v>Composting</v>
      </c>
      <c r="E45" s="147" t="str">
        <v>Green waste (including crop residues or prunings)</v>
      </c>
      <c r="F45" s="159"/>
      <c r="G45" s="15" cm="1">
        <f t="array" ref="G45">WasteSolid_InputFunctions.WasteSolid_InputFunctions_SumWasteTreatment(Table_Input_SolidWaste[Treatment type (select)],Table_Input_SolidWaste[Waste type (select)],Table_Input_SolidWaste[Treatment location (select)],Table_Input_SolidWaste[Amount unit (select)],Table_Input_SolidWaste[Amount],D45,E45, "Treated on-site", "cubic metres m3")</f>
        <v>0</v>
      </c>
      <c r="H45" s="15" cm="1">
        <f t="array" ref="H45">Common_InputFunctions.Utility_LookupValueInTableNumber(E45,Table_SourceData_WasteSolid_VolumeToMassConversion[Waste type w],Table_SourceData_WasteSolid_VolumeToMassConversion[VTMw])</f>
        <v>0.24</v>
      </c>
      <c r="I45" s="15">
        <f>(G45 * H45)</f>
        <v>0</v>
      </c>
    </row>
    <row r="46" spans="1:9" ht="20.100000000000001" customHeight="1" x14ac:dyDescent="0.2">
      <c r="A46" s="5" t="str">
        <f>HYPERLINK("#'Constants - Solid Waste'!A1", "Constants - Solid Waste")</f>
        <v>Constants - Solid Waste</v>
      </c>
      <c r="D46" s="150" t="str">
        <v>Composting</v>
      </c>
      <c r="E46" s="147" t="str">
        <v>Wood</v>
      </c>
      <c r="F46" s="159"/>
      <c r="G46" s="15" cm="1">
        <f t="array" ref="G46">WasteSolid_InputFunctions.WasteSolid_InputFunctions_SumWasteTreatment(Table_Input_SolidWaste[Treatment type (select)],Table_Input_SolidWaste[Waste type (select)],Table_Input_SolidWaste[Treatment location (select)],Table_Input_SolidWaste[Amount unit (select)],Table_Input_SolidWaste[Amount],D46,E46, "Treated on-site", "cubic metres m3")</f>
        <v>0</v>
      </c>
      <c r="H46" s="15" cm="1">
        <f t="array" ref="H46">Common_InputFunctions.Utility_LookupValueInTableNumber(E46,Table_SourceData_WasteSolid_VolumeToMassConversion[Waste type w],Table_SourceData_WasteSolid_VolumeToMassConversion[VTMw])</f>
        <v>0.15</v>
      </c>
      <c r="I46" s="15">
        <f>(G46 * H46)</f>
        <v>0</v>
      </c>
    </row>
    <row r="47" spans="1:9" ht="20.100000000000001" customHeight="1" x14ac:dyDescent="0.2">
      <c r="A47" s="5" t="str">
        <f>HYPERLINK("#'Constants - Common'!A1", "Constants - Common")</f>
        <v>Constants - Common</v>
      </c>
      <c r="D47" s="150" t="str">
        <v>Composting</v>
      </c>
      <c r="E47" s="147" t="str">
        <v>Sludge</v>
      </c>
      <c r="F47" s="159"/>
      <c r="G47" s="15" cm="1">
        <f t="array" ref="G47">WasteSolid_InputFunctions.WasteSolid_InputFunctions_SumWasteTreatment(Table_Input_SolidWaste[Treatment type (select)],Table_Input_SolidWaste[Waste type (select)],Table_Input_SolidWaste[Treatment location (select)],Table_Input_SolidWaste[Amount unit (select)],Table_Input_SolidWaste[Amount],D47,E47, "Treated on-site", "cubic metres m3")</f>
        <v>0</v>
      </c>
      <c r="H47" s="15" cm="1">
        <f t="array" ref="H47">Common_InputFunctions.Utility_LookupValueInTableNumber(E47,Table_SourceData_WasteSolid_VolumeToMassConversion[Waste type w],Table_SourceData_WasteSolid_VolumeToMassConversion[VTMw])</f>
        <v>0.72</v>
      </c>
      <c r="I47" s="15">
        <f>(G47 * H47)</f>
        <v>0</v>
      </c>
    </row>
    <row r="48" spans="1:9" ht="20.100000000000001" customHeight="1" x14ac:dyDescent="0.2">
      <c r="A48" s="5" t="str">
        <f>HYPERLINK("#'Constants - Common Livestock'!A1", "Constants - Common Livestock")</f>
        <v>Constants - Common Livestock</v>
      </c>
      <c r="D48" s="150" t="str">
        <v>Composting</v>
      </c>
      <c r="E48" s="147" t="str">
        <v>Paper and cardboard</v>
      </c>
      <c r="F48" s="159"/>
      <c r="G48" s="15" cm="1">
        <f t="array" ref="G48">WasteSolid_InputFunctions.WasteSolid_InputFunctions_SumWasteTreatment(Table_Input_SolidWaste[Treatment type (select)],Table_Input_SolidWaste[Waste type (select)],Table_Input_SolidWaste[Treatment location (select)],Table_Input_SolidWaste[Amount unit (select)],Table_Input_SolidWaste[Amount],D48,E48, "Treated on-site", "cubic metres m3")</f>
        <v>50</v>
      </c>
      <c r="H48" s="15" cm="1">
        <f t="array" ref="H48">Common_InputFunctions.Utility_LookupValueInTableNumber(E48,Table_SourceData_WasteSolid_VolumeToMassConversion[Waste type w],Table_SourceData_WasteSolid_VolumeToMassConversion[VTMw])</f>
        <v>0.09</v>
      </c>
      <c r="I48" s="15">
        <f>(G48 * H48)</f>
        <v>4.5</v>
      </c>
    </row>
    <row r="49" spans="1:9" ht="20.100000000000001" customHeight="1" x14ac:dyDescent="0.2">
      <c r="D49" s="150" t="str">
        <v>Anaerobic digestion</v>
      </c>
      <c r="E49" s="147" t="str">
        <v>All organic waste</v>
      </c>
      <c r="F49" s="159"/>
      <c r="G49" s="15" t="s">
        <v>396</v>
      </c>
      <c r="H49" s="15" t="s">
        <v>396</v>
      </c>
      <c r="I49" s="15" t="s">
        <v>396</v>
      </c>
    </row>
    <row r="50" spans="1:9" ht="20.100000000000001" customHeight="1" x14ac:dyDescent="0.2">
      <c r="D50" s="150" t="str">
        <v>Anaerobic digestion</v>
      </c>
      <c r="E50" s="147" t="str">
        <v>Food waste (including animal carcasses, spoiled animal feed or crop)</v>
      </c>
      <c r="F50" s="159"/>
      <c r="G50" s="15" cm="1">
        <f t="array" ref="G50">WasteSolid_InputFunctions.WasteSolid_InputFunctions_SumWasteTreatment(Table_Input_SolidWaste[Treatment type (select)],Table_Input_SolidWaste[Waste type (select)],Table_Input_SolidWaste[Treatment location (select)],Table_Input_SolidWaste[Amount unit (select)],Table_Input_SolidWaste[Amount],D50,E50, "Treated on-site", "cubic metres m3")</f>
        <v>0</v>
      </c>
      <c r="H50" s="15" cm="1">
        <f t="array" ref="H50">Common_InputFunctions.Utility_LookupValueInTableNumber(E50,Table_SourceData_WasteSolid_VolumeToMassConversion[Waste type w],Table_SourceData_WasteSolid_VolumeToMassConversion[VTMw])</f>
        <v>0.5</v>
      </c>
      <c r="I50" s="15">
        <f>(G50 * H50)</f>
        <v>0</v>
      </c>
    </row>
    <row r="51" spans="1:9" ht="20.100000000000001" customHeight="1" x14ac:dyDescent="0.2">
      <c r="D51" s="150" t="str">
        <v>Anaerobic digestion</v>
      </c>
      <c r="E51" s="147" t="str">
        <v>Green waste (including crop residues or prunings)</v>
      </c>
      <c r="F51" s="159"/>
      <c r="G51" s="15" cm="1">
        <f t="array" ref="G51">WasteSolid_InputFunctions.WasteSolid_InputFunctions_SumWasteTreatment(Table_Input_SolidWaste[Treatment type (select)],Table_Input_SolidWaste[Waste type (select)],Table_Input_SolidWaste[Treatment location (select)],Table_Input_SolidWaste[Amount unit (select)],Table_Input_SolidWaste[Amount],D51,E51, "Treated on-site", "cubic metres m3")</f>
        <v>0</v>
      </c>
      <c r="H51" s="15" cm="1">
        <f t="array" ref="H51">Common_InputFunctions.Utility_LookupValueInTableNumber(E51,Table_SourceData_WasteSolid_VolumeToMassConversion[Waste type w],Table_SourceData_WasteSolid_VolumeToMassConversion[VTMw])</f>
        <v>0.24</v>
      </c>
      <c r="I51" s="15">
        <f>(G51 * H51)</f>
        <v>0</v>
      </c>
    </row>
    <row r="52" spans="1:9" ht="20.100000000000001" customHeight="1" x14ac:dyDescent="0.2">
      <c r="D52" s="150" t="str">
        <v>Anaerobic digestion</v>
      </c>
      <c r="E52" s="147" t="str">
        <v>Wood</v>
      </c>
      <c r="F52" s="159"/>
      <c r="G52" s="15" cm="1">
        <f t="array" ref="G52">WasteSolid_InputFunctions.WasteSolid_InputFunctions_SumWasteTreatment(Table_Input_SolidWaste[Treatment type (select)],Table_Input_SolidWaste[Waste type (select)],Table_Input_SolidWaste[Treatment location (select)],Table_Input_SolidWaste[Amount unit (select)],Table_Input_SolidWaste[Amount],D52,E52, "Treated on-site", "cubic metres m3")</f>
        <v>0</v>
      </c>
      <c r="H52" s="15" cm="1">
        <f t="array" ref="H52">Common_InputFunctions.Utility_LookupValueInTableNumber(E52,Table_SourceData_WasteSolid_VolumeToMassConversion[Waste type w],Table_SourceData_WasteSolid_VolumeToMassConversion[VTMw])</f>
        <v>0.15</v>
      </c>
      <c r="I52" s="15">
        <f>(G52 * H52)</f>
        <v>0</v>
      </c>
    </row>
    <row r="53" spans="1:9" ht="20.100000000000001" customHeight="1" x14ac:dyDescent="0.2">
      <c r="D53" s="150" t="str">
        <v>Anaerobic digestion</v>
      </c>
      <c r="E53" s="147" t="str">
        <v>Sludge</v>
      </c>
      <c r="F53" s="159"/>
      <c r="G53" s="15" cm="1">
        <f t="array" ref="G53">WasteSolid_InputFunctions.WasteSolid_InputFunctions_SumWasteTreatment(Table_Input_SolidWaste[Treatment type (select)],Table_Input_SolidWaste[Waste type (select)],Table_Input_SolidWaste[Treatment location (select)],Table_Input_SolidWaste[Amount unit (select)],Table_Input_SolidWaste[Amount],D53,E53, "Treated on-site", "cubic metres m3")</f>
        <v>0</v>
      </c>
      <c r="H53" s="15" cm="1">
        <f t="array" ref="H53">Common_InputFunctions.Utility_LookupValueInTableNumber(E53,Table_SourceData_WasteSolid_VolumeToMassConversion[Waste type w],Table_SourceData_WasteSolid_VolumeToMassConversion[VTMw])</f>
        <v>0.72</v>
      </c>
      <c r="I53" s="15">
        <f>(G53 * H53)</f>
        <v>0</v>
      </c>
    </row>
    <row r="54" spans="1:9" ht="20.100000000000001" customHeight="1" x14ac:dyDescent="0.2">
      <c r="D54" s="150" t="str">
        <v>Anaerobic digestion</v>
      </c>
      <c r="E54" s="147" t="str">
        <v>Paper and cardboard</v>
      </c>
      <c r="F54" s="159"/>
      <c r="G54" s="15" cm="1">
        <f t="array" ref="G54">WasteSolid_InputFunctions.WasteSolid_InputFunctions_SumWasteTreatment(Table_Input_SolidWaste[Treatment type (select)],Table_Input_SolidWaste[Waste type (select)],Table_Input_SolidWaste[Treatment location (select)],Table_Input_SolidWaste[Amount unit (select)],Table_Input_SolidWaste[Amount],D54,E54, "Treated on-site", "cubic metres m3")</f>
        <v>0</v>
      </c>
      <c r="H54" s="15" cm="1">
        <f t="array" ref="H54">Common_InputFunctions.Utility_LookupValueInTableNumber(E54,Table_SourceData_WasteSolid_VolumeToMassConversion[Waste type w],Table_SourceData_WasteSolid_VolumeToMassConversion[VTMw])</f>
        <v>0.09</v>
      </c>
      <c r="I54" s="15">
        <f>(G54 * H54)</f>
        <v>0</v>
      </c>
    </row>
    <row r="56" spans="1:9" ht="20.100000000000001" customHeight="1" x14ac:dyDescent="0.2">
      <c r="D56" s="135" t="s">
        <v>685</v>
      </c>
    </row>
    <row r="57" spans="1:9" ht="20.100000000000001" customHeight="1" x14ac:dyDescent="0.2">
      <c r="D57" s="136" t="s">
        <v>686</v>
      </c>
    </row>
    <row r="58" spans="1:9" ht="20.100000000000001" customHeight="1" x14ac:dyDescent="0.2">
      <c r="D58" s="80" t="s">
        <v>680</v>
      </c>
      <c r="E58" s="80" t="s">
        <v>681</v>
      </c>
      <c r="F58" s="80"/>
      <c r="G58" s="80" t="s">
        <v>682</v>
      </c>
      <c r="H58" s="138" t="s">
        <v>683</v>
      </c>
      <c r="I58" s="138" t="s">
        <v>684</v>
      </c>
    </row>
    <row r="59" spans="1:9" ht="20.100000000000001" customHeight="1" x14ac:dyDescent="0.2">
      <c r="A59" s="81" t="str">
        <f>HYPERLINK("#A1", "▲ Back to top")</f>
        <v>▲ Back to top</v>
      </c>
      <c r="D59" s="150" t="str" cm="1">
        <f t="array" ref="D59:D92">Table_SourceData_WasteSolid_WasteTreatmentEFs[Treatment type t]</f>
        <v>Landfill</v>
      </c>
      <c r="E59" s="147" t="str" cm="1">
        <f t="array" ref="E59:E92">Table_SourceData_WasteSolid_WasteTreatmentEFs[Waste type w]</f>
        <v>Food waste (including animal carcasses, spoiled animal feed or crop)</v>
      </c>
      <c r="F59" s="148"/>
      <c r="G59" s="15" cm="1">
        <f t="array" ref="G59">WasteSolid_InputFunctions.WasteSolid_InputFunctions_SumWasteTreatment(Table_Input_SolidWaste[Treatment type (select)],Table_Input_SolidWaste[Waste type (select)],Table_Input_SolidWaste[Treatment location (select)],Table_Input_SolidWaste[Amount unit (select)],Table_Input_SolidWaste[Amount],D59,E59, "Removed and treated off-site", "cubic metres m3")</f>
        <v>50</v>
      </c>
      <c r="H59" s="15" cm="1">
        <f t="array" ref="H59">Common_InputFunctions.Utility_LookupValueInTableNumber(E59,Table_SourceData_WasteSolid_VolumeToMassConversion[Waste type w],Table_SourceData_WasteSolid_VolumeToMassConversion[VTMw])</f>
        <v>0.5</v>
      </c>
      <c r="I59" s="15">
        <f>(G59 * H59)</f>
        <v>25</v>
      </c>
    </row>
    <row r="60" spans="1:9" ht="20.100000000000001" customHeight="1" x14ac:dyDescent="0.2">
      <c r="D60" s="150" t="str">
        <v>Landfill</v>
      </c>
      <c r="E60" s="147" t="str">
        <v>Paper and cardboard</v>
      </c>
      <c r="F60" s="148"/>
      <c r="G60" s="15" cm="1">
        <f t="array" ref="G60">WasteSolid_InputFunctions.WasteSolid_InputFunctions_SumWasteTreatment(Table_Input_SolidWaste[Treatment type (select)],Table_Input_SolidWaste[Waste type (select)],Table_Input_SolidWaste[Treatment location (select)],Table_Input_SolidWaste[Amount unit (select)],Table_Input_SolidWaste[Amount],D60,E60, "Removed and treated off-site", "cubic metres m3")</f>
        <v>50</v>
      </c>
      <c r="H60" s="15" cm="1">
        <f t="array" ref="H60">Common_InputFunctions.Utility_LookupValueInTableNumber(E60,Table_SourceData_WasteSolid_VolumeToMassConversion[Waste type w],Table_SourceData_WasteSolid_VolumeToMassConversion[VTMw])</f>
        <v>0.09</v>
      </c>
      <c r="I60" s="15">
        <f>(G60 * H60)</f>
        <v>4.5</v>
      </c>
    </row>
    <row r="61" spans="1:9" ht="20.100000000000001" customHeight="1" x14ac:dyDescent="0.2">
      <c r="D61" s="150" t="str">
        <v>Landfill</v>
      </c>
      <c r="E61" s="147" t="str">
        <v>Green waste (including crop residues or prunings)</v>
      </c>
      <c r="F61" s="148"/>
      <c r="G61" s="15" cm="1">
        <f t="array" ref="G61">WasteSolid_InputFunctions.WasteSolid_InputFunctions_SumWasteTreatment(Table_Input_SolidWaste[Treatment type (select)],Table_Input_SolidWaste[Waste type (select)],Table_Input_SolidWaste[Treatment location (select)],Table_Input_SolidWaste[Amount unit (select)],Table_Input_SolidWaste[Amount],D61,E61, "Removed and treated off-site", "cubic metres m3")</f>
        <v>50</v>
      </c>
      <c r="H61" s="15" cm="1">
        <f t="array" ref="H61">Common_InputFunctions.Utility_LookupValueInTableNumber(E61,Table_SourceData_WasteSolid_VolumeToMassConversion[Waste type w],Table_SourceData_WasteSolid_VolumeToMassConversion[VTMw])</f>
        <v>0.24</v>
      </c>
      <c r="I61" s="15">
        <f>(G61 * H61)</f>
        <v>12</v>
      </c>
    </row>
    <row r="62" spans="1:9" ht="20.100000000000001" customHeight="1" x14ac:dyDescent="0.2">
      <c r="D62" s="150" t="str">
        <v>Landfill</v>
      </c>
      <c r="E62" s="147" t="str">
        <v>Wood</v>
      </c>
      <c r="F62" s="148"/>
      <c r="G62" s="15" cm="1">
        <f t="array" ref="G62">WasteSolid_InputFunctions.WasteSolid_InputFunctions_SumWasteTreatment(Table_Input_SolidWaste[Treatment type (select)],Table_Input_SolidWaste[Waste type (select)],Table_Input_SolidWaste[Treatment location (select)],Table_Input_SolidWaste[Amount unit (select)],Table_Input_SolidWaste[Amount],D62,E62, "Removed and treated off-site", "cubic metres m3")</f>
        <v>0</v>
      </c>
      <c r="H62" s="15" cm="1">
        <f t="array" ref="H62">Common_InputFunctions.Utility_LookupValueInTableNumber(E62,Table_SourceData_WasteSolid_VolumeToMassConversion[Waste type w],Table_SourceData_WasteSolid_VolumeToMassConversion[VTMw])</f>
        <v>0.15</v>
      </c>
      <c r="I62" s="15">
        <f>(G62 * H62)</f>
        <v>0</v>
      </c>
    </row>
    <row r="63" spans="1:9" ht="20.100000000000001" customHeight="1" x14ac:dyDescent="0.2">
      <c r="D63" s="150" t="str">
        <v>Landfill</v>
      </c>
      <c r="E63" s="147" t="str">
        <v>Textiles</v>
      </c>
      <c r="F63" s="148"/>
      <c r="G63" s="15" cm="1">
        <f t="array" ref="G63">WasteSolid_InputFunctions.WasteSolid_InputFunctions_SumWasteTreatment(Table_Input_SolidWaste[Treatment type (select)],Table_Input_SolidWaste[Waste type (select)],Table_Input_SolidWaste[Treatment location (select)],Table_Input_SolidWaste[Amount unit (select)],Table_Input_SolidWaste[Amount],D63,E63, "Removed and treated off-site", "cubic metres m3")</f>
        <v>0</v>
      </c>
      <c r="H63" s="15" cm="1">
        <f t="array" ref="H63">Common_InputFunctions.Utility_LookupValueInTableNumber(E63,Table_SourceData_WasteSolid_VolumeToMassConversion[Waste type w],Table_SourceData_WasteSolid_VolumeToMassConversion[VTMw])</f>
        <v>0.14000000000000001</v>
      </c>
      <c r="I63" s="15">
        <f>(G63 * H63)</f>
        <v>0</v>
      </c>
    </row>
    <row r="64" spans="1:9" ht="20.100000000000001" customHeight="1" x14ac:dyDescent="0.2">
      <c r="D64" s="150" t="str">
        <v>Landfill</v>
      </c>
      <c r="E64" s="147" t="str">
        <v>Sludge</v>
      </c>
      <c r="F64" s="148"/>
      <c r="G64" s="15" cm="1">
        <f t="array" ref="G64">WasteSolid_InputFunctions.WasteSolid_InputFunctions_SumWasteTreatment(Table_Input_SolidWaste[Treatment type (select)],Table_Input_SolidWaste[Waste type (select)],Table_Input_SolidWaste[Treatment location (select)],Table_Input_SolidWaste[Amount unit (select)],Table_Input_SolidWaste[Amount],D64,E64, "Removed and treated off-site", "cubic metres m3")</f>
        <v>0</v>
      </c>
      <c r="H64" s="15" cm="1">
        <f t="array" ref="H64">Common_InputFunctions.Utility_LookupValueInTableNumber(E64,Table_SourceData_WasteSolid_VolumeToMassConversion[Waste type w],Table_SourceData_WasteSolid_VolumeToMassConversion[VTMw])</f>
        <v>0.72</v>
      </c>
      <c r="I64" s="15">
        <f>(G64 * H64)</f>
        <v>0</v>
      </c>
    </row>
    <row r="65" spans="4:9" ht="20.100000000000001" customHeight="1" x14ac:dyDescent="0.2">
      <c r="D65" s="150" t="str">
        <v>Landfill</v>
      </c>
      <c r="E65" s="147" t="str">
        <v>Rubber and leather</v>
      </c>
      <c r="F65" s="148"/>
      <c r="G65" s="15" cm="1">
        <f t="array" ref="G65">WasteSolid_InputFunctions.WasteSolid_InputFunctions_SumWasteTreatment(Table_Input_SolidWaste[Treatment type (select)],Table_Input_SolidWaste[Waste type (select)],Table_Input_SolidWaste[Treatment location (select)],Table_Input_SolidWaste[Amount unit (select)],Table_Input_SolidWaste[Amount],D65,E65, "Removed and treated off-site", "cubic metres m3")</f>
        <v>0</v>
      </c>
      <c r="H65" s="15" cm="1">
        <f t="array" ref="H65">Common_InputFunctions.Utility_LookupValueInTableNumber(E65,Table_SourceData_WasteSolid_VolumeToMassConversion[Waste type w],Table_SourceData_WasteSolid_VolumeToMassConversion[VTMw])</f>
        <v>0.14000000000000001</v>
      </c>
      <c r="I65" s="15">
        <f>(G65 * H65)</f>
        <v>0</v>
      </c>
    </row>
    <row r="66" spans="4:9" ht="20.100000000000001" customHeight="1" x14ac:dyDescent="0.2">
      <c r="D66" s="150" t="str">
        <v>Landfill</v>
      </c>
      <c r="E66" s="147" t="str">
        <v>Inert waste (including concrete, metal, plastic or glass)</v>
      </c>
      <c r="F66" s="148"/>
      <c r="G66" s="15" cm="1">
        <f t="array" ref="G66">WasteSolid_InputFunctions.WasteSolid_InputFunctions_SumWasteTreatment(Table_Input_SolidWaste[Treatment type (select)],Table_Input_SolidWaste[Waste type (select)],Table_Input_SolidWaste[Treatment location (select)],Table_Input_SolidWaste[Amount unit (select)],Table_Input_SolidWaste[Amount],D66,E66, "Removed and treated off-site", "cubic metres m3")</f>
        <v>0</v>
      </c>
      <c r="H66" s="15" cm="1">
        <f t="array" ref="H66">Common_InputFunctions.Utility_LookupValueInTableNumber(E66,Table_SourceData_WasteSolid_VolumeToMassConversion[Waste type w],Table_SourceData_WasteSolid_VolumeToMassConversion[VTMw])</f>
        <v>0.42</v>
      </c>
      <c r="I66" s="15">
        <f>(G66 * H66)</f>
        <v>0</v>
      </c>
    </row>
    <row r="67" spans="4:9" ht="20.100000000000001" customHeight="1" x14ac:dyDescent="0.2">
      <c r="D67" s="150" t="str">
        <v>Landfill</v>
      </c>
      <c r="E67" s="147" t="str">
        <v>Municipal solid waste</v>
      </c>
      <c r="F67" s="148"/>
      <c r="G67" s="15" cm="1">
        <f t="array" ref="G67">WasteSolid_InputFunctions.WasteSolid_InputFunctions_SumWasteTreatment(Table_Input_SolidWaste[Treatment type (select)],Table_Input_SolidWaste[Waste type (select)],Table_Input_SolidWaste[Treatment location (select)],Table_Input_SolidWaste[Amount unit (select)],Table_Input_SolidWaste[Amount],D67,E67, "Removed and treated off-site", "cubic metres m3")</f>
        <v>0</v>
      </c>
      <c r="H67" s="15" cm="1">
        <f t="array" ref="H67">Common_InputFunctions.Utility_LookupValueInTableNumber(E67,Table_SourceData_WasteSolid_VolumeToMassConversion[Waste type w],Table_SourceData_WasteSolid_VolumeToMassConversion[VTMw])</f>
        <v>0.36</v>
      </c>
      <c r="I67" s="15">
        <f>(G67 * H67)</f>
        <v>0</v>
      </c>
    </row>
    <row r="68" spans="4:9" ht="20.100000000000001" customHeight="1" x14ac:dyDescent="0.2">
      <c r="D68" s="150" t="str">
        <v>Landfill</v>
      </c>
      <c r="E68" s="147" t="str">
        <v>Commercial and industrial waste</v>
      </c>
      <c r="F68" s="148"/>
      <c r="G68" s="15" cm="1">
        <f t="array" ref="G68">WasteSolid_InputFunctions.WasteSolid_InputFunctions_SumWasteTreatment(Table_Input_SolidWaste[Treatment type (select)],Table_Input_SolidWaste[Waste type (select)],Table_Input_SolidWaste[Treatment location (select)],Table_Input_SolidWaste[Amount unit (select)],Table_Input_SolidWaste[Amount],D68,E68, "Removed and treated off-site", "cubic metres m3")</f>
        <v>0</v>
      </c>
      <c r="H68" s="15" cm="1">
        <f t="array" ref="H68">Common_InputFunctions.Utility_LookupValueInTableNumber(E68,Table_SourceData_WasteSolid_VolumeToMassConversion[Waste type w],Table_SourceData_WasteSolid_VolumeToMassConversion[VTMw])</f>
        <v>0.33</v>
      </c>
      <c r="I68" s="15">
        <f>(G68 * H68)</f>
        <v>0</v>
      </c>
    </row>
    <row r="69" spans="4:9" ht="20.100000000000001" customHeight="1" x14ac:dyDescent="0.2">
      <c r="D69" s="150" t="str">
        <v>Landfill</v>
      </c>
      <c r="E69" s="147" t="str">
        <v>Construction and demolition waste</v>
      </c>
      <c r="F69" s="148"/>
      <c r="G69" s="15" cm="1">
        <f t="array" ref="G69">WasteSolid_InputFunctions.WasteSolid_InputFunctions_SumWasteTreatment(Table_Input_SolidWaste[Treatment type (select)],Table_Input_SolidWaste[Waste type (select)],Table_Input_SolidWaste[Treatment location (select)],Table_Input_SolidWaste[Amount unit (select)],Table_Input_SolidWaste[Amount],D69,E69, "Removed and treated off-site", "cubic metres m3")</f>
        <v>0</v>
      </c>
      <c r="H69" s="15" cm="1">
        <f t="array" ref="H69">Common_InputFunctions.Utility_LookupValueInTableNumber(E69,Table_SourceData_WasteSolid_VolumeToMassConversion[Waste type w],Table_SourceData_WasteSolid_VolumeToMassConversion[VTMw])</f>
        <v>0.39</v>
      </c>
      <c r="I69" s="15">
        <f>(G69 * H69)</f>
        <v>0</v>
      </c>
    </row>
    <row r="70" spans="4:9" ht="20.100000000000001" customHeight="1" x14ac:dyDescent="0.2">
      <c r="D70" s="150" t="str">
        <v>Incineration</v>
      </c>
      <c r="E70" s="147" t="str">
        <v>Food waste, green waste, wood, sludge</v>
      </c>
      <c r="F70" s="148"/>
      <c r="G70" s="15" t="s">
        <v>396</v>
      </c>
      <c r="H70" s="15" t="s">
        <v>396</v>
      </c>
      <c r="I70" s="15" t="s">
        <v>396</v>
      </c>
    </row>
    <row r="71" spans="4:9" ht="20.100000000000001" customHeight="1" x14ac:dyDescent="0.2">
      <c r="D71" s="150" t="str">
        <v>Incineration</v>
      </c>
      <c r="E71" s="147" t="str">
        <v>Food waste (including animal carcasses, spoiled animal feed or crop)</v>
      </c>
      <c r="F71" s="148"/>
      <c r="G71" s="15" cm="1">
        <f t="array" ref="G71">WasteSolid_InputFunctions.WasteSolid_InputFunctions_SumWasteTreatment(Table_Input_SolidWaste[Treatment type (select)],Table_Input_SolidWaste[Waste type (select)],Table_Input_SolidWaste[Treatment location (select)],Table_Input_SolidWaste[Amount unit (select)],Table_Input_SolidWaste[Amount],D71,E71, "Removed and treated off-site", "cubic metres m3")</f>
        <v>0</v>
      </c>
      <c r="H71" s="15" cm="1">
        <f t="array" ref="H71">Common_InputFunctions.Utility_LookupValueInTableNumber(E71,Table_SourceData_WasteSolid_VolumeToMassConversion[Waste type w],Table_SourceData_WasteSolid_VolumeToMassConversion[VTMw])</f>
        <v>0.5</v>
      </c>
      <c r="I71" s="15">
        <f>(G71 * H71)</f>
        <v>0</v>
      </c>
    </row>
    <row r="72" spans="4:9" ht="20.100000000000001" customHeight="1" x14ac:dyDescent="0.2">
      <c r="D72" s="150" t="str">
        <v>Incineration</v>
      </c>
      <c r="E72" s="147" t="str">
        <v>Green waste (including crop residues or prunings)</v>
      </c>
      <c r="F72" s="148"/>
      <c r="G72" s="15" cm="1">
        <f t="array" ref="G72">WasteSolid_InputFunctions.WasteSolid_InputFunctions_SumWasteTreatment(Table_Input_SolidWaste[Treatment type (select)],Table_Input_SolidWaste[Waste type (select)],Table_Input_SolidWaste[Treatment location (select)],Table_Input_SolidWaste[Amount unit (select)],Table_Input_SolidWaste[Amount],D72,E72, "Removed and treated off-site", "cubic metres m3")</f>
        <v>50</v>
      </c>
      <c r="H72" s="15" cm="1">
        <f t="array" ref="H72">Common_InputFunctions.Utility_LookupValueInTableNumber(E72,Table_SourceData_WasteSolid_VolumeToMassConversion[Waste type w],Table_SourceData_WasteSolid_VolumeToMassConversion[VTMw])</f>
        <v>0.24</v>
      </c>
      <c r="I72" s="15">
        <f>(G72 * H72)</f>
        <v>12</v>
      </c>
    </row>
    <row r="73" spans="4:9" ht="20.100000000000001" customHeight="1" x14ac:dyDescent="0.2">
      <c r="D73" s="150" t="str">
        <v>Incineration</v>
      </c>
      <c r="E73" s="147" t="str">
        <v>Wood</v>
      </c>
      <c r="F73" s="148"/>
      <c r="G73" s="15" cm="1">
        <f t="array" ref="G73">WasteSolid_InputFunctions.WasteSolid_InputFunctions_SumWasteTreatment(Table_Input_SolidWaste[Treatment type (select)],Table_Input_SolidWaste[Waste type (select)],Table_Input_SolidWaste[Treatment location (select)],Table_Input_SolidWaste[Amount unit (select)],Table_Input_SolidWaste[Amount],D73,E73, "Removed and treated off-site", "cubic metres m3")</f>
        <v>0</v>
      </c>
      <c r="H73" s="15" cm="1">
        <f t="array" ref="H73">Common_InputFunctions.Utility_LookupValueInTableNumber(E73,Table_SourceData_WasteSolid_VolumeToMassConversion[Waste type w],Table_SourceData_WasteSolid_VolumeToMassConversion[VTMw])</f>
        <v>0.15</v>
      </c>
      <c r="I73" s="15">
        <f>(G73 * H73)</f>
        <v>0</v>
      </c>
    </row>
    <row r="74" spans="4:9" ht="20.100000000000001" customHeight="1" x14ac:dyDescent="0.2">
      <c r="D74" s="150" t="str">
        <v>Incineration</v>
      </c>
      <c r="E74" s="147" t="str">
        <v>Sludge</v>
      </c>
      <c r="F74" s="148"/>
      <c r="G74" s="15" cm="1">
        <f t="array" ref="G74">WasteSolid_InputFunctions.WasteSolid_InputFunctions_SumWasteTreatment(Table_Input_SolidWaste[Treatment type (select)],Table_Input_SolidWaste[Waste type (select)],Table_Input_SolidWaste[Treatment location (select)],Table_Input_SolidWaste[Amount unit (select)],Table_Input_SolidWaste[Amount],D74,E74, "Removed and treated off-site", "cubic metres m3")</f>
        <v>0</v>
      </c>
      <c r="H74" s="15" cm="1">
        <f t="array" ref="H74">Common_InputFunctions.Utility_LookupValueInTableNumber(E74,Table_SourceData_WasteSolid_VolumeToMassConversion[Waste type w],Table_SourceData_WasteSolid_VolumeToMassConversion[VTMw])</f>
        <v>0.72</v>
      </c>
      <c r="I74" s="15">
        <f>(G74 * H74)</f>
        <v>0</v>
      </c>
    </row>
    <row r="75" spans="4:9" ht="20.100000000000001" customHeight="1" x14ac:dyDescent="0.2">
      <c r="D75" s="150" t="str">
        <v>Incineration</v>
      </c>
      <c r="E75" s="147" t="str">
        <v>Paper and cardboard</v>
      </c>
      <c r="F75" s="148"/>
      <c r="G75" s="15" cm="1">
        <f t="array" ref="G75">WasteSolid_InputFunctions.WasteSolid_InputFunctions_SumWasteTreatment(Table_Input_SolidWaste[Treatment type (select)],Table_Input_SolidWaste[Waste type (select)],Table_Input_SolidWaste[Treatment location (select)],Table_Input_SolidWaste[Amount unit (select)],Table_Input_SolidWaste[Amount],D75,E75, "Removed and treated off-site", "cubic metres m3")</f>
        <v>0</v>
      </c>
      <c r="H75" s="15" cm="1">
        <f t="array" ref="H75">Common_InputFunctions.Utility_LookupValueInTableNumber(E75,Table_SourceData_WasteSolid_VolumeToMassConversion[Waste type w],Table_SourceData_WasteSolid_VolumeToMassConversion[VTMw])</f>
        <v>0.09</v>
      </c>
      <c r="I75" s="15">
        <f>(G75 * H75)</f>
        <v>0</v>
      </c>
    </row>
    <row r="76" spans="4:9" ht="20.100000000000001" customHeight="1" x14ac:dyDescent="0.2">
      <c r="D76" s="150" t="str">
        <v>Incineration</v>
      </c>
      <c r="E76" s="147" t="str">
        <v>Textiles</v>
      </c>
      <c r="F76" s="148"/>
      <c r="G76" s="15" cm="1">
        <f t="array" ref="G76">WasteSolid_InputFunctions.WasteSolid_InputFunctions_SumWasteTreatment(Table_Input_SolidWaste[Treatment type (select)],Table_Input_SolidWaste[Waste type (select)],Table_Input_SolidWaste[Treatment location (select)],Table_Input_SolidWaste[Amount unit (select)],Table_Input_SolidWaste[Amount],D76,E76, "Removed and treated off-site", "cubic metres m3")</f>
        <v>0</v>
      </c>
      <c r="H76" s="15" cm="1">
        <f t="array" ref="H76">Common_InputFunctions.Utility_LookupValueInTableNumber(E76,Table_SourceData_WasteSolid_VolumeToMassConversion[Waste type w],Table_SourceData_WasteSolid_VolumeToMassConversion[VTMw])</f>
        <v>0.14000000000000001</v>
      </c>
      <c r="I76" s="15">
        <f>(G76 * H76)</f>
        <v>0</v>
      </c>
    </row>
    <row r="77" spans="4:9" ht="20.100000000000001" customHeight="1" x14ac:dyDescent="0.2">
      <c r="D77" s="150" t="str">
        <v>Incineration</v>
      </c>
      <c r="E77" s="147" t="str">
        <v>Rubber and leather</v>
      </c>
      <c r="F77" s="148"/>
      <c r="G77" s="15" cm="1">
        <f t="array" ref="G77">WasteSolid_InputFunctions.WasteSolid_InputFunctions_SumWasteTreatment(Table_Input_SolidWaste[Treatment type (select)],Table_Input_SolidWaste[Waste type (select)],Table_Input_SolidWaste[Treatment location (select)],Table_Input_SolidWaste[Amount unit (select)],Table_Input_SolidWaste[Amount],D77,E77, "Removed and treated off-site", "cubic metres m3")</f>
        <v>0</v>
      </c>
      <c r="H77" s="15" cm="1">
        <f t="array" ref="H77">Common_InputFunctions.Utility_LookupValueInTableNumber(E77,Table_SourceData_WasteSolid_VolumeToMassConversion[Waste type w],Table_SourceData_WasteSolid_VolumeToMassConversion[VTMw])</f>
        <v>0.14000000000000001</v>
      </c>
      <c r="I77" s="15">
        <f>(G77 * H77)</f>
        <v>0</v>
      </c>
    </row>
    <row r="78" spans="4:9" ht="20.100000000000001" customHeight="1" x14ac:dyDescent="0.2">
      <c r="D78" s="150" t="str">
        <v>Incineration</v>
      </c>
      <c r="E78" s="147" t="str">
        <v>Inert waste (including concrete, metal, plastic or glass)</v>
      </c>
      <c r="F78" s="148"/>
      <c r="G78" s="15" cm="1">
        <f t="array" ref="G78">WasteSolid_InputFunctions.WasteSolid_InputFunctions_SumWasteTreatment(Table_Input_SolidWaste[Treatment type (select)],Table_Input_SolidWaste[Waste type (select)],Table_Input_SolidWaste[Treatment location (select)],Table_Input_SolidWaste[Amount unit (select)],Table_Input_SolidWaste[Amount],D78,E78, "Removed and treated off-site", "cubic metres m3")</f>
        <v>0</v>
      </c>
      <c r="H78" s="15" cm="1">
        <f t="array" ref="H78">Common_InputFunctions.Utility_LookupValueInTableNumber(E78,Table_SourceData_WasteSolid_VolumeToMassConversion[Waste type w],Table_SourceData_WasteSolid_VolumeToMassConversion[VTMw])</f>
        <v>0.42</v>
      </c>
      <c r="I78" s="15">
        <f>(G78 * H78)</f>
        <v>0</v>
      </c>
    </row>
    <row r="79" spans="4:9" ht="20.100000000000001" customHeight="1" x14ac:dyDescent="0.2">
      <c r="D79" s="150" t="str">
        <v>Incineration</v>
      </c>
      <c r="E79" s="147" t="str">
        <v>Municipal solid waste</v>
      </c>
      <c r="F79" s="159"/>
      <c r="G79" s="15" cm="1">
        <f t="array" ref="G79">WasteSolid_InputFunctions.WasteSolid_InputFunctions_SumWasteTreatment(Table_Input_SolidWaste[Treatment type (select)],Table_Input_SolidWaste[Waste type (select)],Table_Input_SolidWaste[Treatment location (select)],Table_Input_SolidWaste[Amount unit (select)],Table_Input_SolidWaste[Amount],D79,E79, "Removed and treated off-site", "cubic metres m3")</f>
        <v>0</v>
      </c>
      <c r="H79" s="15" cm="1">
        <f t="array" ref="H79">Common_InputFunctions.Utility_LookupValueInTableNumber(E79,Table_SourceData_WasteSolid_VolumeToMassConversion[Waste type w],Table_SourceData_WasteSolid_VolumeToMassConversion[VTMw])</f>
        <v>0.36</v>
      </c>
      <c r="I79" s="15">
        <f>(G79 * H79)</f>
        <v>0</v>
      </c>
    </row>
    <row r="80" spans="4:9" ht="20.100000000000001" customHeight="1" x14ac:dyDescent="0.2">
      <c r="D80" s="150" t="str">
        <v>Incineration</v>
      </c>
      <c r="E80" s="147" t="str">
        <v>Commercial and industrial waste</v>
      </c>
      <c r="F80" s="159"/>
      <c r="G80" s="15" cm="1">
        <f t="array" ref="G80">WasteSolid_InputFunctions.WasteSolid_InputFunctions_SumWasteTreatment(Table_Input_SolidWaste[Treatment type (select)],Table_Input_SolidWaste[Waste type (select)],Table_Input_SolidWaste[Treatment location (select)],Table_Input_SolidWaste[Amount unit (select)],Table_Input_SolidWaste[Amount],D80,E80, "Removed and treated off-site", "cubic metres m3")</f>
        <v>0</v>
      </c>
      <c r="H80" s="15" cm="1">
        <f t="array" ref="H80">Common_InputFunctions.Utility_LookupValueInTableNumber(E80,Table_SourceData_WasteSolid_VolumeToMassConversion[Waste type w],Table_SourceData_WasteSolid_VolumeToMassConversion[VTMw])</f>
        <v>0.33</v>
      </c>
      <c r="I80" s="15">
        <f>(G80 * H80)</f>
        <v>0</v>
      </c>
    </row>
    <row r="81" spans="1:12" ht="20.100000000000001" customHeight="1" x14ac:dyDescent="0.2">
      <c r="D81" s="150" t="str">
        <v>Composting</v>
      </c>
      <c r="E81" s="147" t="str">
        <v>All organic waste</v>
      </c>
      <c r="F81" s="159"/>
      <c r="G81" s="15" t="s">
        <v>396</v>
      </c>
      <c r="H81" s="15" t="s">
        <v>396</v>
      </c>
      <c r="I81" s="15" t="s">
        <v>396</v>
      </c>
    </row>
    <row r="82" spans="1:12" ht="20.100000000000001" customHeight="1" x14ac:dyDescent="0.2">
      <c r="D82" s="150" t="str">
        <v>Composting</v>
      </c>
      <c r="E82" s="147" t="str">
        <v>Food waste (including animal carcasses, spoiled animal feed or crop)</v>
      </c>
      <c r="F82" s="159"/>
      <c r="G82" s="15" cm="1">
        <f t="array" ref="G82">WasteSolid_InputFunctions.WasteSolid_InputFunctions_SumWasteTreatment(Table_Input_SolidWaste[Treatment type (select)],Table_Input_SolidWaste[Waste type (select)],Table_Input_SolidWaste[Treatment location (select)],Table_Input_SolidWaste[Amount unit (select)],Table_Input_SolidWaste[Amount],D82,E82, "Removed and treated off-site", "cubic metres m3")</f>
        <v>0</v>
      </c>
      <c r="H82" s="15" cm="1">
        <f t="array" ref="H82">Common_InputFunctions.Utility_LookupValueInTableNumber(E82,Table_SourceData_WasteSolid_VolumeToMassConversion[Waste type w],Table_SourceData_WasteSolid_VolumeToMassConversion[VTMw])</f>
        <v>0.5</v>
      </c>
      <c r="I82" s="15">
        <f>(G82 * H82)</f>
        <v>0</v>
      </c>
    </row>
    <row r="83" spans="1:12" ht="20.100000000000001" customHeight="1" x14ac:dyDescent="0.2">
      <c r="D83" s="150" t="str">
        <v>Composting</v>
      </c>
      <c r="E83" s="147" t="str">
        <v>Green waste (including crop residues or prunings)</v>
      </c>
      <c r="F83" s="159"/>
      <c r="G83" s="15" cm="1">
        <f t="array" ref="G83">WasteSolid_InputFunctions.WasteSolid_InputFunctions_SumWasteTreatment(Table_Input_SolidWaste[Treatment type (select)],Table_Input_SolidWaste[Waste type (select)],Table_Input_SolidWaste[Treatment location (select)],Table_Input_SolidWaste[Amount unit (select)],Table_Input_SolidWaste[Amount],D83,E83, "Removed and treated off-site", "cubic metres m3")</f>
        <v>0</v>
      </c>
      <c r="H83" s="15" cm="1">
        <f t="array" ref="H83">Common_InputFunctions.Utility_LookupValueInTableNumber(E83,Table_SourceData_WasteSolid_VolumeToMassConversion[Waste type w],Table_SourceData_WasteSolid_VolumeToMassConversion[VTMw])</f>
        <v>0.24</v>
      </c>
      <c r="I83" s="15">
        <f>(G83 * H83)</f>
        <v>0</v>
      </c>
    </row>
    <row r="84" spans="1:12" ht="20.100000000000001" customHeight="1" x14ac:dyDescent="0.2">
      <c r="D84" s="150" t="str">
        <v>Composting</v>
      </c>
      <c r="E84" s="147" t="str">
        <v>Wood</v>
      </c>
      <c r="F84" s="159"/>
      <c r="G84" s="15" cm="1">
        <f t="array" ref="G84">WasteSolid_InputFunctions.WasteSolid_InputFunctions_SumWasteTreatment(Table_Input_SolidWaste[Treatment type (select)],Table_Input_SolidWaste[Waste type (select)],Table_Input_SolidWaste[Treatment location (select)],Table_Input_SolidWaste[Amount unit (select)],Table_Input_SolidWaste[Amount],D84,E84, "Removed and treated off-site", "cubic metres m3")</f>
        <v>0</v>
      </c>
      <c r="H84" s="15" cm="1">
        <f t="array" ref="H84">Common_InputFunctions.Utility_LookupValueInTableNumber(E84,Table_SourceData_WasteSolid_VolumeToMassConversion[Waste type w],Table_SourceData_WasteSolid_VolumeToMassConversion[VTMw])</f>
        <v>0.15</v>
      </c>
      <c r="I84" s="15">
        <f>(G84 * H84)</f>
        <v>0</v>
      </c>
    </row>
    <row r="85" spans="1:12" ht="20.100000000000001" customHeight="1" x14ac:dyDescent="0.2">
      <c r="D85" s="150" t="str">
        <v>Composting</v>
      </c>
      <c r="E85" s="147" t="str">
        <v>Sludge</v>
      </c>
      <c r="F85" s="159"/>
      <c r="G85" s="15" cm="1">
        <f t="array" ref="G85">WasteSolid_InputFunctions.WasteSolid_InputFunctions_SumWasteTreatment(Table_Input_SolidWaste[Treatment type (select)],Table_Input_SolidWaste[Waste type (select)],Table_Input_SolidWaste[Treatment location (select)],Table_Input_SolidWaste[Amount unit (select)],Table_Input_SolidWaste[Amount],D85,E85, "Removed and treated off-site", "cubic metres m3")</f>
        <v>0</v>
      </c>
      <c r="H85" s="15" cm="1">
        <f t="array" ref="H85">Common_InputFunctions.Utility_LookupValueInTableNumber(E85,Table_SourceData_WasteSolid_VolumeToMassConversion[Waste type w],Table_SourceData_WasteSolid_VolumeToMassConversion[VTMw])</f>
        <v>0.72</v>
      </c>
      <c r="I85" s="15">
        <f>(G85 * H85)</f>
        <v>0</v>
      </c>
    </row>
    <row r="86" spans="1:12" ht="20.100000000000001" customHeight="1" x14ac:dyDescent="0.2">
      <c r="D86" s="150" t="str">
        <v>Composting</v>
      </c>
      <c r="E86" s="147" t="str">
        <v>Paper and cardboard</v>
      </c>
      <c r="F86" s="159"/>
      <c r="G86" s="15" cm="1">
        <f t="array" ref="G86">WasteSolid_InputFunctions.WasteSolid_InputFunctions_SumWasteTreatment(Table_Input_SolidWaste[Treatment type (select)],Table_Input_SolidWaste[Waste type (select)],Table_Input_SolidWaste[Treatment location (select)],Table_Input_SolidWaste[Amount unit (select)],Table_Input_SolidWaste[Amount],D86,E86, "Removed and treated off-site", "cubic metres m3")</f>
        <v>0</v>
      </c>
      <c r="H86" s="15" cm="1">
        <f t="array" ref="H86">Common_InputFunctions.Utility_LookupValueInTableNumber(E86,Table_SourceData_WasteSolid_VolumeToMassConversion[Waste type w],Table_SourceData_WasteSolid_VolumeToMassConversion[VTMw])</f>
        <v>0.09</v>
      </c>
      <c r="I86" s="15">
        <f>(G86 * H86)</f>
        <v>0</v>
      </c>
    </row>
    <row r="87" spans="1:12" ht="20.100000000000001" customHeight="1" x14ac:dyDescent="0.2">
      <c r="D87" s="150" t="str">
        <v>Anaerobic digestion</v>
      </c>
      <c r="E87" s="147" t="str">
        <v>All organic waste</v>
      </c>
      <c r="F87" s="159"/>
      <c r="G87" s="15" t="s">
        <v>396</v>
      </c>
      <c r="H87" s="15" t="s">
        <v>396</v>
      </c>
      <c r="I87" s="15" t="s">
        <v>396</v>
      </c>
    </row>
    <row r="88" spans="1:12" ht="20.100000000000001" customHeight="1" x14ac:dyDescent="0.2">
      <c r="D88" s="150" t="str">
        <v>Anaerobic digestion</v>
      </c>
      <c r="E88" s="147" t="str">
        <v>Food waste (including animal carcasses, spoiled animal feed or crop)</v>
      </c>
      <c r="F88" s="159"/>
      <c r="G88" s="15" cm="1">
        <f t="array" ref="G88">WasteSolid_InputFunctions.WasteSolid_InputFunctions_SumWasteTreatment(Table_Input_SolidWaste[Treatment type (select)],Table_Input_SolidWaste[Waste type (select)],Table_Input_SolidWaste[Treatment location (select)],Table_Input_SolidWaste[Amount unit (select)],Table_Input_SolidWaste[Amount],D88,E88, "Removed and treated off-site", "cubic metres m3")</f>
        <v>0</v>
      </c>
      <c r="H88" s="15" cm="1">
        <f t="array" ref="H88">Common_InputFunctions.Utility_LookupValueInTableNumber(E88,Table_SourceData_WasteSolid_VolumeToMassConversion[Waste type w],Table_SourceData_WasteSolid_VolumeToMassConversion[VTMw])</f>
        <v>0.5</v>
      </c>
      <c r="I88" s="15">
        <f>(G88 * H88)</f>
        <v>0</v>
      </c>
    </row>
    <row r="89" spans="1:12" ht="20.100000000000001" customHeight="1" x14ac:dyDescent="0.2">
      <c r="A89" s="81" t="str">
        <f>HYPERLINK("#A1", "▲ Back to top")</f>
        <v>▲ Back to top</v>
      </c>
      <c r="D89" s="150" t="str">
        <v>Anaerobic digestion</v>
      </c>
      <c r="E89" s="147" t="str">
        <v>Green waste (including crop residues or prunings)</v>
      </c>
      <c r="F89" s="159"/>
      <c r="G89" s="15" cm="1">
        <f t="array" ref="G89">WasteSolid_InputFunctions.WasteSolid_InputFunctions_SumWasteTreatment(Table_Input_SolidWaste[Treatment type (select)],Table_Input_SolidWaste[Waste type (select)],Table_Input_SolidWaste[Treatment location (select)],Table_Input_SolidWaste[Amount unit (select)],Table_Input_SolidWaste[Amount],D89,E89, "Removed and treated off-site", "cubic metres m3")</f>
        <v>0</v>
      </c>
      <c r="H89" s="15" cm="1">
        <f t="array" ref="H89">Common_InputFunctions.Utility_LookupValueInTableNumber(E89,Table_SourceData_WasteSolid_VolumeToMassConversion[Waste type w],Table_SourceData_WasteSolid_VolumeToMassConversion[VTMw])</f>
        <v>0.24</v>
      </c>
      <c r="I89" s="15">
        <f>(G89 * H89)</f>
        <v>0</v>
      </c>
    </row>
    <row r="90" spans="1:12" ht="20.100000000000001" customHeight="1" x14ac:dyDescent="0.2">
      <c r="D90" s="150" t="str">
        <v>Anaerobic digestion</v>
      </c>
      <c r="E90" s="147" t="str">
        <v>Wood</v>
      </c>
      <c r="F90" s="159"/>
      <c r="G90" s="15" cm="1">
        <f t="array" ref="G90">WasteSolid_InputFunctions.WasteSolid_InputFunctions_SumWasteTreatment(Table_Input_SolidWaste[Treatment type (select)],Table_Input_SolidWaste[Waste type (select)],Table_Input_SolidWaste[Treatment location (select)],Table_Input_SolidWaste[Amount unit (select)],Table_Input_SolidWaste[Amount],D90,E90, "Removed and treated off-site", "cubic metres m3")</f>
        <v>0</v>
      </c>
      <c r="H90" s="15" cm="1">
        <f t="array" ref="H90">Common_InputFunctions.Utility_LookupValueInTableNumber(E90,Table_SourceData_WasteSolid_VolumeToMassConversion[Waste type w],Table_SourceData_WasteSolid_VolumeToMassConversion[VTMw])</f>
        <v>0.15</v>
      </c>
      <c r="I90" s="15">
        <f>(G90 * H90)</f>
        <v>0</v>
      </c>
    </row>
    <row r="91" spans="1:12" ht="20.100000000000001" customHeight="1" x14ac:dyDescent="0.2">
      <c r="D91" s="150" t="str">
        <v>Anaerobic digestion</v>
      </c>
      <c r="E91" s="147" t="str">
        <v>Sludge</v>
      </c>
      <c r="F91" s="159"/>
      <c r="G91" s="15" cm="1">
        <f t="array" ref="G91">WasteSolid_InputFunctions.WasteSolid_InputFunctions_SumWasteTreatment(Table_Input_SolidWaste[Treatment type (select)],Table_Input_SolidWaste[Waste type (select)],Table_Input_SolidWaste[Treatment location (select)],Table_Input_SolidWaste[Amount unit (select)],Table_Input_SolidWaste[Amount],D91,E91, "Removed and treated off-site", "cubic metres m3")</f>
        <v>0</v>
      </c>
      <c r="H91" s="15" cm="1">
        <f t="array" ref="H91">Common_InputFunctions.Utility_LookupValueInTableNumber(E91,Table_SourceData_WasteSolid_VolumeToMassConversion[Waste type w],Table_SourceData_WasteSolid_VolumeToMassConversion[VTMw])</f>
        <v>0.72</v>
      </c>
      <c r="I91" s="15">
        <f>(G91 * H91)</f>
        <v>0</v>
      </c>
    </row>
    <row r="92" spans="1:12" ht="20.100000000000001" customHeight="1" x14ac:dyDescent="0.2">
      <c r="D92" s="150" t="str">
        <v>Anaerobic digestion</v>
      </c>
      <c r="E92" s="147" t="str">
        <v>Paper and cardboard</v>
      </c>
      <c r="F92" s="159"/>
      <c r="G92" s="15" cm="1">
        <f t="array" ref="G92">WasteSolid_InputFunctions.WasteSolid_InputFunctions_SumWasteTreatment(Table_Input_SolidWaste[Treatment type (select)],Table_Input_SolidWaste[Waste type (select)],Table_Input_SolidWaste[Treatment location (select)],Table_Input_SolidWaste[Amount unit (select)],Table_Input_SolidWaste[Amount],D92,E92, "Removed and treated off-site", "cubic metres m3")</f>
        <v>0</v>
      </c>
      <c r="H92" s="15" cm="1">
        <f t="array" ref="H92">Common_InputFunctions.Utility_LookupValueInTableNumber(E92,Table_SourceData_WasteSolid_VolumeToMassConversion[Waste type w],Table_SourceData_WasteSolid_VolumeToMassConversion[VTMw])</f>
        <v>0.09</v>
      </c>
      <c r="I92" s="15">
        <f>(G92 * H92)</f>
        <v>0</v>
      </c>
    </row>
    <row r="95" spans="1:12" ht="20.100000000000001" customHeight="1" x14ac:dyDescent="0.2">
      <c r="C95" s="85"/>
      <c r="D95" s="85"/>
      <c r="E95" s="85"/>
      <c r="F95" s="85"/>
      <c r="G95" s="85"/>
      <c r="H95" s="85"/>
      <c r="I95" s="85"/>
      <c r="J95" s="85"/>
      <c r="K95" s="85"/>
      <c r="L95" s="85"/>
    </row>
    <row r="96" spans="1:12" ht="20.100000000000001" customHeight="1" x14ac:dyDescent="0.2">
      <c r="D96" s="2" t="s">
        <v>1315</v>
      </c>
    </row>
    <row r="97" spans="4:9" ht="20.100000000000001" customHeight="1" x14ac:dyDescent="0.2">
      <c r="D97" s="17" t="s">
        <v>1316</v>
      </c>
    </row>
    <row r="98" spans="4:9" ht="20.100000000000001" customHeight="1" x14ac:dyDescent="0.2">
      <c r="D98" s="26" t="s">
        <v>1317</v>
      </c>
    </row>
    <row r="99" spans="4:9" ht="20.100000000000001" customHeight="1" x14ac:dyDescent="0.2">
      <c r="D99" s="134"/>
      <c r="E99" s="134"/>
    </row>
    <row r="102" spans="4:9" ht="20.100000000000001" customHeight="1" x14ac:dyDescent="0.2">
      <c r="D102" s="77" t="s">
        <v>371</v>
      </c>
      <c r="E102" s="1" t="s">
        <v>1257</v>
      </c>
    </row>
    <row r="103" spans="4:9" ht="20.100000000000001" customHeight="1" x14ac:dyDescent="0.2">
      <c r="D103" s="77" t="s">
        <v>118</v>
      </c>
      <c r="E103" s="9" t="s">
        <v>7</v>
      </c>
    </row>
    <row r="105" spans="4:9" ht="20.100000000000001" customHeight="1" x14ac:dyDescent="0.2">
      <c r="D105" s="150" t="s">
        <v>1304</v>
      </c>
      <c r="E105" s="147" t="s">
        <v>1318</v>
      </c>
      <c r="F105" s="158"/>
      <c r="G105" s="159"/>
      <c r="H105" s="150" t="s">
        <v>1305</v>
      </c>
      <c r="I105" s="142" t="s">
        <v>1326</v>
      </c>
    </row>
    <row r="106" spans="4:9" ht="20.100000000000001" customHeight="1" x14ac:dyDescent="0.2">
      <c r="D106" s="150" t="s">
        <v>1319</v>
      </c>
      <c r="E106" s="147" t="s">
        <v>1320</v>
      </c>
      <c r="F106" s="158"/>
      <c r="G106" s="159"/>
      <c r="H106" s="150" t="s">
        <v>1327</v>
      </c>
      <c r="I106" s="142" t="s">
        <v>1036</v>
      </c>
    </row>
    <row r="107" spans="4:9" ht="20.100000000000001" customHeight="1" x14ac:dyDescent="0.2">
      <c r="D107" s="150" t="s">
        <v>1310</v>
      </c>
      <c r="E107" s="147" t="s">
        <v>1311</v>
      </c>
      <c r="F107" s="158"/>
      <c r="G107" s="159"/>
      <c r="H107" s="150"/>
      <c r="I107" s="141" t="s">
        <v>1034</v>
      </c>
    </row>
    <row r="108" spans="4:9" ht="20.100000000000001" customHeight="1" x14ac:dyDescent="0.2">
      <c r="D108" s="150" t="s">
        <v>1305</v>
      </c>
      <c r="E108" s="147" t="s">
        <v>1312</v>
      </c>
      <c r="F108" s="158"/>
      <c r="G108" s="159"/>
      <c r="H108" s="150"/>
      <c r="I108" s="141" t="s">
        <v>1034</v>
      </c>
    </row>
    <row r="109" spans="4:9" ht="20.100000000000001" customHeight="1" x14ac:dyDescent="0.2">
      <c r="D109" s="150" t="s">
        <v>1268</v>
      </c>
      <c r="E109" s="147" t="s">
        <v>1321</v>
      </c>
      <c r="F109" s="158"/>
      <c r="G109" s="159"/>
      <c r="H109" s="150"/>
      <c r="I109" s="141" t="s">
        <v>1034</v>
      </c>
    </row>
    <row r="110" spans="4:9" ht="20.100000000000001" customHeight="1" x14ac:dyDescent="0.2">
      <c r="D110" s="150" t="s">
        <v>1322</v>
      </c>
      <c r="E110" s="147" t="s">
        <v>1323</v>
      </c>
      <c r="F110" s="158"/>
      <c r="G110" s="159"/>
      <c r="H110" s="150" t="s">
        <v>19</v>
      </c>
      <c r="I110" s="142" t="s">
        <v>1328</v>
      </c>
    </row>
    <row r="111" spans="4:9" ht="20.100000000000001" customHeight="1" x14ac:dyDescent="0.2">
      <c r="D111" s="150" t="s">
        <v>1324</v>
      </c>
      <c r="E111" s="147" t="s">
        <v>1325</v>
      </c>
      <c r="F111" s="158"/>
      <c r="G111" s="159"/>
      <c r="H111" s="150" t="s">
        <v>19</v>
      </c>
      <c r="I111" s="141" t="s">
        <v>1034</v>
      </c>
    </row>
    <row r="113" spans="1:11" ht="20.100000000000001" customHeight="1" x14ac:dyDescent="0.2">
      <c r="D113" s="135" t="s">
        <v>687</v>
      </c>
    </row>
    <row r="114" spans="1:11" ht="20.100000000000001" customHeight="1" x14ac:dyDescent="0.2">
      <c r="D114" s="136" t="s">
        <v>688</v>
      </c>
    </row>
    <row r="115" spans="1:11" ht="20.100000000000001" customHeight="1" x14ac:dyDescent="0.2">
      <c r="D115" s="80" t="s">
        <v>680</v>
      </c>
      <c r="E115" s="80" t="s">
        <v>681</v>
      </c>
      <c r="F115" s="80"/>
      <c r="G115" s="80" t="s">
        <v>689</v>
      </c>
      <c r="H115" s="138" t="s">
        <v>690</v>
      </c>
      <c r="I115" s="138" t="s">
        <v>684</v>
      </c>
      <c r="J115" s="138" t="s">
        <v>691</v>
      </c>
      <c r="K115" s="138" t="s">
        <v>692</v>
      </c>
    </row>
    <row r="116" spans="1:11" ht="20.100000000000001" customHeight="1" x14ac:dyDescent="0.2">
      <c r="D116" s="150" t="str" cm="1">
        <f t="array" ref="D116:D149">Table_SourceData_WasteSolid_WasteTreatmentEFs[Treatment type t]</f>
        <v>Landfill</v>
      </c>
      <c r="E116" s="147" t="str" cm="1">
        <f t="array" ref="E116:E149">Table_SourceData_WasteSolid_WasteTreatmentEFs[Waste type w]</f>
        <v>Food waste (including animal carcasses, spoiled animal feed or crop)</v>
      </c>
      <c r="F116" s="148"/>
      <c r="G116" s="15" cm="1">
        <f t="array" ref="G116">WasteSolid_InputFunctions.WasteSolid_InputFunctions_SumWasteTreatment(Table_Input_SolidWaste[Treatment type (select)],Table_Input_SolidWaste[Waste type (select)],Table_Input_SolidWaste[Treatment location (select)],Table_Input_SolidWaste[Amount unit (select)],Table_Input_SolidWaste[Amount],D21,E21, "Treated on-site", "tonnes")</f>
        <v>50</v>
      </c>
      <c r="H116" s="15">
        <f t="shared" ref="H116:H149" si="0">I21</f>
        <v>25</v>
      </c>
      <c r="I116" s="15">
        <f>G116+H116</f>
        <v>75</v>
      </c>
      <c r="J116" s="15" cm="1">
        <f t="array" ref="J116">Common_InputFunctions.Utility_LookupValueInTableTwoColumns(D116,E116,Table_SourceData_WasteSolid_WasteTreatmentEFs[Treatment type t],Table_SourceData_WasteSolid_WasteTreatmentEFs[Waste type w],Table_SourceData_WasteSolid_WasteTreatmentEFs[EFwt])</f>
        <v>2.1</v>
      </c>
      <c r="K116" s="15">
        <f>(I116 * J116)</f>
        <v>157.5</v>
      </c>
    </row>
    <row r="117" spans="1:11" ht="20.100000000000001" customHeight="1" x14ac:dyDescent="0.2">
      <c r="D117" s="150" t="str">
        <v>Landfill</v>
      </c>
      <c r="E117" s="147" t="str">
        <v>Paper and cardboard</v>
      </c>
      <c r="F117" s="148"/>
      <c r="G117" s="15" cm="1">
        <f t="array" ref="G117">WasteSolid_InputFunctions.WasteSolid_InputFunctions_SumWasteTreatment(Table_Input_SolidWaste[Treatment type (select)],Table_Input_SolidWaste[Waste type (select)],Table_Input_SolidWaste[Treatment location (select)],Table_Input_SolidWaste[Amount unit (select)],Table_Input_SolidWaste[Amount],D22,E22, "Treated on-site", "tonnes")</f>
        <v>50</v>
      </c>
      <c r="H117" s="15">
        <f t="shared" si="0"/>
        <v>4.5</v>
      </c>
      <c r="I117" s="15">
        <f t="shared" ref="I117:I126" si="1">G117+H117</f>
        <v>54.5</v>
      </c>
      <c r="J117" s="15" cm="1">
        <f t="array" ref="J117">Common_InputFunctions.Utility_LookupValueInTableTwoColumns(D117,E117,Table_SourceData_WasteSolid_WasteTreatmentEFs[Treatment type t],Table_SourceData_WasteSolid_WasteTreatmentEFs[Waste type w],Table_SourceData_WasteSolid_WasteTreatmentEFs[EFwt])</f>
        <v>3.3</v>
      </c>
      <c r="K117" s="15">
        <f>(I117 * J117)</f>
        <v>179.85</v>
      </c>
    </row>
    <row r="118" spans="1:11" ht="20.100000000000001" customHeight="1" x14ac:dyDescent="0.2">
      <c r="D118" s="150" t="str">
        <v>Landfill</v>
      </c>
      <c r="E118" s="147" t="str">
        <v>Green waste (including crop residues or prunings)</v>
      </c>
      <c r="F118" s="148"/>
      <c r="G118" s="15" cm="1">
        <f t="array" ref="G118">WasteSolid_InputFunctions.WasteSolid_InputFunctions_SumWasteTreatment(Table_Input_SolidWaste[Treatment type (select)],Table_Input_SolidWaste[Waste type (select)],Table_Input_SolidWaste[Treatment location (select)],Table_Input_SolidWaste[Amount unit (select)],Table_Input_SolidWaste[Amount],D23,E23, "Treated on-site", "tonnes")</f>
        <v>50</v>
      </c>
      <c r="H118" s="15">
        <f t="shared" si="0"/>
        <v>12</v>
      </c>
      <c r="I118" s="15">
        <f t="shared" si="1"/>
        <v>62</v>
      </c>
      <c r="J118" s="15" cm="1">
        <f t="array" ref="J118">Common_InputFunctions.Utility_LookupValueInTableTwoColumns(D118,E118,Table_SourceData_WasteSolid_WasteTreatmentEFs[Treatment type t],Table_SourceData_WasteSolid_WasteTreatmentEFs[Waste type w],Table_SourceData_WasteSolid_WasteTreatmentEFs[EFwt])</f>
        <v>1.6</v>
      </c>
      <c r="K118" s="15">
        <f>(I118 * J118)</f>
        <v>99.2</v>
      </c>
    </row>
    <row r="119" spans="1:11" ht="20.100000000000001" customHeight="1" x14ac:dyDescent="0.2">
      <c r="A119" s="81" t="str">
        <f>HYPERLINK("#A1", "▲ Back to top")</f>
        <v>▲ Back to top</v>
      </c>
      <c r="D119" s="150" t="str">
        <v>Landfill</v>
      </c>
      <c r="E119" s="147" t="str">
        <v>Wood</v>
      </c>
      <c r="F119" s="148"/>
      <c r="G119" s="15" cm="1">
        <f t="array" ref="G119">WasteSolid_InputFunctions.WasteSolid_InputFunctions_SumWasteTreatment(Table_Input_SolidWaste[Treatment type (select)],Table_Input_SolidWaste[Waste type (select)],Table_Input_SolidWaste[Treatment location (select)],Table_Input_SolidWaste[Amount unit (select)],Table_Input_SolidWaste[Amount],D24,E24, "Treated on-site", "tonnes")</f>
        <v>0</v>
      </c>
      <c r="H119" s="15">
        <f t="shared" si="0"/>
        <v>0</v>
      </c>
      <c r="I119" s="15">
        <f t="shared" si="1"/>
        <v>0</v>
      </c>
      <c r="J119" s="15" cm="1">
        <f t="array" ref="J119">Common_InputFunctions.Utility_LookupValueInTableTwoColumns(D119,E119,Table_SourceData_WasteSolid_WasteTreatmentEFs[Treatment type t],Table_SourceData_WasteSolid_WasteTreatmentEFs[Waste type w],Table_SourceData_WasteSolid_WasteTreatmentEFs[EFwt])</f>
        <v>0.7</v>
      </c>
      <c r="K119" s="15">
        <f>(I119 * J119)</f>
        <v>0</v>
      </c>
    </row>
    <row r="120" spans="1:11" ht="20.100000000000001" customHeight="1" x14ac:dyDescent="0.2">
      <c r="D120" s="150" t="str">
        <v>Landfill</v>
      </c>
      <c r="E120" s="147" t="str">
        <v>Textiles</v>
      </c>
      <c r="F120" s="148"/>
      <c r="G120" s="15" cm="1">
        <f t="array" ref="G120">WasteSolid_InputFunctions.WasteSolid_InputFunctions_SumWasteTreatment(Table_Input_SolidWaste[Treatment type (select)],Table_Input_SolidWaste[Waste type (select)],Table_Input_SolidWaste[Treatment location (select)],Table_Input_SolidWaste[Amount unit (select)],Table_Input_SolidWaste[Amount],D25,E25, "Treated on-site", "tonnes")</f>
        <v>0</v>
      </c>
      <c r="H120" s="15">
        <f t="shared" si="0"/>
        <v>0</v>
      </c>
      <c r="I120" s="15">
        <f t="shared" si="1"/>
        <v>0</v>
      </c>
      <c r="J120" s="15" cm="1">
        <f t="array" ref="J120">Common_InputFunctions.Utility_LookupValueInTableTwoColumns(D120,E120,Table_SourceData_WasteSolid_WasteTreatmentEFs[Treatment type t],Table_SourceData_WasteSolid_WasteTreatmentEFs[Waste type w],Table_SourceData_WasteSolid_WasteTreatmentEFs[EFwt])</f>
        <v>2</v>
      </c>
      <c r="K120" s="15">
        <f>(I120 * J120)</f>
        <v>0</v>
      </c>
    </row>
    <row r="121" spans="1:11" ht="20.100000000000001" customHeight="1" x14ac:dyDescent="0.2">
      <c r="D121" s="150" t="str">
        <v>Landfill</v>
      </c>
      <c r="E121" s="147" t="str">
        <v>Sludge</v>
      </c>
      <c r="F121" s="148"/>
      <c r="G121" s="15" cm="1">
        <f t="array" ref="G121">WasteSolid_InputFunctions.WasteSolid_InputFunctions_SumWasteTreatment(Table_Input_SolidWaste[Treatment type (select)],Table_Input_SolidWaste[Waste type (select)],Table_Input_SolidWaste[Treatment location (select)],Table_Input_SolidWaste[Amount unit (select)],Table_Input_SolidWaste[Amount],D26,E26, "Treated on-site", "tonnes")</f>
        <v>0</v>
      </c>
      <c r="H121" s="15">
        <f t="shared" si="0"/>
        <v>0</v>
      </c>
      <c r="I121" s="15">
        <f t="shared" si="1"/>
        <v>0</v>
      </c>
      <c r="J121" s="15" cm="1">
        <f t="array" ref="J121">Common_InputFunctions.Utility_LookupValueInTableTwoColumns(D121,E121,Table_SourceData_WasteSolid_WasteTreatmentEFs[Treatment type t],Table_SourceData_WasteSolid_WasteTreatmentEFs[Waste type w],Table_SourceData_WasteSolid_WasteTreatmentEFs[EFwt])</f>
        <v>0.4</v>
      </c>
      <c r="K121" s="15">
        <f>(I121 * J121)</f>
        <v>0</v>
      </c>
    </row>
    <row r="122" spans="1:11" ht="20.100000000000001" customHeight="1" x14ac:dyDescent="0.2">
      <c r="D122" s="150" t="str">
        <v>Landfill</v>
      </c>
      <c r="E122" s="147" t="str">
        <v>Rubber and leather</v>
      </c>
      <c r="F122" s="148"/>
      <c r="G122" s="15" cm="1">
        <f t="array" ref="G122">WasteSolid_InputFunctions.WasteSolid_InputFunctions_SumWasteTreatment(Table_Input_SolidWaste[Treatment type (select)],Table_Input_SolidWaste[Waste type (select)],Table_Input_SolidWaste[Treatment location (select)],Table_Input_SolidWaste[Amount unit (select)],Table_Input_SolidWaste[Amount],D27,E27, "Treated on-site", "tonnes")</f>
        <v>0</v>
      </c>
      <c r="H122" s="15">
        <f t="shared" si="0"/>
        <v>0</v>
      </c>
      <c r="I122" s="15">
        <f t="shared" si="1"/>
        <v>0</v>
      </c>
      <c r="J122" s="15" cm="1">
        <f t="array" ref="J122">Common_InputFunctions.Utility_LookupValueInTableTwoColumns(D122,E122,Table_SourceData_WasteSolid_WasteTreatmentEFs[Treatment type t],Table_SourceData_WasteSolid_WasteTreatmentEFs[Waste type w],Table_SourceData_WasteSolid_WasteTreatmentEFs[EFwt])</f>
        <v>3.3</v>
      </c>
      <c r="K122" s="15">
        <f>(I122 * J122)</f>
        <v>0</v>
      </c>
    </row>
    <row r="123" spans="1:11" ht="20.100000000000001" customHeight="1" x14ac:dyDescent="0.2">
      <c r="D123" s="150" t="str">
        <v>Landfill</v>
      </c>
      <c r="E123" s="147" t="str">
        <v>Inert waste (including concrete, metal, plastic or glass)</v>
      </c>
      <c r="F123" s="148"/>
      <c r="G123" s="15" cm="1">
        <f t="array" ref="G123">WasteSolid_InputFunctions.WasteSolid_InputFunctions_SumWasteTreatment(Table_Input_SolidWaste[Treatment type (select)],Table_Input_SolidWaste[Waste type (select)],Table_Input_SolidWaste[Treatment location (select)],Table_Input_SolidWaste[Amount unit (select)],Table_Input_SolidWaste[Amount],D28,E28, "Treated on-site", "tonnes")</f>
        <v>0</v>
      </c>
      <c r="H123" s="15">
        <f t="shared" si="0"/>
        <v>0</v>
      </c>
      <c r="I123" s="15">
        <f t="shared" si="1"/>
        <v>0</v>
      </c>
      <c r="J123" s="15" cm="1">
        <f t="array" ref="J123">Common_InputFunctions.Utility_LookupValueInTableTwoColumns(D123,E123,Table_SourceData_WasteSolid_WasteTreatmentEFs[Treatment type t],Table_SourceData_WasteSolid_WasteTreatmentEFs[Waste type w],Table_SourceData_WasteSolid_WasteTreatmentEFs[EFwt])</f>
        <v>0</v>
      </c>
      <c r="K123" s="15">
        <f>(I123 * J123)</f>
        <v>0</v>
      </c>
    </row>
    <row r="124" spans="1:11" ht="20.100000000000001" customHeight="1" x14ac:dyDescent="0.2">
      <c r="D124" s="150" t="str">
        <v>Landfill</v>
      </c>
      <c r="E124" s="147" t="str">
        <v>Municipal solid waste</v>
      </c>
      <c r="F124" s="148"/>
      <c r="G124" s="15" cm="1">
        <f t="array" ref="G124">WasteSolid_InputFunctions.WasteSolid_InputFunctions_SumWasteTreatment(Table_Input_SolidWaste[Treatment type (select)],Table_Input_SolidWaste[Waste type (select)],Table_Input_SolidWaste[Treatment location (select)],Table_Input_SolidWaste[Amount unit (select)],Table_Input_SolidWaste[Amount],D29,E29, "Treated on-site", "tonnes")</f>
        <v>0</v>
      </c>
      <c r="H124" s="15">
        <f t="shared" si="0"/>
        <v>0</v>
      </c>
      <c r="I124" s="15">
        <f t="shared" si="1"/>
        <v>0</v>
      </c>
      <c r="J124" s="15" cm="1">
        <f t="array" ref="J124">Common_InputFunctions.Utility_LookupValueInTableTwoColumns(D124,E124,Table_SourceData_WasteSolid_WasteTreatmentEFs[Treatment type t],Table_SourceData_WasteSolid_WasteTreatmentEFs[Waste type w],Table_SourceData_WasteSolid_WasteTreatmentEFs[EFwt])</f>
        <v>1.6</v>
      </c>
      <c r="K124" s="15">
        <f>(I124 * J124)</f>
        <v>0</v>
      </c>
    </row>
    <row r="125" spans="1:11" ht="20.100000000000001" customHeight="1" x14ac:dyDescent="0.2">
      <c r="D125" s="150" t="str">
        <v>Landfill</v>
      </c>
      <c r="E125" s="147" t="str">
        <v>Commercial and industrial waste</v>
      </c>
      <c r="F125" s="148"/>
      <c r="G125" s="15" cm="1">
        <f t="array" ref="G125">WasteSolid_InputFunctions.WasteSolid_InputFunctions_SumWasteTreatment(Table_Input_SolidWaste[Treatment type (select)],Table_Input_SolidWaste[Waste type (select)],Table_Input_SolidWaste[Treatment location (select)],Table_Input_SolidWaste[Amount unit (select)],Table_Input_SolidWaste[Amount],D30,E30, "Treated on-site", "tonnes")</f>
        <v>0</v>
      </c>
      <c r="H125" s="15">
        <f t="shared" si="0"/>
        <v>0</v>
      </c>
      <c r="I125" s="15">
        <f t="shared" si="1"/>
        <v>0</v>
      </c>
      <c r="J125" s="15" cm="1">
        <f t="array" ref="J125">Common_InputFunctions.Utility_LookupValueInTableTwoColumns(D125,E125,Table_SourceData_WasteSolid_WasteTreatmentEFs[Treatment type t],Table_SourceData_WasteSolid_WasteTreatmentEFs[Waste type w],Table_SourceData_WasteSolid_WasteTreatmentEFs[EFwt])</f>
        <v>1.3</v>
      </c>
      <c r="K125" s="15">
        <f>(I125 * J125)</f>
        <v>0</v>
      </c>
    </row>
    <row r="126" spans="1:11" ht="20.100000000000001" customHeight="1" x14ac:dyDescent="0.2">
      <c r="D126" s="150" t="str">
        <v>Landfill</v>
      </c>
      <c r="E126" s="147" t="str">
        <v>Construction and demolition waste</v>
      </c>
      <c r="F126" s="148"/>
      <c r="G126" s="15" cm="1">
        <f t="array" ref="G126">WasteSolid_InputFunctions.WasteSolid_InputFunctions_SumWasteTreatment(Table_Input_SolidWaste[Treatment type (select)],Table_Input_SolidWaste[Waste type (select)],Table_Input_SolidWaste[Treatment location (select)],Table_Input_SolidWaste[Amount unit (select)],Table_Input_SolidWaste[Amount],D31,E31, "Treated on-site", "tonnes")</f>
        <v>0</v>
      </c>
      <c r="H126" s="15">
        <f t="shared" si="0"/>
        <v>0</v>
      </c>
      <c r="I126" s="15">
        <f t="shared" si="1"/>
        <v>0</v>
      </c>
      <c r="J126" s="15" cm="1">
        <f t="array" ref="J126">Common_InputFunctions.Utility_LookupValueInTableTwoColumns(D126,E126,Table_SourceData_WasteSolid_WasteTreatmentEFs[Treatment type t],Table_SourceData_WasteSolid_WasteTreatmentEFs[Waste type w],Table_SourceData_WasteSolid_WasteTreatmentEFs[EFwt])</f>
        <v>0.2</v>
      </c>
      <c r="K126" s="15">
        <f>(I126 * J126)</f>
        <v>0</v>
      </c>
    </row>
    <row r="127" spans="1:11" ht="20.100000000000001" customHeight="1" x14ac:dyDescent="0.2">
      <c r="D127" s="150" t="str">
        <v>Incineration</v>
      </c>
      <c r="E127" s="147" t="str">
        <v>Food waste, green waste, wood, sludge</v>
      </c>
      <c r="F127" s="148"/>
      <c r="G127" s="15" t="s">
        <v>396</v>
      </c>
      <c r="H127" s="15" t="str">
        <f t="shared" si="0"/>
        <v>Not used</v>
      </c>
      <c r="I127" s="15">
        <f>SUM(G128:G131)+SUM(H128:H131)+N("Partial sum")</f>
        <v>74</v>
      </c>
      <c r="J127" s="15" cm="1">
        <f t="array" ref="J127">Common_InputFunctions.Utility_LookupValueInTableTwoColumns(D127,E127,Table_SourceData_WasteSolid_WasteTreatmentEFs[Treatment type t],Table_SourceData_WasteSolid_WasteTreatmentEFs[Waste type w],Table_SourceData_WasteSolid_WasteTreatmentEFs[EFwt])</f>
        <v>0</v>
      </c>
      <c r="K127" s="15">
        <f>(I127 * J127)</f>
        <v>0</v>
      </c>
    </row>
    <row r="128" spans="1:11" ht="20.100000000000001" customHeight="1" x14ac:dyDescent="0.2">
      <c r="D128" s="150" t="str">
        <v>Incineration</v>
      </c>
      <c r="E128" s="147" t="str">
        <v>Food waste (including animal carcasses, spoiled animal feed or crop)</v>
      </c>
      <c r="F128" s="148"/>
      <c r="G128" s="15" cm="1">
        <f t="array" ref="G128">WasteSolid_InputFunctions.WasteSolid_InputFunctions_SumWasteTreatment(Table_Input_SolidWaste[Treatment type (select)],Table_Input_SolidWaste[Waste type (select)],Table_Input_SolidWaste[Treatment location (select)],Table_Input_SolidWaste[Amount unit (select)],Table_Input_SolidWaste[Amount],D33,E33, "Treated on-site", "tonnes")</f>
        <v>0</v>
      </c>
      <c r="H128" s="15">
        <f t="shared" si="0"/>
        <v>0</v>
      </c>
      <c r="I128" s="15" t="s">
        <v>693</v>
      </c>
      <c r="J128" s="15" t="s">
        <v>396</v>
      </c>
      <c r="K128" s="15" t="s">
        <v>396</v>
      </c>
    </row>
    <row r="129" spans="4:11" ht="20.100000000000001" customHeight="1" x14ac:dyDescent="0.2">
      <c r="D129" s="150" t="str">
        <v>Incineration</v>
      </c>
      <c r="E129" s="147" t="str">
        <v>Green waste (including crop residues or prunings)</v>
      </c>
      <c r="F129" s="148"/>
      <c r="G129" s="15" cm="1">
        <f t="array" ref="G129">WasteSolid_InputFunctions.WasteSolid_InputFunctions_SumWasteTreatment(Table_Input_SolidWaste[Treatment type (select)],Table_Input_SolidWaste[Waste type (select)],Table_Input_SolidWaste[Treatment location (select)],Table_Input_SolidWaste[Amount unit (select)],Table_Input_SolidWaste[Amount],D34,E34, "Treated on-site", "tonnes")</f>
        <v>50</v>
      </c>
      <c r="H129" s="15">
        <f t="shared" si="0"/>
        <v>24</v>
      </c>
      <c r="I129" s="15" t="s">
        <v>693</v>
      </c>
      <c r="J129" s="15" t="s">
        <v>396</v>
      </c>
      <c r="K129" s="15" t="s">
        <v>396</v>
      </c>
    </row>
    <row r="130" spans="4:11" ht="20.100000000000001" customHeight="1" x14ac:dyDescent="0.2">
      <c r="D130" s="150" t="str">
        <v>Incineration</v>
      </c>
      <c r="E130" s="147" t="str">
        <v>Wood</v>
      </c>
      <c r="F130" s="148"/>
      <c r="G130" s="15" cm="1">
        <f t="array" ref="G130">WasteSolid_InputFunctions.WasteSolid_InputFunctions_SumWasteTreatment(Table_Input_SolidWaste[Treatment type (select)],Table_Input_SolidWaste[Waste type (select)],Table_Input_SolidWaste[Treatment location (select)],Table_Input_SolidWaste[Amount unit (select)],Table_Input_SolidWaste[Amount],D35,E35, "Treated on-site", "tonnes")</f>
        <v>0</v>
      </c>
      <c r="H130" s="15">
        <f t="shared" si="0"/>
        <v>0</v>
      </c>
      <c r="I130" s="15" t="s">
        <v>693</v>
      </c>
      <c r="J130" s="15" t="s">
        <v>396</v>
      </c>
      <c r="K130" s="15" t="s">
        <v>396</v>
      </c>
    </row>
    <row r="131" spans="4:11" ht="20.100000000000001" customHeight="1" x14ac:dyDescent="0.2">
      <c r="D131" s="150" t="str">
        <v>Incineration</v>
      </c>
      <c r="E131" s="147" t="str">
        <v>Sludge</v>
      </c>
      <c r="F131" s="148"/>
      <c r="G131" s="15" cm="1">
        <f t="array" ref="G131">WasteSolid_InputFunctions.WasteSolid_InputFunctions_SumWasteTreatment(Table_Input_SolidWaste[Treatment type (select)],Table_Input_SolidWaste[Waste type (select)],Table_Input_SolidWaste[Treatment location (select)],Table_Input_SolidWaste[Amount unit (select)],Table_Input_SolidWaste[Amount],D36,E36, "Treated on-site", "tonnes")</f>
        <v>0</v>
      </c>
      <c r="H131" s="15">
        <f t="shared" si="0"/>
        <v>0</v>
      </c>
      <c r="I131" s="15" t="s">
        <v>693</v>
      </c>
      <c r="J131" s="15" t="s">
        <v>396</v>
      </c>
      <c r="K131" s="15" t="s">
        <v>396</v>
      </c>
    </row>
    <row r="132" spans="4:11" ht="20.100000000000001" customHeight="1" x14ac:dyDescent="0.2">
      <c r="D132" s="150" t="str">
        <v>Incineration</v>
      </c>
      <c r="E132" s="147" t="str">
        <v>Paper and cardboard</v>
      </c>
      <c r="F132" s="148"/>
      <c r="G132" s="15" cm="1">
        <f t="array" ref="G132">WasteSolid_InputFunctions.WasteSolid_InputFunctions_SumWasteTreatment(Table_Input_SolidWaste[Treatment type (select)],Table_Input_SolidWaste[Waste type (select)],Table_Input_SolidWaste[Treatment location (select)],Table_Input_SolidWaste[Amount unit (select)],Table_Input_SolidWaste[Amount],D37,E37, "Treated on-site", "tonnes")</f>
        <v>50</v>
      </c>
      <c r="H132" s="15">
        <f t="shared" si="0"/>
        <v>4.5</v>
      </c>
      <c r="I132" s="15">
        <f>G132+H132+N("Partial sum")</f>
        <v>54.5</v>
      </c>
      <c r="J132" s="15" cm="1">
        <f t="array" ref="J132">Common_InputFunctions.Utility_LookupValueInTableTwoColumns(D132,E132,Table_SourceData_WasteSolid_WasteTreatmentEFs[Treatment type t],Table_SourceData_WasteSolid_WasteTreatmentEFs[Waste type w],Table_SourceData_WasteSolid_WasteTreatmentEFs[EFwt])</f>
        <v>1.6899999999999998E-2</v>
      </c>
      <c r="K132" s="15">
        <f>(I132 * J132)</f>
        <v>0.92104999999999992</v>
      </c>
    </row>
    <row r="133" spans="4:11" ht="20.100000000000001" customHeight="1" x14ac:dyDescent="0.2">
      <c r="D133" s="150" t="str">
        <v>Incineration</v>
      </c>
      <c r="E133" s="147" t="str">
        <v>Textiles</v>
      </c>
      <c r="F133" s="148"/>
      <c r="G133" s="15" cm="1">
        <f t="array" ref="G133">WasteSolid_InputFunctions.WasteSolid_InputFunctions_SumWasteTreatment(Table_Input_SolidWaste[Treatment type (select)],Table_Input_SolidWaste[Waste type (select)],Table_Input_SolidWaste[Treatment location (select)],Table_Input_SolidWaste[Amount unit (select)],Table_Input_SolidWaste[Amount],D38,E38, "Treated on-site", "tonnes")</f>
        <v>0</v>
      </c>
      <c r="H133" s="15">
        <f t="shared" si="0"/>
        <v>0</v>
      </c>
      <c r="I133" s="15">
        <f t="shared" ref="I133:I137" si="2">G133+H133</f>
        <v>0</v>
      </c>
      <c r="J133" s="15" cm="1">
        <f t="array" ref="J133">Common_InputFunctions.Utility_LookupValueInTableTwoColumns(D133,E133,Table_SourceData_WasteSolid_WasteTreatmentEFs[Treatment type t],Table_SourceData_WasteSolid_WasteTreatmentEFs[Waste type w],Table_SourceData_WasteSolid_WasteTreatmentEFs[EFwt])</f>
        <v>0.36670000000000003</v>
      </c>
      <c r="K133" s="15">
        <f>(I133 * J133)</f>
        <v>0</v>
      </c>
    </row>
    <row r="134" spans="4:11" ht="20.100000000000001" customHeight="1" x14ac:dyDescent="0.2">
      <c r="D134" s="150" t="str">
        <v>Incineration</v>
      </c>
      <c r="E134" s="147" t="str">
        <v>Rubber and leather</v>
      </c>
      <c r="F134" s="148"/>
      <c r="G134" s="15" cm="1">
        <f t="array" ref="G134">WasteSolid_InputFunctions.WasteSolid_InputFunctions_SumWasteTreatment(Table_Input_SolidWaste[Treatment type (select)],Table_Input_SolidWaste[Waste type (select)],Table_Input_SolidWaste[Treatment location (select)],Table_Input_SolidWaste[Amount unit (select)],Table_Input_SolidWaste[Amount],D39,E39, "Treated on-site", "tonnes")</f>
        <v>0</v>
      </c>
      <c r="H134" s="15">
        <f t="shared" si="0"/>
        <v>0</v>
      </c>
      <c r="I134" s="15">
        <f t="shared" si="2"/>
        <v>0</v>
      </c>
      <c r="J134" s="15" cm="1">
        <f t="array" ref="J134">Common_InputFunctions.Utility_LookupValueInTableTwoColumns(D134,E134,Table_SourceData_WasteSolid_WasteTreatmentEFs[Treatment type t],Table_SourceData_WasteSolid_WasteTreatmentEFs[Waste type w],Table_SourceData_WasteSolid_WasteTreatmentEFs[EFwt])</f>
        <v>0.4919</v>
      </c>
      <c r="K134" s="15">
        <f>(I134 * J134)</f>
        <v>0</v>
      </c>
    </row>
    <row r="135" spans="4:11" ht="20.100000000000001" customHeight="1" x14ac:dyDescent="0.2">
      <c r="D135" s="150" t="str">
        <v>Incineration</v>
      </c>
      <c r="E135" s="147" t="str">
        <v>Inert waste (including concrete, metal, plastic or glass)</v>
      </c>
      <c r="F135" s="148"/>
      <c r="G135" s="15" cm="1">
        <f t="array" ref="G135">WasteSolid_InputFunctions.WasteSolid_InputFunctions_SumWasteTreatment(Table_Input_SolidWaste[Treatment type (select)],Table_Input_SolidWaste[Waste type (select)],Table_Input_SolidWaste[Treatment location (select)],Table_Input_SolidWaste[Amount unit (select)],Table_Input_SolidWaste[Amount],D40,E40, "Treated on-site", "tonnes")</f>
        <v>0</v>
      </c>
      <c r="H135" s="15">
        <f t="shared" si="0"/>
        <v>0</v>
      </c>
      <c r="I135" s="15">
        <f t="shared" si="2"/>
        <v>0</v>
      </c>
      <c r="J135" s="15" cm="1">
        <f t="array" ref="J135">Common_InputFunctions.Utility_LookupValueInTableTwoColumns(D135,E135,Table_SourceData_WasteSolid_WasteTreatmentEFs[Treatment type t],Table_SourceData_WasteSolid_WasteTreatmentEFs[Waste type w],Table_SourceData_WasteSolid_WasteTreatmentEFs[EFwt])</f>
        <v>0.11</v>
      </c>
      <c r="K135" s="15">
        <f>(I135 * J135)</f>
        <v>0</v>
      </c>
    </row>
    <row r="136" spans="4:11" ht="20.100000000000001" customHeight="1" x14ac:dyDescent="0.2">
      <c r="D136" s="150" t="str">
        <v>Incineration</v>
      </c>
      <c r="E136" s="147" t="str">
        <v>Municipal solid waste</v>
      </c>
      <c r="F136" s="159"/>
      <c r="G136" s="15" cm="1">
        <f t="array" ref="G136">WasteSolid_InputFunctions.WasteSolid_InputFunctions_SumWasteTreatment(Table_Input_SolidWaste[Treatment type (select)],Table_Input_SolidWaste[Waste type (select)],Table_Input_SolidWaste[Treatment location (select)],Table_Input_SolidWaste[Amount unit (select)],Table_Input_SolidWaste[Amount],D41,E41, "Treated on-site", "tonnes")</f>
        <v>0</v>
      </c>
      <c r="H136" s="15">
        <f t="shared" si="0"/>
        <v>0</v>
      </c>
      <c r="I136" s="15">
        <f t="shared" si="2"/>
        <v>0</v>
      </c>
      <c r="J136" s="15" cm="1">
        <f t="array" ref="J136">Common_InputFunctions.Utility_LookupValueInTableTwoColumns(D136,E136,Table_SourceData_WasteSolid_WasteTreatmentEFs[Treatment type t],Table_SourceData_WasteSolid_WasteTreatmentEFs[Waste type w],Table_SourceData_WasteSolid_WasteTreatmentEFs[EFwt])</f>
        <v>5.3699999999999998E-2</v>
      </c>
      <c r="K136" s="15">
        <f>(I136 * J136)</f>
        <v>0</v>
      </c>
    </row>
    <row r="137" spans="4:11" ht="20.100000000000001" customHeight="1" x14ac:dyDescent="0.2">
      <c r="D137" s="150" t="str">
        <v>Incineration</v>
      </c>
      <c r="E137" s="147" t="str">
        <v>Commercial and industrial waste</v>
      </c>
      <c r="F137" s="159"/>
      <c r="G137" s="15" cm="1">
        <f t="array" ref="G137">WasteSolid_InputFunctions.WasteSolid_InputFunctions_SumWasteTreatment(Table_Input_SolidWaste[Treatment type (select)],Table_Input_SolidWaste[Waste type (select)],Table_Input_SolidWaste[Treatment location (select)],Table_Input_SolidWaste[Amount unit (select)],Table_Input_SolidWaste[Amount],D42,E42, "Treated on-site", "tonnes")</f>
        <v>0</v>
      </c>
      <c r="H137" s="15">
        <f t="shared" si="0"/>
        <v>0</v>
      </c>
      <c r="I137" s="15">
        <f t="shared" si="2"/>
        <v>0</v>
      </c>
      <c r="J137" s="15" cm="1">
        <f t="array" ref="J137">Common_InputFunctions.Utility_LookupValueInTableTwoColumns(D137,E137,Table_SourceData_WasteSolid_WasteTreatmentEFs[Treatment type t],Table_SourceData_WasteSolid_WasteTreatmentEFs[Waste type w],Table_SourceData_WasteSolid_WasteTreatmentEFs[EFwt])</f>
        <v>1.649</v>
      </c>
      <c r="K137" s="15">
        <f>(I137 * J137)</f>
        <v>0</v>
      </c>
    </row>
    <row r="138" spans="4:11" ht="20.100000000000001" customHeight="1" x14ac:dyDescent="0.2">
      <c r="D138" s="150" t="str">
        <v>Composting</v>
      </c>
      <c r="E138" s="147" t="str">
        <v>All organic waste</v>
      </c>
      <c r="F138" s="159"/>
      <c r="G138" s="15" t="s">
        <v>396</v>
      </c>
      <c r="H138" s="15" t="str">
        <f t="shared" si="0"/>
        <v>Not used</v>
      </c>
      <c r="I138" s="15">
        <f>SUM(G139:G143)+SUM(H139:H143)+N("Partial sum")</f>
        <v>29.5</v>
      </c>
      <c r="J138" s="15" cm="1">
        <f t="array" ref="J138">Common_InputFunctions.Utility_LookupValueInTableTwoColumns(D138,E138,Table_SourceData_WasteSolid_WasteTreatmentEFs[Treatment type t],Table_SourceData_WasteSolid_WasteTreatmentEFs[Waste type w],Table_SourceData_WasteSolid_WasteTreatmentEFs[EFwt])</f>
        <v>4.5999999999999999E-2</v>
      </c>
      <c r="K138" s="15">
        <f>(I138 * J138)</f>
        <v>1.357</v>
      </c>
    </row>
    <row r="139" spans="4:11" ht="20.100000000000001" customHeight="1" x14ac:dyDescent="0.2">
      <c r="D139" s="150" t="str">
        <v>Composting</v>
      </c>
      <c r="E139" s="147" t="str">
        <v>Food waste (including animal carcasses, spoiled animal feed or crop)</v>
      </c>
      <c r="F139" s="159"/>
      <c r="G139" s="15" cm="1">
        <f t="array" ref="G139">WasteSolid_InputFunctions.WasteSolid_InputFunctions_SumWasteTreatment(Table_Input_SolidWaste[Treatment type (select)],Table_Input_SolidWaste[Waste type (select)],Table_Input_SolidWaste[Treatment location (select)],Table_Input_SolidWaste[Amount unit (select)],Table_Input_SolidWaste[Amount],D44,E44, "Treated on-site", "tonnes")</f>
        <v>0</v>
      </c>
      <c r="H139" s="15">
        <f t="shared" si="0"/>
        <v>25</v>
      </c>
      <c r="I139" s="15" t="s">
        <v>693</v>
      </c>
      <c r="J139" s="15" t="s">
        <v>396</v>
      </c>
      <c r="K139" s="15" t="s">
        <v>396</v>
      </c>
    </row>
    <row r="140" spans="4:11" ht="20.100000000000001" customHeight="1" x14ac:dyDescent="0.2">
      <c r="D140" s="150" t="str">
        <v>Composting</v>
      </c>
      <c r="E140" s="147" t="str">
        <v>Green waste (including crop residues or prunings)</v>
      </c>
      <c r="F140" s="159"/>
      <c r="G140" s="15" cm="1">
        <f t="array" ref="G140">WasteSolid_InputFunctions.WasteSolid_InputFunctions_SumWasteTreatment(Table_Input_SolidWaste[Treatment type (select)],Table_Input_SolidWaste[Waste type (select)],Table_Input_SolidWaste[Treatment location (select)],Table_Input_SolidWaste[Amount unit (select)],Table_Input_SolidWaste[Amount],D45,E45, "Treated on-site", "tonnes")</f>
        <v>0</v>
      </c>
      <c r="H140" s="15">
        <f t="shared" si="0"/>
        <v>0</v>
      </c>
      <c r="I140" s="15" t="s">
        <v>693</v>
      </c>
      <c r="J140" s="15" t="s">
        <v>396</v>
      </c>
      <c r="K140" s="15" t="s">
        <v>396</v>
      </c>
    </row>
    <row r="141" spans="4:11" ht="20.100000000000001" customHeight="1" x14ac:dyDescent="0.2">
      <c r="D141" s="150" t="str">
        <v>Composting</v>
      </c>
      <c r="E141" s="147" t="str">
        <v>Wood</v>
      </c>
      <c r="F141" s="159"/>
      <c r="G141" s="15" cm="1">
        <f t="array" ref="G141">WasteSolid_InputFunctions.WasteSolid_InputFunctions_SumWasteTreatment(Table_Input_SolidWaste[Treatment type (select)],Table_Input_SolidWaste[Waste type (select)],Table_Input_SolidWaste[Treatment location (select)],Table_Input_SolidWaste[Amount unit (select)],Table_Input_SolidWaste[Amount],D46,E46, "Treated on-site", "tonnes")</f>
        <v>0</v>
      </c>
      <c r="H141" s="15">
        <f t="shared" si="0"/>
        <v>0</v>
      </c>
      <c r="I141" s="15" t="s">
        <v>693</v>
      </c>
      <c r="J141" s="15" t="s">
        <v>396</v>
      </c>
      <c r="K141" s="15" t="s">
        <v>396</v>
      </c>
    </row>
    <row r="142" spans="4:11" ht="20.100000000000001" customHeight="1" x14ac:dyDescent="0.2">
      <c r="D142" s="150" t="str">
        <v>Composting</v>
      </c>
      <c r="E142" s="147" t="str">
        <v>Sludge</v>
      </c>
      <c r="F142" s="159"/>
      <c r="G142" s="15" cm="1">
        <f t="array" ref="G142">WasteSolid_InputFunctions.WasteSolid_InputFunctions_SumWasteTreatment(Table_Input_SolidWaste[Treatment type (select)],Table_Input_SolidWaste[Waste type (select)],Table_Input_SolidWaste[Treatment location (select)],Table_Input_SolidWaste[Amount unit (select)],Table_Input_SolidWaste[Amount],D47,E47, "Treated on-site", "tonnes")</f>
        <v>0</v>
      </c>
      <c r="H142" s="15">
        <f t="shared" si="0"/>
        <v>0</v>
      </c>
      <c r="I142" s="15" t="s">
        <v>693</v>
      </c>
      <c r="J142" s="15" t="s">
        <v>396</v>
      </c>
      <c r="K142" s="15" t="s">
        <v>396</v>
      </c>
    </row>
    <row r="143" spans="4:11" ht="20.100000000000001" customHeight="1" x14ac:dyDescent="0.2">
      <c r="D143" s="150" t="str">
        <v>Composting</v>
      </c>
      <c r="E143" s="147" t="str">
        <v>Paper and cardboard</v>
      </c>
      <c r="F143" s="159"/>
      <c r="G143" s="15" cm="1">
        <f t="array" ref="G143">WasteSolid_InputFunctions.WasteSolid_InputFunctions_SumWasteTreatment(Table_Input_SolidWaste[Treatment type (select)],Table_Input_SolidWaste[Waste type (select)],Table_Input_SolidWaste[Treatment location (select)],Table_Input_SolidWaste[Amount unit (select)],Table_Input_SolidWaste[Amount],D48,E48, "Treated on-site", "tonnes")</f>
        <v>0</v>
      </c>
      <c r="H143" s="15">
        <f t="shared" si="0"/>
        <v>4.5</v>
      </c>
      <c r="I143" s="15" t="s">
        <v>693</v>
      </c>
      <c r="J143" s="15" t="s">
        <v>396</v>
      </c>
      <c r="K143" s="15" t="s">
        <v>396</v>
      </c>
    </row>
    <row r="144" spans="4:11" ht="20.100000000000001" customHeight="1" x14ac:dyDescent="0.2">
      <c r="D144" s="150" t="str">
        <v>Anaerobic digestion</v>
      </c>
      <c r="E144" s="147" t="str">
        <v>All organic waste</v>
      </c>
      <c r="F144" s="159"/>
      <c r="G144" s="15" t="s">
        <v>396</v>
      </c>
      <c r="H144" s="15" t="str">
        <f t="shared" si="0"/>
        <v>Not used</v>
      </c>
      <c r="I144" s="15">
        <f>SUM(G145:G149)+SUM(H145:H149)+N("Partial sum")</f>
        <v>0</v>
      </c>
      <c r="J144" s="15" cm="1">
        <f t="array" ref="J144">Common_InputFunctions.Utility_LookupValueInTableTwoColumns(D144,E144,Table_SourceData_WasteSolid_WasteTreatmentEFs[Treatment type t],Table_SourceData_WasteSolid_WasteTreatmentEFs[Waste type w],Table_SourceData_WasteSolid_WasteTreatmentEFs[EFwt])</f>
        <v>2.8000000000000001E-2</v>
      </c>
      <c r="K144" s="15">
        <f>(I144 * J144)</f>
        <v>0</v>
      </c>
    </row>
    <row r="145" spans="1:11" ht="20.100000000000001" customHeight="1" x14ac:dyDescent="0.2">
      <c r="D145" s="150" t="str">
        <v>Anaerobic digestion</v>
      </c>
      <c r="E145" s="147" t="str">
        <v>Food waste (including animal carcasses, spoiled animal feed or crop)</v>
      </c>
      <c r="F145" s="159"/>
      <c r="G145" s="15" cm="1">
        <f t="array" ref="G145">WasteSolid_InputFunctions.WasteSolid_InputFunctions_SumWasteTreatment(Table_Input_SolidWaste[Treatment type (select)],Table_Input_SolidWaste[Waste type (select)],Table_Input_SolidWaste[Treatment location (select)],Table_Input_SolidWaste[Amount unit (select)],Table_Input_SolidWaste[Amount],D50,E50, "Treated on-site", "tonnes")</f>
        <v>0</v>
      </c>
      <c r="H145" s="15">
        <f t="shared" si="0"/>
        <v>0</v>
      </c>
      <c r="I145" s="15" t="s">
        <v>693</v>
      </c>
      <c r="J145" s="15" t="s">
        <v>396</v>
      </c>
      <c r="K145" s="15" t="s">
        <v>396</v>
      </c>
    </row>
    <row r="146" spans="1:11" ht="20.100000000000001" customHeight="1" x14ac:dyDescent="0.2">
      <c r="D146" s="150" t="str">
        <v>Anaerobic digestion</v>
      </c>
      <c r="E146" s="147" t="str">
        <v>Green waste (including crop residues or prunings)</v>
      </c>
      <c r="F146" s="159"/>
      <c r="G146" s="15" cm="1">
        <f t="array" ref="G146">WasteSolid_InputFunctions.WasteSolid_InputFunctions_SumWasteTreatment(Table_Input_SolidWaste[Treatment type (select)],Table_Input_SolidWaste[Waste type (select)],Table_Input_SolidWaste[Treatment location (select)],Table_Input_SolidWaste[Amount unit (select)],Table_Input_SolidWaste[Amount],D51,E51, "Treated on-site", "tonnes")</f>
        <v>0</v>
      </c>
      <c r="H146" s="15">
        <f t="shared" si="0"/>
        <v>0</v>
      </c>
      <c r="I146" s="15" t="s">
        <v>693</v>
      </c>
      <c r="J146" s="15" t="s">
        <v>396</v>
      </c>
      <c r="K146" s="15" t="s">
        <v>396</v>
      </c>
    </row>
    <row r="147" spans="1:11" ht="20.100000000000001" customHeight="1" x14ac:dyDescent="0.2">
      <c r="D147" s="150" t="str">
        <v>Anaerobic digestion</v>
      </c>
      <c r="E147" s="147" t="str">
        <v>Wood</v>
      </c>
      <c r="F147" s="159"/>
      <c r="G147" s="15" cm="1">
        <f t="array" ref="G147">WasteSolid_InputFunctions.WasteSolid_InputFunctions_SumWasteTreatment(Table_Input_SolidWaste[Treatment type (select)],Table_Input_SolidWaste[Waste type (select)],Table_Input_SolidWaste[Treatment location (select)],Table_Input_SolidWaste[Amount unit (select)],Table_Input_SolidWaste[Amount],D52,E52, "Treated on-site", "tonnes")</f>
        <v>0</v>
      </c>
      <c r="H147" s="15">
        <f t="shared" si="0"/>
        <v>0</v>
      </c>
      <c r="I147" s="15" t="s">
        <v>693</v>
      </c>
      <c r="J147" s="15" t="s">
        <v>396</v>
      </c>
      <c r="K147" s="15" t="s">
        <v>396</v>
      </c>
    </row>
    <row r="148" spans="1:11" ht="20.100000000000001" customHeight="1" x14ac:dyDescent="0.2">
      <c r="D148" s="150" t="str">
        <v>Anaerobic digestion</v>
      </c>
      <c r="E148" s="147" t="str">
        <v>Sludge</v>
      </c>
      <c r="F148" s="159"/>
      <c r="G148" s="15" cm="1">
        <f t="array" ref="G148">WasteSolid_InputFunctions.WasteSolid_InputFunctions_SumWasteTreatment(Table_Input_SolidWaste[Treatment type (select)],Table_Input_SolidWaste[Waste type (select)],Table_Input_SolidWaste[Treatment location (select)],Table_Input_SolidWaste[Amount unit (select)],Table_Input_SolidWaste[Amount],D53,E53, "Treated on-site", "tonnes")</f>
        <v>0</v>
      </c>
      <c r="H148" s="15">
        <f t="shared" si="0"/>
        <v>0</v>
      </c>
      <c r="I148" s="15" t="s">
        <v>693</v>
      </c>
      <c r="J148" s="15" t="s">
        <v>396</v>
      </c>
      <c r="K148" s="15" t="s">
        <v>396</v>
      </c>
    </row>
    <row r="149" spans="1:11" ht="20.100000000000001" customHeight="1" x14ac:dyDescent="0.2">
      <c r="A149" s="81" t="str">
        <f>HYPERLINK("#A1", "▲ Back to top")</f>
        <v>▲ Back to top</v>
      </c>
      <c r="D149" s="150" t="str">
        <v>Anaerobic digestion</v>
      </c>
      <c r="E149" s="147" t="str">
        <v>Paper and cardboard</v>
      </c>
      <c r="F149" s="159"/>
      <c r="G149" s="15" cm="1">
        <f t="array" ref="G149">WasteSolid_InputFunctions.WasteSolid_InputFunctions_SumWasteTreatment(Table_Input_SolidWaste[Treatment type (select)],Table_Input_SolidWaste[Waste type (select)],Table_Input_SolidWaste[Treatment location (select)],Table_Input_SolidWaste[Amount unit (select)],Table_Input_SolidWaste[Amount],D54,E54, "Treated on-site", "tonnes")</f>
        <v>0</v>
      </c>
      <c r="H149" s="15">
        <f t="shared" si="0"/>
        <v>0</v>
      </c>
      <c r="I149" s="15" t="s">
        <v>693</v>
      </c>
      <c r="J149" s="15" t="s">
        <v>396</v>
      </c>
      <c r="K149" s="15" t="s">
        <v>396</v>
      </c>
    </row>
    <row r="151" spans="1:11" ht="20.100000000000001" customHeight="1" x14ac:dyDescent="0.2">
      <c r="D151" s="87" t="s">
        <v>694</v>
      </c>
      <c r="E151" s="88">
        <f>SUM(K116:K149)</f>
        <v>438.82805000000002</v>
      </c>
      <c r="F151" s="97" t="str">
        <f>$E$103</f>
        <v>t CO2e</v>
      </c>
    </row>
    <row r="154" spans="1:11" ht="20.100000000000001" customHeight="1" x14ac:dyDescent="0.2">
      <c r="D154" s="135" t="s">
        <v>695</v>
      </c>
    </row>
    <row r="155" spans="1:11" ht="20.100000000000001" customHeight="1" x14ac:dyDescent="0.2">
      <c r="D155" s="136" t="s">
        <v>696</v>
      </c>
    </row>
    <row r="156" spans="1:11" ht="20.100000000000001" customHeight="1" x14ac:dyDescent="0.2">
      <c r="D156" s="80" t="s">
        <v>680</v>
      </c>
      <c r="E156" s="80" t="s">
        <v>681</v>
      </c>
      <c r="F156" s="80"/>
      <c r="G156" s="80" t="s">
        <v>689</v>
      </c>
      <c r="H156" s="138" t="s">
        <v>690</v>
      </c>
      <c r="I156" s="138" t="s">
        <v>684</v>
      </c>
      <c r="J156" s="138" t="s">
        <v>691</v>
      </c>
      <c r="K156" s="138" t="s">
        <v>692</v>
      </c>
    </row>
    <row r="157" spans="1:11" ht="20.100000000000001" customHeight="1" x14ac:dyDescent="0.2">
      <c r="D157" s="150" t="str" cm="1">
        <f t="array" ref="D157:D190">Table_SourceData_WasteSolid_WasteTreatmentEFs[Treatment type t]</f>
        <v>Landfill</v>
      </c>
      <c r="E157" s="147" t="str" cm="1">
        <f t="array" ref="E157:E190">Table_SourceData_WasteSolid_WasteTreatmentEFs[Waste type w]</f>
        <v>Food waste (including animal carcasses, spoiled animal feed or crop)</v>
      </c>
      <c r="F157" s="148"/>
      <c r="G157" s="15" cm="1">
        <f t="array" ref="G157">WasteSolid_InputFunctions.WasteSolid_InputFunctions_SumWasteTreatment(Table_Input_SolidWaste[Treatment type (select)],Table_Input_SolidWaste[Waste type (select)],Table_Input_SolidWaste[Treatment location (select)],Table_Input_SolidWaste[Amount unit (select)],Table_Input_SolidWaste[Amount],D21,E21, "Removed and treated off-site", "tonnes")</f>
        <v>50</v>
      </c>
      <c r="H157" s="15">
        <f t="shared" ref="H157:H190" si="3">I59</f>
        <v>25</v>
      </c>
      <c r="I157" s="15">
        <f>G157+H157</f>
        <v>75</v>
      </c>
      <c r="J157" s="15" cm="1">
        <f t="array" ref="J157">Common_InputFunctions.Utility_LookupValueInTableTwoColumns(D157,E157,Table_SourceData_WasteSolid_WasteTreatmentEFs[Treatment type t],Table_SourceData_WasteSolid_WasteTreatmentEFs[Waste type w],Table_SourceData_WasteSolid_WasteTreatmentEFs[EFwt])</f>
        <v>2.1</v>
      </c>
      <c r="K157" s="15">
        <f>(I157 * J157)</f>
        <v>157.5</v>
      </c>
    </row>
    <row r="158" spans="1:11" ht="20.100000000000001" customHeight="1" x14ac:dyDescent="0.2">
      <c r="D158" s="150" t="str">
        <v>Landfill</v>
      </c>
      <c r="E158" s="147" t="str">
        <v>Paper and cardboard</v>
      </c>
      <c r="F158" s="148"/>
      <c r="G158" s="15" cm="1">
        <f t="array" ref="G158">WasteSolid_InputFunctions.WasteSolid_InputFunctions_SumWasteTreatment(Table_Input_SolidWaste[Treatment type (select)],Table_Input_SolidWaste[Waste type (select)],Table_Input_SolidWaste[Treatment location (select)],Table_Input_SolidWaste[Amount unit (select)],Table_Input_SolidWaste[Amount],D22,E22, "Removed and treated off-site", "tonnes")</f>
        <v>50</v>
      </c>
      <c r="H158" s="15">
        <f t="shared" si="3"/>
        <v>4.5</v>
      </c>
      <c r="I158" s="15">
        <f t="shared" ref="I158:I167" si="4">G158+H158</f>
        <v>54.5</v>
      </c>
      <c r="J158" s="15" cm="1">
        <f t="array" ref="J158">Common_InputFunctions.Utility_LookupValueInTableTwoColumns(D158,E158,Table_SourceData_WasteSolid_WasteTreatmentEFs[Treatment type t],Table_SourceData_WasteSolid_WasteTreatmentEFs[Waste type w],Table_SourceData_WasteSolid_WasteTreatmentEFs[EFwt])</f>
        <v>3.3</v>
      </c>
      <c r="K158" s="15">
        <f>(I158 * J158)</f>
        <v>179.85</v>
      </c>
    </row>
    <row r="159" spans="1:11" ht="20.100000000000001" customHeight="1" x14ac:dyDescent="0.2">
      <c r="D159" s="150" t="str">
        <v>Landfill</v>
      </c>
      <c r="E159" s="147" t="str">
        <v>Green waste (including crop residues or prunings)</v>
      </c>
      <c r="F159" s="148"/>
      <c r="G159" s="15" cm="1">
        <f t="array" ref="G159">WasteSolid_InputFunctions.WasteSolid_InputFunctions_SumWasteTreatment(Table_Input_SolidWaste[Treatment type (select)],Table_Input_SolidWaste[Waste type (select)],Table_Input_SolidWaste[Treatment location (select)],Table_Input_SolidWaste[Amount unit (select)],Table_Input_SolidWaste[Amount],D23,E23, "Removed and treated off-site", "tonnes")</f>
        <v>50</v>
      </c>
      <c r="H159" s="15">
        <f t="shared" si="3"/>
        <v>12</v>
      </c>
      <c r="I159" s="15">
        <f t="shared" si="4"/>
        <v>62</v>
      </c>
      <c r="J159" s="15" cm="1">
        <f t="array" ref="J159">Common_InputFunctions.Utility_LookupValueInTableTwoColumns(D159,E159,Table_SourceData_WasteSolid_WasteTreatmentEFs[Treatment type t],Table_SourceData_WasteSolid_WasteTreatmentEFs[Waste type w],Table_SourceData_WasteSolid_WasteTreatmentEFs[EFwt])</f>
        <v>1.6</v>
      </c>
      <c r="K159" s="15">
        <f>(I159 * J159)</f>
        <v>99.2</v>
      </c>
    </row>
    <row r="160" spans="1:11" ht="20.100000000000001" customHeight="1" x14ac:dyDescent="0.2">
      <c r="D160" s="150" t="str">
        <v>Landfill</v>
      </c>
      <c r="E160" s="147" t="str">
        <v>Wood</v>
      </c>
      <c r="F160" s="148"/>
      <c r="G160" s="15" cm="1">
        <f t="array" ref="G160">WasteSolid_InputFunctions.WasteSolid_InputFunctions_SumWasteTreatment(Table_Input_SolidWaste[Treatment type (select)],Table_Input_SolidWaste[Waste type (select)],Table_Input_SolidWaste[Treatment location (select)],Table_Input_SolidWaste[Amount unit (select)],Table_Input_SolidWaste[Amount],D24,E24, "Removed and treated off-site", "tonnes")</f>
        <v>0</v>
      </c>
      <c r="H160" s="15">
        <f t="shared" si="3"/>
        <v>0</v>
      </c>
      <c r="I160" s="15">
        <f t="shared" si="4"/>
        <v>0</v>
      </c>
      <c r="J160" s="15" cm="1">
        <f t="array" ref="J160">Common_InputFunctions.Utility_LookupValueInTableTwoColumns(D160,E160,Table_SourceData_WasteSolid_WasteTreatmentEFs[Treatment type t],Table_SourceData_WasteSolid_WasteTreatmentEFs[Waste type w],Table_SourceData_WasteSolid_WasteTreatmentEFs[EFwt])</f>
        <v>0.7</v>
      </c>
      <c r="K160" s="15">
        <f>(I160 * J160)</f>
        <v>0</v>
      </c>
    </row>
    <row r="161" spans="4:11" ht="20.100000000000001" customHeight="1" x14ac:dyDescent="0.2">
      <c r="D161" s="150" t="str">
        <v>Landfill</v>
      </c>
      <c r="E161" s="147" t="str">
        <v>Textiles</v>
      </c>
      <c r="F161" s="148"/>
      <c r="G161" s="15" cm="1">
        <f t="array" ref="G161">WasteSolid_InputFunctions.WasteSolid_InputFunctions_SumWasteTreatment(Table_Input_SolidWaste[Treatment type (select)],Table_Input_SolidWaste[Waste type (select)],Table_Input_SolidWaste[Treatment location (select)],Table_Input_SolidWaste[Amount unit (select)],Table_Input_SolidWaste[Amount],D25,E25, "Removed and treated off-site", "tonnes")</f>
        <v>0</v>
      </c>
      <c r="H161" s="15">
        <f t="shared" si="3"/>
        <v>0</v>
      </c>
      <c r="I161" s="15">
        <f t="shared" si="4"/>
        <v>0</v>
      </c>
      <c r="J161" s="15" cm="1">
        <f t="array" ref="J161">Common_InputFunctions.Utility_LookupValueInTableTwoColumns(D161,E161,Table_SourceData_WasteSolid_WasteTreatmentEFs[Treatment type t],Table_SourceData_WasteSolid_WasteTreatmentEFs[Waste type w],Table_SourceData_WasteSolid_WasteTreatmentEFs[EFwt])</f>
        <v>2</v>
      </c>
      <c r="K161" s="15">
        <f>(I161 * J161)</f>
        <v>0</v>
      </c>
    </row>
    <row r="162" spans="4:11" ht="20.100000000000001" customHeight="1" x14ac:dyDescent="0.2">
      <c r="D162" s="150" t="str">
        <v>Landfill</v>
      </c>
      <c r="E162" s="147" t="str">
        <v>Sludge</v>
      </c>
      <c r="F162" s="148"/>
      <c r="G162" s="15" cm="1">
        <f t="array" ref="G162">WasteSolid_InputFunctions.WasteSolid_InputFunctions_SumWasteTreatment(Table_Input_SolidWaste[Treatment type (select)],Table_Input_SolidWaste[Waste type (select)],Table_Input_SolidWaste[Treatment location (select)],Table_Input_SolidWaste[Amount unit (select)],Table_Input_SolidWaste[Amount],D26,E26, "Removed and treated off-site", "tonnes")</f>
        <v>0</v>
      </c>
      <c r="H162" s="15">
        <f t="shared" si="3"/>
        <v>0</v>
      </c>
      <c r="I162" s="15">
        <f t="shared" si="4"/>
        <v>0</v>
      </c>
      <c r="J162" s="15" cm="1">
        <f t="array" ref="J162">Common_InputFunctions.Utility_LookupValueInTableTwoColumns(D162,E162,Table_SourceData_WasteSolid_WasteTreatmentEFs[Treatment type t],Table_SourceData_WasteSolid_WasteTreatmentEFs[Waste type w],Table_SourceData_WasteSolid_WasteTreatmentEFs[EFwt])</f>
        <v>0.4</v>
      </c>
      <c r="K162" s="15">
        <f>(I162 * J162)</f>
        <v>0</v>
      </c>
    </row>
    <row r="163" spans="4:11" ht="20.100000000000001" customHeight="1" x14ac:dyDescent="0.2">
      <c r="D163" s="150" t="str">
        <v>Landfill</v>
      </c>
      <c r="E163" s="147" t="str">
        <v>Rubber and leather</v>
      </c>
      <c r="F163" s="148"/>
      <c r="G163" s="15" cm="1">
        <f t="array" ref="G163">WasteSolid_InputFunctions.WasteSolid_InputFunctions_SumWasteTreatment(Table_Input_SolidWaste[Treatment type (select)],Table_Input_SolidWaste[Waste type (select)],Table_Input_SolidWaste[Treatment location (select)],Table_Input_SolidWaste[Amount unit (select)],Table_Input_SolidWaste[Amount],D27,E27, "Removed and treated off-site", "tonnes")</f>
        <v>0</v>
      </c>
      <c r="H163" s="15">
        <f t="shared" si="3"/>
        <v>0</v>
      </c>
      <c r="I163" s="15">
        <f t="shared" si="4"/>
        <v>0</v>
      </c>
      <c r="J163" s="15" cm="1">
        <f t="array" ref="J163">Common_InputFunctions.Utility_LookupValueInTableTwoColumns(D163,E163,Table_SourceData_WasteSolid_WasteTreatmentEFs[Treatment type t],Table_SourceData_WasteSolid_WasteTreatmentEFs[Waste type w],Table_SourceData_WasteSolid_WasteTreatmentEFs[EFwt])</f>
        <v>3.3</v>
      </c>
      <c r="K163" s="15">
        <f>(I163 * J163)</f>
        <v>0</v>
      </c>
    </row>
    <row r="164" spans="4:11" ht="20.100000000000001" customHeight="1" x14ac:dyDescent="0.2">
      <c r="D164" s="150" t="str">
        <v>Landfill</v>
      </c>
      <c r="E164" s="147" t="str">
        <v>Inert waste (including concrete, metal, plastic or glass)</v>
      </c>
      <c r="F164" s="148"/>
      <c r="G164" s="15" cm="1">
        <f t="array" ref="G164">WasteSolid_InputFunctions.WasteSolid_InputFunctions_SumWasteTreatment(Table_Input_SolidWaste[Treatment type (select)],Table_Input_SolidWaste[Waste type (select)],Table_Input_SolidWaste[Treatment location (select)],Table_Input_SolidWaste[Amount unit (select)],Table_Input_SolidWaste[Amount],D28,E28, "Removed and treated off-site", "tonnes")</f>
        <v>0</v>
      </c>
      <c r="H164" s="15">
        <f t="shared" si="3"/>
        <v>0</v>
      </c>
      <c r="I164" s="15">
        <f t="shared" si="4"/>
        <v>0</v>
      </c>
      <c r="J164" s="15" cm="1">
        <f t="array" ref="J164">Common_InputFunctions.Utility_LookupValueInTableTwoColumns(D164,E164,Table_SourceData_WasteSolid_WasteTreatmentEFs[Treatment type t],Table_SourceData_WasteSolid_WasteTreatmentEFs[Waste type w],Table_SourceData_WasteSolid_WasteTreatmentEFs[EFwt])</f>
        <v>0</v>
      </c>
      <c r="K164" s="15">
        <f>(I164 * J164)</f>
        <v>0</v>
      </c>
    </row>
    <row r="165" spans="4:11" ht="20.100000000000001" customHeight="1" x14ac:dyDescent="0.2">
      <c r="D165" s="150" t="str">
        <v>Landfill</v>
      </c>
      <c r="E165" s="147" t="str">
        <v>Municipal solid waste</v>
      </c>
      <c r="F165" s="148"/>
      <c r="G165" s="15" cm="1">
        <f t="array" ref="G165">WasteSolid_InputFunctions.WasteSolid_InputFunctions_SumWasteTreatment(Table_Input_SolidWaste[Treatment type (select)],Table_Input_SolidWaste[Waste type (select)],Table_Input_SolidWaste[Treatment location (select)],Table_Input_SolidWaste[Amount unit (select)],Table_Input_SolidWaste[Amount],D29,E29, "Removed and treated off-site", "tonnes")</f>
        <v>0</v>
      </c>
      <c r="H165" s="15">
        <f t="shared" si="3"/>
        <v>0</v>
      </c>
      <c r="I165" s="15">
        <f t="shared" si="4"/>
        <v>0</v>
      </c>
      <c r="J165" s="15" cm="1">
        <f t="array" ref="J165">Common_InputFunctions.Utility_LookupValueInTableTwoColumns(D165,E165,Table_SourceData_WasteSolid_WasteTreatmentEFs[Treatment type t],Table_SourceData_WasteSolid_WasteTreatmentEFs[Waste type w],Table_SourceData_WasteSolid_WasteTreatmentEFs[EFwt])</f>
        <v>1.6</v>
      </c>
      <c r="K165" s="15">
        <f>(I165 * J165)</f>
        <v>0</v>
      </c>
    </row>
    <row r="166" spans="4:11" ht="20.100000000000001" customHeight="1" x14ac:dyDescent="0.2">
      <c r="D166" s="150" t="str">
        <v>Landfill</v>
      </c>
      <c r="E166" s="147" t="str">
        <v>Commercial and industrial waste</v>
      </c>
      <c r="F166" s="148"/>
      <c r="G166" s="15" cm="1">
        <f t="array" ref="G166">WasteSolid_InputFunctions.WasteSolid_InputFunctions_SumWasteTreatment(Table_Input_SolidWaste[Treatment type (select)],Table_Input_SolidWaste[Waste type (select)],Table_Input_SolidWaste[Treatment location (select)],Table_Input_SolidWaste[Amount unit (select)],Table_Input_SolidWaste[Amount],D30,E30, "Removed and treated off-site", "tonnes")</f>
        <v>0</v>
      </c>
      <c r="H166" s="15">
        <f t="shared" si="3"/>
        <v>0</v>
      </c>
      <c r="I166" s="15">
        <f t="shared" si="4"/>
        <v>0</v>
      </c>
      <c r="J166" s="15" cm="1">
        <f t="array" ref="J166">Common_InputFunctions.Utility_LookupValueInTableTwoColumns(D166,E166,Table_SourceData_WasteSolid_WasteTreatmentEFs[Treatment type t],Table_SourceData_WasteSolid_WasteTreatmentEFs[Waste type w],Table_SourceData_WasteSolid_WasteTreatmentEFs[EFwt])</f>
        <v>1.3</v>
      </c>
      <c r="K166" s="15">
        <f>(I166 * J166)</f>
        <v>0</v>
      </c>
    </row>
    <row r="167" spans="4:11" ht="20.100000000000001" customHeight="1" x14ac:dyDescent="0.2">
      <c r="D167" s="150" t="str">
        <v>Landfill</v>
      </c>
      <c r="E167" s="147" t="str">
        <v>Construction and demolition waste</v>
      </c>
      <c r="F167" s="148"/>
      <c r="G167" s="15" cm="1">
        <f t="array" ref="G167">WasteSolid_InputFunctions.WasteSolid_InputFunctions_SumWasteTreatment(Table_Input_SolidWaste[Treatment type (select)],Table_Input_SolidWaste[Waste type (select)],Table_Input_SolidWaste[Treatment location (select)],Table_Input_SolidWaste[Amount unit (select)],Table_Input_SolidWaste[Amount],D31,E31, "Removed and treated off-site", "tonnes")</f>
        <v>0</v>
      </c>
      <c r="H167" s="15">
        <f t="shared" si="3"/>
        <v>0</v>
      </c>
      <c r="I167" s="15">
        <f t="shared" si="4"/>
        <v>0</v>
      </c>
      <c r="J167" s="15" cm="1">
        <f t="array" ref="J167">Common_InputFunctions.Utility_LookupValueInTableTwoColumns(D167,E167,Table_SourceData_WasteSolid_WasteTreatmentEFs[Treatment type t],Table_SourceData_WasteSolid_WasteTreatmentEFs[Waste type w],Table_SourceData_WasteSolid_WasteTreatmentEFs[EFwt])</f>
        <v>0.2</v>
      </c>
      <c r="K167" s="15">
        <f>(I167 * J167)</f>
        <v>0</v>
      </c>
    </row>
    <row r="168" spans="4:11" ht="20.100000000000001" customHeight="1" x14ac:dyDescent="0.2">
      <c r="D168" s="150" t="str">
        <v>Incineration</v>
      </c>
      <c r="E168" s="147" t="str">
        <v>Food waste, green waste, wood, sludge</v>
      </c>
      <c r="F168" s="148"/>
      <c r="G168" s="15" t="s">
        <v>396</v>
      </c>
      <c r="H168" s="15" t="str">
        <f t="shared" si="3"/>
        <v>Not used</v>
      </c>
      <c r="I168" s="15">
        <f>SUM(G169:G172)+SUM(H169:H172)+N("Partial sum")</f>
        <v>62</v>
      </c>
      <c r="J168" s="15" cm="1">
        <f t="array" ref="J168">Common_InputFunctions.Utility_LookupValueInTableTwoColumns(D168,E168,Table_SourceData_WasteSolid_WasteTreatmentEFs[Treatment type t],Table_SourceData_WasteSolid_WasteTreatmentEFs[Waste type w],Table_SourceData_WasteSolid_WasteTreatmentEFs[EFwt])</f>
        <v>0</v>
      </c>
      <c r="K168" s="15">
        <f>(I168 * J168)</f>
        <v>0</v>
      </c>
    </row>
    <row r="169" spans="4:11" ht="20.100000000000001" customHeight="1" x14ac:dyDescent="0.2">
      <c r="D169" s="150" t="str">
        <v>Incineration</v>
      </c>
      <c r="E169" s="147" t="str">
        <v>Food waste (including animal carcasses, spoiled animal feed or crop)</v>
      </c>
      <c r="F169" s="148"/>
      <c r="G169" s="15" cm="1">
        <f t="array" ref="G169">WasteSolid_InputFunctions.WasteSolid_InputFunctions_SumWasteTreatment(Table_Input_SolidWaste[Treatment type (select)],Table_Input_SolidWaste[Waste type (select)],Table_Input_SolidWaste[Treatment location (select)],Table_Input_SolidWaste[Amount unit (select)],Table_Input_SolidWaste[Amount],D33,E33, "Removed and treated off-site", "tonnes")</f>
        <v>0</v>
      </c>
      <c r="H169" s="15">
        <f t="shared" si="3"/>
        <v>0</v>
      </c>
      <c r="I169" s="15" t="s">
        <v>693</v>
      </c>
      <c r="J169" s="15" t="s">
        <v>396</v>
      </c>
      <c r="K169" s="15" t="s">
        <v>396</v>
      </c>
    </row>
    <row r="170" spans="4:11" ht="20.100000000000001" customHeight="1" x14ac:dyDescent="0.2">
      <c r="D170" s="150" t="str">
        <v>Incineration</v>
      </c>
      <c r="E170" s="147" t="str">
        <v>Green waste (including crop residues or prunings)</v>
      </c>
      <c r="F170" s="148"/>
      <c r="G170" s="15" cm="1">
        <f t="array" ref="G170">WasteSolid_InputFunctions.WasteSolid_InputFunctions_SumWasteTreatment(Table_Input_SolidWaste[Treatment type (select)],Table_Input_SolidWaste[Waste type (select)],Table_Input_SolidWaste[Treatment location (select)],Table_Input_SolidWaste[Amount unit (select)],Table_Input_SolidWaste[Amount],D34,E34, "Removed and treated off-site", "tonnes")</f>
        <v>50</v>
      </c>
      <c r="H170" s="15">
        <f t="shared" si="3"/>
        <v>12</v>
      </c>
      <c r="I170" s="15" t="s">
        <v>693</v>
      </c>
      <c r="J170" s="15" t="s">
        <v>396</v>
      </c>
      <c r="K170" s="15" t="s">
        <v>396</v>
      </c>
    </row>
    <row r="171" spans="4:11" ht="20.100000000000001" customHeight="1" x14ac:dyDescent="0.2">
      <c r="D171" s="150" t="str">
        <v>Incineration</v>
      </c>
      <c r="E171" s="147" t="str">
        <v>Wood</v>
      </c>
      <c r="F171" s="148"/>
      <c r="G171" s="15" cm="1">
        <f t="array" ref="G171">WasteSolid_InputFunctions.WasteSolid_InputFunctions_SumWasteTreatment(Table_Input_SolidWaste[Treatment type (select)],Table_Input_SolidWaste[Waste type (select)],Table_Input_SolidWaste[Treatment location (select)],Table_Input_SolidWaste[Amount unit (select)],Table_Input_SolidWaste[Amount],D35,E35, "Removed and treated off-site", "tonnes")</f>
        <v>0</v>
      </c>
      <c r="H171" s="15">
        <f t="shared" si="3"/>
        <v>0</v>
      </c>
      <c r="I171" s="15" t="s">
        <v>693</v>
      </c>
      <c r="J171" s="15" t="s">
        <v>396</v>
      </c>
      <c r="K171" s="15" t="s">
        <v>396</v>
      </c>
    </row>
    <row r="172" spans="4:11" ht="20.100000000000001" customHeight="1" x14ac:dyDescent="0.2">
      <c r="D172" s="150" t="str">
        <v>Incineration</v>
      </c>
      <c r="E172" s="147" t="str">
        <v>Sludge</v>
      </c>
      <c r="F172" s="148"/>
      <c r="G172" s="15" cm="1">
        <f t="array" ref="G172">WasteSolid_InputFunctions.WasteSolid_InputFunctions_SumWasteTreatment(Table_Input_SolidWaste[Treatment type (select)],Table_Input_SolidWaste[Waste type (select)],Table_Input_SolidWaste[Treatment location (select)],Table_Input_SolidWaste[Amount unit (select)],Table_Input_SolidWaste[Amount],D36,E36, "Removed and treated off-site", "tonnes")</f>
        <v>0</v>
      </c>
      <c r="H172" s="15">
        <f t="shared" si="3"/>
        <v>0</v>
      </c>
      <c r="I172" s="15" t="s">
        <v>693</v>
      </c>
      <c r="J172" s="15" t="s">
        <v>396</v>
      </c>
      <c r="K172" s="15" t="s">
        <v>396</v>
      </c>
    </row>
    <row r="173" spans="4:11" ht="20.100000000000001" customHeight="1" x14ac:dyDescent="0.2">
      <c r="D173" s="150" t="str">
        <v>Incineration</v>
      </c>
      <c r="E173" s="147" t="str">
        <v>Paper and cardboard</v>
      </c>
      <c r="F173" s="148"/>
      <c r="G173" s="15" cm="1">
        <f t="array" ref="G173">WasteSolid_InputFunctions.WasteSolid_InputFunctions_SumWasteTreatment(Table_Input_SolidWaste[Treatment type (select)],Table_Input_SolidWaste[Waste type (select)],Table_Input_SolidWaste[Treatment location (select)],Table_Input_SolidWaste[Amount unit (select)],Table_Input_SolidWaste[Amount],D37,E37, "Removed and treated off-site", "tonnes")</f>
        <v>0</v>
      </c>
      <c r="H173" s="15">
        <f t="shared" si="3"/>
        <v>0</v>
      </c>
      <c r="I173" s="15">
        <f t="shared" ref="I173:I178" si="5">G173+H173</f>
        <v>0</v>
      </c>
      <c r="J173" s="15" cm="1">
        <f t="array" ref="J173">Common_InputFunctions.Utility_LookupValueInTableTwoColumns(D173,E173,Table_SourceData_WasteSolid_WasteTreatmentEFs[Treatment type t],Table_SourceData_WasteSolid_WasteTreatmentEFs[Waste type w],Table_SourceData_WasteSolid_WasteTreatmentEFs[EFwt])</f>
        <v>1.6899999999999998E-2</v>
      </c>
      <c r="K173" s="15">
        <f>(I173 * J173)</f>
        <v>0</v>
      </c>
    </row>
    <row r="174" spans="4:11" ht="20.100000000000001" customHeight="1" x14ac:dyDescent="0.2">
      <c r="D174" s="150" t="str">
        <v>Incineration</v>
      </c>
      <c r="E174" s="147" t="str">
        <v>Textiles</v>
      </c>
      <c r="F174" s="148"/>
      <c r="G174" s="15" cm="1">
        <f t="array" ref="G174">WasteSolid_InputFunctions.WasteSolid_InputFunctions_SumWasteTreatment(Table_Input_SolidWaste[Treatment type (select)],Table_Input_SolidWaste[Waste type (select)],Table_Input_SolidWaste[Treatment location (select)],Table_Input_SolidWaste[Amount unit (select)],Table_Input_SolidWaste[Amount],D38,E38, "Removed and treated off-site", "tonnes")</f>
        <v>0</v>
      </c>
      <c r="H174" s="15">
        <f t="shared" si="3"/>
        <v>0</v>
      </c>
      <c r="I174" s="15">
        <f t="shared" si="5"/>
        <v>0</v>
      </c>
      <c r="J174" s="15" cm="1">
        <f t="array" ref="J174">Common_InputFunctions.Utility_LookupValueInTableTwoColumns(D174,E174,Table_SourceData_WasteSolid_WasteTreatmentEFs[Treatment type t],Table_SourceData_WasteSolid_WasteTreatmentEFs[Waste type w],Table_SourceData_WasteSolid_WasteTreatmentEFs[EFwt])</f>
        <v>0.36670000000000003</v>
      </c>
      <c r="K174" s="15">
        <f>(I174 * J174)</f>
        <v>0</v>
      </c>
    </row>
    <row r="175" spans="4:11" ht="20.100000000000001" customHeight="1" x14ac:dyDescent="0.2">
      <c r="D175" s="150" t="str">
        <v>Incineration</v>
      </c>
      <c r="E175" s="147" t="str">
        <v>Rubber and leather</v>
      </c>
      <c r="F175" s="148"/>
      <c r="G175" s="15" cm="1">
        <f t="array" ref="G175">WasteSolid_InputFunctions.WasteSolid_InputFunctions_SumWasteTreatment(Table_Input_SolidWaste[Treatment type (select)],Table_Input_SolidWaste[Waste type (select)],Table_Input_SolidWaste[Treatment location (select)],Table_Input_SolidWaste[Amount unit (select)],Table_Input_SolidWaste[Amount],D39,E39, "Removed and treated off-site", "tonnes")</f>
        <v>0</v>
      </c>
      <c r="H175" s="15">
        <f t="shared" si="3"/>
        <v>0</v>
      </c>
      <c r="I175" s="15">
        <f t="shared" si="5"/>
        <v>0</v>
      </c>
      <c r="J175" s="15" cm="1">
        <f t="array" ref="J175">Common_InputFunctions.Utility_LookupValueInTableTwoColumns(D175,E175,Table_SourceData_WasteSolid_WasteTreatmentEFs[Treatment type t],Table_SourceData_WasteSolid_WasteTreatmentEFs[Waste type w],Table_SourceData_WasteSolid_WasteTreatmentEFs[EFwt])</f>
        <v>0.4919</v>
      </c>
      <c r="K175" s="15">
        <f>(I175 * J175)</f>
        <v>0</v>
      </c>
    </row>
    <row r="176" spans="4:11" ht="20.100000000000001" customHeight="1" x14ac:dyDescent="0.2">
      <c r="D176" s="150" t="str">
        <v>Incineration</v>
      </c>
      <c r="E176" s="147" t="str">
        <v>Inert waste (including concrete, metal, plastic or glass)</v>
      </c>
      <c r="F176" s="148"/>
      <c r="G176" s="15" cm="1">
        <f t="array" ref="G176">WasteSolid_InputFunctions.WasteSolid_InputFunctions_SumWasteTreatment(Table_Input_SolidWaste[Treatment type (select)],Table_Input_SolidWaste[Waste type (select)],Table_Input_SolidWaste[Treatment location (select)],Table_Input_SolidWaste[Amount unit (select)],Table_Input_SolidWaste[Amount],D40,E40, "Removed and treated off-site", "tonnes")</f>
        <v>0</v>
      </c>
      <c r="H176" s="15">
        <f t="shared" si="3"/>
        <v>0</v>
      </c>
      <c r="I176" s="15">
        <f t="shared" si="5"/>
        <v>0</v>
      </c>
      <c r="J176" s="15" cm="1">
        <f t="array" ref="J176">Common_InputFunctions.Utility_LookupValueInTableTwoColumns(D176,E176,Table_SourceData_WasteSolid_WasteTreatmentEFs[Treatment type t],Table_SourceData_WasteSolid_WasteTreatmentEFs[Waste type w],Table_SourceData_WasteSolid_WasteTreatmentEFs[EFwt])</f>
        <v>0.11</v>
      </c>
      <c r="K176" s="15">
        <f>(I176 * J176)</f>
        <v>0</v>
      </c>
    </row>
    <row r="177" spans="1:11" ht="20.100000000000001" customHeight="1" x14ac:dyDescent="0.2">
      <c r="D177" s="150" t="str">
        <v>Incineration</v>
      </c>
      <c r="E177" s="147" t="str">
        <v>Municipal solid waste</v>
      </c>
      <c r="F177" s="159"/>
      <c r="G177" s="15" cm="1">
        <f t="array" ref="G177">WasteSolid_InputFunctions.WasteSolid_InputFunctions_SumWasteTreatment(Table_Input_SolidWaste[Treatment type (select)],Table_Input_SolidWaste[Waste type (select)],Table_Input_SolidWaste[Treatment location (select)],Table_Input_SolidWaste[Amount unit (select)],Table_Input_SolidWaste[Amount],D41,E41, "Removed and treated off-site", "tonnes")</f>
        <v>0</v>
      </c>
      <c r="H177" s="15">
        <f t="shared" si="3"/>
        <v>0</v>
      </c>
      <c r="I177" s="15">
        <f t="shared" si="5"/>
        <v>0</v>
      </c>
      <c r="J177" s="15" cm="1">
        <f t="array" ref="J177">Common_InputFunctions.Utility_LookupValueInTableTwoColumns(D177,E177,Table_SourceData_WasteSolid_WasteTreatmentEFs[Treatment type t],Table_SourceData_WasteSolid_WasteTreatmentEFs[Waste type w],Table_SourceData_WasteSolid_WasteTreatmentEFs[EFwt])</f>
        <v>5.3699999999999998E-2</v>
      </c>
      <c r="K177" s="15">
        <f>(I177 * J177)</f>
        <v>0</v>
      </c>
    </row>
    <row r="178" spans="1:11" ht="20.100000000000001" customHeight="1" x14ac:dyDescent="0.2">
      <c r="D178" s="150" t="str">
        <v>Incineration</v>
      </c>
      <c r="E178" s="147" t="str">
        <v>Commercial and industrial waste</v>
      </c>
      <c r="F178" s="159"/>
      <c r="G178" s="15" cm="1">
        <f t="array" ref="G178">WasteSolid_InputFunctions.WasteSolid_InputFunctions_SumWasteTreatment(Table_Input_SolidWaste[Treatment type (select)],Table_Input_SolidWaste[Waste type (select)],Table_Input_SolidWaste[Treatment location (select)],Table_Input_SolidWaste[Amount unit (select)],Table_Input_SolidWaste[Amount],D42,E42, "Removed and treated off-site", "tonnes")</f>
        <v>0</v>
      </c>
      <c r="H178" s="15">
        <f t="shared" si="3"/>
        <v>0</v>
      </c>
      <c r="I178" s="15">
        <f t="shared" si="5"/>
        <v>0</v>
      </c>
      <c r="J178" s="15" cm="1">
        <f t="array" ref="J178">Common_InputFunctions.Utility_LookupValueInTableTwoColumns(D178,E178,Table_SourceData_WasteSolid_WasteTreatmentEFs[Treatment type t],Table_SourceData_WasteSolid_WasteTreatmentEFs[Waste type w],Table_SourceData_WasteSolid_WasteTreatmentEFs[EFwt])</f>
        <v>1.649</v>
      </c>
      <c r="K178" s="15">
        <f>(I178 * J178)</f>
        <v>0</v>
      </c>
    </row>
    <row r="179" spans="1:11" ht="20.100000000000001" customHeight="1" x14ac:dyDescent="0.2">
      <c r="A179" s="81" t="str">
        <f>HYPERLINK("#A1", "▲ Back to top")</f>
        <v>▲ Back to top</v>
      </c>
      <c r="D179" s="150" t="str">
        <v>Composting</v>
      </c>
      <c r="E179" s="147" t="str">
        <v>All organic waste</v>
      </c>
      <c r="F179" s="159"/>
      <c r="G179" s="15" t="s">
        <v>396</v>
      </c>
      <c r="H179" s="15" t="str">
        <f t="shared" si="3"/>
        <v>Not used</v>
      </c>
      <c r="I179" s="15">
        <f>SUM(G180:G184)+SUM(H180:H184)+N("Partial sum")</f>
        <v>100</v>
      </c>
      <c r="J179" s="15" cm="1">
        <f t="array" ref="J179">Common_InputFunctions.Utility_LookupValueInTableTwoColumns(D179,E179,Table_SourceData_WasteSolid_WasteTreatmentEFs[Treatment type t],Table_SourceData_WasteSolid_WasteTreatmentEFs[Waste type w],Table_SourceData_WasteSolid_WasteTreatmentEFs[EFwt])</f>
        <v>4.5999999999999999E-2</v>
      </c>
      <c r="K179" s="15">
        <f>(I179 * J179)</f>
        <v>4.5999999999999996</v>
      </c>
    </row>
    <row r="180" spans="1:11" ht="20.100000000000001" customHeight="1" x14ac:dyDescent="0.2">
      <c r="D180" s="150" t="str">
        <v>Composting</v>
      </c>
      <c r="E180" s="147" t="str">
        <v>Food waste (including animal carcasses, spoiled animal feed or crop)</v>
      </c>
      <c r="F180" s="159"/>
      <c r="G180" s="15" cm="1">
        <f t="array" ref="G180">WasteSolid_InputFunctions.WasteSolid_InputFunctions_SumWasteTreatment(Table_Input_SolidWaste[Treatment type (select)],Table_Input_SolidWaste[Waste type (select)],Table_Input_SolidWaste[Treatment location (select)],Table_Input_SolidWaste[Amount unit (select)],Table_Input_SolidWaste[Amount],D44,E44, "Removed and treated off-site", "tonnes")</f>
        <v>50</v>
      </c>
      <c r="H180" s="15">
        <f t="shared" si="3"/>
        <v>0</v>
      </c>
      <c r="I180" s="15" t="s">
        <v>693</v>
      </c>
      <c r="J180" s="15" t="s">
        <v>396</v>
      </c>
      <c r="K180" s="15" t="s">
        <v>396</v>
      </c>
    </row>
    <row r="181" spans="1:11" ht="20.100000000000001" customHeight="1" x14ac:dyDescent="0.2">
      <c r="D181" s="150" t="str">
        <v>Composting</v>
      </c>
      <c r="E181" s="147" t="str">
        <v>Green waste (including crop residues or prunings)</v>
      </c>
      <c r="F181" s="159"/>
      <c r="G181" s="15" cm="1">
        <f t="array" ref="G181">WasteSolid_InputFunctions.WasteSolid_InputFunctions_SumWasteTreatment(Table_Input_SolidWaste[Treatment type (select)],Table_Input_SolidWaste[Waste type (select)],Table_Input_SolidWaste[Treatment location (select)],Table_Input_SolidWaste[Amount unit (select)],Table_Input_SolidWaste[Amount],D45,E45, "Removed and treated off-site", "tonnes")</f>
        <v>0</v>
      </c>
      <c r="H181" s="15">
        <f t="shared" si="3"/>
        <v>0</v>
      </c>
      <c r="I181" s="15" t="s">
        <v>693</v>
      </c>
      <c r="J181" s="15" t="s">
        <v>396</v>
      </c>
      <c r="K181" s="15" t="s">
        <v>396</v>
      </c>
    </row>
    <row r="182" spans="1:11" ht="20.100000000000001" customHeight="1" x14ac:dyDescent="0.2">
      <c r="D182" s="150" t="str">
        <v>Composting</v>
      </c>
      <c r="E182" s="147" t="str">
        <v>Wood</v>
      </c>
      <c r="F182" s="159"/>
      <c r="G182" s="15" cm="1">
        <f t="array" ref="G182">WasteSolid_InputFunctions.WasteSolid_InputFunctions_SumWasteTreatment(Table_Input_SolidWaste[Treatment type (select)],Table_Input_SolidWaste[Waste type (select)],Table_Input_SolidWaste[Treatment location (select)],Table_Input_SolidWaste[Amount unit (select)],Table_Input_SolidWaste[Amount],D46,E46, "Removed and treated off-site", "tonnes")</f>
        <v>0</v>
      </c>
      <c r="H182" s="15">
        <f t="shared" si="3"/>
        <v>0</v>
      </c>
      <c r="I182" s="15" t="s">
        <v>693</v>
      </c>
      <c r="J182" s="15" t="s">
        <v>396</v>
      </c>
      <c r="K182" s="15" t="s">
        <v>396</v>
      </c>
    </row>
    <row r="183" spans="1:11" ht="20.100000000000001" customHeight="1" x14ac:dyDescent="0.2">
      <c r="D183" s="150" t="str">
        <v>Composting</v>
      </c>
      <c r="E183" s="147" t="str">
        <v>Sludge</v>
      </c>
      <c r="F183" s="159"/>
      <c r="G183" s="15" cm="1">
        <f t="array" ref="G183">WasteSolid_InputFunctions.WasteSolid_InputFunctions_SumWasteTreatment(Table_Input_SolidWaste[Treatment type (select)],Table_Input_SolidWaste[Waste type (select)],Table_Input_SolidWaste[Treatment location (select)],Table_Input_SolidWaste[Amount unit (select)],Table_Input_SolidWaste[Amount],D47,E47, "Removed and treated off-site", "tonnes")</f>
        <v>0</v>
      </c>
      <c r="H183" s="15">
        <f t="shared" si="3"/>
        <v>0</v>
      </c>
      <c r="I183" s="15" t="s">
        <v>693</v>
      </c>
      <c r="J183" s="15" t="s">
        <v>396</v>
      </c>
      <c r="K183" s="15" t="s">
        <v>396</v>
      </c>
    </row>
    <row r="184" spans="1:11" ht="20.100000000000001" customHeight="1" x14ac:dyDescent="0.2">
      <c r="D184" s="150" t="str">
        <v>Composting</v>
      </c>
      <c r="E184" s="147" t="str">
        <v>Paper and cardboard</v>
      </c>
      <c r="F184" s="159"/>
      <c r="G184" s="15" cm="1">
        <f t="array" ref="G184">WasteSolid_InputFunctions.WasteSolid_InputFunctions_SumWasteTreatment(Table_Input_SolidWaste[Treatment type (select)],Table_Input_SolidWaste[Waste type (select)],Table_Input_SolidWaste[Treatment location (select)],Table_Input_SolidWaste[Amount unit (select)],Table_Input_SolidWaste[Amount],D48,E48, "Removed and treated off-site", "tonnes")</f>
        <v>50</v>
      </c>
      <c r="H184" s="15">
        <f t="shared" si="3"/>
        <v>0</v>
      </c>
      <c r="I184" s="15" t="s">
        <v>693</v>
      </c>
      <c r="J184" s="15" t="s">
        <v>396</v>
      </c>
      <c r="K184" s="15" t="s">
        <v>396</v>
      </c>
    </row>
    <row r="185" spans="1:11" ht="20.100000000000001" customHeight="1" x14ac:dyDescent="0.2">
      <c r="D185" s="150" t="str">
        <v>Anaerobic digestion</v>
      </c>
      <c r="E185" s="147" t="str">
        <v>All organic waste</v>
      </c>
      <c r="F185" s="159"/>
      <c r="G185" s="15" t="s">
        <v>396</v>
      </c>
      <c r="H185" s="15" t="str">
        <f t="shared" si="3"/>
        <v>Not used</v>
      </c>
      <c r="I185" s="15">
        <f>SUM(G186:G190)+SUM(H186:H190)+N("Partial sum")</f>
        <v>0</v>
      </c>
      <c r="J185" s="15" cm="1">
        <f t="array" ref="J185">Common_InputFunctions.Utility_LookupValueInTableTwoColumns(D185,E185,Table_SourceData_WasteSolid_WasteTreatmentEFs[Treatment type t],Table_SourceData_WasteSolid_WasteTreatmentEFs[Waste type w],Table_SourceData_WasteSolid_WasteTreatmentEFs[EFwt])</f>
        <v>2.8000000000000001E-2</v>
      </c>
      <c r="K185" s="15">
        <f>(I185 * J185)</f>
        <v>0</v>
      </c>
    </row>
    <row r="186" spans="1:11" ht="20.100000000000001" customHeight="1" x14ac:dyDescent="0.2">
      <c r="D186" s="150" t="str">
        <v>Anaerobic digestion</v>
      </c>
      <c r="E186" s="147" t="str">
        <v>Food waste (including animal carcasses, spoiled animal feed or crop)</v>
      </c>
      <c r="F186" s="159"/>
      <c r="G186" s="15" cm="1">
        <f t="array" ref="G186">WasteSolid_InputFunctions.WasteSolid_InputFunctions_SumWasteTreatment(Table_Input_SolidWaste[Treatment type (select)],Table_Input_SolidWaste[Waste type (select)],Table_Input_SolidWaste[Treatment location (select)],Table_Input_SolidWaste[Amount unit (select)],Table_Input_SolidWaste[Amount],D50,E50, "Removed and treated off-site", "tonnes")</f>
        <v>0</v>
      </c>
      <c r="H186" s="15">
        <f t="shared" si="3"/>
        <v>0</v>
      </c>
      <c r="I186" s="15" t="s">
        <v>693</v>
      </c>
      <c r="J186" s="15" t="s">
        <v>396</v>
      </c>
      <c r="K186" s="15" t="s">
        <v>396</v>
      </c>
    </row>
    <row r="187" spans="1:11" ht="20.100000000000001" customHeight="1" x14ac:dyDescent="0.2">
      <c r="D187" s="150" t="str">
        <v>Anaerobic digestion</v>
      </c>
      <c r="E187" s="147" t="str">
        <v>Green waste (including crop residues or prunings)</v>
      </c>
      <c r="F187" s="159"/>
      <c r="G187" s="15" cm="1">
        <f t="array" ref="G187">WasteSolid_InputFunctions.WasteSolid_InputFunctions_SumWasteTreatment(Table_Input_SolidWaste[Treatment type (select)],Table_Input_SolidWaste[Waste type (select)],Table_Input_SolidWaste[Treatment location (select)],Table_Input_SolidWaste[Amount unit (select)],Table_Input_SolidWaste[Amount],D51,E51, "Removed and treated off-site", "tonnes")</f>
        <v>0</v>
      </c>
      <c r="H187" s="15">
        <f t="shared" si="3"/>
        <v>0</v>
      </c>
      <c r="I187" s="15" t="s">
        <v>693</v>
      </c>
      <c r="J187" s="15" t="s">
        <v>396</v>
      </c>
      <c r="K187" s="15" t="s">
        <v>396</v>
      </c>
    </row>
    <row r="188" spans="1:11" ht="20.100000000000001" customHeight="1" x14ac:dyDescent="0.2">
      <c r="D188" s="150" t="str">
        <v>Anaerobic digestion</v>
      </c>
      <c r="E188" s="147" t="str">
        <v>Wood</v>
      </c>
      <c r="F188" s="159"/>
      <c r="G188" s="15" cm="1">
        <f t="array" ref="G188">WasteSolid_InputFunctions.WasteSolid_InputFunctions_SumWasteTreatment(Table_Input_SolidWaste[Treatment type (select)],Table_Input_SolidWaste[Waste type (select)],Table_Input_SolidWaste[Treatment location (select)],Table_Input_SolidWaste[Amount unit (select)],Table_Input_SolidWaste[Amount],D52,E52, "Removed and treated off-site", "tonnes")</f>
        <v>0</v>
      </c>
      <c r="H188" s="15">
        <f t="shared" si="3"/>
        <v>0</v>
      </c>
      <c r="I188" s="15" t="s">
        <v>693</v>
      </c>
      <c r="J188" s="15" t="s">
        <v>396</v>
      </c>
      <c r="K188" s="15" t="s">
        <v>396</v>
      </c>
    </row>
    <row r="189" spans="1:11" ht="20.100000000000001" customHeight="1" x14ac:dyDescent="0.2">
      <c r="D189" s="150" t="str">
        <v>Anaerobic digestion</v>
      </c>
      <c r="E189" s="147" t="str">
        <v>Sludge</v>
      </c>
      <c r="F189" s="159"/>
      <c r="G189" s="15" cm="1">
        <f t="array" ref="G189">WasteSolid_InputFunctions.WasteSolid_InputFunctions_SumWasteTreatment(Table_Input_SolidWaste[Treatment type (select)],Table_Input_SolidWaste[Waste type (select)],Table_Input_SolidWaste[Treatment location (select)],Table_Input_SolidWaste[Amount unit (select)],Table_Input_SolidWaste[Amount],D53,E53, "Removed and treated off-site", "tonnes")</f>
        <v>0</v>
      </c>
      <c r="H189" s="15">
        <f t="shared" si="3"/>
        <v>0</v>
      </c>
      <c r="I189" s="15" t="s">
        <v>693</v>
      </c>
      <c r="J189" s="15" t="s">
        <v>396</v>
      </c>
      <c r="K189" s="15" t="s">
        <v>396</v>
      </c>
    </row>
    <row r="190" spans="1:11" ht="20.100000000000001" customHeight="1" x14ac:dyDescent="0.2">
      <c r="D190" s="150" t="str">
        <v>Anaerobic digestion</v>
      </c>
      <c r="E190" s="147" t="str">
        <v>Paper and cardboard</v>
      </c>
      <c r="F190" s="159"/>
      <c r="G190" s="15" cm="1">
        <f t="array" ref="G190">WasteSolid_InputFunctions.WasteSolid_InputFunctions_SumWasteTreatment(Table_Input_SolidWaste[Treatment type (select)],Table_Input_SolidWaste[Waste type (select)],Table_Input_SolidWaste[Treatment location (select)],Table_Input_SolidWaste[Amount unit (select)],Table_Input_SolidWaste[Amount],D54,E54, "Removed and treated off-site", "tonnes")</f>
        <v>0</v>
      </c>
      <c r="H190" s="15">
        <f t="shared" si="3"/>
        <v>0</v>
      </c>
      <c r="I190" s="15" t="s">
        <v>693</v>
      </c>
      <c r="J190" s="15" t="s">
        <v>396</v>
      </c>
      <c r="K190" s="15" t="s">
        <v>396</v>
      </c>
    </row>
    <row r="192" spans="1:11" ht="20.100000000000001" customHeight="1" x14ac:dyDescent="0.2">
      <c r="D192" s="87" t="s">
        <v>694</v>
      </c>
      <c r="E192" s="88">
        <f>SUM(K157:K190)</f>
        <v>441.15000000000003</v>
      </c>
      <c r="F192" s="97" t="str">
        <f>$E$103</f>
        <v>t CO2e</v>
      </c>
    </row>
    <row r="341" spans="8:8" ht="20.100000000000001" customHeight="1" x14ac:dyDescent="0.2">
      <c r="H341" s="8"/>
    </row>
    <row r="342" spans="8:8" ht="20.100000000000001" customHeight="1" x14ac:dyDescent="0.2">
      <c r="H342" s="8"/>
    </row>
  </sheetData>
  <dataValidations count="1">
    <dataValidation operator="equal" allowBlank="1" showInputMessage="1" showErrorMessage="1" sqref="E269 E228" xr:uid="{B26BE666-FBBC-4BF6-9027-157F5EBB4DCC}"/>
  </dataValidations>
  <pageMargins left="0.7" right="0.7" top="0.75" bottom="0.75" header="0.3" footer="0.3"/>
  <pageSetup paperSize="9" orientation="portrait"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E5347-9F58-41D8-B3C1-A7EC685E68DE}">
  <sheetPr>
    <tabColor rgb="FF008000"/>
  </sheetPr>
  <dimension ref="A1:K342"/>
  <sheetViews>
    <sheetView showGridLines="0" zoomScaleNormal="100" workbookViewId="0">
      <pane xSplit="1" topLeftCell="B1" activePane="topRight" state="frozenSplit"/>
      <selection pane="topRight" activeCell="A47" sqref="A47"/>
    </sheetView>
  </sheetViews>
  <sheetFormatPr defaultRowHeight="20.100000000000001" customHeight="1" x14ac:dyDescent="0.2"/>
  <cols>
    <col min="1" max="1" width="36.7109375" customWidth="1"/>
    <col min="2" max="2" width="4.7109375" customWidth="1"/>
    <col min="3" max="3" width="4.7109375" style="1" customWidth="1"/>
    <col min="4" max="4" width="46.28515625" style="1" customWidth="1"/>
    <col min="5" max="10" width="30.7109375" style="1" customWidth="1"/>
    <col min="11" max="11" width="4.7109375" style="1" customWidth="1"/>
  </cols>
  <sheetData>
    <row r="1" spans="1:11" s="21" customFormat="1" ht="30" customHeight="1" x14ac:dyDescent="0.35">
      <c r="A1" s="10" t="e" vm="1">
        <v>#VALUE!</v>
      </c>
      <c r="C1" s="21" t="s">
        <v>532</v>
      </c>
    </row>
    <row r="2" spans="1:11" s="3" customFormat="1" ht="20.100000000000001" customHeight="1" x14ac:dyDescent="0.2">
      <c r="A2"/>
    </row>
    <row r="3" spans="1:11" ht="20.100000000000001" customHeight="1" x14ac:dyDescent="0.2">
      <c r="A3" s="5" t="str">
        <f>HYPERLINK("#'Home'!A1", "Home")</f>
        <v>Home</v>
      </c>
      <c r="C3" s="23"/>
      <c r="D3" s="23" t="s">
        <v>130</v>
      </c>
      <c r="E3" s="23"/>
      <c r="F3" s="23"/>
      <c r="G3" s="23"/>
      <c r="H3" s="23"/>
      <c r="I3" s="23"/>
      <c r="J3" s="23"/>
      <c r="K3" s="23"/>
    </row>
    <row r="4" spans="1:11" ht="20.100000000000001" customHeight="1" x14ac:dyDescent="0.2">
      <c r="A4" s="5" t="str">
        <f>HYPERLINK("#'Results - Activity period'!A1", "Results - Activity period")</f>
        <v>Results - Activity period</v>
      </c>
    </row>
    <row r="5" spans="1:11" ht="20.100000000000001" customHeight="1" x14ac:dyDescent="0.2">
      <c r="A5" s="5" t="str">
        <f>HYPERLINK("#'Results - Product EI'!A1", "Results - Product EI")</f>
        <v>Results - Product EI</v>
      </c>
      <c r="D5" s="2" t="s">
        <v>1329</v>
      </c>
    </row>
    <row r="6" spans="1:11" ht="20.100000000000001" customHeight="1" x14ac:dyDescent="0.2">
      <c r="D6" s="17" t="s">
        <v>1330</v>
      </c>
    </row>
    <row r="7" spans="1:11" ht="20.100000000000001" customHeight="1" x14ac:dyDescent="0.2">
      <c r="D7" s="26" t="s">
        <v>1331</v>
      </c>
    </row>
    <row r="8" spans="1:11" ht="20.100000000000001" customHeight="1" x14ac:dyDescent="0.2">
      <c r="A8" s="7" t="s">
        <v>0</v>
      </c>
      <c r="D8" s="134"/>
      <c r="E8" s="134"/>
    </row>
    <row r="9" spans="1:11" ht="20.100000000000001" customHeight="1" x14ac:dyDescent="0.2">
      <c r="A9" s="5" t="str">
        <f>HYPERLINK("#'Input - Enterprise'!A1", "Enterprise")</f>
        <v>Enterprise</v>
      </c>
    </row>
    <row r="10" spans="1:11" ht="20.100000000000001" customHeight="1" x14ac:dyDescent="0.2">
      <c r="A10" s="5" t="str">
        <f>HYPERLINK("#'Input - Site'!A1", "Site")</f>
        <v>Site</v>
      </c>
    </row>
    <row r="11" spans="1:11" ht="20.100000000000001" customHeight="1" x14ac:dyDescent="0.2">
      <c r="A11" s="5" t="str">
        <f>HYPERLINK("#'Input - Crop'!A1", "Crop")</f>
        <v>Crop</v>
      </c>
      <c r="D11" s="77" t="s">
        <v>371</v>
      </c>
      <c r="E11" s="1" t="s">
        <v>1332</v>
      </c>
    </row>
    <row r="12" spans="1:11" ht="20.100000000000001" customHeight="1" x14ac:dyDescent="0.2">
      <c r="A12" s="5" t="str">
        <f>HYPERLINK("#'Input - Fert Prod System'!A1", "Fert Prod System")</f>
        <v>Fert Prod System</v>
      </c>
      <c r="D12" s="77" t="s">
        <v>118</v>
      </c>
      <c r="E12" s="9" t="s">
        <v>7</v>
      </c>
    </row>
    <row r="13" spans="1:11" ht="20.100000000000001" customHeight="1" x14ac:dyDescent="0.2">
      <c r="A13" s="5" t="str">
        <f>HYPERLINK("#'Input - Fertiliser'!A1", "Fertiliser")</f>
        <v>Fertiliser</v>
      </c>
    </row>
    <row r="14" spans="1:11" ht="20.100000000000001" customHeight="1" x14ac:dyDescent="0.2">
      <c r="A14" s="5" t="str">
        <f>HYPERLINK("#'Input - Fuel'!A1", "Fuel")</f>
        <v>Fuel</v>
      </c>
      <c r="D14" s="150" t="s">
        <v>1333</v>
      </c>
      <c r="E14" s="147" t="s">
        <v>1334</v>
      </c>
      <c r="F14" s="159"/>
      <c r="G14" s="150" t="s">
        <v>503</v>
      </c>
      <c r="H14" s="141" t="s">
        <v>1034</v>
      </c>
      <c r="I14" s="147">
        <f>X_Cell_Electricity_Location_AmountPurchasedInkWh</f>
        <v>30000</v>
      </c>
      <c r="J14" s="159"/>
    </row>
    <row r="15" spans="1:11" ht="20.100000000000001" customHeight="1" x14ac:dyDescent="0.2">
      <c r="A15" s="5" t="str">
        <f>HYPERLINK("#'Input - Electricity'!A1", "Electricity")</f>
        <v>Electricity</v>
      </c>
      <c r="D15" s="150" t="s">
        <v>1335</v>
      </c>
      <c r="E15" s="147" t="s">
        <v>1336</v>
      </c>
      <c r="F15" s="159"/>
      <c r="G15" s="150" t="s">
        <v>1338</v>
      </c>
      <c r="H15" s="142" t="s">
        <v>1036</v>
      </c>
      <c r="I15" s="147" cm="1">
        <f t="array" ref="I15">Common_InputFunctions.Utility_LookupValueInTableNumber(I16,Table_SourceData_ElectricityEFs[State, Territory or grid description],Table_SourceData_ElectricityEFs[Scope 2 Emission Factors (kg CO2-e/kWh)])</f>
        <v>0.56000000000000005</v>
      </c>
      <c r="J15" s="159"/>
    </row>
    <row r="16" spans="1:11" ht="20.100000000000001" customHeight="1" x14ac:dyDescent="0.2">
      <c r="A16" s="5" t="str">
        <f>HYPERLINK("#'Input - Common farm inputs'!A1", "Common farm inputs")</f>
        <v>Common farm inputs</v>
      </c>
      <c r="D16" s="150" t="s">
        <v>1268</v>
      </c>
      <c r="E16" s="147" t="s">
        <v>1337</v>
      </c>
      <c r="F16" s="159"/>
      <c r="G16" s="150"/>
      <c r="H16" s="141" t="s">
        <v>1034</v>
      </c>
      <c r="I16" s="147" t="str">
        <f>X_Cell_Electricity_Location_GridElectricityPurchasedFrom</f>
        <v>Western Australia - North Western Interconnected System (NWIS)</v>
      </c>
      <c r="J16" s="159"/>
    </row>
    <row r="17" spans="1:11" ht="20.100000000000001" customHeight="1" x14ac:dyDescent="0.2">
      <c r="A17" s="5" t="str">
        <f>HYPERLINK("#'Input - Crop pasture farm input'!A1", "Crop pasture farm input")</f>
        <v>Crop pasture farm input</v>
      </c>
    </row>
    <row r="18" spans="1:11" ht="20.100000000000001" customHeight="1" x14ac:dyDescent="0.2">
      <c r="A18" s="5" t="str">
        <f>HYPERLINK("#'Input - Freight'!A1", "Freight")</f>
        <v>Freight</v>
      </c>
      <c r="D18" s="87" t="s">
        <v>533</v>
      </c>
      <c r="E18" s="88">
        <f>(I14 * I15 * 10 ^ -3)</f>
        <v>16.8</v>
      </c>
      <c r="F18" s="97" t="str">
        <f>$E$12</f>
        <v>t CO2e</v>
      </c>
    </row>
    <row r="19" spans="1:11" ht="20.100000000000001" customHeight="1" x14ac:dyDescent="0.2">
      <c r="A19" s="5" t="str">
        <f>HYPERLINK("#'Input - Solid waste'!A1", "Solid waste")</f>
        <v>Solid waste</v>
      </c>
    </row>
    <row r="20" spans="1:11" ht="20.100000000000001" customHeight="1" x14ac:dyDescent="0.2">
      <c r="A20" s="5" t="str">
        <f>HYPERLINK("#'Input - Data quality'!A1", "Data quality")</f>
        <v>Data quality</v>
      </c>
    </row>
    <row r="21" spans="1:11" ht="20.100000000000001" customHeight="1" x14ac:dyDescent="0.2">
      <c r="C21" s="85"/>
      <c r="D21" s="85"/>
      <c r="E21" s="85"/>
      <c r="F21" s="85"/>
      <c r="G21" s="85"/>
      <c r="H21" s="85"/>
      <c r="I21" s="85"/>
      <c r="J21" s="85"/>
      <c r="K21" s="85"/>
    </row>
    <row r="22" spans="1:11" ht="20.100000000000001" customHeight="1" x14ac:dyDescent="0.2">
      <c r="D22" s="2" t="s">
        <v>1339</v>
      </c>
    </row>
    <row r="23" spans="1:11" ht="20.100000000000001" customHeight="1" x14ac:dyDescent="0.2">
      <c r="A23" s="6" t="s">
        <v>2</v>
      </c>
      <c r="D23" s="17" t="s">
        <v>1340</v>
      </c>
    </row>
    <row r="24" spans="1:11" ht="20.100000000000001" customHeight="1" x14ac:dyDescent="0.2">
      <c r="A24" s="5" t="str">
        <f>HYPERLINK("#'5.1.1.1-2 Inorganic fert N2O'!A1", "5.1.1.1-2 Inorganic fert N2O")</f>
        <v>5.1.1.1-2 Inorganic fert N2O</v>
      </c>
      <c r="D24" s="26" t="s">
        <v>1341</v>
      </c>
    </row>
    <row r="25" spans="1:11" ht="20.100000000000001" customHeight="1" x14ac:dyDescent="0.2">
      <c r="A25" s="5" t="str">
        <f>HYPERLINK("#'5.1.1.3-4 Inorganic fert CO2'!A1", "5.1.1.3-4 Inorganic fert CO2")</f>
        <v>5.1.1.3-4 Inorganic fert CO2</v>
      </c>
      <c r="D25" s="134"/>
      <c r="E25" s="134"/>
    </row>
    <row r="26" spans="1:11" ht="20.100000000000001" customHeight="1" x14ac:dyDescent="0.2">
      <c r="A26" s="5" t="str">
        <f>HYPERLINK("#'5.2.1.1-2 Organic Fert N2O'!A1", "5.2.1.1-2 Organic fert N2O")</f>
        <v>5.2.1.1-2 Organic fert N2O</v>
      </c>
    </row>
    <row r="27" spans="1:11" ht="20.100000000000001" customHeight="1" x14ac:dyDescent="0.2">
      <c r="A27" s="5" t="str">
        <f>HYPERLINK("#'5.3.1.1-2 Lime CO2'!A1", "5.3.1.1-2 Lime CO2")</f>
        <v>5.3.1.1-2 Lime CO2</v>
      </c>
    </row>
    <row r="28" spans="1:11" ht="20.100000000000001" customHeight="1" x14ac:dyDescent="0.2">
      <c r="A28" s="5" t="str">
        <f>HYPERLINK("#'5.4.1.1-4 Atmos deposition'!A1", "5.4.1.1-4 Atmos. deposition")</f>
        <v>5.4.1.1-4 Atmos. deposition</v>
      </c>
      <c r="D28" s="77" t="s">
        <v>371</v>
      </c>
      <c r="E28" s="1" t="s">
        <v>1332</v>
      </c>
    </row>
    <row r="29" spans="1:11" ht="20.100000000000001" customHeight="1" x14ac:dyDescent="0.2">
      <c r="A29" s="5" t="str">
        <f>HYPERLINK("#'5.5.1.1-2 Leaching and runoff'!A1", "5.5.1.1-2 Leaching &amp; runoff")</f>
        <v>5.5.1.1-2 Leaching &amp; runoff</v>
      </c>
      <c r="D29" s="77" t="s">
        <v>118</v>
      </c>
      <c r="E29" s="9" t="s">
        <v>7</v>
      </c>
    </row>
    <row r="30" spans="1:11" ht="20.100000000000001" customHeight="1" x14ac:dyDescent="0.2">
      <c r="A30" s="5" t="str">
        <f>HYPERLINK("#'6.1.1.1-2 Crop residue N2O'!A1", "6.1.1.1-2 Crop residue N2O")</f>
        <v>6.1.1.1-2 Crop residue N2O</v>
      </c>
    </row>
    <row r="31" spans="1:11" ht="20.100000000000001" customHeight="1" x14ac:dyDescent="0.2">
      <c r="A31" s="5" t="str">
        <f>HYPERLINK("#'6.3.1.1-2 Leach runoff crop'!A1", "6.3.1.1-2 Leach &amp; runoff (crop)")</f>
        <v>6.3.1.1-2 Leach &amp; runoff (crop)</v>
      </c>
      <c r="D31" s="150" t="s">
        <v>1333</v>
      </c>
      <c r="E31" s="147" t="s">
        <v>1334</v>
      </c>
      <c r="F31" s="158"/>
      <c r="G31" s="158"/>
      <c r="H31" s="150" t="s">
        <v>503</v>
      </c>
      <c r="I31" s="141" t="s">
        <v>1034</v>
      </c>
      <c r="J31" s="150">
        <f>X_Cell_Electricity_Market_AmountPurchasedExcludingGreenPower</f>
        <v>30000</v>
      </c>
    </row>
    <row r="32" spans="1:11" ht="20.100000000000001" customHeight="1" x14ac:dyDescent="0.2">
      <c r="A32" s="5" t="str">
        <f>HYPERLINK("#'6.4.1.1-2 Residue burning'!A1", "6.4.1.1-2 Residue burning")</f>
        <v>6.4.1.1-2 Residue burning</v>
      </c>
      <c r="D32" s="150" t="s">
        <v>1342</v>
      </c>
      <c r="E32" s="147" t="s">
        <v>1343</v>
      </c>
      <c r="F32" s="158"/>
      <c r="G32" s="158"/>
      <c r="H32" s="150" t="s">
        <v>1352</v>
      </c>
      <c r="I32" s="141" t="s">
        <v>1034</v>
      </c>
      <c r="J32" s="174">
        <f>X_Cell_Electricity_Market_RenewablePowerPercentage</f>
        <v>0.1</v>
      </c>
    </row>
    <row r="33" spans="1:10" ht="20.100000000000001" customHeight="1" x14ac:dyDescent="0.2">
      <c r="A33" s="5" t="str">
        <f>HYPERLINK("#'8.1.1.1-2 Transport fuel'!A1", "8.1.1.1-2 Transport fuel")</f>
        <v>8.1.1.1-2 Transport fuel</v>
      </c>
      <c r="D33" s="150" t="s">
        <v>1344</v>
      </c>
      <c r="E33" s="147" t="s">
        <v>1345</v>
      </c>
      <c r="F33" s="158"/>
      <c r="G33" s="158"/>
      <c r="H33" s="150" t="s">
        <v>1352</v>
      </c>
      <c r="I33" s="141" t="s">
        <v>1034</v>
      </c>
      <c r="J33" s="174" t="str">
        <f>IF(J37="ACT", X_Cell_Electricity_Market_JurisdictionalRenewablePowerPercentage, "N/A")</f>
        <v>N/A</v>
      </c>
    </row>
    <row r="34" spans="1:10" ht="20.100000000000001" customHeight="1" x14ac:dyDescent="0.2">
      <c r="A34" s="5" t="str">
        <f>HYPERLINK("#'8.2.1.1-2 Stationary fuel'!A1", "8.2.1.1-2 Stationary fuel")</f>
        <v>8.2.1.1-2 Stationary fuel</v>
      </c>
      <c r="D34" s="150" t="s">
        <v>1346</v>
      </c>
      <c r="E34" s="147" t="s">
        <v>1347</v>
      </c>
      <c r="F34" s="158"/>
      <c r="G34" s="158"/>
      <c r="H34" s="150" t="s">
        <v>519</v>
      </c>
      <c r="I34" s="141" t="s">
        <v>1034</v>
      </c>
      <c r="J34" s="150">
        <f>(X_Cell_Electricity_Market_AmountPurchasedGreenPower*10^-3)+X_Cell_TotalElegibleVoluntarilySurrenderedRECs</f>
        <v>15</v>
      </c>
    </row>
    <row r="35" spans="1:10" ht="20.100000000000001" customHeight="1" x14ac:dyDescent="0.2">
      <c r="A35" s="5" t="str">
        <f>HYPERLINK("#'10.1.1-2 Solid waste treatment'!A1", "10.1.1.1-2 Solid waste")</f>
        <v>10.1.1.1-2 Solid waste</v>
      </c>
      <c r="D35" s="150" t="s">
        <v>1348</v>
      </c>
      <c r="E35" s="147" t="s">
        <v>1349</v>
      </c>
      <c r="F35" s="158"/>
      <c r="G35" s="158"/>
      <c r="H35" s="150" t="s">
        <v>519</v>
      </c>
      <c r="I35" s="141" t="s">
        <v>1034</v>
      </c>
      <c r="J35" s="150">
        <f>X_Cell_TotalElegibleRECsForElectricityProducedOnSite</f>
        <v>0</v>
      </c>
    </row>
    <row r="36" spans="1:10" ht="20.100000000000001" customHeight="1" x14ac:dyDescent="0.2">
      <c r="A36" s="144" t="str">
        <f>HYPERLINK("#'14.1.1-2 Purchased electricity'!A1", "14.1.1-2 Purchased electricity")</f>
        <v>14.1.1-2 Purchased electricity</v>
      </c>
      <c r="D36" s="150" t="s">
        <v>1350</v>
      </c>
      <c r="E36" s="147" t="s">
        <v>1351</v>
      </c>
      <c r="F36" s="158"/>
      <c r="G36" s="158"/>
      <c r="H36" s="150" t="s">
        <v>1338</v>
      </c>
      <c r="I36" s="142" t="s">
        <v>1036</v>
      </c>
      <c r="J36" s="150" cm="1">
        <f t="array" ref="J36">Table_SourceData_ElectricityEFsMarketBased[Scope 2 EF (kg CO2-e/kWh)]</f>
        <v>0.81</v>
      </c>
    </row>
    <row r="37" spans="1:10" ht="20.100000000000001" customHeight="1" x14ac:dyDescent="0.2">
      <c r="A37" s="5" t="str">
        <f>HYPERLINK("#'15 Scope 3'!A1", "15 Scope 3")</f>
        <v>15 Scope 3</v>
      </c>
      <c r="D37" s="150" t="s">
        <v>1101</v>
      </c>
      <c r="E37" s="147" t="s">
        <v>1298</v>
      </c>
      <c r="F37" s="158"/>
      <c r="G37" s="159"/>
      <c r="H37" s="150"/>
      <c r="I37" s="141" t="s">
        <v>1034</v>
      </c>
      <c r="J37" s="150" t="str">
        <f>X_Cell_Site_State</f>
        <v>Western Australia</v>
      </c>
    </row>
    <row r="39" spans="1:10" ht="20.100000000000001" customHeight="1" x14ac:dyDescent="0.2">
      <c r="D39" s="87" t="s">
        <v>533</v>
      </c>
      <c r="E39" s="88">
        <f>(((J31 * (1 - (J32 + (IF(ISNUMBER(J33), J33, 0))))) - ((J34 - J35) * 10 ^ 3)) * J36 * 10 ^ -3)</f>
        <v>9.7200000000000006</v>
      </c>
      <c r="F39" s="97" t="str">
        <f>E29</f>
        <v>t CO2e</v>
      </c>
    </row>
    <row r="40" spans="1:10" ht="20.100000000000001" customHeight="1" x14ac:dyDescent="0.2">
      <c r="A40" s="82" t="s">
        <v>1</v>
      </c>
      <c r="H40" s="1" t="s">
        <v>527</v>
      </c>
    </row>
    <row r="41" spans="1:10" ht="20.100000000000001" customHeight="1" x14ac:dyDescent="0.2">
      <c r="A41" s="5" t="str">
        <f>HYPERLINK("#'Constants - Ag Residue'!A1", "Constants - Ag residue")</f>
        <v>Constants - Ag residue</v>
      </c>
    </row>
    <row r="42" spans="1:10" ht="20.100000000000001" customHeight="1" x14ac:dyDescent="0.2">
      <c r="A42" s="5" t="str">
        <f>HYPERLINK("#'Constants - Electricity'!A1", "Constants - Electricity")</f>
        <v>Constants - Electricity</v>
      </c>
    </row>
    <row r="43" spans="1:10" ht="20.100000000000001" customHeight="1" x14ac:dyDescent="0.2">
      <c r="A43" s="5" t="str">
        <f>HYPERLINK("#'Constants - Fertiliser'!A1", "Constants - Fertiliser")</f>
        <v>Constants - Fertiliser</v>
      </c>
    </row>
    <row r="44" spans="1:10" ht="20.100000000000001" customHeight="1" x14ac:dyDescent="0.2">
      <c r="A44" s="5" t="str">
        <f>HYPERLINK("#'Constants - Fuel'!A1", "Constants - Fuel")</f>
        <v>Constants - Fuel</v>
      </c>
      <c r="E44" s="116"/>
    </row>
    <row r="45" spans="1:10" ht="20.100000000000001" customHeight="1" x14ac:dyDescent="0.2">
      <c r="A45" s="5" t="str">
        <f>HYPERLINK("#'Constants - Scope 3'!A1", "Constants - Scope 3")</f>
        <v>Constants - Scope 3</v>
      </c>
    </row>
    <row r="46" spans="1:10" ht="20.100000000000001" customHeight="1" x14ac:dyDescent="0.2">
      <c r="A46" s="5" t="str">
        <f>HYPERLINK("#'Constants - Solid Waste'!A1", "Constants - Solid Waste")</f>
        <v>Constants - Solid Waste</v>
      </c>
    </row>
    <row r="47" spans="1:10" ht="20.100000000000001" customHeight="1" x14ac:dyDescent="0.2">
      <c r="A47" s="5" t="str">
        <f>HYPERLINK("#'Constants - Common'!A1", "Constants - Common")</f>
        <v>Constants - Common</v>
      </c>
    </row>
    <row r="48" spans="1:10" ht="20.100000000000001" customHeight="1" x14ac:dyDescent="0.2">
      <c r="A48" s="5" t="str">
        <f>HYPERLINK("#'Constants - Common Livestock'!A1", "Constants - Common Livestock")</f>
        <v>Constants - Common Livestock</v>
      </c>
    </row>
    <row r="341" spans="8:8" ht="20.100000000000001" customHeight="1" x14ac:dyDescent="0.2">
      <c r="H341" s="8"/>
    </row>
    <row r="342" spans="8:8" ht="20.100000000000001" customHeight="1" x14ac:dyDescent="0.2">
      <c r="H342" s="8"/>
    </row>
  </sheetData>
  <dataValidations count="1">
    <dataValidation operator="equal" allowBlank="1" showInputMessage="1" showErrorMessage="1" sqref="E269 E228 G132 I129:I133 F134:I134 F129:F132 H128:H132 G129 F148:I148 I149 F150:I150" xr:uid="{2DDE9438-3AA0-4AD5-B2CF-143C897D23C2}"/>
  </dataValidations>
  <pageMargins left="0.7" right="0.7" top="0.75" bottom="0.75" header="0.3" footer="0.3"/>
  <pageSetup paperSize="9"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CF40A-09F1-428C-9F5D-23D73BDB6671}">
  <sheetPr>
    <tabColor theme="9" tint="-0.249977111117893"/>
  </sheetPr>
  <dimension ref="A1:AO657"/>
  <sheetViews>
    <sheetView showGridLines="0" zoomScaleNormal="100" workbookViewId="0">
      <pane xSplit="1" topLeftCell="B1" activePane="topRight" state="frozenSplit"/>
      <selection pane="topRight" activeCell="A47" sqref="A47"/>
    </sheetView>
  </sheetViews>
  <sheetFormatPr defaultRowHeight="20.100000000000001" customHeight="1" x14ac:dyDescent="0.2"/>
  <cols>
    <col min="1" max="1" width="36.7109375" customWidth="1"/>
    <col min="2" max="2" width="4.5703125" customWidth="1"/>
    <col min="3" max="3" width="4.5703125" style="1" customWidth="1"/>
    <col min="4" max="40" width="30.5703125" style="1" customWidth="1"/>
    <col min="41" max="41" width="4.5703125" style="1" customWidth="1"/>
  </cols>
  <sheetData>
    <row r="1" spans="1:41" s="21" customFormat="1" ht="30" customHeight="1" x14ac:dyDescent="0.35">
      <c r="A1" s="10" t="e" vm="1">
        <v>#VALUE!</v>
      </c>
      <c r="C1" s="21" t="s">
        <v>850</v>
      </c>
    </row>
    <row r="2" spans="1:41" s="3" customFormat="1" ht="20.100000000000001" customHeight="1" x14ac:dyDescent="0.2">
      <c r="A2"/>
    </row>
    <row r="3" spans="1:41" ht="20.100000000000001" customHeight="1" x14ac:dyDescent="0.2">
      <c r="A3" s="5" t="str">
        <f>HYPERLINK("#'Home'!A1", "Home")</f>
        <v>Home</v>
      </c>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row>
    <row r="4" spans="1:41" ht="20.100000000000001" customHeight="1" x14ac:dyDescent="0.2">
      <c r="A4" s="5" t="str">
        <f>HYPERLINK("#'Results - Activity period'!A1", "Results - Activity period")</f>
        <v>Results - Activity period</v>
      </c>
    </row>
    <row r="5" spans="1:41" ht="20.100000000000001" customHeight="1" x14ac:dyDescent="0.2">
      <c r="A5" s="5" t="str">
        <f>HYPERLINK("#'Results - Product EI'!A1", "Results - Product EI")</f>
        <v>Results - Product EI</v>
      </c>
      <c r="D5" s="2" t="s">
        <v>1353</v>
      </c>
    </row>
    <row r="6" spans="1:41" ht="20.100000000000001" customHeight="1" x14ac:dyDescent="0.2">
      <c r="D6" s="17" t="s">
        <v>1354</v>
      </c>
    </row>
    <row r="7" spans="1:41" ht="20.100000000000001" customHeight="1" x14ac:dyDescent="0.2">
      <c r="D7" s="134"/>
      <c r="E7" s="134"/>
    </row>
    <row r="8" spans="1:41" ht="20.100000000000001" customHeight="1" x14ac:dyDescent="0.2">
      <c r="A8" s="7" t="s">
        <v>0</v>
      </c>
    </row>
    <row r="9" spans="1:41" ht="20.100000000000001" customHeight="1" x14ac:dyDescent="0.2">
      <c r="A9" s="5" t="str">
        <f>HYPERLINK("#'Input - Enterprise'!A1", "Enterprise")</f>
        <v>Enterprise</v>
      </c>
      <c r="H9" s="134"/>
    </row>
    <row r="10" spans="1:41" ht="20.100000000000001" customHeight="1" x14ac:dyDescent="0.2">
      <c r="A10" s="5" t="str">
        <f>HYPERLINK("#'Input - Site'!A1", "Site")</f>
        <v>Site</v>
      </c>
      <c r="D10" s="77" t="s">
        <v>371</v>
      </c>
      <c r="E10" s="1" t="s">
        <v>967</v>
      </c>
    </row>
    <row r="11" spans="1:41" ht="20.100000000000001" customHeight="1" x14ac:dyDescent="0.2">
      <c r="A11" s="5" t="str">
        <f>HYPERLINK("#'Input - Crop'!A1", "Crop")</f>
        <v>Crop</v>
      </c>
      <c r="D11" s="77" t="s">
        <v>118</v>
      </c>
      <c r="E11" s="9" t="s">
        <v>7</v>
      </c>
    </row>
    <row r="12" spans="1:41" ht="20.100000000000001" customHeight="1" x14ac:dyDescent="0.2">
      <c r="A12" s="5" t="str">
        <f>HYPERLINK("#'Input - Fert Prod System'!A1", "Fert Prod System")</f>
        <v>Fert Prod System</v>
      </c>
    </row>
    <row r="13" spans="1:41" ht="20.100000000000001" customHeight="1" x14ac:dyDescent="0.2">
      <c r="A13" s="5" t="str">
        <f>HYPERLINK("#'Input - Fertiliser'!A1", "Fertiliser")</f>
        <v>Fertiliser</v>
      </c>
      <c r="D13" s="150" t="s">
        <v>1355</v>
      </c>
      <c r="E13" s="147" t="s">
        <v>1356</v>
      </c>
      <c r="F13" s="159"/>
      <c r="G13" s="150" t="s">
        <v>1364</v>
      </c>
      <c r="H13" s="238" t="s">
        <v>1034</v>
      </c>
    </row>
    <row r="14" spans="1:41" ht="20.100000000000001" customHeight="1" x14ac:dyDescent="0.2">
      <c r="A14" s="5" t="str">
        <f>HYPERLINK("#'Input - Fuel'!A1", "Fuel")</f>
        <v>Fuel</v>
      </c>
      <c r="D14" s="150" t="s">
        <v>1357</v>
      </c>
      <c r="E14" s="147" t="s">
        <v>1358</v>
      </c>
      <c r="F14" s="159"/>
      <c r="G14" s="150" t="s">
        <v>1365</v>
      </c>
      <c r="H14" s="238" t="s">
        <v>1034</v>
      </c>
    </row>
    <row r="15" spans="1:41" ht="20.100000000000001" customHeight="1" x14ac:dyDescent="0.2">
      <c r="A15" s="5" t="str">
        <f>HYPERLINK("#'Input - Electricity'!A1", "Electricity")</f>
        <v>Electricity</v>
      </c>
      <c r="D15" s="150" t="s">
        <v>1359</v>
      </c>
      <c r="E15" s="147" t="s">
        <v>1360</v>
      </c>
      <c r="F15" s="159"/>
      <c r="G15" s="150" t="s">
        <v>1366</v>
      </c>
      <c r="H15" s="142" t="s">
        <v>1036</v>
      </c>
    </row>
    <row r="16" spans="1:41" ht="20.100000000000001" customHeight="1" x14ac:dyDescent="0.2">
      <c r="A16" s="5" t="str">
        <f>HYPERLINK("#'Input - Common farm inputs'!A1", "Common farm inputs")</f>
        <v>Common farm inputs</v>
      </c>
      <c r="D16" s="150" t="s">
        <v>1069</v>
      </c>
      <c r="E16" s="147" t="s">
        <v>1361</v>
      </c>
      <c r="F16" s="159"/>
      <c r="G16" s="150"/>
      <c r="H16" s="238" t="s">
        <v>1034</v>
      </c>
    </row>
    <row r="17" spans="1:16" ht="20.100000000000001" customHeight="1" x14ac:dyDescent="0.2">
      <c r="A17" s="5" t="str">
        <f>HYPERLINK("#'Input - Crop pasture farm input'!A1", "Crop pasture farm input")</f>
        <v>Crop pasture farm input</v>
      </c>
      <c r="D17" s="150" t="s">
        <v>1362</v>
      </c>
      <c r="E17" s="147" t="s">
        <v>1363</v>
      </c>
      <c r="F17" s="159"/>
      <c r="G17" s="150"/>
      <c r="H17" s="238" t="s">
        <v>1034</v>
      </c>
    </row>
    <row r="18" spans="1:16" ht="20.100000000000001" customHeight="1" x14ac:dyDescent="0.2">
      <c r="A18" s="5" t="str">
        <f>HYPERLINK("#'Input - Freight'!A1", "Freight")</f>
        <v>Freight</v>
      </c>
    </row>
    <row r="19" spans="1:16" ht="20.100000000000001" customHeight="1" x14ac:dyDescent="0.2">
      <c r="A19" s="5" t="str">
        <f>HYPERLINK("#'Input - Solid waste'!A1", "Solid waste")</f>
        <v>Solid waste</v>
      </c>
      <c r="D19" s="36" t="s">
        <v>851</v>
      </c>
      <c r="E19" s="38"/>
      <c r="F19" s="39"/>
    </row>
    <row r="20" spans="1:16" ht="20.100000000000001" customHeight="1" x14ac:dyDescent="0.2">
      <c r="A20" s="5" t="str">
        <f>HYPERLINK("#'Input - Data quality'!A1", "Data quality")</f>
        <v>Data quality</v>
      </c>
    </row>
    <row r="21" spans="1:16" ht="20.100000000000001" customHeight="1" x14ac:dyDescent="0.2">
      <c r="D21" s="233" t="s">
        <v>852</v>
      </c>
    </row>
    <row r="22" spans="1:16" ht="20.100000000000001" customHeight="1" x14ac:dyDescent="0.2">
      <c r="D22" s="80" t="s">
        <v>853</v>
      </c>
      <c r="E22" s="239" t="s">
        <v>854</v>
      </c>
      <c r="F22" s="239" t="s">
        <v>855</v>
      </c>
      <c r="G22" s="239" t="s">
        <v>856</v>
      </c>
      <c r="H22" s="239" t="s">
        <v>857</v>
      </c>
      <c r="I22" s="138" t="s">
        <v>858</v>
      </c>
      <c r="J22" s="138" t="s">
        <v>859</v>
      </c>
      <c r="K22" s="239" t="s">
        <v>860</v>
      </c>
      <c r="L22" s="80" t="s">
        <v>861</v>
      </c>
      <c r="M22" s="138" t="s">
        <v>862</v>
      </c>
      <c r="N22" s="80" t="s">
        <v>863</v>
      </c>
      <c r="O22" s="80" t="s">
        <v>864</v>
      </c>
      <c r="P22" s="80" t="s">
        <v>865</v>
      </c>
    </row>
    <row r="23" spans="1:16" ht="20.100000000000001" customHeight="1" x14ac:dyDescent="0.2">
      <c r="A23" s="6" t="s">
        <v>2</v>
      </c>
      <c r="D23" s="15"/>
      <c r="E23" s="15"/>
      <c r="F23" s="15"/>
      <c r="G23" s="15"/>
      <c r="H23" s="15"/>
      <c r="I23" s="15" cm="1">
        <f t="array" ref="I23">Common_InputFunctions.Utility_LookupValueInTableTwoColumns(E23,F23,Table_SourceData_Scope3_Animals[Product],Table_SourceData_Scope3_Animals[Region of origin],Table_SourceData_Scope3_Animals[Emissions intensity], 0)</f>
        <v>0</v>
      </c>
      <c r="J23" s="240">
        <f>((G23 * H23 * I23) * 10 ^ -3)</f>
        <v>0</v>
      </c>
      <c r="K23" s="15"/>
      <c r="L23" s="76">
        <v>20</v>
      </c>
      <c r="M23" s="240">
        <f>((G23 * K23 * (IF(L23, L23, I23))) * 10 ^ -3)</f>
        <v>0</v>
      </c>
      <c r="N23" s="34" t="s">
        <v>866</v>
      </c>
      <c r="O23" s="13" t="s">
        <v>867</v>
      </c>
      <c r="P23" t="s">
        <v>868</v>
      </c>
    </row>
    <row r="24" spans="1:16" ht="20.100000000000001" customHeight="1" x14ac:dyDescent="0.2">
      <c r="A24" s="5" t="str">
        <f>HYPERLINK("#'5.1.1.1-2 Inorganic fert N2O'!A1", "5.1.1.1-2 Inorganic fert N2O")</f>
        <v>5.1.1.1-2 Inorganic fert N2O</v>
      </c>
      <c r="D24" s="15"/>
      <c r="E24" s="15"/>
      <c r="F24" s="15"/>
      <c r="G24" s="15"/>
      <c r="H24" s="15"/>
      <c r="I24" s="15" cm="1">
        <f t="array" ref="I24">Common_InputFunctions.Utility_LookupValueInTableTwoColumns(E24,F24,Table_SourceData_Scope3_Animals[Product],Table_SourceData_Scope3_Animals[Region of origin],Table_SourceData_Scope3_Animals[Emissions intensity], 0)</f>
        <v>0</v>
      </c>
      <c r="J24" s="240">
        <f>((G24 * H24 * I24) * 10 ^ -3)</f>
        <v>0</v>
      </c>
      <c r="K24" s="15"/>
      <c r="L24" s="76">
        <v>13</v>
      </c>
      <c r="M24" s="240">
        <f>((G24 * K24 * (IF(L24, L24, I24))) * 10 ^ -3)</f>
        <v>0</v>
      </c>
      <c r="N24" s="34"/>
      <c r="O24" s="13"/>
      <c r="P24" s="34"/>
    </row>
    <row r="25" spans="1:16" ht="20.100000000000001" customHeight="1" x14ac:dyDescent="0.2">
      <c r="A25" s="5" t="str">
        <f>HYPERLINK("#'5.1.1.3-4 Inorganic fert CO2'!A1", "5.1.1.3-4 Inorganic fert CO2")</f>
        <v>5.1.1.3-4 Inorganic fert CO2</v>
      </c>
      <c r="D25" s="15"/>
      <c r="E25" s="15"/>
      <c r="F25" s="15"/>
      <c r="G25" s="15"/>
      <c r="H25" s="15"/>
      <c r="I25" s="15" cm="1">
        <f t="array" ref="I25">Common_InputFunctions.Utility_LookupValueInTableTwoColumns(E25,F25,Table_SourceData_Scope3_Animals[Product],Table_SourceData_Scope3_Animals[Region of origin],Table_SourceData_Scope3_Animals[Emissions intensity], 0)</f>
        <v>0</v>
      </c>
      <c r="J25" s="240">
        <f>((G25 * H25 * I25) * 10 ^ -3)</f>
        <v>0</v>
      </c>
      <c r="K25" s="15"/>
      <c r="L25" s="76"/>
      <c r="M25" s="240">
        <f>((G25 * K25 * (IF(L25, L25, I25))) * 10 ^ -3)</f>
        <v>0</v>
      </c>
      <c r="N25" s="34"/>
      <c r="O25" s="13"/>
      <c r="P25" s="34"/>
    </row>
    <row r="26" spans="1:16" ht="20.100000000000001" customHeight="1" x14ac:dyDescent="0.2">
      <c r="A26" s="5" t="str">
        <f>HYPERLINK("#'5.2.1.1-2 Organic Fert N2O'!A1", "5.2.1.1-2 Organic fert N2O")</f>
        <v>5.2.1.1-2 Organic fert N2O</v>
      </c>
      <c r="D26" s="15"/>
      <c r="E26" s="15"/>
      <c r="F26" s="15"/>
      <c r="G26" s="15"/>
      <c r="H26" s="15"/>
      <c r="I26" s="15" cm="1">
        <f t="array" ref="I26">Common_InputFunctions.Utility_LookupValueInTableTwoColumns(E26,F26,Table_SourceData_Scope3_Animals[Product],Table_SourceData_Scope3_Animals[Region of origin],Table_SourceData_Scope3_Animals[Emissions intensity], 0)</f>
        <v>0</v>
      </c>
      <c r="J26" s="240">
        <f>((G26 * H26 * I26) * 10 ^ -3)</f>
        <v>0</v>
      </c>
      <c r="K26" s="15"/>
      <c r="L26" s="76"/>
      <c r="M26" s="240">
        <f>((G26 * K26 * (IF(L26, L26, I26))) * 10 ^ -3)</f>
        <v>0</v>
      </c>
      <c r="N26" s="34"/>
      <c r="O26" s="13"/>
      <c r="P26" s="34"/>
    </row>
    <row r="27" spans="1:16" ht="20.100000000000001" customHeight="1" x14ac:dyDescent="0.2">
      <c r="A27" s="5" t="str">
        <f>HYPERLINK("#'5.3.1.1-2 Lime CO2'!A1", "5.3.1.1-2 Lime CO2")</f>
        <v>5.3.1.1-2 Lime CO2</v>
      </c>
      <c r="D27" s="15"/>
      <c r="E27" s="15"/>
      <c r="F27" s="15"/>
      <c r="G27" s="15"/>
      <c r="H27" s="15"/>
      <c r="I27" s="15" cm="1">
        <f t="array" ref="I27">Common_InputFunctions.Utility_LookupValueInTableTwoColumns(E27,F27,Table_SourceData_Scope3_Animals[Product],Table_SourceData_Scope3_Animals[Region of origin],Table_SourceData_Scope3_Animals[Emissions intensity], 0)</f>
        <v>0</v>
      </c>
      <c r="J27" s="240">
        <f>((G27 * H27 * I27) * 10 ^ -3)</f>
        <v>0</v>
      </c>
      <c r="K27" s="15"/>
      <c r="L27" s="76"/>
      <c r="M27" s="240">
        <f>((G27 * K27 * (IF(L27, L27, I27))) * 10 ^ -3)</f>
        <v>0</v>
      </c>
      <c r="N27" s="34"/>
      <c r="O27" s="13"/>
      <c r="P27" s="34"/>
    </row>
    <row r="28" spans="1:16" ht="20.100000000000001" customHeight="1" x14ac:dyDescent="0.2">
      <c r="A28" s="5" t="str">
        <f>HYPERLINK("#'5.4.1.1-4 Atmos deposition'!A1", "5.4.1.1-4 Atmos. deposition")</f>
        <v>5.4.1.1-4 Atmos. deposition</v>
      </c>
      <c r="D28" s="15"/>
      <c r="E28" s="15"/>
      <c r="F28" s="15"/>
      <c r="G28" s="15"/>
      <c r="H28" s="15"/>
      <c r="I28" s="15" cm="1">
        <f t="array" ref="I28">Common_InputFunctions.Utility_LookupValueInTableTwoColumns(E28,F28,Table_SourceData_Scope3_Animals[Product],Table_SourceData_Scope3_Animals[Region of origin],Table_SourceData_Scope3_Animals[Emissions intensity], 0)</f>
        <v>0</v>
      </c>
      <c r="J28" s="240">
        <f>((G28 * H28 * I28) * 10 ^ -3)</f>
        <v>0</v>
      </c>
      <c r="K28" s="15"/>
      <c r="L28" s="76"/>
      <c r="M28" s="240">
        <f>((G28 * K28 * (IF(L28, L28, I28))) * 10 ^ -3)</f>
        <v>0</v>
      </c>
      <c r="N28" s="34"/>
      <c r="O28" s="13"/>
      <c r="P28" s="34"/>
    </row>
    <row r="29" spans="1:16" ht="20.100000000000001" customHeight="1" x14ac:dyDescent="0.2">
      <c r="A29" s="5" t="str">
        <f>HYPERLINK("#'5.5.1.1-2 Leaching and runoff'!A1", "5.5.1.1-2 Leaching &amp; runoff")</f>
        <v>5.5.1.1-2 Leaching &amp; runoff</v>
      </c>
      <c r="D29" s="15"/>
      <c r="E29" s="15"/>
      <c r="F29" s="15"/>
      <c r="G29" s="15"/>
      <c r="H29" s="15"/>
      <c r="I29" s="15" cm="1">
        <f t="array" ref="I29">Common_InputFunctions.Utility_LookupValueInTableTwoColumns(E29,F29,Table_SourceData_Scope3_Animals[Product],Table_SourceData_Scope3_Animals[Region of origin],Table_SourceData_Scope3_Animals[Emissions intensity], 0)</f>
        <v>0</v>
      </c>
      <c r="J29" s="240">
        <f>((G29 * H29 * I29) * 10 ^ -3)</f>
        <v>0</v>
      </c>
      <c r="K29" s="15"/>
      <c r="L29" s="76"/>
      <c r="M29" s="240">
        <f>((G29 * K29 * (IF(L29, L29, I29))) * 10 ^ -3)</f>
        <v>0</v>
      </c>
      <c r="N29" s="34"/>
      <c r="O29" s="13"/>
      <c r="P29" s="34"/>
    </row>
    <row r="30" spans="1:16" ht="20.100000000000001" customHeight="1" x14ac:dyDescent="0.2">
      <c r="A30" s="5" t="str">
        <f>HYPERLINK("#'6.1.1.1-2 Crop residue N2O'!A1", "6.1.1.1-2 Crop residue N2O")</f>
        <v>6.1.1.1-2 Crop residue N2O</v>
      </c>
      <c r="D30" s="15"/>
      <c r="E30" s="15"/>
      <c r="F30" s="15"/>
      <c r="G30" s="15"/>
      <c r="H30" s="15"/>
      <c r="I30" s="15" cm="1">
        <f t="array" ref="I30">Common_InputFunctions.Utility_LookupValueInTableTwoColumns(E30,F30,Table_SourceData_Scope3_Animals[Product],Table_SourceData_Scope3_Animals[Region of origin],Table_SourceData_Scope3_Animals[Emissions intensity], 0)</f>
        <v>0</v>
      </c>
      <c r="J30" s="240">
        <f>((G30 * H30 * I30) * 10 ^ -3)</f>
        <v>0</v>
      </c>
      <c r="K30" s="15"/>
      <c r="L30" s="76"/>
      <c r="M30" s="240">
        <f>((G30 * K30 * (IF(L30, L30, I30))) * 10 ^ -3)</f>
        <v>0</v>
      </c>
      <c r="N30" s="34"/>
      <c r="O30" s="13"/>
      <c r="P30" s="34"/>
    </row>
    <row r="31" spans="1:16" ht="20.100000000000001" customHeight="1" x14ac:dyDescent="0.2">
      <c r="A31" s="5" t="str">
        <f>HYPERLINK("#'6.3.1.1-2 Leach runoff crop'!A1", "6.3.1.1-2 Leach &amp; runoff (crop)")</f>
        <v>6.3.1.1-2 Leach &amp; runoff (crop)</v>
      </c>
      <c r="D31" s="15"/>
      <c r="E31" s="15"/>
      <c r="F31" s="15"/>
      <c r="G31" s="15"/>
      <c r="H31" s="15"/>
      <c r="I31" s="15" cm="1">
        <f t="array" ref="I31">Common_InputFunctions.Utility_LookupValueInTableTwoColumns(E31,F31,Table_SourceData_Scope3_Animals[Product],Table_SourceData_Scope3_Animals[Region of origin],Table_SourceData_Scope3_Animals[Emissions intensity], 0)</f>
        <v>0</v>
      </c>
      <c r="J31" s="240">
        <f>((G31 * H31 * I31) * 10 ^ -3)</f>
        <v>0</v>
      </c>
      <c r="K31" s="15"/>
      <c r="L31" s="76"/>
      <c r="M31" s="240">
        <f>((G31 * K31 * (IF(L31, L31, I31))) * 10 ^ -3)</f>
        <v>0</v>
      </c>
      <c r="N31" s="34"/>
      <c r="O31" s="13"/>
      <c r="P31" s="34"/>
    </row>
    <row r="32" spans="1:16" ht="20.100000000000001" customHeight="1" x14ac:dyDescent="0.2">
      <c r="A32" s="5" t="str">
        <f>HYPERLINK("#'6.4.1.1-2 Residue burning'!A1", "6.4.1.1-2 Residue burning")</f>
        <v>6.4.1.1-2 Residue burning</v>
      </c>
      <c r="D32" s="15"/>
      <c r="E32" s="15"/>
      <c r="F32" s="15"/>
      <c r="G32" s="15"/>
      <c r="H32" s="15"/>
      <c r="I32" s="15" cm="1">
        <f t="array" ref="I32">Common_InputFunctions.Utility_LookupValueInTableTwoColumns(E32,F32,Table_SourceData_Scope3_Animals[Product],Table_SourceData_Scope3_Animals[Region of origin],Table_SourceData_Scope3_Animals[Emissions intensity], 0)</f>
        <v>0</v>
      </c>
      <c r="J32" s="240">
        <f>((G32 * H32 * I32) * 10 ^ -3)</f>
        <v>0</v>
      </c>
      <c r="K32" s="15"/>
      <c r="L32" s="76"/>
      <c r="M32" s="240">
        <f>((G32 * K32 * (IF(L32, L32, I32))) * 10 ^ -3)</f>
        <v>0</v>
      </c>
      <c r="N32" s="34"/>
      <c r="O32" s="13"/>
      <c r="P32" s="34"/>
    </row>
    <row r="33" spans="1:13" ht="20.100000000000001" customHeight="1" x14ac:dyDescent="0.2">
      <c r="A33" s="5" t="str">
        <f>HYPERLINK("#'8.1.1.1-2 Transport fuel'!A1", "8.1.1.1-2 Transport fuel")</f>
        <v>8.1.1.1-2 Transport fuel</v>
      </c>
    </row>
    <row r="34" spans="1:13" ht="20.100000000000001" customHeight="1" x14ac:dyDescent="0.2">
      <c r="A34" s="5" t="str">
        <f>HYPERLINK("#'8.2.1.1-2 Stationary fuel'!A1", "8.2.1.1-2 Stationary fuel")</f>
        <v>8.2.1.1-2 Stationary fuel</v>
      </c>
      <c r="D34" s="90" t="s">
        <v>869</v>
      </c>
      <c r="E34" s="85">
        <f>SUM(J23:J32)</f>
        <v>0</v>
      </c>
      <c r="F34" s="91" t="str">
        <f>$E$11</f>
        <v>t CO2e</v>
      </c>
    </row>
    <row r="35" spans="1:13" ht="20.100000000000001" customHeight="1" x14ac:dyDescent="0.2">
      <c r="A35" s="5" t="str">
        <f>HYPERLINK("#'10.1.1-2 Solid waste treatment'!A1", "10.1.1.1-2 Solid waste")</f>
        <v>10.1.1.1-2 Solid waste</v>
      </c>
      <c r="D35" s="90" t="s">
        <v>870</v>
      </c>
      <c r="E35" s="85">
        <f>SUM(M23:M32)</f>
        <v>0</v>
      </c>
      <c r="F35" s="91" t="str">
        <f>$E$11</f>
        <v>t CO2e</v>
      </c>
    </row>
    <row r="36" spans="1:13" ht="20.100000000000001" customHeight="1" x14ac:dyDescent="0.2">
      <c r="A36" s="5" t="str">
        <f>HYPERLINK("#'14.1.1-2 Purchased electricity'!A1", "14.1.1-2 Purchased electricity")</f>
        <v>14.1.1-2 Purchased electricity</v>
      </c>
    </row>
    <row r="37" spans="1:13" ht="20.100000000000001" customHeight="1" x14ac:dyDescent="0.2">
      <c r="A37" s="144" t="str">
        <f>HYPERLINK("#'15 Scope 3'!A1", "15 Scope 3")</f>
        <v>15 Scope 3</v>
      </c>
    </row>
    <row r="38" spans="1:13" ht="20.100000000000001" customHeight="1" x14ac:dyDescent="0.2">
      <c r="D38" s="233" t="s">
        <v>871</v>
      </c>
    </row>
    <row r="39" spans="1:13" ht="20.100000000000001" customHeight="1" x14ac:dyDescent="0.2">
      <c r="D39" s="150" t="s">
        <v>872</v>
      </c>
      <c r="E39" s="15" cm="1">
        <f t="array" ref="E39">Common_InputFunctions.Utility_LookupValueInTableNumber("Dairy cows", Table_SourceData_Scope3_Animals[Product],Table_SourceData_Scope3_Animals[Emissions intensity])</f>
        <v>4.41</v>
      </c>
    </row>
    <row r="40" spans="1:13" ht="20.100000000000001" customHeight="1" x14ac:dyDescent="0.2">
      <c r="A40" s="82" t="s">
        <v>1</v>
      </c>
    </row>
    <row r="41" spans="1:13" ht="20.100000000000001" customHeight="1" x14ac:dyDescent="0.2">
      <c r="A41" s="5" t="str">
        <f>HYPERLINK("#'Constants - Ag Residue'!A1", "Constants - Ag residue")</f>
        <v>Constants - Ag residue</v>
      </c>
      <c r="D41" s="80" t="s">
        <v>853</v>
      </c>
      <c r="E41" s="239" t="s">
        <v>856</v>
      </c>
      <c r="F41" s="239" t="s">
        <v>857</v>
      </c>
      <c r="G41" s="138" t="s">
        <v>859</v>
      </c>
      <c r="H41" s="239" t="s">
        <v>860</v>
      </c>
      <c r="I41" s="80" t="s">
        <v>861</v>
      </c>
      <c r="J41" s="138" t="s">
        <v>862</v>
      </c>
      <c r="K41" s="80" t="s">
        <v>863</v>
      </c>
      <c r="L41" s="80" t="s">
        <v>864</v>
      </c>
      <c r="M41" s="80" t="s">
        <v>865</v>
      </c>
    </row>
    <row r="42" spans="1:13" ht="20.100000000000001" customHeight="1" x14ac:dyDescent="0.2">
      <c r="A42" s="5" t="str">
        <f>HYPERLINK("#'Constants - Electricity'!A1", "Constants - Electricity")</f>
        <v>Constants - Electricity</v>
      </c>
      <c r="D42" s="15"/>
      <c r="E42" s="15"/>
      <c r="F42" s="15"/>
      <c r="G42" s="240">
        <f>((E42 * F42 * $E$39) * 10 ^ -3)</f>
        <v>0</v>
      </c>
      <c r="H42" s="15"/>
      <c r="I42" s="76">
        <v>4</v>
      </c>
      <c r="J42" s="240">
        <f>((E42 * H42 * (IF(I42,I42,$E$39))) * 10 ^ -3)</f>
        <v>0</v>
      </c>
      <c r="K42" s="34" t="s">
        <v>866</v>
      </c>
      <c r="L42" s="13" t="s">
        <v>867</v>
      </c>
      <c r="M42" t="s">
        <v>868</v>
      </c>
    </row>
    <row r="43" spans="1:13" ht="20.100000000000001" customHeight="1" x14ac:dyDescent="0.2">
      <c r="A43" s="5" t="str">
        <f>HYPERLINK("#'Constants - Fertiliser'!A1", "Constants - Fertiliser")</f>
        <v>Constants - Fertiliser</v>
      </c>
      <c r="D43" s="15"/>
      <c r="E43" s="15"/>
      <c r="F43" s="15"/>
      <c r="G43" s="240">
        <f>((E43 * F43 * $E$39) * 10 ^ -3)</f>
        <v>0</v>
      </c>
      <c r="H43" s="15"/>
      <c r="I43" s="76"/>
      <c r="J43" s="240">
        <f>((E43 * H43 * (IF(I43,I43,$E$39))) * 10 ^ -3)</f>
        <v>0</v>
      </c>
      <c r="K43" s="34"/>
      <c r="L43" s="13"/>
      <c r="M43" s="34"/>
    </row>
    <row r="44" spans="1:13" ht="20.100000000000001" customHeight="1" x14ac:dyDescent="0.2">
      <c r="A44" s="5" t="str">
        <f>HYPERLINK("#'Constants - Fuel'!A1", "Constants - Fuel")</f>
        <v>Constants - Fuel</v>
      </c>
      <c r="D44" s="15"/>
      <c r="E44" s="15"/>
      <c r="F44" s="15"/>
      <c r="G44" s="240">
        <f>((E44 * F44 * $E$39) * 10 ^ -3)</f>
        <v>0</v>
      </c>
      <c r="H44" s="15"/>
      <c r="I44" s="76"/>
      <c r="J44" s="240">
        <f>((E44 * H44 * (IF(I44,I44,$E$39))) * 10 ^ -3)</f>
        <v>0</v>
      </c>
      <c r="K44" s="34"/>
      <c r="L44" s="13"/>
      <c r="M44" s="34"/>
    </row>
    <row r="45" spans="1:13" ht="20.100000000000001" customHeight="1" x14ac:dyDescent="0.2">
      <c r="A45" s="5" t="str">
        <f>HYPERLINK("#'Constants - Scope 3'!A1", "Constants - Scope 3")</f>
        <v>Constants - Scope 3</v>
      </c>
      <c r="D45" s="15"/>
      <c r="E45" s="15"/>
      <c r="F45" s="15"/>
      <c r="G45" s="240">
        <f>((E45 * F45 * $E$39) * 10 ^ -3)</f>
        <v>0</v>
      </c>
      <c r="H45" s="15"/>
      <c r="I45" s="76"/>
      <c r="J45" s="240">
        <f>((E45 * H45 * (IF(I45,I45,$E$39))) * 10 ^ -3)</f>
        <v>0</v>
      </c>
      <c r="K45" s="34"/>
      <c r="L45" s="13"/>
      <c r="M45" s="34"/>
    </row>
    <row r="46" spans="1:13" ht="20.100000000000001" customHeight="1" x14ac:dyDescent="0.2">
      <c r="A46" s="5" t="str">
        <f>HYPERLINK("#'Constants - Solid Waste'!A1", "Constants - Solid Waste")</f>
        <v>Constants - Solid Waste</v>
      </c>
      <c r="D46" s="15"/>
      <c r="E46" s="15"/>
      <c r="F46" s="15"/>
      <c r="G46" s="240">
        <f>((E46 * F46 * $E$39) * 10 ^ -3)</f>
        <v>0</v>
      </c>
      <c r="H46" s="15"/>
      <c r="I46" s="76"/>
      <c r="J46" s="240">
        <f>((E46 * H46 * (IF(I46,I46,$E$39))) * 10 ^ -3)</f>
        <v>0</v>
      </c>
      <c r="K46" s="34"/>
      <c r="L46" s="13"/>
      <c r="M46" s="34"/>
    </row>
    <row r="47" spans="1:13" ht="20.100000000000001" customHeight="1" x14ac:dyDescent="0.2">
      <c r="A47" s="5" t="str">
        <f>HYPERLINK("#'Constants - Common'!A1", "Constants - Common")</f>
        <v>Constants - Common</v>
      </c>
      <c r="D47" s="15"/>
      <c r="E47" s="15"/>
      <c r="F47" s="15"/>
      <c r="G47" s="240">
        <f>((E47 * F47 * $E$39) * 10 ^ -3)</f>
        <v>0</v>
      </c>
      <c r="H47" s="15"/>
      <c r="I47" s="76"/>
      <c r="J47" s="240">
        <f>((E47 * H47 * (IF(I47,I47,$E$39))) * 10 ^ -3)</f>
        <v>0</v>
      </c>
      <c r="K47" s="34"/>
      <c r="L47" s="13"/>
      <c r="M47" s="34"/>
    </row>
    <row r="48" spans="1:13" ht="20.100000000000001" customHeight="1" x14ac:dyDescent="0.2">
      <c r="A48" s="5" t="str">
        <f>HYPERLINK("#'Constants - Common Livestock'!A1", "Constants - Common Livestock")</f>
        <v>Constants - Common Livestock</v>
      </c>
      <c r="D48" s="15"/>
      <c r="E48" s="15"/>
      <c r="F48" s="15"/>
      <c r="G48" s="240">
        <f>((E48 * F48 * $E$39) * 10 ^ -3)</f>
        <v>0</v>
      </c>
      <c r="H48" s="15"/>
      <c r="I48" s="76"/>
      <c r="J48" s="240">
        <f>((E48 * H48 * (IF(I48,I48,$E$39))) * 10 ^ -3)</f>
        <v>0</v>
      </c>
      <c r="K48" s="34"/>
      <c r="L48" s="13"/>
      <c r="M48" s="34"/>
    </row>
    <row r="49" spans="1:13" ht="20.100000000000001" customHeight="1" x14ac:dyDescent="0.2">
      <c r="D49" s="15"/>
      <c r="E49" s="15"/>
      <c r="F49" s="15"/>
      <c r="G49" s="240">
        <f>((E49 * F49 * $E$39) * 10 ^ -3)</f>
        <v>0</v>
      </c>
      <c r="H49" s="15"/>
      <c r="I49" s="76"/>
      <c r="J49" s="240">
        <f>((E49 * H49 * (IF(I49,I49,$E$39))) * 10 ^ -3)</f>
        <v>0</v>
      </c>
      <c r="K49" s="34"/>
      <c r="L49" s="13"/>
      <c r="M49" s="34"/>
    </row>
    <row r="50" spans="1:13" ht="20.100000000000001" customHeight="1" x14ac:dyDescent="0.2">
      <c r="D50" s="15"/>
      <c r="E50" s="15"/>
      <c r="F50" s="15"/>
      <c r="G50" s="240">
        <f>((E50 * F50 * $E$39) * 10 ^ -3)</f>
        <v>0</v>
      </c>
      <c r="H50" s="15"/>
      <c r="I50" s="76"/>
      <c r="J50" s="240">
        <f>((E50 * H50 * (IF(I50,I50,$E$39))) * 10 ^ -3)</f>
        <v>0</v>
      </c>
      <c r="K50" s="34"/>
      <c r="L50" s="13"/>
      <c r="M50" s="34"/>
    </row>
    <row r="51" spans="1:13" ht="20.100000000000001" customHeight="1" x14ac:dyDescent="0.2">
      <c r="D51" s="15"/>
      <c r="E51" s="15"/>
      <c r="F51" s="15"/>
      <c r="G51" s="240">
        <f>((E51 * F51 * $E$39) * 10 ^ -3)</f>
        <v>0</v>
      </c>
      <c r="H51" s="15"/>
      <c r="I51" s="76"/>
      <c r="J51" s="240">
        <f>((E51 * H51 * (IF(I51,I51,$E$39))) * 10 ^ -3)</f>
        <v>0</v>
      </c>
      <c r="K51" s="34"/>
      <c r="L51" s="13"/>
      <c r="M51" s="34"/>
    </row>
    <row r="53" spans="1:13" ht="20.100000000000001" customHeight="1" x14ac:dyDescent="0.2">
      <c r="D53" s="90" t="s">
        <v>873</v>
      </c>
      <c r="E53" s="85">
        <f>SUM(G42:G51)</f>
        <v>0</v>
      </c>
      <c r="F53" s="91" t="str">
        <f>$E$11</f>
        <v>t CO2e</v>
      </c>
    </row>
    <row r="54" spans="1:13" ht="20.100000000000001" customHeight="1" x14ac:dyDescent="0.2">
      <c r="D54" s="90" t="s">
        <v>874</v>
      </c>
      <c r="E54" s="85">
        <f>SUM(J42:J51)</f>
        <v>0</v>
      </c>
      <c r="F54" s="91" t="str">
        <f>$E$11</f>
        <v>t CO2e</v>
      </c>
    </row>
    <row r="57" spans="1:13" ht="20.100000000000001" customHeight="1" x14ac:dyDescent="0.2">
      <c r="D57" s="233" t="s">
        <v>875</v>
      </c>
    </row>
    <row r="58" spans="1:13" ht="20.100000000000001" customHeight="1" x14ac:dyDescent="0.2">
      <c r="D58" s="150" t="s">
        <v>872</v>
      </c>
      <c r="E58" s="15" cm="1">
        <f t="array" ref="E58">Common_InputFunctions.Utility_LookupValueInTableNumber("Pigs", Table_SourceData_Scope3_Animals[Product],Table_SourceData_Scope3_Animals[Emissions intensity])</f>
        <v>3.38</v>
      </c>
    </row>
    <row r="59" spans="1:13" ht="20.100000000000001" customHeight="1" x14ac:dyDescent="0.2">
      <c r="A59" s="81" t="str">
        <f>HYPERLINK("#A1", "▲ Back to top")</f>
        <v>▲ Back to top</v>
      </c>
    </row>
    <row r="60" spans="1:13" ht="20.100000000000001" customHeight="1" x14ac:dyDescent="0.2">
      <c r="D60" s="80" t="s">
        <v>853</v>
      </c>
      <c r="E60" s="239" t="s">
        <v>856</v>
      </c>
      <c r="F60" s="239" t="s">
        <v>857</v>
      </c>
      <c r="G60" s="138" t="s">
        <v>859</v>
      </c>
      <c r="H60" s="239" t="s">
        <v>860</v>
      </c>
      <c r="I60" s="80" t="s">
        <v>861</v>
      </c>
      <c r="J60" s="138" t="s">
        <v>862</v>
      </c>
      <c r="K60" s="80" t="s">
        <v>863</v>
      </c>
      <c r="L60" s="80" t="s">
        <v>864</v>
      </c>
      <c r="M60" s="80" t="s">
        <v>865</v>
      </c>
    </row>
    <row r="61" spans="1:13" ht="20.100000000000001" customHeight="1" x14ac:dyDescent="0.2">
      <c r="D61" s="15"/>
      <c r="E61" s="15"/>
      <c r="F61" s="15"/>
      <c r="G61" s="240">
        <f>((E61 * F61 * $E$58) * 10 ^ -3)</f>
        <v>0</v>
      </c>
      <c r="H61" s="15"/>
      <c r="I61" s="76">
        <v>3.38</v>
      </c>
      <c r="J61" s="240">
        <f>((E61 * H61 * (IF(I61, I61,$E$58))) * 10 ^ -3)</f>
        <v>0</v>
      </c>
      <c r="K61" s="34"/>
      <c r="L61" s="13"/>
      <c r="M61"/>
    </row>
    <row r="62" spans="1:13" ht="20.100000000000001" customHeight="1" x14ac:dyDescent="0.2">
      <c r="D62" s="15"/>
      <c r="E62" s="15"/>
      <c r="F62" s="15"/>
      <c r="G62" s="240">
        <f>((E62 * F62 * $E$58) * 10 ^ -3)</f>
        <v>0</v>
      </c>
      <c r="H62" s="15"/>
      <c r="I62" s="76">
        <v>3.3</v>
      </c>
      <c r="J62" s="240">
        <f>((E62 * H62 * (IF(I62, I62,$E$58))) * 10 ^ -3)</f>
        <v>0</v>
      </c>
      <c r="K62" s="34"/>
      <c r="L62" s="13"/>
      <c r="M62" s="34"/>
    </row>
    <row r="63" spans="1:13" ht="20.100000000000001" customHeight="1" x14ac:dyDescent="0.2">
      <c r="D63" s="15"/>
      <c r="E63" s="15"/>
      <c r="F63" s="15"/>
      <c r="G63" s="240">
        <f>((E63 * F63 * $E$58) * 10 ^ -3)</f>
        <v>0</v>
      </c>
      <c r="H63" s="15"/>
      <c r="I63" s="76"/>
      <c r="J63" s="240">
        <f>((E63 * H63 * (IF(I63, I63,$E$58))) * 10 ^ -3)</f>
        <v>0</v>
      </c>
      <c r="K63" s="34"/>
      <c r="L63" s="13"/>
      <c r="M63" s="34"/>
    </row>
    <row r="64" spans="1:13" ht="20.100000000000001" customHeight="1" x14ac:dyDescent="0.2">
      <c r="D64" s="15"/>
      <c r="E64" s="15"/>
      <c r="F64" s="15"/>
      <c r="G64" s="240">
        <f>((E64 * F64 * $E$58) * 10 ^ -3)</f>
        <v>0</v>
      </c>
      <c r="H64" s="15"/>
      <c r="I64" s="76"/>
      <c r="J64" s="240">
        <f>((E64 * H64 * (IF(I64, I64,$E$58))) * 10 ^ -3)</f>
        <v>0</v>
      </c>
      <c r="K64" s="34"/>
      <c r="L64" s="13"/>
      <c r="M64" s="34"/>
    </row>
    <row r="65" spans="4:13" ht="20.100000000000001" customHeight="1" x14ac:dyDescent="0.2">
      <c r="D65" s="15"/>
      <c r="E65" s="15"/>
      <c r="F65" s="15"/>
      <c r="G65" s="240">
        <f>((E65 * F65 * $E$58) * 10 ^ -3)</f>
        <v>0</v>
      </c>
      <c r="H65" s="15"/>
      <c r="I65" s="76"/>
      <c r="J65" s="240">
        <f>((E65 * H65 * (IF(I65, I65,$E$58))) * 10 ^ -3)</f>
        <v>0</v>
      </c>
      <c r="K65" s="34"/>
      <c r="L65" s="13"/>
      <c r="M65" s="34"/>
    </row>
    <row r="66" spans="4:13" ht="20.100000000000001" customHeight="1" x14ac:dyDescent="0.2">
      <c r="D66" s="15"/>
      <c r="E66" s="15"/>
      <c r="F66" s="15"/>
      <c r="G66" s="240">
        <f>((E66 * F66 * $E$58) * 10 ^ -3)</f>
        <v>0</v>
      </c>
      <c r="H66" s="15"/>
      <c r="I66" s="76"/>
      <c r="J66" s="240">
        <f>((E66 * H66 * (IF(I66, I66,$E$58))) * 10 ^ -3)</f>
        <v>0</v>
      </c>
      <c r="K66" s="34"/>
      <c r="L66" s="13"/>
      <c r="M66" s="34"/>
    </row>
    <row r="67" spans="4:13" ht="20.100000000000001" customHeight="1" x14ac:dyDescent="0.2">
      <c r="D67" s="15"/>
      <c r="E67" s="15"/>
      <c r="F67" s="15"/>
      <c r="G67" s="240">
        <f>((E67 * F67 * $E$58) * 10 ^ -3)</f>
        <v>0</v>
      </c>
      <c r="H67" s="15"/>
      <c r="I67" s="76"/>
      <c r="J67" s="240">
        <f>((E67 * H67 * (IF(I67, I67,$E$58))) * 10 ^ -3)</f>
        <v>0</v>
      </c>
      <c r="K67" s="34"/>
      <c r="L67" s="13"/>
      <c r="M67" s="34"/>
    </row>
    <row r="68" spans="4:13" ht="20.100000000000001" customHeight="1" x14ac:dyDescent="0.2">
      <c r="D68" s="15"/>
      <c r="E68" s="15"/>
      <c r="F68" s="15"/>
      <c r="G68" s="240">
        <f>((E68 * F68 * $E$58) * 10 ^ -3)</f>
        <v>0</v>
      </c>
      <c r="H68" s="15"/>
      <c r="I68" s="76"/>
      <c r="J68" s="240">
        <f>((E68 * H68 * (IF(I68, I68,$E$58))) * 10 ^ -3)</f>
        <v>0</v>
      </c>
      <c r="K68" s="34"/>
      <c r="L68" s="13"/>
      <c r="M68" s="34"/>
    </row>
    <row r="69" spans="4:13" ht="20.100000000000001" customHeight="1" x14ac:dyDescent="0.2">
      <c r="D69" s="15"/>
      <c r="E69" s="15"/>
      <c r="F69" s="15"/>
      <c r="G69" s="240">
        <f>((E69 * F69 * $E$58) * 10 ^ -3)</f>
        <v>0</v>
      </c>
      <c r="H69" s="15"/>
      <c r="I69" s="76"/>
      <c r="J69" s="240">
        <f>((E69 * H69 * (IF(I69, I69,$E$58))) * 10 ^ -3)</f>
        <v>0</v>
      </c>
      <c r="K69" s="34"/>
      <c r="L69" s="13"/>
      <c r="M69" s="34"/>
    </row>
    <row r="70" spans="4:13" ht="20.100000000000001" customHeight="1" x14ac:dyDescent="0.2">
      <c r="D70" s="15"/>
      <c r="E70" s="15"/>
      <c r="F70" s="15"/>
      <c r="G70" s="240">
        <f>((E70 * F70 * $E$58) * 10 ^ -3)</f>
        <v>0</v>
      </c>
      <c r="H70" s="15"/>
      <c r="I70" s="76"/>
      <c r="J70" s="240">
        <f>((E70 * H70 * (IF(I70, I70,$E$58))) * 10 ^ -3)</f>
        <v>0</v>
      </c>
      <c r="K70" s="34"/>
      <c r="L70" s="13"/>
      <c r="M70" s="34"/>
    </row>
    <row r="72" spans="4:13" ht="20.100000000000001" customHeight="1" x14ac:dyDescent="0.2">
      <c r="D72" s="90" t="s">
        <v>876</v>
      </c>
      <c r="E72" s="85">
        <f>SUM(G61:G70)</f>
        <v>0</v>
      </c>
      <c r="F72" s="91" t="str">
        <f>$E$11</f>
        <v>t CO2e</v>
      </c>
    </row>
    <row r="73" spans="4:13" ht="20.100000000000001" customHeight="1" x14ac:dyDescent="0.2">
      <c r="D73" s="90" t="s">
        <v>877</v>
      </c>
      <c r="E73" s="85">
        <f>SUM(J61:J70)</f>
        <v>0</v>
      </c>
      <c r="F73" s="91" t="str">
        <f>$E$11</f>
        <v>t CO2e</v>
      </c>
    </row>
    <row r="75" spans="4:13" ht="20.100000000000001" customHeight="1" x14ac:dyDescent="0.2">
      <c r="D75" s="233" t="s">
        <v>878</v>
      </c>
    </row>
    <row r="76" spans="4:13" ht="20.100000000000001" customHeight="1" x14ac:dyDescent="0.2">
      <c r="D76" s="150" t="s">
        <v>872</v>
      </c>
      <c r="E76" s="15" cm="1">
        <f t="array" ref="E76">Common_InputFunctions.Utility_LookupValueInTableNumber("Chickens", Table_SourceData_Scope3_Animals[Product],Table_SourceData_Scope3_Animals[Emissions intensity])</f>
        <v>1.36</v>
      </c>
    </row>
    <row r="78" spans="4:13" ht="20.100000000000001" customHeight="1" x14ac:dyDescent="0.2">
      <c r="D78" s="80" t="s">
        <v>853</v>
      </c>
      <c r="E78" s="239" t="s">
        <v>856</v>
      </c>
      <c r="F78" s="239" t="s">
        <v>857</v>
      </c>
      <c r="G78" s="138" t="s">
        <v>859</v>
      </c>
      <c r="H78" s="239" t="s">
        <v>860</v>
      </c>
      <c r="I78" s="80" t="s">
        <v>861</v>
      </c>
      <c r="J78" s="138" t="s">
        <v>862</v>
      </c>
      <c r="K78" s="80" t="s">
        <v>863</v>
      </c>
      <c r="L78" s="80" t="s">
        <v>864</v>
      </c>
      <c r="M78" s="80" t="s">
        <v>865</v>
      </c>
    </row>
    <row r="79" spans="4:13" ht="20.100000000000001" customHeight="1" x14ac:dyDescent="0.2">
      <c r="D79" s="15"/>
      <c r="E79" s="15"/>
      <c r="F79" s="15"/>
      <c r="G79" s="240">
        <f>((E79 * F79 * $E$76) * 10 ^ -3)</f>
        <v>0</v>
      </c>
      <c r="H79" s="15"/>
      <c r="I79" s="76">
        <v>1.3</v>
      </c>
      <c r="J79" s="240">
        <f>((E79 * H79 * (IF(I79, I79,$E$76))) * 10 ^ -3)</f>
        <v>0</v>
      </c>
      <c r="K79" s="34"/>
      <c r="L79" s="13"/>
      <c r="M79"/>
    </row>
    <row r="80" spans="4:13" ht="20.100000000000001" customHeight="1" x14ac:dyDescent="0.2">
      <c r="D80" s="15"/>
      <c r="E80" s="15"/>
      <c r="F80" s="15"/>
      <c r="G80" s="240">
        <f>((E80 * F80 * $E$76) * 10 ^ -3)</f>
        <v>0</v>
      </c>
      <c r="H80" s="15"/>
      <c r="I80" s="76"/>
      <c r="J80" s="240">
        <f>((E80 * H80 * (IF(I80, I80,$E$76))) * 10 ^ -3)</f>
        <v>0</v>
      </c>
      <c r="K80" s="34"/>
      <c r="L80" s="13"/>
      <c r="M80" s="34"/>
    </row>
    <row r="81" spans="1:13" ht="20.100000000000001" customHeight="1" x14ac:dyDescent="0.2">
      <c r="D81" s="15"/>
      <c r="E81" s="15"/>
      <c r="F81" s="15"/>
      <c r="G81" s="240">
        <f>((E81 * F81 * $E$76) * 10 ^ -3)</f>
        <v>0</v>
      </c>
      <c r="H81" s="15"/>
      <c r="I81" s="76"/>
      <c r="J81" s="240">
        <f>((E81 * H81 * (IF(I81, I81,$E$76))) * 10 ^ -3)</f>
        <v>0</v>
      </c>
      <c r="K81" s="34"/>
      <c r="L81" s="13"/>
      <c r="M81" s="34"/>
    </row>
    <row r="82" spans="1:13" ht="20.100000000000001" customHeight="1" x14ac:dyDescent="0.2">
      <c r="D82" s="15"/>
      <c r="E82" s="15"/>
      <c r="F82" s="15"/>
      <c r="G82" s="240">
        <f>((E82 * F82 * $E$76) * 10 ^ -3)</f>
        <v>0</v>
      </c>
      <c r="H82" s="15"/>
      <c r="I82" s="76"/>
      <c r="J82" s="240">
        <f>((E82 * H82 * (IF(I82, I82,$E$76))) * 10 ^ -3)</f>
        <v>0</v>
      </c>
      <c r="K82" s="34"/>
      <c r="L82" s="13"/>
      <c r="M82" s="34"/>
    </row>
    <row r="83" spans="1:13" ht="20.100000000000001" customHeight="1" x14ac:dyDescent="0.2">
      <c r="D83" s="15"/>
      <c r="E83" s="15"/>
      <c r="F83" s="15"/>
      <c r="G83" s="240">
        <f>((E83 * F83 * $E$76) * 10 ^ -3)</f>
        <v>0</v>
      </c>
      <c r="H83" s="15"/>
      <c r="I83" s="76"/>
      <c r="J83" s="240">
        <f>((E83 * H83 * (IF(I83, I83,$E$76))) * 10 ^ -3)</f>
        <v>0</v>
      </c>
      <c r="K83" s="34"/>
      <c r="L83" s="13"/>
      <c r="M83" s="34"/>
    </row>
    <row r="84" spans="1:13" ht="20.100000000000001" customHeight="1" x14ac:dyDescent="0.2">
      <c r="D84" s="15"/>
      <c r="E84" s="15"/>
      <c r="F84" s="15"/>
      <c r="G84" s="240">
        <f>((E84 * F84 * $E$76) * 10 ^ -3)</f>
        <v>0</v>
      </c>
      <c r="H84" s="15"/>
      <c r="I84" s="76"/>
      <c r="J84" s="240">
        <f>((E84 * H84 * (IF(I84, I84,$E$76))) * 10 ^ -3)</f>
        <v>0</v>
      </c>
      <c r="K84" s="34"/>
      <c r="L84" s="13"/>
      <c r="M84" s="34"/>
    </row>
    <row r="85" spans="1:13" ht="20.100000000000001" customHeight="1" x14ac:dyDescent="0.2">
      <c r="D85" s="15"/>
      <c r="E85" s="15"/>
      <c r="F85" s="15"/>
      <c r="G85" s="240">
        <f>((E85 * F85 * $E$76) * 10 ^ -3)</f>
        <v>0</v>
      </c>
      <c r="H85" s="15"/>
      <c r="I85" s="76"/>
      <c r="J85" s="240">
        <f>((E85 * H85 * (IF(I85, I85,$E$76))) * 10 ^ -3)</f>
        <v>0</v>
      </c>
      <c r="K85" s="34"/>
      <c r="L85" s="13"/>
      <c r="M85" s="34"/>
    </row>
    <row r="86" spans="1:13" ht="20.100000000000001" customHeight="1" x14ac:dyDescent="0.2">
      <c r="D86" s="15"/>
      <c r="E86" s="15"/>
      <c r="F86" s="15"/>
      <c r="G86" s="240">
        <f>((E86 * F86 * $E$76) * 10 ^ -3)</f>
        <v>0</v>
      </c>
      <c r="H86" s="15"/>
      <c r="I86" s="76"/>
      <c r="J86" s="240">
        <f>((E86 * H86 * (IF(I86, I86,$E$76))) * 10 ^ -3)</f>
        <v>0</v>
      </c>
      <c r="K86" s="34"/>
      <c r="L86" s="13"/>
      <c r="M86" s="34"/>
    </row>
    <row r="87" spans="1:13" ht="20.100000000000001" customHeight="1" x14ac:dyDescent="0.2">
      <c r="D87" s="15"/>
      <c r="E87" s="15"/>
      <c r="F87" s="15"/>
      <c r="G87" s="240">
        <f>((E87 * F87 * $E$76) * 10 ^ -3)</f>
        <v>0</v>
      </c>
      <c r="H87" s="15"/>
      <c r="I87" s="76"/>
      <c r="J87" s="240">
        <f>((E87 * H87 * (IF(I87, I87,$E$76))) * 10 ^ -3)</f>
        <v>0</v>
      </c>
      <c r="K87" s="34"/>
      <c r="L87" s="13"/>
      <c r="M87" s="34"/>
    </row>
    <row r="88" spans="1:13" ht="20.100000000000001" customHeight="1" x14ac:dyDescent="0.2">
      <c r="D88" s="15"/>
      <c r="E88" s="15"/>
      <c r="F88" s="15"/>
      <c r="G88" s="240">
        <f>((E88 * F88 * $E$76) * 10 ^ -3)</f>
        <v>0</v>
      </c>
      <c r="H88" s="15"/>
      <c r="I88" s="76"/>
      <c r="J88" s="240">
        <f>((E88 * H88 * (IF(I88, I88,$E$76))) * 10 ^ -3)</f>
        <v>0</v>
      </c>
      <c r="K88" s="34"/>
      <c r="L88" s="13"/>
      <c r="M88" s="34"/>
    </row>
    <row r="89" spans="1:13" ht="20.100000000000001" customHeight="1" x14ac:dyDescent="0.2">
      <c r="A89" s="81" t="str">
        <f>HYPERLINK("#A1", "▲ Back to top")</f>
        <v>▲ Back to top</v>
      </c>
    </row>
    <row r="90" spans="1:13" ht="20.100000000000001" customHeight="1" x14ac:dyDescent="0.2">
      <c r="D90" s="90" t="s">
        <v>879</v>
      </c>
      <c r="E90" s="85">
        <f>SUM(G79:G88)</f>
        <v>0</v>
      </c>
      <c r="F90" s="91" t="str">
        <f>$E$11</f>
        <v>t CO2e</v>
      </c>
    </row>
    <row r="91" spans="1:13" ht="20.100000000000001" customHeight="1" x14ac:dyDescent="0.2">
      <c r="D91" s="90" t="s">
        <v>880</v>
      </c>
      <c r="E91" s="85">
        <f>SUM(J79:J88)</f>
        <v>0</v>
      </c>
      <c r="F91" s="91" t="str">
        <f>$E$11</f>
        <v>t CO2e</v>
      </c>
    </row>
    <row r="93" spans="1:13" ht="20.100000000000001" customHeight="1" x14ac:dyDescent="0.2">
      <c r="D93" s="87" t="s">
        <v>859</v>
      </c>
      <c r="E93" s="88">
        <f>VEERG_15_1_1_1__1_EmissionsFromPurchasedLivestock_BeefCattle_Result_Method1+VEERG_15_1_1_1__1_EmissionsFromPurchasedLivestock_DairyCattle_Result_Method1+VEERG_15_1_1_1__1_EmissionsFromPurchasedLivestock_Pigs_Result_Method1+VEERG_15_1_1_1__1_EmissionsFromPurchasedLivestock_Poultry_Result_Method1</f>
        <v>0</v>
      </c>
      <c r="F93" s="97" t="str">
        <f>$E$11</f>
        <v>t CO2e</v>
      </c>
    </row>
    <row r="94" spans="1:13" ht="20.100000000000001" customHeight="1" x14ac:dyDescent="0.2">
      <c r="D94" s="87" t="s">
        <v>862</v>
      </c>
      <c r="E94" s="88">
        <f>VEERG_15_1_1_1__1_EmissionsFromPurchasedLivestock_BeefCattle_Result_Method2+VEERG_15_1_1_1__1_EmissionsFromPurchasedLivestock_DairyCattle_Result_Method2+VEERG_15_1_1_1__1_EmissionsFromPurchasedLivestock_Pigs_Result_Method2+VEERG_15_1_1_1__1_EmissionsFromPurchasedLivestock_Poultry_Result_Method2</f>
        <v>0</v>
      </c>
      <c r="F94" s="97" t="str">
        <f>$E$11</f>
        <v>t CO2e</v>
      </c>
    </row>
    <row r="97" spans="3:41" ht="20.100000000000001" customHeight="1" x14ac:dyDescent="0.2">
      <c r="C97" s="85"/>
      <c r="D97" s="85"/>
      <c r="E97" s="85"/>
      <c r="F97" s="85"/>
      <c r="G97" s="85"/>
      <c r="H97" s="85"/>
      <c r="I97" s="85"/>
      <c r="J97" s="85"/>
      <c r="K97" s="85"/>
      <c r="L97" s="85"/>
      <c r="M97" s="85"/>
      <c r="N97" s="85"/>
      <c r="O97" s="85"/>
      <c r="P97" s="85"/>
      <c r="Q97" s="85"/>
      <c r="R97" s="85"/>
      <c r="S97" s="85"/>
      <c r="T97" s="85"/>
      <c r="U97" s="85"/>
      <c r="V97" s="85"/>
      <c r="W97" s="85"/>
      <c r="X97" s="85"/>
      <c r="Y97" s="85"/>
      <c r="Z97" s="85"/>
      <c r="AA97" s="85"/>
      <c r="AB97" s="85"/>
      <c r="AC97" s="85"/>
      <c r="AD97" s="85"/>
      <c r="AE97" s="85"/>
      <c r="AF97" s="85"/>
      <c r="AG97" s="85"/>
      <c r="AH97" s="85"/>
      <c r="AI97" s="85"/>
      <c r="AJ97" s="85"/>
      <c r="AK97" s="85"/>
      <c r="AL97" s="85"/>
      <c r="AM97" s="85"/>
      <c r="AN97" s="85"/>
      <c r="AO97" s="85"/>
    </row>
    <row r="98" spans="3:41" ht="20.100000000000001" customHeight="1" x14ac:dyDescent="0.2">
      <c r="D98" s="2" t="s">
        <v>1367</v>
      </c>
    </row>
    <row r="99" spans="3:41" ht="20.100000000000001" customHeight="1" x14ac:dyDescent="0.2">
      <c r="D99" s="17" t="s">
        <v>1368</v>
      </c>
    </row>
    <row r="100" spans="3:41" ht="20.100000000000001" customHeight="1" x14ac:dyDescent="0.2">
      <c r="D100" s="26" t="s">
        <v>1369</v>
      </c>
    </row>
    <row r="101" spans="3:41" ht="20.100000000000001" customHeight="1" x14ac:dyDescent="0.2">
      <c r="D101" s="134"/>
      <c r="E101" s="134"/>
      <c r="H101" s="26"/>
    </row>
    <row r="103" spans="3:41" ht="20.100000000000001" customHeight="1" x14ac:dyDescent="0.2">
      <c r="H103" s="134"/>
    </row>
    <row r="104" spans="3:41" ht="20.100000000000001" customHeight="1" x14ac:dyDescent="0.2">
      <c r="D104" s="77" t="s">
        <v>371</v>
      </c>
      <c r="E104" s="1" t="s">
        <v>967</v>
      </c>
    </row>
    <row r="105" spans="3:41" ht="20.100000000000001" customHeight="1" x14ac:dyDescent="0.2">
      <c r="D105" s="77" t="s">
        <v>118</v>
      </c>
      <c r="E105" s="9" t="s">
        <v>7</v>
      </c>
    </row>
    <row r="107" spans="3:41" ht="20.100000000000001" customHeight="1" x14ac:dyDescent="0.2">
      <c r="D107" s="150" t="s">
        <v>1370</v>
      </c>
      <c r="E107" s="147" t="s">
        <v>1371</v>
      </c>
      <c r="F107" s="159"/>
      <c r="G107" s="150" t="s">
        <v>370</v>
      </c>
      <c r="H107" s="238" t="s">
        <v>1034</v>
      </c>
    </row>
    <row r="108" spans="3:41" ht="20.100000000000001" customHeight="1" x14ac:dyDescent="0.2">
      <c r="D108" s="150" t="s">
        <v>1372</v>
      </c>
      <c r="E108" s="147" t="s">
        <v>1373</v>
      </c>
      <c r="F108" s="159"/>
      <c r="G108" s="150" t="s">
        <v>1366</v>
      </c>
      <c r="H108" s="142" t="s">
        <v>1036</v>
      </c>
    </row>
    <row r="109" spans="3:41" ht="20.100000000000001" customHeight="1" x14ac:dyDescent="0.2">
      <c r="D109" s="150" t="s">
        <v>1053</v>
      </c>
      <c r="E109" s="147" t="s">
        <v>1374</v>
      </c>
      <c r="F109" s="159"/>
      <c r="G109" s="150"/>
      <c r="H109" s="238" t="s">
        <v>1034</v>
      </c>
    </row>
    <row r="111" spans="3:41" ht="20.100000000000001" customHeight="1" x14ac:dyDescent="0.2">
      <c r="D111" s="233" t="s">
        <v>881</v>
      </c>
    </row>
    <row r="113" spans="1:28" ht="20.100000000000001" customHeight="1" x14ac:dyDescent="0.2">
      <c r="D113" s="99" t="s">
        <v>882</v>
      </c>
      <c r="E113" s="45"/>
      <c r="F113" s="99"/>
      <c r="G113" s="44"/>
      <c r="H113" s="45"/>
    </row>
    <row r="114" spans="1:28" ht="20.100000000000001" customHeight="1" x14ac:dyDescent="0.2">
      <c r="D114" s="125" t="s">
        <v>883</v>
      </c>
      <c r="E114" s="127"/>
      <c r="F114" s="125"/>
      <c r="G114" s="126"/>
      <c r="H114" s="127"/>
    </row>
    <row r="115" spans="1:28" ht="20.100000000000001" customHeight="1" x14ac:dyDescent="0.2">
      <c r="D115" s="46" t="s">
        <v>884</v>
      </c>
      <c r="E115" s="48"/>
      <c r="F115" s="46"/>
      <c r="G115" s="47"/>
      <c r="H115" s="48"/>
    </row>
    <row r="117" spans="1:28" ht="20.100000000000001" customHeight="1" x14ac:dyDescent="0.2">
      <c r="D117" s="36" t="s">
        <v>885</v>
      </c>
      <c r="E117" s="38"/>
      <c r="F117" s="39"/>
    </row>
    <row r="119" spans="1:28" ht="20.100000000000001" customHeight="1" x14ac:dyDescent="0.2">
      <c r="A119" s="81" t="str">
        <f>HYPERLINK("#A1", "▲ Back to top")</f>
        <v>▲ Back to top</v>
      </c>
      <c r="D119" s="80" t="s">
        <v>886</v>
      </c>
      <c r="E119" s="80" t="s">
        <v>887</v>
      </c>
      <c r="F119" s="138" t="s">
        <v>888</v>
      </c>
      <c r="G119" s="138" t="s">
        <v>859</v>
      </c>
      <c r="H119" s="80" t="s">
        <v>889</v>
      </c>
      <c r="I119" s="138" t="s">
        <v>862</v>
      </c>
      <c r="J119" s="80" t="s">
        <v>863</v>
      </c>
      <c r="K119" s="80" t="s">
        <v>864</v>
      </c>
      <c r="L119" s="80" t="s">
        <v>865</v>
      </c>
      <c r="M119" s="138" t="s">
        <v>308</v>
      </c>
      <c r="N119" s="138" t="s">
        <v>890</v>
      </c>
      <c r="O119" s="138" t="s">
        <v>309</v>
      </c>
      <c r="P119" s="138" t="s">
        <v>891</v>
      </c>
      <c r="Q119" s="138" t="s">
        <v>310</v>
      </c>
      <c r="R119" s="138" t="s">
        <v>892</v>
      </c>
      <c r="S119" s="138" t="s">
        <v>311</v>
      </c>
      <c r="T119" s="138" t="s">
        <v>893</v>
      </c>
      <c r="U119" s="138" t="s">
        <v>312</v>
      </c>
      <c r="V119" s="138" t="s">
        <v>894</v>
      </c>
      <c r="W119" s="138" t="s">
        <v>313</v>
      </c>
      <c r="X119" s="138" t="s">
        <v>895</v>
      </c>
      <c r="Y119" s="138" t="s">
        <v>314</v>
      </c>
      <c r="Z119" s="138" t="s">
        <v>896</v>
      </c>
      <c r="AA119" s="138" t="s">
        <v>315</v>
      </c>
      <c r="AB119" s="138" t="s">
        <v>897</v>
      </c>
    </row>
    <row r="120" spans="1:28" ht="20.100000000000001" customHeight="1" x14ac:dyDescent="0.2">
      <c r="D120" s="15"/>
      <c r="E120" s="15"/>
      <c r="F120" s="15">
        <f t="shared" ref="F120:F129" si="0">IFERROR((O120*P120)+(S120*T120)+(W120*X120)+(AA120*AB120), 0)</f>
        <v>0</v>
      </c>
      <c r="G120" s="240">
        <f>((E120 * F120) * 10 ^ -3)</f>
        <v>0</v>
      </c>
      <c r="H120" s="76">
        <v>0.04</v>
      </c>
      <c r="I120" s="240">
        <f>((E120 * (IF(H120,H120, F120))) * 10 ^ -3)</f>
        <v>0</v>
      </c>
      <c r="J120" s="34"/>
      <c r="K120" s="13"/>
      <c r="L120"/>
      <c r="M120" s="15"/>
      <c r="N120" s="15"/>
      <c r="O120" s="15"/>
      <c r="P120" s="15" cm="1">
        <f t="array" ref="P120">_xlfn.LET(_xlpm.result, Common_InputFunctions.Utility_LookupValueInTableTwoColumns(M120, N120, Table_SourceData_Scope3_Feed[Product], Table_SourceData_Scope3_Feed[Region of origin], Table_SourceData_Scope3_Feed[Emissions intensity]), IF(_xlpm.result="", 0, _xlpm.result))</f>
        <v>0</v>
      </c>
      <c r="Q120" s="15"/>
      <c r="R120" s="15"/>
      <c r="S120" s="15"/>
      <c r="T120" s="15" cm="1">
        <f t="array" ref="T120">_xlfn.LET(_xlpm.result, Common_InputFunctions.Utility_LookupValueInTableTwoColumns(Q120, R120, Table_SourceData_Scope3_Feed[Product], Table_SourceData_Scope3_Feed[Region of origin], Table_SourceData_Scope3_Feed[Emissions intensity]), IF(_xlpm.result="", 0, _xlpm.result))</f>
        <v>0</v>
      </c>
      <c r="U120" s="15"/>
      <c r="V120" s="15"/>
      <c r="W120" s="15"/>
      <c r="X120" s="15" cm="1">
        <f t="array" ref="X120">_xlfn.LET(_xlpm.result, Common_InputFunctions.Utility_LookupValueInTableTwoColumns(U120, V120, Table_SourceData_Scope3_Feed[Product], Table_SourceData_Scope3_Feed[Region of origin], Table_SourceData_Scope3_Feed[Emissions intensity]), IF(_xlpm.result="", 0, _xlpm.result))</f>
        <v>0</v>
      </c>
      <c r="Y120" s="15"/>
      <c r="Z120" s="15"/>
      <c r="AA120" s="15"/>
      <c r="AB120" s="15" cm="1">
        <f t="array" ref="AB120">_xlfn.LET(_xlpm.result, Common_InputFunctions.Utility_LookupValueInTableTwoColumns(Y120, Z120, Table_SourceData_Scope3_Feed[Product], Table_SourceData_Scope3_Feed[Region of origin], Table_SourceData_Scope3_Feed[Emissions intensity]), IF(_xlpm.result="", 0, _xlpm.result))</f>
        <v>0</v>
      </c>
    </row>
    <row r="121" spans="1:28" ht="20.100000000000001" customHeight="1" x14ac:dyDescent="0.2">
      <c r="D121" s="15"/>
      <c r="E121" s="15"/>
      <c r="F121" s="15">
        <f t="shared" si="0"/>
        <v>0</v>
      </c>
      <c r="G121" s="240">
        <f>((E121 * F121) * 10 ^ -3)</f>
        <v>0</v>
      </c>
      <c r="H121" s="76">
        <v>0.03</v>
      </c>
      <c r="I121" s="240">
        <f>((E121 * (IF(H121,H121, F121))) * 10 ^ -3)</f>
        <v>0</v>
      </c>
      <c r="J121" s="34"/>
      <c r="K121" s="13"/>
      <c r="L121" s="34"/>
      <c r="M121" s="15"/>
      <c r="N121" s="15"/>
      <c r="O121" s="15"/>
      <c r="P121" s="15" cm="1">
        <f t="array" ref="P121">_xlfn.LET(_xlpm.result, Common_InputFunctions.Utility_LookupValueInTableTwoColumns(M121, N121, Table_SourceData_Scope3_Feed[Product], Table_SourceData_Scope3_Feed[Region of origin], Table_SourceData_Scope3_Feed[Emissions intensity]), IF(_xlpm.result="", 0, _xlpm.result))</f>
        <v>0</v>
      </c>
      <c r="Q121" s="15"/>
      <c r="R121" s="15"/>
      <c r="S121" s="15"/>
      <c r="T121" s="15" cm="1">
        <f t="array" ref="T121">_xlfn.LET(_xlpm.result, Common_InputFunctions.Utility_LookupValueInTableTwoColumns(Q121, R121, Table_SourceData_Scope3_Feed[Product], Table_SourceData_Scope3_Feed[Region of origin], Table_SourceData_Scope3_Feed[Emissions intensity]), IF(_xlpm.result="", 0, _xlpm.result))</f>
        <v>0</v>
      </c>
      <c r="U121" s="15"/>
      <c r="V121" s="15"/>
      <c r="W121" s="15"/>
      <c r="X121" s="15" cm="1">
        <f t="array" ref="X121">_xlfn.LET(_xlpm.result, Common_InputFunctions.Utility_LookupValueInTableTwoColumns(U121, V121, Table_SourceData_Scope3_Feed[Product], Table_SourceData_Scope3_Feed[Region of origin], Table_SourceData_Scope3_Feed[Emissions intensity]), IF(_xlpm.result="", 0, _xlpm.result))</f>
        <v>0</v>
      </c>
      <c r="Y121" s="15"/>
      <c r="Z121" s="15"/>
      <c r="AA121" s="15"/>
      <c r="AB121" s="15" cm="1">
        <f t="array" ref="AB121">_xlfn.LET(_xlpm.result, Common_InputFunctions.Utility_LookupValueInTableTwoColumns(Y121, Z121, Table_SourceData_Scope3_Feed[Product], Table_SourceData_Scope3_Feed[Region of origin], Table_SourceData_Scope3_Feed[Emissions intensity]), IF(_xlpm.result="", 0, _xlpm.result))</f>
        <v>0</v>
      </c>
    </row>
    <row r="122" spans="1:28" ht="20.100000000000001" customHeight="1" x14ac:dyDescent="0.2">
      <c r="D122" s="15"/>
      <c r="E122" s="15"/>
      <c r="F122" s="15">
        <f t="shared" si="0"/>
        <v>0</v>
      </c>
      <c r="G122" s="240">
        <f>((E122 * F122) * 10 ^ -3)</f>
        <v>0</v>
      </c>
      <c r="H122" s="76">
        <v>0.14000000000000001</v>
      </c>
      <c r="I122" s="240">
        <f>((E122 * (IF(H122,H122, F122))) * 10 ^ -3)</f>
        <v>0</v>
      </c>
      <c r="J122" s="34"/>
      <c r="K122" s="13"/>
      <c r="L122" s="34"/>
      <c r="M122" s="15"/>
      <c r="N122" s="15"/>
      <c r="O122" s="15"/>
      <c r="P122" s="15" cm="1">
        <f t="array" ref="P122">_xlfn.LET(_xlpm.result, Common_InputFunctions.Utility_LookupValueInTableTwoColumns(M122, N122, Table_SourceData_Scope3_Feed[Product], Table_SourceData_Scope3_Feed[Region of origin], Table_SourceData_Scope3_Feed[Emissions intensity]), IF(_xlpm.result="", 0, _xlpm.result))</f>
        <v>0</v>
      </c>
      <c r="Q122" s="15"/>
      <c r="R122" s="15"/>
      <c r="S122" s="15"/>
      <c r="T122" s="15" cm="1">
        <f t="array" ref="T122">_xlfn.LET(_xlpm.result, Common_InputFunctions.Utility_LookupValueInTableTwoColumns(Q122, R122, Table_SourceData_Scope3_Feed[Product], Table_SourceData_Scope3_Feed[Region of origin], Table_SourceData_Scope3_Feed[Emissions intensity]), IF(_xlpm.result="", 0, _xlpm.result))</f>
        <v>0</v>
      </c>
      <c r="U122" s="15"/>
      <c r="V122" s="15"/>
      <c r="W122" s="15"/>
      <c r="X122" s="15" cm="1">
        <f t="array" ref="X122">_xlfn.LET(_xlpm.result, Common_InputFunctions.Utility_LookupValueInTableTwoColumns(U122, V122, Table_SourceData_Scope3_Feed[Product], Table_SourceData_Scope3_Feed[Region of origin], Table_SourceData_Scope3_Feed[Emissions intensity]), IF(_xlpm.result="", 0, _xlpm.result))</f>
        <v>0</v>
      </c>
      <c r="Y122" s="15"/>
      <c r="Z122" s="15"/>
      <c r="AA122" s="15"/>
      <c r="AB122" s="15" cm="1">
        <f t="array" ref="AB122">_xlfn.LET(_xlpm.result, Common_InputFunctions.Utility_LookupValueInTableTwoColumns(Y122, Z122, Table_SourceData_Scope3_Feed[Product], Table_SourceData_Scope3_Feed[Region of origin], Table_SourceData_Scope3_Feed[Emissions intensity]), IF(_xlpm.result="", 0, _xlpm.result))</f>
        <v>0</v>
      </c>
    </row>
    <row r="123" spans="1:28" ht="20.100000000000001" customHeight="1" x14ac:dyDescent="0.2">
      <c r="D123" s="15"/>
      <c r="E123" s="15"/>
      <c r="F123" s="15">
        <f t="shared" si="0"/>
        <v>0</v>
      </c>
      <c r="G123" s="240">
        <f>((E123 * F123) * 10 ^ -3)</f>
        <v>0</v>
      </c>
      <c r="H123" s="76"/>
      <c r="I123" s="240">
        <f>((E123 * (IF(H123,H123, F123))) * 10 ^ -3)</f>
        <v>0</v>
      </c>
      <c r="J123" s="34"/>
      <c r="K123" s="13"/>
      <c r="L123" s="34"/>
      <c r="M123" s="15"/>
      <c r="N123" s="15"/>
      <c r="O123" s="15"/>
      <c r="P123" s="15" cm="1">
        <f t="array" ref="P123">_xlfn.LET(_xlpm.result, Common_InputFunctions.Utility_LookupValueInTableTwoColumns(M123, N123, Table_SourceData_Scope3_Feed[Product], Table_SourceData_Scope3_Feed[Region of origin], Table_SourceData_Scope3_Feed[Emissions intensity]), IF(_xlpm.result="", 0, _xlpm.result))</f>
        <v>0</v>
      </c>
      <c r="Q123" s="15"/>
      <c r="R123" s="15"/>
      <c r="S123" s="15"/>
      <c r="T123" s="15" cm="1">
        <f t="array" ref="T123">_xlfn.LET(_xlpm.result, Common_InputFunctions.Utility_LookupValueInTableTwoColumns(Q123, R123, Table_SourceData_Scope3_Feed[Product], Table_SourceData_Scope3_Feed[Region of origin], Table_SourceData_Scope3_Feed[Emissions intensity]), IF(_xlpm.result="", 0, _xlpm.result))</f>
        <v>0</v>
      </c>
      <c r="U123" s="15"/>
      <c r="V123" s="15"/>
      <c r="W123" s="15"/>
      <c r="X123" s="15" cm="1">
        <f t="array" ref="X123">_xlfn.LET(_xlpm.result, Common_InputFunctions.Utility_LookupValueInTableTwoColumns(U123, V123, Table_SourceData_Scope3_Feed[Product], Table_SourceData_Scope3_Feed[Region of origin], Table_SourceData_Scope3_Feed[Emissions intensity]), IF(_xlpm.result="", 0, _xlpm.result))</f>
        <v>0</v>
      </c>
      <c r="Y123" s="15"/>
      <c r="Z123" s="15"/>
      <c r="AA123" s="15"/>
      <c r="AB123" s="15" cm="1">
        <f t="array" ref="AB123">_xlfn.LET(_xlpm.result, Common_InputFunctions.Utility_LookupValueInTableTwoColumns(Y123, Z123, Table_SourceData_Scope3_Feed[Product], Table_SourceData_Scope3_Feed[Region of origin], Table_SourceData_Scope3_Feed[Emissions intensity]), IF(_xlpm.result="", 0, _xlpm.result))</f>
        <v>0</v>
      </c>
    </row>
    <row r="124" spans="1:28" ht="20.100000000000001" customHeight="1" x14ac:dyDescent="0.2">
      <c r="D124" s="15"/>
      <c r="E124" s="15"/>
      <c r="F124" s="15">
        <f t="shared" si="0"/>
        <v>0</v>
      </c>
      <c r="G124" s="240">
        <f>((E124 * F124) * 10 ^ -3)</f>
        <v>0</v>
      </c>
      <c r="H124" s="76"/>
      <c r="I124" s="240">
        <f>((E124 * (IF(H124,H124, F124))) * 10 ^ -3)</f>
        <v>0</v>
      </c>
      <c r="J124" s="34"/>
      <c r="K124" s="13"/>
      <c r="L124" s="34"/>
      <c r="M124" s="15"/>
      <c r="N124" s="15"/>
      <c r="O124" s="15"/>
      <c r="P124" s="15" cm="1">
        <f t="array" ref="P124">_xlfn.LET(_xlpm.result, Common_InputFunctions.Utility_LookupValueInTableTwoColumns(M124, N124, Table_SourceData_Scope3_Feed[Product], Table_SourceData_Scope3_Feed[Region of origin], Table_SourceData_Scope3_Feed[Emissions intensity]), IF(_xlpm.result="", 0, _xlpm.result))</f>
        <v>0</v>
      </c>
      <c r="Q124" s="15"/>
      <c r="R124" s="15"/>
      <c r="S124" s="15"/>
      <c r="T124" s="15" cm="1">
        <f t="array" ref="T124">_xlfn.LET(_xlpm.result, Common_InputFunctions.Utility_LookupValueInTableTwoColumns(Q124, R124, Table_SourceData_Scope3_Feed[Product], Table_SourceData_Scope3_Feed[Region of origin], Table_SourceData_Scope3_Feed[Emissions intensity]), IF(_xlpm.result="", 0, _xlpm.result))</f>
        <v>0</v>
      </c>
      <c r="U124" s="15"/>
      <c r="V124" s="15"/>
      <c r="W124" s="15"/>
      <c r="X124" s="15" cm="1">
        <f t="array" ref="X124">_xlfn.LET(_xlpm.result, Common_InputFunctions.Utility_LookupValueInTableTwoColumns(U124, V124, Table_SourceData_Scope3_Feed[Product], Table_SourceData_Scope3_Feed[Region of origin], Table_SourceData_Scope3_Feed[Emissions intensity]), IF(_xlpm.result="", 0, _xlpm.result))</f>
        <v>0</v>
      </c>
      <c r="Y124" s="15"/>
      <c r="Z124" s="15"/>
      <c r="AA124" s="15"/>
      <c r="AB124" s="15" cm="1">
        <f t="array" ref="AB124">_xlfn.LET(_xlpm.result, Common_InputFunctions.Utility_LookupValueInTableTwoColumns(Y124, Z124, Table_SourceData_Scope3_Feed[Product], Table_SourceData_Scope3_Feed[Region of origin], Table_SourceData_Scope3_Feed[Emissions intensity]), IF(_xlpm.result="", 0, _xlpm.result))</f>
        <v>0</v>
      </c>
    </row>
    <row r="125" spans="1:28" ht="20.100000000000001" customHeight="1" x14ac:dyDescent="0.2">
      <c r="D125" s="15"/>
      <c r="E125" s="15"/>
      <c r="F125" s="15">
        <f t="shared" si="0"/>
        <v>0</v>
      </c>
      <c r="G125" s="240">
        <f>((E125 * F125) * 10 ^ -3)</f>
        <v>0</v>
      </c>
      <c r="H125" s="76"/>
      <c r="I125" s="240">
        <f>((E125 * (IF(H125,H125, F125))) * 10 ^ -3)</f>
        <v>0</v>
      </c>
      <c r="J125" s="34"/>
      <c r="K125" s="13"/>
      <c r="L125" s="34"/>
      <c r="M125" s="15"/>
      <c r="N125" s="15"/>
      <c r="O125" s="15"/>
      <c r="P125" s="15" cm="1">
        <f t="array" ref="P125">_xlfn.LET(_xlpm.result, Common_InputFunctions.Utility_LookupValueInTableTwoColumns(M125, N125, Table_SourceData_Scope3_Feed[Product], Table_SourceData_Scope3_Feed[Region of origin], Table_SourceData_Scope3_Feed[Emissions intensity]), IF(_xlpm.result="", 0, _xlpm.result))</f>
        <v>0</v>
      </c>
      <c r="Q125" s="15"/>
      <c r="R125" s="15"/>
      <c r="S125" s="15"/>
      <c r="T125" s="15" cm="1">
        <f t="array" ref="T125">_xlfn.LET(_xlpm.result, Common_InputFunctions.Utility_LookupValueInTableTwoColumns(Q125, R125, Table_SourceData_Scope3_Feed[Product], Table_SourceData_Scope3_Feed[Region of origin], Table_SourceData_Scope3_Feed[Emissions intensity]), IF(_xlpm.result="", 0, _xlpm.result))</f>
        <v>0</v>
      </c>
      <c r="U125" s="15"/>
      <c r="V125" s="15"/>
      <c r="W125" s="15"/>
      <c r="X125" s="15" cm="1">
        <f t="array" ref="X125">_xlfn.LET(_xlpm.result, Common_InputFunctions.Utility_LookupValueInTableTwoColumns(U125, V125, Table_SourceData_Scope3_Feed[Product], Table_SourceData_Scope3_Feed[Region of origin], Table_SourceData_Scope3_Feed[Emissions intensity]), IF(_xlpm.result="", 0, _xlpm.result))</f>
        <v>0</v>
      </c>
      <c r="Y125" s="15"/>
      <c r="Z125" s="15"/>
      <c r="AA125" s="15"/>
      <c r="AB125" s="15" cm="1">
        <f t="array" ref="AB125">_xlfn.LET(_xlpm.result, Common_InputFunctions.Utility_LookupValueInTableTwoColumns(Y125, Z125, Table_SourceData_Scope3_Feed[Product], Table_SourceData_Scope3_Feed[Region of origin], Table_SourceData_Scope3_Feed[Emissions intensity]), IF(_xlpm.result="", 0, _xlpm.result))</f>
        <v>0</v>
      </c>
    </row>
    <row r="126" spans="1:28" ht="20.100000000000001" customHeight="1" x14ac:dyDescent="0.2">
      <c r="D126" s="15"/>
      <c r="E126" s="15"/>
      <c r="F126" s="15">
        <f t="shared" si="0"/>
        <v>0</v>
      </c>
      <c r="G126" s="240">
        <f>((E126 * F126) * 10 ^ -3)</f>
        <v>0</v>
      </c>
      <c r="H126" s="76"/>
      <c r="I126" s="240">
        <f>((E126 * (IF(H126,H126, F126))) * 10 ^ -3)</f>
        <v>0</v>
      </c>
      <c r="J126" s="34"/>
      <c r="K126" s="13"/>
      <c r="L126" s="34"/>
      <c r="M126" s="15"/>
      <c r="N126" s="15"/>
      <c r="O126" s="15"/>
      <c r="P126" s="15" cm="1">
        <f t="array" ref="P126">_xlfn.LET(_xlpm.result, Common_InputFunctions.Utility_LookupValueInTableTwoColumns(M126, N126, Table_SourceData_Scope3_Feed[Product], Table_SourceData_Scope3_Feed[Region of origin], Table_SourceData_Scope3_Feed[Emissions intensity]), IF(_xlpm.result="", 0, _xlpm.result))</f>
        <v>0</v>
      </c>
      <c r="Q126" s="15"/>
      <c r="R126" s="15"/>
      <c r="S126" s="15"/>
      <c r="T126" s="15" cm="1">
        <f t="array" ref="T126">_xlfn.LET(_xlpm.result, Common_InputFunctions.Utility_LookupValueInTableTwoColumns(Q126, R126, Table_SourceData_Scope3_Feed[Product], Table_SourceData_Scope3_Feed[Region of origin], Table_SourceData_Scope3_Feed[Emissions intensity]), IF(_xlpm.result="", 0, _xlpm.result))</f>
        <v>0</v>
      </c>
      <c r="U126" s="15"/>
      <c r="V126" s="15"/>
      <c r="W126" s="15"/>
      <c r="X126" s="15" cm="1">
        <f t="array" ref="X126">_xlfn.LET(_xlpm.result, Common_InputFunctions.Utility_LookupValueInTableTwoColumns(U126, V126, Table_SourceData_Scope3_Feed[Product], Table_SourceData_Scope3_Feed[Region of origin], Table_SourceData_Scope3_Feed[Emissions intensity]), IF(_xlpm.result="", 0, _xlpm.result))</f>
        <v>0</v>
      </c>
      <c r="Y126" s="15"/>
      <c r="Z126" s="15"/>
      <c r="AA126" s="15"/>
      <c r="AB126" s="15" cm="1">
        <f t="array" ref="AB126">_xlfn.LET(_xlpm.result, Common_InputFunctions.Utility_LookupValueInTableTwoColumns(Y126, Z126, Table_SourceData_Scope3_Feed[Product], Table_SourceData_Scope3_Feed[Region of origin], Table_SourceData_Scope3_Feed[Emissions intensity]), IF(_xlpm.result="", 0, _xlpm.result))</f>
        <v>0</v>
      </c>
    </row>
    <row r="127" spans="1:28" ht="20.100000000000001" customHeight="1" x14ac:dyDescent="0.2">
      <c r="D127" s="15"/>
      <c r="E127" s="15"/>
      <c r="F127" s="15">
        <f t="shared" si="0"/>
        <v>0</v>
      </c>
      <c r="G127" s="240">
        <f>((E127 * F127) * 10 ^ -3)</f>
        <v>0</v>
      </c>
      <c r="H127" s="76"/>
      <c r="I127" s="240">
        <f>((E127 * (IF(H127,H127, F127))) * 10 ^ -3)</f>
        <v>0</v>
      </c>
      <c r="J127" s="34"/>
      <c r="K127" s="13"/>
      <c r="L127" s="34"/>
      <c r="M127" s="15"/>
      <c r="N127" s="15"/>
      <c r="O127" s="15"/>
      <c r="P127" s="15" cm="1">
        <f t="array" ref="P127">_xlfn.LET(_xlpm.result, Common_InputFunctions.Utility_LookupValueInTableTwoColumns(M127, N127, Table_SourceData_Scope3_Feed[Product], Table_SourceData_Scope3_Feed[Region of origin], Table_SourceData_Scope3_Feed[Emissions intensity]), IF(_xlpm.result="", 0, _xlpm.result))</f>
        <v>0</v>
      </c>
      <c r="Q127" s="15"/>
      <c r="R127" s="15"/>
      <c r="S127" s="15"/>
      <c r="T127" s="15" cm="1">
        <f t="array" ref="T127">_xlfn.LET(_xlpm.result, Common_InputFunctions.Utility_LookupValueInTableTwoColumns(Q127, R127, Table_SourceData_Scope3_Feed[Product], Table_SourceData_Scope3_Feed[Region of origin], Table_SourceData_Scope3_Feed[Emissions intensity]), IF(_xlpm.result="", 0, _xlpm.result))</f>
        <v>0</v>
      </c>
      <c r="U127" s="15"/>
      <c r="V127" s="15"/>
      <c r="W127" s="15"/>
      <c r="X127" s="15" cm="1">
        <f t="array" ref="X127">_xlfn.LET(_xlpm.result, Common_InputFunctions.Utility_LookupValueInTableTwoColumns(U127, V127, Table_SourceData_Scope3_Feed[Product], Table_SourceData_Scope3_Feed[Region of origin], Table_SourceData_Scope3_Feed[Emissions intensity]), IF(_xlpm.result="", 0, _xlpm.result))</f>
        <v>0</v>
      </c>
      <c r="Y127" s="15"/>
      <c r="Z127" s="15"/>
      <c r="AA127" s="15"/>
      <c r="AB127" s="15" cm="1">
        <f t="array" ref="AB127">_xlfn.LET(_xlpm.result, Common_InputFunctions.Utility_LookupValueInTableTwoColumns(Y127, Z127, Table_SourceData_Scope3_Feed[Product], Table_SourceData_Scope3_Feed[Region of origin], Table_SourceData_Scope3_Feed[Emissions intensity]), IF(_xlpm.result="", 0, _xlpm.result))</f>
        <v>0</v>
      </c>
    </row>
    <row r="128" spans="1:28" ht="20.100000000000001" customHeight="1" x14ac:dyDescent="0.2">
      <c r="D128" s="15"/>
      <c r="E128" s="15"/>
      <c r="F128" s="15">
        <f t="shared" si="0"/>
        <v>0</v>
      </c>
      <c r="G128" s="240">
        <f>((E128 * F128) * 10 ^ -3)</f>
        <v>0</v>
      </c>
      <c r="H128" s="76"/>
      <c r="I128" s="240">
        <f>((E128 * (IF(H128,H128, F128))) * 10 ^ -3)</f>
        <v>0</v>
      </c>
      <c r="J128" s="34"/>
      <c r="K128" s="13"/>
      <c r="L128" s="34"/>
      <c r="M128" s="15"/>
      <c r="N128" s="15"/>
      <c r="O128" s="15"/>
      <c r="P128" s="15" cm="1">
        <f t="array" ref="P128">_xlfn.LET(_xlpm.result, Common_InputFunctions.Utility_LookupValueInTableTwoColumns(M128, N128, Table_SourceData_Scope3_Feed[Product], Table_SourceData_Scope3_Feed[Region of origin], Table_SourceData_Scope3_Feed[Emissions intensity]), IF(_xlpm.result="", 0, _xlpm.result))</f>
        <v>0</v>
      </c>
      <c r="Q128" s="15"/>
      <c r="R128" s="15"/>
      <c r="S128" s="15"/>
      <c r="T128" s="15" cm="1">
        <f t="array" ref="T128">_xlfn.LET(_xlpm.result, Common_InputFunctions.Utility_LookupValueInTableTwoColumns(Q128, R128, Table_SourceData_Scope3_Feed[Product], Table_SourceData_Scope3_Feed[Region of origin], Table_SourceData_Scope3_Feed[Emissions intensity]), IF(_xlpm.result="", 0, _xlpm.result))</f>
        <v>0</v>
      </c>
      <c r="U128" s="15"/>
      <c r="V128" s="15"/>
      <c r="W128" s="15"/>
      <c r="X128" s="15" cm="1">
        <f t="array" ref="X128">_xlfn.LET(_xlpm.result, Common_InputFunctions.Utility_LookupValueInTableTwoColumns(U128, V128, Table_SourceData_Scope3_Feed[Product], Table_SourceData_Scope3_Feed[Region of origin], Table_SourceData_Scope3_Feed[Emissions intensity]), IF(_xlpm.result="", 0, _xlpm.result))</f>
        <v>0</v>
      </c>
      <c r="Y128" s="15"/>
      <c r="Z128" s="15"/>
      <c r="AA128" s="15"/>
      <c r="AB128" s="15" cm="1">
        <f t="array" ref="AB128">_xlfn.LET(_xlpm.result, Common_InputFunctions.Utility_LookupValueInTableTwoColumns(Y128, Z128, Table_SourceData_Scope3_Feed[Product], Table_SourceData_Scope3_Feed[Region of origin], Table_SourceData_Scope3_Feed[Emissions intensity]), IF(_xlpm.result="", 0, _xlpm.result))</f>
        <v>0</v>
      </c>
    </row>
    <row r="129" spans="4:28" ht="20.100000000000001" customHeight="1" x14ac:dyDescent="0.2">
      <c r="D129" s="15"/>
      <c r="E129" s="15"/>
      <c r="F129" s="15">
        <f t="shared" si="0"/>
        <v>0</v>
      </c>
      <c r="G129" s="240">
        <f>((E129 * F129) * 10 ^ -3)</f>
        <v>0</v>
      </c>
      <c r="H129" s="76"/>
      <c r="I129" s="240">
        <f>((E129 * (IF(H129,H129, F129))) * 10 ^ -3)</f>
        <v>0</v>
      </c>
      <c r="J129" s="34"/>
      <c r="K129" s="13"/>
      <c r="L129" s="34"/>
      <c r="M129" s="15"/>
      <c r="N129" s="15"/>
      <c r="O129" s="15"/>
      <c r="P129" s="15" cm="1">
        <f t="array" ref="P129">_xlfn.LET(_xlpm.result, Common_InputFunctions.Utility_LookupValueInTableTwoColumns(M129, N129, Table_SourceData_Scope3_Feed[Product], Table_SourceData_Scope3_Feed[Region of origin], Table_SourceData_Scope3_Feed[Emissions intensity]), IF(_xlpm.result="", 0, _xlpm.result))</f>
        <v>0</v>
      </c>
      <c r="Q129" s="15"/>
      <c r="R129" s="15"/>
      <c r="S129" s="15"/>
      <c r="T129" s="15" cm="1">
        <f t="array" ref="T129">_xlfn.LET(_xlpm.result, Common_InputFunctions.Utility_LookupValueInTableTwoColumns(Q129, R129, Table_SourceData_Scope3_Feed[Product], Table_SourceData_Scope3_Feed[Region of origin], Table_SourceData_Scope3_Feed[Emissions intensity]), IF(_xlpm.result="", 0, _xlpm.result))</f>
        <v>0</v>
      </c>
      <c r="U129" s="15"/>
      <c r="V129" s="15"/>
      <c r="W129" s="15"/>
      <c r="X129" s="15" cm="1">
        <f t="array" ref="X129">_xlfn.LET(_xlpm.result, Common_InputFunctions.Utility_LookupValueInTableTwoColumns(U129, V129, Table_SourceData_Scope3_Feed[Product], Table_SourceData_Scope3_Feed[Region of origin], Table_SourceData_Scope3_Feed[Emissions intensity]), IF(_xlpm.result="", 0, _xlpm.result))</f>
        <v>0</v>
      </c>
      <c r="Y129" s="15"/>
      <c r="Z129" s="15"/>
      <c r="AA129" s="15"/>
      <c r="AB129" s="15" cm="1">
        <f t="array" ref="AB129">_xlfn.LET(_xlpm.result, Common_InputFunctions.Utility_LookupValueInTableTwoColumns(Y129, Z129, Table_SourceData_Scope3_Feed[Product], Table_SourceData_Scope3_Feed[Region of origin], Table_SourceData_Scope3_Feed[Emissions intensity]), IF(_xlpm.result="", 0, _xlpm.result))</f>
        <v>0</v>
      </c>
    </row>
    <row r="131" spans="4:28" ht="20.100000000000001" customHeight="1" x14ac:dyDescent="0.2">
      <c r="D131" s="90" t="s">
        <v>859</v>
      </c>
      <c r="E131" s="85">
        <f>SUM(G120:G129)</f>
        <v>0</v>
      </c>
      <c r="F131" s="91" t="str">
        <f>$E$105</f>
        <v>t CO2e</v>
      </c>
    </row>
    <row r="132" spans="4:28" ht="20.100000000000001" customHeight="1" x14ac:dyDescent="0.2">
      <c r="D132" s="90" t="s">
        <v>862</v>
      </c>
      <c r="E132" s="85">
        <f>SUM(I120:I129)</f>
        <v>0</v>
      </c>
      <c r="F132" s="91" t="str">
        <f>$E$105</f>
        <v>t CO2e</v>
      </c>
    </row>
    <row r="135" spans="4:28" ht="20.100000000000001" customHeight="1" x14ac:dyDescent="0.2">
      <c r="D135" s="233" t="s">
        <v>898</v>
      </c>
    </row>
    <row r="136" spans="4:28" ht="20.100000000000001" customHeight="1" x14ac:dyDescent="0.2">
      <c r="D136" s="80" t="s">
        <v>132</v>
      </c>
      <c r="E136" s="80" t="s">
        <v>887</v>
      </c>
      <c r="F136" s="138" t="s">
        <v>888</v>
      </c>
      <c r="G136" s="138" t="s">
        <v>859</v>
      </c>
      <c r="H136" s="80" t="s">
        <v>889</v>
      </c>
      <c r="I136" s="138" t="s">
        <v>862</v>
      </c>
      <c r="J136" s="80" t="s">
        <v>863</v>
      </c>
      <c r="K136" s="80" t="s">
        <v>864</v>
      </c>
      <c r="L136" s="80" t="s">
        <v>865</v>
      </c>
    </row>
    <row r="137" spans="4:28" ht="20.100000000000001" customHeight="1" x14ac:dyDescent="0.2">
      <c r="D137" s="15"/>
      <c r="E137" s="15">
        <f>IFERROR(X_Cell_FarmInputs_FeedRations_Chickens, 0)</f>
        <v>0</v>
      </c>
      <c r="F137" s="15" cm="1">
        <f t="array" ref="F137">Common_InputFunctions.Utility_LookupValueInTableNumber(D137,Table_SourceData_Scope3_MixedRations[Product],Table_SourceData_Scope3_MixedRations[Emissions intensity])</f>
        <v>0</v>
      </c>
      <c r="G137" s="240">
        <f>((E137 * F137) * 10 ^ -3)</f>
        <v>0</v>
      </c>
      <c r="H137" s="76">
        <v>0.5</v>
      </c>
      <c r="I137" s="240">
        <f>((E137 * (IF(H137,H137, F137))) * 10 ^ -3)</f>
        <v>0</v>
      </c>
      <c r="J137" s="34"/>
      <c r="K137" s="13"/>
      <c r="L137" s="34"/>
    </row>
    <row r="138" spans="4:28" ht="20.100000000000001" customHeight="1" x14ac:dyDescent="0.2">
      <c r="D138" s="15"/>
      <c r="E138" s="15">
        <f>IFERROR(X_Cell_FarmInputs_FeedRations_DairyCalves, 0)</f>
        <v>0</v>
      </c>
      <c r="F138" s="15" cm="1">
        <f t="array" ref="F138">Common_InputFunctions.Utility_LookupValueInTableNumber(D138,Table_SourceData_Scope3_MixedRations[Product],Table_SourceData_Scope3_MixedRations[Emissions intensity])</f>
        <v>0</v>
      </c>
      <c r="G138" s="240">
        <f>((E138 * F138) * 10 ^ -3)</f>
        <v>0</v>
      </c>
      <c r="H138" s="76">
        <v>0.4</v>
      </c>
      <c r="I138" s="240">
        <f>((E138 * (IF(H138,H138, F138))) * 10 ^ -3)</f>
        <v>0</v>
      </c>
      <c r="J138" s="34"/>
      <c r="K138" s="13"/>
      <c r="L138" s="34"/>
    </row>
    <row r="139" spans="4:28" ht="20.100000000000001" customHeight="1" x14ac:dyDescent="0.2">
      <c r="D139" s="15"/>
      <c r="E139" s="15">
        <f>IFERROR(X_Cell_FarmInputs_FeedRations_DairyCows, 0)</f>
        <v>0</v>
      </c>
      <c r="F139" s="15" cm="1">
        <f t="array" ref="F139">Common_InputFunctions.Utility_LookupValueInTableNumber(D139,Table_SourceData_Scope3_MixedRations[Product],Table_SourceData_Scope3_MixedRations[Emissions intensity])</f>
        <v>0</v>
      </c>
      <c r="G139" s="240">
        <f>((E139 * F139) * 10 ^ -3)</f>
        <v>0</v>
      </c>
      <c r="H139" s="76">
        <v>0</v>
      </c>
      <c r="I139" s="240">
        <f>((E139 * (IF(H139,H139, F139))) * 10 ^ -3)</f>
        <v>0</v>
      </c>
      <c r="J139" s="34"/>
      <c r="K139" s="13"/>
      <c r="L139" s="34"/>
    </row>
    <row r="140" spans="4:28" ht="20.100000000000001" customHeight="1" x14ac:dyDescent="0.2">
      <c r="D140" s="15"/>
      <c r="E140" s="15">
        <f>IFERROR(X_Cell_FarmInputs_FeedRations_Pigs, 0)</f>
        <v>0</v>
      </c>
      <c r="F140" s="15" cm="1">
        <f t="array" ref="F140">Common_InputFunctions.Utility_LookupValueInTableNumber(D140,Table_SourceData_Scope3_MixedRations[Product],Table_SourceData_Scope3_MixedRations[Emissions intensity])</f>
        <v>0</v>
      </c>
      <c r="G140" s="240">
        <f>((E140 * F140) * 10 ^ -3)</f>
        <v>0</v>
      </c>
      <c r="H140" s="76">
        <v>0</v>
      </c>
      <c r="I140" s="240">
        <f>((E140 * (IF(H140,H140, F140))) * 10 ^ -3)</f>
        <v>0</v>
      </c>
      <c r="J140" s="34"/>
      <c r="K140" s="13"/>
      <c r="L140" s="34"/>
    </row>
    <row r="142" spans="4:28" ht="20.100000000000001" customHeight="1" x14ac:dyDescent="0.2">
      <c r="D142" s="90" t="s">
        <v>859</v>
      </c>
      <c r="E142" s="85">
        <f>SUM(G137:G140)</f>
        <v>0</v>
      </c>
      <c r="F142" s="91" t="str">
        <f>$E$105</f>
        <v>t CO2e</v>
      </c>
    </row>
    <row r="143" spans="4:28" ht="20.100000000000001" customHeight="1" x14ac:dyDescent="0.2">
      <c r="D143" s="90" t="s">
        <v>862</v>
      </c>
      <c r="E143" s="85">
        <f>SUM(I137:I140)</f>
        <v>0</v>
      </c>
      <c r="F143" s="91" t="str">
        <f>$E$105</f>
        <v>t CO2e</v>
      </c>
    </row>
    <row r="146" spans="1:12" ht="20.100000000000001" customHeight="1" x14ac:dyDescent="0.2">
      <c r="D146" s="233" t="s">
        <v>899</v>
      </c>
    </row>
    <row r="147" spans="1:12" ht="20.100000000000001" customHeight="1" x14ac:dyDescent="0.2">
      <c r="D147" s="80" t="s">
        <v>132</v>
      </c>
      <c r="E147" s="80" t="s">
        <v>887</v>
      </c>
      <c r="F147" s="138" t="s">
        <v>888</v>
      </c>
      <c r="G147" s="138" t="s">
        <v>859</v>
      </c>
      <c r="H147" s="80" t="s">
        <v>889</v>
      </c>
      <c r="I147" s="138" t="s">
        <v>862</v>
      </c>
      <c r="J147" s="80" t="s">
        <v>863</v>
      </c>
      <c r="K147" s="80" t="s">
        <v>864</v>
      </c>
      <c r="L147" s="80" t="s">
        <v>865</v>
      </c>
    </row>
    <row r="148" spans="1:12" ht="20.100000000000001" customHeight="1" x14ac:dyDescent="0.2">
      <c r="D148" s="15"/>
      <c r="E148" s="15">
        <f>IFERROR(X_Cell_Input_AquacultureInput_SardinesSouthAustralia, 0)</f>
        <v>0</v>
      </c>
      <c r="F148" s="15" cm="1">
        <f t="array" ref="F148">Common_InputFunctions.Utility_LookupValueInTableNumber("Sardines (whole)" &amp;"SA", Table_SourceData_Scope3_FishFeedAndBait[Product]&amp;Table_SourceData_Scope3_FishFeedAndBait[Region of origin], Table_SourceData_Scope3_FishFeedAndBait[Emissions intensity])</f>
        <v>0.376</v>
      </c>
      <c r="G148" s="240">
        <f>((E148 * F148) * 10 ^ -3)</f>
        <v>0</v>
      </c>
      <c r="H148" s="76">
        <v>0.2</v>
      </c>
      <c r="I148" s="240">
        <f>((E148 * (IF(H148,H148, F148))) * 10 ^ -3)</f>
        <v>0</v>
      </c>
      <c r="J148" s="34"/>
      <c r="K148" s="34"/>
      <c r="L148" s="34"/>
    </row>
    <row r="149" spans="1:12" ht="20.100000000000001" customHeight="1" x14ac:dyDescent="0.2">
      <c r="A149" s="81" t="str">
        <f>HYPERLINK("#A1", "▲ Back to top")</f>
        <v>▲ Back to top</v>
      </c>
      <c r="D149" s="15"/>
      <c r="E149" s="15">
        <f>IFERROR(X_Cell_Input_AquacultureInput_SardinesAustralia, 0)</f>
        <v>0</v>
      </c>
      <c r="F149" s="15" cm="1">
        <f t="array" ref="F149">Common_InputFunctions.Utility_LookupValueInTableNumber("Sardines (whole)" &amp;"Australia", Table_SourceData_Scope3_FishFeedAndBait[Product]&amp;Table_SourceData_Scope3_FishFeedAndBait[Region of origin], Table_SourceData_Scope3_FishFeedAndBait[Emissions intensity])</f>
        <v>0.3</v>
      </c>
      <c r="G149" s="240">
        <f>((E149 * F149) * 10 ^ -3)</f>
        <v>0</v>
      </c>
      <c r="H149" s="76">
        <v>0</v>
      </c>
      <c r="I149" s="240">
        <f>((E149 * (IF(H149,H149, F149))) * 10 ^ -3)</f>
        <v>0</v>
      </c>
      <c r="J149" s="34"/>
      <c r="K149" s="34"/>
      <c r="L149" s="34"/>
    </row>
    <row r="150" spans="1:12" ht="20.100000000000001" customHeight="1" x14ac:dyDescent="0.2">
      <c r="D150" s="15"/>
      <c r="E150" s="15">
        <f>IFERROR(X_Cell_Input_AquacultureInput_LowAnimalProteinFormulatedFeed, 0)</f>
        <v>0</v>
      </c>
      <c r="F150" s="15" cm="1">
        <f t="array" ref="F150">Common_InputFunctions.Utility_LookupValueInTableNumber(D150&amp;"Australia", Table_SourceData_Scope3_FishFeedAndBait[Product]&amp;Table_SourceData_Scope3_FishFeedAndBait[Region of origin], Table_SourceData_Scope3_FishFeedAndBait[Emissions intensity])</f>
        <v>0</v>
      </c>
      <c r="G150" s="240">
        <f>((E150 * F150) * 10 ^ -3)</f>
        <v>0</v>
      </c>
      <c r="H150" s="76">
        <v>0</v>
      </c>
      <c r="I150" s="240">
        <f>((E150 * (IF(H150,H150, F150))) * 10 ^ -3)</f>
        <v>0</v>
      </c>
      <c r="J150" s="34"/>
      <c r="K150" s="34"/>
      <c r="L150" s="34"/>
    </row>
    <row r="151" spans="1:12" ht="20.100000000000001" customHeight="1" x14ac:dyDescent="0.2">
      <c r="D151" s="15"/>
      <c r="E151" s="15">
        <f>IFERROR(X_Cell_Input_AquacultureInput_Squid, 0)</f>
        <v>0</v>
      </c>
      <c r="F151" s="15" cm="1">
        <f t="array" ref="F151">Common_InputFunctions.Utility_LookupValueInTableNumber(D151&amp;"Australia", Table_SourceData_Scope3_FishFeedAndBait[Product]&amp;Table_SourceData_Scope3_FishFeedAndBait[Region of origin], Table_SourceData_Scope3_FishFeedAndBait[Emissions intensity])</f>
        <v>0</v>
      </c>
      <c r="G151" s="240">
        <f>((E151 * F151) * 10 ^ -3)</f>
        <v>0</v>
      </c>
      <c r="H151" s="76">
        <v>0</v>
      </c>
      <c r="I151" s="240">
        <f>((E151 * (IF(H151,H151, F151))) * 10 ^ -3)</f>
        <v>0</v>
      </c>
      <c r="J151" s="34"/>
      <c r="K151" s="34"/>
      <c r="L151" s="34"/>
    </row>
    <row r="152" spans="1:12" ht="20.100000000000001" customHeight="1" x14ac:dyDescent="0.2">
      <c r="D152" s="15"/>
      <c r="E152" s="15">
        <f>IFERROR(X_Cell_Input_AquacultureInput_WholeFish, 0)</f>
        <v>0</v>
      </c>
      <c r="F152" s="15" cm="1">
        <f t="array" ref="F152">Common_InputFunctions.Utility_LookupValueInTableNumber(D152&amp;"Australia", Table_SourceData_Scope3_FishFeedAndBait[Product]&amp;Table_SourceData_Scope3_FishFeedAndBait[Region of origin], Table_SourceData_Scope3_FishFeedAndBait[Emissions intensity])</f>
        <v>0</v>
      </c>
      <c r="G152" s="240">
        <f>((E152 * F152) * 10 ^ -3)</f>
        <v>0</v>
      </c>
      <c r="H152" s="76">
        <v>0</v>
      </c>
      <c r="I152" s="240">
        <f>((E152 * (IF(H152,H152, F152))) * 10 ^ -3)</f>
        <v>0</v>
      </c>
      <c r="J152" s="34"/>
      <c r="K152" s="34"/>
      <c r="L152" s="34"/>
    </row>
    <row r="153" spans="1:12" ht="20.100000000000001" customHeight="1" x14ac:dyDescent="0.2">
      <c r="D153" s="15"/>
      <c r="E153" s="15">
        <f>IFERROR(X_Cell_Input_AquacultureInput_CustomBait, 0)</f>
        <v>0</v>
      </c>
      <c r="F153" s="15" cm="1">
        <f t="array" ref="F153">Common_InputFunctions.Utility_LookupValueInTableNumber(D153&amp;"Australia", Table_SourceData_Scope3_FishFeedAndBait[Product]&amp;Table_SourceData_Scope3_FishFeedAndBait[Region of origin], Table_SourceData_Scope3_FishFeedAndBait[Emissions intensity])</f>
        <v>0</v>
      </c>
      <c r="G153" s="240">
        <f>((E153 * F153) * 10 ^ -3)</f>
        <v>0</v>
      </c>
      <c r="H153" s="76">
        <v>0</v>
      </c>
      <c r="I153" s="240">
        <f>((E153 * (IF(H153,H153, F153))) * 10 ^ -3)</f>
        <v>0</v>
      </c>
      <c r="J153" s="34"/>
      <c r="K153" s="34"/>
      <c r="L153" s="34"/>
    </row>
    <row r="155" spans="1:12" ht="20.100000000000001" customHeight="1" x14ac:dyDescent="0.2">
      <c r="D155" s="90" t="s">
        <v>859</v>
      </c>
      <c r="E155" s="85">
        <f>SUM(G148:G153)</f>
        <v>0</v>
      </c>
      <c r="F155" s="91" t="str">
        <f>$E$105</f>
        <v>t CO2e</v>
      </c>
    </row>
    <row r="156" spans="1:12" ht="20.100000000000001" customHeight="1" x14ac:dyDescent="0.2">
      <c r="D156" s="90" t="s">
        <v>862</v>
      </c>
      <c r="E156" s="85">
        <f>SUM(I148:I153)</f>
        <v>0</v>
      </c>
      <c r="F156" s="91" t="str">
        <f>$E$105</f>
        <v>t CO2e</v>
      </c>
    </row>
    <row r="159" spans="1:12" ht="20.100000000000001" customHeight="1" x14ac:dyDescent="0.2">
      <c r="D159" s="87" t="s">
        <v>859</v>
      </c>
      <c r="E159" s="88">
        <f>E131+E142+E155</f>
        <v>0</v>
      </c>
      <c r="F159" s="97" t="str">
        <f>$E$105</f>
        <v>t CO2e</v>
      </c>
    </row>
    <row r="160" spans="1:12" ht="20.100000000000001" customHeight="1" x14ac:dyDescent="0.2">
      <c r="D160" s="87" t="s">
        <v>862</v>
      </c>
      <c r="E160" s="88">
        <f>E132+E143+E156</f>
        <v>0</v>
      </c>
      <c r="F160" s="97" t="str">
        <f>$E$105</f>
        <v>t CO2e</v>
      </c>
    </row>
    <row r="163" spans="3:41" ht="20.100000000000001" customHeight="1" x14ac:dyDescent="0.2">
      <c r="C163" s="85"/>
      <c r="D163" s="85"/>
      <c r="E163" s="85"/>
      <c r="F163" s="85"/>
      <c r="G163" s="85"/>
      <c r="H163" s="85"/>
      <c r="I163" s="85"/>
      <c r="J163" s="85"/>
      <c r="K163" s="85"/>
      <c r="L163" s="85"/>
      <c r="M163" s="85"/>
      <c r="N163" s="85"/>
      <c r="O163" s="85"/>
      <c r="P163" s="85"/>
      <c r="Q163" s="85"/>
      <c r="R163" s="85"/>
      <c r="S163" s="85"/>
      <c r="T163" s="85"/>
      <c r="U163" s="85"/>
      <c r="V163" s="85"/>
      <c r="W163" s="85"/>
      <c r="X163" s="85"/>
      <c r="Y163" s="85"/>
      <c r="Z163" s="85"/>
      <c r="AA163" s="85"/>
      <c r="AB163" s="85"/>
      <c r="AC163" s="85"/>
      <c r="AD163" s="85"/>
      <c r="AE163" s="85"/>
      <c r="AF163" s="85"/>
      <c r="AG163" s="85"/>
      <c r="AH163" s="85"/>
      <c r="AI163" s="85"/>
      <c r="AJ163" s="85"/>
      <c r="AK163" s="85"/>
      <c r="AL163" s="85"/>
      <c r="AM163" s="85"/>
      <c r="AN163" s="85"/>
      <c r="AO163" s="85"/>
    </row>
    <row r="164" spans="3:41" ht="20.100000000000001" customHeight="1" x14ac:dyDescent="0.2">
      <c r="D164" s="2" t="s">
        <v>1375</v>
      </c>
    </row>
    <row r="165" spans="3:41" ht="20.100000000000001" customHeight="1" x14ac:dyDescent="0.2">
      <c r="D165" s="17" t="s">
        <v>1376</v>
      </c>
    </row>
    <row r="166" spans="3:41" ht="20.100000000000001" customHeight="1" x14ac:dyDescent="0.2">
      <c r="D166" s="134"/>
      <c r="E166" s="134"/>
    </row>
    <row r="168" spans="3:41" ht="20.100000000000001" customHeight="1" x14ac:dyDescent="0.2">
      <c r="F168" s="26" t="s">
        <v>1369</v>
      </c>
      <c r="H168" s="134"/>
    </row>
    <row r="169" spans="3:41" ht="20.100000000000001" customHeight="1" x14ac:dyDescent="0.2">
      <c r="D169" s="77" t="s">
        <v>371</v>
      </c>
      <c r="E169" s="1" t="s">
        <v>967</v>
      </c>
    </row>
    <row r="170" spans="3:41" ht="20.100000000000001" customHeight="1" x14ac:dyDescent="0.2">
      <c r="D170" s="77" t="s">
        <v>118</v>
      </c>
      <c r="E170" s="9" t="s">
        <v>7</v>
      </c>
    </row>
    <row r="172" spans="3:41" ht="20.100000000000001" customHeight="1" x14ac:dyDescent="0.2">
      <c r="D172" s="150" t="s">
        <v>1377</v>
      </c>
      <c r="E172" s="147" t="s">
        <v>1378</v>
      </c>
      <c r="F172" s="159"/>
      <c r="G172" s="150" t="s">
        <v>370</v>
      </c>
      <c r="H172" s="238" t="s">
        <v>1034</v>
      </c>
    </row>
    <row r="173" spans="3:41" ht="20.100000000000001" customHeight="1" x14ac:dyDescent="0.2">
      <c r="D173" s="150" t="s">
        <v>1379</v>
      </c>
      <c r="E173" s="147" t="s">
        <v>1380</v>
      </c>
      <c r="F173" s="159"/>
      <c r="G173" s="150" t="s">
        <v>1366</v>
      </c>
      <c r="H173" s="238" t="s">
        <v>1036</v>
      </c>
    </row>
    <row r="174" spans="3:41" ht="20.100000000000001" customHeight="1" x14ac:dyDescent="0.2">
      <c r="D174" s="150" t="s">
        <v>1299</v>
      </c>
      <c r="E174" s="147" t="s">
        <v>1381</v>
      </c>
      <c r="F174" s="159"/>
      <c r="G174" s="150"/>
      <c r="H174" s="142" t="s">
        <v>1034</v>
      </c>
    </row>
    <row r="176" spans="3:41" ht="20.100000000000001" customHeight="1" x14ac:dyDescent="0.2">
      <c r="D176" s="80" t="s">
        <v>132</v>
      </c>
      <c r="E176" s="80" t="s">
        <v>900</v>
      </c>
      <c r="F176" s="138" t="s">
        <v>901</v>
      </c>
      <c r="G176" s="138" t="s">
        <v>859</v>
      </c>
      <c r="H176" s="80" t="s">
        <v>902</v>
      </c>
      <c r="I176" s="138" t="s">
        <v>862</v>
      </c>
      <c r="J176" s="80" t="s">
        <v>863</v>
      </c>
      <c r="K176" s="80" t="s">
        <v>864</v>
      </c>
      <c r="L176" s="80" t="s">
        <v>865</v>
      </c>
    </row>
    <row r="177" spans="1:41" ht="20.100000000000001" customHeight="1" x14ac:dyDescent="0.2">
      <c r="D177" s="15"/>
      <c r="E177" s="15">
        <f>IFERROR(X_Cell_FarmInputs_LickBlocks_DrySeasonMix, 0)</f>
        <v>0</v>
      </c>
      <c r="F177" s="15" cm="1">
        <f t="array" ref="F177">Common_InputFunctions.Utility_LookupValueInTableNumber(D177,Table_SourceData_Scope3_LickBlocks[Product],Table_SourceData_Scope3_LickBlocks[Emissions intensity])</f>
        <v>0</v>
      </c>
      <c r="G177" s="240">
        <f>((E177 * F177) * 10 ^ -3)</f>
        <v>0</v>
      </c>
      <c r="H177" s="76">
        <v>0.8</v>
      </c>
      <c r="I177" s="240">
        <f>((E177 * (IF(H177, H177, F177))) * 10 ^ -3)</f>
        <v>0</v>
      </c>
      <c r="J177" s="34"/>
      <c r="K177" s="13"/>
      <c r="L177" s="34"/>
    </row>
    <row r="178" spans="1:41" ht="20.100000000000001" customHeight="1" x14ac:dyDescent="0.2">
      <c r="D178" s="15"/>
      <c r="E178" s="15">
        <f>IFERROR(X_Cell_FarmInputs_LickBlocks_Mineral, 0)</f>
        <v>0</v>
      </c>
      <c r="F178" s="15" cm="1">
        <f t="array" ref="F178">Common_InputFunctions.Utility_LookupValueInTableNumber(D178,Table_SourceData_Scope3_LickBlocks[Product],Table_SourceData_Scope3_LickBlocks[Emissions intensity])</f>
        <v>0</v>
      </c>
      <c r="G178" s="240">
        <f>((E178 * F178) * 10 ^ -3)</f>
        <v>0</v>
      </c>
      <c r="H178" s="76">
        <v>0.6</v>
      </c>
      <c r="I178" s="240">
        <f>((E178 * (IF(H178, H178, F178))) * 10 ^ -3)</f>
        <v>0</v>
      </c>
      <c r="J178" s="34"/>
      <c r="K178" s="13"/>
      <c r="L178" s="34"/>
    </row>
    <row r="179" spans="1:41" ht="20.100000000000001" customHeight="1" x14ac:dyDescent="0.2">
      <c r="A179" s="81" t="str">
        <f>HYPERLINK("#A1", "▲ Back to top")</f>
        <v>▲ Back to top</v>
      </c>
      <c r="D179" s="15"/>
      <c r="E179" s="15">
        <f>IFERROR(X_Cell_FarmInputs_LickBlocks_Weaner, 0)</f>
        <v>0</v>
      </c>
      <c r="F179" s="15" cm="1">
        <f t="array" ref="F179">Common_InputFunctions.Utility_LookupValueInTableNumber(D179,Table_SourceData_Scope3_LickBlocks[Product],Table_SourceData_Scope3_LickBlocks[Emissions intensity])</f>
        <v>0</v>
      </c>
      <c r="G179" s="240">
        <f>((E179 * F179) * 10 ^ -3)</f>
        <v>0</v>
      </c>
      <c r="H179" s="76">
        <v>0.2</v>
      </c>
      <c r="I179" s="240">
        <f>((E179 * (IF(H179, H179, F179))) * 10 ^ -3)</f>
        <v>0</v>
      </c>
      <c r="J179" s="34"/>
      <c r="K179" s="13"/>
      <c r="L179" s="34"/>
    </row>
    <row r="181" spans="1:41" ht="20.100000000000001" customHeight="1" x14ac:dyDescent="0.2">
      <c r="D181" s="87" t="s">
        <v>859</v>
      </c>
      <c r="E181" s="88">
        <f>SUM(G177:G179)</f>
        <v>0</v>
      </c>
      <c r="F181" s="97" t="str">
        <f>$E$170</f>
        <v>t CO2e</v>
      </c>
    </row>
    <row r="182" spans="1:41" ht="20.100000000000001" customHeight="1" x14ac:dyDescent="0.2">
      <c r="D182" s="87" t="s">
        <v>862</v>
      </c>
      <c r="E182" s="88">
        <f>SUM(I177:I179)</f>
        <v>0</v>
      </c>
      <c r="F182" s="97" t="str">
        <f>$E$170</f>
        <v>t CO2e</v>
      </c>
    </row>
    <row r="185" spans="1:41" ht="20.100000000000001" customHeight="1" x14ac:dyDescent="0.2">
      <c r="C185" s="85"/>
      <c r="D185" s="85"/>
      <c r="E185" s="85"/>
      <c r="F185" s="85"/>
      <c r="G185" s="85"/>
      <c r="H185" s="85"/>
      <c r="I185" s="85"/>
      <c r="J185" s="85"/>
      <c r="K185" s="85"/>
      <c r="L185" s="85"/>
      <c r="M185" s="85"/>
      <c r="N185" s="85"/>
      <c r="O185" s="85"/>
      <c r="P185" s="85"/>
      <c r="Q185" s="85"/>
      <c r="R185" s="85"/>
      <c r="S185" s="85"/>
      <c r="T185" s="85"/>
      <c r="U185" s="85"/>
      <c r="V185" s="85"/>
      <c r="W185" s="85"/>
      <c r="X185" s="85"/>
      <c r="Y185" s="85"/>
      <c r="Z185" s="85"/>
      <c r="AA185" s="85"/>
      <c r="AB185" s="85"/>
      <c r="AC185" s="85"/>
      <c r="AD185" s="85"/>
      <c r="AE185" s="85"/>
      <c r="AF185" s="85"/>
      <c r="AG185" s="85"/>
      <c r="AH185" s="85"/>
      <c r="AI185" s="85"/>
      <c r="AJ185" s="85"/>
      <c r="AK185" s="85"/>
      <c r="AL185" s="85"/>
      <c r="AM185" s="85"/>
      <c r="AN185" s="85"/>
      <c r="AO185" s="85"/>
    </row>
    <row r="186" spans="1:41" ht="20.100000000000001" customHeight="1" x14ac:dyDescent="0.2">
      <c r="D186" s="2" t="s">
        <v>1382</v>
      </c>
    </row>
    <row r="187" spans="1:41" ht="20.100000000000001" customHeight="1" x14ac:dyDescent="0.2">
      <c r="D187" s="17" t="s">
        <v>1383</v>
      </c>
    </row>
    <row r="188" spans="1:41" ht="20.100000000000001" customHeight="1" x14ac:dyDescent="0.2">
      <c r="D188" s="26" t="s">
        <v>1384</v>
      </c>
    </row>
    <row r="189" spans="1:41" ht="20.100000000000001" customHeight="1" x14ac:dyDescent="0.2">
      <c r="D189" s="134"/>
      <c r="E189" s="134"/>
    </row>
    <row r="192" spans="1:41" ht="20.100000000000001" customHeight="1" x14ac:dyDescent="0.2">
      <c r="D192" s="77" t="s">
        <v>371</v>
      </c>
      <c r="E192" s="1" t="s">
        <v>1385</v>
      </c>
    </row>
    <row r="193" spans="4:8" ht="20.100000000000001" customHeight="1" x14ac:dyDescent="0.2">
      <c r="D193" s="77" t="s">
        <v>118</v>
      </c>
      <c r="E193" s="9" t="s">
        <v>1386</v>
      </c>
    </row>
    <row r="195" spans="4:8" ht="20.100000000000001" customHeight="1" x14ac:dyDescent="0.2">
      <c r="D195" s="150" t="s">
        <v>1387</v>
      </c>
      <c r="E195" s="147" t="s">
        <v>1388</v>
      </c>
      <c r="F195" s="159"/>
      <c r="G195" s="150" t="s">
        <v>1393</v>
      </c>
      <c r="H195" s="238" t="s">
        <v>1034</v>
      </c>
    </row>
    <row r="196" spans="4:8" ht="20.100000000000001" customHeight="1" x14ac:dyDescent="0.2">
      <c r="D196" s="150" t="s">
        <v>1389</v>
      </c>
      <c r="E196" s="147" t="s">
        <v>1390</v>
      </c>
      <c r="F196" s="159"/>
      <c r="G196" s="150" t="s">
        <v>1394</v>
      </c>
      <c r="H196" s="142" t="s">
        <v>1036</v>
      </c>
    </row>
    <row r="197" spans="4:8" ht="20.100000000000001" customHeight="1" x14ac:dyDescent="0.2">
      <c r="D197" s="150" t="s">
        <v>1069</v>
      </c>
      <c r="E197" s="147" t="s">
        <v>1391</v>
      </c>
      <c r="F197" s="159"/>
      <c r="G197" s="150"/>
      <c r="H197" s="238" t="s">
        <v>1034</v>
      </c>
    </row>
    <row r="198" spans="4:8" ht="20.100000000000001" customHeight="1" x14ac:dyDescent="0.2">
      <c r="D198" s="150" t="s">
        <v>1045</v>
      </c>
      <c r="E198" s="147" t="s">
        <v>1392</v>
      </c>
      <c r="F198" s="159"/>
      <c r="G198" s="150"/>
      <c r="H198" s="238" t="s">
        <v>1034</v>
      </c>
    </row>
    <row r="201" spans="4:8" ht="20.100000000000001" customHeight="1" x14ac:dyDescent="0.2">
      <c r="D201" s="2" t="s">
        <v>1395</v>
      </c>
    </row>
    <row r="202" spans="4:8" ht="20.100000000000001" customHeight="1" x14ac:dyDescent="0.2">
      <c r="D202" s="17" t="s">
        <v>1396</v>
      </c>
    </row>
    <row r="203" spans="4:8" ht="20.100000000000001" customHeight="1" x14ac:dyDescent="0.2">
      <c r="D203" s="134"/>
      <c r="E203" s="134"/>
    </row>
    <row r="206" spans="4:8" ht="20.100000000000001" customHeight="1" x14ac:dyDescent="0.2">
      <c r="D206" s="77" t="s">
        <v>371</v>
      </c>
      <c r="E206" s="1" t="s">
        <v>967</v>
      </c>
    </row>
    <row r="207" spans="4:8" ht="20.100000000000001" customHeight="1" x14ac:dyDescent="0.2">
      <c r="D207" s="77" t="s">
        <v>118</v>
      </c>
      <c r="E207" s="9" t="s">
        <v>7</v>
      </c>
    </row>
    <row r="209" spans="1:8" ht="20.100000000000001" customHeight="1" x14ac:dyDescent="0.2">
      <c r="A209" s="81" t="str">
        <f>HYPERLINK("#A1", "▲ Back to top")</f>
        <v>▲ Back to top</v>
      </c>
      <c r="D209" s="150" t="s">
        <v>1030</v>
      </c>
      <c r="E209" s="150" t="s">
        <v>1397</v>
      </c>
      <c r="F209" s="150"/>
      <c r="G209" s="150" t="s">
        <v>370</v>
      </c>
      <c r="H209" s="238" t="s">
        <v>1034</v>
      </c>
    </row>
    <row r="210" spans="1:8" ht="20.100000000000001" customHeight="1" x14ac:dyDescent="0.2">
      <c r="D210" s="150" t="s">
        <v>1385</v>
      </c>
      <c r="E210" s="150" t="s">
        <v>1398</v>
      </c>
      <c r="F210" s="150"/>
      <c r="G210" s="150" t="s">
        <v>1366</v>
      </c>
      <c r="H210" s="142" t="s">
        <v>1036</v>
      </c>
    </row>
    <row r="211" spans="1:8" ht="20.100000000000001" customHeight="1" x14ac:dyDescent="0.2">
      <c r="D211" s="150" t="s">
        <v>1053</v>
      </c>
      <c r="E211" s="147" t="s">
        <v>1158</v>
      </c>
      <c r="F211" s="159"/>
      <c r="G211" s="150"/>
      <c r="H211" s="238" t="s">
        <v>1034</v>
      </c>
    </row>
    <row r="212" spans="1:8" ht="20.100000000000001" customHeight="1" x14ac:dyDescent="0.2">
      <c r="D212" s="150" t="s">
        <v>1045</v>
      </c>
      <c r="E212" s="147" t="s">
        <v>1392</v>
      </c>
      <c r="F212" s="159"/>
      <c r="G212" s="150"/>
      <c r="H212" s="238" t="s">
        <v>1034</v>
      </c>
    </row>
    <row r="215" spans="1:8" ht="20.100000000000001" customHeight="1" x14ac:dyDescent="0.2">
      <c r="D215" s="2" t="s">
        <v>1399</v>
      </c>
    </row>
    <row r="216" spans="1:8" ht="20.100000000000001" customHeight="1" x14ac:dyDescent="0.2">
      <c r="D216" s="17" t="s">
        <v>1400</v>
      </c>
    </row>
    <row r="217" spans="1:8" ht="20.100000000000001" customHeight="1" x14ac:dyDescent="0.2">
      <c r="D217" s="26" t="s">
        <v>1401</v>
      </c>
    </row>
    <row r="218" spans="1:8" ht="20.100000000000001" customHeight="1" x14ac:dyDescent="0.2">
      <c r="D218" s="134"/>
      <c r="E218" s="134"/>
    </row>
    <row r="221" spans="1:8" ht="20.100000000000001" customHeight="1" x14ac:dyDescent="0.2">
      <c r="D221" s="77" t="s">
        <v>371</v>
      </c>
      <c r="E221" s="1" t="s">
        <v>967</v>
      </c>
    </row>
    <row r="222" spans="1:8" ht="20.100000000000001" customHeight="1" x14ac:dyDescent="0.2">
      <c r="D222" s="77" t="s">
        <v>118</v>
      </c>
      <c r="E222" s="9" t="s">
        <v>7</v>
      </c>
    </row>
    <row r="224" spans="1:8" ht="20.100000000000001" customHeight="1" x14ac:dyDescent="0.2">
      <c r="D224" s="150" t="s">
        <v>1387</v>
      </c>
      <c r="E224" s="147" t="s">
        <v>1388</v>
      </c>
      <c r="F224" s="159"/>
      <c r="G224" s="150" t="s">
        <v>1393</v>
      </c>
      <c r="H224" s="238" t="s">
        <v>1034</v>
      </c>
    </row>
    <row r="225" spans="1:40" ht="20.100000000000001" customHeight="1" x14ac:dyDescent="0.2">
      <c r="D225" s="150" t="s">
        <v>1030</v>
      </c>
      <c r="E225" s="147" t="s">
        <v>1397</v>
      </c>
      <c r="F225" s="159"/>
      <c r="G225" s="150" t="s">
        <v>370</v>
      </c>
      <c r="H225" s="142" t="s">
        <v>1034</v>
      </c>
    </row>
    <row r="226" spans="1:40" ht="20.100000000000001" customHeight="1" x14ac:dyDescent="0.2">
      <c r="D226" s="150" t="s">
        <v>1389</v>
      </c>
      <c r="E226" s="147" t="s">
        <v>1390</v>
      </c>
      <c r="F226" s="159"/>
      <c r="G226" s="150" t="s">
        <v>1394</v>
      </c>
      <c r="H226" s="142" t="s">
        <v>1036</v>
      </c>
    </row>
    <row r="227" spans="1:40" ht="20.100000000000001" customHeight="1" x14ac:dyDescent="0.2">
      <c r="D227" s="150" t="s">
        <v>1069</v>
      </c>
      <c r="E227" s="147" t="s">
        <v>1391</v>
      </c>
      <c r="F227" s="159"/>
      <c r="G227" s="150"/>
      <c r="H227" s="238" t="s">
        <v>1034</v>
      </c>
    </row>
    <row r="228" spans="1:40" ht="20.100000000000001" customHeight="1" x14ac:dyDescent="0.2">
      <c r="D228" s="150" t="s">
        <v>1045</v>
      </c>
      <c r="E228" s="147" t="s">
        <v>1392</v>
      </c>
      <c r="F228" s="159"/>
      <c r="G228" s="150"/>
      <c r="H228" s="238" t="s">
        <v>1034</v>
      </c>
    </row>
    <row r="229" spans="1:40" ht="20.100000000000001" customHeight="1" x14ac:dyDescent="0.2">
      <c r="D229" s="150" t="s">
        <v>1053</v>
      </c>
      <c r="E229" s="147" t="s">
        <v>1158</v>
      </c>
      <c r="F229" s="159"/>
      <c r="G229" s="150"/>
      <c r="H229" s="238" t="s">
        <v>1034</v>
      </c>
    </row>
    <row r="231" spans="1:40" ht="20.100000000000001" customHeight="1" x14ac:dyDescent="0.2">
      <c r="D231" s="233" t="s">
        <v>903</v>
      </c>
    </row>
    <row r="233" spans="1:40" ht="20.100000000000001" customHeight="1" x14ac:dyDescent="0.2">
      <c r="D233" s="36" t="s">
        <v>904</v>
      </c>
      <c r="E233" s="38"/>
      <c r="F233" s="39"/>
    </row>
    <row r="235" spans="1:40" ht="20.100000000000001" customHeight="1" x14ac:dyDescent="0.2">
      <c r="D235" s="80" t="s">
        <v>132</v>
      </c>
      <c r="E235" s="80" t="s">
        <v>905</v>
      </c>
      <c r="F235" s="138" t="s">
        <v>906</v>
      </c>
      <c r="G235" s="138" t="s">
        <v>907</v>
      </c>
      <c r="H235" s="138" t="s">
        <v>908</v>
      </c>
      <c r="I235" s="80" t="s">
        <v>909</v>
      </c>
      <c r="J235" s="138" t="s">
        <v>910</v>
      </c>
      <c r="K235" s="138" t="s">
        <v>911</v>
      </c>
      <c r="L235" s="80" t="s">
        <v>863</v>
      </c>
      <c r="M235" s="80" t="s">
        <v>864</v>
      </c>
      <c r="N235" s="80" t="s">
        <v>865</v>
      </c>
      <c r="O235" s="138" t="s">
        <v>323</v>
      </c>
      <c r="P235" s="138" t="s">
        <v>324</v>
      </c>
      <c r="Q235" s="138" t="s">
        <v>308</v>
      </c>
      <c r="R235" s="138" t="s">
        <v>309</v>
      </c>
      <c r="S235" s="138" t="s">
        <v>912</v>
      </c>
      <c r="T235" s="80" t="s">
        <v>913</v>
      </c>
      <c r="U235" s="138" t="s">
        <v>310</v>
      </c>
      <c r="V235" s="138" t="s">
        <v>311</v>
      </c>
      <c r="W235" s="138" t="s">
        <v>914</v>
      </c>
      <c r="X235" s="80" t="s">
        <v>915</v>
      </c>
      <c r="Y235" s="138" t="s">
        <v>312</v>
      </c>
      <c r="Z235" s="138" t="s">
        <v>313</v>
      </c>
      <c r="AA235" s="138" t="s">
        <v>916</v>
      </c>
      <c r="AB235" s="80" t="s">
        <v>917</v>
      </c>
      <c r="AC235" s="138" t="s">
        <v>314</v>
      </c>
      <c r="AD235" s="138" t="s">
        <v>315</v>
      </c>
      <c r="AE235" s="138" t="s">
        <v>918</v>
      </c>
      <c r="AF235" s="80" t="s">
        <v>919</v>
      </c>
      <c r="AG235" s="138" t="s">
        <v>316</v>
      </c>
      <c r="AH235" s="138" t="s">
        <v>317</v>
      </c>
      <c r="AI235" s="138" t="s">
        <v>920</v>
      </c>
      <c r="AJ235" s="80" t="s">
        <v>921</v>
      </c>
      <c r="AK235" s="138" t="s">
        <v>318</v>
      </c>
      <c r="AL235" s="138" t="s">
        <v>319</v>
      </c>
      <c r="AM235" s="138" t="s">
        <v>922</v>
      </c>
      <c r="AN235" s="80" t="s">
        <v>923</v>
      </c>
    </row>
    <row r="236" spans="1:40" ht="20.100000000000001" customHeight="1" x14ac:dyDescent="0.2">
      <c r="D236" s="15" t="str" cm="1">
        <f t="array" ref="D236:D245">IFERROR(INDEX(Table_Input_InorganicFertiliser_Brands[Product (select)], _xlfn.SEQUENCE(10)), "")</f>
        <v>Urea</v>
      </c>
      <c r="E236" s="15" cm="1">
        <f t="array" ref="E236:E245">IFERROR(INDEX(Table_Input_InorganicFertiliser_Brands[Total applied (kg)], _xlfn.SEQUENCE(10)), 0)</f>
        <v>100000</v>
      </c>
      <c r="F236" s="15">
        <f>(R236 * S236)+
(V236 * W236)+
(Z236 * AA236)+
(AD236 * AE236)+
(AH236 * AI236)+
(AL236 * AM236)</f>
        <v>0</v>
      </c>
      <c r="G236" s="240">
        <f>((E236 * F236) * 10 ^ -3)</f>
        <v>0</v>
      </c>
      <c r="H236" s="15">
        <f>((R236 * $E236) * S236 * 10 ^ -3)+
((V236 * $E236) * W236 * 10 ^ -3)+
((Z236 * $E236) * AA236 * 10 ^ -3)+
((AD236 * $E236) * AE236 * 10 ^ -3)+
((AH236 * $E236) * AI236 * 10 ^ -3)+
((AL236 * $E236) * AM236 * 10 ^ -3)</f>
        <v>0</v>
      </c>
      <c r="I236" s="76">
        <v>0.4</v>
      </c>
      <c r="J236" s="240">
        <f>((E236 * I236) * 10 ^ -3)</f>
        <v>40</v>
      </c>
      <c r="K236" s="240">
        <f>((R236 * $E236) * (IF(T236,T236,S236)) * 10 ^ -3)+
((V236 * $E236) * (IF(X236,X236,W236)) * 10 ^ -3)+
((Z236 * $E236) * (IF(AB236,AB236,AA236)) * 10 ^ -3)+
((AD236 * $E236) * (IF(AF236,AF236,AE236)) * 10 ^ -3)+
((AH236 * $E236) * (IF(AJ236,AJ236,AI236)) * 10 ^ -3)+
((AL236 * $E236) * (IF(AN236,AN236,AM236)) * 10 ^ -3)</f>
        <v>90</v>
      </c>
      <c r="L236" s="34"/>
      <c r="M236" s="13"/>
      <c r="N236"/>
      <c r="O236" s="15" cm="1">
        <f t="array" ref="O236:O245">IFERROR(INDEX(Table_Input_InorganicFertiliser_Brands[Urea source], _xlfn.SEQUENCE(10)), "")</f>
        <v>0</v>
      </c>
      <c r="P236" s="15" cm="1">
        <f t="array" ref="P236:P245">IFERROR(INDEX(Table_Input_InorganicFertiliser_Brands[Ammonia source], _xlfn.SEQUENCE(10)), "")</f>
        <v>0</v>
      </c>
      <c r="Q236" s="15" t="str" cm="1">
        <f t="array" ref="Q236:Q245">IFERROR(INDEX(Table_Input_InorganicFertiliser_Brands[Ingredient 1], _xlfn.SEQUENCE(10)), "")</f>
        <v>Urea</v>
      </c>
      <c r="R236" s="15" cm="1">
        <f t="array" ref="R236:R245">IFERROR(INDEX(_xlfn.LET(_xlpm.result, Table_Input_InorganicFertiliser_Brands[Ingredient 1 percent], IF(_xlpm.result="", 0, _xlpm.result)), _xlfn.SEQUENCE(10)), 0)</f>
        <v>1</v>
      </c>
      <c r="S236" s="15" cm="1">
        <f t="array" ref="S236">_xlfn.LET(_xlpm.result, Common_InputFunctions.Utility_LookupValueInTableTwoColumns(Q236, _xlfn.IFS(Q236="Urea",IF($O236="", "Global", $O236), Q236="Ammonia", IF($P236="", "Global", $P236), TRUE, "Global"), Table_SourceData_Scope3_InorganicFertiliser[Chemical compound],Table_SourceData_Scope3_InorganicFertiliser[Region of origin],Table_SourceData_Scope3_InorganicFertiliser[Emissions intensity]), IF(_xlpm.result="", 0, _xlpm.result))</f>
        <v>0</v>
      </c>
      <c r="T236" s="76">
        <v>0.9</v>
      </c>
      <c r="U236" s="15" cm="1">
        <f t="array" ref="U236:U245">IFERROR(INDEX(Table_Input_InorganicFertiliser_Brands[Ingredient 2], _xlfn.SEQUENCE(10)), "")</f>
        <v>0</v>
      </c>
      <c r="V236" s="15" cm="1">
        <f t="array" ref="V236:V245">IFERROR(INDEX(_xlfn.LET(_xlpm.result, Table_Input_InorganicFertiliser_Brands[Ingredient 2 percent], IF(_xlpm.result="", 0, _xlpm.result)), _xlfn.SEQUENCE(10)), 0)</f>
        <v>0</v>
      </c>
      <c r="W236" s="15" cm="1">
        <f t="array" ref="W236">_xlfn.LET(_xlpm.result, Common_InputFunctions.Utility_LookupValueInTableTwoColumns(U236, _xlfn.IFS(U236="Urea",IF($O236="", "Global", $O236), U236="Ammonia", IF($P236="", "Global", $P236), TRUE, "Global"), Table_SourceData_Scope3_InorganicFertiliser[Chemical compound],Table_SourceData_Scope3_InorganicFertiliser[Region of origin],Table_SourceData_Scope3_InorganicFertiliser[Emissions intensity]), IF(_xlpm.result="", 0, _xlpm.result))</f>
        <v>0</v>
      </c>
      <c r="X236" s="76">
        <v>0.9</v>
      </c>
      <c r="Y236" s="15" cm="1">
        <f t="array" ref="Y236:Y245">IFERROR(INDEX(Table_Input_InorganicFertiliser_Brands[Ingredient 3], _xlfn.SEQUENCE(10)), "")</f>
        <v>0</v>
      </c>
      <c r="Z236" s="15" cm="1">
        <f t="array" ref="Z236:Z245">IFERROR(INDEX(_xlfn.LET(_xlpm.result, Table_Input_InorganicFertiliser_Brands[Ingredient 3 percent], IF(_xlpm.result="", 0, _xlpm.result)), _xlfn.SEQUENCE(10)), 0)</f>
        <v>0</v>
      </c>
      <c r="AA236" s="15" cm="1">
        <f t="array" ref="AA236">_xlfn.LET(_xlpm.result, Common_InputFunctions.Utility_LookupValueInTableTwoColumns(Y236, _xlfn.IFS(Y236="Urea",IF($O236="", "Global", $O236), Y236="Ammonia", IF($P236="", "Global", $P236), TRUE, "Global"), Table_SourceData_Scope3_InorganicFertiliser[Chemical compound],Table_SourceData_Scope3_InorganicFertiliser[Region of origin],Table_SourceData_Scope3_InorganicFertiliser[Emissions intensity]), IF(_xlpm.result="", 0, _xlpm.result))</f>
        <v>0</v>
      </c>
      <c r="AB236" s="76">
        <v>4</v>
      </c>
      <c r="AC236" s="15" cm="1">
        <f t="array" ref="AC236:AC245">IFERROR(INDEX(Table_Input_InorganicFertiliser_Brands[Ingredient 4], _xlfn.SEQUENCE(10)), "")</f>
        <v>0</v>
      </c>
      <c r="AD236" s="15" cm="1">
        <f t="array" ref="AD236:AD245">IFERROR(INDEX(_xlfn.LET(_xlpm.result, Table_Input_InorganicFertiliser_Brands[Ingredient 4 percent], IF(_xlpm.result="", 0, _xlpm.result)), _xlfn.SEQUENCE(10)), 0)</f>
        <v>0</v>
      </c>
      <c r="AE236" s="15" cm="1">
        <f t="array" ref="AE236">_xlfn.LET(_xlpm.result, Common_InputFunctions.Utility_LookupValueInTableTwoColumns(AC236, _xlfn.IFS(AC236="Urea",IF($O236="", "Global", $O236), AC236="Ammonia", IF($P236="", "Global", $P236), TRUE, "Global"), Table_SourceData_Scope3_InorganicFertiliser[Chemical compound],Table_SourceData_Scope3_InorganicFertiliser[Region of origin],Table_SourceData_Scope3_InorganicFertiliser[Emissions intensity]), IF(_xlpm.result="", 0, _xlpm.result))</f>
        <v>0</v>
      </c>
      <c r="AF236" s="76">
        <v>0</v>
      </c>
      <c r="AG236" s="15" cm="1">
        <f t="array" ref="AG236:AG245">IFERROR(INDEX(Table_Input_InorganicFertiliser_Brands[Ingredient 5], _xlfn.SEQUENCE(10)), "")</f>
        <v>0</v>
      </c>
      <c r="AH236" s="15" cm="1">
        <f t="array" ref="AH236:AH245">IFERROR(INDEX(_xlfn.LET(_xlpm.result, Table_Input_InorganicFertiliser_Brands[Ingredient 5 percent], IF(_xlpm.result="", 0, _xlpm.result)), _xlfn.SEQUENCE(10)), 0)</f>
        <v>0</v>
      </c>
      <c r="AI236" s="15" cm="1">
        <f t="array" ref="AI236">_xlfn.LET(_xlpm.result, Common_InputFunctions.Utility_LookupValueInTableTwoColumns(AG236, _xlfn.IFS(AG236="Urea",IF($O236="", "Global", $O236), AG236="Ammonia", IF($P236="", "Global", $P236), TRUE, "Global"), Table_SourceData_Scope3_InorganicFertiliser[Chemical compound],Table_SourceData_Scope3_InorganicFertiliser[Region of origin],Table_SourceData_Scope3_InorganicFertiliser[Emissions intensity]), IF(_xlpm.result="", 0, _xlpm.result))</f>
        <v>0</v>
      </c>
      <c r="AJ236" s="76">
        <v>0</v>
      </c>
      <c r="AK236" s="15" cm="1">
        <f t="array" ref="AK236:AK245">IFERROR(INDEX(Table_Input_InorganicFertiliser_Brands[Ingredient 6], _xlfn.SEQUENCE(10)), "")</f>
        <v>0</v>
      </c>
      <c r="AL236" s="15" cm="1">
        <f t="array" ref="AL236:AL245">IFERROR(INDEX(_xlfn.LET(_xlpm.result, Table_Input_InorganicFertiliser_Brands[Ingredient 6 percent], IF(_xlpm.result="", 0, _xlpm.result)), _xlfn.SEQUENCE(10)), 0)</f>
        <v>0</v>
      </c>
      <c r="AM236" s="15" cm="1">
        <f t="array" ref="AM236">_xlfn.LET(_xlpm.result, Common_InputFunctions.Utility_LookupValueInTableTwoColumns(AK236, _xlfn.IFS(AK236="Urea",IF($O236="", "Global", $O236), AK236="Ammonia", IF($P236="", "Global", $P236), TRUE, "Global"), Table_SourceData_Scope3_InorganicFertiliser[Chemical compound],Table_SourceData_Scope3_InorganicFertiliser[Region of origin],Table_SourceData_Scope3_InorganicFertiliser[Emissions intensity]), IF(_xlpm.result="", 0, _xlpm.result))</f>
        <v>0</v>
      </c>
      <c r="AN236" s="76"/>
    </row>
    <row r="237" spans="1:40" ht="20.100000000000001" customHeight="1" x14ac:dyDescent="0.2">
      <c r="D237" s="15" t="str">
        <v>Boost-It</v>
      </c>
      <c r="E237" s="15">
        <v>100000</v>
      </c>
      <c r="F237" s="15">
        <f>(R237 * S237)+
(V237 * W237)+
(Z237 * AA237)+
(AD237 * AE237)+
(AH237 * AI237)+
(AL237 * AM237)</f>
        <v>0.41114000000000001</v>
      </c>
      <c r="G237" s="240">
        <f>((E237 * F237) * 10 ^ -3)</f>
        <v>41.114000000000004</v>
      </c>
      <c r="H237" s="15">
        <f>((R237 * $E237) * S237 * 10 ^ -3)+
((V237 * $E237) * W237 * 10 ^ -3)+
((Z237 * $E237) * AA237 * 10 ^ -3)+
((AD237 * $E237) * AE237 * 10 ^ -3)+
((AH237 * $E237) * AI237 * 10 ^ -3)+
((AL237 * $E237) * AM237 * 10 ^ -3)</f>
        <v>41.113999999999997</v>
      </c>
      <c r="I237" s="76">
        <v>0.9</v>
      </c>
      <c r="J237" s="240">
        <f>((E237 * I237) * 10 ^ -3)</f>
        <v>90</v>
      </c>
      <c r="K237" s="240">
        <f>((R237 * $E237) * (IF(T237,T237,S237)) * 10 ^ -3)+
((V237 * $E237) * (IF(X237,X237,W237)) * 10 ^ -3)+
((Z237 * $E237) * (IF(AB237,AB237,AA237)) * 10 ^ -3)+
((AD237 * $E237) * (IF(AF237,AF237,AE237)) * 10 ^ -3)+
((AH237 * $E237) * (IF(AJ237,AJ237,AI237)) * 10 ^ -3)+
((AL237 * $E237) * (IF(AN237,AN237,AM237)) * 10 ^ -3)</f>
        <v>41.113999999999997</v>
      </c>
      <c r="L237" s="34"/>
      <c r="M237" s="13"/>
      <c r="N237" s="34"/>
      <c r="O237" s="15">
        <v>0</v>
      </c>
      <c r="P237" s="15">
        <v>0</v>
      </c>
      <c r="Q237" s="15" t="str">
        <v>Urea</v>
      </c>
      <c r="R237" s="15">
        <v>0.52173899999999995</v>
      </c>
      <c r="S237" s="15" cm="1">
        <f t="array" ref="S237">_xlfn.LET(_xlpm.result, Common_InputFunctions.Utility_LookupValueInTableTwoColumns(Q237, _xlfn.IFS(Q237="Urea",IF($O237="", "Global", $O237), Q237="Ammonia", IF($P237="", "Global", $P237), TRUE, "Global"), Table_SourceData_Scope3_InorganicFertiliser[Chemical compound],Table_SourceData_Scope3_InorganicFertiliser[Region of origin],Table_SourceData_Scope3_InorganicFertiliser[Emissions intensity]), IF(_xlpm.result="", 0, _xlpm.result))</f>
        <v>0</v>
      </c>
      <c r="T237" s="76"/>
      <c r="U237" s="15" t="str">
        <v>Potassium - Generic</v>
      </c>
      <c r="V237" s="15">
        <v>0.08</v>
      </c>
      <c r="W237" s="15" cm="1">
        <f t="array" ref="W237">_xlfn.LET(_xlpm.result, Common_InputFunctions.Utility_LookupValueInTableTwoColumns(U237, _xlfn.IFS(U237="Urea",IF($O237="", "Global", $O237), U237="Ammonia", IF($P237="", "Global", $P237), TRUE, "Global"), Table_SourceData_Scope3_InorganicFertiliser[Chemical compound],Table_SourceData_Scope3_InorganicFertiliser[Region of origin],Table_SourceData_Scope3_InorganicFertiliser[Emissions intensity]), IF(_xlpm.result="", 0, _xlpm.result))</f>
        <v>0.90900000000000003</v>
      </c>
      <c r="X237" s="76"/>
      <c r="Y237" s="15" t="str">
        <v>Sulfur - Generic</v>
      </c>
      <c r="Z237" s="15">
        <v>5.2999999999999999E-2</v>
      </c>
      <c r="AA237" s="15" cm="1">
        <f t="array" ref="AA237">_xlfn.LET(_xlpm.result, Common_InputFunctions.Utility_LookupValueInTableTwoColumns(Y237, _xlfn.IFS(Y237="Urea",IF($O237="", "Global", $O237), Y237="Ammonia", IF($P237="", "Global", $P237), TRUE, "Global"), Table_SourceData_Scope3_InorganicFertiliser[Chemical compound],Table_SourceData_Scope3_InorganicFertiliser[Region of origin],Table_SourceData_Scope3_InorganicFertiliser[Emissions intensity]), IF(_xlpm.result="", 0, _xlpm.result))</f>
        <v>2.5</v>
      </c>
      <c r="AB237" s="76"/>
      <c r="AC237" s="15" t="str">
        <v>Phosphorus - Generic</v>
      </c>
      <c r="AD237" s="15">
        <v>5.1999999999999998E-2</v>
      </c>
      <c r="AE237" s="15" cm="1">
        <f t="array" ref="AE237">_xlfn.LET(_xlpm.result, Common_InputFunctions.Utility_LookupValueInTableTwoColumns(AC237, _xlfn.IFS(AC237="Urea",IF($O237="", "Global", $O237), AC237="Ammonia", IF($P237="", "Global", $P237), TRUE, "Global"), Table_SourceData_Scope3_InorganicFertiliser[Chemical compound],Table_SourceData_Scope3_InorganicFertiliser[Region of origin],Table_SourceData_Scope3_InorganicFertiliser[Emissions intensity]), IF(_xlpm.result="", 0, _xlpm.result))</f>
        <v>3.96</v>
      </c>
      <c r="AF237" s="76"/>
      <c r="AG237" s="15" t="str">
        <v>Magnesium</v>
      </c>
      <c r="AH237" s="15">
        <v>1.2999999999999999E-2</v>
      </c>
      <c r="AI237" s="15" cm="1">
        <f t="array" ref="AI237">_xlfn.LET(_xlpm.result, Common_InputFunctions.Utility_LookupValueInTableTwoColumns(AG237, _xlfn.IFS(AG237="Urea",IF($O237="", "Global", $O237), AG237="Ammonia", IF($P237="", "Global", $P237), TRUE, "Global"), Table_SourceData_Scope3_InorganicFertiliser[Chemical compound],Table_SourceData_Scope3_InorganicFertiliser[Region of origin],Table_SourceData_Scope3_InorganicFertiliser[Emissions intensity]), IF(_xlpm.result="", 0, _xlpm.result))</f>
        <v>0</v>
      </c>
      <c r="AJ237" s="76"/>
      <c r="AK237" s="15" t="str">
        <v>Zinc</v>
      </c>
      <c r="AL237" s="15">
        <v>2E-3</v>
      </c>
      <c r="AM237" s="15" cm="1">
        <f t="array" ref="AM237">_xlfn.LET(_xlpm.result, Common_InputFunctions.Utility_LookupValueInTableTwoColumns(AK237, _xlfn.IFS(AK237="Urea",IF($O237="", "Global", $O237), AK237="Ammonia", IF($P237="", "Global", $P237), TRUE, "Global"), Table_SourceData_Scope3_InorganicFertiliser[Chemical compound],Table_SourceData_Scope3_InorganicFertiliser[Region of origin],Table_SourceData_Scope3_InorganicFertiliser[Emissions intensity]), IF(_xlpm.result="", 0, _xlpm.result))</f>
        <v>0</v>
      </c>
      <c r="AN237" s="76"/>
    </row>
    <row r="238" spans="1:40" ht="20.100000000000001" customHeight="1" x14ac:dyDescent="0.2">
      <c r="D238" s="15" t="str">
        <v>Cal-Gran 50/50</v>
      </c>
      <c r="E238" s="15">
        <v>100000</v>
      </c>
      <c r="F238" s="15">
        <f>(R238 * S238)+
(V238 * W238)+
(Z238 * AA238)+
(AD238 * AE238)+
(AH238 * AI238)+
(AL238 * AM238)</f>
        <v>0.8781199999999999</v>
      </c>
      <c r="G238" s="240">
        <f>((E238 * F238) * 10 ^ -3)</f>
        <v>87.811999999999983</v>
      </c>
      <c r="H238" s="15">
        <f>((R238 * $E238) * S238 * 10 ^ -3)+
((V238 * $E238) * W238 * 10 ^ -3)+
((Z238 * $E238) * AA238 * 10 ^ -3)+
((AD238 * $E238) * AE238 * 10 ^ -3)+
((AH238 * $E238) * AI238 * 10 ^ -3)+
((AL238 * $E238) * AM238 * 10 ^ -3)</f>
        <v>87.811999999999998</v>
      </c>
      <c r="I238" s="76">
        <v>0.4</v>
      </c>
      <c r="J238" s="240">
        <f>((E238 * I238) * 10 ^ -3)</f>
        <v>40</v>
      </c>
      <c r="K238" s="240">
        <f>((R238 * $E238) * (IF(T238,T238,S238)) * 10 ^ -3)+
((V238 * $E238) * (IF(X238,X238,W238)) * 10 ^ -3)+
((Z238 * $E238) * (IF(AB238,AB238,AA238)) * 10 ^ -3)+
((AD238 * $E238) * (IF(AF238,AF238,AE238)) * 10 ^ -3)+
((AH238 * $E238) * (IF(AJ238,AJ238,AI238)) * 10 ^ -3)+
((AL238 * $E238) * (IF(AN238,AN238,AM238)) * 10 ^ -3)</f>
        <v>87.811999999999998</v>
      </c>
      <c r="L238" s="34"/>
      <c r="M238" s="13"/>
      <c r="N238" s="34"/>
      <c r="O238" s="15">
        <v>0</v>
      </c>
      <c r="P238" s="15">
        <v>0</v>
      </c>
      <c r="Q238" s="15" t="str">
        <v>Nitrogen - Nitrate</v>
      </c>
      <c r="R238" s="15">
        <v>5.5E-2</v>
      </c>
      <c r="S238" s="15" cm="1">
        <f t="array" ref="S238">_xlfn.LET(_xlpm.result, Common_InputFunctions.Utility_LookupValueInTableTwoColumns(Q238, _xlfn.IFS(Q238="Urea",IF($O238="", "Global", $O238), Q238="Ammonia", IF($P238="", "Global", $P238), TRUE, "Global"), Table_SourceData_Scope3_InorganicFertiliser[Chemical compound],Table_SourceData_Scope3_InorganicFertiliser[Region of origin],Table_SourceData_Scope3_InorganicFertiliser[Emissions intensity]), IF(_xlpm.result="", 0, _xlpm.result))</f>
        <v>5.47</v>
      </c>
      <c r="T238" s="76"/>
      <c r="U238" s="15" t="str">
        <v>Nitrogen - Ammoniacal</v>
      </c>
      <c r="V238" s="15">
        <v>0.124</v>
      </c>
      <c r="W238" s="15" cm="1">
        <f t="array" ref="W238">_xlfn.LET(_xlpm.result, Common_InputFunctions.Utility_LookupValueInTableTwoColumns(U238, _xlfn.IFS(U238="Urea",IF($O238="", "Global", $O238), U238="Ammonia", IF($P238="", "Global", $P238), TRUE, "Global"), Table_SourceData_Scope3_InorganicFertiliser[Chemical compound],Table_SourceData_Scope3_InorganicFertiliser[Region of origin],Table_SourceData_Scope3_InorganicFertiliser[Emissions intensity]), IF(_xlpm.result="", 0, _xlpm.result))</f>
        <v>2.83</v>
      </c>
      <c r="X238" s="76"/>
      <c r="Y238" s="15" t="str">
        <v>Potassium - Generic</v>
      </c>
      <c r="Z238" s="15">
        <v>0.15</v>
      </c>
      <c r="AA238" s="15" cm="1">
        <f t="array" ref="AA238">_xlfn.LET(_xlpm.result, Common_InputFunctions.Utility_LookupValueInTableTwoColumns(Y238, _xlfn.IFS(Y238="Urea",IF($O238="", "Global", $O238), Y238="Ammonia", IF($P238="", "Global", $P238), TRUE, "Global"), Table_SourceData_Scope3_InorganicFertiliser[Chemical compound],Table_SourceData_Scope3_InorganicFertiliser[Region of origin],Table_SourceData_Scope3_InorganicFertiliser[Emissions intensity]), IF(_xlpm.result="", 0, _xlpm.result))</f>
        <v>0.90900000000000003</v>
      </c>
      <c r="AB238" s="76"/>
      <c r="AC238" s="15" t="str">
        <v>Sulfur - Generic</v>
      </c>
      <c r="AD238" s="15">
        <v>3.5999999999999997E-2</v>
      </c>
      <c r="AE238" s="15" cm="1">
        <f t="array" ref="AE238">_xlfn.LET(_xlpm.result, Common_InputFunctions.Utility_LookupValueInTableTwoColumns(AC238, _xlfn.IFS(AC238="Urea",IF($O238="", "Global", $O238), AC238="Ammonia", IF($P238="", "Global", $P238), TRUE, "Global"), Table_SourceData_Scope3_InorganicFertiliser[Chemical compound],Table_SourceData_Scope3_InorganicFertiliser[Region of origin],Table_SourceData_Scope3_InorganicFertiliser[Emissions intensity]), IF(_xlpm.result="", 0, _xlpm.result))</f>
        <v>2.5</v>
      </c>
      <c r="AF238" s="76"/>
      <c r="AG238" s="15" t="str">
        <v>Calcium</v>
      </c>
      <c r="AH238" s="15">
        <v>4.3999999999999997E-2</v>
      </c>
      <c r="AI238" s="15" cm="1">
        <f t="array" ref="AI238">_xlfn.LET(_xlpm.result, Common_InputFunctions.Utility_LookupValueInTableTwoColumns(AG238, _xlfn.IFS(AG238="Urea",IF($O238="", "Global", $O238), AG238="Ammonia", IF($P238="", "Global", $P238), TRUE, "Global"), Table_SourceData_Scope3_InorganicFertiliser[Chemical compound],Table_SourceData_Scope3_InorganicFertiliser[Region of origin],Table_SourceData_Scope3_InorganicFertiliser[Emissions intensity]), IF(_xlpm.result="", 0, _xlpm.result))</f>
        <v>0</v>
      </c>
      <c r="AJ238" s="76"/>
      <c r="AK238" s="15">
        <v>0</v>
      </c>
      <c r="AL238" s="15">
        <v>0</v>
      </c>
      <c r="AM238" s="15" cm="1">
        <f t="array" ref="AM238">_xlfn.LET(_xlpm.result, Common_InputFunctions.Utility_LookupValueInTableTwoColumns(AK238, _xlfn.IFS(AK238="Urea",IF($O238="", "Global", $O238), AK238="Ammonia", IF($P238="", "Global", $P238), TRUE, "Global"), Table_SourceData_Scope3_InorganicFertiliser[Chemical compound],Table_SourceData_Scope3_InorganicFertiliser[Region of origin],Table_SourceData_Scope3_InorganicFertiliser[Emissions intensity]), IF(_xlpm.result="", 0, _xlpm.result))</f>
        <v>0</v>
      </c>
      <c r="AN238" s="76"/>
    </row>
    <row r="239" spans="1:40" ht="20.100000000000001" customHeight="1" x14ac:dyDescent="0.2">
      <c r="A239" s="81" t="str">
        <f>HYPERLINK("#A1", "▲ Back to top")</f>
        <v>▲ Back to top</v>
      </c>
      <c r="D239" s="15">
        <v>0</v>
      </c>
      <c r="E239" s="15">
        <v>0</v>
      </c>
      <c r="F239" s="15">
        <f>(R239 * S239)+
(V239 * W239)+
(Z239 * AA239)+
(AD239 * AE239)+
(AH239 * AI239)+
(AL239 * AM239)</f>
        <v>0</v>
      </c>
      <c r="G239" s="240">
        <f>((E239 * F239) * 10 ^ -3)</f>
        <v>0</v>
      </c>
      <c r="H239" s="15">
        <f>((R239 * $E239) * S239 * 10 ^ -3)+
((V239 * $E239) * W239 * 10 ^ -3)+
((Z239 * $E239) * AA239 * 10 ^ -3)+
((AD239 * $E239) * AE239 * 10 ^ -3)+
((AH239 * $E239) * AI239 * 10 ^ -3)+
((AL239 * $E239) * AM239 * 10 ^ -3)</f>
        <v>0</v>
      </c>
      <c r="I239" s="76"/>
      <c r="J239" s="240">
        <f>((E239 * I239) * 10 ^ -3)</f>
        <v>0</v>
      </c>
      <c r="K239" s="240">
        <f>((R239 * $E239) * (IF(T239,T239,S239)) * 10 ^ -3)+
((V239 * $E239) * (IF(X239,X239,W239)) * 10 ^ -3)+
((Z239 * $E239) * (IF(AB239,AB239,AA239)) * 10 ^ -3)+
((AD239 * $E239) * (IF(AF239,AF239,AE239)) * 10 ^ -3)+
((AH239 * $E239) * (IF(AJ239,AJ239,AI239)) * 10 ^ -3)+
((AL239 * $E239) * (IF(AN239,AN239,AM239)) * 10 ^ -3)</f>
        <v>0</v>
      </c>
      <c r="L239" s="34"/>
      <c r="M239" s="13"/>
      <c r="N239" s="34"/>
      <c r="O239" s="15" t="str">
        <v/>
      </c>
      <c r="P239" s="15" t="str">
        <v/>
      </c>
      <c r="Q239" s="15" t="str">
        <v/>
      </c>
      <c r="R239" s="15">
        <v>0</v>
      </c>
      <c r="S239" s="15" cm="1">
        <f t="array" ref="S239">_xlfn.LET(_xlpm.result, Common_InputFunctions.Utility_LookupValueInTableTwoColumns(Q239, _xlfn.IFS(Q239="Urea",IF($O239="", "Global", $O239), Q239="Ammonia", IF($P239="", "Global", $P239), TRUE, "Global"), Table_SourceData_Scope3_InorganicFertiliser[Chemical compound],Table_SourceData_Scope3_InorganicFertiliser[Region of origin],Table_SourceData_Scope3_InorganicFertiliser[Emissions intensity]), IF(_xlpm.result="", 0, _xlpm.result))</f>
        <v>0</v>
      </c>
      <c r="T239" s="76"/>
      <c r="U239" s="15" t="str">
        <v/>
      </c>
      <c r="V239" s="15">
        <v>0</v>
      </c>
      <c r="W239" s="15" cm="1">
        <f t="array" ref="W239">_xlfn.LET(_xlpm.result, Common_InputFunctions.Utility_LookupValueInTableTwoColumns(U239, _xlfn.IFS(U239="Urea",IF($O239="", "Global", $O239), U239="Ammonia", IF($P239="", "Global", $P239), TRUE, "Global"), Table_SourceData_Scope3_InorganicFertiliser[Chemical compound],Table_SourceData_Scope3_InorganicFertiliser[Region of origin],Table_SourceData_Scope3_InorganicFertiliser[Emissions intensity]), IF(_xlpm.result="", 0, _xlpm.result))</f>
        <v>0</v>
      </c>
      <c r="X239" s="76"/>
      <c r="Y239" s="15" t="str">
        <v/>
      </c>
      <c r="Z239" s="15">
        <v>0</v>
      </c>
      <c r="AA239" s="15" cm="1">
        <f t="array" ref="AA239">_xlfn.LET(_xlpm.result, Common_InputFunctions.Utility_LookupValueInTableTwoColumns(Y239, _xlfn.IFS(Y239="Urea",IF($O239="", "Global", $O239), Y239="Ammonia", IF($P239="", "Global", $P239), TRUE, "Global"), Table_SourceData_Scope3_InorganicFertiliser[Chemical compound],Table_SourceData_Scope3_InorganicFertiliser[Region of origin],Table_SourceData_Scope3_InorganicFertiliser[Emissions intensity]), IF(_xlpm.result="", 0, _xlpm.result))</f>
        <v>0</v>
      </c>
      <c r="AB239" s="76"/>
      <c r="AC239" s="15" t="str">
        <v/>
      </c>
      <c r="AD239" s="15">
        <v>0</v>
      </c>
      <c r="AE239" s="15" cm="1">
        <f t="array" ref="AE239">_xlfn.LET(_xlpm.result, Common_InputFunctions.Utility_LookupValueInTableTwoColumns(AC239, _xlfn.IFS(AC239="Urea",IF($O239="", "Global", $O239), AC239="Ammonia", IF($P239="", "Global", $P239), TRUE, "Global"), Table_SourceData_Scope3_InorganicFertiliser[Chemical compound],Table_SourceData_Scope3_InorganicFertiliser[Region of origin],Table_SourceData_Scope3_InorganicFertiliser[Emissions intensity]), IF(_xlpm.result="", 0, _xlpm.result))</f>
        <v>0</v>
      </c>
      <c r="AF239" s="76"/>
      <c r="AG239" s="15" t="str">
        <v/>
      </c>
      <c r="AH239" s="15">
        <v>0</v>
      </c>
      <c r="AI239" s="15" cm="1">
        <f t="array" ref="AI239">_xlfn.LET(_xlpm.result, Common_InputFunctions.Utility_LookupValueInTableTwoColumns(AG239, _xlfn.IFS(AG239="Urea",IF($O239="", "Global", $O239), AG239="Ammonia", IF($P239="", "Global", $P239), TRUE, "Global"), Table_SourceData_Scope3_InorganicFertiliser[Chemical compound],Table_SourceData_Scope3_InorganicFertiliser[Region of origin],Table_SourceData_Scope3_InorganicFertiliser[Emissions intensity]), IF(_xlpm.result="", 0, _xlpm.result))</f>
        <v>0</v>
      </c>
      <c r="AJ239" s="76"/>
      <c r="AK239" s="15" t="str">
        <v/>
      </c>
      <c r="AL239" s="15">
        <v>0</v>
      </c>
      <c r="AM239" s="15" cm="1">
        <f t="array" ref="AM239">_xlfn.LET(_xlpm.result, Common_InputFunctions.Utility_LookupValueInTableTwoColumns(AK239, _xlfn.IFS(AK239="Urea",IF($O239="", "Global", $O239), AK239="Ammonia", IF($P239="", "Global", $P239), TRUE, "Global"), Table_SourceData_Scope3_InorganicFertiliser[Chemical compound],Table_SourceData_Scope3_InorganicFertiliser[Region of origin],Table_SourceData_Scope3_InorganicFertiliser[Emissions intensity]), IF(_xlpm.result="", 0, _xlpm.result))</f>
        <v>0</v>
      </c>
      <c r="AN239" s="76"/>
    </row>
    <row r="240" spans="1:40" ht="20.100000000000001" customHeight="1" x14ac:dyDescent="0.2">
      <c r="D240" s="15">
        <v>0</v>
      </c>
      <c r="E240" s="15">
        <v>0</v>
      </c>
      <c r="F240" s="15">
        <f>(R240 * S240)+
(V240 * W240)+
(Z240 * AA240)+
(AD240 * AE240)+
(AH240 * AI240)+
(AL240 * AM240)</f>
        <v>0</v>
      </c>
      <c r="G240" s="240">
        <f>((E240 * F240) * 10 ^ -3)</f>
        <v>0</v>
      </c>
      <c r="H240" s="15">
        <f>((R240 * $E240) * S240 * 10 ^ -3)+
((V240 * $E240) * W240 * 10 ^ -3)+
((Z240 * $E240) * AA240 * 10 ^ -3)+
((AD240 * $E240) * AE240 * 10 ^ -3)+
((AH240 * $E240) * AI240 * 10 ^ -3)+
((AL240 * $E240) * AM240 * 10 ^ -3)</f>
        <v>0</v>
      </c>
      <c r="I240" s="76"/>
      <c r="J240" s="240">
        <f>((E240 * I240) * 10 ^ -3)</f>
        <v>0</v>
      </c>
      <c r="K240" s="240">
        <f>((R240 * $E240) * (IF(T240,T240,S240)) * 10 ^ -3)+
((V240 * $E240) * (IF(X240,X240,W240)) * 10 ^ -3)+
((Z240 * $E240) * (IF(AB240,AB240,AA240)) * 10 ^ -3)+
((AD240 * $E240) * (IF(AF240,AF240,AE240)) * 10 ^ -3)+
((AH240 * $E240) * (IF(AJ240,AJ240,AI240)) * 10 ^ -3)+
((AL240 * $E240) * (IF(AN240,AN240,AM240)) * 10 ^ -3)</f>
        <v>0</v>
      </c>
      <c r="L240" s="34"/>
      <c r="M240" s="13"/>
      <c r="N240" s="34"/>
      <c r="O240" s="15" t="str">
        <v/>
      </c>
      <c r="P240" s="15" t="str">
        <v/>
      </c>
      <c r="Q240" s="15" t="str">
        <v/>
      </c>
      <c r="R240" s="15">
        <v>0</v>
      </c>
      <c r="S240" s="15" cm="1">
        <f t="array" ref="S240">_xlfn.LET(_xlpm.result, Common_InputFunctions.Utility_LookupValueInTableTwoColumns(Q240, _xlfn.IFS(Q240="Urea",IF($O240="", "Global", $O240), Q240="Ammonia", IF($P240="", "Global", $P240), TRUE, "Global"), Table_SourceData_Scope3_InorganicFertiliser[Chemical compound],Table_SourceData_Scope3_InorganicFertiliser[Region of origin],Table_SourceData_Scope3_InorganicFertiliser[Emissions intensity]), IF(_xlpm.result="", 0, _xlpm.result))</f>
        <v>0</v>
      </c>
      <c r="T240" s="76"/>
      <c r="U240" s="15" t="str">
        <v/>
      </c>
      <c r="V240" s="15">
        <v>0</v>
      </c>
      <c r="W240" s="15" cm="1">
        <f t="array" ref="W240">_xlfn.LET(_xlpm.result, Common_InputFunctions.Utility_LookupValueInTableTwoColumns(U240, _xlfn.IFS(U240="Urea",IF($O240="", "Global", $O240), U240="Ammonia", IF($P240="", "Global", $P240), TRUE, "Global"), Table_SourceData_Scope3_InorganicFertiliser[Chemical compound],Table_SourceData_Scope3_InorganicFertiliser[Region of origin],Table_SourceData_Scope3_InorganicFertiliser[Emissions intensity]), IF(_xlpm.result="", 0, _xlpm.result))</f>
        <v>0</v>
      </c>
      <c r="X240" s="76"/>
      <c r="Y240" s="15" t="str">
        <v/>
      </c>
      <c r="Z240" s="15">
        <v>0</v>
      </c>
      <c r="AA240" s="15" cm="1">
        <f t="array" ref="AA240">_xlfn.LET(_xlpm.result, Common_InputFunctions.Utility_LookupValueInTableTwoColumns(Y240, _xlfn.IFS(Y240="Urea",IF($O240="", "Global", $O240), Y240="Ammonia", IF($P240="", "Global", $P240), TRUE, "Global"), Table_SourceData_Scope3_InorganicFertiliser[Chemical compound],Table_SourceData_Scope3_InorganicFertiliser[Region of origin],Table_SourceData_Scope3_InorganicFertiliser[Emissions intensity]), IF(_xlpm.result="", 0, _xlpm.result))</f>
        <v>0</v>
      </c>
      <c r="AB240" s="76"/>
      <c r="AC240" s="15" t="str">
        <v/>
      </c>
      <c r="AD240" s="15">
        <v>0</v>
      </c>
      <c r="AE240" s="15" cm="1">
        <f t="array" ref="AE240">_xlfn.LET(_xlpm.result, Common_InputFunctions.Utility_LookupValueInTableTwoColumns(AC240, _xlfn.IFS(AC240="Urea",IF($O240="", "Global", $O240), AC240="Ammonia", IF($P240="", "Global", $P240), TRUE, "Global"), Table_SourceData_Scope3_InorganicFertiliser[Chemical compound],Table_SourceData_Scope3_InorganicFertiliser[Region of origin],Table_SourceData_Scope3_InorganicFertiliser[Emissions intensity]), IF(_xlpm.result="", 0, _xlpm.result))</f>
        <v>0</v>
      </c>
      <c r="AF240" s="76"/>
      <c r="AG240" s="15" t="str">
        <v/>
      </c>
      <c r="AH240" s="15">
        <v>0</v>
      </c>
      <c r="AI240" s="15" cm="1">
        <f t="array" ref="AI240">_xlfn.LET(_xlpm.result, Common_InputFunctions.Utility_LookupValueInTableTwoColumns(AG240, _xlfn.IFS(AG240="Urea",IF($O240="", "Global", $O240), AG240="Ammonia", IF($P240="", "Global", $P240), TRUE, "Global"), Table_SourceData_Scope3_InorganicFertiliser[Chemical compound],Table_SourceData_Scope3_InorganicFertiliser[Region of origin],Table_SourceData_Scope3_InorganicFertiliser[Emissions intensity]), IF(_xlpm.result="", 0, _xlpm.result))</f>
        <v>0</v>
      </c>
      <c r="AJ240" s="76"/>
      <c r="AK240" s="15" t="str">
        <v/>
      </c>
      <c r="AL240" s="15">
        <v>0</v>
      </c>
      <c r="AM240" s="15" cm="1">
        <f t="array" ref="AM240">_xlfn.LET(_xlpm.result, Common_InputFunctions.Utility_LookupValueInTableTwoColumns(AK240, _xlfn.IFS(AK240="Urea",IF($O240="", "Global", $O240), AK240="Ammonia", IF($P240="", "Global", $P240), TRUE, "Global"), Table_SourceData_Scope3_InorganicFertiliser[Chemical compound],Table_SourceData_Scope3_InorganicFertiliser[Region of origin],Table_SourceData_Scope3_InorganicFertiliser[Emissions intensity]), IF(_xlpm.result="", 0, _xlpm.result))</f>
        <v>0</v>
      </c>
      <c r="AN240" s="76"/>
    </row>
    <row r="241" spans="4:40" ht="20.100000000000001" customHeight="1" x14ac:dyDescent="0.2">
      <c r="D241" s="15">
        <v>0</v>
      </c>
      <c r="E241" s="15">
        <v>0</v>
      </c>
      <c r="F241" s="15">
        <f>(R241 * S241)+
(V241 * W241)+
(Z241 * AA241)+
(AD241 * AE241)+
(AH241 * AI241)+
(AL241 * AM241)</f>
        <v>0</v>
      </c>
      <c r="G241" s="240">
        <f>((E241 * F241) * 10 ^ -3)</f>
        <v>0</v>
      </c>
      <c r="H241" s="15">
        <f>((R241 * $E241) * S241 * 10 ^ -3)+
((V241 * $E241) * W241 * 10 ^ -3)+
((Z241 * $E241) * AA241 * 10 ^ -3)+
((AD241 * $E241) * AE241 * 10 ^ -3)+
((AH241 * $E241) * AI241 * 10 ^ -3)+
((AL241 * $E241) * AM241 * 10 ^ -3)</f>
        <v>0</v>
      </c>
      <c r="I241" s="76"/>
      <c r="J241" s="240">
        <f>((E241 * I241) * 10 ^ -3)</f>
        <v>0</v>
      </c>
      <c r="K241" s="240">
        <f>((R241 * $E241) * (IF(T241,T241,S241)) * 10 ^ -3)+
((V241 * $E241) * (IF(X241,X241,W241)) * 10 ^ -3)+
((Z241 * $E241) * (IF(AB241,AB241,AA241)) * 10 ^ -3)+
((AD241 * $E241) * (IF(AF241,AF241,AE241)) * 10 ^ -3)+
((AH241 * $E241) * (IF(AJ241,AJ241,AI241)) * 10 ^ -3)+
((AL241 * $E241) * (IF(AN241,AN241,AM241)) * 10 ^ -3)</f>
        <v>0</v>
      </c>
      <c r="L241" s="34"/>
      <c r="M241" s="13"/>
      <c r="N241" s="34"/>
      <c r="O241" s="15" t="str">
        <v/>
      </c>
      <c r="P241" s="15" t="str">
        <v/>
      </c>
      <c r="Q241" s="15" t="str">
        <v/>
      </c>
      <c r="R241" s="15">
        <v>0</v>
      </c>
      <c r="S241" s="15" cm="1">
        <f t="array" ref="S241">_xlfn.LET(_xlpm.result, Common_InputFunctions.Utility_LookupValueInTableTwoColumns(Q241, _xlfn.IFS(Q241="Urea",IF($O241="", "Global", $O241), Q241="Ammonia", IF($P241="", "Global", $P241), TRUE, "Global"), Table_SourceData_Scope3_InorganicFertiliser[Chemical compound],Table_SourceData_Scope3_InorganicFertiliser[Region of origin],Table_SourceData_Scope3_InorganicFertiliser[Emissions intensity]), IF(_xlpm.result="", 0, _xlpm.result))</f>
        <v>0</v>
      </c>
      <c r="T241" s="76"/>
      <c r="U241" s="15" t="str">
        <v/>
      </c>
      <c r="V241" s="15">
        <v>0</v>
      </c>
      <c r="W241" s="15" cm="1">
        <f t="array" ref="W241">_xlfn.LET(_xlpm.result, Common_InputFunctions.Utility_LookupValueInTableTwoColumns(U241, _xlfn.IFS(U241="Urea",IF($O241="", "Global", $O241), U241="Ammonia", IF($P241="", "Global", $P241), TRUE, "Global"), Table_SourceData_Scope3_InorganicFertiliser[Chemical compound],Table_SourceData_Scope3_InorganicFertiliser[Region of origin],Table_SourceData_Scope3_InorganicFertiliser[Emissions intensity]), IF(_xlpm.result="", 0, _xlpm.result))</f>
        <v>0</v>
      </c>
      <c r="X241" s="76"/>
      <c r="Y241" s="15" t="str">
        <v/>
      </c>
      <c r="Z241" s="15">
        <v>0</v>
      </c>
      <c r="AA241" s="15" cm="1">
        <f t="array" ref="AA241">_xlfn.LET(_xlpm.result, Common_InputFunctions.Utility_LookupValueInTableTwoColumns(Y241, _xlfn.IFS(Y241="Urea",IF($O241="", "Global", $O241), Y241="Ammonia", IF($P241="", "Global", $P241), TRUE, "Global"), Table_SourceData_Scope3_InorganicFertiliser[Chemical compound],Table_SourceData_Scope3_InorganicFertiliser[Region of origin],Table_SourceData_Scope3_InorganicFertiliser[Emissions intensity]), IF(_xlpm.result="", 0, _xlpm.result))</f>
        <v>0</v>
      </c>
      <c r="AB241" s="76"/>
      <c r="AC241" s="15" t="str">
        <v/>
      </c>
      <c r="AD241" s="15">
        <v>0</v>
      </c>
      <c r="AE241" s="15" cm="1">
        <f t="array" ref="AE241">_xlfn.LET(_xlpm.result, Common_InputFunctions.Utility_LookupValueInTableTwoColumns(AC241, _xlfn.IFS(AC241="Urea",IF($O241="", "Global", $O241), AC241="Ammonia", IF($P241="", "Global", $P241), TRUE, "Global"), Table_SourceData_Scope3_InorganicFertiliser[Chemical compound],Table_SourceData_Scope3_InorganicFertiliser[Region of origin],Table_SourceData_Scope3_InorganicFertiliser[Emissions intensity]), IF(_xlpm.result="", 0, _xlpm.result))</f>
        <v>0</v>
      </c>
      <c r="AF241" s="76"/>
      <c r="AG241" s="15" t="str">
        <v/>
      </c>
      <c r="AH241" s="15">
        <v>0</v>
      </c>
      <c r="AI241" s="15" cm="1">
        <f t="array" ref="AI241">_xlfn.LET(_xlpm.result, Common_InputFunctions.Utility_LookupValueInTableTwoColumns(AG241, _xlfn.IFS(AG241="Urea",IF($O241="", "Global", $O241), AG241="Ammonia", IF($P241="", "Global", $P241), TRUE, "Global"), Table_SourceData_Scope3_InorganicFertiliser[Chemical compound],Table_SourceData_Scope3_InorganicFertiliser[Region of origin],Table_SourceData_Scope3_InorganicFertiliser[Emissions intensity]), IF(_xlpm.result="", 0, _xlpm.result))</f>
        <v>0</v>
      </c>
      <c r="AJ241" s="76"/>
      <c r="AK241" s="15" t="str">
        <v/>
      </c>
      <c r="AL241" s="15">
        <v>0</v>
      </c>
      <c r="AM241" s="15" cm="1">
        <f t="array" ref="AM241">_xlfn.LET(_xlpm.result, Common_InputFunctions.Utility_LookupValueInTableTwoColumns(AK241, _xlfn.IFS(AK241="Urea",IF($O241="", "Global", $O241), AK241="Ammonia", IF($P241="", "Global", $P241), TRUE, "Global"), Table_SourceData_Scope3_InorganicFertiliser[Chemical compound],Table_SourceData_Scope3_InorganicFertiliser[Region of origin],Table_SourceData_Scope3_InorganicFertiliser[Emissions intensity]), IF(_xlpm.result="", 0, _xlpm.result))</f>
        <v>0</v>
      </c>
      <c r="AN241" s="76"/>
    </row>
    <row r="242" spans="4:40" ht="20.100000000000001" customHeight="1" x14ac:dyDescent="0.2">
      <c r="D242" s="15">
        <v>0</v>
      </c>
      <c r="E242" s="15">
        <v>0</v>
      </c>
      <c r="F242" s="15">
        <f>(R242 * S242)+
(V242 * W242)+
(Z242 * AA242)+
(AD242 * AE242)+
(AH242 * AI242)+
(AL242 * AM242)</f>
        <v>0</v>
      </c>
      <c r="G242" s="240">
        <f>((E242 * F242) * 10 ^ -3)</f>
        <v>0</v>
      </c>
      <c r="H242" s="15">
        <f>((R242 * $E242) * S242 * 10 ^ -3)+
((V242 * $E242) * W242 * 10 ^ -3)+
((Z242 * $E242) * AA242 * 10 ^ -3)+
((AD242 * $E242) * AE242 * 10 ^ -3)+
((AH242 * $E242) * AI242 * 10 ^ -3)+
((AL242 * $E242) * AM242 * 10 ^ -3)</f>
        <v>0</v>
      </c>
      <c r="I242" s="76"/>
      <c r="J242" s="240">
        <f>((E242 * I242) * 10 ^ -3)</f>
        <v>0</v>
      </c>
      <c r="K242" s="240">
        <f>((R242 * $E242) * (IF(T242,T242,S242)) * 10 ^ -3)+
((V242 * $E242) * (IF(X242,X242,W242)) * 10 ^ -3)+
((Z242 * $E242) * (IF(AB242,AB242,AA242)) * 10 ^ -3)+
((AD242 * $E242) * (IF(AF242,AF242,AE242)) * 10 ^ -3)+
((AH242 * $E242) * (IF(AJ242,AJ242,AI242)) * 10 ^ -3)+
((AL242 * $E242) * (IF(AN242,AN242,AM242)) * 10 ^ -3)</f>
        <v>0</v>
      </c>
      <c r="L242" s="34"/>
      <c r="M242" s="13"/>
      <c r="N242" s="34"/>
      <c r="O242" s="15" t="str">
        <v/>
      </c>
      <c r="P242" s="15" t="str">
        <v/>
      </c>
      <c r="Q242" s="15" t="str">
        <v/>
      </c>
      <c r="R242" s="15">
        <v>0</v>
      </c>
      <c r="S242" s="15" cm="1">
        <f t="array" ref="S242">_xlfn.LET(_xlpm.result, Common_InputFunctions.Utility_LookupValueInTableTwoColumns(Q242, _xlfn.IFS(Q242="Urea",IF($O242="", "Global", $O242), Q242="Ammonia", IF($P242="", "Global", $P242), TRUE, "Global"), Table_SourceData_Scope3_InorganicFertiliser[Chemical compound],Table_SourceData_Scope3_InorganicFertiliser[Region of origin],Table_SourceData_Scope3_InorganicFertiliser[Emissions intensity]), IF(_xlpm.result="", 0, _xlpm.result))</f>
        <v>0</v>
      </c>
      <c r="T242" s="76"/>
      <c r="U242" s="15" t="str">
        <v/>
      </c>
      <c r="V242" s="15">
        <v>0</v>
      </c>
      <c r="W242" s="15" cm="1">
        <f t="array" ref="W242">_xlfn.LET(_xlpm.result, Common_InputFunctions.Utility_LookupValueInTableTwoColumns(U242, _xlfn.IFS(U242="Urea",IF($O242="", "Global", $O242), U242="Ammonia", IF($P242="", "Global", $P242), TRUE, "Global"), Table_SourceData_Scope3_InorganicFertiliser[Chemical compound],Table_SourceData_Scope3_InorganicFertiliser[Region of origin],Table_SourceData_Scope3_InorganicFertiliser[Emissions intensity]), IF(_xlpm.result="", 0, _xlpm.result))</f>
        <v>0</v>
      </c>
      <c r="X242" s="76"/>
      <c r="Y242" s="15" t="str">
        <v/>
      </c>
      <c r="Z242" s="15">
        <v>0</v>
      </c>
      <c r="AA242" s="15" cm="1">
        <f t="array" ref="AA242">_xlfn.LET(_xlpm.result, Common_InputFunctions.Utility_LookupValueInTableTwoColumns(Y242, _xlfn.IFS(Y242="Urea",IF($O242="", "Global", $O242), Y242="Ammonia", IF($P242="", "Global", $P242), TRUE, "Global"), Table_SourceData_Scope3_InorganicFertiliser[Chemical compound],Table_SourceData_Scope3_InorganicFertiliser[Region of origin],Table_SourceData_Scope3_InorganicFertiliser[Emissions intensity]), IF(_xlpm.result="", 0, _xlpm.result))</f>
        <v>0</v>
      </c>
      <c r="AB242" s="76"/>
      <c r="AC242" s="15" t="str">
        <v/>
      </c>
      <c r="AD242" s="15">
        <v>0</v>
      </c>
      <c r="AE242" s="15" cm="1">
        <f t="array" ref="AE242">_xlfn.LET(_xlpm.result, Common_InputFunctions.Utility_LookupValueInTableTwoColumns(AC242, _xlfn.IFS(AC242="Urea",IF($O242="", "Global", $O242), AC242="Ammonia", IF($P242="", "Global", $P242), TRUE, "Global"), Table_SourceData_Scope3_InorganicFertiliser[Chemical compound],Table_SourceData_Scope3_InorganicFertiliser[Region of origin],Table_SourceData_Scope3_InorganicFertiliser[Emissions intensity]), IF(_xlpm.result="", 0, _xlpm.result))</f>
        <v>0</v>
      </c>
      <c r="AF242" s="76"/>
      <c r="AG242" s="15" t="str">
        <v/>
      </c>
      <c r="AH242" s="15">
        <v>0</v>
      </c>
      <c r="AI242" s="15" cm="1">
        <f t="array" ref="AI242">_xlfn.LET(_xlpm.result, Common_InputFunctions.Utility_LookupValueInTableTwoColumns(AG242, _xlfn.IFS(AG242="Urea",IF($O242="", "Global", $O242), AG242="Ammonia", IF($P242="", "Global", $P242), TRUE, "Global"), Table_SourceData_Scope3_InorganicFertiliser[Chemical compound],Table_SourceData_Scope3_InorganicFertiliser[Region of origin],Table_SourceData_Scope3_InorganicFertiliser[Emissions intensity]), IF(_xlpm.result="", 0, _xlpm.result))</f>
        <v>0</v>
      </c>
      <c r="AJ242" s="76"/>
      <c r="AK242" s="15" t="str">
        <v/>
      </c>
      <c r="AL242" s="15">
        <v>0</v>
      </c>
      <c r="AM242" s="15" cm="1">
        <f t="array" ref="AM242">_xlfn.LET(_xlpm.result, Common_InputFunctions.Utility_LookupValueInTableTwoColumns(AK242, _xlfn.IFS(AK242="Urea",IF($O242="", "Global", $O242), AK242="Ammonia", IF($P242="", "Global", $P242), TRUE, "Global"), Table_SourceData_Scope3_InorganicFertiliser[Chemical compound],Table_SourceData_Scope3_InorganicFertiliser[Region of origin],Table_SourceData_Scope3_InorganicFertiliser[Emissions intensity]), IF(_xlpm.result="", 0, _xlpm.result))</f>
        <v>0</v>
      </c>
      <c r="AN242" s="76"/>
    </row>
    <row r="243" spans="4:40" ht="20.100000000000001" customHeight="1" x14ac:dyDescent="0.2">
      <c r="D243" s="15">
        <v>0</v>
      </c>
      <c r="E243" s="15">
        <v>0</v>
      </c>
      <c r="F243" s="15">
        <f>(R243 * S243)+
(V243 * W243)+
(Z243 * AA243)+
(AD243 * AE243)+
(AH243 * AI243)+
(AL243 * AM243)</f>
        <v>0</v>
      </c>
      <c r="G243" s="240">
        <f>((E243 * F243) * 10 ^ -3)</f>
        <v>0</v>
      </c>
      <c r="H243" s="15">
        <f>((R243 * $E243) * S243 * 10 ^ -3)+
((V243 * $E243) * W243 * 10 ^ -3)+
((Z243 * $E243) * AA243 * 10 ^ -3)+
((AD243 * $E243) * AE243 * 10 ^ -3)+
((AH243 * $E243) * AI243 * 10 ^ -3)+
((AL243 * $E243) * AM243 * 10 ^ -3)</f>
        <v>0</v>
      </c>
      <c r="I243" s="76"/>
      <c r="J243" s="240">
        <f>((E243 * I243) * 10 ^ -3)</f>
        <v>0</v>
      </c>
      <c r="K243" s="240">
        <f>((R243 * $E243) * (IF(T243,T243,S243)) * 10 ^ -3)+
((V243 * $E243) * (IF(X243,X243,W243)) * 10 ^ -3)+
((Z243 * $E243) * (IF(AB243,AB243,AA243)) * 10 ^ -3)+
((AD243 * $E243) * (IF(AF243,AF243,AE243)) * 10 ^ -3)+
((AH243 * $E243) * (IF(AJ243,AJ243,AI243)) * 10 ^ -3)+
((AL243 * $E243) * (IF(AN243,AN243,AM243)) * 10 ^ -3)</f>
        <v>0</v>
      </c>
      <c r="L243" s="34"/>
      <c r="M243" s="13"/>
      <c r="N243" s="34"/>
      <c r="O243" s="15" t="str">
        <v/>
      </c>
      <c r="P243" s="15" t="str">
        <v/>
      </c>
      <c r="Q243" s="15" t="str">
        <v/>
      </c>
      <c r="R243" s="15">
        <v>0</v>
      </c>
      <c r="S243" s="15" cm="1">
        <f t="array" ref="S243">_xlfn.LET(_xlpm.result, Common_InputFunctions.Utility_LookupValueInTableTwoColumns(Q243, _xlfn.IFS(Q243="Urea",IF($O243="", "Global", $O243), Q243="Ammonia", IF($P243="", "Global", $P243), TRUE, "Global"), Table_SourceData_Scope3_InorganicFertiliser[Chemical compound],Table_SourceData_Scope3_InorganicFertiliser[Region of origin],Table_SourceData_Scope3_InorganicFertiliser[Emissions intensity]), IF(_xlpm.result="", 0, _xlpm.result))</f>
        <v>0</v>
      </c>
      <c r="T243" s="76"/>
      <c r="U243" s="15" t="str">
        <v/>
      </c>
      <c r="V243" s="15">
        <v>0</v>
      </c>
      <c r="W243" s="15" cm="1">
        <f t="array" ref="W243">_xlfn.LET(_xlpm.result, Common_InputFunctions.Utility_LookupValueInTableTwoColumns(U243, _xlfn.IFS(U243="Urea",IF($O243="", "Global", $O243), U243="Ammonia", IF($P243="", "Global", $P243), TRUE, "Global"), Table_SourceData_Scope3_InorganicFertiliser[Chemical compound],Table_SourceData_Scope3_InorganicFertiliser[Region of origin],Table_SourceData_Scope3_InorganicFertiliser[Emissions intensity]), IF(_xlpm.result="", 0, _xlpm.result))</f>
        <v>0</v>
      </c>
      <c r="X243" s="76"/>
      <c r="Y243" s="15" t="str">
        <v/>
      </c>
      <c r="Z243" s="15">
        <v>0</v>
      </c>
      <c r="AA243" s="15" cm="1">
        <f t="array" ref="AA243">_xlfn.LET(_xlpm.result, Common_InputFunctions.Utility_LookupValueInTableTwoColumns(Y243, _xlfn.IFS(Y243="Urea",IF($O243="", "Global", $O243), Y243="Ammonia", IF($P243="", "Global", $P243), TRUE, "Global"), Table_SourceData_Scope3_InorganicFertiliser[Chemical compound],Table_SourceData_Scope3_InorganicFertiliser[Region of origin],Table_SourceData_Scope3_InorganicFertiliser[Emissions intensity]), IF(_xlpm.result="", 0, _xlpm.result))</f>
        <v>0</v>
      </c>
      <c r="AB243" s="76"/>
      <c r="AC243" s="15" t="str">
        <v/>
      </c>
      <c r="AD243" s="15">
        <v>0</v>
      </c>
      <c r="AE243" s="15" cm="1">
        <f t="array" ref="AE243">_xlfn.LET(_xlpm.result, Common_InputFunctions.Utility_LookupValueInTableTwoColumns(AC243, _xlfn.IFS(AC243="Urea",IF($O243="", "Global", $O243), AC243="Ammonia", IF($P243="", "Global", $P243), TRUE, "Global"), Table_SourceData_Scope3_InorganicFertiliser[Chemical compound],Table_SourceData_Scope3_InorganicFertiliser[Region of origin],Table_SourceData_Scope3_InorganicFertiliser[Emissions intensity]), IF(_xlpm.result="", 0, _xlpm.result))</f>
        <v>0</v>
      </c>
      <c r="AF243" s="76"/>
      <c r="AG243" s="15" t="str">
        <v/>
      </c>
      <c r="AH243" s="15">
        <v>0</v>
      </c>
      <c r="AI243" s="15" cm="1">
        <f t="array" ref="AI243">_xlfn.LET(_xlpm.result, Common_InputFunctions.Utility_LookupValueInTableTwoColumns(AG243, _xlfn.IFS(AG243="Urea",IF($O243="", "Global", $O243), AG243="Ammonia", IF($P243="", "Global", $P243), TRUE, "Global"), Table_SourceData_Scope3_InorganicFertiliser[Chemical compound],Table_SourceData_Scope3_InorganicFertiliser[Region of origin],Table_SourceData_Scope3_InorganicFertiliser[Emissions intensity]), IF(_xlpm.result="", 0, _xlpm.result))</f>
        <v>0</v>
      </c>
      <c r="AJ243" s="76"/>
      <c r="AK243" s="15" t="str">
        <v/>
      </c>
      <c r="AL243" s="15">
        <v>0</v>
      </c>
      <c r="AM243" s="15" cm="1">
        <f t="array" ref="AM243">_xlfn.LET(_xlpm.result, Common_InputFunctions.Utility_LookupValueInTableTwoColumns(AK243, _xlfn.IFS(AK243="Urea",IF($O243="", "Global", $O243), AK243="Ammonia", IF($P243="", "Global", $P243), TRUE, "Global"), Table_SourceData_Scope3_InorganicFertiliser[Chemical compound],Table_SourceData_Scope3_InorganicFertiliser[Region of origin],Table_SourceData_Scope3_InorganicFertiliser[Emissions intensity]), IF(_xlpm.result="", 0, _xlpm.result))</f>
        <v>0</v>
      </c>
      <c r="AN243" s="76"/>
    </row>
    <row r="244" spans="4:40" ht="20.100000000000001" customHeight="1" x14ac:dyDescent="0.2">
      <c r="D244" s="15">
        <v>0</v>
      </c>
      <c r="E244" s="15">
        <v>0</v>
      </c>
      <c r="F244" s="15">
        <f>(R244 * S244)+
(V244 * W244)+
(Z244 * AA244)+
(AD244 * AE244)+
(AH244 * AI244)+
(AL244 * AM244)</f>
        <v>0</v>
      </c>
      <c r="G244" s="240">
        <f>((E244 * F244) * 10 ^ -3)</f>
        <v>0</v>
      </c>
      <c r="H244" s="15">
        <f>((R244 * $E244) * S244 * 10 ^ -3)+
((V244 * $E244) * W244 * 10 ^ -3)+
((Z244 * $E244) * AA244 * 10 ^ -3)+
((AD244 * $E244) * AE244 * 10 ^ -3)+
((AH244 * $E244) * AI244 * 10 ^ -3)+
((AL244 * $E244) * AM244 * 10 ^ -3)</f>
        <v>0</v>
      </c>
      <c r="I244" s="76"/>
      <c r="J244" s="240">
        <f>((E244 * I244) * 10 ^ -3)</f>
        <v>0</v>
      </c>
      <c r="K244" s="240">
        <f>((R244 * $E244) * (IF(T244,T244,S244)) * 10 ^ -3)+
((V244 * $E244) * (IF(X244,X244,W244)) * 10 ^ -3)+
((Z244 * $E244) * (IF(AB244,AB244,AA244)) * 10 ^ -3)+
((AD244 * $E244) * (IF(AF244,AF244,AE244)) * 10 ^ -3)+
((AH244 * $E244) * (IF(AJ244,AJ244,AI244)) * 10 ^ -3)+
((AL244 * $E244) * (IF(AN244,AN244,AM244)) * 10 ^ -3)</f>
        <v>0</v>
      </c>
      <c r="L244" s="34"/>
      <c r="M244" s="13"/>
      <c r="N244" s="34"/>
      <c r="O244" s="15" t="str">
        <v/>
      </c>
      <c r="P244" s="15" t="str">
        <v/>
      </c>
      <c r="Q244" s="15" t="str">
        <v/>
      </c>
      <c r="R244" s="15">
        <v>0</v>
      </c>
      <c r="S244" s="15" cm="1">
        <f t="array" ref="S244">_xlfn.LET(_xlpm.result, Common_InputFunctions.Utility_LookupValueInTableTwoColumns(Q244, _xlfn.IFS(Q244="Urea",IF($O244="", "Global", $O244), Q244="Ammonia", IF($P244="", "Global", $P244), TRUE, "Global"), Table_SourceData_Scope3_InorganicFertiliser[Chemical compound],Table_SourceData_Scope3_InorganicFertiliser[Region of origin],Table_SourceData_Scope3_InorganicFertiliser[Emissions intensity]), IF(_xlpm.result="", 0, _xlpm.result))</f>
        <v>0</v>
      </c>
      <c r="T244" s="76"/>
      <c r="U244" s="15" t="str">
        <v/>
      </c>
      <c r="V244" s="15">
        <v>0</v>
      </c>
      <c r="W244" s="15" cm="1">
        <f t="array" ref="W244">_xlfn.LET(_xlpm.result, Common_InputFunctions.Utility_LookupValueInTableTwoColumns(U244, _xlfn.IFS(U244="Urea",IF($O244="", "Global", $O244), U244="Ammonia", IF($P244="", "Global", $P244), TRUE, "Global"), Table_SourceData_Scope3_InorganicFertiliser[Chemical compound],Table_SourceData_Scope3_InorganicFertiliser[Region of origin],Table_SourceData_Scope3_InorganicFertiliser[Emissions intensity]), IF(_xlpm.result="", 0, _xlpm.result))</f>
        <v>0</v>
      </c>
      <c r="X244" s="76"/>
      <c r="Y244" s="15" t="str">
        <v/>
      </c>
      <c r="Z244" s="15">
        <v>0</v>
      </c>
      <c r="AA244" s="15" cm="1">
        <f t="array" ref="AA244">_xlfn.LET(_xlpm.result, Common_InputFunctions.Utility_LookupValueInTableTwoColumns(Y244, _xlfn.IFS(Y244="Urea",IF($O244="", "Global", $O244), Y244="Ammonia", IF($P244="", "Global", $P244), TRUE, "Global"), Table_SourceData_Scope3_InorganicFertiliser[Chemical compound],Table_SourceData_Scope3_InorganicFertiliser[Region of origin],Table_SourceData_Scope3_InorganicFertiliser[Emissions intensity]), IF(_xlpm.result="", 0, _xlpm.result))</f>
        <v>0</v>
      </c>
      <c r="AB244" s="76"/>
      <c r="AC244" s="15" t="str">
        <v/>
      </c>
      <c r="AD244" s="15">
        <v>0</v>
      </c>
      <c r="AE244" s="15" cm="1">
        <f t="array" ref="AE244">_xlfn.LET(_xlpm.result, Common_InputFunctions.Utility_LookupValueInTableTwoColumns(AC244, _xlfn.IFS(AC244="Urea",IF($O244="", "Global", $O244), AC244="Ammonia", IF($P244="", "Global", $P244), TRUE, "Global"), Table_SourceData_Scope3_InorganicFertiliser[Chemical compound],Table_SourceData_Scope3_InorganicFertiliser[Region of origin],Table_SourceData_Scope3_InorganicFertiliser[Emissions intensity]), IF(_xlpm.result="", 0, _xlpm.result))</f>
        <v>0</v>
      </c>
      <c r="AF244" s="76"/>
      <c r="AG244" s="15" t="str">
        <v/>
      </c>
      <c r="AH244" s="15">
        <v>0</v>
      </c>
      <c r="AI244" s="15" cm="1">
        <f t="array" ref="AI244">_xlfn.LET(_xlpm.result, Common_InputFunctions.Utility_LookupValueInTableTwoColumns(AG244, _xlfn.IFS(AG244="Urea",IF($O244="", "Global", $O244), AG244="Ammonia", IF($P244="", "Global", $P244), TRUE, "Global"), Table_SourceData_Scope3_InorganicFertiliser[Chemical compound],Table_SourceData_Scope3_InorganicFertiliser[Region of origin],Table_SourceData_Scope3_InorganicFertiliser[Emissions intensity]), IF(_xlpm.result="", 0, _xlpm.result))</f>
        <v>0</v>
      </c>
      <c r="AJ244" s="76"/>
      <c r="AK244" s="15" t="str">
        <v/>
      </c>
      <c r="AL244" s="15">
        <v>0</v>
      </c>
      <c r="AM244" s="15" cm="1">
        <f t="array" ref="AM244">_xlfn.LET(_xlpm.result, Common_InputFunctions.Utility_LookupValueInTableTwoColumns(AK244, _xlfn.IFS(AK244="Urea",IF($O244="", "Global", $O244), AK244="Ammonia", IF($P244="", "Global", $P244), TRUE, "Global"), Table_SourceData_Scope3_InorganicFertiliser[Chemical compound],Table_SourceData_Scope3_InorganicFertiliser[Region of origin],Table_SourceData_Scope3_InorganicFertiliser[Emissions intensity]), IF(_xlpm.result="", 0, _xlpm.result))</f>
        <v>0</v>
      </c>
      <c r="AN244" s="76"/>
    </row>
    <row r="245" spans="4:40" ht="20.100000000000001" customHeight="1" x14ac:dyDescent="0.2">
      <c r="D245" s="15">
        <v>0</v>
      </c>
      <c r="E245" s="15">
        <v>0</v>
      </c>
      <c r="F245" s="15">
        <f>(R245 * S245)+
(V245 * W245)+
(Z245 * AA245)+
(AD245 * AE245)+
(AH245 * AI245)+
(AL245 * AM245)</f>
        <v>0</v>
      </c>
      <c r="G245" s="240">
        <f>((E245 * F245) * 10 ^ -3)</f>
        <v>0</v>
      </c>
      <c r="H245" s="15">
        <f>((R245 * $E245) * S245 * 10 ^ -3)+
((V245 * $E245) * W245 * 10 ^ -3)+
((Z245 * $E245) * AA245 * 10 ^ -3)+
((AD245 * $E245) * AE245 * 10 ^ -3)+
((AH245 * $E245) * AI245 * 10 ^ -3)+
((AL245 * $E245) * AM245 * 10 ^ -3)</f>
        <v>0</v>
      </c>
      <c r="I245" s="76"/>
      <c r="J245" s="240">
        <f>((E245 * I245) * 10 ^ -3)</f>
        <v>0</v>
      </c>
      <c r="K245" s="240">
        <f>((R245 * $E245) * (IF(T245,T245,S245)) * 10 ^ -3)+
((V245 * $E245) * (IF(X245,X245,W245)) * 10 ^ -3)+
((Z245 * $E245) * (IF(AB245,AB245,AA245)) * 10 ^ -3)+
((AD245 * $E245) * (IF(AF245,AF245,AE245)) * 10 ^ -3)+
((AH245 * $E245) * (IF(AJ245,AJ245,AI245)) * 10 ^ -3)+
((AL245 * $E245) * (IF(AN245,AN245,AM245)) * 10 ^ -3)</f>
        <v>0</v>
      </c>
      <c r="L245" s="34"/>
      <c r="M245" s="13"/>
      <c r="N245" s="34"/>
      <c r="O245" s="15" t="str">
        <v/>
      </c>
      <c r="P245" s="15" t="str">
        <v/>
      </c>
      <c r="Q245" s="15" t="str">
        <v/>
      </c>
      <c r="R245" s="15">
        <v>0</v>
      </c>
      <c r="S245" s="15" cm="1">
        <f t="array" ref="S245">_xlfn.LET(_xlpm.result, Common_InputFunctions.Utility_LookupValueInTableTwoColumns(Q245, _xlfn.IFS(Q245="Urea",IF($O245="", "Global", $O245), Q245="Ammonia", IF($P245="", "Global", $P245), TRUE, "Global"), Table_SourceData_Scope3_InorganicFertiliser[Chemical compound],Table_SourceData_Scope3_InorganicFertiliser[Region of origin],Table_SourceData_Scope3_InorganicFertiliser[Emissions intensity]), IF(_xlpm.result="", 0, _xlpm.result))</f>
        <v>0</v>
      </c>
      <c r="T245" s="76"/>
      <c r="U245" s="15" t="str">
        <v/>
      </c>
      <c r="V245" s="15">
        <v>0</v>
      </c>
      <c r="W245" s="15" cm="1">
        <f t="array" ref="W245">_xlfn.LET(_xlpm.result, Common_InputFunctions.Utility_LookupValueInTableTwoColumns(U245, _xlfn.IFS(U245="Urea",IF($O245="", "Global", $O245), U245="Ammonia", IF($P245="", "Global", $P245), TRUE, "Global"), Table_SourceData_Scope3_InorganicFertiliser[Chemical compound],Table_SourceData_Scope3_InorganicFertiliser[Region of origin],Table_SourceData_Scope3_InorganicFertiliser[Emissions intensity]), IF(_xlpm.result="", 0, _xlpm.result))</f>
        <v>0</v>
      </c>
      <c r="X245" s="76"/>
      <c r="Y245" s="15" t="str">
        <v/>
      </c>
      <c r="Z245" s="15">
        <v>0</v>
      </c>
      <c r="AA245" s="15" cm="1">
        <f t="array" ref="AA245">_xlfn.LET(_xlpm.result, Common_InputFunctions.Utility_LookupValueInTableTwoColumns(Y245, _xlfn.IFS(Y245="Urea",IF($O245="", "Global", $O245), Y245="Ammonia", IF($P245="", "Global", $P245), TRUE, "Global"), Table_SourceData_Scope3_InorganicFertiliser[Chemical compound],Table_SourceData_Scope3_InorganicFertiliser[Region of origin],Table_SourceData_Scope3_InorganicFertiliser[Emissions intensity]), IF(_xlpm.result="", 0, _xlpm.result))</f>
        <v>0</v>
      </c>
      <c r="AB245" s="76"/>
      <c r="AC245" s="15" t="str">
        <v/>
      </c>
      <c r="AD245" s="15">
        <v>0</v>
      </c>
      <c r="AE245" s="15" cm="1">
        <f t="array" ref="AE245">_xlfn.LET(_xlpm.result, Common_InputFunctions.Utility_LookupValueInTableTwoColumns(AC245, _xlfn.IFS(AC245="Urea",IF($O245="", "Global", $O245), AC245="Ammonia", IF($P245="", "Global", $P245), TRUE, "Global"), Table_SourceData_Scope3_InorganicFertiliser[Chemical compound],Table_SourceData_Scope3_InorganicFertiliser[Region of origin],Table_SourceData_Scope3_InorganicFertiliser[Emissions intensity]), IF(_xlpm.result="", 0, _xlpm.result))</f>
        <v>0</v>
      </c>
      <c r="AF245" s="76"/>
      <c r="AG245" s="15" t="str">
        <v/>
      </c>
      <c r="AH245" s="15">
        <v>0</v>
      </c>
      <c r="AI245" s="15" cm="1">
        <f t="array" ref="AI245">_xlfn.LET(_xlpm.result, Common_InputFunctions.Utility_LookupValueInTableTwoColumns(AG245, _xlfn.IFS(AG245="Urea",IF($O245="", "Global", $O245), AG245="Ammonia", IF($P245="", "Global", $P245), TRUE, "Global"), Table_SourceData_Scope3_InorganicFertiliser[Chemical compound],Table_SourceData_Scope3_InorganicFertiliser[Region of origin],Table_SourceData_Scope3_InorganicFertiliser[Emissions intensity]), IF(_xlpm.result="", 0, _xlpm.result))</f>
        <v>0</v>
      </c>
      <c r="AJ245" s="76"/>
      <c r="AK245" s="15" t="str">
        <v/>
      </c>
      <c r="AL245" s="15">
        <v>0</v>
      </c>
      <c r="AM245" s="15" cm="1">
        <f t="array" ref="AM245">_xlfn.LET(_xlpm.result, Common_InputFunctions.Utility_LookupValueInTableTwoColumns(AK245, _xlfn.IFS(AK245="Urea",IF($O245="", "Global", $O245), AK245="Ammonia", IF($P245="", "Global", $P245), TRUE, "Global"), Table_SourceData_Scope3_InorganicFertiliser[Chemical compound],Table_SourceData_Scope3_InorganicFertiliser[Region of origin],Table_SourceData_Scope3_InorganicFertiliser[Emissions intensity]), IF(_xlpm.result="", 0, _xlpm.result))</f>
        <v>0</v>
      </c>
      <c r="AN245" s="76"/>
    </row>
    <row r="247" spans="4:40" ht="20.100000000000001" customHeight="1" x14ac:dyDescent="0.2">
      <c r="D247" s="233" t="s">
        <v>924</v>
      </c>
    </row>
    <row r="249" spans="4:40" ht="20.100000000000001" customHeight="1" x14ac:dyDescent="0.2">
      <c r="D249" s="36" t="s">
        <v>925</v>
      </c>
      <c r="E249" s="38"/>
      <c r="F249" s="39"/>
    </row>
    <row r="251" spans="4:40" ht="20.100000000000001" customHeight="1" x14ac:dyDescent="0.2">
      <c r="D251" s="80" t="s">
        <v>886</v>
      </c>
      <c r="E251" s="80" t="s">
        <v>905</v>
      </c>
      <c r="F251" s="138" t="s">
        <v>906</v>
      </c>
      <c r="G251" s="138" t="s">
        <v>907</v>
      </c>
      <c r="H251" s="138" t="s">
        <v>908</v>
      </c>
      <c r="I251" s="80" t="s">
        <v>909</v>
      </c>
      <c r="J251" s="138" t="s">
        <v>910</v>
      </c>
      <c r="K251" s="138" t="s">
        <v>911</v>
      </c>
      <c r="L251" s="80" t="s">
        <v>863</v>
      </c>
      <c r="M251" s="80" t="s">
        <v>864</v>
      </c>
      <c r="N251" s="80" t="s">
        <v>865</v>
      </c>
      <c r="O251" s="138" t="s">
        <v>323</v>
      </c>
      <c r="P251" s="138" t="s">
        <v>324</v>
      </c>
      <c r="Q251" s="138" t="s">
        <v>308</v>
      </c>
      <c r="R251" s="138" t="s">
        <v>309</v>
      </c>
      <c r="S251" s="138" t="s">
        <v>912</v>
      </c>
      <c r="T251" s="80" t="s">
        <v>913</v>
      </c>
      <c r="U251" s="138" t="s">
        <v>310</v>
      </c>
      <c r="V251" s="138" t="s">
        <v>311</v>
      </c>
      <c r="W251" s="138" t="s">
        <v>914</v>
      </c>
      <c r="X251" s="80" t="s">
        <v>915</v>
      </c>
      <c r="Y251" s="138" t="s">
        <v>312</v>
      </c>
      <c r="Z251" s="138" t="s">
        <v>313</v>
      </c>
      <c r="AA251" s="138" t="s">
        <v>916</v>
      </c>
      <c r="AB251" s="80" t="s">
        <v>917</v>
      </c>
      <c r="AC251" s="138" t="s">
        <v>314</v>
      </c>
      <c r="AD251" s="138" t="s">
        <v>315</v>
      </c>
      <c r="AE251" s="138" t="s">
        <v>918</v>
      </c>
      <c r="AF251" s="80" t="s">
        <v>919</v>
      </c>
    </row>
    <row r="252" spans="4:40" ht="20.100000000000001" customHeight="1" x14ac:dyDescent="0.2">
      <c r="D252" s="15" t="str" cm="1">
        <f t="array" ref="D252:D261">IFERROR(INDEX(Table_Input_InorganicFertiliser_Custom[Custom blend name], _xlfn.SEQUENCE(10)), "")</f>
        <v>My first custom blend</v>
      </c>
      <c r="E252" s="15" cm="1">
        <f t="array" ref="E252:E261">IFERROR(INDEX(Table_Input_InorganicFertiliser_Custom[Total applied (kg)], _xlfn.SEQUENCE(10)), 0)</f>
        <v>100000</v>
      </c>
      <c r="F252" s="15">
        <f>(R252 * S252)+
(V252 * W252)+
(Z252 * AA252)+
(AD252 * AE252)</f>
        <v>1.7707999999999999</v>
      </c>
      <c r="G252" s="240">
        <f>((E252 * F252) * 10 ^ -3)</f>
        <v>177.08</v>
      </c>
      <c r="H252" s="15">
        <f>((R252 * $E252) * S252 * 10 ^ -3)+
((V252 * $E252) * W252 * 10 ^ -3)+
((Z252 * $E252) * AA252 * 10 ^ -3)+
((AD252 * $E252) * AE252 * 10 ^ -3)</f>
        <v>177.08</v>
      </c>
      <c r="I252" s="76">
        <v>0.4</v>
      </c>
      <c r="J252" s="240">
        <f>((E252 * I252) * 10 ^ -3)</f>
        <v>40</v>
      </c>
      <c r="K252" s="240">
        <f>((R252 * $E252) * (IF(T252,T252,S252)) * 10 ^ -3)+
((V252 * $E252) * (IF(X252,X252,W252)) * 10 ^ -3)+
((Z252 * $E252) * (IF(AB252,AB252,AA252)) * 10 ^ -3)+
((AD252 * $E252) * (IF(AF252,AF252,AE252)) * 10 ^ -3)</f>
        <v>168</v>
      </c>
      <c r="L252" s="34"/>
      <c r="M252" s="13"/>
      <c r="N252"/>
      <c r="O252" s="15" t="str" cm="1">
        <f t="array" ref="O252:O261">_xlfn.LET(_xlpm.v, INDEX(Table_Input_InorganicFertiliser_Custom[Urea source (Select)], _xlfn.SEQUENCE(10)), IFERROR(IF(_xlpm.v=0, "", _xlpm.v), ""))</f>
        <v/>
      </c>
      <c r="P252" s="15" t="str" cm="1">
        <f t="array" ref="P252:P261">_xlfn.LET(_xlpm.v, INDEX(Table_Input_InorganicFertiliser_Custom[Ammonia source (select)], _xlfn.SEQUENCE(10)), IFERROR(IF(_xlpm.v=0, "", _xlpm.v), ""))</f>
        <v/>
      </c>
      <c r="Q252" s="15" t="str" cm="1">
        <f t="array" ref="Q252:Q261">IFERROR(INDEX(Table_Input_InorganicFertiliser_Custom[Ingredient 1 (select)], _xlfn.SEQUENCE(10)), "")</f>
        <v>Calcium nitrate</v>
      </c>
      <c r="R252" s="15" cm="1">
        <f t="array" ref="R252:R261">IFERROR(INDEX(_xlfn.LET(_xlpm.result, Table_Input_InorganicFertiliser_Custom[Ingredient 1 percent], IF(_xlpm.result="", 0, _xlpm.result)), _xlfn.SEQUENCE(10)), 0)</f>
        <v>0.5</v>
      </c>
      <c r="S252" s="15" cm="1">
        <f t="array" ref="S252">_xlfn.LET(_xlpm.result, Common_InputFunctions.Utility_LookupValueInTableTwoColumns(Q252, _xlfn.IFS(Q252="Urea",IF($O252="", "Global", $O252), Q252="Ammonia", IF($P252="", "Global", $P252), TRUE, "Global"), Table_SourceData_Scope3_InorganicFertiliser[Chemical compound],Table_SourceData_Scope3_InorganicFertiliser[Region of origin],Table_SourceData_Scope3_InorganicFertiliser[Emissions intensity]), IF(_xlpm.result="", 0, _xlpm.result))</f>
        <v>0.75</v>
      </c>
      <c r="T252" s="76">
        <v>0.9</v>
      </c>
      <c r="U252" s="15" t="str" cm="1">
        <f t="array" ref="U252:U261">IFERROR(INDEX(Table_Input_InorganicFertiliser_Custom[Ingredient 2], _xlfn.SEQUENCE(10)), "")</f>
        <v>Zinc - Generic</v>
      </c>
      <c r="V252" s="15" cm="1">
        <f t="array" ref="V252:V261">IFERROR(INDEX(_xlfn.LET(_xlpm.result, Table_Input_InorganicFertiliser_Custom[Ingredient 2 percent], IF(_xlpm.result="", 0, _xlpm.result)), _xlfn.SEQUENCE(10)), 0)</f>
        <v>0.2</v>
      </c>
      <c r="W252" s="15" cm="1">
        <f t="array" ref="W252">_xlfn.LET(_xlpm.result, Common_InputFunctions.Utility_LookupValueInTableTwoColumns(U252, _xlfn.IFS(U252="Urea",IF($O252="", "Global", $O252), U252="Ammonia", IF($P252="", "Global", $P252), TRUE, "Global"), Table_SourceData_Scope3_InorganicFertiliser[Chemical compound],Table_SourceData_Scope3_InorganicFertiliser[Region of origin],Table_SourceData_Scope3_InorganicFertiliser[Emissions intensity]), IF(_xlpm.result="", 0, _xlpm.result))</f>
        <v>4.82</v>
      </c>
      <c r="X252" s="76">
        <v>0.9</v>
      </c>
      <c r="Y252" s="15" t="str" cm="1">
        <f t="array" ref="Y252:Y261">IFERROR(INDEX(Table_Input_InorganicFertiliser_Custom[Ingredient 3], _xlfn.SEQUENCE(10)), "")</f>
        <v>Potassium - Generic</v>
      </c>
      <c r="Z252" s="15" cm="1">
        <f t="array" ref="Z252:Z261">IFERROR(INDEX(_xlfn.LET(_xlpm.result, Table_Input_InorganicFertiliser_Custom[Ingredient 3 percent], IF(_xlpm.result="", 0, _xlpm.result)), _xlfn.SEQUENCE(10)), 0)</f>
        <v>0.2</v>
      </c>
      <c r="AA252" s="15" cm="1">
        <f t="array" ref="AA252">_xlfn.LET(_xlpm.result, Common_InputFunctions.Utility_LookupValueInTableTwoColumns(Y252, _xlfn.IFS(Y252="Urea",IF($O252="", "Global", $O252), Y252="Ammonia", IF($P252="", "Global", $P252), TRUE, "Global"), Table_SourceData_Scope3_InorganicFertiliser[Chemical compound],Table_SourceData_Scope3_InorganicFertiliser[Region of origin],Table_SourceData_Scope3_InorganicFertiliser[Emissions intensity]), IF(_xlpm.result="", 0, _xlpm.result))</f>
        <v>0.90900000000000003</v>
      </c>
      <c r="AB252" s="76">
        <v>4</v>
      </c>
      <c r="AC252" s="15" t="str" cm="1">
        <f t="array" ref="AC252:AC261">IFERROR(INDEX(Table_Input_InorganicFertiliser_Custom[Ingredient 4], _xlfn.SEQUENCE(10)), "")</f>
        <v>Sulfur - Generic</v>
      </c>
      <c r="AD252" s="15" cm="1">
        <f t="array" ref="AD252:AD261">IFERROR(INDEX(_xlfn.LET(_xlpm.result, Table_Input_InorganicFertiliser_Custom[Ingredient 4 percent], IF(_xlpm.result="", 0, _xlpm.result)), _xlfn.SEQUENCE(10)), 0)</f>
        <v>0.1</v>
      </c>
      <c r="AE252" s="15" cm="1">
        <f t="array" ref="AE252">_xlfn.LET(_xlpm.result, Common_InputFunctions.Utility_LookupValueInTableTwoColumns(AC252, _xlfn.IFS(AC252="Urea",IF($O252="", "Global", $O252), AC252="Ammonia", IF($P252="", "Global", $P252), TRUE, "Global"), Table_SourceData_Scope3_InorganicFertiliser[Chemical compound],Table_SourceData_Scope3_InorganicFertiliser[Region of origin],Table_SourceData_Scope3_InorganicFertiliser[Emissions intensity]), IF(_xlpm.result="", 0, _xlpm.result))</f>
        <v>2.5</v>
      </c>
      <c r="AF252" s="76">
        <v>0</v>
      </c>
    </row>
    <row r="253" spans="4:40" ht="20.100000000000001" customHeight="1" x14ac:dyDescent="0.2">
      <c r="D253" s="15" t="str">
        <v>My second custom blend</v>
      </c>
      <c r="E253" s="15">
        <v>100000</v>
      </c>
      <c r="F253" s="15">
        <f>(R253 * S253)+
(V253 * W253)+
(Z253 * AA253)+
(AD253 * AE253)</f>
        <v>0.96799999999999997</v>
      </c>
      <c r="G253" s="240">
        <f>((E253 * F253) * 10 ^ -3)</f>
        <v>96.8</v>
      </c>
      <c r="H253" s="15">
        <f>((R253 * $E253) * S253 * 10 ^ -3)+
((V253 * $E253) * W253 * 10 ^ -3)+
((Z253 * $E253) * AA253 * 10 ^ -3)+
((AD253 * $E253) * AE253 * 10 ^ -3)</f>
        <v>96.8</v>
      </c>
      <c r="I253" s="76">
        <v>0.9</v>
      </c>
      <c r="J253" s="240">
        <f>((E253 * I253) * 10 ^ -3)</f>
        <v>90</v>
      </c>
      <c r="K253" s="240">
        <f>((R253 * $E253) * (IF(T253,T253,S253)) * 10 ^ -3)+
((V253 * $E253) * (IF(X253,X253,W253)) * 10 ^ -3)+
((Z253 * $E253) * (IF(AB253,AB253,AA253)) * 10 ^ -3)+
((AD253 * $E253) * (IF(AF253,AF253,AE253)) * 10 ^ -3)</f>
        <v>96.8</v>
      </c>
      <c r="L253" s="34"/>
      <c r="M253" s="13"/>
      <c r="N253" s="34"/>
      <c r="O253" s="241" t="str">
        <v/>
      </c>
      <c r="P253" s="241" t="str">
        <v/>
      </c>
      <c r="Q253" s="15" t="str">
        <v>Urea</v>
      </c>
      <c r="R253" s="15">
        <v>1</v>
      </c>
      <c r="S253" s="15" cm="1">
        <f t="array" ref="S253">_xlfn.LET(_xlpm.result, Common_InputFunctions.Utility_LookupValueInTableTwoColumns(Q253, _xlfn.IFS(Q253="Urea",IF($O253="", "Global", $O253), Q253="Ammonia", IF($P253="", "Global", $P253), TRUE, "Global"), Table_SourceData_Scope3_InorganicFertiliser[Chemical compound],Table_SourceData_Scope3_InorganicFertiliser[Region of origin],Table_SourceData_Scope3_InorganicFertiliser[Emissions intensity]), IF(_xlpm.result="", 0, _xlpm.result))</f>
        <v>0.96799999999999997</v>
      </c>
      <c r="T253" s="76"/>
      <c r="U253" s="15">
        <v>0</v>
      </c>
      <c r="V253" s="15">
        <v>0</v>
      </c>
      <c r="W253" s="15" cm="1">
        <f t="array" ref="W253">_xlfn.LET(_xlpm.result, Common_InputFunctions.Utility_LookupValueInTableTwoColumns(U253, _xlfn.IFS(U253="Urea",IF($O253="", "Global", $O253), U253="Ammonia", IF($P253="", "Global", $P253), TRUE, "Global"), Table_SourceData_Scope3_InorganicFertiliser[Chemical compound],Table_SourceData_Scope3_InorganicFertiliser[Region of origin],Table_SourceData_Scope3_InorganicFertiliser[Emissions intensity]), IF(_xlpm.result="", 0, _xlpm.result))</f>
        <v>0</v>
      </c>
      <c r="X253" s="76"/>
      <c r="Y253" s="15">
        <v>0</v>
      </c>
      <c r="Z253" s="15">
        <v>0</v>
      </c>
      <c r="AA253" s="15" cm="1">
        <f t="array" ref="AA253">_xlfn.LET(_xlpm.result, Common_InputFunctions.Utility_LookupValueInTableTwoColumns(Y253, _xlfn.IFS(Y253="Urea",IF($O253="", "Global", $O253), Y253="Ammonia", IF($P253="", "Global", $P253), TRUE, "Global"), Table_SourceData_Scope3_InorganicFertiliser[Chemical compound],Table_SourceData_Scope3_InorganicFertiliser[Region of origin],Table_SourceData_Scope3_InorganicFertiliser[Emissions intensity]), IF(_xlpm.result="", 0, _xlpm.result))</f>
        <v>0</v>
      </c>
      <c r="AB253" s="76"/>
      <c r="AC253" s="15">
        <v>0</v>
      </c>
      <c r="AD253" s="15">
        <v>0</v>
      </c>
      <c r="AE253" s="15" cm="1">
        <f t="array" ref="AE253">_xlfn.LET(_xlpm.result, Common_InputFunctions.Utility_LookupValueInTableTwoColumns(AC253, _xlfn.IFS(AC253="Urea",IF($O253="", "Global", $O253), AC253="Ammonia", IF($P253="", "Global", $P253), TRUE, "Global"), Table_SourceData_Scope3_InorganicFertiliser[Chemical compound],Table_SourceData_Scope3_InorganicFertiliser[Region of origin],Table_SourceData_Scope3_InorganicFertiliser[Emissions intensity]), IF(_xlpm.result="", 0, _xlpm.result))</f>
        <v>0</v>
      </c>
      <c r="AF253" s="76"/>
    </row>
    <row r="254" spans="4:40" ht="20.100000000000001" customHeight="1" x14ac:dyDescent="0.2">
      <c r="D254" s="15" t="str">
        <v>My third custom blend</v>
      </c>
      <c r="E254" s="15">
        <v>100000</v>
      </c>
      <c r="F254" s="15">
        <f>(R254 * S254)+
(V254 * W254)+
(Z254 * AA254)+
(AD254 * AE254)</f>
        <v>1.1599999999999999</v>
      </c>
      <c r="G254" s="240">
        <f>((E254 * F254) * 10 ^ -3)</f>
        <v>115.99999999999999</v>
      </c>
      <c r="H254" s="15">
        <f>((R254 * $E254) * S254 * 10 ^ -3)+
((V254 * $E254) * W254 * 10 ^ -3)+
((Z254 * $E254) * AA254 * 10 ^ -3)+
((AD254 * $E254) * AE254 * 10 ^ -3)</f>
        <v>115.99999999999999</v>
      </c>
      <c r="I254" s="76">
        <v>0.4</v>
      </c>
      <c r="J254" s="240">
        <f>((E254 * I254) * 10 ^ -3)</f>
        <v>40</v>
      </c>
      <c r="K254" s="240">
        <f>((R254 * $E254) * (IF(T254,T254,S254)) * 10 ^ -3)+
((V254 * $E254) * (IF(X254,X254,W254)) * 10 ^ -3)+
((Z254 * $E254) * (IF(AB254,AB254,AA254)) * 10 ^ -3)+
((AD254 * $E254) * (IF(AF254,AF254,AE254)) * 10 ^ -3)</f>
        <v>115.99999999999999</v>
      </c>
      <c r="L254" s="34"/>
      <c r="M254" s="13"/>
      <c r="N254" s="34"/>
      <c r="O254" s="241" t="str">
        <v/>
      </c>
      <c r="P254" s="241" t="str">
        <v/>
      </c>
      <c r="Q254" s="15" t="str">
        <v>Ammonia</v>
      </c>
      <c r="R254" s="15">
        <v>0.5</v>
      </c>
      <c r="S254" s="15" cm="1">
        <f t="array" ref="S254">_xlfn.LET(_xlpm.result, Common_InputFunctions.Utility_LookupValueInTableTwoColumns(Q254, _xlfn.IFS(Q254="Urea",IF($O254="", "Global", $O254), Q254="Ammonia", IF($P254="", "Global", $P254), TRUE, "Global"), Table_SourceData_Scope3_InorganicFertiliser[Chemical compound],Table_SourceData_Scope3_InorganicFertiliser[Region of origin],Table_SourceData_Scope3_InorganicFertiliser[Emissions intensity]), IF(_xlpm.result="", 0, _xlpm.result))</f>
        <v>2.3199999999999998</v>
      </c>
      <c r="T254" s="76"/>
      <c r="U254" s="15">
        <v>0</v>
      </c>
      <c r="V254" s="15">
        <v>0</v>
      </c>
      <c r="W254" s="15" cm="1">
        <f t="array" ref="W254">_xlfn.LET(_xlpm.result, Common_InputFunctions.Utility_LookupValueInTableTwoColumns(U254, _xlfn.IFS(U254="Urea",IF($O254="", "Global", $O254), U254="Ammonia", IF($P254="", "Global", $P254), TRUE, "Global"), Table_SourceData_Scope3_InorganicFertiliser[Chemical compound],Table_SourceData_Scope3_InorganicFertiliser[Region of origin],Table_SourceData_Scope3_InorganicFertiliser[Emissions intensity]), IF(_xlpm.result="", 0, _xlpm.result))</f>
        <v>0</v>
      </c>
      <c r="X254" s="76"/>
      <c r="Y254" s="15">
        <v>0</v>
      </c>
      <c r="Z254" s="15">
        <v>0</v>
      </c>
      <c r="AA254" s="15" cm="1">
        <f t="array" ref="AA254">_xlfn.LET(_xlpm.result, Common_InputFunctions.Utility_LookupValueInTableTwoColumns(Y254, _xlfn.IFS(Y254="Urea",IF($O254="", "Global", $O254), Y254="Ammonia", IF($P254="", "Global", $P254), TRUE, "Global"), Table_SourceData_Scope3_InorganicFertiliser[Chemical compound],Table_SourceData_Scope3_InorganicFertiliser[Region of origin],Table_SourceData_Scope3_InorganicFertiliser[Emissions intensity]), IF(_xlpm.result="", 0, _xlpm.result))</f>
        <v>0</v>
      </c>
      <c r="AB254" s="76"/>
      <c r="AC254" s="15">
        <v>0</v>
      </c>
      <c r="AD254" s="15">
        <v>0</v>
      </c>
      <c r="AE254" s="15" cm="1">
        <f t="array" ref="AE254">_xlfn.LET(_xlpm.result, Common_InputFunctions.Utility_LookupValueInTableTwoColumns(AC254, _xlfn.IFS(AC254="Urea",IF($O254="", "Global", $O254), AC254="Ammonia", IF($P254="", "Global", $P254), TRUE, "Global"), Table_SourceData_Scope3_InorganicFertiliser[Chemical compound],Table_SourceData_Scope3_InorganicFertiliser[Region of origin],Table_SourceData_Scope3_InorganicFertiliser[Emissions intensity]), IF(_xlpm.result="", 0, _xlpm.result))</f>
        <v>0</v>
      </c>
      <c r="AF254" s="76"/>
    </row>
    <row r="255" spans="4:40" ht="20.100000000000001" customHeight="1" x14ac:dyDescent="0.2">
      <c r="D255" s="15">
        <v>0</v>
      </c>
      <c r="E255" s="15">
        <v>0</v>
      </c>
      <c r="F255" s="15">
        <f>(R255 * S255)+
(V255 * W255)+
(Z255 * AA255)+
(AD255 * AE255)</f>
        <v>0</v>
      </c>
      <c r="G255" s="240">
        <f>((E255 * F255) * 10 ^ -3)</f>
        <v>0</v>
      </c>
      <c r="H255" s="15">
        <f>((R255 * $E255) * S255 * 10 ^ -3)+
((V255 * $E255) * W255 * 10 ^ -3)+
((Z255 * $E255) * AA255 * 10 ^ -3)+
((AD255 * $E255) * AE255 * 10 ^ -3)</f>
        <v>0</v>
      </c>
      <c r="I255" s="76"/>
      <c r="J255" s="240">
        <f>((E255 * I255) * 10 ^ -3)</f>
        <v>0</v>
      </c>
      <c r="K255" s="240">
        <f>((R255 * $E255) * (IF(T255,T255,S255)) * 10 ^ -3)+
((V255 * $E255) * (IF(X255,X255,W255)) * 10 ^ -3)+
((Z255 * $E255) * (IF(AB255,AB255,AA255)) * 10 ^ -3)+
((AD255 * $E255) * (IF(AF255,AF255,AE255)) * 10 ^ -3)</f>
        <v>0</v>
      </c>
      <c r="L255" s="34"/>
      <c r="M255" s="13"/>
      <c r="N255" s="34"/>
      <c r="O255" s="241" t="str">
        <v/>
      </c>
      <c r="P255" s="241" t="str">
        <v/>
      </c>
      <c r="Q255" s="15">
        <v>0</v>
      </c>
      <c r="R255" s="15">
        <v>0</v>
      </c>
      <c r="S255" s="15" cm="1">
        <f t="array" ref="S255">_xlfn.LET(_xlpm.result, Common_InputFunctions.Utility_LookupValueInTableTwoColumns(Q255, _xlfn.IFS(Q255="Urea",IF($O255="", "Global", $O255), Q255="Ammonia", IF($P255="", "Global", $P255), TRUE, "Global"), Table_SourceData_Scope3_InorganicFertiliser[Chemical compound],Table_SourceData_Scope3_InorganicFertiliser[Region of origin],Table_SourceData_Scope3_InorganicFertiliser[Emissions intensity]), IF(_xlpm.result="", 0, _xlpm.result))</f>
        <v>0</v>
      </c>
      <c r="T255" s="76"/>
      <c r="U255" s="15">
        <v>0</v>
      </c>
      <c r="V255" s="15">
        <v>0</v>
      </c>
      <c r="W255" s="15" cm="1">
        <f t="array" ref="W255">_xlfn.LET(_xlpm.result, Common_InputFunctions.Utility_LookupValueInTableTwoColumns(U255, _xlfn.IFS(U255="Urea",IF($O255="", "Global", $O255), U255="Ammonia", IF($P255="", "Global", $P255), TRUE, "Global"), Table_SourceData_Scope3_InorganicFertiliser[Chemical compound],Table_SourceData_Scope3_InorganicFertiliser[Region of origin],Table_SourceData_Scope3_InorganicFertiliser[Emissions intensity]), IF(_xlpm.result="", 0, _xlpm.result))</f>
        <v>0</v>
      </c>
      <c r="X255" s="76"/>
      <c r="Y255" s="15">
        <v>0</v>
      </c>
      <c r="Z255" s="15">
        <v>0</v>
      </c>
      <c r="AA255" s="15" cm="1">
        <f t="array" ref="AA255">_xlfn.LET(_xlpm.result, Common_InputFunctions.Utility_LookupValueInTableTwoColumns(Y255, _xlfn.IFS(Y255="Urea",IF($O255="", "Global", $O255), Y255="Ammonia", IF($P255="", "Global", $P255), TRUE, "Global"), Table_SourceData_Scope3_InorganicFertiliser[Chemical compound],Table_SourceData_Scope3_InorganicFertiliser[Region of origin],Table_SourceData_Scope3_InorganicFertiliser[Emissions intensity]), IF(_xlpm.result="", 0, _xlpm.result))</f>
        <v>0</v>
      </c>
      <c r="AB255" s="76"/>
      <c r="AC255" s="15">
        <v>0</v>
      </c>
      <c r="AD255" s="15">
        <v>0</v>
      </c>
      <c r="AE255" s="15" cm="1">
        <f t="array" ref="AE255">_xlfn.LET(_xlpm.result, Common_InputFunctions.Utility_LookupValueInTableTwoColumns(AC255, _xlfn.IFS(AC255="Urea",IF($O255="", "Global", $O255), AC255="Ammonia", IF($P255="", "Global", $P255), TRUE, "Global"), Table_SourceData_Scope3_InorganicFertiliser[Chemical compound],Table_SourceData_Scope3_InorganicFertiliser[Region of origin],Table_SourceData_Scope3_InorganicFertiliser[Emissions intensity]), IF(_xlpm.result="", 0, _xlpm.result))</f>
        <v>0</v>
      </c>
      <c r="AF255" s="76"/>
    </row>
    <row r="256" spans="4:40" ht="20.100000000000001" customHeight="1" x14ac:dyDescent="0.2">
      <c r="D256" s="15">
        <v>0</v>
      </c>
      <c r="E256" s="15">
        <v>0</v>
      </c>
      <c r="F256" s="15">
        <f>(R256 * S256)+
(V256 * W256)+
(Z256 * AA256)+
(AD256 * AE256)</f>
        <v>0</v>
      </c>
      <c r="G256" s="240">
        <f>((E256 * F256) * 10 ^ -3)</f>
        <v>0</v>
      </c>
      <c r="H256" s="15">
        <f>((R256 * $E256) * S256 * 10 ^ -3)+
((V256 * $E256) * W256 * 10 ^ -3)+
((Z256 * $E256) * AA256 * 10 ^ -3)+
((AD256 * $E256) * AE256 * 10 ^ -3)</f>
        <v>0</v>
      </c>
      <c r="I256" s="76"/>
      <c r="J256" s="240">
        <f>((E256 * I256) * 10 ^ -3)</f>
        <v>0</v>
      </c>
      <c r="K256" s="240">
        <f>((R256 * $E256) * (IF(T256,T256,S256)) * 10 ^ -3)+
((V256 * $E256) * (IF(X256,X256,W256)) * 10 ^ -3)+
((Z256 * $E256) * (IF(AB256,AB256,AA256)) * 10 ^ -3)+
((AD256 * $E256) * (IF(AF256,AF256,AE256)) * 10 ^ -3)</f>
        <v>0</v>
      </c>
      <c r="L256" s="34"/>
      <c r="M256" s="13"/>
      <c r="N256" s="34"/>
      <c r="O256" s="241" t="str">
        <v/>
      </c>
      <c r="P256" s="241" t="str">
        <v/>
      </c>
      <c r="Q256" s="15">
        <v>0</v>
      </c>
      <c r="R256" s="15">
        <v>0</v>
      </c>
      <c r="S256" s="15" cm="1">
        <f t="array" ref="S256">_xlfn.LET(_xlpm.result, Common_InputFunctions.Utility_LookupValueInTableTwoColumns(Q256, _xlfn.IFS(Q256="Urea",IF($O256="", "Global", $O256), Q256="Ammonia", IF($P256="", "Global", $P256), TRUE, "Global"), Table_SourceData_Scope3_InorganicFertiliser[Chemical compound],Table_SourceData_Scope3_InorganicFertiliser[Region of origin],Table_SourceData_Scope3_InorganicFertiliser[Emissions intensity]), IF(_xlpm.result="", 0, _xlpm.result))</f>
        <v>0</v>
      </c>
      <c r="T256" s="76"/>
      <c r="U256" s="15">
        <v>0</v>
      </c>
      <c r="V256" s="15">
        <v>0</v>
      </c>
      <c r="W256" s="15" cm="1">
        <f t="array" ref="W256">_xlfn.LET(_xlpm.result, Common_InputFunctions.Utility_LookupValueInTableTwoColumns(U256, _xlfn.IFS(U256="Urea",IF($O256="", "Global", $O256), U256="Ammonia", IF($P256="", "Global", $P256), TRUE, "Global"), Table_SourceData_Scope3_InorganicFertiliser[Chemical compound],Table_SourceData_Scope3_InorganicFertiliser[Region of origin],Table_SourceData_Scope3_InorganicFertiliser[Emissions intensity]), IF(_xlpm.result="", 0, _xlpm.result))</f>
        <v>0</v>
      </c>
      <c r="X256" s="76"/>
      <c r="Y256" s="15">
        <v>0</v>
      </c>
      <c r="Z256" s="15">
        <v>0</v>
      </c>
      <c r="AA256" s="15" cm="1">
        <f t="array" ref="AA256">_xlfn.LET(_xlpm.result, Common_InputFunctions.Utility_LookupValueInTableTwoColumns(Y256, _xlfn.IFS(Y256="Urea",IF($O256="", "Global", $O256), Y256="Ammonia", IF($P256="", "Global", $P256), TRUE, "Global"), Table_SourceData_Scope3_InorganicFertiliser[Chemical compound],Table_SourceData_Scope3_InorganicFertiliser[Region of origin],Table_SourceData_Scope3_InorganicFertiliser[Emissions intensity]), IF(_xlpm.result="", 0, _xlpm.result))</f>
        <v>0</v>
      </c>
      <c r="AB256" s="76"/>
      <c r="AC256" s="15">
        <v>0</v>
      </c>
      <c r="AD256" s="15">
        <v>0</v>
      </c>
      <c r="AE256" s="15" cm="1">
        <f t="array" ref="AE256">_xlfn.LET(_xlpm.result, Common_InputFunctions.Utility_LookupValueInTableTwoColumns(AC256, _xlfn.IFS(AC256="Urea",IF($O256="", "Global", $O256), AC256="Ammonia", IF($P256="", "Global", $P256), TRUE, "Global"), Table_SourceData_Scope3_InorganicFertiliser[Chemical compound],Table_SourceData_Scope3_InorganicFertiliser[Region of origin],Table_SourceData_Scope3_InorganicFertiliser[Emissions intensity]), IF(_xlpm.result="", 0, _xlpm.result))</f>
        <v>0</v>
      </c>
      <c r="AF256" s="76"/>
    </row>
    <row r="257" spans="1:41" ht="20.100000000000001" customHeight="1" x14ac:dyDescent="0.2">
      <c r="D257" s="15">
        <v>0</v>
      </c>
      <c r="E257" s="15">
        <v>0</v>
      </c>
      <c r="F257" s="15">
        <f>(R257 * S257)+
(V257 * W257)+
(Z257 * AA257)+
(AD257 * AE257)</f>
        <v>0</v>
      </c>
      <c r="G257" s="240">
        <f>((E257 * F257) * 10 ^ -3)</f>
        <v>0</v>
      </c>
      <c r="H257" s="15">
        <f>((R257 * $E257) * S257 * 10 ^ -3)+
((V257 * $E257) * W257 * 10 ^ -3)+
((Z257 * $E257) * AA257 * 10 ^ -3)+
((AD257 * $E257) * AE257 * 10 ^ -3)</f>
        <v>0</v>
      </c>
      <c r="I257" s="76"/>
      <c r="J257" s="240">
        <f>((E257 * I257) * 10 ^ -3)</f>
        <v>0</v>
      </c>
      <c r="K257" s="240">
        <f>((R257 * $E257) * (IF(T257,T257,S257)) * 10 ^ -3)+
((V257 * $E257) * (IF(X257,X257,W257)) * 10 ^ -3)+
((Z257 * $E257) * (IF(AB257,AB257,AA257)) * 10 ^ -3)+
((AD257 * $E257) * (IF(AF257,AF257,AE257)) * 10 ^ -3)</f>
        <v>0</v>
      </c>
      <c r="L257" s="34"/>
      <c r="M257" s="13"/>
      <c r="N257" s="34"/>
      <c r="O257" s="241" t="str">
        <v/>
      </c>
      <c r="P257" s="241" t="str">
        <v/>
      </c>
      <c r="Q257" s="15">
        <v>0</v>
      </c>
      <c r="R257" s="15">
        <v>0</v>
      </c>
      <c r="S257" s="15" cm="1">
        <f t="array" ref="S257">_xlfn.LET(_xlpm.result, Common_InputFunctions.Utility_LookupValueInTableTwoColumns(Q257, _xlfn.IFS(Q257="Urea",IF($O257="", "Global", $O257), Q257="Ammonia", IF($P257="", "Global", $P257), TRUE, "Global"), Table_SourceData_Scope3_InorganicFertiliser[Chemical compound],Table_SourceData_Scope3_InorganicFertiliser[Region of origin],Table_SourceData_Scope3_InorganicFertiliser[Emissions intensity]), IF(_xlpm.result="", 0, _xlpm.result))</f>
        <v>0</v>
      </c>
      <c r="T257" s="76"/>
      <c r="U257" s="15">
        <v>0</v>
      </c>
      <c r="V257" s="15">
        <v>0</v>
      </c>
      <c r="W257" s="15" cm="1">
        <f t="array" ref="W257">_xlfn.LET(_xlpm.result, Common_InputFunctions.Utility_LookupValueInTableTwoColumns(U257, _xlfn.IFS(U257="Urea",IF($O257="", "Global", $O257), U257="Ammonia", IF($P257="", "Global", $P257), TRUE, "Global"), Table_SourceData_Scope3_InorganicFertiliser[Chemical compound],Table_SourceData_Scope3_InorganicFertiliser[Region of origin],Table_SourceData_Scope3_InorganicFertiliser[Emissions intensity]), IF(_xlpm.result="", 0, _xlpm.result))</f>
        <v>0</v>
      </c>
      <c r="X257" s="76"/>
      <c r="Y257" s="15">
        <v>0</v>
      </c>
      <c r="Z257" s="15">
        <v>0</v>
      </c>
      <c r="AA257" s="15" cm="1">
        <f t="array" ref="AA257">_xlfn.LET(_xlpm.result, Common_InputFunctions.Utility_LookupValueInTableTwoColumns(Y257, _xlfn.IFS(Y257="Urea",IF($O257="", "Global", $O257), Y257="Ammonia", IF($P257="", "Global", $P257), TRUE, "Global"), Table_SourceData_Scope3_InorganicFertiliser[Chemical compound],Table_SourceData_Scope3_InorganicFertiliser[Region of origin],Table_SourceData_Scope3_InorganicFertiliser[Emissions intensity]), IF(_xlpm.result="", 0, _xlpm.result))</f>
        <v>0</v>
      </c>
      <c r="AB257" s="76"/>
      <c r="AC257" s="15">
        <v>0</v>
      </c>
      <c r="AD257" s="15">
        <v>0</v>
      </c>
      <c r="AE257" s="15" cm="1">
        <f t="array" ref="AE257">_xlfn.LET(_xlpm.result, Common_InputFunctions.Utility_LookupValueInTableTwoColumns(AC257, _xlfn.IFS(AC257="Urea",IF($O257="", "Global", $O257), AC257="Ammonia", IF($P257="", "Global", $P257), TRUE, "Global"), Table_SourceData_Scope3_InorganicFertiliser[Chemical compound],Table_SourceData_Scope3_InorganicFertiliser[Region of origin],Table_SourceData_Scope3_InorganicFertiliser[Emissions intensity]), IF(_xlpm.result="", 0, _xlpm.result))</f>
        <v>0</v>
      </c>
      <c r="AF257" s="76"/>
    </row>
    <row r="258" spans="1:41" ht="20.100000000000001" customHeight="1" x14ac:dyDescent="0.2">
      <c r="D258" s="15">
        <v>0</v>
      </c>
      <c r="E258" s="15">
        <v>0</v>
      </c>
      <c r="F258" s="15">
        <f>(R258 * S258)+
(V258 * W258)+
(Z258 * AA258)+
(AD258 * AE258)</f>
        <v>0</v>
      </c>
      <c r="G258" s="240">
        <f>((E258 * F258) * 10 ^ -3)</f>
        <v>0</v>
      </c>
      <c r="H258" s="15">
        <f>((R258 * $E258) * S258 * 10 ^ -3)+
((V258 * $E258) * W258 * 10 ^ -3)+
((Z258 * $E258) * AA258 * 10 ^ -3)+
((AD258 * $E258) * AE258 * 10 ^ -3)</f>
        <v>0</v>
      </c>
      <c r="I258" s="76"/>
      <c r="J258" s="240">
        <f>((E258 * I258) * 10 ^ -3)</f>
        <v>0</v>
      </c>
      <c r="K258" s="240">
        <f>((R258 * $E258) * (IF(T258,T258,S258)) * 10 ^ -3)+
((V258 * $E258) * (IF(X258,X258,W258)) * 10 ^ -3)+
((Z258 * $E258) * (IF(AB258,AB258,AA258)) * 10 ^ -3)+
((AD258 * $E258) * (IF(AF258,AF258,AE258)) * 10 ^ -3)</f>
        <v>0</v>
      </c>
      <c r="L258" s="34"/>
      <c r="M258" s="13"/>
      <c r="N258" s="34"/>
      <c r="O258" s="241" t="str">
        <v/>
      </c>
      <c r="P258" s="241" t="str">
        <v/>
      </c>
      <c r="Q258" s="15">
        <v>0</v>
      </c>
      <c r="R258" s="15">
        <v>0</v>
      </c>
      <c r="S258" s="15" cm="1">
        <f t="array" ref="S258">_xlfn.LET(_xlpm.result, Common_InputFunctions.Utility_LookupValueInTableTwoColumns(Q258, _xlfn.IFS(Q258="Urea",IF($O258="", "Global", $O258), Q258="Ammonia", IF($P258="", "Global", $P258), TRUE, "Global"), Table_SourceData_Scope3_InorganicFertiliser[Chemical compound],Table_SourceData_Scope3_InorganicFertiliser[Region of origin],Table_SourceData_Scope3_InorganicFertiliser[Emissions intensity]), IF(_xlpm.result="", 0, _xlpm.result))</f>
        <v>0</v>
      </c>
      <c r="T258" s="76"/>
      <c r="U258" s="15">
        <v>0</v>
      </c>
      <c r="V258" s="15">
        <v>0</v>
      </c>
      <c r="W258" s="15" cm="1">
        <f t="array" ref="W258">_xlfn.LET(_xlpm.result, Common_InputFunctions.Utility_LookupValueInTableTwoColumns(U258, _xlfn.IFS(U258="Urea",IF($O258="", "Global", $O258), U258="Ammonia", IF($P258="", "Global", $P258), TRUE, "Global"), Table_SourceData_Scope3_InorganicFertiliser[Chemical compound],Table_SourceData_Scope3_InorganicFertiliser[Region of origin],Table_SourceData_Scope3_InorganicFertiliser[Emissions intensity]), IF(_xlpm.result="", 0, _xlpm.result))</f>
        <v>0</v>
      </c>
      <c r="X258" s="76"/>
      <c r="Y258" s="15">
        <v>0</v>
      </c>
      <c r="Z258" s="15">
        <v>0</v>
      </c>
      <c r="AA258" s="15" cm="1">
        <f t="array" ref="AA258">_xlfn.LET(_xlpm.result, Common_InputFunctions.Utility_LookupValueInTableTwoColumns(Y258, _xlfn.IFS(Y258="Urea",IF($O258="", "Global", $O258), Y258="Ammonia", IF($P258="", "Global", $P258), TRUE, "Global"), Table_SourceData_Scope3_InorganicFertiliser[Chemical compound],Table_SourceData_Scope3_InorganicFertiliser[Region of origin],Table_SourceData_Scope3_InorganicFertiliser[Emissions intensity]), IF(_xlpm.result="", 0, _xlpm.result))</f>
        <v>0</v>
      </c>
      <c r="AB258" s="76"/>
      <c r="AC258" s="15">
        <v>0</v>
      </c>
      <c r="AD258" s="15">
        <v>0</v>
      </c>
      <c r="AE258" s="15" cm="1">
        <f t="array" ref="AE258">_xlfn.LET(_xlpm.result, Common_InputFunctions.Utility_LookupValueInTableTwoColumns(AC258, _xlfn.IFS(AC258="Urea",IF($O258="", "Global", $O258), AC258="Ammonia", IF($P258="", "Global", $P258), TRUE, "Global"), Table_SourceData_Scope3_InorganicFertiliser[Chemical compound],Table_SourceData_Scope3_InorganicFertiliser[Region of origin],Table_SourceData_Scope3_InorganicFertiliser[Emissions intensity]), IF(_xlpm.result="", 0, _xlpm.result))</f>
        <v>0</v>
      </c>
      <c r="AF258" s="76"/>
    </row>
    <row r="259" spans="1:41" ht="20.100000000000001" customHeight="1" x14ac:dyDescent="0.2">
      <c r="D259" s="15">
        <v>0</v>
      </c>
      <c r="E259" s="15">
        <v>0</v>
      </c>
      <c r="F259" s="15">
        <f>(R259 * S259)+
(V259 * W259)+
(Z259 * AA259)+
(AD259 * AE259)</f>
        <v>0</v>
      </c>
      <c r="G259" s="240">
        <f>((E259 * F259) * 10 ^ -3)</f>
        <v>0</v>
      </c>
      <c r="H259" s="15">
        <f>((R259 * $E259) * S259 * 10 ^ -3)+
((V259 * $E259) * W259 * 10 ^ -3)+
((Z259 * $E259) * AA259 * 10 ^ -3)+
((AD259 * $E259) * AE259 * 10 ^ -3)</f>
        <v>0</v>
      </c>
      <c r="I259" s="76"/>
      <c r="J259" s="240">
        <f>((E259 * I259) * 10 ^ -3)</f>
        <v>0</v>
      </c>
      <c r="K259" s="240">
        <f>((R259 * $E259) * (IF(T259,T259,S259)) * 10 ^ -3)+
((V259 * $E259) * (IF(X259,X259,W259)) * 10 ^ -3)+
((Z259 * $E259) * (IF(AB259,AB259,AA259)) * 10 ^ -3)+
((AD259 * $E259) * (IF(AF259,AF259,AE259)) * 10 ^ -3)</f>
        <v>0</v>
      </c>
      <c r="L259" s="34"/>
      <c r="M259" s="13"/>
      <c r="N259" s="34"/>
      <c r="O259" s="241" t="str">
        <v/>
      </c>
      <c r="P259" s="241" t="str">
        <v/>
      </c>
      <c r="Q259" s="15">
        <v>0</v>
      </c>
      <c r="R259" s="15">
        <v>0</v>
      </c>
      <c r="S259" s="15" cm="1">
        <f t="array" ref="S259">_xlfn.LET(_xlpm.result, Common_InputFunctions.Utility_LookupValueInTableTwoColumns(Q259, _xlfn.IFS(Q259="Urea",IF($O259="", "Global", $O259), Q259="Ammonia", IF($P259="", "Global", $P259), TRUE, "Global"), Table_SourceData_Scope3_InorganicFertiliser[Chemical compound],Table_SourceData_Scope3_InorganicFertiliser[Region of origin],Table_SourceData_Scope3_InorganicFertiliser[Emissions intensity]), IF(_xlpm.result="", 0, _xlpm.result))</f>
        <v>0</v>
      </c>
      <c r="T259" s="76"/>
      <c r="U259" s="15">
        <v>0</v>
      </c>
      <c r="V259" s="15">
        <v>0</v>
      </c>
      <c r="W259" s="15" cm="1">
        <f t="array" ref="W259">_xlfn.LET(_xlpm.result, Common_InputFunctions.Utility_LookupValueInTableTwoColumns(U259, _xlfn.IFS(U259="Urea",IF($O259="", "Global", $O259), U259="Ammonia", IF($P259="", "Global", $P259), TRUE, "Global"), Table_SourceData_Scope3_InorganicFertiliser[Chemical compound],Table_SourceData_Scope3_InorganicFertiliser[Region of origin],Table_SourceData_Scope3_InorganicFertiliser[Emissions intensity]), IF(_xlpm.result="", 0, _xlpm.result))</f>
        <v>0</v>
      </c>
      <c r="X259" s="76"/>
      <c r="Y259" s="15">
        <v>0</v>
      </c>
      <c r="Z259" s="15">
        <v>0</v>
      </c>
      <c r="AA259" s="15" cm="1">
        <f t="array" ref="AA259">_xlfn.LET(_xlpm.result, Common_InputFunctions.Utility_LookupValueInTableTwoColumns(Y259, _xlfn.IFS(Y259="Urea",IF($O259="", "Global", $O259), Y259="Ammonia", IF($P259="", "Global", $P259), TRUE, "Global"), Table_SourceData_Scope3_InorganicFertiliser[Chemical compound],Table_SourceData_Scope3_InorganicFertiliser[Region of origin],Table_SourceData_Scope3_InorganicFertiliser[Emissions intensity]), IF(_xlpm.result="", 0, _xlpm.result))</f>
        <v>0</v>
      </c>
      <c r="AB259" s="76"/>
      <c r="AC259" s="15">
        <v>0</v>
      </c>
      <c r="AD259" s="15">
        <v>0</v>
      </c>
      <c r="AE259" s="15" cm="1">
        <f t="array" ref="AE259">_xlfn.LET(_xlpm.result, Common_InputFunctions.Utility_LookupValueInTableTwoColumns(AC259, _xlfn.IFS(AC259="Urea",IF($O259="", "Global", $O259), AC259="Ammonia", IF($P259="", "Global", $P259), TRUE, "Global"), Table_SourceData_Scope3_InorganicFertiliser[Chemical compound],Table_SourceData_Scope3_InorganicFertiliser[Region of origin],Table_SourceData_Scope3_InorganicFertiliser[Emissions intensity]), IF(_xlpm.result="", 0, _xlpm.result))</f>
        <v>0</v>
      </c>
      <c r="AF259" s="76"/>
    </row>
    <row r="260" spans="1:41" ht="20.100000000000001" customHeight="1" x14ac:dyDescent="0.2">
      <c r="D260" s="15">
        <v>0</v>
      </c>
      <c r="E260" s="15">
        <v>0</v>
      </c>
      <c r="F260" s="15">
        <f>(R260 * S260)+
(V260 * W260)+
(Z260 * AA260)+
(AD260 * AE260)</f>
        <v>0</v>
      </c>
      <c r="G260" s="240">
        <f>((E260 * F260) * 10 ^ -3)</f>
        <v>0</v>
      </c>
      <c r="H260" s="15">
        <f>((R260 * $E260) * S260 * 10 ^ -3)+
((V260 * $E260) * W260 * 10 ^ -3)+
((Z260 * $E260) * AA260 * 10 ^ -3)+
((AD260 * $E260) * AE260 * 10 ^ -3)</f>
        <v>0</v>
      </c>
      <c r="I260" s="76"/>
      <c r="J260" s="240">
        <f>((E260 * I260) * 10 ^ -3)</f>
        <v>0</v>
      </c>
      <c r="K260" s="240">
        <f>((R260 * $E260) * (IF(T260,T260,S260)) * 10 ^ -3)+
((V260 * $E260) * (IF(X260,X260,W260)) * 10 ^ -3)+
((Z260 * $E260) * (IF(AB260,AB260,AA260)) * 10 ^ -3)+
((AD260 * $E260) * (IF(AF260,AF260,AE260)) * 10 ^ -3)</f>
        <v>0</v>
      </c>
      <c r="L260" s="34"/>
      <c r="M260" s="13"/>
      <c r="N260" s="34"/>
      <c r="O260" s="241" t="str">
        <v/>
      </c>
      <c r="P260" s="241" t="str">
        <v/>
      </c>
      <c r="Q260" s="15">
        <v>0</v>
      </c>
      <c r="R260" s="15">
        <v>0</v>
      </c>
      <c r="S260" s="15" cm="1">
        <f t="array" ref="S260">_xlfn.LET(_xlpm.result, Common_InputFunctions.Utility_LookupValueInTableTwoColumns(Q260, _xlfn.IFS(Q260="Urea",IF($O260="", "Global", $O260), Q260="Ammonia", IF($P260="", "Global", $P260), TRUE, "Global"), Table_SourceData_Scope3_InorganicFertiliser[Chemical compound],Table_SourceData_Scope3_InorganicFertiliser[Region of origin],Table_SourceData_Scope3_InorganicFertiliser[Emissions intensity]), IF(_xlpm.result="", 0, _xlpm.result))</f>
        <v>0</v>
      </c>
      <c r="T260" s="76"/>
      <c r="U260" s="15">
        <v>0</v>
      </c>
      <c r="V260" s="15">
        <v>0</v>
      </c>
      <c r="W260" s="15" cm="1">
        <f t="array" ref="W260">_xlfn.LET(_xlpm.result, Common_InputFunctions.Utility_LookupValueInTableTwoColumns(U260, _xlfn.IFS(U260="Urea",IF($O260="", "Global", $O260), U260="Ammonia", IF($P260="", "Global", $P260), TRUE, "Global"), Table_SourceData_Scope3_InorganicFertiliser[Chemical compound],Table_SourceData_Scope3_InorganicFertiliser[Region of origin],Table_SourceData_Scope3_InorganicFertiliser[Emissions intensity]), IF(_xlpm.result="", 0, _xlpm.result))</f>
        <v>0</v>
      </c>
      <c r="X260" s="76"/>
      <c r="Y260" s="15">
        <v>0</v>
      </c>
      <c r="Z260" s="15">
        <v>0</v>
      </c>
      <c r="AA260" s="15" cm="1">
        <f t="array" ref="AA260">_xlfn.LET(_xlpm.result, Common_InputFunctions.Utility_LookupValueInTableTwoColumns(Y260, _xlfn.IFS(Y260="Urea",IF($O260="", "Global", $O260), Y260="Ammonia", IF($P260="", "Global", $P260), TRUE, "Global"), Table_SourceData_Scope3_InorganicFertiliser[Chemical compound],Table_SourceData_Scope3_InorganicFertiliser[Region of origin],Table_SourceData_Scope3_InorganicFertiliser[Emissions intensity]), IF(_xlpm.result="", 0, _xlpm.result))</f>
        <v>0</v>
      </c>
      <c r="AB260" s="76"/>
      <c r="AC260" s="15">
        <v>0</v>
      </c>
      <c r="AD260" s="15">
        <v>0</v>
      </c>
      <c r="AE260" s="15" cm="1">
        <f t="array" ref="AE260">_xlfn.LET(_xlpm.result, Common_InputFunctions.Utility_LookupValueInTableTwoColumns(AC260, _xlfn.IFS(AC260="Urea",IF($O260="", "Global", $O260), AC260="Ammonia", IF($P260="", "Global", $P260), TRUE, "Global"), Table_SourceData_Scope3_InorganicFertiliser[Chemical compound],Table_SourceData_Scope3_InorganicFertiliser[Region of origin],Table_SourceData_Scope3_InorganicFertiliser[Emissions intensity]), IF(_xlpm.result="", 0, _xlpm.result))</f>
        <v>0</v>
      </c>
      <c r="AF260" s="76"/>
    </row>
    <row r="261" spans="1:41" ht="20.100000000000001" customHeight="1" x14ac:dyDescent="0.2">
      <c r="D261" s="15">
        <v>0</v>
      </c>
      <c r="E261" s="15">
        <v>0</v>
      </c>
      <c r="F261" s="15">
        <f>(R261 * S261)+
(V261 * W261)+
(Z261 * AA261)+
(AD261 * AE261)</f>
        <v>0</v>
      </c>
      <c r="G261" s="240">
        <f>((E261 * F261) * 10 ^ -3)</f>
        <v>0</v>
      </c>
      <c r="H261" s="15">
        <f>((R261 * $E261) * S261 * 10 ^ -3)+
((V261 * $E261) * W261 * 10 ^ -3)+
((Z261 * $E261) * AA261 * 10 ^ -3)+
((AD261 * $E261) * AE261 * 10 ^ -3)</f>
        <v>0</v>
      </c>
      <c r="I261" s="76"/>
      <c r="J261" s="240">
        <f>((E261 * I261) * 10 ^ -3)</f>
        <v>0</v>
      </c>
      <c r="K261" s="240">
        <f>((R261 * $E261) * (IF(T261,T261,S261)) * 10 ^ -3)+
((V261 * $E261) * (IF(X261,X261,W261)) * 10 ^ -3)+
((Z261 * $E261) * (IF(AB261,AB261,AA261)) * 10 ^ -3)+
((AD261 * $E261) * (IF(AF261,AF261,AE261)) * 10 ^ -3)</f>
        <v>0</v>
      </c>
      <c r="L261" s="34"/>
      <c r="M261" s="13"/>
      <c r="N261" s="34"/>
      <c r="O261" s="241" t="str">
        <v/>
      </c>
      <c r="P261" s="241" t="str">
        <v/>
      </c>
      <c r="Q261" s="15">
        <v>0</v>
      </c>
      <c r="R261" s="15">
        <v>0</v>
      </c>
      <c r="S261" s="15" cm="1">
        <f t="array" ref="S261">_xlfn.LET(_xlpm.result, Common_InputFunctions.Utility_LookupValueInTableTwoColumns(Q261, _xlfn.IFS(Q261="Urea",IF($O261="", "Global", $O261), Q261="Ammonia", IF($P261="", "Global", $P261), TRUE, "Global"), Table_SourceData_Scope3_InorganicFertiliser[Chemical compound],Table_SourceData_Scope3_InorganicFertiliser[Region of origin],Table_SourceData_Scope3_InorganicFertiliser[Emissions intensity]), IF(_xlpm.result="", 0, _xlpm.result))</f>
        <v>0</v>
      </c>
      <c r="T261" s="76"/>
      <c r="U261" s="15">
        <v>0</v>
      </c>
      <c r="V261" s="15">
        <v>0</v>
      </c>
      <c r="W261" s="15" cm="1">
        <f t="array" ref="W261">_xlfn.LET(_xlpm.result, Common_InputFunctions.Utility_LookupValueInTableTwoColumns(U261, _xlfn.IFS(U261="Urea",IF($O261="", "Global", $O261), U261="Ammonia", IF($P261="", "Global", $P261), TRUE, "Global"), Table_SourceData_Scope3_InorganicFertiliser[Chemical compound],Table_SourceData_Scope3_InorganicFertiliser[Region of origin],Table_SourceData_Scope3_InorganicFertiliser[Emissions intensity]), IF(_xlpm.result="", 0, _xlpm.result))</f>
        <v>0</v>
      </c>
      <c r="X261" s="76"/>
      <c r="Y261" s="15">
        <v>0</v>
      </c>
      <c r="Z261" s="15">
        <v>0</v>
      </c>
      <c r="AA261" s="15" cm="1">
        <f t="array" ref="AA261">_xlfn.LET(_xlpm.result, Common_InputFunctions.Utility_LookupValueInTableTwoColumns(Y261, _xlfn.IFS(Y261="Urea",IF($O261="", "Global", $O261), Y261="Ammonia", IF($P261="", "Global", $P261), TRUE, "Global"), Table_SourceData_Scope3_InorganicFertiliser[Chemical compound],Table_SourceData_Scope3_InorganicFertiliser[Region of origin],Table_SourceData_Scope3_InorganicFertiliser[Emissions intensity]), IF(_xlpm.result="", 0, _xlpm.result))</f>
        <v>0</v>
      </c>
      <c r="AB261" s="76"/>
      <c r="AC261" s="15">
        <v>0</v>
      </c>
      <c r="AD261" s="15">
        <v>0</v>
      </c>
      <c r="AE261" s="15" cm="1">
        <f t="array" ref="AE261">_xlfn.LET(_xlpm.result, Common_InputFunctions.Utility_LookupValueInTableTwoColumns(AC261, _xlfn.IFS(AC261="Urea",IF($O261="", "Global", $O261), AC261="Ammonia", IF($P261="", "Global", $P261), TRUE, "Global"), Table_SourceData_Scope3_InorganicFertiliser[Chemical compound],Table_SourceData_Scope3_InorganicFertiliser[Region of origin],Table_SourceData_Scope3_InorganicFertiliser[Emissions intensity]), IF(_xlpm.result="", 0, _xlpm.result))</f>
        <v>0</v>
      </c>
      <c r="AF261" s="76"/>
    </row>
    <row r="263" spans="1:41" ht="20.100000000000001" customHeight="1" x14ac:dyDescent="0.2">
      <c r="D263" s="242" t="s">
        <v>926</v>
      </c>
      <c r="E263" s="88">
        <f>SUM(G236:G245)+SUM(G252:G261)</f>
        <v>518.80600000000004</v>
      </c>
      <c r="F263" s="97" t="str">
        <f>$E$170</f>
        <v>t CO2e</v>
      </c>
    </row>
    <row r="264" spans="1:41" ht="20.100000000000001" customHeight="1" x14ac:dyDescent="0.2">
      <c r="D264" s="242" t="s">
        <v>927</v>
      </c>
      <c r="E264" s="88">
        <f>SUM(J236:J245)+SUM(J252:J261)</f>
        <v>340</v>
      </c>
      <c r="F264" s="97" t="str">
        <f>$E$170</f>
        <v>t CO2e</v>
      </c>
    </row>
    <row r="266" spans="1:41" ht="20.100000000000001" customHeight="1" x14ac:dyDescent="0.2">
      <c r="D266" s="242" t="s">
        <v>928</v>
      </c>
      <c r="E266" s="88">
        <f>SUM(H236:H245)+SUM(H252:H261)</f>
        <v>518.80600000000004</v>
      </c>
      <c r="F266" s="97" t="str">
        <f>$E$170</f>
        <v>t CO2e</v>
      </c>
    </row>
    <row r="267" spans="1:41" ht="20.100000000000001" customHeight="1" x14ac:dyDescent="0.2">
      <c r="D267" s="242" t="s">
        <v>929</v>
      </c>
      <c r="E267" s="88">
        <f>SUM(K236:K245)+SUM(K252:K261)</f>
        <v>599.726</v>
      </c>
      <c r="F267" s="97" t="str">
        <f>$E$170</f>
        <v>t CO2e</v>
      </c>
    </row>
    <row r="269" spans="1:41" ht="20.100000000000001" customHeight="1" x14ac:dyDescent="0.2">
      <c r="A269" s="81" t="str">
        <f>HYPERLINK("#A1", "▲ Back to top")</f>
        <v>▲ Back to top</v>
      </c>
    </row>
    <row r="270" spans="1:41" ht="20.100000000000001" customHeight="1" x14ac:dyDescent="0.2">
      <c r="C270" s="85"/>
      <c r="D270" s="85"/>
      <c r="E270" s="85"/>
      <c r="F270" s="85"/>
      <c r="G270" s="85"/>
      <c r="H270" s="85"/>
      <c r="I270" s="85"/>
      <c r="J270" s="85"/>
      <c r="K270" s="85"/>
      <c r="L270" s="85"/>
      <c r="M270" s="85"/>
      <c r="N270" s="85"/>
      <c r="O270" s="85"/>
      <c r="P270" s="85"/>
      <c r="Q270" s="85"/>
      <c r="R270" s="85"/>
      <c r="S270" s="85"/>
      <c r="T270" s="85"/>
      <c r="U270" s="85"/>
      <c r="V270" s="85"/>
      <c r="W270" s="85"/>
      <c r="X270" s="85"/>
      <c r="Y270" s="85"/>
      <c r="Z270" s="85"/>
      <c r="AA270" s="85"/>
      <c r="AB270" s="85"/>
      <c r="AC270" s="85"/>
      <c r="AD270" s="85"/>
      <c r="AE270" s="85"/>
      <c r="AF270" s="85"/>
      <c r="AG270" s="85"/>
      <c r="AH270" s="85"/>
      <c r="AI270" s="85"/>
      <c r="AJ270" s="85"/>
      <c r="AK270" s="85"/>
      <c r="AL270" s="85"/>
      <c r="AM270" s="85"/>
      <c r="AN270" s="85"/>
      <c r="AO270" s="85"/>
    </row>
    <row r="271" spans="1:41" ht="20.100000000000001" customHeight="1" x14ac:dyDescent="0.2">
      <c r="D271" s="2" t="s">
        <v>1402</v>
      </c>
    </row>
    <row r="272" spans="1:41" ht="20.100000000000001" customHeight="1" x14ac:dyDescent="0.2">
      <c r="D272" s="17" t="s">
        <v>1403</v>
      </c>
    </row>
    <row r="273" spans="4:9" ht="20.100000000000001" customHeight="1" x14ac:dyDescent="0.2">
      <c r="D273" s="134"/>
      <c r="E273" s="134"/>
    </row>
    <row r="277" spans="4:9" ht="20.100000000000001" customHeight="1" x14ac:dyDescent="0.2">
      <c r="D277" s="77" t="s">
        <v>371</v>
      </c>
      <c r="E277" s="1" t="s">
        <v>967</v>
      </c>
    </row>
    <row r="278" spans="4:9" ht="20.100000000000001" customHeight="1" x14ac:dyDescent="0.2">
      <c r="D278" s="77" t="s">
        <v>118</v>
      </c>
      <c r="E278" s="9" t="s">
        <v>7</v>
      </c>
    </row>
    <row r="280" spans="4:9" ht="20.100000000000001" customHeight="1" x14ac:dyDescent="0.2">
      <c r="D280" s="150" t="s">
        <v>1404</v>
      </c>
      <c r="E280" s="147" t="s">
        <v>1405</v>
      </c>
      <c r="F280" s="159"/>
      <c r="G280" s="150" t="s">
        <v>1410</v>
      </c>
      <c r="H280" s="238" t="s">
        <v>1034</v>
      </c>
    </row>
    <row r="281" spans="4:9" ht="20.100000000000001" customHeight="1" x14ac:dyDescent="0.2">
      <c r="D281" s="150" t="s">
        <v>1406</v>
      </c>
      <c r="E281" s="147" t="s">
        <v>1407</v>
      </c>
      <c r="F281" s="159"/>
      <c r="G281" s="150" t="s">
        <v>1411</v>
      </c>
      <c r="H281" s="142" t="s">
        <v>1036</v>
      </c>
    </row>
    <row r="282" spans="4:9" ht="20.100000000000001" customHeight="1" x14ac:dyDescent="0.2">
      <c r="D282" s="150" t="s">
        <v>1408</v>
      </c>
      <c r="E282" s="147" t="s">
        <v>1409</v>
      </c>
      <c r="F282" s="159"/>
      <c r="G282" s="150"/>
      <c r="H282" s="238" t="s">
        <v>1034</v>
      </c>
    </row>
    <row r="284" spans="4:9" ht="20.100000000000001" customHeight="1" x14ac:dyDescent="0.2">
      <c r="D284" s="80" t="s">
        <v>930</v>
      </c>
      <c r="E284" s="80" t="s">
        <v>307</v>
      </c>
      <c r="F284" s="138" t="s">
        <v>931</v>
      </c>
      <c r="G284" s="138" t="s">
        <v>859</v>
      </c>
      <c r="H284" s="80" t="s">
        <v>932</v>
      </c>
      <c r="I284" s="138" t="s">
        <v>862</v>
      </c>
    </row>
    <row r="285" spans="4:9" ht="20.100000000000001" customHeight="1" x14ac:dyDescent="0.2">
      <c r="D285" s="15" t="str" cm="1">
        <f t="array" ref="D285:D296">Table_SourceData_Scope3_Pesticides[Product]</f>
        <v>2,4-D</v>
      </c>
      <c r="E285" s="15">
        <f>SUMIF(Table_Input_Pesticides[Active ingredient 1 (select)],D285,Table_Input_Pesticides[Total active ingredient 1 (kg)])+
SUMIF(Table_Input_Pesticides[Active ingredient 2 (select)],D285,Table_Input_Pesticides[Total active ingredient 2 (kg)])+
SUMIF(Table_Input_Pesticides[Active ingredient 3 (select)],D285,Table_Input_Pesticides[Total active ingredient 3 (kg)])</f>
        <v>100</v>
      </c>
      <c r="F285" s="15" cm="1">
        <f t="array" ref="F285">Common_InputFunctions.Utility_LookupValueInTableNumber(D285,Table_SourceData_Scope3_Pesticides[Product],Table_SourceData_Scope3_Pesticides[Emissions intensity])</f>
        <v>5.2</v>
      </c>
      <c r="G285" s="15">
        <f>(($E285 * F285) * 10 ^ -3)</f>
        <v>0.52</v>
      </c>
      <c r="H285" s="76">
        <v>5</v>
      </c>
      <c r="I285" s="15">
        <f>(($E285 * (IF(H285,H285,F285))) * 10 ^ -3)</f>
        <v>0.5</v>
      </c>
    </row>
    <row r="286" spans="4:9" ht="20.100000000000001" customHeight="1" x14ac:dyDescent="0.2">
      <c r="D286" s="15" t="str">
        <v>Atrazine</v>
      </c>
      <c r="E286" s="15">
        <f>SUMIF(Table_Input_Pesticides[Active ingredient 1 (select)],D286,Table_Input_Pesticides[Total active ingredient 1 (kg)])+
SUMIF(Table_Input_Pesticides[Active ingredient 2 (select)],D286,Table_Input_Pesticides[Total active ingredient 2 (kg)])+
SUMIF(Table_Input_Pesticides[Active ingredient 3 (select)],D286,Table_Input_Pesticides[Total active ingredient 3 (kg)])</f>
        <v>0</v>
      </c>
      <c r="F286" s="15" cm="1">
        <f t="array" ref="F286">Common_InputFunctions.Utility_LookupValueInTableNumber(D286,Table_SourceData_Scope3_Pesticides[Product],Table_SourceData_Scope3_Pesticides[Emissions intensity])</f>
        <v>8.3800000000000008</v>
      </c>
      <c r="G286" s="15">
        <f>(($E286 * F286) * 10 ^ -3)</f>
        <v>0</v>
      </c>
      <c r="H286" s="76">
        <v>8</v>
      </c>
      <c r="I286" s="15">
        <f>(($E286 * (IF(H286,H286,F286))) * 10 ^ -3)</f>
        <v>0</v>
      </c>
    </row>
    <row r="287" spans="4:9" ht="20.100000000000001" customHeight="1" x14ac:dyDescent="0.2">
      <c r="D287" s="15" t="str">
        <v>Diuron</v>
      </c>
      <c r="E287" s="15">
        <f>SUMIF(Table_Input_Pesticides[Active ingredient 1 (select)],D287,Table_Input_Pesticides[Total active ingredient 1 (kg)])+
SUMIF(Table_Input_Pesticides[Active ingredient 2 (select)],D287,Table_Input_Pesticides[Total active ingredient 2 (kg)])+
SUMIF(Table_Input_Pesticides[Active ingredient 3 (select)],D287,Table_Input_Pesticides[Total active ingredient 3 (kg)])</f>
        <v>0</v>
      </c>
      <c r="F287" s="15" cm="1">
        <f t="array" ref="F287">Common_InputFunctions.Utility_LookupValueInTableNumber(D287,Table_SourceData_Scope3_Pesticides[Product],Table_SourceData_Scope3_Pesticides[Emissions intensity])</f>
        <v>8.8000000000000007</v>
      </c>
      <c r="G287" s="15">
        <f>(($E287 * F287) * 10 ^ -3)</f>
        <v>0</v>
      </c>
      <c r="H287" s="76"/>
      <c r="I287" s="15">
        <f>(($E287 * (IF(H287,H287,F287))) * 10 ^ -3)</f>
        <v>0</v>
      </c>
    </row>
    <row r="288" spans="4:9" ht="20.100000000000001" customHeight="1" x14ac:dyDescent="0.2">
      <c r="D288" s="15" t="str">
        <v>Glyphosate</v>
      </c>
      <c r="E288" s="15">
        <f>SUMIF(Table_Input_Pesticides[Active ingredient 1 (select)],D288,Table_Input_Pesticides[Total active ingredient 1 (kg)])+
SUMIF(Table_Input_Pesticides[Active ingredient 2 (select)],D288,Table_Input_Pesticides[Total active ingredient 2 (kg)])+
SUMIF(Table_Input_Pesticides[Active ingredient 3 (select)],D288,Table_Input_Pesticides[Total active ingredient 3 (kg)])</f>
        <v>100</v>
      </c>
      <c r="F288" s="15" cm="1">
        <f t="array" ref="F288">Common_InputFunctions.Utility_LookupValueInTableNumber(D288,Table_SourceData_Scope3_Pesticides[Product],Table_SourceData_Scope3_Pesticides[Emissions intensity])</f>
        <v>10.3</v>
      </c>
      <c r="G288" s="15">
        <f>(($E288 * F288) * 10 ^ -3)</f>
        <v>1.03</v>
      </c>
      <c r="H288" s="76"/>
      <c r="I288" s="15">
        <f>(($E288 * (IF(H288,H288,F288))) * 10 ^ -3)</f>
        <v>1.03</v>
      </c>
    </row>
    <row r="289" spans="1:41" ht="20.100000000000001" customHeight="1" x14ac:dyDescent="0.2">
      <c r="D289" s="15" t="str">
        <v>Mancozeb</v>
      </c>
      <c r="E289" s="15">
        <f>SUMIF(Table_Input_Pesticides[Active ingredient 1 (select)],D289,Table_Input_Pesticides[Total active ingredient 1 (kg)])+
SUMIF(Table_Input_Pesticides[Active ingredient 2 (select)],D289,Table_Input_Pesticides[Total active ingredient 2 (kg)])+
SUMIF(Table_Input_Pesticides[Active ingredient 3 (select)],D289,Table_Input_Pesticides[Total active ingredient 3 (kg)])</f>
        <v>0</v>
      </c>
      <c r="F289" s="15" cm="1">
        <f t="array" ref="F289">Common_InputFunctions.Utility_LookupValueInTableNumber(D289,Table_SourceData_Scope3_Pesticides[Product],Table_SourceData_Scope3_Pesticides[Emissions intensity])</f>
        <v>4.55</v>
      </c>
      <c r="G289" s="15">
        <f>(($E289 * F289) * 10 ^ -3)</f>
        <v>0</v>
      </c>
      <c r="H289" s="76"/>
      <c r="I289" s="15">
        <f>(($E289 * (IF(H289,H289,F289))) * 10 ^ -3)</f>
        <v>0</v>
      </c>
    </row>
    <row r="290" spans="1:41" ht="20.100000000000001" customHeight="1" x14ac:dyDescent="0.2">
      <c r="D290" s="15" t="str">
        <v>MCPA</v>
      </c>
      <c r="E290" s="15">
        <f>SUMIF(Table_Input_Pesticides[Active ingredient 1 (select)],D290,Table_Input_Pesticides[Total active ingredient 1 (kg)])+
SUMIF(Table_Input_Pesticides[Active ingredient 2 (select)],D290,Table_Input_Pesticides[Total active ingredient 2 (kg)])+
SUMIF(Table_Input_Pesticides[Active ingredient 3 (select)],D290,Table_Input_Pesticides[Total active ingredient 3 (kg)])</f>
        <v>0</v>
      </c>
      <c r="F290" s="15" cm="1">
        <f t="array" ref="F290">Common_InputFunctions.Utility_LookupValueInTableNumber(D290,Table_SourceData_Scope3_Pesticides[Product],Table_SourceData_Scope3_Pesticides[Emissions intensity])</f>
        <v>5.6</v>
      </c>
      <c r="G290" s="15">
        <f>(($E290 * F290) * 10 ^ -3)</f>
        <v>0</v>
      </c>
      <c r="H290" s="76"/>
      <c r="I290" s="15">
        <f>(($E290 * (IF(H290,H290,F290))) * 10 ^ -3)</f>
        <v>0</v>
      </c>
    </row>
    <row r="291" spans="1:41" ht="20.100000000000001" customHeight="1" x14ac:dyDescent="0.2">
      <c r="D291" s="15" t="str">
        <v>Metolachlor</v>
      </c>
      <c r="E291" s="15">
        <f>SUMIF(Table_Input_Pesticides[Active ingredient 1 (select)],D291,Table_Input_Pesticides[Total active ingredient 1 (kg)])+
SUMIF(Table_Input_Pesticides[Active ingredient 2 (select)],D291,Table_Input_Pesticides[Total active ingredient 2 (kg)])+
SUMIF(Table_Input_Pesticides[Active ingredient 3 (select)],D291,Table_Input_Pesticides[Total active ingredient 3 (kg)])</f>
        <v>100</v>
      </c>
      <c r="F291" s="15" cm="1">
        <f t="array" ref="F291">Common_InputFunctions.Utility_LookupValueInTableNumber(D291,Table_SourceData_Scope3_Pesticides[Product],Table_SourceData_Scope3_Pesticides[Emissions intensity])</f>
        <v>8.06</v>
      </c>
      <c r="G291" s="15">
        <f>(($E291 * F291) * 10 ^ -3)</f>
        <v>0.80600000000000005</v>
      </c>
      <c r="H291" s="76"/>
      <c r="I291" s="15">
        <f>(($E291 * (IF(H291,H291,F291))) * 10 ^ -3)</f>
        <v>0.80600000000000005</v>
      </c>
    </row>
    <row r="292" spans="1:41" ht="20.100000000000001" customHeight="1" x14ac:dyDescent="0.2">
      <c r="D292" s="15" t="str">
        <v>Metsulfuron-methyl</v>
      </c>
      <c r="E292" s="15">
        <f>SUMIF(Table_Input_Pesticides[Active ingredient 1 (select)],D292,Table_Input_Pesticides[Total active ingredient 1 (kg)])+
SUMIF(Table_Input_Pesticides[Active ingredient 2 (select)],D292,Table_Input_Pesticides[Total active ingredient 2 (kg)])+
SUMIF(Table_Input_Pesticides[Active ingredient 3 (select)],D292,Table_Input_Pesticides[Total active ingredient 3 (kg)])</f>
        <v>0</v>
      </c>
      <c r="F292" s="15" cm="1">
        <f t="array" ref="F292">Common_InputFunctions.Utility_LookupValueInTableNumber(D292,Table_SourceData_Scope3_Pesticides[Product],Table_SourceData_Scope3_Pesticides[Emissions intensity])</f>
        <v>8.8000000000000007</v>
      </c>
      <c r="G292" s="15">
        <f>(($E292 * F292) * 10 ^ -3)</f>
        <v>0</v>
      </c>
      <c r="H292" s="76"/>
      <c r="I292" s="15">
        <f>(($E292 * (IF(H292,H292,F292))) * 10 ^ -3)</f>
        <v>0</v>
      </c>
    </row>
    <row r="293" spans="1:41" ht="20.100000000000001" customHeight="1" x14ac:dyDescent="0.2">
      <c r="D293" s="15" t="str">
        <v>Pesticides (generic)</v>
      </c>
      <c r="E293" s="15">
        <f>SUMIF(Table_Input_Pesticides[Active ingredient 1 (select)],D293,Table_Input_Pesticides[Total active ingredient 1 (kg)])+
SUMIF(Table_Input_Pesticides[Active ingredient 2 (select)],D293,Table_Input_Pesticides[Total active ingredient 2 (kg)])+
SUMIF(Table_Input_Pesticides[Active ingredient 3 (select)],D293,Table_Input_Pesticides[Total active ingredient 3 (kg)])</f>
        <v>400</v>
      </c>
      <c r="F293" s="15" cm="1">
        <f t="array" ref="F293">Common_InputFunctions.Utility_LookupValueInTableNumber(D293,Table_SourceData_Scope3_Pesticides[Product],Table_SourceData_Scope3_Pesticides[Emissions intensity])</f>
        <v>9.16</v>
      </c>
      <c r="G293" s="15">
        <f>(($E293 * F293) * 10 ^ -3)</f>
        <v>3.6640000000000001</v>
      </c>
      <c r="H293" s="76"/>
      <c r="I293" s="15">
        <f>(($E293 * (IF(H293,H293,F293))) * 10 ^ -3)</f>
        <v>3.6640000000000001</v>
      </c>
    </row>
    <row r="294" spans="1:41" ht="20.100000000000001" customHeight="1" x14ac:dyDescent="0.2">
      <c r="D294" s="15" t="str">
        <v>Tri-allate</v>
      </c>
      <c r="E294" s="15">
        <f>SUMIF(Table_Input_Pesticides[Active ingredient 1 (select)],D294,Table_Input_Pesticides[Total active ingredient 1 (kg)])+
SUMIF(Table_Input_Pesticides[Active ingredient 2 (select)],D294,Table_Input_Pesticides[Total active ingredient 2 (kg)])+
SUMIF(Table_Input_Pesticides[Active ingredient 3 (select)],D294,Table_Input_Pesticides[Total active ingredient 3 (kg)])</f>
        <v>0</v>
      </c>
      <c r="F294" s="15" cm="1">
        <f t="array" ref="F294">Common_InputFunctions.Utility_LookupValueInTableNumber(D294,Table_SourceData_Scope3_Pesticides[Product],Table_SourceData_Scope3_Pesticides[Emissions intensity])</f>
        <v>8.57</v>
      </c>
      <c r="G294" s="15">
        <f>(($E294 * F294) * 10 ^ -3)</f>
        <v>0</v>
      </c>
      <c r="H294" s="76"/>
      <c r="I294" s="15">
        <f>(($E294 * (IF(H294,H294,F294))) * 10 ^ -3)</f>
        <v>0</v>
      </c>
    </row>
    <row r="295" spans="1:41" ht="20.100000000000001" customHeight="1" x14ac:dyDescent="0.2">
      <c r="D295" s="15" t="str">
        <v>Tribenuron methyl</v>
      </c>
      <c r="E295" s="15">
        <f>SUMIF(Table_Input_Pesticides[Active ingredient 1 (select)],D295,Table_Input_Pesticides[Total active ingredient 1 (kg)])+
SUMIF(Table_Input_Pesticides[Active ingredient 2 (select)],D295,Table_Input_Pesticides[Total active ingredient 2 (kg)])+
SUMIF(Table_Input_Pesticides[Active ingredient 3 (select)],D295,Table_Input_Pesticides[Total active ingredient 3 (kg)])</f>
        <v>100</v>
      </c>
      <c r="F295" s="15" cm="1">
        <f t="array" ref="F295">Common_InputFunctions.Utility_LookupValueInTableNumber(D295,Table_SourceData_Scope3_Pesticides[Product],Table_SourceData_Scope3_Pesticides[Emissions intensity])</f>
        <v>8.8000000000000007</v>
      </c>
      <c r="G295" s="15">
        <f>(($E295 * F295) * 10 ^ -3)</f>
        <v>0.88000000000000012</v>
      </c>
      <c r="H295" s="76"/>
      <c r="I295" s="15">
        <f>(($E295 * (IF(H295,H295,F295))) * 10 ^ -3)</f>
        <v>0.88000000000000012</v>
      </c>
    </row>
    <row r="296" spans="1:41" ht="20.100000000000001" customHeight="1" x14ac:dyDescent="0.2">
      <c r="D296" s="15" t="str">
        <v>Trifluralin</v>
      </c>
      <c r="E296" s="15">
        <f>SUMIF(Table_Input_Pesticides[Active ingredient 1 (select)],D296,Table_Input_Pesticides[Total active ingredient 1 (kg)])+
SUMIF(Table_Input_Pesticides[Active ingredient 2 (select)],D296,Table_Input_Pesticides[Total active ingredient 2 (kg)])+
SUMIF(Table_Input_Pesticides[Active ingredient 3 (select)],D296,Table_Input_Pesticides[Total active ingredient 3 (kg)])</f>
        <v>100</v>
      </c>
      <c r="F296" s="15" cm="1">
        <f t="array" ref="F296">Common_InputFunctions.Utility_LookupValueInTableNumber(D296,Table_SourceData_Scope3_Pesticides[Product],Table_SourceData_Scope3_Pesticides[Emissions intensity])</f>
        <v>6.16</v>
      </c>
      <c r="G296" s="15">
        <f>(($E296 * F296) * 10 ^ -3)</f>
        <v>0.61599999999999999</v>
      </c>
      <c r="H296" s="76"/>
      <c r="I296" s="15">
        <f>(($E296 * (IF(H296,H296,F296))) * 10 ^ -3)</f>
        <v>0.61599999999999999</v>
      </c>
    </row>
    <row r="298" spans="1:41" ht="20.100000000000001" customHeight="1" x14ac:dyDescent="0.2">
      <c r="D298" s="242" t="s">
        <v>859</v>
      </c>
      <c r="E298" s="88">
        <f>SUM(G285:G296)</f>
        <v>7.5159999999999991</v>
      </c>
      <c r="F298" s="97" t="str">
        <f>$E$170</f>
        <v>t CO2e</v>
      </c>
    </row>
    <row r="299" spans="1:41" ht="20.100000000000001" customHeight="1" x14ac:dyDescent="0.2">
      <c r="A299" s="81" t="str">
        <f>HYPERLINK("#A1", "▲ Back to top")</f>
        <v>▲ Back to top</v>
      </c>
      <c r="D299" s="242" t="s">
        <v>862</v>
      </c>
      <c r="E299" s="88">
        <f>SUM(I285:I296)</f>
        <v>7.4959999999999996</v>
      </c>
      <c r="F299" s="97" t="str">
        <f>$E$170</f>
        <v>t CO2e</v>
      </c>
    </row>
    <row r="302" spans="1:41" ht="20.100000000000001" customHeight="1" x14ac:dyDescent="0.2">
      <c r="C302" s="85"/>
      <c r="D302" s="85"/>
      <c r="E302" s="85"/>
      <c r="F302" s="85"/>
      <c r="G302" s="85"/>
      <c r="H302" s="85"/>
      <c r="I302" s="85"/>
      <c r="J302" s="85"/>
      <c r="K302" s="85"/>
      <c r="L302" s="85"/>
      <c r="M302" s="85"/>
      <c r="N302" s="85"/>
      <c r="O302" s="85"/>
      <c r="P302" s="85"/>
      <c r="Q302" s="85"/>
      <c r="R302" s="85"/>
      <c r="S302" s="85"/>
      <c r="T302" s="85"/>
      <c r="U302" s="85"/>
      <c r="V302" s="85"/>
      <c r="W302" s="85"/>
      <c r="X302" s="85"/>
      <c r="Y302" s="85"/>
      <c r="Z302" s="85"/>
      <c r="AA302" s="85"/>
      <c r="AB302" s="85"/>
      <c r="AC302" s="85"/>
      <c r="AD302" s="85"/>
      <c r="AE302" s="85"/>
      <c r="AF302" s="85"/>
      <c r="AG302" s="85"/>
      <c r="AH302" s="85"/>
      <c r="AI302" s="85"/>
      <c r="AJ302" s="85"/>
      <c r="AK302" s="85"/>
      <c r="AL302" s="85"/>
      <c r="AM302" s="85"/>
      <c r="AN302" s="85"/>
      <c r="AO302" s="85"/>
    </row>
    <row r="303" spans="1:41" ht="20.100000000000001" customHeight="1" x14ac:dyDescent="0.2">
      <c r="D303" s="2" t="s">
        <v>1412</v>
      </c>
    </row>
    <row r="304" spans="1:41" ht="20.100000000000001" customHeight="1" x14ac:dyDescent="0.2">
      <c r="D304" s="17" t="s">
        <v>1413</v>
      </c>
    </row>
    <row r="305" spans="4:13" ht="20.100000000000001" customHeight="1" x14ac:dyDescent="0.2">
      <c r="D305" s="134"/>
      <c r="E305" s="134"/>
    </row>
    <row r="308" spans="4:13" ht="20.100000000000001" customHeight="1" x14ac:dyDescent="0.2">
      <c r="D308" s="77" t="s">
        <v>371</v>
      </c>
      <c r="E308" s="1" t="s">
        <v>967</v>
      </c>
    </row>
    <row r="309" spans="4:13" ht="20.100000000000001" customHeight="1" x14ac:dyDescent="0.2">
      <c r="D309" s="77" t="s">
        <v>118</v>
      </c>
      <c r="E309" s="1" t="s">
        <v>7</v>
      </c>
    </row>
    <row r="311" spans="4:13" ht="20.100000000000001" customHeight="1" x14ac:dyDescent="0.2">
      <c r="D311" s="150" t="s">
        <v>1107</v>
      </c>
      <c r="E311" s="150" t="s">
        <v>1414</v>
      </c>
      <c r="F311" s="150" t="s">
        <v>1305</v>
      </c>
      <c r="G311" s="238" t="s">
        <v>1034</v>
      </c>
    </row>
    <row r="312" spans="4:13" ht="20.100000000000001" customHeight="1" x14ac:dyDescent="0.2">
      <c r="D312" s="150" t="s">
        <v>1415</v>
      </c>
      <c r="E312" s="150" t="s">
        <v>1416</v>
      </c>
      <c r="F312" s="150" t="s">
        <v>1327</v>
      </c>
      <c r="G312" s="142" t="s">
        <v>1036</v>
      </c>
    </row>
    <row r="314" spans="4:13" ht="20.100000000000001" customHeight="1" x14ac:dyDescent="0.2">
      <c r="E314" s="138" t="s">
        <v>130</v>
      </c>
      <c r="F314" s="80" t="s">
        <v>131</v>
      </c>
    </row>
    <row r="315" spans="4:13" ht="20.100000000000001" customHeight="1" x14ac:dyDescent="0.2">
      <c r="D315" s="1" t="s">
        <v>933</v>
      </c>
      <c r="E315" s="15" cm="1">
        <f t="array" ref="E315">Common_InputFunctions.Utility_LookupValueInTableNumber("Limestone (crushed)", Table_SourceData_Scope3_SoilAmeliorants[Product],Table_SourceData_Scope3_SoilAmeliorants[Emissions intensity])*10^-3</f>
        <v>4.85E-5</v>
      </c>
      <c r="F315" s="76">
        <v>4.0000000000000003E-5</v>
      </c>
      <c r="G315" s="16" t="str">
        <f>$F$312</f>
        <v>t CO2e/t</v>
      </c>
    </row>
    <row r="316" spans="4:13" ht="20.100000000000001" customHeight="1" x14ac:dyDescent="0.2">
      <c r="D316" s="1" t="s">
        <v>934</v>
      </c>
      <c r="E316" s="15" cm="1">
        <f t="array" ref="E316">Common_InputFunctions.Utility_LookupValueInTableNumber("Dolomite", Table_SourceData_Scope3_SoilAmeliorants[Product],Table_SourceData_Scope3_SoilAmeliorants[Emissions intensity])*10^-3</f>
        <v>6.5199999999999999E-5</v>
      </c>
      <c r="F316" s="76">
        <v>6.0000000000000002E-5</v>
      </c>
      <c r="G316" s="16"/>
    </row>
    <row r="317" spans="4:13" ht="20.100000000000001" customHeight="1" x14ac:dyDescent="0.2">
      <c r="D317" s="1" t="s">
        <v>935</v>
      </c>
      <c r="E317" s="15" cm="1">
        <f t="array" ref="E317">Common_InputFunctions.Utility_LookupValueInTableNumber("Gypsum", Table_SourceData_Scope3_SoilAmeliorants[Product],Table_SourceData_Scope3_SoilAmeliorants[Emissions intensity])*10^-3</f>
        <v>6.5199999999999999E-5</v>
      </c>
      <c r="F317" s="76">
        <v>6.0000000000000002E-5</v>
      </c>
      <c r="G317" s="16"/>
    </row>
    <row r="319" spans="4:13" ht="20.100000000000001" customHeight="1" x14ac:dyDescent="0.2">
      <c r="D319" s="80" t="s">
        <v>786</v>
      </c>
      <c r="E319" s="239" t="s">
        <v>936</v>
      </c>
      <c r="F319" s="80" t="s">
        <v>937</v>
      </c>
      <c r="G319" s="80" t="s">
        <v>938</v>
      </c>
      <c r="H319" s="80" t="s">
        <v>939</v>
      </c>
      <c r="I319" s="138" t="s">
        <v>859</v>
      </c>
      <c r="J319" s="138" t="s">
        <v>940</v>
      </c>
      <c r="K319" s="80" t="s">
        <v>863</v>
      </c>
      <c r="L319" s="80" t="s">
        <v>864</v>
      </c>
      <c r="M319" s="80" t="s">
        <v>865</v>
      </c>
    </row>
    <row r="320" spans="4:13" ht="20.100000000000001" customHeight="1" x14ac:dyDescent="0.2">
      <c r="D320" s="15" t="str" cm="1">
        <f t="array" ref="D320:D329">IFERROR(INDEX(Table_Input_Lime[Product], _xlfn.SEQUENCE(10)), "")</f>
        <v>Lime product 1</v>
      </c>
      <c r="E320" s="15" cm="1">
        <f t="array" ref="E320:E329">IFERROR(INDEX(Table_Input_Lime[Total amount applied (t)], _xlfn.SEQUENCE(10)), 0)</f>
        <v>1000</v>
      </c>
      <c r="F320" s="15" cm="1">
        <f t="array" ref="F320:F329">IFERROR(INDEX(Table_Input_Lime[Percent Lime CaCO3], _xlfn.SEQUENCE(10)), 0)*E320</f>
        <v>800</v>
      </c>
      <c r="G320" s="15" cm="1">
        <f t="array" ref="G320:G329">IFERROR(INDEX(Table_Input_Lime[Percent Dolomite CaMg(CO3)2], _xlfn.SEQUENCE(10)), 0)*E320</f>
        <v>100</v>
      </c>
      <c r="H320" s="15" cm="1">
        <f t="array" ref="H320:H329">IFERROR(INDEX(Table_Input_Lime[Percent Gypsum], _xlfn.SEQUENCE(10)), 0)*E320</f>
        <v>100</v>
      </c>
      <c r="I320" s="240">
        <f>(F320 * $E$315)+
(G320 * $E$316)+
(H320 * $E$317)</f>
        <v>5.1839999999999997E-2</v>
      </c>
      <c r="J320" s="240">
        <f>(F320 * (IF($F$315,$F$315,$E$315)))+
(G320 * (IF($F$316,$F$316,$E$316)))+
(H320 * (IF($F$317,$F$317,$E$317)))</f>
        <v>4.3999999999999997E-2</v>
      </c>
      <c r="K320" s="34"/>
      <c r="L320" s="13"/>
      <c r="M320" s="34"/>
    </row>
    <row r="321" spans="1:41" ht="20.100000000000001" customHeight="1" x14ac:dyDescent="0.2">
      <c r="D321" s="15" t="str">
        <v>Lime product 2</v>
      </c>
      <c r="E321" s="15">
        <v>1000</v>
      </c>
      <c r="F321" s="15">
        <v>1000</v>
      </c>
      <c r="G321" s="15">
        <v>0</v>
      </c>
      <c r="H321" s="15">
        <v>0</v>
      </c>
      <c r="I321" s="240">
        <f>(F321 * $E$315)+
(G321 * $E$316)+
(H321 * $E$317)</f>
        <v>4.8500000000000001E-2</v>
      </c>
      <c r="J321" s="240">
        <f>(F321 * (IF($F$315,$F$315,$E$315)))+
(G321 * (IF($F$316,$F$316,$E$316)))+
(H321 * (IF($F$317,$F$317,$E$317)))</f>
        <v>0.04</v>
      </c>
      <c r="K321" s="34"/>
      <c r="L321" s="13"/>
      <c r="M321" s="34"/>
    </row>
    <row r="322" spans="1:41" ht="20.100000000000001" customHeight="1" x14ac:dyDescent="0.2">
      <c r="D322" s="15" t="str">
        <v>Lime product 3</v>
      </c>
      <c r="E322" s="15">
        <v>1000</v>
      </c>
      <c r="F322" s="15">
        <v>0</v>
      </c>
      <c r="G322" s="15">
        <v>0</v>
      </c>
      <c r="H322" s="15">
        <v>1000</v>
      </c>
      <c r="I322" s="240">
        <f>(F322 * $E$315)+
(G322 * $E$316)+
(H322 * $E$317)</f>
        <v>6.5199999999999994E-2</v>
      </c>
      <c r="J322" s="240">
        <f>(F322 * (IF($F$315,$F$315,$E$315)))+
(G322 * (IF($F$316,$F$316,$E$316)))+
(H322 * (IF($F$317,$F$317,$E$317)))</f>
        <v>6.0000000000000005E-2</v>
      </c>
      <c r="K322" s="34"/>
      <c r="L322" s="13"/>
      <c r="M322" s="34"/>
    </row>
    <row r="323" spans="1:41" ht="20.100000000000001" customHeight="1" x14ac:dyDescent="0.2">
      <c r="D323" s="15" t="str">
        <v/>
      </c>
      <c r="E323" s="15">
        <v>0</v>
      </c>
      <c r="F323" s="15">
        <v>0</v>
      </c>
      <c r="G323" s="15">
        <v>0</v>
      </c>
      <c r="H323" s="15">
        <v>0</v>
      </c>
      <c r="I323" s="240">
        <f>(F323 * $E$315)+
(G323 * $E$316)+
(H323 * $E$317)</f>
        <v>0</v>
      </c>
      <c r="J323" s="240">
        <f>(F323 * (IF($F$315,$F$315,$E$315)))+
(G323 * (IF($F$316,$F$316,$E$316)))+
(H323 * (IF($F$317,$F$317,$E$317)))</f>
        <v>0</v>
      </c>
      <c r="K323" s="34"/>
      <c r="L323" s="13"/>
      <c r="M323" s="34"/>
    </row>
    <row r="324" spans="1:41" ht="20.100000000000001" customHeight="1" x14ac:dyDescent="0.2">
      <c r="D324" s="15" t="str">
        <v/>
      </c>
      <c r="E324" s="15">
        <v>0</v>
      </c>
      <c r="F324" s="15">
        <v>0</v>
      </c>
      <c r="G324" s="15">
        <v>0</v>
      </c>
      <c r="H324" s="15">
        <v>0</v>
      </c>
      <c r="I324" s="240">
        <f>(F324 * $E$315)+
(G324 * $E$316)+
(H324 * $E$317)</f>
        <v>0</v>
      </c>
      <c r="J324" s="240">
        <f>(F324 * (IF($F$315,$F$315,$E$315)))+
(G324 * (IF($F$316,$F$316,$E$316)))+
(H324 * (IF($F$317,$F$317,$E$317)))</f>
        <v>0</v>
      </c>
      <c r="K324" s="34"/>
      <c r="L324" s="13"/>
      <c r="M324" s="34"/>
    </row>
    <row r="325" spans="1:41" ht="20.100000000000001" customHeight="1" x14ac:dyDescent="0.2">
      <c r="D325" s="15" t="str">
        <v/>
      </c>
      <c r="E325" s="15">
        <v>0</v>
      </c>
      <c r="F325" s="15">
        <v>0</v>
      </c>
      <c r="G325" s="15">
        <v>0</v>
      </c>
      <c r="H325" s="15">
        <v>0</v>
      </c>
      <c r="I325" s="240">
        <f>(F325 * $E$315)+
(G325 * $E$316)+
(H325 * $E$317)</f>
        <v>0</v>
      </c>
      <c r="J325" s="240">
        <f>(F325 * (IF($F$315,$F$315,$E$315)))+
(G325 * (IF($F$316,$F$316,$E$316)))+
(H325 * (IF($F$317,$F$317,$E$317)))</f>
        <v>0</v>
      </c>
      <c r="K325" s="34"/>
      <c r="L325" s="13"/>
      <c r="M325" s="34"/>
    </row>
    <row r="326" spans="1:41" ht="20.100000000000001" customHeight="1" x14ac:dyDescent="0.2">
      <c r="D326" s="15" t="str">
        <v/>
      </c>
      <c r="E326" s="15">
        <v>0</v>
      </c>
      <c r="F326" s="15">
        <v>0</v>
      </c>
      <c r="G326" s="15">
        <v>0</v>
      </c>
      <c r="H326" s="15">
        <v>0</v>
      </c>
      <c r="I326" s="240">
        <f>(F326 * $E$315)+
(G326 * $E$316)+
(H326 * $E$317)</f>
        <v>0</v>
      </c>
      <c r="J326" s="240">
        <f>(F326 * (IF($F$315,$F$315,$E$315)))+
(G326 * (IF($F$316,$F$316,$E$316)))+
(H326 * (IF($F$317,$F$317,$E$317)))</f>
        <v>0</v>
      </c>
      <c r="K326" s="34"/>
      <c r="L326" s="13"/>
      <c r="M326" s="34"/>
    </row>
    <row r="327" spans="1:41" ht="20.100000000000001" customHeight="1" x14ac:dyDescent="0.2">
      <c r="D327" s="15" t="str">
        <v/>
      </c>
      <c r="E327" s="15">
        <v>0</v>
      </c>
      <c r="F327" s="15">
        <v>0</v>
      </c>
      <c r="G327" s="15">
        <v>0</v>
      </c>
      <c r="H327" s="15">
        <v>0</v>
      </c>
      <c r="I327" s="240">
        <f>(F327 * $E$315)+
(G327 * $E$316)+
(H327 * $E$317)</f>
        <v>0</v>
      </c>
      <c r="J327" s="240">
        <f>(F327 * (IF($F$315,$F$315,$E$315)))+
(G327 * (IF($F$316,$F$316,$E$316)))+
(H327 * (IF($F$317,$F$317,$E$317)))</f>
        <v>0</v>
      </c>
      <c r="K327" s="34"/>
      <c r="L327" s="13"/>
      <c r="M327" s="34"/>
    </row>
    <row r="328" spans="1:41" ht="20.100000000000001" customHeight="1" x14ac:dyDescent="0.2">
      <c r="D328" s="15" t="str">
        <v/>
      </c>
      <c r="E328" s="15">
        <v>0</v>
      </c>
      <c r="F328" s="15">
        <v>0</v>
      </c>
      <c r="G328" s="15">
        <v>0</v>
      </c>
      <c r="H328" s="15">
        <v>0</v>
      </c>
      <c r="I328" s="240">
        <f>(F328 * $E$315)+
(G328 * $E$316)+
(H328 * $E$317)</f>
        <v>0</v>
      </c>
      <c r="J328" s="240">
        <f>(F328 * (IF($F$315,$F$315,$E$315)))+
(G328 * (IF($F$316,$F$316,$E$316)))+
(H328 * (IF($F$317,$F$317,$E$317)))</f>
        <v>0</v>
      </c>
      <c r="K328" s="34"/>
      <c r="L328" s="13"/>
      <c r="M328" s="34"/>
    </row>
    <row r="329" spans="1:41" ht="20.100000000000001" customHeight="1" x14ac:dyDescent="0.2">
      <c r="A329" s="81" t="str">
        <f>HYPERLINK("#A1", "▲ Back to top")</f>
        <v>▲ Back to top</v>
      </c>
      <c r="D329" s="15" t="str">
        <v/>
      </c>
      <c r="E329" s="15">
        <v>0</v>
      </c>
      <c r="F329" s="15">
        <v>0</v>
      </c>
      <c r="G329" s="15">
        <v>0</v>
      </c>
      <c r="H329" s="15">
        <v>0</v>
      </c>
      <c r="I329" s="240">
        <f>(F329 * $E$315)+
(G329 * $E$316)+
(H329 * $E$317)</f>
        <v>0</v>
      </c>
      <c r="J329" s="240">
        <f>(F329 * (IF($F$315,$F$315,$E$315)))+
(G329 * (IF($F$316,$F$316,$E$316)))+
(H329 * (IF($F$317,$F$317,$E$317)))</f>
        <v>0</v>
      </c>
      <c r="K329" s="34"/>
      <c r="L329" s="13"/>
      <c r="M329" s="34"/>
    </row>
    <row r="331" spans="1:41" ht="20.100000000000001" customHeight="1" x14ac:dyDescent="0.2">
      <c r="D331" s="242" t="s">
        <v>859</v>
      </c>
      <c r="E331" s="88">
        <f>SUM(I320:I329)</f>
        <v>0.16553999999999999</v>
      </c>
      <c r="F331" s="97" t="str">
        <f>$E$170</f>
        <v>t CO2e</v>
      </c>
    </row>
    <row r="332" spans="1:41" ht="20.100000000000001" customHeight="1" x14ac:dyDescent="0.2">
      <c r="D332" s="242" t="s">
        <v>862</v>
      </c>
      <c r="E332" s="88">
        <f>SUM(J320:J329)</f>
        <v>0.14399999999999999</v>
      </c>
      <c r="F332" s="97" t="str">
        <f>$E$170</f>
        <v>t CO2e</v>
      </c>
    </row>
    <row r="335" spans="1:41" ht="20.100000000000001" customHeight="1" x14ac:dyDescent="0.2">
      <c r="C335" s="85"/>
      <c r="D335" s="85"/>
      <c r="E335" s="85"/>
      <c r="F335" s="85"/>
      <c r="G335" s="85"/>
      <c r="H335" s="85"/>
      <c r="I335" s="85"/>
      <c r="J335" s="85"/>
      <c r="K335" s="85"/>
      <c r="L335" s="85"/>
      <c r="M335" s="85"/>
      <c r="N335" s="85"/>
      <c r="O335" s="85"/>
      <c r="P335" s="85"/>
      <c r="Q335" s="85"/>
      <c r="R335" s="85"/>
      <c r="S335" s="85"/>
      <c r="T335" s="85"/>
      <c r="U335" s="85"/>
      <c r="V335" s="85"/>
      <c r="W335" s="85"/>
      <c r="X335" s="85"/>
      <c r="Y335" s="85"/>
      <c r="Z335" s="85"/>
      <c r="AA335" s="85"/>
      <c r="AB335" s="85"/>
      <c r="AC335" s="85"/>
      <c r="AD335" s="85"/>
      <c r="AE335" s="85"/>
      <c r="AF335" s="85"/>
      <c r="AG335" s="85"/>
      <c r="AH335" s="85"/>
      <c r="AI335" s="85"/>
      <c r="AJ335" s="85"/>
      <c r="AK335" s="85"/>
      <c r="AL335" s="85"/>
      <c r="AM335" s="85"/>
      <c r="AN335" s="85"/>
      <c r="AO335" s="85"/>
    </row>
    <row r="336" spans="1:41" ht="20.100000000000001" customHeight="1" x14ac:dyDescent="0.2">
      <c r="D336" s="2" t="s">
        <v>1417</v>
      </c>
    </row>
    <row r="337" spans="4:15" ht="20.100000000000001" customHeight="1" x14ac:dyDescent="0.2">
      <c r="D337" s="17" t="s">
        <v>1418</v>
      </c>
    </row>
    <row r="338" spans="4:15" ht="20.100000000000001" customHeight="1" x14ac:dyDescent="0.2">
      <c r="D338" s="134"/>
      <c r="E338" s="134"/>
    </row>
    <row r="340" spans="4:15" ht="20.100000000000001" customHeight="1" x14ac:dyDescent="0.2">
      <c r="H340" s="1" t="s">
        <v>941</v>
      </c>
    </row>
    <row r="341" spans="4:15" ht="20.100000000000001" customHeight="1" x14ac:dyDescent="0.2">
      <c r="D341" s="77" t="s">
        <v>371</v>
      </c>
      <c r="E341" s="1" t="s">
        <v>967</v>
      </c>
    </row>
    <row r="342" spans="4:15" ht="20.100000000000001" customHeight="1" x14ac:dyDescent="0.2">
      <c r="D342" s="77" t="s">
        <v>118</v>
      </c>
      <c r="E342" s="1" t="s">
        <v>7</v>
      </c>
    </row>
    <row r="344" spans="4:15" ht="20.100000000000001" customHeight="1" x14ac:dyDescent="0.2">
      <c r="D344" s="150" t="s">
        <v>1419</v>
      </c>
      <c r="E344" s="147" t="s">
        <v>1420</v>
      </c>
      <c r="F344" s="159"/>
      <c r="G344" s="150" t="s">
        <v>1424</v>
      </c>
      <c r="H344" s="238" t="s">
        <v>1034</v>
      </c>
    </row>
    <row r="345" spans="4:15" ht="20.100000000000001" customHeight="1" x14ac:dyDescent="0.2">
      <c r="D345" s="150" t="s">
        <v>1421</v>
      </c>
      <c r="E345" s="147" t="s">
        <v>1422</v>
      </c>
      <c r="F345" s="159"/>
      <c r="G345" s="150" t="s">
        <v>1425</v>
      </c>
      <c r="H345" s="142" t="s">
        <v>1036</v>
      </c>
    </row>
    <row r="346" spans="4:15" ht="20.100000000000001" customHeight="1" x14ac:dyDescent="0.2">
      <c r="D346" s="150" t="s">
        <v>1213</v>
      </c>
      <c r="E346" s="147" t="s">
        <v>1423</v>
      </c>
      <c r="F346" s="159"/>
      <c r="G346" s="150"/>
      <c r="H346" s="238" t="s">
        <v>1034</v>
      </c>
    </row>
    <row r="348" spans="4:15" ht="20.100000000000001" customHeight="1" x14ac:dyDescent="0.2">
      <c r="D348" s="26" t="s">
        <v>942</v>
      </c>
    </row>
    <row r="350" spans="4:15" ht="20.100000000000001" customHeight="1" x14ac:dyDescent="0.2">
      <c r="D350" s="80" t="s">
        <v>796</v>
      </c>
      <c r="E350" s="80" t="s">
        <v>797</v>
      </c>
      <c r="F350" s="80" t="s">
        <v>798</v>
      </c>
      <c r="G350" s="80" t="s">
        <v>553</v>
      </c>
      <c r="H350" s="138" t="s">
        <v>943</v>
      </c>
      <c r="I350" s="138" t="s">
        <v>944</v>
      </c>
      <c r="J350" s="80" t="s">
        <v>945</v>
      </c>
      <c r="K350" s="138" t="s">
        <v>946</v>
      </c>
      <c r="L350" s="138" t="s">
        <v>947</v>
      </c>
      <c r="M350" s="80" t="s">
        <v>863</v>
      </c>
      <c r="N350" s="80" t="s">
        <v>864</v>
      </c>
      <c r="O350" s="80" t="s">
        <v>865</v>
      </c>
    </row>
    <row r="351" spans="4:15" ht="20.100000000000001" customHeight="1" x14ac:dyDescent="0.2">
      <c r="D351" s="15" t="str" cm="1">
        <f t="array" ref="D351:D360">IFERROR(INDEX(Table_Input_ServicesAndContractors[Service provider / contractor], _xlfn.SEQUENCE(10)), "")</f>
        <v>Pete's Pickers</v>
      </c>
      <c r="E351" s="15" t="str" cm="1">
        <f t="array" ref="E351:E360">IFERROR(INDEX(Table_Input_ServicesAndContractors[Activity], _xlfn.SEQUENCE(10)), "")</f>
        <v>Fruit picking</v>
      </c>
      <c r="F351" s="15" cm="1">
        <f t="array" ref="F351:F360">IFERROR(INDEX(Table_Input_ServicesAndContractors[Total amount], _xlfn.SEQUENCE(10)), "")</f>
        <v>10000</v>
      </c>
      <c r="G351" s="15" t="str" cm="1">
        <f t="array" ref="G351:G360">IFERROR(INDEX(Table_Input_ServicesAndContractors[Amount unit], _xlfn.SEQUENCE(10)), "")</f>
        <v>Hour</v>
      </c>
      <c r="H351" s="15" t="s">
        <v>948</v>
      </c>
      <c r="I351" s="15" t="s">
        <v>948</v>
      </c>
      <c r="J351" s="76">
        <v>0.1</v>
      </c>
      <c r="K351" s="240">
        <f>((F351 * J351) * 10 ^ -3)</f>
        <v>1</v>
      </c>
      <c r="L351" s="15" t="str">
        <f>"t CO2e / " &amp; G351</f>
        <v>t CO2e / Hour</v>
      </c>
      <c r="M351" s="34"/>
      <c r="N351" s="13"/>
      <c r="O351" s="34"/>
    </row>
    <row r="352" spans="4:15" ht="20.100000000000001" customHeight="1" x14ac:dyDescent="0.2">
      <c r="D352" s="15" t="str">
        <v>Harini's Harvesting Services Pty Ltd</v>
      </c>
      <c r="E352" s="15" t="str">
        <v>Wheat harvesting</v>
      </c>
      <c r="F352" s="15">
        <v>1000</v>
      </c>
      <c r="G352" s="15" t="str">
        <v>Hectare</v>
      </c>
      <c r="H352" s="15" t="s">
        <v>948</v>
      </c>
      <c r="I352" s="15" t="s">
        <v>948</v>
      </c>
      <c r="J352" s="76">
        <v>0.1</v>
      </c>
      <c r="K352" s="240">
        <f>((F352 * J352) * 10 ^ -3)</f>
        <v>0.1</v>
      </c>
      <c r="L352" s="15" t="str">
        <f t="shared" ref="L352:L360" si="1">"t CO2e / " &amp; G352</f>
        <v>t CO2e / Hectare</v>
      </c>
      <c r="M352" s="34"/>
      <c r="N352" s="13"/>
      <c r="O352" s="34"/>
    </row>
    <row r="353" spans="1:41" ht="20.100000000000001" customHeight="1" x14ac:dyDescent="0.2">
      <c r="D353" s="15">
        <v>0</v>
      </c>
      <c r="E353" s="15">
        <v>0</v>
      </c>
      <c r="F353" s="15">
        <v>0</v>
      </c>
      <c r="G353" s="15">
        <v>0</v>
      </c>
      <c r="H353" s="15" t="s">
        <v>948</v>
      </c>
      <c r="I353" s="15" t="s">
        <v>948</v>
      </c>
      <c r="J353" s="76"/>
      <c r="K353" s="240">
        <f>((F353 * J353) * 10 ^ -3)</f>
        <v>0</v>
      </c>
      <c r="L353" s="15" t="str">
        <f t="shared" si="1"/>
        <v>t CO2e / 0</v>
      </c>
      <c r="M353" s="34"/>
      <c r="N353" s="13"/>
      <c r="O353" s="34"/>
    </row>
    <row r="354" spans="1:41" ht="20.100000000000001" customHeight="1" x14ac:dyDescent="0.2">
      <c r="D354" s="15">
        <v>0</v>
      </c>
      <c r="E354" s="15">
        <v>0</v>
      </c>
      <c r="F354" s="15">
        <v>0</v>
      </c>
      <c r="G354" s="15">
        <v>0</v>
      </c>
      <c r="H354" s="15" t="s">
        <v>948</v>
      </c>
      <c r="I354" s="15" t="s">
        <v>948</v>
      </c>
      <c r="J354" s="76"/>
      <c r="K354" s="240">
        <f>((F354 * J354) * 10 ^ -3)</f>
        <v>0</v>
      </c>
      <c r="L354" s="15" t="str">
        <f t="shared" si="1"/>
        <v>t CO2e / 0</v>
      </c>
      <c r="M354" s="34"/>
      <c r="N354" s="13"/>
      <c r="O354" s="34"/>
    </row>
    <row r="355" spans="1:41" ht="20.100000000000001" customHeight="1" x14ac:dyDescent="0.2">
      <c r="D355" s="15">
        <v>0</v>
      </c>
      <c r="E355" s="15">
        <v>0</v>
      </c>
      <c r="F355" s="15">
        <v>0</v>
      </c>
      <c r="G355" s="15">
        <v>0</v>
      </c>
      <c r="H355" s="15" t="s">
        <v>948</v>
      </c>
      <c r="I355" s="15" t="s">
        <v>948</v>
      </c>
      <c r="J355" s="76"/>
      <c r="K355" s="240">
        <f>((F355 * J355) * 10 ^ -3)</f>
        <v>0</v>
      </c>
      <c r="L355" s="15" t="str">
        <f t="shared" si="1"/>
        <v>t CO2e / 0</v>
      </c>
      <c r="M355" s="34"/>
      <c r="N355" s="13"/>
      <c r="O355" s="34"/>
    </row>
    <row r="356" spans="1:41" ht="20.100000000000001" customHeight="1" x14ac:dyDescent="0.2">
      <c r="D356" s="15">
        <v>0</v>
      </c>
      <c r="E356" s="15">
        <v>0</v>
      </c>
      <c r="F356" s="15">
        <v>0</v>
      </c>
      <c r="G356" s="15">
        <v>0</v>
      </c>
      <c r="H356" s="15" t="s">
        <v>948</v>
      </c>
      <c r="I356" s="15" t="s">
        <v>948</v>
      </c>
      <c r="J356" s="76"/>
      <c r="K356" s="240">
        <f>((F356 * J356) * 10 ^ -3)</f>
        <v>0</v>
      </c>
      <c r="L356" s="15" t="str">
        <f t="shared" si="1"/>
        <v>t CO2e / 0</v>
      </c>
      <c r="M356" s="34"/>
      <c r="N356" s="13"/>
      <c r="O356" s="34"/>
    </row>
    <row r="357" spans="1:41" ht="20.100000000000001" customHeight="1" x14ac:dyDescent="0.2">
      <c r="D357" s="15">
        <v>0</v>
      </c>
      <c r="E357" s="15">
        <v>0</v>
      </c>
      <c r="F357" s="15">
        <v>0</v>
      </c>
      <c r="G357" s="15">
        <v>0</v>
      </c>
      <c r="H357" s="15" t="s">
        <v>948</v>
      </c>
      <c r="I357" s="15" t="s">
        <v>948</v>
      </c>
      <c r="J357" s="76"/>
      <c r="K357" s="240">
        <f>((F357 * J357) * 10 ^ -3)</f>
        <v>0</v>
      </c>
      <c r="L357" s="15" t="str">
        <f t="shared" si="1"/>
        <v>t CO2e / 0</v>
      </c>
      <c r="M357" s="34"/>
      <c r="N357" s="13"/>
      <c r="O357" s="34"/>
    </row>
    <row r="358" spans="1:41" ht="20.100000000000001" customHeight="1" x14ac:dyDescent="0.2">
      <c r="D358" s="15">
        <v>0</v>
      </c>
      <c r="E358" s="15">
        <v>0</v>
      </c>
      <c r="F358" s="15">
        <v>0</v>
      </c>
      <c r="G358" s="15">
        <v>0</v>
      </c>
      <c r="H358" s="15" t="s">
        <v>948</v>
      </c>
      <c r="I358" s="15" t="s">
        <v>948</v>
      </c>
      <c r="J358" s="76"/>
      <c r="K358" s="240">
        <f>((F358 * J358) * 10 ^ -3)</f>
        <v>0</v>
      </c>
      <c r="L358" s="15" t="str">
        <f t="shared" si="1"/>
        <v>t CO2e / 0</v>
      </c>
      <c r="M358" s="34"/>
      <c r="N358" s="13"/>
      <c r="O358" s="34"/>
    </row>
    <row r="359" spans="1:41" ht="20.100000000000001" customHeight="1" x14ac:dyDescent="0.2">
      <c r="A359" s="81" t="str">
        <f>HYPERLINK("#A1", "▲ Back to top")</f>
        <v>▲ Back to top</v>
      </c>
      <c r="D359" s="15">
        <v>0</v>
      </c>
      <c r="E359" s="15">
        <v>0</v>
      </c>
      <c r="F359" s="15">
        <v>0</v>
      </c>
      <c r="G359" s="15">
        <v>0</v>
      </c>
      <c r="H359" s="15" t="s">
        <v>948</v>
      </c>
      <c r="I359" s="15" t="s">
        <v>948</v>
      </c>
      <c r="J359" s="76"/>
      <c r="K359" s="240">
        <f>((F359 * J359) * 10 ^ -3)</f>
        <v>0</v>
      </c>
      <c r="L359" s="15" t="str">
        <f t="shared" si="1"/>
        <v>t CO2e / 0</v>
      </c>
      <c r="M359" s="34"/>
      <c r="N359" s="13"/>
      <c r="O359" s="34"/>
    </row>
    <row r="360" spans="1:41" ht="20.100000000000001" customHeight="1" x14ac:dyDescent="0.2">
      <c r="D360" s="15">
        <v>0</v>
      </c>
      <c r="E360" s="15">
        <v>0</v>
      </c>
      <c r="F360" s="15">
        <v>0</v>
      </c>
      <c r="G360" s="15">
        <v>0</v>
      </c>
      <c r="H360" s="15" t="s">
        <v>948</v>
      </c>
      <c r="I360" s="15" t="s">
        <v>948</v>
      </c>
      <c r="J360" s="76"/>
      <c r="K360" s="240">
        <f>((F360 * J360) * 10 ^ -3)</f>
        <v>0</v>
      </c>
      <c r="L360" s="15" t="str">
        <f t="shared" si="1"/>
        <v>t CO2e / 0</v>
      </c>
      <c r="M360" s="34"/>
      <c r="N360" s="13"/>
      <c r="O360" s="34"/>
    </row>
    <row r="362" spans="1:41" ht="20.100000000000001" customHeight="1" x14ac:dyDescent="0.2">
      <c r="D362" s="242" t="s">
        <v>859</v>
      </c>
      <c r="E362" s="88" t="s">
        <v>948</v>
      </c>
      <c r="F362" s="97" t="str">
        <f>$E$170</f>
        <v>t CO2e</v>
      </c>
    </row>
    <row r="363" spans="1:41" ht="20.100000000000001" customHeight="1" x14ac:dyDescent="0.2">
      <c r="D363" s="242" t="s">
        <v>862</v>
      </c>
      <c r="E363" s="88">
        <f>SUM(K351:K360)</f>
        <v>1.1000000000000001</v>
      </c>
      <c r="F363" s="97" t="str">
        <f>$E$170</f>
        <v>t CO2e</v>
      </c>
    </row>
    <row r="366" spans="1:41" ht="20.100000000000001" customHeight="1" x14ac:dyDescent="0.2">
      <c r="C366" s="85"/>
      <c r="D366" s="85"/>
      <c r="E366" s="85"/>
      <c r="F366" s="85"/>
      <c r="G366" s="85"/>
      <c r="H366" s="85"/>
      <c r="I366" s="85"/>
      <c r="J366" s="85"/>
      <c r="K366" s="85"/>
      <c r="L366" s="85"/>
      <c r="M366" s="85"/>
      <c r="N366" s="85"/>
      <c r="O366" s="85"/>
      <c r="P366" s="85"/>
      <c r="Q366" s="85"/>
      <c r="R366" s="85"/>
      <c r="S366" s="85"/>
      <c r="T366" s="85"/>
      <c r="U366" s="85"/>
      <c r="V366" s="85"/>
      <c r="W366" s="85"/>
      <c r="X366" s="85"/>
      <c r="Y366" s="85"/>
      <c r="Z366" s="85"/>
      <c r="AA366" s="85"/>
      <c r="AB366" s="85"/>
      <c r="AC366" s="85"/>
      <c r="AD366" s="85"/>
      <c r="AE366" s="85"/>
      <c r="AF366" s="85"/>
      <c r="AG366" s="85"/>
      <c r="AH366" s="85"/>
      <c r="AI366" s="85"/>
      <c r="AJ366" s="85"/>
      <c r="AK366" s="85"/>
      <c r="AL366" s="85"/>
      <c r="AM366" s="85"/>
      <c r="AN366" s="85"/>
      <c r="AO366" s="85"/>
    </row>
    <row r="367" spans="1:41" ht="20.100000000000001" customHeight="1" x14ac:dyDescent="0.2">
      <c r="D367" s="2" t="s">
        <v>1426</v>
      </c>
    </row>
    <row r="368" spans="1:41" ht="20.100000000000001" customHeight="1" x14ac:dyDescent="0.2">
      <c r="D368" s="17" t="s">
        <v>1427</v>
      </c>
    </row>
    <row r="369" spans="4:13" ht="20.100000000000001" customHeight="1" x14ac:dyDescent="0.2">
      <c r="D369" s="26" t="s">
        <v>1428</v>
      </c>
    </row>
    <row r="370" spans="4:13" ht="20.100000000000001" customHeight="1" x14ac:dyDescent="0.2">
      <c r="D370" s="134"/>
      <c r="E370" s="134"/>
    </row>
    <row r="374" spans="4:13" ht="20.100000000000001" customHeight="1" x14ac:dyDescent="0.2">
      <c r="D374" s="77" t="s">
        <v>371</v>
      </c>
      <c r="E374" s="1" t="s">
        <v>967</v>
      </c>
    </row>
    <row r="375" spans="4:13" ht="20.100000000000001" customHeight="1" x14ac:dyDescent="0.2">
      <c r="D375" s="77" t="s">
        <v>118</v>
      </c>
      <c r="E375" s="9" t="s">
        <v>7</v>
      </c>
    </row>
    <row r="377" spans="4:13" ht="20.100000000000001" customHeight="1" x14ac:dyDescent="0.2">
      <c r="D377" s="150" t="s">
        <v>1429</v>
      </c>
      <c r="E377" s="150" t="s">
        <v>1430</v>
      </c>
      <c r="F377" s="150" t="s">
        <v>1433</v>
      </c>
      <c r="G377" s="238" t="s">
        <v>1034</v>
      </c>
    </row>
    <row r="378" spans="4:13" ht="20.100000000000001" customHeight="1" x14ac:dyDescent="0.2">
      <c r="D378" s="150" t="s">
        <v>1421</v>
      </c>
      <c r="E378" s="150" t="s">
        <v>1431</v>
      </c>
      <c r="F378" s="150" t="s">
        <v>1434</v>
      </c>
      <c r="G378" s="142" t="s">
        <v>1036</v>
      </c>
    </row>
    <row r="379" spans="4:13" ht="20.100000000000001" customHeight="1" x14ac:dyDescent="0.2">
      <c r="D379" s="150" t="s">
        <v>1213</v>
      </c>
      <c r="E379" s="150" t="s">
        <v>1432</v>
      </c>
      <c r="F379" s="150"/>
      <c r="G379" s="238" t="s">
        <v>1034</v>
      </c>
    </row>
    <row r="381" spans="4:13" ht="20.100000000000001" customHeight="1" x14ac:dyDescent="0.2">
      <c r="D381" s="80" t="s">
        <v>853</v>
      </c>
      <c r="E381" s="239" t="s">
        <v>949</v>
      </c>
      <c r="F381" s="239" t="s">
        <v>950</v>
      </c>
      <c r="G381" s="138" t="s">
        <v>951</v>
      </c>
      <c r="H381" s="138" t="s">
        <v>859</v>
      </c>
      <c r="I381" s="80" t="s">
        <v>952</v>
      </c>
      <c r="J381" s="138" t="s">
        <v>862</v>
      </c>
      <c r="K381" s="80" t="s">
        <v>863</v>
      </c>
      <c r="L381" s="80" t="s">
        <v>864</v>
      </c>
      <c r="M381" s="80" t="s">
        <v>865</v>
      </c>
    </row>
    <row r="382" spans="4:13" ht="20.100000000000001" customHeight="1" x14ac:dyDescent="0.2">
      <c r="D382" s="15"/>
      <c r="E382" s="15"/>
      <c r="F382" s="15"/>
      <c r="G382" s="15" cm="1">
        <f t="array" ref="G382">Common_InputFunctions.Utility_LookupValueInTableNumber(E382,Table_SourceData_Scope3_Packaging[Product],Table_SourceData_Scope3_Packaging[Emissions intensity])</f>
        <v>0</v>
      </c>
      <c r="H382" s="240">
        <f>((F382 * G382) * 10 ^ -3)</f>
        <v>0</v>
      </c>
      <c r="I382" s="76">
        <v>3</v>
      </c>
      <c r="J382" s="240">
        <f>((F382 * (IF(I382,I382,G382))) * 10 ^ -3)</f>
        <v>0</v>
      </c>
      <c r="K382" s="34"/>
      <c r="L382" s="13"/>
      <c r="M382" s="34"/>
    </row>
    <row r="383" spans="4:13" ht="20.100000000000001" customHeight="1" x14ac:dyDescent="0.2">
      <c r="D383" s="15"/>
      <c r="E383" s="15"/>
      <c r="F383" s="15"/>
      <c r="G383" s="15" cm="1">
        <f t="array" ref="G383">Common_InputFunctions.Utility_LookupValueInTableNumber(E383,Table_SourceData_Scope3_Packaging[Product],Table_SourceData_Scope3_Packaging[Emissions intensity])</f>
        <v>0</v>
      </c>
      <c r="H383" s="240">
        <f>((F383 * G383) * 10 ^ -3)</f>
        <v>0</v>
      </c>
      <c r="I383" s="76"/>
      <c r="J383" s="240">
        <f>((F383 * (IF(I383,I383,G383))) * 10 ^ -3)</f>
        <v>0</v>
      </c>
      <c r="K383" s="34"/>
      <c r="L383" s="13"/>
      <c r="M383" s="34"/>
    </row>
    <row r="384" spans="4:13" ht="20.100000000000001" customHeight="1" x14ac:dyDescent="0.2">
      <c r="D384" s="15"/>
      <c r="E384" s="15"/>
      <c r="F384" s="15"/>
      <c r="G384" s="15" cm="1">
        <f t="array" ref="G384">Common_InputFunctions.Utility_LookupValueInTableNumber(E384,Table_SourceData_Scope3_Packaging[Product],Table_SourceData_Scope3_Packaging[Emissions intensity])</f>
        <v>0</v>
      </c>
      <c r="H384" s="240">
        <f>((F384 * G384) * 10 ^ -3)</f>
        <v>0</v>
      </c>
      <c r="I384" s="76"/>
      <c r="J384" s="240">
        <f>((F384 * (IF(I384,I384,G384))) * 10 ^ -3)</f>
        <v>0</v>
      </c>
      <c r="K384" s="34"/>
      <c r="L384" s="13"/>
      <c r="M384" s="34"/>
    </row>
    <row r="385" spans="1:41" ht="20.100000000000001" customHeight="1" x14ac:dyDescent="0.2">
      <c r="D385" s="15"/>
      <c r="E385" s="15"/>
      <c r="F385" s="15"/>
      <c r="G385" s="15" cm="1">
        <f t="array" ref="G385">Common_InputFunctions.Utility_LookupValueInTableNumber(E385,Table_SourceData_Scope3_Packaging[Product],Table_SourceData_Scope3_Packaging[Emissions intensity])</f>
        <v>0</v>
      </c>
      <c r="H385" s="240">
        <f>((F385 * G385) * 10 ^ -3)</f>
        <v>0</v>
      </c>
      <c r="I385" s="76"/>
      <c r="J385" s="240">
        <f>((F385 * (IF(I385,I385,G385))) * 10 ^ -3)</f>
        <v>0</v>
      </c>
      <c r="K385" s="34"/>
      <c r="L385" s="13"/>
      <c r="M385" s="34"/>
    </row>
    <row r="386" spans="1:41" ht="20.100000000000001" customHeight="1" x14ac:dyDescent="0.2">
      <c r="D386" s="15"/>
      <c r="E386" s="15"/>
      <c r="F386" s="15"/>
      <c r="G386" s="15" cm="1">
        <f t="array" ref="G386">Common_InputFunctions.Utility_LookupValueInTableNumber(E386,Table_SourceData_Scope3_Packaging[Product],Table_SourceData_Scope3_Packaging[Emissions intensity])</f>
        <v>0</v>
      </c>
      <c r="H386" s="240">
        <f>((F386 * G386) * 10 ^ -3)</f>
        <v>0</v>
      </c>
      <c r="I386" s="76"/>
      <c r="J386" s="240">
        <f>((F386 * (IF(I386,I386,G386))) * 10 ^ -3)</f>
        <v>0</v>
      </c>
      <c r="K386" s="34"/>
      <c r="L386" s="13"/>
      <c r="M386" s="34"/>
    </row>
    <row r="387" spans="1:41" ht="20.100000000000001" customHeight="1" x14ac:dyDescent="0.2">
      <c r="D387" s="15"/>
      <c r="E387" s="15"/>
      <c r="F387" s="15"/>
      <c r="G387" s="15" cm="1">
        <f t="array" ref="G387">Common_InputFunctions.Utility_LookupValueInTableNumber(E387,Table_SourceData_Scope3_Packaging[Product],Table_SourceData_Scope3_Packaging[Emissions intensity])</f>
        <v>0</v>
      </c>
      <c r="H387" s="240">
        <f>((F387 * G387) * 10 ^ -3)</f>
        <v>0</v>
      </c>
      <c r="I387" s="76"/>
      <c r="J387" s="240">
        <f>((F387 * (IF(I387,I387,G387))) * 10 ^ -3)</f>
        <v>0</v>
      </c>
      <c r="K387" s="34"/>
      <c r="L387" s="13"/>
      <c r="M387" s="34"/>
    </row>
    <row r="388" spans="1:41" ht="20.100000000000001" customHeight="1" x14ac:dyDescent="0.2">
      <c r="D388" s="15"/>
      <c r="E388" s="15"/>
      <c r="F388" s="15"/>
      <c r="G388" s="15" cm="1">
        <f t="array" ref="G388">Common_InputFunctions.Utility_LookupValueInTableNumber(E388,Table_SourceData_Scope3_Packaging[Product],Table_SourceData_Scope3_Packaging[Emissions intensity])</f>
        <v>0</v>
      </c>
      <c r="H388" s="240">
        <f>((F388 * G388) * 10 ^ -3)</f>
        <v>0</v>
      </c>
      <c r="I388" s="76"/>
      <c r="J388" s="240">
        <f>((F388 * (IF(I388,I388,G388))) * 10 ^ -3)</f>
        <v>0</v>
      </c>
      <c r="K388" s="34"/>
      <c r="L388" s="13"/>
      <c r="M388" s="34"/>
    </row>
    <row r="389" spans="1:41" ht="20.100000000000001" customHeight="1" x14ac:dyDescent="0.2">
      <c r="A389" s="81" t="str">
        <f>HYPERLINK("#A1", "▲ Back to top")</f>
        <v>▲ Back to top</v>
      </c>
      <c r="D389" s="15"/>
      <c r="E389" s="15"/>
      <c r="F389" s="15"/>
      <c r="G389" s="15" cm="1">
        <f t="array" ref="G389">Common_InputFunctions.Utility_LookupValueInTableNumber(E389,Table_SourceData_Scope3_Packaging[Product],Table_SourceData_Scope3_Packaging[Emissions intensity])</f>
        <v>0</v>
      </c>
      <c r="H389" s="240">
        <f>((F389 * G389) * 10 ^ -3)</f>
        <v>0</v>
      </c>
      <c r="I389" s="76"/>
      <c r="J389" s="240">
        <f>((F389 * (IF(I389,I389,G389))) * 10 ^ -3)</f>
        <v>0</v>
      </c>
      <c r="K389" s="34"/>
      <c r="L389" s="13"/>
      <c r="M389" s="34"/>
    </row>
    <row r="390" spans="1:41" ht="20.100000000000001" customHeight="1" x14ac:dyDescent="0.2">
      <c r="D390" s="15"/>
      <c r="E390" s="15"/>
      <c r="F390" s="15"/>
      <c r="G390" s="15" cm="1">
        <f t="array" ref="G390">Common_InputFunctions.Utility_LookupValueInTableNumber(E390,Table_SourceData_Scope3_Packaging[Product],Table_SourceData_Scope3_Packaging[Emissions intensity])</f>
        <v>0</v>
      </c>
      <c r="H390" s="240">
        <f>((F390 * G390) * 10 ^ -3)</f>
        <v>0</v>
      </c>
      <c r="I390" s="76"/>
      <c r="J390" s="240">
        <f>((F390 * (IF(I390,I390,G390))) * 10 ^ -3)</f>
        <v>0</v>
      </c>
      <c r="K390" s="34"/>
      <c r="L390" s="13"/>
      <c r="M390" s="34"/>
    </row>
    <row r="391" spans="1:41" ht="20.100000000000001" customHeight="1" x14ac:dyDescent="0.2">
      <c r="D391" s="15"/>
      <c r="E391" s="15"/>
      <c r="F391" s="15"/>
      <c r="G391" s="15" cm="1">
        <f t="array" ref="G391">Common_InputFunctions.Utility_LookupValueInTableNumber(E391,Table_SourceData_Scope3_Packaging[Product],Table_SourceData_Scope3_Packaging[Emissions intensity])</f>
        <v>0</v>
      </c>
      <c r="H391" s="240">
        <f>((F391 * G391) * 10 ^ -3)</f>
        <v>0</v>
      </c>
      <c r="I391" s="76"/>
      <c r="J391" s="240">
        <f>((F391 * (IF(I391,I391,G391))) * 10 ^ -3)</f>
        <v>0</v>
      </c>
      <c r="K391" s="34"/>
      <c r="L391" s="13"/>
      <c r="M391" s="34"/>
    </row>
    <row r="393" spans="1:41" ht="20.100000000000001" customHeight="1" x14ac:dyDescent="0.2">
      <c r="D393" s="242" t="s">
        <v>859</v>
      </c>
      <c r="E393" s="88">
        <f>SUM(H382:H391)</f>
        <v>0</v>
      </c>
      <c r="F393" s="97" t="str">
        <f>$E$170</f>
        <v>t CO2e</v>
      </c>
    </row>
    <row r="394" spans="1:41" ht="20.100000000000001" customHeight="1" x14ac:dyDescent="0.2">
      <c r="D394" s="242" t="s">
        <v>862</v>
      </c>
      <c r="E394" s="88">
        <f>SUM(J382:J391)</f>
        <v>0</v>
      </c>
      <c r="F394" s="97" t="str">
        <f>$E$170</f>
        <v>t CO2e</v>
      </c>
    </row>
    <row r="397" spans="1:41" ht="20.100000000000001" customHeight="1" x14ac:dyDescent="0.2">
      <c r="C397" s="85"/>
      <c r="D397" s="85"/>
      <c r="E397" s="85"/>
      <c r="F397" s="85"/>
      <c r="G397" s="85"/>
      <c r="H397" s="85"/>
      <c r="I397" s="85"/>
      <c r="J397" s="85"/>
      <c r="K397" s="85"/>
      <c r="L397" s="85"/>
      <c r="M397" s="85"/>
      <c r="N397" s="85"/>
      <c r="O397" s="85"/>
      <c r="P397" s="85"/>
      <c r="Q397" s="85"/>
      <c r="R397" s="85"/>
      <c r="S397" s="85"/>
      <c r="T397" s="85"/>
      <c r="U397" s="85"/>
      <c r="V397" s="85"/>
      <c r="W397" s="85"/>
      <c r="X397" s="85"/>
      <c r="Y397" s="85"/>
      <c r="Z397" s="85"/>
      <c r="AA397" s="85"/>
      <c r="AB397" s="85"/>
      <c r="AC397" s="85"/>
      <c r="AD397" s="85"/>
      <c r="AE397" s="85"/>
      <c r="AF397" s="85"/>
      <c r="AG397" s="85"/>
      <c r="AH397" s="85"/>
      <c r="AI397" s="85"/>
      <c r="AJ397" s="85"/>
      <c r="AK397" s="85"/>
      <c r="AL397" s="85"/>
      <c r="AM397" s="85"/>
      <c r="AN397" s="85"/>
      <c r="AO397" s="85"/>
    </row>
    <row r="398" spans="1:41" ht="20.100000000000001" customHeight="1" x14ac:dyDescent="0.2">
      <c r="D398" s="2" t="s">
        <v>1435</v>
      </c>
    </row>
    <row r="399" spans="1:41" ht="20.100000000000001" customHeight="1" x14ac:dyDescent="0.2">
      <c r="D399" s="17" t="s">
        <v>1436</v>
      </c>
    </row>
    <row r="400" spans="1:41" ht="20.100000000000001" customHeight="1" x14ac:dyDescent="0.2">
      <c r="D400" s="134"/>
      <c r="E400" s="134"/>
    </row>
    <row r="403" spans="4:14" ht="20.100000000000001" customHeight="1" x14ac:dyDescent="0.2">
      <c r="G403" s="134"/>
    </row>
    <row r="404" spans="4:14" ht="20.100000000000001" customHeight="1" x14ac:dyDescent="0.2">
      <c r="D404" s="77" t="s">
        <v>371</v>
      </c>
      <c r="E404" s="1" t="s">
        <v>967</v>
      </c>
    </row>
    <row r="405" spans="4:14" ht="20.100000000000001" customHeight="1" x14ac:dyDescent="0.2">
      <c r="D405" s="77" t="s">
        <v>118</v>
      </c>
      <c r="E405" s="1" t="s">
        <v>7</v>
      </c>
    </row>
    <row r="407" spans="4:14" ht="20.100000000000001" customHeight="1" x14ac:dyDescent="0.2">
      <c r="D407" s="150" t="s">
        <v>1437</v>
      </c>
      <c r="E407" s="150" t="s">
        <v>1438</v>
      </c>
      <c r="F407" s="150" t="s">
        <v>1442</v>
      </c>
      <c r="G407" s="238" t="s">
        <v>1034</v>
      </c>
    </row>
    <row r="408" spans="4:14" ht="20.100000000000001" customHeight="1" x14ac:dyDescent="0.2">
      <c r="D408" s="150" t="s">
        <v>1439</v>
      </c>
      <c r="E408" s="150" t="s">
        <v>1440</v>
      </c>
      <c r="F408" s="150" t="s">
        <v>1443</v>
      </c>
      <c r="G408" s="142" t="s">
        <v>1036</v>
      </c>
    </row>
    <row r="409" spans="4:14" ht="20.100000000000001" customHeight="1" x14ac:dyDescent="0.2">
      <c r="D409" s="150" t="s">
        <v>1268</v>
      </c>
      <c r="E409" s="150" t="s">
        <v>1441</v>
      </c>
      <c r="F409" s="150"/>
      <c r="G409" s="238" t="s">
        <v>1034</v>
      </c>
    </row>
    <row r="411" spans="4:14" ht="20.100000000000001" customHeight="1" x14ac:dyDescent="0.2">
      <c r="D411" s="26" t="s">
        <v>942</v>
      </c>
    </row>
    <row r="413" spans="4:14" ht="20.100000000000001" customHeight="1" x14ac:dyDescent="0.2">
      <c r="D413" s="80" t="s">
        <v>953</v>
      </c>
      <c r="E413" s="80" t="s">
        <v>798</v>
      </c>
      <c r="F413" s="80" t="s">
        <v>553</v>
      </c>
      <c r="G413" s="138" t="s">
        <v>943</v>
      </c>
      <c r="H413" s="138" t="s">
        <v>944</v>
      </c>
      <c r="I413" s="80" t="s">
        <v>945</v>
      </c>
      <c r="J413" s="138" t="s">
        <v>946</v>
      </c>
      <c r="K413" s="138" t="s">
        <v>947</v>
      </c>
      <c r="L413" s="80" t="s">
        <v>863</v>
      </c>
      <c r="M413" s="80" t="s">
        <v>864</v>
      </c>
      <c r="N413" s="80" t="s">
        <v>865</v>
      </c>
    </row>
    <row r="414" spans="4:14" ht="20.100000000000001" customHeight="1" x14ac:dyDescent="0.2">
      <c r="D414" s="15"/>
      <c r="E414" s="15"/>
      <c r="F414" s="15"/>
      <c r="G414" s="15" t="s">
        <v>948</v>
      </c>
      <c r="H414" s="15" t="s">
        <v>948</v>
      </c>
      <c r="I414" s="76">
        <v>4</v>
      </c>
      <c r="J414" s="240">
        <f>((E414 * I414) * 10 ^ -3)</f>
        <v>0</v>
      </c>
      <c r="K414" s="15" t="str">
        <f>"t CO2e / " &amp; F414</f>
        <v xml:space="preserve">t CO2e / </v>
      </c>
      <c r="L414" s="34"/>
      <c r="M414" s="13"/>
      <c r="N414" s="34"/>
    </row>
    <row r="415" spans="4:14" ht="20.100000000000001" customHeight="1" x14ac:dyDescent="0.2">
      <c r="D415" s="15"/>
      <c r="E415" s="15"/>
      <c r="F415" s="15"/>
      <c r="G415" s="15" t="s">
        <v>948</v>
      </c>
      <c r="H415" s="15" t="s">
        <v>948</v>
      </c>
      <c r="I415" s="76">
        <v>2</v>
      </c>
      <c r="J415" s="240">
        <f>((E415 * I415) * 10 ^ -3)</f>
        <v>0</v>
      </c>
      <c r="K415" s="15" t="str">
        <f t="shared" ref="K415:K423" si="2">"t CO2e / " &amp; F415</f>
        <v xml:space="preserve">t CO2e / </v>
      </c>
      <c r="L415" s="34"/>
      <c r="M415" s="13"/>
      <c r="N415" s="34"/>
    </row>
    <row r="416" spans="4:14" ht="20.100000000000001" customHeight="1" x14ac:dyDescent="0.2">
      <c r="D416" s="15"/>
      <c r="E416" s="15"/>
      <c r="F416" s="15"/>
      <c r="G416" s="15" t="s">
        <v>948</v>
      </c>
      <c r="H416" s="15" t="s">
        <v>948</v>
      </c>
      <c r="I416" s="76"/>
      <c r="J416" s="240">
        <f>((E416 * I416) * 10 ^ -3)</f>
        <v>0</v>
      </c>
      <c r="K416" s="15" t="str">
        <f t="shared" si="2"/>
        <v xml:space="preserve">t CO2e / </v>
      </c>
      <c r="L416" s="34"/>
      <c r="M416" s="13"/>
      <c r="N416" s="34"/>
    </row>
    <row r="417" spans="1:41" ht="20.100000000000001" customHeight="1" x14ac:dyDescent="0.2">
      <c r="D417" s="15"/>
      <c r="E417" s="15"/>
      <c r="F417" s="15"/>
      <c r="G417" s="15" t="s">
        <v>948</v>
      </c>
      <c r="H417" s="15" t="s">
        <v>948</v>
      </c>
      <c r="I417" s="76"/>
      <c r="J417" s="240">
        <f>((E417 * I417) * 10 ^ -3)</f>
        <v>0</v>
      </c>
      <c r="K417" s="15" t="str">
        <f t="shared" si="2"/>
        <v xml:space="preserve">t CO2e / </v>
      </c>
      <c r="L417" s="34"/>
      <c r="M417" s="13"/>
      <c r="N417" s="34"/>
    </row>
    <row r="418" spans="1:41" ht="20.100000000000001" customHeight="1" x14ac:dyDescent="0.2">
      <c r="D418" s="15"/>
      <c r="E418" s="15"/>
      <c r="F418" s="15"/>
      <c r="G418" s="15" t="s">
        <v>948</v>
      </c>
      <c r="H418" s="15" t="s">
        <v>948</v>
      </c>
      <c r="I418" s="76"/>
      <c r="J418" s="240">
        <f>((E418 * I418) * 10 ^ -3)</f>
        <v>0</v>
      </c>
      <c r="K418" s="15" t="str">
        <f t="shared" si="2"/>
        <v xml:space="preserve">t CO2e / </v>
      </c>
      <c r="L418" s="34"/>
      <c r="M418" s="13"/>
      <c r="N418" s="34"/>
    </row>
    <row r="419" spans="1:41" ht="20.100000000000001" customHeight="1" x14ac:dyDescent="0.2">
      <c r="A419" s="81" t="str">
        <f>HYPERLINK("#A1", "▲ Back to top")</f>
        <v>▲ Back to top</v>
      </c>
      <c r="D419" s="15"/>
      <c r="E419" s="15"/>
      <c r="F419" s="15"/>
      <c r="G419" s="15" t="s">
        <v>948</v>
      </c>
      <c r="H419" s="15" t="s">
        <v>948</v>
      </c>
      <c r="I419" s="76"/>
      <c r="J419" s="240">
        <f>((E419 * I419) * 10 ^ -3)</f>
        <v>0</v>
      </c>
      <c r="K419" s="15" t="str">
        <f t="shared" si="2"/>
        <v xml:space="preserve">t CO2e / </v>
      </c>
      <c r="L419" s="34"/>
      <c r="M419" s="13"/>
      <c r="N419" s="34"/>
    </row>
    <row r="420" spans="1:41" ht="20.100000000000001" customHeight="1" x14ac:dyDescent="0.2">
      <c r="D420" s="15"/>
      <c r="E420" s="15"/>
      <c r="F420" s="15"/>
      <c r="G420" s="15" t="s">
        <v>948</v>
      </c>
      <c r="H420" s="15" t="s">
        <v>948</v>
      </c>
      <c r="I420" s="76"/>
      <c r="J420" s="240">
        <f>((E420 * I420) * 10 ^ -3)</f>
        <v>0</v>
      </c>
      <c r="K420" s="15" t="str">
        <f t="shared" si="2"/>
        <v xml:space="preserve">t CO2e / </v>
      </c>
      <c r="L420" s="34"/>
      <c r="M420" s="13"/>
      <c r="N420" s="34"/>
    </row>
    <row r="421" spans="1:41" ht="20.100000000000001" customHeight="1" x14ac:dyDescent="0.2">
      <c r="D421" s="15"/>
      <c r="E421" s="15"/>
      <c r="F421" s="15"/>
      <c r="G421" s="15" t="s">
        <v>948</v>
      </c>
      <c r="H421" s="15" t="s">
        <v>948</v>
      </c>
      <c r="I421" s="76"/>
      <c r="J421" s="240">
        <f>((E421 * I421) * 10 ^ -3)</f>
        <v>0</v>
      </c>
      <c r="K421" s="15" t="str">
        <f t="shared" si="2"/>
        <v xml:space="preserve">t CO2e / </v>
      </c>
      <c r="L421" s="34"/>
      <c r="M421" s="13"/>
      <c r="N421" s="34"/>
    </row>
    <row r="422" spans="1:41" ht="20.100000000000001" customHeight="1" x14ac:dyDescent="0.2">
      <c r="D422" s="15"/>
      <c r="E422" s="15"/>
      <c r="F422" s="15"/>
      <c r="G422" s="15" t="s">
        <v>948</v>
      </c>
      <c r="H422" s="15" t="s">
        <v>948</v>
      </c>
      <c r="I422" s="76"/>
      <c r="J422" s="240">
        <f>((E422 * I422) * 10 ^ -3)</f>
        <v>0</v>
      </c>
      <c r="K422" s="15" t="str">
        <f t="shared" si="2"/>
        <v xml:space="preserve">t CO2e / </v>
      </c>
      <c r="L422" s="34"/>
      <c r="M422" s="13"/>
      <c r="N422" s="34"/>
    </row>
    <row r="423" spans="1:41" ht="20.100000000000001" customHeight="1" x14ac:dyDescent="0.2">
      <c r="D423" s="15"/>
      <c r="E423" s="15"/>
      <c r="F423" s="15"/>
      <c r="G423" s="15" t="s">
        <v>948</v>
      </c>
      <c r="H423" s="15" t="s">
        <v>948</v>
      </c>
      <c r="I423" s="76"/>
      <c r="J423" s="240">
        <f>((E423 * I423) * 10 ^ -3)</f>
        <v>0</v>
      </c>
      <c r="K423" s="15" t="str">
        <f t="shared" si="2"/>
        <v xml:space="preserve">t CO2e / </v>
      </c>
      <c r="L423" s="34"/>
      <c r="M423" s="13"/>
      <c r="N423" s="34"/>
    </row>
    <row r="425" spans="1:41" ht="20.100000000000001" customHeight="1" x14ac:dyDescent="0.2">
      <c r="D425" s="242" t="s">
        <v>859</v>
      </c>
      <c r="E425" s="88" t="s">
        <v>948</v>
      </c>
      <c r="F425" s="97" t="str">
        <f>$E$170</f>
        <v>t CO2e</v>
      </c>
    </row>
    <row r="426" spans="1:41" ht="20.100000000000001" customHeight="1" x14ac:dyDescent="0.2">
      <c r="D426" s="242" t="s">
        <v>862</v>
      </c>
      <c r="E426" s="88">
        <f>SUM(J414:J423)</f>
        <v>0</v>
      </c>
      <c r="F426" s="97" t="str">
        <f>$E$170</f>
        <v>t CO2e</v>
      </c>
    </row>
    <row r="429" spans="1:41" ht="20.100000000000001" customHeight="1" x14ac:dyDescent="0.2">
      <c r="C429" s="85"/>
      <c r="D429" s="85"/>
      <c r="E429" s="85"/>
      <c r="F429" s="85"/>
      <c r="G429" s="85"/>
      <c r="H429" s="85"/>
      <c r="I429" s="85"/>
      <c r="J429" s="85"/>
      <c r="K429" s="85"/>
      <c r="L429" s="85"/>
      <c r="M429" s="85"/>
      <c r="N429" s="85"/>
      <c r="O429" s="85"/>
      <c r="P429" s="85"/>
      <c r="Q429" s="85"/>
      <c r="R429" s="85"/>
      <c r="S429" s="85"/>
      <c r="T429" s="85"/>
      <c r="U429" s="85"/>
      <c r="V429" s="85"/>
      <c r="W429" s="85"/>
      <c r="X429" s="85"/>
      <c r="Y429" s="85"/>
      <c r="Z429" s="85"/>
      <c r="AA429" s="85"/>
      <c r="AB429" s="85"/>
      <c r="AC429" s="85"/>
      <c r="AD429" s="85"/>
      <c r="AE429" s="85"/>
      <c r="AF429" s="85"/>
      <c r="AG429" s="85"/>
      <c r="AH429" s="85"/>
      <c r="AI429" s="85"/>
      <c r="AJ429" s="85"/>
      <c r="AK429" s="85"/>
      <c r="AL429" s="85"/>
      <c r="AM429" s="85"/>
      <c r="AN429" s="85"/>
      <c r="AO429" s="85"/>
    </row>
    <row r="430" spans="1:41" ht="20.100000000000001" customHeight="1" x14ac:dyDescent="0.2">
      <c r="D430" s="2" t="s">
        <v>1444</v>
      </c>
    </row>
    <row r="431" spans="1:41" ht="20.100000000000001" customHeight="1" x14ac:dyDescent="0.2">
      <c r="D431" s="17" t="s">
        <v>1445</v>
      </c>
    </row>
    <row r="432" spans="1:41" ht="20.100000000000001" customHeight="1" x14ac:dyDescent="0.2">
      <c r="D432" s="26" t="s">
        <v>954</v>
      </c>
    </row>
    <row r="433" spans="4:13" ht="20.100000000000001" customHeight="1" x14ac:dyDescent="0.2">
      <c r="D433" s="134"/>
      <c r="E433" s="134"/>
    </row>
    <row r="436" spans="4:13" ht="20.100000000000001" customHeight="1" x14ac:dyDescent="0.2">
      <c r="D436" s="77" t="s">
        <v>371</v>
      </c>
      <c r="E436" s="1" t="s">
        <v>1446</v>
      </c>
    </row>
    <row r="437" spans="4:13" ht="20.100000000000001" customHeight="1" x14ac:dyDescent="0.2">
      <c r="D437" s="77" t="s">
        <v>118</v>
      </c>
      <c r="E437" s="9" t="s">
        <v>7</v>
      </c>
    </row>
    <row r="439" spans="4:13" ht="20.100000000000001" customHeight="1" x14ac:dyDescent="0.2">
      <c r="D439" s="150" t="s">
        <v>1447</v>
      </c>
      <c r="E439" s="147" t="s">
        <v>1448</v>
      </c>
      <c r="F439" s="159"/>
      <c r="G439" s="150" t="s">
        <v>1451</v>
      </c>
      <c r="H439" s="238" t="s">
        <v>1034</v>
      </c>
    </row>
    <row r="440" spans="4:13" ht="20.100000000000001" customHeight="1" x14ac:dyDescent="0.2">
      <c r="D440" s="150" t="s">
        <v>1449</v>
      </c>
      <c r="E440" s="147" t="s">
        <v>1450</v>
      </c>
      <c r="F440" s="159"/>
      <c r="G440" s="150" t="s">
        <v>1451</v>
      </c>
      <c r="H440" s="142" t="s">
        <v>1036</v>
      </c>
    </row>
    <row r="442" spans="4:13" ht="20.100000000000001" customHeight="1" x14ac:dyDescent="0.2">
      <c r="D442" s="233" t="s">
        <v>955</v>
      </c>
    </row>
    <row r="444" spans="4:13" ht="20.100000000000001" customHeight="1" x14ac:dyDescent="0.2">
      <c r="D444" s="80" t="s">
        <v>853</v>
      </c>
      <c r="E444" s="239" t="s">
        <v>956</v>
      </c>
      <c r="F444" s="239" t="s">
        <v>957</v>
      </c>
      <c r="G444" s="138" t="s">
        <v>119</v>
      </c>
      <c r="H444" s="138" t="s">
        <v>859</v>
      </c>
      <c r="I444" s="80" t="s">
        <v>120</v>
      </c>
      <c r="J444" s="138" t="s">
        <v>862</v>
      </c>
      <c r="K444" s="80" t="s">
        <v>863</v>
      </c>
      <c r="L444" s="80" t="s">
        <v>864</v>
      </c>
      <c r="M444" s="80" t="s">
        <v>865</v>
      </c>
    </row>
    <row r="445" spans="4:13" ht="20.100000000000001" customHeight="1" x14ac:dyDescent="0.2">
      <c r="D445" s="15" t="str" cm="1">
        <f t="array" ref="D445:D454">IFERROR(INDEX(Table_Input_ChemicalsCleaning[Product name], _xlfn.SEQUENCE(10)), "")</f>
        <v>Acid kleen</v>
      </c>
      <c r="E445" s="15" t="str" cm="1">
        <f t="array" ref="E445:E454">IFERROR(INDEX(Table_Input_ChemicalsCleaning[Type (select)], _xlfn.SEQUENCE(10)), "")</f>
        <v>Phosphoric acid</v>
      </c>
      <c r="F445" s="15" cm="1">
        <f t="array" ref="F445:F454">IFERROR(INDEX(Table_Input_ChemicalsCleaning[Quantity purchased (kg)], _xlfn.SEQUENCE(10)), "")</f>
        <v>100</v>
      </c>
      <c r="G445" s="15" cm="1">
        <f t="array" ref="G445">Common_InputFunctions.Utility_LookupValueInTableNumber(E445,Table_SourceData_Scope3_ChemicalsCleaning[Product],Table_SourceData_Scope3_ChemicalsCleaning[Emissions intensity])</f>
        <v>0.90700000000000003</v>
      </c>
      <c r="H445" s="240">
        <f>(F445 * (G445*10^-3))</f>
        <v>9.0700000000000003E-2</v>
      </c>
      <c r="I445" s="76">
        <v>0.9</v>
      </c>
      <c r="J445" s="240">
        <f>(F445 * (IF(I445,I445,G445)*10^-3))</f>
        <v>9.0000000000000011E-2</v>
      </c>
      <c r="K445" s="34"/>
      <c r="L445" s="13"/>
      <c r="M445" s="34"/>
    </row>
    <row r="446" spans="4:13" ht="20.100000000000001" customHeight="1" x14ac:dyDescent="0.2">
      <c r="D446" s="15" t="str">
        <v>Kleen alk</v>
      </c>
      <c r="E446" s="15" t="str">
        <v>Alkaline cleaner</v>
      </c>
      <c r="F446" s="15">
        <v>100</v>
      </c>
      <c r="G446" s="15" cm="1">
        <f t="array" ref="G446">Common_InputFunctions.Utility_LookupValueInTableNumber(E446,Table_SourceData_Scope3_ChemicalsCleaning[Product],Table_SourceData_Scope3_ChemicalsCleaning[Emissions intensity])</f>
        <v>0.72199999999999998</v>
      </c>
      <c r="H446" s="240">
        <f>(F446 * (G446*10^-3))</f>
        <v>7.22E-2</v>
      </c>
      <c r="I446" s="76">
        <v>0.7</v>
      </c>
      <c r="J446" s="240">
        <f>(F446 * (IF(I446,I446,G446)*10^-3))</f>
        <v>6.9999999999999993E-2</v>
      </c>
      <c r="K446" s="34"/>
      <c r="L446" s="13"/>
      <c r="M446" s="34"/>
    </row>
    <row r="447" spans="4:13" ht="20.100000000000001" customHeight="1" x14ac:dyDescent="0.2">
      <c r="D447" s="15" t="str">
        <v>White king</v>
      </c>
      <c r="E447" s="15" t="str">
        <v>Bleach</v>
      </c>
      <c r="F447" s="15">
        <v>100</v>
      </c>
      <c r="G447" s="15" cm="1">
        <f t="array" ref="G447">Common_InputFunctions.Utility_LookupValueInTableNumber(E447,Table_SourceData_Scope3_ChemicalsCleaning[Product],Table_SourceData_Scope3_ChemicalsCleaning[Emissions intensity])</f>
        <v>0.80400000000000005</v>
      </c>
      <c r="H447" s="240">
        <f>(F447 * (G447*10^-3))</f>
        <v>8.0399999999999999E-2</v>
      </c>
      <c r="I447" s="76">
        <v>0.8</v>
      </c>
      <c r="J447" s="240">
        <f>(F447 * (IF(I447,I447,G447)*10^-3))</f>
        <v>0.08</v>
      </c>
      <c r="K447" s="34"/>
      <c r="L447" s="13"/>
      <c r="M447" s="34"/>
    </row>
    <row r="448" spans="4:13" ht="20.100000000000001" customHeight="1" x14ac:dyDescent="0.2">
      <c r="D448" s="15" t="str">
        <v>White king</v>
      </c>
      <c r="E448" s="15" t="str">
        <v>Bleach</v>
      </c>
      <c r="F448" s="15">
        <v>100</v>
      </c>
      <c r="G448" s="15" cm="1">
        <f t="array" ref="G448">Common_InputFunctions.Utility_LookupValueInTableNumber(E448,Table_SourceData_Scope3_ChemicalsCleaning[Product],Table_SourceData_Scope3_ChemicalsCleaning[Emissions intensity])</f>
        <v>0.80400000000000005</v>
      </c>
      <c r="H448" s="240">
        <f>(F448 * (G448*10^-3))</f>
        <v>8.0399999999999999E-2</v>
      </c>
      <c r="I448" s="76">
        <v>0.8</v>
      </c>
      <c r="J448" s="240">
        <f>(F448 * (IF(I448,I448,G448)*10^-3))</f>
        <v>0.08</v>
      </c>
      <c r="K448" s="34"/>
      <c r="L448" s="13"/>
      <c r="M448" s="34"/>
    </row>
    <row r="449" spans="1:13" ht="20.100000000000001" customHeight="1" x14ac:dyDescent="0.2">
      <c r="A449" s="81" t="str">
        <f>HYPERLINK("#A1", "▲ Back to top")</f>
        <v>▲ Back to top</v>
      </c>
      <c r="D449" s="15" t="str">
        <v>Acid kleen</v>
      </c>
      <c r="E449" s="15" t="str">
        <v>Phosphoric acid</v>
      </c>
      <c r="F449" s="15">
        <v>100</v>
      </c>
      <c r="G449" s="15" cm="1">
        <f t="array" ref="G449">Common_InputFunctions.Utility_LookupValueInTableNumber(E449,Table_SourceData_Scope3_ChemicalsCleaning[Product],Table_SourceData_Scope3_ChemicalsCleaning[Emissions intensity])</f>
        <v>0.90700000000000003</v>
      </c>
      <c r="H449" s="240">
        <f>(F449 * (G449*10^-3))</f>
        <v>9.0700000000000003E-2</v>
      </c>
      <c r="I449" s="76">
        <v>0.9</v>
      </c>
      <c r="J449" s="240">
        <f>(F449 * (IF(I449,I449,G449)*10^-3))</f>
        <v>9.0000000000000011E-2</v>
      </c>
      <c r="K449" s="34"/>
      <c r="L449" s="13"/>
      <c r="M449" s="34"/>
    </row>
    <row r="450" spans="1:13" ht="20.100000000000001" customHeight="1" x14ac:dyDescent="0.2">
      <c r="D450" s="15" t="str">
        <v>Acid kleen</v>
      </c>
      <c r="E450" s="15" t="str">
        <v>Phosphoric acid</v>
      </c>
      <c r="F450" s="15">
        <v>100</v>
      </c>
      <c r="G450" s="15" cm="1">
        <f t="array" ref="G450">Common_InputFunctions.Utility_LookupValueInTableNumber(E450,Table_SourceData_Scope3_ChemicalsCleaning[Product],Table_SourceData_Scope3_ChemicalsCleaning[Emissions intensity])</f>
        <v>0.90700000000000003</v>
      </c>
      <c r="H450" s="240">
        <f>(F450 * (G450*10^-3))</f>
        <v>9.0700000000000003E-2</v>
      </c>
      <c r="I450" s="76">
        <v>0.9</v>
      </c>
      <c r="J450" s="240">
        <f>(F450 * (IF(I450,I450,G450)*10^-3))</f>
        <v>9.0000000000000011E-2</v>
      </c>
      <c r="K450" s="34"/>
      <c r="L450" s="13"/>
      <c r="M450" s="34"/>
    </row>
    <row r="451" spans="1:13" ht="20.100000000000001" customHeight="1" x14ac:dyDescent="0.2">
      <c r="D451" s="15">
        <v>0</v>
      </c>
      <c r="E451" s="15">
        <v>0</v>
      </c>
      <c r="F451" s="15">
        <v>0</v>
      </c>
      <c r="G451" s="15" cm="1">
        <f t="array" ref="G451">Common_InputFunctions.Utility_LookupValueInTableNumber(E451,Table_SourceData_Scope3_ChemicalsCleaning[Product],Table_SourceData_Scope3_ChemicalsCleaning[Emissions intensity])</f>
        <v>0</v>
      </c>
      <c r="H451" s="240">
        <f>(F451 * (G451*10^-3))</f>
        <v>0</v>
      </c>
      <c r="I451" s="76"/>
      <c r="J451" s="240">
        <f>(F451 * (IF(I451,I451,G451)*10^-3))</f>
        <v>0</v>
      </c>
      <c r="K451" s="34"/>
      <c r="L451" s="13"/>
      <c r="M451" s="34"/>
    </row>
    <row r="452" spans="1:13" ht="20.100000000000001" customHeight="1" x14ac:dyDescent="0.2">
      <c r="D452" s="15">
        <v>0</v>
      </c>
      <c r="E452" s="15">
        <v>0</v>
      </c>
      <c r="F452" s="15">
        <v>0</v>
      </c>
      <c r="G452" s="15" cm="1">
        <f t="array" ref="G452">Common_InputFunctions.Utility_LookupValueInTableNumber(E452,Table_SourceData_Scope3_ChemicalsCleaning[Product],Table_SourceData_Scope3_ChemicalsCleaning[Emissions intensity])</f>
        <v>0</v>
      </c>
      <c r="H452" s="240">
        <f>(F452 * (G452*10^-3))</f>
        <v>0</v>
      </c>
      <c r="I452" s="76"/>
      <c r="J452" s="240">
        <f>(F452 * (IF(I452,I452,G452)*10^-3))</f>
        <v>0</v>
      </c>
      <c r="K452" s="34"/>
      <c r="L452" s="13"/>
      <c r="M452" s="34"/>
    </row>
    <row r="453" spans="1:13" ht="20.100000000000001" customHeight="1" x14ac:dyDescent="0.2">
      <c r="D453" s="15">
        <v>0</v>
      </c>
      <c r="E453" s="15">
        <v>0</v>
      </c>
      <c r="F453" s="15">
        <v>0</v>
      </c>
      <c r="G453" s="15" cm="1">
        <f t="array" ref="G453">Common_InputFunctions.Utility_LookupValueInTableNumber(E453,Table_SourceData_Scope3_ChemicalsCleaning[Product],Table_SourceData_Scope3_ChemicalsCleaning[Emissions intensity])</f>
        <v>0</v>
      </c>
      <c r="H453" s="240">
        <f>(F453 * (G453*10^-3))</f>
        <v>0</v>
      </c>
      <c r="I453" s="76"/>
      <c r="J453" s="240">
        <f>(F453 * (IF(I453,I453,G453)*10^-3))</f>
        <v>0</v>
      </c>
      <c r="K453" s="34"/>
      <c r="L453" s="13"/>
      <c r="M453" s="34"/>
    </row>
    <row r="454" spans="1:13" ht="20.100000000000001" customHeight="1" x14ac:dyDescent="0.2">
      <c r="D454" s="15">
        <v>0</v>
      </c>
      <c r="E454" s="15">
        <v>0</v>
      </c>
      <c r="F454" s="15">
        <v>0</v>
      </c>
      <c r="G454" s="15" cm="1">
        <f t="array" ref="G454">Common_InputFunctions.Utility_LookupValueInTableNumber(E454,Table_SourceData_Scope3_ChemicalsCleaning[Product],Table_SourceData_Scope3_ChemicalsCleaning[Emissions intensity])</f>
        <v>0</v>
      </c>
      <c r="H454" s="240">
        <f>(F454 * (G454*10^-3))</f>
        <v>0</v>
      </c>
      <c r="I454" s="76"/>
      <c r="J454" s="240">
        <f>(F454 * (IF(I454,I454,G454)*10^-3))</f>
        <v>0</v>
      </c>
      <c r="K454" s="34"/>
      <c r="L454" s="13"/>
      <c r="M454" s="34"/>
    </row>
    <row r="456" spans="1:13" ht="20.100000000000001" customHeight="1" x14ac:dyDescent="0.2">
      <c r="D456" s="242" t="s">
        <v>859</v>
      </c>
      <c r="E456" s="88">
        <f>SUM(H445:H454)</f>
        <v>0.50509999999999999</v>
      </c>
      <c r="F456" s="97" t="str">
        <f>$E$170</f>
        <v>t CO2e</v>
      </c>
    </row>
    <row r="457" spans="1:13" ht="20.100000000000001" customHeight="1" x14ac:dyDescent="0.2">
      <c r="D457" s="242" t="s">
        <v>862</v>
      </c>
      <c r="E457" s="88">
        <f>SUM(J445:J454)</f>
        <v>0.5</v>
      </c>
      <c r="F457" s="97" t="str">
        <f>$E$170</f>
        <v>t CO2e</v>
      </c>
    </row>
    <row r="460" spans="1:13" ht="20.100000000000001" customHeight="1" x14ac:dyDescent="0.2">
      <c r="D460" s="233" t="s">
        <v>958</v>
      </c>
    </row>
    <row r="462" spans="1:13" ht="20.100000000000001" customHeight="1" x14ac:dyDescent="0.2">
      <c r="D462" s="80" t="s">
        <v>853</v>
      </c>
      <c r="E462" s="239" t="s">
        <v>956</v>
      </c>
      <c r="F462" s="239" t="s">
        <v>959</v>
      </c>
      <c r="G462" s="138" t="s">
        <v>960</v>
      </c>
      <c r="H462" s="138" t="s">
        <v>859</v>
      </c>
      <c r="I462" s="80" t="s">
        <v>961</v>
      </c>
      <c r="J462" s="138" t="s">
        <v>862</v>
      </c>
      <c r="K462" s="80" t="s">
        <v>863</v>
      </c>
      <c r="L462" s="80" t="s">
        <v>864</v>
      </c>
      <c r="M462" s="80" t="s">
        <v>865</v>
      </c>
    </row>
    <row r="463" spans="1:13" ht="20.100000000000001" customHeight="1" x14ac:dyDescent="0.2">
      <c r="D463" s="15"/>
      <c r="E463" s="15"/>
      <c r="F463" s="15" cm="1">
        <f t="array" ref="F463:F472">IFERROR(INDEX(Table_Input_ChemicalsCleaning[Quantity purchased (kg)], _xlfn.SEQUENCE(10)), "")</f>
        <v>100</v>
      </c>
      <c r="G463" s="15" cm="1">
        <f t="array" ref="G463">Common_InputFunctions.Utility_LookupValueInTableNumber(E463,Table_SourceData_Scope3_ChemicalsPharmacy[Product],Table_SourceData_Scope3_ChemicalsPharmacy[Emissions intensity])</f>
        <v>0</v>
      </c>
      <c r="H463" s="240">
        <f>(F463 * (G463*10^-3))</f>
        <v>0</v>
      </c>
      <c r="I463" s="76">
        <v>0.05</v>
      </c>
      <c r="J463" s="240">
        <f>(F463 * (IF(I463,I463,G463)*10^-3))</f>
        <v>5.0000000000000001E-3</v>
      </c>
      <c r="K463" s="34"/>
      <c r="L463" s="13"/>
      <c r="M463" s="34"/>
    </row>
    <row r="464" spans="1:13" ht="20.100000000000001" customHeight="1" x14ac:dyDescent="0.2">
      <c r="D464" s="15"/>
      <c r="E464" s="15"/>
      <c r="F464" s="15">
        <v>100</v>
      </c>
      <c r="G464" s="15" cm="1">
        <f t="array" ref="G464">Common_InputFunctions.Utility_LookupValueInTableNumber(E464,Table_SourceData_Scope3_ChemicalsPharmacy[Product],Table_SourceData_Scope3_ChemicalsPharmacy[Emissions intensity])</f>
        <v>0</v>
      </c>
      <c r="H464" s="240">
        <f>(F464 * (G464*10^-3))</f>
        <v>0</v>
      </c>
      <c r="I464" s="76">
        <v>0.01</v>
      </c>
      <c r="J464" s="240">
        <f>(F464 * (IF(I464,I464,G464)*10^-3))</f>
        <v>1E-3</v>
      </c>
      <c r="K464" s="34"/>
      <c r="L464" s="13"/>
      <c r="M464" s="34"/>
    </row>
    <row r="465" spans="1:13" ht="20.100000000000001" customHeight="1" x14ac:dyDescent="0.2">
      <c r="D465" s="15"/>
      <c r="E465" s="15"/>
      <c r="F465" s="15">
        <v>100</v>
      </c>
      <c r="G465" s="15" cm="1">
        <f t="array" ref="G465">Common_InputFunctions.Utility_LookupValueInTableNumber(E465,Table_SourceData_Scope3_ChemicalsPharmacy[Product],Table_SourceData_Scope3_ChemicalsPharmacy[Emissions intensity])</f>
        <v>0</v>
      </c>
      <c r="H465" s="240">
        <f>(F465 * (G465*10^-3))</f>
        <v>0</v>
      </c>
      <c r="I465" s="76">
        <v>0.01</v>
      </c>
      <c r="J465" s="240">
        <f>(F465 * (IF(I465,I465,G465)*10^-3))</f>
        <v>1E-3</v>
      </c>
      <c r="K465" s="34"/>
      <c r="L465" s="13"/>
      <c r="M465" s="34"/>
    </row>
    <row r="466" spans="1:13" ht="20.100000000000001" customHeight="1" x14ac:dyDescent="0.2">
      <c r="D466" s="15"/>
      <c r="E466" s="15"/>
      <c r="F466" s="15">
        <v>100</v>
      </c>
      <c r="G466" s="15" cm="1">
        <f t="array" ref="G466">Common_InputFunctions.Utility_LookupValueInTableNumber(E466,Table_SourceData_Scope3_ChemicalsPharmacy[Product],Table_SourceData_Scope3_ChemicalsPharmacy[Emissions intensity])</f>
        <v>0</v>
      </c>
      <c r="H466" s="240">
        <f>(F466 * (G466*10^-3))</f>
        <v>0</v>
      </c>
      <c r="I466" s="76">
        <v>4.0000000000000001E-3</v>
      </c>
      <c r="J466" s="240">
        <f>(F466 * (IF(I466,I466,G466)*10^-3))</f>
        <v>3.9999999999999996E-4</v>
      </c>
      <c r="K466" s="34"/>
      <c r="L466" s="13"/>
      <c r="M466" s="34"/>
    </row>
    <row r="467" spans="1:13" ht="20.100000000000001" customHeight="1" x14ac:dyDescent="0.2">
      <c r="D467" s="15"/>
      <c r="E467" s="15"/>
      <c r="F467" s="15">
        <v>100</v>
      </c>
      <c r="G467" s="15" cm="1">
        <f t="array" ref="G467">Common_InputFunctions.Utility_LookupValueInTableNumber(E467,Table_SourceData_Scope3_ChemicalsPharmacy[Product],Table_SourceData_Scope3_ChemicalsPharmacy[Emissions intensity])</f>
        <v>0</v>
      </c>
      <c r="H467" s="240">
        <f>(F467 * (G467*10^-3))</f>
        <v>0</v>
      </c>
      <c r="I467" s="76">
        <v>0.05</v>
      </c>
      <c r="J467" s="240">
        <f>(F467 * (IF(I467,I467,G467)*10^-3))</f>
        <v>5.0000000000000001E-3</v>
      </c>
      <c r="K467" s="34"/>
      <c r="L467" s="13"/>
      <c r="M467" s="34"/>
    </row>
    <row r="468" spans="1:13" ht="20.100000000000001" customHeight="1" x14ac:dyDescent="0.2">
      <c r="D468" s="15"/>
      <c r="E468" s="15"/>
      <c r="F468" s="15">
        <v>100</v>
      </c>
      <c r="G468" s="15" cm="1">
        <f t="array" ref="G468">Common_InputFunctions.Utility_LookupValueInTableNumber(E468,Table_SourceData_Scope3_ChemicalsPharmacy[Product],Table_SourceData_Scope3_ChemicalsPharmacy[Emissions intensity])</f>
        <v>0</v>
      </c>
      <c r="H468" s="240">
        <f>(F468 * (G468*10^-3))</f>
        <v>0</v>
      </c>
      <c r="I468" s="76">
        <v>0.01</v>
      </c>
      <c r="J468" s="240">
        <f>(F468 * (IF(I468,I468,G468)*10^-3))</f>
        <v>1E-3</v>
      </c>
      <c r="K468" s="34"/>
      <c r="L468" s="13"/>
      <c r="M468" s="34"/>
    </row>
    <row r="469" spans="1:13" ht="20.100000000000001" customHeight="1" x14ac:dyDescent="0.2">
      <c r="D469" s="15"/>
      <c r="E469" s="15"/>
      <c r="F469" s="15">
        <v>0</v>
      </c>
      <c r="G469" s="15" cm="1">
        <f t="array" ref="G469">Common_InputFunctions.Utility_LookupValueInTableNumber(E469,Table_SourceData_Scope3_ChemicalsPharmacy[Product],Table_SourceData_Scope3_ChemicalsPharmacy[Emissions intensity])</f>
        <v>0</v>
      </c>
      <c r="H469" s="240">
        <f>(F469 * (G469*10^-3))</f>
        <v>0</v>
      </c>
      <c r="I469" s="76"/>
      <c r="J469" s="240">
        <f>(F469 * (IF(I469,I469,G469)*10^-3))</f>
        <v>0</v>
      </c>
      <c r="K469" s="34"/>
      <c r="L469" s="13"/>
      <c r="M469" s="34"/>
    </row>
    <row r="470" spans="1:13" ht="20.100000000000001" customHeight="1" x14ac:dyDescent="0.2">
      <c r="D470" s="15"/>
      <c r="E470" s="15"/>
      <c r="F470" s="15">
        <v>0</v>
      </c>
      <c r="G470" s="15" cm="1">
        <f t="array" ref="G470">Common_InputFunctions.Utility_LookupValueInTableNumber(E470,Table_SourceData_Scope3_ChemicalsPharmacy[Product],Table_SourceData_Scope3_ChemicalsPharmacy[Emissions intensity])</f>
        <v>0</v>
      </c>
      <c r="H470" s="240">
        <f>(F470 * (G470*10^-3))</f>
        <v>0</v>
      </c>
      <c r="I470" s="76"/>
      <c r="J470" s="240">
        <f>(F470 * (IF(I470,I470,G470)*10^-3))</f>
        <v>0</v>
      </c>
      <c r="K470" s="34"/>
      <c r="L470" s="13"/>
      <c r="M470" s="34"/>
    </row>
    <row r="471" spans="1:13" ht="20.100000000000001" customHeight="1" x14ac:dyDescent="0.2">
      <c r="D471" s="15"/>
      <c r="E471" s="15"/>
      <c r="F471" s="15">
        <v>0</v>
      </c>
      <c r="G471" s="15" cm="1">
        <f t="array" ref="G471">Common_InputFunctions.Utility_LookupValueInTableNumber(E471,Table_SourceData_Scope3_ChemicalsPharmacy[Product],Table_SourceData_Scope3_ChemicalsPharmacy[Emissions intensity])</f>
        <v>0</v>
      </c>
      <c r="H471" s="240">
        <f>(F471 * (G471*10^-3))</f>
        <v>0</v>
      </c>
      <c r="I471" s="76"/>
      <c r="J471" s="240">
        <f>(F471 * (IF(I471,I471,G471)*10^-3))</f>
        <v>0</v>
      </c>
      <c r="K471" s="34"/>
      <c r="L471" s="13"/>
      <c r="M471" s="34"/>
    </row>
    <row r="472" spans="1:13" ht="20.100000000000001" customHeight="1" x14ac:dyDescent="0.2">
      <c r="D472" s="15"/>
      <c r="E472" s="15"/>
      <c r="F472" s="15">
        <v>0</v>
      </c>
      <c r="G472" s="15" cm="1">
        <f t="array" ref="G472">Common_InputFunctions.Utility_LookupValueInTableNumber(E472,Table_SourceData_Scope3_ChemicalsPharmacy[Product],Table_SourceData_Scope3_ChemicalsPharmacy[Emissions intensity])</f>
        <v>0</v>
      </c>
      <c r="H472" s="240">
        <f>(F472 * (G472*10^-3))</f>
        <v>0</v>
      </c>
      <c r="I472" s="76"/>
      <c r="J472" s="240">
        <f>(F472 * (IF(I472,I472,G472)*10^-3))</f>
        <v>0</v>
      </c>
      <c r="K472" s="34"/>
      <c r="L472" s="13"/>
      <c r="M472" s="34"/>
    </row>
    <row r="474" spans="1:13" ht="20.100000000000001" customHeight="1" x14ac:dyDescent="0.2">
      <c r="D474" s="242" t="s">
        <v>859</v>
      </c>
      <c r="E474" s="88">
        <f>SUM(H463:H472)</f>
        <v>0</v>
      </c>
      <c r="F474" s="97" t="str">
        <f>$E$170</f>
        <v>t CO2e</v>
      </c>
    </row>
    <row r="475" spans="1:13" ht="20.100000000000001" customHeight="1" x14ac:dyDescent="0.2">
      <c r="D475" s="242" t="s">
        <v>862</v>
      </c>
      <c r="E475" s="88">
        <f>SUM(J463:J472)</f>
        <v>1.3400000000000002E-2</v>
      </c>
      <c r="F475" s="97" t="str">
        <f>$E$170</f>
        <v>t CO2e</v>
      </c>
    </row>
    <row r="478" spans="1:13" ht="20.100000000000001" customHeight="1" x14ac:dyDescent="0.2">
      <c r="D478" s="233" t="s">
        <v>836</v>
      </c>
    </row>
    <row r="479" spans="1:13" ht="20.100000000000001" customHeight="1" x14ac:dyDescent="0.2">
      <c r="A479" s="81" t="str">
        <f>HYPERLINK("#A1", "▲ Back to top")</f>
        <v>▲ Back to top</v>
      </c>
    </row>
    <row r="480" spans="1:13" ht="20.100000000000001" customHeight="1" x14ac:dyDescent="0.2">
      <c r="D480" s="80" t="s">
        <v>786</v>
      </c>
      <c r="E480" s="80" t="s">
        <v>962</v>
      </c>
      <c r="F480" s="138" t="s">
        <v>960</v>
      </c>
      <c r="G480" s="138" t="s">
        <v>859</v>
      </c>
      <c r="H480" s="80" t="s">
        <v>961</v>
      </c>
      <c r="I480" s="138" t="s">
        <v>862</v>
      </c>
      <c r="J480" s="80" t="s">
        <v>863</v>
      </c>
      <c r="K480" s="80" t="s">
        <v>864</v>
      </c>
      <c r="L480" s="80" t="s">
        <v>865</v>
      </c>
    </row>
    <row r="481" spans="4:12" ht="20.100000000000001" customHeight="1" x14ac:dyDescent="0.2">
      <c r="D481" s="15" t="str">
        <f>'Input - Crop pasture farm input'!D23</f>
        <v>Barley grain (for seed)</v>
      </c>
      <c r="E481" s="15">
        <f>IFERROR(X_Cell_FarmInputs_Seed_BarleyGrain, 0)</f>
        <v>500</v>
      </c>
      <c r="F481" s="15" cm="1">
        <f t="array" ref="F481">Common_InputFunctions.Utility_LookupValueInTableNumber(D481,Table_SourceData_Scope3_Other[Product],Table_SourceData_Scope3_Other[Emissions intensity])</f>
        <v>0.23899999999999999</v>
      </c>
      <c r="G481" s="240">
        <f>(E481 * (F481*10^-3))</f>
        <v>0.1195</v>
      </c>
      <c r="H481" s="76">
        <v>0.2</v>
      </c>
      <c r="I481" s="240">
        <f>(E481 * (IF(H481,H481,F481)*10^-3))</f>
        <v>0.1</v>
      </c>
      <c r="J481" s="34"/>
      <c r="K481" s="13"/>
      <c r="L481" s="34"/>
    </row>
    <row r="482" spans="4:12" ht="20.100000000000001" customHeight="1" x14ac:dyDescent="0.2">
      <c r="D482" s="15" t="str">
        <f>'Input - Crop pasture farm input'!D24</f>
        <v>Maize grain (for seed)</v>
      </c>
      <c r="E482" s="15">
        <f>IFERROR(X_Cell_FarmInputs_Seed_MaizeGrain, 0)</f>
        <v>600</v>
      </c>
      <c r="F482" s="15" cm="1">
        <f t="array" ref="F482">Common_InputFunctions.Utility_LookupValueInTableNumber(D482,Table_SourceData_Scope3_Other[Product],Table_SourceData_Scope3_Other[Emissions intensity])</f>
        <v>0.18099999999999999</v>
      </c>
      <c r="G482" s="240">
        <f>(E482 * (F482*10^-3))</f>
        <v>0.1086</v>
      </c>
      <c r="H482" s="76"/>
      <c r="I482" s="240">
        <f>(E482 * (IF(H482,H482,F482)*10^-3))</f>
        <v>0.1086</v>
      </c>
      <c r="J482" s="34"/>
      <c r="K482" s="13"/>
      <c r="L482" s="34"/>
    </row>
    <row r="483" spans="4:12" ht="20.100000000000001" customHeight="1" x14ac:dyDescent="0.2">
      <c r="D483" s="15" t="str">
        <f>'Input - Crop pasture farm input'!D25</f>
        <v>Oat grain (for seed)</v>
      </c>
      <c r="E483" s="15">
        <f>IFERROR(X_Cell_FarmInputs_Seed_OatGrain, 0)</f>
        <v>700</v>
      </c>
      <c r="F483" s="15" cm="1">
        <f t="array" ref="F483">Common_InputFunctions.Utility_LookupValueInTableNumber(D483,Table_SourceData_Scope3_Other[Product],Table_SourceData_Scope3_Other[Emissions intensity])</f>
        <v>0.27</v>
      </c>
      <c r="G483" s="240">
        <f>(E483 * (F483*10^-3))</f>
        <v>0.189</v>
      </c>
      <c r="H483" s="76">
        <v>0.2</v>
      </c>
      <c r="I483" s="240">
        <f>(E483 * (IF(H483,H483,F483)*10^-3))</f>
        <v>0.14000000000000001</v>
      </c>
      <c r="J483" s="34"/>
      <c r="K483" s="13"/>
      <c r="L483" s="34"/>
    </row>
    <row r="484" spans="4:12" ht="20.100000000000001" customHeight="1" x14ac:dyDescent="0.2">
      <c r="D484" s="15" t="str">
        <f>'Input - Crop pasture farm input'!D26</f>
        <v>Sorghum grain (for seed)</v>
      </c>
      <c r="E484" s="15">
        <f>IFERROR(X_Cell_FarmInputs_Seed_SorghumGrain, 0)</f>
        <v>800</v>
      </c>
      <c r="F484" s="15" cm="1">
        <f t="array" ref="F484">Common_InputFunctions.Utility_LookupValueInTableNumber(D484,Table_SourceData_Scope3_Other[Product],Table_SourceData_Scope3_Other[Emissions intensity])</f>
        <v>0.23200000000000001</v>
      </c>
      <c r="G484" s="240">
        <f>(E484 * (F484*10^-3))</f>
        <v>0.18560000000000001</v>
      </c>
      <c r="H484" s="76"/>
      <c r="I484" s="240">
        <f>(E484 * (IF(H484,H484,F484)*10^-3))</f>
        <v>0.18560000000000001</v>
      </c>
      <c r="J484" s="34"/>
      <c r="K484" s="13"/>
      <c r="L484" s="34"/>
    </row>
    <row r="485" spans="4:12" ht="20.100000000000001" customHeight="1" x14ac:dyDescent="0.2">
      <c r="D485" s="15" t="str">
        <f>'Input - Crop pasture farm input'!D27</f>
        <v>Wheat grain (for seed)</v>
      </c>
      <c r="E485" s="15">
        <f>IFERROR(X_Cell_FarmInputs_Seed_WheatGrain, 0)</f>
        <v>900</v>
      </c>
      <c r="F485" s="15" cm="1">
        <f t="array" ref="F485">Common_InputFunctions.Utility_LookupValueInTableNumber(D485,Table_SourceData_Scope3_Other[Product],Table_SourceData_Scope3_Other[Emissions intensity])</f>
        <v>0.26800000000000002</v>
      </c>
      <c r="G485" s="240">
        <f>(E485 * (F485*10^-3))</f>
        <v>0.2412</v>
      </c>
      <c r="H485" s="76">
        <v>0.2</v>
      </c>
      <c r="I485" s="240">
        <f>(E485 * (IF(H485,H485,F485)*10^-3))</f>
        <v>0.18000000000000002</v>
      </c>
      <c r="J485" s="34"/>
      <c r="K485" s="13"/>
      <c r="L485" s="34"/>
    </row>
    <row r="487" spans="4:12" ht="20.100000000000001" customHeight="1" x14ac:dyDescent="0.2">
      <c r="D487" s="242" t="s">
        <v>859</v>
      </c>
      <c r="E487" s="88">
        <f>SUM(G481:G485)</f>
        <v>0.84389999999999998</v>
      </c>
      <c r="F487" s="97" t="str">
        <f>$E$170</f>
        <v>t CO2e</v>
      </c>
    </row>
    <row r="488" spans="4:12" ht="20.100000000000001" customHeight="1" x14ac:dyDescent="0.2">
      <c r="D488" s="242" t="s">
        <v>862</v>
      </c>
      <c r="E488" s="88">
        <f>SUM(I481:I485)</f>
        <v>0.71420000000000006</v>
      </c>
      <c r="F488" s="97" t="str">
        <f>$E$170</f>
        <v>t CO2e</v>
      </c>
    </row>
    <row r="491" spans="4:12" ht="20.100000000000001" customHeight="1" x14ac:dyDescent="0.2">
      <c r="D491" s="233" t="s">
        <v>963</v>
      </c>
    </row>
    <row r="493" spans="4:12" ht="20.100000000000001" customHeight="1" x14ac:dyDescent="0.2">
      <c r="D493" s="80" t="s">
        <v>786</v>
      </c>
      <c r="E493" s="80" t="s">
        <v>962</v>
      </c>
      <c r="F493" s="138" t="s">
        <v>960</v>
      </c>
      <c r="G493" s="138" t="s">
        <v>859</v>
      </c>
      <c r="H493" s="80" t="s">
        <v>961</v>
      </c>
      <c r="I493" s="138" t="s">
        <v>862</v>
      </c>
      <c r="J493" s="80" t="s">
        <v>863</v>
      </c>
      <c r="K493" s="80" t="s">
        <v>864</v>
      </c>
      <c r="L493" s="80" t="s">
        <v>865</v>
      </c>
    </row>
    <row r="494" spans="4:12" ht="20.100000000000001" customHeight="1" x14ac:dyDescent="0.2">
      <c r="D494" s="15"/>
      <c r="E494" s="15">
        <f>IFERROR(X_Cell_FarmInputs_Misc_AnimalEarTagsLarge, 0)</f>
        <v>0</v>
      </c>
      <c r="F494" s="15" cm="1">
        <f t="array" ref="F494">Common_InputFunctions.Utility_LookupValueInTableNumber(D494,Table_SourceData_Scope3_Other[Product],Table_SourceData_Scope3_Other[Emissions intensity])</f>
        <v>0</v>
      </c>
      <c r="G494" s="240">
        <f>(E494 * (F494*10^-3))</f>
        <v>0</v>
      </c>
      <c r="H494" s="76">
        <v>0.2</v>
      </c>
      <c r="I494" s="240">
        <f>(E494 * (IF(H494,H494,F494)*10^-3))</f>
        <v>0</v>
      </c>
      <c r="J494" s="34"/>
      <c r="K494" s="13"/>
      <c r="L494" s="34"/>
    </row>
    <row r="495" spans="4:12" ht="20.100000000000001" customHeight="1" x14ac:dyDescent="0.2">
      <c r="D495" s="15"/>
      <c r="E495" s="15">
        <f>IFERROR(X_Cell_FarmInputs_Misc_AnimalEarTagsSmall, 0)</f>
        <v>0</v>
      </c>
      <c r="F495" s="15" cm="1">
        <f t="array" ref="F495">Common_InputFunctions.Utility_LookupValueInTableNumber(D495,Table_SourceData_Scope3_Other[Product],Table_SourceData_Scope3_Other[Emissions intensity])</f>
        <v>0</v>
      </c>
      <c r="G495" s="240">
        <f>(E495 * (F495*10^-3))</f>
        <v>0</v>
      </c>
      <c r="H495" s="76"/>
      <c r="I495" s="240">
        <f>(E495 * (IF(H495,H495,F495)*10^-3))</f>
        <v>0</v>
      </c>
      <c r="J495" s="34"/>
      <c r="K495" s="13"/>
      <c r="L495" s="34"/>
    </row>
    <row r="496" spans="4:12" ht="20.100000000000001" customHeight="1" x14ac:dyDescent="0.2">
      <c r="D496" s="15"/>
      <c r="E496" s="15">
        <f>IFERROR(X_Cell_FarmInputs_Misc_NylonNetting, 0)</f>
        <v>0</v>
      </c>
      <c r="F496" s="15" cm="1">
        <f t="array" ref="F496">Common_InputFunctions.Utility_LookupValueInTableNumber(D496,Table_SourceData_Scope3_Other[Product],Table_SourceData_Scope3_Other[Emissions intensity])</f>
        <v>0</v>
      </c>
      <c r="G496" s="240">
        <f>(E496 * (F496*10^-3))</f>
        <v>0</v>
      </c>
      <c r="H496" s="76">
        <v>0.2</v>
      </c>
      <c r="I496" s="240">
        <f>(E496 * (IF(H496,H496,F496)*10^-3))</f>
        <v>0</v>
      </c>
      <c r="J496" s="34"/>
      <c r="K496" s="13"/>
      <c r="L496" s="34"/>
    </row>
    <row r="498" spans="1:14" ht="20.100000000000001" customHeight="1" x14ac:dyDescent="0.2">
      <c r="D498" s="242" t="s">
        <v>859</v>
      </c>
      <c r="E498" s="88">
        <f>SUM(G494:G496)</f>
        <v>0</v>
      </c>
      <c r="F498" s="97" t="str">
        <f>$E$170</f>
        <v>t CO2e</v>
      </c>
    </row>
    <row r="499" spans="1:14" ht="20.100000000000001" customHeight="1" x14ac:dyDescent="0.2">
      <c r="D499" s="242" t="s">
        <v>862</v>
      </c>
      <c r="E499" s="88">
        <f>SUM(I494:I496)</f>
        <v>0</v>
      </c>
      <c r="F499" s="97" t="str">
        <f>$E$170</f>
        <v>t CO2e</v>
      </c>
    </row>
    <row r="502" spans="1:14" ht="20.100000000000001" customHeight="1" x14ac:dyDescent="0.2">
      <c r="D502" s="233" t="s">
        <v>964</v>
      </c>
    </row>
    <row r="504" spans="1:14" ht="20.100000000000001" customHeight="1" x14ac:dyDescent="0.2">
      <c r="D504" s="80" t="s">
        <v>786</v>
      </c>
      <c r="E504" s="80" t="s">
        <v>644</v>
      </c>
      <c r="F504" s="80" t="s">
        <v>553</v>
      </c>
      <c r="G504" s="138" t="s">
        <v>943</v>
      </c>
      <c r="H504" s="138" t="s">
        <v>944</v>
      </c>
      <c r="I504" s="80" t="s">
        <v>945</v>
      </c>
      <c r="J504" s="80" t="s">
        <v>965</v>
      </c>
      <c r="K504" s="138" t="s">
        <v>946</v>
      </c>
      <c r="L504" s="80" t="s">
        <v>863</v>
      </c>
      <c r="M504" s="80" t="s">
        <v>864</v>
      </c>
      <c r="N504" s="80" t="s">
        <v>865</v>
      </c>
    </row>
    <row r="505" spans="1:14" ht="20.100000000000001" customHeight="1" x14ac:dyDescent="0.2">
      <c r="D505" s="15" t="str" cm="1">
        <f t="array" ref="D505:D514">IFERROR(INDEX(Table_Input_UncategorisedProductsServices[Product / service name], _xlfn.SEQUENCE(10)), "")</f>
        <v>Something</v>
      </c>
      <c r="E505" s="15" cm="1">
        <f t="array" ref="E505:E514">IFERROR(INDEX(Table_Input_UncategorisedProductsServices[Amount], _xlfn.SEQUENCE(10)), "")</f>
        <v>1000</v>
      </c>
      <c r="F505" s="15" t="str" cm="1">
        <f t="array" ref="F505:F514">IFERROR(INDEX(Table_Input_UncategorisedProductsServices[Amount unit], _xlfn.SEQUENCE(10)), "")</f>
        <v>kg</v>
      </c>
      <c r="G505" s="15" t="s">
        <v>948</v>
      </c>
      <c r="H505" s="15" t="s">
        <v>948</v>
      </c>
      <c r="I505" s="76">
        <v>4</v>
      </c>
      <c r="J505" s="13" t="s">
        <v>966</v>
      </c>
      <c r="K505" s="240">
        <f>(E505 * (IF(J505="kg / amount unit", I505*10^-3, I505)))</f>
        <v>4000</v>
      </c>
      <c r="L505" s="34"/>
      <c r="M505" s="13"/>
      <c r="N505" s="34"/>
    </row>
    <row r="506" spans="1:14" ht="20.100000000000001" customHeight="1" x14ac:dyDescent="0.2">
      <c r="D506" s="15">
        <v>0</v>
      </c>
      <c r="E506" s="15">
        <v>0</v>
      </c>
      <c r="F506" s="15">
        <v>0</v>
      </c>
      <c r="G506" s="15" t="s">
        <v>948</v>
      </c>
      <c r="H506" s="15" t="s">
        <v>948</v>
      </c>
      <c r="I506" s="76">
        <v>2</v>
      </c>
      <c r="J506" s="13" t="s">
        <v>966</v>
      </c>
      <c r="K506" s="240">
        <f>(E506 * (IF(J506="kg / amount unit", I506*10^-3, I506)))</f>
        <v>0</v>
      </c>
      <c r="L506" s="34"/>
      <c r="M506" s="13"/>
      <c r="N506" s="34"/>
    </row>
    <row r="507" spans="1:14" ht="20.100000000000001" customHeight="1" x14ac:dyDescent="0.2">
      <c r="D507" s="15">
        <v>0</v>
      </c>
      <c r="E507" s="15">
        <v>0</v>
      </c>
      <c r="F507" s="15">
        <v>0</v>
      </c>
      <c r="G507" s="15" t="s">
        <v>948</v>
      </c>
      <c r="H507" s="15" t="s">
        <v>948</v>
      </c>
      <c r="I507" s="76"/>
      <c r="J507" s="13"/>
      <c r="K507" s="240">
        <f>(E507 * (IF(J507="kg / amount unit", I507*10^-3, I507)))</f>
        <v>0</v>
      </c>
      <c r="L507" s="34"/>
      <c r="M507" s="13"/>
      <c r="N507" s="34"/>
    </row>
    <row r="508" spans="1:14" ht="20.100000000000001" customHeight="1" x14ac:dyDescent="0.2">
      <c r="D508" s="15">
        <v>0</v>
      </c>
      <c r="E508" s="15">
        <v>0</v>
      </c>
      <c r="F508" s="15">
        <v>0</v>
      </c>
      <c r="G508" s="15" t="s">
        <v>948</v>
      </c>
      <c r="H508" s="15" t="s">
        <v>948</v>
      </c>
      <c r="I508" s="76"/>
      <c r="J508" s="13"/>
      <c r="K508" s="240">
        <f>(E508 * (IF(J508="kg / amount unit", I508*10^-3, I508)))</f>
        <v>0</v>
      </c>
      <c r="L508" s="34"/>
      <c r="M508" s="13"/>
      <c r="N508" s="34"/>
    </row>
    <row r="509" spans="1:14" ht="20.100000000000001" customHeight="1" x14ac:dyDescent="0.2">
      <c r="A509" s="81" t="str">
        <f>HYPERLINK("#A1", "▲ Back to top")</f>
        <v>▲ Back to top</v>
      </c>
      <c r="D509" s="15">
        <v>0</v>
      </c>
      <c r="E509" s="15">
        <v>0</v>
      </c>
      <c r="F509" s="15">
        <v>0</v>
      </c>
      <c r="G509" s="15" t="s">
        <v>948</v>
      </c>
      <c r="H509" s="15" t="s">
        <v>948</v>
      </c>
      <c r="I509" s="76"/>
      <c r="J509" s="13"/>
      <c r="K509" s="240">
        <f>(E509 * (IF(J509="kg / amount unit", I509*10^-3, I509)))</f>
        <v>0</v>
      </c>
      <c r="L509" s="34"/>
      <c r="M509" s="13"/>
      <c r="N509" s="34"/>
    </row>
    <row r="510" spans="1:14" ht="20.100000000000001" customHeight="1" x14ac:dyDescent="0.2">
      <c r="D510" s="15">
        <v>0</v>
      </c>
      <c r="E510" s="15">
        <v>0</v>
      </c>
      <c r="F510" s="15">
        <v>0</v>
      </c>
      <c r="G510" s="15" t="s">
        <v>948</v>
      </c>
      <c r="H510" s="15" t="s">
        <v>948</v>
      </c>
      <c r="I510" s="76"/>
      <c r="J510" s="13"/>
      <c r="K510" s="240">
        <f>(E510 * (IF(J510="kg / amount unit", I510*10^-3, I510)))</f>
        <v>0</v>
      </c>
      <c r="L510" s="34"/>
      <c r="M510" s="13"/>
      <c r="N510" s="34"/>
    </row>
    <row r="511" spans="1:14" ht="20.100000000000001" customHeight="1" x14ac:dyDescent="0.2">
      <c r="D511" s="15">
        <v>0</v>
      </c>
      <c r="E511" s="15">
        <v>0</v>
      </c>
      <c r="F511" s="15">
        <v>0</v>
      </c>
      <c r="G511" s="15" t="s">
        <v>948</v>
      </c>
      <c r="H511" s="15" t="s">
        <v>948</v>
      </c>
      <c r="I511" s="76"/>
      <c r="J511" s="13"/>
      <c r="K511" s="240">
        <f>(E511 * (IF(J511="kg / amount unit", I511*10^-3, I511)))</f>
        <v>0</v>
      </c>
      <c r="L511" s="34"/>
      <c r="M511" s="13"/>
      <c r="N511" s="34"/>
    </row>
    <row r="512" spans="1:14" ht="20.100000000000001" customHeight="1" x14ac:dyDescent="0.2">
      <c r="D512" s="15">
        <v>0</v>
      </c>
      <c r="E512" s="15">
        <v>0</v>
      </c>
      <c r="F512" s="15">
        <v>0</v>
      </c>
      <c r="G512" s="15" t="s">
        <v>948</v>
      </c>
      <c r="H512" s="15" t="s">
        <v>948</v>
      </c>
      <c r="I512" s="76"/>
      <c r="J512" s="13"/>
      <c r="K512" s="240">
        <f>(E512 * (IF(J512="kg / amount unit", I512*10^-3, I512)))</f>
        <v>0</v>
      </c>
      <c r="L512" s="34"/>
      <c r="M512" s="13"/>
      <c r="N512" s="34"/>
    </row>
    <row r="513" spans="3:41" ht="20.100000000000001" customHeight="1" x14ac:dyDescent="0.2">
      <c r="D513" s="15">
        <v>0</v>
      </c>
      <c r="E513" s="15">
        <v>0</v>
      </c>
      <c r="F513" s="15">
        <v>0</v>
      </c>
      <c r="G513" s="15" t="s">
        <v>948</v>
      </c>
      <c r="H513" s="15" t="s">
        <v>948</v>
      </c>
      <c r="I513" s="76"/>
      <c r="J513" s="13"/>
      <c r="K513" s="240">
        <f>(E513 * (IF(J513="kg / amount unit", I513*10^-3, I513)))</f>
        <v>0</v>
      </c>
      <c r="L513" s="34"/>
      <c r="M513" s="13"/>
      <c r="N513" s="34"/>
    </row>
    <row r="514" spans="3:41" ht="20.100000000000001" customHeight="1" x14ac:dyDescent="0.2">
      <c r="D514" s="15">
        <v>0</v>
      </c>
      <c r="E514" s="15">
        <v>0</v>
      </c>
      <c r="F514" s="15">
        <v>0</v>
      </c>
      <c r="G514" s="15" t="s">
        <v>948</v>
      </c>
      <c r="H514" s="15" t="s">
        <v>948</v>
      </c>
      <c r="I514" s="76"/>
      <c r="J514" s="13"/>
      <c r="K514" s="240">
        <f>(E514 * (IF(J514="kg / amount unit", I514*10^-3, I514)))</f>
        <v>0</v>
      </c>
      <c r="L514" s="34"/>
      <c r="M514" s="13"/>
      <c r="N514" s="34"/>
    </row>
    <row r="516" spans="3:41" ht="20.100000000000001" customHeight="1" x14ac:dyDescent="0.2">
      <c r="D516" s="242" t="s">
        <v>859</v>
      </c>
      <c r="E516" s="88" t="s">
        <v>948</v>
      </c>
      <c r="F516" s="97" t="str">
        <f>$E$170</f>
        <v>t CO2e</v>
      </c>
    </row>
    <row r="517" spans="3:41" ht="20.100000000000001" customHeight="1" x14ac:dyDescent="0.2">
      <c r="D517" s="242" t="s">
        <v>862</v>
      </c>
      <c r="E517" s="88">
        <f>SUM(K505:K514)</f>
        <v>4000</v>
      </c>
      <c r="F517" s="97" t="str">
        <f>$E$170</f>
        <v>t CO2e</v>
      </c>
    </row>
    <row r="520" spans="3:41" ht="20.100000000000001" customHeight="1" x14ac:dyDescent="0.2">
      <c r="C520" s="85"/>
      <c r="D520" s="85"/>
      <c r="E520" s="85"/>
      <c r="F520" s="85"/>
      <c r="G520" s="85"/>
      <c r="H520" s="85"/>
      <c r="I520" s="85"/>
      <c r="J520" s="85"/>
      <c r="K520" s="85"/>
      <c r="L520" s="85"/>
      <c r="M520" s="85"/>
      <c r="N520" s="85"/>
      <c r="O520" s="85"/>
      <c r="P520" s="85"/>
      <c r="Q520" s="85"/>
      <c r="R520" s="85"/>
      <c r="S520" s="85"/>
      <c r="T520" s="85"/>
      <c r="U520" s="85"/>
      <c r="V520" s="85"/>
      <c r="W520" s="85"/>
      <c r="X520" s="85"/>
      <c r="Y520" s="85"/>
      <c r="Z520" s="85"/>
      <c r="AA520" s="85"/>
      <c r="AB520" s="85"/>
      <c r="AC520" s="85"/>
      <c r="AD520" s="85"/>
      <c r="AE520" s="85"/>
      <c r="AF520" s="85"/>
      <c r="AG520" s="85"/>
      <c r="AH520" s="85"/>
      <c r="AI520" s="85"/>
      <c r="AJ520" s="85"/>
      <c r="AK520" s="85"/>
      <c r="AL520" s="85"/>
      <c r="AM520" s="85"/>
      <c r="AN520" s="85"/>
      <c r="AO520" s="85"/>
    </row>
    <row r="521" spans="3:41" ht="20.100000000000001" customHeight="1" x14ac:dyDescent="0.2">
      <c r="D521" s="2" t="s">
        <v>1452</v>
      </c>
    </row>
    <row r="522" spans="3:41" ht="20.100000000000001" customHeight="1" x14ac:dyDescent="0.2">
      <c r="D522" s="17" t="s">
        <v>1453</v>
      </c>
    </row>
    <row r="523" spans="3:41" ht="20.100000000000001" customHeight="1" x14ac:dyDescent="0.2">
      <c r="D523" s="134"/>
      <c r="E523" s="134"/>
    </row>
    <row r="527" spans="3:41" ht="20.100000000000001" customHeight="1" x14ac:dyDescent="0.2">
      <c r="D527" s="77" t="s">
        <v>371</v>
      </c>
      <c r="E527" s="1" t="s">
        <v>967</v>
      </c>
    </row>
    <row r="528" spans="3:41" ht="20.100000000000001" customHeight="1" x14ac:dyDescent="0.2">
      <c r="D528" s="77" t="s">
        <v>118</v>
      </c>
      <c r="E528" s="9" t="s">
        <v>7</v>
      </c>
    </row>
    <row r="530" spans="1:41" ht="20.100000000000001" customHeight="1" x14ac:dyDescent="0.2">
      <c r="D530" s="150" t="s">
        <v>1258</v>
      </c>
      <c r="E530" s="147" t="s">
        <v>1454</v>
      </c>
      <c r="F530" s="159"/>
      <c r="G530" s="150" t="s">
        <v>7</v>
      </c>
      <c r="H530" s="142" t="s">
        <v>1456</v>
      </c>
      <c r="I530" s="150">
        <f>VEERG_8_1_1_1__1_FuelCombustionTransport_Result</f>
        <v>20.5016</v>
      </c>
    </row>
    <row r="531" spans="1:41" ht="20.100000000000001" customHeight="1" x14ac:dyDescent="0.2">
      <c r="D531" s="150" t="s">
        <v>1285</v>
      </c>
      <c r="E531" s="147" t="s">
        <v>1455</v>
      </c>
      <c r="F531" s="159"/>
      <c r="G531" s="150" t="s">
        <v>7</v>
      </c>
      <c r="H531" s="142" t="s">
        <v>1457</v>
      </c>
      <c r="I531" s="150">
        <f>VEERG_8_2_1_1__1_FuelCombustionStationary_Result</f>
        <v>6.2923999999999998</v>
      </c>
    </row>
    <row r="533" spans="1:41" ht="20.100000000000001" customHeight="1" x14ac:dyDescent="0.2">
      <c r="D533" s="242" t="s">
        <v>967</v>
      </c>
      <c r="E533" s="88">
        <f>(I530 + I531)</f>
        <v>26.794</v>
      </c>
      <c r="F533" s="97" t="str">
        <f>$E$170</f>
        <v>t CO2e</v>
      </c>
    </row>
    <row r="535" spans="1:41" ht="20.100000000000001" customHeight="1" x14ac:dyDescent="0.2">
      <c r="C535" s="85"/>
      <c r="D535" s="85"/>
      <c r="E535" s="85"/>
      <c r="F535" s="85"/>
      <c r="G535" s="85"/>
      <c r="H535" s="85"/>
      <c r="I535" s="85"/>
      <c r="J535" s="85"/>
      <c r="K535" s="85"/>
      <c r="L535" s="85"/>
      <c r="M535" s="85"/>
      <c r="N535" s="85"/>
      <c r="O535" s="85"/>
      <c r="P535" s="85"/>
      <c r="Q535" s="85"/>
      <c r="R535" s="85"/>
      <c r="S535" s="85"/>
      <c r="T535" s="85"/>
      <c r="U535" s="85"/>
      <c r="V535" s="85"/>
      <c r="W535" s="85"/>
      <c r="X535" s="85"/>
      <c r="Y535" s="85"/>
      <c r="Z535" s="85"/>
      <c r="AA535" s="85"/>
      <c r="AB535" s="85"/>
      <c r="AC535" s="85"/>
      <c r="AD535" s="85"/>
      <c r="AE535" s="85"/>
      <c r="AF535" s="85"/>
      <c r="AG535" s="85"/>
      <c r="AH535" s="85"/>
      <c r="AI535" s="85"/>
      <c r="AJ535" s="85"/>
      <c r="AK535" s="85"/>
      <c r="AL535" s="85"/>
      <c r="AM535" s="85"/>
      <c r="AN535" s="85"/>
      <c r="AO535" s="85"/>
    </row>
    <row r="536" spans="1:41" ht="20.100000000000001" customHeight="1" x14ac:dyDescent="0.2">
      <c r="D536" s="2" t="s">
        <v>1458</v>
      </c>
    </row>
    <row r="537" spans="1:41" ht="20.100000000000001" customHeight="1" x14ac:dyDescent="0.2">
      <c r="D537" s="17" t="s">
        <v>1459</v>
      </c>
    </row>
    <row r="538" spans="1:41" ht="20.100000000000001" customHeight="1" x14ac:dyDescent="0.2">
      <c r="D538" s="134"/>
      <c r="E538" s="134"/>
    </row>
    <row r="539" spans="1:41" ht="20.100000000000001" customHeight="1" x14ac:dyDescent="0.2">
      <c r="A539" s="81" t="str">
        <f>HYPERLINK("#A1", "▲ Back to top")</f>
        <v>▲ Back to top</v>
      </c>
    </row>
    <row r="541" spans="1:41" ht="20.100000000000001" customHeight="1" x14ac:dyDescent="0.2">
      <c r="D541" s="77" t="s">
        <v>371</v>
      </c>
      <c r="E541" s="1" t="s">
        <v>1460</v>
      </c>
    </row>
    <row r="542" spans="1:41" ht="20.100000000000001" customHeight="1" x14ac:dyDescent="0.2">
      <c r="D542" s="77" t="s">
        <v>118</v>
      </c>
      <c r="E542" s="1" t="s">
        <v>7</v>
      </c>
    </row>
    <row r="544" spans="1:41" ht="20.100000000000001" customHeight="1" x14ac:dyDescent="0.2">
      <c r="D544" s="150" t="s">
        <v>1333</v>
      </c>
      <c r="E544" s="150" t="s">
        <v>1334</v>
      </c>
      <c r="F544" s="150"/>
      <c r="G544" s="150" t="s">
        <v>503</v>
      </c>
      <c r="H544" s="238" t="s">
        <v>1034</v>
      </c>
      <c r="I544" s="147">
        <f>X_Cell_Electricity_Location_AmountPurchasedInkWh</f>
        <v>30000</v>
      </c>
      <c r="J544" s="159"/>
    </row>
    <row r="545" spans="3:41" ht="20.100000000000001" customHeight="1" x14ac:dyDescent="0.2">
      <c r="D545" s="150" t="s">
        <v>1461</v>
      </c>
      <c r="E545" s="150" t="s">
        <v>1462</v>
      </c>
      <c r="F545" s="150"/>
      <c r="G545" s="150" t="s">
        <v>1338</v>
      </c>
      <c r="H545" s="142" t="s">
        <v>1036</v>
      </c>
      <c r="I545" s="147" cm="1">
        <f t="array" ref="I545">Common_InputFunctions.Utility_LookupValueInTableNumber(I546,Table_SourceData_ElectricityEFs[State, Territory or grid description],Table_SourceData_ElectricityEFs[Scope 3 Emission Factors (kg CO2-e/kWh)])</f>
        <v>0.09</v>
      </c>
      <c r="J545" s="159"/>
    </row>
    <row r="546" spans="3:41" ht="20.100000000000001" customHeight="1" x14ac:dyDescent="0.2">
      <c r="D546" s="150" t="s">
        <v>1268</v>
      </c>
      <c r="E546" s="147" t="s">
        <v>1463</v>
      </c>
      <c r="F546" s="159"/>
      <c r="G546" s="150"/>
      <c r="H546" s="238" t="s">
        <v>1034</v>
      </c>
      <c r="I546" s="147" t="str">
        <f>X_Cell_Electricity_Location_GridElectricityPurchasedFrom</f>
        <v>Western Australia - North Western Interconnected System (NWIS)</v>
      </c>
      <c r="J546" s="159"/>
    </row>
    <row r="548" spans="3:41" ht="20.100000000000001" customHeight="1" x14ac:dyDescent="0.2">
      <c r="D548" s="242" t="s">
        <v>968</v>
      </c>
      <c r="E548" s="88">
        <f>((I544 * I545) * 10 ^ -3)</f>
        <v>2.7</v>
      </c>
      <c r="F548" s="97" t="str">
        <f>$E$170</f>
        <v>t CO2e</v>
      </c>
    </row>
    <row r="551" spans="3:41" ht="20.100000000000001" customHeight="1" x14ac:dyDescent="0.2">
      <c r="C551" s="85"/>
      <c r="D551" s="85"/>
      <c r="E551" s="85"/>
      <c r="F551" s="85"/>
      <c r="G551" s="85"/>
      <c r="H551" s="85"/>
      <c r="I551" s="85"/>
      <c r="J551" s="85"/>
      <c r="K551" s="85"/>
      <c r="L551" s="85"/>
      <c r="M551" s="85"/>
      <c r="N551" s="85"/>
      <c r="O551" s="85"/>
      <c r="P551" s="85"/>
      <c r="Q551" s="85"/>
      <c r="R551" s="85"/>
      <c r="S551" s="85"/>
      <c r="T551" s="85"/>
      <c r="U551" s="85"/>
      <c r="V551" s="85"/>
      <c r="W551" s="85"/>
      <c r="X551" s="85"/>
      <c r="Y551" s="85"/>
      <c r="Z551" s="85"/>
      <c r="AA551" s="85"/>
      <c r="AB551" s="85"/>
      <c r="AC551" s="85"/>
      <c r="AD551" s="85"/>
      <c r="AE551" s="85"/>
      <c r="AF551" s="85"/>
      <c r="AG551" s="85"/>
      <c r="AH551" s="85"/>
      <c r="AI551" s="85"/>
      <c r="AJ551" s="85"/>
      <c r="AK551" s="85"/>
      <c r="AL551" s="85"/>
      <c r="AM551" s="85"/>
      <c r="AN551" s="85"/>
      <c r="AO551" s="85"/>
    </row>
    <row r="552" spans="3:41" ht="20.100000000000001" customHeight="1" x14ac:dyDescent="0.2">
      <c r="D552" s="2" t="s">
        <v>1464</v>
      </c>
    </row>
    <row r="553" spans="3:41" ht="20.100000000000001" customHeight="1" x14ac:dyDescent="0.2">
      <c r="D553" s="17" t="s">
        <v>1465</v>
      </c>
    </row>
    <row r="554" spans="3:41" ht="20.100000000000001" customHeight="1" x14ac:dyDescent="0.2">
      <c r="D554" s="26" t="s">
        <v>1341</v>
      </c>
    </row>
    <row r="555" spans="3:41" ht="20.100000000000001" customHeight="1" x14ac:dyDescent="0.2">
      <c r="D555" s="134"/>
      <c r="E555" s="134"/>
    </row>
    <row r="559" spans="3:41" ht="20.100000000000001" customHeight="1" x14ac:dyDescent="0.2">
      <c r="D559" s="77" t="s">
        <v>371</v>
      </c>
      <c r="E559" s="1" t="s">
        <v>1460</v>
      </c>
    </row>
    <row r="560" spans="3:41" ht="20.100000000000001" customHeight="1" x14ac:dyDescent="0.2">
      <c r="D560" s="77" t="s">
        <v>118</v>
      </c>
      <c r="E560" s="1" t="s">
        <v>7</v>
      </c>
    </row>
    <row r="562" spans="1:41" ht="20.100000000000001" customHeight="1" x14ac:dyDescent="0.2">
      <c r="D562" s="150" t="s">
        <v>1333</v>
      </c>
      <c r="E562" s="147" t="s">
        <v>1334</v>
      </c>
      <c r="F562" s="159"/>
      <c r="G562" s="150" t="s">
        <v>503</v>
      </c>
      <c r="H562" s="238" t="s">
        <v>1034</v>
      </c>
      <c r="I562" s="243">
        <f>X_Cell_Electricity_Market_AmountPurchasedExcludingGreenPower</f>
        <v>30000</v>
      </c>
    </row>
    <row r="563" spans="1:41" ht="20.100000000000001" customHeight="1" x14ac:dyDescent="0.2">
      <c r="D563" s="150" t="s">
        <v>1342</v>
      </c>
      <c r="E563" s="147" t="s">
        <v>1466</v>
      </c>
      <c r="F563" s="159"/>
      <c r="G563" s="150" t="s">
        <v>1120</v>
      </c>
      <c r="H563" s="238" t="s">
        <v>1034</v>
      </c>
      <c r="I563" s="174">
        <f>X_Cell_Electricity_Market_RenewablePowerPercentage</f>
        <v>0.1</v>
      </c>
    </row>
    <row r="564" spans="1:41" ht="20.100000000000001" customHeight="1" x14ac:dyDescent="0.2">
      <c r="D564" s="150" t="s">
        <v>1344</v>
      </c>
      <c r="E564" s="147" t="s">
        <v>1467</v>
      </c>
      <c r="F564" s="159"/>
      <c r="G564" s="150" t="s">
        <v>1120</v>
      </c>
      <c r="H564" s="238" t="s">
        <v>1034</v>
      </c>
      <c r="I564" s="174">
        <f>X_Cell_Electricity_Market_JurisdictionalRenewablePowerPercentage</f>
        <v>0.1</v>
      </c>
    </row>
    <row r="565" spans="1:41" ht="20.100000000000001" customHeight="1" x14ac:dyDescent="0.2">
      <c r="D565" s="150" t="s">
        <v>1346</v>
      </c>
      <c r="E565" s="147" t="s">
        <v>1468</v>
      </c>
      <c r="F565" s="159"/>
      <c r="G565" s="150" t="s">
        <v>519</v>
      </c>
      <c r="H565" s="238" t="s">
        <v>1034</v>
      </c>
      <c r="I565" s="150">
        <f>(X_Cell_Electricity_Market_AmountPurchasedGreenPower*10^-3)+X_Cell_TotalElegibleVoluntarilySurrenderedRECs</f>
        <v>15</v>
      </c>
    </row>
    <row r="566" spans="1:41" ht="20.100000000000001" customHeight="1" x14ac:dyDescent="0.2">
      <c r="D566" s="150" t="s">
        <v>1348</v>
      </c>
      <c r="E566" s="147" t="s">
        <v>1469</v>
      </c>
      <c r="F566" s="159"/>
      <c r="G566" s="150" t="s">
        <v>519</v>
      </c>
      <c r="H566" s="238" t="s">
        <v>1034</v>
      </c>
      <c r="I566" s="150">
        <f>X_Cell_TotalElegibleRECsForElectricityProducedOnSite</f>
        <v>0</v>
      </c>
    </row>
    <row r="567" spans="1:41" ht="20.100000000000001" customHeight="1" x14ac:dyDescent="0.2">
      <c r="D567" s="150" t="s">
        <v>1470</v>
      </c>
      <c r="E567" s="147" t="s">
        <v>1471</v>
      </c>
      <c r="F567" s="159"/>
      <c r="G567" s="150" t="s">
        <v>1338</v>
      </c>
      <c r="H567" s="142" t="s">
        <v>1036</v>
      </c>
      <c r="I567" s="150" cm="1">
        <f t="array" ref="I567">Table_SourceData_ElectricityEFsMarketBased[Scope 3 EF (kg CO2-e/kWh)]</f>
        <v>0.1</v>
      </c>
    </row>
    <row r="568" spans="1:41" ht="20.100000000000001" customHeight="1" x14ac:dyDescent="0.2">
      <c r="D568" s="150" t="s">
        <v>1101</v>
      </c>
      <c r="E568" s="147" t="s">
        <v>1298</v>
      </c>
      <c r="F568" s="159"/>
      <c r="G568" s="150"/>
      <c r="H568" s="238" t="s">
        <v>1034</v>
      </c>
      <c r="I568" s="150" t="str">
        <f>X_Cell_Site_State</f>
        <v>Western Australia</v>
      </c>
    </row>
    <row r="569" spans="1:41" ht="20.100000000000001" customHeight="1" x14ac:dyDescent="0.2">
      <c r="A569" s="81" t="str">
        <f>HYPERLINK("#A1", "▲ Back to top")</f>
        <v>▲ Back to top</v>
      </c>
    </row>
    <row r="570" spans="1:41" ht="20.100000000000001" customHeight="1" x14ac:dyDescent="0.2">
      <c r="D570" s="242" t="s">
        <v>968</v>
      </c>
      <c r="E570" s="88">
        <f>(((I562 * (1 - (I563 + I564))) - ((I565 - I566) * 10 ^ 3)) * I567 * 10 ^ -3)</f>
        <v>0.9</v>
      </c>
      <c r="F570" s="97" t="str">
        <f>$E$170</f>
        <v>t CO2e</v>
      </c>
    </row>
    <row r="573" spans="1:41" ht="20.100000000000001" customHeight="1" x14ac:dyDescent="0.2">
      <c r="C573" s="85"/>
      <c r="D573" s="85"/>
      <c r="E573" s="85"/>
      <c r="F573" s="85"/>
      <c r="G573" s="85"/>
      <c r="H573" s="85"/>
      <c r="I573" s="85"/>
      <c r="J573" s="85"/>
      <c r="K573" s="85"/>
      <c r="L573" s="85"/>
      <c r="M573" s="85"/>
      <c r="N573" s="85"/>
      <c r="O573" s="85"/>
      <c r="P573" s="85"/>
      <c r="Q573" s="85"/>
      <c r="R573" s="85"/>
      <c r="S573" s="85"/>
      <c r="T573" s="85"/>
      <c r="U573" s="85"/>
      <c r="V573" s="85"/>
      <c r="W573" s="85"/>
      <c r="X573" s="85"/>
      <c r="Y573" s="85"/>
      <c r="Z573" s="85"/>
      <c r="AA573" s="85"/>
      <c r="AB573" s="85"/>
      <c r="AC573" s="85"/>
      <c r="AD573" s="85"/>
      <c r="AE573" s="85"/>
      <c r="AF573" s="85"/>
      <c r="AG573" s="85"/>
      <c r="AH573" s="85"/>
      <c r="AI573" s="85"/>
      <c r="AJ573" s="85"/>
      <c r="AK573" s="85"/>
      <c r="AL573" s="85"/>
      <c r="AM573" s="85"/>
      <c r="AN573" s="85"/>
      <c r="AO573" s="85"/>
    </row>
    <row r="574" spans="1:41" ht="20.100000000000001" customHeight="1" x14ac:dyDescent="0.2">
      <c r="D574" s="2" t="s">
        <v>1472</v>
      </c>
    </row>
    <row r="575" spans="1:41" ht="20.100000000000001" customHeight="1" x14ac:dyDescent="0.2">
      <c r="D575" s="17" t="s">
        <v>1473</v>
      </c>
    </row>
    <row r="576" spans="1:41" ht="20.100000000000001" customHeight="1" x14ac:dyDescent="0.2">
      <c r="D576" s="134"/>
      <c r="E576" s="134"/>
    </row>
    <row r="579" spans="4:18" ht="20.100000000000001" customHeight="1" x14ac:dyDescent="0.2">
      <c r="D579" s="77" t="s">
        <v>371</v>
      </c>
      <c r="E579" s="1" t="s">
        <v>967</v>
      </c>
    </row>
    <row r="580" spans="4:18" ht="20.100000000000001" customHeight="1" x14ac:dyDescent="0.2">
      <c r="D580" s="77" t="s">
        <v>118</v>
      </c>
      <c r="E580" s="9" t="s">
        <v>12</v>
      </c>
    </row>
    <row r="582" spans="4:18" ht="20.100000000000001" customHeight="1" x14ac:dyDescent="0.2">
      <c r="D582" s="25" t="s">
        <v>130</v>
      </c>
      <c r="L582" s="25" t="s">
        <v>131</v>
      </c>
    </row>
    <row r="584" spans="4:18" ht="20.100000000000001" customHeight="1" x14ac:dyDescent="0.2">
      <c r="D584" s="150" t="s">
        <v>749</v>
      </c>
      <c r="E584" s="147" t="s">
        <v>1474</v>
      </c>
      <c r="F584" s="158"/>
      <c r="G584" s="159"/>
      <c r="H584" s="150" t="s">
        <v>12</v>
      </c>
      <c r="I584" s="142" t="s">
        <v>1087</v>
      </c>
      <c r="J584" s="150">
        <f>IFERROR(VEERG_5_2_1_1__1_OrganicFertiliserApplicationN2OEmissions_Result_Method1, 0)</f>
        <v>0</v>
      </c>
      <c r="L584" s="150" t="s">
        <v>749</v>
      </c>
      <c r="M584" s="147" t="s">
        <v>1474</v>
      </c>
      <c r="N584" s="158"/>
      <c r="O584" s="159"/>
      <c r="P584" s="150" t="s">
        <v>12</v>
      </c>
      <c r="Q584" s="142" t="s">
        <v>1087</v>
      </c>
      <c r="R584" s="150">
        <f>IFERROR(VEERG_5_2_1_1__1_OrganicFertiliserApplicationN2OEmissions_Result_Method2, 0)</f>
        <v>0</v>
      </c>
    </row>
    <row r="585" spans="4:18" ht="20.100000000000001" customHeight="1" x14ac:dyDescent="0.2">
      <c r="D585" s="150" t="s">
        <v>1475</v>
      </c>
      <c r="E585" s="147" t="s">
        <v>1476</v>
      </c>
      <c r="F585" s="158"/>
      <c r="G585" s="159"/>
      <c r="H585" s="150" t="s">
        <v>12</v>
      </c>
      <c r="I585" s="142" t="s">
        <v>1087</v>
      </c>
      <c r="J585" s="150">
        <f>IFERROR(VEERG_5_4_1_3__1_OrganicFertiliserAtmosphericDepositionN2OEmissions_Result_Method1, 0)</f>
        <v>1.6400999999999999E-2</v>
      </c>
      <c r="L585" s="150" t="s">
        <v>1475</v>
      </c>
      <c r="M585" s="147" t="s">
        <v>1476</v>
      </c>
      <c r="N585" s="158"/>
      <c r="O585" s="159"/>
      <c r="P585" s="150" t="s">
        <v>12</v>
      </c>
      <c r="Q585" s="142" t="s">
        <v>1087</v>
      </c>
      <c r="R585" s="150">
        <f>IFERROR(VEERG_5_4_1_3__1_OrganicFertiliserAtmosphericDepositionN2OEmissions_Result_Method2, 0)</f>
        <v>0</v>
      </c>
    </row>
    <row r="586" spans="4:18" ht="20.100000000000001" customHeight="1" x14ac:dyDescent="0.2">
      <c r="D586" s="150" t="s">
        <v>1477</v>
      </c>
      <c r="E586" s="147" t="s">
        <v>1478</v>
      </c>
      <c r="F586" s="158"/>
      <c r="G586" s="159"/>
      <c r="H586" s="150" t="s">
        <v>12</v>
      </c>
      <c r="I586" s="142" t="s">
        <v>1087</v>
      </c>
      <c r="J586" s="150">
        <f>IFERROR(VEERG_5_5_1_1__1_FertiliserLeachingAndRunoffN2OEmissions_Result_Method1, 0)</f>
        <v>0.78791740368000007</v>
      </c>
      <c r="L586" s="150" t="s">
        <v>1477</v>
      </c>
      <c r="M586" s="147" t="s">
        <v>1478</v>
      </c>
      <c r="N586" s="158"/>
      <c r="O586" s="159"/>
      <c r="P586" s="150" t="s">
        <v>12</v>
      </c>
      <c r="Q586" s="142" t="s">
        <v>1087</v>
      </c>
      <c r="R586" s="150">
        <f>IFERROR(VEERG_5_5_1_1__1_FertiliserLeachingAndRunoffN2OEmissions_Result_Method2, 0)</f>
        <v>0</v>
      </c>
    </row>
    <row r="588" spans="4:18" ht="20.100000000000001" customHeight="1" x14ac:dyDescent="0.2">
      <c r="D588" s="242" t="s">
        <v>968</v>
      </c>
      <c r="E588" s="88">
        <f>(J584 + J585 + J586)</f>
        <v>0.80431840368000007</v>
      </c>
      <c r="F588" s="97" t="str">
        <f>$E$580</f>
        <v>t N2O</v>
      </c>
      <c r="L588" s="242" t="s">
        <v>968</v>
      </c>
      <c r="M588" s="88">
        <f>(R584 + R585 + R586)</f>
        <v>0</v>
      </c>
      <c r="N588" s="97" t="str">
        <f>$E$580</f>
        <v>t N2O</v>
      </c>
    </row>
    <row r="590" spans="4:18" ht="20.100000000000001" customHeight="1" x14ac:dyDescent="0.2">
      <c r="D590" s="139" t="str" cm="1">
        <f t="array" ref="D590:E591">Common_Equations.Common_ConvertN2OToCO2e_Arguments()</f>
        <v>EN2O</v>
      </c>
      <c r="E590" s="140" t="str">
        <v>Nitrous oxide emissions (t N2O)</v>
      </c>
      <c r="F590" s="149"/>
      <c r="G590" s="15">
        <f>E588</f>
        <v>0.80431840368000007</v>
      </c>
      <c r="L590" s="139" t="str" cm="1">
        <f t="array" ref="L590:M591">Common_Equations.Common_ConvertN2OToCO2e_Arguments()</f>
        <v>EN2O</v>
      </c>
      <c r="M590" s="140" t="str">
        <v>Nitrous oxide emissions (t N2O)</v>
      </c>
      <c r="N590" s="149"/>
      <c r="O590" s="15">
        <f>M588</f>
        <v>0</v>
      </c>
    </row>
    <row r="591" spans="4:18" ht="20.100000000000001" customHeight="1" x14ac:dyDescent="0.2">
      <c r="D591" s="139" t="str">
        <v>GWPN2O</v>
      </c>
      <c r="E591" s="140" t="str">
        <v>Global warming potential for nitrous oxide (t CO2-e / t N2O)</v>
      </c>
      <c r="F591" s="149"/>
      <c r="G591" s="15">
        <f>Common_InputFunctions.Utility_LookupValueInTableNumber("N2O",Table_GWPData[Gas],Table_GWPData[CO2-e factor])</f>
        <v>265</v>
      </c>
      <c r="L591" s="139" t="str">
        <v>GWPN2O</v>
      </c>
      <c r="M591" s="140" t="str">
        <v>Global warming potential for nitrous oxide (t CO2-e / t N2O)</v>
      </c>
      <c r="N591" s="149"/>
      <c r="O591" s="15">
        <f>Common_InputFunctions.Utility_LookupValueInTableNumber("N2O",Table_GWPData[Gas],Table_GWPData[CO2-e factor])</f>
        <v>265</v>
      </c>
    </row>
    <row r="593" spans="1:41" ht="20.100000000000001" customHeight="1" x14ac:dyDescent="0.2">
      <c r="D593" s="85" t="s">
        <v>395</v>
      </c>
      <c r="E593" s="85" cm="1">
        <f t="array" ref="E593">Common_Equations.Common_ConvertN2OToCO2e(G590,G591)</f>
        <v>213.14437697520003</v>
      </c>
      <c r="F593" s="91" t="str" cm="1">
        <f t="array" ref="F593">Common_Equations.Common_ConvertN2OToCO2e_Unit()</f>
        <v>t CO2e</v>
      </c>
      <c r="L593" s="85" t="s">
        <v>395</v>
      </c>
      <c r="M593" s="85" cm="1">
        <f t="array" ref="M593">Common_Equations.Common_ConvertN2OToCO2e(O590,O591)</f>
        <v>0</v>
      </c>
      <c r="N593" s="91" t="str" cm="1">
        <f t="array" ref="N593">Common_Equations.Common_ConvertN2OToCO2e_Unit()</f>
        <v>t CO2e</v>
      </c>
    </row>
    <row r="596" spans="1:41" ht="20.100000000000001" customHeight="1" x14ac:dyDescent="0.2">
      <c r="C596" s="85"/>
      <c r="D596" s="85"/>
      <c r="E596" s="85"/>
      <c r="F596" s="85"/>
      <c r="G596" s="85"/>
      <c r="H596" s="85"/>
      <c r="I596" s="85"/>
      <c r="J596" s="85"/>
      <c r="K596" s="85"/>
      <c r="L596" s="85"/>
      <c r="M596" s="85"/>
      <c r="N596" s="85"/>
      <c r="O596" s="85"/>
      <c r="P596" s="85"/>
      <c r="Q596" s="85"/>
      <c r="R596" s="85"/>
      <c r="S596" s="85"/>
      <c r="T596" s="85"/>
      <c r="U596" s="85"/>
      <c r="V596" s="85"/>
      <c r="W596" s="85"/>
      <c r="X596" s="85"/>
      <c r="Y596" s="85"/>
      <c r="Z596" s="85"/>
      <c r="AA596" s="85"/>
      <c r="AB596" s="85"/>
      <c r="AC596" s="85"/>
      <c r="AD596" s="85"/>
      <c r="AE596" s="85"/>
      <c r="AF596" s="85"/>
      <c r="AG596" s="85"/>
      <c r="AH596" s="85"/>
      <c r="AI596" s="85"/>
      <c r="AJ596" s="85"/>
      <c r="AK596" s="85"/>
      <c r="AL596" s="85"/>
      <c r="AM596" s="85"/>
      <c r="AN596" s="85"/>
      <c r="AO596" s="85"/>
    </row>
    <row r="597" spans="1:41" ht="20.100000000000001" customHeight="1" x14ac:dyDescent="0.2">
      <c r="D597" s="2" t="s">
        <v>1479</v>
      </c>
    </row>
    <row r="598" spans="1:41" ht="20.100000000000001" customHeight="1" x14ac:dyDescent="0.2">
      <c r="D598" s="17" t="s">
        <v>1480</v>
      </c>
    </row>
    <row r="599" spans="1:41" ht="20.100000000000001" customHeight="1" x14ac:dyDescent="0.2">
      <c r="A599" s="81" t="str">
        <f>HYPERLINK("#A1", "▲ Back to top")</f>
        <v>▲ Back to top</v>
      </c>
    </row>
    <row r="600" spans="1:41" ht="20.100000000000001" customHeight="1" x14ac:dyDescent="0.2">
      <c r="D600" s="77" t="s">
        <v>371</v>
      </c>
      <c r="E600" s="1" t="s">
        <v>967</v>
      </c>
    </row>
    <row r="601" spans="1:41" ht="20.100000000000001" customHeight="1" x14ac:dyDescent="0.2">
      <c r="D601" s="77" t="s">
        <v>118</v>
      </c>
      <c r="E601" s="9" t="s">
        <v>7</v>
      </c>
    </row>
    <row r="603" spans="1:41" ht="20.100000000000001" customHeight="1" x14ac:dyDescent="0.2">
      <c r="D603" s="242" t="s">
        <v>968</v>
      </c>
      <c r="E603" s="88">
        <f>VEERG_10_1_1_1__1_EmissionsFromWasteManagement_Scope3_Result_Method1</f>
        <v>441.15000000000003</v>
      </c>
      <c r="F603" s="97" t="str">
        <f>E601</f>
        <v>t CO2e</v>
      </c>
    </row>
    <row r="606" spans="1:41" ht="20.100000000000001" customHeight="1" x14ac:dyDescent="0.2">
      <c r="C606" s="85"/>
      <c r="D606" s="85"/>
      <c r="E606" s="85"/>
      <c r="F606" s="85"/>
      <c r="G606" s="85"/>
      <c r="H606" s="85"/>
      <c r="I606" s="85"/>
      <c r="J606" s="85"/>
      <c r="K606" s="85"/>
      <c r="L606" s="85"/>
      <c r="M606" s="85"/>
      <c r="N606" s="85"/>
      <c r="O606" s="85"/>
      <c r="P606" s="85"/>
      <c r="Q606" s="85"/>
      <c r="R606" s="85"/>
      <c r="S606" s="85"/>
      <c r="T606" s="85"/>
      <c r="U606" s="85"/>
      <c r="V606" s="85"/>
      <c r="W606" s="85"/>
      <c r="X606" s="85"/>
      <c r="Y606" s="85"/>
      <c r="Z606" s="85"/>
      <c r="AA606" s="85"/>
      <c r="AB606" s="85"/>
      <c r="AC606" s="85"/>
      <c r="AD606" s="85"/>
      <c r="AE606" s="85"/>
      <c r="AF606" s="85"/>
      <c r="AG606" s="85"/>
      <c r="AH606" s="85"/>
      <c r="AI606" s="85"/>
      <c r="AJ606" s="85"/>
      <c r="AK606" s="85"/>
      <c r="AL606" s="85"/>
      <c r="AM606" s="85"/>
      <c r="AN606" s="85"/>
      <c r="AO606" s="85"/>
    </row>
    <row r="607" spans="1:41" ht="20.100000000000001" customHeight="1" x14ac:dyDescent="0.2">
      <c r="D607" s="2" t="s">
        <v>1481</v>
      </c>
    </row>
    <row r="608" spans="1:41" ht="20.100000000000001" customHeight="1" x14ac:dyDescent="0.2">
      <c r="D608" s="17" t="s">
        <v>1482</v>
      </c>
    </row>
    <row r="609" spans="4:13" ht="20.100000000000001" customHeight="1" x14ac:dyDescent="0.2">
      <c r="D609" s="134"/>
      <c r="E609" s="134"/>
    </row>
    <row r="613" spans="4:13" ht="20.100000000000001" customHeight="1" x14ac:dyDescent="0.2">
      <c r="D613" s="77" t="s">
        <v>371</v>
      </c>
      <c r="E613" s="1" t="s">
        <v>967</v>
      </c>
    </row>
    <row r="614" spans="4:13" ht="20.100000000000001" customHeight="1" x14ac:dyDescent="0.2">
      <c r="D614" s="77" t="s">
        <v>118</v>
      </c>
      <c r="E614" s="9" t="s">
        <v>7</v>
      </c>
    </row>
    <row r="616" spans="4:13" ht="20.100000000000001" customHeight="1" x14ac:dyDescent="0.2">
      <c r="D616" s="150" t="s">
        <v>1483</v>
      </c>
      <c r="E616" s="147" t="s">
        <v>1484</v>
      </c>
      <c r="F616" s="159"/>
      <c r="G616" s="150" t="s">
        <v>1305</v>
      </c>
      <c r="H616" s="238" t="s">
        <v>1034</v>
      </c>
    </row>
    <row r="617" spans="4:13" ht="20.100000000000001" customHeight="1" x14ac:dyDescent="0.2">
      <c r="D617" s="150" t="s">
        <v>1485</v>
      </c>
      <c r="E617" s="147" t="s">
        <v>1486</v>
      </c>
      <c r="F617" s="159"/>
      <c r="G617" s="150" t="s">
        <v>1489</v>
      </c>
      <c r="H617" s="238" t="s">
        <v>1034</v>
      </c>
    </row>
    <row r="618" spans="4:13" ht="20.100000000000001" customHeight="1" x14ac:dyDescent="0.2">
      <c r="D618" s="150" t="s">
        <v>1385</v>
      </c>
      <c r="E618" s="147" t="s">
        <v>1487</v>
      </c>
      <c r="F618" s="159"/>
      <c r="G618" s="150" t="s">
        <v>1490</v>
      </c>
      <c r="H618" s="142" t="s">
        <v>1036</v>
      </c>
    </row>
    <row r="619" spans="4:13" ht="20.100000000000001" customHeight="1" x14ac:dyDescent="0.2">
      <c r="D619" s="150" t="s">
        <v>1045</v>
      </c>
      <c r="E619" s="147" t="s">
        <v>1488</v>
      </c>
      <c r="F619" s="159"/>
      <c r="G619" s="150"/>
      <c r="H619" s="238" t="s">
        <v>1034</v>
      </c>
    </row>
    <row r="621" spans="4:13" ht="20.100000000000001" customHeight="1" x14ac:dyDescent="0.2">
      <c r="D621" s="233" t="s">
        <v>838</v>
      </c>
    </row>
    <row r="623" spans="4:13" ht="20.100000000000001" customHeight="1" x14ac:dyDescent="0.2">
      <c r="D623" s="80" t="s">
        <v>969</v>
      </c>
      <c r="E623" s="80" t="s">
        <v>970</v>
      </c>
      <c r="F623" s="80" t="s">
        <v>971</v>
      </c>
      <c r="G623" s="138" t="s">
        <v>972</v>
      </c>
      <c r="H623" s="138" t="s">
        <v>859</v>
      </c>
      <c r="I623" s="80" t="s">
        <v>909</v>
      </c>
      <c r="J623" s="138" t="s">
        <v>862</v>
      </c>
      <c r="K623" s="80" t="s">
        <v>863</v>
      </c>
      <c r="L623" s="80" t="s">
        <v>864</v>
      </c>
      <c r="M623" s="80" t="s">
        <v>865</v>
      </c>
    </row>
    <row r="624" spans="4:13" ht="20.100000000000001" customHeight="1" x14ac:dyDescent="0.2">
      <c r="D624" s="15" t="str" cm="1">
        <f t="array" ref="D624:D633">IFERROR(INDEX(Table_Input_FreightIncoming[Route name], _xlfn.SEQUENCE(10)), "")</f>
        <v>Melbourne depot to farm depot weekly</v>
      </c>
      <c r="E624" s="15" cm="1">
        <f t="array" ref="E624:E633">IFERROR(INDEX(Table_Input_FreightIncoming[Average weight of freight per trip (t)], _xlfn.SEQUENCE(10)), "")</f>
        <v>10</v>
      </c>
      <c r="F624" s="15" cm="1">
        <f t="array" ref="F624:F633">IFERROR(INDEX(Table_Input_FreightIncoming[Route distance (km)], _xlfn.SEQUENCE(10))*INDEX(Table_Input_FreightIncoming[Number of trips taken], _xlfn.SEQUENCE(10)), "")</f>
        <v>51272</v>
      </c>
      <c r="G624" s="15" t="s">
        <v>948</v>
      </c>
      <c r="H624" s="15" t="s">
        <v>948</v>
      </c>
      <c r="I624" s="76">
        <v>0.01</v>
      </c>
      <c r="J624" s="15">
        <f>((E624 * F624) * I624)</f>
        <v>5127.2</v>
      </c>
      <c r="K624" s="34"/>
      <c r="L624" s="13"/>
      <c r="M624" s="34"/>
    </row>
    <row r="625" spans="1:13" ht="20.100000000000001" customHeight="1" x14ac:dyDescent="0.2">
      <c r="D625" s="15" t="str">
        <v>Fertiliser supplier to farm</v>
      </c>
      <c r="E625" s="15">
        <v>10</v>
      </c>
      <c r="F625" s="15">
        <v>390</v>
      </c>
      <c r="G625" s="15" t="s">
        <v>948</v>
      </c>
      <c r="H625" s="15" t="s">
        <v>948</v>
      </c>
      <c r="I625" s="76">
        <v>0.01</v>
      </c>
      <c r="J625" s="15">
        <f>((E625 * F625) * I625)</f>
        <v>39</v>
      </c>
      <c r="K625" s="34"/>
      <c r="L625" s="13"/>
      <c r="M625" s="34"/>
    </row>
    <row r="626" spans="1:13" ht="20.100000000000001" customHeight="1" x14ac:dyDescent="0.2">
      <c r="D626" s="15">
        <v>0</v>
      </c>
      <c r="E626" s="15">
        <v>0</v>
      </c>
      <c r="F626" s="15">
        <v>0</v>
      </c>
      <c r="G626" s="15" t="s">
        <v>948</v>
      </c>
      <c r="H626" s="15" t="s">
        <v>948</v>
      </c>
      <c r="I626" s="76"/>
      <c r="J626" s="15">
        <f>((E626 * F626) * I626)</f>
        <v>0</v>
      </c>
      <c r="K626" s="34"/>
      <c r="L626" s="13"/>
      <c r="M626" s="34"/>
    </row>
    <row r="627" spans="1:13" ht="20.100000000000001" customHeight="1" x14ac:dyDescent="0.2">
      <c r="D627" s="15">
        <v>0</v>
      </c>
      <c r="E627" s="15">
        <v>0</v>
      </c>
      <c r="F627" s="15">
        <v>0</v>
      </c>
      <c r="G627" s="15" t="s">
        <v>948</v>
      </c>
      <c r="H627" s="15" t="s">
        <v>948</v>
      </c>
      <c r="I627" s="76"/>
      <c r="J627" s="15">
        <f>((E627 * F627) * I627)</f>
        <v>0</v>
      </c>
      <c r="K627" s="34"/>
      <c r="L627" s="13"/>
      <c r="M627" s="34"/>
    </row>
    <row r="628" spans="1:13" ht="20.100000000000001" customHeight="1" x14ac:dyDescent="0.2">
      <c r="D628" s="15">
        <v>0</v>
      </c>
      <c r="E628" s="15">
        <v>0</v>
      </c>
      <c r="F628" s="15">
        <v>0</v>
      </c>
      <c r="G628" s="15" t="s">
        <v>948</v>
      </c>
      <c r="H628" s="15" t="s">
        <v>948</v>
      </c>
      <c r="I628" s="76"/>
      <c r="J628" s="15">
        <f>((E628 * F628) * I628)</f>
        <v>0</v>
      </c>
      <c r="K628" s="34"/>
      <c r="L628" s="13"/>
      <c r="M628" s="34"/>
    </row>
    <row r="629" spans="1:13" ht="20.100000000000001" customHeight="1" x14ac:dyDescent="0.2">
      <c r="A629" s="81" t="str">
        <f>HYPERLINK("#A1", "▲ Back to top")</f>
        <v>▲ Back to top</v>
      </c>
      <c r="D629" s="15">
        <v>0</v>
      </c>
      <c r="E629" s="15">
        <v>0</v>
      </c>
      <c r="F629" s="15">
        <v>0</v>
      </c>
      <c r="G629" s="15" t="s">
        <v>948</v>
      </c>
      <c r="H629" s="15" t="s">
        <v>948</v>
      </c>
      <c r="I629" s="76"/>
      <c r="J629" s="15">
        <f>((E629 * F629) * I629)</f>
        <v>0</v>
      </c>
      <c r="K629" s="34"/>
      <c r="L629" s="13"/>
      <c r="M629" s="34"/>
    </row>
    <row r="630" spans="1:13" ht="20.100000000000001" customHeight="1" x14ac:dyDescent="0.2">
      <c r="D630" s="15">
        <v>0</v>
      </c>
      <c r="E630" s="15">
        <v>0</v>
      </c>
      <c r="F630" s="15">
        <v>0</v>
      </c>
      <c r="G630" s="15" t="s">
        <v>948</v>
      </c>
      <c r="H630" s="15" t="s">
        <v>948</v>
      </c>
      <c r="I630" s="76"/>
      <c r="J630" s="15">
        <f>((E630 * F630) * I630)</f>
        <v>0</v>
      </c>
      <c r="K630" s="34"/>
      <c r="L630" s="13"/>
      <c r="M630" s="34"/>
    </row>
    <row r="631" spans="1:13" ht="20.100000000000001" customHeight="1" x14ac:dyDescent="0.2">
      <c r="D631" s="15">
        <v>0</v>
      </c>
      <c r="E631" s="15">
        <v>0</v>
      </c>
      <c r="F631" s="15">
        <v>0</v>
      </c>
      <c r="G631" s="15" t="s">
        <v>948</v>
      </c>
      <c r="H631" s="15" t="s">
        <v>948</v>
      </c>
      <c r="I631" s="76"/>
      <c r="J631" s="15">
        <f>((E631 * F631) * I631)</f>
        <v>0</v>
      </c>
      <c r="K631" s="34"/>
      <c r="L631" s="13"/>
      <c r="M631" s="34"/>
    </row>
    <row r="632" spans="1:13" ht="20.100000000000001" customHeight="1" x14ac:dyDescent="0.2">
      <c r="D632" s="15">
        <v>0</v>
      </c>
      <c r="E632" s="15">
        <v>0</v>
      </c>
      <c r="F632" s="15">
        <v>0</v>
      </c>
      <c r="G632" s="15" t="s">
        <v>948</v>
      </c>
      <c r="H632" s="15" t="s">
        <v>948</v>
      </c>
      <c r="I632" s="76"/>
      <c r="J632" s="15">
        <f>((E632 * F632) * I632)</f>
        <v>0</v>
      </c>
      <c r="K632" s="34"/>
      <c r="L632" s="13"/>
      <c r="M632" s="34"/>
    </row>
    <row r="633" spans="1:13" ht="20.100000000000001" customHeight="1" x14ac:dyDescent="0.2">
      <c r="D633" s="15">
        <v>0</v>
      </c>
      <c r="E633" s="15">
        <v>0</v>
      </c>
      <c r="F633" s="15">
        <v>0</v>
      </c>
      <c r="G633" s="15" t="s">
        <v>948</v>
      </c>
      <c r="H633" s="15" t="s">
        <v>948</v>
      </c>
      <c r="I633" s="76"/>
      <c r="J633" s="15">
        <f>((E633 * F633) * I633)</f>
        <v>0</v>
      </c>
      <c r="K633" s="34"/>
      <c r="L633" s="13"/>
      <c r="M633" s="34"/>
    </row>
    <row r="635" spans="1:13" ht="20.100000000000001" customHeight="1" x14ac:dyDescent="0.2">
      <c r="D635" s="90" t="s">
        <v>973</v>
      </c>
      <c r="E635" s="85" t="s">
        <v>948</v>
      </c>
      <c r="F635" s="91" t="str">
        <f>$E$105</f>
        <v>t CO2e</v>
      </c>
    </row>
    <row r="636" spans="1:13" ht="20.100000000000001" customHeight="1" x14ac:dyDescent="0.2">
      <c r="D636" s="90" t="s">
        <v>974</v>
      </c>
      <c r="E636" s="85">
        <f>SUM(J624:J633)</f>
        <v>5166.2</v>
      </c>
      <c r="F636" s="91" t="str">
        <f>$E$105</f>
        <v>t CO2e</v>
      </c>
    </row>
    <row r="639" spans="1:13" ht="20.100000000000001" customHeight="1" x14ac:dyDescent="0.2">
      <c r="D639" s="233" t="s">
        <v>848</v>
      </c>
    </row>
    <row r="641" spans="4:13" ht="20.100000000000001" customHeight="1" x14ac:dyDescent="0.2">
      <c r="D641" s="80" t="s">
        <v>969</v>
      </c>
      <c r="E641" s="80" t="s">
        <v>970</v>
      </c>
      <c r="F641" s="80" t="s">
        <v>971</v>
      </c>
      <c r="G641" s="138" t="s">
        <v>972</v>
      </c>
      <c r="H641" s="138" t="s">
        <v>859</v>
      </c>
      <c r="I641" s="80" t="s">
        <v>909</v>
      </c>
      <c r="J641" s="138" t="s">
        <v>862</v>
      </c>
      <c r="K641" s="80" t="s">
        <v>863</v>
      </c>
      <c r="L641" s="80" t="s">
        <v>864</v>
      </c>
      <c r="M641" s="80" t="s">
        <v>865</v>
      </c>
    </row>
    <row r="642" spans="4:13" ht="20.100000000000001" customHeight="1" x14ac:dyDescent="0.2">
      <c r="D642" s="15" t="str" cm="1">
        <f t="array" ref="D642:D651">IFERROR(INDEX(Table_Input_FreightOutgoing[Route name], _xlfn.SEQUENCE(10)), "")</f>
        <v>Farm to bulk handler</v>
      </c>
      <c r="E642" s="15" cm="1">
        <f t="array" ref="E642:E651">IFERROR(INDEX(Table_Input_FreightOutgoing[Average weight of freight per trip (t)], _xlfn.SEQUENCE(10)), "")</f>
        <v>20</v>
      </c>
      <c r="F642" s="15" cm="1">
        <f t="array" ref="F642:F651">IFERROR(INDEX(Table_Input_FreightOutgoing[Route distance (km)], _xlfn.SEQUENCE(10))*INDEX(Table_Input_FreightOutgoing[Number of trips taken], _xlfn.SEQUENCE(10)), "")</f>
        <v>3380</v>
      </c>
      <c r="G642" s="15" t="s">
        <v>948</v>
      </c>
      <c r="H642" s="15" t="s">
        <v>948</v>
      </c>
      <c r="I642" s="76">
        <v>0.01</v>
      </c>
      <c r="J642" s="15">
        <f>((E642 * F642) * I642)</f>
        <v>676</v>
      </c>
      <c r="K642" s="34"/>
      <c r="L642" s="13"/>
      <c r="M642" s="34"/>
    </row>
    <row r="643" spans="4:13" ht="20.100000000000001" customHeight="1" x14ac:dyDescent="0.2">
      <c r="D643" s="15">
        <v>0</v>
      </c>
      <c r="E643" s="15">
        <v>0</v>
      </c>
      <c r="F643" s="15">
        <v>0</v>
      </c>
      <c r="G643" s="15" t="s">
        <v>948</v>
      </c>
      <c r="H643" s="15" t="s">
        <v>948</v>
      </c>
      <c r="I643" s="76"/>
      <c r="J643" s="15">
        <f>((E643 * F643) * I643)</f>
        <v>0</v>
      </c>
      <c r="K643" s="34"/>
      <c r="L643" s="13"/>
      <c r="M643" s="34"/>
    </row>
    <row r="644" spans="4:13" ht="20.100000000000001" customHeight="1" x14ac:dyDescent="0.2">
      <c r="D644" s="15">
        <v>0</v>
      </c>
      <c r="E644" s="15">
        <v>0</v>
      </c>
      <c r="F644" s="15">
        <v>0</v>
      </c>
      <c r="G644" s="15" t="s">
        <v>948</v>
      </c>
      <c r="H644" s="15" t="s">
        <v>948</v>
      </c>
      <c r="I644" s="76"/>
      <c r="J644" s="15">
        <f>((E644 * F644) * I644)</f>
        <v>0</v>
      </c>
      <c r="K644" s="34"/>
      <c r="L644" s="13"/>
      <c r="M644" s="34"/>
    </row>
    <row r="645" spans="4:13" ht="20.100000000000001" customHeight="1" x14ac:dyDescent="0.2">
      <c r="D645" s="15">
        <v>0</v>
      </c>
      <c r="E645" s="15">
        <v>0</v>
      </c>
      <c r="F645" s="15">
        <v>0</v>
      </c>
      <c r="G645" s="15" t="s">
        <v>948</v>
      </c>
      <c r="H645" s="15" t="s">
        <v>948</v>
      </c>
      <c r="I645" s="76"/>
      <c r="J645" s="15">
        <f>((E645 * F645) * I645)</f>
        <v>0</v>
      </c>
      <c r="K645" s="34"/>
      <c r="L645" s="13"/>
      <c r="M645" s="34"/>
    </row>
    <row r="646" spans="4:13" ht="20.100000000000001" customHeight="1" x14ac:dyDescent="0.2">
      <c r="D646" s="15">
        <v>0</v>
      </c>
      <c r="E646" s="15">
        <v>0</v>
      </c>
      <c r="F646" s="15">
        <v>0</v>
      </c>
      <c r="G646" s="15" t="s">
        <v>948</v>
      </c>
      <c r="H646" s="15" t="s">
        <v>948</v>
      </c>
      <c r="I646" s="76"/>
      <c r="J646" s="15">
        <f>((E646 * F646) * I646)</f>
        <v>0</v>
      </c>
      <c r="K646" s="34"/>
      <c r="L646" s="13"/>
      <c r="M646" s="34"/>
    </row>
    <row r="647" spans="4:13" ht="20.100000000000001" customHeight="1" x14ac:dyDescent="0.2">
      <c r="D647" s="15">
        <v>0</v>
      </c>
      <c r="E647" s="15">
        <v>0</v>
      </c>
      <c r="F647" s="15">
        <v>0</v>
      </c>
      <c r="G647" s="15" t="s">
        <v>948</v>
      </c>
      <c r="H647" s="15" t="s">
        <v>948</v>
      </c>
      <c r="I647" s="76"/>
      <c r="J647" s="15">
        <f>((E647 * F647) * I647)</f>
        <v>0</v>
      </c>
      <c r="K647" s="34"/>
      <c r="L647" s="13"/>
      <c r="M647" s="34"/>
    </row>
    <row r="648" spans="4:13" ht="20.100000000000001" customHeight="1" x14ac:dyDescent="0.2">
      <c r="D648" s="15">
        <v>0</v>
      </c>
      <c r="E648" s="15">
        <v>0</v>
      </c>
      <c r="F648" s="15">
        <v>0</v>
      </c>
      <c r="G648" s="15" t="s">
        <v>948</v>
      </c>
      <c r="H648" s="15" t="s">
        <v>948</v>
      </c>
      <c r="I648" s="76"/>
      <c r="J648" s="15">
        <f>((E648 * F648) * I648)</f>
        <v>0</v>
      </c>
      <c r="K648" s="34"/>
      <c r="L648" s="13"/>
      <c r="M648" s="34"/>
    </row>
    <row r="649" spans="4:13" ht="20.100000000000001" customHeight="1" x14ac:dyDescent="0.2">
      <c r="D649" s="15">
        <v>0</v>
      </c>
      <c r="E649" s="15">
        <v>0</v>
      </c>
      <c r="F649" s="15">
        <v>0</v>
      </c>
      <c r="G649" s="15" t="s">
        <v>948</v>
      </c>
      <c r="H649" s="15" t="s">
        <v>948</v>
      </c>
      <c r="I649" s="76"/>
      <c r="J649" s="15">
        <f>((E649 * F649) * I649)</f>
        <v>0</v>
      </c>
      <c r="K649" s="34"/>
      <c r="L649" s="13"/>
      <c r="M649" s="34"/>
    </row>
    <row r="650" spans="4:13" ht="20.100000000000001" customHeight="1" x14ac:dyDescent="0.2">
      <c r="D650" s="15">
        <v>0</v>
      </c>
      <c r="E650" s="15">
        <v>0</v>
      </c>
      <c r="F650" s="15">
        <v>0</v>
      </c>
      <c r="G650" s="15" t="s">
        <v>948</v>
      </c>
      <c r="H650" s="15" t="s">
        <v>948</v>
      </c>
      <c r="I650" s="76"/>
      <c r="J650" s="15">
        <f>((E650 * F650) * I650)</f>
        <v>0</v>
      </c>
      <c r="K650" s="34"/>
      <c r="L650" s="13"/>
      <c r="M650" s="34"/>
    </row>
    <row r="651" spans="4:13" ht="20.100000000000001" customHeight="1" x14ac:dyDescent="0.2">
      <c r="D651" s="15">
        <v>0</v>
      </c>
      <c r="E651" s="15">
        <v>0</v>
      </c>
      <c r="F651" s="15">
        <v>0</v>
      </c>
      <c r="G651" s="15" t="s">
        <v>948</v>
      </c>
      <c r="H651" s="15" t="s">
        <v>948</v>
      </c>
      <c r="I651" s="76"/>
      <c r="J651" s="15">
        <f>((E651 * F651) * I651)</f>
        <v>0</v>
      </c>
      <c r="K651" s="34"/>
      <c r="L651" s="13"/>
      <c r="M651" s="34"/>
    </row>
    <row r="653" spans="4:13" ht="20.100000000000001" customHeight="1" x14ac:dyDescent="0.2">
      <c r="D653" s="90" t="s">
        <v>975</v>
      </c>
      <c r="E653" s="85" t="s">
        <v>948</v>
      </c>
      <c r="F653" s="91" t="str">
        <f>$E$105</f>
        <v>t CO2e</v>
      </c>
    </row>
    <row r="654" spans="4:13" ht="20.100000000000001" customHeight="1" x14ac:dyDescent="0.2">
      <c r="D654" s="90" t="s">
        <v>976</v>
      </c>
      <c r="E654" s="85">
        <f>SUM(J642:J651)</f>
        <v>676</v>
      </c>
      <c r="F654" s="91" t="str">
        <f>$E$105</f>
        <v>t CO2e</v>
      </c>
    </row>
    <row r="656" spans="4:13" ht="20.100000000000001" customHeight="1" x14ac:dyDescent="0.2">
      <c r="D656" s="87" t="s">
        <v>859</v>
      </c>
      <c r="E656" s="88" t="s">
        <v>948</v>
      </c>
      <c r="F656" s="97" t="str">
        <f>$E$105</f>
        <v>t CO2e</v>
      </c>
    </row>
    <row r="657" spans="4:6" ht="20.100000000000001" customHeight="1" x14ac:dyDescent="0.2">
      <c r="D657" s="87" t="s">
        <v>862</v>
      </c>
      <c r="E657" s="88">
        <f>VEERG_15_14_1_1__1_EmbeddedEmissionsFromUpstreamFreight_Incoming_Result_Method2+VEERG_15_14_1_1__1_EmbeddedEmissionsFromUpstreamFreight_Outgoing_Result_Method2</f>
        <v>5842.2</v>
      </c>
      <c r="F657" s="97" t="str">
        <f>$E$105</f>
        <v>t CO2e</v>
      </c>
    </row>
  </sheetData>
  <dataValidations count="2">
    <dataValidation type="list" allowBlank="1" showInputMessage="1" showErrorMessage="1" sqref="J505:J514" xr:uid="{07A086F0-2D21-4D9A-8F30-7C7CB1523D4C}">
      <formula1>"kg / amount unit, t / amount unit"</formula1>
    </dataValidation>
    <dataValidation type="list" allowBlank="1" showInputMessage="1" showErrorMessage="1" sqref="L42:L51 L61:L70 L79:L88 L445:L454 L463:L472 K120:K129 L382:L391 K137:K140 K177:K179 O23:O32 M236:M246 L320:L329 K288:K297 N351:N360 M505:M514 M252:M266 M414:M423 K481:K485 K494:K498 L624:L633 L642:L651" xr:uid="{22EA88C3-979D-483C-82CA-EFF4F4042FC4}">
      <formula1>INDIRECT("Table_SourceData_DataScores_Scope3[Data source]")</formula1>
    </dataValidation>
  </dataValidations>
  <pageMargins left="0.7" right="0.7" top="0.75" bottom="0.75" header="0.3" footer="0.3"/>
  <pageSetup paperSize="9" orientation="portrait"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BA1A5-A7A6-4BF7-B5A2-39BF6F82D876}">
  <sheetPr>
    <tabColor theme="2" tint="-0.499984740745262"/>
  </sheetPr>
  <dimension ref="A1:AI235"/>
  <sheetViews>
    <sheetView showGridLines="0" zoomScaleNormal="100" workbookViewId="0">
      <pane xSplit="1" topLeftCell="B1" activePane="topRight" state="frozenSplit"/>
      <selection pane="topRight" activeCell="A47" sqref="A47"/>
    </sheetView>
  </sheetViews>
  <sheetFormatPr defaultRowHeight="20.100000000000001" customHeight="1" x14ac:dyDescent="0.2"/>
  <cols>
    <col min="1" max="1" width="36.7109375" customWidth="1"/>
    <col min="2" max="2" width="4.7109375" customWidth="1"/>
    <col min="3" max="3" width="4.7109375" style="1" customWidth="1"/>
    <col min="4" max="9" width="20.7109375" style="1" customWidth="1"/>
    <col min="10" max="10" width="26.28515625" style="1" customWidth="1"/>
    <col min="11" max="31" width="20.7109375" style="1" customWidth="1"/>
    <col min="32" max="32" width="4.7109375" style="1" customWidth="1"/>
  </cols>
  <sheetData>
    <row r="1" spans="1:35" s="21" customFormat="1" ht="30" customHeight="1" x14ac:dyDescent="0.35">
      <c r="A1" s="10" t="e" vm="1">
        <v>#VALUE!</v>
      </c>
      <c r="C1" s="21" t="s">
        <v>754</v>
      </c>
      <c r="AG1"/>
      <c r="AH1"/>
      <c r="AI1"/>
    </row>
    <row r="2" spans="1:35" s="3" customFormat="1" ht="20.100000000000001" customHeight="1" x14ac:dyDescent="0.2">
      <c r="A2"/>
      <c r="AG2"/>
      <c r="AH2"/>
      <c r="AI2"/>
    </row>
    <row r="3" spans="1:35" ht="20.100000000000001" customHeight="1" x14ac:dyDescent="0.2">
      <c r="A3" s="5" t="str">
        <f>HYPERLINK("#'Home'!A1", "Home")</f>
        <v>Home</v>
      </c>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row>
    <row r="4" spans="1:35" ht="20.100000000000001" customHeight="1" x14ac:dyDescent="0.2">
      <c r="A4" s="5" t="str">
        <f>HYPERLINK("#'Results - Activity period'!A1", "Results - Activity period")</f>
        <v>Results - Activity period</v>
      </c>
    </row>
    <row r="5" spans="1:35" ht="20.100000000000001" customHeight="1" x14ac:dyDescent="0.2">
      <c r="A5" s="5" t="str">
        <f>HYPERLINK("#'Results - Product EI'!A1", "Results - Product EI")</f>
        <v>Results - Product EI</v>
      </c>
      <c r="D5" s="2" t="s">
        <v>1491</v>
      </c>
    </row>
    <row r="7" spans="1:35" ht="20.100000000000001" customHeight="1" x14ac:dyDescent="0.2">
      <c r="D7" s="228" t="s">
        <v>755</v>
      </c>
      <c r="E7" s="228" t="s">
        <v>756</v>
      </c>
      <c r="F7" s="228" t="s">
        <v>757</v>
      </c>
      <c r="G7" s="228" t="s">
        <v>758</v>
      </c>
      <c r="H7" s="228" t="s">
        <v>759</v>
      </c>
      <c r="I7" s="228" t="s">
        <v>760</v>
      </c>
      <c r="J7" s="228" t="s">
        <v>761</v>
      </c>
      <c r="K7" s="228" t="s">
        <v>762</v>
      </c>
      <c r="AG7" s="1"/>
      <c r="AH7" s="1"/>
      <c r="AI7" s="1"/>
    </row>
    <row r="8" spans="1:35" ht="20.100000000000001" customHeight="1" x14ac:dyDescent="0.2">
      <c r="A8" s="7" t="s">
        <v>0</v>
      </c>
      <c r="D8" t="s">
        <v>713</v>
      </c>
      <c r="E8" t="s">
        <v>1492</v>
      </c>
      <c r="F8" t="s">
        <v>1493</v>
      </c>
      <c r="G8" t="s">
        <v>1494</v>
      </c>
      <c r="H8" t="s">
        <v>1492</v>
      </c>
      <c r="I8" t="s">
        <v>1495</v>
      </c>
      <c r="J8" t="s">
        <v>1496</v>
      </c>
      <c r="K8" t="s">
        <v>1497</v>
      </c>
      <c r="AG8" s="1"/>
      <c r="AH8" s="1"/>
      <c r="AI8" s="1"/>
    </row>
    <row r="9" spans="1:35" ht="20.100000000000001" customHeight="1" x14ac:dyDescent="0.2">
      <c r="A9" s="5" t="str">
        <f>HYPERLINK("#'Input - Enterprise'!A1", "Enterprise")</f>
        <v>Enterprise</v>
      </c>
      <c r="D9" t="s">
        <v>1498</v>
      </c>
      <c r="E9" t="s">
        <v>1499</v>
      </c>
      <c r="F9" t="s">
        <v>1493</v>
      </c>
      <c r="G9" t="s">
        <v>1494</v>
      </c>
      <c r="H9" t="s">
        <v>1500</v>
      </c>
      <c r="I9" t="s">
        <v>1501</v>
      </c>
      <c r="J9" t="s">
        <v>1502</v>
      </c>
      <c r="K9" t="s">
        <v>1503</v>
      </c>
      <c r="AG9" s="1"/>
      <c r="AH9" s="1"/>
      <c r="AI9" s="1"/>
    </row>
    <row r="10" spans="1:35" ht="20.100000000000001" customHeight="1" x14ac:dyDescent="0.2">
      <c r="A10" s="5" t="str">
        <f>HYPERLINK("#'Input - Site'!A1", "Site")</f>
        <v>Site</v>
      </c>
      <c r="D10" t="s">
        <v>1504</v>
      </c>
      <c r="E10" t="s">
        <v>1499</v>
      </c>
      <c r="F10" t="s">
        <v>1505</v>
      </c>
      <c r="G10" t="s">
        <v>1506</v>
      </c>
      <c r="H10" t="s">
        <v>1499</v>
      </c>
      <c r="I10" t="s">
        <v>1507</v>
      </c>
      <c r="J10" t="s">
        <v>1508</v>
      </c>
      <c r="K10" t="s">
        <v>1509</v>
      </c>
      <c r="AG10" s="1"/>
      <c r="AH10" s="1"/>
      <c r="AI10" s="1"/>
    </row>
    <row r="11" spans="1:35" ht="20.100000000000001" customHeight="1" x14ac:dyDescent="0.2">
      <c r="A11" s="5" t="str">
        <f>HYPERLINK("#'Input - Crop'!A1", "Crop")</f>
        <v>Crop</v>
      </c>
    </row>
    <row r="12" spans="1:35" ht="20.100000000000001" customHeight="1" x14ac:dyDescent="0.2">
      <c r="A12" s="5" t="str">
        <f>HYPERLINK("#'Input - Fert Prod System'!A1", "Fert Prod System")</f>
        <v>Fert Prod System</v>
      </c>
    </row>
    <row r="13" spans="1:35" ht="20.100000000000001" customHeight="1" x14ac:dyDescent="0.2">
      <c r="A13" s="5" t="str">
        <f>HYPERLINK("#'Input - Fertiliser'!A1", "Fertiliser")</f>
        <v>Fertiliser</v>
      </c>
    </row>
    <row r="14" spans="1:35" ht="20.100000000000001" customHeight="1" x14ac:dyDescent="0.2">
      <c r="A14" s="5" t="str">
        <f>HYPERLINK("#'Input - Fuel'!A1", "Fuel")</f>
        <v>Fuel</v>
      </c>
    </row>
    <row r="15" spans="1:35" ht="20.100000000000001" customHeight="1" x14ac:dyDescent="0.2">
      <c r="A15" s="5" t="str">
        <f>HYPERLINK("#'Input - Electricity'!A1", "Electricity")</f>
        <v>Electricity</v>
      </c>
      <c r="D15" s="2" t="s">
        <v>1510</v>
      </c>
      <c r="E15" s="8"/>
      <c r="F15" s="8"/>
      <c r="G15" s="8"/>
      <c r="H15" s="8"/>
      <c r="I15" s="8"/>
      <c r="J15" s="8"/>
      <c r="K15" s="8"/>
      <c r="L15" s="8"/>
    </row>
    <row r="16" spans="1:35" ht="20.100000000000001" customHeight="1" x14ac:dyDescent="0.2">
      <c r="A16" s="5" t="str">
        <f>HYPERLINK("#'Input - Common farm inputs'!A1", "Common farm inputs")</f>
        <v>Common farm inputs</v>
      </c>
      <c r="D16" s="17" t="s">
        <v>1511</v>
      </c>
      <c r="E16" s="8"/>
      <c r="F16" s="8"/>
      <c r="G16" s="8"/>
      <c r="H16" s="8"/>
      <c r="I16" s="8"/>
      <c r="J16" s="8"/>
      <c r="K16" s="8"/>
      <c r="L16" s="8"/>
    </row>
    <row r="17" spans="1:14" ht="20.100000000000001" customHeight="1" x14ac:dyDescent="0.2">
      <c r="A17" s="5" t="str">
        <f>HYPERLINK("#'Input - Crop pasture farm input'!A1", "Crop pasture farm input")</f>
        <v>Crop pasture farm input</v>
      </c>
      <c r="D17" s="26" t="str" cm="1">
        <f t="array" ref="D17">"⚠️" &amp; Agresidue_SourceData.CropAttributes_Variation()</f>
        <v>⚠️VARIATION FROM SOURCE: 'N/A' values passed as zero for calculations.</v>
      </c>
      <c r="E17" s="8"/>
      <c r="F17" s="8"/>
      <c r="G17" s="8"/>
      <c r="H17" s="8"/>
      <c r="I17" s="8"/>
      <c r="J17" s="8"/>
      <c r="K17" s="8"/>
      <c r="L17" s="8"/>
    </row>
    <row r="18" spans="1:14" ht="20.100000000000001" customHeight="1" x14ac:dyDescent="0.2">
      <c r="A18" s="5" t="str">
        <f>HYPERLINK("#'Input - Freight'!A1", "Freight")</f>
        <v>Freight</v>
      </c>
      <c r="D18" s="8"/>
      <c r="E18" s="8"/>
      <c r="F18" s="8"/>
      <c r="G18" s="8"/>
      <c r="H18" s="8"/>
      <c r="I18" s="8"/>
      <c r="J18" s="8"/>
      <c r="K18" s="8"/>
      <c r="L18" s="8"/>
    </row>
    <row r="19" spans="1:14" ht="20.100000000000001" customHeight="1" x14ac:dyDescent="0.2">
      <c r="A19" s="5" t="str">
        <f>HYPERLINK("#'Input - Solid waste'!A1", "Solid waste")</f>
        <v>Solid waste</v>
      </c>
      <c r="D19" t="s">
        <v>179</v>
      </c>
      <c r="E19" t="s">
        <v>763</v>
      </c>
      <c r="F19" t="s">
        <v>764</v>
      </c>
      <c r="G19" t="s">
        <v>765</v>
      </c>
      <c r="H19" t="s">
        <v>766</v>
      </c>
      <c r="I19" t="s">
        <v>767</v>
      </c>
      <c r="J19" t="s">
        <v>768</v>
      </c>
      <c r="K19" t="s">
        <v>769</v>
      </c>
      <c r="L19" t="s">
        <v>770</v>
      </c>
      <c r="N19" s="2" t="s">
        <v>466</v>
      </c>
    </row>
    <row r="20" spans="1:14" ht="20.100000000000001" customHeight="1" x14ac:dyDescent="0.2">
      <c r="A20" s="5" t="str">
        <f>HYPERLINK("#'Input - Data quality'!A1", "Data quality")</f>
        <v>Data quality</v>
      </c>
      <c r="D20" t="s">
        <v>710</v>
      </c>
      <c r="E20">
        <v>1.5</v>
      </c>
      <c r="F20">
        <v>0.28999999999999998</v>
      </c>
      <c r="G20">
        <v>0.88</v>
      </c>
      <c r="H20">
        <v>0.4</v>
      </c>
      <c r="I20">
        <v>6.0000000000000001E-3</v>
      </c>
      <c r="J20">
        <v>0.01</v>
      </c>
      <c r="K20">
        <v>0.5</v>
      </c>
      <c r="L20">
        <v>0.9</v>
      </c>
    </row>
    <row r="21" spans="1:14" ht="20.100000000000001" customHeight="1" x14ac:dyDescent="0.2">
      <c r="D21" t="s">
        <v>1512</v>
      </c>
      <c r="E21">
        <v>1.24</v>
      </c>
      <c r="F21">
        <v>0.32</v>
      </c>
      <c r="G21">
        <v>0.88</v>
      </c>
      <c r="H21">
        <v>0.4</v>
      </c>
      <c r="I21">
        <v>7.0000000000000001E-3</v>
      </c>
      <c r="J21">
        <v>0.01</v>
      </c>
      <c r="K21">
        <v>0.5</v>
      </c>
      <c r="L21">
        <v>0.85</v>
      </c>
      <c r="N21" s="20" t="s">
        <v>63</v>
      </c>
    </row>
    <row r="22" spans="1:14" ht="20.100000000000001" customHeight="1" x14ac:dyDescent="0.2">
      <c r="D22" t="s">
        <v>474</v>
      </c>
      <c r="E22">
        <v>0.81</v>
      </c>
      <c r="F22">
        <v>0.39</v>
      </c>
      <c r="G22">
        <v>0.85</v>
      </c>
      <c r="H22">
        <v>0.42</v>
      </c>
      <c r="I22">
        <v>5.0000000000000001E-3</v>
      </c>
      <c r="J22">
        <v>7.0000000000000001E-3</v>
      </c>
      <c r="K22">
        <v>1</v>
      </c>
      <c r="L22">
        <v>0.8</v>
      </c>
      <c r="N22" s="20" t="s">
        <v>470</v>
      </c>
    </row>
    <row r="23" spans="1:14" ht="20.100000000000001" customHeight="1" x14ac:dyDescent="0.2">
      <c r="A23" s="6" t="s">
        <v>2</v>
      </c>
      <c r="D23" t="s">
        <v>1513</v>
      </c>
      <c r="E23">
        <v>1.42</v>
      </c>
      <c r="F23">
        <v>0.43</v>
      </c>
      <c r="G23">
        <v>0.88</v>
      </c>
      <c r="H23">
        <v>0.4</v>
      </c>
      <c r="I23">
        <v>6.0000000000000001E-3</v>
      </c>
      <c r="J23">
        <v>0.01</v>
      </c>
      <c r="K23">
        <v>0.5</v>
      </c>
      <c r="L23">
        <v>0.85</v>
      </c>
      <c r="N23" s="20" t="s">
        <v>473</v>
      </c>
    </row>
    <row r="24" spans="1:14" ht="20.100000000000001" customHeight="1" x14ac:dyDescent="0.2">
      <c r="A24" s="5" t="str">
        <f>HYPERLINK("#'5.1.1.1-2 Inorganic fert N2O'!A1", "5.1.1.1-2 Inorganic fert N2O")</f>
        <v>5.1.1.1-2 Inorganic fert N2O</v>
      </c>
      <c r="D24" t="s">
        <v>1514</v>
      </c>
      <c r="E24">
        <v>1.31</v>
      </c>
      <c r="F24">
        <v>0.16</v>
      </c>
      <c r="G24">
        <v>0.8</v>
      </c>
      <c r="H24">
        <v>0.42</v>
      </c>
      <c r="I24">
        <v>7.0000000000000001E-3</v>
      </c>
      <c r="J24">
        <v>0.01</v>
      </c>
      <c r="K24">
        <v>1</v>
      </c>
      <c r="L24">
        <v>0.8</v>
      </c>
      <c r="N24" s="1" t="s">
        <v>475</v>
      </c>
    </row>
    <row r="25" spans="1:14" ht="20.100000000000001" customHeight="1" x14ac:dyDescent="0.2">
      <c r="A25" s="5" t="str">
        <f>HYPERLINK("#'5.1.1.3-4 Inorganic fert CO2'!A1", "5.1.1.3-4 Inorganic fert CO2")</f>
        <v>5.1.1.3-4 Inorganic fert CO2</v>
      </c>
      <c r="D25" t="s">
        <v>1515</v>
      </c>
      <c r="E25">
        <v>1.5</v>
      </c>
      <c r="F25">
        <v>0.22</v>
      </c>
      <c r="G25">
        <v>0.8</v>
      </c>
      <c r="H25">
        <v>0.4</v>
      </c>
      <c r="I25">
        <v>8.0000000000000002E-3</v>
      </c>
      <c r="J25">
        <v>7.0000000000000001E-3</v>
      </c>
      <c r="K25">
        <v>0.5</v>
      </c>
      <c r="L25">
        <v>0.85</v>
      </c>
      <c r="N25" s="1" t="s">
        <v>477</v>
      </c>
    </row>
    <row r="26" spans="1:14" ht="20.100000000000001" customHeight="1" x14ac:dyDescent="0.2">
      <c r="A26" s="5" t="str">
        <f>HYPERLINK("#'5.2.1.1-2 Organic Fert N2O'!A1", "5.2.1.1-2 Organic fert N2O")</f>
        <v>5.2.1.1-2 Organic fert N2O</v>
      </c>
      <c r="D26" t="s">
        <v>1516</v>
      </c>
      <c r="E26">
        <v>1.5</v>
      </c>
      <c r="F26">
        <v>0.42</v>
      </c>
      <c r="G26">
        <v>0.88</v>
      </c>
      <c r="H26">
        <v>0.4</v>
      </c>
      <c r="I26">
        <v>6.0000000000000001E-3</v>
      </c>
      <c r="J26">
        <v>0.01</v>
      </c>
      <c r="K26">
        <v>0.5</v>
      </c>
      <c r="L26">
        <v>0.85</v>
      </c>
      <c r="N26" s="1" t="s">
        <v>478</v>
      </c>
    </row>
    <row r="27" spans="1:14" ht="20.100000000000001" customHeight="1" x14ac:dyDescent="0.2">
      <c r="A27" s="5" t="str">
        <f>HYPERLINK("#'5.3.1.1-2 Lime CO2'!A1", "5.3.1.1-2 Lime CO2")</f>
        <v>5.3.1.1-2 Lime CO2</v>
      </c>
      <c r="D27" t="s">
        <v>1517</v>
      </c>
      <c r="E27">
        <v>1.46</v>
      </c>
      <c r="F27">
        <v>0.36</v>
      </c>
      <c r="G27">
        <v>0.88</v>
      </c>
      <c r="H27">
        <v>0.4</v>
      </c>
      <c r="I27">
        <v>6.0000000000000001E-3</v>
      </c>
      <c r="J27">
        <v>0.01</v>
      </c>
      <c r="K27">
        <v>0.5</v>
      </c>
      <c r="L27">
        <v>0.85</v>
      </c>
    </row>
    <row r="28" spans="1:14" ht="20.100000000000001" customHeight="1" x14ac:dyDescent="0.2">
      <c r="A28" s="5" t="str">
        <f>HYPERLINK("#'5.4.1.1-4 Atmos deposition'!A1", "5.4.1.1-4 Atmos. deposition")</f>
        <v>5.4.1.1-4 Atmos. deposition</v>
      </c>
      <c r="D28" t="s">
        <v>1518</v>
      </c>
      <c r="E28">
        <v>1.37</v>
      </c>
      <c r="F28">
        <v>0.51</v>
      </c>
      <c r="G28">
        <v>0.87</v>
      </c>
      <c r="H28">
        <v>0.4</v>
      </c>
      <c r="I28">
        <v>8.9999999999999993E-3</v>
      </c>
      <c r="J28">
        <v>0.01</v>
      </c>
      <c r="K28">
        <v>0.5</v>
      </c>
      <c r="L28">
        <v>0.85</v>
      </c>
    </row>
    <row r="29" spans="1:14" ht="20.100000000000001" customHeight="1" x14ac:dyDescent="0.2">
      <c r="A29" s="5" t="str">
        <f>HYPERLINK("#'5.5.1.1-2 Leaching and runoff'!A1", "5.5.1.1-2 Leaching &amp; runoff")</f>
        <v>5.5.1.1-2 Leaching &amp; runoff</v>
      </c>
      <c r="D29" t="s">
        <v>1519</v>
      </c>
      <c r="E29">
        <v>0.34</v>
      </c>
      <c r="F29">
        <v>0.43</v>
      </c>
      <c r="G29">
        <v>0.25</v>
      </c>
      <c r="H29">
        <v>0.4</v>
      </c>
      <c r="I29">
        <v>0.02</v>
      </c>
      <c r="J29">
        <v>0.01</v>
      </c>
      <c r="K29" t="s">
        <v>1520</v>
      </c>
      <c r="L29">
        <v>0.85</v>
      </c>
    </row>
    <row r="30" spans="1:14" ht="20.100000000000001" customHeight="1" x14ac:dyDescent="0.2">
      <c r="A30" s="5" t="str">
        <f>HYPERLINK("#'6.1.1.1-2 Crop residue N2O'!A1", "6.1.1.1-2 Crop residue N2O")</f>
        <v>6.1.1.1-2 Crop residue N2O</v>
      </c>
      <c r="D30" t="s">
        <v>1521</v>
      </c>
      <c r="E30">
        <v>1.07</v>
      </c>
      <c r="F30">
        <v>0.2</v>
      </c>
      <c r="G30">
        <v>0.8</v>
      </c>
      <c r="H30">
        <v>0.42</v>
      </c>
      <c r="I30">
        <v>1.6E-2</v>
      </c>
      <c r="J30">
        <v>1.4E-2</v>
      </c>
      <c r="K30">
        <v>0.5</v>
      </c>
      <c r="L30">
        <v>0.85</v>
      </c>
    </row>
    <row r="31" spans="1:14" ht="20.100000000000001" customHeight="1" x14ac:dyDescent="0.2">
      <c r="A31" s="5" t="str">
        <f>HYPERLINK("#'6.3.1.1-2 Leach runoff crop'!A1", "6.3.1.1-2 Leach &amp; runoff (crop)")</f>
        <v>6.3.1.1-2 Leach &amp; runoff (crop)</v>
      </c>
      <c r="D31" t="s">
        <v>1522</v>
      </c>
      <c r="E31">
        <v>0.25</v>
      </c>
      <c r="F31">
        <v>0.45</v>
      </c>
      <c r="G31">
        <v>0.2</v>
      </c>
      <c r="H31">
        <v>0.4</v>
      </c>
      <c r="I31">
        <v>5.0000000000000001E-3</v>
      </c>
      <c r="J31">
        <v>7.0000000000000001E-3</v>
      </c>
      <c r="K31">
        <v>1</v>
      </c>
      <c r="L31">
        <v>0.8</v>
      </c>
    </row>
    <row r="32" spans="1:14" ht="20.100000000000001" customHeight="1" x14ac:dyDescent="0.2">
      <c r="A32" s="5" t="str">
        <f>HYPERLINK("#'6.4.1.1-2 Residue burning'!A1", "6.4.1.1-2 Residue burning")</f>
        <v>6.4.1.1-2 Residue burning</v>
      </c>
      <c r="D32" t="s">
        <v>403</v>
      </c>
      <c r="E32">
        <v>1.9</v>
      </c>
      <c r="F32">
        <v>0.3</v>
      </c>
      <c r="G32">
        <v>0.9</v>
      </c>
      <c r="H32">
        <v>0.4</v>
      </c>
      <c r="I32">
        <v>0.01</v>
      </c>
      <c r="J32">
        <v>0.01</v>
      </c>
      <c r="K32" t="s">
        <v>1520</v>
      </c>
      <c r="L32">
        <v>0.85</v>
      </c>
    </row>
    <row r="33" spans="1:13" ht="20.100000000000001" customHeight="1" x14ac:dyDescent="0.2">
      <c r="A33" s="5" t="str">
        <f>HYPERLINK("#'8.1.1.1-2 Transport fuel'!A1", "8.1.1.1-2 Transport fuel")</f>
        <v>8.1.1.1-2 Transport fuel</v>
      </c>
      <c r="D33" t="s">
        <v>1523</v>
      </c>
      <c r="E33">
        <v>1.5</v>
      </c>
      <c r="F33">
        <v>0.28999999999999998</v>
      </c>
      <c r="G33">
        <v>0.88</v>
      </c>
      <c r="H33">
        <v>0.4</v>
      </c>
      <c r="I33">
        <v>6.0000000000000001E-3</v>
      </c>
      <c r="J33" t="s">
        <v>1520</v>
      </c>
      <c r="K33" t="s">
        <v>1520</v>
      </c>
      <c r="L33">
        <v>0.85</v>
      </c>
    </row>
    <row r="34" spans="1:13" ht="20.100000000000001" customHeight="1" x14ac:dyDescent="0.2">
      <c r="A34" s="5" t="str">
        <f>HYPERLINK("#'8.2.1.1-2 Stationary fuel'!A1", "8.2.1.1-2 Stationary fuel")</f>
        <v>8.2.1.1-2 Stationary fuel</v>
      </c>
      <c r="D34" t="s">
        <v>1524</v>
      </c>
      <c r="E34">
        <v>2.08</v>
      </c>
      <c r="F34">
        <v>0.33</v>
      </c>
      <c r="G34">
        <v>0.96</v>
      </c>
      <c r="H34">
        <v>0.4</v>
      </c>
      <c r="I34">
        <v>8.9999999999999993E-3</v>
      </c>
      <c r="J34">
        <v>0.01</v>
      </c>
      <c r="K34">
        <v>0.5</v>
      </c>
      <c r="L34">
        <v>0.85</v>
      </c>
    </row>
    <row r="35" spans="1:13" ht="20.100000000000001" customHeight="1" x14ac:dyDescent="0.2">
      <c r="A35" s="5" t="str">
        <f>HYPERLINK("#'10.1.1-2 Solid waste treatment'!A1", "10.1.1.1-2 Solid waste")</f>
        <v>10.1.1.1-2 Solid waste</v>
      </c>
      <c r="D35" t="s">
        <v>1525</v>
      </c>
      <c r="E35">
        <v>1.34</v>
      </c>
      <c r="F35">
        <v>0.37</v>
      </c>
      <c r="G35">
        <v>0.88</v>
      </c>
      <c r="H35">
        <v>0.4</v>
      </c>
      <c r="I35">
        <v>6.0000000000000001E-3</v>
      </c>
      <c r="J35">
        <v>0.01</v>
      </c>
      <c r="K35" t="s">
        <v>1520</v>
      </c>
      <c r="L35">
        <v>0.85</v>
      </c>
    </row>
    <row r="36" spans="1:13" ht="20.100000000000001" customHeight="1" x14ac:dyDescent="0.2">
      <c r="A36" s="5" t="str">
        <f>HYPERLINK("#'14.1.1-2 Purchased electricity'!A1", "14.1.1-2 Purchased electricity")</f>
        <v>14.1.1-2 Purchased electricity</v>
      </c>
      <c r="D36" t="s">
        <v>1526</v>
      </c>
      <c r="E36">
        <v>1</v>
      </c>
      <c r="F36">
        <v>0.22</v>
      </c>
      <c r="G36">
        <v>0.85</v>
      </c>
      <c r="H36">
        <v>0.4</v>
      </c>
      <c r="I36">
        <v>8.0000000000000002E-3</v>
      </c>
      <c r="J36">
        <v>8.9999999999999993E-3</v>
      </c>
      <c r="K36" t="s">
        <v>1520</v>
      </c>
      <c r="L36" t="s">
        <v>1520</v>
      </c>
    </row>
    <row r="37" spans="1:13" ht="20.100000000000001" customHeight="1" x14ac:dyDescent="0.2">
      <c r="A37" s="5" t="str">
        <f>HYPERLINK("#'15 Scope 3'!A1", "15 Scope 3")</f>
        <v>15 Scope 3</v>
      </c>
      <c r="D37" t="s">
        <v>1527</v>
      </c>
      <c r="E37">
        <v>1.5</v>
      </c>
      <c r="F37">
        <v>0.28999999999999998</v>
      </c>
      <c r="G37">
        <v>0.88</v>
      </c>
      <c r="H37">
        <v>0.4</v>
      </c>
      <c r="I37">
        <v>6.0000000000000001E-3</v>
      </c>
      <c r="J37" t="s">
        <v>1520</v>
      </c>
      <c r="K37" t="s">
        <v>1520</v>
      </c>
      <c r="L37" t="s">
        <v>1520</v>
      </c>
    </row>
    <row r="38" spans="1:13" ht="20.100000000000001" customHeight="1" x14ac:dyDescent="0.2">
      <c r="D38" s="8"/>
      <c r="E38" s="8"/>
      <c r="F38" s="8"/>
      <c r="G38" s="8"/>
      <c r="H38" s="8"/>
      <c r="I38" s="8"/>
      <c r="J38" s="8"/>
      <c r="K38" s="8"/>
      <c r="L38" s="8"/>
    </row>
    <row r="39" spans="1:13" ht="20.100000000000001" customHeight="1" x14ac:dyDescent="0.2">
      <c r="D39" s="8"/>
      <c r="E39" s="8"/>
      <c r="F39" s="8"/>
      <c r="G39" s="8"/>
      <c r="H39" s="8"/>
      <c r="I39" s="8"/>
      <c r="J39" s="8"/>
      <c r="K39" s="8"/>
      <c r="L39" s="8"/>
    </row>
    <row r="40" spans="1:13" ht="20.100000000000001" customHeight="1" x14ac:dyDescent="0.2">
      <c r="A40" s="82" t="s">
        <v>1</v>
      </c>
      <c r="D40" s="2" t="s">
        <v>1528</v>
      </c>
      <c r="E40" s="25"/>
      <c r="F40" s="25"/>
      <c r="G40" s="8"/>
      <c r="H40" s="8"/>
      <c r="I40" s="8"/>
      <c r="J40" s="8"/>
      <c r="K40" s="8"/>
      <c r="L40" s="8"/>
    </row>
    <row r="41" spans="1:13" ht="20.100000000000001" customHeight="1" x14ac:dyDescent="0.2">
      <c r="A41" s="83" t="str">
        <f>HYPERLINK("#'Constants - Ag Residue'!A1", "Constants - Ag residue")</f>
        <v>Constants - Ag residue</v>
      </c>
      <c r="D41" s="17" t="s">
        <v>1529</v>
      </c>
      <c r="E41" s="25"/>
      <c r="F41" s="25"/>
      <c r="G41" s="8"/>
      <c r="H41" s="8"/>
      <c r="I41" s="8"/>
      <c r="J41" s="8"/>
      <c r="K41" s="8"/>
      <c r="L41" s="8"/>
    </row>
    <row r="42" spans="1:13" ht="20.100000000000001" customHeight="1" x14ac:dyDescent="0.2">
      <c r="A42" s="5" t="str">
        <f>HYPERLINK("#'Constants - Electricity'!A1", "Constants - Electricity")</f>
        <v>Constants - Electricity</v>
      </c>
      <c r="D42" s="17"/>
      <c r="E42" s="25"/>
      <c r="F42" s="25"/>
      <c r="H42" s="8"/>
      <c r="I42" s="8"/>
      <c r="M42" s="25"/>
    </row>
    <row r="43" spans="1:13" ht="20.100000000000001" customHeight="1" x14ac:dyDescent="0.2">
      <c r="A43" s="5" t="str">
        <f>HYPERLINK("#'Constants - Fertiliser'!A1", "Constants - Fertiliser")</f>
        <v>Constants - Fertiliser</v>
      </c>
      <c r="D43" s="166" t="s">
        <v>771</v>
      </c>
      <c r="E43" s="166" t="s">
        <v>772</v>
      </c>
      <c r="F43" s="25"/>
      <c r="H43" s="8"/>
      <c r="I43" s="8"/>
      <c r="M43" s="25"/>
    </row>
    <row r="44" spans="1:13" ht="20.100000000000001" customHeight="1" x14ac:dyDescent="0.2">
      <c r="A44" s="5" t="str">
        <f>HYPERLINK("#'Constants - Fuel'!A1", "Constants - Fuel")</f>
        <v>Constants - Fuel</v>
      </c>
      <c r="D44" s="27" t="s">
        <v>1530</v>
      </c>
      <c r="E44" s="27">
        <v>6.0000000000000001E-3</v>
      </c>
      <c r="F44" s="25"/>
      <c r="H44" s="8"/>
      <c r="I44" s="8"/>
      <c r="M44" s="25"/>
    </row>
    <row r="45" spans="1:13" ht="20.100000000000001" customHeight="1" x14ac:dyDescent="0.2">
      <c r="A45" s="5" t="str">
        <f>HYPERLINK("#'Constants - Scope 3'!A1", "Constants - Scope 3")</f>
        <v>Constants - Scope 3</v>
      </c>
      <c r="D45" s="27" t="s">
        <v>1531</v>
      </c>
      <c r="E45" s="27">
        <v>5.0000000000000001E-3</v>
      </c>
      <c r="F45" s="25"/>
      <c r="H45" s="8"/>
      <c r="I45" s="8"/>
      <c r="M45" s="25"/>
    </row>
    <row r="46" spans="1:13" ht="20.100000000000001" customHeight="1" x14ac:dyDescent="0.2">
      <c r="A46" s="5" t="str">
        <f>HYPERLINK("#'Constants - Solid Waste'!A1", "Constants - Solid Waste")</f>
        <v>Constants - Solid Waste</v>
      </c>
      <c r="H46" s="8"/>
      <c r="I46" s="8"/>
      <c r="M46" s="25"/>
    </row>
    <row r="47" spans="1:13" ht="20.100000000000001" customHeight="1" x14ac:dyDescent="0.2">
      <c r="A47" s="5" t="str">
        <f>HYPERLINK("#'Constants - Common'!A1", "Constants - Common")</f>
        <v>Constants - Common</v>
      </c>
      <c r="M47" s="25"/>
    </row>
    <row r="48" spans="1:13" ht="20.100000000000001" customHeight="1" x14ac:dyDescent="0.2">
      <c r="A48" s="5" t="str">
        <f>HYPERLINK("#'Constants - Common Livestock'!A1", "Constants - Common Livestock")</f>
        <v>Constants - Common Livestock</v>
      </c>
      <c r="D48" s="2" t="s">
        <v>1532</v>
      </c>
      <c r="K48" s="8"/>
      <c r="L48" s="8"/>
    </row>
    <row r="49" spans="1:12" ht="20.100000000000001" customHeight="1" x14ac:dyDescent="0.2">
      <c r="D49" s="17" t="s">
        <v>1533</v>
      </c>
      <c r="K49" s="8"/>
      <c r="L49" s="8"/>
    </row>
    <row r="50" spans="1:12" ht="20.100000000000001" customHeight="1" x14ac:dyDescent="0.2">
      <c r="K50" s="8"/>
      <c r="L50" s="8"/>
    </row>
    <row r="51" spans="1:12" ht="20.100000000000001" customHeight="1" x14ac:dyDescent="0.2">
      <c r="D51" s="20" t="s">
        <v>773</v>
      </c>
      <c r="E51" s="20" t="s">
        <v>774</v>
      </c>
      <c r="F51" s="20" t="s">
        <v>775</v>
      </c>
      <c r="G51" s="20" t="s">
        <v>776</v>
      </c>
      <c r="H51" s="20" t="s">
        <v>777</v>
      </c>
      <c r="I51" s="20" t="s">
        <v>778</v>
      </c>
      <c r="K51" s="8"/>
      <c r="L51" s="8"/>
    </row>
    <row r="52" spans="1:12" ht="20.100000000000001" customHeight="1" x14ac:dyDescent="0.2">
      <c r="D52" s="20" t="s">
        <v>1534</v>
      </c>
      <c r="E52" s="20">
        <v>4.41</v>
      </c>
      <c r="F52" s="20">
        <v>0.4</v>
      </c>
      <c r="G52" s="20">
        <v>1.4999999999999999E-2</v>
      </c>
      <c r="H52" s="20">
        <v>1.2E-2</v>
      </c>
      <c r="I52" s="20">
        <v>0.8</v>
      </c>
      <c r="L52" s="8"/>
    </row>
    <row r="53" spans="1:12" ht="20.100000000000001" customHeight="1" x14ac:dyDescent="0.2">
      <c r="D53" s="20" t="s">
        <v>1535</v>
      </c>
      <c r="E53" s="20">
        <v>8.34</v>
      </c>
      <c r="F53" s="20">
        <v>0.8</v>
      </c>
      <c r="G53" s="20">
        <v>2.5000000000000001E-2</v>
      </c>
      <c r="H53" s="20">
        <v>1.6E-2</v>
      </c>
      <c r="I53" s="20">
        <v>0.8</v>
      </c>
      <c r="L53" s="8"/>
    </row>
    <row r="54" spans="1:12" ht="20.100000000000001" customHeight="1" x14ac:dyDescent="0.2">
      <c r="D54" s="20" t="s">
        <v>1536</v>
      </c>
      <c r="E54" s="20">
        <v>8.6199999999999992</v>
      </c>
      <c r="F54" s="20">
        <v>0.4</v>
      </c>
      <c r="G54" s="20">
        <v>2.7E-2</v>
      </c>
      <c r="H54" s="20">
        <v>1.9E-2</v>
      </c>
      <c r="I54" s="20">
        <v>0.8</v>
      </c>
    </row>
    <row r="55" spans="1:12" ht="20.100000000000001" customHeight="1" x14ac:dyDescent="0.2">
      <c r="D55" s="20" t="s">
        <v>1537</v>
      </c>
      <c r="E55" s="20">
        <v>5.62</v>
      </c>
      <c r="F55" s="20">
        <v>0.4</v>
      </c>
      <c r="G55" s="20">
        <v>2.7E-2</v>
      </c>
      <c r="H55" s="20">
        <v>2.1999999999999999E-2</v>
      </c>
      <c r="I55" s="20">
        <v>0.8</v>
      </c>
    </row>
    <row r="56" spans="1:12" ht="20.100000000000001" customHeight="1" x14ac:dyDescent="0.2">
      <c r="D56" s="20" t="s">
        <v>1538</v>
      </c>
      <c r="E56" s="20">
        <v>8.35</v>
      </c>
      <c r="F56" s="20">
        <v>0.8</v>
      </c>
      <c r="G56" s="20">
        <v>1.4999999999999999E-2</v>
      </c>
      <c r="H56" s="20">
        <v>1.2E-2</v>
      </c>
      <c r="I56" s="20">
        <v>0.8</v>
      </c>
    </row>
    <row r="57" spans="1:12" ht="20.100000000000001" customHeight="1" x14ac:dyDescent="0.2">
      <c r="H57" s="8"/>
    </row>
    <row r="59" spans="1:12" ht="20.100000000000001" customHeight="1" x14ac:dyDescent="0.2">
      <c r="A59" s="81" t="str">
        <f>HYPERLINK("#A1", "▲ Back to top")</f>
        <v>▲ Back to top</v>
      </c>
      <c r="D59" s="2" t="s">
        <v>1539</v>
      </c>
    </row>
    <row r="60" spans="1:12" ht="20.100000000000001" customHeight="1" x14ac:dyDescent="0.2">
      <c r="D60" s="17" t="s">
        <v>1540</v>
      </c>
    </row>
    <row r="62" spans="1:12" ht="20.100000000000001" customHeight="1" x14ac:dyDescent="0.2">
      <c r="D62" s="20" t="s">
        <v>779</v>
      </c>
      <c r="E62" s="20" t="s">
        <v>780</v>
      </c>
      <c r="F62" s="20" t="s">
        <v>781</v>
      </c>
    </row>
    <row r="63" spans="1:12" ht="20.100000000000001" customHeight="1" x14ac:dyDescent="0.2">
      <c r="D63" s="20" t="s">
        <v>583</v>
      </c>
      <c r="E63" s="20">
        <v>3.5000000000000001E-3</v>
      </c>
      <c r="F63" s="20" t="s">
        <v>1541</v>
      </c>
      <c r="K63" s="8"/>
      <c r="L63" s="8"/>
    </row>
    <row r="64" spans="1:12" ht="20.100000000000001" customHeight="1" x14ac:dyDescent="0.2">
      <c r="D64" s="1" t="s">
        <v>584</v>
      </c>
      <c r="E64" s="20">
        <v>7.6E-3</v>
      </c>
      <c r="F64" s="20" t="s">
        <v>1542</v>
      </c>
      <c r="K64" s="8"/>
      <c r="L64" s="8"/>
    </row>
    <row r="65" spans="4:12" ht="20.100000000000001" customHeight="1" x14ac:dyDescent="0.2">
      <c r="D65" s="1" t="s">
        <v>1543</v>
      </c>
      <c r="E65" s="20">
        <v>0.21</v>
      </c>
      <c r="F65" s="20" t="s">
        <v>1544</v>
      </c>
      <c r="K65" s="8"/>
      <c r="L65" s="8"/>
    </row>
    <row r="66" spans="4:12" ht="20.100000000000001" customHeight="1" x14ac:dyDescent="0.2">
      <c r="D66" s="1" t="s">
        <v>1545</v>
      </c>
      <c r="E66" s="20">
        <v>7.8E-2</v>
      </c>
      <c r="F66" s="20" t="s">
        <v>1546</v>
      </c>
      <c r="K66" s="8"/>
      <c r="L66" s="8"/>
    </row>
    <row r="67" spans="4:12" ht="20.100000000000001" customHeight="1" x14ac:dyDescent="0.2">
      <c r="D67" s="1" t="s">
        <v>1547</v>
      </c>
      <c r="E67" s="20">
        <v>9.1000000000000004E-3</v>
      </c>
      <c r="F67" s="20" t="s">
        <v>1548</v>
      </c>
      <c r="K67" s="8"/>
      <c r="L67" s="8"/>
    </row>
    <row r="68" spans="4:12" ht="20.100000000000001" customHeight="1" x14ac:dyDescent="0.2">
      <c r="K68" s="8"/>
      <c r="L68" s="8"/>
    </row>
    <row r="69" spans="4:12" ht="20.100000000000001" customHeight="1" x14ac:dyDescent="0.2">
      <c r="K69" s="8"/>
      <c r="L69" s="8"/>
    </row>
    <row r="70" spans="4:12" ht="20.100000000000001" customHeight="1" x14ac:dyDescent="0.2">
      <c r="D70" s="2" t="s">
        <v>1549</v>
      </c>
      <c r="E70" s="8"/>
      <c r="F70" s="8"/>
      <c r="G70" s="8"/>
      <c r="K70" s="8"/>
      <c r="L70" s="8"/>
    </row>
    <row r="71" spans="4:12" ht="20.100000000000001" customHeight="1" x14ac:dyDescent="0.2">
      <c r="D71" s="17" t="s">
        <v>1550</v>
      </c>
      <c r="E71" s="8"/>
      <c r="F71" s="8"/>
      <c r="G71" s="8"/>
      <c r="K71" s="8"/>
      <c r="L71" s="8"/>
    </row>
    <row r="72" spans="4:12" ht="20.100000000000001" customHeight="1" x14ac:dyDescent="0.2">
      <c r="D72" s="8"/>
      <c r="E72" s="8"/>
      <c r="F72" s="8"/>
      <c r="G72" s="8"/>
      <c r="K72" s="8"/>
      <c r="L72" s="8"/>
    </row>
    <row r="73" spans="4:12" ht="20.100000000000001" customHeight="1" x14ac:dyDescent="0.2">
      <c r="D73" t="s">
        <v>782</v>
      </c>
      <c r="E73" t="s">
        <v>98</v>
      </c>
      <c r="F73" t="s">
        <v>783</v>
      </c>
      <c r="G73" s="8"/>
      <c r="K73" s="8"/>
      <c r="L73" s="8"/>
    </row>
    <row r="74" spans="4:12" ht="20.100000000000001" customHeight="1" x14ac:dyDescent="0.2">
      <c r="D74" t="s">
        <v>1514</v>
      </c>
      <c r="E74" t="s">
        <v>1551</v>
      </c>
      <c r="F74">
        <v>0.06</v>
      </c>
      <c r="G74" s="8"/>
      <c r="K74" s="8"/>
      <c r="L74" s="8"/>
    </row>
    <row r="75" spans="4:12" ht="20.100000000000001" customHeight="1" x14ac:dyDescent="0.2">
      <c r="D75" s="8" t="s">
        <v>1519</v>
      </c>
      <c r="E75" t="s">
        <v>1551</v>
      </c>
      <c r="F75">
        <v>1</v>
      </c>
      <c r="G75" s="8"/>
      <c r="H75" s="8"/>
      <c r="K75" s="8"/>
      <c r="L75" s="8"/>
    </row>
    <row r="76" spans="4:12" ht="20.100000000000001" customHeight="1" x14ac:dyDescent="0.2">
      <c r="D76" s="8" t="s">
        <v>403</v>
      </c>
      <c r="E76" t="s">
        <v>1551</v>
      </c>
      <c r="F76">
        <v>0</v>
      </c>
      <c r="G76" s="8"/>
      <c r="H76" s="8"/>
      <c r="K76" s="8"/>
      <c r="L76" s="8"/>
    </row>
    <row r="77" spans="4:12" ht="20.100000000000001" customHeight="1" x14ac:dyDescent="0.2">
      <c r="D77" s="8" t="s">
        <v>1523</v>
      </c>
      <c r="E77" t="s">
        <v>1551</v>
      </c>
      <c r="F77">
        <v>0</v>
      </c>
      <c r="G77" s="8"/>
      <c r="H77" s="8"/>
      <c r="I77" s="8"/>
      <c r="J77" s="8"/>
      <c r="K77" s="8"/>
      <c r="L77" s="8"/>
    </row>
    <row r="78" spans="4:12" ht="20.100000000000001" customHeight="1" x14ac:dyDescent="0.2">
      <c r="D78" s="8" t="s">
        <v>1525</v>
      </c>
      <c r="E78" t="s">
        <v>1551</v>
      </c>
      <c r="F78">
        <v>0.8</v>
      </c>
      <c r="G78" s="8"/>
      <c r="H78" s="8"/>
      <c r="I78" s="8"/>
      <c r="J78" s="8"/>
      <c r="K78" s="8"/>
      <c r="L78" s="8"/>
    </row>
    <row r="79" spans="4:12" ht="20.100000000000001" customHeight="1" x14ac:dyDescent="0.2">
      <c r="D79" s="8" t="s">
        <v>1552</v>
      </c>
      <c r="E79" t="s">
        <v>988</v>
      </c>
      <c r="F79">
        <v>0</v>
      </c>
      <c r="G79" s="8"/>
      <c r="H79" s="8"/>
      <c r="I79" s="8"/>
      <c r="J79" s="8"/>
      <c r="K79" s="8"/>
      <c r="L79" s="8"/>
    </row>
    <row r="80" spans="4:12" ht="20.100000000000001" customHeight="1" x14ac:dyDescent="0.2">
      <c r="D80" s="8" t="s">
        <v>1552</v>
      </c>
      <c r="E80" t="s">
        <v>1001</v>
      </c>
      <c r="F80">
        <v>0.03</v>
      </c>
      <c r="G80" s="8"/>
      <c r="H80" s="8"/>
      <c r="I80" s="8"/>
      <c r="J80" s="8"/>
      <c r="K80" s="8"/>
      <c r="L80" s="8"/>
    </row>
    <row r="81" spans="1:12" ht="20.100000000000001" customHeight="1" x14ac:dyDescent="0.2">
      <c r="D81" s="8" t="s">
        <v>1552</v>
      </c>
      <c r="E81" t="s">
        <v>993</v>
      </c>
      <c r="F81">
        <v>0</v>
      </c>
      <c r="G81" s="8"/>
      <c r="H81" s="8"/>
      <c r="I81" s="8"/>
      <c r="J81" s="8"/>
      <c r="K81" s="8"/>
      <c r="L81" s="8"/>
    </row>
    <row r="82" spans="1:12" ht="20.100000000000001" customHeight="1" x14ac:dyDescent="0.2">
      <c r="D82" s="8" t="s">
        <v>1553</v>
      </c>
      <c r="E82" t="s">
        <v>988</v>
      </c>
      <c r="F82">
        <v>0.05</v>
      </c>
      <c r="G82" s="8"/>
      <c r="H82" s="8"/>
      <c r="I82" s="8"/>
      <c r="J82" s="8"/>
      <c r="K82" s="8"/>
      <c r="L82" s="8"/>
    </row>
    <row r="83" spans="1:12" ht="20.100000000000001" customHeight="1" x14ac:dyDescent="0.2">
      <c r="D83" s="8" t="s">
        <v>1553</v>
      </c>
      <c r="E83" t="s">
        <v>991</v>
      </c>
      <c r="F83">
        <v>7.0000000000000007E-2</v>
      </c>
      <c r="G83" s="8"/>
      <c r="H83" s="8"/>
      <c r="I83" s="8"/>
      <c r="J83" s="8"/>
      <c r="K83" s="8"/>
      <c r="L83" s="8"/>
    </row>
    <row r="84" spans="1:12" ht="20.100000000000001" customHeight="1" x14ac:dyDescent="0.2">
      <c r="D84" s="8" t="s">
        <v>1553</v>
      </c>
      <c r="E84" t="s">
        <v>1001</v>
      </c>
      <c r="F84">
        <v>0.04</v>
      </c>
      <c r="G84" s="8"/>
      <c r="H84" s="8"/>
      <c r="I84" s="8"/>
      <c r="J84" s="8"/>
      <c r="K84" s="8"/>
      <c r="L84" s="8"/>
    </row>
    <row r="85" spans="1:12" ht="20.100000000000001" customHeight="1" x14ac:dyDescent="0.2">
      <c r="D85" s="8" t="s">
        <v>1553</v>
      </c>
      <c r="E85" t="s">
        <v>989</v>
      </c>
      <c r="F85">
        <v>0.09</v>
      </c>
      <c r="G85" s="8"/>
      <c r="H85" s="8"/>
      <c r="I85" s="8"/>
      <c r="J85" s="8"/>
      <c r="K85" s="8"/>
      <c r="L85" s="8"/>
    </row>
    <row r="86" spans="1:12" ht="20.100000000000001" customHeight="1" x14ac:dyDescent="0.2">
      <c r="D86" s="8" t="s">
        <v>1553</v>
      </c>
      <c r="E86" t="s">
        <v>993</v>
      </c>
      <c r="F86">
        <v>0.11</v>
      </c>
      <c r="G86" s="8"/>
      <c r="H86" s="8"/>
      <c r="I86" s="8"/>
      <c r="J86" s="8"/>
      <c r="K86" s="8"/>
      <c r="L86" s="8"/>
    </row>
    <row r="87" spans="1:12" ht="20.100000000000001" customHeight="1" x14ac:dyDescent="0.2">
      <c r="D87" s="8" t="s">
        <v>1553</v>
      </c>
      <c r="E87" t="s">
        <v>990</v>
      </c>
      <c r="F87">
        <v>0.16</v>
      </c>
      <c r="G87" s="8"/>
      <c r="H87" s="8"/>
      <c r="I87" s="8"/>
      <c r="J87" s="8"/>
      <c r="K87" s="8"/>
      <c r="L87" s="8"/>
    </row>
    <row r="88" spans="1:12" ht="20.100000000000001" customHeight="1" x14ac:dyDescent="0.2">
      <c r="D88" s="8" t="s">
        <v>1553</v>
      </c>
      <c r="E88" t="s">
        <v>997</v>
      </c>
      <c r="F88">
        <v>0.01</v>
      </c>
      <c r="G88" s="8"/>
      <c r="H88" s="8"/>
      <c r="I88" s="8"/>
      <c r="J88" s="8"/>
      <c r="K88" s="8"/>
      <c r="L88" s="8"/>
    </row>
    <row r="89" spans="1:12" ht="20.100000000000001" customHeight="1" x14ac:dyDescent="0.2">
      <c r="A89" s="81" t="str">
        <f>HYPERLINK("#A1", "▲ Back to top")</f>
        <v>▲ Back to top</v>
      </c>
      <c r="D89" s="8" t="s">
        <v>1553</v>
      </c>
      <c r="E89" t="s">
        <v>987</v>
      </c>
      <c r="F89">
        <v>0</v>
      </c>
      <c r="G89" s="8"/>
      <c r="H89" s="8"/>
      <c r="I89" s="8"/>
      <c r="J89" s="8"/>
      <c r="K89" s="8"/>
      <c r="L89" s="8"/>
    </row>
    <row r="90" spans="1:12" ht="20.100000000000001" customHeight="1" x14ac:dyDescent="0.2">
      <c r="D90" s="8"/>
      <c r="E90" s="8"/>
      <c r="F90" s="8"/>
      <c r="G90" s="8"/>
      <c r="H90" s="8"/>
      <c r="I90" s="8"/>
      <c r="J90" s="8"/>
      <c r="K90" s="8"/>
      <c r="L90" s="8"/>
    </row>
    <row r="91" spans="1:12" ht="20.100000000000001" customHeight="1" x14ac:dyDescent="0.2">
      <c r="D91" s="26" t="str" cm="1">
        <f t="array" ref="D91">"⚠️" &amp; Agresidue_SourceData.CropFractionRemoved_Variation()</f>
        <v>⚠️VARIATION OF SOURCE DATA: Split 'All other crop types' into individual crop types for each state. Listed all states for Sugar Cane, with 'N/A' for states where it is not grown.</v>
      </c>
      <c r="E91" s="8"/>
      <c r="F91" s="8"/>
      <c r="G91" s="8"/>
      <c r="H91" s="8"/>
      <c r="I91" s="8"/>
      <c r="J91" s="8"/>
      <c r="K91" s="8"/>
      <c r="L91" s="8"/>
    </row>
    <row r="92" spans="1:12" ht="20.100000000000001" customHeight="1" x14ac:dyDescent="0.2">
      <c r="D92" t="s">
        <v>782</v>
      </c>
      <c r="E92" t="s">
        <v>98</v>
      </c>
      <c r="F92" t="s">
        <v>783</v>
      </c>
      <c r="G92" s="8"/>
      <c r="H92" s="8"/>
      <c r="I92" s="8"/>
      <c r="J92" s="8"/>
      <c r="K92" s="8"/>
      <c r="L92" s="8"/>
    </row>
    <row r="93" spans="1:12" ht="20.100000000000001" customHeight="1" x14ac:dyDescent="0.2">
      <c r="D93" t="s">
        <v>1514</v>
      </c>
      <c r="E93" t="s">
        <v>988</v>
      </c>
      <c r="F93">
        <v>0.06</v>
      </c>
      <c r="G93" s="8"/>
      <c r="H93" s="8"/>
      <c r="I93" s="8"/>
      <c r="J93" s="8"/>
      <c r="K93" s="8"/>
      <c r="L93" s="8"/>
    </row>
    <row r="94" spans="1:12" ht="20.100000000000001" customHeight="1" x14ac:dyDescent="0.2">
      <c r="D94" s="8" t="s">
        <v>1514</v>
      </c>
      <c r="E94" t="s">
        <v>991</v>
      </c>
      <c r="F94">
        <v>0.06</v>
      </c>
      <c r="G94" s="8"/>
      <c r="H94" s="8"/>
      <c r="I94" s="8"/>
      <c r="J94" s="8"/>
      <c r="K94" s="8"/>
      <c r="L94" s="8"/>
    </row>
    <row r="95" spans="1:12" ht="20.100000000000001" customHeight="1" x14ac:dyDescent="0.2">
      <c r="D95" s="8" t="s">
        <v>1514</v>
      </c>
      <c r="E95" t="s">
        <v>1001</v>
      </c>
      <c r="F95">
        <v>0.06</v>
      </c>
      <c r="G95" s="8"/>
      <c r="H95" s="8"/>
      <c r="I95" s="8"/>
      <c r="J95" s="8"/>
      <c r="K95" s="8"/>
      <c r="L95" s="8"/>
    </row>
    <row r="96" spans="1:12" ht="20.100000000000001" customHeight="1" x14ac:dyDescent="0.2">
      <c r="D96" s="8" t="s">
        <v>1514</v>
      </c>
      <c r="E96" t="s">
        <v>989</v>
      </c>
      <c r="F96">
        <v>0.06</v>
      </c>
      <c r="G96" s="8"/>
      <c r="H96" s="8"/>
      <c r="I96" s="8"/>
      <c r="J96" s="8"/>
      <c r="K96" s="8"/>
      <c r="L96" s="8"/>
    </row>
    <row r="97" spans="4:12" ht="20.100000000000001" customHeight="1" x14ac:dyDescent="0.2">
      <c r="D97" s="8" t="s">
        <v>1514</v>
      </c>
      <c r="E97" t="s">
        <v>993</v>
      </c>
      <c r="F97">
        <v>0.06</v>
      </c>
      <c r="G97" s="8"/>
      <c r="H97" s="8"/>
      <c r="I97" s="8"/>
      <c r="J97" s="8"/>
      <c r="K97" s="8"/>
      <c r="L97" s="8"/>
    </row>
    <row r="98" spans="4:12" ht="20.100000000000001" customHeight="1" x14ac:dyDescent="0.2">
      <c r="D98" s="8" t="s">
        <v>1514</v>
      </c>
      <c r="E98" t="s">
        <v>990</v>
      </c>
      <c r="F98">
        <v>0.06</v>
      </c>
      <c r="G98" s="8"/>
      <c r="H98" s="8"/>
      <c r="I98" s="8"/>
      <c r="J98" s="8"/>
      <c r="K98" s="8"/>
      <c r="L98" s="8"/>
    </row>
    <row r="99" spans="4:12" ht="20.100000000000001" customHeight="1" x14ac:dyDescent="0.2">
      <c r="D99" s="8" t="s">
        <v>1514</v>
      </c>
      <c r="E99" t="s">
        <v>997</v>
      </c>
      <c r="F99">
        <v>0.06</v>
      </c>
      <c r="G99" s="8"/>
      <c r="H99" s="8"/>
      <c r="I99" s="8"/>
      <c r="J99" s="8"/>
      <c r="K99" s="8"/>
      <c r="L99" s="8"/>
    </row>
    <row r="100" spans="4:12" ht="20.100000000000001" customHeight="1" x14ac:dyDescent="0.2">
      <c r="D100" s="8" t="s">
        <v>1514</v>
      </c>
      <c r="E100" t="s">
        <v>987</v>
      </c>
      <c r="F100">
        <v>0.06</v>
      </c>
      <c r="G100" s="8"/>
      <c r="H100" s="8"/>
      <c r="I100" s="8"/>
      <c r="J100" s="8"/>
      <c r="K100" s="8"/>
      <c r="L100" s="8"/>
    </row>
    <row r="101" spans="4:12" ht="20.100000000000001" customHeight="1" x14ac:dyDescent="0.2">
      <c r="D101" s="8" t="s">
        <v>1519</v>
      </c>
      <c r="E101" t="s">
        <v>988</v>
      </c>
      <c r="F101">
        <v>1</v>
      </c>
      <c r="G101" s="8"/>
      <c r="H101" s="8"/>
      <c r="I101" s="8"/>
      <c r="J101" s="8"/>
      <c r="K101" s="8"/>
      <c r="L101" s="8"/>
    </row>
    <row r="102" spans="4:12" ht="20.100000000000001" customHeight="1" x14ac:dyDescent="0.2">
      <c r="D102" s="8" t="s">
        <v>1519</v>
      </c>
      <c r="E102" t="s">
        <v>991</v>
      </c>
      <c r="F102">
        <v>1</v>
      </c>
      <c r="G102" s="8"/>
      <c r="H102" s="8"/>
      <c r="I102" s="8"/>
      <c r="J102" s="8"/>
      <c r="K102" s="8"/>
      <c r="L102" s="8"/>
    </row>
    <row r="103" spans="4:12" ht="20.100000000000001" customHeight="1" x14ac:dyDescent="0.2">
      <c r="D103" s="8" t="s">
        <v>1519</v>
      </c>
      <c r="E103" t="s">
        <v>1001</v>
      </c>
      <c r="F103">
        <v>1</v>
      </c>
      <c r="G103" s="8"/>
      <c r="H103" s="8"/>
      <c r="I103" s="8"/>
      <c r="J103" s="8"/>
      <c r="K103" s="8"/>
      <c r="L103" s="8"/>
    </row>
    <row r="104" spans="4:12" ht="20.100000000000001" customHeight="1" x14ac:dyDescent="0.2">
      <c r="D104" s="8" t="s">
        <v>1519</v>
      </c>
      <c r="E104" t="s">
        <v>989</v>
      </c>
      <c r="F104">
        <v>1</v>
      </c>
      <c r="G104" s="8"/>
      <c r="H104" s="8"/>
      <c r="I104" s="8"/>
      <c r="J104" s="8"/>
      <c r="K104" s="8"/>
      <c r="L104" s="8"/>
    </row>
    <row r="105" spans="4:12" ht="20.100000000000001" customHeight="1" x14ac:dyDescent="0.2">
      <c r="D105" s="8" t="s">
        <v>1519</v>
      </c>
      <c r="E105" t="s">
        <v>993</v>
      </c>
      <c r="F105">
        <v>1</v>
      </c>
      <c r="G105" s="8"/>
      <c r="H105" s="8"/>
      <c r="I105" s="8"/>
      <c r="J105" s="8"/>
      <c r="K105" s="8"/>
      <c r="L105" s="8"/>
    </row>
    <row r="106" spans="4:12" ht="20.100000000000001" customHeight="1" x14ac:dyDescent="0.2">
      <c r="D106" s="8" t="s">
        <v>1519</v>
      </c>
      <c r="E106" t="s">
        <v>990</v>
      </c>
      <c r="F106">
        <v>1</v>
      </c>
      <c r="G106" s="8"/>
      <c r="H106" s="8"/>
      <c r="I106" s="8"/>
      <c r="J106" s="8"/>
      <c r="K106" s="8"/>
      <c r="L106" s="8"/>
    </row>
    <row r="107" spans="4:12" ht="20.100000000000001" customHeight="1" x14ac:dyDescent="0.2">
      <c r="D107" s="8" t="s">
        <v>1519</v>
      </c>
      <c r="E107" t="s">
        <v>997</v>
      </c>
      <c r="F107">
        <v>1</v>
      </c>
      <c r="G107" s="8"/>
      <c r="H107" s="8"/>
      <c r="I107" s="8"/>
      <c r="J107" s="8"/>
      <c r="K107" s="8"/>
      <c r="L107" s="8"/>
    </row>
    <row r="108" spans="4:12" ht="20.100000000000001" customHeight="1" x14ac:dyDescent="0.2">
      <c r="D108" s="8" t="s">
        <v>1519</v>
      </c>
      <c r="E108" t="s">
        <v>987</v>
      </c>
      <c r="F108">
        <v>1</v>
      </c>
      <c r="G108" s="8"/>
      <c r="H108" s="8"/>
      <c r="I108" s="8"/>
      <c r="J108" s="8"/>
      <c r="K108" s="8"/>
      <c r="L108" s="8"/>
    </row>
    <row r="109" spans="4:12" ht="20.100000000000001" customHeight="1" x14ac:dyDescent="0.2">
      <c r="D109" s="8" t="s">
        <v>403</v>
      </c>
      <c r="E109" t="s">
        <v>988</v>
      </c>
      <c r="F109">
        <v>0</v>
      </c>
      <c r="G109" s="8"/>
      <c r="H109" s="8"/>
      <c r="I109" s="8"/>
      <c r="J109" s="8"/>
      <c r="K109" s="8"/>
      <c r="L109" s="8"/>
    </row>
    <row r="110" spans="4:12" ht="20.100000000000001" customHeight="1" x14ac:dyDescent="0.2">
      <c r="D110" s="8" t="s">
        <v>403</v>
      </c>
      <c r="E110" t="s">
        <v>991</v>
      </c>
      <c r="F110">
        <v>0</v>
      </c>
      <c r="G110" s="8"/>
      <c r="H110" s="8"/>
      <c r="I110" s="8"/>
      <c r="J110" s="8"/>
      <c r="K110" s="8"/>
      <c r="L110" s="8"/>
    </row>
    <row r="111" spans="4:12" ht="20.100000000000001" customHeight="1" x14ac:dyDescent="0.2">
      <c r="D111" s="8" t="s">
        <v>403</v>
      </c>
      <c r="E111" t="s">
        <v>1001</v>
      </c>
      <c r="F111">
        <v>0</v>
      </c>
      <c r="G111" s="8"/>
      <c r="H111" s="8"/>
      <c r="I111" s="8"/>
      <c r="J111" s="8"/>
      <c r="K111" s="8"/>
      <c r="L111" s="8"/>
    </row>
    <row r="112" spans="4:12" ht="20.100000000000001" customHeight="1" x14ac:dyDescent="0.2">
      <c r="D112" s="8" t="s">
        <v>403</v>
      </c>
      <c r="E112" t="s">
        <v>989</v>
      </c>
      <c r="F112">
        <v>0</v>
      </c>
      <c r="G112" s="8"/>
      <c r="H112" s="8"/>
      <c r="I112" s="8"/>
      <c r="J112" s="8"/>
      <c r="K112" s="8"/>
      <c r="L112" s="8"/>
    </row>
    <row r="113" spans="1:12" ht="20.100000000000001" customHeight="1" x14ac:dyDescent="0.2">
      <c r="D113" s="8" t="s">
        <v>403</v>
      </c>
      <c r="E113" t="s">
        <v>993</v>
      </c>
      <c r="F113">
        <v>0</v>
      </c>
      <c r="G113" s="8"/>
      <c r="H113" s="8"/>
      <c r="I113" s="8"/>
      <c r="J113" s="8"/>
      <c r="K113" s="8"/>
      <c r="L113" s="8"/>
    </row>
    <row r="114" spans="1:12" ht="20.100000000000001" customHeight="1" x14ac:dyDescent="0.2">
      <c r="D114" s="8" t="s">
        <v>403</v>
      </c>
      <c r="E114" t="s">
        <v>990</v>
      </c>
      <c r="F114">
        <v>0</v>
      </c>
      <c r="G114" s="8"/>
      <c r="H114" s="8"/>
      <c r="I114" s="8"/>
      <c r="J114" s="8"/>
      <c r="K114" s="8"/>
      <c r="L114" s="8"/>
    </row>
    <row r="115" spans="1:12" ht="20.100000000000001" customHeight="1" x14ac:dyDescent="0.2">
      <c r="D115" s="8" t="s">
        <v>403</v>
      </c>
      <c r="E115" t="s">
        <v>997</v>
      </c>
      <c r="F115">
        <v>0</v>
      </c>
      <c r="G115" s="8"/>
      <c r="H115" s="8"/>
      <c r="I115" s="8"/>
      <c r="J115" s="8"/>
      <c r="K115" s="8"/>
      <c r="L115" s="8"/>
    </row>
    <row r="116" spans="1:12" ht="20.100000000000001" customHeight="1" x14ac:dyDescent="0.2">
      <c r="D116" s="8" t="s">
        <v>403</v>
      </c>
      <c r="E116" t="s">
        <v>987</v>
      </c>
      <c r="F116">
        <v>0</v>
      </c>
      <c r="G116" s="8"/>
      <c r="H116" s="8"/>
      <c r="I116" s="8"/>
      <c r="J116" s="8"/>
      <c r="K116" s="8"/>
      <c r="L116" s="8"/>
    </row>
    <row r="117" spans="1:12" ht="20.100000000000001" customHeight="1" x14ac:dyDescent="0.2">
      <c r="D117" s="8" t="s">
        <v>1523</v>
      </c>
      <c r="E117" t="s">
        <v>988</v>
      </c>
      <c r="F117">
        <v>0</v>
      </c>
      <c r="G117" s="8"/>
      <c r="H117" s="8"/>
      <c r="I117" s="8"/>
      <c r="J117" s="8"/>
      <c r="K117" s="8"/>
      <c r="L117" s="8"/>
    </row>
    <row r="118" spans="1:12" ht="20.100000000000001" customHeight="1" x14ac:dyDescent="0.2">
      <c r="D118" s="8" t="s">
        <v>1523</v>
      </c>
      <c r="E118" t="s">
        <v>991</v>
      </c>
      <c r="F118">
        <v>0</v>
      </c>
      <c r="G118" s="8"/>
      <c r="H118" s="8"/>
      <c r="I118" s="8"/>
      <c r="J118" s="8"/>
      <c r="K118" s="8"/>
      <c r="L118" s="8"/>
    </row>
    <row r="119" spans="1:12" ht="20.100000000000001" customHeight="1" x14ac:dyDescent="0.2">
      <c r="A119" s="81" t="str">
        <f>HYPERLINK("#A1", "▲ Back to top")</f>
        <v>▲ Back to top</v>
      </c>
      <c r="D119" s="8" t="s">
        <v>1523</v>
      </c>
      <c r="E119" t="s">
        <v>1001</v>
      </c>
      <c r="F119">
        <v>0</v>
      </c>
      <c r="G119" s="8"/>
      <c r="H119" s="8"/>
      <c r="I119" s="8"/>
      <c r="J119" s="8"/>
      <c r="K119" s="8"/>
      <c r="L119" s="8"/>
    </row>
    <row r="120" spans="1:12" ht="20.100000000000001" customHeight="1" x14ac:dyDescent="0.2">
      <c r="D120" s="8" t="s">
        <v>1523</v>
      </c>
      <c r="E120" t="s">
        <v>989</v>
      </c>
      <c r="F120">
        <v>0</v>
      </c>
      <c r="G120" s="8"/>
      <c r="H120" s="8"/>
      <c r="I120" s="8"/>
      <c r="J120" s="8"/>
      <c r="K120" s="8"/>
      <c r="L120" s="8"/>
    </row>
    <row r="121" spans="1:12" ht="20.100000000000001" customHeight="1" x14ac:dyDescent="0.2">
      <c r="D121" s="8" t="s">
        <v>1523</v>
      </c>
      <c r="E121" t="s">
        <v>993</v>
      </c>
      <c r="F121">
        <v>0</v>
      </c>
      <c r="G121" s="8"/>
      <c r="H121" s="8"/>
      <c r="I121" s="8"/>
      <c r="J121" s="8"/>
      <c r="K121" s="8"/>
      <c r="L121" s="8"/>
    </row>
    <row r="122" spans="1:12" ht="20.100000000000001" customHeight="1" x14ac:dyDescent="0.2">
      <c r="D122" s="8" t="s">
        <v>1523</v>
      </c>
      <c r="E122" t="s">
        <v>990</v>
      </c>
      <c r="F122">
        <v>0</v>
      </c>
      <c r="G122" s="8"/>
      <c r="H122" s="8"/>
      <c r="I122" s="8"/>
      <c r="J122" s="8"/>
      <c r="K122" s="8"/>
      <c r="L122" s="8"/>
    </row>
    <row r="123" spans="1:12" ht="20.100000000000001" customHeight="1" x14ac:dyDescent="0.2">
      <c r="D123" s="8" t="s">
        <v>1523</v>
      </c>
      <c r="E123" t="s">
        <v>997</v>
      </c>
      <c r="F123">
        <v>0</v>
      </c>
      <c r="G123" s="8"/>
      <c r="H123" s="8"/>
      <c r="I123" s="8"/>
      <c r="J123" s="8"/>
      <c r="K123" s="8"/>
      <c r="L123" s="8"/>
    </row>
    <row r="124" spans="1:12" ht="20.100000000000001" customHeight="1" x14ac:dyDescent="0.2">
      <c r="D124" s="8" t="s">
        <v>1523</v>
      </c>
      <c r="E124" t="s">
        <v>987</v>
      </c>
      <c r="F124">
        <v>0</v>
      </c>
      <c r="G124" s="8"/>
      <c r="H124" s="8"/>
      <c r="I124" s="8"/>
      <c r="J124" s="8"/>
      <c r="K124" s="8"/>
      <c r="L124" s="8"/>
    </row>
    <row r="125" spans="1:12" ht="20.100000000000001" customHeight="1" x14ac:dyDescent="0.2">
      <c r="D125" s="8" t="s">
        <v>1525</v>
      </c>
      <c r="E125" t="s">
        <v>988</v>
      </c>
      <c r="F125">
        <v>0.8</v>
      </c>
      <c r="G125" s="8"/>
      <c r="H125" s="8"/>
      <c r="I125" s="8"/>
      <c r="J125" s="8"/>
      <c r="K125" s="8"/>
      <c r="L125" s="8"/>
    </row>
    <row r="126" spans="1:12" ht="20.100000000000001" customHeight="1" x14ac:dyDescent="0.2">
      <c r="D126" s="8" t="s">
        <v>1525</v>
      </c>
      <c r="E126" t="s">
        <v>991</v>
      </c>
      <c r="F126">
        <v>0.8</v>
      </c>
      <c r="G126" s="8"/>
      <c r="H126" s="8"/>
      <c r="I126" s="8"/>
      <c r="J126" s="8"/>
      <c r="K126" s="8"/>
      <c r="L126" s="8"/>
    </row>
    <row r="127" spans="1:12" ht="20.100000000000001" customHeight="1" x14ac:dyDescent="0.2">
      <c r="D127" s="8" t="s">
        <v>1525</v>
      </c>
      <c r="E127" t="s">
        <v>1001</v>
      </c>
      <c r="F127">
        <v>0.8</v>
      </c>
      <c r="G127" s="8"/>
      <c r="H127" s="8"/>
      <c r="I127" s="8"/>
      <c r="J127" s="8"/>
      <c r="K127" s="8"/>
      <c r="L127" s="8"/>
    </row>
    <row r="128" spans="1:12" ht="20.100000000000001" customHeight="1" x14ac:dyDescent="0.2">
      <c r="D128" s="8" t="s">
        <v>1525</v>
      </c>
      <c r="E128" t="s">
        <v>989</v>
      </c>
      <c r="F128">
        <v>0.8</v>
      </c>
      <c r="G128" s="8"/>
      <c r="H128" s="8"/>
      <c r="I128" s="8"/>
      <c r="J128" s="8"/>
      <c r="K128" s="8"/>
      <c r="L128" s="8"/>
    </row>
    <row r="129" spans="4:12" ht="20.100000000000001" customHeight="1" x14ac:dyDescent="0.2">
      <c r="D129" s="8" t="s">
        <v>1525</v>
      </c>
      <c r="E129" t="s">
        <v>993</v>
      </c>
      <c r="F129">
        <v>0.8</v>
      </c>
      <c r="G129" s="8"/>
      <c r="H129" s="8"/>
      <c r="I129" s="8"/>
      <c r="J129" s="8"/>
      <c r="K129" s="8"/>
      <c r="L129" s="8"/>
    </row>
    <row r="130" spans="4:12" ht="20.100000000000001" customHeight="1" x14ac:dyDescent="0.2">
      <c r="D130" s="8" t="s">
        <v>1525</v>
      </c>
      <c r="E130" t="s">
        <v>990</v>
      </c>
      <c r="F130">
        <v>0.8</v>
      </c>
      <c r="G130" s="8"/>
      <c r="H130" s="8"/>
      <c r="I130" s="8"/>
      <c r="J130" s="8"/>
      <c r="K130" s="8"/>
      <c r="L130" s="8"/>
    </row>
    <row r="131" spans="4:12" ht="20.100000000000001" customHeight="1" x14ac:dyDescent="0.2">
      <c r="D131" s="8" t="s">
        <v>1525</v>
      </c>
      <c r="E131" t="s">
        <v>997</v>
      </c>
      <c r="F131">
        <v>0.8</v>
      </c>
      <c r="G131" s="8"/>
      <c r="H131" s="8"/>
      <c r="I131" s="8"/>
      <c r="J131" s="8"/>
      <c r="K131" s="8"/>
      <c r="L131" s="8"/>
    </row>
    <row r="132" spans="4:12" ht="20.100000000000001" customHeight="1" x14ac:dyDescent="0.2">
      <c r="D132" s="8" t="s">
        <v>1525</v>
      </c>
      <c r="E132" t="s">
        <v>987</v>
      </c>
      <c r="F132">
        <v>0.8</v>
      </c>
      <c r="G132" s="8"/>
      <c r="H132" s="8"/>
      <c r="I132" s="8"/>
      <c r="J132" s="8"/>
      <c r="K132" s="8"/>
      <c r="L132" s="8"/>
    </row>
    <row r="133" spans="4:12" ht="20.100000000000001" customHeight="1" x14ac:dyDescent="0.2">
      <c r="D133" s="8" t="s">
        <v>1552</v>
      </c>
      <c r="E133" t="s">
        <v>988</v>
      </c>
      <c r="F133">
        <v>0</v>
      </c>
      <c r="G133" s="8"/>
      <c r="H133" s="8"/>
      <c r="I133" s="8"/>
      <c r="J133" s="8"/>
      <c r="K133" s="8"/>
      <c r="L133" s="8"/>
    </row>
    <row r="134" spans="4:12" ht="20.100000000000001" customHeight="1" x14ac:dyDescent="0.2">
      <c r="D134" s="8" t="s">
        <v>1552</v>
      </c>
      <c r="E134" t="s">
        <v>991</v>
      </c>
      <c r="F134" t="s">
        <v>124</v>
      </c>
      <c r="G134" s="8"/>
      <c r="H134" s="8"/>
      <c r="I134" s="8"/>
      <c r="J134" s="8"/>
      <c r="K134" s="8"/>
      <c r="L134" s="8"/>
    </row>
    <row r="135" spans="4:12" ht="20.100000000000001" customHeight="1" x14ac:dyDescent="0.2">
      <c r="D135" s="8" t="s">
        <v>1552</v>
      </c>
      <c r="E135" t="s">
        <v>1001</v>
      </c>
      <c r="F135">
        <v>0.03</v>
      </c>
      <c r="G135" s="8"/>
      <c r="H135" s="8"/>
      <c r="I135" s="8"/>
      <c r="J135" s="8"/>
      <c r="K135" s="8"/>
      <c r="L135" s="8"/>
    </row>
    <row r="136" spans="4:12" ht="20.100000000000001" customHeight="1" x14ac:dyDescent="0.2">
      <c r="D136" s="8" t="s">
        <v>1552</v>
      </c>
      <c r="E136" t="s">
        <v>989</v>
      </c>
      <c r="F136" t="s">
        <v>124</v>
      </c>
      <c r="G136" s="8"/>
      <c r="H136" s="8"/>
      <c r="I136" s="8"/>
      <c r="J136" s="8"/>
      <c r="K136" s="8"/>
      <c r="L136" s="8"/>
    </row>
    <row r="137" spans="4:12" ht="20.100000000000001" customHeight="1" x14ac:dyDescent="0.2">
      <c r="D137" s="8" t="s">
        <v>1552</v>
      </c>
      <c r="E137" t="s">
        <v>993</v>
      </c>
      <c r="F137">
        <v>0</v>
      </c>
      <c r="G137" s="8"/>
      <c r="H137" s="8"/>
      <c r="I137" s="8"/>
      <c r="J137" s="8"/>
      <c r="K137" s="8"/>
      <c r="L137" s="8"/>
    </row>
    <row r="138" spans="4:12" ht="20.100000000000001" customHeight="1" x14ac:dyDescent="0.2">
      <c r="D138" s="8" t="s">
        <v>1552</v>
      </c>
      <c r="E138" t="s">
        <v>990</v>
      </c>
      <c r="F138" t="s">
        <v>124</v>
      </c>
      <c r="G138" s="8"/>
      <c r="H138" s="8"/>
      <c r="I138" s="8"/>
      <c r="J138" s="8"/>
      <c r="K138" s="8"/>
      <c r="L138" s="8"/>
    </row>
    <row r="139" spans="4:12" ht="20.100000000000001" customHeight="1" x14ac:dyDescent="0.2">
      <c r="D139" s="8" t="s">
        <v>1552</v>
      </c>
      <c r="E139" t="s">
        <v>997</v>
      </c>
      <c r="F139" t="s">
        <v>124</v>
      </c>
      <c r="G139" s="8"/>
      <c r="H139" s="8"/>
      <c r="I139" s="8"/>
      <c r="J139" s="8"/>
      <c r="K139" s="8"/>
      <c r="L139" s="8"/>
    </row>
    <row r="140" spans="4:12" ht="20.100000000000001" customHeight="1" x14ac:dyDescent="0.2">
      <c r="D140" s="8" t="s">
        <v>1552</v>
      </c>
      <c r="E140" t="s">
        <v>987</v>
      </c>
      <c r="F140" t="s">
        <v>124</v>
      </c>
      <c r="G140" s="8"/>
      <c r="H140" s="8"/>
      <c r="I140" s="8"/>
      <c r="J140" s="8"/>
      <c r="K140" s="8"/>
      <c r="L140" s="8"/>
    </row>
    <row r="141" spans="4:12" ht="20.100000000000001" customHeight="1" x14ac:dyDescent="0.2">
      <c r="D141" s="8" t="s">
        <v>710</v>
      </c>
      <c r="E141" t="s">
        <v>988</v>
      </c>
      <c r="F141">
        <v>0.05</v>
      </c>
      <c r="G141" s="8"/>
      <c r="H141" s="8"/>
      <c r="I141" s="8"/>
      <c r="J141" s="8"/>
      <c r="K141" s="8"/>
      <c r="L141" s="8"/>
    </row>
    <row r="142" spans="4:12" ht="20.100000000000001" customHeight="1" x14ac:dyDescent="0.2">
      <c r="D142" s="8" t="s">
        <v>710</v>
      </c>
      <c r="E142" t="s">
        <v>991</v>
      </c>
      <c r="F142">
        <v>7.0000000000000007E-2</v>
      </c>
      <c r="G142" s="8"/>
      <c r="H142" s="8"/>
      <c r="I142" s="8"/>
      <c r="J142" s="8"/>
      <c r="K142" s="8"/>
      <c r="L142" s="8"/>
    </row>
    <row r="143" spans="4:12" ht="20.100000000000001" customHeight="1" x14ac:dyDescent="0.2">
      <c r="D143" s="8" t="s">
        <v>710</v>
      </c>
      <c r="E143" t="s">
        <v>1001</v>
      </c>
      <c r="F143">
        <v>0.04</v>
      </c>
      <c r="G143" s="8"/>
      <c r="H143" s="8"/>
      <c r="I143" s="8"/>
      <c r="J143" s="8"/>
      <c r="K143" s="8"/>
      <c r="L143" s="8"/>
    </row>
    <row r="144" spans="4:12" ht="20.100000000000001" customHeight="1" x14ac:dyDescent="0.2">
      <c r="D144" s="8" t="s">
        <v>710</v>
      </c>
      <c r="E144" t="s">
        <v>989</v>
      </c>
      <c r="F144">
        <v>0.09</v>
      </c>
      <c r="G144" s="8"/>
      <c r="H144" s="8"/>
      <c r="I144" s="8"/>
      <c r="J144" s="8"/>
      <c r="K144" s="8"/>
      <c r="L144" s="8"/>
    </row>
    <row r="145" spans="1:12" ht="20.100000000000001" customHeight="1" x14ac:dyDescent="0.2">
      <c r="D145" s="8" t="s">
        <v>710</v>
      </c>
      <c r="E145" t="s">
        <v>993</v>
      </c>
      <c r="F145">
        <v>0.11</v>
      </c>
      <c r="G145" s="8"/>
      <c r="H145" s="8"/>
      <c r="I145" s="8"/>
      <c r="J145" s="8"/>
      <c r="K145" s="8"/>
      <c r="L145" s="8"/>
    </row>
    <row r="146" spans="1:12" ht="20.100000000000001" customHeight="1" x14ac:dyDescent="0.2">
      <c r="D146" s="8" t="s">
        <v>710</v>
      </c>
      <c r="E146" t="s">
        <v>990</v>
      </c>
      <c r="F146">
        <v>0.16</v>
      </c>
      <c r="G146" s="8"/>
      <c r="H146" s="8"/>
      <c r="I146" s="8"/>
      <c r="J146" s="8"/>
      <c r="K146" s="8"/>
      <c r="L146" s="8"/>
    </row>
    <row r="147" spans="1:12" ht="20.100000000000001" customHeight="1" x14ac:dyDescent="0.2">
      <c r="D147" s="8" t="s">
        <v>710</v>
      </c>
      <c r="E147" t="s">
        <v>997</v>
      </c>
      <c r="F147">
        <v>0.01</v>
      </c>
      <c r="G147" s="8"/>
      <c r="H147" s="8"/>
      <c r="I147" s="8"/>
      <c r="J147" s="8"/>
      <c r="K147" s="8"/>
      <c r="L147" s="8"/>
    </row>
    <row r="148" spans="1:12" ht="20.100000000000001" customHeight="1" x14ac:dyDescent="0.2">
      <c r="D148" s="8" t="s">
        <v>710</v>
      </c>
      <c r="E148" t="s">
        <v>987</v>
      </c>
      <c r="F148">
        <v>0</v>
      </c>
      <c r="G148" s="8"/>
      <c r="H148" s="8"/>
      <c r="I148" s="8"/>
      <c r="J148" s="8"/>
      <c r="K148" s="8"/>
      <c r="L148" s="8"/>
    </row>
    <row r="149" spans="1:12" ht="20.100000000000001" customHeight="1" x14ac:dyDescent="0.2">
      <c r="A149" s="81" t="str">
        <f>HYPERLINK("#A1", "▲ Back to top")</f>
        <v>▲ Back to top</v>
      </c>
      <c r="D149" s="8" t="s">
        <v>1512</v>
      </c>
      <c r="E149" t="s">
        <v>988</v>
      </c>
      <c r="F149">
        <v>0.05</v>
      </c>
      <c r="G149" s="8"/>
      <c r="H149" s="8"/>
      <c r="I149" s="8"/>
      <c r="J149" s="8"/>
      <c r="K149" s="8"/>
      <c r="L149" s="8"/>
    </row>
    <row r="150" spans="1:12" ht="20.100000000000001" customHeight="1" x14ac:dyDescent="0.2">
      <c r="D150" s="8" t="s">
        <v>1512</v>
      </c>
      <c r="E150" t="s">
        <v>991</v>
      </c>
      <c r="F150">
        <v>7.0000000000000007E-2</v>
      </c>
      <c r="G150" s="8"/>
      <c r="H150" s="8"/>
      <c r="I150" s="8"/>
      <c r="J150" s="8"/>
      <c r="K150" s="8"/>
      <c r="L150" s="8"/>
    </row>
    <row r="151" spans="1:12" ht="20.100000000000001" customHeight="1" x14ac:dyDescent="0.2">
      <c r="D151" s="8" t="s">
        <v>1512</v>
      </c>
      <c r="E151" t="s">
        <v>1001</v>
      </c>
      <c r="F151">
        <v>0.04</v>
      </c>
      <c r="G151" s="8"/>
      <c r="H151" s="8"/>
      <c r="I151" s="8"/>
      <c r="J151" s="8"/>
      <c r="K151" s="8"/>
      <c r="L151" s="8"/>
    </row>
    <row r="152" spans="1:12" ht="20.100000000000001" customHeight="1" x14ac:dyDescent="0.2">
      <c r="D152" s="8" t="s">
        <v>1512</v>
      </c>
      <c r="E152" t="s">
        <v>989</v>
      </c>
      <c r="F152">
        <v>0.09</v>
      </c>
      <c r="G152" s="8"/>
      <c r="H152" s="8"/>
      <c r="I152" s="8"/>
      <c r="J152" s="8"/>
      <c r="K152" s="8"/>
      <c r="L152" s="8"/>
    </row>
    <row r="153" spans="1:12" ht="20.100000000000001" customHeight="1" x14ac:dyDescent="0.2">
      <c r="D153" s="8" t="s">
        <v>1512</v>
      </c>
      <c r="E153" t="s">
        <v>993</v>
      </c>
      <c r="F153">
        <v>0.11</v>
      </c>
      <c r="G153" s="8"/>
      <c r="H153" s="8"/>
      <c r="I153" s="8"/>
      <c r="J153" s="8"/>
      <c r="K153" s="8"/>
      <c r="L153" s="8"/>
    </row>
    <row r="154" spans="1:12" ht="20.100000000000001" customHeight="1" x14ac:dyDescent="0.2">
      <c r="D154" s="8" t="s">
        <v>1512</v>
      </c>
      <c r="E154" t="s">
        <v>990</v>
      </c>
      <c r="F154">
        <v>0.16</v>
      </c>
      <c r="G154" s="8"/>
      <c r="H154" s="8"/>
      <c r="I154" s="8"/>
      <c r="J154" s="8"/>
      <c r="K154" s="8"/>
      <c r="L154" s="8"/>
    </row>
    <row r="155" spans="1:12" ht="20.100000000000001" customHeight="1" x14ac:dyDescent="0.2">
      <c r="D155" s="8" t="s">
        <v>1512</v>
      </c>
      <c r="E155" t="s">
        <v>997</v>
      </c>
      <c r="F155">
        <v>0.01</v>
      </c>
      <c r="G155" s="8"/>
      <c r="H155" s="8"/>
      <c r="I155" s="8"/>
      <c r="J155" s="8"/>
      <c r="K155" s="8"/>
      <c r="L155" s="8"/>
    </row>
    <row r="156" spans="1:12" ht="20.100000000000001" customHeight="1" x14ac:dyDescent="0.2">
      <c r="D156" s="8" t="s">
        <v>1512</v>
      </c>
      <c r="E156" t="s">
        <v>987</v>
      </c>
      <c r="F156">
        <v>0</v>
      </c>
      <c r="G156" s="8"/>
      <c r="H156" s="8"/>
      <c r="I156" s="8"/>
      <c r="J156" s="8"/>
      <c r="K156" s="8"/>
      <c r="L156" s="8"/>
    </row>
    <row r="157" spans="1:12" ht="20.100000000000001" customHeight="1" x14ac:dyDescent="0.2">
      <c r="D157" s="8" t="s">
        <v>474</v>
      </c>
      <c r="E157" t="s">
        <v>988</v>
      </c>
      <c r="F157">
        <v>0.05</v>
      </c>
      <c r="G157" s="8"/>
      <c r="H157" s="8"/>
      <c r="I157" s="8"/>
      <c r="J157" s="8"/>
      <c r="K157" s="8"/>
      <c r="L157" s="8"/>
    </row>
    <row r="158" spans="1:12" ht="20.100000000000001" customHeight="1" x14ac:dyDescent="0.2">
      <c r="D158" s="8" t="s">
        <v>474</v>
      </c>
      <c r="E158" t="s">
        <v>991</v>
      </c>
      <c r="F158">
        <v>7.0000000000000007E-2</v>
      </c>
      <c r="G158" s="8"/>
      <c r="H158" s="8"/>
      <c r="I158" s="8"/>
      <c r="J158" s="8"/>
      <c r="K158" s="8"/>
      <c r="L158" s="8"/>
    </row>
    <row r="159" spans="1:12" ht="20.100000000000001" customHeight="1" x14ac:dyDescent="0.2">
      <c r="D159" s="8" t="s">
        <v>474</v>
      </c>
      <c r="E159" t="s">
        <v>1001</v>
      </c>
      <c r="F159">
        <v>0.04</v>
      </c>
      <c r="G159" s="8"/>
      <c r="H159" s="8"/>
      <c r="I159" s="8"/>
      <c r="J159" s="8"/>
      <c r="K159" s="8"/>
      <c r="L159" s="8"/>
    </row>
    <row r="160" spans="1:12" ht="20.100000000000001" customHeight="1" x14ac:dyDescent="0.2">
      <c r="D160" s="8" t="s">
        <v>474</v>
      </c>
      <c r="E160" t="s">
        <v>989</v>
      </c>
      <c r="F160">
        <v>0.09</v>
      </c>
      <c r="G160" s="8"/>
      <c r="H160" s="8"/>
      <c r="I160" s="8"/>
      <c r="J160" s="8"/>
      <c r="K160" s="8"/>
      <c r="L160" s="8"/>
    </row>
    <row r="161" spans="4:12" ht="20.100000000000001" customHeight="1" x14ac:dyDescent="0.2">
      <c r="D161" s="8" t="s">
        <v>474</v>
      </c>
      <c r="E161" t="s">
        <v>993</v>
      </c>
      <c r="F161">
        <v>0.11</v>
      </c>
      <c r="G161" s="8"/>
      <c r="H161" s="8"/>
      <c r="I161" s="8"/>
      <c r="J161" s="8"/>
      <c r="K161" s="8"/>
      <c r="L161" s="8"/>
    </row>
    <row r="162" spans="4:12" ht="20.100000000000001" customHeight="1" x14ac:dyDescent="0.2">
      <c r="D162" s="8" t="s">
        <v>474</v>
      </c>
      <c r="E162" t="s">
        <v>990</v>
      </c>
      <c r="F162">
        <v>0.16</v>
      </c>
      <c r="G162" s="8"/>
      <c r="H162" s="8"/>
      <c r="I162" s="8"/>
      <c r="J162" s="8"/>
      <c r="K162" s="8"/>
      <c r="L162" s="8"/>
    </row>
    <row r="163" spans="4:12" ht="20.100000000000001" customHeight="1" x14ac:dyDescent="0.2">
      <c r="D163" s="8" t="s">
        <v>474</v>
      </c>
      <c r="E163" t="s">
        <v>997</v>
      </c>
      <c r="F163">
        <v>0.01</v>
      </c>
      <c r="G163" s="8"/>
      <c r="H163" s="8"/>
      <c r="I163" s="8"/>
      <c r="J163" s="8"/>
      <c r="K163" s="8"/>
      <c r="L163" s="8"/>
    </row>
    <row r="164" spans="4:12" ht="20.100000000000001" customHeight="1" x14ac:dyDescent="0.2">
      <c r="D164" s="8" t="s">
        <v>474</v>
      </c>
      <c r="E164" t="s">
        <v>987</v>
      </c>
      <c r="F164">
        <v>0</v>
      </c>
      <c r="G164" s="8"/>
      <c r="H164" s="8"/>
      <c r="I164" s="8"/>
      <c r="J164" s="8"/>
      <c r="K164" s="8"/>
      <c r="L164" s="8"/>
    </row>
    <row r="165" spans="4:12" ht="20.100000000000001" customHeight="1" x14ac:dyDescent="0.2">
      <c r="D165" s="8" t="s">
        <v>1513</v>
      </c>
      <c r="E165" t="s">
        <v>988</v>
      </c>
      <c r="F165">
        <v>0.05</v>
      </c>
      <c r="G165" s="8"/>
      <c r="H165" s="8"/>
      <c r="I165" s="8"/>
      <c r="J165" s="8"/>
      <c r="K165" s="8"/>
      <c r="L165" s="8"/>
    </row>
    <row r="166" spans="4:12" ht="20.100000000000001" customHeight="1" x14ac:dyDescent="0.2">
      <c r="D166" s="8" t="s">
        <v>1513</v>
      </c>
      <c r="E166" t="s">
        <v>991</v>
      </c>
      <c r="F166">
        <v>7.0000000000000007E-2</v>
      </c>
      <c r="G166" s="8"/>
      <c r="H166" s="8"/>
      <c r="I166" s="8"/>
      <c r="J166" s="8"/>
      <c r="K166" s="8"/>
      <c r="L166" s="8"/>
    </row>
    <row r="167" spans="4:12" ht="20.100000000000001" customHeight="1" x14ac:dyDescent="0.2">
      <c r="D167" s="8" t="s">
        <v>1513</v>
      </c>
      <c r="E167" t="s">
        <v>1001</v>
      </c>
      <c r="F167">
        <v>0.04</v>
      </c>
      <c r="G167" s="8"/>
      <c r="H167" s="8"/>
      <c r="I167" s="8"/>
      <c r="J167" s="8"/>
      <c r="K167" s="8"/>
      <c r="L167" s="8"/>
    </row>
    <row r="168" spans="4:12" ht="20.100000000000001" customHeight="1" x14ac:dyDescent="0.2">
      <c r="D168" s="8" t="s">
        <v>1513</v>
      </c>
      <c r="E168" t="s">
        <v>989</v>
      </c>
      <c r="F168">
        <v>0.09</v>
      </c>
      <c r="G168" s="8"/>
      <c r="H168" s="8"/>
      <c r="I168" s="8"/>
      <c r="J168" s="8"/>
      <c r="K168" s="8"/>
      <c r="L168" s="8"/>
    </row>
    <row r="169" spans="4:12" ht="20.100000000000001" customHeight="1" x14ac:dyDescent="0.2">
      <c r="D169" s="8" t="s">
        <v>1513</v>
      </c>
      <c r="E169" t="s">
        <v>993</v>
      </c>
      <c r="F169">
        <v>0.11</v>
      </c>
      <c r="G169" s="8"/>
      <c r="H169" s="8"/>
      <c r="I169" s="8"/>
      <c r="J169" s="8"/>
      <c r="K169" s="8"/>
      <c r="L169" s="8"/>
    </row>
    <row r="170" spans="4:12" ht="20.100000000000001" customHeight="1" x14ac:dyDescent="0.2">
      <c r="D170" s="8" t="s">
        <v>1513</v>
      </c>
      <c r="E170" t="s">
        <v>990</v>
      </c>
      <c r="F170">
        <v>0.16</v>
      </c>
      <c r="G170" s="8"/>
      <c r="H170" s="8"/>
      <c r="I170" s="8"/>
      <c r="J170" s="8"/>
      <c r="K170" s="8"/>
      <c r="L170" s="8"/>
    </row>
    <row r="171" spans="4:12" ht="20.100000000000001" customHeight="1" x14ac:dyDescent="0.2">
      <c r="D171" s="8" t="s">
        <v>1513</v>
      </c>
      <c r="E171" t="s">
        <v>997</v>
      </c>
      <c r="F171">
        <v>0.01</v>
      </c>
      <c r="G171" s="8"/>
      <c r="H171" s="8"/>
      <c r="I171" s="8"/>
      <c r="J171" s="8"/>
      <c r="K171" s="8"/>
      <c r="L171" s="8"/>
    </row>
    <row r="172" spans="4:12" ht="20.100000000000001" customHeight="1" x14ac:dyDescent="0.2">
      <c r="D172" s="8" t="s">
        <v>1513</v>
      </c>
      <c r="E172" t="s">
        <v>987</v>
      </c>
      <c r="F172">
        <v>0</v>
      </c>
      <c r="G172" s="8"/>
      <c r="H172" s="8"/>
      <c r="I172" s="8"/>
      <c r="J172" s="8"/>
      <c r="K172" s="8"/>
      <c r="L172" s="8"/>
    </row>
    <row r="173" spans="4:12" ht="20.100000000000001" customHeight="1" x14ac:dyDescent="0.2">
      <c r="D173" s="8" t="s">
        <v>1515</v>
      </c>
      <c r="E173" t="s">
        <v>988</v>
      </c>
      <c r="F173">
        <v>0.05</v>
      </c>
      <c r="G173" s="8"/>
      <c r="H173" s="8"/>
      <c r="I173" s="8"/>
      <c r="J173" s="8"/>
      <c r="K173" s="8"/>
      <c r="L173" s="8"/>
    </row>
    <row r="174" spans="4:12" ht="20.100000000000001" customHeight="1" x14ac:dyDescent="0.2">
      <c r="D174" s="8" t="s">
        <v>1515</v>
      </c>
      <c r="E174" t="s">
        <v>991</v>
      </c>
      <c r="F174">
        <v>7.0000000000000007E-2</v>
      </c>
      <c r="G174" s="8"/>
      <c r="H174" s="8"/>
      <c r="I174" s="8"/>
      <c r="J174" s="8"/>
      <c r="K174" s="8"/>
      <c r="L174" s="8"/>
    </row>
    <row r="175" spans="4:12" ht="20.100000000000001" customHeight="1" x14ac:dyDescent="0.2">
      <c r="D175" s="8" t="s">
        <v>1515</v>
      </c>
      <c r="E175" t="s">
        <v>1001</v>
      </c>
      <c r="F175">
        <v>0.04</v>
      </c>
      <c r="G175" s="8"/>
      <c r="H175" s="8"/>
      <c r="I175" s="8"/>
      <c r="J175" s="8"/>
      <c r="K175" s="8"/>
      <c r="L175" s="8"/>
    </row>
    <row r="176" spans="4:12" ht="20.100000000000001" customHeight="1" x14ac:dyDescent="0.2">
      <c r="D176" s="8" t="s">
        <v>1515</v>
      </c>
      <c r="E176" t="s">
        <v>989</v>
      </c>
      <c r="F176">
        <v>0.09</v>
      </c>
      <c r="G176" s="8"/>
      <c r="H176" s="8"/>
      <c r="I176" s="8"/>
      <c r="J176" s="8"/>
      <c r="K176" s="8"/>
      <c r="L176" s="8"/>
    </row>
    <row r="177" spans="1:12" ht="20.100000000000001" customHeight="1" x14ac:dyDescent="0.2">
      <c r="D177" s="8" t="s">
        <v>1515</v>
      </c>
      <c r="E177" t="s">
        <v>993</v>
      </c>
      <c r="F177">
        <v>0.11</v>
      </c>
      <c r="G177" s="8"/>
      <c r="H177" s="8"/>
      <c r="I177" s="8"/>
      <c r="J177" s="8"/>
      <c r="K177" s="8"/>
      <c r="L177" s="8"/>
    </row>
    <row r="178" spans="1:12" ht="20.100000000000001" customHeight="1" x14ac:dyDescent="0.2">
      <c r="D178" s="8" t="s">
        <v>1515</v>
      </c>
      <c r="E178" t="s">
        <v>990</v>
      </c>
      <c r="F178">
        <v>0.16</v>
      </c>
      <c r="G178" s="8"/>
      <c r="H178" s="8"/>
      <c r="I178" s="8"/>
      <c r="J178" s="8"/>
      <c r="K178" s="8"/>
      <c r="L178" s="8"/>
    </row>
    <row r="179" spans="1:12" ht="20.100000000000001" customHeight="1" x14ac:dyDescent="0.2">
      <c r="A179" s="81" t="str">
        <f>HYPERLINK("#A1", "▲ Back to top")</f>
        <v>▲ Back to top</v>
      </c>
      <c r="D179" s="8" t="s">
        <v>1515</v>
      </c>
      <c r="E179" t="s">
        <v>997</v>
      </c>
      <c r="F179">
        <v>0.01</v>
      </c>
      <c r="G179" s="8"/>
      <c r="H179" s="8"/>
      <c r="I179" s="8"/>
      <c r="J179" s="8"/>
      <c r="K179" s="8"/>
      <c r="L179" s="8"/>
    </row>
    <row r="180" spans="1:12" ht="20.100000000000001" customHeight="1" x14ac:dyDescent="0.2">
      <c r="D180" s="8" t="s">
        <v>1515</v>
      </c>
      <c r="E180" t="s">
        <v>987</v>
      </c>
      <c r="F180">
        <v>0</v>
      </c>
      <c r="G180" s="8"/>
      <c r="H180" s="8"/>
      <c r="I180" s="8"/>
      <c r="J180" s="8"/>
      <c r="K180" s="8"/>
      <c r="L180" s="8"/>
    </row>
    <row r="181" spans="1:12" ht="20.100000000000001" customHeight="1" x14ac:dyDescent="0.2">
      <c r="D181" s="8" t="s">
        <v>1516</v>
      </c>
      <c r="E181" t="s">
        <v>988</v>
      </c>
      <c r="F181">
        <v>0.05</v>
      </c>
      <c r="G181" s="8"/>
      <c r="H181" s="8"/>
      <c r="I181" s="8"/>
      <c r="J181" s="8"/>
      <c r="K181" s="8"/>
      <c r="L181" s="8"/>
    </row>
    <row r="182" spans="1:12" ht="20.100000000000001" customHeight="1" x14ac:dyDescent="0.2">
      <c r="D182" s="8" t="s">
        <v>1516</v>
      </c>
      <c r="E182" t="s">
        <v>991</v>
      </c>
      <c r="F182">
        <v>7.0000000000000007E-2</v>
      </c>
      <c r="G182" s="8"/>
      <c r="H182" s="8"/>
      <c r="I182" s="8"/>
      <c r="J182" s="8"/>
      <c r="K182" s="8"/>
      <c r="L182" s="8"/>
    </row>
    <row r="183" spans="1:12" ht="20.100000000000001" customHeight="1" x14ac:dyDescent="0.2">
      <c r="D183" s="8" t="s">
        <v>1516</v>
      </c>
      <c r="E183" t="s">
        <v>1001</v>
      </c>
      <c r="F183">
        <v>0.04</v>
      </c>
      <c r="G183" s="8"/>
      <c r="H183" s="8"/>
      <c r="I183" s="8"/>
      <c r="J183" s="8"/>
      <c r="K183" s="8"/>
      <c r="L183" s="8"/>
    </row>
    <row r="184" spans="1:12" ht="20.100000000000001" customHeight="1" x14ac:dyDescent="0.2">
      <c r="D184" s="8" t="s">
        <v>1516</v>
      </c>
      <c r="E184" t="s">
        <v>989</v>
      </c>
      <c r="F184">
        <v>0.09</v>
      </c>
      <c r="G184" s="8"/>
      <c r="H184" s="8"/>
      <c r="I184" s="8"/>
      <c r="J184" s="8"/>
      <c r="K184" s="8"/>
      <c r="L184" s="8"/>
    </row>
    <row r="185" spans="1:12" ht="20.100000000000001" customHeight="1" x14ac:dyDescent="0.2">
      <c r="D185" s="8" t="s">
        <v>1516</v>
      </c>
      <c r="E185" t="s">
        <v>993</v>
      </c>
      <c r="F185">
        <v>0.11</v>
      </c>
      <c r="G185" s="8"/>
      <c r="H185" s="8"/>
      <c r="I185" s="8"/>
      <c r="J185" s="8"/>
      <c r="K185" s="8"/>
      <c r="L185" s="8"/>
    </row>
    <row r="186" spans="1:12" ht="20.100000000000001" customHeight="1" x14ac:dyDescent="0.2">
      <c r="D186" s="8" t="s">
        <v>1516</v>
      </c>
      <c r="E186" t="s">
        <v>990</v>
      </c>
      <c r="F186">
        <v>0.16</v>
      </c>
      <c r="G186" s="8"/>
      <c r="H186" s="8"/>
      <c r="I186" s="8"/>
      <c r="J186" s="8"/>
      <c r="K186" s="8"/>
      <c r="L186" s="8"/>
    </row>
    <row r="187" spans="1:12" ht="20.100000000000001" customHeight="1" x14ac:dyDescent="0.2">
      <c r="D187" s="8" t="s">
        <v>1516</v>
      </c>
      <c r="E187" t="s">
        <v>997</v>
      </c>
      <c r="F187">
        <v>0.01</v>
      </c>
      <c r="G187" s="8"/>
      <c r="H187" s="8"/>
      <c r="I187" s="8"/>
      <c r="J187" s="8"/>
      <c r="K187" s="8"/>
      <c r="L187" s="8"/>
    </row>
    <row r="188" spans="1:12" ht="20.100000000000001" customHeight="1" x14ac:dyDescent="0.2">
      <c r="D188" s="8" t="s">
        <v>1516</v>
      </c>
      <c r="E188" t="s">
        <v>987</v>
      </c>
      <c r="F188">
        <v>0</v>
      </c>
      <c r="G188" s="8"/>
      <c r="H188" s="8"/>
      <c r="I188" s="8"/>
      <c r="J188" s="8"/>
      <c r="K188" s="8"/>
      <c r="L188" s="8"/>
    </row>
    <row r="189" spans="1:12" ht="20.100000000000001" customHeight="1" x14ac:dyDescent="0.2">
      <c r="D189" s="8" t="s">
        <v>1517</v>
      </c>
      <c r="E189" t="s">
        <v>988</v>
      </c>
      <c r="F189">
        <v>0.05</v>
      </c>
      <c r="G189" s="8"/>
      <c r="H189" s="8"/>
      <c r="I189" s="8"/>
      <c r="J189" s="8"/>
      <c r="K189" s="8"/>
      <c r="L189" s="8"/>
    </row>
    <row r="190" spans="1:12" ht="20.100000000000001" customHeight="1" x14ac:dyDescent="0.2">
      <c r="D190" s="8" t="s">
        <v>1517</v>
      </c>
      <c r="E190" t="s">
        <v>991</v>
      </c>
      <c r="F190">
        <v>7.0000000000000007E-2</v>
      </c>
      <c r="G190" s="8"/>
      <c r="H190" s="8"/>
      <c r="I190" s="8"/>
      <c r="J190" s="8"/>
      <c r="K190" s="8"/>
      <c r="L190" s="8"/>
    </row>
    <row r="191" spans="1:12" ht="20.100000000000001" customHeight="1" x14ac:dyDescent="0.2">
      <c r="D191" s="8" t="s">
        <v>1517</v>
      </c>
      <c r="E191" t="s">
        <v>1001</v>
      </c>
      <c r="F191">
        <v>0.04</v>
      </c>
      <c r="G191" s="8"/>
      <c r="H191" s="8"/>
      <c r="I191" s="8"/>
      <c r="J191" s="8"/>
      <c r="K191" s="8"/>
      <c r="L191" s="8"/>
    </row>
    <row r="192" spans="1:12" ht="20.100000000000001" customHeight="1" x14ac:dyDescent="0.2">
      <c r="D192" s="8" t="s">
        <v>1517</v>
      </c>
      <c r="E192" t="s">
        <v>989</v>
      </c>
      <c r="F192">
        <v>0.09</v>
      </c>
      <c r="G192" s="8"/>
      <c r="H192" s="8"/>
      <c r="I192" s="8"/>
      <c r="J192" s="8"/>
      <c r="K192" s="8"/>
      <c r="L192" s="8"/>
    </row>
    <row r="193" spans="4:12" ht="20.100000000000001" customHeight="1" x14ac:dyDescent="0.2">
      <c r="D193" s="8" t="s">
        <v>1517</v>
      </c>
      <c r="E193" t="s">
        <v>993</v>
      </c>
      <c r="F193">
        <v>0.11</v>
      </c>
      <c r="G193" s="8"/>
      <c r="H193" s="8"/>
      <c r="I193" s="8"/>
      <c r="J193" s="8"/>
      <c r="K193" s="8"/>
      <c r="L193" s="8"/>
    </row>
    <row r="194" spans="4:12" ht="20.100000000000001" customHeight="1" x14ac:dyDescent="0.2">
      <c r="D194" s="8" t="s">
        <v>1517</v>
      </c>
      <c r="E194" t="s">
        <v>990</v>
      </c>
      <c r="F194">
        <v>0.16</v>
      </c>
      <c r="G194" s="8"/>
      <c r="H194" s="8"/>
      <c r="I194" s="8"/>
      <c r="J194" s="8"/>
      <c r="K194" s="8"/>
      <c r="L194" s="8"/>
    </row>
    <row r="195" spans="4:12" ht="20.100000000000001" customHeight="1" x14ac:dyDescent="0.2">
      <c r="D195" s="8" t="s">
        <v>1517</v>
      </c>
      <c r="E195" t="s">
        <v>997</v>
      </c>
      <c r="F195">
        <v>0.01</v>
      </c>
      <c r="G195" s="8"/>
      <c r="H195" s="8"/>
      <c r="I195" s="8"/>
      <c r="J195" s="8"/>
      <c r="K195" s="8"/>
      <c r="L195" s="8"/>
    </row>
    <row r="196" spans="4:12" ht="20.100000000000001" customHeight="1" x14ac:dyDescent="0.2">
      <c r="D196" s="8" t="s">
        <v>1517</v>
      </c>
      <c r="E196" t="s">
        <v>987</v>
      </c>
      <c r="F196">
        <v>0</v>
      </c>
      <c r="G196" s="8"/>
      <c r="H196" s="8"/>
      <c r="I196" s="8"/>
      <c r="J196" s="8"/>
      <c r="K196" s="8"/>
      <c r="L196" s="8"/>
    </row>
    <row r="197" spans="4:12" ht="20.100000000000001" customHeight="1" x14ac:dyDescent="0.2">
      <c r="D197" s="8" t="s">
        <v>1518</v>
      </c>
      <c r="E197" t="s">
        <v>988</v>
      </c>
      <c r="F197">
        <v>0.05</v>
      </c>
      <c r="G197" s="8"/>
      <c r="H197" s="8"/>
      <c r="I197" s="8"/>
      <c r="J197" s="8"/>
      <c r="K197" s="8"/>
      <c r="L197" s="8"/>
    </row>
    <row r="198" spans="4:12" ht="20.100000000000001" customHeight="1" x14ac:dyDescent="0.2">
      <c r="D198" s="8" t="s">
        <v>1518</v>
      </c>
      <c r="E198" t="s">
        <v>991</v>
      </c>
      <c r="F198">
        <v>7.0000000000000007E-2</v>
      </c>
      <c r="G198" s="8"/>
      <c r="H198" s="8"/>
      <c r="I198" s="8"/>
      <c r="J198" s="8"/>
      <c r="K198" s="8"/>
      <c r="L198" s="8"/>
    </row>
    <row r="199" spans="4:12" ht="20.100000000000001" customHeight="1" x14ac:dyDescent="0.2">
      <c r="D199" s="8" t="s">
        <v>1518</v>
      </c>
      <c r="E199" t="s">
        <v>1001</v>
      </c>
      <c r="F199">
        <v>0.04</v>
      </c>
      <c r="G199" s="8"/>
      <c r="H199" s="8"/>
      <c r="I199" s="8"/>
      <c r="J199" s="8"/>
      <c r="K199" s="8"/>
      <c r="L199" s="8"/>
    </row>
    <row r="200" spans="4:12" ht="20.100000000000001" customHeight="1" x14ac:dyDescent="0.2">
      <c r="D200" s="8" t="s">
        <v>1518</v>
      </c>
      <c r="E200" t="s">
        <v>989</v>
      </c>
      <c r="F200">
        <v>0.09</v>
      </c>
      <c r="G200" s="8"/>
      <c r="H200" s="8"/>
      <c r="I200" s="8"/>
      <c r="J200" s="8"/>
      <c r="K200" s="8"/>
      <c r="L200" s="8"/>
    </row>
    <row r="201" spans="4:12" ht="20.100000000000001" customHeight="1" x14ac:dyDescent="0.2">
      <c r="D201" s="8" t="s">
        <v>1518</v>
      </c>
      <c r="E201" t="s">
        <v>993</v>
      </c>
      <c r="F201">
        <v>0.11</v>
      </c>
      <c r="G201" s="8"/>
      <c r="H201" s="8"/>
      <c r="I201" s="8"/>
      <c r="J201" s="8"/>
      <c r="K201" s="8"/>
      <c r="L201" s="8"/>
    </row>
    <row r="202" spans="4:12" ht="20.100000000000001" customHeight="1" x14ac:dyDescent="0.2">
      <c r="D202" s="8" t="s">
        <v>1518</v>
      </c>
      <c r="E202" t="s">
        <v>990</v>
      </c>
      <c r="F202">
        <v>0.16</v>
      </c>
      <c r="G202" s="8"/>
      <c r="H202" s="8"/>
      <c r="I202" s="8"/>
      <c r="J202" s="8"/>
      <c r="K202" s="8"/>
      <c r="L202" s="8"/>
    </row>
    <row r="203" spans="4:12" ht="20.100000000000001" customHeight="1" x14ac:dyDescent="0.2">
      <c r="D203" s="8" t="s">
        <v>1518</v>
      </c>
      <c r="E203" t="s">
        <v>997</v>
      </c>
      <c r="F203">
        <v>0.01</v>
      </c>
      <c r="G203" s="8"/>
      <c r="H203" s="8"/>
      <c r="I203" s="8"/>
      <c r="J203" s="8"/>
      <c r="K203" s="8"/>
      <c r="L203" s="8"/>
    </row>
    <row r="204" spans="4:12" ht="20.100000000000001" customHeight="1" x14ac:dyDescent="0.2">
      <c r="D204" s="8" t="s">
        <v>1518</v>
      </c>
      <c r="E204" t="s">
        <v>987</v>
      </c>
      <c r="F204">
        <v>0</v>
      </c>
      <c r="G204" s="8"/>
      <c r="H204" s="8"/>
      <c r="I204" s="8"/>
      <c r="J204" s="8"/>
      <c r="K204" s="8"/>
      <c r="L204" s="8"/>
    </row>
    <row r="205" spans="4:12" ht="20.100000000000001" customHeight="1" x14ac:dyDescent="0.2">
      <c r="D205" s="8" t="s">
        <v>1521</v>
      </c>
      <c r="E205" t="s">
        <v>988</v>
      </c>
      <c r="F205">
        <v>0.05</v>
      </c>
      <c r="G205" s="8"/>
      <c r="H205" s="8"/>
      <c r="I205" s="8"/>
      <c r="J205" s="8"/>
      <c r="K205" s="8"/>
      <c r="L205" s="8"/>
    </row>
    <row r="206" spans="4:12" ht="20.100000000000001" customHeight="1" x14ac:dyDescent="0.2">
      <c r="D206" s="8" t="s">
        <v>1521</v>
      </c>
      <c r="E206" t="s">
        <v>991</v>
      </c>
      <c r="F206">
        <v>7.0000000000000007E-2</v>
      </c>
      <c r="G206" s="8"/>
      <c r="H206" s="8"/>
      <c r="I206" s="8"/>
      <c r="J206" s="8"/>
      <c r="K206" s="8"/>
      <c r="L206" s="8"/>
    </row>
    <row r="207" spans="4:12" ht="20.100000000000001" customHeight="1" x14ac:dyDescent="0.2">
      <c r="D207" s="8" t="s">
        <v>1521</v>
      </c>
      <c r="E207" t="s">
        <v>1001</v>
      </c>
      <c r="F207">
        <v>0.04</v>
      </c>
      <c r="G207" s="8"/>
      <c r="H207" s="8"/>
      <c r="I207" s="8"/>
      <c r="J207" s="8"/>
      <c r="K207" s="8"/>
      <c r="L207" s="8"/>
    </row>
    <row r="208" spans="4:12" ht="20.100000000000001" customHeight="1" x14ac:dyDescent="0.2">
      <c r="D208" s="8" t="s">
        <v>1521</v>
      </c>
      <c r="E208" t="s">
        <v>989</v>
      </c>
      <c r="F208">
        <v>0.09</v>
      </c>
      <c r="G208" s="8"/>
      <c r="H208" s="8"/>
      <c r="I208" s="8"/>
      <c r="J208" s="8"/>
      <c r="K208" s="8"/>
      <c r="L208" s="8"/>
    </row>
    <row r="209" spans="1:12" ht="20.100000000000001" customHeight="1" x14ac:dyDescent="0.2">
      <c r="A209" s="81" t="str">
        <f>HYPERLINK("#A1", "▲ Back to top")</f>
        <v>▲ Back to top</v>
      </c>
      <c r="D209" s="8" t="s">
        <v>1521</v>
      </c>
      <c r="E209" t="s">
        <v>993</v>
      </c>
      <c r="F209">
        <v>0.11</v>
      </c>
      <c r="G209" s="8"/>
      <c r="H209" s="8"/>
      <c r="I209" s="8"/>
      <c r="J209" s="8"/>
      <c r="K209" s="8"/>
      <c r="L209" s="8"/>
    </row>
    <row r="210" spans="1:12" ht="20.100000000000001" customHeight="1" x14ac:dyDescent="0.2">
      <c r="D210" s="8" t="s">
        <v>1521</v>
      </c>
      <c r="E210" t="s">
        <v>990</v>
      </c>
      <c r="F210">
        <v>0.16</v>
      </c>
      <c r="G210" s="8"/>
      <c r="H210" s="8"/>
      <c r="I210" s="8"/>
      <c r="J210" s="8"/>
      <c r="K210" s="8"/>
      <c r="L210" s="8"/>
    </row>
    <row r="211" spans="1:12" ht="20.100000000000001" customHeight="1" x14ac:dyDescent="0.2">
      <c r="D211" s="8" t="s">
        <v>1521</v>
      </c>
      <c r="E211" t="s">
        <v>997</v>
      </c>
      <c r="F211">
        <v>0.01</v>
      </c>
      <c r="G211" s="8"/>
      <c r="H211" s="8"/>
      <c r="I211" s="8"/>
      <c r="J211" s="8"/>
      <c r="K211" s="8"/>
      <c r="L211" s="8"/>
    </row>
    <row r="212" spans="1:12" ht="20.100000000000001" customHeight="1" x14ac:dyDescent="0.2">
      <c r="D212" s="8" t="s">
        <v>1521</v>
      </c>
      <c r="E212" t="s">
        <v>987</v>
      </c>
      <c r="F212">
        <v>0</v>
      </c>
      <c r="G212" s="8"/>
      <c r="H212" s="8"/>
      <c r="I212" s="8"/>
      <c r="J212" s="8"/>
      <c r="K212" s="8"/>
      <c r="L212" s="8"/>
    </row>
    <row r="213" spans="1:12" ht="20.100000000000001" customHeight="1" x14ac:dyDescent="0.2">
      <c r="D213" s="8" t="s">
        <v>1524</v>
      </c>
      <c r="E213" t="s">
        <v>988</v>
      </c>
      <c r="F213">
        <v>0.05</v>
      </c>
      <c r="G213" s="8"/>
      <c r="H213" s="8"/>
      <c r="I213" s="8"/>
      <c r="J213" s="8"/>
      <c r="K213" s="8"/>
      <c r="L213" s="8"/>
    </row>
    <row r="214" spans="1:12" ht="20.100000000000001" customHeight="1" x14ac:dyDescent="0.2">
      <c r="D214" s="8" t="s">
        <v>1524</v>
      </c>
      <c r="E214" t="s">
        <v>991</v>
      </c>
      <c r="F214">
        <v>7.0000000000000007E-2</v>
      </c>
      <c r="G214" s="8"/>
      <c r="H214" s="8"/>
      <c r="I214" s="8"/>
      <c r="J214" s="8"/>
    </row>
    <row r="215" spans="1:12" ht="20.100000000000001" customHeight="1" x14ac:dyDescent="0.2">
      <c r="D215" s="8" t="s">
        <v>1524</v>
      </c>
      <c r="E215" t="s">
        <v>1001</v>
      </c>
      <c r="F215">
        <v>0.04</v>
      </c>
      <c r="G215" s="8"/>
      <c r="H215" s="8"/>
      <c r="I215" s="8"/>
      <c r="J215" s="8"/>
    </row>
    <row r="216" spans="1:12" ht="20.100000000000001" customHeight="1" x14ac:dyDescent="0.2">
      <c r="D216" s="8" t="s">
        <v>1524</v>
      </c>
      <c r="E216" t="s">
        <v>989</v>
      </c>
      <c r="F216">
        <v>0.09</v>
      </c>
      <c r="G216" s="8"/>
      <c r="H216" s="8"/>
      <c r="I216" s="8"/>
      <c r="J216" s="8"/>
    </row>
    <row r="217" spans="1:12" ht="20.100000000000001" customHeight="1" x14ac:dyDescent="0.2">
      <c r="D217" s="8" t="s">
        <v>1524</v>
      </c>
      <c r="E217" t="s">
        <v>993</v>
      </c>
      <c r="F217">
        <v>0.11</v>
      </c>
      <c r="G217" s="8"/>
      <c r="H217" s="8"/>
      <c r="I217" s="8"/>
      <c r="J217" s="8"/>
    </row>
    <row r="218" spans="1:12" ht="20.100000000000001" customHeight="1" x14ac:dyDescent="0.2">
      <c r="D218" s="8" t="s">
        <v>1524</v>
      </c>
      <c r="E218" t="s">
        <v>990</v>
      </c>
      <c r="F218">
        <v>0.16</v>
      </c>
      <c r="G218" s="8"/>
      <c r="H218" s="8"/>
      <c r="I218" s="8"/>
      <c r="J218" s="8"/>
    </row>
    <row r="219" spans="1:12" ht="20.100000000000001" customHeight="1" x14ac:dyDescent="0.2">
      <c r="D219" s="8" t="s">
        <v>1524</v>
      </c>
      <c r="E219" t="s">
        <v>997</v>
      </c>
      <c r="F219">
        <v>0.01</v>
      </c>
      <c r="G219" s="8"/>
      <c r="H219" s="8"/>
      <c r="I219" s="8"/>
      <c r="J219" s="8"/>
    </row>
    <row r="220" spans="1:12" ht="20.100000000000001" customHeight="1" x14ac:dyDescent="0.2">
      <c r="D220" s="8" t="s">
        <v>1524</v>
      </c>
      <c r="E220" t="s">
        <v>987</v>
      </c>
      <c r="F220">
        <v>0</v>
      </c>
      <c r="G220" s="8"/>
      <c r="H220" s="8"/>
      <c r="I220" s="8"/>
      <c r="J220" s="8"/>
    </row>
    <row r="221" spans="1:12" ht="20.100000000000001" customHeight="1" x14ac:dyDescent="0.2">
      <c r="D221" s="8" t="s">
        <v>1526</v>
      </c>
      <c r="E221" t="s">
        <v>988</v>
      </c>
      <c r="F221">
        <v>0.05</v>
      </c>
      <c r="G221" s="8"/>
      <c r="H221" s="8"/>
      <c r="I221" s="8"/>
      <c r="J221" s="8"/>
    </row>
    <row r="222" spans="1:12" ht="20.100000000000001" customHeight="1" x14ac:dyDescent="0.2">
      <c r="D222" s="8" t="s">
        <v>1526</v>
      </c>
      <c r="E222" t="s">
        <v>991</v>
      </c>
      <c r="F222">
        <v>7.0000000000000007E-2</v>
      </c>
      <c r="G222" s="8"/>
      <c r="H222" s="8"/>
      <c r="I222" s="8"/>
      <c r="J222" s="8"/>
    </row>
    <row r="223" spans="1:12" ht="20.100000000000001" customHeight="1" x14ac:dyDescent="0.2">
      <c r="D223" s="8" t="s">
        <v>1526</v>
      </c>
      <c r="E223" t="s">
        <v>1001</v>
      </c>
      <c r="F223">
        <v>0.04</v>
      </c>
      <c r="G223" s="8"/>
      <c r="H223" s="8"/>
      <c r="I223" s="8"/>
      <c r="J223" s="8"/>
    </row>
    <row r="224" spans="1:12" ht="20.100000000000001" customHeight="1" x14ac:dyDescent="0.2">
      <c r="D224" s="8" t="s">
        <v>1526</v>
      </c>
      <c r="E224" t="s">
        <v>989</v>
      </c>
      <c r="F224">
        <v>0.09</v>
      </c>
      <c r="G224" s="8"/>
      <c r="H224" s="8"/>
      <c r="I224" s="8"/>
      <c r="J224" s="8"/>
    </row>
    <row r="225" spans="4:10" ht="20.100000000000001" customHeight="1" x14ac:dyDescent="0.2">
      <c r="D225" s="8" t="s">
        <v>1526</v>
      </c>
      <c r="E225" t="s">
        <v>993</v>
      </c>
      <c r="F225">
        <v>0.11</v>
      </c>
      <c r="G225" s="8"/>
      <c r="H225" s="8"/>
      <c r="I225" s="8"/>
      <c r="J225" s="8"/>
    </row>
    <row r="226" spans="4:10" ht="20.100000000000001" customHeight="1" x14ac:dyDescent="0.2">
      <c r="D226" s="8" t="s">
        <v>1526</v>
      </c>
      <c r="E226" t="s">
        <v>990</v>
      </c>
      <c r="F226">
        <v>0.16</v>
      </c>
      <c r="G226" s="8"/>
      <c r="H226" s="8"/>
      <c r="I226" s="8"/>
      <c r="J226" s="8"/>
    </row>
    <row r="227" spans="4:10" ht="20.100000000000001" customHeight="1" x14ac:dyDescent="0.2">
      <c r="D227" s="8" t="s">
        <v>1526</v>
      </c>
      <c r="E227" t="s">
        <v>997</v>
      </c>
      <c r="F227">
        <v>0.01</v>
      </c>
      <c r="G227" s="8"/>
      <c r="H227" s="8"/>
      <c r="I227" s="8"/>
      <c r="J227" s="8"/>
    </row>
    <row r="228" spans="4:10" ht="20.100000000000001" customHeight="1" x14ac:dyDescent="0.2">
      <c r="D228" s="8" t="s">
        <v>1526</v>
      </c>
      <c r="E228" t="s">
        <v>987</v>
      </c>
      <c r="F228">
        <v>0</v>
      </c>
      <c r="G228" s="8"/>
      <c r="H228" s="8"/>
    </row>
    <row r="229" spans="4:10" ht="20.100000000000001" customHeight="1" x14ac:dyDescent="0.2">
      <c r="D229" s="8" t="s">
        <v>1527</v>
      </c>
      <c r="E229" t="s">
        <v>988</v>
      </c>
      <c r="F229">
        <v>0.05</v>
      </c>
      <c r="G229" s="8"/>
    </row>
    <row r="230" spans="4:10" ht="20.100000000000001" customHeight="1" x14ac:dyDescent="0.2">
      <c r="D230" s="8" t="s">
        <v>1527</v>
      </c>
      <c r="E230" t="s">
        <v>991</v>
      </c>
      <c r="F230">
        <v>7.0000000000000007E-2</v>
      </c>
      <c r="G230" s="8"/>
    </row>
    <row r="231" spans="4:10" ht="20.100000000000001" customHeight="1" x14ac:dyDescent="0.2">
      <c r="D231" s="8" t="s">
        <v>1527</v>
      </c>
      <c r="E231" t="s">
        <v>1001</v>
      </c>
      <c r="F231">
        <v>0.04</v>
      </c>
      <c r="G231" s="8"/>
    </row>
    <row r="232" spans="4:10" ht="20.100000000000001" customHeight="1" x14ac:dyDescent="0.2">
      <c r="D232" s="8" t="s">
        <v>1527</v>
      </c>
      <c r="E232" t="s">
        <v>989</v>
      </c>
      <c r="F232">
        <v>0.09</v>
      </c>
      <c r="G232" s="8"/>
    </row>
    <row r="233" spans="4:10" ht="20.100000000000001" customHeight="1" x14ac:dyDescent="0.2">
      <c r="D233" s="8" t="s">
        <v>1527</v>
      </c>
      <c r="E233" t="s">
        <v>993</v>
      </c>
      <c r="F233">
        <v>0.11</v>
      </c>
      <c r="G233" s="8"/>
    </row>
    <row r="234" spans="4:10" ht="20.100000000000001" customHeight="1" x14ac:dyDescent="0.2">
      <c r="D234" s="8" t="s">
        <v>1527</v>
      </c>
      <c r="E234" t="s">
        <v>990</v>
      </c>
      <c r="F234">
        <v>0.16</v>
      </c>
      <c r="G234" s="8"/>
    </row>
    <row r="235" spans="4:10" ht="20.100000000000001" customHeight="1" x14ac:dyDescent="0.2">
      <c r="D235" s="8" t="s">
        <v>1527</v>
      </c>
      <c r="E235" t="s">
        <v>997</v>
      </c>
      <c r="F235">
        <v>0.01</v>
      </c>
      <c r="G235" s="8"/>
    </row>
  </sheetData>
  <pageMargins left="0.7" right="0.7" top="0.75" bottom="0.75" header="0.3" footer="0.3"/>
  <pageSetup paperSize="9" orientation="portrait" r:id="rId1"/>
  <tableParts count="8">
    <tablePart r:id="rId2"/>
    <tablePart r:id="rId3"/>
    <tablePart r:id="rId4"/>
    <tablePart r:id="rId5"/>
    <tablePart r:id="rId6"/>
    <tablePart r:id="rId7"/>
    <tablePart r:id="rId8"/>
    <tablePart r:id="rId9"/>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4FFDA3-0389-47DB-9354-F1AB3A99D5E9}">
  <sheetPr>
    <tabColor theme="2" tint="-0.499984740745262"/>
  </sheetPr>
  <dimension ref="A1:AI48"/>
  <sheetViews>
    <sheetView showGridLines="0" zoomScaleNormal="100" workbookViewId="0">
      <pane xSplit="1" topLeftCell="B1" activePane="topRight" state="frozenSplit"/>
      <selection pane="topRight" activeCell="A47" sqref="A47"/>
    </sheetView>
  </sheetViews>
  <sheetFormatPr defaultRowHeight="20.100000000000001" customHeight="1" x14ac:dyDescent="0.2"/>
  <cols>
    <col min="1" max="1" width="36.7109375" customWidth="1"/>
    <col min="2" max="2" width="4.7109375" customWidth="1"/>
    <col min="3" max="3" width="4.7109375" style="1" customWidth="1"/>
    <col min="4" max="4" width="39.140625" style="1" customWidth="1"/>
    <col min="5" max="5" width="30.7109375" style="1" customWidth="1"/>
    <col min="6" max="6" width="29.5703125" style="1" customWidth="1"/>
    <col min="7" max="8" width="43.42578125" style="1" customWidth="1"/>
    <col min="9" max="9" width="43.5703125" style="1" customWidth="1"/>
    <col min="10" max="10" width="37.5703125" style="1" customWidth="1"/>
    <col min="11" max="11" width="33.5703125" style="1" customWidth="1"/>
    <col min="12" max="31" width="20.7109375" style="1" customWidth="1"/>
    <col min="32" max="32" width="4.7109375" style="1" customWidth="1"/>
  </cols>
  <sheetData>
    <row r="1" spans="1:35" s="21" customFormat="1" ht="30" customHeight="1" x14ac:dyDescent="0.35">
      <c r="A1" s="10" t="e" vm="1">
        <v>#VALUE!</v>
      </c>
      <c r="C1" s="21" t="s">
        <v>534</v>
      </c>
      <c r="AG1"/>
      <c r="AH1"/>
      <c r="AI1"/>
    </row>
    <row r="2" spans="1:35" s="3" customFormat="1" ht="20.100000000000001" customHeight="1" x14ac:dyDescent="0.2">
      <c r="A2"/>
      <c r="AG2"/>
      <c r="AH2"/>
      <c r="AI2"/>
    </row>
    <row r="3" spans="1:35" ht="20.100000000000001" customHeight="1" x14ac:dyDescent="0.2">
      <c r="A3" s="5" t="str">
        <f>HYPERLINK("#'Home'!A1", "Home")</f>
        <v>Home</v>
      </c>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row>
    <row r="4" spans="1:35" ht="20.100000000000001" customHeight="1" x14ac:dyDescent="0.2">
      <c r="A4" s="5" t="str">
        <f>HYPERLINK("#'Results - Activity period'!A1", "Results - Activity period")</f>
        <v>Results - Activity period</v>
      </c>
    </row>
    <row r="5" spans="1:35" ht="20.100000000000001" customHeight="1" x14ac:dyDescent="0.2">
      <c r="A5" s="5" t="str">
        <f>HYPERLINK("#'Results - Product EI'!A1", "Results - Product EI")</f>
        <v>Results - Product EI</v>
      </c>
      <c r="D5" s="2" t="s">
        <v>1554</v>
      </c>
    </row>
    <row r="6" spans="1:35" ht="20.100000000000001" customHeight="1" x14ac:dyDescent="0.2">
      <c r="D6" s="17" t="s">
        <v>1555</v>
      </c>
      <c r="E6" s="8"/>
      <c r="F6" s="8"/>
    </row>
    <row r="7" spans="1:35" ht="20.100000000000001" customHeight="1" x14ac:dyDescent="0.2">
      <c r="D7" s="26" t="str" cm="1">
        <f t="array" ref="D7">"⚠️" &amp; Electricity_SourceData.Electricity_Scope2Scope3LocationBased_Variation()</f>
        <v>⚠️VARIATION OF SOURCE DATA: NSW and ACT split into separate rows.</v>
      </c>
      <c r="E7" s="8"/>
      <c r="F7" s="8"/>
    </row>
    <row r="8" spans="1:35" ht="20.100000000000001" customHeight="1" x14ac:dyDescent="0.2">
      <c r="A8" s="7" t="s">
        <v>0</v>
      </c>
      <c r="D8" s="8"/>
      <c r="E8" s="8"/>
      <c r="F8" s="8"/>
    </row>
    <row r="9" spans="1:35" ht="20.100000000000001" customHeight="1" x14ac:dyDescent="0.2">
      <c r="A9" s="5" t="str">
        <f>HYPERLINK("#'Input - Enterprise'!A1", "Enterprise")</f>
        <v>Enterprise</v>
      </c>
      <c r="D9" s="175" t="s">
        <v>535</v>
      </c>
      <c r="E9" s="175" t="s">
        <v>536</v>
      </c>
      <c r="F9" s="175" t="s">
        <v>537</v>
      </c>
    </row>
    <row r="10" spans="1:35" ht="20.100000000000001" customHeight="1" x14ac:dyDescent="0.2">
      <c r="A10" s="5" t="str">
        <f>HYPERLINK("#'Input - Site'!A1", "Site")</f>
        <v>Site</v>
      </c>
      <c r="D10" t="s">
        <v>1556</v>
      </c>
      <c r="E10">
        <v>0.64</v>
      </c>
      <c r="F10">
        <v>0.03</v>
      </c>
    </row>
    <row r="11" spans="1:35" ht="20.100000000000001" customHeight="1" x14ac:dyDescent="0.2">
      <c r="A11" s="5" t="str">
        <f>HYPERLINK("#'Input - Crop'!A1", "Crop")</f>
        <v>Crop</v>
      </c>
      <c r="D11" t="s">
        <v>987</v>
      </c>
      <c r="E11">
        <v>0.64</v>
      </c>
      <c r="F11">
        <v>0.03</v>
      </c>
    </row>
    <row r="12" spans="1:35" ht="20.100000000000001" customHeight="1" x14ac:dyDescent="0.2">
      <c r="A12" s="5" t="str">
        <f>HYPERLINK("#'Input - Fert Prod System'!A1", "Fert Prod System")</f>
        <v>Fert Prod System</v>
      </c>
      <c r="D12" t="s">
        <v>1557</v>
      </c>
      <c r="E12">
        <v>0.78</v>
      </c>
      <c r="F12">
        <v>0.09</v>
      </c>
    </row>
    <row r="13" spans="1:35" ht="20.100000000000001" customHeight="1" x14ac:dyDescent="0.2">
      <c r="A13" s="5" t="str">
        <f>HYPERLINK("#'Input - Fertiliser'!A1", "Fertiliser")</f>
        <v>Fertiliser</v>
      </c>
      <c r="D13" t="s">
        <v>1558</v>
      </c>
      <c r="E13">
        <v>0.67</v>
      </c>
      <c r="F13">
        <v>0.09</v>
      </c>
    </row>
    <row r="14" spans="1:35" ht="20.100000000000001" customHeight="1" x14ac:dyDescent="0.2">
      <c r="A14" s="5" t="str">
        <f>HYPERLINK("#'Input - Fuel'!A1", "Fuel")</f>
        <v>Fuel</v>
      </c>
      <c r="D14" t="s">
        <v>1559</v>
      </c>
      <c r="E14">
        <v>0.22</v>
      </c>
      <c r="F14">
        <v>0.04</v>
      </c>
    </row>
    <row r="15" spans="1:35" ht="20.100000000000001" customHeight="1" x14ac:dyDescent="0.2">
      <c r="A15" s="5" t="str">
        <f>HYPERLINK("#'Input - Electricity'!A1", "Electricity")</f>
        <v>Electricity</v>
      </c>
      <c r="D15" t="s">
        <v>1560</v>
      </c>
      <c r="E15">
        <v>0.5</v>
      </c>
      <c r="F15">
        <v>0.06</v>
      </c>
    </row>
    <row r="16" spans="1:35" ht="20.100000000000001" customHeight="1" x14ac:dyDescent="0.2">
      <c r="A16" s="5" t="str">
        <f>HYPERLINK("#'Input - Common farm inputs'!A1", "Common farm inputs")</f>
        <v>Common farm inputs</v>
      </c>
      <c r="D16" t="s">
        <v>506</v>
      </c>
      <c r="E16">
        <v>0.56000000000000005</v>
      </c>
      <c r="F16">
        <v>0.09</v>
      </c>
    </row>
    <row r="17" spans="1:8" ht="20.100000000000001" customHeight="1" x14ac:dyDescent="0.2">
      <c r="A17" s="5" t="str">
        <f>HYPERLINK("#'Input - Crop pasture farm input'!A1", "Crop pasture farm input")</f>
        <v>Crop pasture farm input</v>
      </c>
      <c r="D17" t="s">
        <v>1561</v>
      </c>
      <c r="E17">
        <v>0.2</v>
      </c>
      <c r="F17">
        <v>0.03</v>
      </c>
    </row>
    <row r="18" spans="1:8" ht="20.100000000000001" customHeight="1" x14ac:dyDescent="0.2">
      <c r="A18" s="5" t="str">
        <f>HYPERLINK("#'Input - Freight'!A1", "Freight")</f>
        <v>Freight</v>
      </c>
      <c r="D18" t="s">
        <v>1562</v>
      </c>
      <c r="E18">
        <v>0.56000000000000005</v>
      </c>
      <c r="F18">
        <v>0.09</v>
      </c>
    </row>
    <row r="19" spans="1:8" ht="20.100000000000001" customHeight="1" x14ac:dyDescent="0.2">
      <c r="A19" s="5" t="str">
        <f>HYPERLINK("#'Input - Solid waste'!A1", "Solid waste")</f>
        <v>Solid waste</v>
      </c>
      <c r="D19" t="s">
        <v>1563</v>
      </c>
      <c r="E19">
        <v>0.62</v>
      </c>
      <c r="F19">
        <v>7.0000000000000007E-2</v>
      </c>
    </row>
    <row r="20" spans="1:8" ht="20.100000000000001" customHeight="1" x14ac:dyDescent="0.2">
      <c r="A20" s="5" t="str">
        <f>HYPERLINK("#'Input - Data quality'!A1", "Data quality")</f>
        <v>Data quality</v>
      </c>
    </row>
    <row r="21" spans="1:8" ht="20.100000000000001" customHeight="1" x14ac:dyDescent="0.2">
      <c r="D21" s="2" t="s">
        <v>1564</v>
      </c>
    </row>
    <row r="22" spans="1:8" ht="20.100000000000001" customHeight="1" x14ac:dyDescent="0.2">
      <c r="D22" s="17" t="s">
        <v>1565</v>
      </c>
    </row>
    <row r="23" spans="1:8" ht="20.100000000000001" customHeight="1" x14ac:dyDescent="0.2">
      <c r="A23" s="6" t="s">
        <v>2</v>
      </c>
    </row>
    <row r="24" spans="1:8" ht="20.100000000000001" customHeight="1" x14ac:dyDescent="0.2">
      <c r="A24" s="5" t="str">
        <f>HYPERLINK("#'5.1.1.1-2 Inorganic fert N2O'!A1", "5.1.1.1-2 Inorganic fert N2O")</f>
        <v>5.1.1.1-2 Inorganic fert N2O</v>
      </c>
      <c r="D24" s="166" t="s">
        <v>535</v>
      </c>
      <c r="E24" s="166" t="s">
        <v>538</v>
      </c>
      <c r="F24" s="166" t="s">
        <v>539</v>
      </c>
      <c r="G24" s="166" t="s">
        <v>540</v>
      </c>
      <c r="H24" s="166" t="s">
        <v>541</v>
      </c>
    </row>
    <row r="25" spans="1:8" ht="20.100000000000001" customHeight="1" x14ac:dyDescent="0.2">
      <c r="A25" s="5" t="str">
        <f>HYPERLINK("#'5.1.1.3-4 Inorganic fert CO2'!A1", "5.1.1.3-4 Inorganic fert CO2")</f>
        <v>5.1.1.3-4 Inorganic fert CO2</v>
      </c>
      <c r="D25" t="s">
        <v>1563</v>
      </c>
      <c r="E25">
        <v>0.81</v>
      </c>
      <c r="F25">
        <v>226</v>
      </c>
      <c r="G25">
        <v>0.1</v>
      </c>
      <c r="H25">
        <v>29</v>
      </c>
    </row>
    <row r="26" spans="1:8" ht="20.100000000000001" customHeight="1" x14ac:dyDescent="0.2">
      <c r="A26" s="5" t="str">
        <f>HYPERLINK("#'5.2.1.1-2 Organic Fert N2O'!A1", "5.2.1.1-2 Organic fert N2O")</f>
        <v>5.2.1.1-2 Organic fert N2O</v>
      </c>
    </row>
    <row r="27" spans="1:8" ht="20.100000000000001" customHeight="1" x14ac:dyDescent="0.2">
      <c r="A27" s="5" t="str">
        <f>HYPERLINK("#'5.3.1.1-2 Lime CO2'!A1", "5.3.1.1-2 Lime CO2")</f>
        <v>5.3.1.1-2 Lime CO2</v>
      </c>
    </row>
    <row r="28" spans="1:8" ht="20.100000000000001" customHeight="1" x14ac:dyDescent="0.2">
      <c r="A28" s="5" t="str">
        <f>HYPERLINK("#'5.4.1.1-4 Atmos deposition'!A1", "5.4.1.1-4 Atmos. deposition")</f>
        <v>5.4.1.1-4 Atmos. deposition</v>
      </c>
    </row>
    <row r="29" spans="1:8" ht="20.100000000000001" customHeight="1" x14ac:dyDescent="0.2">
      <c r="A29" s="5" t="str">
        <f>HYPERLINK("#'5.5.1.1-2 Leaching and runoff'!A1", "5.5.1.1-2 Leaching &amp; runoff")</f>
        <v>5.5.1.1-2 Leaching &amp; runoff</v>
      </c>
    </row>
    <row r="30" spans="1:8" ht="20.100000000000001" customHeight="1" x14ac:dyDescent="0.2">
      <c r="A30" s="5" t="str">
        <f>HYPERLINK("#'6.1.1.1-2 Crop residue N2O'!A1", "6.1.1.1-2 Crop residue N2O")</f>
        <v>6.1.1.1-2 Crop residue N2O</v>
      </c>
    </row>
    <row r="31" spans="1:8" ht="20.100000000000001" customHeight="1" x14ac:dyDescent="0.2">
      <c r="A31" s="5" t="str">
        <f>HYPERLINK("#'6.3.1.1-2 Leach runoff crop'!A1", "6.3.1.1-2 Leach &amp; runoff (crop)")</f>
        <v>6.3.1.1-2 Leach &amp; runoff (crop)</v>
      </c>
    </row>
    <row r="32" spans="1:8" ht="20.100000000000001" customHeight="1" x14ac:dyDescent="0.2">
      <c r="A32" s="5" t="str">
        <f>HYPERLINK("#'6.4.1.1-2 Residue burning'!A1", "6.4.1.1-2 Residue burning")</f>
        <v>6.4.1.1-2 Residue burning</v>
      </c>
    </row>
    <row r="33" spans="1:1" ht="20.100000000000001" customHeight="1" x14ac:dyDescent="0.2">
      <c r="A33" s="5" t="str">
        <f>HYPERLINK("#'8.1.1.1-2 Transport fuel'!A1", "8.1.1.1-2 Transport fuel")</f>
        <v>8.1.1.1-2 Transport fuel</v>
      </c>
    </row>
    <row r="34" spans="1:1" ht="20.100000000000001" customHeight="1" x14ac:dyDescent="0.2">
      <c r="A34" s="5" t="str">
        <f>HYPERLINK("#'8.2.1.1-2 Stationary fuel'!A1", "8.2.1.1-2 Stationary fuel")</f>
        <v>8.2.1.1-2 Stationary fuel</v>
      </c>
    </row>
    <row r="35" spans="1:1" ht="20.100000000000001" customHeight="1" x14ac:dyDescent="0.2">
      <c r="A35" s="5" t="str">
        <f>HYPERLINK("#'10.1.1-2 Solid waste treatment'!A1", "10.1.1.1-2 Solid waste")</f>
        <v>10.1.1.1-2 Solid waste</v>
      </c>
    </row>
    <row r="36" spans="1:1" ht="20.100000000000001" customHeight="1" x14ac:dyDescent="0.2">
      <c r="A36" s="5" t="str">
        <f>HYPERLINK("#'14.1.1-2 Purchased electricity'!A1", "14.1.1-2 Purchased electricity")</f>
        <v>14.1.1-2 Purchased electricity</v>
      </c>
    </row>
    <row r="37" spans="1:1" ht="20.100000000000001" customHeight="1" x14ac:dyDescent="0.2">
      <c r="A37" s="5" t="str">
        <f>HYPERLINK("#'15 Scope 3'!A1", "15 Scope 3")</f>
        <v>15 Scope 3</v>
      </c>
    </row>
    <row r="40" spans="1:1" ht="20.100000000000001" customHeight="1" x14ac:dyDescent="0.2">
      <c r="A40" s="82" t="s">
        <v>1</v>
      </c>
    </row>
    <row r="41" spans="1:1" ht="20.100000000000001" customHeight="1" x14ac:dyDescent="0.2">
      <c r="A41" s="5" t="str">
        <f>HYPERLINK("#'Constants - Ag Residue'!A1", "Constants - Ag residue")</f>
        <v>Constants - Ag residue</v>
      </c>
    </row>
    <row r="42" spans="1:1" ht="20.100000000000001" customHeight="1" x14ac:dyDescent="0.2">
      <c r="A42" s="83" t="str">
        <f>HYPERLINK("#'Constants - Electricity'!A1", "Constants - Electricity")</f>
        <v>Constants - Electricity</v>
      </c>
    </row>
    <row r="43" spans="1:1" ht="20.100000000000001" customHeight="1" x14ac:dyDescent="0.2">
      <c r="A43" s="5" t="str">
        <f>HYPERLINK("#'Constants - Fertiliser'!A1", "Constants - Fertiliser")</f>
        <v>Constants - Fertiliser</v>
      </c>
    </row>
    <row r="44" spans="1:1" ht="20.100000000000001" customHeight="1" x14ac:dyDescent="0.2">
      <c r="A44" s="5" t="str">
        <f>HYPERLINK("#'Constants - Fuel'!A1", "Constants - Fuel")</f>
        <v>Constants - Fuel</v>
      </c>
    </row>
    <row r="45" spans="1:1" ht="20.100000000000001" customHeight="1" x14ac:dyDescent="0.2">
      <c r="A45" s="5" t="str">
        <f>HYPERLINK("#'Constants - Scope 3'!A1", "Constants - Scope 3")</f>
        <v>Constants - Scope 3</v>
      </c>
    </row>
    <row r="46" spans="1:1" ht="20.100000000000001" customHeight="1" x14ac:dyDescent="0.2">
      <c r="A46" s="5" t="str">
        <f>HYPERLINK("#'Constants - Solid Waste'!A1", "Constants - Solid Waste")</f>
        <v>Constants - Solid Waste</v>
      </c>
    </row>
    <row r="47" spans="1:1" ht="20.100000000000001" customHeight="1" x14ac:dyDescent="0.2">
      <c r="A47" s="5" t="str">
        <f>HYPERLINK("#'Constants - Common'!A1", "Constants - Common")</f>
        <v>Constants - Common</v>
      </c>
    </row>
    <row r="48" spans="1:1" ht="20.100000000000001" customHeight="1" x14ac:dyDescent="0.2">
      <c r="A48" s="5" t="str">
        <f>HYPERLINK("#'Constants - Common Livestock'!A1", "Constants - Common Livestock")</f>
        <v>Constants - Common Livestock</v>
      </c>
    </row>
  </sheetData>
  <pageMargins left="0.7" right="0.7" top="0.75" bottom="0.75" header="0.3" footer="0.3"/>
  <tableParts count="2">
    <tablePart r:id="rId1"/>
    <tablePart r:id="rId2"/>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FE7A5-D388-43F9-B6F3-E721A0F1F7EE}">
  <dimension ref="A1:AM223"/>
  <sheetViews>
    <sheetView showGridLines="0" tabSelected="1" topLeftCell="A69" zoomScaleNormal="100" workbookViewId="0">
      <pane xSplit="1" topLeftCell="B1" activePane="topRight" state="frozenSplit"/>
      <selection pane="topRight" activeCell="D90" sqref="D90"/>
    </sheetView>
  </sheetViews>
  <sheetFormatPr defaultRowHeight="20.100000000000001" customHeight="1" x14ac:dyDescent="0.2"/>
  <cols>
    <col min="1" max="1" width="36.7109375" customWidth="1"/>
    <col min="2" max="2" width="4.7109375" customWidth="1"/>
    <col min="3" max="3" width="4.7109375" style="1" customWidth="1"/>
    <col min="4" max="9" width="20.7109375" style="1" customWidth="1"/>
    <col min="10" max="10" width="26.28515625" style="1" customWidth="1"/>
    <col min="11" max="34" width="20.7109375" style="1" customWidth="1"/>
    <col min="35" max="36" width="9.140625" style="1"/>
  </cols>
  <sheetData>
    <row r="1" spans="1:36" s="21" customFormat="1" ht="30" customHeight="1" x14ac:dyDescent="0.35">
      <c r="A1" s="10" t="e" vm="1">
        <v>#VALUE!</v>
      </c>
      <c r="C1" s="21" t="s">
        <v>459</v>
      </c>
      <c r="AF1" s="1"/>
      <c r="AG1" s="1"/>
      <c r="AH1" s="1"/>
      <c r="AI1" s="1"/>
      <c r="AJ1" s="1"/>
    </row>
    <row r="2" spans="1:36" s="3" customFormat="1" ht="20.100000000000001" customHeight="1" x14ac:dyDescent="0.2">
      <c r="A2"/>
      <c r="AF2" s="1"/>
      <c r="AG2" s="1"/>
      <c r="AH2" s="1"/>
      <c r="AI2" s="1"/>
      <c r="AJ2" s="1"/>
    </row>
    <row r="3" spans="1:36" ht="20.100000000000001" customHeight="1" x14ac:dyDescent="0.2">
      <c r="A3" s="5" t="str">
        <f>HYPERLINK("#'Home'!A1", "Home")</f>
        <v>Home</v>
      </c>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row>
    <row r="4" spans="1:36" ht="20.100000000000001" customHeight="1" x14ac:dyDescent="0.2">
      <c r="A4" s="5" t="str">
        <f>HYPERLINK("#'Results - Activity period'!A1", "Results - Activity period")</f>
        <v>Results - Activity period</v>
      </c>
    </row>
    <row r="5" spans="1:36" ht="20.100000000000001" customHeight="1" x14ac:dyDescent="0.2">
      <c r="A5" s="5" t="str">
        <f>HYPERLINK("#'Results - Product EI'!A1", "Results - Product EI")</f>
        <v>Results - Product EI</v>
      </c>
      <c r="D5" s="2" t="s">
        <v>1566</v>
      </c>
      <c r="E5" s="155"/>
      <c r="F5" s="155"/>
      <c r="G5" s="155"/>
      <c r="H5" s="155"/>
      <c r="I5" s="155"/>
      <c r="J5" s="155"/>
    </row>
    <row r="6" spans="1:36" ht="20.100000000000001" customHeight="1" x14ac:dyDescent="0.2">
      <c r="D6" s="17" t="s">
        <v>1567</v>
      </c>
    </row>
    <row r="7" spans="1:36" ht="20.100000000000001" customHeight="1" x14ac:dyDescent="0.2">
      <c r="D7" s="26" t="s">
        <v>1568</v>
      </c>
    </row>
    <row r="8" spans="1:36" ht="20.100000000000001" customHeight="1" x14ac:dyDescent="0.2">
      <c r="A8" s="7" t="s">
        <v>0</v>
      </c>
      <c r="D8" s="26" t="s">
        <v>1569</v>
      </c>
    </row>
    <row r="9" spans="1:36" ht="20.100000000000001" customHeight="1" x14ac:dyDescent="0.2">
      <c r="A9" s="5" t="str">
        <f>HYPERLINK("#'Input - Enterprise'!A1", "Enterprise")</f>
        <v>Enterprise</v>
      </c>
      <c r="D9" s="26" t="s">
        <v>1570</v>
      </c>
    </row>
    <row r="10" spans="1:36" ht="20.100000000000001" customHeight="1" x14ac:dyDescent="0.2">
      <c r="A10" s="5" t="str">
        <f>HYPERLINK("#'Input - Site'!A1", "Site")</f>
        <v>Site</v>
      </c>
      <c r="D10" s="26" t="s">
        <v>1571</v>
      </c>
    </row>
    <row r="11" spans="1:36" ht="20.100000000000001" customHeight="1" x14ac:dyDescent="0.2">
      <c r="A11" s="5" t="str">
        <f>HYPERLINK("#'Input - Crop'!A1", "Crop")</f>
        <v>Crop</v>
      </c>
      <c r="D11" s="26" t="s">
        <v>1572</v>
      </c>
    </row>
    <row r="12" spans="1:36" ht="20.100000000000001" customHeight="1" x14ac:dyDescent="0.2">
      <c r="A12" s="5" t="str">
        <f>HYPERLINK("#'Input - Fert Prod System'!A1", "Fert Prod System")</f>
        <v>Fert Prod System</v>
      </c>
      <c r="D12" s="26" t="s">
        <v>1573</v>
      </c>
    </row>
    <row r="13" spans="1:36" ht="20.100000000000001" customHeight="1" x14ac:dyDescent="0.2">
      <c r="A13" s="5" t="str">
        <f>HYPERLINK("#'Input - Fertiliser'!A1", "Fertiliser")</f>
        <v>Fertiliser</v>
      </c>
      <c r="D13" s="26" t="s">
        <v>1574</v>
      </c>
    </row>
    <row r="14" spans="1:36" ht="20.100000000000001" customHeight="1" x14ac:dyDescent="0.2">
      <c r="A14" s="5" t="str">
        <f>HYPERLINK("#'Input - Fuel'!A1", "Fuel")</f>
        <v>Fuel</v>
      </c>
      <c r="D14" s="26" t="s">
        <v>1575</v>
      </c>
    </row>
    <row r="15" spans="1:36" ht="20.100000000000001" customHeight="1" x14ac:dyDescent="0.2">
      <c r="A15" s="5" t="str">
        <f>HYPERLINK("#'Input - Electricity'!A1", "Electricity")</f>
        <v>Electricity</v>
      </c>
      <c r="D15" s="26" t="s">
        <v>1576</v>
      </c>
    </row>
    <row r="16" spans="1:36" ht="20.100000000000001" customHeight="1" x14ac:dyDescent="0.2">
      <c r="A16" s="5" t="str">
        <f>HYPERLINK("#'Input - Common farm inputs'!A1", "Common farm inputs")</f>
        <v>Common farm inputs</v>
      </c>
      <c r="D16" s="26" t="s">
        <v>1577</v>
      </c>
    </row>
    <row r="17" spans="1:22" ht="20.100000000000001" customHeight="1" x14ac:dyDescent="0.2">
      <c r="A17" s="5" t="str">
        <f>HYPERLINK("#'Input - Crop pasture farm input'!A1", "Crop pasture farm input")</f>
        <v>Crop pasture farm input</v>
      </c>
      <c r="D17" s="26" t="s">
        <v>1578</v>
      </c>
      <c r="K17" s="2" t="s">
        <v>1580</v>
      </c>
      <c r="Q17" s="2" t="s">
        <v>1582</v>
      </c>
      <c r="V17" s="2" t="s">
        <v>1584</v>
      </c>
    </row>
    <row r="18" spans="1:22" ht="20.100000000000001" customHeight="1" x14ac:dyDescent="0.2">
      <c r="A18" s="5" t="str">
        <f>HYPERLINK("#'Input - Freight'!A1", "Freight")</f>
        <v>Freight</v>
      </c>
      <c r="D18" s="26" t="s">
        <v>1579</v>
      </c>
      <c r="K18" s="17" t="s">
        <v>1581</v>
      </c>
      <c r="Q18" s="17" t="s">
        <v>1583</v>
      </c>
      <c r="V18" s="17" t="s">
        <v>1585</v>
      </c>
    </row>
    <row r="19" spans="1:22" ht="20.100000000000001" customHeight="1" x14ac:dyDescent="0.2">
      <c r="A19" s="5" t="str">
        <f>HYPERLINK("#'Input - Solid waste'!A1", "Solid waste")</f>
        <v>Solid waste</v>
      </c>
      <c r="D19" t="s">
        <v>379</v>
      </c>
      <c r="E19" t="s">
        <v>460</v>
      </c>
      <c r="F19" t="s">
        <v>461</v>
      </c>
      <c r="G19" t="s">
        <v>435</v>
      </c>
      <c r="H19" t="s">
        <v>462</v>
      </c>
      <c r="I19" t="s">
        <v>463</v>
      </c>
      <c r="K19" s="20" t="s">
        <v>379</v>
      </c>
      <c r="L19" s="20" t="s">
        <v>460</v>
      </c>
      <c r="Q19" s="20" t="s">
        <v>379</v>
      </c>
      <c r="R19" s="20" t="s">
        <v>460</v>
      </c>
      <c r="V19" s="20" t="s">
        <v>463</v>
      </c>
    </row>
    <row r="20" spans="1:22" ht="20.100000000000001" customHeight="1" x14ac:dyDescent="0.2">
      <c r="A20" s="5" t="str">
        <f>HYPERLINK("#'Input - Data quality'!A1", "Data quality")</f>
        <v>Data quality</v>
      </c>
      <c r="D20" s="166" t="s">
        <v>1586</v>
      </c>
      <c r="E20" s="166">
        <v>0.1</v>
      </c>
      <c r="F20" s="166">
        <v>0</v>
      </c>
      <c r="G20" s="166" t="s">
        <v>1587</v>
      </c>
      <c r="H20" s="166" t="s">
        <v>1586</v>
      </c>
      <c r="I20" s="166" t="s">
        <v>1014</v>
      </c>
      <c r="K20" s="20" t="s">
        <v>1586</v>
      </c>
      <c r="L20" s="20">
        <v>0.1</v>
      </c>
      <c r="Q20" s="20" t="s">
        <v>1586</v>
      </c>
      <c r="R20" s="20">
        <v>0</v>
      </c>
      <c r="V20" s="20" t="s">
        <v>1613</v>
      </c>
    </row>
    <row r="21" spans="1:22" ht="20.100000000000001" customHeight="1" x14ac:dyDescent="0.2">
      <c r="D21" s="166" t="s">
        <v>1588</v>
      </c>
      <c r="E21" s="166">
        <v>0.18</v>
      </c>
      <c r="F21" s="166">
        <v>0</v>
      </c>
      <c r="G21" s="166" t="s">
        <v>1587</v>
      </c>
      <c r="H21" s="166" t="s">
        <v>1588</v>
      </c>
      <c r="I21" s="166" t="s">
        <v>1014</v>
      </c>
      <c r="K21" s="20" t="s">
        <v>1588</v>
      </c>
      <c r="L21" s="20">
        <v>0.18</v>
      </c>
      <c r="Q21" s="20" t="s">
        <v>1588</v>
      </c>
      <c r="R21" s="20">
        <v>0</v>
      </c>
      <c r="V21" s="20" t="s">
        <v>1614</v>
      </c>
    </row>
    <row r="22" spans="1:22" ht="20.100000000000001" customHeight="1" x14ac:dyDescent="0.2">
      <c r="D22" s="166" t="s">
        <v>325</v>
      </c>
      <c r="E22" s="166">
        <v>0.46</v>
      </c>
      <c r="F22" s="166">
        <v>1</v>
      </c>
      <c r="G22" s="166" t="s">
        <v>1589</v>
      </c>
      <c r="H22" s="166" t="s">
        <v>325</v>
      </c>
      <c r="I22" s="166" t="s">
        <v>1014</v>
      </c>
      <c r="K22" s="20" t="s">
        <v>325</v>
      </c>
      <c r="L22" s="20">
        <v>0.46</v>
      </c>
      <c r="Q22" s="20" t="s">
        <v>325</v>
      </c>
      <c r="R22" s="20">
        <v>1</v>
      </c>
      <c r="V22" s="20" t="s">
        <v>1615</v>
      </c>
    </row>
    <row r="23" spans="1:22" ht="20.100000000000001" customHeight="1" x14ac:dyDescent="0.2">
      <c r="A23" s="6" t="s">
        <v>2</v>
      </c>
      <c r="D23" s="166" t="s">
        <v>1590</v>
      </c>
      <c r="E23" s="166">
        <v>0.21</v>
      </c>
      <c r="F23" s="166">
        <v>0</v>
      </c>
      <c r="G23" s="166" t="s">
        <v>1587</v>
      </c>
      <c r="H23" s="166" t="s">
        <v>1590</v>
      </c>
      <c r="I23" s="166" t="s">
        <v>1014</v>
      </c>
      <c r="K23" s="20" t="s">
        <v>1590</v>
      </c>
      <c r="L23" s="20">
        <v>0.21</v>
      </c>
      <c r="Q23" s="20" t="s">
        <v>1590</v>
      </c>
      <c r="R23" s="20">
        <v>0</v>
      </c>
      <c r="V23" s="20" t="s">
        <v>1616</v>
      </c>
    </row>
    <row r="24" spans="1:22" ht="20.100000000000001" customHeight="1" x14ac:dyDescent="0.2">
      <c r="A24" s="5" t="str">
        <f>HYPERLINK("#'5.1.1.1-2 Inorganic fert N2O'!A1", "5.1.1.1-2 Inorganic fert N2O")</f>
        <v>5.1.1.1-2 Inorganic fert N2O</v>
      </c>
      <c r="D24" s="166" t="s">
        <v>1591</v>
      </c>
      <c r="E24" s="166">
        <v>0.32</v>
      </c>
      <c r="F24" s="166">
        <v>0.35</v>
      </c>
      <c r="G24" s="166" t="s">
        <v>1589</v>
      </c>
      <c r="H24" s="166" t="s">
        <v>1591</v>
      </c>
      <c r="I24" s="166" t="s">
        <v>1014</v>
      </c>
      <c r="K24" s="20" t="s">
        <v>1591</v>
      </c>
      <c r="L24" s="20">
        <v>0.32</v>
      </c>
      <c r="Q24" s="20" t="s">
        <v>1591</v>
      </c>
      <c r="R24" s="20">
        <v>0.35</v>
      </c>
    </row>
    <row r="25" spans="1:22" ht="20.100000000000001" customHeight="1" x14ac:dyDescent="0.2">
      <c r="A25" s="5" t="str">
        <f>HYPERLINK("#'5.1.1.3-4 Inorganic fert CO2'!A1", "5.1.1.3-4 Inorganic fert CO2")</f>
        <v>5.1.1.3-4 Inorganic fert CO2</v>
      </c>
      <c r="D25" s="166" t="s">
        <v>1592</v>
      </c>
      <c r="E25" s="166">
        <v>0.33700000000000002</v>
      </c>
      <c r="F25" s="166">
        <v>0</v>
      </c>
      <c r="G25" s="166" t="s">
        <v>1593</v>
      </c>
      <c r="H25" s="166" t="s">
        <v>1592</v>
      </c>
      <c r="I25" s="166" t="s">
        <v>1014</v>
      </c>
      <c r="K25" s="20" t="s">
        <v>1592</v>
      </c>
      <c r="L25" s="20">
        <v>0.33700000000000002</v>
      </c>
      <c r="Q25" s="20" t="s">
        <v>1592</v>
      </c>
      <c r="R25" s="20">
        <v>0</v>
      </c>
    </row>
    <row r="26" spans="1:22" ht="20.100000000000001" customHeight="1" x14ac:dyDescent="0.2">
      <c r="A26" s="5" t="str">
        <f>HYPERLINK("#'5.2.1.1-2 Organic Fert N2O'!A1", "5.2.1.1-2 Organic fert N2O")</f>
        <v>5.2.1.1-2 Organic fert N2O</v>
      </c>
      <c r="D26" s="166" t="s">
        <v>1594</v>
      </c>
      <c r="E26" s="166">
        <v>0.27</v>
      </c>
      <c r="F26" s="166">
        <v>0</v>
      </c>
      <c r="G26" s="166" t="s">
        <v>1593</v>
      </c>
      <c r="H26" s="166" t="s">
        <v>1594</v>
      </c>
      <c r="I26" s="166" t="s">
        <v>1014</v>
      </c>
      <c r="K26" s="20" t="s">
        <v>1594</v>
      </c>
      <c r="L26" s="20">
        <v>0.27</v>
      </c>
      <c r="Q26" s="20" t="s">
        <v>1594</v>
      </c>
      <c r="R26" s="20">
        <v>0</v>
      </c>
    </row>
    <row r="27" spans="1:22" ht="20.100000000000001" customHeight="1" x14ac:dyDescent="0.2">
      <c r="A27" s="5" t="str">
        <f>HYPERLINK("#'5.3.1.1-2 Lime CO2'!A1", "5.3.1.1-2 Lime CO2")</f>
        <v>5.3.1.1-2 Lime CO2</v>
      </c>
      <c r="D27" s="166" t="s">
        <v>1595</v>
      </c>
      <c r="E27" s="166">
        <v>1</v>
      </c>
      <c r="F27" s="166">
        <v>0</v>
      </c>
      <c r="G27" s="166" t="s">
        <v>1587</v>
      </c>
      <c r="H27" s="166" t="s">
        <v>1595</v>
      </c>
      <c r="I27" s="166" t="s">
        <v>1596</v>
      </c>
      <c r="K27" s="20" t="s">
        <v>1611</v>
      </c>
      <c r="L27" s="20">
        <v>0.21</v>
      </c>
      <c r="Q27" s="20" t="s">
        <v>1611</v>
      </c>
      <c r="R27" s="20">
        <v>0</v>
      </c>
    </row>
    <row r="28" spans="1:22" ht="20.100000000000001" customHeight="1" x14ac:dyDescent="0.2">
      <c r="A28" s="5" t="str">
        <f>HYPERLINK("#'5.4.1.1-4 Atmos deposition'!A1", "5.4.1.1-4 Atmos. deposition")</f>
        <v>5.4.1.1-4 Atmos. deposition</v>
      </c>
      <c r="D28" s="166" t="s">
        <v>1597</v>
      </c>
      <c r="E28" s="166">
        <v>1</v>
      </c>
      <c r="F28" s="166">
        <v>0</v>
      </c>
      <c r="G28" s="166" t="s">
        <v>1598</v>
      </c>
      <c r="H28" s="166" t="s">
        <v>1599</v>
      </c>
      <c r="I28" s="166" t="s">
        <v>1596</v>
      </c>
      <c r="K28" s="20" t="s">
        <v>1612</v>
      </c>
      <c r="L28" s="20">
        <v>0.155</v>
      </c>
      <c r="Q28" s="20" t="s">
        <v>1612</v>
      </c>
      <c r="R28" s="20">
        <v>0</v>
      </c>
    </row>
    <row r="29" spans="1:22" ht="20.100000000000001" customHeight="1" x14ac:dyDescent="0.2">
      <c r="A29" s="5" t="str">
        <f>HYPERLINK("#'5.5.1.1-2 Leaching and runoff'!A1", "5.5.1.1-2 Leaching &amp; runoff")</f>
        <v>5.5.1.1-2 Leaching &amp; runoff</v>
      </c>
      <c r="D29" s="166" t="s">
        <v>1600</v>
      </c>
      <c r="E29" s="166">
        <v>1</v>
      </c>
      <c r="F29" s="166">
        <v>0</v>
      </c>
      <c r="G29" s="166" t="s">
        <v>1589</v>
      </c>
      <c r="H29" s="166" t="s">
        <v>1601</v>
      </c>
      <c r="I29" s="166" t="s">
        <v>1596</v>
      </c>
    </row>
    <row r="30" spans="1:22" ht="20.100000000000001" customHeight="1" x14ac:dyDescent="0.2">
      <c r="A30" s="5" t="str">
        <f>HYPERLINK("#'6.1.1.1-2 Crop residue N2O'!A1", "6.1.1.1-2 Crop residue N2O")</f>
        <v>6.1.1.1-2 Crop residue N2O</v>
      </c>
      <c r="D30" s="166" t="s">
        <v>1602</v>
      </c>
      <c r="E30" s="166">
        <v>0</v>
      </c>
      <c r="F30" s="166">
        <v>0</v>
      </c>
      <c r="G30" s="166" t="s">
        <v>1603</v>
      </c>
      <c r="H30" s="166" t="s">
        <v>1604</v>
      </c>
      <c r="I30" s="166" t="s">
        <v>1596</v>
      </c>
    </row>
    <row r="31" spans="1:22" ht="20.100000000000001" customHeight="1" x14ac:dyDescent="0.2">
      <c r="A31" s="5" t="str">
        <f>HYPERLINK("#'6.3.1.1-2 Leach runoff crop'!A1", "6.3.1.1-2 Leach &amp; runoff (crop)")</f>
        <v>6.3.1.1-2 Leach &amp; runoff (crop)</v>
      </c>
      <c r="D31" s="166" t="s">
        <v>337</v>
      </c>
      <c r="E31" s="166">
        <v>0</v>
      </c>
      <c r="F31" s="166">
        <v>0</v>
      </c>
      <c r="G31" s="166" t="s">
        <v>1603</v>
      </c>
      <c r="H31" s="166" t="s">
        <v>1605</v>
      </c>
      <c r="I31" s="166" t="s">
        <v>1596</v>
      </c>
    </row>
    <row r="32" spans="1:22" ht="20.100000000000001" customHeight="1" x14ac:dyDescent="0.2">
      <c r="A32" s="5" t="str">
        <f>HYPERLINK("#'6.4.1.1-2 Residue burning'!A1", "6.4.1.1-2 Residue burning")</f>
        <v>6.4.1.1-2 Residue burning</v>
      </c>
      <c r="D32" s="166" t="s">
        <v>338</v>
      </c>
      <c r="E32" s="166">
        <v>0</v>
      </c>
      <c r="F32" s="166">
        <v>0</v>
      </c>
      <c r="G32" s="166" t="s">
        <v>1603</v>
      </c>
      <c r="H32" s="166" t="s">
        <v>1606</v>
      </c>
      <c r="I32" s="166" t="s">
        <v>1596</v>
      </c>
    </row>
    <row r="33" spans="1:10" ht="20.100000000000001" customHeight="1" x14ac:dyDescent="0.2">
      <c r="A33" s="5" t="str">
        <f>HYPERLINK("#'8.1.1.1-2 Transport fuel'!A1", "8.1.1.1-2 Transport fuel")</f>
        <v>8.1.1.1-2 Transport fuel</v>
      </c>
      <c r="D33" s="166" t="s">
        <v>336</v>
      </c>
      <c r="E33" s="166">
        <v>0</v>
      </c>
      <c r="F33" s="166">
        <v>0</v>
      </c>
      <c r="G33" s="166" t="s">
        <v>1603</v>
      </c>
      <c r="H33" s="166" t="s">
        <v>1607</v>
      </c>
      <c r="I33" s="166" t="s">
        <v>1596</v>
      </c>
    </row>
    <row r="34" spans="1:10" ht="20.100000000000001" customHeight="1" x14ac:dyDescent="0.2">
      <c r="A34" s="5" t="str">
        <f>HYPERLINK("#'8.2.1.1-2 Stationary fuel'!A1", "8.2.1.1-2 Stationary fuel")</f>
        <v>8.2.1.1-2 Stationary fuel</v>
      </c>
      <c r="D34" s="166" t="s">
        <v>1608</v>
      </c>
      <c r="E34" s="166">
        <v>0</v>
      </c>
      <c r="F34" s="166">
        <v>0</v>
      </c>
      <c r="G34" s="166" t="s">
        <v>1603</v>
      </c>
      <c r="H34" s="166" t="s">
        <v>1608</v>
      </c>
      <c r="I34" s="166" t="s">
        <v>1596</v>
      </c>
    </row>
    <row r="35" spans="1:10" ht="20.100000000000001" customHeight="1" x14ac:dyDescent="0.2">
      <c r="A35" s="5" t="str">
        <f>HYPERLINK("#'10.1.1-2 Solid waste treatment'!A1", "10.1.1.1-2 Solid waste")</f>
        <v>10.1.1.1-2 Solid waste</v>
      </c>
      <c r="D35" s="166" t="s">
        <v>1609</v>
      </c>
      <c r="E35" s="166">
        <v>0</v>
      </c>
      <c r="F35" s="166">
        <v>0</v>
      </c>
      <c r="G35" s="166" t="s">
        <v>1603</v>
      </c>
      <c r="H35" s="166" t="s">
        <v>1609</v>
      </c>
      <c r="I35" s="166" t="s">
        <v>1596</v>
      </c>
    </row>
    <row r="36" spans="1:10" ht="20.100000000000001" customHeight="1" x14ac:dyDescent="0.2">
      <c r="A36" s="5" t="str">
        <f>HYPERLINK("#'14.1.1-2 Purchased electricity'!A1", "14.1.1-2 Purchased electricity")</f>
        <v>14.1.1-2 Purchased electricity</v>
      </c>
      <c r="D36" s="166" t="s">
        <v>1610</v>
      </c>
      <c r="E36" s="166">
        <v>0</v>
      </c>
      <c r="F36" s="166">
        <v>0</v>
      </c>
      <c r="G36" s="166" t="s">
        <v>1603</v>
      </c>
      <c r="H36" s="166" t="s">
        <v>1610</v>
      </c>
      <c r="I36" s="166" t="s">
        <v>1596</v>
      </c>
    </row>
    <row r="37" spans="1:10" ht="20.100000000000001" customHeight="1" x14ac:dyDescent="0.2">
      <c r="A37" s="5" t="str">
        <f>HYPERLINK("#'15 Scope 3'!A1", "15 Scope 3")</f>
        <v>15 Scope 3</v>
      </c>
      <c r="D37" s="166" t="s">
        <v>341</v>
      </c>
      <c r="E37" s="166">
        <v>0.82350000000000001</v>
      </c>
      <c r="F37" s="166">
        <v>0</v>
      </c>
      <c r="G37" s="166" t="s">
        <v>1587</v>
      </c>
      <c r="H37" s="166" t="s">
        <v>341</v>
      </c>
      <c r="I37" s="166" t="s">
        <v>1596</v>
      </c>
    </row>
    <row r="38" spans="1:10" ht="20.100000000000001" customHeight="1" x14ac:dyDescent="0.2">
      <c r="D38" s="20" t="s">
        <v>335</v>
      </c>
      <c r="E38" s="20">
        <v>0.155</v>
      </c>
      <c r="F38" s="20">
        <v>0</v>
      </c>
      <c r="G38" s="20" t="s">
        <v>1598</v>
      </c>
      <c r="H38" s="20" t="s">
        <v>335</v>
      </c>
      <c r="I38" s="20" t="s">
        <v>1014</v>
      </c>
    </row>
    <row r="40" spans="1:10" ht="20.100000000000001" customHeight="1" x14ac:dyDescent="0.2">
      <c r="A40" s="82" t="s">
        <v>1</v>
      </c>
      <c r="D40" s="2" t="s">
        <v>464</v>
      </c>
      <c r="F40" s="2" t="s">
        <v>465</v>
      </c>
      <c r="H40" s="2" t="s">
        <v>466</v>
      </c>
      <c r="J40" s="2" t="s">
        <v>467</v>
      </c>
    </row>
    <row r="41" spans="1:10" ht="20.100000000000001" customHeight="1" x14ac:dyDescent="0.2">
      <c r="A41" s="5" t="str">
        <f>HYPERLINK("#'Constants - Ag Residue'!A1", "Constants - Ag residue")</f>
        <v>Constants - Ag residue</v>
      </c>
      <c r="D41" s="20" t="s">
        <v>177</v>
      </c>
      <c r="F41" s="20" t="s">
        <v>177</v>
      </c>
      <c r="H41" s="20" t="s">
        <v>63</v>
      </c>
      <c r="J41" s="20" t="s">
        <v>468</v>
      </c>
    </row>
    <row r="42" spans="1:10" ht="20.100000000000001" customHeight="1" x14ac:dyDescent="0.2">
      <c r="A42" s="5" t="str">
        <f>HYPERLINK("#'Constants - Electricity'!A1", "Constants - Electricity")</f>
        <v>Constants - Electricity</v>
      </c>
      <c r="D42" s="20" t="s">
        <v>469</v>
      </c>
      <c r="F42" s="20" t="s">
        <v>469</v>
      </c>
      <c r="H42" s="20" t="s">
        <v>470</v>
      </c>
      <c r="J42" s="20" t="s">
        <v>471</v>
      </c>
    </row>
    <row r="43" spans="1:10" ht="20.100000000000001" customHeight="1" x14ac:dyDescent="0.2">
      <c r="A43" s="83" t="str">
        <f>HYPERLINK("#'Constants - Fertiliser'!A1", "Constants - Fertiliser")</f>
        <v>Constants - Fertiliser</v>
      </c>
      <c r="D43" s="1" t="s">
        <v>178</v>
      </c>
      <c r="F43" s="1" t="s">
        <v>472</v>
      </c>
      <c r="H43" s="20" t="s">
        <v>473</v>
      </c>
      <c r="J43" s="1" t="s">
        <v>361</v>
      </c>
    </row>
    <row r="44" spans="1:10" ht="20.100000000000001" customHeight="1" x14ac:dyDescent="0.2">
      <c r="A44" s="5" t="str">
        <f>HYPERLINK("#'Constants - Fuel'!A1", "Constants - Fuel")</f>
        <v>Constants - Fuel</v>
      </c>
      <c r="F44" s="1" t="s">
        <v>474</v>
      </c>
      <c r="H44" s="1" t="s">
        <v>475</v>
      </c>
      <c r="J44" s="1" t="s">
        <v>476</v>
      </c>
    </row>
    <row r="45" spans="1:10" ht="20.100000000000001" customHeight="1" x14ac:dyDescent="0.2">
      <c r="A45" s="5" t="str">
        <f>HYPERLINK("#'Constants - Scope 3'!A1", "Constants - Scope 3")</f>
        <v>Constants - Scope 3</v>
      </c>
      <c r="F45" s="1" t="s">
        <v>403</v>
      </c>
      <c r="H45" s="1" t="s">
        <v>477</v>
      </c>
      <c r="J45" s="1" t="s">
        <v>360</v>
      </c>
    </row>
    <row r="46" spans="1:10" ht="20.100000000000001" customHeight="1" x14ac:dyDescent="0.2">
      <c r="A46" s="5" t="str">
        <f>HYPERLINK("#'Constants - Solid Waste'!A1", "Constants - Solid Waste")</f>
        <v>Constants - Solid Waste</v>
      </c>
      <c r="H46" s="1" t="s">
        <v>478</v>
      </c>
      <c r="J46" s="1" t="s">
        <v>362</v>
      </c>
    </row>
    <row r="47" spans="1:10" ht="20.100000000000001" customHeight="1" x14ac:dyDescent="0.2">
      <c r="A47" s="5" t="str">
        <f>HYPERLINK("#'Constants - Common'!A1", "Constants - Common")</f>
        <v>Constants - Common</v>
      </c>
    </row>
    <row r="48" spans="1:10" ht="20.100000000000001" customHeight="1" x14ac:dyDescent="0.2">
      <c r="A48" s="5" t="str">
        <f>HYPERLINK("#'Constants - Common Livestock'!A1", "Constants - Common Livestock")</f>
        <v>Constants - Common Livestock</v>
      </c>
      <c r="D48" s="2" t="s">
        <v>1617</v>
      </c>
      <c r="G48" s="155"/>
    </row>
    <row r="49" spans="1:8" ht="20.100000000000001" customHeight="1" x14ac:dyDescent="0.2">
      <c r="D49" s="17" t="s">
        <v>1618</v>
      </c>
      <c r="G49" s="155"/>
    </row>
    <row r="50" spans="1:8" ht="20.100000000000001" customHeight="1" x14ac:dyDescent="0.2">
      <c r="D50" s="20" t="s">
        <v>379</v>
      </c>
      <c r="E50" s="20" t="s">
        <v>479</v>
      </c>
      <c r="G50" s="155"/>
    </row>
    <row r="51" spans="1:8" ht="20.100000000000001" customHeight="1" x14ac:dyDescent="0.2">
      <c r="D51" s="20" t="s">
        <v>1589</v>
      </c>
      <c r="E51" s="20">
        <v>0.15</v>
      </c>
      <c r="G51" s="155"/>
    </row>
    <row r="52" spans="1:8" ht="20.100000000000001" customHeight="1" x14ac:dyDescent="0.2">
      <c r="D52" s="1" t="s">
        <v>1587</v>
      </c>
      <c r="E52" s="20">
        <v>0.08</v>
      </c>
      <c r="G52" s="155"/>
    </row>
    <row r="53" spans="1:8" ht="20.100000000000001" customHeight="1" x14ac:dyDescent="0.2">
      <c r="D53" s="1" t="s">
        <v>1598</v>
      </c>
      <c r="E53" s="20">
        <v>0.01</v>
      </c>
      <c r="G53" s="155"/>
    </row>
    <row r="54" spans="1:8" ht="20.100000000000001" customHeight="1" x14ac:dyDescent="0.2">
      <c r="D54" s="1" t="s">
        <v>1593</v>
      </c>
      <c r="E54" s="20">
        <v>0.05</v>
      </c>
      <c r="G54" s="155"/>
      <c r="H54" s="155"/>
    </row>
    <row r="55" spans="1:8" ht="20.100000000000001" customHeight="1" x14ac:dyDescent="0.2">
      <c r="D55" s="1" t="s">
        <v>1603</v>
      </c>
      <c r="E55" s="20">
        <v>0.11</v>
      </c>
      <c r="G55" s="155"/>
      <c r="H55" s="155"/>
    </row>
    <row r="58" spans="1:8" ht="20.100000000000001" customHeight="1" x14ac:dyDescent="0.2">
      <c r="D58" s="2" t="s">
        <v>1619</v>
      </c>
    </row>
    <row r="59" spans="1:8" ht="20.100000000000001" customHeight="1" x14ac:dyDescent="0.2">
      <c r="A59" s="81" t="str">
        <f>HYPERLINK("#A1", "▲ Back to top")</f>
        <v>▲ Back to top</v>
      </c>
      <c r="D59" s="17" t="s">
        <v>1620</v>
      </c>
    </row>
    <row r="60" spans="1:8" ht="20.100000000000001" customHeight="1" x14ac:dyDescent="0.2">
      <c r="D60" s="77" t="s">
        <v>1621</v>
      </c>
      <c r="E60" s="1">
        <v>0.2</v>
      </c>
      <c r="F60" s="9" t="s">
        <v>1088</v>
      </c>
    </row>
    <row r="63" spans="1:8" ht="20.100000000000001" customHeight="1" x14ac:dyDescent="0.2">
      <c r="D63" s="2" t="s">
        <v>1622</v>
      </c>
    </row>
    <row r="64" spans="1:8" ht="20.100000000000001" customHeight="1" x14ac:dyDescent="0.2">
      <c r="D64" s="17" t="s">
        <v>1623</v>
      </c>
    </row>
    <row r="65" spans="4:6" ht="20.100000000000001" customHeight="1" x14ac:dyDescent="0.2">
      <c r="D65" s="20" t="s">
        <v>424</v>
      </c>
      <c r="E65" s="20" t="s">
        <v>480</v>
      </c>
      <c r="F65" s="20" t="s">
        <v>400</v>
      </c>
    </row>
    <row r="66" spans="4:6" ht="20.100000000000001" customHeight="1" x14ac:dyDescent="0.2">
      <c r="D66" s="20" t="s">
        <v>1624</v>
      </c>
      <c r="E66" s="20">
        <v>0.9</v>
      </c>
      <c r="F66" s="20">
        <v>0.12</v>
      </c>
    </row>
    <row r="67" spans="4:6" ht="20.100000000000001" customHeight="1" x14ac:dyDescent="0.2">
      <c r="D67" s="1" t="s">
        <v>1625</v>
      </c>
      <c r="E67" s="20">
        <v>0.95</v>
      </c>
      <c r="F67" s="20">
        <v>0.13</v>
      </c>
    </row>
    <row r="68" spans="4:6" ht="20.100000000000001" customHeight="1" x14ac:dyDescent="0.2">
      <c r="D68" s="1" t="s">
        <v>1626</v>
      </c>
      <c r="E68" s="20">
        <v>0</v>
      </c>
      <c r="F68" s="20">
        <v>0</v>
      </c>
    </row>
    <row r="71" spans="4:6" ht="20.100000000000001" customHeight="1" x14ac:dyDescent="0.2">
      <c r="D71" s="2" t="s">
        <v>1627</v>
      </c>
    </row>
    <row r="72" spans="4:6" ht="20.100000000000001" customHeight="1" x14ac:dyDescent="0.2">
      <c r="D72" s="17" t="s">
        <v>1628</v>
      </c>
    </row>
    <row r="73" spans="4:6" ht="20.100000000000001" customHeight="1" x14ac:dyDescent="0.2">
      <c r="D73" s="77" t="s">
        <v>1629</v>
      </c>
      <c r="E73" s="1">
        <v>0.21</v>
      </c>
      <c r="F73" s="9" t="s">
        <v>1128</v>
      </c>
    </row>
    <row r="76" spans="4:6" ht="20.100000000000001" customHeight="1" x14ac:dyDescent="0.2">
      <c r="D76" s="2" t="s">
        <v>1630</v>
      </c>
    </row>
    <row r="77" spans="4:6" ht="20.100000000000001" customHeight="1" x14ac:dyDescent="0.2">
      <c r="D77" s="17" t="s">
        <v>1631</v>
      </c>
    </row>
    <row r="78" spans="4:6" ht="20.100000000000001" customHeight="1" x14ac:dyDescent="0.2">
      <c r="D78" s="77" t="s">
        <v>1155</v>
      </c>
      <c r="E78" s="1">
        <v>0.24</v>
      </c>
      <c r="F78" s="9" t="s">
        <v>1120</v>
      </c>
    </row>
    <row r="81" spans="1:39" ht="20.100000000000001" customHeight="1" x14ac:dyDescent="0.2">
      <c r="D81" s="2" t="s">
        <v>1632</v>
      </c>
    </row>
    <row r="82" spans="1:39" ht="20.100000000000001" customHeight="1" x14ac:dyDescent="0.2">
      <c r="D82" s="17" t="s">
        <v>1631</v>
      </c>
    </row>
    <row r="83" spans="1:39" ht="20.100000000000001" customHeight="1" x14ac:dyDescent="0.2">
      <c r="D83" s="77" t="s">
        <v>1633</v>
      </c>
      <c r="E83" s="1">
        <v>1.0999999999999999E-2</v>
      </c>
      <c r="F83" s="9" t="s">
        <v>1634</v>
      </c>
    </row>
    <row r="87" spans="1:39" ht="20.100000000000001" customHeight="1" x14ac:dyDescent="0.2">
      <c r="D87" s="2" t="s">
        <v>481</v>
      </c>
      <c r="E87" s="155"/>
      <c r="F87" s="155"/>
      <c r="G87" s="155"/>
      <c r="H87" s="155"/>
      <c r="I87" s="155"/>
      <c r="J87" s="155"/>
      <c r="K87" s="155"/>
      <c r="L87" s="155"/>
      <c r="N87" s="155"/>
      <c r="O87" s="155"/>
      <c r="P87" s="155"/>
      <c r="Q87" s="155"/>
      <c r="R87" s="155"/>
      <c r="S87" s="155"/>
      <c r="T87" s="155"/>
      <c r="U87" s="155"/>
    </row>
    <row r="88" spans="1:39" ht="20.100000000000001" customHeight="1" x14ac:dyDescent="0.2">
      <c r="D88" s="155"/>
    </row>
    <row r="89" spans="1:39" ht="20.100000000000001" customHeight="1" x14ac:dyDescent="0.2">
      <c r="A89" s="81" t="str">
        <f>HYPERLINK("#A1", "▲ Back to top")</f>
        <v>▲ Back to top</v>
      </c>
      <c r="D89" s="167" t="s">
        <v>482</v>
      </c>
      <c r="E89" s="20" t="s">
        <v>132</v>
      </c>
      <c r="F89" s="20" t="s">
        <v>118</v>
      </c>
      <c r="G89" s="104" t="s">
        <v>306</v>
      </c>
      <c r="H89" s="104" t="s">
        <v>483</v>
      </c>
      <c r="I89" s="104" t="s">
        <v>323</v>
      </c>
      <c r="J89" s="104" t="s">
        <v>324</v>
      </c>
      <c r="K89" s="104" t="s">
        <v>484</v>
      </c>
      <c r="L89" s="104" t="s">
        <v>485</v>
      </c>
      <c r="M89" s="104" t="s">
        <v>486</v>
      </c>
      <c r="N89" s="104" t="s">
        <v>487</v>
      </c>
      <c r="O89" s="104" t="s">
        <v>308</v>
      </c>
      <c r="P89" s="104" t="s">
        <v>309</v>
      </c>
      <c r="Q89" s="20" t="s">
        <v>310</v>
      </c>
      <c r="R89" s="20" t="s">
        <v>311</v>
      </c>
      <c r="S89" s="20" t="s">
        <v>312</v>
      </c>
      <c r="T89" s="20" t="s">
        <v>313</v>
      </c>
      <c r="U89" s="104" t="s">
        <v>314</v>
      </c>
      <c r="V89" s="104" t="s">
        <v>315</v>
      </c>
      <c r="W89" s="20" t="s">
        <v>316</v>
      </c>
      <c r="X89" s="104" t="s">
        <v>317</v>
      </c>
      <c r="Y89" s="104" t="s">
        <v>318</v>
      </c>
      <c r="Z89" s="104" t="s">
        <v>319</v>
      </c>
      <c r="AA89" s="104" t="s">
        <v>488</v>
      </c>
      <c r="AB89" s="104" t="s">
        <v>489</v>
      </c>
      <c r="AC89" s="20" t="s">
        <v>490</v>
      </c>
      <c r="AD89" s="20" t="s">
        <v>491</v>
      </c>
      <c r="AE89" s="20" t="s">
        <v>492</v>
      </c>
      <c r="AF89" s="20" t="s">
        <v>493</v>
      </c>
      <c r="AG89" s="20" t="s">
        <v>494</v>
      </c>
      <c r="AH89" s="20" t="s">
        <v>495</v>
      </c>
      <c r="AK89" s="1"/>
      <c r="AL89" s="1"/>
      <c r="AM89" s="1"/>
    </row>
    <row r="90" spans="1:39" ht="20.100000000000001" customHeight="1" x14ac:dyDescent="0.2">
      <c r="D90" s="166" t="s">
        <v>1635</v>
      </c>
      <c r="E90" s="166" t="s">
        <v>1636</v>
      </c>
      <c r="F90" s="166" t="s">
        <v>621</v>
      </c>
      <c r="G90" s="166">
        <v>1.26</v>
      </c>
      <c r="H90" s="166"/>
      <c r="I90" s="166"/>
      <c r="J90" s="166"/>
      <c r="K90" s="166">
        <v>2.6</v>
      </c>
      <c r="L90" s="166">
        <v>4</v>
      </c>
      <c r="M90" s="166">
        <v>22.5</v>
      </c>
      <c r="N90" s="166"/>
      <c r="O90" s="166" t="s">
        <v>337</v>
      </c>
      <c r="P90" s="166">
        <v>0.22500000000000001</v>
      </c>
      <c r="Q90" s="166" t="s">
        <v>1602</v>
      </c>
      <c r="R90" s="166">
        <v>0.04</v>
      </c>
      <c r="S90" s="166" t="s">
        <v>1600</v>
      </c>
      <c r="T90" s="166">
        <v>2.5999999999999999E-2</v>
      </c>
      <c r="U90" s="166"/>
      <c r="V90" s="166"/>
      <c r="W90" s="166"/>
      <c r="X90" s="166"/>
      <c r="Y90" s="166"/>
      <c r="Z90" s="166"/>
      <c r="AA90" s="166"/>
      <c r="AB90" s="166"/>
      <c r="AC90" s="166"/>
      <c r="AD90" s="166"/>
      <c r="AE90" s="166"/>
      <c r="AF90" s="166"/>
      <c r="AG90" s="166"/>
      <c r="AH90" s="166"/>
      <c r="AK90" s="1"/>
      <c r="AL90" s="1"/>
      <c r="AM90" s="1"/>
    </row>
    <row r="91" spans="1:39" ht="20.100000000000001" customHeight="1" x14ac:dyDescent="0.2">
      <c r="D91" s="166" t="s">
        <v>1635</v>
      </c>
      <c r="E91" s="166" t="s">
        <v>1637</v>
      </c>
      <c r="F91" s="166" t="s">
        <v>621</v>
      </c>
      <c r="G91" s="166">
        <v>1.26</v>
      </c>
      <c r="H91" s="166"/>
      <c r="I91" s="166"/>
      <c r="J91" s="166"/>
      <c r="K91" s="166">
        <v>9.6</v>
      </c>
      <c r="L91" s="166">
        <v>5</v>
      </c>
      <c r="M91" s="166">
        <v>10.5</v>
      </c>
      <c r="N91" s="166"/>
      <c r="O91" s="166" t="s">
        <v>337</v>
      </c>
      <c r="P91" s="166">
        <v>0.105</v>
      </c>
      <c r="Q91" s="166" t="s">
        <v>1600</v>
      </c>
      <c r="R91" s="166">
        <v>9.6000000000000002E-2</v>
      </c>
      <c r="S91" s="166" t="s">
        <v>1602</v>
      </c>
      <c r="T91" s="166">
        <v>0.05</v>
      </c>
      <c r="U91" s="166"/>
      <c r="V91" s="166"/>
      <c r="W91" s="166"/>
      <c r="X91" s="166"/>
      <c r="Y91" s="166"/>
      <c r="Z91" s="166"/>
      <c r="AA91" s="166"/>
      <c r="AB91" s="166"/>
      <c r="AC91" s="166"/>
      <c r="AD91" s="166"/>
      <c r="AE91" s="166"/>
      <c r="AF91" s="166"/>
      <c r="AG91" s="166"/>
      <c r="AH91" s="166"/>
      <c r="AK91" s="1"/>
      <c r="AL91" s="1"/>
      <c r="AM91" s="1"/>
    </row>
    <row r="92" spans="1:39" ht="20.100000000000001" customHeight="1" x14ac:dyDescent="0.2">
      <c r="D92" s="166" t="s">
        <v>1635</v>
      </c>
      <c r="E92" s="166" t="s">
        <v>1638</v>
      </c>
      <c r="F92" s="166" t="s">
        <v>621</v>
      </c>
      <c r="G92" s="166">
        <v>1.24</v>
      </c>
      <c r="H92" s="166"/>
      <c r="I92" s="166"/>
      <c r="J92" s="166"/>
      <c r="K92" s="166">
        <v>22.3</v>
      </c>
      <c r="L92" s="166"/>
      <c r="M92" s="166"/>
      <c r="N92" s="166"/>
      <c r="O92" s="166" t="s">
        <v>1595</v>
      </c>
      <c r="P92" s="166">
        <v>0.223</v>
      </c>
      <c r="Q92" s="166"/>
      <c r="R92" s="166"/>
      <c r="S92" s="166"/>
      <c r="T92" s="166"/>
      <c r="U92" s="166"/>
      <c r="V92" s="166"/>
      <c r="W92" s="166"/>
      <c r="X92" s="166"/>
      <c r="Y92" s="166"/>
      <c r="Z92" s="166"/>
      <c r="AA92" s="166"/>
      <c r="AB92" s="166"/>
      <c r="AC92" s="166"/>
      <c r="AD92" s="166"/>
      <c r="AE92" s="166"/>
      <c r="AF92" s="166"/>
      <c r="AG92" s="166"/>
      <c r="AH92" s="166"/>
      <c r="AK92" s="1"/>
      <c r="AL92" s="1"/>
      <c r="AM92" s="1"/>
    </row>
    <row r="93" spans="1:39" ht="20.100000000000001" customHeight="1" x14ac:dyDescent="0.2">
      <c r="D93" s="166" t="s">
        <v>1635</v>
      </c>
      <c r="E93" s="166" t="s">
        <v>1639</v>
      </c>
      <c r="F93" s="166" t="s">
        <v>621</v>
      </c>
      <c r="G93" s="166">
        <v>1.5</v>
      </c>
      <c r="H93" s="166"/>
      <c r="I93" s="166"/>
      <c r="J93" s="166"/>
      <c r="K93" s="166">
        <v>13.2</v>
      </c>
      <c r="L93" s="166"/>
      <c r="M93" s="166"/>
      <c r="N93" s="166"/>
      <c r="O93" s="166" t="s">
        <v>1640</v>
      </c>
      <c r="P93" s="166">
        <v>0.16200000000000001</v>
      </c>
      <c r="Q93" s="166" t="s">
        <v>1597</v>
      </c>
      <c r="R93" s="166">
        <v>0.13200000000000001</v>
      </c>
      <c r="S93" s="166"/>
      <c r="T93" s="166"/>
      <c r="U93" s="166"/>
      <c r="V93" s="166"/>
      <c r="W93" s="166"/>
      <c r="X93" s="166"/>
      <c r="Y93" s="166"/>
      <c r="Z93" s="166"/>
      <c r="AA93" s="166"/>
      <c r="AB93" s="166"/>
      <c r="AC93" s="166"/>
      <c r="AD93" s="166"/>
      <c r="AE93" s="166"/>
      <c r="AF93" s="166"/>
      <c r="AG93" s="166"/>
      <c r="AH93" s="166"/>
      <c r="AK93" s="1"/>
      <c r="AL93" s="1"/>
      <c r="AM93" s="1"/>
    </row>
    <row r="94" spans="1:39" ht="20.100000000000001" customHeight="1" x14ac:dyDescent="0.2">
      <c r="D94" s="166" t="s">
        <v>1635</v>
      </c>
      <c r="E94" s="166" t="s">
        <v>1641</v>
      </c>
      <c r="F94" s="166" t="s">
        <v>621</v>
      </c>
      <c r="G94" s="166">
        <v>1.5</v>
      </c>
      <c r="H94" s="166"/>
      <c r="I94" s="166"/>
      <c r="J94" s="166"/>
      <c r="K94" s="166">
        <v>13.2</v>
      </c>
      <c r="L94" s="166"/>
      <c r="M94" s="166"/>
      <c r="N94" s="166"/>
      <c r="O94" s="166" t="s">
        <v>1640</v>
      </c>
      <c r="P94" s="166">
        <v>0.187</v>
      </c>
      <c r="Q94" s="166" t="s">
        <v>1597</v>
      </c>
      <c r="R94" s="166">
        <v>0.13200000000000001</v>
      </c>
      <c r="S94" s="166"/>
      <c r="T94" s="166"/>
      <c r="U94" s="166"/>
      <c r="V94" s="166"/>
      <c r="W94" s="166"/>
      <c r="X94" s="166"/>
      <c r="Y94" s="166"/>
      <c r="Z94" s="166"/>
      <c r="AA94" s="166"/>
      <c r="AB94" s="166"/>
      <c r="AC94" s="166"/>
      <c r="AD94" s="166"/>
      <c r="AE94" s="166"/>
      <c r="AF94" s="166"/>
      <c r="AG94" s="166"/>
      <c r="AH94" s="166"/>
      <c r="AK94" s="1"/>
      <c r="AL94" s="1"/>
      <c r="AM94" s="1"/>
    </row>
    <row r="95" spans="1:39" ht="20.100000000000001" customHeight="1" x14ac:dyDescent="0.2">
      <c r="D95" s="166" t="s">
        <v>1635</v>
      </c>
      <c r="E95" s="166" t="s">
        <v>1642</v>
      </c>
      <c r="F95" s="166" t="s">
        <v>621</v>
      </c>
      <c r="G95" s="166">
        <v>1.5</v>
      </c>
      <c r="H95" s="166"/>
      <c r="I95" s="166"/>
      <c r="J95" s="166"/>
      <c r="K95" s="166">
        <v>13.2</v>
      </c>
      <c r="L95" s="166"/>
      <c r="M95" s="166"/>
      <c r="N95" s="166"/>
      <c r="O95" s="166" t="s">
        <v>1640</v>
      </c>
      <c r="P95" s="166">
        <v>0.183</v>
      </c>
      <c r="Q95" s="166" t="s">
        <v>1597</v>
      </c>
      <c r="R95" s="166">
        <v>0.13200000000000001</v>
      </c>
      <c r="S95" s="166"/>
      <c r="T95" s="166"/>
      <c r="U95" s="166"/>
      <c r="V95" s="166"/>
      <c r="W95" s="166"/>
      <c r="X95" s="166"/>
      <c r="Y95" s="166"/>
      <c r="Z95" s="166"/>
      <c r="AA95" s="166"/>
      <c r="AB95" s="166"/>
      <c r="AC95" s="166"/>
      <c r="AD95" s="166"/>
      <c r="AE95" s="166"/>
      <c r="AF95" s="166"/>
      <c r="AG95" s="166"/>
      <c r="AH95" s="166"/>
      <c r="AK95" s="1"/>
      <c r="AL95" s="1"/>
      <c r="AM95" s="1"/>
    </row>
    <row r="96" spans="1:39" ht="20.100000000000001" customHeight="1" x14ac:dyDescent="0.2">
      <c r="D96" s="166" t="s">
        <v>1635</v>
      </c>
      <c r="E96" s="166" t="s">
        <v>1643</v>
      </c>
      <c r="F96" s="166" t="s">
        <v>621</v>
      </c>
      <c r="G96" s="166">
        <v>1.25</v>
      </c>
      <c r="H96" s="166"/>
      <c r="I96" s="166"/>
      <c r="J96" s="166"/>
      <c r="K96" s="166">
        <v>10.3</v>
      </c>
      <c r="L96" s="166">
        <v>10</v>
      </c>
      <c r="M96" s="166">
        <v>3.4</v>
      </c>
      <c r="N96" s="166"/>
      <c r="O96" s="166" t="s">
        <v>1600</v>
      </c>
      <c r="P96" s="166">
        <v>0.10299999999999999</v>
      </c>
      <c r="Q96" s="166" t="s">
        <v>1602</v>
      </c>
      <c r="R96" s="166">
        <v>0.1</v>
      </c>
      <c r="S96" s="166" t="s">
        <v>337</v>
      </c>
      <c r="T96" s="166">
        <v>3.4000000000000002E-2</v>
      </c>
      <c r="U96" s="166"/>
      <c r="V96" s="166"/>
      <c r="W96" s="166"/>
      <c r="X96" s="166"/>
      <c r="Y96" s="166"/>
      <c r="Z96" s="166"/>
      <c r="AA96" s="166"/>
      <c r="AB96" s="166"/>
      <c r="AC96" s="166"/>
      <c r="AD96" s="166"/>
      <c r="AE96" s="166"/>
      <c r="AF96" s="166"/>
      <c r="AG96" s="166"/>
      <c r="AH96" s="166"/>
      <c r="AK96" s="1"/>
      <c r="AL96" s="1"/>
      <c r="AM96" s="1"/>
    </row>
    <row r="97" spans="4:39" ht="20.100000000000001" customHeight="1" x14ac:dyDescent="0.2">
      <c r="D97" s="166" t="s">
        <v>1635</v>
      </c>
      <c r="E97" s="166" t="s">
        <v>1644</v>
      </c>
      <c r="F97" s="166" t="s">
        <v>621</v>
      </c>
      <c r="G97" s="166">
        <v>1.43</v>
      </c>
      <c r="H97" s="166"/>
      <c r="I97" s="166"/>
      <c r="J97" s="166"/>
      <c r="K97" s="166">
        <v>2.5</v>
      </c>
      <c r="L97" s="166">
        <v>3.8</v>
      </c>
      <c r="M97" s="166">
        <v>22.5</v>
      </c>
      <c r="N97" s="166"/>
      <c r="O97" s="166" t="s">
        <v>337</v>
      </c>
      <c r="P97" s="166">
        <v>0.22500000000000001</v>
      </c>
      <c r="Q97" s="166" t="s">
        <v>1602</v>
      </c>
      <c r="R97" s="166">
        <v>3.7999999999999999E-2</v>
      </c>
      <c r="S97" s="166" t="s">
        <v>1600</v>
      </c>
      <c r="T97" s="166">
        <v>2.5000000000000001E-2</v>
      </c>
      <c r="U97" s="166"/>
      <c r="V97" s="166"/>
      <c r="W97" s="166"/>
      <c r="X97" s="166"/>
      <c r="Y97" s="166"/>
      <c r="Z97" s="166"/>
      <c r="AA97" s="166"/>
      <c r="AB97" s="166"/>
      <c r="AC97" s="166"/>
      <c r="AD97" s="166"/>
      <c r="AE97" s="166"/>
      <c r="AF97" s="166"/>
      <c r="AG97" s="166"/>
      <c r="AH97" s="166"/>
      <c r="AK97" s="1"/>
      <c r="AL97" s="1"/>
      <c r="AM97" s="1"/>
    </row>
    <row r="98" spans="4:39" ht="20.100000000000001" customHeight="1" x14ac:dyDescent="0.2">
      <c r="D98" s="166" t="s">
        <v>1635</v>
      </c>
      <c r="E98" s="166" t="s">
        <v>1645</v>
      </c>
      <c r="F98" s="166" t="s">
        <v>621</v>
      </c>
      <c r="G98" s="166">
        <v>1.29</v>
      </c>
      <c r="H98" s="166"/>
      <c r="I98" s="166"/>
      <c r="J98" s="166"/>
      <c r="K98" s="166">
        <v>10.5</v>
      </c>
      <c r="L98" s="166">
        <v>9.4</v>
      </c>
      <c r="M98" s="166">
        <v>4</v>
      </c>
      <c r="N98" s="166">
        <v>3</v>
      </c>
      <c r="O98" s="166" t="s">
        <v>1600</v>
      </c>
      <c r="P98" s="166">
        <v>0.105</v>
      </c>
      <c r="Q98" s="166" t="s">
        <v>1602</v>
      </c>
      <c r="R98" s="166">
        <v>9.4E-2</v>
      </c>
      <c r="S98" s="166" t="s">
        <v>337</v>
      </c>
      <c r="T98" s="166">
        <v>0.04</v>
      </c>
      <c r="U98" s="166" t="s">
        <v>338</v>
      </c>
      <c r="V98" s="166">
        <v>0.03</v>
      </c>
      <c r="W98" s="166"/>
      <c r="X98" s="166"/>
      <c r="Y98" s="166"/>
      <c r="Z98" s="166"/>
      <c r="AA98" s="166"/>
      <c r="AB98" s="166"/>
      <c r="AC98" s="166"/>
      <c r="AD98" s="166"/>
      <c r="AE98" s="166"/>
      <c r="AF98" s="166"/>
      <c r="AG98" s="166"/>
      <c r="AH98" s="166"/>
      <c r="AK98" s="1"/>
      <c r="AL98" s="1"/>
      <c r="AM98" s="1"/>
    </row>
    <row r="99" spans="4:39" ht="20.100000000000001" customHeight="1" x14ac:dyDescent="0.2">
      <c r="D99" s="166" t="s">
        <v>1635</v>
      </c>
      <c r="E99" s="166" t="s">
        <v>1646</v>
      </c>
      <c r="F99" s="166" t="s">
        <v>621</v>
      </c>
      <c r="G99" s="166">
        <v>1.32</v>
      </c>
      <c r="H99" s="166"/>
      <c r="I99" s="166"/>
      <c r="J99" s="166"/>
      <c r="K99" s="166">
        <v>9.5</v>
      </c>
      <c r="L99" s="166">
        <v>4.7</v>
      </c>
      <c r="M99" s="166">
        <v>10.8</v>
      </c>
      <c r="N99" s="166">
        <v>8.1</v>
      </c>
      <c r="O99" s="166" t="s">
        <v>337</v>
      </c>
      <c r="P99" s="166">
        <v>0.108</v>
      </c>
      <c r="Q99" s="166" t="s">
        <v>1600</v>
      </c>
      <c r="R99" s="166">
        <v>9.5000000000000001E-2</v>
      </c>
      <c r="S99" s="166" t="s">
        <v>338</v>
      </c>
      <c r="T99" s="166">
        <v>8.1000000000000003E-2</v>
      </c>
      <c r="U99" s="166" t="s">
        <v>1602</v>
      </c>
      <c r="V99" s="166">
        <v>4.7E-2</v>
      </c>
      <c r="W99" s="166"/>
      <c r="X99" s="166"/>
      <c r="Y99" s="166"/>
      <c r="Z99" s="166"/>
      <c r="AA99" s="166"/>
      <c r="AB99" s="166"/>
      <c r="AC99" s="166"/>
      <c r="AD99" s="166"/>
      <c r="AE99" s="166"/>
      <c r="AF99" s="166"/>
      <c r="AG99" s="166"/>
      <c r="AH99" s="166"/>
      <c r="AK99" s="1"/>
      <c r="AL99" s="1"/>
      <c r="AM99" s="1"/>
    </row>
    <row r="100" spans="4:39" ht="20.100000000000001" customHeight="1" x14ac:dyDescent="0.2">
      <c r="D100" s="166" t="s">
        <v>1635</v>
      </c>
      <c r="E100" s="166" t="s">
        <v>326</v>
      </c>
      <c r="F100" s="166" t="s">
        <v>370</v>
      </c>
      <c r="G100" s="166">
        <v>1</v>
      </c>
      <c r="H100" s="166"/>
      <c r="I100" s="166"/>
      <c r="J100" s="166"/>
      <c r="K100" s="166">
        <v>24</v>
      </c>
      <c r="L100" s="166">
        <v>5.2</v>
      </c>
      <c r="M100" s="166">
        <v>8</v>
      </c>
      <c r="N100" s="166">
        <v>5.3</v>
      </c>
      <c r="O100" s="166" t="s">
        <v>325</v>
      </c>
      <c r="P100" s="166">
        <v>0.52173899999999995</v>
      </c>
      <c r="Q100" s="166" t="s">
        <v>337</v>
      </c>
      <c r="R100" s="166">
        <v>0.08</v>
      </c>
      <c r="S100" s="166" t="s">
        <v>338</v>
      </c>
      <c r="T100" s="166">
        <v>5.2999999999999999E-2</v>
      </c>
      <c r="U100" s="166" t="s">
        <v>1602</v>
      </c>
      <c r="V100" s="166">
        <v>5.1999999999999998E-2</v>
      </c>
      <c r="W100" s="166" t="s">
        <v>1647</v>
      </c>
      <c r="X100" s="166">
        <v>1.2999999999999999E-2</v>
      </c>
      <c r="Y100" s="166" t="s">
        <v>1648</v>
      </c>
      <c r="Z100" s="166">
        <v>2E-3</v>
      </c>
      <c r="AA100" s="166" t="s">
        <v>1649</v>
      </c>
      <c r="AB100" s="166">
        <v>3.5000000000000001E-3</v>
      </c>
      <c r="AC100" s="166" t="s">
        <v>1650</v>
      </c>
      <c r="AD100" s="166">
        <v>1.2999999999999999E-3</v>
      </c>
      <c r="AE100" s="166" t="s">
        <v>1651</v>
      </c>
      <c r="AF100" s="166">
        <v>6.9999999999999999E-4</v>
      </c>
      <c r="AG100" s="166" t="s">
        <v>1652</v>
      </c>
      <c r="AH100" s="166">
        <v>6.9999999999999999E-4</v>
      </c>
      <c r="AK100" s="1"/>
      <c r="AL100" s="1"/>
      <c r="AM100" s="1"/>
    </row>
    <row r="101" spans="4:39" ht="20.100000000000001" customHeight="1" x14ac:dyDescent="0.2">
      <c r="D101" s="166" t="s">
        <v>1635</v>
      </c>
      <c r="E101" s="166" t="s">
        <v>1653</v>
      </c>
      <c r="F101" s="166" t="s">
        <v>370</v>
      </c>
      <c r="G101" s="166">
        <v>1</v>
      </c>
      <c r="H101" s="166"/>
      <c r="I101" s="166"/>
      <c r="J101" s="166"/>
      <c r="K101" s="166">
        <v>17</v>
      </c>
      <c r="L101" s="166">
        <v>0.04</v>
      </c>
      <c r="M101" s="166">
        <v>11.6</v>
      </c>
      <c r="N101" s="166">
        <v>0.5</v>
      </c>
      <c r="O101" s="166" t="s">
        <v>1608</v>
      </c>
      <c r="P101" s="166">
        <v>0.23200000000000001</v>
      </c>
      <c r="Q101" s="166" t="s">
        <v>1600</v>
      </c>
      <c r="R101" s="166">
        <v>0.17</v>
      </c>
      <c r="S101" s="166" t="s">
        <v>338</v>
      </c>
      <c r="T101" s="166">
        <v>5.0000000000000001E-3</v>
      </c>
      <c r="U101" s="166" t="s">
        <v>1647</v>
      </c>
      <c r="V101" s="166">
        <v>2.3999999999999998E-3</v>
      </c>
      <c r="W101" s="166" t="s">
        <v>1602</v>
      </c>
      <c r="X101" s="166">
        <v>4.0000000000000002E-4</v>
      </c>
      <c r="Y101" s="166"/>
      <c r="Z101" s="166"/>
      <c r="AA101" s="166"/>
      <c r="AB101" s="166"/>
      <c r="AC101" s="166"/>
      <c r="AD101" s="166"/>
      <c r="AE101" s="166"/>
      <c r="AF101" s="166"/>
      <c r="AG101" s="166"/>
      <c r="AH101" s="166"/>
      <c r="AK101" s="1"/>
      <c r="AL101" s="1"/>
      <c r="AM101" s="1"/>
    </row>
    <row r="102" spans="4:39" ht="20.100000000000001" customHeight="1" x14ac:dyDescent="0.2">
      <c r="D102" s="166" t="s">
        <v>1635</v>
      </c>
      <c r="E102" s="166" t="s">
        <v>1654</v>
      </c>
      <c r="F102" s="166" t="s">
        <v>621</v>
      </c>
      <c r="G102" s="166">
        <v>1.45</v>
      </c>
      <c r="H102" s="166"/>
      <c r="I102" s="166"/>
      <c r="J102" s="166"/>
      <c r="K102" s="166"/>
      <c r="L102" s="166"/>
      <c r="M102" s="166"/>
      <c r="N102" s="166"/>
      <c r="O102" s="166" t="s">
        <v>1640</v>
      </c>
      <c r="P102" s="166">
        <v>0.107</v>
      </c>
      <c r="Q102" s="166"/>
      <c r="R102" s="166"/>
      <c r="S102" s="166"/>
      <c r="T102" s="166"/>
      <c r="U102" s="166"/>
      <c r="V102" s="166"/>
      <c r="W102" s="166"/>
      <c r="X102" s="166"/>
      <c r="Y102" s="166"/>
      <c r="Z102" s="166"/>
      <c r="AA102" s="166"/>
      <c r="AB102" s="166"/>
      <c r="AC102" s="166"/>
      <c r="AD102" s="166"/>
      <c r="AE102" s="166"/>
      <c r="AF102" s="166"/>
      <c r="AG102" s="166"/>
      <c r="AH102" s="166"/>
      <c r="AK102" s="1"/>
      <c r="AL102" s="1"/>
      <c r="AM102" s="1"/>
    </row>
    <row r="103" spans="4:39" ht="20.100000000000001" customHeight="1" x14ac:dyDescent="0.2">
      <c r="D103" s="166" t="s">
        <v>1635</v>
      </c>
      <c r="E103" s="166" t="s">
        <v>1655</v>
      </c>
      <c r="F103" s="166" t="s">
        <v>370</v>
      </c>
      <c r="G103" s="166">
        <v>1</v>
      </c>
      <c r="H103" s="166"/>
      <c r="I103" s="166"/>
      <c r="J103" s="166"/>
      <c r="K103" s="166">
        <v>15</v>
      </c>
      <c r="L103" s="166">
        <v>6.5</v>
      </c>
      <c r="M103" s="166">
        <v>12.5</v>
      </c>
      <c r="N103" s="166">
        <v>6</v>
      </c>
      <c r="O103" s="166" t="s">
        <v>1595</v>
      </c>
      <c r="P103" s="166">
        <v>7.4999999999999997E-2</v>
      </c>
      <c r="Q103" s="166" t="s">
        <v>1597</v>
      </c>
      <c r="R103" s="166">
        <v>7.4999999999999997E-2</v>
      </c>
      <c r="S103" s="166" t="s">
        <v>337</v>
      </c>
      <c r="T103" s="166">
        <v>0.125</v>
      </c>
      <c r="U103" s="166" t="s">
        <v>1602</v>
      </c>
      <c r="V103" s="166">
        <v>6.5000000000000002E-2</v>
      </c>
      <c r="W103" s="166" t="s">
        <v>338</v>
      </c>
      <c r="X103" s="166">
        <v>0.06</v>
      </c>
      <c r="Y103" s="166"/>
      <c r="Z103" s="166"/>
      <c r="AA103" s="166"/>
      <c r="AB103" s="166"/>
      <c r="AC103" s="166"/>
      <c r="AD103" s="166"/>
      <c r="AE103" s="166"/>
      <c r="AF103" s="166"/>
      <c r="AG103" s="166"/>
      <c r="AH103" s="166"/>
      <c r="AK103" s="1"/>
      <c r="AL103" s="1"/>
      <c r="AM103" s="1"/>
    </row>
    <row r="104" spans="4:39" ht="20.100000000000001" customHeight="1" x14ac:dyDescent="0.2">
      <c r="D104" s="166" t="s">
        <v>1635</v>
      </c>
      <c r="E104" s="166" t="s">
        <v>1656</v>
      </c>
      <c r="F104" s="166" t="s">
        <v>621</v>
      </c>
      <c r="G104" s="166">
        <v>1.2150000000000001</v>
      </c>
      <c r="H104" s="166"/>
      <c r="I104" s="166"/>
      <c r="J104" s="166"/>
      <c r="K104" s="166">
        <v>12</v>
      </c>
      <c r="L104" s="166"/>
      <c r="M104" s="166">
        <v>10</v>
      </c>
      <c r="N104" s="166"/>
      <c r="O104" s="166" t="s">
        <v>325</v>
      </c>
      <c r="P104" s="166">
        <v>0.19565199999999999</v>
      </c>
      <c r="Q104" s="166" t="s">
        <v>337</v>
      </c>
      <c r="R104" s="166">
        <v>0.1</v>
      </c>
      <c r="S104" s="166" t="s">
        <v>1600</v>
      </c>
      <c r="T104" s="166">
        <v>0.03</v>
      </c>
      <c r="U104" s="166" t="s">
        <v>1652</v>
      </c>
      <c r="V104" s="166">
        <v>5.0000000000000001E-3</v>
      </c>
      <c r="W104" s="166"/>
      <c r="X104" s="166"/>
      <c r="Y104" s="166"/>
      <c r="Z104" s="166"/>
      <c r="AA104" s="166"/>
      <c r="AB104" s="166"/>
      <c r="AC104" s="166"/>
      <c r="AD104" s="166"/>
      <c r="AE104" s="166"/>
      <c r="AF104" s="166"/>
      <c r="AG104" s="166"/>
      <c r="AH104" s="166"/>
      <c r="AK104" s="1"/>
      <c r="AL104" s="1"/>
      <c r="AM104" s="1"/>
    </row>
    <row r="105" spans="4:39" ht="20.100000000000001" customHeight="1" x14ac:dyDescent="0.2">
      <c r="D105" s="166" t="s">
        <v>1635</v>
      </c>
      <c r="E105" s="166" t="s">
        <v>1657</v>
      </c>
      <c r="F105" s="166" t="s">
        <v>370</v>
      </c>
      <c r="G105" s="166">
        <v>1</v>
      </c>
      <c r="H105" s="166"/>
      <c r="I105" s="166"/>
      <c r="J105" s="166"/>
      <c r="K105" s="166">
        <v>21.66</v>
      </c>
      <c r="L105" s="166"/>
      <c r="M105" s="166"/>
      <c r="N105" s="166">
        <v>13.2</v>
      </c>
      <c r="O105" s="166" t="s">
        <v>1590</v>
      </c>
      <c r="P105" s="166">
        <v>0.55000000000000004</v>
      </c>
      <c r="Q105" s="166" t="s">
        <v>1592</v>
      </c>
      <c r="R105" s="166">
        <v>0.3</v>
      </c>
      <c r="S105" s="166"/>
      <c r="T105" s="166"/>
      <c r="U105" s="166"/>
      <c r="V105" s="166"/>
      <c r="W105" s="166"/>
      <c r="X105" s="166"/>
      <c r="Y105" s="166"/>
      <c r="Z105" s="166"/>
      <c r="AA105" s="166"/>
      <c r="AB105" s="166"/>
      <c r="AC105" s="166"/>
      <c r="AD105" s="166"/>
      <c r="AE105" s="166"/>
      <c r="AF105" s="166"/>
      <c r="AG105" s="166"/>
      <c r="AH105" s="166"/>
      <c r="AK105" s="1"/>
      <c r="AL105" s="1"/>
      <c r="AM105" s="1"/>
    </row>
    <row r="106" spans="4:39" ht="20.100000000000001" customHeight="1" x14ac:dyDescent="0.2">
      <c r="D106" s="166" t="s">
        <v>1658</v>
      </c>
      <c r="E106" s="166" t="s">
        <v>1659</v>
      </c>
      <c r="F106" s="166" t="s">
        <v>621</v>
      </c>
      <c r="G106" s="166">
        <v>1.319</v>
      </c>
      <c r="H106" s="166"/>
      <c r="I106" s="166"/>
      <c r="J106" s="166"/>
      <c r="K106" s="166">
        <v>5</v>
      </c>
      <c r="L106" s="166">
        <v>15</v>
      </c>
      <c r="M106" s="166">
        <v>2.1</v>
      </c>
      <c r="N106" s="166"/>
      <c r="O106" s="166" t="s">
        <v>1602</v>
      </c>
      <c r="P106" s="166">
        <v>0.15</v>
      </c>
      <c r="Q106" s="166" t="s">
        <v>1640</v>
      </c>
      <c r="R106" s="166">
        <v>0.04</v>
      </c>
      <c r="S106" s="166" t="s">
        <v>1595</v>
      </c>
      <c r="T106" s="166">
        <v>2.9000000000000001E-2</v>
      </c>
      <c r="U106" s="166" t="s">
        <v>1597</v>
      </c>
      <c r="V106" s="166">
        <v>2.1000000000000001E-2</v>
      </c>
      <c r="W106" s="166" t="s">
        <v>337</v>
      </c>
      <c r="X106" s="166">
        <v>2.1000000000000001E-2</v>
      </c>
      <c r="Y106" s="166" t="s">
        <v>1651</v>
      </c>
      <c r="Z106" s="166">
        <v>5.0000000000000001E-3</v>
      </c>
      <c r="AA106" s="166" t="s">
        <v>1648</v>
      </c>
      <c r="AB106" s="166">
        <v>4.0000000000000001E-3</v>
      </c>
      <c r="AC106" s="166" t="s">
        <v>1649</v>
      </c>
      <c r="AD106" s="166">
        <v>4.0000000000000001E-3</v>
      </c>
      <c r="AE106" s="166" t="s">
        <v>1647</v>
      </c>
      <c r="AF106" s="166">
        <v>2E-3</v>
      </c>
      <c r="AG106" s="166"/>
      <c r="AH106" s="166"/>
      <c r="AK106" s="1"/>
      <c r="AL106" s="1"/>
      <c r="AM106" s="1"/>
    </row>
    <row r="107" spans="4:39" ht="20.100000000000001" customHeight="1" x14ac:dyDescent="0.2">
      <c r="D107" s="166" t="s">
        <v>1660</v>
      </c>
      <c r="E107" s="166" t="s">
        <v>1661</v>
      </c>
      <c r="F107" s="166" t="s">
        <v>370</v>
      </c>
      <c r="G107" s="166">
        <v>1</v>
      </c>
      <c r="H107" s="166"/>
      <c r="I107" s="166"/>
      <c r="J107" s="166" t="s">
        <v>1615</v>
      </c>
      <c r="K107" s="166">
        <v>17.7</v>
      </c>
      <c r="L107" s="166"/>
      <c r="M107" s="166"/>
      <c r="N107" s="166"/>
      <c r="O107" s="166" t="s">
        <v>1595</v>
      </c>
      <c r="P107" s="166">
        <v>0.17699999999999999</v>
      </c>
      <c r="Q107" s="166"/>
      <c r="R107" s="166"/>
      <c r="S107" s="166"/>
      <c r="T107" s="166"/>
      <c r="U107" s="166"/>
      <c r="V107" s="166"/>
      <c r="W107" s="166"/>
      <c r="X107" s="166"/>
      <c r="Y107" s="166"/>
      <c r="Z107" s="166"/>
      <c r="AA107" s="166"/>
      <c r="AB107" s="166"/>
      <c r="AC107" s="166"/>
      <c r="AD107" s="166"/>
      <c r="AE107" s="166"/>
      <c r="AF107" s="166"/>
      <c r="AG107" s="166"/>
      <c r="AH107" s="166"/>
      <c r="AK107" s="1"/>
      <c r="AL107" s="1"/>
      <c r="AM107" s="1"/>
    </row>
    <row r="108" spans="4:39" ht="20.100000000000001" customHeight="1" x14ac:dyDescent="0.2">
      <c r="D108" s="166" t="s">
        <v>1660</v>
      </c>
      <c r="E108" s="166" t="s">
        <v>1611</v>
      </c>
      <c r="F108" s="166" t="s">
        <v>370</v>
      </c>
      <c r="G108" s="166">
        <v>1</v>
      </c>
      <c r="H108" s="166"/>
      <c r="I108" s="166"/>
      <c r="J108" s="166" t="s">
        <v>1615</v>
      </c>
      <c r="K108" s="166">
        <v>21</v>
      </c>
      <c r="L108" s="166"/>
      <c r="M108" s="166"/>
      <c r="N108" s="166">
        <v>24</v>
      </c>
      <c r="O108" s="166" t="s">
        <v>338</v>
      </c>
      <c r="P108" s="166">
        <v>0.24</v>
      </c>
      <c r="Q108" s="166" t="s">
        <v>1595</v>
      </c>
      <c r="R108" s="166">
        <v>0.21</v>
      </c>
      <c r="S108" s="166"/>
      <c r="T108" s="166"/>
      <c r="U108" s="166"/>
      <c r="V108" s="166"/>
      <c r="W108" s="166"/>
      <c r="X108" s="166"/>
      <c r="Y108" s="166"/>
      <c r="Z108" s="166"/>
      <c r="AA108" s="166"/>
      <c r="AB108" s="166"/>
      <c r="AC108" s="166"/>
      <c r="AD108" s="166"/>
      <c r="AE108" s="166"/>
      <c r="AF108" s="166"/>
      <c r="AG108" s="166"/>
      <c r="AH108" s="166"/>
      <c r="AK108" s="1"/>
      <c r="AL108" s="1"/>
      <c r="AM108" s="1"/>
    </row>
    <row r="109" spans="4:39" ht="20.100000000000001" customHeight="1" x14ac:dyDescent="0.2">
      <c r="D109" s="166" t="s">
        <v>1662</v>
      </c>
      <c r="E109" s="166" t="s">
        <v>1663</v>
      </c>
      <c r="F109" s="166" t="s">
        <v>370</v>
      </c>
      <c r="G109" s="166">
        <v>1</v>
      </c>
      <c r="H109" s="166"/>
      <c r="I109" s="166"/>
      <c r="J109" s="166"/>
      <c r="K109" s="166">
        <v>21</v>
      </c>
      <c r="L109" s="166"/>
      <c r="M109" s="166"/>
      <c r="N109" s="166">
        <v>24</v>
      </c>
      <c r="O109" s="166" t="s">
        <v>1590</v>
      </c>
      <c r="P109" s="166">
        <v>1</v>
      </c>
      <c r="Q109" s="166"/>
      <c r="R109" s="166"/>
      <c r="S109" s="166"/>
      <c r="T109" s="166"/>
      <c r="U109" s="166"/>
      <c r="V109" s="166"/>
      <c r="W109" s="166"/>
      <c r="X109" s="166"/>
      <c r="Y109" s="166"/>
      <c r="Z109" s="166"/>
      <c r="AA109" s="166"/>
      <c r="AB109" s="166"/>
      <c r="AC109" s="166"/>
      <c r="AD109" s="166"/>
      <c r="AE109" s="166"/>
      <c r="AF109" s="166"/>
      <c r="AG109" s="166"/>
      <c r="AH109" s="166"/>
      <c r="AK109" s="1"/>
      <c r="AL109" s="1"/>
      <c r="AM109" s="1"/>
    </row>
    <row r="110" spans="4:39" ht="20.100000000000001" customHeight="1" x14ac:dyDescent="0.2">
      <c r="D110" s="166" t="s">
        <v>1664</v>
      </c>
      <c r="E110" s="166" t="s">
        <v>1665</v>
      </c>
      <c r="F110" s="166" t="s">
        <v>370</v>
      </c>
      <c r="G110" s="166">
        <v>1</v>
      </c>
      <c r="H110" s="166"/>
      <c r="I110" s="166"/>
      <c r="J110" s="166"/>
      <c r="K110" s="166">
        <v>18</v>
      </c>
      <c r="L110" s="166">
        <v>20</v>
      </c>
      <c r="M110" s="166"/>
      <c r="N110" s="166"/>
      <c r="O110" s="166" t="s">
        <v>1588</v>
      </c>
      <c r="P110" s="166">
        <v>1</v>
      </c>
      <c r="Q110" s="166"/>
      <c r="R110" s="166"/>
      <c r="S110" s="166"/>
      <c r="T110" s="166"/>
      <c r="U110" s="166"/>
      <c r="V110" s="166"/>
      <c r="W110" s="166"/>
      <c r="X110" s="166"/>
      <c r="Y110" s="166"/>
      <c r="Z110" s="166"/>
      <c r="AA110" s="166"/>
      <c r="AB110" s="166"/>
      <c r="AC110" s="166"/>
      <c r="AD110" s="166"/>
      <c r="AE110" s="166"/>
      <c r="AF110" s="166"/>
      <c r="AG110" s="166"/>
      <c r="AH110" s="166"/>
      <c r="AK110" s="1"/>
      <c r="AL110" s="1"/>
      <c r="AM110" s="1"/>
    </row>
    <row r="111" spans="4:39" ht="20.100000000000001" customHeight="1" x14ac:dyDescent="0.2">
      <c r="D111" s="166" t="s">
        <v>1666</v>
      </c>
      <c r="E111" s="166" t="s">
        <v>1667</v>
      </c>
      <c r="F111" s="166" t="s">
        <v>370</v>
      </c>
      <c r="G111" s="166">
        <v>1</v>
      </c>
      <c r="H111" s="166"/>
      <c r="I111" s="166"/>
      <c r="J111" s="166"/>
      <c r="K111" s="166">
        <v>8</v>
      </c>
      <c r="L111" s="166">
        <v>14</v>
      </c>
      <c r="M111" s="166"/>
      <c r="N111" s="166">
        <v>27.6</v>
      </c>
      <c r="O111" s="166" t="s">
        <v>338</v>
      </c>
      <c r="P111" s="166">
        <v>0.27600000000000002</v>
      </c>
      <c r="Q111" s="166" t="s">
        <v>1602</v>
      </c>
      <c r="R111" s="166">
        <v>0.14000000000000001</v>
      </c>
      <c r="S111" s="166" t="s">
        <v>1600</v>
      </c>
      <c r="T111" s="166">
        <v>0.08</v>
      </c>
      <c r="U111" s="166" t="s">
        <v>1668</v>
      </c>
      <c r="V111" s="166">
        <v>2.4E-2</v>
      </c>
      <c r="W111" s="166"/>
      <c r="X111" s="166"/>
      <c r="Y111" s="166"/>
      <c r="Z111" s="166"/>
      <c r="AA111" s="166"/>
      <c r="AB111" s="166"/>
      <c r="AC111" s="166"/>
      <c r="AD111" s="166"/>
      <c r="AE111" s="166"/>
      <c r="AF111" s="166"/>
      <c r="AG111" s="166"/>
      <c r="AH111" s="166"/>
      <c r="AK111" s="1"/>
      <c r="AL111" s="1"/>
      <c r="AM111" s="1"/>
    </row>
    <row r="112" spans="4:39" ht="20.100000000000001" customHeight="1" x14ac:dyDescent="0.2">
      <c r="D112" s="166" t="s">
        <v>1669</v>
      </c>
      <c r="E112" s="166" t="s">
        <v>1670</v>
      </c>
      <c r="F112" s="166" t="s">
        <v>370</v>
      </c>
      <c r="G112" s="166">
        <v>1</v>
      </c>
      <c r="H112" s="166"/>
      <c r="I112" s="166"/>
      <c r="J112" s="166"/>
      <c r="K112" s="166">
        <v>16.899999999999999</v>
      </c>
      <c r="L112" s="166">
        <v>18.2</v>
      </c>
      <c r="M112" s="166"/>
      <c r="N112" s="166">
        <v>8</v>
      </c>
      <c r="O112" s="166" t="s">
        <v>1602</v>
      </c>
      <c r="P112" s="166">
        <v>0.182</v>
      </c>
      <c r="Q112" s="166" t="s">
        <v>1600</v>
      </c>
      <c r="R112" s="166">
        <v>0.16900000000000001</v>
      </c>
      <c r="S112" s="166" t="s">
        <v>338</v>
      </c>
      <c r="T112" s="166">
        <v>0.08</v>
      </c>
      <c r="U112" s="166" t="s">
        <v>1648</v>
      </c>
      <c r="V112" s="166">
        <v>2E-3</v>
      </c>
      <c r="W112" s="166" t="s">
        <v>1651</v>
      </c>
      <c r="X112" s="166">
        <v>1E-3</v>
      </c>
      <c r="Y112" s="166"/>
      <c r="Z112" s="166"/>
      <c r="AA112" s="166"/>
      <c r="AB112" s="166"/>
      <c r="AC112" s="166"/>
      <c r="AD112" s="166"/>
      <c r="AE112" s="166"/>
      <c r="AF112" s="166"/>
      <c r="AG112" s="166"/>
      <c r="AH112" s="166"/>
      <c r="AK112" s="1"/>
      <c r="AL112" s="1"/>
      <c r="AM112" s="1"/>
    </row>
    <row r="113" spans="1:39" ht="20.100000000000001" customHeight="1" x14ac:dyDescent="0.2">
      <c r="D113" s="166" t="s">
        <v>1666</v>
      </c>
      <c r="E113" s="166" t="s">
        <v>1671</v>
      </c>
      <c r="F113" s="166" t="s">
        <v>621</v>
      </c>
      <c r="G113" s="166">
        <v>1.32</v>
      </c>
      <c r="H113" s="166"/>
      <c r="I113" s="166"/>
      <c r="J113" s="166"/>
      <c r="K113" s="166">
        <v>42.5</v>
      </c>
      <c r="L113" s="166"/>
      <c r="M113" s="166"/>
      <c r="N113" s="166"/>
      <c r="O113" s="166" t="s">
        <v>325</v>
      </c>
      <c r="P113" s="166">
        <v>0.467391</v>
      </c>
      <c r="Q113" s="166" t="s">
        <v>1597</v>
      </c>
      <c r="R113" s="166">
        <v>0.105</v>
      </c>
      <c r="S113" s="166" t="s">
        <v>1595</v>
      </c>
      <c r="T113" s="166">
        <v>0.105</v>
      </c>
      <c r="U113" s="166" t="s">
        <v>1672</v>
      </c>
      <c r="V113" s="166">
        <v>6.0000000000000001E-3</v>
      </c>
      <c r="W113" s="166"/>
      <c r="X113" s="166"/>
      <c r="Y113" s="166"/>
      <c r="Z113" s="166"/>
      <c r="AA113" s="166"/>
      <c r="AB113" s="166"/>
      <c r="AC113" s="166"/>
      <c r="AD113" s="166"/>
      <c r="AE113" s="166"/>
      <c r="AF113" s="166"/>
      <c r="AG113" s="166"/>
      <c r="AH113" s="166"/>
      <c r="AK113" s="1"/>
      <c r="AL113" s="1"/>
      <c r="AM113" s="1"/>
    </row>
    <row r="114" spans="1:39" ht="20.100000000000001" customHeight="1" x14ac:dyDescent="0.2">
      <c r="D114" s="166" t="s">
        <v>1660</v>
      </c>
      <c r="E114" s="166" t="s">
        <v>1673</v>
      </c>
      <c r="F114" s="166" t="s">
        <v>370</v>
      </c>
      <c r="G114" s="166">
        <v>1</v>
      </c>
      <c r="H114" s="166"/>
      <c r="I114" s="166"/>
      <c r="J114" s="166" t="s">
        <v>1615</v>
      </c>
      <c r="K114" s="166">
        <v>40.5</v>
      </c>
      <c r="L114" s="166"/>
      <c r="M114" s="166"/>
      <c r="N114" s="166"/>
      <c r="O114" s="166" t="s">
        <v>1595</v>
      </c>
      <c r="P114" s="166">
        <v>0.27</v>
      </c>
      <c r="Q114" s="166" t="s">
        <v>1597</v>
      </c>
      <c r="R114" s="166">
        <v>0.13500000000000001</v>
      </c>
      <c r="S114" s="166" t="s">
        <v>1640</v>
      </c>
      <c r="T114" s="166">
        <v>0.12</v>
      </c>
      <c r="U114" s="166"/>
      <c r="V114" s="166"/>
      <c r="W114" s="166"/>
      <c r="X114" s="166"/>
      <c r="Y114" s="166"/>
      <c r="Z114" s="166"/>
      <c r="AA114" s="166"/>
      <c r="AB114" s="166"/>
      <c r="AC114" s="166"/>
      <c r="AD114" s="166"/>
      <c r="AE114" s="166"/>
      <c r="AF114" s="166"/>
      <c r="AG114" s="166"/>
      <c r="AH114" s="166"/>
      <c r="AK114" s="1"/>
      <c r="AL114" s="1"/>
      <c r="AM114" s="1"/>
    </row>
    <row r="115" spans="1:39" ht="20.100000000000001" customHeight="1" x14ac:dyDescent="0.2">
      <c r="D115" s="166" t="s">
        <v>1658</v>
      </c>
      <c r="E115" s="166" t="s">
        <v>1674</v>
      </c>
      <c r="F115" s="166" t="s">
        <v>621</v>
      </c>
      <c r="G115" s="166">
        <v>1.1379999999999999</v>
      </c>
      <c r="H115" s="166"/>
      <c r="I115" s="166"/>
      <c r="J115" s="166"/>
      <c r="K115" s="166"/>
      <c r="L115" s="166"/>
      <c r="M115" s="166"/>
      <c r="N115" s="166"/>
      <c r="O115" s="166" t="s">
        <v>1640</v>
      </c>
      <c r="P115" s="166">
        <v>5.8999999999999997E-2</v>
      </c>
      <c r="Q115" s="166" t="s">
        <v>1651</v>
      </c>
      <c r="R115" s="166">
        <v>3.0000000000000001E-3</v>
      </c>
      <c r="S115" s="166" t="s">
        <v>1652</v>
      </c>
      <c r="T115" s="166">
        <v>1E-3</v>
      </c>
      <c r="U115" s="166"/>
      <c r="V115" s="166"/>
      <c r="W115" s="166"/>
      <c r="X115" s="166"/>
      <c r="Y115" s="166"/>
      <c r="Z115" s="166"/>
      <c r="AA115" s="166"/>
      <c r="AB115" s="166"/>
      <c r="AC115" s="166"/>
      <c r="AD115" s="166"/>
      <c r="AE115" s="166"/>
      <c r="AF115" s="166"/>
      <c r="AG115" s="166"/>
      <c r="AH115" s="166"/>
      <c r="AK115" s="1"/>
      <c r="AL115" s="1"/>
      <c r="AM115" s="1"/>
    </row>
    <row r="116" spans="1:39" ht="20.100000000000001" customHeight="1" x14ac:dyDescent="0.2">
      <c r="D116" s="166" t="s">
        <v>1666</v>
      </c>
      <c r="E116" s="166" t="s">
        <v>1675</v>
      </c>
      <c r="F116" s="166" t="s">
        <v>370</v>
      </c>
      <c r="G116" s="166">
        <v>1</v>
      </c>
      <c r="H116" s="166"/>
      <c r="I116" s="166"/>
      <c r="J116" s="166"/>
      <c r="K116" s="166">
        <v>13.5</v>
      </c>
      <c r="L116" s="166">
        <v>15</v>
      </c>
      <c r="M116" s="166">
        <v>6.25</v>
      </c>
      <c r="N116" s="166">
        <v>1.2</v>
      </c>
      <c r="O116" s="166" t="s">
        <v>1602</v>
      </c>
      <c r="P116" s="166">
        <v>0.15</v>
      </c>
      <c r="Q116" s="166" t="s">
        <v>1595</v>
      </c>
      <c r="R116" s="166">
        <v>0.13500000000000001</v>
      </c>
      <c r="S116" s="166" t="s">
        <v>1608</v>
      </c>
      <c r="T116" s="166">
        <v>0.125</v>
      </c>
      <c r="U116" s="166" t="s">
        <v>1668</v>
      </c>
      <c r="V116" s="166">
        <v>2.3E-2</v>
      </c>
      <c r="W116" s="166" t="s">
        <v>338</v>
      </c>
      <c r="X116" s="166">
        <v>1.2E-2</v>
      </c>
      <c r="Y116" s="166"/>
      <c r="Z116" s="166"/>
      <c r="AA116" s="166"/>
      <c r="AB116" s="166"/>
      <c r="AC116" s="166"/>
      <c r="AD116" s="166"/>
      <c r="AE116" s="166"/>
      <c r="AF116" s="166"/>
      <c r="AG116" s="166"/>
      <c r="AH116" s="166"/>
      <c r="AK116" s="1"/>
      <c r="AL116" s="1"/>
      <c r="AM116" s="1"/>
    </row>
    <row r="117" spans="1:39" ht="20.100000000000001" customHeight="1" x14ac:dyDescent="0.2">
      <c r="D117" s="166" t="s">
        <v>1676</v>
      </c>
      <c r="E117" s="166" t="s">
        <v>1677</v>
      </c>
      <c r="F117" s="166" t="s">
        <v>621</v>
      </c>
      <c r="G117" s="166">
        <v>1.25</v>
      </c>
      <c r="H117" s="166"/>
      <c r="I117" s="166"/>
      <c r="J117" s="166"/>
      <c r="K117" s="166">
        <v>3</v>
      </c>
      <c r="L117" s="166"/>
      <c r="M117" s="166">
        <v>21</v>
      </c>
      <c r="N117" s="166"/>
      <c r="O117" s="166" t="s">
        <v>337</v>
      </c>
      <c r="P117" s="166">
        <v>0.21</v>
      </c>
      <c r="Q117" s="166" t="s">
        <v>1600</v>
      </c>
      <c r="R117" s="166">
        <v>0.03</v>
      </c>
      <c r="S117" s="166"/>
      <c r="T117" s="166"/>
      <c r="U117" s="166"/>
      <c r="V117" s="166"/>
      <c r="W117" s="166"/>
      <c r="X117" s="166"/>
      <c r="Y117" s="166"/>
      <c r="Z117" s="166"/>
      <c r="AA117" s="166"/>
      <c r="AB117" s="166"/>
      <c r="AC117" s="166"/>
      <c r="AD117" s="166"/>
      <c r="AE117" s="166"/>
      <c r="AF117" s="166"/>
      <c r="AG117" s="166"/>
      <c r="AH117" s="166"/>
      <c r="AK117" s="1"/>
      <c r="AL117" s="1"/>
      <c r="AM117" s="1"/>
    </row>
    <row r="118" spans="1:39" ht="20.100000000000001" customHeight="1" x14ac:dyDescent="0.2">
      <c r="D118" s="166" t="s">
        <v>1676</v>
      </c>
      <c r="E118" s="166" t="s">
        <v>1678</v>
      </c>
      <c r="F118" s="166" t="s">
        <v>621</v>
      </c>
      <c r="G118" s="166">
        <v>1.2</v>
      </c>
      <c r="H118" s="166"/>
      <c r="I118" s="166"/>
      <c r="J118" s="166"/>
      <c r="K118" s="166">
        <v>5</v>
      </c>
      <c r="L118" s="166">
        <v>3</v>
      </c>
      <c r="M118" s="166">
        <v>8</v>
      </c>
      <c r="N118" s="166"/>
      <c r="O118" s="166" t="s">
        <v>337</v>
      </c>
      <c r="P118" s="166">
        <v>0.08</v>
      </c>
      <c r="Q118" s="166" t="s">
        <v>1600</v>
      </c>
      <c r="R118" s="166">
        <v>0.05</v>
      </c>
      <c r="S118" s="166" t="s">
        <v>1602</v>
      </c>
      <c r="T118" s="166">
        <v>0.03</v>
      </c>
      <c r="U118" s="166"/>
      <c r="V118" s="166"/>
      <c r="W118" s="166"/>
      <c r="X118" s="166"/>
      <c r="Y118" s="166"/>
      <c r="Z118" s="166"/>
      <c r="AA118" s="166"/>
      <c r="AB118" s="166"/>
      <c r="AC118" s="166"/>
      <c r="AD118" s="166"/>
      <c r="AE118" s="166"/>
      <c r="AF118" s="166"/>
      <c r="AG118" s="166"/>
      <c r="AH118" s="166"/>
      <c r="AK118" s="1"/>
      <c r="AL118" s="1"/>
      <c r="AM118" s="1"/>
    </row>
    <row r="119" spans="1:39" ht="20.100000000000001" customHeight="1" x14ac:dyDescent="0.2">
      <c r="A119" s="81" t="str">
        <f>HYPERLINK("#A1", "▲ Back to top")</f>
        <v>▲ Back to top</v>
      </c>
      <c r="D119" s="166" t="s">
        <v>1666</v>
      </c>
      <c r="E119" s="166" t="s">
        <v>1679</v>
      </c>
      <c r="F119" s="166" t="s">
        <v>370</v>
      </c>
      <c r="G119" s="166">
        <v>1</v>
      </c>
      <c r="H119" s="166"/>
      <c r="I119" s="166"/>
      <c r="J119" s="166"/>
      <c r="K119" s="166">
        <v>21</v>
      </c>
      <c r="L119" s="166"/>
      <c r="M119" s="166"/>
      <c r="N119" s="166">
        <v>24</v>
      </c>
      <c r="O119" s="166" t="s">
        <v>1590</v>
      </c>
      <c r="P119" s="166">
        <v>1</v>
      </c>
      <c r="Q119" s="166"/>
      <c r="R119" s="166"/>
      <c r="S119" s="166"/>
      <c r="T119" s="166"/>
      <c r="U119" s="166"/>
      <c r="V119" s="166"/>
      <c r="W119" s="166"/>
      <c r="X119" s="166"/>
      <c r="Y119" s="166"/>
      <c r="Z119" s="166"/>
      <c r="AA119" s="166"/>
      <c r="AB119" s="166"/>
      <c r="AC119" s="166"/>
      <c r="AD119" s="166"/>
      <c r="AE119" s="166"/>
      <c r="AF119" s="166"/>
      <c r="AG119" s="166"/>
      <c r="AH119" s="166"/>
      <c r="AK119" s="1"/>
      <c r="AL119" s="1"/>
      <c r="AM119" s="1"/>
    </row>
    <row r="120" spans="1:39" ht="20.100000000000001" customHeight="1" x14ac:dyDescent="0.2">
      <c r="D120" s="166" t="s">
        <v>1635</v>
      </c>
      <c r="E120" s="166" t="s">
        <v>1680</v>
      </c>
      <c r="F120" s="166" t="s">
        <v>621</v>
      </c>
      <c r="G120" s="166">
        <v>1.5</v>
      </c>
      <c r="H120" s="166"/>
      <c r="I120" s="166"/>
      <c r="J120" s="166"/>
      <c r="K120" s="166">
        <v>9</v>
      </c>
      <c r="L120" s="166"/>
      <c r="M120" s="166"/>
      <c r="N120" s="166">
        <v>13.94</v>
      </c>
      <c r="O120" s="166" t="s">
        <v>1590</v>
      </c>
      <c r="P120" s="166">
        <v>0.58064499999999997</v>
      </c>
      <c r="Q120" s="166" t="s">
        <v>1647</v>
      </c>
      <c r="R120" s="166">
        <v>1.2E-2</v>
      </c>
      <c r="S120" s="166"/>
      <c r="T120" s="166"/>
      <c r="U120" s="166"/>
      <c r="V120" s="166"/>
      <c r="W120" s="166"/>
      <c r="X120" s="166"/>
      <c r="Y120" s="166"/>
      <c r="Z120" s="166"/>
      <c r="AA120" s="166"/>
      <c r="AB120" s="166"/>
      <c r="AC120" s="166"/>
      <c r="AD120" s="166"/>
      <c r="AE120" s="166"/>
      <c r="AF120" s="166"/>
      <c r="AG120" s="166"/>
      <c r="AH120" s="166"/>
      <c r="AK120" s="1"/>
      <c r="AL120" s="1"/>
      <c r="AM120" s="1"/>
    </row>
    <row r="121" spans="1:39" ht="20.100000000000001" customHeight="1" x14ac:dyDescent="0.2">
      <c r="D121" s="166" t="s">
        <v>1666</v>
      </c>
      <c r="E121" s="166" t="s">
        <v>1681</v>
      </c>
      <c r="F121" s="166" t="s">
        <v>370</v>
      </c>
      <c r="G121" s="166">
        <v>1</v>
      </c>
      <c r="H121" s="166"/>
      <c r="I121" s="166"/>
      <c r="J121" s="166"/>
      <c r="K121" s="166">
        <v>10</v>
      </c>
      <c r="L121" s="166">
        <v>17.5</v>
      </c>
      <c r="M121" s="166"/>
      <c r="N121" s="166">
        <v>12</v>
      </c>
      <c r="O121" s="166" t="s">
        <v>1602</v>
      </c>
      <c r="P121" s="166">
        <v>0.17499999999999999</v>
      </c>
      <c r="Q121" s="166" t="s">
        <v>338</v>
      </c>
      <c r="R121" s="166">
        <v>0.12</v>
      </c>
      <c r="S121" s="166" t="s">
        <v>1595</v>
      </c>
      <c r="T121" s="166">
        <v>0.1</v>
      </c>
      <c r="U121" s="166" t="s">
        <v>1668</v>
      </c>
      <c r="V121" s="166">
        <v>0.03</v>
      </c>
      <c r="W121" s="166"/>
      <c r="X121" s="166"/>
      <c r="Y121" s="166"/>
      <c r="Z121" s="166"/>
      <c r="AA121" s="166"/>
      <c r="AB121" s="166"/>
      <c r="AC121" s="166"/>
      <c r="AD121" s="166"/>
      <c r="AE121" s="166"/>
      <c r="AF121" s="166"/>
      <c r="AG121" s="166"/>
      <c r="AH121" s="166"/>
      <c r="AK121" s="1"/>
      <c r="AL121" s="1"/>
      <c r="AM121" s="1"/>
    </row>
    <row r="122" spans="1:39" ht="20.100000000000001" customHeight="1" x14ac:dyDescent="0.2">
      <c r="D122" s="166" t="s">
        <v>1666</v>
      </c>
      <c r="E122" s="166" t="s">
        <v>1682</v>
      </c>
      <c r="F122" s="166" t="s">
        <v>370</v>
      </c>
      <c r="G122" s="166">
        <v>1</v>
      </c>
      <c r="H122" s="166"/>
      <c r="I122" s="166"/>
      <c r="J122" s="166"/>
      <c r="K122" s="166">
        <v>11</v>
      </c>
      <c r="L122" s="166">
        <v>21.8</v>
      </c>
      <c r="M122" s="166"/>
      <c r="N122" s="166">
        <v>4</v>
      </c>
      <c r="O122" s="166" t="s">
        <v>1602</v>
      </c>
      <c r="P122" s="166">
        <v>0.218</v>
      </c>
      <c r="Q122" s="166" t="s">
        <v>1600</v>
      </c>
      <c r="R122" s="166">
        <v>0.11</v>
      </c>
      <c r="S122" s="166" t="s">
        <v>338</v>
      </c>
      <c r="T122" s="166">
        <v>0.04</v>
      </c>
      <c r="U122" s="166" t="s">
        <v>1668</v>
      </c>
      <c r="V122" s="166">
        <v>0.03</v>
      </c>
      <c r="W122" s="166" t="s">
        <v>1648</v>
      </c>
      <c r="X122" s="166">
        <v>0.01</v>
      </c>
      <c r="Y122" s="166"/>
      <c r="Z122" s="166"/>
      <c r="AA122" s="166"/>
      <c r="AB122" s="166"/>
      <c r="AC122" s="166"/>
      <c r="AD122" s="166"/>
      <c r="AE122" s="166"/>
      <c r="AF122" s="166"/>
      <c r="AG122" s="166"/>
      <c r="AH122" s="166"/>
      <c r="AK122" s="1"/>
      <c r="AL122" s="1"/>
      <c r="AM122" s="1"/>
    </row>
    <row r="123" spans="1:39" ht="20.100000000000001" customHeight="1" x14ac:dyDescent="0.2">
      <c r="D123" s="166" t="s">
        <v>1666</v>
      </c>
      <c r="E123" s="166" t="s">
        <v>1683</v>
      </c>
      <c r="F123" s="166" t="s">
        <v>370</v>
      </c>
      <c r="G123" s="166">
        <v>1</v>
      </c>
      <c r="H123" s="166"/>
      <c r="I123" s="166"/>
      <c r="J123" s="166"/>
      <c r="K123" s="166">
        <v>32.5</v>
      </c>
      <c r="L123" s="166">
        <v>5.4</v>
      </c>
      <c r="M123" s="166">
        <v>6.25</v>
      </c>
      <c r="N123" s="166"/>
      <c r="O123" s="166" t="s">
        <v>325</v>
      </c>
      <c r="P123" s="166">
        <v>0.6</v>
      </c>
      <c r="Q123" s="166" t="s">
        <v>1595</v>
      </c>
      <c r="R123" s="166">
        <v>4.9000000000000002E-2</v>
      </c>
      <c r="S123" s="166" t="s">
        <v>1602</v>
      </c>
      <c r="T123" s="166">
        <v>5.3999999999999999E-2</v>
      </c>
      <c r="U123" s="166" t="s">
        <v>1608</v>
      </c>
      <c r="V123" s="166">
        <v>0.125</v>
      </c>
      <c r="W123" s="166"/>
      <c r="X123" s="166"/>
      <c r="Y123" s="166"/>
      <c r="Z123" s="166"/>
      <c r="AA123" s="166"/>
      <c r="AB123" s="166"/>
      <c r="AC123" s="166"/>
      <c r="AD123" s="166"/>
      <c r="AE123" s="166"/>
      <c r="AF123" s="166"/>
      <c r="AG123" s="166"/>
      <c r="AH123" s="166"/>
      <c r="AK123" s="1"/>
      <c r="AL123" s="1"/>
      <c r="AM123" s="1"/>
    </row>
    <row r="124" spans="1:39" ht="20.100000000000001" customHeight="1" x14ac:dyDescent="0.2">
      <c r="D124" s="166" t="s">
        <v>1662</v>
      </c>
      <c r="E124" s="166" t="s">
        <v>1684</v>
      </c>
      <c r="F124" s="166" t="s">
        <v>370</v>
      </c>
      <c r="G124" s="166">
        <v>1</v>
      </c>
      <c r="H124" s="166" t="s">
        <v>1685</v>
      </c>
      <c r="I124" s="166"/>
      <c r="J124" s="166"/>
      <c r="K124" s="166">
        <v>45.54</v>
      </c>
      <c r="L124" s="166"/>
      <c r="M124" s="166"/>
      <c r="N124" s="166"/>
      <c r="O124" s="166" t="s">
        <v>325</v>
      </c>
      <c r="P124" s="166">
        <v>0.99</v>
      </c>
      <c r="Q124" s="166"/>
      <c r="R124" s="166"/>
      <c r="S124" s="166"/>
      <c r="T124" s="166"/>
      <c r="U124" s="166"/>
      <c r="V124" s="166"/>
      <c r="W124" s="166"/>
      <c r="X124" s="166"/>
      <c r="Y124" s="166"/>
      <c r="Z124" s="166"/>
      <c r="AA124" s="166"/>
      <c r="AB124" s="166"/>
      <c r="AC124" s="166"/>
      <c r="AD124" s="166"/>
      <c r="AE124" s="166"/>
      <c r="AF124" s="166"/>
      <c r="AG124" s="166"/>
      <c r="AH124" s="166"/>
      <c r="AK124" s="1"/>
      <c r="AL124" s="1"/>
      <c r="AM124" s="1"/>
    </row>
    <row r="125" spans="1:39" ht="20.100000000000001" customHeight="1" x14ac:dyDescent="0.2">
      <c r="D125" s="166" t="s">
        <v>1635</v>
      </c>
      <c r="E125" s="166" t="s">
        <v>1686</v>
      </c>
      <c r="F125" s="166" t="s">
        <v>370</v>
      </c>
      <c r="G125" s="166">
        <v>1</v>
      </c>
      <c r="H125" s="166"/>
      <c r="I125" s="166"/>
      <c r="J125" s="166"/>
      <c r="K125" s="166">
        <v>14.87</v>
      </c>
      <c r="L125" s="166">
        <v>2.2000000000000002</v>
      </c>
      <c r="M125" s="166">
        <v>16.600000000000001</v>
      </c>
      <c r="N125" s="166">
        <v>8</v>
      </c>
      <c r="O125" s="166" t="s">
        <v>1592</v>
      </c>
      <c r="P125" s="166">
        <v>0.44117600000000001</v>
      </c>
      <c r="Q125" s="166" t="s">
        <v>337</v>
      </c>
      <c r="R125" s="166">
        <v>0.16600000000000001</v>
      </c>
      <c r="S125" s="166" t="s">
        <v>338</v>
      </c>
      <c r="T125" s="166">
        <v>0.08</v>
      </c>
      <c r="U125" s="166" t="s">
        <v>1602</v>
      </c>
      <c r="V125" s="166">
        <v>2.1999999999999999E-2</v>
      </c>
      <c r="W125" s="166" t="s">
        <v>1647</v>
      </c>
      <c r="X125" s="166">
        <v>1.2E-2</v>
      </c>
      <c r="Y125" s="166" t="s">
        <v>1652</v>
      </c>
      <c r="Z125" s="166">
        <v>2.0000000000000001E-4</v>
      </c>
      <c r="AA125" s="166" t="s">
        <v>1648</v>
      </c>
      <c r="AB125" s="166">
        <v>1E-4</v>
      </c>
      <c r="AC125" s="166"/>
      <c r="AD125" s="166"/>
      <c r="AE125" s="166"/>
      <c r="AF125" s="166"/>
      <c r="AG125" s="166"/>
      <c r="AH125" s="166"/>
      <c r="AK125" s="1"/>
      <c r="AL125" s="1"/>
      <c r="AM125" s="1"/>
    </row>
    <row r="126" spans="1:39" ht="20.100000000000001" customHeight="1" x14ac:dyDescent="0.2">
      <c r="D126" s="166" t="s">
        <v>1658</v>
      </c>
      <c r="E126" s="166" t="s">
        <v>1687</v>
      </c>
      <c r="F126" s="166" t="s">
        <v>621</v>
      </c>
      <c r="G126" s="166">
        <v>1.2989999999999999</v>
      </c>
      <c r="H126" s="166"/>
      <c r="I126" s="166"/>
      <c r="J126" s="166"/>
      <c r="K126" s="166">
        <v>38</v>
      </c>
      <c r="L126" s="166"/>
      <c r="M126" s="166"/>
      <c r="N126" s="166">
        <v>2</v>
      </c>
      <c r="O126" s="166" t="s">
        <v>325</v>
      </c>
      <c r="P126" s="166">
        <v>0.46087</v>
      </c>
      <c r="Q126" s="166" t="s">
        <v>1595</v>
      </c>
      <c r="R126" s="166">
        <v>9.1999999999999998E-2</v>
      </c>
      <c r="S126" s="166" t="s">
        <v>1597</v>
      </c>
      <c r="T126" s="166">
        <v>7.5999999999999998E-2</v>
      </c>
      <c r="U126" s="166" t="s">
        <v>338</v>
      </c>
      <c r="V126" s="166">
        <v>0.02</v>
      </c>
      <c r="W126" s="166"/>
      <c r="X126" s="166"/>
      <c r="Y126" s="166"/>
      <c r="Z126" s="166"/>
      <c r="AA126" s="166"/>
      <c r="AB126" s="166"/>
      <c r="AC126" s="166"/>
      <c r="AD126" s="166"/>
      <c r="AE126" s="166"/>
      <c r="AF126" s="166"/>
      <c r="AG126" s="166"/>
      <c r="AH126" s="166"/>
      <c r="AK126" s="1"/>
      <c r="AL126" s="1"/>
      <c r="AM126" s="1"/>
    </row>
    <row r="127" spans="1:39" ht="20.100000000000001" customHeight="1" x14ac:dyDescent="0.2">
      <c r="D127" s="166" t="s">
        <v>1664</v>
      </c>
      <c r="E127" s="166" t="s">
        <v>1688</v>
      </c>
      <c r="F127" s="166" t="s">
        <v>370</v>
      </c>
      <c r="G127" s="166">
        <v>1</v>
      </c>
      <c r="H127" s="166"/>
      <c r="I127" s="166"/>
      <c r="J127" s="166"/>
      <c r="K127" s="166"/>
      <c r="L127" s="166">
        <v>8.8000000000000007</v>
      </c>
      <c r="M127" s="166"/>
      <c r="N127" s="166">
        <v>11</v>
      </c>
      <c r="O127" s="166" t="s">
        <v>1610</v>
      </c>
      <c r="P127" s="166">
        <v>1</v>
      </c>
      <c r="Q127" s="166"/>
      <c r="R127" s="166"/>
      <c r="S127" s="166"/>
      <c r="T127" s="166"/>
      <c r="U127" s="166"/>
      <c r="V127" s="166"/>
      <c r="W127" s="166"/>
      <c r="X127" s="166"/>
      <c r="Y127" s="166"/>
      <c r="Z127" s="166"/>
      <c r="AA127" s="166"/>
      <c r="AB127" s="166"/>
      <c r="AC127" s="166"/>
      <c r="AD127" s="166"/>
      <c r="AE127" s="166"/>
      <c r="AF127" s="166"/>
      <c r="AG127" s="166"/>
      <c r="AH127" s="166"/>
      <c r="AK127" s="1"/>
      <c r="AL127" s="1"/>
      <c r="AM127" s="1"/>
    </row>
    <row r="128" spans="1:39" ht="20.100000000000001" customHeight="1" x14ac:dyDescent="0.2">
      <c r="D128" s="166" t="s">
        <v>1676</v>
      </c>
      <c r="E128" s="166" t="s">
        <v>1689</v>
      </c>
      <c r="F128" s="166" t="s">
        <v>621</v>
      </c>
      <c r="G128" s="166">
        <v>1.2</v>
      </c>
      <c r="H128" s="166"/>
      <c r="I128" s="166"/>
      <c r="J128" s="166"/>
      <c r="K128" s="166">
        <v>10</v>
      </c>
      <c r="L128" s="166">
        <v>1</v>
      </c>
      <c r="M128" s="166">
        <v>11</v>
      </c>
      <c r="N128" s="166"/>
      <c r="O128" s="166" t="s">
        <v>337</v>
      </c>
      <c r="P128" s="166">
        <v>0.11</v>
      </c>
      <c r="Q128" s="166" t="s">
        <v>1600</v>
      </c>
      <c r="R128" s="166">
        <v>0.1</v>
      </c>
      <c r="S128" s="166" t="s">
        <v>1602</v>
      </c>
      <c r="T128" s="166">
        <v>0.01</v>
      </c>
      <c r="U128" s="166"/>
      <c r="V128" s="166"/>
      <c r="W128" s="166"/>
      <c r="X128" s="166"/>
      <c r="Y128" s="166"/>
      <c r="Z128" s="166"/>
      <c r="AA128" s="166"/>
      <c r="AB128" s="166"/>
      <c r="AC128" s="166"/>
      <c r="AD128" s="166"/>
      <c r="AE128" s="166"/>
      <c r="AF128" s="166"/>
      <c r="AG128" s="166"/>
      <c r="AH128" s="166"/>
      <c r="AK128" s="1"/>
      <c r="AL128" s="1"/>
      <c r="AM128" s="1"/>
    </row>
    <row r="129" spans="4:39" ht="20.100000000000001" customHeight="1" x14ac:dyDescent="0.2">
      <c r="D129" s="166" t="s">
        <v>1676</v>
      </c>
      <c r="E129" s="166" t="s">
        <v>1690</v>
      </c>
      <c r="F129" s="166" t="s">
        <v>621</v>
      </c>
      <c r="G129" s="166">
        <v>1.3</v>
      </c>
      <c r="H129" s="166"/>
      <c r="I129" s="166"/>
      <c r="J129" s="166"/>
      <c r="K129" s="166">
        <v>3</v>
      </c>
      <c r="L129" s="166"/>
      <c r="M129" s="166">
        <v>22</v>
      </c>
      <c r="N129" s="166"/>
      <c r="O129" s="166" t="s">
        <v>337</v>
      </c>
      <c r="P129" s="166">
        <v>0.22</v>
      </c>
      <c r="Q129" s="166" t="s">
        <v>1600</v>
      </c>
      <c r="R129" s="166">
        <v>0.03</v>
      </c>
      <c r="S129" s="166"/>
      <c r="T129" s="166"/>
      <c r="U129" s="166"/>
      <c r="V129" s="166"/>
      <c r="W129" s="166"/>
      <c r="X129" s="166"/>
      <c r="Y129" s="166"/>
      <c r="Z129" s="166"/>
      <c r="AA129" s="166"/>
      <c r="AB129" s="166"/>
      <c r="AC129" s="166"/>
      <c r="AD129" s="166"/>
      <c r="AE129" s="166"/>
      <c r="AF129" s="166"/>
      <c r="AG129" s="166"/>
      <c r="AH129" s="166"/>
      <c r="AK129" s="1"/>
      <c r="AL129" s="1"/>
      <c r="AM129" s="1"/>
    </row>
    <row r="130" spans="4:39" ht="20.100000000000001" customHeight="1" x14ac:dyDescent="0.2">
      <c r="D130" s="166" t="s">
        <v>1691</v>
      </c>
      <c r="E130" s="166" t="s">
        <v>1692</v>
      </c>
      <c r="F130" s="166" t="s">
        <v>621</v>
      </c>
      <c r="G130" s="166">
        <v>1.1850000000000001</v>
      </c>
      <c r="H130" s="166"/>
      <c r="I130" s="166"/>
      <c r="J130" s="166"/>
      <c r="K130" s="166">
        <v>23.8</v>
      </c>
      <c r="L130" s="166"/>
      <c r="M130" s="166"/>
      <c r="N130" s="166"/>
      <c r="O130" s="166" t="s">
        <v>325</v>
      </c>
      <c r="P130" s="166">
        <v>0.51739100000000005</v>
      </c>
      <c r="Q130" s="166"/>
      <c r="R130" s="166"/>
      <c r="S130" s="166"/>
      <c r="T130" s="166"/>
      <c r="U130" s="166"/>
      <c r="V130" s="166"/>
      <c r="W130" s="166"/>
      <c r="X130" s="166"/>
      <c r="Y130" s="166"/>
      <c r="Z130" s="166"/>
      <c r="AA130" s="166"/>
      <c r="AB130" s="166"/>
      <c r="AC130" s="166"/>
      <c r="AD130" s="166"/>
      <c r="AE130" s="166"/>
      <c r="AF130" s="166"/>
      <c r="AG130" s="166"/>
      <c r="AH130" s="166"/>
      <c r="AK130" s="1"/>
      <c r="AL130" s="1"/>
      <c r="AM130" s="1"/>
    </row>
    <row r="131" spans="4:39" ht="20.100000000000001" customHeight="1" x14ac:dyDescent="0.2">
      <c r="D131" s="166" t="s">
        <v>1658</v>
      </c>
      <c r="E131" s="166" t="s">
        <v>1693</v>
      </c>
      <c r="F131" s="166" t="s">
        <v>621</v>
      </c>
      <c r="G131" s="166">
        <v>1.2549999999999999</v>
      </c>
      <c r="H131" s="166"/>
      <c r="I131" s="166"/>
      <c r="J131" s="166"/>
      <c r="K131" s="166"/>
      <c r="L131" s="166"/>
      <c r="M131" s="166">
        <v>0.1</v>
      </c>
      <c r="N131" s="166">
        <v>4.4000000000000004</v>
      </c>
      <c r="O131" s="166" t="s">
        <v>338</v>
      </c>
      <c r="P131" s="166">
        <v>4.3999999999999997E-2</v>
      </c>
      <c r="Q131" s="166" t="s">
        <v>1648</v>
      </c>
      <c r="R131" s="166">
        <v>2.1999999999999999E-2</v>
      </c>
      <c r="S131" s="166" t="s">
        <v>1650</v>
      </c>
      <c r="T131" s="166">
        <v>2.1999999999999999E-2</v>
      </c>
      <c r="U131" s="166" t="s">
        <v>1649</v>
      </c>
      <c r="V131" s="166">
        <v>1.6E-2</v>
      </c>
      <c r="W131" s="166" t="s">
        <v>1652</v>
      </c>
      <c r="X131" s="166">
        <v>8.0000000000000002E-3</v>
      </c>
      <c r="Y131" s="166" t="s">
        <v>1647</v>
      </c>
      <c r="Z131" s="166">
        <v>7.0000000000000001E-3</v>
      </c>
      <c r="AA131" s="166" t="s">
        <v>1694</v>
      </c>
      <c r="AB131" s="166">
        <v>5.0000000000000001E-3</v>
      </c>
      <c r="AC131" s="166" t="s">
        <v>1651</v>
      </c>
      <c r="AD131" s="166">
        <v>3.0000000000000001E-3</v>
      </c>
      <c r="AE131" s="166" t="s">
        <v>337</v>
      </c>
      <c r="AF131" s="166">
        <v>1E-3</v>
      </c>
      <c r="AG131" s="166" t="s">
        <v>1695</v>
      </c>
      <c r="AH131" s="166">
        <v>2.9999999999999997E-4</v>
      </c>
      <c r="AK131" s="1"/>
      <c r="AL131" s="1"/>
      <c r="AM131" s="1"/>
    </row>
    <row r="132" spans="4:39" ht="20.100000000000001" customHeight="1" x14ac:dyDescent="0.2">
      <c r="D132" s="166" t="s">
        <v>1676</v>
      </c>
      <c r="E132" s="166" t="s">
        <v>1696</v>
      </c>
      <c r="F132" s="166" t="s">
        <v>621</v>
      </c>
      <c r="G132" s="166">
        <v>1.23</v>
      </c>
      <c r="H132" s="166"/>
      <c r="I132" s="166"/>
      <c r="J132" s="166"/>
      <c r="K132" s="166">
        <v>9.7100000000000009</v>
      </c>
      <c r="L132" s="166"/>
      <c r="M132" s="166">
        <v>3.25</v>
      </c>
      <c r="N132" s="166">
        <v>2.11</v>
      </c>
      <c r="O132" s="166" t="s">
        <v>1600</v>
      </c>
      <c r="P132" s="166">
        <v>9.7100000000000006E-2</v>
      </c>
      <c r="Q132" s="166" t="s">
        <v>337</v>
      </c>
      <c r="R132" s="166">
        <v>3.2500000000000001E-2</v>
      </c>
      <c r="S132" s="166" t="s">
        <v>338</v>
      </c>
      <c r="T132" s="166">
        <v>2.1100000000000001E-2</v>
      </c>
      <c r="U132" s="166" t="s">
        <v>1648</v>
      </c>
      <c r="V132" s="166">
        <v>1.4999999999999999E-2</v>
      </c>
      <c r="W132" s="166" t="s">
        <v>1650</v>
      </c>
      <c r="X132" s="166">
        <v>1.11E-2</v>
      </c>
      <c r="Y132" s="166" t="s">
        <v>1649</v>
      </c>
      <c r="Z132" s="166">
        <v>1.15E-2</v>
      </c>
      <c r="AA132" s="166" t="s">
        <v>1647</v>
      </c>
      <c r="AB132" s="166">
        <v>4.4999999999999997E-3</v>
      </c>
      <c r="AC132" s="166" t="s">
        <v>1652</v>
      </c>
      <c r="AD132" s="166">
        <v>2E-3</v>
      </c>
      <c r="AE132" s="166"/>
      <c r="AF132" s="166"/>
      <c r="AG132" s="166"/>
      <c r="AH132" s="166"/>
      <c r="AK132" s="1"/>
      <c r="AL132" s="1"/>
      <c r="AM132" s="1"/>
    </row>
    <row r="133" spans="4:39" ht="20.100000000000001" customHeight="1" x14ac:dyDescent="0.2">
      <c r="D133" s="166" t="s">
        <v>1635</v>
      </c>
      <c r="E133" s="166" t="s">
        <v>1697</v>
      </c>
      <c r="F133" s="166" t="s">
        <v>370</v>
      </c>
      <c r="G133" s="166">
        <v>1</v>
      </c>
      <c r="H133" s="166"/>
      <c r="I133" s="166"/>
      <c r="J133" s="166"/>
      <c r="K133" s="166">
        <v>10</v>
      </c>
      <c r="L133" s="166">
        <v>10.9</v>
      </c>
      <c r="M133" s="166">
        <v>10</v>
      </c>
      <c r="N133" s="166">
        <v>4.34</v>
      </c>
      <c r="O133" s="166" t="s">
        <v>1586</v>
      </c>
      <c r="P133" s="166">
        <v>0.4178</v>
      </c>
      <c r="Q133" s="166" t="s">
        <v>1592</v>
      </c>
      <c r="R133" s="166">
        <v>0.17280000000000001</v>
      </c>
      <c r="S133" s="166" t="s">
        <v>1698</v>
      </c>
      <c r="T133" s="166">
        <v>0.24096400000000001</v>
      </c>
      <c r="U133" s="166" t="s">
        <v>1609</v>
      </c>
      <c r="V133" s="166">
        <v>0.1</v>
      </c>
      <c r="W133" s="166" t="s">
        <v>1647</v>
      </c>
      <c r="X133" s="166">
        <v>1.2E-2</v>
      </c>
      <c r="Y133" s="166" t="s">
        <v>1648</v>
      </c>
      <c r="Z133" s="166">
        <v>3.5999999999999999E-3</v>
      </c>
      <c r="AA133" s="166" t="s">
        <v>1652</v>
      </c>
      <c r="AB133" s="166">
        <v>1E-3</v>
      </c>
      <c r="AC133" s="166" t="s">
        <v>1699</v>
      </c>
      <c r="AD133" s="166">
        <v>5.1900000000000002E-2</v>
      </c>
      <c r="AE133" s="166"/>
      <c r="AF133" s="166"/>
      <c r="AG133" s="166"/>
      <c r="AH133" s="166"/>
      <c r="AK133" s="1"/>
      <c r="AL133" s="1"/>
      <c r="AM133" s="1"/>
    </row>
    <row r="134" spans="4:39" ht="20.100000000000001" customHeight="1" x14ac:dyDescent="0.2">
      <c r="D134" s="166" t="s">
        <v>1664</v>
      </c>
      <c r="E134" s="166" t="s">
        <v>1590</v>
      </c>
      <c r="F134" s="166" t="s">
        <v>370</v>
      </c>
      <c r="G134" s="166">
        <v>1</v>
      </c>
      <c r="H134" s="166"/>
      <c r="I134" s="166"/>
      <c r="J134" s="166"/>
      <c r="K134" s="166">
        <v>21</v>
      </c>
      <c r="L134" s="166"/>
      <c r="M134" s="166"/>
      <c r="N134" s="166">
        <v>24</v>
      </c>
      <c r="O134" s="166" t="s">
        <v>1590</v>
      </c>
      <c r="P134" s="166">
        <v>1</v>
      </c>
      <c r="Q134" s="166"/>
      <c r="R134" s="166"/>
      <c r="S134" s="166"/>
      <c r="T134" s="166"/>
      <c r="U134" s="166"/>
      <c r="V134" s="166"/>
      <c r="W134" s="166"/>
      <c r="X134" s="166"/>
      <c r="Y134" s="166"/>
      <c r="Z134" s="166"/>
      <c r="AA134" s="166"/>
      <c r="AB134" s="166"/>
      <c r="AC134" s="166"/>
      <c r="AD134" s="166"/>
      <c r="AE134" s="166"/>
      <c r="AF134" s="166"/>
      <c r="AG134" s="166"/>
      <c r="AH134" s="166"/>
      <c r="AK134" s="1"/>
      <c r="AL134" s="1"/>
      <c r="AM134" s="1"/>
    </row>
    <row r="135" spans="4:39" ht="20.100000000000001" customHeight="1" x14ac:dyDescent="0.2">
      <c r="D135" s="166" t="s">
        <v>1664</v>
      </c>
      <c r="E135" s="166" t="s">
        <v>1700</v>
      </c>
      <c r="F135" s="166" t="s">
        <v>370</v>
      </c>
      <c r="G135" s="166">
        <v>1</v>
      </c>
      <c r="H135" s="166"/>
      <c r="I135" s="166"/>
      <c r="J135" s="166"/>
      <c r="K135" s="166">
        <v>10</v>
      </c>
      <c r="L135" s="166">
        <v>21.9</v>
      </c>
      <c r="M135" s="166"/>
      <c r="N135" s="166">
        <v>1.5</v>
      </c>
      <c r="O135" s="166" t="s">
        <v>1586</v>
      </c>
      <c r="P135" s="166">
        <v>1</v>
      </c>
      <c r="Q135" s="166"/>
      <c r="R135" s="166"/>
      <c r="S135" s="166"/>
      <c r="T135" s="166"/>
      <c r="U135" s="166"/>
      <c r="V135" s="166"/>
      <c r="W135" s="166"/>
      <c r="X135" s="166"/>
      <c r="Y135" s="166"/>
      <c r="Z135" s="166"/>
      <c r="AA135" s="166"/>
      <c r="AB135" s="166"/>
      <c r="AC135" s="166"/>
      <c r="AD135" s="166"/>
      <c r="AE135" s="166"/>
      <c r="AF135" s="166"/>
      <c r="AG135" s="166"/>
      <c r="AH135" s="166"/>
      <c r="AK135" s="1"/>
      <c r="AL135" s="1"/>
      <c r="AM135" s="1"/>
    </row>
    <row r="136" spans="4:39" ht="20.100000000000001" customHeight="1" x14ac:dyDescent="0.2">
      <c r="D136" s="166" t="s">
        <v>1664</v>
      </c>
      <c r="E136" s="166" t="s">
        <v>325</v>
      </c>
      <c r="F136" s="166" t="s">
        <v>370</v>
      </c>
      <c r="G136" s="166">
        <v>1</v>
      </c>
      <c r="H136" s="166"/>
      <c r="I136" s="166"/>
      <c r="J136" s="166"/>
      <c r="K136" s="166">
        <v>46</v>
      </c>
      <c r="L136" s="166"/>
      <c r="M136" s="166"/>
      <c r="N136" s="166"/>
      <c r="O136" s="166" t="s">
        <v>325</v>
      </c>
      <c r="P136" s="166">
        <v>1</v>
      </c>
      <c r="Q136" s="166"/>
      <c r="R136" s="166"/>
      <c r="S136" s="166"/>
      <c r="T136" s="166"/>
      <c r="U136" s="166"/>
      <c r="V136" s="166"/>
      <c r="W136" s="166"/>
      <c r="X136" s="166"/>
      <c r="Y136" s="166"/>
      <c r="Z136" s="166"/>
      <c r="AA136" s="166"/>
      <c r="AB136" s="166"/>
      <c r="AC136" s="166"/>
      <c r="AD136" s="166"/>
      <c r="AE136" s="166"/>
      <c r="AF136" s="166"/>
      <c r="AG136" s="166"/>
      <c r="AH136" s="166"/>
      <c r="AK136" s="1"/>
      <c r="AL136" s="1"/>
      <c r="AM136" s="1"/>
    </row>
    <row r="137" spans="4:39" ht="20.100000000000001" customHeight="1" x14ac:dyDescent="0.2">
      <c r="D137" s="166" t="s">
        <v>1701</v>
      </c>
      <c r="E137" s="166" t="s">
        <v>1608</v>
      </c>
      <c r="F137" s="166" t="s">
        <v>370</v>
      </c>
      <c r="G137" s="166">
        <v>1</v>
      </c>
      <c r="H137" s="166"/>
      <c r="I137" s="166"/>
      <c r="J137" s="166"/>
      <c r="K137" s="166"/>
      <c r="L137" s="166"/>
      <c r="M137" s="166">
        <v>50</v>
      </c>
      <c r="N137" s="166"/>
      <c r="O137" s="166" t="s">
        <v>1608</v>
      </c>
      <c r="P137" s="166">
        <v>1</v>
      </c>
      <c r="Q137" s="166"/>
      <c r="R137" s="166"/>
      <c r="S137" s="166"/>
      <c r="T137" s="166"/>
      <c r="U137" s="166"/>
      <c r="V137" s="166"/>
      <c r="W137" s="166"/>
      <c r="X137" s="166"/>
      <c r="Y137" s="166"/>
      <c r="Z137" s="166"/>
      <c r="AA137" s="166"/>
      <c r="AB137" s="166"/>
      <c r="AC137" s="166"/>
      <c r="AD137" s="166"/>
      <c r="AE137" s="166"/>
      <c r="AF137" s="166"/>
      <c r="AG137" s="166"/>
      <c r="AH137" s="166"/>
      <c r="AK137" s="1"/>
      <c r="AL137" s="1"/>
      <c r="AM137" s="1"/>
    </row>
    <row r="138" spans="4:39" ht="20.100000000000001" customHeight="1" x14ac:dyDescent="0.2">
      <c r="D138" s="166" t="s">
        <v>1660</v>
      </c>
      <c r="E138" s="166" t="s">
        <v>1702</v>
      </c>
      <c r="F138" s="166" t="s">
        <v>621</v>
      </c>
      <c r="G138" s="166">
        <v>1.32</v>
      </c>
      <c r="H138" s="166"/>
      <c r="I138" s="166" t="s">
        <v>1615</v>
      </c>
      <c r="J138" s="166" t="s">
        <v>1615</v>
      </c>
      <c r="K138" s="166">
        <v>32</v>
      </c>
      <c r="L138" s="166"/>
      <c r="M138" s="166"/>
      <c r="N138" s="166"/>
      <c r="O138" s="166" t="s">
        <v>1591</v>
      </c>
      <c r="P138" s="166">
        <v>1</v>
      </c>
      <c r="Q138" s="166"/>
      <c r="R138" s="166"/>
      <c r="S138" s="166"/>
      <c r="T138" s="166"/>
      <c r="U138" s="166"/>
      <c r="V138" s="166"/>
      <c r="W138" s="166"/>
      <c r="X138" s="166"/>
      <c r="Y138" s="166"/>
      <c r="Z138" s="166"/>
      <c r="AA138" s="166"/>
      <c r="AB138" s="166"/>
      <c r="AC138" s="166"/>
      <c r="AD138" s="166"/>
      <c r="AE138" s="166"/>
      <c r="AF138" s="166"/>
      <c r="AG138" s="166"/>
      <c r="AH138" s="166"/>
      <c r="AK138" s="1"/>
      <c r="AL138" s="1"/>
      <c r="AM138" s="1"/>
    </row>
    <row r="139" spans="4:39" ht="20.100000000000001" customHeight="1" x14ac:dyDescent="0.2">
      <c r="D139" s="166" t="s">
        <v>1660</v>
      </c>
      <c r="E139" s="166" t="s">
        <v>1703</v>
      </c>
      <c r="F139" s="166" t="s">
        <v>370</v>
      </c>
      <c r="G139" s="166">
        <v>1</v>
      </c>
      <c r="H139" s="166"/>
      <c r="I139" s="166" t="s">
        <v>1615</v>
      </c>
      <c r="J139" s="166"/>
      <c r="K139" s="166">
        <v>46</v>
      </c>
      <c r="L139" s="166"/>
      <c r="M139" s="166"/>
      <c r="N139" s="166"/>
      <c r="O139" s="166" t="s">
        <v>325</v>
      </c>
      <c r="P139" s="166">
        <v>1</v>
      </c>
      <c r="Q139" s="166" t="s">
        <v>1704</v>
      </c>
      <c r="R139" s="166">
        <v>0</v>
      </c>
      <c r="S139" s="166"/>
      <c r="T139" s="166"/>
      <c r="U139" s="166"/>
      <c r="V139" s="166"/>
      <c r="W139" s="166"/>
      <c r="X139" s="166"/>
      <c r="Y139" s="166"/>
      <c r="Z139" s="166"/>
      <c r="AA139" s="166"/>
      <c r="AB139" s="166"/>
      <c r="AC139" s="166"/>
      <c r="AD139" s="166"/>
      <c r="AE139" s="166"/>
      <c r="AF139" s="166"/>
      <c r="AG139" s="166"/>
      <c r="AH139" s="166"/>
      <c r="AK139" s="1"/>
      <c r="AL139" s="1"/>
      <c r="AM139" s="1"/>
    </row>
    <row r="140" spans="4:39" ht="20.100000000000001" customHeight="1" x14ac:dyDescent="0.2">
      <c r="D140" s="166" t="s">
        <v>1705</v>
      </c>
      <c r="E140" s="166" t="s">
        <v>1706</v>
      </c>
      <c r="F140" s="166" t="s">
        <v>370</v>
      </c>
      <c r="G140" s="166">
        <v>1</v>
      </c>
      <c r="H140" s="166"/>
      <c r="I140" s="166"/>
      <c r="J140" s="166"/>
      <c r="K140" s="166">
        <v>15.5</v>
      </c>
      <c r="L140" s="166"/>
      <c r="M140" s="166"/>
      <c r="N140" s="166"/>
      <c r="O140" s="166" t="s">
        <v>335</v>
      </c>
      <c r="P140" s="166">
        <v>1</v>
      </c>
      <c r="Q140" s="166"/>
      <c r="R140" s="166"/>
      <c r="S140" s="166"/>
      <c r="T140" s="166"/>
      <c r="U140" s="166"/>
      <c r="V140" s="166"/>
      <c r="W140" s="166"/>
      <c r="X140" s="166"/>
      <c r="Y140" s="166"/>
      <c r="Z140" s="166"/>
      <c r="AA140" s="166"/>
      <c r="AB140" s="166"/>
      <c r="AC140" s="166"/>
      <c r="AD140" s="166"/>
      <c r="AE140" s="166"/>
      <c r="AF140" s="166"/>
      <c r="AG140" s="166"/>
      <c r="AH140" s="166"/>
      <c r="AK140" s="1"/>
      <c r="AL140" s="1"/>
      <c r="AM140" s="1"/>
    </row>
    <row r="141" spans="4:39" ht="20.100000000000001" customHeight="1" x14ac:dyDescent="0.2">
      <c r="D141" s="166" t="s">
        <v>1705</v>
      </c>
      <c r="E141" s="166" t="s">
        <v>1707</v>
      </c>
      <c r="F141" s="166" t="s">
        <v>370</v>
      </c>
      <c r="G141" s="166">
        <v>1</v>
      </c>
      <c r="H141" s="166"/>
      <c r="I141" s="166"/>
      <c r="J141" s="166"/>
      <c r="K141" s="166">
        <v>15.4</v>
      </c>
      <c r="L141" s="166"/>
      <c r="M141" s="166"/>
      <c r="N141" s="166"/>
      <c r="O141" s="166" t="s">
        <v>335</v>
      </c>
      <c r="P141" s="166">
        <v>0.99354799999999999</v>
      </c>
      <c r="Q141" s="166" t="s">
        <v>1652</v>
      </c>
      <c r="R141" s="166">
        <v>3.0000000000000001E-3</v>
      </c>
      <c r="S141" s="166"/>
      <c r="T141" s="166"/>
      <c r="U141" s="166"/>
      <c r="V141" s="166"/>
      <c r="W141" s="166"/>
      <c r="X141" s="166"/>
      <c r="Y141" s="166"/>
      <c r="Z141" s="166"/>
      <c r="AA141" s="166"/>
      <c r="AB141" s="166"/>
      <c r="AC141" s="166"/>
      <c r="AD141" s="166"/>
      <c r="AE141" s="166"/>
      <c r="AF141" s="166"/>
      <c r="AG141" s="166"/>
      <c r="AH141" s="166"/>
      <c r="AK141" s="1"/>
      <c r="AL141" s="1"/>
      <c r="AM141" s="1"/>
    </row>
    <row r="142" spans="4:39" ht="20.100000000000001" customHeight="1" x14ac:dyDescent="0.2">
      <c r="D142" s="166" t="s">
        <v>1705</v>
      </c>
      <c r="E142" s="166" t="s">
        <v>1708</v>
      </c>
      <c r="F142" s="166" t="s">
        <v>370</v>
      </c>
      <c r="G142" s="166">
        <v>1</v>
      </c>
      <c r="H142" s="166"/>
      <c r="I142" s="166"/>
      <c r="J142" s="166"/>
      <c r="K142" s="166">
        <v>12</v>
      </c>
      <c r="L142" s="166">
        <v>5</v>
      </c>
      <c r="M142" s="166">
        <v>15</v>
      </c>
      <c r="N142" s="166">
        <v>8</v>
      </c>
      <c r="O142" s="166" t="s">
        <v>1597</v>
      </c>
      <c r="P142" s="166">
        <v>0.05</v>
      </c>
      <c r="Q142" s="166" t="s">
        <v>1595</v>
      </c>
      <c r="R142" s="166">
        <v>7.0000000000000007E-2</v>
      </c>
      <c r="S142" s="166" t="s">
        <v>1602</v>
      </c>
      <c r="T142" s="166">
        <v>0.05</v>
      </c>
      <c r="U142" s="166" t="s">
        <v>337</v>
      </c>
      <c r="V142" s="166">
        <v>0.15</v>
      </c>
      <c r="W142" s="166" t="s">
        <v>338</v>
      </c>
      <c r="X142" s="166">
        <v>0.08</v>
      </c>
      <c r="Y142" s="166" t="s">
        <v>1647</v>
      </c>
      <c r="Z142" s="166">
        <v>1.6E-2</v>
      </c>
      <c r="AA142" s="166" t="s">
        <v>1648</v>
      </c>
      <c r="AB142" s="166">
        <v>2.0000000000000001E-4</v>
      </c>
      <c r="AC142" s="166" t="s">
        <v>1652</v>
      </c>
      <c r="AD142" s="166">
        <v>1.4999999999999999E-4</v>
      </c>
      <c r="AE142" s="166"/>
      <c r="AF142" s="166"/>
      <c r="AG142" s="166"/>
      <c r="AH142" s="166"/>
      <c r="AK142" s="1"/>
      <c r="AL142" s="1"/>
      <c r="AM142" s="1"/>
    </row>
    <row r="143" spans="4:39" ht="20.100000000000001" customHeight="1" x14ac:dyDescent="0.2">
      <c r="D143" s="166" t="s">
        <v>1705</v>
      </c>
      <c r="E143" s="166" t="s">
        <v>1709</v>
      </c>
      <c r="F143" s="166" t="s">
        <v>370</v>
      </c>
      <c r="G143" s="166">
        <v>1</v>
      </c>
      <c r="H143" s="166"/>
      <c r="I143" s="166"/>
      <c r="J143" s="166"/>
      <c r="K143" s="166">
        <v>9</v>
      </c>
      <c r="L143" s="166"/>
      <c r="M143" s="166">
        <v>30</v>
      </c>
      <c r="N143" s="166">
        <v>14</v>
      </c>
      <c r="O143" s="166" t="s">
        <v>337</v>
      </c>
      <c r="P143" s="166">
        <v>0.3</v>
      </c>
      <c r="Q143" s="166" t="s">
        <v>338</v>
      </c>
      <c r="R143" s="166">
        <v>0.14000000000000001</v>
      </c>
      <c r="S143" s="166" t="s">
        <v>1597</v>
      </c>
      <c r="T143" s="166">
        <v>4.4999999999999998E-2</v>
      </c>
      <c r="U143" s="166" t="s">
        <v>1595</v>
      </c>
      <c r="V143" s="166">
        <v>4.4999999999999998E-2</v>
      </c>
      <c r="W143" s="166"/>
      <c r="X143" s="166"/>
      <c r="Y143" s="166"/>
      <c r="Z143" s="166"/>
      <c r="AA143" s="166"/>
      <c r="AB143" s="166"/>
      <c r="AC143" s="166"/>
      <c r="AD143" s="166"/>
      <c r="AE143" s="166"/>
      <c r="AF143" s="166"/>
      <c r="AG143" s="166"/>
      <c r="AH143" s="166"/>
      <c r="AK143" s="1"/>
      <c r="AL143" s="1"/>
      <c r="AM143" s="1"/>
    </row>
    <row r="144" spans="4:39" ht="20.100000000000001" customHeight="1" x14ac:dyDescent="0.2">
      <c r="D144" s="166" t="s">
        <v>1705</v>
      </c>
      <c r="E144" s="166" t="s">
        <v>1710</v>
      </c>
      <c r="F144" s="166" t="s">
        <v>370</v>
      </c>
      <c r="G144" s="166">
        <v>1</v>
      </c>
      <c r="H144" s="166"/>
      <c r="I144" s="166"/>
      <c r="J144" s="166"/>
      <c r="K144" s="166">
        <v>13</v>
      </c>
      <c r="L144" s="166">
        <v>1.75</v>
      </c>
      <c r="M144" s="166">
        <v>21</v>
      </c>
      <c r="N144" s="166">
        <v>10.8</v>
      </c>
      <c r="O144" s="166" t="s">
        <v>337</v>
      </c>
      <c r="P144" s="166">
        <v>0.21</v>
      </c>
      <c r="Q144" s="166" t="s">
        <v>338</v>
      </c>
      <c r="R144" s="166">
        <v>0.108</v>
      </c>
      <c r="S144" s="166" t="s">
        <v>1595</v>
      </c>
      <c r="T144" s="166">
        <v>7.6999999999999999E-2</v>
      </c>
      <c r="U144" s="166" t="s">
        <v>1597</v>
      </c>
      <c r="V144" s="166">
        <v>5.2999999999999999E-2</v>
      </c>
      <c r="W144" s="166" t="s">
        <v>1602</v>
      </c>
      <c r="X144" s="166">
        <v>1.7500000000000002E-2</v>
      </c>
      <c r="Y144" s="166" t="s">
        <v>1647</v>
      </c>
      <c r="Z144" s="166">
        <v>4.0000000000000001E-3</v>
      </c>
      <c r="AA144" s="166" t="s">
        <v>1648</v>
      </c>
      <c r="AB144" s="166">
        <v>8.0000000000000004E-4</v>
      </c>
      <c r="AC144" s="166" t="s">
        <v>1652</v>
      </c>
      <c r="AD144" s="166">
        <v>8.0000000000000004E-4</v>
      </c>
      <c r="AE144" s="166"/>
      <c r="AF144" s="166"/>
      <c r="AG144" s="166"/>
      <c r="AH144" s="166"/>
      <c r="AK144" s="1"/>
      <c r="AL144" s="1"/>
      <c r="AM144" s="1"/>
    </row>
    <row r="145" spans="1:39" ht="20.100000000000001" customHeight="1" x14ac:dyDescent="0.2">
      <c r="D145" s="166" t="s">
        <v>1705</v>
      </c>
      <c r="E145" s="166" t="s">
        <v>1711</v>
      </c>
      <c r="F145" s="166" t="s">
        <v>370</v>
      </c>
      <c r="G145" s="166">
        <v>1</v>
      </c>
      <c r="H145" s="166"/>
      <c r="I145" s="166"/>
      <c r="J145" s="166"/>
      <c r="K145" s="166">
        <v>15</v>
      </c>
      <c r="L145" s="166">
        <v>6.5</v>
      </c>
      <c r="M145" s="166">
        <v>12.5</v>
      </c>
      <c r="N145" s="166">
        <v>7.2</v>
      </c>
      <c r="O145" s="166" t="s">
        <v>1597</v>
      </c>
      <c r="P145" s="166">
        <v>9.5000000000000001E-2</v>
      </c>
      <c r="Q145" s="166" t="s">
        <v>337</v>
      </c>
      <c r="R145" s="166">
        <v>0.125</v>
      </c>
      <c r="S145" s="166" t="s">
        <v>338</v>
      </c>
      <c r="T145" s="166">
        <v>7.1999999999999995E-2</v>
      </c>
      <c r="U145" s="166" t="s">
        <v>1602</v>
      </c>
      <c r="V145" s="166">
        <v>6.5000000000000002E-2</v>
      </c>
      <c r="W145" s="166" t="s">
        <v>1595</v>
      </c>
      <c r="X145" s="166">
        <v>5.5E-2</v>
      </c>
      <c r="Y145" s="166" t="s">
        <v>1647</v>
      </c>
      <c r="Z145" s="166">
        <v>6.6E-3</v>
      </c>
      <c r="AA145" s="166" t="s">
        <v>1652</v>
      </c>
      <c r="AB145" s="166">
        <v>1E-3</v>
      </c>
      <c r="AC145" s="166" t="s">
        <v>1648</v>
      </c>
      <c r="AD145" s="166">
        <v>5.9999999999999995E-4</v>
      </c>
      <c r="AE145" s="166"/>
      <c r="AF145" s="166"/>
      <c r="AG145" s="166"/>
      <c r="AH145" s="166"/>
      <c r="AK145" s="1"/>
      <c r="AL145" s="1"/>
      <c r="AM145" s="1"/>
    </row>
    <row r="146" spans="1:39" ht="20.100000000000001" customHeight="1" x14ac:dyDescent="0.2">
      <c r="D146" s="166" t="s">
        <v>1705</v>
      </c>
      <c r="E146" s="166" t="s">
        <v>1712</v>
      </c>
      <c r="F146" s="166" t="s">
        <v>370</v>
      </c>
      <c r="G146" s="166">
        <v>1</v>
      </c>
      <c r="H146" s="166"/>
      <c r="I146" s="166"/>
      <c r="J146" s="166"/>
      <c r="K146" s="166">
        <v>15.5</v>
      </c>
      <c r="L146" s="166"/>
      <c r="M146" s="166"/>
      <c r="N146" s="166"/>
      <c r="O146" s="166" t="s">
        <v>335</v>
      </c>
      <c r="P146" s="166">
        <v>1</v>
      </c>
      <c r="Q146" s="166" t="s">
        <v>1652</v>
      </c>
      <c r="R146" s="166">
        <v>1E-3</v>
      </c>
      <c r="S146" s="166"/>
      <c r="T146" s="166"/>
      <c r="U146" s="166"/>
      <c r="V146" s="166"/>
      <c r="W146" s="166"/>
      <c r="X146" s="166"/>
      <c r="Y146" s="166"/>
      <c r="Z146" s="166"/>
      <c r="AA146" s="166"/>
      <c r="AB146" s="166"/>
      <c r="AC146" s="166"/>
      <c r="AD146" s="166"/>
      <c r="AE146" s="166"/>
      <c r="AF146" s="166"/>
      <c r="AG146" s="166"/>
      <c r="AH146" s="166"/>
      <c r="AK146" s="1"/>
      <c r="AL146" s="1"/>
      <c r="AM146" s="1"/>
    </row>
    <row r="147" spans="1:39" ht="20.100000000000001" customHeight="1" x14ac:dyDescent="0.2">
      <c r="D147" s="166" t="s">
        <v>1705</v>
      </c>
      <c r="E147" s="166" t="s">
        <v>1713</v>
      </c>
      <c r="F147" s="166" t="s">
        <v>370</v>
      </c>
      <c r="G147" s="166">
        <v>1</v>
      </c>
      <c r="H147" s="166"/>
      <c r="I147" s="166"/>
      <c r="J147" s="166"/>
      <c r="K147" s="166">
        <v>10</v>
      </c>
      <c r="L147" s="166">
        <v>21.9</v>
      </c>
      <c r="M147" s="166"/>
      <c r="N147" s="166"/>
      <c r="O147" s="166" t="s">
        <v>1586</v>
      </c>
      <c r="P147" s="166">
        <v>1</v>
      </c>
      <c r="Q147" s="166"/>
      <c r="R147" s="166"/>
      <c r="S147" s="166"/>
      <c r="T147" s="166"/>
      <c r="U147" s="166"/>
      <c r="V147" s="166"/>
      <c r="W147" s="166"/>
      <c r="X147" s="166"/>
      <c r="Y147" s="166"/>
      <c r="Z147" s="166"/>
      <c r="AA147" s="166"/>
      <c r="AB147" s="166"/>
      <c r="AC147" s="166"/>
      <c r="AD147" s="166"/>
      <c r="AE147" s="166"/>
      <c r="AF147" s="166"/>
      <c r="AG147" s="166"/>
      <c r="AH147" s="166"/>
      <c r="AK147" s="1"/>
      <c r="AL147" s="1"/>
      <c r="AM147" s="1"/>
    </row>
    <row r="148" spans="1:39" ht="20.100000000000001" customHeight="1" x14ac:dyDescent="0.2">
      <c r="D148" s="166" t="s">
        <v>1705</v>
      </c>
      <c r="E148" s="166" t="s">
        <v>1714</v>
      </c>
      <c r="F148" s="166" t="s">
        <v>370</v>
      </c>
      <c r="G148" s="166">
        <v>1</v>
      </c>
      <c r="H148" s="166"/>
      <c r="I148" s="166"/>
      <c r="J148" s="166"/>
      <c r="K148" s="166">
        <v>12</v>
      </c>
      <c r="L148" s="166">
        <v>5.2</v>
      </c>
      <c r="M148" s="166">
        <v>29.9</v>
      </c>
      <c r="N148" s="166">
        <v>1</v>
      </c>
      <c r="O148" s="166" t="s">
        <v>337</v>
      </c>
      <c r="P148" s="166">
        <v>0.29899999999999999</v>
      </c>
      <c r="Q148" s="166" t="s">
        <v>1597</v>
      </c>
      <c r="R148" s="166">
        <v>0.10100000000000001</v>
      </c>
      <c r="S148" s="166" t="s">
        <v>1602</v>
      </c>
      <c r="T148" s="166">
        <v>5.1999999999999998E-2</v>
      </c>
      <c r="U148" s="166" t="s">
        <v>1595</v>
      </c>
      <c r="V148" s="166">
        <v>1.9E-2</v>
      </c>
      <c r="W148" s="166" t="s">
        <v>338</v>
      </c>
      <c r="X148" s="166">
        <v>0.01</v>
      </c>
      <c r="Y148" s="166" t="s">
        <v>1647</v>
      </c>
      <c r="Z148" s="166">
        <v>6.0000000000000001E-3</v>
      </c>
      <c r="AA148" s="166" t="s">
        <v>1650</v>
      </c>
      <c r="AB148" s="166">
        <v>6.9999999999999999E-4</v>
      </c>
      <c r="AC148" s="166" t="s">
        <v>1649</v>
      </c>
      <c r="AD148" s="166">
        <v>4.0000000000000002E-4</v>
      </c>
      <c r="AE148" s="166" t="s">
        <v>1648</v>
      </c>
      <c r="AF148" s="166">
        <v>2.5000000000000001E-4</v>
      </c>
      <c r="AG148" s="166" t="s">
        <v>1652</v>
      </c>
      <c r="AH148" s="166">
        <v>2.5000000000000001E-4</v>
      </c>
      <c r="AK148" s="1"/>
      <c r="AL148" s="1"/>
      <c r="AM148" s="1"/>
    </row>
    <row r="149" spans="1:39" ht="20.100000000000001" customHeight="1" x14ac:dyDescent="0.2">
      <c r="A149" s="81" t="str">
        <f>HYPERLINK("#A1", "▲ Back to top")</f>
        <v>▲ Back to top</v>
      </c>
      <c r="D149" s="166" t="s">
        <v>1705</v>
      </c>
      <c r="E149" s="166" t="s">
        <v>1715</v>
      </c>
      <c r="F149" s="166" t="s">
        <v>370</v>
      </c>
      <c r="G149" s="166">
        <v>1</v>
      </c>
      <c r="H149" s="166"/>
      <c r="I149" s="166"/>
      <c r="J149" s="166"/>
      <c r="K149" s="166">
        <v>18</v>
      </c>
      <c r="L149" s="166">
        <v>7.9</v>
      </c>
      <c r="M149" s="166">
        <v>14.9</v>
      </c>
      <c r="N149" s="166">
        <v>2</v>
      </c>
      <c r="O149" s="166" t="s">
        <v>337</v>
      </c>
      <c r="P149" s="166">
        <v>0.14899999999999999</v>
      </c>
      <c r="Q149" s="166" t="s">
        <v>325</v>
      </c>
      <c r="R149" s="166">
        <v>0.21304300000000001</v>
      </c>
      <c r="S149" s="166" t="s">
        <v>1602</v>
      </c>
      <c r="T149" s="166">
        <v>7.9000000000000001E-2</v>
      </c>
      <c r="U149" s="166" t="s">
        <v>1597</v>
      </c>
      <c r="V149" s="166">
        <v>4.9000000000000002E-2</v>
      </c>
      <c r="W149" s="166" t="s">
        <v>1595</v>
      </c>
      <c r="X149" s="166">
        <v>3.3000000000000002E-2</v>
      </c>
      <c r="Y149" s="166" t="s">
        <v>338</v>
      </c>
      <c r="Z149" s="166">
        <v>0.02</v>
      </c>
      <c r="AA149" s="166" t="s">
        <v>1647</v>
      </c>
      <c r="AB149" s="166">
        <v>1.7999999999999999E-2</v>
      </c>
      <c r="AC149" s="166" t="s">
        <v>1650</v>
      </c>
      <c r="AD149" s="166">
        <v>6.9999999999999999E-4</v>
      </c>
      <c r="AE149" s="166" t="s">
        <v>1649</v>
      </c>
      <c r="AF149" s="166">
        <v>4.0000000000000002E-4</v>
      </c>
      <c r="AG149" s="166" t="s">
        <v>1648</v>
      </c>
      <c r="AH149" s="166">
        <v>2.5000000000000001E-4</v>
      </c>
      <c r="AK149" s="1"/>
      <c r="AL149" s="1"/>
      <c r="AM149" s="1"/>
    </row>
    <row r="150" spans="1:39" ht="20.100000000000001" customHeight="1" x14ac:dyDescent="0.2">
      <c r="D150" s="166" t="s">
        <v>1705</v>
      </c>
      <c r="E150" s="166" t="s">
        <v>1716</v>
      </c>
      <c r="F150" s="166" t="s">
        <v>370</v>
      </c>
      <c r="G150" s="166">
        <v>1</v>
      </c>
      <c r="H150" s="166"/>
      <c r="I150" s="166"/>
      <c r="J150" s="166"/>
      <c r="K150" s="166">
        <v>21</v>
      </c>
      <c r="L150" s="166">
        <v>7.4</v>
      </c>
      <c r="M150" s="166">
        <v>2.5</v>
      </c>
      <c r="N150" s="166">
        <v>4</v>
      </c>
      <c r="O150" s="166" t="s">
        <v>1597</v>
      </c>
      <c r="P150" s="166">
        <v>0.105</v>
      </c>
      <c r="Q150" s="166" t="s">
        <v>1595</v>
      </c>
      <c r="R150" s="166">
        <v>0.105</v>
      </c>
      <c r="S150" s="166" t="s">
        <v>1602</v>
      </c>
      <c r="T150" s="166">
        <v>7.3999999999999996E-2</v>
      </c>
      <c r="U150" s="166" t="s">
        <v>338</v>
      </c>
      <c r="V150" s="166">
        <v>0.04</v>
      </c>
      <c r="W150" s="166" t="s">
        <v>337</v>
      </c>
      <c r="X150" s="166">
        <v>2.5000000000000001E-2</v>
      </c>
      <c r="Y150" s="166" t="s">
        <v>1647</v>
      </c>
      <c r="Z150" s="166">
        <v>4.0000000000000001E-3</v>
      </c>
      <c r="AA150" s="166" t="s">
        <v>1648</v>
      </c>
      <c r="AB150" s="166">
        <v>1.5E-3</v>
      </c>
      <c r="AC150" s="166"/>
      <c r="AD150" s="166"/>
      <c r="AE150" s="166"/>
      <c r="AF150" s="166"/>
      <c r="AG150" s="166"/>
      <c r="AH150" s="166"/>
      <c r="AK150" s="1"/>
      <c r="AL150" s="1"/>
      <c r="AM150" s="1"/>
    </row>
    <row r="151" spans="1:39" ht="20.100000000000001" customHeight="1" x14ac:dyDescent="0.2">
      <c r="D151" s="166" t="s">
        <v>1705</v>
      </c>
      <c r="E151" s="166" t="s">
        <v>1717</v>
      </c>
      <c r="F151" s="166" t="s">
        <v>370</v>
      </c>
      <c r="G151" s="166">
        <v>1</v>
      </c>
      <c r="H151" s="166"/>
      <c r="I151" s="166"/>
      <c r="J151" s="166"/>
      <c r="K151" s="166">
        <v>7.5</v>
      </c>
      <c r="L151" s="166"/>
      <c r="M151" s="166">
        <v>29.9</v>
      </c>
      <c r="N151" s="166">
        <v>4</v>
      </c>
      <c r="O151" s="166" t="s">
        <v>337</v>
      </c>
      <c r="P151" s="166">
        <v>0.29899999999999999</v>
      </c>
      <c r="Q151" s="166" t="s">
        <v>1597</v>
      </c>
      <c r="R151" s="166">
        <v>5.1999999999999998E-2</v>
      </c>
      <c r="S151" s="166" t="s">
        <v>338</v>
      </c>
      <c r="T151" s="166">
        <v>0.04</v>
      </c>
      <c r="U151" s="166" t="s">
        <v>1647</v>
      </c>
      <c r="V151" s="166">
        <v>2.7E-2</v>
      </c>
      <c r="W151" s="166" t="s">
        <v>1595</v>
      </c>
      <c r="X151" s="166">
        <v>2.3E-2</v>
      </c>
      <c r="Y151" s="166"/>
      <c r="Z151" s="166"/>
      <c r="AA151" s="166"/>
      <c r="AB151" s="166"/>
      <c r="AC151" s="166"/>
      <c r="AD151" s="166"/>
      <c r="AE151" s="166"/>
      <c r="AF151" s="166"/>
      <c r="AG151" s="166"/>
      <c r="AH151" s="166"/>
      <c r="AK151" s="1"/>
      <c r="AL151" s="1"/>
      <c r="AM151" s="1"/>
    </row>
    <row r="152" spans="1:39" ht="20.100000000000001" customHeight="1" x14ac:dyDescent="0.2">
      <c r="D152" s="166" t="s">
        <v>1635</v>
      </c>
      <c r="E152" s="166" t="s">
        <v>1718</v>
      </c>
      <c r="F152" s="166" t="s">
        <v>370</v>
      </c>
      <c r="G152" s="166">
        <v>1</v>
      </c>
      <c r="H152" s="166"/>
      <c r="I152" s="166"/>
      <c r="J152" s="166"/>
      <c r="K152" s="166">
        <v>10</v>
      </c>
      <c r="L152" s="166">
        <v>21.9</v>
      </c>
      <c r="M152" s="166"/>
      <c r="N152" s="166"/>
      <c r="O152" s="166" t="s">
        <v>1586</v>
      </c>
      <c r="P152" s="166">
        <v>1</v>
      </c>
      <c r="Q152" s="166"/>
      <c r="R152" s="166"/>
      <c r="S152" s="166"/>
      <c r="T152" s="166"/>
      <c r="U152" s="166"/>
      <c r="V152" s="166"/>
      <c r="W152" s="166"/>
      <c r="X152" s="166"/>
      <c r="Y152" s="166"/>
      <c r="Z152" s="166"/>
      <c r="AA152" s="166"/>
      <c r="AB152" s="166"/>
      <c r="AC152" s="166"/>
      <c r="AD152" s="166"/>
      <c r="AE152" s="166"/>
      <c r="AF152" s="166"/>
      <c r="AG152" s="166"/>
      <c r="AH152" s="166"/>
      <c r="AK152" s="1"/>
      <c r="AL152" s="1"/>
      <c r="AM152" s="1"/>
    </row>
    <row r="153" spans="1:39" ht="20.100000000000001" customHeight="1" x14ac:dyDescent="0.2">
      <c r="D153" s="166" t="s">
        <v>1635</v>
      </c>
      <c r="E153" s="166" t="s">
        <v>1719</v>
      </c>
      <c r="F153" s="166" t="s">
        <v>370</v>
      </c>
      <c r="G153" s="166">
        <v>1</v>
      </c>
      <c r="H153" s="166"/>
      <c r="I153" s="166"/>
      <c r="J153" s="166"/>
      <c r="K153" s="166">
        <v>21</v>
      </c>
      <c r="L153" s="166"/>
      <c r="M153" s="166"/>
      <c r="N153" s="166">
        <v>24</v>
      </c>
      <c r="O153" s="166" t="s">
        <v>1590</v>
      </c>
      <c r="P153" s="166">
        <v>1</v>
      </c>
      <c r="Q153" s="166"/>
      <c r="R153" s="166"/>
      <c r="S153" s="166"/>
      <c r="T153" s="166"/>
      <c r="U153" s="166"/>
      <c r="V153" s="166"/>
      <c r="W153" s="166"/>
      <c r="X153" s="166"/>
      <c r="Y153" s="166"/>
      <c r="Z153" s="166"/>
      <c r="AA153" s="166"/>
      <c r="AB153" s="166"/>
      <c r="AC153" s="166"/>
      <c r="AD153" s="166"/>
      <c r="AE153" s="166"/>
      <c r="AF153" s="166"/>
      <c r="AG153" s="166"/>
      <c r="AH153" s="166"/>
      <c r="AK153" s="1"/>
      <c r="AL153" s="1"/>
      <c r="AM153" s="1"/>
    </row>
    <row r="154" spans="1:39" ht="20.100000000000001" customHeight="1" x14ac:dyDescent="0.2">
      <c r="D154" s="166" t="s">
        <v>1635</v>
      </c>
      <c r="E154" s="166" t="s">
        <v>1720</v>
      </c>
      <c r="F154" s="166" t="s">
        <v>370</v>
      </c>
      <c r="G154" s="166">
        <v>1</v>
      </c>
      <c r="H154" s="166"/>
      <c r="I154" s="166"/>
      <c r="J154" s="166"/>
      <c r="K154" s="166">
        <v>12</v>
      </c>
      <c r="L154" s="166">
        <v>5</v>
      </c>
      <c r="M154" s="166">
        <v>14</v>
      </c>
      <c r="N154" s="166">
        <v>9.6999999999999993</v>
      </c>
      <c r="O154" s="166" t="s">
        <v>337</v>
      </c>
      <c r="P154" s="166">
        <v>0.14000000000000001</v>
      </c>
      <c r="Q154" s="166" t="s">
        <v>338</v>
      </c>
      <c r="R154" s="166">
        <v>9.7000000000000003E-2</v>
      </c>
      <c r="S154" s="166" t="s">
        <v>1597</v>
      </c>
      <c r="T154" s="166">
        <v>0.06</v>
      </c>
      <c r="U154" s="166" t="s">
        <v>1595</v>
      </c>
      <c r="V154" s="166">
        <v>0.06</v>
      </c>
      <c r="W154" s="166" t="s">
        <v>1602</v>
      </c>
      <c r="X154" s="166">
        <v>0.05</v>
      </c>
      <c r="Y154" s="166" t="s">
        <v>1640</v>
      </c>
      <c r="Z154" s="166">
        <v>3.1E-2</v>
      </c>
      <c r="AA154" s="166" t="s">
        <v>1647</v>
      </c>
      <c r="AB154" s="166">
        <v>1.2E-2</v>
      </c>
      <c r="AC154" s="166" t="s">
        <v>1648</v>
      </c>
      <c r="AD154" s="166">
        <v>1E-3</v>
      </c>
      <c r="AE154" s="166" t="s">
        <v>1652</v>
      </c>
      <c r="AF154" s="166">
        <v>2.0000000000000001E-4</v>
      </c>
      <c r="AG154" s="166"/>
      <c r="AH154" s="166"/>
      <c r="AK154" s="1"/>
    </row>
    <row r="155" spans="1:39" ht="20.100000000000001" customHeight="1" x14ac:dyDescent="0.2">
      <c r="D155" s="166" t="s">
        <v>1635</v>
      </c>
      <c r="E155" s="166" t="s">
        <v>1721</v>
      </c>
      <c r="F155" s="166" t="s">
        <v>370</v>
      </c>
      <c r="G155" s="166">
        <v>1</v>
      </c>
      <c r="H155" s="166"/>
      <c r="I155" s="166"/>
      <c r="J155" s="166"/>
      <c r="K155" s="166">
        <v>10</v>
      </c>
      <c r="L155" s="166">
        <v>11</v>
      </c>
      <c r="M155" s="166">
        <v>10</v>
      </c>
      <c r="N155" s="166">
        <v>6</v>
      </c>
      <c r="O155" s="166" t="s">
        <v>1602</v>
      </c>
      <c r="P155" s="166">
        <v>0.11</v>
      </c>
      <c r="Q155" s="166" t="s">
        <v>337</v>
      </c>
      <c r="R155" s="166">
        <v>0.1</v>
      </c>
      <c r="S155" s="166" t="s">
        <v>338</v>
      </c>
      <c r="T155" s="166">
        <v>0.06</v>
      </c>
      <c r="U155" s="166" t="s">
        <v>1597</v>
      </c>
      <c r="V155" s="166">
        <v>0.05</v>
      </c>
      <c r="W155" s="166" t="s">
        <v>1595</v>
      </c>
      <c r="X155" s="166">
        <v>0.05</v>
      </c>
      <c r="Y155" s="166" t="s">
        <v>1640</v>
      </c>
      <c r="Z155" s="166">
        <v>4.2999999999999997E-2</v>
      </c>
      <c r="AA155" s="166" t="s">
        <v>1647</v>
      </c>
      <c r="AB155" s="166">
        <v>1.2E-2</v>
      </c>
      <c r="AC155" s="166" t="s">
        <v>1648</v>
      </c>
      <c r="AD155" s="166">
        <v>3.5999999999999999E-3</v>
      </c>
      <c r="AE155" s="166" t="s">
        <v>1652</v>
      </c>
      <c r="AF155" s="166">
        <v>1E-3</v>
      </c>
      <c r="AG155" s="166"/>
      <c r="AH155" s="166"/>
      <c r="AK155" s="1"/>
    </row>
    <row r="156" spans="1:39" ht="20.100000000000001" customHeight="1" x14ac:dyDescent="0.2">
      <c r="D156" s="166" t="s">
        <v>1635</v>
      </c>
      <c r="E156" s="166" t="s">
        <v>1722</v>
      </c>
      <c r="F156" s="166" t="s">
        <v>370</v>
      </c>
      <c r="G156" s="166">
        <v>1</v>
      </c>
      <c r="H156" s="166"/>
      <c r="I156" s="166"/>
      <c r="J156" s="166"/>
      <c r="K156" s="166">
        <v>11</v>
      </c>
      <c r="L156" s="166">
        <v>2.6</v>
      </c>
      <c r="M156" s="166">
        <v>20.8</v>
      </c>
      <c r="N156" s="166">
        <v>4</v>
      </c>
      <c r="O156" s="166" t="s">
        <v>1597</v>
      </c>
      <c r="P156" s="166">
        <v>5.5E-2</v>
      </c>
      <c r="Q156" s="166" t="s">
        <v>1595</v>
      </c>
      <c r="R156" s="166">
        <v>5.5E-2</v>
      </c>
      <c r="S156" s="166" t="s">
        <v>1602</v>
      </c>
      <c r="T156" s="166">
        <v>2.5999999999999999E-2</v>
      </c>
      <c r="U156" s="166" t="s">
        <v>337</v>
      </c>
      <c r="V156" s="166">
        <v>0.20799999999999999</v>
      </c>
      <c r="W156" s="166" t="s">
        <v>338</v>
      </c>
      <c r="X156" s="166">
        <v>0.04</v>
      </c>
      <c r="Y156" s="166" t="s">
        <v>1647</v>
      </c>
      <c r="Z156" s="166">
        <v>2.4E-2</v>
      </c>
      <c r="AA156" s="166"/>
      <c r="AB156" s="166"/>
      <c r="AC156" s="166"/>
      <c r="AD156" s="166"/>
      <c r="AE156" s="166"/>
      <c r="AF156" s="166"/>
      <c r="AG156" s="166"/>
      <c r="AH156" s="166"/>
      <c r="AK156" s="1"/>
    </row>
    <row r="157" spans="1:39" ht="20.100000000000001" customHeight="1" x14ac:dyDescent="0.2">
      <c r="D157" s="166" t="s">
        <v>1635</v>
      </c>
      <c r="E157" s="166" t="s">
        <v>1723</v>
      </c>
      <c r="F157" s="166" t="s">
        <v>370</v>
      </c>
      <c r="G157" s="166">
        <v>1</v>
      </c>
      <c r="H157" s="166"/>
      <c r="I157" s="166"/>
      <c r="J157" s="166"/>
      <c r="K157" s="166">
        <v>12</v>
      </c>
      <c r="L157" s="166">
        <v>5.2</v>
      </c>
      <c r="M157" s="166">
        <v>14.1</v>
      </c>
      <c r="N157" s="166">
        <v>9.6</v>
      </c>
      <c r="O157" s="166" t="s">
        <v>337</v>
      </c>
      <c r="P157" s="166">
        <v>0.14099999999999999</v>
      </c>
      <c r="Q157" s="166" t="s">
        <v>338</v>
      </c>
      <c r="R157" s="166">
        <v>9.6000000000000002E-2</v>
      </c>
      <c r="S157" s="166" t="s">
        <v>1597</v>
      </c>
      <c r="T157" s="166">
        <v>0.06</v>
      </c>
      <c r="U157" s="166" t="s">
        <v>1595</v>
      </c>
      <c r="V157" s="166">
        <v>0.06</v>
      </c>
      <c r="W157" s="166" t="s">
        <v>1602</v>
      </c>
      <c r="X157" s="166">
        <v>5.1999999999999998E-2</v>
      </c>
      <c r="Y157" s="166" t="s">
        <v>1647</v>
      </c>
      <c r="Z157" s="166">
        <v>1.2E-2</v>
      </c>
      <c r="AA157" s="166" t="s">
        <v>1648</v>
      </c>
      <c r="AB157" s="166">
        <v>8.0000000000000004E-4</v>
      </c>
      <c r="AC157" s="166" t="s">
        <v>1650</v>
      </c>
      <c r="AD157" s="166">
        <v>6.9999999999999999E-4</v>
      </c>
      <c r="AE157" s="166" t="s">
        <v>1649</v>
      </c>
      <c r="AF157" s="166">
        <v>5.9999999999999995E-4</v>
      </c>
      <c r="AG157" s="166" t="s">
        <v>1652</v>
      </c>
      <c r="AH157" s="166">
        <v>2.0000000000000001E-4</v>
      </c>
      <c r="AK157" s="1"/>
    </row>
    <row r="158" spans="1:39" ht="20.100000000000001" customHeight="1" x14ac:dyDescent="0.2">
      <c r="D158" s="166" t="s">
        <v>1635</v>
      </c>
      <c r="E158" s="166" t="s">
        <v>1724</v>
      </c>
      <c r="F158" s="166" t="s">
        <v>370</v>
      </c>
      <c r="G158" s="166">
        <v>1</v>
      </c>
      <c r="H158" s="166"/>
      <c r="I158" s="166"/>
      <c r="J158" s="166"/>
      <c r="K158" s="166">
        <v>25</v>
      </c>
      <c r="L158" s="166"/>
      <c r="M158" s="166"/>
      <c r="N158" s="166">
        <v>12.8</v>
      </c>
      <c r="O158" s="166" t="s">
        <v>1590</v>
      </c>
      <c r="P158" s="166">
        <v>0.53333299999999995</v>
      </c>
      <c r="Q158" s="166" t="s">
        <v>1592</v>
      </c>
      <c r="R158" s="166">
        <v>0.40949600000000003</v>
      </c>
      <c r="S158" s="166" t="s">
        <v>1648</v>
      </c>
      <c r="T158" s="166">
        <v>1E-3</v>
      </c>
      <c r="U158" s="166" t="s">
        <v>1649</v>
      </c>
      <c r="V158" s="166">
        <v>1E-3</v>
      </c>
      <c r="W158" s="166" t="s">
        <v>1652</v>
      </c>
      <c r="X158" s="166">
        <v>1E-4</v>
      </c>
      <c r="Y158" s="166" t="s">
        <v>1695</v>
      </c>
      <c r="Z158" s="245">
        <v>1.0000000000000001E-5</v>
      </c>
      <c r="AA158" s="166"/>
      <c r="AB158" s="166"/>
      <c r="AC158" s="166"/>
      <c r="AD158" s="166"/>
      <c r="AE158" s="166"/>
      <c r="AF158" s="166"/>
      <c r="AG158" s="166"/>
      <c r="AH158" s="166"/>
      <c r="AK158" s="1"/>
    </row>
    <row r="159" spans="1:39" ht="20.100000000000001" customHeight="1" x14ac:dyDescent="0.2">
      <c r="D159" s="166" t="s">
        <v>1725</v>
      </c>
      <c r="E159" s="166" t="s">
        <v>1726</v>
      </c>
      <c r="F159" s="166" t="s">
        <v>370</v>
      </c>
      <c r="G159" s="166">
        <v>1</v>
      </c>
      <c r="H159" s="166"/>
      <c r="I159" s="166"/>
      <c r="J159" s="166"/>
      <c r="K159" s="166"/>
      <c r="L159" s="166">
        <v>8.8000000000000007</v>
      </c>
      <c r="M159" s="166"/>
      <c r="N159" s="166">
        <v>11</v>
      </c>
      <c r="O159" s="166" t="s">
        <v>1610</v>
      </c>
      <c r="P159" s="166">
        <v>1</v>
      </c>
      <c r="Q159" s="166"/>
      <c r="R159" s="166"/>
      <c r="S159" s="166"/>
      <c r="T159" s="166"/>
      <c r="U159" s="166"/>
      <c r="V159" s="166"/>
      <c r="W159" s="166"/>
      <c r="X159" s="166"/>
      <c r="Y159" s="166"/>
      <c r="Z159" s="166"/>
      <c r="AA159" s="166"/>
      <c r="AB159" s="166"/>
      <c r="AC159" s="166"/>
      <c r="AD159" s="166"/>
      <c r="AE159" s="166"/>
      <c r="AF159" s="166"/>
      <c r="AG159" s="166"/>
      <c r="AH159" s="166"/>
      <c r="AK159" s="1"/>
    </row>
    <row r="160" spans="1:39" ht="20.100000000000001" customHeight="1" x14ac:dyDescent="0.2">
      <c r="D160" s="166" t="s">
        <v>1664</v>
      </c>
      <c r="E160" s="166" t="s">
        <v>1727</v>
      </c>
      <c r="F160" s="166" t="s">
        <v>370</v>
      </c>
      <c r="G160" s="166">
        <v>1</v>
      </c>
      <c r="H160" s="166"/>
      <c r="I160" s="166"/>
      <c r="J160" s="166"/>
      <c r="K160" s="166">
        <v>10</v>
      </c>
      <c r="L160" s="166">
        <v>21.9</v>
      </c>
      <c r="M160" s="166">
        <v>0</v>
      </c>
      <c r="N160" s="166">
        <v>2</v>
      </c>
      <c r="O160" s="166" t="s">
        <v>1586</v>
      </c>
      <c r="P160" s="166">
        <v>1</v>
      </c>
      <c r="Q160" s="166" t="s">
        <v>1648</v>
      </c>
      <c r="R160" s="166">
        <v>0.01</v>
      </c>
      <c r="S160" s="166"/>
      <c r="T160" s="166"/>
      <c r="U160" s="166"/>
      <c r="V160" s="166"/>
      <c r="W160" s="166"/>
      <c r="X160" s="166"/>
      <c r="Y160" s="166"/>
      <c r="Z160" s="166"/>
      <c r="AA160" s="166"/>
      <c r="AB160" s="166"/>
      <c r="AC160" s="166"/>
      <c r="AD160" s="166"/>
      <c r="AE160" s="166"/>
      <c r="AF160" s="166"/>
      <c r="AG160" s="166"/>
      <c r="AH160" s="166"/>
      <c r="AK160" s="1"/>
    </row>
    <row r="161" spans="4:37" ht="20.100000000000001" customHeight="1" x14ac:dyDescent="0.2">
      <c r="D161" s="166" t="s">
        <v>1728</v>
      </c>
      <c r="E161" s="166" t="s">
        <v>1729</v>
      </c>
      <c r="F161" s="166" t="s">
        <v>370</v>
      </c>
      <c r="G161" s="166">
        <v>1</v>
      </c>
      <c r="H161" s="166"/>
      <c r="I161" s="166"/>
      <c r="J161" s="166"/>
      <c r="K161" s="166">
        <v>21</v>
      </c>
      <c r="L161" s="166">
        <v>0.86</v>
      </c>
      <c r="M161" s="166">
        <v>5.8</v>
      </c>
      <c r="N161" s="166">
        <v>4.2</v>
      </c>
      <c r="O161" s="166" t="s">
        <v>1600</v>
      </c>
      <c r="P161" s="166">
        <v>0.21</v>
      </c>
      <c r="Q161" s="166" t="s">
        <v>337</v>
      </c>
      <c r="R161" s="166">
        <v>5.8000000000000003E-2</v>
      </c>
      <c r="S161" s="166" t="s">
        <v>338</v>
      </c>
      <c r="T161" s="166">
        <v>4.2000000000000003E-2</v>
      </c>
      <c r="U161" s="166" t="s">
        <v>1602</v>
      </c>
      <c r="V161" s="166">
        <v>8.6E-3</v>
      </c>
      <c r="W161" s="166"/>
      <c r="X161" s="166"/>
      <c r="Y161" s="166"/>
      <c r="Z161" s="166"/>
      <c r="AA161" s="166"/>
      <c r="AB161" s="166"/>
      <c r="AC161" s="166"/>
      <c r="AD161" s="166"/>
      <c r="AE161" s="166"/>
      <c r="AF161" s="166"/>
      <c r="AG161" s="166"/>
      <c r="AH161" s="166"/>
      <c r="AK161" s="1"/>
    </row>
    <row r="162" spans="4:37" ht="20.100000000000001" customHeight="1" x14ac:dyDescent="0.2">
      <c r="D162" s="166" t="s">
        <v>1666</v>
      </c>
      <c r="E162" s="166" t="s">
        <v>1730</v>
      </c>
      <c r="F162" s="166" t="s">
        <v>370</v>
      </c>
      <c r="G162" s="166">
        <v>1</v>
      </c>
      <c r="H162" s="166"/>
      <c r="I162" s="166"/>
      <c r="J162" s="166"/>
      <c r="K162" s="166"/>
      <c r="L162" s="166">
        <v>8.8000000000000007</v>
      </c>
      <c r="M162" s="166"/>
      <c r="N162" s="166">
        <v>11</v>
      </c>
      <c r="O162" s="166" t="s">
        <v>1610</v>
      </c>
      <c r="P162" s="166">
        <v>1</v>
      </c>
      <c r="Q162" s="166"/>
      <c r="R162" s="166"/>
      <c r="S162" s="166"/>
      <c r="T162" s="166"/>
      <c r="U162" s="166"/>
      <c r="V162" s="166"/>
      <c r="W162" s="166"/>
      <c r="X162" s="166"/>
      <c r="Y162" s="166"/>
      <c r="Z162" s="166"/>
      <c r="AA162" s="166"/>
      <c r="AB162" s="166"/>
      <c r="AC162" s="166"/>
      <c r="AD162" s="166"/>
      <c r="AE162" s="166"/>
      <c r="AF162" s="166"/>
      <c r="AG162" s="166"/>
      <c r="AH162" s="166"/>
      <c r="AK162" s="1"/>
    </row>
    <row r="163" spans="4:37" ht="20.100000000000001" customHeight="1" x14ac:dyDescent="0.2">
      <c r="D163" s="166" t="s">
        <v>1731</v>
      </c>
      <c r="E163" s="166" t="s">
        <v>1732</v>
      </c>
      <c r="F163" s="166" t="s">
        <v>370</v>
      </c>
      <c r="G163" s="166">
        <v>1</v>
      </c>
      <c r="H163" s="166"/>
      <c r="I163" s="166"/>
      <c r="J163" s="166"/>
      <c r="K163" s="166">
        <v>82.35</v>
      </c>
      <c r="L163" s="166"/>
      <c r="M163" s="166"/>
      <c r="N163" s="166"/>
      <c r="O163" s="166" t="s">
        <v>341</v>
      </c>
      <c r="P163" s="166">
        <v>1</v>
      </c>
      <c r="Q163" s="166"/>
      <c r="R163" s="166"/>
      <c r="S163" s="166"/>
      <c r="T163" s="166"/>
      <c r="U163" s="166"/>
      <c r="V163" s="166"/>
      <c r="W163" s="166"/>
      <c r="X163" s="166"/>
      <c r="Y163" s="166"/>
      <c r="Z163" s="166"/>
      <c r="AA163" s="166"/>
      <c r="AB163" s="166"/>
      <c r="AC163" s="166"/>
      <c r="AD163" s="166"/>
      <c r="AE163" s="166"/>
      <c r="AF163" s="166"/>
      <c r="AG163" s="166"/>
      <c r="AH163" s="166"/>
      <c r="AK163" s="1"/>
    </row>
    <row r="164" spans="4:37" ht="20.100000000000001" customHeight="1" x14ac:dyDescent="0.2">
      <c r="D164" s="166" t="s">
        <v>1666</v>
      </c>
      <c r="E164" s="166" t="s">
        <v>1733</v>
      </c>
      <c r="F164" s="166" t="s">
        <v>370</v>
      </c>
      <c r="G164" s="166">
        <v>1</v>
      </c>
      <c r="H164" s="166" t="s">
        <v>1685</v>
      </c>
      <c r="I164" s="166"/>
      <c r="J164" s="166"/>
      <c r="K164" s="166">
        <v>46</v>
      </c>
      <c r="L164" s="166"/>
      <c r="M164" s="166"/>
      <c r="N164" s="166"/>
      <c r="O164" s="166" t="s">
        <v>325</v>
      </c>
      <c r="P164" s="166">
        <v>1</v>
      </c>
      <c r="Q164" s="166"/>
      <c r="R164" s="166"/>
      <c r="S164" s="166"/>
      <c r="T164" s="166"/>
      <c r="U164" s="166"/>
      <c r="V164" s="166"/>
      <c r="W164" s="166"/>
      <c r="X164" s="166"/>
      <c r="Y164" s="166"/>
      <c r="Z164" s="166"/>
      <c r="AA164" s="166"/>
      <c r="AB164" s="166"/>
      <c r="AC164" s="166"/>
      <c r="AD164" s="166"/>
      <c r="AE164" s="166"/>
      <c r="AF164" s="166"/>
      <c r="AG164" s="166"/>
      <c r="AH164" s="166"/>
      <c r="AK164" s="1"/>
    </row>
    <row r="165" spans="4:37" ht="20.100000000000001" customHeight="1" x14ac:dyDescent="0.2">
      <c r="D165" s="166" t="s">
        <v>1734</v>
      </c>
      <c r="E165" s="166" t="s">
        <v>1735</v>
      </c>
      <c r="F165" s="166" t="s">
        <v>370</v>
      </c>
      <c r="G165" s="166">
        <v>1</v>
      </c>
      <c r="H165" s="166" t="s">
        <v>1685</v>
      </c>
      <c r="I165" s="166"/>
      <c r="J165" s="166"/>
      <c r="K165" s="166">
        <v>45.54</v>
      </c>
      <c r="L165" s="166"/>
      <c r="M165" s="166"/>
      <c r="N165" s="166"/>
      <c r="O165" s="166" t="s">
        <v>325</v>
      </c>
      <c r="P165" s="166">
        <v>0.99</v>
      </c>
      <c r="Q165" s="166" t="s">
        <v>1736</v>
      </c>
      <c r="R165" s="166">
        <v>0.01</v>
      </c>
      <c r="S165" s="166"/>
      <c r="T165" s="166"/>
      <c r="U165" s="166"/>
      <c r="V165" s="166"/>
      <c r="W165" s="166"/>
      <c r="X165" s="166"/>
      <c r="Y165" s="166"/>
      <c r="Z165" s="166"/>
      <c r="AA165" s="166"/>
      <c r="AB165" s="166"/>
      <c r="AC165" s="166"/>
      <c r="AD165" s="166"/>
      <c r="AE165" s="166"/>
      <c r="AF165" s="166"/>
      <c r="AG165" s="166"/>
      <c r="AH165" s="166"/>
      <c r="AK165" s="1"/>
    </row>
    <row r="166" spans="4:37" ht="20.100000000000001" customHeight="1" x14ac:dyDescent="0.2">
      <c r="D166" s="166" t="s">
        <v>1737</v>
      </c>
      <c r="E166" s="166" t="s">
        <v>1738</v>
      </c>
      <c r="F166" s="166" t="s">
        <v>370</v>
      </c>
      <c r="G166" s="166">
        <v>1</v>
      </c>
      <c r="H166" s="166"/>
      <c r="I166" s="166"/>
      <c r="J166" s="166"/>
      <c r="K166" s="166"/>
      <c r="L166" s="166"/>
      <c r="M166" s="166">
        <v>50</v>
      </c>
      <c r="N166" s="166"/>
      <c r="O166" s="166" t="s">
        <v>1608</v>
      </c>
      <c r="P166" s="166">
        <v>1</v>
      </c>
      <c r="Q166" s="166"/>
      <c r="R166" s="166"/>
      <c r="S166" s="166"/>
      <c r="T166" s="166"/>
      <c r="U166" s="166"/>
      <c r="V166" s="166"/>
      <c r="W166" s="166"/>
      <c r="X166" s="166"/>
      <c r="Y166" s="166"/>
      <c r="Z166" s="166"/>
      <c r="AA166" s="166"/>
      <c r="AB166" s="166"/>
      <c r="AC166" s="166"/>
      <c r="AD166" s="166"/>
      <c r="AE166" s="166"/>
      <c r="AF166" s="166"/>
      <c r="AG166" s="166"/>
      <c r="AH166" s="166"/>
      <c r="AK166" s="1"/>
    </row>
    <row r="167" spans="4:37" ht="20.100000000000001" customHeight="1" x14ac:dyDescent="0.2">
      <c r="D167" s="166" t="s">
        <v>1739</v>
      </c>
      <c r="E167" s="166" t="s">
        <v>1740</v>
      </c>
      <c r="F167" s="166" t="s">
        <v>370</v>
      </c>
      <c r="G167" s="166">
        <v>1</v>
      </c>
      <c r="H167" s="166"/>
      <c r="I167" s="166"/>
      <c r="J167" s="166"/>
      <c r="K167" s="166">
        <v>10</v>
      </c>
      <c r="L167" s="166">
        <v>21.9</v>
      </c>
      <c r="M167" s="166"/>
      <c r="N167" s="166"/>
      <c r="O167" s="166" t="s">
        <v>1586</v>
      </c>
      <c r="P167" s="166">
        <v>1</v>
      </c>
      <c r="Q167" s="166"/>
      <c r="R167" s="166"/>
      <c r="S167" s="166"/>
      <c r="T167" s="166"/>
      <c r="U167" s="166"/>
      <c r="V167" s="166"/>
      <c r="W167" s="166"/>
      <c r="X167" s="166"/>
      <c r="Y167" s="166"/>
      <c r="Z167" s="166"/>
      <c r="AA167" s="166"/>
      <c r="AB167" s="166"/>
      <c r="AC167" s="166"/>
      <c r="AD167" s="166"/>
      <c r="AE167" s="166"/>
      <c r="AF167" s="166"/>
      <c r="AG167" s="166"/>
      <c r="AH167" s="166"/>
      <c r="AK167" s="1"/>
    </row>
    <row r="168" spans="4:37" ht="20.100000000000001" customHeight="1" x14ac:dyDescent="0.2">
      <c r="D168" s="166" t="s">
        <v>1635</v>
      </c>
      <c r="E168" s="166" t="s">
        <v>1741</v>
      </c>
      <c r="F168" s="166" t="s">
        <v>370</v>
      </c>
      <c r="G168" s="166">
        <v>1</v>
      </c>
      <c r="H168" s="166"/>
      <c r="I168" s="166"/>
      <c r="J168" s="166"/>
      <c r="K168" s="166">
        <v>26</v>
      </c>
      <c r="L168" s="166"/>
      <c r="M168" s="166"/>
      <c r="N168" s="166">
        <v>13</v>
      </c>
      <c r="O168" s="166" t="s">
        <v>1590</v>
      </c>
      <c r="P168" s="166">
        <v>0.54166700000000001</v>
      </c>
      <c r="Q168" s="166" t="s">
        <v>1592</v>
      </c>
      <c r="R168" s="166">
        <v>0.43397599999999997</v>
      </c>
      <c r="S168" s="166"/>
      <c r="T168" s="166"/>
      <c r="U168" s="166"/>
      <c r="V168" s="166"/>
      <c r="W168" s="166"/>
      <c r="X168" s="166"/>
      <c r="Y168" s="166"/>
      <c r="Z168" s="166"/>
      <c r="AA168" s="166"/>
      <c r="AB168" s="166"/>
      <c r="AC168" s="166"/>
      <c r="AD168" s="166"/>
      <c r="AE168" s="166"/>
      <c r="AF168" s="166"/>
      <c r="AG168" s="166"/>
      <c r="AH168" s="166"/>
      <c r="AK168" s="1"/>
    </row>
    <row r="169" spans="4:37" ht="20.100000000000001" customHeight="1" x14ac:dyDescent="0.2">
      <c r="D169" s="166" t="s">
        <v>1742</v>
      </c>
      <c r="E169" s="166" t="s">
        <v>1743</v>
      </c>
      <c r="F169" s="166" t="s">
        <v>621</v>
      </c>
      <c r="G169" s="166">
        <v>1.2350000000000001</v>
      </c>
      <c r="H169" s="166"/>
      <c r="I169" s="166"/>
      <c r="J169" s="166"/>
      <c r="K169" s="166">
        <v>26.6</v>
      </c>
      <c r="L169" s="166"/>
      <c r="M169" s="166"/>
      <c r="N169" s="166">
        <v>6.7</v>
      </c>
      <c r="O169" s="166" t="s">
        <v>325</v>
      </c>
      <c r="P169" s="166">
        <v>0.45081500000000002</v>
      </c>
      <c r="Q169" s="166" t="s">
        <v>1590</v>
      </c>
      <c r="R169" s="166">
        <v>0.279167</v>
      </c>
      <c r="S169" s="166"/>
      <c r="T169" s="166"/>
      <c r="U169" s="166"/>
      <c r="V169" s="166"/>
      <c r="W169" s="166"/>
      <c r="X169" s="166"/>
      <c r="Y169" s="166"/>
      <c r="Z169" s="166"/>
      <c r="AA169" s="166"/>
      <c r="AB169" s="166"/>
      <c r="AC169" s="166"/>
      <c r="AD169" s="166"/>
      <c r="AE169" s="166"/>
      <c r="AF169" s="166"/>
      <c r="AG169" s="166"/>
      <c r="AH169" s="166"/>
      <c r="AK169" s="1"/>
    </row>
    <row r="170" spans="4:37" ht="20.100000000000001" customHeight="1" x14ac:dyDescent="0.2">
      <c r="D170" s="166" t="s">
        <v>1742</v>
      </c>
      <c r="E170" s="166" t="s">
        <v>1744</v>
      </c>
      <c r="F170" s="166" t="s">
        <v>621</v>
      </c>
      <c r="G170" s="166">
        <v>1.28</v>
      </c>
      <c r="H170" s="166"/>
      <c r="I170" s="166"/>
      <c r="J170" s="166"/>
      <c r="K170" s="166">
        <v>0</v>
      </c>
      <c r="L170" s="166"/>
      <c r="M170" s="166"/>
      <c r="N170" s="166"/>
      <c r="O170" s="166" t="s">
        <v>325</v>
      </c>
      <c r="P170" s="166">
        <v>0.65217400000000003</v>
      </c>
      <c r="Q170" s="166"/>
      <c r="R170" s="166"/>
      <c r="S170" s="166"/>
      <c r="T170" s="166"/>
      <c r="U170" s="166"/>
      <c r="V170" s="166"/>
      <c r="W170" s="166"/>
      <c r="X170" s="166"/>
      <c r="Y170" s="166"/>
      <c r="Z170" s="166"/>
      <c r="AA170" s="166"/>
      <c r="AB170" s="166"/>
      <c r="AC170" s="166"/>
      <c r="AD170" s="166"/>
      <c r="AE170" s="166"/>
      <c r="AF170" s="166"/>
      <c r="AG170" s="166"/>
      <c r="AH170" s="166"/>
      <c r="AK170" s="1"/>
    </row>
    <row r="171" spans="4:37" ht="20.100000000000001" customHeight="1" x14ac:dyDescent="0.2">
      <c r="D171" s="166" t="s">
        <v>1745</v>
      </c>
      <c r="E171" s="166" t="s">
        <v>1746</v>
      </c>
      <c r="F171" s="166" t="s">
        <v>370</v>
      </c>
      <c r="G171" s="166">
        <v>1</v>
      </c>
      <c r="H171" s="166"/>
      <c r="I171" s="166"/>
      <c r="J171" s="166"/>
      <c r="K171" s="166">
        <v>36</v>
      </c>
      <c r="L171" s="166"/>
      <c r="M171" s="166"/>
      <c r="N171" s="166">
        <v>9.6</v>
      </c>
      <c r="O171" s="166" t="s">
        <v>1600</v>
      </c>
      <c r="P171" s="166">
        <v>0.36</v>
      </c>
      <c r="Q171" s="166" t="s">
        <v>338</v>
      </c>
      <c r="R171" s="166">
        <v>9.6000000000000002E-2</v>
      </c>
      <c r="S171" s="166"/>
      <c r="T171" s="166"/>
      <c r="U171" s="166"/>
      <c r="V171" s="166"/>
      <c r="W171" s="166"/>
      <c r="X171" s="166"/>
      <c r="Y171" s="166"/>
      <c r="Z171" s="166"/>
      <c r="AA171" s="166"/>
      <c r="AB171" s="166"/>
      <c r="AC171" s="166"/>
      <c r="AD171" s="166"/>
      <c r="AE171" s="166"/>
      <c r="AF171" s="166"/>
      <c r="AG171" s="166"/>
      <c r="AH171" s="166"/>
      <c r="AK171" s="1"/>
    </row>
    <row r="172" spans="4:37" ht="20.100000000000001" customHeight="1" x14ac:dyDescent="0.2">
      <c r="D172" s="166" t="s">
        <v>1660</v>
      </c>
      <c r="E172" s="166" t="s">
        <v>1747</v>
      </c>
      <c r="F172" s="166" t="s">
        <v>621</v>
      </c>
      <c r="G172" s="166">
        <v>1.3</v>
      </c>
      <c r="H172" s="166"/>
      <c r="I172" s="166"/>
      <c r="J172" s="166"/>
      <c r="K172" s="166">
        <v>20</v>
      </c>
      <c r="L172" s="166">
        <v>8.73</v>
      </c>
      <c r="M172" s="166">
        <v>16.600000000000001</v>
      </c>
      <c r="N172" s="166"/>
      <c r="O172" s="166" t="s">
        <v>1600</v>
      </c>
      <c r="P172" s="166">
        <v>0.2</v>
      </c>
      <c r="Q172" s="166" t="s">
        <v>1602</v>
      </c>
      <c r="R172" s="166">
        <v>8.7279999999999996E-2</v>
      </c>
      <c r="S172" s="166" t="s">
        <v>337</v>
      </c>
      <c r="T172" s="166">
        <v>0.16602</v>
      </c>
      <c r="U172" s="166"/>
      <c r="V172" s="166"/>
      <c r="W172" s="166"/>
      <c r="X172" s="166"/>
      <c r="Y172" s="166"/>
      <c r="Z172" s="166"/>
      <c r="AA172" s="166"/>
      <c r="AB172" s="166"/>
      <c r="AC172" s="166"/>
      <c r="AD172" s="166"/>
      <c r="AE172" s="166"/>
      <c r="AF172" s="166"/>
      <c r="AG172" s="166"/>
      <c r="AH172" s="166"/>
      <c r="AK172" s="1"/>
    </row>
    <row r="173" spans="4:37" ht="20.100000000000001" customHeight="1" x14ac:dyDescent="0.2">
      <c r="D173" s="166" t="s">
        <v>1748</v>
      </c>
      <c r="E173" s="166" t="s">
        <v>1749</v>
      </c>
      <c r="F173" s="166" t="s">
        <v>370</v>
      </c>
      <c r="G173" s="166">
        <v>1</v>
      </c>
      <c r="H173" s="166"/>
      <c r="I173" s="166"/>
      <c r="J173" s="166"/>
      <c r="K173" s="166">
        <v>15</v>
      </c>
      <c r="L173" s="166"/>
      <c r="M173" s="166">
        <v>9.9600000000000009</v>
      </c>
      <c r="N173" s="166"/>
      <c r="O173" s="166" t="s">
        <v>1597</v>
      </c>
      <c r="P173" s="166">
        <v>8.4737000000000007E-2</v>
      </c>
      <c r="Q173" s="166" t="s">
        <v>337</v>
      </c>
      <c r="R173" s="166">
        <v>9.9612000000000006E-2</v>
      </c>
      <c r="S173" s="166" t="s">
        <v>335</v>
      </c>
      <c r="T173" s="166">
        <v>0.42105300000000001</v>
      </c>
      <c r="U173" s="166" t="s">
        <v>1647</v>
      </c>
      <c r="V173" s="166">
        <v>5.0000000000000001E-3</v>
      </c>
      <c r="W173" s="166" t="s">
        <v>1652</v>
      </c>
      <c r="X173" s="166">
        <v>2.0000000000000001E-4</v>
      </c>
      <c r="Y173" s="166"/>
      <c r="Z173" s="166"/>
      <c r="AA173" s="166"/>
      <c r="AB173" s="166"/>
      <c r="AC173" s="166"/>
      <c r="AD173" s="166"/>
      <c r="AE173" s="166"/>
      <c r="AF173" s="166"/>
      <c r="AG173" s="166"/>
      <c r="AH173" s="166"/>
      <c r="AK173" s="1"/>
    </row>
    <row r="174" spans="4:37" ht="20.100000000000001" customHeight="1" x14ac:dyDescent="0.2">
      <c r="D174" s="166" t="s">
        <v>1666</v>
      </c>
      <c r="E174" s="166" t="s">
        <v>1750</v>
      </c>
      <c r="F174" s="166" t="s">
        <v>370</v>
      </c>
      <c r="G174" s="166">
        <v>1</v>
      </c>
      <c r="H174" s="166"/>
      <c r="I174" s="166"/>
      <c r="J174" s="166"/>
      <c r="K174" s="166">
        <v>15.1</v>
      </c>
      <c r="L174" s="166">
        <v>4.4000000000000004</v>
      </c>
      <c r="M174" s="166">
        <v>11.5</v>
      </c>
      <c r="N174" s="166">
        <v>13.6</v>
      </c>
      <c r="O174" s="166" t="s">
        <v>1600</v>
      </c>
      <c r="P174" s="166">
        <v>0.151</v>
      </c>
      <c r="Q174" s="166" t="s">
        <v>1602</v>
      </c>
      <c r="R174" s="166">
        <v>4.3999999999999997E-2</v>
      </c>
      <c r="S174" s="166" t="s">
        <v>337</v>
      </c>
      <c r="T174" s="166">
        <v>0.115</v>
      </c>
      <c r="U174" s="166" t="s">
        <v>338</v>
      </c>
      <c r="V174" s="166">
        <v>0.13600000000000001</v>
      </c>
      <c r="W174" s="166"/>
      <c r="X174" s="166"/>
      <c r="Y174" s="166"/>
      <c r="Z174" s="166"/>
      <c r="AA174" s="166"/>
      <c r="AB174" s="166"/>
      <c r="AC174" s="166"/>
      <c r="AD174" s="166"/>
      <c r="AE174" s="166"/>
      <c r="AF174" s="166"/>
      <c r="AG174" s="166"/>
      <c r="AH174" s="166"/>
      <c r="AK174" s="1"/>
    </row>
    <row r="175" spans="4:37" ht="20.100000000000001" customHeight="1" x14ac:dyDescent="0.2">
      <c r="D175" s="166" t="s">
        <v>1666</v>
      </c>
      <c r="E175" s="166" t="s">
        <v>1751</v>
      </c>
      <c r="F175" s="166" t="s">
        <v>370</v>
      </c>
      <c r="G175" s="166">
        <v>1</v>
      </c>
      <c r="H175" s="166"/>
      <c r="I175" s="166"/>
      <c r="J175" s="166"/>
      <c r="K175" s="166">
        <v>14.6</v>
      </c>
      <c r="L175" s="166">
        <v>12.1</v>
      </c>
      <c r="M175" s="166"/>
      <c r="N175" s="166">
        <v>11.6</v>
      </c>
      <c r="O175" s="166" t="s">
        <v>1600</v>
      </c>
      <c r="P175" s="166">
        <v>0.14599999999999999</v>
      </c>
      <c r="Q175" s="166" t="s">
        <v>1602</v>
      </c>
      <c r="R175" s="166">
        <v>0.121</v>
      </c>
      <c r="S175" s="166" t="s">
        <v>338</v>
      </c>
      <c r="T175" s="166">
        <v>0.11600000000000001</v>
      </c>
      <c r="U175" s="166"/>
      <c r="V175" s="166"/>
      <c r="W175" s="166"/>
      <c r="X175" s="166"/>
      <c r="Y175" s="166"/>
      <c r="Z175" s="166"/>
      <c r="AA175" s="166"/>
      <c r="AB175" s="166"/>
      <c r="AC175" s="166"/>
      <c r="AD175" s="166"/>
      <c r="AE175" s="166"/>
      <c r="AF175" s="166"/>
      <c r="AG175" s="166"/>
      <c r="AH175" s="166"/>
      <c r="AK175" s="1"/>
    </row>
    <row r="176" spans="4:37" ht="20.100000000000001" customHeight="1" x14ac:dyDescent="0.2">
      <c r="D176" s="166" t="s">
        <v>1666</v>
      </c>
      <c r="E176" s="166" t="s">
        <v>1752</v>
      </c>
      <c r="F176" s="166" t="s">
        <v>370</v>
      </c>
      <c r="G176" s="166">
        <v>1</v>
      </c>
      <c r="H176" s="166"/>
      <c r="I176" s="166"/>
      <c r="J176" s="166"/>
      <c r="K176" s="166">
        <v>19</v>
      </c>
      <c r="L176" s="166">
        <v>13</v>
      </c>
      <c r="M176" s="166">
        <v>0</v>
      </c>
      <c r="N176" s="166">
        <v>9</v>
      </c>
      <c r="O176" s="166" t="s">
        <v>1600</v>
      </c>
      <c r="P176" s="166">
        <v>0.19</v>
      </c>
      <c r="Q176" s="166" t="s">
        <v>1602</v>
      </c>
      <c r="R176" s="166">
        <v>0.13</v>
      </c>
      <c r="S176" s="166" t="s">
        <v>338</v>
      </c>
      <c r="T176" s="166">
        <v>0.09</v>
      </c>
      <c r="U176" s="166"/>
      <c r="V176" s="166"/>
      <c r="W176" s="166"/>
      <c r="X176" s="166"/>
      <c r="Y176" s="166"/>
      <c r="Z176" s="166"/>
      <c r="AA176" s="166"/>
      <c r="AB176" s="166"/>
      <c r="AC176" s="166"/>
      <c r="AD176" s="166"/>
      <c r="AE176" s="166"/>
      <c r="AF176" s="166"/>
      <c r="AG176" s="166"/>
      <c r="AH176" s="166"/>
      <c r="AK176" s="1"/>
    </row>
    <row r="177" spans="1:37" ht="20.100000000000001" customHeight="1" x14ac:dyDescent="0.2">
      <c r="D177" s="166" t="s">
        <v>1666</v>
      </c>
      <c r="E177" s="166" t="s">
        <v>1753</v>
      </c>
      <c r="F177" s="166" t="s">
        <v>370</v>
      </c>
      <c r="G177" s="166">
        <v>1</v>
      </c>
      <c r="H177" s="166"/>
      <c r="I177" s="166"/>
      <c r="J177" s="166"/>
      <c r="K177" s="166">
        <v>23.8</v>
      </c>
      <c r="L177" s="166">
        <v>3.7</v>
      </c>
      <c r="M177" s="166">
        <v>13</v>
      </c>
      <c r="N177" s="166">
        <v>4.0999999999999996</v>
      </c>
      <c r="O177" s="166" t="s">
        <v>1600</v>
      </c>
      <c r="P177" s="166">
        <v>0.23799999999999999</v>
      </c>
      <c r="Q177" s="166" t="s">
        <v>1602</v>
      </c>
      <c r="R177" s="166">
        <v>3.6999999999999998E-2</v>
      </c>
      <c r="S177" s="166" t="s">
        <v>337</v>
      </c>
      <c r="T177" s="166">
        <v>0.13</v>
      </c>
      <c r="U177" s="166" t="s">
        <v>338</v>
      </c>
      <c r="V177" s="166">
        <v>4.1000000000000002E-2</v>
      </c>
      <c r="W177" s="166"/>
      <c r="X177" s="166"/>
      <c r="Y177" s="166"/>
      <c r="Z177" s="166"/>
      <c r="AA177" s="166"/>
      <c r="AB177" s="166"/>
      <c r="AC177" s="166"/>
      <c r="AD177" s="166"/>
      <c r="AE177" s="166"/>
      <c r="AF177" s="166"/>
      <c r="AG177" s="166"/>
      <c r="AH177" s="166"/>
      <c r="AK177" s="1"/>
    </row>
    <row r="178" spans="1:37" ht="20.100000000000001" customHeight="1" x14ac:dyDescent="0.2">
      <c r="D178" s="166" t="s">
        <v>1666</v>
      </c>
      <c r="E178" s="166" t="s">
        <v>1754</v>
      </c>
      <c r="F178" s="166" t="s">
        <v>370</v>
      </c>
      <c r="G178" s="166">
        <v>1</v>
      </c>
      <c r="H178" s="166"/>
      <c r="I178" s="166"/>
      <c r="J178" s="166"/>
      <c r="K178" s="166">
        <v>32.799999999999997</v>
      </c>
      <c r="L178" s="166"/>
      <c r="M178" s="166">
        <v>11</v>
      </c>
      <c r="N178" s="166">
        <v>2.9</v>
      </c>
      <c r="O178" s="166" t="s">
        <v>325</v>
      </c>
      <c r="P178" s="166">
        <v>0.66086999999999996</v>
      </c>
      <c r="Q178" s="166" t="s">
        <v>1595</v>
      </c>
      <c r="R178" s="166">
        <v>2.4E-2</v>
      </c>
      <c r="S178" s="166" t="s">
        <v>337</v>
      </c>
      <c r="T178" s="166">
        <v>0.11</v>
      </c>
      <c r="U178" s="166" t="s">
        <v>338</v>
      </c>
      <c r="V178" s="166">
        <v>2.9000000000000001E-2</v>
      </c>
      <c r="W178" s="166"/>
      <c r="X178" s="166"/>
      <c r="Y178" s="166"/>
      <c r="Z178" s="166"/>
      <c r="AA178" s="166"/>
      <c r="AB178" s="166"/>
      <c r="AC178" s="166"/>
      <c r="AD178" s="166"/>
      <c r="AE178" s="166"/>
      <c r="AF178" s="166"/>
      <c r="AG178" s="166"/>
      <c r="AH178" s="166"/>
      <c r="AK178" s="1"/>
    </row>
    <row r="179" spans="1:37" ht="20.100000000000001" customHeight="1" x14ac:dyDescent="0.2">
      <c r="A179" s="81" t="str">
        <f>HYPERLINK("#A1", "▲ Back to top")</f>
        <v>▲ Back to top</v>
      </c>
      <c r="D179" s="166" t="s">
        <v>1666</v>
      </c>
      <c r="E179" s="166" t="s">
        <v>1755</v>
      </c>
      <c r="F179" s="166" t="s">
        <v>370</v>
      </c>
      <c r="G179" s="166">
        <v>1</v>
      </c>
      <c r="H179" s="166"/>
      <c r="I179" s="166"/>
      <c r="J179" s="166"/>
      <c r="K179" s="166">
        <v>11.7</v>
      </c>
      <c r="L179" s="166">
        <v>4.7</v>
      </c>
      <c r="M179" s="166">
        <v>23.9</v>
      </c>
      <c r="N179" s="166">
        <v>4.5999999999999996</v>
      </c>
      <c r="O179" s="166" t="s">
        <v>1600</v>
      </c>
      <c r="P179" s="166">
        <v>0.11700000000000001</v>
      </c>
      <c r="Q179" s="166" t="s">
        <v>1602</v>
      </c>
      <c r="R179" s="166">
        <v>4.7E-2</v>
      </c>
      <c r="S179" s="166" t="s">
        <v>337</v>
      </c>
      <c r="T179" s="166">
        <v>0.23899999999999999</v>
      </c>
      <c r="U179" s="166" t="s">
        <v>338</v>
      </c>
      <c r="V179" s="166">
        <v>4.5999999999999999E-2</v>
      </c>
      <c r="W179" s="166"/>
      <c r="X179" s="166"/>
      <c r="Y179" s="166"/>
      <c r="Z179" s="166"/>
      <c r="AA179" s="166"/>
      <c r="AB179" s="166"/>
      <c r="AC179" s="166"/>
      <c r="AD179" s="166"/>
      <c r="AE179" s="166"/>
      <c r="AF179" s="166"/>
      <c r="AG179" s="166"/>
      <c r="AH179" s="166"/>
      <c r="AK179" s="1"/>
    </row>
    <row r="180" spans="1:37" ht="20.100000000000001" customHeight="1" x14ac:dyDescent="0.2">
      <c r="D180" s="166" t="s">
        <v>1664</v>
      </c>
      <c r="E180" s="166" t="s">
        <v>1756</v>
      </c>
      <c r="F180" s="166" t="s">
        <v>370</v>
      </c>
      <c r="G180" s="166">
        <v>1</v>
      </c>
      <c r="H180" s="166"/>
      <c r="I180" s="166"/>
      <c r="J180" s="166"/>
      <c r="K180" s="166"/>
      <c r="L180" s="166">
        <v>4.4000000000000004</v>
      </c>
      <c r="M180" s="166">
        <v>25</v>
      </c>
      <c r="N180" s="166">
        <v>5.5</v>
      </c>
      <c r="O180" s="166" t="s">
        <v>1610</v>
      </c>
      <c r="P180" s="166">
        <v>0.5</v>
      </c>
      <c r="Q180" s="166" t="s">
        <v>1608</v>
      </c>
      <c r="R180" s="166">
        <v>0.5</v>
      </c>
      <c r="S180" s="166"/>
      <c r="T180" s="166"/>
      <c r="U180" s="166"/>
      <c r="V180" s="166"/>
      <c r="W180" s="166"/>
      <c r="X180" s="166"/>
      <c r="Y180" s="166"/>
      <c r="Z180" s="166"/>
      <c r="AA180" s="166"/>
      <c r="AB180" s="166"/>
      <c r="AC180" s="166"/>
      <c r="AD180" s="166"/>
      <c r="AE180" s="166"/>
      <c r="AF180" s="166"/>
      <c r="AG180" s="166"/>
      <c r="AH180" s="166"/>
    </row>
    <row r="181" spans="1:37" ht="20.100000000000001" customHeight="1" x14ac:dyDescent="0.2">
      <c r="D181" s="166" t="s">
        <v>1664</v>
      </c>
      <c r="E181" s="166" t="s">
        <v>1757</v>
      </c>
      <c r="F181" s="166" t="s">
        <v>370</v>
      </c>
      <c r="G181" s="166">
        <v>1</v>
      </c>
      <c r="H181" s="166"/>
      <c r="I181" s="166"/>
      <c r="J181" s="166"/>
      <c r="K181" s="166"/>
      <c r="L181" s="166">
        <v>5.84</v>
      </c>
      <c r="M181" s="166">
        <v>16.8</v>
      </c>
      <c r="N181" s="166">
        <v>7.29</v>
      </c>
      <c r="O181" s="166" t="s">
        <v>1610</v>
      </c>
      <c r="P181" s="166">
        <v>0.66315800000000003</v>
      </c>
      <c r="Q181" s="166" t="s">
        <v>1608</v>
      </c>
      <c r="R181" s="166">
        <v>0.33600000000000002</v>
      </c>
      <c r="S181" s="166"/>
      <c r="T181" s="166"/>
      <c r="U181" s="166"/>
      <c r="V181" s="166"/>
      <c r="W181" s="166"/>
      <c r="X181" s="166"/>
      <c r="Y181" s="166"/>
      <c r="Z181" s="166"/>
      <c r="AA181" s="166"/>
      <c r="AB181" s="166"/>
      <c r="AC181" s="166"/>
      <c r="AD181" s="166"/>
      <c r="AE181" s="166"/>
      <c r="AF181" s="166"/>
      <c r="AG181" s="166"/>
      <c r="AH181" s="166"/>
    </row>
    <row r="182" spans="1:37" ht="20.100000000000001" customHeight="1" x14ac:dyDescent="0.2">
      <c r="D182" s="166" t="s">
        <v>1664</v>
      </c>
      <c r="E182" s="166" t="s">
        <v>1758</v>
      </c>
      <c r="F182" s="166" t="s">
        <v>370</v>
      </c>
      <c r="G182" s="166">
        <v>1</v>
      </c>
      <c r="H182" s="166"/>
      <c r="I182" s="166"/>
      <c r="J182" s="166"/>
      <c r="K182" s="166"/>
      <c r="L182" s="166">
        <v>6.58</v>
      </c>
      <c r="M182" s="166">
        <v>12.5</v>
      </c>
      <c r="N182" s="166">
        <v>8.2200000000000006</v>
      </c>
      <c r="O182" s="166" t="s">
        <v>1610</v>
      </c>
      <c r="P182" s="166">
        <v>0.74736800000000003</v>
      </c>
      <c r="Q182" s="166" t="s">
        <v>1608</v>
      </c>
      <c r="R182" s="166">
        <v>0.25</v>
      </c>
      <c r="S182" s="166"/>
      <c r="T182" s="166"/>
      <c r="U182" s="166"/>
      <c r="V182" s="166"/>
      <c r="W182" s="166"/>
      <c r="X182" s="166"/>
      <c r="Y182" s="166"/>
      <c r="Z182" s="166"/>
      <c r="AA182" s="166"/>
      <c r="AB182" s="166"/>
      <c r="AC182" s="166"/>
      <c r="AD182" s="166"/>
      <c r="AE182" s="166"/>
      <c r="AF182" s="166"/>
      <c r="AG182" s="166"/>
      <c r="AH182" s="166"/>
    </row>
    <row r="183" spans="1:37" ht="20.100000000000001" customHeight="1" x14ac:dyDescent="0.2">
      <c r="D183" s="166" t="s">
        <v>1664</v>
      </c>
      <c r="E183" s="166" t="s">
        <v>1759</v>
      </c>
      <c r="F183" s="166" t="s">
        <v>370</v>
      </c>
      <c r="G183" s="166">
        <v>1</v>
      </c>
      <c r="H183" s="166"/>
      <c r="I183" s="166"/>
      <c r="J183" s="166"/>
      <c r="K183" s="166"/>
      <c r="L183" s="166">
        <v>7.04</v>
      </c>
      <c r="M183" s="166">
        <v>10</v>
      </c>
      <c r="N183" s="166">
        <v>8.8000000000000007</v>
      </c>
      <c r="O183" s="166" t="s">
        <v>1610</v>
      </c>
      <c r="P183" s="166">
        <v>0.8</v>
      </c>
      <c r="Q183" s="166" t="s">
        <v>1608</v>
      </c>
      <c r="R183" s="166">
        <v>0.2</v>
      </c>
      <c r="S183" s="166"/>
      <c r="T183" s="166"/>
      <c r="U183" s="166"/>
      <c r="V183" s="166"/>
      <c r="W183" s="166"/>
      <c r="X183" s="166"/>
      <c r="Y183" s="166"/>
      <c r="Z183" s="166"/>
      <c r="AA183" s="166"/>
      <c r="AB183" s="166"/>
      <c r="AC183" s="166"/>
      <c r="AD183" s="166"/>
      <c r="AE183" s="166"/>
      <c r="AF183" s="166"/>
      <c r="AG183" s="166"/>
      <c r="AH183" s="166"/>
    </row>
    <row r="184" spans="1:37" ht="20.100000000000001" customHeight="1" x14ac:dyDescent="0.2">
      <c r="D184" s="166" t="s">
        <v>1664</v>
      </c>
      <c r="E184" s="166" t="s">
        <v>1760</v>
      </c>
      <c r="F184" s="166" t="s">
        <v>370</v>
      </c>
      <c r="G184" s="166">
        <v>1</v>
      </c>
      <c r="H184" s="166"/>
      <c r="I184" s="166"/>
      <c r="J184" s="166"/>
      <c r="K184" s="166"/>
      <c r="L184" s="166">
        <v>7.32</v>
      </c>
      <c r="M184" s="166">
        <v>8.4</v>
      </c>
      <c r="N184" s="166">
        <v>9.15</v>
      </c>
      <c r="O184" s="166" t="s">
        <v>1610</v>
      </c>
      <c r="P184" s="166">
        <v>0.83157899999999996</v>
      </c>
      <c r="Q184" s="166" t="s">
        <v>1608</v>
      </c>
      <c r="R184" s="166">
        <v>0.16800000000000001</v>
      </c>
      <c r="S184" s="166"/>
      <c r="T184" s="166"/>
      <c r="U184" s="166"/>
      <c r="V184" s="166"/>
      <c r="W184" s="166"/>
      <c r="X184" s="166"/>
      <c r="Y184" s="166"/>
      <c r="Z184" s="166"/>
      <c r="AA184" s="166"/>
      <c r="AB184" s="166"/>
      <c r="AC184" s="166"/>
      <c r="AD184" s="166"/>
      <c r="AE184" s="166"/>
      <c r="AF184" s="166"/>
      <c r="AG184" s="166"/>
      <c r="AH184" s="166"/>
    </row>
    <row r="185" spans="1:37" ht="20.100000000000001" customHeight="1" x14ac:dyDescent="0.2">
      <c r="D185" s="166" t="s">
        <v>1761</v>
      </c>
      <c r="E185" s="166" t="s">
        <v>1762</v>
      </c>
      <c r="F185" s="166" t="s">
        <v>370</v>
      </c>
      <c r="G185" s="166">
        <v>1</v>
      </c>
      <c r="H185" s="166"/>
      <c r="I185" s="166"/>
      <c r="J185" s="166"/>
      <c r="K185" s="166">
        <v>23.9</v>
      </c>
      <c r="L185" s="166"/>
      <c r="M185" s="166"/>
      <c r="N185" s="166">
        <v>10.8</v>
      </c>
      <c r="O185" s="166" t="s">
        <v>1597</v>
      </c>
      <c r="P185" s="166">
        <v>7.3999999999999996E-2</v>
      </c>
      <c r="Q185" s="166" t="s">
        <v>1595</v>
      </c>
      <c r="R185" s="166">
        <v>0.16500000000000001</v>
      </c>
      <c r="S185" s="166" t="s">
        <v>338</v>
      </c>
      <c r="T185" s="166">
        <v>0.108</v>
      </c>
      <c r="U185" s="166" t="s">
        <v>1640</v>
      </c>
      <c r="V185" s="166">
        <v>4.3999999999999997E-2</v>
      </c>
      <c r="W185" s="166"/>
      <c r="X185" s="166"/>
      <c r="Y185" s="166"/>
      <c r="Z185" s="166"/>
      <c r="AA185" s="166"/>
      <c r="AB185" s="166"/>
      <c r="AC185" s="166"/>
      <c r="AD185" s="166"/>
      <c r="AE185" s="166"/>
      <c r="AF185" s="166"/>
      <c r="AG185" s="166"/>
      <c r="AH185" s="166"/>
    </row>
    <row r="186" spans="1:37" ht="20.100000000000001" customHeight="1" x14ac:dyDescent="0.2">
      <c r="D186" s="166" t="s">
        <v>1761</v>
      </c>
      <c r="E186" s="166" t="s">
        <v>327</v>
      </c>
      <c r="F186" s="166" t="s">
        <v>370</v>
      </c>
      <c r="G186" s="166">
        <v>1</v>
      </c>
      <c r="H186" s="166"/>
      <c r="I186" s="166"/>
      <c r="J186" s="166"/>
      <c r="K186" s="166">
        <v>17.899999999999999</v>
      </c>
      <c r="L186" s="166"/>
      <c r="M186" s="166">
        <v>15</v>
      </c>
      <c r="N186" s="166">
        <v>3.6</v>
      </c>
      <c r="O186" s="166" t="s">
        <v>1597</v>
      </c>
      <c r="P186" s="166">
        <v>5.5E-2</v>
      </c>
      <c r="Q186" s="166" t="s">
        <v>1595</v>
      </c>
      <c r="R186" s="166">
        <v>0.124</v>
      </c>
      <c r="S186" s="166" t="s">
        <v>337</v>
      </c>
      <c r="T186" s="166">
        <v>0.15</v>
      </c>
      <c r="U186" s="166" t="s">
        <v>338</v>
      </c>
      <c r="V186" s="166">
        <v>3.5999999999999997E-2</v>
      </c>
      <c r="W186" s="166" t="s">
        <v>1640</v>
      </c>
      <c r="X186" s="166">
        <v>4.3999999999999997E-2</v>
      </c>
      <c r="Y186" s="166"/>
      <c r="Z186" s="166"/>
      <c r="AA186" s="166"/>
      <c r="AB186" s="166"/>
      <c r="AC186" s="166"/>
      <c r="AD186" s="166"/>
      <c r="AE186" s="166"/>
      <c r="AF186" s="166"/>
      <c r="AG186" s="166"/>
      <c r="AH186" s="166"/>
    </row>
    <row r="187" spans="1:37" ht="20.100000000000001" customHeight="1" x14ac:dyDescent="0.2">
      <c r="D187" s="166" t="s">
        <v>1761</v>
      </c>
      <c r="E187" s="166" t="s">
        <v>1763</v>
      </c>
      <c r="F187" s="166" t="s">
        <v>370</v>
      </c>
      <c r="G187" s="166">
        <v>1</v>
      </c>
      <c r="H187" s="166"/>
      <c r="I187" s="166"/>
      <c r="J187" s="166"/>
      <c r="K187" s="166">
        <v>16.899999999999999</v>
      </c>
      <c r="L187" s="166"/>
      <c r="M187" s="166">
        <v>14.4</v>
      </c>
      <c r="N187" s="166">
        <v>8.6999999999999993</v>
      </c>
      <c r="O187" s="166" t="s">
        <v>1597</v>
      </c>
      <c r="P187" s="166">
        <v>5.1999999999999998E-2</v>
      </c>
      <c r="Q187" s="166" t="s">
        <v>1595</v>
      </c>
      <c r="R187" s="166">
        <v>0.11700000000000001</v>
      </c>
      <c r="S187" s="166" t="s">
        <v>337</v>
      </c>
      <c r="T187" s="166">
        <v>0.14399999999999999</v>
      </c>
      <c r="U187" s="166" t="s">
        <v>338</v>
      </c>
      <c r="V187" s="166">
        <v>8.6999999999999994E-2</v>
      </c>
      <c r="W187" s="166" t="s">
        <v>1640</v>
      </c>
      <c r="X187" s="166">
        <v>4.3999999999999997E-2</v>
      </c>
      <c r="Y187" s="166"/>
      <c r="Z187" s="166"/>
      <c r="AA187" s="166"/>
      <c r="AB187" s="166"/>
      <c r="AC187" s="166"/>
      <c r="AD187" s="166"/>
      <c r="AE187" s="166"/>
      <c r="AF187" s="166"/>
      <c r="AG187" s="166"/>
      <c r="AH187" s="166"/>
    </row>
    <row r="188" spans="1:37" ht="20.100000000000001" customHeight="1" x14ac:dyDescent="0.2">
      <c r="D188" s="166" t="s">
        <v>1761</v>
      </c>
      <c r="E188" s="166" t="s">
        <v>1764</v>
      </c>
      <c r="F188" s="166" t="s">
        <v>370</v>
      </c>
      <c r="G188" s="166">
        <v>1</v>
      </c>
      <c r="H188" s="166"/>
      <c r="I188" s="166"/>
      <c r="J188" s="166"/>
      <c r="K188" s="166">
        <v>18.8</v>
      </c>
      <c r="L188" s="166">
        <v>1</v>
      </c>
      <c r="M188" s="166">
        <v>12.5</v>
      </c>
      <c r="N188" s="166">
        <v>3.7</v>
      </c>
      <c r="O188" s="166" t="s">
        <v>1597</v>
      </c>
      <c r="P188" s="166">
        <v>5.8000000000000003E-2</v>
      </c>
      <c r="Q188" s="166" t="s">
        <v>1595</v>
      </c>
      <c r="R188" s="166">
        <v>0.13</v>
      </c>
      <c r="S188" s="166" t="s">
        <v>1602</v>
      </c>
      <c r="T188" s="166">
        <v>0.01</v>
      </c>
      <c r="U188" s="166" t="s">
        <v>337</v>
      </c>
      <c r="V188" s="166">
        <v>0.125</v>
      </c>
      <c r="W188" s="166" t="s">
        <v>338</v>
      </c>
      <c r="X188" s="166">
        <v>3.6999999999999998E-2</v>
      </c>
      <c r="Y188" s="166" t="s">
        <v>1640</v>
      </c>
      <c r="Z188" s="166">
        <v>4.3999999999999997E-2</v>
      </c>
      <c r="AA188" s="166"/>
      <c r="AB188" s="166"/>
      <c r="AC188" s="166"/>
      <c r="AD188" s="166"/>
      <c r="AE188" s="166"/>
      <c r="AF188" s="166"/>
      <c r="AG188" s="166"/>
      <c r="AH188" s="166"/>
    </row>
    <row r="189" spans="1:37" ht="20.100000000000001" customHeight="1" x14ac:dyDescent="0.2">
      <c r="D189" s="166" t="s">
        <v>1761</v>
      </c>
      <c r="E189" s="166" t="s">
        <v>1765</v>
      </c>
      <c r="F189" s="166" t="s">
        <v>370</v>
      </c>
      <c r="G189" s="166">
        <v>1</v>
      </c>
      <c r="H189" s="166"/>
      <c r="I189" s="166"/>
      <c r="J189" s="166"/>
      <c r="K189" s="166">
        <v>18.600000000000001</v>
      </c>
      <c r="L189" s="166">
        <v>3</v>
      </c>
      <c r="M189" s="166">
        <v>12.5</v>
      </c>
      <c r="N189" s="166">
        <v>1.4</v>
      </c>
      <c r="O189" s="166" t="s">
        <v>1597</v>
      </c>
      <c r="P189" s="166">
        <v>5.8000000000000003E-2</v>
      </c>
      <c r="Q189" s="166" t="s">
        <v>1595</v>
      </c>
      <c r="R189" s="166">
        <v>0.128</v>
      </c>
      <c r="S189" s="166" t="s">
        <v>1602</v>
      </c>
      <c r="T189" s="166">
        <v>0.03</v>
      </c>
      <c r="U189" s="166" t="s">
        <v>337</v>
      </c>
      <c r="V189" s="166">
        <v>0.125</v>
      </c>
      <c r="W189" s="166" t="s">
        <v>338</v>
      </c>
      <c r="X189" s="166">
        <v>1.4E-2</v>
      </c>
      <c r="Y189" s="166" t="s">
        <v>1640</v>
      </c>
      <c r="Z189" s="166">
        <v>4.3999999999999997E-2</v>
      </c>
      <c r="AA189" s="166"/>
      <c r="AB189" s="166"/>
      <c r="AC189" s="166"/>
      <c r="AD189" s="166"/>
      <c r="AE189" s="166"/>
      <c r="AF189" s="166"/>
      <c r="AG189" s="166"/>
      <c r="AH189" s="166"/>
    </row>
    <row r="190" spans="1:37" ht="20.100000000000001" customHeight="1" x14ac:dyDescent="0.2">
      <c r="D190" s="166" t="s">
        <v>1761</v>
      </c>
      <c r="E190" s="166" t="s">
        <v>1766</v>
      </c>
      <c r="F190" s="166" t="s">
        <v>370</v>
      </c>
      <c r="G190" s="166">
        <v>1</v>
      </c>
      <c r="H190" s="166"/>
      <c r="I190" s="166"/>
      <c r="J190" s="166"/>
      <c r="K190" s="166">
        <v>15.8</v>
      </c>
      <c r="L190" s="166"/>
      <c r="M190" s="166">
        <v>19</v>
      </c>
      <c r="N190" s="166">
        <v>3.2</v>
      </c>
      <c r="O190" s="166" t="s">
        <v>1597</v>
      </c>
      <c r="P190" s="166">
        <v>4.9000000000000002E-2</v>
      </c>
      <c r="Q190" s="166" t="s">
        <v>1595</v>
      </c>
      <c r="R190" s="166">
        <v>0.109</v>
      </c>
      <c r="S190" s="166" t="s">
        <v>337</v>
      </c>
      <c r="T190" s="166">
        <v>0.19</v>
      </c>
      <c r="U190" s="166" t="s">
        <v>338</v>
      </c>
      <c r="V190" s="166">
        <v>3.2000000000000001E-2</v>
      </c>
      <c r="W190" s="166" t="s">
        <v>1640</v>
      </c>
      <c r="X190" s="166">
        <v>3.9E-2</v>
      </c>
      <c r="Y190" s="166"/>
      <c r="Z190" s="166"/>
      <c r="AA190" s="166"/>
      <c r="AB190" s="166"/>
      <c r="AC190" s="166"/>
      <c r="AD190" s="166"/>
      <c r="AE190" s="166"/>
      <c r="AF190" s="166"/>
      <c r="AG190" s="166"/>
      <c r="AH190" s="166"/>
    </row>
    <row r="191" spans="1:37" ht="20.100000000000001" customHeight="1" x14ac:dyDescent="0.2">
      <c r="D191" s="166" t="s">
        <v>1666</v>
      </c>
      <c r="E191" s="166" t="s">
        <v>1767</v>
      </c>
      <c r="F191" s="166" t="s">
        <v>370</v>
      </c>
      <c r="G191" s="166">
        <v>1</v>
      </c>
      <c r="H191" s="166"/>
      <c r="I191" s="166"/>
      <c r="J191" s="166"/>
      <c r="K191" s="166">
        <v>25.9</v>
      </c>
      <c r="L191" s="166">
        <v>3.9</v>
      </c>
      <c r="M191" s="166">
        <v>15.9</v>
      </c>
      <c r="N191" s="166">
        <v>0.3</v>
      </c>
      <c r="O191" s="166" t="s">
        <v>1600</v>
      </c>
      <c r="P191" s="166">
        <v>0.25900000000000001</v>
      </c>
      <c r="Q191" s="166" t="s">
        <v>1602</v>
      </c>
      <c r="R191" s="166">
        <v>3.9E-2</v>
      </c>
      <c r="S191" s="166" t="s">
        <v>337</v>
      </c>
      <c r="T191" s="166">
        <v>0.159</v>
      </c>
      <c r="U191" s="166" t="s">
        <v>338</v>
      </c>
      <c r="V191" s="166">
        <v>3.0000000000000001E-3</v>
      </c>
      <c r="W191" s="166"/>
      <c r="X191" s="166"/>
      <c r="Y191" s="166"/>
      <c r="Z191" s="166"/>
      <c r="AA191" s="166"/>
      <c r="AB191" s="166"/>
      <c r="AC191" s="166"/>
      <c r="AD191" s="166"/>
      <c r="AE191" s="166"/>
      <c r="AF191" s="166"/>
      <c r="AG191" s="166"/>
      <c r="AH191" s="166"/>
    </row>
    <row r="192" spans="1:37" ht="20.100000000000001" customHeight="1" x14ac:dyDescent="0.2">
      <c r="D192" s="166" t="s">
        <v>1705</v>
      </c>
      <c r="E192" s="166" t="s">
        <v>1768</v>
      </c>
      <c r="F192" s="166" t="s">
        <v>370</v>
      </c>
      <c r="G192" s="166">
        <v>1</v>
      </c>
      <c r="H192" s="166"/>
      <c r="I192" s="166"/>
      <c r="J192" s="166"/>
      <c r="K192" s="166">
        <v>15.6</v>
      </c>
      <c r="L192" s="166">
        <v>6.37</v>
      </c>
      <c r="M192" s="166">
        <v>12.45</v>
      </c>
      <c r="N192" s="166">
        <v>2.6</v>
      </c>
      <c r="O192" s="166" t="s">
        <v>1597</v>
      </c>
      <c r="P192" s="166">
        <v>5.8000000000000003E-2</v>
      </c>
      <c r="Q192" s="166" t="s">
        <v>1595</v>
      </c>
      <c r="R192" s="166">
        <v>9.8000000000000004E-2</v>
      </c>
      <c r="S192" s="166" t="s">
        <v>1602</v>
      </c>
      <c r="T192" s="166">
        <v>6.3714000000000007E-2</v>
      </c>
      <c r="U192" s="166" t="s">
        <v>337</v>
      </c>
      <c r="V192" s="166">
        <v>0.124515</v>
      </c>
      <c r="W192" s="166" t="s">
        <v>338</v>
      </c>
      <c r="X192" s="166">
        <v>2.5999999999999999E-2</v>
      </c>
      <c r="Y192" s="166"/>
      <c r="Z192" s="166"/>
      <c r="AA192" s="166"/>
      <c r="AB192" s="166"/>
      <c r="AC192" s="166"/>
      <c r="AD192" s="166"/>
      <c r="AE192" s="166"/>
      <c r="AF192" s="166"/>
      <c r="AG192" s="166"/>
      <c r="AH192" s="166"/>
    </row>
    <row r="193" spans="4:34" ht="20.100000000000001" customHeight="1" x14ac:dyDescent="0.2">
      <c r="D193" s="166" t="s">
        <v>1769</v>
      </c>
      <c r="E193" s="166" t="s">
        <v>1770</v>
      </c>
      <c r="F193" s="166" t="s">
        <v>370</v>
      </c>
      <c r="G193" s="166">
        <v>1</v>
      </c>
      <c r="H193" s="166"/>
      <c r="I193" s="166"/>
      <c r="J193" s="166"/>
      <c r="K193" s="166">
        <v>11.15</v>
      </c>
      <c r="L193" s="166">
        <v>17.52</v>
      </c>
      <c r="M193" s="166"/>
      <c r="N193" s="166">
        <v>3.6</v>
      </c>
      <c r="O193" s="166" t="s">
        <v>1586</v>
      </c>
      <c r="P193" s="166">
        <v>0.8</v>
      </c>
      <c r="Q193" s="166" t="s">
        <v>1590</v>
      </c>
      <c r="R193" s="166">
        <v>0.15</v>
      </c>
      <c r="S193" s="166" t="s">
        <v>1651</v>
      </c>
      <c r="T193" s="166" t="s">
        <v>948</v>
      </c>
      <c r="U193" s="166" t="s">
        <v>1695</v>
      </c>
      <c r="V193" s="166" t="s">
        <v>948</v>
      </c>
      <c r="W193" s="166" t="s">
        <v>1648</v>
      </c>
      <c r="X193" s="166" t="s">
        <v>948</v>
      </c>
      <c r="Y193" s="166"/>
      <c r="Z193" s="166"/>
      <c r="AA193" s="166"/>
      <c r="AB193" s="166"/>
      <c r="AC193" s="166"/>
      <c r="AD193" s="166"/>
      <c r="AE193" s="166"/>
      <c r="AF193" s="166"/>
      <c r="AG193" s="166"/>
      <c r="AH193" s="166"/>
    </row>
    <row r="194" spans="4:34" ht="20.100000000000001" customHeight="1" x14ac:dyDescent="0.2">
      <c r="D194" s="166" t="s">
        <v>1769</v>
      </c>
      <c r="E194" s="166" t="s">
        <v>1771</v>
      </c>
      <c r="F194" s="166" t="s">
        <v>370</v>
      </c>
      <c r="G194" s="166">
        <v>1</v>
      </c>
      <c r="H194" s="166"/>
      <c r="I194" s="166"/>
      <c r="J194" s="166"/>
      <c r="K194" s="166"/>
      <c r="L194" s="166">
        <v>5.5</v>
      </c>
      <c r="M194" s="166">
        <v>15</v>
      </c>
      <c r="N194" s="166">
        <v>6.88</v>
      </c>
      <c r="O194" s="166" t="s">
        <v>1610</v>
      </c>
      <c r="P194" s="166">
        <v>0.625</v>
      </c>
      <c r="Q194" s="166" t="s">
        <v>1608</v>
      </c>
      <c r="R194" s="166">
        <v>0.3</v>
      </c>
      <c r="S194" s="166"/>
      <c r="T194" s="166"/>
      <c r="U194" s="166"/>
      <c r="V194" s="166"/>
      <c r="W194" s="166"/>
      <c r="X194" s="166"/>
      <c r="Y194" s="166"/>
      <c r="Z194" s="166"/>
      <c r="AA194" s="166"/>
      <c r="AB194" s="166"/>
      <c r="AC194" s="166"/>
      <c r="AD194" s="166"/>
      <c r="AE194" s="166"/>
      <c r="AF194" s="166"/>
      <c r="AG194" s="166"/>
      <c r="AH194" s="166"/>
    </row>
    <row r="195" spans="4:34" ht="20.100000000000001" customHeight="1" x14ac:dyDescent="0.2">
      <c r="D195" s="166" t="s">
        <v>1772</v>
      </c>
      <c r="E195" s="166" t="s">
        <v>1773</v>
      </c>
      <c r="F195" s="166" t="s">
        <v>370</v>
      </c>
      <c r="G195" s="166">
        <v>1</v>
      </c>
      <c r="H195" s="166"/>
      <c r="I195" s="166"/>
      <c r="J195" s="166"/>
      <c r="K195" s="166">
        <v>27</v>
      </c>
      <c r="L195" s="166"/>
      <c r="M195" s="166"/>
      <c r="N195" s="166"/>
      <c r="O195" s="166" t="s">
        <v>1594</v>
      </c>
      <c r="P195" s="166">
        <v>1</v>
      </c>
      <c r="Q195" s="166"/>
      <c r="R195" s="166"/>
      <c r="S195" s="166"/>
      <c r="T195" s="166"/>
      <c r="U195" s="166"/>
      <c r="V195" s="166"/>
      <c r="W195" s="166"/>
      <c r="X195" s="166"/>
      <c r="Y195" s="166"/>
      <c r="Z195" s="166"/>
      <c r="AA195" s="166"/>
      <c r="AB195" s="166"/>
      <c r="AC195" s="166"/>
      <c r="AD195" s="166"/>
      <c r="AE195" s="166"/>
      <c r="AF195" s="166"/>
      <c r="AG195" s="166"/>
      <c r="AH195" s="166"/>
    </row>
    <row r="196" spans="4:34" ht="20.100000000000001" customHeight="1" x14ac:dyDescent="0.2">
      <c r="D196" s="166" t="s">
        <v>1666</v>
      </c>
      <c r="E196" s="166" t="s">
        <v>1774</v>
      </c>
      <c r="F196" s="166" t="s">
        <v>370</v>
      </c>
      <c r="G196" s="166">
        <v>1</v>
      </c>
      <c r="H196" s="166"/>
      <c r="I196" s="166"/>
      <c r="J196" s="166"/>
      <c r="K196" s="166">
        <v>20.6</v>
      </c>
      <c r="L196" s="166">
        <v>3</v>
      </c>
      <c r="M196" s="166">
        <v>7.5</v>
      </c>
      <c r="N196" s="166">
        <v>3.8</v>
      </c>
      <c r="O196" s="166" t="s">
        <v>1597</v>
      </c>
      <c r="P196" s="166">
        <v>6.4000000000000001E-2</v>
      </c>
      <c r="Q196" s="166" t="s">
        <v>1595</v>
      </c>
      <c r="R196" s="166">
        <v>0.14199999999999999</v>
      </c>
      <c r="S196" s="166" t="s">
        <v>1602</v>
      </c>
      <c r="T196" s="166">
        <v>0.03</v>
      </c>
      <c r="U196" s="166" t="s">
        <v>337</v>
      </c>
      <c r="V196" s="166">
        <v>7.4999999999999997E-2</v>
      </c>
      <c r="W196" s="166" t="s">
        <v>338</v>
      </c>
      <c r="X196" s="166">
        <v>3.7999999999999999E-2</v>
      </c>
      <c r="Y196" s="166" t="s">
        <v>1640</v>
      </c>
      <c r="Z196" s="166">
        <v>4.3999999999999997E-2</v>
      </c>
      <c r="AA196" s="166"/>
      <c r="AB196" s="166"/>
      <c r="AC196" s="166"/>
      <c r="AD196" s="166"/>
      <c r="AE196" s="166"/>
      <c r="AF196" s="166"/>
      <c r="AG196" s="166"/>
      <c r="AH196" s="166"/>
    </row>
    <row r="197" spans="4:34" ht="20.100000000000001" customHeight="1" x14ac:dyDescent="0.2">
      <c r="D197" s="166" t="s">
        <v>1666</v>
      </c>
      <c r="E197" s="166" t="s">
        <v>1775</v>
      </c>
      <c r="F197" s="166" t="s">
        <v>370</v>
      </c>
      <c r="G197" s="166">
        <v>1</v>
      </c>
      <c r="H197" s="166"/>
      <c r="I197" s="166"/>
      <c r="J197" s="166"/>
      <c r="K197" s="166">
        <v>17.8</v>
      </c>
      <c r="L197" s="166">
        <v>1</v>
      </c>
      <c r="M197" s="166">
        <v>15</v>
      </c>
      <c r="N197" s="166">
        <v>2.5</v>
      </c>
      <c r="O197" s="166" t="s">
        <v>1597</v>
      </c>
      <c r="P197" s="166">
        <v>5.5E-2</v>
      </c>
      <c r="Q197" s="166" t="s">
        <v>1595</v>
      </c>
      <c r="R197" s="166">
        <v>0.123</v>
      </c>
      <c r="S197" s="166" t="s">
        <v>1602</v>
      </c>
      <c r="T197" s="166">
        <v>0.01</v>
      </c>
      <c r="U197" s="166" t="s">
        <v>337</v>
      </c>
      <c r="V197" s="166">
        <v>0.15</v>
      </c>
      <c r="W197" s="166" t="s">
        <v>338</v>
      </c>
      <c r="X197" s="166">
        <v>2.5000000000000001E-2</v>
      </c>
      <c r="Y197" s="166" t="s">
        <v>1640</v>
      </c>
      <c r="Z197" s="166">
        <v>4.3999999999999997E-2</v>
      </c>
      <c r="AA197" s="166"/>
      <c r="AB197" s="166"/>
      <c r="AC197" s="166"/>
      <c r="AD197" s="166"/>
      <c r="AE197" s="166"/>
      <c r="AF197" s="166"/>
      <c r="AG197" s="166"/>
      <c r="AH197" s="166"/>
    </row>
    <row r="198" spans="4:34" ht="20.100000000000001" customHeight="1" x14ac:dyDescent="0.2">
      <c r="D198" s="166" t="s">
        <v>1776</v>
      </c>
      <c r="E198" s="166" t="s">
        <v>1777</v>
      </c>
      <c r="F198" s="166" t="s">
        <v>370</v>
      </c>
      <c r="G198" s="166">
        <v>1</v>
      </c>
      <c r="H198" s="166"/>
      <c r="I198" s="166"/>
      <c r="J198" s="166"/>
      <c r="K198" s="166">
        <v>10</v>
      </c>
      <c r="L198" s="166">
        <v>22</v>
      </c>
      <c r="M198" s="166"/>
      <c r="N198" s="166">
        <v>1.5</v>
      </c>
      <c r="O198" s="166" t="s">
        <v>1600</v>
      </c>
      <c r="P198" s="166">
        <v>0.1</v>
      </c>
      <c r="Q198" s="166" t="s">
        <v>1602</v>
      </c>
      <c r="R198" s="166">
        <v>0.22</v>
      </c>
      <c r="S198" s="166" t="s">
        <v>338</v>
      </c>
      <c r="T198" s="166">
        <v>1.4999999999999999E-2</v>
      </c>
      <c r="U198" s="166" t="s">
        <v>1648</v>
      </c>
      <c r="V198" s="166">
        <v>0.01</v>
      </c>
      <c r="W198" s="166"/>
      <c r="X198" s="166"/>
      <c r="Y198" s="166"/>
      <c r="Z198" s="166"/>
      <c r="AA198" s="166"/>
      <c r="AB198" s="166"/>
      <c r="AC198" s="166"/>
      <c r="AD198" s="166"/>
      <c r="AE198" s="166"/>
      <c r="AF198" s="166"/>
      <c r="AG198" s="166"/>
      <c r="AH198" s="166"/>
    </row>
    <row r="199" spans="4:34" ht="20.100000000000001" customHeight="1" x14ac:dyDescent="0.2">
      <c r="D199" s="166" t="s">
        <v>1776</v>
      </c>
      <c r="E199" s="166" t="s">
        <v>1778</v>
      </c>
      <c r="F199" s="166" t="s">
        <v>370</v>
      </c>
      <c r="G199" s="166">
        <v>1</v>
      </c>
      <c r="H199" s="166"/>
      <c r="I199" s="166"/>
      <c r="J199" s="166"/>
      <c r="K199" s="166"/>
      <c r="L199" s="166">
        <v>15.7</v>
      </c>
      <c r="M199" s="166"/>
      <c r="N199" s="166">
        <v>4.5999999999999996</v>
      </c>
      <c r="O199" s="166" t="s">
        <v>1602</v>
      </c>
      <c r="P199" s="166">
        <v>0.157</v>
      </c>
      <c r="Q199" s="166" t="s">
        <v>338</v>
      </c>
      <c r="R199" s="166">
        <v>4.5999999999999999E-2</v>
      </c>
      <c r="S199" s="166" t="s">
        <v>1640</v>
      </c>
      <c r="T199" s="166">
        <v>0.14000000000000001</v>
      </c>
      <c r="U199" s="166"/>
      <c r="V199" s="166"/>
      <c r="W199" s="166"/>
      <c r="X199" s="166"/>
      <c r="Y199" s="166"/>
      <c r="Z199" s="166"/>
      <c r="AA199" s="166"/>
      <c r="AB199" s="166"/>
      <c r="AC199" s="166"/>
      <c r="AD199" s="166"/>
      <c r="AE199" s="166"/>
      <c r="AF199" s="166"/>
      <c r="AG199" s="166"/>
      <c r="AH199" s="166"/>
    </row>
    <row r="200" spans="4:34" ht="20.100000000000001" customHeight="1" x14ac:dyDescent="0.2">
      <c r="D200" s="166" t="s">
        <v>1776</v>
      </c>
      <c r="E200" s="166" t="s">
        <v>1779</v>
      </c>
      <c r="F200" s="166" t="s">
        <v>370</v>
      </c>
      <c r="G200" s="166">
        <v>1</v>
      </c>
      <c r="H200" s="166"/>
      <c r="I200" s="166"/>
      <c r="J200" s="166"/>
      <c r="K200" s="166"/>
      <c r="L200" s="166"/>
      <c r="M200" s="166"/>
      <c r="N200" s="166">
        <v>90</v>
      </c>
      <c r="O200" s="166" t="s">
        <v>338</v>
      </c>
      <c r="P200" s="166">
        <v>0.9</v>
      </c>
      <c r="Q200" s="166"/>
      <c r="R200" s="166"/>
      <c r="S200" s="166"/>
      <c r="T200" s="166"/>
      <c r="U200" s="166"/>
      <c r="V200" s="166"/>
      <c r="W200" s="166"/>
      <c r="X200" s="166"/>
      <c r="Y200" s="166"/>
      <c r="Z200" s="166"/>
      <c r="AA200" s="166"/>
      <c r="AB200" s="166"/>
      <c r="AC200" s="166"/>
      <c r="AD200" s="166"/>
      <c r="AE200" s="166"/>
      <c r="AF200" s="166"/>
      <c r="AG200" s="166"/>
      <c r="AH200" s="166"/>
    </row>
    <row r="201" spans="4:34" ht="20.100000000000001" customHeight="1" x14ac:dyDescent="0.2">
      <c r="D201" s="166" t="s">
        <v>1776</v>
      </c>
      <c r="E201" s="166" t="s">
        <v>1780</v>
      </c>
      <c r="F201" s="166" t="s">
        <v>370</v>
      </c>
      <c r="G201" s="166">
        <v>1</v>
      </c>
      <c r="H201" s="166"/>
      <c r="I201" s="166"/>
      <c r="J201" s="166"/>
      <c r="K201" s="166">
        <v>19.5</v>
      </c>
      <c r="L201" s="166">
        <v>0.7</v>
      </c>
      <c r="M201" s="166"/>
      <c r="N201" s="166">
        <v>23</v>
      </c>
      <c r="O201" s="166" t="s">
        <v>1600</v>
      </c>
      <c r="P201" s="166">
        <v>0.19500000000000001</v>
      </c>
      <c r="Q201" s="166" t="s">
        <v>1602</v>
      </c>
      <c r="R201" s="166">
        <v>7.0000000000000001E-3</v>
      </c>
      <c r="S201" s="166" t="s">
        <v>338</v>
      </c>
      <c r="T201" s="166">
        <v>0.23</v>
      </c>
      <c r="U201" s="166"/>
      <c r="V201" s="166"/>
      <c r="W201" s="166"/>
      <c r="X201" s="166"/>
      <c r="Y201" s="166"/>
      <c r="Z201" s="166"/>
      <c r="AA201" s="166"/>
      <c r="AB201" s="166"/>
      <c r="AC201" s="166"/>
      <c r="AD201" s="166"/>
      <c r="AE201" s="166"/>
      <c r="AF201" s="166"/>
      <c r="AG201" s="166"/>
      <c r="AH201" s="166"/>
    </row>
    <row r="202" spans="4:34" ht="20.100000000000001" customHeight="1" x14ac:dyDescent="0.2">
      <c r="D202" s="166" t="s">
        <v>1776</v>
      </c>
      <c r="E202" s="166" t="s">
        <v>1781</v>
      </c>
      <c r="F202" s="166" t="s">
        <v>370</v>
      </c>
      <c r="G202" s="166">
        <v>1</v>
      </c>
      <c r="H202" s="166"/>
      <c r="I202" s="166"/>
      <c r="J202" s="166"/>
      <c r="K202" s="166">
        <v>10</v>
      </c>
      <c r="L202" s="166">
        <v>18</v>
      </c>
      <c r="M202" s="166"/>
      <c r="N202" s="166">
        <v>8</v>
      </c>
      <c r="O202" s="166" t="s">
        <v>1600</v>
      </c>
      <c r="P202" s="166">
        <v>0.1</v>
      </c>
      <c r="Q202" s="166" t="s">
        <v>1602</v>
      </c>
      <c r="R202" s="166">
        <v>0.18</v>
      </c>
      <c r="S202" s="166" t="s">
        <v>338</v>
      </c>
      <c r="T202" s="166">
        <v>0.08</v>
      </c>
      <c r="U202" s="166" t="s">
        <v>1648</v>
      </c>
      <c r="V202" s="166">
        <v>5.0000000000000001E-3</v>
      </c>
      <c r="W202" s="166"/>
      <c r="X202" s="166"/>
      <c r="Y202" s="166"/>
      <c r="Z202" s="166"/>
      <c r="AA202" s="166"/>
      <c r="AB202" s="166"/>
      <c r="AC202" s="166"/>
      <c r="AD202" s="166"/>
      <c r="AE202" s="166"/>
      <c r="AF202" s="166"/>
      <c r="AG202" s="166"/>
      <c r="AH202" s="166"/>
    </row>
    <row r="203" spans="4:34" ht="20.100000000000001" customHeight="1" x14ac:dyDescent="0.2">
      <c r="D203" s="166" t="s">
        <v>1776</v>
      </c>
      <c r="E203" s="166" t="s">
        <v>1782</v>
      </c>
      <c r="F203" s="166" t="s">
        <v>370</v>
      </c>
      <c r="G203" s="166">
        <v>1</v>
      </c>
      <c r="H203" s="166"/>
      <c r="I203" s="166"/>
      <c r="J203" s="166"/>
      <c r="K203" s="166">
        <v>9</v>
      </c>
      <c r="L203" s="166">
        <v>19.8</v>
      </c>
      <c r="M203" s="166">
        <v>0</v>
      </c>
      <c r="N203" s="166">
        <v>10.4</v>
      </c>
      <c r="O203" s="166" t="s">
        <v>1600</v>
      </c>
      <c r="P203" s="166">
        <v>0.09</v>
      </c>
      <c r="Q203" s="166" t="s">
        <v>1602</v>
      </c>
      <c r="R203" s="166">
        <v>0.19800000000000001</v>
      </c>
      <c r="S203" s="166" t="s">
        <v>338</v>
      </c>
      <c r="T203" s="166">
        <v>0.104</v>
      </c>
      <c r="U203" s="166"/>
      <c r="V203" s="166"/>
      <c r="W203" s="166"/>
      <c r="X203" s="166"/>
      <c r="Y203" s="166"/>
      <c r="Z203" s="166"/>
      <c r="AA203" s="166"/>
      <c r="AB203" s="166"/>
      <c r="AC203" s="166"/>
      <c r="AD203" s="166"/>
      <c r="AE203" s="166"/>
      <c r="AF203" s="166"/>
      <c r="AG203" s="166"/>
      <c r="AH203" s="166"/>
    </row>
    <row r="204" spans="4:34" ht="20.100000000000001" customHeight="1" x14ac:dyDescent="0.2">
      <c r="D204" s="166" t="s">
        <v>1776</v>
      </c>
      <c r="E204" s="166" t="s">
        <v>1783</v>
      </c>
      <c r="F204" s="166" t="s">
        <v>370</v>
      </c>
      <c r="G204" s="166">
        <v>1</v>
      </c>
      <c r="H204" s="166"/>
      <c r="I204" s="166"/>
      <c r="J204" s="166"/>
      <c r="K204" s="166">
        <v>15.2</v>
      </c>
      <c r="L204" s="166">
        <v>16.899999999999999</v>
      </c>
      <c r="M204" s="166">
        <v>0</v>
      </c>
      <c r="N204" s="166">
        <v>15.2</v>
      </c>
      <c r="O204" s="166" t="s">
        <v>1600</v>
      </c>
      <c r="P204" s="166">
        <v>0.152</v>
      </c>
      <c r="Q204" s="166" t="s">
        <v>1602</v>
      </c>
      <c r="R204" s="166">
        <v>0.16900000000000001</v>
      </c>
      <c r="S204" s="166" t="s">
        <v>338</v>
      </c>
      <c r="T204" s="166">
        <v>0.152</v>
      </c>
      <c r="U204" s="166"/>
      <c r="V204" s="166"/>
      <c r="W204" s="166"/>
      <c r="X204" s="166"/>
      <c r="Y204" s="166"/>
      <c r="Z204" s="166"/>
      <c r="AA204" s="166"/>
      <c r="AB204" s="166"/>
      <c r="AC204" s="166"/>
      <c r="AD204" s="166"/>
      <c r="AE204" s="166"/>
      <c r="AF204" s="166"/>
      <c r="AG204" s="166"/>
      <c r="AH204" s="166"/>
    </row>
    <row r="205" spans="4:34" ht="20.100000000000001" customHeight="1" x14ac:dyDescent="0.2">
      <c r="D205" s="166" t="s">
        <v>1776</v>
      </c>
      <c r="E205" s="166" t="s">
        <v>1784</v>
      </c>
      <c r="F205" s="166" t="s">
        <v>370</v>
      </c>
      <c r="G205" s="166">
        <v>1</v>
      </c>
      <c r="H205" s="166"/>
      <c r="I205" s="166"/>
      <c r="J205" s="166"/>
      <c r="K205" s="166">
        <v>16.2</v>
      </c>
      <c r="L205" s="166">
        <v>18</v>
      </c>
      <c r="M205" s="166">
        <v>0</v>
      </c>
      <c r="N205" s="166">
        <v>10.4</v>
      </c>
      <c r="O205" s="166" t="s">
        <v>1600</v>
      </c>
      <c r="P205" s="166">
        <v>0.16200000000000001</v>
      </c>
      <c r="Q205" s="166" t="s">
        <v>1602</v>
      </c>
      <c r="R205" s="166">
        <v>0.18</v>
      </c>
      <c r="S205" s="166" t="s">
        <v>338</v>
      </c>
      <c r="T205" s="166">
        <v>0.104</v>
      </c>
      <c r="U205" s="166"/>
      <c r="V205" s="166"/>
      <c r="W205" s="166"/>
      <c r="X205" s="166"/>
      <c r="Y205" s="166"/>
      <c r="Z205" s="166"/>
      <c r="AA205" s="166"/>
      <c r="AB205" s="166"/>
      <c r="AC205" s="166"/>
      <c r="AD205" s="166"/>
      <c r="AE205" s="166"/>
      <c r="AF205" s="166"/>
      <c r="AG205" s="166"/>
      <c r="AH205" s="166"/>
    </row>
    <row r="206" spans="4:34" ht="20.100000000000001" customHeight="1" x14ac:dyDescent="0.2">
      <c r="D206" s="166" t="s">
        <v>1776</v>
      </c>
      <c r="E206" s="166" t="s">
        <v>1785</v>
      </c>
      <c r="F206" s="166" t="s">
        <v>370</v>
      </c>
      <c r="G206" s="166">
        <v>1</v>
      </c>
      <c r="H206" s="166"/>
      <c r="I206" s="166"/>
      <c r="J206" s="166"/>
      <c r="K206" s="166">
        <v>5</v>
      </c>
      <c r="L206" s="166">
        <v>15.4</v>
      </c>
      <c r="M206" s="166">
        <v>0</v>
      </c>
      <c r="N206" s="166">
        <v>6.3</v>
      </c>
      <c r="O206" s="166" t="s">
        <v>1600</v>
      </c>
      <c r="P206" s="166">
        <v>0.05</v>
      </c>
      <c r="Q206" s="166" t="s">
        <v>1602</v>
      </c>
      <c r="R206" s="166">
        <v>0.154</v>
      </c>
      <c r="S206" s="166" t="s">
        <v>338</v>
      </c>
      <c r="T206" s="166">
        <v>6.3E-2</v>
      </c>
      <c r="U206" s="166"/>
      <c r="V206" s="166"/>
      <c r="W206" s="166"/>
      <c r="X206" s="166"/>
      <c r="Y206" s="166"/>
      <c r="Z206" s="166"/>
      <c r="AA206" s="166"/>
      <c r="AB206" s="166"/>
      <c r="AC206" s="166"/>
      <c r="AD206" s="166"/>
      <c r="AE206" s="166"/>
      <c r="AF206" s="166"/>
      <c r="AG206" s="166"/>
      <c r="AH206" s="166"/>
    </row>
    <row r="207" spans="4:34" ht="20.100000000000001" customHeight="1" x14ac:dyDescent="0.2">
      <c r="D207" s="166" t="s">
        <v>1776</v>
      </c>
      <c r="E207" s="166" t="s">
        <v>1786</v>
      </c>
      <c r="F207" s="166" t="s">
        <v>370</v>
      </c>
      <c r="G207" s="166">
        <v>1</v>
      </c>
      <c r="H207" s="166"/>
      <c r="I207" s="166"/>
      <c r="J207" s="166"/>
      <c r="K207" s="166">
        <v>9</v>
      </c>
      <c r="L207" s="166">
        <v>19.8</v>
      </c>
      <c r="M207" s="166">
        <v>0</v>
      </c>
      <c r="N207" s="166">
        <v>10.4</v>
      </c>
      <c r="O207" s="166" t="s">
        <v>1600</v>
      </c>
      <c r="P207" s="166">
        <v>0.09</v>
      </c>
      <c r="Q207" s="166" t="s">
        <v>1602</v>
      </c>
      <c r="R207" s="166">
        <v>0.19800000000000001</v>
      </c>
      <c r="S207" s="166" t="s">
        <v>338</v>
      </c>
      <c r="T207" s="166">
        <v>0.104</v>
      </c>
      <c r="U207" s="166" t="s">
        <v>1648</v>
      </c>
      <c r="V207" s="166">
        <v>8.9999999999999993E-3</v>
      </c>
      <c r="W207" s="166"/>
      <c r="X207" s="166"/>
      <c r="Y207" s="166"/>
      <c r="Z207" s="166"/>
      <c r="AA207" s="166"/>
      <c r="AB207" s="166"/>
      <c r="AC207" s="166"/>
      <c r="AD207" s="166"/>
      <c r="AE207" s="166"/>
      <c r="AF207" s="166"/>
      <c r="AG207" s="166"/>
      <c r="AH207" s="166"/>
    </row>
    <row r="208" spans="4:34" ht="20.100000000000001" customHeight="1" x14ac:dyDescent="0.2">
      <c r="D208" s="166" t="s">
        <v>1776</v>
      </c>
      <c r="E208" s="166" t="s">
        <v>1787</v>
      </c>
      <c r="F208" s="166" t="s">
        <v>370</v>
      </c>
      <c r="G208" s="166">
        <v>1</v>
      </c>
      <c r="H208" s="166"/>
      <c r="I208" s="166"/>
      <c r="J208" s="166"/>
      <c r="K208" s="166">
        <v>11.9</v>
      </c>
      <c r="L208" s="166">
        <v>17.600000000000001</v>
      </c>
      <c r="M208" s="166">
        <v>0</v>
      </c>
      <c r="N208" s="166">
        <v>5.9</v>
      </c>
      <c r="O208" s="166" t="s">
        <v>1600</v>
      </c>
      <c r="P208" s="166">
        <v>0.11899999999999999</v>
      </c>
      <c r="Q208" s="166" t="s">
        <v>1602</v>
      </c>
      <c r="R208" s="166">
        <v>0.17599999999999999</v>
      </c>
      <c r="S208" s="166" t="s">
        <v>338</v>
      </c>
      <c r="T208" s="166">
        <v>5.8999999999999997E-2</v>
      </c>
      <c r="U208" s="166" t="s">
        <v>1648</v>
      </c>
      <c r="V208" s="166">
        <v>8.0000000000000002E-3</v>
      </c>
      <c r="W208" s="166"/>
      <c r="X208" s="166"/>
      <c r="Y208" s="166"/>
      <c r="Z208" s="166"/>
      <c r="AA208" s="166"/>
      <c r="AB208" s="166"/>
      <c r="AC208" s="166"/>
      <c r="AD208" s="166"/>
      <c r="AE208" s="166"/>
      <c r="AF208" s="166"/>
      <c r="AG208" s="166"/>
      <c r="AH208" s="166"/>
    </row>
    <row r="209" spans="1:34" ht="20.100000000000001" customHeight="1" x14ac:dyDescent="0.2">
      <c r="A209" s="81" t="str">
        <f>HYPERLINK("#A1", "▲ Back to top")</f>
        <v>▲ Back to top</v>
      </c>
      <c r="D209" s="166" t="s">
        <v>1776</v>
      </c>
      <c r="E209" s="166" t="s">
        <v>1788</v>
      </c>
      <c r="F209" s="166" t="s">
        <v>370</v>
      </c>
      <c r="G209" s="166">
        <v>1</v>
      </c>
      <c r="H209" s="166"/>
      <c r="I209" s="166"/>
      <c r="J209" s="166"/>
      <c r="K209" s="166">
        <v>14.1</v>
      </c>
      <c r="L209" s="166">
        <v>12.8</v>
      </c>
      <c r="M209" s="166">
        <v>0</v>
      </c>
      <c r="N209" s="166">
        <v>10.7</v>
      </c>
      <c r="O209" s="166" t="s">
        <v>1600</v>
      </c>
      <c r="P209" s="166">
        <v>0.14099999999999999</v>
      </c>
      <c r="Q209" s="166" t="s">
        <v>1602</v>
      </c>
      <c r="R209" s="166">
        <v>0.128</v>
      </c>
      <c r="S209" s="166" t="s">
        <v>338</v>
      </c>
      <c r="T209" s="166">
        <v>0.107</v>
      </c>
      <c r="U209" s="166" t="s">
        <v>1648</v>
      </c>
      <c r="V209" s="166">
        <v>6.0000000000000001E-3</v>
      </c>
      <c r="W209" s="166"/>
      <c r="X209" s="166"/>
      <c r="Y209" s="166"/>
      <c r="Z209" s="166"/>
      <c r="AA209" s="166"/>
      <c r="AB209" s="166"/>
      <c r="AC209" s="166"/>
      <c r="AD209" s="166"/>
      <c r="AE209" s="166"/>
      <c r="AF209" s="166"/>
      <c r="AG209" s="166"/>
      <c r="AH209" s="166"/>
    </row>
    <row r="210" spans="1:34" ht="20.100000000000001" customHeight="1" x14ac:dyDescent="0.2">
      <c r="D210" s="166" t="s">
        <v>1776</v>
      </c>
      <c r="E210" s="166" t="s">
        <v>1789</v>
      </c>
      <c r="F210" s="166" t="s">
        <v>370</v>
      </c>
      <c r="G210" s="166">
        <v>1</v>
      </c>
      <c r="H210" s="166"/>
      <c r="I210" s="166"/>
      <c r="J210" s="166"/>
      <c r="K210" s="166">
        <v>18.600000000000001</v>
      </c>
      <c r="L210" s="166">
        <v>12.7</v>
      </c>
      <c r="M210" s="166">
        <v>0</v>
      </c>
      <c r="N210" s="166">
        <v>6.8</v>
      </c>
      <c r="O210" s="166" t="s">
        <v>1600</v>
      </c>
      <c r="P210" s="166">
        <v>0.186</v>
      </c>
      <c r="Q210" s="166" t="s">
        <v>1602</v>
      </c>
      <c r="R210" s="166">
        <v>0.127</v>
      </c>
      <c r="S210" s="166" t="s">
        <v>338</v>
      </c>
      <c r="T210" s="166">
        <v>6.8000000000000005E-2</v>
      </c>
      <c r="U210" s="166" t="s">
        <v>1648</v>
      </c>
      <c r="V210" s="166">
        <v>6.0000000000000001E-3</v>
      </c>
      <c r="W210" s="166"/>
      <c r="X210" s="166"/>
      <c r="Y210" s="166"/>
      <c r="Z210" s="166"/>
      <c r="AA210" s="166"/>
      <c r="AB210" s="166"/>
      <c r="AC210" s="166"/>
      <c r="AD210" s="166"/>
      <c r="AE210" s="166"/>
      <c r="AF210" s="166"/>
      <c r="AG210" s="166"/>
      <c r="AH210" s="166"/>
    </row>
    <row r="211" spans="1:34" ht="20.100000000000001" customHeight="1" x14ac:dyDescent="0.2">
      <c r="D211" s="166" t="s">
        <v>1776</v>
      </c>
      <c r="E211" s="166" t="s">
        <v>1790</v>
      </c>
      <c r="F211" s="166" t="s">
        <v>370</v>
      </c>
      <c r="G211" s="166">
        <v>1</v>
      </c>
      <c r="H211" s="166"/>
      <c r="I211" s="166"/>
      <c r="J211" s="166"/>
      <c r="K211" s="166">
        <v>32</v>
      </c>
      <c r="L211" s="166">
        <v>0</v>
      </c>
      <c r="M211" s="166">
        <v>11</v>
      </c>
      <c r="N211" s="166">
        <v>3</v>
      </c>
      <c r="O211" s="166" t="s">
        <v>1600</v>
      </c>
      <c r="P211" s="166">
        <v>0.32</v>
      </c>
      <c r="Q211" s="166" t="s">
        <v>337</v>
      </c>
      <c r="R211" s="166">
        <v>0.11</v>
      </c>
      <c r="S211" s="166" t="s">
        <v>338</v>
      </c>
      <c r="T211" s="166">
        <v>0.03</v>
      </c>
      <c r="U211" s="166"/>
      <c r="V211" s="166"/>
      <c r="W211" s="166"/>
      <c r="X211" s="166"/>
      <c r="Y211" s="166"/>
      <c r="Z211" s="166"/>
      <c r="AA211" s="166"/>
      <c r="AB211" s="166"/>
      <c r="AC211" s="166"/>
      <c r="AD211" s="166"/>
      <c r="AE211" s="166"/>
      <c r="AF211" s="166"/>
      <c r="AG211" s="166"/>
      <c r="AH211" s="166"/>
    </row>
    <row r="212" spans="1:34" ht="20.100000000000001" customHeight="1" x14ac:dyDescent="0.2">
      <c r="D212" s="166" t="s">
        <v>1776</v>
      </c>
      <c r="E212" s="166" t="s">
        <v>1791</v>
      </c>
      <c r="F212" s="166" t="s">
        <v>370</v>
      </c>
      <c r="G212" s="166">
        <v>1</v>
      </c>
      <c r="H212" s="166"/>
      <c r="I212" s="166"/>
      <c r="J212" s="166"/>
      <c r="K212" s="166">
        <v>31</v>
      </c>
      <c r="L212" s="166">
        <v>6</v>
      </c>
      <c r="M212" s="166">
        <v>0</v>
      </c>
      <c r="N212" s="166">
        <v>6</v>
      </c>
      <c r="O212" s="166" t="s">
        <v>1600</v>
      </c>
      <c r="P212" s="166">
        <v>0.31</v>
      </c>
      <c r="Q212" s="166" t="s">
        <v>1602</v>
      </c>
      <c r="R212" s="166">
        <v>0.06</v>
      </c>
      <c r="S212" s="166" t="s">
        <v>338</v>
      </c>
      <c r="T212" s="166">
        <v>0.06</v>
      </c>
      <c r="U212" s="166"/>
      <c r="V212" s="166"/>
      <c r="W212" s="166"/>
      <c r="X212" s="166"/>
      <c r="Y212" s="166"/>
      <c r="Z212" s="166"/>
      <c r="AA212" s="166"/>
      <c r="AB212" s="166"/>
      <c r="AC212" s="166"/>
      <c r="AD212" s="166"/>
      <c r="AE212" s="166"/>
      <c r="AF212" s="166"/>
      <c r="AG212" s="166"/>
      <c r="AH212" s="166"/>
    </row>
    <row r="213" spans="1:34" ht="20.100000000000001" customHeight="1" x14ac:dyDescent="0.2">
      <c r="D213" s="166" t="s">
        <v>1776</v>
      </c>
      <c r="E213" s="166" t="s">
        <v>1792</v>
      </c>
      <c r="F213" s="166" t="s">
        <v>370</v>
      </c>
      <c r="G213" s="166">
        <v>1</v>
      </c>
      <c r="H213" s="166"/>
      <c r="I213" s="166"/>
      <c r="J213" s="166"/>
      <c r="K213" s="166">
        <v>21</v>
      </c>
      <c r="L213" s="166">
        <v>4</v>
      </c>
      <c r="M213" s="166">
        <v>8</v>
      </c>
      <c r="N213" s="166">
        <v>7</v>
      </c>
      <c r="O213" s="166" t="s">
        <v>1600</v>
      </c>
      <c r="P213" s="166">
        <v>0.21</v>
      </c>
      <c r="Q213" s="166" t="s">
        <v>1602</v>
      </c>
      <c r="R213" s="166">
        <v>0.04</v>
      </c>
      <c r="S213" s="166" t="s">
        <v>337</v>
      </c>
      <c r="T213" s="166">
        <v>0.08</v>
      </c>
      <c r="U213" s="166" t="s">
        <v>338</v>
      </c>
      <c r="V213" s="166">
        <v>7.0000000000000007E-2</v>
      </c>
      <c r="W213" s="166"/>
      <c r="X213" s="166"/>
      <c r="Y213" s="166"/>
      <c r="Z213" s="166"/>
      <c r="AA213" s="166"/>
      <c r="AB213" s="166"/>
      <c r="AC213" s="166"/>
      <c r="AD213" s="166"/>
      <c r="AE213" s="166"/>
      <c r="AF213" s="166"/>
      <c r="AG213" s="166"/>
      <c r="AH213" s="166"/>
    </row>
    <row r="214" spans="1:34" ht="20.100000000000001" customHeight="1" x14ac:dyDescent="0.2">
      <c r="D214" s="166" t="s">
        <v>1776</v>
      </c>
      <c r="E214" s="166" t="s">
        <v>1793</v>
      </c>
      <c r="F214" s="166" t="s">
        <v>370</v>
      </c>
      <c r="G214" s="166">
        <v>1</v>
      </c>
      <c r="H214" s="166"/>
      <c r="I214" s="166"/>
      <c r="J214" s="166"/>
      <c r="K214" s="166">
        <v>23</v>
      </c>
      <c r="L214" s="166">
        <v>0</v>
      </c>
      <c r="M214" s="166">
        <v>25</v>
      </c>
      <c r="N214" s="166">
        <v>0</v>
      </c>
      <c r="O214" s="166" t="s">
        <v>1600</v>
      </c>
      <c r="P214" s="166">
        <v>0.23</v>
      </c>
      <c r="Q214" s="166" t="s">
        <v>337</v>
      </c>
      <c r="R214" s="166">
        <v>0.25</v>
      </c>
      <c r="S214" s="166"/>
      <c r="T214" s="166"/>
      <c r="U214" s="166"/>
      <c r="V214" s="166"/>
      <c r="W214" s="166"/>
      <c r="X214" s="166"/>
      <c r="Y214" s="166"/>
      <c r="Z214" s="166"/>
      <c r="AA214" s="166"/>
      <c r="AB214" s="166"/>
      <c r="AC214" s="166"/>
      <c r="AD214" s="166"/>
      <c r="AE214" s="166"/>
      <c r="AF214" s="166"/>
      <c r="AG214" s="166"/>
      <c r="AH214" s="166"/>
    </row>
    <row r="215" spans="1:34" ht="20.100000000000001" customHeight="1" x14ac:dyDescent="0.2">
      <c r="D215" s="166" t="s">
        <v>1776</v>
      </c>
      <c r="E215" s="166" t="s">
        <v>1794</v>
      </c>
      <c r="F215" s="166" t="s">
        <v>370</v>
      </c>
      <c r="G215" s="166">
        <v>1</v>
      </c>
      <c r="H215" s="166"/>
      <c r="I215" s="166"/>
      <c r="J215" s="166"/>
      <c r="K215" s="166">
        <v>25</v>
      </c>
      <c r="L215" s="166">
        <v>4</v>
      </c>
      <c r="M215" s="166">
        <v>13</v>
      </c>
      <c r="N215" s="166">
        <v>4</v>
      </c>
      <c r="O215" s="166" t="s">
        <v>1600</v>
      </c>
      <c r="P215" s="166">
        <v>0.25</v>
      </c>
      <c r="Q215" s="166" t="s">
        <v>1602</v>
      </c>
      <c r="R215" s="166">
        <v>0.04</v>
      </c>
      <c r="S215" s="166" t="s">
        <v>337</v>
      </c>
      <c r="T215" s="166">
        <v>0.13</v>
      </c>
      <c r="U215" s="166" t="s">
        <v>338</v>
      </c>
      <c r="V215" s="166">
        <v>0.04</v>
      </c>
      <c r="W215" s="166"/>
      <c r="X215" s="166"/>
      <c r="Y215" s="166"/>
      <c r="Z215" s="166"/>
      <c r="AA215" s="166"/>
      <c r="AB215" s="166"/>
      <c r="AC215" s="166"/>
      <c r="AD215" s="166"/>
      <c r="AE215" s="166"/>
      <c r="AF215" s="166"/>
      <c r="AG215" s="166"/>
      <c r="AH215" s="166"/>
    </row>
    <row r="216" spans="1:34" ht="20.100000000000001" customHeight="1" x14ac:dyDescent="0.2">
      <c r="D216" s="166" t="s">
        <v>1776</v>
      </c>
      <c r="E216" s="166" t="s">
        <v>1795</v>
      </c>
      <c r="F216" s="166" t="s">
        <v>370</v>
      </c>
      <c r="G216" s="166">
        <v>1</v>
      </c>
      <c r="H216" s="166"/>
      <c r="I216" s="166"/>
      <c r="J216" s="166"/>
      <c r="K216" s="166">
        <v>13</v>
      </c>
      <c r="L216" s="166">
        <v>5</v>
      </c>
      <c r="M216" s="166">
        <v>24</v>
      </c>
      <c r="N216" s="166">
        <v>5</v>
      </c>
      <c r="O216" s="166" t="s">
        <v>1600</v>
      </c>
      <c r="P216" s="166">
        <v>0.13</v>
      </c>
      <c r="Q216" s="166" t="s">
        <v>1602</v>
      </c>
      <c r="R216" s="166">
        <v>0.05</v>
      </c>
      <c r="S216" s="166" t="s">
        <v>337</v>
      </c>
      <c r="T216" s="166">
        <v>0.24</v>
      </c>
      <c r="U216" s="166" t="s">
        <v>338</v>
      </c>
      <c r="V216" s="166">
        <v>0.05</v>
      </c>
      <c r="W216" s="166"/>
      <c r="X216" s="166"/>
      <c r="Y216" s="166"/>
      <c r="Z216" s="166"/>
      <c r="AA216" s="166"/>
      <c r="AB216" s="166"/>
      <c r="AC216" s="166"/>
      <c r="AD216" s="166"/>
      <c r="AE216" s="166"/>
      <c r="AF216" s="166"/>
      <c r="AG216" s="166"/>
      <c r="AH216" s="166"/>
    </row>
    <row r="217" spans="1:34" ht="20.100000000000001" customHeight="1" x14ac:dyDescent="0.2">
      <c r="D217" s="166" t="s">
        <v>1776</v>
      </c>
      <c r="E217" s="166" t="s">
        <v>1796</v>
      </c>
      <c r="F217" s="166" t="s">
        <v>370</v>
      </c>
      <c r="G217" s="166">
        <v>1</v>
      </c>
      <c r="H217" s="166"/>
      <c r="I217" s="166"/>
      <c r="J217" s="166"/>
      <c r="K217" s="166">
        <v>11</v>
      </c>
      <c r="L217" s="166">
        <v>5</v>
      </c>
      <c r="M217" s="166">
        <v>24</v>
      </c>
      <c r="N217" s="166">
        <v>4</v>
      </c>
      <c r="O217" s="166" t="s">
        <v>1600</v>
      </c>
      <c r="P217" s="166">
        <v>0.11</v>
      </c>
      <c r="Q217" s="166" t="s">
        <v>1602</v>
      </c>
      <c r="R217" s="166">
        <v>0.05</v>
      </c>
      <c r="S217" s="166" t="s">
        <v>337</v>
      </c>
      <c r="T217" s="166">
        <v>0.24</v>
      </c>
      <c r="U217" s="166" t="s">
        <v>338</v>
      </c>
      <c r="V217" s="166">
        <v>0.04</v>
      </c>
      <c r="W217" s="166"/>
      <c r="X217" s="166"/>
      <c r="Y217" s="166"/>
      <c r="Z217" s="166"/>
      <c r="AA217" s="166"/>
      <c r="AB217" s="166"/>
      <c r="AC217" s="166"/>
      <c r="AD217" s="166"/>
      <c r="AE217" s="166"/>
      <c r="AF217" s="166"/>
      <c r="AG217" s="166"/>
      <c r="AH217" s="166"/>
    </row>
    <row r="218" spans="1:34" ht="20.100000000000001" customHeight="1" x14ac:dyDescent="0.2">
      <c r="D218" s="166" t="s">
        <v>1776</v>
      </c>
      <c r="E218" s="166" t="s">
        <v>1797</v>
      </c>
      <c r="F218" s="166" t="s">
        <v>370</v>
      </c>
      <c r="G218" s="166">
        <v>1</v>
      </c>
      <c r="H218" s="166"/>
      <c r="I218" s="166"/>
      <c r="J218" s="166"/>
      <c r="K218" s="166">
        <v>11</v>
      </c>
      <c r="L218" s="166">
        <v>8</v>
      </c>
      <c r="M218" s="166">
        <v>20</v>
      </c>
      <c r="N218" s="166">
        <v>6</v>
      </c>
      <c r="O218" s="166" t="s">
        <v>1600</v>
      </c>
      <c r="P218" s="166">
        <v>0.11</v>
      </c>
      <c r="Q218" s="166" t="s">
        <v>1602</v>
      </c>
      <c r="R218" s="166">
        <v>0.08</v>
      </c>
      <c r="S218" s="166" t="s">
        <v>337</v>
      </c>
      <c r="T218" s="166">
        <v>0.2</v>
      </c>
      <c r="U218" s="166" t="s">
        <v>338</v>
      </c>
      <c r="V218" s="166">
        <v>0.06</v>
      </c>
      <c r="W218" s="166"/>
      <c r="X218" s="166"/>
      <c r="Y218" s="166"/>
      <c r="Z218" s="166"/>
      <c r="AA218" s="166"/>
      <c r="AB218" s="166"/>
      <c r="AC218" s="166"/>
      <c r="AD218" s="166"/>
      <c r="AE218" s="166"/>
      <c r="AF218" s="166"/>
      <c r="AG218" s="166"/>
      <c r="AH218" s="166"/>
    </row>
    <row r="219" spans="1:34" ht="20.100000000000001" customHeight="1" x14ac:dyDescent="0.2">
      <c r="D219" s="166" t="s">
        <v>1776</v>
      </c>
      <c r="E219" s="166" t="s">
        <v>1798</v>
      </c>
      <c r="F219" s="166" t="s">
        <v>370</v>
      </c>
      <c r="G219" s="166">
        <v>1</v>
      </c>
      <c r="H219" s="166"/>
      <c r="I219" s="166"/>
      <c r="J219" s="166"/>
      <c r="K219" s="166">
        <v>9</v>
      </c>
      <c r="L219" s="166">
        <v>4</v>
      </c>
      <c r="M219" s="166">
        <v>5</v>
      </c>
      <c r="N219" s="166">
        <v>15</v>
      </c>
      <c r="O219" s="166" t="s">
        <v>1600</v>
      </c>
      <c r="P219" s="166">
        <v>0.09</v>
      </c>
      <c r="Q219" s="166" t="s">
        <v>1602</v>
      </c>
      <c r="R219" s="166">
        <v>0.04</v>
      </c>
      <c r="S219" s="166" t="s">
        <v>337</v>
      </c>
      <c r="T219" s="166">
        <v>0.05</v>
      </c>
      <c r="U219" s="166" t="s">
        <v>338</v>
      </c>
      <c r="V219" s="166">
        <v>0.15</v>
      </c>
      <c r="W219" s="166"/>
      <c r="X219" s="166"/>
      <c r="Y219" s="166"/>
      <c r="Z219" s="166"/>
      <c r="AA219" s="166"/>
      <c r="AB219" s="166"/>
      <c r="AC219" s="166"/>
      <c r="AD219" s="166"/>
      <c r="AE219" s="166"/>
      <c r="AF219" s="166"/>
      <c r="AG219" s="166"/>
      <c r="AH219" s="166"/>
    </row>
    <row r="220" spans="1:34" ht="20.100000000000001" customHeight="1" x14ac:dyDescent="0.2">
      <c r="D220" s="166" t="s">
        <v>1769</v>
      </c>
      <c r="E220" s="166" t="s">
        <v>1799</v>
      </c>
      <c r="F220" s="166" t="s">
        <v>370</v>
      </c>
      <c r="G220" s="166">
        <v>1</v>
      </c>
      <c r="H220" s="166"/>
      <c r="I220" s="166"/>
      <c r="J220" s="166"/>
      <c r="K220" s="166">
        <v>10.73</v>
      </c>
      <c r="L220" s="166">
        <v>10.95</v>
      </c>
      <c r="M220" s="166">
        <v>11.35</v>
      </c>
      <c r="N220" s="166">
        <v>6.55</v>
      </c>
      <c r="O220" s="166" t="s">
        <v>1586</v>
      </c>
      <c r="P220" s="166">
        <v>0.5</v>
      </c>
      <c r="Q220" s="166" t="s">
        <v>1590</v>
      </c>
      <c r="R220" s="166">
        <v>0.27300000000000002</v>
      </c>
      <c r="S220" s="166" t="s">
        <v>1608</v>
      </c>
      <c r="T220" s="166">
        <v>0.22700000000000001</v>
      </c>
      <c r="U220" s="166" t="s">
        <v>1651</v>
      </c>
      <c r="V220" s="166" t="s">
        <v>948</v>
      </c>
      <c r="W220" s="166" t="s">
        <v>1648</v>
      </c>
      <c r="X220" s="166" t="s">
        <v>948</v>
      </c>
      <c r="Y220" s="166"/>
      <c r="Z220" s="166"/>
      <c r="AA220" s="166"/>
      <c r="AB220" s="166"/>
      <c r="AC220" s="166"/>
      <c r="AD220" s="166"/>
      <c r="AE220" s="166"/>
      <c r="AF220" s="166"/>
      <c r="AG220" s="166"/>
      <c r="AH220" s="166"/>
    </row>
    <row r="221" spans="1:34" ht="20.100000000000001" customHeight="1" x14ac:dyDescent="0.2">
      <c r="D221" s="166" t="s">
        <v>1769</v>
      </c>
      <c r="E221" s="166" t="s">
        <v>1800</v>
      </c>
      <c r="F221" s="166" t="s">
        <v>370</v>
      </c>
      <c r="G221" s="166">
        <v>1</v>
      </c>
      <c r="H221" s="166"/>
      <c r="I221" s="166"/>
      <c r="J221" s="166"/>
      <c r="K221" s="166">
        <v>16.95</v>
      </c>
      <c r="L221" s="166">
        <v>8.06</v>
      </c>
      <c r="M221" s="166"/>
      <c r="N221" s="166">
        <v>15.17</v>
      </c>
      <c r="O221" s="166" t="s">
        <v>1590</v>
      </c>
      <c r="P221" s="166">
        <v>0.63200000000000001</v>
      </c>
      <c r="Q221" s="166" t="s">
        <v>1586</v>
      </c>
      <c r="R221" s="166">
        <v>0.36799999999999999</v>
      </c>
      <c r="S221" s="166" t="s">
        <v>1648</v>
      </c>
      <c r="T221" s="166" t="s">
        <v>948</v>
      </c>
      <c r="U221" s="166" t="s">
        <v>1651</v>
      </c>
      <c r="V221" s="166" t="s">
        <v>948</v>
      </c>
      <c r="W221" s="166" t="s">
        <v>1695</v>
      </c>
      <c r="X221" s="166" t="s">
        <v>948</v>
      </c>
      <c r="Y221" s="166" t="s">
        <v>1801</v>
      </c>
      <c r="Z221" s="166" t="s">
        <v>948</v>
      </c>
      <c r="AA221" s="166"/>
      <c r="AB221" s="166"/>
      <c r="AC221" s="166"/>
      <c r="AD221" s="166"/>
      <c r="AE221" s="166"/>
      <c r="AF221" s="166"/>
      <c r="AG221" s="166"/>
      <c r="AH221" s="166"/>
    </row>
    <row r="222" spans="1:34" ht="20.100000000000001" customHeight="1" x14ac:dyDescent="0.2">
      <c r="D222" s="166" t="s">
        <v>1769</v>
      </c>
      <c r="E222" s="166" t="s">
        <v>1802</v>
      </c>
      <c r="F222" s="166" t="s">
        <v>370</v>
      </c>
      <c r="G222" s="166">
        <v>1</v>
      </c>
      <c r="H222" s="166"/>
      <c r="I222" s="166"/>
      <c r="J222" s="166"/>
      <c r="K222" s="166"/>
      <c r="L222" s="166">
        <v>8.8000000000000007</v>
      </c>
      <c r="M222" s="166"/>
      <c r="N222" s="166">
        <v>11</v>
      </c>
      <c r="O222" s="166" t="s">
        <v>1610</v>
      </c>
      <c r="P222" s="166">
        <v>1</v>
      </c>
      <c r="Q222" s="166" t="s">
        <v>1651</v>
      </c>
      <c r="R222" s="166">
        <v>6.0000000000000001E-3</v>
      </c>
      <c r="S222" s="166" t="s">
        <v>1648</v>
      </c>
      <c r="T222" s="166">
        <v>3.0000000000000001E-3</v>
      </c>
      <c r="U222" s="166" t="s">
        <v>1695</v>
      </c>
      <c r="V222" s="166">
        <v>5.9999999999999995E-4</v>
      </c>
      <c r="W222" s="166"/>
      <c r="X222" s="166"/>
      <c r="Y222" s="166"/>
      <c r="Z222" s="166"/>
      <c r="AA222" s="166"/>
      <c r="AB222" s="166"/>
      <c r="AC222" s="166"/>
      <c r="AD222" s="166"/>
      <c r="AE222" s="166"/>
      <c r="AF222" s="166"/>
      <c r="AG222" s="166"/>
      <c r="AH222" s="166"/>
    </row>
    <row r="223" spans="1:34" ht="20.100000000000001" customHeight="1" x14ac:dyDescent="0.2">
      <c r="D223" s="166" t="s">
        <v>1769</v>
      </c>
      <c r="E223" s="166" t="s">
        <v>1803</v>
      </c>
      <c r="F223" s="166" t="s">
        <v>621</v>
      </c>
      <c r="G223" s="166">
        <v>1.32</v>
      </c>
      <c r="H223" s="166"/>
      <c r="I223" s="166"/>
      <c r="J223" s="166"/>
      <c r="K223" s="166">
        <v>32</v>
      </c>
      <c r="L223" s="166"/>
      <c r="M223" s="166"/>
      <c r="N223" s="166"/>
      <c r="O223" s="166" t="s">
        <v>1591</v>
      </c>
      <c r="P223" s="166">
        <v>1</v>
      </c>
      <c r="Q223" s="166"/>
      <c r="R223" s="166"/>
      <c r="S223" s="166"/>
      <c r="T223" s="166"/>
      <c r="U223" s="166"/>
      <c r="V223" s="166"/>
      <c r="W223" s="166"/>
      <c r="X223" s="166"/>
      <c r="Y223" s="166"/>
      <c r="Z223" s="166"/>
      <c r="AA223" s="166"/>
      <c r="AB223" s="166"/>
      <c r="AC223" s="166"/>
      <c r="AD223" s="166"/>
      <c r="AE223" s="166"/>
      <c r="AF223" s="166"/>
      <c r="AG223" s="166"/>
      <c r="AH223" s="166"/>
    </row>
  </sheetData>
  <pageMargins left="0.7" right="0.7" top="0.75" bottom="0.75" header="0.3" footer="0.3"/>
  <pageSetup paperSize="9" orientation="portrait" r:id="rId1"/>
  <tableParts count="11">
    <tablePart r:id="rId2"/>
    <tablePart r:id="rId3"/>
    <tablePart r:id="rId4"/>
    <tablePart r:id="rId5"/>
    <tablePart r:id="rId6"/>
    <tablePart r:id="rId7"/>
    <tablePart r:id="rId8"/>
    <tablePart r:id="rId9"/>
    <tablePart r:id="rId10"/>
    <tablePart r:id="rId11"/>
    <tablePart r:id="rId12"/>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382FC-8F91-4A17-AF36-7081B9CAEA20}">
  <sheetPr>
    <tabColor theme="2" tint="-0.499984740745262"/>
  </sheetPr>
  <dimension ref="A1:AI162"/>
  <sheetViews>
    <sheetView showGridLines="0" zoomScaleNormal="100" workbookViewId="0">
      <pane xSplit="1" topLeftCell="B1" activePane="topRight" state="frozenSplit"/>
      <selection pane="topRight" activeCell="A47" sqref="A47"/>
    </sheetView>
  </sheetViews>
  <sheetFormatPr defaultRowHeight="20.100000000000001" customHeight="1" x14ac:dyDescent="0.2"/>
  <cols>
    <col min="1" max="1" width="36.7109375" customWidth="1"/>
    <col min="2" max="2" width="4.7109375" customWidth="1"/>
    <col min="3" max="3" width="4.7109375" style="1" customWidth="1"/>
    <col min="4" max="4" width="39.140625" style="1" customWidth="1"/>
    <col min="5" max="5" width="20.7109375" style="1" customWidth="1"/>
    <col min="6" max="6" width="21.5703125" style="1" customWidth="1"/>
    <col min="7" max="8" width="43.42578125" style="1" customWidth="1"/>
    <col min="9" max="9" width="43.5703125" style="1" customWidth="1"/>
    <col min="10" max="10" width="37.5703125" style="1" customWidth="1"/>
    <col min="11" max="11" width="33.5703125" style="1" customWidth="1"/>
    <col min="12" max="31" width="20.7109375" style="1" customWidth="1"/>
    <col min="32" max="32" width="4.7109375" style="1" customWidth="1"/>
  </cols>
  <sheetData>
    <row r="1" spans="1:35" s="21" customFormat="1" ht="30" customHeight="1" x14ac:dyDescent="0.35">
      <c r="A1" s="10" t="e" vm="1">
        <v>#VALUE!</v>
      </c>
      <c r="C1" s="21" t="s">
        <v>596</v>
      </c>
      <c r="AG1"/>
      <c r="AH1"/>
      <c r="AI1"/>
    </row>
    <row r="2" spans="1:35" s="3" customFormat="1" ht="20.100000000000001" customHeight="1" x14ac:dyDescent="0.2">
      <c r="A2"/>
      <c r="AG2"/>
      <c r="AH2"/>
      <c r="AI2"/>
    </row>
    <row r="3" spans="1:35" ht="20.100000000000001" customHeight="1" x14ac:dyDescent="0.2">
      <c r="A3" s="5" t="str">
        <f>HYPERLINK("#'Home'!A1", "Home")</f>
        <v>Home</v>
      </c>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row>
    <row r="4" spans="1:35" ht="20.100000000000001" customHeight="1" x14ac:dyDescent="0.2">
      <c r="A4" s="5" t="str">
        <f>HYPERLINK("#'Results - Activity period'!A1", "Results - Activity period")</f>
        <v>Results - Activity period</v>
      </c>
    </row>
    <row r="5" spans="1:35" ht="20.100000000000001" customHeight="1" x14ac:dyDescent="0.2">
      <c r="A5" s="5" t="str">
        <f>HYPERLINK("#'Results - Product EI'!A1", "Results - Product EI")</f>
        <v>Results - Product EI</v>
      </c>
      <c r="D5" s="2" t="s">
        <v>1804</v>
      </c>
      <c r="E5" s="155"/>
      <c r="F5" s="155"/>
      <c r="G5" s="155"/>
      <c r="H5" s="155"/>
      <c r="I5" s="155"/>
      <c r="J5" s="155"/>
      <c r="K5" s="155"/>
      <c r="L5" s="155"/>
    </row>
    <row r="6" spans="1:35" ht="20.100000000000001" customHeight="1" x14ac:dyDescent="0.2">
      <c r="D6" s="1" t="s">
        <v>1805</v>
      </c>
      <c r="E6" s="155"/>
      <c r="F6" s="155"/>
      <c r="G6" s="155"/>
      <c r="H6" s="155"/>
      <c r="I6" s="155"/>
      <c r="J6" s="155"/>
      <c r="K6" s="155"/>
      <c r="L6" s="155"/>
    </row>
    <row r="7" spans="1:35" ht="20.100000000000001" customHeight="1" x14ac:dyDescent="0.2">
      <c r="D7" s="17" t="s">
        <v>1806</v>
      </c>
      <c r="E7" s="155"/>
      <c r="F7" s="155"/>
      <c r="G7" s="155"/>
      <c r="H7" s="155"/>
      <c r="I7" s="155"/>
      <c r="J7" s="155"/>
      <c r="K7" s="155"/>
      <c r="L7" s="155"/>
    </row>
    <row r="8" spans="1:35" ht="20.100000000000001" customHeight="1" x14ac:dyDescent="0.2">
      <c r="A8" s="7" t="s">
        <v>0</v>
      </c>
      <c r="D8" s="26" t="str" cm="1">
        <f t="array" ref="D8">"⚠️" &amp; Fuel_SourceData.Fuel_Scope1Scope3EmissionFactorsTransport_Variation()</f>
        <v>⚠️VARIATION OF SOURCE DATA: 'NE' values returned as zero for calculations.</v>
      </c>
      <c r="E8" s="155"/>
      <c r="F8" s="155"/>
      <c r="G8" s="155"/>
      <c r="H8" s="155"/>
      <c r="I8" s="155"/>
      <c r="J8" s="155"/>
      <c r="K8" s="155"/>
      <c r="L8" s="155"/>
    </row>
    <row r="9" spans="1:35" ht="20.100000000000001" customHeight="1" x14ac:dyDescent="0.2">
      <c r="A9" s="5" t="str">
        <f>HYPERLINK("#'Input - Enterprise'!A1", "Enterprise")</f>
        <v>Enterprise</v>
      </c>
      <c r="D9" s="206" t="s">
        <v>597</v>
      </c>
      <c r="E9" s="206" t="s">
        <v>598</v>
      </c>
      <c r="F9" s="206" t="s">
        <v>599</v>
      </c>
      <c r="G9" s="206" t="s">
        <v>600</v>
      </c>
      <c r="H9" s="206" t="s">
        <v>601</v>
      </c>
      <c r="I9" s="206" t="s">
        <v>602</v>
      </c>
      <c r="J9" s="206" t="s">
        <v>603</v>
      </c>
      <c r="K9" s="206" t="s">
        <v>604</v>
      </c>
      <c r="L9" s="206" t="s">
        <v>605</v>
      </c>
    </row>
    <row r="10" spans="1:35" ht="20.100000000000001" customHeight="1" x14ac:dyDescent="0.2">
      <c r="A10" s="5" t="str">
        <f>HYPERLINK("#'Input - Site'!A1", "Site")</f>
        <v>Site</v>
      </c>
      <c r="D10" s="207" t="s">
        <v>560</v>
      </c>
      <c r="E10" s="207" t="s">
        <v>1807</v>
      </c>
      <c r="F10" s="207">
        <v>34.200000000000003</v>
      </c>
      <c r="G10" s="207" t="s">
        <v>1808</v>
      </c>
      <c r="H10" s="207">
        <v>67.400000000000006</v>
      </c>
      <c r="I10" s="207">
        <v>0.02</v>
      </c>
      <c r="J10" s="207">
        <v>0.2</v>
      </c>
      <c r="K10" s="207">
        <v>67.62</v>
      </c>
      <c r="L10" s="207">
        <v>17.2</v>
      </c>
    </row>
    <row r="11" spans="1:35" ht="20.100000000000001" customHeight="1" x14ac:dyDescent="0.2">
      <c r="A11" s="5" t="str">
        <f>HYPERLINK("#'Input - Crop'!A1", "Crop")</f>
        <v>Crop</v>
      </c>
      <c r="D11" s="207" t="s">
        <v>560</v>
      </c>
      <c r="E11" s="207" t="s">
        <v>1809</v>
      </c>
      <c r="F11" s="207">
        <v>38.6</v>
      </c>
      <c r="G11" s="207" t="s">
        <v>1808</v>
      </c>
      <c r="H11" s="207">
        <v>69.900000000000006</v>
      </c>
      <c r="I11" s="207">
        <v>0.01</v>
      </c>
      <c r="J11" s="207">
        <v>0.5</v>
      </c>
      <c r="K11" s="207">
        <v>70.41</v>
      </c>
      <c r="L11" s="207">
        <v>17.3</v>
      </c>
    </row>
    <row r="12" spans="1:35" ht="20.100000000000001" customHeight="1" x14ac:dyDescent="0.2">
      <c r="A12" s="5" t="str">
        <f>HYPERLINK("#'Input - Fert Prod System'!A1", "Fert Prod System")</f>
        <v>Fert Prod System</v>
      </c>
      <c r="D12" s="207" t="s">
        <v>560</v>
      </c>
      <c r="E12" s="207" t="s">
        <v>622</v>
      </c>
      <c r="F12" s="207">
        <v>26.2</v>
      </c>
      <c r="G12" s="207" t="s">
        <v>1808</v>
      </c>
      <c r="H12" s="207">
        <v>60.2</v>
      </c>
      <c r="I12" s="207">
        <v>0.5</v>
      </c>
      <c r="J12" s="207">
        <v>0.3</v>
      </c>
      <c r="K12" s="207">
        <v>61</v>
      </c>
      <c r="L12" s="207">
        <v>20.2</v>
      </c>
    </row>
    <row r="13" spans="1:35" ht="20.100000000000001" customHeight="1" x14ac:dyDescent="0.2">
      <c r="A13" s="5" t="str">
        <f>HYPERLINK("#'Input - Fertiliser'!A1", "Fertiliser")</f>
        <v>Fertiliser</v>
      </c>
      <c r="D13" s="207" t="s">
        <v>560</v>
      </c>
      <c r="E13" s="207" t="s">
        <v>564</v>
      </c>
      <c r="F13" s="207">
        <v>39.700000000000003</v>
      </c>
      <c r="G13" s="207" t="s">
        <v>1808</v>
      </c>
      <c r="H13" s="207">
        <v>73.599999999999994</v>
      </c>
      <c r="I13" s="207">
        <v>0.08</v>
      </c>
      <c r="J13" s="207">
        <v>0.5</v>
      </c>
      <c r="K13" s="207">
        <v>74.180000000000007</v>
      </c>
      <c r="L13" s="207">
        <v>18</v>
      </c>
    </row>
    <row r="14" spans="1:35" ht="20.100000000000001" customHeight="1" x14ac:dyDescent="0.2">
      <c r="A14" s="5" t="str">
        <f>HYPERLINK("#'Input - Fuel'!A1", "Fuel")</f>
        <v>Fuel</v>
      </c>
      <c r="D14" s="207" t="s">
        <v>560</v>
      </c>
      <c r="E14" s="207" t="s">
        <v>624</v>
      </c>
      <c r="F14" s="207">
        <v>23.4</v>
      </c>
      <c r="G14" s="207" t="s">
        <v>1808</v>
      </c>
      <c r="H14" s="207">
        <v>0</v>
      </c>
      <c r="I14" s="207">
        <v>0.2</v>
      </c>
      <c r="J14" s="207">
        <v>0.2</v>
      </c>
      <c r="K14" s="207">
        <v>0.4</v>
      </c>
      <c r="L14" s="207" t="s">
        <v>1810</v>
      </c>
    </row>
    <row r="15" spans="1:35" ht="20.100000000000001" customHeight="1" x14ac:dyDescent="0.2">
      <c r="A15" s="5" t="str">
        <f>HYPERLINK("#'Input - Electricity'!A1", "Electricity")</f>
        <v>Electricity</v>
      </c>
      <c r="D15" s="207" t="s">
        <v>560</v>
      </c>
      <c r="E15" s="207" t="s">
        <v>623</v>
      </c>
      <c r="F15" s="207">
        <v>34.6</v>
      </c>
      <c r="G15" s="207" t="s">
        <v>1808</v>
      </c>
      <c r="H15" s="207">
        <v>0</v>
      </c>
      <c r="I15" s="207">
        <v>0.8</v>
      </c>
      <c r="J15" s="207">
        <v>1.7</v>
      </c>
      <c r="K15" s="207">
        <v>2.5</v>
      </c>
      <c r="L15" s="207" t="s">
        <v>1810</v>
      </c>
    </row>
    <row r="16" spans="1:35" ht="20.100000000000001" customHeight="1" x14ac:dyDescent="0.2">
      <c r="A16" s="5" t="str">
        <f>HYPERLINK("#'Input - Common farm inputs'!A1", "Common farm inputs")</f>
        <v>Common farm inputs</v>
      </c>
      <c r="D16" s="207" t="s">
        <v>560</v>
      </c>
      <c r="E16" s="207" t="s">
        <v>626</v>
      </c>
      <c r="F16" s="207">
        <v>38.6</v>
      </c>
      <c r="G16" s="207" t="s">
        <v>1808</v>
      </c>
      <c r="H16" s="207">
        <v>0</v>
      </c>
      <c r="I16" s="207">
        <v>0.01</v>
      </c>
      <c r="J16" s="207">
        <v>0.5</v>
      </c>
      <c r="K16" s="207">
        <v>0.51</v>
      </c>
      <c r="L16" s="207" t="s">
        <v>1810</v>
      </c>
    </row>
    <row r="17" spans="1:12" ht="20.100000000000001" customHeight="1" x14ac:dyDescent="0.2">
      <c r="A17" s="5" t="str">
        <f>HYPERLINK("#'Input - Crop pasture farm input'!A1", "Crop pasture farm input")</f>
        <v>Crop pasture farm input</v>
      </c>
      <c r="D17" s="207" t="s">
        <v>560</v>
      </c>
      <c r="E17" s="207" t="s">
        <v>625</v>
      </c>
      <c r="F17" s="207">
        <v>23.4</v>
      </c>
      <c r="G17" s="207" t="s">
        <v>1808</v>
      </c>
      <c r="H17" s="207">
        <v>0</v>
      </c>
      <c r="I17" s="207">
        <v>0.8</v>
      </c>
      <c r="J17" s="207">
        <v>1.7</v>
      </c>
      <c r="K17" s="207">
        <v>2.5</v>
      </c>
      <c r="L17" s="207" t="s">
        <v>1810</v>
      </c>
    </row>
    <row r="18" spans="1:12" ht="20.100000000000001" customHeight="1" x14ac:dyDescent="0.2">
      <c r="A18" s="5" t="str">
        <f>HYPERLINK("#'Input - Freight'!A1", "Freight")</f>
        <v>Freight</v>
      </c>
      <c r="D18" s="207" t="s">
        <v>1811</v>
      </c>
      <c r="E18" s="207" t="s">
        <v>1812</v>
      </c>
      <c r="F18" s="207">
        <v>3.9300000000000002E-2</v>
      </c>
      <c r="G18" s="207" t="s">
        <v>1313</v>
      </c>
      <c r="H18" s="207">
        <v>51.4</v>
      </c>
      <c r="I18" s="207">
        <v>7.3</v>
      </c>
      <c r="J18" s="207">
        <v>0.3</v>
      </c>
      <c r="K18" s="207">
        <v>59</v>
      </c>
      <c r="L18" s="207">
        <v>18</v>
      </c>
    </row>
    <row r="19" spans="1:12" ht="20.100000000000001" customHeight="1" x14ac:dyDescent="0.2">
      <c r="A19" s="5" t="str">
        <f>HYPERLINK("#'Input - Solid waste'!A1", "Solid waste")</f>
        <v>Solid waste</v>
      </c>
      <c r="D19" s="207" t="s">
        <v>1811</v>
      </c>
      <c r="E19" s="207" t="s">
        <v>1813</v>
      </c>
      <c r="F19" s="207">
        <v>25.3</v>
      </c>
      <c r="G19" s="207" t="s">
        <v>1808</v>
      </c>
      <c r="H19" s="207">
        <v>51.4</v>
      </c>
      <c r="I19" s="207">
        <v>7.3</v>
      </c>
      <c r="J19" s="207">
        <v>0.3</v>
      </c>
      <c r="K19" s="207">
        <v>59</v>
      </c>
      <c r="L19" s="207">
        <v>18</v>
      </c>
    </row>
    <row r="20" spans="1:12" ht="20.100000000000001" customHeight="1" x14ac:dyDescent="0.2">
      <c r="A20" s="5" t="str">
        <f>HYPERLINK("#'Input - Data quality'!A1", "Data quality")</f>
        <v>Data quality</v>
      </c>
      <c r="D20" s="207" t="s">
        <v>1814</v>
      </c>
      <c r="E20" s="207" t="s">
        <v>1812</v>
      </c>
      <c r="F20" s="207">
        <v>3.9300000000000002E-2</v>
      </c>
      <c r="G20" s="207" t="s">
        <v>1313</v>
      </c>
      <c r="H20" s="207">
        <v>51.4</v>
      </c>
      <c r="I20" s="207">
        <v>2.8</v>
      </c>
      <c r="J20" s="207">
        <v>0.3</v>
      </c>
      <c r="K20" s="207">
        <v>54.5</v>
      </c>
      <c r="L20" s="207">
        <v>18</v>
      </c>
    </row>
    <row r="21" spans="1:12" ht="20.100000000000001" customHeight="1" x14ac:dyDescent="0.2">
      <c r="D21" s="207" t="s">
        <v>1814</v>
      </c>
      <c r="E21" s="207" t="s">
        <v>1813</v>
      </c>
      <c r="F21" s="207">
        <v>25.3</v>
      </c>
      <c r="G21" s="207" t="s">
        <v>1808</v>
      </c>
      <c r="H21" s="207">
        <v>51.4</v>
      </c>
      <c r="I21" s="207">
        <v>2.8</v>
      </c>
      <c r="J21" s="207">
        <v>0.3</v>
      </c>
      <c r="K21" s="207">
        <v>54.5</v>
      </c>
      <c r="L21" s="207">
        <v>18</v>
      </c>
    </row>
    <row r="22" spans="1:12" ht="20.100000000000001" customHeight="1" x14ac:dyDescent="0.2">
      <c r="D22" s="207" t="s">
        <v>1814</v>
      </c>
      <c r="E22" s="207" t="s">
        <v>1815</v>
      </c>
      <c r="F22" s="207">
        <v>38.6</v>
      </c>
      <c r="G22" s="207" t="s">
        <v>1808</v>
      </c>
      <c r="H22" s="207">
        <v>69.900000000000006</v>
      </c>
      <c r="I22" s="207">
        <v>7.0000000000000007E-2</v>
      </c>
      <c r="J22" s="207">
        <v>0.4</v>
      </c>
      <c r="K22" s="207">
        <v>70.37</v>
      </c>
      <c r="L22" s="207">
        <v>17.3</v>
      </c>
    </row>
    <row r="23" spans="1:12" ht="20.100000000000001" customHeight="1" x14ac:dyDescent="0.2">
      <c r="A23" s="6" t="s">
        <v>2</v>
      </c>
      <c r="D23" s="207" t="s">
        <v>1814</v>
      </c>
      <c r="E23" s="207" t="s">
        <v>1816</v>
      </c>
      <c r="F23" s="207">
        <v>38.6</v>
      </c>
      <c r="G23" s="207" t="s">
        <v>1808</v>
      </c>
      <c r="H23" s="207">
        <v>69.900000000000006</v>
      </c>
      <c r="I23" s="207">
        <v>0.1</v>
      </c>
      <c r="J23" s="207">
        <v>0.4</v>
      </c>
      <c r="K23" s="207">
        <v>70.400000000000006</v>
      </c>
      <c r="L23" s="207">
        <v>17.3</v>
      </c>
    </row>
    <row r="24" spans="1:12" ht="20.100000000000001" customHeight="1" x14ac:dyDescent="0.2">
      <c r="A24" s="5" t="str">
        <f>HYPERLINK("#'5.1.1.1-2 Inorganic fert N2O'!A1", "5.1.1.1-2 Inorganic fert N2O")</f>
        <v>5.1.1.1-2 Inorganic fert N2O</v>
      </c>
      <c r="D24" s="207" t="s">
        <v>1814</v>
      </c>
      <c r="E24" s="207" t="s">
        <v>1817</v>
      </c>
      <c r="F24" s="207">
        <v>38.6</v>
      </c>
      <c r="G24" s="207" t="s">
        <v>1808</v>
      </c>
      <c r="H24" s="207">
        <v>69.900000000000006</v>
      </c>
      <c r="I24" s="207">
        <v>0.2</v>
      </c>
      <c r="J24" s="207">
        <v>0.4</v>
      </c>
      <c r="K24" s="207">
        <v>70.5</v>
      </c>
      <c r="L24" s="207">
        <v>17.3</v>
      </c>
    </row>
    <row r="25" spans="1:12" ht="20.100000000000001" customHeight="1" x14ac:dyDescent="0.2">
      <c r="A25" s="5" t="str">
        <f>HYPERLINK("#'5.1.1.3-4 Inorganic fert CO2'!A1", "5.1.1.3-4 Inorganic fert CO2")</f>
        <v>5.1.1.3-4 Inorganic fert CO2</v>
      </c>
      <c r="D25" s="207" t="s">
        <v>1814</v>
      </c>
      <c r="E25" s="207" t="s">
        <v>634</v>
      </c>
      <c r="F25" s="207">
        <v>38.6</v>
      </c>
      <c r="G25" s="207" t="s">
        <v>1808</v>
      </c>
      <c r="H25" s="207">
        <v>0</v>
      </c>
      <c r="I25" s="207">
        <v>7.0000000000000007E-2</v>
      </c>
      <c r="J25" s="207">
        <v>0.4</v>
      </c>
      <c r="K25" s="207">
        <v>0.47</v>
      </c>
      <c r="L25" s="207" t="s">
        <v>1810</v>
      </c>
    </row>
    <row r="26" spans="1:12" ht="20.100000000000001" customHeight="1" x14ac:dyDescent="0.2">
      <c r="A26" s="5" t="str">
        <f>HYPERLINK("#'5.2.1.1-2 Organic Fert N2O'!A1", "5.2.1.1-2 Organic fert N2O")</f>
        <v>5.2.1.1-2 Organic fert N2O</v>
      </c>
      <c r="D26" s="207" t="s">
        <v>1814</v>
      </c>
      <c r="E26" s="207" t="s">
        <v>635</v>
      </c>
      <c r="F26" s="207">
        <v>38.6</v>
      </c>
      <c r="G26" s="207" t="s">
        <v>1808</v>
      </c>
      <c r="H26" s="207">
        <v>0</v>
      </c>
      <c r="I26" s="207">
        <v>0.1</v>
      </c>
      <c r="J26" s="207">
        <v>0.4</v>
      </c>
      <c r="K26" s="207">
        <v>0.5</v>
      </c>
      <c r="L26" s="207" t="s">
        <v>1810</v>
      </c>
    </row>
    <row r="27" spans="1:12" ht="20.100000000000001" customHeight="1" x14ac:dyDescent="0.2">
      <c r="A27" s="5" t="str">
        <f>HYPERLINK("#'5.3.1.1-2 Lime CO2'!A1", "5.3.1.1-2 Lime CO2")</f>
        <v>5.3.1.1-2 Lime CO2</v>
      </c>
      <c r="D27" s="207" t="s">
        <v>1814</v>
      </c>
      <c r="E27" s="207" t="s">
        <v>636</v>
      </c>
      <c r="F27" s="207">
        <v>38.6</v>
      </c>
      <c r="G27" s="207" t="s">
        <v>1808</v>
      </c>
      <c r="H27" s="207">
        <v>0</v>
      </c>
      <c r="I27" s="207">
        <v>0.2</v>
      </c>
      <c r="J27" s="207">
        <v>0.4</v>
      </c>
      <c r="K27" s="207">
        <v>0.6</v>
      </c>
      <c r="L27" s="207" t="s">
        <v>1810</v>
      </c>
    </row>
    <row r="28" spans="1:12" ht="20.100000000000001" customHeight="1" x14ac:dyDescent="0.2">
      <c r="A28" s="5" t="str">
        <f>HYPERLINK("#'5.4.1.1-4 Atmos deposition'!A1", "5.4.1.1-4 Atmos. deposition")</f>
        <v>5.4.1.1-4 Atmos. deposition</v>
      </c>
      <c r="D28" s="207" t="s">
        <v>617</v>
      </c>
      <c r="E28" s="207" t="s">
        <v>1818</v>
      </c>
      <c r="F28" s="207">
        <v>33.1</v>
      </c>
      <c r="G28" s="207" t="s">
        <v>1808</v>
      </c>
      <c r="H28" s="207">
        <v>67</v>
      </c>
      <c r="I28" s="207">
        <v>0.06</v>
      </c>
      <c r="J28" s="207">
        <v>0.6</v>
      </c>
      <c r="K28" s="207">
        <v>67.66</v>
      </c>
      <c r="L28" s="207">
        <v>18</v>
      </c>
    </row>
    <row r="29" spans="1:12" ht="20.100000000000001" customHeight="1" x14ac:dyDescent="0.2">
      <c r="A29" s="5" t="str">
        <f>HYPERLINK("#'5.5.1.1-2 Leaching and runoff'!A1", "5.5.1.1-2 Leaching &amp; runoff")</f>
        <v>5.5.1.1-2 Leaching &amp; runoff</v>
      </c>
      <c r="D29" s="207" t="s">
        <v>617</v>
      </c>
      <c r="E29" s="207" t="s">
        <v>1819</v>
      </c>
      <c r="F29" s="207">
        <v>36.799999999999997</v>
      </c>
      <c r="G29" s="207" t="s">
        <v>1808</v>
      </c>
      <c r="H29" s="207">
        <v>69.599999999999994</v>
      </c>
      <c r="I29" s="207">
        <v>0.01</v>
      </c>
      <c r="J29" s="207">
        <v>0.6</v>
      </c>
      <c r="K29" s="207">
        <v>70.209999999999994</v>
      </c>
      <c r="L29" s="207">
        <v>18</v>
      </c>
    </row>
    <row r="30" spans="1:12" ht="20.100000000000001" customHeight="1" x14ac:dyDescent="0.2">
      <c r="A30" s="5" t="str">
        <f>HYPERLINK("#'6.1.1.1-2 Crop residue N2O'!A1", "6.1.1.1-2 Crop residue N2O")</f>
        <v>6.1.1.1-2 Crop residue N2O</v>
      </c>
      <c r="D30" s="207" t="s">
        <v>617</v>
      </c>
      <c r="E30" s="207" t="s">
        <v>629</v>
      </c>
      <c r="F30" s="207">
        <v>36.799999999999997</v>
      </c>
      <c r="G30" s="207" t="s">
        <v>1808</v>
      </c>
      <c r="H30" s="207">
        <v>0</v>
      </c>
      <c r="I30" s="207">
        <v>0.01</v>
      </c>
      <c r="J30" s="207">
        <v>0.6</v>
      </c>
      <c r="K30" s="207">
        <v>0.61</v>
      </c>
      <c r="L30" s="207" t="s">
        <v>1810</v>
      </c>
    </row>
    <row r="31" spans="1:12" ht="20.100000000000001" customHeight="1" x14ac:dyDescent="0.2">
      <c r="A31" s="5" t="str">
        <f>HYPERLINK("#'6.3.1.1-2 Leach runoff crop'!A1", "6.3.1.1-2 Leach &amp; runoff (crop)")</f>
        <v>6.3.1.1-2 Leach &amp; runoff (crop)</v>
      </c>
      <c r="D31" s="207" t="s">
        <v>563</v>
      </c>
      <c r="E31" s="207" t="s">
        <v>1807</v>
      </c>
      <c r="F31" s="207">
        <v>34.200000000000003</v>
      </c>
      <c r="G31" s="207" t="s">
        <v>620</v>
      </c>
      <c r="H31" s="207">
        <v>67.400000000000006</v>
      </c>
      <c r="I31" s="207">
        <v>10.1</v>
      </c>
      <c r="J31" s="207">
        <v>0.3</v>
      </c>
      <c r="K31" s="207"/>
      <c r="L31" s="207">
        <v>17.2</v>
      </c>
    </row>
    <row r="32" spans="1:12" ht="20.100000000000001" customHeight="1" x14ac:dyDescent="0.2">
      <c r="A32" s="5" t="str">
        <f>HYPERLINK("#'6.4.1.1-2 Residue burning'!A1", "6.4.1.1-2 Residue burning")</f>
        <v>6.4.1.1-2 Residue burning</v>
      </c>
      <c r="D32" s="208" t="s">
        <v>563</v>
      </c>
      <c r="E32" s="208" t="s">
        <v>1809</v>
      </c>
      <c r="F32" s="208">
        <v>38.6</v>
      </c>
      <c r="G32" s="208" t="s">
        <v>620</v>
      </c>
      <c r="H32" s="208">
        <v>69.900000000000006</v>
      </c>
      <c r="I32" s="208">
        <v>0.2</v>
      </c>
      <c r="J32" s="208">
        <v>0.5</v>
      </c>
      <c r="K32" s="208"/>
      <c r="L32" s="208">
        <v>17.3</v>
      </c>
    </row>
    <row r="33" spans="1:12" ht="20.100000000000001" customHeight="1" x14ac:dyDescent="0.2">
      <c r="A33" s="5" t="str">
        <f>HYPERLINK("#'8.1.1.1-2 Transport fuel'!A1", "8.1.1.1-2 Transport fuel")</f>
        <v>8.1.1.1-2 Transport fuel</v>
      </c>
      <c r="D33" s="208" t="s">
        <v>563</v>
      </c>
      <c r="E33" s="208" t="s">
        <v>1820</v>
      </c>
      <c r="F33" s="208">
        <v>39.700000000000003</v>
      </c>
      <c r="G33" s="208" t="s">
        <v>620</v>
      </c>
      <c r="H33" s="208">
        <v>73.599999999999994</v>
      </c>
      <c r="I33" s="208">
        <v>0.2</v>
      </c>
      <c r="J33" s="208">
        <v>0.5</v>
      </c>
      <c r="K33" s="208"/>
      <c r="L33" s="208">
        <v>18</v>
      </c>
    </row>
    <row r="34" spans="1:12" ht="20.100000000000001" customHeight="1" x14ac:dyDescent="0.2">
      <c r="A34" s="5" t="str">
        <f>HYPERLINK("#'8.2.1.1-2 Stationary fuel'!A1", "8.2.1.1-2 Stationary fuel")</f>
        <v>8.2.1.1-2 Stationary fuel</v>
      </c>
      <c r="D34" s="208" t="s">
        <v>562</v>
      </c>
      <c r="E34" s="208" t="s">
        <v>1809</v>
      </c>
      <c r="F34" s="208">
        <v>38.6</v>
      </c>
      <c r="G34" s="208" t="s">
        <v>620</v>
      </c>
      <c r="H34" s="208">
        <v>69.900000000000006</v>
      </c>
      <c r="I34" s="208">
        <v>0.3</v>
      </c>
      <c r="J34" s="208">
        <v>0.5</v>
      </c>
      <c r="K34" s="208"/>
      <c r="L34" s="208">
        <v>17.3</v>
      </c>
    </row>
    <row r="35" spans="1:12" ht="20.100000000000001" customHeight="1" x14ac:dyDescent="0.2">
      <c r="A35" s="5" t="str">
        <f>HYPERLINK("#'10.1.1-2 Solid waste treatment'!A1", "10.1.1.1-2 Solid waste")</f>
        <v>10.1.1.1-2 Solid waste</v>
      </c>
    </row>
    <row r="36" spans="1:12" ht="20.100000000000001" customHeight="1" x14ac:dyDescent="0.2">
      <c r="A36" s="5" t="str">
        <f>HYPERLINK("#'14.1.1-2 Purchased electricity'!A1", "14.1.1-2 Purchased electricity")</f>
        <v>14.1.1-2 Purchased electricity</v>
      </c>
    </row>
    <row r="37" spans="1:12" ht="20.100000000000001" customHeight="1" x14ac:dyDescent="0.2">
      <c r="A37" s="5" t="str">
        <f>HYPERLINK("#'15 Scope 3'!A1", "15 Scope 3")</f>
        <v>15 Scope 3</v>
      </c>
      <c r="D37" s="2" t="s">
        <v>1821</v>
      </c>
    </row>
    <row r="38" spans="1:12" ht="20.100000000000001" customHeight="1" x14ac:dyDescent="0.2">
      <c r="D38" s="17" t="s">
        <v>1822</v>
      </c>
    </row>
    <row r="39" spans="1:12" ht="20.100000000000001" customHeight="1" x14ac:dyDescent="0.2">
      <c r="D39" s="20" t="s">
        <v>606</v>
      </c>
      <c r="E39" s="20" t="s">
        <v>607</v>
      </c>
      <c r="F39" s="20" t="s">
        <v>608</v>
      </c>
      <c r="G39" s="20" t="s">
        <v>609</v>
      </c>
      <c r="H39" s="20" t="s">
        <v>610</v>
      </c>
      <c r="I39" s="20" t="s">
        <v>611</v>
      </c>
      <c r="J39" s="20" t="s">
        <v>612</v>
      </c>
    </row>
    <row r="40" spans="1:12" ht="20.100000000000001" customHeight="1" x14ac:dyDescent="0.2">
      <c r="A40" s="82" t="s">
        <v>1</v>
      </c>
      <c r="D40" s="20" t="s">
        <v>1823</v>
      </c>
      <c r="E40" s="20" t="s">
        <v>559</v>
      </c>
      <c r="F40" s="20">
        <v>34.200000000000003</v>
      </c>
      <c r="G40" s="20">
        <v>67.400000000000006</v>
      </c>
      <c r="H40" s="20">
        <v>10.1</v>
      </c>
      <c r="I40" s="20">
        <v>0.3</v>
      </c>
      <c r="J40" s="20">
        <v>17.2</v>
      </c>
    </row>
    <row r="41" spans="1:12" ht="20.100000000000001" customHeight="1" x14ac:dyDescent="0.2">
      <c r="A41" s="5" t="str">
        <f>HYPERLINK("#'Constants - Ag Residue'!A1", "Constants - Ag residue")</f>
        <v>Constants - Ag residue</v>
      </c>
      <c r="D41" s="1" t="s">
        <v>1823</v>
      </c>
      <c r="E41" s="20" t="s">
        <v>561</v>
      </c>
      <c r="F41" s="20">
        <v>38.6</v>
      </c>
      <c r="G41" s="20">
        <v>69.900000000000006</v>
      </c>
      <c r="H41" s="20">
        <v>0.2</v>
      </c>
      <c r="I41" s="20">
        <v>0.5</v>
      </c>
      <c r="J41" s="20">
        <v>17.3</v>
      </c>
    </row>
    <row r="42" spans="1:12" ht="20.100000000000001" customHeight="1" x14ac:dyDescent="0.2">
      <c r="A42" s="5" t="str">
        <f>HYPERLINK("#'Constants - Electricity'!A1", "Constants - Electricity")</f>
        <v>Constants - Electricity</v>
      </c>
      <c r="D42" s="1" t="s">
        <v>1823</v>
      </c>
      <c r="E42" s="20" t="s">
        <v>1820</v>
      </c>
      <c r="F42" s="20">
        <v>39.700000000000003</v>
      </c>
      <c r="G42" s="20">
        <v>73.599999999999994</v>
      </c>
      <c r="H42" s="20">
        <v>0.2</v>
      </c>
      <c r="I42" s="20">
        <v>0.5</v>
      </c>
      <c r="J42" s="20">
        <v>18</v>
      </c>
    </row>
    <row r="43" spans="1:12" ht="20.100000000000001" customHeight="1" x14ac:dyDescent="0.2">
      <c r="A43" s="5" t="str">
        <f>HYPERLINK("#'Constants - Fertiliser'!A1", "Constants - Fertiliser")</f>
        <v>Constants - Fertiliser</v>
      </c>
      <c r="D43" s="1" t="s">
        <v>562</v>
      </c>
      <c r="E43" s="20" t="s">
        <v>561</v>
      </c>
      <c r="F43" s="20">
        <v>38.6</v>
      </c>
      <c r="G43" s="20">
        <v>69.900000000000006</v>
      </c>
      <c r="H43" s="20">
        <v>0.3</v>
      </c>
      <c r="I43" s="20">
        <v>0.5</v>
      </c>
      <c r="J43" s="20">
        <v>17.3</v>
      </c>
    </row>
    <row r="44" spans="1:12" ht="20.100000000000001" customHeight="1" x14ac:dyDescent="0.2">
      <c r="A44" s="83" t="str">
        <f>HYPERLINK("#'Constants - Fuel'!A1", "Constants - Fuel")</f>
        <v>Constants - Fuel</v>
      </c>
    </row>
    <row r="45" spans="1:12" ht="20.100000000000001" customHeight="1" x14ac:dyDescent="0.2">
      <c r="A45" s="5" t="str">
        <f>HYPERLINK("#'Constants - Scope 3'!A1", "Constants - Scope 3")</f>
        <v>Constants - Scope 3</v>
      </c>
    </row>
    <row r="46" spans="1:12" ht="20.100000000000001" customHeight="1" x14ac:dyDescent="0.2">
      <c r="A46" s="5" t="str">
        <f>HYPERLINK("#'Constants - Solid Waste'!A1", "Constants - Solid Waste")</f>
        <v>Constants - Solid Waste</v>
      </c>
    </row>
    <row r="47" spans="1:12" ht="20.100000000000001" customHeight="1" x14ac:dyDescent="0.2">
      <c r="A47" s="5" t="str">
        <f>HYPERLINK("#'Constants - Common'!A1", "Constants - Common")</f>
        <v>Constants - Common</v>
      </c>
    </row>
    <row r="48" spans="1:12" ht="20.100000000000001" customHeight="1" x14ac:dyDescent="0.2">
      <c r="A48" s="5" t="str">
        <f>HYPERLINK("#'Constants - Common Livestock'!A1", "Constants - Common Livestock")</f>
        <v>Constants - Common Livestock</v>
      </c>
    </row>
    <row r="49" spans="1:12" ht="20.100000000000001" customHeight="1" x14ac:dyDescent="0.2">
      <c r="D49" s="2" t="s">
        <v>1824</v>
      </c>
      <c r="E49" s="155"/>
      <c r="F49" s="155"/>
      <c r="G49" s="155"/>
      <c r="H49" s="155"/>
      <c r="I49" s="155"/>
      <c r="J49" s="155"/>
      <c r="K49" s="155"/>
      <c r="L49" s="155"/>
    </row>
    <row r="50" spans="1:12" ht="20.100000000000001" customHeight="1" x14ac:dyDescent="0.2">
      <c r="D50" s="1" t="s">
        <v>1825</v>
      </c>
      <c r="E50" s="155"/>
      <c r="F50" s="155"/>
      <c r="G50" s="155"/>
      <c r="H50" s="155"/>
      <c r="I50" s="155"/>
      <c r="J50" s="155"/>
      <c r="K50" s="155"/>
      <c r="L50" s="155"/>
    </row>
    <row r="51" spans="1:12" ht="20.100000000000001" customHeight="1" x14ac:dyDescent="0.2">
      <c r="D51" s="17" t="s">
        <v>1826</v>
      </c>
      <c r="E51" s="155"/>
      <c r="F51" s="155"/>
      <c r="G51" s="155"/>
      <c r="H51" s="155"/>
      <c r="I51" s="155"/>
      <c r="J51" s="155"/>
      <c r="K51" s="155"/>
      <c r="L51" s="155"/>
    </row>
    <row r="52" spans="1:12" ht="20.100000000000001" customHeight="1" x14ac:dyDescent="0.2">
      <c r="D52" s="26" t="str" cm="1">
        <f t="array" ref="D52">"⚠️" &amp; Fuel_SourceData.Fuel_Scope1Scope3EmissionFactorsStationaryLiquid_Variation()</f>
        <v>⚠️VARIATION OF SOURCE DATA: 'NE' values returned as zero for calculations.</v>
      </c>
      <c r="E52" s="155"/>
      <c r="F52" s="155"/>
      <c r="G52" s="155"/>
      <c r="H52" s="155"/>
      <c r="I52" s="155"/>
      <c r="J52" s="155"/>
      <c r="K52" s="155"/>
      <c r="L52" s="155"/>
    </row>
    <row r="53" spans="1:12" ht="20.100000000000001" customHeight="1" x14ac:dyDescent="0.2">
      <c r="D53" s="175" t="s">
        <v>598</v>
      </c>
      <c r="E53" s="206" t="s">
        <v>599</v>
      </c>
      <c r="F53" s="175" t="s">
        <v>600</v>
      </c>
      <c r="G53" s="206" t="s">
        <v>601</v>
      </c>
      <c r="H53" s="206" t="s">
        <v>602</v>
      </c>
      <c r="I53" s="206" t="s">
        <v>603</v>
      </c>
      <c r="J53" s="206" t="s">
        <v>604</v>
      </c>
      <c r="K53" s="206" t="s">
        <v>605</v>
      </c>
      <c r="L53" s="155"/>
    </row>
    <row r="54" spans="1:12" ht="20.100000000000001" customHeight="1" x14ac:dyDescent="0.2">
      <c r="D54" s="207" t="s">
        <v>1827</v>
      </c>
      <c r="E54" s="207">
        <v>38.799999999999997</v>
      </c>
      <c r="F54" s="207" t="s">
        <v>1808</v>
      </c>
      <c r="G54" s="207">
        <v>13.9</v>
      </c>
      <c r="H54" s="207">
        <v>0</v>
      </c>
      <c r="I54" s="207">
        <v>0</v>
      </c>
      <c r="J54" s="207">
        <v>13.9</v>
      </c>
      <c r="K54" s="207">
        <v>18</v>
      </c>
      <c r="L54" s="155"/>
    </row>
    <row r="55" spans="1:12" ht="20.100000000000001" customHeight="1" x14ac:dyDescent="0.2">
      <c r="D55" s="207" t="s">
        <v>1828</v>
      </c>
      <c r="E55" s="207">
        <v>38.799999999999997</v>
      </c>
      <c r="F55" s="207" t="s">
        <v>1808</v>
      </c>
      <c r="G55" s="207">
        <v>3.5</v>
      </c>
      <c r="H55" s="207">
        <v>0</v>
      </c>
      <c r="I55" s="207">
        <v>0</v>
      </c>
      <c r="J55" s="207">
        <v>3.5</v>
      </c>
      <c r="K55" s="207">
        <v>18</v>
      </c>
      <c r="L55" s="155"/>
    </row>
    <row r="56" spans="1:12" ht="20.100000000000001" customHeight="1" x14ac:dyDescent="0.2">
      <c r="D56" s="207" t="s">
        <v>1829</v>
      </c>
      <c r="E56" s="207">
        <v>45.3</v>
      </c>
      <c r="F56" s="207" t="s">
        <v>1305</v>
      </c>
      <c r="G56" s="207">
        <v>69.599999999999994</v>
      </c>
      <c r="H56" s="207">
        <v>0.08</v>
      </c>
      <c r="I56" s="207">
        <v>0.2</v>
      </c>
      <c r="J56" s="207">
        <v>69.88</v>
      </c>
      <c r="K56" s="207" t="s">
        <v>1810</v>
      </c>
      <c r="L56" s="155"/>
    </row>
    <row r="57" spans="1:12" ht="20.100000000000001" customHeight="1" x14ac:dyDescent="0.2">
      <c r="D57" s="207" t="s">
        <v>1830</v>
      </c>
      <c r="E57" s="207">
        <v>46.5</v>
      </c>
      <c r="F57" s="207" t="s">
        <v>1305</v>
      </c>
      <c r="G57" s="207">
        <v>61</v>
      </c>
      <c r="H57" s="207">
        <v>0.08</v>
      </c>
      <c r="I57" s="207">
        <v>0.2</v>
      </c>
      <c r="J57" s="207">
        <v>61.28</v>
      </c>
      <c r="K57" s="207" t="s">
        <v>1810</v>
      </c>
      <c r="L57" s="155"/>
    </row>
    <row r="58" spans="1:12" ht="20.100000000000001" customHeight="1" x14ac:dyDescent="0.2">
      <c r="D58" s="207" t="s">
        <v>1831</v>
      </c>
      <c r="E58" s="207">
        <v>34.200000000000003</v>
      </c>
      <c r="F58" s="207" t="s">
        <v>620</v>
      </c>
      <c r="G58" s="207">
        <v>67.400000000000006</v>
      </c>
      <c r="H58" s="207">
        <v>0.2</v>
      </c>
      <c r="I58" s="207">
        <v>0.2</v>
      </c>
      <c r="J58" s="207">
        <v>67.8</v>
      </c>
      <c r="K58" s="207">
        <v>17.2</v>
      </c>
      <c r="L58" s="155"/>
    </row>
    <row r="59" spans="1:12" ht="20.100000000000001" customHeight="1" x14ac:dyDescent="0.2">
      <c r="A59" s="81" t="str">
        <f>HYPERLINK("#A1", "▲ Back to top")</f>
        <v>▲ Back to top</v>
      </c>
      <c r="D59" s="207" t="s">
        <v>1832</v>
      </c>
      <c r="E59" s="207">
        <v>33.1</v>
      </c>
      <c r="F59" s="207" t="s">
        <v>620</v>
      </c>
      <c r="G59" s="207">
        <v>67</v>
      </c>
      <c r="H59" s="207">
        <v>0.2</v>
      </c>
      <c r="I59" s="207">
        <v>0.2</v>
      </c>
      <c r="J59" s="207">
        <v>67.400000000000006</v>
      </c>
      <c r="K59" s="207">
        <v>18</v>
      </c>
      <c r="L59" s="155"/>
    </row>
    <row r="60" spans="1:12" ht="20.100000000000001" customHeight="1" x14ac:dyDescent="0.2">
      <c r="D60" s="207" t="s">
        <v>1833</v>
      </c>
      <c r="E60" s="207">
        <v>37.5</v>
      </c>
      <c r="F60" s="207" t="s">
        <v>620</v>
      </c>
      <c r="G60" s="207">
        <v>68.900000000000006</v>
      </c>
      <c r="H60" s="207">
        <v>0.01</v>
      </c>
      <c r="I60" s="207">
        <v>0.2</v>
      </c>
      <c r="J60" s="207">
        <v>69.11</v>
      </c>
      <c r="K60" s="207">
        <v>18</v>
      </c>
      <c r="L60" s="155"/>
    </row>
    <row r="61" spans="1:12" ht="20.100000000000001" customHeight="1" x14ac:dyDescent="0.2">
      <c r="D61" s="207" t="s">
        <v>1834</v>
      </c>
      <c r="E61" s="207">
        <v>36.799999999999997</v>
      </c>
      <c r="F61" s="207" t="s">
        <v>620</v>
      </c>
      <c r="G61" s="207">
        <v>69.599999999999994</v>
      </c>
      <c r="H61" s="207">
        <v>0.02</v>
      </c>
      <c r="I61" s="207">
        <v>0.2</v>
      </c>
      <c r="J61" s="207">
        <v>69.819999999999993</v>
      </c>
      <c r="K61" s="207">
        <v>18</v>
      </c>
      <c r="L61" s="155"/>
    </row>
    <row r="62" spans="1:12" ht="20.100000000000001" customHeight="1" x14ac:dyDescent="0.2">
      <c r="D62" s="207" t="s">
        <v>1835</v>
      </c>
      <c r="E62" s="207">
        <v>37.299999999999997</v>
      </c>
      <c r="F62" s="207" t="s">
        <v>620</v>
      </c>
      <c r="G62" s="207">
        <v>69.5</v>
      </c>
      <c r="H62" s="207">
        <v>0.03</v>
      </c>
      <c r="I62" s="207">
        <v>0.2</v>
      </c>
      <c r="J62" s="207">
        <v>69.73</v>
      </c>
      <c r="K62" s="207">
        <v>18</v>
      </c>
      <c r="L62" s="155"/>
    </row>
    <row r="63" spans="1:12" ht="20.100000000000001" customHeight="1" x14ac:dyDescent="0.2">
      <c r="D63" s="207" t="s">
        <v>1809</v>
      </c>
      <c r="E63" s="207">
        <v>38.6</v>
      </c>
      <c r="F63" s="207" t="s">
        <v>620</v>
      </c>
      <c r="G63" s="207">
        <v>69.900000000000006</v>
      </c>
      <c r="H63" s="207">
        <v>0.1</v>
      </c>
      <c r="I63" s="207">
        <v>0.2</v>
      </c>
      <c r="J63" s="207">
        <v>70.2</v>
      </c>
      <c r="K63" s="207">
        <v>17.3</v>
      </c>
      <c r="L63" s="155"/>
    </row>
    <row r="64" spans="1:12" ht="20.100000000000001" customHeight="1" x14ac:dyDescent="0.2">
      <c r="D64" s="207" t="s">
        <v>564</v>
      </c>
      <c r="E64" s="207">
        <v>39.700000000000003</v>
      </c>
      <c r="F64" s="207" t="s">
        <v>620</v>
      </c>
      <c r="G64" s="207">
        <v>73.599999999999994</v>
      </c>
      <c r="H64" s="207">
        <v>0.04</v>
      </c>
      <c r="I64" s="207">
        <v>0.2</v>
      </c>
      <c r="J64" s="207">
        <v>73.84</v>
      </c>
      <c r="K64" s="207">
        <v>18</v>
      </c>
      <c r="L64" s="155"/>
    </row>
    <row r="65" spans="4:13" ht="20.100000000000001" customHeight="1" x14ac:dyDescent="0.2">
      <c r="D65" s="207" t="s">
        <v>1836</v>
      </c>
      <c r="E65" s="207">
        <v>34.4</v>
      </c>
      <c r="F65" s="207" t="s">
        <v>620</v>
      </c>
      <c r="G65" s="207">
        <v>69.7</v>
      </c>
      <c r="H65" s="207">
        <v>0.03</v>
      </c>
      <c r="I65" s="207">
        <v>0.2</v>
      </c>
      <c r="J65" s="207">
        <v>69.930000000000007</v>
      </c>
      <c r="K65" s="207">
        <v>18</v>
      </c>
      <c r="L65" s="155"/>
    </row>
    <row r="66" spans="4:13" ht="20.100000000000001" customHeight="1" x14ac:dyDescent="0.2">
      <c r="D66" s="207" t="s">
        <v>1837</v>
      </c>
      <c r="E66" s="207">
        <v>34.4</v>
      </c>
      <c r="F66" s="207" t="s">
        <v>620</v>
      </c>
      <c r="G66" s="207">
        <v>69.7</v>
      </c>
      <c r="H66" s="207">
        <v>0.03</v>
      </c>
      <c r="I66" s="207">
        <v>0.2</v>
      </c>
      <c r="J66" s="207">
        <v>69.930000000000007</v>
      </c>
      <c r="K66" s="207">
        <v>18</v>
      </c>
      <c r="L66" s="155"/>
    </row>
    <row r="67" spans="4:13" ht="20.100000000000001" customHeight="1" x14ac:dyDescent="0.2">
      <c r="D67" s="207" t="s">
        <v>622</v>
      </c>
      <c r="E67" s="207">
        <v>25.7</v>
      </c>
      <c r="F67" s="207" t="s">
        <v>620</v>
      </c>
      <c r="G67" s="207">
        <v>60.2</v>
      </c>
      <c r="H67" s="207">
        <v>0.2</v>
      </c>
      <c r="I67" s="207">
        <v>0.2</v>
      </c>
      <c r="J67" s="207">
        <v>60.6</v>
      </c>
      <c r="K67" s="207">
        <v>20.2</v>
      </c>
      <c r="L67" s="155"/>
    </row>
    <row r="68" spans="4:13" ht="20.100000000000001" customHeight="1" x14ac:dyDescent="0.2">
      <c r="D68" s="207" t="s">
        <v>1838</v>
      </c>
      <c r="E68" s="207">
        <v>31.4</v>
      </c>
      <c r="F68" s="207" t="s">
        <v>620</v>
      </c>
      <c r="G68" s="207">
        <v>69.8</v>
      </c>
      <c r="H68" s="207">
        <v>0.01</v>
      </c>
      <c r="I68" s="207">
        <v>0.01</v>
      </c>
      <c r="J68" s="207">
        <v>69.819999999999993</v>
      </c>
      <c r="K68" s="207">
        <v>18</v>
      </c>
      <c r="L68" s="155"/>
    </row>
    <row r="69" spans="4:13" ht="20.100000000000001" customHeight="1" x14ac:dyDescent="0.2">
      <c r="D69" s="207" t="s">
        <v>1839</v>
      </c>
      <c r="E69" s="207">
        <v>34.200000000000003</v>
      </c>
      <c r="F69" s="207" t="s">
        <v>1305</v>
      </c>
      <c r="G69" s="207">
        <v>92.6</v>
      </c>
      <c r="H69" s="207">
        <v>0.08</v>
      </c>
      <c r="I69" s="207">
        <v>0.2</v>
      </c>
      <c r="J69" s="207">
        <v>92.88</v>
      </c>
      <c r="K69" s="207">
        <v>18</v>
      </c>
      <c r="L69" s="155"/>
    </row>
    <row r="70" spans="4:13" ht="20.100000000000001" customHeight="1" x14ac:dyDescent="0.2">
      <c r="D70" s="207" t="s">
        <v>1840</v>
      </c>
      <c r="E70" s="207">
        <v>42.9</v>
      </c>
      <c r="F70" s="207" t="s">
        <v>1305</v>
      </c>
      <c r="G70" s="207">
        <v>54.7</v>
      </c>
      <c r="H70" s="207">
        <v>0.03</v>
      </c>
      <c r="I70" s="207">
        <v>0.03</v>
      </c>
      <c r="J70" s="207">
        <v>54.76</v>
      </c>
      <c r="K70" s="207">
        <v>18</v>
      </c>
      <c r="L70" s="155"/>
    </row>
    <row r="71" spans="4:13" ht="20.100000000000001" customHeight="1" x14ac:dyDescent="0.2">
      <c r="D71" s="207" t="s">
        <v>1841</v>
      </c>
      <c r="E71" s="207">
        <v>34.200000000000003</v>
      </c>
      <c r="F71" s="207" t="s">
        <v>1305</v>
      </c>
      <c r="G71" s="207">
        <v>92.6</v>
      </c>
      <c r="H71" s="207">
        <v>0.08</v>
      </c>
      <c r="I71" s="207">
        <v>0.2</v>
      </c>
      <c r="J71" s="207">
        <v>92.88</v>
      </c>
      <c r="K71" s="207">
        <v>18</v>
      </c>
      <c r="L71" s="155"/>
    </row>
    <row r="72" spans="4:13" ht="20.100000000000001" customHeight="1" x14ac:dyDescent="0.2">
      <c r="D72" s="207" t="s">
        <v>1842</v>
      </c>
      <c r="E72" s="207">
        <v>34.4</v>
      </c>
      <c r="F72" s="207" t="s">
        <v>620</v>
      </c>
      <c r="G72" s="207">
        <v>69.8</v>
      </c>
      <c r="H72" s="207">
        <v>0.02</v>
      </c>
      <c r="I72" s="207">
        <v>0.1</v>
      </c>
      <c r="J72" s="207">
        <v>69.92</v>
      </c>
      <c r="K72" s="207">
        <v>18</v>
      </c>
      <c r="L72" s="155"/>
    </row>
    <row r="73" spans="4:13" ht="20.100000000000001" customHeight="1" x14ac:dyDescent="0.2">
      <c r="D73" s="207" t="s">
        <v>623</v>
      </c>
      <c r="E73" s="207">
        <v>34.6</v>
      </c>
      <c r="F73" s="207" t="s">
        <v>620</v>
      </c>
      <c r="G73" s="207">
        <v>0</v>
      </c>
      <c r="H73" s="207">
        <v>0.08</v>
      </c>
      <c r="I73" s="207">
        <v>0.2</v>
      </c>
      <c r="J73" s="207">
        <v>0.28000000000000003</v>
      </c>
      <c r="K73" s="207" t="s">
        <v>1810</v>
      </c>
      <c r="L73" s="155"/>
    </row>
    <row r="74" spans="4:13" ht="20.100000000000001" customHeight="1" x14ac:dyDescent="0.2">
      <c r="D74" s="207" t="s">
        <v>1843</v>
      </c>
      <c r="E74" s="207">
        <v>23.4</v>
      </c>
      <c r="F74" s="207" t="s">
        <v>620</v>
      </c>
      <c r="G74" s="207">
        <v>0</v>
      </c>
      <c r="H74" s="207">
        <v>0.08</v>
      </c>
      <c r="I74" s="207">
        <v>0.2</v>
      </c>
      <c r="J74" s="207">
        <v>0.28000000000000003</v>
      </c>
      <c r="K74" s="207" t="s">
        <v>1810</v>
      </c>
      <c r="L74" s="155"/>
    </row>
    <row r="75" spans="4:13" ht="20.100000000000001" customHeight="1" x14ac:dyDescent="0.2">
      <c r="D75" s="207" t="s">
        <v>1844</v>
      </c>
      <c r="E75" s="207">
        <v>23.4</v>
      </c>
      <c r="F75" s="207" t="s">
        <v>620</v>
      </c>
      <c r="G75" s="207">
        <v>0</v>
      </c>
      <c r="H75" s="207">
        <v>0.08</v>
      </c>
      <c r="I75" s="207">
        <v>0.2</v>
      </c>
      <c r="J75" s="207">
        <v>0.28000000000000003</v>
      </c>
      <c r="K75" s="207" t="s">
        <v>1810</v>
      </c>
      <c r="L75" s="155"/>
    </row>
    <row r="76" spans="4:13" ht="20.100000000000001" customHeight="1" x14ac:dyDescent="0.2">
      <c r="D76" s="207" t="s">
        <v>629</v>
      </c>
      <c r="E76" s="207">
        <v>36.799999999999997</v>
      </c>
      <c r="F76" s="207" t="s">
        <v>620</v>
      </c>
      <c r="G76" s="207">
        <v>0</v>
      </c>
      <c r="H76" s="207">
        <v>0.02</v>
      </c>
      <c r="I76" s="207">
        <v>0.2</v>
      </c>
      <c r="J76" s="207">
        <v>0.22</v>
      </c>
      <c r="K76" s="207" t="s">
        <v>1810</v>
      </c>
      <c r="L76" s="155"/>
    </row>
    <row r="77" spans="4:13" ht="20.100000000000001" customHeight="1" x14ac:dyDescent="0.2">
      <c r="D77" s="207" t="s">
        <v>626</v>
      </c>
      <c r="E77" s="207">
        <v>38.6</v>
      </c>
      <c r="F77" s="207" t="s">
        <v>620</v>
      </c>
      <c r="G77" s="207">
        <v>0</v>
      </c>
      <c r="H77" s="207">
        <v>0.1</v>
      </c>
      <c r="I77" s="207">
        <v>0.2</v>
      </c>
      <c r="J77" s="207">
        <v>0.3</v>
      </c>
      <c r="K77" s="207" t="s">
        <v>1810</v>
      </c>
      <c r="L77" s="155"/>
    </row>
    <row r="78" spans="4:13" ht="20.100000000000001" customHeight="1" x14ac:dyDescent="0.2">
      <c r="D78" s="155"/>
      <c r="E78" s="155"/>
      <c r="F78" s="155"/>
      <c r="G78" s="155"/>
      <c r="H78" s="155"/>
      <c r="I78" s="155"/>
      <c r="J78" s="155"/>
      <c r="K78" s="155"/>
      <c r="L78" s="155"/>
    </row>
    <row r="79" spans="4:13" ht="20.100000000000001" customHeight="1" x14ac:dyDescent="0.2">
      <c r="D79" s="155"/>
      <c r="E79" s="155"/>
      <c r="F79" s="155"/>
      <c r="G79" s="155"/>
      <c r="H79" s="155"/>
      <c r="I79" s="155"/>
      <c r="J79" s="155"/>
      <c r="K79" s="155"/>
      <c r="L79" s="155"/>
      <c r="M79" s="155"/>
    </row>
    <row r="80" spans="4:13" ht="20.100000000000001" customHeight="1" x14ac:dyDescent="0.2">
      <c r="D80" s="155"/>
      <c r="E80" s="155"/>
      <c r="F80" s="155"/>
      <c r="G80" s="155"/>
      <c r="H80" s="155"/>
      <c r="I80" s="155"/>
      <c r="J80" s="155"/>
      <c r="K80" s="155"/>
      <c r="L80" s="155"/>
      <c r="M80" s="155"/>
    </row>
    <row r="81" spans="1:12" ht="20.100000000000001" customHeight="1" x14ac:dyDescent="0.2">
      <c r="D81" s="2" t="s">
        <v>1845</v>
      </c>
      <c r="E81" s="155"/>
      <c r="F81" s="155"/>
      <c r="G81" s="155"/>
      <c r="H81" s="155"/>
      <c r="I81" s="155"/>
      <c r="J81" s="155"/>
      <c r="K81" s="155"/>
      <c r="L81" s="155"/>
    </row>
    <row r="82" spans="1:12" ht="20.100000000000001" customHeight="1" x14ac:dyDescent="0.2">
      <c r="D82" s="1" t="s">
        <v>1846</v>
      </c>
      <c r="E82" s="155"/>
      <c r="F82" s="155"/>
      <c r="G82" s="155"/>
      <c r="H82" s="155"/>
      <c r="I82" s="155"/>
      <c r="J82" s="155"/>
      <c r="K82" s="155"/>
      <c r="L82" s="155"/>
    </row>
    <row r="83" spans="1:12" ht="20.100000000000001" customHeight="1" x14ac:dyDescent="0.2">
      <c r="D83" s="17" t="s">
        <v>1847</v>
      </c>
      <c r="E83" s="155"/>
      <c r="F83" s="155"/>
      <c r="G83" s="155"/>
      <c r="H83" s="155"/>
      <c r="I83" s="155"/>
      <c r="J83" s="155"/>
      <c r="K83" s="155"/>
      <c r="L83" s="155"/>
    </row>
    <row r="84" spans="1:12" ht="20.100000000000001" customHeight="1" x14ac:dyDescent="0.2">
      <c r="D84" s="26" t="str" cm="1">
        <f t="array" ref="D84">"⚠️" &amp; Fuel_SourceData.Fuel_Scope1EmissionFactorsStationaryGaseous_Variation()</f>
        <v>⚠️VARIATION OF SOURCE DATA: 'Natural gas distributed in a pipeline - Gigajoules' and 'Town gas - Gigajoules' were added, each with an energy content factor of 1 GJ per unit of fuel. This is for users who have fuel consumption data in GJ rather than m3.</v>
      </c>
      <c r="E84" s="155"/>
      <c r="F84" s="155"/>
      <c r="G84" s="155"/>
      <c r="H84" s="155"/>
      <c r="I84" s="155"/>
      <c r="J84" s="155"/>
      <c r="K84" s="155"/>
      <c r="L84" s="155"/>
    </row>
    <row r="85" spans="1:12" ht="20.100000000000001" customHeight="1" x14ac:dyDescent="0.2">
      <c r="D85" s="155"/>
      <c r="E85" s="155"/>
      <c r="F85" s="155"/>
      <c r="G85" s="155"/>
      <c r="H85" s="155"/>
      <c r="I85" s="155"/>
      <c r="J85" s="155"/>
      <c r="K85" s="155"/>
      <c r="L85" s="155"/>
    </row>
    <row r="86" spans="1:12" ht="20.100000000000001" customHeight="1" x14ac:dyDescent="0.2">
      <c r="D86" s="175" t="s">
        <v>598</v>
      </c>
      <c r="E86" s="206" t="s">
        <v>599</v>
      </c>
      <c r="F86" s="175" t="s">
        <v>600</v>
      </c>
      <c r="G86" s="206" t="s">
        <v>601</v>
      </c>
      <c r="H86" s="206" t="s">
        <v>602</v>
      </c>
      <c r="I86" s="206" t="s">
        <v>603</v>
      </c>
      <c r="J86" s="206" t="s">
        <v>604</v>
      </c>
      <c r="K86" s="155"/>
      <c r="L86" s="155"/>
    </row>
    <row r="87" spans="1:12" ht="20.100000000000001" customHeight="1" x14ac:dyDescent="0.2">
      <c r="D87" s="207" t="s">
        <v>1848</v>
      </c>
      <c r="E87" s="207">
        <v>3.9300000000000002E-2</v>
      </c>
      <c r="F87" s="207" t="s">
        <v>1313</v>
      </c>
      <c r="G87" s="207">
        <v>51.4</v>
      </c>
      <c r="H87" s="207">
        <v>0.1</v>
      </c>
      <c r="I87" s="207">
        <v>0.03</v>
      </c>
      <c r="J87" s="207">
        <v>51.53</v>
      </c>
      <c r="K87" s="155"/>
      <c r="L87" s="155"/>
    </row>
    <row r="88" spans="1:12" ht="20.100000000000001" customHeight="1" x14ac:dyDescent="0.2">
      <c r="D88" s="207" t="s">
        <v>1849</v>
      </c>
      <c r="E88" s="207">
        <v>3.7699999999999997E-2</v>
      </c>
      <c r="F88" s="207" t="s">
        <v>1313</v>
      </c>
      <c r="G88" s="207">
        <v>51.4</v>
      </c>
      <c r="H88" s="207">
        <v>0.2</v>
      </c>
      <c r="I88" s="207">
        <v>0.03</v>
      </c>
      <c r="J88" s="207">
        <v>51.63</v>
      </c>
      <c r="K88" s="155"/>
      <c r="L88" s="155"/>
    </row>
    <row r="89" spans="1:12" ht="20.100000000000001" customHeight="1" x14ac:dyDescent="0.2">
      <c r="A89" s="81" t="str">
        <f>HYPERLINK("#A1", "▲ Back to top")</f>
        <v>▲ Back to top</v>
      </c>
      <c r="D89" s="207" t="s">
        <v>1850</v>
      </c>
      <c r="E89" s="207">
        <v>3.7699999999999997E-2</v>
      </c>
      <c r="F89" s="207" t="s">
        <v>1313</v>
      </c>
      <c r="G89" s="207">
        <v>51.9</v>
      </c>
      <c r="H89" s="207">
        <v>4.5999999999999996</v>
      </c>
      <c r="I89" s="207">
        <v>0.3</v>
      </c>
      <c r="J89" s="207">
        <v>56.8</v>
      </c>
      <c r="K89" s="155"/>
      <c r="L89" s="155"/>
    </row>
    <row r="90" spans="1:12" ht="20.100000000000001" customHeight="1" x14ac:dyDescent="0.2">
      <c r="D90" s="207" t="s">
        <v>1851</v>
      </c>
      <c r="E90" s="207">
        <v>3.9300000000000002E-2</v>
      </c>
      <c r="F90" s="207" t="s">
        <v>1313</v>
      </c>
      <c r="G90" s="207">
        <v>51.4</v>
      </c>
      <c r="H90" s="207">
        <v>0.1</v>
      </c>
      <c r="I90" s="207">
        <v>0.03</v>
      </c>
      <c r="J90" s="207">
        <v>51.53</v>
      </c>
      <c r="K90" s="155"/>
      <c r="L90" s="155"/>
    </row>
    <row r="91" spans="1:12" ht="20.100000000000001" customHeight="1" x14ac:dyDescent="0.2">
      <c r="D91" s="207" t="s">
        <v>1852</v>
      </c>
      <c r="E91" s="207">
        <v>3.9300000000000002E-2</v>
      </c>
      <c r="F91" s="207" t="s">
        <v>1313</v>
      </c>
      <c r="G91" s="207">
        <v>51.4</v>
      </c>
      <c r="H91" s="207">
        <v>0.1</v>
      </c>
      <c r="I91" s="207">
        <v>0.03</v>
      </c>
      <c r="J91" s="207">
        <v>51.53</v>
      </c>
      <c r="K91" s="155"/>
      <c r="L91" s="155"/>
    </row>
    <row r="92" spans="1:12" ht="20.100000000000001" customHeight="1" x14ac:dyDescent="0.2">
      <c r="D92" s="207" t="s">
        <v>1853</v>
      </c>
      <c r="E92" s="207">
        <v>6.2899999999999998E-2</v>
      </c>
      <c r="F92" s="207" t="s">
        <v>1313</v>
      </c>
      <c r="G92" s="207">
        <v>56.5</v>
      </c>
      <c r="H92" s="207">
        <v>0.03</v>
      </c>
      <c r="I92" s="207">
        <v>0.03</v>
      </c>
      <c r="J92" s="207">
        <v>56.56</v>
      </c>
      <c r="K92" s="155"/>
      <c r="L92" s="155"/>
    </row>
    <row r="93" spans="1:12" ht="20.100000000000001" customHeight="1" x14ac:dyDescent="0.2">
      <c r="D93" s="207" t="s">
        <v>1854</v>
      </c>
      <c r="E93" s="207">
        <v>1.8100000000000002E-2</v>
      </c>
      <c r="F93" s="207" t="s">
        <v>1313</v>
      </c>
      <c r="G93" s="207">
        <v>37</v>
      </c>
      <c r="H93" s="207">
        <v>0.03</v>
      </c>
      <c r="I93" s="207">
        <v>0.05</v>
      </c>
      <c r="J93" s="207">
        <v>37.08</v>
      </c>
      <c r="K93" s="155"/>
      <c r="L93" s="155"/>
    </row>
    <row r="94" spans="1:12" ht="20.100000000000001" customHeight="1" x14ac:dyDescent="0.2">
      <c r="D94" s="207" t="s">
        <v>1855</v>
      </c>
      <c r="E94" s="207">
        <v>4.0000000000000001E-3</v>
      </c>
      <c r="F94" s="207" t="s">
        <v>1313</v>
      </c>
      <c r="G94" s="207">
        <v>234</v>
      </c>
      <c r="H94" s="207">
        <v>0.03</v>
      </c>
      <c r="I94" s="207">
        <v>0.02</v>
      </c>
      <c r="J94" s="207">
        <v>234.05</v>
      </c>
      <c r="K94" s="155"/>
      <c r="L94" s="155"/>
    </row>
    <row r="95" spans="1:12" ht="20.100000000000001" customHeight="1" x14ac:dyDescent="0.2">
      <c r="D95" s="207" t="s">
        <v>1856</v>
      </c>
      <c r="E95" s="207">
        <v>3.9E-2</v>
      </c>
      <c r="F95" s="207" t="s">
        <v>1313</v>
      </c>
      <c r="G95" s="207">
        <v>60.2</v>
      </c>
      <c r="H95" s="207">
        <v>0.04</v>
      </c>
      <c r="I95" s="207">
        <v>0.03</v>
      </c>
      <c r="J95" s="207">
        <v>60.27</v>
      </c>
      <c r="K95" s="155"/>
      <c r="L95" s="155"/>
    </row>
    <row r="96" spans="1:12" ht="20.100000000000001" customHeight="1" x14ac:dyDescent="0.2">
      <c r="D96" s="207" t="s">
        <v>1813</v>
      </c>
      <c r="E96" s="207">
        <v>25.3</v>
      </c>
      <c r="F96" s="207" t="s">
        <v>620</v>
      </c>
      <c r="G96" s="207">
        <v>51.4</v>
      </c>
      <c r="H96" s="207">
        <v>0.1</v>
      </c>
      <c r="I96" s="207">
        <v>0.03</v>
      </c>
      <c r="J96" s="207">
        <v>51.53</v>
      </c>
      <c r="K96" s="155"/>
      <c r="L96" s="155"/>
    </row>
    <row r="97" spans="4:13" ht="20.100000000000001" customHeight="1" x14ac:dyDescent="0.2">
      <c r="D97" s="207" t="s">
        <v>1857</v>
      </c>
      <c r="E97" s="207">
        <v>3.9E-2</v>
      </c>
      <c r="F97" s="207" t="s">
        <v>1313</v>
      </c>
      <c r="G97" s="207">
        <v>51.4</v>
      </c>
      <c r="H97" s="207">
        <v>0.1</v>
      </c>
      <c r="I97" s="207">
        <v>0.03</v>
      </c>
      <c r="J97" s="207">
        <v>51.53</v>
      </c>
      <c r="K97" s="155"/>
      <c r="L97" s="155"/>
    </row>
    <row r="98" spans="4:13" ht="20.100000000000001" customHeight="1" x14ac:dyDescent="0.2">
      <c r="D98" s="207" t="s">
        <v>1858</v>
      </c>
      <c r="E98" s="207">
        <v>3.7699999999999997E-2</v>
      </c>
      <c r="F98" s="207" t="s">
        <v>1313</v>
      </c>
      <c r="G98" s="207">
        <v>0</v>
      </c>
      <c r="H98" s="207">
        <v>6.4</v>
      </c>
      <c r="I98" s="207">
        <v>0.03</v>
      </c>
      <c r="J98" s="207">
        <v>6.43</v>
      </c>
      <c r="K98" s="155"/>
      <c r="L98" s="155"/>
    </row>
    <row r="99" spans="4:13" ht="20.100000000000001" customHeight="1" x14ac:dyDescent="0.2">
      <c r="D99" s="207" t="s">
        <v>1859</v>
      </c>
      <c r="E99" s="207">
        <v>3.7699999999999997E-2</v>
      </c>
      <c r="F99" s="207" t="s">
        <v>1313</v>
      </c>
      <c r="G99" s="207">
        <v>0</v>
      </c>
      <c r="H99" s="207">
        <v>6.4</v>
      </c>
      <c r="I99" s="207">
        <v>0.03</v>
      </c>
      <c r="J99" s="207">
        <v>6.43</v>
      </c>
      <c r="K99" s="155"/>
      <c r="L99" s="155"/>
    </row>
    <row r="100" spans="4:13" ht="20.100000000000001" customHeight="1" x14ac:dyDescent="0.2">
      <c r="D100" s="207" t="s">
        <v>1860</v>
      </c>
      <c r="E100" s="207">
        <v>3.6999999999999998E-2</v>
      </c>
      <c r="F100" s="207" t="s">
        <v>1313</v>
      </c>
      <c r="G100" s="207">
        <v>0</v>
      </c>
      <c r="H100" s="207">
        <v>6.4</v>
      </c>
      <c r="I100" s="207">
        <v>0.03</v>
      </c>
      <c r="J100" s="207">
        <v>6.43</v>
      </c>
      <c r="K100" s="155"/>
      <c r="L100" s="155"/>
    </row>
    <row r="101" spans="4:13" ht="20.100000000000001" customHeight="1" x14ac:dyDescent="0.2">
      <c r="D101" s="207" t="s">
        <v>1861</v>
      </c>
      <c r="E101" s="207">
        <v>3.9300000000000002E-2</v>
      </c>
      <c r="F101" s="207" t="s">
        <v>1313</v>
      </c>
      <c r="G101" s="207">
        <v>0</v>
      </c>
      <c r="H101" s="207">
        <v>0.1</v>
      </c>
      <c r="I101" s="207">
        <v>0.03</v>
      </c>
      <c r="J101" s="207">
        <v>0.13</v>
      </c>
      <c r="K101" s="155"/>
      <c r="L101" s="155"/>
    </row>
    <row r="102" spans="4:13" ht="20.100000000000001" customHeight="1" x14ac:dyDescent="0.2">
      <c r="D102" s="207" t="s">
        <v>1862</v>
      </c>
      <c r="E102" s="207">
        <v>1.2200000000000001E-2</v>
      </c>
      <c r="F102" s="207" t="s">
        <v>1313</v>
      </c>
      <c r="G102" s="207">
        <v>0</v>
      </c>
      <c r="H102" s="207">
        <v>0</v>
      </c>
      <c r="I102" s="207">
        <v>0.5</v>
      </c>
      <c r="J102" s="207">
        <v>0.5</v>
      </c>
      <c r="K102" s="155"/>
      <c r="L102" s="155"/>
    </row>
    <row r="103" spans="4:13" ht="20.100000000000001" customHeight="1" x14ac:dyDescent="0.2">
      <c r="D103" s="207" t="s">
        <v>1863</v>
      </c>
      <c r="E103" s="207">
        <v>1</v>
      </c>
      <c r="F103" s="207" t="s">
        <v>638</v>
      </c>
      <c r="G103" s="207">
        <v>51.4</v>
      </c>
      <c r="H103" s="207">
        <v>0.1</v>
      </c>
      <c r="I103" s="207">
        <v>0.03</v>
      </c>
      <c r="J103" s="207">
        <v>51.53</v>
      </c>
      <c r="K103" s="155"/>
      <c r="L103" s="155"/>
    </row>
    <row r="104" spans="4:13" ht="20.100000000000001" customHeight="1" x14ac:dyDescent="0.2">
      <c r="D104" s="207" t="s">
        <v>1864</v>
      </c>
      <c r="E104" s="207">
        <v>1</v>
      </c>
      <c r="F104" s="207" t="s">
        <v>638</v>
      </c>
      <c r="G104" s="207">
        <v>60.2</v>
      </c>
      <c r="H104" s="207">
        <v>0.04</v>
      </c>
      <c r="I104" s="207">
        <v>0.03</v>
      </c>
      <c r="J104" s="207">
        <v>60.27</v>
      </c>
      <c r="K104" s="155"/>
      <c r="L104" s="155"/>
    </row>
    <row r="105" spans="4:13" ht="20.100000000000001" customHeight="1" x14ac:dyDescent="0.2">
      <c r="D105" s="155"/>
      <c r="E105" s="155"/>
      <c r="F105" s="155"/>
      <c r="G105" s="155"/>
      <c r="H105" s="155"/>
      <c r="I105" s="155"/>
      <c r="J105" s="155"/>
      <c r="K105" s="155"/>
      <c r="L105" s="155"/>
      <c r="M105" s="155"/>
    </row>
    <row r="106" spans="4:13" ht="20.100000000000001" customHeight="1" x14ac:dyDescent="0.2">
      <c r="D106" s="155"/>
      <c r="E106" s="155"/>
      <c r="F106" s="155"/>
      <c r="G106" s="155"/>
      <c r="H106" s="155"/>
      <c r="I106" s="155"/>
      <c r="J106" s="155"/>
      <c r="K106" s="155"/>
      <c r="L106" s="155"/>
      <c r="M106" s="155"/>
    </row>
    <row r="107" spans="4:13" ht="20.100000000000001" customHeight="1" x14ac:dyDescent="0.2">
      <c r="D107" s="2" t="s">
        <v>1865</v>
      </c>
      <c r="E107" s="155"/>
      <c r="F107" s="155"/>
      <c r="G107" s="155"/>
      <c r="H107" s="155"/>
      <c r="I107" s="155"/>
      <c r="J107" s="155"/>
      <c r="K107" s="155"/>
      <c r="L107" s="155"/>
    </row>
    <row r="108" spans="4:13" ht="20.100000000000001" customHeight="1" x14ac:dyDescent="0.2">
      <c r="D108" s="1" t="s">
        <v>1866</v>
      </c>
      <c r="E108" s="155"/>
      <c r="F108" s="155"/>
      <c r="G108" s="155"/>
      <c r="H108" s="155"/>
      <c r="I108" s="155"/>
      <c r="J108" s="155"/>
      <c r="K108" s="155"/>
      <c r="L108" s="155"/>
    </row>
    <row r="109" spans="4:13" ht="20.100000000000001" customHeight="1" x14ac:dyDescent="0.2">
      <c r="D109" s="17" t="s">
        <v>1867</v>
      </c>
      <c r="E109" s="155"/>
      <c r="F109" s="155"/>
      <c r="G109" s="155"/>
      <c r="H109" s="155"/>
      <c r="I109" s="155"/>
      <c r="J109" s="155"/>
      <c r="K109" s="155"/>
      <c r="L109" s="155"/>
    </row>
    <row r="110" spans="4:13" ht="20.100000000000001" customHeight="1" x14ac:dyDescent="0.2">
      <c r="D110" s="26" t="str" cm="1">
        <f t="array" ref="D110">"⚠️"&amp;Fuel_SourceData.Fuel_Scope3EmissionFactorsStationaryGaseous_Variation()</f>
        <v>⚠️VARIATION OF SOURCE DATA: NSW and ACT split into separate rows. 'C' Values for Tasmania and Northern Territory replaced with those for Victoria and Western Australia respectively. (See appendices)</v>
      </c>
      <c r="E110" s="155"/>
      <c r="F110" s="155"/>
      <c r="G110" s="155"/>
      <c r="H110" s="155"/>
      <c r="I110" s="155"/>
      <c r="J110" s="155"/>
      <c r="K110" s="155"/>
      <c r="L110" s="155"/>
    </row>
    <row r="111" spans="4:13" ht="20.100000000000001" customHeight="1" x14ac:dyDescent="0.2">
      <c r="D111" s="155"/>
      <c r="E111" s="155"/>
      <c r="F111" s="155"/>
      <c r="G111" s="155"/>
      <c r="H111" s="155"/>
      <c r="I111" s="155"/>
      <c r="J111" s="155"/>
      <c r="K111" s="155"/>
      <c r="L111" s="155"/>
    </row>
    <row r="112" spans="4:13" ht="20.100000000000001" customHeight="1" x14ac:dyDescent="0.2">
      <c r="D112" s="175" t="s">
        <v>613</v>
      </c>
      <c r="E112" s="206" t="s">
        <v>548</v>
      </c>
      <c r="F112" s="206" t="s">
        <v>614</v>
      </c>
      <c r="G112" s="216" t="s">
        <v>1869</v>
      </c>
      <c r="H112" s="77" t="s">
        <v>615</v>
      </c>
      <c r="I112" s="155"/>
      <c r="J112" s="155"/>
      <c r="K112" s="155"/>
      <c r="L112" s="155"/>
    </row>
    <row r="113" spans="1:13" ht="20.100000000000001" customHeight="1" x14ac:dyDescent="0.2">
      <c r="D113" s="209" t="s">
        <v>1556</v>
      </c>
      <c r="E113" s="209">
        <v>13.1</v>
      </c>
      <c r="F113" s="209">
        <v>14</v>
      </c>
      <c r="G113" s="210" t="s">
        <v>1868</v>
      </c>
      <c r="H113" s="1" t="s">
        <v>1870</v>
      </c>
      <c r="I113" s="155"/>
      <c r="J113" s="155"/>
      <c r="K113" s="155"/>
      <c r="L113" s="155"/>
    </row>
    <row r="114" spans="1:13" ht="20.100000000000001" customHeight="1" x14ac:dyDescent="0.2">
      <c r="D114" s="209" t="s">
        <v>987</v>
      </c>
      <c r="E114" s="209">
        <v>13.1</v>
      </c>
      <c r="F114" s="209">
        <v>14</v>
      </c>
      <c r="G114" s="210"/>
      <c r="H114" s="1" t="s">
        <v>1871</v>
      </c>
      <c r="I114" s="155"/>
      <c r="J114" s="155"/>
      <c r="K114" s="155"/>
      <c r="L114" s="155"/>
    </row>
    <row r="115" spans="1:13" ht="20.100000000000001" customHeight="1" x14ac:dyDescent="0.2">
      <c r="D115" s="209" t="s">
        <v>1557</v>
      </c>
      <c r="E115" s="209">
        <v>4</v>
      </c>
      <c r="F115" s="209">
        <v>4</v>
      </c>
      <c r="G115" s="210"/>
      <c r="H115" s="1" t="s">
        <v>1872</v>
      </c>
      <c r="I115" s="155"/>
      <c r="J115" s="155"/>
      <c r="K115" s="155"/>
      <c r="L115" s="155"/>
    </row>
    <row r="116" spans="1:13" ht="20.100000000000001" customHeight="1" x14ac:dyDescent="0.2">
      <c r="D116" s="209" t="s">
        <v>1558</v>
      </c>
      <c r="E116" s="209">
        <v>8.8000000000000007</v>
      </c>
      <c r="F116" s="209">
        <v>7.9</v>
      </c>
      <c r="G116" s="210" t="s">
        <v>1868</v>
      </c>
      <c r="H116" s="1" t="s">
        <v>1873</v>
      </c>
      <c r="I116" s="155"/>
      <c r="J116" s="155"/>
      <c r="K116" s="155"/>
      <c r="L116" s="155"/>
    </row>
    <row r="117" spans="1:13" ht="20.100000000000001" customHeight="1" x14ac:dyDescent="0.2">
      <c r="D117" s="209" t="s">
        <v>1559</v>
      </c>
      <c r="E117" s="209">
        <v>10.7</v>
      </c>
      <c r="F117" s="209">
        <v>10.6</v>
      </c>
      <c r="G117" s="210"/>
      <c r="H117" s="1" t="s">
        <v>1874</v>
      </c>
      <c r="I117" s="155"/>
      <c r="J117" s="155"/>
      <c r="K117" s="155"/>
      <c r="L117" s="155"/>
    </row>
    <row r="118" spans="1:13" ht="20.100000000000001" customHeight="1" x14ac:dyDescent="0.2">
      <c r="D118" s="209" t="s">
        <v>99</v>
      </c>
      <c r="E118" s="209">
        <v>4.0999999999999996</v>
      </c>
      <c r="F118" s="209">
        <v>4</v>
      </c>
      <c r="G118" s="210" t="s">
        <v>1868</v>
      </c>
      <c r="H118" s="1" t="s">
        <v>1875</v>
      </c>
      <c r="I118" s="155"/>
      <c r="J118" s="155"/>
      <c r="K118" s="155"/>
      <c r="L118" s="155"/>
    </row>
    <row r="119" spans="1:13" ht="20.100000000000001" customHeight="1" x14ac:dyDescent="0.2">
      <c r="A119" s="81" t="str">
        <f>HYPERLINK("#A1", "▲ Back to top")</f>
        <v>▲ Back to top</v>
      </c>
      <c r="D119" s="209" t="s">
        <v>1561</v>
      </c>
      <c r="E119" s="209">
        <v>4</v>
      </c>
      <c r="F119" s="209">
        <v>4</v>
      </c>
      <c r="G119" s="210" t="s">
        <v>1868</v>
      </c>
      <c r="H119" s="1" t="s">
        <v>1876</v>
      </c>
      <c r="I119" s="155"/>
      <c r="J119" s="155"/>
      <c r="K119" s="155"/>
      <c r="L119" s="155"/>
    </row>
    <row r="120" spans="1:13" ht="20.100000000000001" customHeight="1" x14ac:dyDescent="0.2">
      <c r="D120" s="209" t="s">
        <v>1882</v>
      </c>
      <c r="E120" s="209">
        <v>4.0999999999999996</v>
      </c>
      <c r="F120" s="209">
        <v>4</v>
      </c>
      <c r="G120" s="210" t="s">
        <v>1868</v>
      </c>
      <c r="H120" s="1" t="s">
        <v>1877</v>
      </c>
      <c r="I120" s="155"/>
      <c r="J120" s="155"/>
      <c r="K120" s="155"/>
      <c r="L120" s="155"/>
    </row>
    <row r="121" spans="1:13" ht="20.100000000000001" customHeight="1" x14ac:dyDescent="0.2">
      <c r="D121" s="8"/>
      <c r="E121" s="8"/>
      <c r="F121" s="8"/>
      <c r="G121" s="210"/>
      <c r="H121" s="1" t="s">
        <v>1878</v>
      </c>
      <c r="I121" s="155"/>
      <c r="J121" s="155"/>
      <c r="K121" s="155"/>
      <c r="L121" s="155"/>
    </row>
    <row r="122" spans="1:13" ht="20.100000000000001" customHeight="1" x14ac:dyDescent="0.2">
      <c r="D122" s="155"/>
      <c r="F122" s="211"/>
      <c r="G122" s="210"/>
      <c r="H122" s="1" t="s">
        <v>1879</v>
      </c>
      <c r="I122" s="155"/>
      <c r="J122" s="155"/>
      <c r="K122" s="155"/>
      <c r="L122" s="155"/>
    </row>
    <row r="123" spans="1:13" ht="20.100000000000001" customHeight="1" x14ac:dyDescent="0.2">
      <c r="D123" s="212"/>
      <c r="F123" s="211"/>
      <c r="G123" s="210" t="s">
        <v>1868</v>
      </c>
      <c r="H123" s="1" t="s">
        <v>1880</v>
      </c>
      <c r="I123" s="155"/>
      <c r="J123" s="155"/>
      <c r="K123" s="155"/>
      <c r="L123" s="155"/>
    </row>
    <row r="124" spans="1:13" ht="20.100000000000001" customHeight="1" x14ac:dyDescent="0.2">
      <c r="D124" s="212"/>
      <c r="F124" s="211"/>
      <c r="G124" s="155"/>
      <c r="H124" s="1" t="s">
        <v>1881</v>
      </c>
      <c r="I124" s="155"/>
      <c r="J124" s="155"/>
      <c r="K124" s="155"/>
      <c r="L124" s="155"/>
    </row>
    <row r="125" spans="1:13" ht="20.100000000000001" customHeight="1" x14ac:dyDescent="0.2">
      <c r="D125" s="212"/>
      <c r="F125" s="211"/>
      <c r="G125" s="155"/>
      <c r="H125" s="155"/>
      <c r="I125" s="155"/>
      <c r="J125" s="155"/>
      <c r="K125" s="155"/>
      <c r="L125" s="155"/>
    </row>
    <row r="126" spans="1:13" ht="20.100000000000001" customHeight="1" x14ac:dyDescent="0.2">
      <c r="D126" s="155"/>
      <c r="E126" s="155"/>
      <c r="F126" s="155"/>
      <c r="G126" s="155"/>
      <c r="H126" s="155"/>
      <c r="I126" s="155"/>
      <c r="J126" s="155"/>
      <c r="K126" s="155"/>
      <c r="L126" s="155"/>
      <c r="M126" s="155"/>
    </row>
    <row r="127" spans="1:13" ht="20.100000000000001" customHeight="1" x14ac:dyDescent="0.2">
      <c r="D127" s="155"/>
      <c r="E127" s="155"/>
      <c r="F127" s="155"/>
      <c r="G127" s="155"/>
      <c r="H127" s="155"/>
      <c r="I127" s="155"/>
      <c r="J127" s="155"/>
      <c r="K127" s="155"/>
      <c r="L127" s="155"/>
      <c r="M127" s="155"/>
    </row>
    <row r="128" spans="1:13" ht="20.100000000000001" customHeight="1" x14ac:dyDescent="0.2">
      <c r="D128" s="155"/>
      <c r="E128" s="155"/>
      <c r="F128" s="155"/>
      <c r="G128" s="155"/>
      <c r="H128" s="155"/>
      <c r="I128" s="155"/>
      <c r="J128" s="155"/>
      <c r="K128" s="155"/>
      <c r="L128" s="155"/>
      <c r="M128" s="155"/>
    </row>
    <row r="129" spans="4:33" ht="20.100000000000001" customHeight="1" x14ac:dyDescent="0.2">
      <c r="D129" s="213"/>
      <c r="E129" s="155"/>
      <c r="F129" s="155"/>
      <c r="G129" s="155"/>
      <c r="H129" s="155"/>
      <c r="I129" s="155"/>
      <c r="J129" s="155"/>
      <c r="K129" s="155"/>
      <c r="L129" s="155"/>
    </row>
    <row r="130" spans="4:33" ht="20.100000000000001" customHeight="1" x14ac:dyDescent="0.2">
      <c r="D130" s="214" t="s">
        <v>616</v>
      </c>
      <c r="E130" s="214" t="s">
        <v>557</v>
      </c>
      <c r="F130" s="214" t="s">
        <v>617</v>
      </c>
      <c r="G130" s="214" t="s">
        <v>560</v>
      </c>
      <c r="H130" s="214" t="s">
        <v>562</v>
      </c>
      <c r="I130" s="214" t="s">
        <v>563</v>
      </c>
      <c r="J130" s="155"/>
      <c r="K130" s="155"/>
      <c r="L130" s="155"/>
    </row>
    <row r="131" spans="4:33" ht="20.100000000000001" customHeight="1" x14ac:dyDescent="0.2">
      <c r="D131" s="215" t="str">
        <f>$D$143</f>
        <v>Petrol</v>
      </c>
      <c r="E131" s="215" t="str">
        <f>$D$143</f>
        <v>Petrol</v>
      </c>
      <c r="F131" s="215" t="str">
        <f>$D$150</f>
        <v>Avgas</v>
      </c>
      <c r="G131" s="215" t="str">
        <f>$D$143</f>
        <v>Petrol</v>
      </c>
      <c r="H131" s="215" t="str">
        <f>$D$144</f>
        <v>Diesel</v>
      </c>
      <c r="I131" s="215" t="str">
        <f>$D$143</f>
        <v>Petrol</v>
      </c>
      <c r="J131" s="155"/>
      <c r="K131" s="155"/>
      <c r="L131" s="155"/>
    </row>
    <row r="132" spans="4:33" ht="20.100000000000001" customHeight="1" x14ac:dyDescent="0.2">
      <c r="D132" s="215" t="str">
        <f>$D$144</f>
        <v>Diesel</v>
      </c>
      <c r="E132" s="215" t="str">
        <f>$D$144</f>
        <v>Diesel</v>
      </c>
      <c r="F132" s="215" t="str">
        <f>$D$151</f>
        <v>Jet A1, Jet B</v>
      </c>
      <c r="G132" s="215" t="str">
        <f>$D$144</f>
        <v>Diesel</v>
      </c>
      <c r="H132" s="215"/>
      <c r="I132" s="215" t="str">
        <f>$D$144</f>
        <v>Diesel</v>
      </c>
      <c r="J132" s="155"/>
      <c r="K132" s="155"/>
      <c r="L132" s="155"/>
    </row>
    <row r="133" spans="4:33" ht="20.100000000000001" customHeight="1" x14ac:dyDescent="0.2">
      <c r="D133" s="215" t="str">
        <f>$D$145</f>
        <v>Liquefied petroleum gas (LPG)</v>
      </c>
      <c r="E133" s="215" t="str">
        <f>$D$145</f>
        <v>Liquefied petroleum gas (LPG)</v>
      </c>
      <c r="F133" s="215" t="str">
        <f>$D$152</f>
        <v>Renewable aviation kerosene</v>
      </c>
      <c r="G133" s="215" t="str">
        <f>$D$145</f>
        <v>Liquefied petroleum gas (LPG)</v>
      </c>
      <c r="H133" s="215"/>
      <c r="I133" s="215" t="s">
        <v>564</v>
      </c>
      <c r="J133" s="155"/>
      <c r="K133" s="155"/>
      <c r="L133" s="155"/>
    </row>
    <row r="134" spans="4:33" ht="20.100000000000001" customHeight="1" x14ac:dyDescent="0.2">
      <c r="D134" s="215" t="str">
        <f>$D$146</f>
        <v>Biodiesel</v>
      </c>
      <c r="E134" s="215" t="str">
        <f>$D$146</f>
        <v>Biodiesel</v>
      </c>
      <c r="F134" s="214"/>
      <c r="G134" s="215" t="str">
        <f>$D$160</f>
        <v>Fuel oil</v>
      </c>
      <c r="H134" s="215"/>
      <c r="I134" s="215"/>
      <c r="J134" s="155"/>
      <c r="K134" s="155"/>
      <c r="L134" s="155"/>
    </row>
    <row r="135" spans="4:33" ht="20.100000000000001" customHeight="1" x14ac:dyDescent="0.2">
      <c r="D135" s="215" t="str">
        <f>$D$147</f>
        <v>Ethanol</v>
      </c>
      <c r="E135" s="215" t="str">
        <f>$D$147</f>
        <v>Ethanol</v>
      </c>
      <c r="F135" s="214"/>
      <c r="G135" s="215" t="str">
        <f>$D$147</f>
        <v>Ethanol</v>
      </c>
      <c r="H135" s="215"/>
      <c r="I135" s="215"/>
      <c r="J135" s="155"/>
      <c r="K135" s="155"/>
      <c r="L135" s="155"/>
    </row>
    <row r="136" spans="4:33" ht="20.100000000000001" customHeight="1" x14ac:dyDescent="0.2">
      <c r="D136" s="215" t="str">
        <f>$D$148</f>
        <v>Other biofuels</v>
      </c>
      <c r="E136" s="215" t="str">
        <f>$D$148</f>
        <v>Other biofuels</v>
      </c>
      <c r="F136" s="214"/>
      <c r="G136" s="215" t="str">
        <f>$D$146</f>
        <v>Biodiesel</v>
      </c>
      <c r="H136" s="215"/>
      <c r="I136" s="215"/>
      <c r="J136" s="155"/>
      <c r="K136" s="155"/>
      <c r="L136" s="155"/>
    </row>
    <row r="137" spans="4:33" ht="20.100000000000001" customHeight="1" x14ac:dyDescent="0.2">
      <c r="D137" s="215" t="str">
        <f>$D$149</f>
        <v>Renewable diesel</v>
      </c>
      <c r="E137" s="215" t="str">
        <f>$D$149</f>
        <v>Renewable diesel</v>
      </c>
      <c r="F137" s="214"/>
      <c r="G137" s="215" t="str">
        <f>$D$149</f>
        <v>Renewable diesel</v>
      </c>
      <c r="H137" s="215"/>
      <c r="I137" s="215"/>
      <c r="J137" s="155"/>
      <c r="K137" s="155"/>
      <c r="L137" s="155"/>
    </row>
    <row r="138" spans="4:33" ht="20.100000000000001" customHeight="1" x14ac:dyDescent="0.2">
      <c r="D138" s="214"/>
      <c r="E138" s="216" t="str">
        <f>$D$161</f>
        <v>Natural gas (via pipeline) in GJ</v>
      </c>
      <c r="F138" s="216"/>
      <c r="G138" s="215" t="str">
        <f>$D$148</f>
        <v>Other biofuels</v>
      </c>
      <c r="H138" s="215"/>
      <c r="I138" s="215"/>
      <c r="J138" s="155"/>
      <c r="K138" s="155"/>
      <c r="L138" s="155"/>
    </row>
    <row r="139" spans="4:33" ht="20.100000000000001" customHeight="1" x14ac:dyDescent="0.2">
      <c r="D139" s="216"/>
      <c r="E139" s="216" t="str">
        <f>$D$162</f>
        <v>Town gas in GJ</v>
      </c>
      <c r="F139" s="216"/>
      <c r="G139" s="216"/>
      <c r="H139" s="216"/>
      <c r="I139" s="216"/>
      <c r="J139" s="155"/>
      <c r="K139" s="155"/>
      <c r="L139" s="155"/>
    </row>
    <row r="140" spans="4:33" ht="20.100000000000001" customHeight="1" x14ac:dyDescent="0.2">
      <c r="D140" s="155"/>
      <c r="E140" s="155"/>
      <c r="F140" s="155"/>
      <c r="G140" s="155"/>
      <c r="H140" s="155"/>
      <c r="I140" s="155"/>
      <c r="J140" s="155"/>
      <c r="K140" s="155"/>
      <c r="L140" s="155"/>
    </row>
    <row r="141" spans="4:33" ht="20.100000000000001" customHeight="1" x14ac:dyDescent="0.2">
      <c r="D141" s="155"/>
      <c r="E141" s="155"/>
      <c r="F141" s="155"/>
      <c r="G141" s="155"/>
      <c r="H141" s="155"/>
      <c r="I141" s="155"/>
      <c r="J141" s="155"/>
      <c r="K141" s="155"/>
      <c r="L141" s="155"/>
    </row>
    <row r="142" spans="4:33" ht="20.100000000000001" customHeight="1" x14ac:dyDescent="0.2">
      <c r="D142" t="s">
        <v>618</v>
      </c>
      <c r="E142" t="s">
        <v>118</v>
      </c>
      <c r="F142" t="s">
        <v>619</v>
      </c>
      <c r="G142" s="155"/>
      <c r="H142" s="155"/>
      <c r="I142" s="155"/>
      <c r="J142" s="155"/>
      <c r="K142" s="155"/>
      <c r="L142" s="155"/>
      <c r="M142" s="155"/>
      <c r="AG142" s="1"/>
    </row>
    <row r="143" spans="4:33" ht="20.100000000000001" customHeight="1" x14ac:dyDescent="0.2">
      <c r="D143" s="215" t="s">
        <v>559</v>
      </c>
      <c r="E143" t="s">
        <v>620</v>
      </c>
      <c r="F143" t="s">
        <v>621</v>
      </c>
      <c r="G143" s="155"/>
      <c r="H143" s="155"/>
      <c r="I143" s="155"/>
      <c r="J143" s="155"/>
      <c r="K143" s="155"/>
      <c r="L143" s="155"/>
      <c r="M143" s="155"/>
      <c r="AG143" s="1"/>
    </row>
    <row r="144" spans="4:33" ht="20.100000000000001" customHeight="1" x14ac:dyDescent="0.2">
      <c r="D144" s="215" t="s">
        <v>561</v>
      </c>
      <c r="E144" t="s">
        <v>620</v>
      </c>
      <c r="F144" t="s">
        <v>621</v>
      </c>
      <c r="G144" s="155"/>
      <c r="H144" s="155"/>
      <c r="I144" s="155"/>
      <c r="J144" s="155"/>
      <c r="K144" s="155"/>
      <c r="L144" s="155"/>
      <c r="M144" s="155"/>
      <c r="AG144" s="1"/>
    </row>
    <row r="145" spans="1:33" ht="20.100000000000001" customHeight="1" x14ac:dyDescent="0.2">
      <c r="D145" s="215" t="s">
        <v>622</v>
      </c>
      <c r="E145" t="s">
        <v>620</v>
      </c>
      <c r="F145" t="s">
        <v>621</v>
      </c>
      <c r="G145" s="155"/>
      <c r="H145" s="155"/>
      <c r="I145" s="155"/>
      <c r="J145" s="155"/>
      <c r="K145" s="155"/>
      <c r="L145" s="155"/>
      <c r="M145" s="155"/>
      <c r="AG145" s="1"/>
    </row>
    <row r="146" spans="1:33" ht="20.100000000000001" customHeight="1" x14ac:dyDescent="0.2">
      <c r="D146" s="215" t="s">
        <v>623</v>
      </c>
      <c r="E146" t="s">
        <v>620</v>
      </c>
      <c r="F146" t="s">
        <v>621</v>
      </c>
      <c r="G146" s="155"/>
      <c r="H146" s="155"/>
      <c r="I146" s="155"/>
      <c r="J146" s="155"/>
      <c r="K146" s="155"/>
      <c r="L146" s="155"/>
      <c r="M146" s="155"/>
      <c r="AG146" s="1"/>
    </row>
    <row r="147" spans="1:33" ht="20.100000000000001" customHeight="1" x14ac:dyDescent="0.2">
      <c r="D147" s="215" t="s">
        <v>624</v>
      </c>
      <c r="E147" t="s">
        <v>620</v>
      </c>
      <c r="F147" t="s">
        <v>621</v>
      </c>
      <c r="G147" s="155"/>
      <c r="H147" s="155"/>
      <c r="I147" s="155"/>
      <c r="J147" s="155"/>
      <c r="K147" s="155"/>
      <c r="L147" s="155"/>
      <c r="M147" s="155"/>
      <c r="AG147" s="1"/>
    </row>
    <row r="148" spans="1:33" ht="20.100000000000001" customHeight="1" x14ac:dyDescent="0.2">
      <c r="D148" s="215" t="s">
        <v>625</v>
      </c>
      <c r="E148" t="s">
        <v>620</v>
      </c>
      <c r="F148" t="s">
        <v>621</v>
      </c>
      <c r="G148" s="155"/>
      <c r="H148" s="155"/>
      <c r="I148" s="155"/>
      <c r="J148" s="155"/>
      <c r="K148" s="155"/>
      <c r="L148" s="155"/>
      <c r="M148" s="155"/>
      <c r="AG148" s="1"/>
    </row>
    <row r="149" spans="1:33" ht="20.100000000000001" customHeight="1" x14ac:dyDescent="0.2">
      <c r="A149" s="81" t="str">
        <f>HYPERLINK("#A1", "▲ Back to top")</f>
        <v>▲ Back to top</v>
      </c>
      <c r="D149" s="215" t="s">
        <v>626</v>
      </c>
      <c r="E149" t="s">
        <v>620</v>
      </c>
      <c r="F149" t="s">
        <v>621</v>
      </c>
      <c r="G149" s="155"/>
      <c r="H149" s="155"/>
      <c r="I149" s="155"/>
      <c r="J149" s="155"/>
      <c r="K149" s="155"/>
      <c r="L149" s="155"/>
      <c r="M149" s="155"/>
      <c r="AG149" s="1"/>
    </row>
    <row r="150" spans="1:33" ht="20.100000000000001" customHeight="1" x14ac:dyDescent="0.2">
      <c r="D150" s="215" t="s">
        <v>627</v>
      </c>
      <c r="E150" t="s">
        <v>620</v>
      </c>
      <c r="F150" t="s">
        <v>621</v>
      </c>
      <c r="G150" s="155"/>
      <c r="H150" s="155"/>
      <c r="I150" s="155"/>
      <c r="J150" s="155"/>
      <c r="K150" s="155"/>
      <c r="L150" s="155"/>
      <c r="M150" s="155"/>
      <c r="AG150" s="1"/>
    </row>
    <row r="151" spans="1:33" ht="20.100000000000001" customHeight="1" x14ac:dyDescent="0.2">
      <c r="D151" s="215" t="s">
        <v>628</v>
      </c>
      <c r="E151" t="s">
        <v>620</v>
      </c>
      <c r="F151" t="s">
        <v>621</v>
      </c>
      <c r="G151" s="155"/>
      <c r="H151" s="155"/>
      <c r="I151" s="155"/>
      <c r="J151" s="155"/>
      <c r="K151" s="155"/>
      <c r="L151" s="155"/>
      <c r="M151" s="155"/>
      <c r="AG151" s="1"/>
    </row>
    <row r="152" spans="1:33" ht="20.100000000000001" customHeight="1" x14ac:dyDescent="0.2">
      <c r="D152" s="217" t="s">
        <v>629</v>
      </c>
      <c r="E152" s="8" t="s">
        <v>620</v>
      </c>
      <c r="F152" t="s">
        <v>621</v>
      </c>
      <c r="G152" s="155"/>
      <c r="H152" s="155"/>
      <c r="I152" s="155"/>
      <c r="J152" s="155"/>
      <c r="K152" s="155"/>
      <c r="L152" s="155"/>
      <c r="M152" s="155"/>
      <c r="AG152" s="1"/>
    </row>
    <row r="153" spans="1:33" ht="20.100000000000001" customHeight="1" x14ac:dyDescent="0.2">
      <c r="D153" s="217" t="s">
        <v>630</v>
      </c>
      <c r="E153" s="8" t="s">
        <v>620</v>
      </c>
      <c r="F153" t="s">
        <v>621</v>
      </c>
      <c r="G153" s="155"/>
      <c r="H153" s="155"/>
      <c r="I153" s="155"/>
      <c r="J153" s="155"/>
      <c r="K153" s="155"/>
      <c r="L153" s="155"/>
      <c r="M153" s="155"/>
      <c r="AG153" s="1"/>
    </row>
    <row r="154" spans="1:33" ht="20.100000000000001" customHeight="1" x14ac:dyDescent="0.2">
      <c r="D154" s="217" t="s">
        <v>631</v>
      </c>
      <c r="E154" s="8" t="s">
        <v>620</v>
      </c>
      <c r="F154" t="s">
        <v>621</v>
      </c>
      <c r="G154" s="155"/>
      <c r="H154" s="155"/>
      <c r="I154" s="155"/>
      <c r="J154" s="155"/>
      <c r="K154" s="155"/>
      <c r="L154" s="155"/>
      <c r="M154" s="155"/>
      <c r="AG154" s="1"/>
    </row>
    <row r="155" spans="1:33" ht="20.100000000000001" customHeight="1" x14ac:dyDescent="0.2">
      <c r="D155" s="217" t="s">
        <v>632</v>
      </c>
      <c r="E155" s="8" t="s">
        <v>620</v>
      </c>
      <c r="F155" t="s">
        <v>621</v>
      </c>
      <c r="G155" s="155"/>
      <c r="H155" s="155"/>
      <c r="I155" s="155"/>
      <c r="J155" s="155"/>
      <c r="K155" s="155"/>
      <c r="L155" s="155"/>
      <c r="M155" s="155"/>
      <c r="AG155" s="1"/>
    </row>
    <row r="156" spans="1:33" ht="20.100000000000001" customHeight="1" x14ac:dyDescent="0.2">
      <c r="D156" s="217" t="s">
        <v>633</v>
      </c>
      <c r="E156" s="8" t="s">
        <v>620</v>
      </c>
      <c r="F156" t="s">
        <v>621</v>
      </c>
      <c r="G156" s="155"/>
      <c r="H156" s="155"/>
      <c r="I156" s="155"/>
      <c r="J156" s="155"/>
      <c r="K156" s="155"/>
      <c r="L156" s="155"/>
      <c r="M156" s="155"/>
      <c r="AG156" s="1"/>
    </row>
    <row r="157" spans="1:33" ht="20.100000000000001" customHeight="1" x14ac:dyDescent="0.2">
      <c r="D157" s="217" t="s">
        <v>634</v>
      </c>
      <c r="E157" s="8" t="s">
        <v>620</v>
      </c>
      <c r="F157" t="s">
        <v>621</v>
      </c>
      <c r="G157" s="155"/>
      <c r="H157" s="155"/>
      <c r="I157" s="155"/>
      <c r="J157" s="155"/>
      <c r="K157" s="155"/>
      <c r="L157" s="155"/>
      <c r="M157" s="155"/>
      <c r="AG157" s="1"/>
    </row>
    <row r="158" spans="1:33" ht="20.100000000000001" customHeight="1" x14ac:dyDescent="0.2">
      <c r="D158" s="217" t="s">
        <v>635</v>
      </c>
      <c r="E158" s="8" t="s">
        <v>620</v>
      </c>
      <c r="F158" t="s">
        <v>621</v>
      </c>
      <c r="G158" s="155"/>
      <c r="H158" s="155"/>
      <c r="I158" s="155"/>
      <c r="J158" s="155"/>
      <c r="K158" s="155"/>
      <c r="L158" s="155"/>
      <c r="M158" s="155"/>
      <c r="AG158" s="1"/>
    </row>
    <row r="159" spans="1:33" ht="20.100000000000001" customHeight="1" x14ac:dyDescent="0.2">
      <c r="D159" s="217" t="s">
        <v>636</v>
      </c>
      <c r="E159" s="8" t="s">
        <v>620</v>
      </c>
      <c r="F159" t="s">
        <v>621</v>
      </c>
      <c r="G159" s="155"/>
      <c r="H159" s="155"/>
      <c r="I159" s="155"/>
      <c r="J159" s="155"/>
      <c r="K159" s="155"/>
      <c r="L159" s="155"/>
      <c r="M159" s="155"/>
      <c r="AG159" s="1"/>
    </row>
    <row r="160" spans="1:33" ht="20.100000000000001" customHeight="1" x14ac:dyDescent="0.2">
      <c r="D160" s="217" t="s">
        <v>564</v>
      </c>
      <c r="E160" s="8" t="s">
        <v>620</v>
      </c>
      <c r="F160" t="s">
        <v>621</v>
      </c>
      <c r="G160" s="155"/>
      <c r="H160" s="155"/>
      <c r="I160" s="155"/>
      <c r="J160" s="155"/>
      <c r="K160" s="155"/>
      <c r="L160" s="155"/>
      <c r="M160" s="155"/>
      <c r="AG160" s="1"/>
    </row>
    <row r="161" spans="4:33" ht="20.100000000000001" customHeight="1" x14ac:dyDescent="0.2">
      <c r="D161" s="216" t="s">
        <v>637</v>
      </c>
      <c r="E161" s="155" t="s">
        <v>638</v>
      </c>
      <c r="F161" s="155" t="s">
        <v>638</v>
      </c>
      <c r="G161" s="155"/>
      <c r="H161" s="155"/>
      <c r="I161" s="155"/>
      <c r="J161" s="155"/>
      <c r="K161" s="155"/>
      <c r="L161" s="155"/>
      <c r="M161" s="155"/>
      <c r="AG161" s="1"/>
    </row>
    <row r="162" spans="4:33" ht="20.100000000000001" customHeight="1" x14ac:dyDescent="0.2">
      <c r="D162" s="155" t="s">
        <v>558</v>
      </c>
      <c r="E162" s="155" t="s">
        <v>638</v>
      </c>
      <c r="F162" s="155" t="s">
        <v>638</v>
      </c>
      <c r="G162" s="155"/>
      <c r="H162" s="155"/>
      <c r="I162" s="155"/>
      <c r="J162" s="155"/>
      <c r="K162" s="155"/>
      <c r="L162" s="155"/>
      <c r="M162" s="155"/>
      <c r="AG162" s="1"/>
    </row>
  </sheetData>
  <pageMargins left="0.7" right="0.7" top="0.75" bottom="0.75" header="0.3" footer="0.3"/>
  <tableParts count="7">
    <tablePart r:id="rId1"/>
    <tablePart r:id="rId2"/>
    <tablePart r:id="rId3"/>
    <tablePart r:id="rId4"/>
    <tablePart r:id="rId5"/>
    <tablePart r:id="rId6"/>
    <tablePart r:id="rId7"/>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110DB-FEEC-4F26-B995-6A6CC6493E8E}">
  <sheetPr>
    <tabColor theme="2" tint="-0.499984740745262"/>
  </sheetPr>
  <dimension ref="A1:R247"/>
  <sheetViews>
    <sheetView showGridLines="0" zoomScaleNormal="100" workbookViewId="0">
      <pane xSplit="1" topLeftCell="B1" activePane="topRight" state="frozenSplit"/>
      <selection pane="topRight" activeCell="A47" sqref="A47"/>
    </sheetView>
  </sheetViews>
  <sheetFormatPr defaultRowHeight="20.100000000000001" customHeight="1" x14ac:dyDescent="0.2"/>
  <cols>
    <col min="1" max="1" width="36.7109375" customWidth="1"/>
    <col min="2" max="2" width="4.5703125" customWidth="1"/>
    <col min="3" max="3" width="4.5703125" style="1" customWidth="1"/>
    <col min="4" max="17" width="30.5703125" style="1" customWidth="1"/>
  </cols>
  <sheetData>
    <row r="1" spans="1:17" ht="30" customHeight="1" x14ac:dyDescent="0.35">
      <c r="A1" s="10" t="e" vm="1">
        <v>#VALUE!</v>
      </c>
      <c r="C1"/>
      <c r="D1"/>
      <c r="E1"/>
      <c r="F1"/>
      <c r="G1"/>
      <c r="H1"/>
      <c r="I1"/>
      <c r="J1"/>
      <c r="K1"/>
      <c r="L1"/>
      <c r="M1"/>
      <c r="N1"/>
      <c r="O1"/>
      <c r="P1"/>
      <c r="Q1"/>
    </row>
    <row r="2" spans="1:17" ht="20.100000000000001" customHeight="1" x14ac:dyDescent="0.2">
      <c r="C2"/>
      <c r="D2"/>
      <c r="E2"/>
      <c r="F2"/>
      <c r="G2"/>
      <c r="H2"/>
      <c r="I2"/>
      <c r="J2"/>
      <c r="K2"/>
      <c r="L2"/>
      <c r="M2"/>
      <c r="N2"/>
      <c r="O2"/>
      <c r="P2"/>
      <c r="Q2"/>
    </row>
    <row r="3" spans="1:17" ht="20.100000000000001" customHeight="1" x14ac:dyDescent="0.2">
      <c r="A3" s="5" t="str">
        <f>HYPERLINK("#'Home'!A1", "Home")</f>
        <v>Home</v>
      </c>
    </row>
    <row r="4" spans="1:17" ht="20.100000000000001" customHeight="1" x14ac:dyDescent="0.2">
      <c r="A4" s="5" t="str">
        <f>HYPERLINK("#'Results - Activity period'!A1", "Results - Activity period")</f>
        <v>Results - Activity period</v>
      </c>
    </row>
    <row r="5" spans="1:17" ht="20.100000000000001" customHeight="1" x14ac:dyDescent="0.2">
      <c r="A5" s="5" t="str">
        <f>HYPERLINK("#'Results - Product EI'!A1", "Results - Product EI")</f>
        <v>Results - Product EI</v>
      </c>
    </row>
    <row r="8" spans="1:17" ht="20.100000000000001" customHeight="1" x14ac:dyDescent="0.2">
      <c r="A8" s="7" t="s">
        <v>0</v>
      </c>
    </row>
    <row r="9" spans="1:17" ht="20.100000000000001" customHeight="1" x14ac:dyDescent="0.2">
      <c r="A9" s="5" t="str">
        <f>HYPERLINK("#'Input - Enterprise'!A1", "Enterprise")</f>
        <v>Enterprise</v>
      </c>
    </row>
    <row r="10" spans="1:17" ht="20.100000000000001" customHeight="1" x14ac:dyDescent="0.2">
      <c r="A10" s="5" t="str">
        <f>HYPERLINK("#'Input - Site'!A1", "Site")</f>
        <v>Site</v>
      </c>
    </row>
    <row r="11" spans="1:17" ht="20.100000000000001" customHeight="1" x14ac:dyDescent="0.2">
      <c r="A11" s="5" t="str">
        <f>HYPERLINK("#'Input - Crop'!A1", "Crop")</f>
        <v>Crop</v>
      </c>
    </row>
    <row r="12" spans="1:17" ht="20.100000000000001" customHeight="1" x14ac:dyDescent="0.2">
      <c r="A12" s="5" t="str">
        <f>HYPERLINK("#'Input - Fert Prod System'!A1", "Fert Prod System")</f>
        <v>Fert Prod System</v>
      </c>
    </row>
    <row r="13" spans="1:17" ht="20.100000000000001" customHeight="1" x14ac:dyDescent="0.2">
      <c r="A13" s="5" t="str">
        <f>HYPERLINK("#'Input - Fertiliser'!A1", "Fertiliser")</f>
        <v>Fertiliser</v>
      </c>
    </row>
    <row r="14" spans="1:17" ht="20.100000000000001" customHeight="1" x14ac:dyDescent="0.2">
      <c r="A14" s="5" t="str">
        <f>HYPERLINK("#'Input - Fuel'!A1", "Fuel")</f>
        <v>Fuel</v>
      </c>
    </row>
    <row r="15" spans="1:17" ht="20.100000000000001" customHeight="1" x14ac:dyDescent="0.2">
      <c r="A15" s="5" t="str">
        <f>HYPERLINK("#'Input - Electricity'!A1", "Electricity")</f>
        <v>Electricity</v>
      </c>
    </row>
    <row r="16" spans="1:17" ht="20.100000000000001" customHeight="1" x14ac:dyDescent="0.2">
      <c r="A16" s="5" t="str">
        <f>HYPERLINK("#'Input - Common farm inputs'!A1", "Common farm inputs")</f>
        <v>Common farm inputs</v>
      </c>
    </row>
    <row r="17" spans="1:12" ht="20.100000000000001" customHeight="1" x14ac:dyDescent="0.2">
      <c r="A17" s="5" t="str">
        <f>HYPERLINK("#'Input - Crop pasture farm input'!A1", "Crop pasture farm input")</f>
        <v>Crop pasture farm input</v>
      </c>
    </row>
    <row r="18" spans="1:12" ht="20.100000000000001" customHeight="1" x14ac:dyDescent="0.2">
      <c r="A18" s="5" t="str">
        <f>HYPERLINK("#'Input - Freight'!A1", "Freight")</f>
        <v>Freight</v>
      </c>
    </row>
    <row r="19" spans="1:12" ht="20.100000000000001" customHeight="1" x14ac:dyDescent="0.2">
      <c r="A19" s="5" t="str">
        <f>HYPERLINK("#'Input - Solid waste'!A1", "Solid waste")</f>
        <v>Solid waste</v>
      </c>
    </row>
    <row r="20" spans="1:12" ht="20.100000000000001" customHeight="1" x14ac:dyDescent="0.2">
      <c r="A20" s="5" t="str">
        <f>HYPERLINK("#'Input - Data quality'!A1", "Data quality")</f>
        <v>Data quality</v>
      </c>
    </row>
    <row r="23" spans="1:12" ht="20.100000000000001" customHeight="1" x14ac:dyDescent="0.2">
      <c r="A23" s="6" t="s">
        <v>2</v>
      </c>
    </row>
    <row r="24" spans="1:12" ht="20.100000000000001" customHeight="1" x14ac:dyDescent="0.2">
      <c r="A24" s="5" t="str">
        <f>HYPERLINK("#'5.1.1.1-2 Inorganic fert N2O'!A1", "5.1.1.1-2 Inorganic fert N2O")</f>
        <v>5.1.1.1-2 Inorganic fert N2O</v>
      </c>
    </row>
    <row r="25" spans="1:12" ht="20.100000000000001" customHeight="1" x14ac:dyDescent="0.2">
      <c r="A25" s="5" t="str">
        <f>HYPERLINK("#'5.1.1.3-4 Inorganic fert CO2'!A1", "5.1.1.3-4 Inorganic fert CO2")</f>
        <v>5.1.1.3-4 Inorganic fert CO2</v>
      </c>
    </row>
    <row r="26" spans="1:12" ht="20.100000000000001" customHeight="1" x14ac:dyDescent="0.2">
      <c r="A26" s="5" t="str">
        <f>HYPERLINK("#'5.2.1.1-2 Organic Fert N2O'!A1", "5.2.1.1-2 Organic fert N2O")</f>
        <v>5.2.1.1-2 Organic fert N2O</v>
      </c>
    </row>
    <row r="27" spans="1:12" ht="20.100000000000001" customHeight="1" x14ac:dyDescent="0.2">
      <c r="A27" s="5" t="str">
        <f>HYPERLINK("#'5.3.1.1-2 Lime CO2'!A1", "5.3.1.1-2 Lime CO2")</f>
        <v>5.3.1.1-2 Lime CO2</v>
      </c>
    </row>
    <row r="28" spans="1:12" ht="20.100000000000001" customHeight="1" x14ac:dyDescent="0.2">
      <c r="A28" s="5" t="str">
        <f>HYPERLINK("#'5.4.1.1-4 Atmos deposition'!A1", "5.4.1.1-4 Atmos. deposition")</f>
        <v>5.4.1.1-4 Atmos. deposition</v>
      </c>
    </row>
    <row r="29" spans="1:12" ht="20.100000000000001" customHeight="1" x14ac:dyDescent="0.2">
      <c r="A29" s="5" t="str">
        <f>HYPERLINK("#'5.5.1.1-2 Leaching and runoff'!A1", "5.5.1.1-2 Leaching &amp; runoff")</f>
        <v>5.5.1.1-2 Leaching &amp; runoff</v>
      </c>
    </row>
    <row r="30" spans="1:12" ht="20.100000000000001" customHeight="1" x14ac:dyDescent="0.2">
      <c r="A30" s="5" t="str">
        <f>HYPERLINK("#'6.1.1.1-2 Crop residue N2O'!A1", "6.1.1.1-2 Crop residue N2O")</f>
        <v>6.1.1.1-2 Crop residue N2O</v>
      </c>
    </row>
    <row r="31" spans="1:12" ht="20.100000000000001" customHeight="1" x14ac:dyDescent="0.2">
      <c r="A31" s="5" t="str">
        <f>HYPERLINK("#'6.3.1.1-2 Leach runoff crop'!A1", "6.3.1.1-2 Leach &amp; runoff (crop)")</f>
        <v>6.3.1.1-2 Leach &amp; runoff (crop)</v>
      </c>
    </row>
    <row r="32" spans="1:12" ht="20.100000000000001" customHeight="1" x14ac:dyDescent="0.2">
      <c r="A32" s="5" t="str">
        <f>HYPERLINK("#'6.4.1.1-2 Residue burning'!A1", "6.4.1.1-2 Residue burning")</f>
        <v>6.4.1.1-2 Residue burning</v>
      </c>
      <c r="D32" s="2" t="s">
        <v>977</v>
      </c>
      <c r="L32" s="1" t="s">
        <v>978</v>
      </c>
    </row>
    <row r="33" spans="1:13" ht="20.100000000000001" customHeight="1" x14ac:dyDescent="0.2">
      <c r="A33" s="5" t="str">
        <f>HYPERLINK("#'8.1.1.1-2 Transport fuel'!A1", "8.1.1.1-2 Transport fuel")</f>
        <v>8.1.1.1-2 Transport fuel</v>
      </c>
      <c r="D33" s="20" t="s">
        <v>979</v>
      </c>
      <c r="E33" s="20" t="s">
        <v>132</v>
      </c>
      <c r="F33" s="20" t="s">
        <v>980</v>
      </c>
      <c r="G33" s="20" t="s">
        <v>981</v>
      </c>
      <c r="H33" s="20" t="s">
        <v>982</v>
      </c>
      <c r="I33" s="20" t="s">
        <v>983</v>
      </c>
      <c r="J33" s="20" t="s">
        <v>463</v>
      </c>
      <c r="L33" s="20" t="s">
        <v>984</v>
      </c>
      <c r="M33" s="20" t="s">
        <v>985</v>
      </c>
    </row>
    <row r="34" spans="1:13" ht="20.100000000000001" customHeight="1" x14ac:dyDescent="0.2">
      <c r="A34" s="5" t="str">
        <f>HYPERLINK("#'8.2.1.1-2 Stationary fuel'!A1", "8.2.1.1-2 Stationary fuel")</f>
        <v>8.2.1.1-2 Stationary fuel</v>
      </c>
      <c r="D34" s="20" t="s">
        <v>852</v>
      </c>
      <c r="E34" s="20" t="s">
        <v>1883</v>
      </c>
      <c r="F34" s="20" t="s">
        <v>1005</v>
      </c>
      <c r="G34" s="20" t="s">
        <v>1884</v>
      </c>
      <c r="H34" s="20">
        <v>11</v>
      </c>
      <c r="I34" s="20" t="s">
        <v>1885</v>
      </c>
      <c r="J34" s="20" t="s">
        <v>986</v>
      </c>
      <c r="L34" s="20" t="s">
        <v>987</v>
      </c>
      <c r="M34" s="20" t="s">
        <v>988</v>
      </c>
    </row>
    <row r="35" spans="1:13" ht="20.100000000000001" customHeight="1" x14ac:dyDescent="0.2">
      <c r="A35" s="5" t="str">
        <f>HYPERLINK("#'10.1.1-2 Solid waste treatment'!A1", "10.1.1.1-2 Solid waste")</f>
        <v>10.1.1.1-2 Solid waste</v>
      </c>
      <c r="D35" s="20" t="s">
        <v>852</v>
      </c>
      <c r="E35" s="20" t="s">
        <v>1883</v>
      </c>
      <c r="F35" s="20" t="s">
        <v>988</v>
      </c>
      <c r="G35" s="20" t="s">
        <v>1884</v>
      </c>
      <c r="H35" s="20">
        <v>8.2100000000000009</v>
      </c>
      <c r="I35" s="20" t="s">
        <v>1885</v>
      </c>
      <c r="J35" s="20" t="s">
        <v>986</v>
      </c>
      <c r="L35" s="20" t="s">
        <v>988</v>
      </c>
      <c r="M35" s="20" t="s">
        <v>988</v>
      </c>
    </row>
    <row r="36" spans="1:13" ht="20.100000000000001" customHeight="1" x14ac:dyDescent="0.2">
      <c r="A36" s="5" t="str">
        <f>HYPERLINK("#'14.1.1-2 Purchased electricity'!A1", "14.1.1-2 Purchased electricity")</f>
        <v>14.1.1-2 Purchased electricity</v>
      </c>
      <c r="D36" s="20" t="s">
        <v>852</v>
      </c>
      <c r="E36" s="20" t="s">
        <v>1883</v>
      </c>
      <c r="F36" s="20" t="s">
        <v>997</v>
      </c>
      <c r="G36" s="20" t="s">
        <v>1884</v>
      </c>
      <c r="H36" s="20">
        <v>12.2</v>
      </c>
      <c r="I36" s="20" t="s">
        <v>1885</v>
      </c>
      <c r="J36" s="20" t="s">
        <v>986</v>
      </c>
      <c r="L36" s="20" t="s">
        <v>989</v>
      </c>
      <c r="M36" s="20" t="s">
        <v>989</v>
      </c>
    </row>
    <row r="37" spans="1:13" ht="20.100000000000001" customHeight="1" x14ac:dyDescent="0.2">
      <c r="A37" s="5" t="str">
        <f>HYPERLINK("#'15 Scope 3'!A1", "15 Scope 3")</f>
        <v>15 Scope 3</v>
      </c>
      <c r="D37" s="20" t="s">
        <v>852</v>
      </c>
      <c r="E37" s="20" t="s">
        <v>1883</v>
      </c>
      <c r="F37" s="20" t="s">
        <v>1001</v>
      </c>
      <c r="G37" s="20" t="s">
        <v>1884</v>
      </c>
      <c r="H37" s="20">
        <v>10.9</v>
      </c>
      <c r="I37" s="20" t="s">
        <v>1885</v>
      </c>
      <c r="J37" s="20" t="s">
        <v>986</v>
      </c>
      <c r="L37" s="20" t="s">
        <v>990</v>
      </c>
      <c r="M37" s="20" t="s">
        <v>990</v>
      </c>
    </row>
    <row r="38" spans="1:13" ht="20.100000000000001" customHeight="1" x14ac:dyDescent="0.2">
      <c r="D38" s="20" t="s">
        <v>852</v>
      </c>
      <c r="E38" s="20" t="s">
        <v>1883</v>
      </c>
      <c r="F38" s="20" t="s">
        <v>989</v>
      </c>
      <c r="G38" s="20" t="s">
        <v>1884</v>
      </c>
      <c r="H38" s="20">
        <v>7.63</v>
      </c>
      <c r="I38" s="20" t="s">
        <v>1885</v>
      </c>
      <c r="J38" s="20" t="s">
        <v>986</v>
      </c>
      <c r="L38" s="20" t="s">
        <v>991</v>
      </c>
      <c r="M38" s="20" t="s">
        <v>991</v>
      </c>
    </row>
    <row r="39" spans="1:13" ht="20.100000000000001" customHeight="1" x14ac:dyDescent="0.2">
      <c r="D39" s="20" t="s">
        <v>852</v>
      </c>
      <c r="E39" s="20" t="s">
        <v>1883</v>
      </c>
      <c r="F39" s="20" t="s">
        <v>990</v>
      </c>
      <c r="G39" s="20" t="s">
        <v>1884</v>
      </c>
      <c r="H39" s="20">
        <v>8.75</v>
      </c>
      <c r="I39" s="20" t="s">
        <v>1885</v>
      </c>
      <c r="J39" s="20" t="s">
        <v>986</v>
      </c>
      <c r="L39" s="20" t="s">
        <v>992</v>
      </c>
      <c r="M39" s="20" t="s">
        <v>993</v>
      </c>
    </row>
    <row r="40" spans="1:13" ht="20.100000000000001" customHeight="1" x14ac:dyDescent="0.2">
      <c r="A40" s="82" t="s">
        <v>1</v>
      </c>
      <c r="D40" s="20" t="s">
        <v>852</v>
      </c>
      <c r="E40" s="20" t="s">
        <v>1883</v>
      </c>
      <c r="F40" s="20" t="s">
        <v>991</v>
      </c>
      <c r="G40" s="20" t="s">
        <v>1884</v>
      </c>
      <c r="H40" s="20">
        <v>8.17</v>
      </c>
      <c r="I40" s="20" t="s">
        <v>1885</v>
      </c>
      <c r="J40" s="20" t="s">
        <v>986</v>
      </c>
      <c r="L40" s="20" t="s">
        <v>994</v>
      </c>
      <c r="M40" s="20" t="s">
        <v>993</v>
      </c>
    </row>
    <row r="41" spans="1:13" ht="20.100000000000001" customHeight="1" x14ac:dyDescent="0.2">
      <c r="A41" s="5" t="str">
        <f>HYPERLINK("#'Constants - Ag Residue'!A1", "Constants - Ag residue")</f>
        <v>Constants - Ag residue</v>
      </c>
      <c r="D41" s="20" t="s">
        <v>852</v>
      </c>
      <c r="E41" s="20" t="s">
        <v>1883</v>
      </c>
      <c r="F41" s="20" t="s">
        <v>993</v>
      </c>
      <c r="G41" s="20" t="s">
        <v>1884</v>
      </c>
      <c r="H41" s="20">
        <v>13.1</v>
      </c>
      <c r="I41" s="20" t="s">
        <v>1885</v>
      </c>
      <c r="J41" s="20" t="s">
        <v>986</v>
      </c>
      <c r="L41" s="20" t="s">
        <v>995</v>
      </c>
      <c r="M41" s="20" t="s">
        <v>993</v>
      </c>
    </row>
    <row r="42" spans="1:13" ht="20.100000000000001" customHeight="1" x14ac:dyDescent="0.2">
      <c r="A42" s="5" t="str">
        <f>HYPERLINK("#'Constants - Electricity'!A1", "Constants - Electricity")</f>
        <v>Constants - Electricity</v>
      </c>
      <c r="D42" s="20" t="s">
        <v>852</v>
      </c>
      <c r="E42" s="20" t="s">
        <v>1886</v>
      </c>
      <c r="F42" s="20" t="s">
        <v>1005</v>
      </c>
      <c r="G42" s="20" t="s">
        <v>1884</v>
      </c>
      <c r="H42" s="20">
        <v>14.5</v>
      </c>
      <c r="I42" s="20" t="s">
        <v>1885</v>
      </c>
      <c r="J42" s="20" t="s">
        <v>986</v>
      </c>
      <c r="L42" s="20" t="s">
        <v>996</v>
      </c>
      <c r="M42" s="20" t="s">
        <v>997</v>
      </c>
    </row>
    <row r="43" spans="1:13" ht="20.100000000000001" customHeight="1" x14ac:dyDescent="0.2">
      <c r="A43" s="5" t="str">
        <f>HYPERLINK("#'Constants - Fertiliser'!A1", "Constants - Fertiliser")</f>
        <v>Constants - Fertiliser</v>
      </c>
      <c r="D43" s="20" t="s">
        <v>852</v>
      </c>
      <c r="E43" s="20" t="s">
        <v>1886</v>
      </c>
      <c r="F43" s="20" t="s">
        <v>988</v>
      </c>
      <c r="G43" s="20" t="s">
        <v>1884</v>
      </c>
      <c r="H43" s="20">
        <v>11.3</v>
      </c>
      <c r="I43" s="20" t="s">
        <v>1885</v>
      </c>
      <c r="J43" s="20" t="s">
        <v>986</v>
      </c>
      <c r="L43" s="20" t="s">
        <v>998</v>
      </c>
      <c r="M43" s="20" t="s">
        <v>997</v>
      </c>
    </row>
    <row r="44" spans="1:13" ht="20.100000000000001" customHeight="1" x14ac:dyDescent="0.2">
      <c r="A44" s="5" t="str">
        <f>HYPERLINK("#'Constants - Fuel'!A1", "Constants - Fuel")</f>
        <v>Constants - Fuel</v>
      </c>
      <c r="D44" s="20" t="s">
        <v>852</v>
      </c>
      <c r="E44" s="20" t="s">
        <v>1886</v>
      </c>
      <c r="F44" s="20" t="s">
        <v>997</v>
      </c>
      <c r="G44" s="20" t="s">
        <v>1884</v>
      </c>
      <c r="H44" s="20">
        <v>18.899999999999999</v>
      </c>
      <c r="I44" s="20" t="s">
        <v>1885</v>
      </c>
      <c r="J44" s="20" t="s">
        <v>986</v>
      </c>
      <c r="L44" s="20" t="s">
        <v>999</v>
      </c>
      <c r="M44" s="20" t="s">
        <v>997</v>
      </c>
    </row>
    <row r="45" spans="1:13" ht="20.100000000000001" customHeight="1" x14ac:dyDescent="0.2">
      <c r="A45" s="83" t="str">
        <f>HYPERLINK("#'Constants - Scope 3'!A1", "Constants - Scope 3")</f>
        <v>Constants - Scope 3</v>
      </c>
      <c r="D45" s="20" t="s">
        <v>852</v>
      </c>
      <c r="E45" s="20" t="s">
        <v>1886</v>
      </c>
      <c r="F45" s="20" t="s">
        <v>1001</v>
      </c>
      <c r="G45" s="20" t="s">
        <v>1884</v>
      </c>
      <c r="H45" s="20">
        <v>13.9</v>
      </c>
      <c r="I45" s="20" t="s">
        <v>1885</v>
      </c>
      <c r="J45" s="20" t="s">
        <v>986</v>
      </c>
      <c r="L45" s="20" t="s">
        <v>1000</v>
      </c>
      <c r="M45" s="20" t="s">
        <v>1001</v>
      </c>
    </row>
    <row r="46" spans="1:13" ht="20.100000000000001" customHeight="1" x14ac:dyDescent="0.2">
      <c r="A46" s="5" t="str">
        <f>HYPERLINK("#'Constants - Solid Waste'!A1", "Constants - Solid Waste")</f>
        <v>Constants - Solid Waste</v>
      </c>
      <c r="D46" s="20" t="s">
        <v>852</v>
      </c>
      <c r="E46" s="20" t="s">
        <v>1886</v>
      </c>
      <c r="F46" s="20" t="s">
        <v>989</v>
      </c>
      <c r="G46" s="20" t="s">
        <v>1884</v>
      </c>
      <c r="H46" s="20">
        <v>12.3</v>
      </c>
      <c r="I46" s="20" t="s">
        <v>1885</v>
      </c>
      <c r="J46" s="20" t="s">
        <v>986</v>
      </c>
      <c r="L46" s="20" t="s">
        <v>1002</v>
      </c>
      <c r="M46" s="20" t="s">
        <v>1001</v>
      </c>
    </row>
    <row r="47" spans="1:13" ht="20.100000000000001" customHeight="1" x14ac:dyDescent="0.2">
      <c r="A47" s="5" t="str">
        <f>HYPERLINK("#'Constants - Common'!A1", "Constants - Common")</f>
        <v>Constants - Common</v>
      </c>
      <c r="D47" s="20" t="s">
        <v>852</v>
      </c>
      <c r="E47" s="20" t="s">
        <v>1886</v>
      </c>
      <c r="F47" s="20" t="s">
        <v>990</v>
      </c>
      <c r="G47" s="20" t="s">
        <v>1884</v>
      </c>
      <c r="H47" s="20">
        <v>11.5</v>
      </c>
      <c r="I47" s="20" t="s">
        <v>1885</v>
      </c>
      <c r="J47" s="20" t="s">
        <v>986</v>
      </c>
      <c r="L47" s="20" t="s">
        <v>1003</v>
      </c>
      <c r="M47" s="20" t="s">
        <v>1001</v>
      </c>
    </row>
    <row r="48" spans="1:13" ht="20.100000000000001" customHeight="1" x14ac:dyDescent="0.2">
      <c r="A48" s="5" t="str">
        <f>HYPERLINK("#'Constants - Common Livestock'!A1", "Constants - Common Livestock")</f>
        <v>Constants - Common Livestock</v>
      </c>
      <c r="D48" s="20" t="s">
        <v>852</v>
      </c>
      <c r="E48" s="20" t="s">
        <v>1886</v>
      </c>
      <c r="F48" s="20" t="s">
        <v>991</v>
      </c>
      <c r="G48" s="20" t="s">
        <v>1884</v>
      </c>
      <c r="H48" s="20">
        <v>11.5</v>
      </c>
      <c r="I48" s="20" t="s">
        <v>1885</v>
      </c>
      <c r="J48" s="20" t="s">
        <v>986</v>
      </c>
      <c r="L48" s="20" t="s">
        <v>1004</v>
      </c>
      <c r="M48" s="20" t="s">
        <v>1001</v>
      </c>
    </row>
    <row r="49" spans="1:13" ht="20.100000000000001" customHeight="1" x14ac:dyDescent="0.2">
      <c r="D49" s="20" t="s">
        <v>852</v>
      </c>
      <c r="E49" s="20" t="s">
        <v>1886</v>
      </c>
      <c r="F49" s="20" t="s">
        <v>993</v>
      </c>
      <c r="G49" s="20" t="s">
        <v>1884</v>
      </c>
      <c r="H49" s="20">
        <v>20.8</v>
      </c>
      <c r="I49" s="20" t="s">
        <v>1885</v>
      </c>
      <c r="J49" s="20" t="s">
        <v>986</v>
      </c>
      <c r="L49" s="1" t="s">
        <v>1005</v>
      </c>
      <c r="M49" s="1" t="s">
        <v>1005</v>
      </c>
    </row>
    <row r="50" spans="1:13" ht="20.100000000000001" customHeight="1" x14ac:dyDescent="0.2">
      <c r="D50" s="20" t="s">
        <v>852</v>
      </c>
      <c r="E50" s="20" t="s">
        <v>1887</v>
      </c>
      <c r="F50" s="20" t="s">
        <v>1005</v>
      </c>
      <c r="G50" s="20" t="s">
        <v>1884</v>
      </c>
      <c r="H50" s="20">
        <v>15.5</v>
      </c>
      <c r="I50" s="20" t="s">
        <v>1885</v>
      </c>
      <c r="J50" s="20" t="s">
        <v>986</v>
      </c>
    </row>
    <row r="51" spans="1:13" ht="20.100000000000001" customHeight="1" x14ac:dyDescent="0.2">
      <c r="D51" s="20" t="s">
        <v>852</v>
      </c>
      <c r="E51" s="20" t="s">
        <v>1887</v>
      </c>
      <c r="F51" s="20" t="s">
        <v>988</v>
      </c>
      <c r="G51" s="20" t="s">
        <v>1884</v>
      </c>
      <c r="H51" s="20">
        <v>12.7</v>
      </c>
      <c r="I51" s="20" t="s">
        <v>1885</v>
      </c>
      <c r="J51" s="20" t="s">
        <v>986</v>
      </c>
    </row>
    <row r="52" spans="1:13" ht="20.100000000000001" customHeight="1" x14ac:dyDescent="0.2">
      <c r="D52" s="20" t="s">
        <v>852</v>
      </c>
      <c r="E52" s="20" t="s">
        <v>1887</v>
      </c>
      <c r="F52" s="20" t="s">
        <v>997</v>
      </c>
      <c r="G52" s="20" t="s">
        <v>1884</v>
      </c>
      <c r="H52" s="20">
        <v>19.100000000000001</v>
      </c>
      <c r="I52" s="20" t="s">
        <v>1885</v>
      </c>
      <c r="J52" s="20" t="s">
        <v>986</v>
      </c>
    </row>
    <row r="53" spans="1:13" ht="20.100000000000001" customHeight="1" x14ac:dyDescent="0.2">
      <c r="D53" s="20" t="s">
        <v>852</v>
      </c>
      <c r="E53" s="20" t="s">
        <v>1887</v>
      </c>
      <c r="F53" s="20" t="s">
        <v>1001</v>
      </c>
      <c r="G53" s="20" t="s">
        <v>1884</v>
      </c>
      <c r="H53" s="20">
        <v>20.5</v>
      </c>
      <c r="I53" s="20" t="s">
        <v>1885</v>
      </c>
      <c r="J53" s="20" t="s">
        <v>986</v>
      </c>
    </row>
    <row r="54" spans="1:13" ht="20.100000000000001" customHeight="1" x14ac:dyDescent="0.2">
      <c r="D54" s="20" t="s">
        <v>852</v>
      </c>
      <c r="E54" s="20" t="s">
        <v>1887</v>
      </c>
      <c r="F54" s="20" t="s">
        <v>989</v>
      </c>
      <c r="G54" s="20" t="s">
        <v>1884</v>
      </c>
      <c r="H54" s="20">
        <v>10.8</v>
      </c>
      <c r="I54" s="20" t="s">
        <v>1885</v>
      </c>
      <c r="J54" s="20" t="s">
        <v>986</v>
      </c>
    </row>
    <row r="55" spans="1:13" ht="20.100000000000001" customHeight="1" x14ac:dyDescent="0.2">
      <c r="D55" s="20" t="s">
        <v>852</v>
      </c>
      <c r="E55" s="20" t="s">
        <v>1887</v>
      </c>
      <c r="F55" s="20" t="s">
        <v>990</v>
      </c>
      <c r="G55" s="20" t="s">
        <v>1884</v>
      </c>
      <c r="H55" s="20">
        <v>13.4</v>
      </c>
      <c r="I55" s="20" t="s">
        <v>1885</v>
      </c>
      <c r="J55" s="20" t="s">
        <v>986</v>
      </c>
    </row>
    <row r="56" spans="1:13" ht="20.100000000000001" customHeight="1" x14ac:dyDescent="0.2">
      <c r="D56" s="20" t="s">
        <v>852</v>
      </c>
      <c r="E56" s="20" t="s">
        <v>1887</v>
      </c>
      <c r="F56" s="20" t="s">
        <v>991</v>
      </c>
      <c r="G56" s="20" t="s">
        <v>1884</v>
      </c>
      <c r="H56" s="20">
        <v>12</v>
      </c>
      <c r="I56" s="20" t="s">
        <v>1885</v>
      </c>
      <c r="J56" s="20" t="s">
        <v>986</v>
      </c>
    </row>
    <row r="57" spans="1:13" ht="20.100000000000001" customHeight="1" x14ac:dyDescent="0.2">
      <c r="D57" s="20" t="s">
        <v>852</v>
      </c>
      <c r="E57" s="20" t="s">
        <v>1887</v>
      </c>
      <c r="F57" s="20" t="s">
        <v>993</v>
      </c>
      <c r="G57" s="20" t="s">
        <v>1884</v>
      </c>
      <c r="H57" s="20">
        <v>12.4</v>
      </c>
      <c r="I57" s="20" t="s">
        <v>1885</v>
      </c>
      <c r="J57" s="20" t="s">
        <v>986</v>
      </c>
    </row>
    <row r="58" spans="1:13" ht="20.100000000000001" customHeight="1" x14ac:dyDescent="0.2">
      <c r="D58" s="20" t="s">
        <v>1888</v>
      </c>
      <c r="E58" s="20" t="s">
        <v>1888</v>
      </c>
      <c r="F58" s="20" t="s">
        <v>1005</v>
      </c>
      <c r="G58" s="20" t="s">
        <v>1884</v>
      </c>
      <c r="H58" s="20">
        <v>1.36</v>
      </c>
      <c r="I58" s="20" t="s">
        <v>1885</v>
      </c>
      <c r="J58" s="20" t="s">
        <v>986</v>
      </c>
    </row>
    <row r="59" spans="1:13" ht="20.100000000000001" customHeight="1" x14ac:dyDescent="0.2">
      <c r="A59" s="81" t="str">
        <f>HYPERLINK("#A1", "▲ Back to top")</f>
        <v>▲ Back to top</v>
      </c>
      <c r="D59" s="20" t="s">
        <v>871</v>
      </c>
      <c r="E59" s="20" t="s">
        <v>1889</v>
      </c>
      <c r="F59" s="20" t="s">
        <v>991</v>
      </c>
      <c r="G59" s="20" t="s">
        <v>1884</v>
      </c>
      <c r="H59" s="20">
        <v>4.41</v>
      </c>
      <c r="I59" s="20" t="s">
        <v>1885</v>
      </c>
      <c r="J59" s="20" t="s">
        <v>986</v>
      </c>
    </row>
    <row r="60" spans="1:13" ht="20.100000000000001" customHeight="1" x14ac:dyDescent="0.2">
      <c r="D60" s="20" t="s">
        <v>875</v>
      </c>
      <c r="E60" s="20" t="s">
        <v>875</v>
      </c>
      <c r="F60" s="20" t="s">
        <v>1005</v>
      </c>
      <c r="G60" s="20" t="s">
        <v>1884</v>
      </c>
      <c r="H60" s="20">
        <v>3.38</v>
      </c>
      <c r="I60" s="20" t="s">
        <v>1885</v>
      </c>
      <c r="J60" s="20" t="s">
        <v>986</v>
      </c>
    </row>
    <row r="61" spans="1:13" ht="20.100000000000001" customHeight="1" x14ac:dyDescent="0.2">
      <c r="D61" s="20" t="s">
        <v>1890</v>
      </c>
      <c r="E61" s="20" t="s">
        <v>1891</v>
      </c>
      <c r="F61" s="20" t="s">
        <v>1005</v>
      </c>
      <c r="G61" s="20" t="s">
        <v>1884</v>
      </c>
      <c r="H61" s="20">
        <v>6.81</v>
      </c>
      <c r="I61" s="20" t="s">
        <v>1885</v>
      </c>
      <c r="J61" s="20" t="s">
        <v>986</v>
      </c>
    </row>
    <row r="62" spans="1:13" ht="20.100000000000001" customHeight="1" x14ac:dyDescent="0.2">
      <c r="D62" s="20" t="s">
        <v>1890</v>
      </c>
      <c r="E62" s="20" t="s">
        <v>1891</v>
      </c>
      <c r="F62" s="20" t="s">
        <v>988</v>
      </c>
      <c r="G62" s="20" t="s">
        <v>1884</v>
      </c>
      <c r="H62" s="20">
        <v>2.2599999999999998</v>
      </c>
      <c r="I62" s="20" t="s">
        <v>1885</v>
      </c>
      <c r="J62" s="20" t="s">
        <v>986</v>
      </c>
    </row>
    <row r="63" spans="1:13" ht="20.100000000000001" customHeight="1" x14ac:dyDescent="0.2">
      <c r="D63" s="20" t="s">
        <v>1890</v>
      </c>
      <c r="E63" s="20" t="s">
        <v>1891</v>
      </c>
      <c r="F63" s="20" t="s">
        <v>1001</v>
      </c>
      <c r="G63" s="20" t="s">
        <v>1884</v>
      </c>
      <c r="H63" s="20">
        <v>6.33</v>
      </c>
      <c r="I63" s="20" t="s">
        <v>1885</v>
      </c>
      <c r="J63" s="20" t="s">
        <v>986</v>
      </c>
    </row>
    <row r="64" spans="1:13" ht="20.100000000000001" customHeight="1" x14ac:dyDescent="0.2">
      <c r="D64" s="20" t="s">
        <v>1890</v>
      </c>
      <c r="E64" s="20" t="s">
        <v>1891</v>
      </c>
      <c r="F64" s="20" t="s">
        <v>989</v>
      </c>
      <c r="G64" s="20" t="s">
        <v>1884</v>
      </c>
      <c r="H64" s="20">
        <v>6.18</v>
      </c>
      <c r="I64" s="20" t="s">
        <v>1885</v>
      </c>
      <c r="J64" s="20" t="s">
        <v>986</v>
      </c>
    </row>
    <row r="65" spans="4:10" ht="20.100000000000001" customHeight="1" x14ac:dyDescent="0.2">
      <c r="D65" s="20" t="s">
        <v>1890</v>
      </c>
      <c r="E65" s="20" t="s">
        <v>1891</v>
      </c>
      <c r="F65" s="20" t="s">
        <v>990</v>
      </c>
      <c r="G65" s="20" t="s">
        <v>1884</v>
      </c>
      <c r="H65" s="20">
        <v>7.5</v>
      </c>
      <c r="I65" s="20" t="s">
        <v>1885</v>
      </c>
      <c r="J65" s="20" t="s">
        <v>986</v>
      </c>
    </row>
    <row r="66" spans="4:10" ht="20.100000000000001" customHeight="1" x14ac:dyDescent="0.2">
      <c r="D66" s="20" t="s">
        <v>1890</v>
      </c>
      <c r="E66" s="20" t="s">
        <v>1891</v>
      </c>
      <c r="F66" s="20" t="s">
        <v>991</v>
      </c>
      <c r="G66" s="20" t="s">
        <v>1884</v>
      </c>
      <c r="H66" s="20">
        <v>8.08</v>
      </c>
      <c r="I66" s="20" t="s">
        <v>1885</v>
      </c>
      <c r="J66" s="20" t="s">
        <v>986</v>
      </c>
    </row>
    <row r="67" spans="4:10" ht="20.100000000000001" customHeight="1" x14ac:dyDescent="0.2">
      <c r="D67" s="20" t="s">
        <v>1890</v>
      </c>
      <c r="E67" s="20" t="s">
        <v>1891</v>
      </c>
      <c r="F67" s="20" t="s">
        <v>993</v>
      </c>
      <c r="G67" s="20" t="s">
        <v>1884</v>
      </c>
      <c r="H67" s="20">
        <v>5.45</v>
      </c>
      <c r="I67" s="20" t="s">
        <v>1885</v>
      </c>
      <c r="J67" s="20" t="s">
        <v>986</v>
      </c>
    </row>
    <row r="68" spans="4:10" ht="20.100000000000001" customHeight="1" x14ac:dyDescent="0.2">
      <c r="D68" s="20" t="s">
        <v>1890</v>
      </c>
      <c r="E68" s="20" t="s">
        <v>1892</v>
      </c>
      <c r="F68" s="20" t="s">
        <v>1005</v>
      </c>
      <c r="G68" s="20" t="s">
        <v>1884</v>
      </c>
      <c r="H68" s="20">
        <v>7.15</v>
      </c>
      <c r="I68" s="20" t="s">
        <v>1885</v>
      </c>
      <c r="J68" s="20" t="s">
        <v>986</v>
      </c>
    </row>
    <row r="69" spans="4:10" ht="20.100000000000001" customHeight="1" x14ac:dyDescent="0.2">
      <c r="D69" s="20" t="s">
        <v>1890</v>
      </c>
      <c r="E69" s="20" t="s">
        <v>1892</v>
      </c>
      <c r="F69" s="20" t="s">
        <v>988</v>
      </c>
      <c r="G69" s="20" t="s">
        <v>1884</v>
      </c>
      <c r="H69" s="20">
        <v>8.2899999999999991</v>
      </c>
      <c r="I69" s="20" t="s">
        <v>1885</v>
      </c>
      <c r="J69" s="20" t="s">
        <v>986</v>
      </c>
    </row>
    <row r="70" spans="4:10" ht="20.100000000000001" customHeight="1" x14ac:dyDescent="0.2">
      <c r="D70" s="20" t="s">
        <v>1890</v>
      </c>
      <c r="E70" s="20" t="s">
        <v>1892</v>
      </c>
      <c r="F70" s="20" t="s">
        <v>1001</v>
      </c>
      <c r="G70" s="20" t="s">
        <v>1884</v>
      </c>
      <c r="H70" s="20">
        <v>6.39</v>
      </c>
      <c r="I70" s="20" t="s">
        <v>1885</v>
      </c>
      <c r="J70" s="20" t="s">
        <v>986</v>
      </c>
    </row>
    <row r="71" spans="4:10" ht="20.100000000000001" customHeight="1" x14ac:dyDescent="0.2">
      <c r="D71" s="20" t="s">
        <v>1890</v>
      </c>
      <c r="E71" s="20" t="s">
        <v>1892</v>
      </c>
      <c r="F71" s="20" t="s">
        <v>989</v>
      </c>
      <c r="G71" s="20" t="s">
        <v>1884</v>
      </c>
      <c r="H71" s="20">
        <v>6.87</v>
      </c>
      <c r="I71" s="20" t="s">
        <v>1885</v>
      </c>
      <c r="J71" s="20" t="s">
        <v>986</v>
      </c>
    </row>
    <row r="72" spans="4:10" ht="20.100000000000001" customHeight="1" x14ac:dyDescent="0.2">
      <c r="D72" s="20" t="s">
        <v>1890</v>
      </c>
      <c r="E72" s="20" t="s">
        <v>1892</v>
      </c>
      <c r="F72" s="20" t="s">
        <v>990</v>
      </c>
      <c r="G72" s="20" t="s">
        <v>1884</v>
      </c>
      <c r="H72" s="20">
        <v>8.66</v>
      </c>
      <c r="I72" s="20" t="s">
        <v>1885</v>
      </c>
      <c r="J72" s="20" t="s">
        <v>986</v>
      </c>
    </row>
    <row r="73" spans="4:10" ht="20.100000000000001" customHeight="1" x14ac:dyDescent="0.2">
      <c r="D73" s="20" t="s">
        <v>1890</v>
      </c>
      <c r="E73" s="20" t="s">
        <v>1892</v>
      </c>
      <c r="F73" s="20" t="s">
        <v>991</v>
      </c>
      <c r="G73" s="20" t="s">
        <v>1884</v>
      </c>
      <c r="H73" s="20">
        <v>10</v>
      </c>
      <c r="I73" s="20" t="s">
        <v>1885</v>
      </c>
      <c r="J73" s="20" t="s">
        <v>986</v>
      </c>
    </row>
    <row r="74" spans="4:10" ht="20.100000000000001" customHeight="1" x14ac:dyDescent="0.2">
      <c r="D74" s="20" t="s">
        <v>1890</v>
      </c>
      <c r="E74" s="20" t="s">
        <v>1892</v>
      </c>
      <c r="F74" s="20" t="s">
        <v>993</v>
      </c>
      <c r="G74" s="20" t="s">
        <v>1884</v>
      </c>
      <c r="H74" s="20">
        <v>5.67</v>
      </c>
      <c r="I74" s="20" t="s">
        <v>1885</v>
      </c>
      <c r="J74" s="20" t="s">
        <v>986</v>
      </c>
    </row>
    <row r="76" spans="4:10" ht="20.100000000000001" customHeight="1" x14ac:dyDescent="0.2">
      <c r="D76" s="2" t="s">
        <v>1006</v>
      </c>
    </row>
    <row r="77" spans="4:10" ht="20.100000000000001" customHeight="1" x14ac:dyDescent="0.2">
      <c r="D77" s="20" t="s">
        <v>979</v>
      </c>
      <c r="E77" s="20" t="s">
        <v>132</v>
      </c>
      <c r="F77" s="20" t="s">
        <v>980</v>
      </c>
      <c r="G77" s="20" t="s">
        <v>981</v>
      </c>
      <c r="H77" s="20" t="s">
        <v>982</v>
      </c>
      <c r="I77" s="20" t="s">
        <v>983</v>
      </c>
      <c r="J77" s="20" t="s">
        <v>463</v>
      </c>
    </row>
    <row r="78" spans="4:10" ht="20.100000000000001" customHeight="1" x14ac:dyDescent="0.2">
      <c r="D78" s="20" t="s">
        <v>785</v>
      </c>
      <c r="E78" s="20" t="s">
        <v>792</v>
      </c>
      <c r="F78" s="20" t="s">
        <v>1613</v>
      </c>
      <c r="G78" s="20" t="s">
        <v>370</v>
      </c>
      <c r="H78" s="20">
        <v>0.72199999999999998</v>
      </c>
      <c r="I78" s="20" t="s">
        <v>1893</v>
      </c>
      <c r="J78" s="20" t="s">
        <v>986</v>
      </c>
    </row>
    <row r="79" spans="4:10" ht="20.100000000000001" customHeight="1" x14ac:dyDescent="0.2">
      <c r="D79" s="20" t="s">
        <v>785</v>
      </c>
      <c r="E79" s="20" t="s">
        <v>794</v>
      </c>
      <c r="F79" s="20" t="s">
        <v>1613</v>
      </c>
      <c r="G79" s="20" t="s">
        <v>370</v>
      </c>
      <c r="H79" s="20">
        <v>0.80400000000000005</v>
      </c>
      <c r="I79" s="20" t="s">
        <v>1893</v>
      </c>
      <c r="J79" s="20" t="s">
        <v>986</v>
      </c>
    </row>
    <row r="80" spans="4:10" ht="20.100000000000001" customHeight="1" x14ac:dyDescent="0.2">
      <c r="D80" s="20" t="s">
        <v>785</v>
      </c>
      <c r="E80" s="20" t="s">
        <v>790</v>
      </c>
      <c r="F80" s="20" t="s">
        <v>1613</v>
      </c>
      <c r="G80" s="20" t="s">
        <v>370</v>
      </c>
      <c r="H80" s="20">
        <v>0.90700000000000003</v>
      </c>
      <c r="I80" s="20" t="s">
        <v>1893</v>
      </c>
      <c r="J80" s="20" t="s">
        <v>986</v>
      </c>
    </row>
    <row r="82" spans="1:17" ht="20.100000000000001" customHeight="1" x14ac:dyDescent="0.2">
      <c r="D82" s="20" t="s">
        <v>979</v>
      </c>
      <c r="E82" s="20" t="s">
        <v>132</v>
      </c>
      <c r="F82" s="20" t="s">
        <v>980</v>
      </c>
      <c r="G82" s="20" t="s">
        <v>981</v>
      </c>
      <c r="H82" s="20" t="s">
        <v>982</v>
      </c>
      <c r="I82" s="20" t="s">
        <v>983</v>
      </c>
      <c r="J82" s="20" t="s">
        <v>463</v>
      </c>
    </row>
    <row r="83" spans="1:17" ht="20.100000000000001" customHeight="1" x14ac:dyDescent="0.2">
      <c r="D83" s="20" t="s">
        <v>1894</v>
      </c>
      <c r="E83" s="20" t="s">
        <v>1895</v>
      </c>
      <c r="F83" s="20" t="s">
        <v>1613</v>
      </c>
      <c r="G83" s="20" t="s">
        <v>1896</v>
      </c>
      <c r="H83" s="20">
        <v>5.4699999999999999E-2</v>
      </c>
      <c r="I83" s="20" t="s">
        <v>1893</v>
      </c>
      <c r="J83" s="20" t="s">
        <v>986</v>
      </c>
    </row>
    <row r="84" spans="1:17" ht="20.100000000000001" customHeight="1" x14ac:dyDescent="0.2">
      <c r="D84" s="20" t="s">
        <v>1894</v>
      </c>
      <c r="E84" s="20" t="s">
        <v>1897</v>
      </c>
      <c r="F84" s="20" t="s">
        <v>1613</v>
      </c>
      <c r="G84" s="20" t="s">
        <v>1896</v>
      </c>
      <c r="H84" s="20">
        <v>1.4200000000000001E-2</v>
      </c>
      <c r="I84" s="20" t="s">
        <v>1893</v>
      </c>
      <c r="J84" s="20" t="s">
        <v>986</v>
      </c>
    </row>
    <row r="85" spans="1:17" ht="20.100000000000001" customHeight="1" x14ac:dyDescent="0.2">
      <c r="D85" s="20" t="s">
        <v>1894</v>
      </c>
      <c r="E85" s="20" t="s">
        <v>1898</v>
      </c>
      <c r="F85" s="20" t="s">
        <v>1613</v>
      </c>
      <c r="G85" s="20" t="s">
        <v>1896</v>
      </c>
      <c r="H85" s="20">
        <v>1.43E-2</v>
      </c>
      <c r="I85" s="20" t="s">
        <v>1893</v>
      </c>
      <c r="J85" s="20" t="s">
        <v>986</v>
      </c>
    </row>
    <row r="86" spans="1:17" ht="20.100000000000001" customHeight="1" x14ac:dyDescent="0.2">
      <c r="D86" s="20" t="s">
        <v>1894</v>
      </c>
      <c r="E86" s="20" t="s">
        <v>1899</v>
      </c>
      <c r="F86" s="20" t="s">
        <v>1613</v>
      </c>
      <c r="G86" s="20" t="s">
        <v>1896</v>
      </c>
      <c r="H86" s="20">
        <v>4.2599999999999999E-3</v>
      </c>
      <c r="I86" s="20" t="s">
        <v>1893</v>
      </c>
      <c r="J86" s="20" t="s">
        <v>986</v>
      </c>
    </row>
    <row r="88" spans="1:17" ht="20.100000000000001" customHeight="1" x14ac:dyDescent="0.2">
      <c r="D88" s="2" t="s">
        <v>1007</v>
      </c>
    </row>
    <row r="89" spans="1:17" ht="20.100000000000001" customHeight="1" x14ac:dyDescent="0.2">
      <c r="A89" s="81" t="str">
        <f>HYPERLINK("#A1", "▲ Back to top")</f>
        <v>▲ Back to top</v>
      </c>
      <c r="D89" s="20" t="s">
        <v>979</v>
      </c>
      <c r="E89" s="20" t="s">
        <v>132</v>
      </c>
      <c r="F89" s="20" t="s">
        <v>980</v>
      </c>
      <c r="G89" s="20" t="s">
        <v>981</v>
      </c>
      <c r="H89" s="20" t="s">
        <v>982</v>
      </c>
      <c r="I89" s="20" t="s">
        <v>983</v>
      </c>
      <c r="J89" s="20" t="s">
        <v>463</v>
      </c>
      <c r="O89" s="20" t="s">
        <v>132</v>
      </c>
      <c r="P89" s="20" t="s">
        <v>984</v>
      </c>
      <c r="Q89" s="1" t="str">
        <f>"Table_ProductRegions_" &amp; SUBSTITUTE(SUBSTITUTE(SUBSTITUTE(SUBSTITUTE(O90, " ", ""), ",", ""), "(", ""), ")", "")</f>
        <v>Table_ProductRegions_Barleygrain</v>
      </c>
    </row>
    <row r="90" spans="1:17" ht="20.100000000000001" customHeight="1" x14ac:dyDescent="0.2">
      <c r="D90" s="20" t="s">
        <v>1900</v>
      </c>
      <c r="E90" s="20" t="s">
        <v>1901</v>
      </c>
      <c r="F90" s="20" t="s">
        <v>1005</v>
      </c>
      <c r="G90" s="20" t="s">
        <v>370</v>
      </c>
      <c r="H90" s="20">
        <v>0.23899999999999999</v>
      </c>
      <c r="I90" s="20" t="s">
        <v>1885</v>
      </c>
      <c r="J90" s="20" t="s">
        <v>986</v>
      </c>
      <c r="O90" s="20" t="str">
        <f>Table_SourceData_Scope3_Feed[[#This Row],[Product]]</f>
        <v>Barley grain</v>
      </c>
      <c r="P90" s="20" t="str">
        <f>Table_SourceData_Scope3_Feed[[#This Row],[Region of origin]]</f>
        <v>Australia</v>
      </c>
    </row>
    <row r="91" spans="1:17" ht="20.100000000000001" customHeight="1" x14ac:dyDescent="0.2">
      <c r="D91" s="20" t="s">
        <v>1900</v>
      </c>
      <c r="E91" s="20" t="s">
        <v>1901</v>
      </c>
      <c r="F91" s="20" t="s">
        <v>988</v>
      </c>
      <c r="G91" s="20" t="s">
        <v>370</v>
      </c>
      <c r="H91" s="20">
        <v>0.25600000000000001</v>
      </c>
      <c r="I91" s="20" t="s">
        <v>1885</v>
      </c>
      <c r="J91" s="20" t="s">
        <v>986</v>
      </c>
      <c r="O91" s="20" t="str">
        <f>Table_SourceData_Scope3_Feed[[#This Row],[Product]]</f>
        <v>Barley grain</v>
      </c>
      <c r="P91" s="20" t="str">
        <f>Table_SourceData_Scope3_Feed[[#This Row],[Region of origin]]</f>
        <v>NSW</v>
      </c>
    </row>
    <row r="92" spans="1:17" ht="20.100000000000001" customHeight="1" x14ac:dyDescent="0.2">
      <c r="D92" s="20" t="s">
        <v>1900</v>
      </c>
      <c r="E92" s="20" t="s">
        <v>1901</v>
      </c>
      <c r="F92" s="20" t="s">
        <v>997</v>
      </c>
      <c r="G92" s="20" t="s">
        <v>370</v>
      </c>
      <c r="H92" s="20">
        <v>0.33200000000000002</v>
      </c>
      <c r="I92" s="20" t="s">
        <v>1885</v>
      </c>
      <c r="J92" s="20" t="s">
        <v>986</v>
      </c>
      <c r="O92" s="20" t="str">
        <f>Table_SourceData_Scope3_Feed[[#This Row],[Product]]</f>
        <v>Barley grain</v>
      </c>
      <c r="P92" s="20" t="str">
        <f>Table_SourceData_Scope3_Feed[[#This Row],[Region of origin]]</f>
        <v>NT</v>
      </c>
    </row>
    <row r="93" spans="1:17" ht="20.100000000000001" customHeight="1" x14ac:dyDescent="0.2">
      <c r="D93" s="20" t="s">
        <v>1900</v>
      </c>
      <c r="E93" s="20" t="s">
        <v>1901</v>
      </c>
      <c r="F93" s="20" t="s">
        <v>1001</v>
      </c>
      <c r="G93" s="20" t="s">
        <v>370</v>
      </c>
      <c r="H93" s="20">
        <v>0.26900000000000002</v>
      </c>
      <c r="I93" s="20" t="s">
        <v>1885</v>
      </c>
      <c r="J93" s="20" t="s">
        <v>986</v>
      </c>
      <c r="O93" s="20" t="str">
        <f>Table_SourceData_Scope3_Feed[[#This Row],[Product]]</f>
        <v>Barley grain</v>
      </c>
      <c r="P93" s="20" t="str">
        <f>Table_SourceData_Scope3_Feed[[#This Row],[Region of origin]]</f>
        <v>QLD</v>
      </c>
    </row>
    <row r="94" spans="1:17" ht="20.100000000000001" customHeight="1" x14ac:dyDescent="0.2">
      <c r="D94" s="20" t="s">
        <v>1900</v>
      </c>
      <c r="E94" s="20" t="s">
        <v>1901</v>
      </c>
      <c r="F94" s="20" t="s">
        <v>989</v>
      </c>
      <c r="G94" s="20" t="s">
        <v>370</v>
      </c>
      <c r="H94" s="20">
        <v>0.223</v>
      </c>
      <c r="I94" s="20" t="s">
        <v>1885</v>
      </c>
      <c r="J94" s="20" t="s">
        <v>986</v>
      </c>
      <c r="O94" s="20" t="str">
        <f>Table_SourceData_Scope3_Feed[[#This Row],[Product]]</f>
        <v>Barley grain</v>
      </c>
      <c r="P94" s="20" t="str">
        <f>Table_SourceData_Scope3_Feed[[#This Row],[Region of origin]]</f>
        <v>SA</v>
      </c>
    </row>
    <row r="95" spans="1:17" ht="20.100000000000001" customHeight="1" x14ac:dyDescent="0.2">
      <c r="D95" s="20" t="s">
        <v>1900</v>
      </c>
      <c r="E95" s="20" t="s">
        <v>1901</v>
      </c>
      <c r="F95" s="20" t="s">
        <v>990</v>
      </c>
      <c r="G95" s="20" t="s">
        <v>370</v>
      </c>
      <c r="H95" s="20">
        <v>0.307</v>
      </c>
      <c r="I95" s="20" t="s">
        <v>1885</v>
      </c>
      <c r="J95" s="20" t="s">
        <v>986</v>
      </c>
      <c r="O95" s="20" t="str">
        <f>Table_SourceData_Scope3_Feed[[#This Row],[Product]]</f>
        <v>Barley grain</v>
      </c>
      <c r="P95" s="20" t="str">
        <f>Table_SourceData_Scope3_Feed[[#This Row],[Region of origin]]</f>
        <v>TAS</v>
      </c>
    </row>
    <row r="96" spans="1:17" ht="20.100000000000001" customHeight="1" x14ac:dyDescent="0.2">
      <c r="D96" s="20" t="s">
        <v>1900</v>
      </c>
      <c r="E96" s="20" t="s">
        <v>1901</v>
      </c>
      <c r="F96" s="20" t="s">
        <v>991</v>
      </c>
      <c r="G96" s="20" t="s">
        <v>370</v>
      </c>
      <c r="H96" s="20">
        <v>0.24099999999999999</v>
      </c>
      <c r="I96" s="20" t="s">
        <v>1885</v>
      </c>
      <c r="J96" s="20" t="s">
        <v>986</v>
      </c>
      <c r="O96" s="20" t="str">
        <f>Table_SourceData_Scope3_Feed[[#This Row],[Product]]</f>
        <v>Barley grain</v>
      </c>
      <c r="P96" s="20" t="str">
        <f>Table_SourceData_Scope3_Feed[[#This Row],[Region of origin]]</f>
        <v>VIC</v>
      </c>
    </row>
    <row r="97" spans="4:17" ht="20.100000000000001" customHeight="1" x14ac:dyDescent="0.2">
      <c r="D97" s="20" t="s">
        <v>1900</v>
      </c>
      <c r="E97" s="20" t="s">
        <v>1901</v>
      </c>
      <c r="F97" s="20" t="s">
        <v>993</v>
      </c>
      <c r="G97" s="20" t="s">
        <v>370</v>
      </c>
      <c r="H97" s="20">
        <v>0.23599999999999999</v>
      </c>
      <c r="I97" s="20" t="s">
        <v>1885</v>
      </c>
      <c r="J97" s="20" t="s">
        <v>986</v>
      </c>
      <c r="L97" s="20" t="s">
        <v>132</v>
      </c>
      <c r="M97" s="20" t="s">
        <v>984</v>
      </c>
      <c r="N97" s="1" t="str">
        <f>"Table_ProductRegions_" &amp; SUBSTITUTE(SUBSTITUTE(SUBSTITUTE(SUBSTITUTE(L98, " ", ""), ",", ""), "(", ""), ")", "")</f>
        <v>Table_ProductRegions_Maizegrain</v>
      </c>
      <c r="O97" s="20" t="str">
        <f>Table_SourceData_Scope3_Feed[[#This Row],[Product]]</f>
        <v>Barley grain</v>
      </c>
      <c r="P97" s="20" t="str">
        <f>Table_SourceData_Scope3_Feed[[#This Row],[Region of origin]]</f>
        <v>WA</v>
      </c>
    </row>
    <row r="98" spans="4:17" ht="20.100000000000001" customHeight="1" x14ac:dyDescent="0.2">
      <c r="D98" s="20" t="s">
        <v>1900</v>
      </c>
      <c r="E98" s="20" t="s">
        <v>1902</v>
      </c>
      <c r="F98" s="20" t="s">
        <v>1005</v>
      </c>
      <c r="G98" s="20" t="s">
        <v>370</v>
      </c>
      <c r="H98" s="20">
        <v>0.18099999999999999</v>
      </c>
      <c r="I98" s="20" t="s">
        <v>1885</v>
      </c>
      <c r="J98" s="20" t="s">
        <v>986</v>
      </c>
      <c r="L98" s="20" t="str">
        <f>Table_SourceData_Scope3_Feed[[#This Row],[Product]]</f>
        <v>Maize grain</v>
      </c>
      <c r="M98" s="20" t="str">
        <f>Table_SourceData_Scope3_Feed[[#This Row],[Region of origin]]</f>
        <v>Australia</v>
      </c>
    </row>
    <row r="99" spans="4:17" ht="20.100000000000001" customHeight="1" x14ac:dyDescent="0.2">
      <c r="D99" s="20" t="s">
        <v>1900</v>
      </c>
      <c r="E99" s="20" t="s">
        <v>1902</v>
      </c>
      <c r="F99" s="20" t="s">
        <v>988</v>
      </c>
      <c r="G99" s="20" t="s">
        <v>370</v>
      </c>
      <c r="H99" s="20">
        <v>0.16900000000000001</v>
      </c>
      <c r="I99" s="20" t="s">
        <v>1885</v>
      </c>
      <c r="J99" s="20" t="s">
        <v>986</v>
      </c>
      <c r="L99" s="20" t="str">
        <f>Table_SourceData_Scope3_Feed[[#This Row],[Product]]</f>
        <v>Maize grain</v>
      </c>
      <c r="M99" s="20" t="str">
        <f>Table_SourceData_Scope3_Feed[[#This Row],[Region of origin]]</f>
        <v>NSW</v>
      </c>
    </row>
    <row r="100" spans="4:17" ht="20.100000000000001" customHeight="1" x14ac:dyDescent="0.2">
      <c r="D100" s="20" t="s">
        <v>1900</v>
      </c>
      <c r="E100" s="20" t="s">
        <v>1902</v>
      </c>
      <c r="F100" s="20" t="s">
        <v>997</v>
      </c>
      <c r="G100" s="20" t="s">
        <v>370</v>
      </c>
      <c r="H100" s="20">
        <v>0.25600000000000001</v>
      </c>
      <c r="I100" s="20" t="s">
        <v>1885</v>
      </c>
      <c r="J100" s="20" t="s">
        <v>986</v>
      </c>
      <c r="L100" s="20" t="str">
        <f>Table_SourceData_Scope3_Feed[[#This Row],[Product]]</f>
        <v>Maize grain</v>
      </c>
      <c r="M100" s="20" t="str">
        <f>Table_SourceData_Scope3_Feed[[#This Row],[Region of origin]]</f>
        <v>NT</v>
      </c>
    </row>
    <row r="101" spans="4:17" ht="20.100000000000001" customHeight="1" x14ac:dyDescent="0.2">
      <c r="D101" s="20" t="s">
        <v>1900</v>
      </c>
      <c r="E101" s="20" t="s">
        <v>1902</v>
      </c>
      <c r="F101" s="20" t="s">
        <v>1001</v>
      </c>
      <c r="G101" s="20" t="s">
        <v>370</v>
      </c>
      <c r="H101" s="20">
        <v>0.186</v>
      </c>
      <c r="I101" s="20" t="s">
        <v>1885</v>
      </c>
      <c r="J101" s="20" t="s">
        <v>986</v>
      </c>
      <c r="L101" s="20" t="str">
        <f>Table_SourceData_Scope3_Feed[[#This Row],[Product]]</f>
        <v>Maize grain</v>
      </c>
      <c r="M101" s="20" t="str">
        <f>Table_SourceData_Scope3_Feed[[#This Row],[Region of origin]]</f>
        <v>QLD</v>
      </c>
    </row>
    <row r="102" spans="4:17" ht="20.100000000000001" customHeight="1" x14ac:dyDescent="0.2">
      <c r="D102" s="20" t="s">
        <v>1900</v>
      </c>
      <c r="E102" s="20" t="s">
        <v>1902</v>
      </c>
      <c r="F102" s="20" t="s">
        <v>989</v>
      </c>
      <c r="G102" s="20" t="s">
        <v>370</v>
      </c>
      <c r="H102" s="20">
        <v>0.17599999999999999</v>
      </c>
      <c r="I102" s="20" t="s">
        <v>1885</v>
      </c>
      <c r="J102" s="20" t="s">
        <v>986</v>
      </c>
      <c r="L102" s="20" t="str">
        <f>Table_SourceData_Scope3_Feed[[#This Row],[Product]]</f>
        <v>Maize grain</v>
      </c>
      <c r="M102" s="20" t="str">
        <f>Table_SourceData_Scope3_Feed[[#This Row],[Region of origin]]</f>
        <v>SA</v>
      </c>
    </row>
    <row r="103" spans="4:17" ht="20.100000000000001" customHeight="1" x14ac:dyDescent="0.2">
      <c r="D103" s="20" t="s">
        <v>1900</v>
      </c>
      <c r="E103" s="20" t="s">
        <v>1902</v>
      </c>
      <c r="F103" s="20" t="s">
        <v>991</v>
      </c>
      <c r="G103" s="20" t="s">
        <v>370</v>
      </c>
      <c r="H103" s="20">
        <v>0.159</v>
      </c>
      <c r="I103" s="20" t="s">
        <v>1885</v>
      </c>
      <c r="J103" s="20" t="s">
        <v>986</v>
      </c>
      <c r="L103" s="20" t="str">
        <f>Table_SourceData_Scope3_Feed[[#This Row],[Product]]</f>
        <v>Maize grain</v>
      </c>
      <c r="M103" s="20" t="str">
        <f>Table_SourceData_Scope3_Feed[[#This Row],[Region of origin]]</f>
        <v>VIC</v>
      </c>
    </row>
    <row r="104" spans="4:17" ht="20.100000000000001" customHeight="1" x14ac:dyDescent="0.2">
      <c r="D104" s="20" t="s">
        <v>1900</v>
      </c>
      <c r="E104" s="20" t="s">
        <v>1902</v>
      </c>
      <c r="F104" s="20" t="s">
        <v>993</v>
      </c>
      <c r="G104" s="20" t="s">
        <v>370</v>
      </c>
      <c r="H104" s="20">
        <v>0.28499999999999998</v>
      </c>
      <c r="I104" s="20" t="s">
        <v>1885</v>
      </c>
      <c r="J104" s="20" t="s">
        <v>986</v>
      </c>
      <c r="L104" s="20" t="str">
        <f>Table_SourceData_Scope3_Feed[[#This Row],[Product]]</f>
        <v>Maize grain</v>
      </c>
      <c r="M104" s="20" t="str">
        <f>Table_SourceData_Scope3_Feed[[#This Row],[Region of origin]]</f>
        <v>WA</v>
      </c>
      <c r="O104" s="20" t="s">
        <v>132</v>
      </c>
      <c r="P104" s="20" t="s">
        <v>984</v>
      </c>
      <c r="Q104" s="1" t="str">
        <f>"Table_ProductRegions_" &amp; SUBSTITUTE(SUBSTITUTE(SUBSTITUTE(SUBSTITUTE(O105, " ", ""), ",", ""), "(", ""), ")", "")</f>
        <v>Table_ProductRegions_Sorghumgrain</v>
      </c>
    </row>
    <row r="105" spans="4:17" ht="20.100000000000001" customHeight="1" x14ac:dyDescent="0.2">
      <c r="D105" s="20" t="s">
        <v>1900</v>
      </c>
      <c r="E105" s="20" t="s">
        <v>1903</v>
      </c>
      <c r="F105" s="20" t="s">
        <v>1005</v>
      </c>
      <c r="G105" s="20" t="s">
        <v>370</v>
      </c>
      <c r="H105" s="20">
        <v>0.23200000000000001</v>
      </c>
      <c r="I105" s="20" t="s">
        <v>1885</v>
      </c>
      <c r="J105" s="20" t="s">
        <v>986</v>
      </c>
      <c r="O105" s="20" t="str">
        <f>Table_SourceData_Scope3_Feed[[#This Row],[Product]]</f>
        <v>Sorghum grain</v>
      </c>
      <c r="P105" s="20" t="str">
        <f>Table_SourceData_Scope3_Feed[[#This Row],[Region of origin]]</f>
        <v>Australia</v>
      </c>
    </row>
    <row r="106" spans="4:17" ht="20.100000000000001" customHeight="1" x14ac:dyDescent="0.2">
      <c r="D106" s="20" t="s">
        <v>1900</v>
      </c>
      <c r="E106" s="20" t="s">
        <v>1903</v>
      </c>
      <c r="F106" s="20" t="s">
        <v>988</v>
      </c>
      <c r="G106" s="20" t="s">
        <v>370</v>
      </c>
      <c r="H106" s="20">
        <v>0.23200000000000001</v>
      </c>
      <c r="I106" s="20" t="s">
        <v>1885</v>
      </c>
      <c r="J106" s="20" t="s">
        <v>986</v>
      </c>
      <c r="O106" s="20" t="str">
        <f>Table_SourceData_Scope3_Feed[[#This Row],[Product]]</f>
        <v>Sorghum grain</v>
      </c>
      <c r="P106" s="20" t="str">
        <f>Table_SourceData_Scope3_Feed[[#This Row],[Region of origin]]</f>
        <v>NSW</v>
      </c>
    </row>
    <row r="107" spans="4:17" ht="20.100000000000001" customHeight="1" x14ac:dyDescent="0.2">
      <c r="D107" s="20" t="s">
        <v>1900</v>
      </c>
      <c r="E107" s="20" t="s">
        <v>1903</v>
      </c>
      <c r="F107" s="20" t="s">
        <v>1001</v>
      </c>
      <c r="G107" s="20" t="s">
        <v>370</v>
      </c>
      <c r="H107" s="20">
        <v>0.23100000000000001</v>
      </c>
      <c r="I107" s="20" t="s">
        <v>1885</v>
      </c>
      <c r="J107" s="20" t="s">
        <v>986</v>
      </c>
      <c r="O107" s="20" t="str">
        <f>Table_SourceData_Scope3_Feed[[#This Row],[Product]]</f>
        <v>Sorghum grain</v>
      </c>
      <c r="P107" s="20" t="str">
        <f>Table_SourceData_Scope3_Feed[[#This Row],[Region of origin]]</f>
        <v>QLD</v>
      </c>
    </row>
    <row r="108" spans="4:17" ht="20.100000000000001" customHeight="1" x14ac:dyDescent="0.2">
      <c r="D108" s="20" t="s">
        <v>1900</v>
      </c>
      <c r="E108" s="20" t="s">
        <v>1903</v>
      </c>
      <c r="F108" s="20" t="s">
        <v>989</v>
      </c>
      <c r="G108" s="20" t="s">
        <v>370</v>
      </c>
      <c r="H108" s="20">
        <v>0.218</v>
      </c>
      <c r="I108" s="20" t="s">
        <v>1885</v>
      </c>
      <c r="J108" s="20" t="s">
        <v>986</v>
      </c>
      <c r="O108" s="20" t="str">
        <f>Table_SourceData_Scope3_Feed[[#This Row],[Product]]</f>
        <v>Sorghum grain</v>
      </c>
      <c r="P108" s="20" t="str">
        <f>Table_SourceData_Scope3_Feed[[#This Row],[Region of origin]]</f>
        <v>SA</v>
      </c>
    </row>
    <row r="109" spans="4:17" ht="20.100000000000001" customHeight="1" x14ac:dyDescent="0.2">
      <c r="D109" s="20" t="s">
        <v>1900</v>
      </c>
      <c r="E109" s="20" t="s">
        <v>1903</v>
      </c>
      <c r="F109" s="20" t="s">
        <v>991</v>
      </c>
      <c r="G109" s="20" t="s">
        <v>370</v>
      </c>
      <c r="H109" s="20">
        <v>0.246</v>
      </c>
      <c r="I109" s="20" t="s">
        <v>1885</v>
      </c>
      <c r="J109" s="20" t="s">
        <v>986</v>
      </c>
      <c r="L109" s="20" t="s">
        <v>132</v>
      </c>
      <c r="M109" s="20" t="s">
        <v>984</v>
      </c>
      <c r="N109" s="1" t="str">
        <f>"Table_ProductRegions_" &amp; SUBSTITUTE(SUBSTITUTE(SUBSTITUTE(SUBSTITUTE(L110, " ", ""), ",", ""), "(", ""), ")", "")</f>
        <v>Table_ProductRegions_Wheatgrain</v>
      </c>
      <c r="O109" s="20" t="str">
        <f>Table_SourceData_Scope3_Feed[[#This Row],[Product]]</f>
        <v>Sorghum grain</v>
      </c>
      <c r="P109" s="20" t="str">
        <f>Table_SourceData_Scope3_Feed[[#This Row],[Region of origin]]</f>
        <v>VIC</v>
      </c>
    </row>
    <row r="110" spans="4:17" ht="20.100000000000001" customHeight="1" x14ac:dyDescent="0.2">
      <c r="D110" s="20" t="s">
        <v>1900</v>
      </c>
      <c r="E110" s="20" t="s">
        <v>1904</v>
      </c>
      <c r="F110" s="20" t="s">
        <v>1005</v>
      </c>
      <c r="G110" s="20" t="s">
        <v>370</v>
      </c>
      <c r="H110" s="20">
        <v>0.26800000000000002</v>
      </c>
      <c r="I110" s="20" t="s">
        <v>1885</v>
      </c>
      <c r="J110" s="20" t="s">
        <v>986</v>
      </c>
      <c r="L110" s="20" t="str">
        <f>Table_SourceData_Scope3_Feed[[#This Row],[Product]]</f>
        <v>Wheat grain</v>
      </c>
      <c r="M110" s="20" t="str">
        <f>Table_SourceData_Scope3_Feed[[#This Row],[Region of origin]]</f>
        <v>Australia</v>
      </c>
    </row>
    <row r="111" spans="4:17" ht="20.100000000000001" customHeight="1" x14ac:dyDescent="0.2">
      <c r="D111" s="20" t="s">
        <v>1900</v>
      </c>
      <c r="E111" s="20" t="s">
        <v>1904</v>
      </c>
      <c r="F111" s="20" t="s">
        <v>988</v>
      </c>
      <c r="G111" s="20" t="s">
        <v>370</v>
      </c>
      <c r="H111" s="20">
        <v>0.28199999999999997</v>
      </c>
      <c r="I111" s="20" t="s">
        <v>1885</v>
      </c>
      <c r="J111" s="20" t="s">
        <v>986</v>
      </c>
      <c r="L111" s="20" t="str">
        <f>Table_SourceData_Scope3_Feed[[#This Row],[Product]]</f>
        <v>Wheat grain</v>
      </c>
      <c r="M111" s="20" t="str">
        <f>Table_SourceData_Scope3_Feed[[#This Row],[Region of origin]]</f>
        <v>NSW</v>
      </c>
    </row>
    <row r="112" spans="4:17" ht="20.100000000000001" customHeight="1" x14ac:dyDescent="0.2">
      <c r="D112" s="20" t="s">
        <v>1900</v>
      </c>
      <c r="E112" s="20" t="s">
        <v>1904</v>
      </c>
      <c r="F112" s="20" t="s">
        <v>997</v>
      </c>
      <c r="G112" s="20" t="s">
        <v>370</v>
      </c>
      <c r="H112" s="20">
        <v>0.38500000000000001</v>
      </c>
      <c r="I112" s="20" t="s">
        <v>1885</v>
      </c>
      <c r="J112" s="20" t="s">
        <v>986</v>
      </c>
      <c r="L112" s="20" t="str">
        <f>Table_SourceData_Scope3_Feed[[#This Row],[Product]]</f>
        <v>Wheat grain</v>
      </c>
      <c r="M112" s="20" t="str">
        <f>Table_SourceData_Scope3_Feed[[#This Row],[Region of origin]]</f>
        <v>NT</v>
      </c>
    </row>
    <row r="113" spans="1:17" ht="20.100000000000001" customHeight="1" x14ac:dyDescent="0.2">
      <c r="D113" s="20" t="s">
        <v>1900</v>
      </c>
      <c r="E113" s="20" t="s">
        <v>1904</v>
      </c>
      <c r="F113" s="20" t="s">
        <v>1001</v>
      </c>
      <c r="G113" s="20" t="s">
        <v>370</v>
      </c>
      <c r="H113" s="20">
        <v>0.29599999999999999</v>
      </c>
      <c r="I113" s="20" t="s">
        <v>1885</v>
      </c>
      <c r="J113" s="20" t="s">
        <v>986</v>
      </c>
      <c r="L113" s="20" t="str">
        <f>Table_SourceData_Scope3_Feed[[#This Row],[Product]]</f>
        <v>Wheat grain</v>
      </c>
      <c r="M113" s="20" t="str">
        <f>Table_SourceData_Scope3_Feed[[#This Row],[Region of origin]]</f>
        <v>QLD</v>
      </c>
    </row>
    <row r="114" spans="1:17" ht="20.100000000000001" customHeight="1" x14ac:dyDescent="0.2">
      <c r="D114" s="20" t="s">
        <v>1900</v>
      </c>
      <c r="E114" s="20" t="s">
        <v>1904</v>
      </c>
      <c r="F114" s="20" t="s">
        <v>989</v>
      </c>
      <c r="G114" s="20" t="s">
        <v>370</v>
      </c>
      <c r="H114" s="20">
        <v>0.24099999999999999</v>
      </c>
      <c r="I114" s="20" t="s">
        <v>1885</v>
      </c>
      <c r="J114" s="20" t="s">
        <v>986</v>
      </c>
      <c r="L114" s="20" t="str">
        <f>Table_SourceData_Scope3_Feed[[#This Row],[Product]]</f>
        <v>Wheat grain</v>
      </c>
      <c r="M114" s="20" t="str">
        <f>Table_SourceData_Scope3_Feed[[#This Row],[Region of origin]]</f>
        <v>SA</v>
      </c>
    </row>
    <row r="115" spans="1:17" ht="20.100000000000001" customHeight="1" x14ac:dyDescent="0.2">
      <c r="D115" s="20" t="s">
        <v>1900</v>
      </c>
      <c r="E115" s="20" t="s">
        <v>1904</v>
      </c>
      <c r="F115" s="20" t="s">
        <v>990</v>
      </c>
      <c r="G115" s="20" t="s">
        <v>370</v>
      </c>
      <c r="H115" s="20">
        <v>0.33800000000000002</v>
      </c>
      <c r="I115" s="20" t="s">
        <v>1885</v>
      </c>
      <c r="J115" s="20" t="s">
        <v>986</v>
      </c>
      <c r="L115" s="20" t="str">
        <f>Table_SourceData_Scope3_Feed[[#This Row],[Product]]</f>
        <v>Wheat grain</v>
      </c>
      <c r="M115" s="20" t="str">
        <f>Table_SourceData_Scope3_Feed[[#This Row],[Region of origin]]</f>
        <v>TAS</v>
      </c>
    </row>
    <row r="116" spans="1:17" ht="20.100000000000001" customHeight="1" x14ac:dyDescent="0.2">
      <c r="D116" s="20" t="s">
        <v>1900</v>
      </c>
      <c r="E116" s="20" t="s">
        <v>1904</v>
      </c>
      <c r="F116" s="20" t="s">
        <v>991</v>
      </c>
      <c r="G116" s="20" t="s">
        <v>370</v>
      </c>
      <c r="H116" s="20">
        <v>0.26600000000000001</v>
      </c>
      <c r="I116" s="20" t="s">
        <v>1885</v>
      </c>
      <c r="J116" s="20" t="s">
        <v>986</v>
      </c>
      <c r="L116" s="20" t="str">
        <f>Table_SourceData_Scope3_Feed[[#This Row],[Product]]</f>
        <v>Wheat grain</v>
      </c>
      <c r="M116" s="20" t="str">
        <f>Table_SourceData_Scope3_Feed[[#This Row],[Region of origin]]</f>
        <v>VIC</v>
      </c>
    </row>
    <row r="117" spans="1:17" ht="20.100000000000001" customHeight="1" x14ac:dyDescent="0.2">
      <c r="D117" s="20" t="s">
        <v>1900</v>
      </c>
      <c r="E117" s="20" t="s">
        <v>1904</v>
      </c>
      <c r="F117" s="20" t="s">
        <v>993</v>
      </c>
      <c r="G117" s="20" t="s">
        <v>370</v>
      </c>
      <c r="H117" s="20">
        <v>0.26100000000000001</v>
      </c>
      <c r="I117" s="20" t="s">
        <v>1885</v>
      </c>
      <c r="J117" s="20" t="s">
        <v>986</v>
      </c>
      <c r="L117" s="20" t="str">
        <f>Table_SourceData_Scope3_Feed[[#This Row],[Product]]</f>
        <v>Wheat grain</v>
      </c>
      <c r="M117" s="20" t="str">
        <f>Table_SourceData_Scope3_Feed[[#This Row],[Region of origin]]</f>
        <v>WA</v>
      </c>
      <c r="O117" s="20" t="s">
        <v>132</v>
      </c>
      <c r="P117" s="20" t="s">
        <v>984</v>
      </c>
      <c r="Q117" s="1" t="str">
        <f>"Table_ProductRegions_" &amp; SUBSTITUTE(SUBSTITUTE(SUBSTITUTE(SUBSTITUTE(O118, " ", ""), ",", ""), "(", ""), ")", "")</f>
        <v>Table_ProductRegions_Cerealhay</v>
      </c>
    </row>
    <row r="118" spans="1:17" ht="20.100000000000001" customHeight="1" x14ac:dyDescent="0.2">
      <c r="D118" s="20" t="s">
        <v>1905</v>
      </c>
      <c r="E118" s="20" t="s">
        <v>1906</v>
      </c>
      <c r="F118" s="20" t="s">
        <v>1005</v>
      </c>
      <c r="G118" s="20" t="s">
        <v>370</v>
      </c>
      <c r="H118" s="20">
        <v>0.11700000000000001</v>
      </c>
      <c r="I118" s="20" t="s">
        <v>1885</v>
      </c>
      <c r="J118" s="20" t="s">
        <v>986</v>
      </c>
      <c r="O118" s="20" t="str">
        <f>Table_SourceData_Scope3_Feed[[#This Row],[Product]]</f>
        <v>Cereal hay</v>
      </c>
      <c r="P118" s="20" t="str">
        <f>Table_SourceData_Scope3_Feed[[#This Row],[Region of origin]]</f>
        <v>Australia</v>
      </c>
    </row>
    <row r="119" spans="1:17" ht="20.100000000000001" customHeight="1" x14ac:dyDescent="0.2">
      <c r="A119" s="81" t="str">
        <f>HYPERLINK("#A1", "▲ Back to top")</f>
        <v>▲ Back to top</v>
      </c>
      <c r="D119" s="20" t="s">
        <v>1905</v>
      </c>
      <c r="E119" s="20" t="s">
        <v>1906</v>
      </c>
      <c r="F119" s="20" t="s">
        <v>988</v>
      </c>
      <c r="G119" s="20" t="s">
        <v>370</v>
      </c>
      <c r="H119" s="20">
        <v>0.11600000000000001</v>
      </c>
      <c r="I119" s="20" t="s">
        <v>1885</v>
      </c>
      <c r="J119" s="20" t="s">
        <v>986</v>
      </c>
      <c r="O119" s="20" t="str">
        <f>Table_SourceData_Scope3_Feed[[#This Row],[Product]]</f>
        <v>Cereal hay</v>
      </c>
      <c r="P119" s="20" t="str">
        <f>Table_SourceData_Scope3_Feed[[#This Row],[Region of origin]]</f>
        <v>NSW</v>
      </c>
    </row>
    <row r="120" spans="1:17" ht="20.100000000000001" customHeight="1" x14ac:dyDescent="0.2">
      <c r="D120" s="20" t="s">
        <v>1905</v>
      </c>
      <c r="E120" s="20" t="s">
        <v>1906</v>
      </c>
      <c r="F120" s="20" t="s">
        <v>1001</v>
      </c>
      <c r="G120" s="20" t="s">
        <v>370</v>
      </c>
      <c r="H120" s="20">
        <v>0.11799999999999999</v>
      </c>
      <c r="I120" s="20" t="s">
        <v>1885</v>
      </c>
      <c r="J120" s="20" t="s">
        <v>986</v>
      </c>
      <c r="O120" s="20" t="str">
        <f>Table_SourceData_Scope3_Feed[[#This Row],[Product]]</f>
        <v>Cereal hay</v>
      </c>
      <c r="P120" s="20" t="str">
        <f>Table_SourceData_Scope3_Feed[[#This Row],[Region of origin]]</f>
        <v>QLD</v>
      </c>
    </row>
    <row r="121" spans="1:17" ht="20.100000000000001" customHeight="1" x14ac:dyDescent="0.2">
      <c r="D121" s="20" t="s">
        <v>1905</v>
      </c>
      <c r="E121" s="20" t="s">
        <v>1906</v>
      </c>
      <c r="F121" s="20" t="s">
        <v>989</v>
      </c>
      <c r="G121" s="20" t="s">
        <v>370</v>
      </c>
      <c r="H121" s="20">
        <v>0.111</v>
      </c>
      <c r="I121" s="20" t="s">
        <v>1885</v>
      </c>
      <c r="J121" s="20" t="s">
        <v>986</v>
      </c>
      <c r="O121" s="20" t="str">
        <f>Table_SourceData_Scope3_Feed[[#This Row],[Product]]</f>
        <v>Cereal hay</v>
      </c>
      <c r="P121" s="20" t="str">
        <f>Table_SourceData_Scope3_Feed[[#This Row],[Region of origin]]</f>
        <v>SA</v>
      </c>
    </row>
    <row r="122" spans="1:17" ht="20.100000000000001" customHeight="1" x14ac:dyDescent="0.2">
      <c r="D122" s="20" t="s">
        <v>1905</v>
      </c>
      <c r="E122" s="20" t="s">
        <v>1906</v>
      </c>
      <c r="F122" s="20" t="s">
        <v>990</v>
      </c>
      <c r="G122" s="20" t="s">
        <v>370</v>
      </c>
      <c r="H122" s="20">
        <v>0.13900000000000001</v>
      </c>
      <c r="I122" s="20" t="s">
        <v>1885</v>
      </c>
      <c r="J122" s="20" t="s">
        <v>986</v>
      </c>
      <c r="O122" s="20" t="str">
        <f>Table_SourceData_Scope3_Feed[[#This Row],[Product]]</f>
        <v>Cereal hay</v>
      </c>
      <c r="P122" s="20" t="str">
        <f>Table_SourceData_Scope3_Feed[[#This Row],[Region of origin]]</f>
        <v>TAS</v>
      </c>
    </row>
    <row r="123" spans="1:17" ht="20.100000000000001" customHeight="1" x14ac:dyDescent="0.2">
      <c r="D123" s="20" t="s">
        <v>1905</v>
      </c>
      <c r="E123" s="20" t="s">
        <v>1906</v>
      </c>
      <c r="F123" s="20" t="s">
        <v>991</v>
      </c>
      <c r="G123" s="20" t="s">
        <v>370</v>
      </c>
      <c r="H123" s="20">
        <v>0.11600000000000001</v>
      </c>
      <c r="I123" s="20" t="s">
        <v>1885</v>
      </c>
      <c r="J123" s="20" t="s">
        <v>986</v>
      </c>
      <c r="O123" s="20" t="str">
        <f>Table_SourceData_Scope3_Feed[[#This Row],[Product]]</f>
        <v>Cereal hay</v>
      </c>
      <c r="P123" s="20" t="str">
        <f>Table_SourceData_Scope3_Feed[[#This Row],[Region of origin]]</f>
        <v>VIC</v>
      </c>
    </row>
    <row r="124" spans="1:17" ht="20.100000000000001" customHeight="1" x14ac:dyDescent="0.2">
      <c r="D124" s="20" t="s">
        <v>1905</v>
      </c>
      <c r="E124" s="20" t="s">
        <v>1906</v>
      </c>
      <c r="F124" s="20" t="s">
        <v>993</v>
      </c>
      <c r="G124" s="20" t="s">
        <v>370</v>
      </c>
      <c r="H124" s="20">
        <v>0.122</v>
      </c>
      <c r="I124" s="20" t="s">
        <v>1885</v>
      </c>
      <c r="J124" s="20" t="s">
        <v>986</v>
      </c>
      <c r="L124" s="20" t="s">
        <v>132</v>
      </c>
      <c r="M124" s="20" t="s">
        <v>984</v>
      </c>
      <c r="N124" s="1" t="str">
        <f>"Table_ProductRegions_" &amp; SUBSTITUTE(SUBSTITUTE(SUBSTITUTE(SUBSTITUTE(L125, " ", ""), ",", ""), "(", ""), ")", "")</f>
        <v>Table_ProductRegions_Cerealsilage</v>
      </c>
      <c r="O124" s="20" t="str">
        <f>Table_SourceData_Scope3_Feed[[#This Row],[Product]]</f>
        <v>Cereal hay</v>
      </c>
      <c r="P124" s="20" t="str">
        <f>Table_SourceData_Scope3_Feed[[#This Row],[Region of origin]]</f>
        <v>WA</v>
      </c>
    </row>
    <row r="125" spans="1:17" ht="20.100000000000001" customHeight="1" x14ac:dyDescent="0.2">
      <c r="D125" s="20" t="s">
        <v>1905</v>
      </c>
      <c r="E125" s="20" t="s">
        <v>1907</v>
      </c>
      <c r="F125" s="20" t="s">
        <v>1005</v>
      </c>
      <c r="G125" s="20" t="s">
        <v>370</v>
      </c>
      <c r="H125" s="20">
        <v>7.4399999999999994E-2</v>
      </c>
      <c r="I125" s="20" t="s">
        <v>1885</v>
      </c>
      <c r="J125" s="20" t="s">
        <v>986</v>
      </c>
      <c r="L125" s="20" t="str">
        <f>Table_SourceData_Scope3_Feed[[#This Row],[Product]]</f>
        <v>Cereal silage</v>
      </c>
      <c r="M125" s="20" t="str">
        <f>Table_SourceData_Scope3_Feed[[#This Row],[Region of origin]]</f>
        <v>Australia</v>
      </c>
    </row>
    <row r="126" spans="1:17" ht="20.100000000000001" customHeight="1" x14ac:dyDescent="0.2">
      <c r="D126" s="20" t="s">
        <v>1905</v>
      </c>
      <c r="E126" s="20" t="s">
        <v>1907</v>
      </c>
      <c r="F126" s="20" t="s">
        <v>988</v>
      </c>
      <c r="G126" s="20" t="s">
        <v>370</v>
      </c>
      <c r="H126" s="20">
        <v>7.3899999999999993E-2</v>
      </c>
      <c r="I126" s="20" t="s">
        <v>1885</v>
      </c>
      <c r="J126" s="20" t="s">
        <v>986</v>
      </c>
      <c r="L126" s="20" t="str">
        <f>Table_SourceData_Scope3_Feed[[#This Row],[Product]]</f>
        <v>Cereal silage</v>
      </c>
      <c r="M126" s="20" t="str">
        <f>Table_SourceData_Scope3_Feed[[#This Row],[Region of origin]]</f>
        <v>NSW</v>
      </c>
    </row>
    <row r="127" spans="1:17" ht="20.100000000000001" customHeight="1" x14ac:dyDescent="0.2">
      <c r="D127" s="20" t="s">
        <v>1905</v>
      </c>
      <c r="E127" s="20" t="s">
        <v>1907</v>
      </c>
      <c r="F127" s="20" t="s">
        <v>1001</v>
      </c>
      <c r="G127" s="20" t="s">
        <v>370</v>
      </c>
      <c r="H127" s="20">
        <v>7.9000000000000001E-2</v>
      </c>
      <c r="I127" s="20" t="s">
        <v>1885</v>
      </c>
      <c r="J127" s="20" t="s">
        <v>986</v>
      </c>
      <c r="L127" s="20" t="str">
        <f>Table_SourceData_Scope3_Feed[[#This Row],[Product]]</f>
        <v>Cereal silage</v>
      </c>
      <c r="M127" s="20" t="str">
        <f>Table_SourceData_Scope3_Feed[[#This Row],[Region of origin]]</f>
        <v>QLD</v>
      </c>
    </row>
    <row r="128" spans="1:17" ht="20.100000000000001" customHeight="1" x14ac:dyDescent="0.2">
      <c r="D128" s="20" t="s">
        <v>1905</v>
      </c>
      <c r="E128" s="20" t="s">
        <v>1907</v>
      </c>
      <c r="F128" s="20" t="s">
        <v>989</v>
      </c>
      <c r="G128" s="20" t="s">
        <v>370</v>
      </c>
      <c r="H128" s="20">
        <v>7.0599999999999996E-2</v>
      </c>
      <c r="I128" s="20" t="s">
        <v>1885</v>
      </c>
      <c r="J128" s="20" t="s">
        <v>986</v>
      </c>
      <c r="L128" s="20" t="str">
        <f>Table_SourceData_Scope3_Feed[[#This Row],[Product]]</f>
        <v>Cereal silage</v>
      </c>
      <c r="M128" s="20" t="str">
        <f>Table_SourceData_Scope3_Feed[[#This Row],[Region of origin]]</f>
        <v>SA</v>
      </c>
    </row>
    <row r="129" spans="4:17" ht="20.100000000000001" customHeight="1" x14ac:dyDescent="0.2">
      <c r="D129" s="20" t="s">
        <v>1905</v>
      </c>
      <c r="E129" s="20" t="s">
        <v>1907</v>
      </c>
      <c r="F129" s="20" t="s">
        <v>990</v>
      </c>
      <c r="G129" s="20" t="s">
        <v>370</v>
      </c>
      <c r="H129" s="20">
        <v>8.0799999999999997E-2</v>
      </c>
      <c r="I129" s="20" t="s">
        <v>1885</v>
      </c>
      <c r="J129" s="20" t="s">
        <v>986</v>
      </c>
      <c r="L129" s="20" t="str">
        <f>Table_SourceData_Scope3_Feed[[#This Row],[Product]]</f>
        <v>Cereal silage</v>
      </c>
      <c r="M129" s="20" t="str">
        <f>Table_SourceData_Scope3_Feed[[#This Row],[Region of origin]]</f>
        <v>TAS</v>
      </c>
    </row>
    <row r="130" spans="4:17" ht="20.100000000000001" customHeight="1" x14ac:dyDescent="0.2">
      <c r="D130" s="20" t="s">
        <v>1905</v>
      </c>
      <c r="E130" s="20" t="s">
        <v>1907</v>
      </c>
      <c r="F130" s="20" t="s">
        <v>991</v>
      </c>
      <c r="G130" s="20" t="s">
        <v>370</v>
      </c>
      <c r="H130" s="20">
        <v>7.3599999999999999E-2</v>
      </c>
      <c r="I130" s="20" t="s">
        <v>1885</v>
      </c>
      <c r="J130" s="20" t="s">
        <v>986</v>
      </c>
      <c r="L130" s="20" t="str">
        <f>Table_SourceData_Scope3_Feed[[#This Row],[Product]]</f>
        <v>Cereal silage</v>
      </c>
      <c r="M130" s="20" t="str">
        <f>Table_SourceData_Scope3_Feed[[#This Row],[Region of origin]]</f>
        <v>VIC</v>
      </c>
      <c r="O130" s="20" t="s">
        <v>132</v>
      </c>
      <c r="P130" s="20" t="s">
        <v>984</v>
      </c>
      <c r="Q130" s="1" t="str">
        <f>"Table_ProductRegions_" &amp; SUBSTITUTE(SUBSTITUTE(SUBSTITUTE(SUBSTITUTE(O131, " ", ""), ",", ""), "(", ""), ")", "")</f>
        <v>Table_ProductRegions_Lucernehay</v>
      </c>
    </row>
    <row r="131" spans="4:17" ht="20.100000000000001" customHeight="1" x14ac:dyDescent="0.2">
      <c r="D131" s="20" t="s">
        <v>1905</v>
      </c>
      <c r="E131" s="20" t="s">
        <v>1908</v>
      </c>
      <c r="F131" s="20" t="s">
        <v>1005</v>
      </c>
      <c r="G131" s="20" t="s">
        <v>370</v>
      </c>
      <c r="H131" s="20">
        <v>0.11700000000000001</v>
      </c>
      <c r="I131" s="20" t="s">
        <v>1885</v>
      </c>
      <c r="J131" s="20" t="s">
        <v>986</v>
      </c>
      <c r="O131" s="20" t="str">
        <f>Table_SourceData_Scope3_Feed[[#This Row],[Product]]</f>
        <v>Lucerne hay</v>
      </c>
      <c r="P131" s="20" t="str">
        <f>Table_SourceData_Scope3_Feed[[#This Row],[Region of origin]]</f>
        <v>Australia</v>
      </c>
    </row>
    <row r="132" spans="4:17" ht="20.100000000000001" customHeight="1" x14ac:dyDescent="0.2">
      <c r="D132" s="20" t="s">
        <v>1905</v>
      </c>
      <c r="E132" s="20" t="s">
        <v>1908</v>
      </c>
      <c r="F132" s="20" t="s">
        <v>988</v>
      </c>
      <c r="G132" s="20" t="s">
        <v>370</v>
      </c>
      <c r="H132" s="20">
        <v>0.113</v>
      </c>
      <c r="I132" s="20" t="s">
        <v>1885</v>
      </c>
      <c r="J132" s="20" t="s">
        <v>986</v>
      </c>
      <c r="O132" s="20" t="str">
        <f>Table_SourceData_Scope3_Feed[[#This Row],[Product]]</f>
        <v>Lucerne hay</v>
      </c>
      <c r="P132" s="20" t="str">
        <f>Table_SourceData_Scope3_Feed[[#This Row],[Region of origin]]</f>
        <v>NSW</v>
      </c>
    </row>
    <row r="133" spans="4:17" ht="20.100000000000001" customHeight="1" x14ac:dyDescent="0.2">
      <c r="D133" s="20" t="s">
        <v>1905</v>
      </c>
      <c r="E133" s="20" t="s">
        <v>1908</v>
      </c>
      <c r="F133" s="20" t="s">
        <v>1001</v>
      </c>
      <c r="G133" s="20" t="s">
        <v>370</v>
      </c>
      <c r="H133" s="20">
        <v>0.14299999999999999</v>
      </c>
      <c r="I133" s="20" t="s">
        <v>1885</v>
      </c>
      <c r="J133" s="20" t="s">
        <v>986</v>
      </c>
      <c r="O133" s="20" t="str">
        <f>Table_SourceData_Scope3_Feed[[#This Row],[Product]]</f>
        <v>Lucerne hay</v>
      </c>
      <c r="P133" s="20" t="str">
        <f>Table_SourceData_Scope3_Feed[[#This Row],[Region of origin]]</f>
        <v>QLD</v>
      </c>
    </row>
    <row r="134" spans="4:17" ht="20.100000000000001" customHeight="1" x14ac:dyDescent="0.2">
      <c r="D134" s="20" t="s">
        <v>1905</v>
      </c>
      <c r="E134" s="20" t="s">
        <v>1908</v>
      </c>
      <c r="F134" s="20" t="s">
        <v>989</v>
      </c>
      <c r="G134" s="20" t="s">
        <v>370</v>
      </c>
      <c r="H134" s="20">
        <v>0.106</v>
      </c>
      <c r="I134" s="20" t="s">
        <v>1885</v>
      </c>
      <c r="J134" s="20" t="s">
        <v>986</v>
      </c>
      <c r="O134" s="20" t="str">
        <f>Table_SourceData_Scope3_Feed[[#This Row],[Product]]</f>
        <v>Lucerne hay</v>
      </c>
      <c r="P134" s="20" t="str">
        <f>Table_SourceData_Scope3_Feed[[#This Row],[Region of origin]]</f>
        <v>SA</v>
      </c>
    </row>
    <row r="135" spans="4:17" ht="20.100000000000001" customHeight="1" x14ac:dyDescent="0.2">
      <c r="D135" s="20" t="s">
        <v>1905</v>
      </c>
      <c r="E135" s="20" t="s">
        <v>1908</v>
      </c>
      <c r="F135" s="20" t="s">
        <v>990</v>
      </c>
      <c r="G135" s="20" t="s">
        <v>370</v>
      </c>
      <c r="H135" s="20">
        <v>0.113</v>
      </c>
      <c r="I135" s="20" t="s">
        <v>1885</v>
      </c>
      <c r="J135" s="20" t="s">
        <v>986</v>
      </c>
      <c r="O135" s="20" t="str">
        <f>Table_SourceData_Scope3_Feed[[#This Row],[Product]]</f>
        <v>Lucerne hay</v>
      </c>
      <c r="P135" s="20" t="str">
        <f>Table_SourceData_Scope3_Feed[[#This Row],[Region of origin]]</f>
        <v>TAS</v>
      </c>
    </row>
    <row r="136" spans="4:17" ht="20.100000000000001" customHeight="1" x14ac:dyDescent="0.2">
      <c r="D136" s="20" t="s">
        <v>1905</v>
      </c>
      <c r="E136" s="20" t="s">
        <v>1908</v>
      </c>
      <c r="F136" s="20" t="s">
        <v>991</v>
      </c>
      <c r="G136" s="20" t="s">
        <v>370</v>
      </c>
      <c r="H136" s="20">
        <v>0.106</v>
      </c>
      <c r="I136" s="20" t="s">
        <v>1885</v>
      </c>
      <c r="J136" s="20" t="s">
        <v>986</v>
      </c>
      <c r="O136" s="20" t="str">
        <f>Table_SourceData_Scope3_Feed[[#This Row],[Product]]</f>
        <v>Lucerne hay</v>
      </c>
      <c r="P136" s="20" t="str">
        <f>Table_SourceData_Scope3_Feed[[#This Row],[Region of origin]]</f>
        <v>VIC</v>
      </c>
    </row>
    <row r="137" spans="4:17" ht="20.100000000000001" customHeight="1" x14ac:dyDescent="0.2">
      <c r="D137" s="20" t="s">
        <v>1905</v>
      </c>
      <c r="E137" s="20" t="s">
        <v>1909</v>
      </c>
      <c r="F137" s="20" t="s">
        <v>991</v>
      </c>
      <c r="G137" s="20" t="s">
        <v>370</v>
      </c>
      <c r="H137" s="20">
        <v>0.16300000000000001</v>
      </c>
      <c r="I137" s="20" t="s">
        <v>1885</v>
      </c>
      <c r="J137" s="20" t="s">
        <v>986</v>
      </c>
      <c r="L137" s="20" t="s">
        <v>132</v>
      </c>
      <c r="M137" s="20" t="s">
        <v>984</v>
      </c>
      <c r="N137" s="1" t="str">
        <f>"Table_ProductRegions_" &amp; SUBSTITUTE(SUBSTITUTE(SUBSTITUTE(SUBSTITUTE(L138, " ", ""), ",", ""), "(", ""), ")", "")</f>
        <v>Table_ProductRegions_Oatenhay</v>
      </c>
      <c r="O137" s="20" t="str">
        <f>Table_SourceData_Scope3_Feed[[#This Row],[Product]]</f>
        <v>Maize silage</v>
      </c>
      <c r="P137" s="20" t="str">
        <f>Table_SourceData_Scope3_Feed[[#This Row],[Region of origin]]</f>
        <v>VIC</v>
      </c>
    </row>
    <row r="138" spans="4:17" ht="20.100000000000001" customHeight="1" x14ac:dyDescent="0.2">
      <c r="D138" s="20" t="s">
        <v>1905</v>
      </c>
      <c r="E138" s="20" t="s">
        <v>1910</v>
      </c>
      <c r="F138" s="20" t="s">
        <v>1005</v>
      </c>
      <c r="G138" s="20" t="s">
        <v>370</v>
      </c>
      <c r="H138" s="20">
        <v>0.12</v>
      </c>
      <c r="I138" s="20" t="s">
        <v>1885</v>
      </c>
      <c r="J138" s="20" t="s">
        <v>986</v>
      </c>
      <c r="L138" s="20" t="str">
        <f>Table_SourceData_Scope3_Feed[[#This Row],[Product]]</f>
        <v>Oaten hay</v>
      </c>
      <c r="M138" s="20" t="str">
        <f>Table_SourceData_Scope3_Feed[[#This Row],[Region of origin]]</f>
        <v>Australia</v>
      </c>
    </row>
    <row r="139" spans="4:17" ht="20.100000000000001" customHeight="1" x14ac:dyDescent="0.2">
      <c r="D139" s="20" t="s">
        <v>1905</v>
      </c>
      <c r="E139" s="20" t="s">
        <v>1910</v>
      </c>
      <c r="F139" s="20" t="s">
        <v>988</v>
      </c>
      <c r="G139" s="20" t="s">
        <v>370</v>
      </c>
      <c r="H139" s="20">
        <v>0.11899999999999999</v>
      </c>
      <c r="I139" s="20" t="s">
        <v>1885</v>
      </c>
      <c r="J139" s="20" t="s">
        <v>986</v>
      </c>
      <c r="L139" s="20" t="str">
        <f>Table_SourceData_Scope3_Feed[[#This Row],[Product]]</f>
        <v>Oaten hay</v>
      </c>
      <c r="M139" s="20" t="str">
        <f>Table_SourceData_Scope3_Feed[[#This Row],[Region of origin]]</f>
        <v>NSW</v>
      </c>
    </row>
    <row r="140" spans="4:17" ht="20.100000000000001" customHeight="1" x14ac:dyDescent="0.2">
      <c r="D140" s="20" t="s">
        <v>1905</v>
      </c>
      <c r="E140" s="20" t="s">
        <v>1910</v>
      </c>
      <c r="F140" s="20" t="s">
        <v>1001</v>
      </c>
      <c r="G140" s="20" t="s">
        <v>370</v>
      </c>
      <c r="H140" s="20">
        <v>0.11700000000000001</v>
      </c>
      <c r="I140" s="20" t="s">
        <v>1885</v>
      </c>
      <c r="J140" s="20" t="s">
        <v>986</v>
      </c>
      <c r="L140" s="20" t="str">
        <f>Table_SourceData_Scope3_Feed[[#This Row],[Product]]</f>
        <v>Oaten hay</v>
      </c>
      <c r="M140" s="20" t="str">
        <f>Table_SourceData_Scope3_Feed[[#This Row],[Region of origin]]</f>
        <v>QLD</v>
      </c>
    </row>
    <row r="141" spans="4:17" ht="20.100000000000001" customHeight="1" x14ac:dyDescent="0.2">
      <c r="D141" s="20" t="s">
        <v>1905</v>
      </c>
      <c r="E141" s="20" t="s">
        <v>1910</v>
      </c>
      <c r="F141" s="20" t="s">
        <v>989</v>
      </c>
      <c r="G141" s="20" t="s">
        <v>370</v>
      </c>
      <c r="H141" s="20">
        <v>0.114</v>
      </c>
      <c r="I141" s="20" t="s">
        <v>1885</v>
      </c>
      <c r="J141" s="20" t="s">
        <v>986</v>
      </c>
      <c r="L141" s="20" t="str">
        <f>Table_SourceData_Scope3_Feed[[#This Row],[Product]]</f>
        <v>Oaten hay</v>
      </c>
      <c r="M141" s="20" t="str">
        <f>Table_SourceData_Scope3_Feed[[#This Row],[Region of origin]]</f>
        <v>SA</v>
      </c>
    </row>
    <row r="142" spans="4:17" ht="20.100000000000001" customHeight="1" x14ac:dyDescent="0.2">
      <c r="D142" s="20" t="s">
        <v>1905</v>
      </c>
      <c r="E142" s="20" t="s">
        <v>1910</v>
      </c>
      <c r="F142" s="20" t="s">
        <v>991</v>
      </c>
      <c r="G142" s="20" t="s">
        <v>370</v>
      </c>
      <c r="H142" s="20">
        <v>0.11799999999999999</v>
      </c>
      <c r="I142" s="20" t="s">
        <v>1885</v>
      </c>
      <c r="J142" s="20" t="s">
        <v>986</v>
      </c>
      <c r="L142" s="20" t="str">
        <f>Table_SourceData_Scope3_Feed[[#This Row],[Product]]</f>
        <v>Oaten hay</v>
      </c>
      <c r="M142" s="20" t="str">
        <f>Table_SourceData_Scope3_Feed[[#This Row],[Region of origin]]</f>
        <v>VIC</v>
      </c>
    </row>
    <row r="143" spans="4:17" ht="20.100000000000001" customHeight="1" x14ac:dyDescent="0.2">
      <c r="D143" s="20" t="s">
        <v>1905</v>
      </c>
      <c r="E143" s="20" t="s">
        <v>1910</v>
      </c>
      <c r="F143" s="20" t="s">
        <v>993</v>
      </c>
      <c r="G143" s="20" t="s">
        <v>370</v>
      </c>
      <c r="H143" s="20">
        <v>0.124</v>
      </c>
      <c r="I143" s="20" t="s">
        <v>1885</v>
      </c>
      <c r="J143" s="20" t="s">
        <v>986</v>
      </c>
      <c r="L143" s="20" t="str">
        <f>Table_SourceData_Scope3_Feed[[#This Row],[Product]]</f>
        <v>Oaten hay</v>
      </c>
      <c r="M143" s="20" t="str">
        <f>Table_SourceData_Scope3_Feed[[#This Row],[Region of origin]]</f>
        <v>WA</v>
      </c>
      <c r="O143" s="20" t="s">
        <v>132</v>
      </c>
      <c r="P143" s="20" t="s">
        <v>984</v>
      </c>
      <c r="Q143" s="1" t="str">
        <f>"Table_ProductRegions_" &amp; SUBSTITUTE(SUBSTITUTE(SUBSTITUTE(SUBSTITUTE(O144, " ", ""), ",", ""), "(", ""), ")", "")</f>
        <v>Table_ProductRegions_Pasturehay</v>
      </c>
    </row>
    <row r="144" spans="4:17" ht="20.100000000000001" customHeight="1" x14ac:dyDescent="0.2">
      <c r="D144" s="20" t="s">
        <v>1905</v>
      </c>
      <c r="E144" s="20" t="s">
        <v>1911</v>
      </c>
      <c r="F144" s="20" t="s">
        <v>1005</v>
      </c>
      <c r="G144" s="20" t="s">
        <v>370</v>
      </c>
      <c r="H144" s="20">
        <v>0.33900000000000002</v>
      </c>
      <c r="I144" s="20" t="s">
        <v>1885</v>
      </c>
      <c r="J144" s="20" t="s">
        <v>986</v>
      </c>
      <c r="O144" s="20" t="str">
        <f>Table_SourceData_Scope3_Feed[[#This Row],[Product]]</f>
        <v>Pasture hay</v>
      </c>
      <c r="P144" s="20" t="str">
        <f>Table_SourceData_Scope3_Feed[[#This Row],[Region of origin]]</f>
        <v>Australia</v>
      </c>
    </row>
    <row r="145" spans="1:17" ht="20.100000000000001" customHeight="1" x14ac:dyDescent="0.2">
      <c r="D145" s="20" t="s">
        <v>1905</v>
      </c>
      <c r="E145" s="20" t="s">
        <v>1911</v>
      </c>
      <c r="F145" s="20" t="s">
        <v>988</v>
      </c>
      <c r="G145" s="20" t="s">
        <v>370</v>
      </c>
      <c r="H145" s="20">
        <v>0.311</v>
      </c>
      <c r="I145" s="20" t="s">
        <v>1885</v>
      </c>
      <c r="J145" s="20" t="s">
        <v>986</v>
      </c>
      <c r="O145" s="20" t="str">
        <f>Table_SourceData_Scope3_Feed[[#This Row],[Product]]</f>
        <v>Pasture hay</v>
      </c>
      <c r="P145" s="20" t="str">
        <f>Table_SourceData_Scope3_Feed[[#This Row],[Region of origin]]</f>
        <v>NSW</v>
      </c>
    </row>
    <row r="146" spans="1:17" ht="20.100000000000001" customHeight="1" x14ac:dyDescent="0.2">
      <c r="D146" s="20" t="s">
        <v>1905</v>
      </c>
      <c r="E146" s="20" t="s">
        <v>1911</v>
      </c>
      <c r="F146" s="20" t="s">
        <v>1001</v>
      </c>
      <c r="G146" s="20" t="s">
        <v>370</v>
      </c>
      <c r="H146" s="20">
        <v>0.254</v>
      </c>
      <c r="I146" s="20" t="s">
        <v>1885</v>
      </c>
      <c r="J146" s="20" t="s">
        <v>986</v>
      </c>
      <c r="O146" s="20" t="str">
        <f>Table_SourceData_Scope3_Feed[[#This Row],[Product]]</f>
        <v>Pasture hay</v>
      </c>
      <c r="P146" s="20" t="str">
        <f>Table_SourceData_Scope3_Feed[[#This Row],[Region of origin]]</f>
        <v>QLD</v>
      </c>
    </row>
    <row r="147" spans="1:17" ht="20.100000000000001" customHeight="1" x14ac:dyDescent="0.2">
      <c r="D147" s="20" t="s">
        <v>1905</v>
      </c>
      <c r="E147" s="20" t="s">
        <v>1911</v>
      </c>
      <c r="F147" s="20" t="s">
        <v>989</v>
      </c>
      <c r="G147" s="20" t="s">
        <v>370</v>
      </c>
      <c r="H147" s="20">
        <v>0.313</v>
      </c>
      <c r="I147" s="20" t="s">
        <v>1885</v>
      </c>
      <c r="J147" s="20" t="s">
        <v>986</v>
      </c>
      <c r="O147" s="20" t="str">
        <f>Table_SourceData_Scope3_Feed[[#This Row],[Product]]</f>
        <v>Pasture hay</v>
      </c>
      <c r="P147" s="20" t="str">
        <f>Table_SourceData_Scope3_Feed[[#This Row],[Region of origin]]</f>
        <v>SA</v>
      </c>
    </row>
    <row r="148" spans="1:17" ht="20.100000000000001" customHeight="1" x14ac:dyDescent="0.2">
      <c r="D148" s="20" t="s">
        <v>1905</v>
      </c>
      <c r="E148" s="20" t="s">
        <v>1911</v>
      </c>
      <c r="F148" s="20" t="s">
        <v>990</v>
      </c>
      <c r="G148" s="20" t="s">
        <v>370</v>
      </c>
      <c r="H148" s="20">
        <v>0.39800000000000002</v>
      </c>
      <c r="I148" s="20" t="s">
        <v>1885</v>
      </c>
      <c r="J148" s="20" t="s">
        <v>986</v>
      </c>
      <c r="O148" s="20" t="str">
        <f>Table_SourceData_Scope3_Feed[[#This Row],[Product]]</f>
        <v>Pasture hay</v>
      </c>
      <c r="P148" s="20" t="str">
        <f>Table_SourceData_Scope3_Feed[[#This Row],[Region of origin]]</f>
        <v>TAS</v>
      </c>
    </row>
    <row r="149" spans="1:17" ht="20.100000000000001" customHeight="1" x14ac:dyDescent="0.2">
      <c r="A149" s="81" t="str">
        <f>HYPERLINK("#A1", "▲ Back to top")</f>
        <v>▲ Back to top</v>
      </c>
      <c r="D149" s="20" t="s">
        <v>1905</v>
      </c>
      <c r="E149" s="20" t="s">
        <v>1911</v>
      </c>
      <c r="F149" s="20" t="s">
        <v>991</v>
      </c>
      <c r="G149" s="20" t="s">
        <v>370</v>
      </c>
      <c r="H149" s="20">
        <v>0.34499999999999997</v>
      </c>
      <c r="I149" s="20" t="s">
        <v>1885</v>
      </c>
      <c r="J149" s="20" t="s">
        <v>986</v>
      </c>
      <c r="O149" s="20" t="str">
        <f>Table_SourceData_Scope3_Feed[[#This Row],[Product]]</f>
        <v>Pasture hay</v>
      </c>
      <c r="P149" s="20" t="str">
        <f>Table_SourceData_Scope3_Feed[[#This Row],[Region of origin]]</f>
        <v>VIC</v>
      </c>
    </row>
    <row r="150" spans="1:17" ht="20.100000000000001" customHeight="1" x14ac:dyDescent="0.2">
      <c r="D150" s="20" t="s">
        <v>1905</v>
      </c>
      <c r="E150" s="20" t="s">
        <v>1911</v>
      </c>
      <c r="F150" s="20" t="s">
        <v>993</v>
      </c>
      <c r="G150" s="20" t="s">
        <v>370</v>
      </c>
      <c r="H150" s="20">
        <v>0.36799999999999999</v>
      </c>
      <c r="I150" s="20" t="s">
        <v>1885</v>
      </c>
      <c r="J150" s="20" t="s">
        <v>986</v>
      </c>
      <c r="L150" s="218" t="s">
        <v>132</v>
      </c>
      <c r="M150" s="218" t="s">
        <v>984</v>
      </c>
      <c r="N150" s="1" t="str">
        <f>"Table_ProductRegions_" &amp; SUBSTITUTE(SUBSTITUTE(SUBSTITUTE(SUBSTITUTE(L151, " ", ""), ",", ""), "(", ""), ")", "")</f>
        <v>Table_ProductRegions_Canolameal</v>
      </c>
      <c r="O150" s="20" t="str">
        <f>Table_SourceData_Scope3_Feed[[#This Row],[Product]]</f>
        <v>Pasture hay</v>
      </c>
      <c r="P150" s="20" t="str">
        <f>Table_SourceData_Scope3_Feed[[#This Row],[Region of origin]]</f>
        <v>WA</v>
      </c>
    </row>
    <row r="151" spans="1:17" ht="20.100000000000001" customHeight="1" x14ac:dyDescent="0.2">
      <c r="D151" s="20" t="s">
        <v>1912</v>
      </c>
      <c r="E151" s="20" t="s">
        <v>1913</v>
      </c>
      <c r="F151" s="20" t="s">
        <v>1005</v>
      </c>
      <c r="G151" s="20" t="s">
        <v>370</v>
      </c>
      <c r="H151" s="20">
        <v>0.24399999999999999</v>
      </c>
      <c r="I151" s="20" t="s">
        <v>1885</v>
      </c>
      <c r="J151" s="20" t="s">
        <v>986</v>
      </c>
      <c r="L151" s="1" t="str">
        <f>Table_SourceData_Scope3_Feed[[#This Row],[Product]]</f>
        <v>Canola meal</v>
      </c>
      <c r="M151" s="1" t="str">
        <f>Table_SourceData_Scope3_Feed[[#This Row],[Region of origin]]</f>
        <v>Australia</v>
      </c>
      <c r="O151" s="20" t="s">
        <v>132</v>
      </c>
      <c r="P151" s="20" t="s">
        <v>984</v>
      </c>
      <c r="Q151" s="1" t="str">
        <f>"Table_ProductRegions_" &amp; SUBSTITUTE(SUBSTITUTE(SUBSTITUTE(SUBSTITUTE(O152, " ", ""), ",", ""), "(", ""), ")", "")</f>
        <v>Table_ProductRegions_Meatmeal</v>
      </c>
    </row>
    <row r="152" spans="1:17" ht="20.100000000000001" customHeight="1" x14ac:dyDescent="0.2">
      <c r="D152" s="20" t="s">
        <v>1912</v>
      </c>
      <c r="E152" s="20" t="s">
        <v>1914</v>
      </c>
      <c r="F152" s="20" t="s">
        <v>1005</v>
      </c>
      <c r="G152" s="20" t="s">
        <v>370</v>
      </c>
      <c r="H152" s="20">
        <v>0.40799999999999997</v>
      </c>
      <c r="I152" s="20" t="s">
        <v>1885</v>
      </c>
      <c r="J152" s="20" t="s">
        <v>986</v>
      </c>
      <c r="L152" s="20" t="s">
        <v>132</v>
      </c>
      <c r="M152" s="20" t="s">
        <v>984</v>
      </c>
      <c r="N152" s="1" t="str">
        <f>"Table_ProductRegions_" &amp; SUBSTITUTE(SUBSTITUTE(SUBSTITUTE(SUBSTITUTE(L153, " ", ""), ",", ""), "(", ""), ")", "")</f>
        <v>Table_ProductRegions_Soybeanmeal</v>
      </c>
      <c r="O152" s="20" t="str">
        <f>Table_SourceData_Scope3_Feed[[#This Row],[Product]]</f>
        <v>Meat meal</v>
      </c>
      <c r="P152" s="20" t="str">
        <f>Table_SourceData_Scope3_Feed[[#This Row],[Region of origin]]</f>
        <v>Australia</v>
      </c>
    </row>
    <row r="153" spans="1:17" ht="20.100000000000001" customHeight="1" x14ac:dyDescent="0.2">
      <c r="D153" s="20" t="s">
        <v>1912</v>
      </c>
      <c r="E153" s="20" t="s">
        <v>1915</v>
      </c>
      <c r="F153" s="20" t="s">
        <v>1916</v>
      </c>
      <c r="G153" s="20" t="s">
        <v>370</v>
      </c>
      <c r="H153" s="20">
        <v>0.42599999999999999</v>
      </c>
      <c r="I153" s="20" t="s">
        <v>1885</v>
      </c>
      <c r="J153" s="20" t="s">
        <v>986</v>
      </c>
      <c r="L153" s="20" t="str">
        <f>Table_SourceData_Scope3_Feed[[#This Row],[Product]]</f>
        <v>Soybean meal</v>
      </c>
      <c r="M153" s="20" t="str">
        <f>Table_SourceData_Scope3_Feed[[#This Row],[Region of origin]]</f>
        <v>Brazil</v>
      </c>
      <c r="O153" s="20" t="s">
        <v>132</v>
      </c>
      <c r="P153" s="20" t="s">
        <v>984</v>
      </c>
      <c r="Q153" s="1" t="str">
        <f>"Table_ProductRegions_" &amp; SUBSTITUTE(SUBSTITUTE(SUBSTITUTE(SUBSTITUTE(O154, " ", ""), ",", ""), "(", ""), ")", "")</f>
        <v>Table_ProductRegions_Wheatbran</v>
      </c>
    </row>
    <row r="154" spans="1:17" ht="20.100000000000001" customHeight="1" x14ac:dyDescent="0.2">
      <c r="D154" s="20" t="s">
        <v>1912</v>
      </c>
      <c r="E154" s="20" t="s">
        <v>1917</v>
      </c>
      <c r="F154" s="20" t="s">
        <v>1005</v>
      </c>
      <c r="G154" s="20" t="s">
        <v>370</v>
      </c>
      <c r="H154" s="20">
        <v>0.19600000000000001</v>
      </c>
      <c r="I154" s="20" t="s">
        <v>1885</v>
      </c>
      <c r="J154" s="20" t="s">
        <v>986</v>
      </c>
      <c r="L154" s="20" t="s">
        <v>132</v>
      </c>
      <c r="M154" s="20" t="s">
        <v>984</v>
      </c>
      <c r="N154" s="1" t="str">
        <f>"Table_ProductRegions_" &amp; SUBSTITUTE(SUBSTITUTE(SUBSTITUTE(SUBSTITUTE(L155, " ", ""), ",", ""), "(", ""), ")", "")</f>
        <v>Table_ProductRegions_Bentonite</v>
      </c>
      <c r="O154" s="20" t="str">
        <f>Table_SourceData_Scope3_Feed[[#This Row],[Product]]</f>
        <v>Wheat bran</v>
      </c>
      <c r="P154" s="20" t="str">
        <f>Table_SourceData_Scope3_Feed[[#This Row],[Region of origin]]</f>
        <v>Australia</v>
      </c>
    </row>
    <row r="155" spans="1:17" ht="20.100000000000001" customHeight="1" x14ac:dyDescent="0.2">
      <c r="D155" s="1" t="s">
        <v>1918</v>
      </c>
      <c r="E155" s="1" t="s">
        <v>1919</v>
      </c>
      <c r="F155" s="1" t="s">
        <v>1005</v>
      </c>
      <c r="G155" s="1" t="s">
        <v>370</v>
      </c>
      <c r="H155" s="1">
        <v>6.5199999999999994E-2</v>
      </c>
      <c r="I155" s="1" t="s">
        <v>1885</v>
      </c>
      <c r="J155" s="20" t="s">
        <v>986</v>
      </c>
      <c r="L155" s="20" t="str">
        <f>Table_SourceData_Scope3_Feed[[#This Row],[Product]]</f>
        <v>Bentonite</v>
      </c>
      <c r="M155" s="20" t="str">
        <f>Table_SourceData_Scope3_Feed[[#This Row],[Region of origin]]</f>
        <v>Australia</v>
      </c>
      <c r="O155" s="20" t="s">
        <v>132</v>
      </c>
      <c r="P155" s="20" t="s">
        <v>984</v>
      </c>
      <c r="Q155" s="1" t="str">
        <f>"Table_ProductRegions_" &amp; SUBSTITUTE(SUBSTITUTE(SUBSTITUTE(SUBSTITUTE(O156, " ", ""), ",", ""), "(", ""), ")", "")</f>
        <v>Table_ProductRegions_Canolaoil</v>
      </c>
    </row>
    <row r="156" spans="1:17" ht="20.100000000000001" customHeight="1" x14ac:dyDescent="0.2">
      <c r="D156" s="1" t="s">
        <v>1918</v>
      </c>
      <c r="E156" s="1" t="s">
        <v>1920</v>
      </c>
      <c r="F156" s="1" t="s">
        <v>1005</v>
      </c>
      <c r="G156" s="1" t="s">
        <v>370</v>
      </c>
      <c r="H156" s="1">
        <v>0.87</v>
      </c>
      <c r="I156" s="1" t="s">
        <v>1885</v>
      </c>
      <c r="J156" s="20" t="s">
        <v>986</v>
      </c>
      <c r="L156" s="20" t="s">
        <v>132</v>
      </c>
      <c r="M156" s="20" t="s">
        <v>984</v>
      </c>
      <c r="N156" s="1" t="str">
        <f>"Table_ProductRegions_" &amp; SUBSTITUTE(SUBSTITUTE(SUBSTITUTE(SUBSTITUTE(L157, " ", ""), ",", ""), "(", ""), ")", "")</f>
        <v>Table_ProductRegions_Cottonseed</v>
      </c>
      <c r="O156" s="20" t="str">
        <f>Table_SourceData_Scope3_Feed[[#This Row],[Product]]</f>
        <v>Canola oil</v>
      </c>
      <c r="P156" s="20" t="str">
        <f>Table_SourceData_Scope3_Feed[[#This Row],[Region of origin]]</f>
        <v>Australia</v>
      </c>
    </row>
    <row r="157" spans="1:17" ht="20.100000000000001" customHeight="1" x14ac:dyDescent="0.2">
      <c r="D157" s="1" t="s">
        <v>1918</v>
      </c>
      <c r="E157" s="1" t="s">
        <v>1921</v>
      </c>
      <c r="F157" s="1" t="s">
        <v>1005</v>
      </c>
      <c r="G157" s="1" t="s">
        <v>370</v>
      </c>
      <c r="H157" s="1">
        <v>0.19700000000000001</v>
      </c>
      <c r="I157" s="1" t="s">
        <v>1885</v>
      </c>
      <c r="J157" s="20" t="s">
        <v>986</v>
      </c>
      <c r="L157" s="20" t="str">
        <f>Table_SourceData_Scope3_Feed[[#This Row],[Product]]</f>
        <v>Cotton seed</v>
      </c>
      <c r="M157" s="20" t="str">
        <f>Table_SourceData_Scope3_Feed[[#This Row],[Region of origin]]</f>
        <v>Australia</v>
      </c>
      <c r="O157" s="20" t="s">
        <v>132</v>
      </c>
      <c r="P157" s="20" t="s">
        <v>984</v>
      </c>
      <c r="Q157" s="1" t="str">
        <f>"Table_ProductRegions_" &amp; SUBSTITUTE(SUBSTITUTE(SUBSTITUTE(SUBSTITUTE(O158, " ", ""), ",", ""), "(", ""), ")", "")</f>
        <v>Table_ProductRegions_Molasses</v>
      </c>
    </row>
    <row r="158" spans="1:17" ht="20.100000000000001" customHeight="1" x14ac:dyDescent="0.2">
      <c r="D158" s="20" t="s">
        <v>1918</v>
      </c>
      <c r="E158" s="20" t="s">
        <v>1922</v>
      </c>
      <c r="F158" s="20" t="s">
        <v>1001</v>
      </c>
      <c r="G158" s="20" t="s">
        <v>370</v>
      </c>
      <c r="H158" s="20">
        <v>0.184</v>
      </c>
      <c r="I158" s="20" t="s">
        <v>1885</v>
      </c>
      <c r="J158" s="20"/>
      <c r="O158" s="20" t="str">
        <f>Table_SourceData_Scope3_Feed[[#This Row],[Product]]</f>
        <v>Molasses</v>
      </c>
      <c r="P158" s="20" t="str">
        <f>Table_SourceData_Scope3_Feed[[#This Row],[Region of origin]]</f>
        <v>QLD</v>
      </c>
    </row>
    <row r="161" spans="4:14" ht="20.100000000000001" customHeight="1" x14ac:dyDescent="0.2">
      <c r="D161" s="20" t="s">
        <v>979</v>
      </c>
      <c r="E161" s="20" t="s">
        <v>132</v>
      </c>
      <c r="F161" s="20" t="s">
        <v>980</v>
      </c>
      <c r="G161" s="20" t="s">
        <v>981</v>
      </c>
      <c r="H161" s="20" t="s">
        <v>982</v>
      </c>
      <c r="I161" s="20" t="s">
        <v>983</v>
      </c>
      <c r="J161" s="20" t="s">
        <v>463</v>
      </c>
    </row>
    <row r="162" spans="4:14" ht="20.100000000000001" customHeight="1" x14ac:dyDescent="0.2">
      <c r="D162" s="20" t="s">
        <v>1923</v>
      </c>
      <c r="E162" s="20" t="s">
        <v>1924</v>
      </c>
      <c r="F162" s="20" t="s">
        <v>1005</v>
      </c>
      <c r="G162" s="20" t="s">
        <v>370</v>
      </c>
      <c r="H162" s="20">
        <v>0.59399999999999997</v>
      </c>
      <c r="I162" s="20" t="s">
        <v>1885</v>
      </c>
      <c r="J162" s="20" t="s">
        <v>986</v>
      </c>
    </row>
    <row r="163" spans="4:14" ht="20.100000000000001" customHeight="1" x14ac:dyDescent="0.2">
      <c r="D163" s="20" t="s">
        <v>1923</v>
      </c>
      <c r="E163" s="20" t="s">
        <v>1925</v>
      </c>
      <c r="F163" s="20" t="s">
        <v>1005</v>
      </c>
      <c r="G163" s="20" t="s">
        <v>370</v>
      </c>
      <c r="H163" s="20">
        <v>0.41899999999999998</v>
      </c>
      <c r="I163" s="20" t="s">
        <v>1885</v>
      </c>
      <c r="J163" s="20" t="s">
        <v>986</v>
      </c>
    </row>
    <row r="164" spans="4:14" ht="20.100000000000001" customHeight="1" x14ac:dyDescent="0.2">
      <c r="D164" s="20" t="s">
        <v>1923</v>
      </c>
      <c r="E164" s="20" t="s">
        <v>1926</v>
      </c>
      <c r="F164" s="20" t="s">
        <v>1005</v>
      </c>
      <c r="G164" s="20" t="s">
        <v>370</v>
      </c>
      <c r="H164" s="20">
        <v>0.33300000000000002</v>
      </c>
      <c r="I164" s="20" t="s">
        <v>1885</v>
      </c>
      <c r="J164" s="20" t="s">
        <v>986</v>
      </c>
    </row>
    <row r="165" spans="4:14" ht="20.100000000000001" customHeight="1" x14ac:dyDescent="0.2">
      <c r="D165" s="20" t="s">
        <v>1923</v>
      </c>
      <c r="E165" s="20" t="s">
        <v>1927</v>
      </c>
      <c r="F165" s="20" t="s">
        <v>1005</v>
      </c>
      <c r="G165" s="20" t="s">
        <v>370</v>
      </c>
      <c r="H165" s="20">
        <v>0.40300000000000002</v>
      </c>
      <c r="I165" s="20" t="s">
        <v>1885</v>
      </c>
      <c r="J165" s="20" t="s">
        <v>986</v>
      </c>
    </row>
    <row r="167" spans="4:14" ht="20.100000000000001" customHeight="1" x14ac:dyDescent="0.2">
      <c r="D167" s="20" t="s">
        <v>979</v>
      </c>
      <c r="E167" s="20" t="s">
        <v>132</v>
      </c>
      <c r="F167" s="20" t="s">
        <v>980</v>
      </c>
      <c r="G167" s="20" t="s">
        <v>981</v>
      </c>
      <c r="H167" s="20" t="s">
        <v>982</v>
      </c>
      <c r="I167" s="20" t="s">
        <v>983</v>
      </c>
      <c r="J167" s="20" t="s">
        <v>463</v>
      </c>
    </row>
    <row r="168" spans="4:14" ht="20.100000000000001" customHeight="1" x14ac:dyDescent="0.2">
      <c r="D168" s="20" t="s">
        <v>1918</v>
      </c>
      <c r="E168" s="20" t="s">
        <v>1928</v>
      </c>
      <c r="F168" s="20" t="s">
        <v>1005</v>
      </c>
      <c r="G168" s="20" t="s">
        <v>370</v>
      </c>
      <c r="H168" s="20">
        <v>0.88100000000000001</v>
      </c>
      <c r="I168" s="20" t="s">
        <v>1885</v>
      </c>
      <c r="J168" s="20" t="s">
        <v>986</v>
      </c>
    </row>
    <row r="169" spans="4:14" ht="20.100000000000001" customHeight="1" x14ac:dyDescent="0.2">
      <c r="D169" s="20" t="s">
        <v>1918</v>
      </c>
      <c r="E169" s="20" t="s">
        <v>1929</v>
      </c>
      <c r="F169" s="20" t="s">
        <v>1005</v>
      </c>
      <c r="G169" s="20" t="s">
        <v>370</v>
      </c>
      <c r="H169" s="20">
        <v>0.67700000000000005</v>
      </c>
      <c r="I169" s="20" t="s">
        <v>1885</v>
      </c>
      <c r="J169" s="20" t="s">
        <v>986</v>
      </c>
    </row>
    <row r="170" spans="4:14" ht="20.100000000000001" customHeight="1" x14ac:dyDescent="0.2">
      <c r="D170" s="20" t="s">
        <v>1918</v>
      </c>
      <c r="E170" s="20" t="s">
        <v>1930</v>
      </c>
      <c r="F170" s="20" t="s">
        <v>1005</v>
      </c>
      <c r="G170" s="20" t="s">
        <v>370</v>
      </c>
      <c r="H170" s="20">
        <v>0.23100000000000001</v>
      </c>
      <c r="I170" s="20" t="s">
        <v>1885</v>
      </c>
      <c r="J170" s="20" t="s">
        <v>986</v>
      </c>
    </row>
    <row r="172" spans="4:14" ht="20.100000000000001" customHeight="1" x14ac:dyDescent="0.2">
      <c r="D172" s="2" t="s">
        <v>1008</v>
      </c>
    </row>
    <row r="173" spans="4:14" ht="20.100000000000001" customHeight="1" x14ac:dyDescent="0.2">
      <c r="D173" s="20" t="s">
        <v>979</v>
      </c>
      <c r="E173" s="20" t="s">
        <v>132</v>
      </c>
      <c r="F173" s="20" t="s">
        <v>980</v>
      </c>
      <c r="G173" s="20" t="s">
        <v>433</v>
      </c>
      <c r="H173" s="20" t="s">
        <v>323</v>
      </c>
      <c r="I173" s="20" t="s">
        <v>324</v>
      </c>
      <c r="J173" s="20" t="s">
        <v>1009</v>
      </c>
      <c r="K173" s="20" t="s">
        <v>981</v>
      </c>
      <c r="L173" s="20" t="s">
        <v>982</v>
      </c>
      <c r="M173" s="20" t="s">
        <v>983</v>
      </c>
      <c r="N173" s="20" t="s">
        <v>463</v>
      </c>
    </row>
    <row r="174" spans="4:14" ht="20.100000000000001" customHeight="1" x14ac:dyDescent="0.2">
      <c r="D174" s="20" t="s">
        <v>1008</v>
      </c>
      <c r="E174" s="20" t="s">
        <v>1931</v>
      </c>
      <c r="F174" s="20" t="s">
        <v>1613</v>
      </c>
      <c r="G174" s="20" t="str">
        <f>'Constants - Fertiliser'!$D$37</f>
        <v>Ammonia</v>
      </c>
      <c r="H174" s="20"/>
      <c r="I174" s="20" t="str">
        <f>'Constants - Fertiliser'!$V$20</f>
        <v>Global</v>
      </c>
      <c r="J174" s="20"/>
      <c r="K174" s="20" t="s">
        <v>370</v>
      </c>
      <c r="L174" s="20">
        <v>2.3199999999999998</v>
      </c>
      <c r="M174" s="20" t="s">
        <v>1885</v>
      </c>
      <c r="N174" s="20" t="s">
        <v>986</v>
      </c>
    </row>
    <row r="175" spans="4:14" ht="20.100000000000001" customHeight="1" x14ac:dyDescent="0.2">
      <c r="D175" s="20" t="s">
        <v>1008</v>
      </c>
      <c r="E175" s="20" t="s">
        <v>1932</v>
      </c>
      <c r="F175" s="20" t="s">
        <v>1614</v>
      </c>
      <c r="G175" s="20" t="str">
        <f>'Constants - Fertiliser'!$D$37</f>
        <v>Ammonia</v>
      </c>
      <c r="H175" s="20"/>
      <c r="I175" s="20" t="str">
        <f>'Constants - Fertiliser'!$V$21</f>
        <v>Canada</v>
      </c>
      <c r="J175" s="20"/>
      <c r="K175" s="20" t="s">
        <v>370</v>
      </c>
      <c r="L175" s="20">
        <v>2.12</v>
      </c>
      <c r="M175" s="20" t="s">
        <v>1885</v>
      </c>
      <c r="N175" s="20" t="s">
        <v>986</v>
      </c>
    </row>
    <row r="176" spans="4:14" ht="20.100000000000001" customHeight="1" x14ac:dyDescent="0.2">
      <c r="D176" s="20" t="s">
        <v>1008</v>
      </c>
      <c r="E176" s="20" t="s">
        <v>1933</v>
      </c>
      <c r="F176" s="20" t="s">
        <v>1615</v>
      </c>
      <c r="G176" s="20" t="str">
        <f>'Constants - Fertiliser'!$D$37</f>
        <v>Ammonia</v>
      </c>
      <c r="H176" s="20"/>
      <c r="I176" s="20" t="str">
        <f>'Constants - Fertiliser'!$V$22</f>
        <v>China</v>
      </c>
      <c r="J176" s="20"/>
      <c r="K176" s="20" t="s">
        <v>370</v>
      </c>
      <c r="L176" s="20">
        <v>4.17</v>
      </c>
      <c r="M176" s="20" t="s">
        <v>1885</v>
      </c>
      <c r="N176" s="20" t="s">
        <v>986</v>
      </c>
    </row>
    <row r="177" spans="1:14" ht="20.100000000000001" customHeight="1" x14ac:dyDescent="0.2">
      <c r="D177" s="20" t="s">
        <v>1008</v>
      </c>
      <c r="E177" s="20" t="s">
        <v>1934</v>
      </c>
      <c r="F177" s="20" t="s">
        <v>1616</v>
      </c>
      <c r="G177" s="20" t="str">
        <f>'Constants - Fertiliser'!$D$37</f>
        <v>Ammonia</v>
      </c>
      <c r="H177" s="20"/>
      <c r="I177" s="20" t="str">
        <f>'Constants - Fertiliser'!$V$23</f>
        <v>Yemen</v>
      </c>
      <c r="J177" s="20"/>
      <c r="K177" s="20" t="s">
        <v>370</v>
      </c>
      <c r="L177" s="20">
        <v>2.2599999999999998</v>
      </c>
      <c r="M177" s="20" t="s">
        <v>1885</v>
      </c>
      <c r="N177" s="20" t="s">
        <v>986</v>
      </c>
    </row>
    <row r="178" spans="1:14" ht="20.100000000000001" customHeight="1" x14ac:dyDescent="0.2">
      <c r="D178" s="20" t="s">
        <v>1008</v>
      </c>
      <c r="E178" s="20" t="s">
        <v>1935</v>
      </c>
      <c r="F178" s="20" t="s">
        <v>1613</v>
      </c>
      <c r="G178" s="20" t="str">
        <f>'Constants - Fertiliser'!$D$25</f>
        <v>Ammonium nitrate (AN)</v>
      </c>
      <c r="H178" s="20"/>
      <c r="I178" s="20"/>
      <c r="J178" s="20"/>
      <c r="K178" s="20" t="s">
        <v>370</v>
      </c>
      <c r="L178" s="20">
        <v>2.21</v>
      </c>
      <c r="M178" s="20" t="s">
        <v>1885</v>
      </c>
      <c r="N178" s="20" t="s">
        <v>986</v>
      </c>
    </row>
    <row r="179" spans="1:14" ht="20.100000000000001" customHeight="1" x14ac:dyDescent="0.2">
      <c r="A179" s="81" t="str">
        <f>HYPERLINK("#A1", "▲ Back to top")</f>
        <v>▲ Back to top</v>
      </c>
      <c r="D179" s="20" t="s">
        <v>1008</v>
      </c>
      <c r="E179" s="20" t="s">
        <v>1936</v>
      </c>
      <c r="F179" s="20" t="s">
        <v>1613</v>
      </c>
      <c r="G179" s="20" t="str">
        <f>'Constants - Fertiliser'!$D$26</f>
        <v>Calcium ammonium nitrate (CAN)</v>
      </c>
      <c r="H179" s="20"/>
      <c r="I179" s="20"/>
      <c r="J179" s="20"/>
      <c r="K179" s="20" t="s">
        <v>370</v>
      </c>
      <c r="L179" s="20">
        <v>1.1499999999999999</v>
      </c>
      <c r="M179" s="20" t="s">
        <v>1885</v>
      </c>
      <c r="N179" s="20" t="s">
        <v>986</v>
      </c>
    </row>
    <row r="180" spans="1:14" ht="20.100000000000001" customHeight="1" x14ac:dyDescent="0.2">
      <c r="D180" s="20" t="s">
        <v>1008</v>
      </c>
      <c r="E180" s="20" t="s">
        <v>335</v>
      </c>
      <c r="F180" s="20" t="s">
        <v>1613</v>
      </c>
      <c r="G180" s="20" t="str">
        <f>'Constants - Fertiliser'!$D$38</f>
        <v>Calcium nitrate</v>
      </c>
      <c r="H180" s="20"/>
      <c r="I180" s="20"/>
      <c r="J180" s="20"/>
      <c r="K180" s="20" t="s">
        <v>370</v>
      </c>
      <c r="L180" s="20">
        <v>0.75</v>
      </c>
      <c r="M180" s="20" t="s">
        <v>1885</v>
      </c>
      <c r="N180" s="20" t="s">
        <v>986</v>
      </c>
    </row>
    <row r="181" spans="1:14" ht="20.100000000000001" customHeight="1" x14ac:dyDescent="0.2">
      <c r="D181" s="20" t="s">
        <v>1008</v>
      </c>
      <c r="E181" s="20" t="s">
        <v>1937</v>
      </c>
      <c r="F181" s="20" t="s">
        <v>1613</v>
      </c>
      <c r="G181" s="20" t="str">
        <f>'Constants - Fertiliser'!$D$21</f>
        <v>Diammonium phosphate (DAP)</v>
      </c>
      <c r="H181" s="20"/>
      <c r="I181" s="20"/>
      <c r="J181" s="20"/>
      <c r="K181" s="20" t="s">
        <v>370</v>
      </c>
      <c r="L181" s="20">
        <v>1.34</v>
      </c>
      <c r="M181" s="20" t="s">
        <v>1885</v>
      </c>
      <c r="N181" s="20" t="s">
        <v>986</v>
      </c>
    </row>
    <row r="182" spans="1:14" ht="20.100000000000001" customHeight="1" x14ac:dyDescent="0.2">
      <c r="D182" s="20" t="s">
        <v>1008</v>
      </c>
      <c r="E182" s="20" t="s">
        <v>1938</v>
      </c>
      <c r="F182" s="20" t="s">
        <v>1613</v>
      </c>
      <c r="G182" s="20" t="str">
        <f>'Constants - Fertiliser'!$D$35</f>
        <v>Double superphosphate</v>
      </c>
      <c r="H182" s="20"/>
      <c r="I182" s="20"/>
      <c r="J182" s="20"/>
      <c r="K182" s="20" t="s">
        <v>370</v>
      </c>
      <c r="L182" s="20">
        <v>0.39200000000000002</v>
      </c>
      <c r="M182" s="20" t="s">
        <v>1885</v>
      </c>
      <c r="N182" s="20" t="s">
        <v>986</v>
      </c>
    </row>
    <row r="183" spans="1:14" ht="20.100000000000001" customHeight="1" x14ac:dyDescent="0.2">
      <c r="D183" s="20" t="s">
        <v>1008</v>
      </c>
      <c r="E183" s="20" t="s">
        <v>1939</v>
      </c>
      <c r="F183" s="20" t="s">
        <v>1613</v>
      </c>
      <c r="G183" s="20" t="str">
        <f>'Constants - Fertiliser'!$D$20</f>
        <v>Monoammonium phosphate (MAP)</v>
      </c>
      <c r="H183" s="20"/>
      <c r="I183" s="20"/>
      <c r="J183" s="20"/>
      <c r="K183" s="20" t="s">
        <v>370</v>
      </c>
      <c r="L183" s="20">
        <v>0.82699999999999996</v>
      </c>
      <c r="M183" s="20" t="s">
        <v>1885</v>
      </c>
      <c r="N183" s="20" t="s">
        <v>986</v>
      </c>
    </row>
    <row r="184" spans="1:14" ht="20.100000000000001" customHeight="1" x14ac:dyDescent="0.2">
      <c r="D184" s="20" t="s">
        <v>1008</v>
      </c>
      <c r="E184" s="20" t="s">
        <v>1940</v>
      </c>
      <c r="F184" s="20" t="s">
        <v>1613</v>
      </c>
      <c r="G184" s="20" t="str">
        <f>'Constants - Fertiliser'!$D$34</f>
        <v>Muriate of potash (MOP)</v>
      </c>
      <c r="H184" s="20"/>
      <c r="I184" s="20"/>
      <c r="J184" s="20"/>
      <c r="K184" s="20" t="s">
        <v>370</v>
      </c>
      <c r="L184" s="20">
        <v>0.54900000000000004</v>
      </c>
      <c r="M184" s="20" t="s">
        <v>1885</v>
      </c>
      <c r="N184" s="20" t="s">
        <v>986</v>
      </c>
    </row>
    <row r="185" spans="1:14" ht="20.100000000000001" customHeight="1" x14ac:dyDescent="0.2">
      <c r="D185" s="20" t="s">
        <v>1008</v>
      </c>
      <c r="E185" s="20" t="s">
        <v>1941</v>
      </c>
      <c r="F185" s="20" t="s">
        <v>1613</v>
      </c>
      <c r="G185" s="20" t="str">
        <f>'Constants - Fertiliser'!$D$27</f>
        <v>Nitrogen - Ammoniacal</v>
      </c>
      <c r="H185" s="20"/>
      <c r="I185" s="20"/>
      <c r="J185" s="20"/>
      <c r="K185" s="20" t="s">
        <v>1029</v>
      </c>
      <c r="L185" s="20">
        <v>2.83</v>
      </c>
      <c r="M185" s="20" t="s">
        <v>1885</v>
      </c>
      <c r="N185" s="20" t="s">
        <v>986</v>
      </c>
    </row>
    <row r="186" spans="1:14" ht="20.100000000000001" customHeight="1" x14ac:dyDescent="0.2">
      <c r="D186" s="20" t="s">
        <v>1008</v>
      </c>
      <c r="E186" s="20" t="s">
        <v>1942</v>
      </c>
      <c r="F186" s="20" t="s">
        <v>1613</v>
      </c>
      <c r="G186" s="20" t="str">
        <f>'Constants - Fertiliser'!$D$29</f>
        <v>Nitrogen - Generic</v>
      </c>
      <c r="H186" s="20"/>
      <c r="I186" s="20"/>
      <c r="J186" s="20"/>
      <c r="K186" s="20" t="s">
        <v>1029</v>
      </c>
      <c r="L186" s="20">
        <v>4.2</v>
      </c>
      <c r="M186" s="20" t="s">
        <v>1885</v>
      </c>
      <c r="N186" s="20" t="s">
        <v>986</v>
      </c>
    </row>
    <row r="187" spans="1:14" ht="20.100000000000001" customHeight="1" x14ac:dyDescent="0.2">
      <c r="D187" s="20" t="s">
        <v>1008</v>
      </c>
      <c r="E187" s="20" t="s">
        <v>1943</v>
      </c>
      <c r="F187" s="20" t="s">
        <v>1613</v>
      </c>
      <c r="G187" s="20" t="str">
        <f>'Constants - Fertiliser'!$D$28</f>
        <v>Nitrogen - Nitrate</v>
      </c>
      <c r="H187" s="20"/>
      <c r="I187" s="20"/>
      <c r="J187" s="20"/>
      <c r="K187" s="20" t="s">
        <v>1029</v>
      </c>
      <c r="L187" s="20">
        <v>5.47</v>
      </c>
      <c r="M187" s="20" t="s">
        <v>1885</v>
      </c>
      <c r="N187" s="20" t="s">
        <v>986</v>
      </c>
    </row>
    <row r="188" spans="1:14" ht="20.100000000000001" customHeight="1" x14ac:dyDescent="0.2">
      <c r="D188" s="20" t="s">
        <v>1008</v>
      </c>
      <c r="E188" s="20" t="s">
        <v>1944</v>
      </c>
      <c r="F188" s="20" t="s">
        <v>1613</v>
      </c>
      <c r="G188" s="20" t="str">
        <f>'Constants - Fertiliser'!$D$30</f>
        <v>Phosphorus - Generic</v>
      </c>
      <c r="H188" s="20"/>
      <c r="I188" s="20"/>
      <c r="J188" s="20"/>
      <c r="K188" s="20" t="s">
        <v>1950</v>
      </c>
      <c r="L188" s="20">
        <v>3.96</v>
      </c>
      <c r="M188" s="20" t="s">
        <v>1885</v>
      </c>
      <c r="N188" s="20" t="s">
        <v>986</v>
      </c>
    </row>
    <row r="189" spans="1:14" ht="20.100000000000001" customHeight="1" x14ac:dyDescent="0.2">
      <c r="D189" s="20" t="s">
        <v>1008</v>
      </c>
      <c r="E189" s="20" t="s">
        <v>1945</v>
      </c>
      <c r="F189" s="20" t="s">
        <v>1613</v>
      </c>
      <c r="G189" s="20" t="str">
        <f>'Constants - Fertiliser'!$D$31</f>
        <v>Potassium - Generic</v>
      </c>
      <c r="H189" s="20"/>
      <c r="I189" s="20"/>
      <c r="J189" s="20"/>
      <c r="K189" s="20" t="s">
        <v>1951</v>
      </c>
      <c r="L189" s="20">
        <v>0.90900000000000003</v>
      </c>
      <c r="M189" s="20" t="s">
        <v>1885</v>
      </c>
      <c r="N189" s="20" t="s">
        <v>986</v>
      </c>
    </row>
    <row r="190" spans="1:14" ht="20.100000000000001" customHeight="1" x14ac:dyDescent="0.2">
      <c r="D190" s="20" t="s">
        <v>1008</v>
      </c>
      <c r="E190" s="20" t="s">
        <v>1946</v>
      </c>
      <c r="F190" s="20" t="s">
        <v>1613</v>
      </c>
      <c r="G190" s="20" t="str">
        <f>'Constants - Fertiliser'!$D$36</f>
        <v>Single superphosphate (SSP)</v>
      </c>
      <c r="H190" s="20"/>
      <c r="I190" s="20"/>
      <c r="J190" s="20"/>
      <c r="K190" s="20" t="s">
        <v>370</v>
      </c>
      <c r="L190" s="20">
        <v>0.22700000000000001</v>
      </c>
      <c r="M190" s="20" t="s">
        <v>1885</v>
      </c>
      <c r="N190" s="20" t="s">
        <v>986</v>
      </c>
    </row>
    <row r="191" spans="1:14" ht="20.100000000000001" customHeight="1" x14ac:dyDescent="0.2">
      <c r="D191" s="20" t="s">
        <v>1008</v>
      </c>
      <c r="E191" s="20" t="s">
        <v>1947</v>
      </c>
      <c r="F191" s="20" t="s">
        <v>1613</v>
      </c>
      <c r="G191" s="20" t="str">
        <f>'Constants - Fertiliser'!$D$32</f>
        <v>Sulfur - Generic</v>
      </c>
      <c r="H191" s="20"/>
      <c r="I191" s="20"/>
      <c r="J191" s="20"/>
      <c r="K191" s="20" t="s">
        <v>1952</v>
      </c>
      <c r="L191" s="20">
        <v>2.5</v>
      </c>
      <c r="M191" s="20" t="s">
        <v>1885</v>
      </c>
      <c r="N191" s="20" t="s">
        <v>986</v>
      </c>
    </row>
    <row r="192" spans="1:14" ht="20.100000000000001" customHeight="1" x14ac:dyDescent="0.2">
      <c r="D192" s="20" t="s">
        <v>1008</v>
      </c>
      <c r="E192" s="20" t="s">
        <v>1948</v>
      </c>
      <c r="F192" s="20" t="s">
        <v>1613</v>
      </c>
      <c r="G192" s="20" t="str">
        <f>'Constants - Fertiliser'!$D$23</f>
        <v>Sulphate of ammonia (SOA)</v>
      </c>
      <c r="H192" s="20"/>
      <c r="I192" s="20"/>
      <c r="J192" s="20"/>
      <c r="K192" s="20" t="s">
        <v>370</v>
      </c>
      <c r="L192" s="20">
        <v>0.86499999999999999</v>
      </c>
      <c r="M192" s="20" t="s">
        <v>1885</v>
      </c>
      <c r="N192" s="20" t="s">
        <v>986</v>
      </c>
    </row>
    <row r="193" spans="4:14" ht="20.100000000000001" customHeight="1" x14ac:dyDescent="0.2">
      <c r="D193" s="20" t="s">
        <v>1008</v>
      </c>
      <c r="E193" s="20" t="s">
        <v>1949</v>
      </c>
      <c r="F193" s="20" t="s">
        <v>1613</v>
      </c>
      <c r="G193" s="20" t="str">
        <f>'Constants - Fertiliser'!$D$24</f>
        <v>Urea-ammonium nitrate (UAN)</v>
      </c>
      <c r="H193" s="20"/>
      <c r="I193" s="20"/>
      <c r="J193" s="20"/>
      <c r="K193" s="20" t="s">
        <v>370</v>
      </c>
      <c r="L193" s="20">
        <v>1.75</v>
      </c>
      <c r="M193" s="20" t="s">
        <v>1885</v>
      </c>
      <c r="N193" s="20" t="s">
        <v>986</v>
      </c>
    </row>
    <row r="194" spans="4:14" ht="20.100000000000001" customHeight="1" x14ac:dyDescent="0.2">
      <c r="D194" s="20" t="s">
        <v>1008</v>
      </c>
      <c r="E194" s="20" t="s">
        <v>1954</v>
      </c>
      <c r="F194" s="20" t="s">
        <v>1613</v>
      </c>
      <c r="G194" s="20" t="str">
        <f>'Constants - Fertiliser'!$D$22</f>
        <v>Urea</v>
      </c>
      <c r="H194" s="20" t="str">
        <f>'Constants - Fertiliser'!$V$20</f>
        <v>Global</v>
      </c>
      <c r="I194" s="20"/>
      <c r="J194" s="20"/>
      <c r="K194" s="20" t="s">
        <v>370</v>
      </c>
      <c r="L194" s="20">
        <v>0.96799999999999997</v>
      </c>
      <c r="M194" s="20" t="s">
        <v>1885</v>
      </c>
      <c r="N194" s="20" t="s">
        <v>986</v>
      </c>
    </row>
    <row r="195" spans="4:14" ht="20.100000000000001" customHeight="1" x14ac:dyDescent="0.2">
      <c r="D195" s="20" t="s">
        <v>1008</v>
      </c>
      <c r="E195" s="20" t="s">
        <v>1955</v>
      </c>
      <c r="F195" s="20" t="s">
        <v>1614</v>
      </c>
      <c r="G195" s="20" t="str">
        <f>'Constants - Fertiliser'!$D$22</f>
        <v>Urea</v>
      </c>
      <c r="H195" s="20" t="str">
        <f>'Constants - Fertiliser'!$V$21</f>
        <v>Canada</v>
      </c>
      <c r="I195" s="20"/>
      <c r="J195" s="20"/>
      <c r="K195" s="20" t="s">
        <v>370</v>
      </c>
      <c r="L195" s="20">
        <v>0.82299999999999995</v>
      </c>
      <c r="M195" s="20" t="s">
        <v>1885</v>
      </c>
      <c r="N195" s="20" t="s">
        <v>986</v>
      </c>
    </row>
    <row r="196" spans="4:14" ht="20.100000000000001" customHeight="1" x14ac:dyDescent="0.2">
      <c r="D196" s="20" t="s">
        <v>1008</v>
      </c>
      <c r="E196" s="20" t="s">
        <v>1956</v>
      </c>
      <c r="F196" s="20" t="s">
        <v>1615</v>
      </c>
      <c r="G196" s="20" t="str">
        <f>'Constants - Fertiliser'!$D$22</f>
        <v>Urea</v>
      </c>
      <c r="H196" s="20" t="str">
        <f>'Constants - Fertiliser'!$V$22</f>
        <v>China</v>
      </c>
      <c r="I196" s="20"/>
      <c r="J196" s="20"/>
      <c r="K196" s="20" t="s">
        <v>370</v>
      </c>
      <c r="L196" s="20">
        <v>2.09</v>
      </c>
      <c r="M196" s="20" t="s">
        <v>1885</v>
      </c>
      <c r="N196" s="20" t="s">
        <v>986</v>
      </c>
    </row>
    <row r="197" spans="4:14" ht="20.100000000000001" customHeight="1" x14ac:dyDescent="0.2">
      <c r="D197" s="20" t="s">
        <v>1008</v>
      </c>
      <c r="E197" s="20" t="s">
        <v>1957</v>
      </c>
      <c r="F197" s="20" t="s">
        <v>1616</v>
      </c>
      <c r="G197" s="20" t="str">
        <f>'Constants - Fertiliser'!$D$22</f>
        <v>Urea</v>
      </c>
      <c r="H197" s="20" t="str">
        <f>'Constants - Fertiliser'!$V$23</f>
        <v>Yemen</v>
      </c>
      <c r="I197" s="20"/>
      <c r="J197" s="20"/>
      <c r="K197" s="20" t="s">
        <v>370</v>
      </c>
      <c r="L197" s="20">
        <v>0.96299999999999997</v>
      </c>
      <c r="M197" s="20" t="s">
        <v>1885</v>
      </c>
      <c r="N197" s="20" t="s">
        <v>986</v>
      </c>
    </row>
    <row r="198" spans="4:14" ht="20.100000000000001" customHeight="1" x14ac:dyDescent="0.2">
      <c r="D198" s="20" t="s">
        <v>1008</v>
      </c>
      <c r="E198" s="20" t="s">
        <v>1958</v>
      </c>
      <c r="F198" s="20" t="s">
        <v>1613</v>
      </c>
      <c r="G198" s="20" t="str">
        <f>'Constants - Fertiliser'!$D$33</f>
        <v>Zinc - Generic</v>
      </c>
      <c r="H198" s="20"/>
      <c r="I198" s="20"/>
      <c r="J198" s="20"/>
      <c r="K198" s="20" t="s">
        <v>1953</v>
      </c>
      <c r="L198" s="20">
        <v>4.82</v>
      </c>
      <c r="M198" s="20" t="s">
        <v>1885</v>
      </c>
      <c r="N198" s="20" t="s">
        <v>986</v>
      </c>
    </row>
    <row r="200" spans="4:14" ht="20.100000000000001" customHeight="1" x14ac:dyDescent="0.2">
      <c r="D200" s="2" t="s">
        <v>1010</v>
      </c>
    </row>
    <row r="201" spans="4:14" ht="20.100000000000001" customHeight="1" x14ac:dyDescent="0.2">
      <c r="D201" s="20" t="s">
        <v>979</v>
      </c>
      <c r="E201" s="20" t="s">
        <v>132</v>
      </c>
      <c r="F201" s="20" t="s">
        <v>980</v>
      </c>
      <c r="G201" s="20" t="s">
        <v>981</v>
      </c>
      <c r="H201" s="20" t="s">
        <v>982</v>
      </c>
      <c r="I201" s="20" t="s">
        <v>983</v>
      </c>
      <c r="J201" s="20" t="s">
        <v>463</v>
      </c>
    </row>
    <row r="202" spans="4:14" ht="20.100000000000001" customHeight="1" x14ac:dyDescent="0.2">
      <c r="D202" s="20" t="s">
        <v>1918</v>
      </c>
      <c r="E202" s="20" t="s">
        <v>1959</v>
      </c>
      <c r="F202" s="20" t="s">
        <v>1005</v>
      </c>
      <c r="G202" s="20" t="s">
        <v>1213</v>
      </c>
      <c r="H202" s="20">
        <v>4.24E-2</v>
      </c>
      <c r="I202" s="20" t="s">
        <v>1885</v>
      </c>
      <c r="J202" s="20" t="s">
        <v>986</v>
      </c>
    </row>
    <row r="203" spans="4:14" ht="20.100000000000001" customHeight="1" x14ac:dyDescent="0.2">
      <c r="D203" s="20" t="s">
        <v>1918</v>
      </c>
      <c r="E203" s="20" t="s">
        <v>1960</v>
      </c>
      <c r="F203" s="20" t="s">
        <v>1005</v>
      </c>
      <c r="G203" s="20" t="s">
        <v>1213</v>
      </c>
      <c r="H203" s="20">
        <v>2.93E-2</v>
      </c>
      <c r="I203" s="20" t="s">
        <v>1885</v>
      </c>
      <c r="J203" s="20" t="s">
        <v>986</v>
      </c>
    </row>
    <row r="204" spans="4:14" ht="20.100000000000001" customHeight="1" x14ac:dyDescent="0.2">
      <c r="D204" s="20" t="s">
        <v>1918</v>
      </c>
      <c r="E204" s="20" t="s">
        <v>1961</v>
      </c>
      <c r="F204" s="20" t="s">
        <v>1005</v>
      </c>
      <c r="G204" s="20" t="s">
        <v>370</v>
      </c>
      <c r="H204" s="20">
        <v>0.23899999999999999</v>
      </c>
      <c r="I204" s="20" t="s">
        <v>1885</v>
      </c>
      <c r="J204" s="20" t="s">
        <v>986</v>
      </c>
    </row>
    <row r="205" spans="4:14" ht="20.100000000000001" customHeight="1" x14ac:dyDescent="0.2">
      <c r="D205" s="20" t="s">
        <v>1918</v>
      </c>
      <c r="E205" s="20" t="s">
        <v>1962</v>
      </c>
      <c r="F205" s="20" t="s">
        <v>1005</v>
      </c>
      <c r="G205" s="20" t="s">
        <v>370</v>
      </c>
      <c r="H205" s="20">
        <v>0.18099999999999999</v>
      </c>
      <c r="I205" s="20" t="s">
        <v>1885</v>
      </c>
      <c r="J205" s="20" t="s">
        <v>986</v>
      </c>
    </row>
    <row r="206" spans="4:14" ht="20.100000000000001" customHeight="1" x14ac:dyDescent="0.2">
      <c r="D206" s="20" t="s">
        <v>1918</v>
      </c>
      <c r="E206" s="20" t="s">
        <v>1963</v>
      </c>
      <c r="F206" s="20" t="s">
        <v>1613</v>
      </c>
      <c r="G206" s="20" t="s">
        <v>370</v>
      </c>
      <c r="H206" s="20">
        <v>9.81</v>
      </c>
      <c r="I206" s="20" t="s">
        <v>1885</v>
      </c>
      <c r="J206" s="20" t="s">
        <v>986</v>
      </c>
    </row>
    <row r="207" spans="4:14" ht="20.100000000000001" customHeight="1" x14ac:dyDescent="0.2">
      <c r="D207" s="20" t="s">
        <v>1918</v>
      </c>
      <c r="E207" s="20" t="s">
        <v>1964</v>
      </c>
      <c r="F207" s="20" t="s">
        <v>1005</v>
      </c>
      <c r="G207" s="20" t="s">
        <v>370</v>
      </c>
      <c r="H207" s="20">
        <v>0.27</v>
      </c>
      <c r="I207" s="20" t="s">
        <v>1885</v>
      </c>
      <c r="J207" s="20" t="s">
        <v>986</v>
      </c>
    </row>
    <row r="208" spans="4:14" ht="20.100000000000001" customHeight="1" x14ac:dyDescent="0.2">
      <c r="D208" s="20" t="s">
        <v>1918</v>
      </c>
      <c r="E208" s="20" t="s">
        <v>1965</v>
      </c>
      <c r="F208" s="20" t="s">
        <v>1005</v>
      </c>
      <c r="G208" s="20" t="s">
        <v>370</v>
      </c>
      <c r="H208" s="20">
        <v>0.23200000000000001</v>
      </c>
      <c r="I208" s="20" t="s">
        <v>1885</v>
      </c>
      <c r="J208" s="20" t="s">
        <v>986</v>
      </c>
    </row>
    <row r="209" spans="1:10" ht="20.100000000000001" customHeight="1" x14ac:dyDescent="0.2">
      <c r="A209" s="81" t="str">
        <f>HYPERLINK("#A1", "▲ Back to top")</f>
        <v>▲ Back to top</v>
      </c>
      <c r="D209" s="20" t="s">
        <v>1918</v>
      </c>
      <c r="E209" s="20" t="s">
        <v>1966</v>
      </c>
      <c r="F209" s="20" t="s">
        <v>1005</v>
      </c>
      <c r="G209" s="20" t="s">
        <v>370</v>
      </c>
      <c r="H209" s="20">
        <v>0.26800000000000002</v>
      </c>
      <c r="I209" s="20" t="s">
        <v>1885</v>
      </c>
      <c r="J209" s="20" t="s">
        <v>986</v>
      </c>
    </row>
    <row r="211" spans="1:10" ht="20.100000000000001" customHeight="1" x14ac:dyDescent="0.2">
      <c r="D211" s="2" t="s">
        <v>1011</v>
      </c>
    </row>
    <row r="212" spans="1:10" ht="20.100000000000001" customHeight="1" x14ac:dyDescent="0.2">
      <c r="D212" s="20" t="s">
        <v>979</v>
      </c>
      <c r="E212" s="20" t="s">
        <v>132</v>
      </c>
      <c r="F212" s="20" t="s">
        <v>980</v>
      </c>
      <c r="G212" s="20" t="s">
        <v>981</v>
      </c>
      <c r="H212" s="20" t="s">
        <v>982</v>
      </c>
      <c r="I212" s="20" t="s">
        <v>983</v>
      </c>
      <c r="J212" s="20" t="s">
        <v>463</v>
      </c>
    </row>
    <row r="213" spans="1:10" ht="20.100000000000001" customHeight="1" x14ac:dyDescent="0.2">
      <c r="D213" s="20" t="s">
        <v>1011</v>
      </c>
      <c r="E213" s="20" t="s">
        <v>1967</v>
      </c>
      <c r="F213" s="20" t="s">
        <v>1613</v>
      </c>
      <c r="G213" s="20" t="s">
        <v>370</v>
      </c>
      <c r="H213" s="20">
        <v>1.05</v>
      </c>
      <c r="I213" s="20" t="s">
        <v>1893</v>
      </c>
      <c r="J213" s="20" t="s">
        <v>986</v>
      </c>
    </row>
    <row r="214" spans="1:10" ht="20.100000000000001" customHeight="1" x14ac:dyDescent="0.2">
      <c r="D214" s="20" t="s">
        <v>1011</v>
      </c>
      <c r="E214" s="20" t="s">
        <v>1968</v>
      </c>
      <c r="F214" s="20" t="s">
        <v>1613</v>
      </c>
      <c r="G214" s="20" t="s">
        <v>1213</v>
      </c>
      <c r="H214" s="20">
        <v>3.99</v>
      </c>
      <c r="I214" s="20" t="s">
        <v>1893</v>
      </c>
      <c r="J214" s="20" t="s">
        <v>986</v>
      </c>
    </row>
    <row r="215" spans="1:10" ht="20.100000000000001" customHeight="1" x14ac:dyDescent="0.2">
      <c r="D215" s="20" t="s">
        <v>1011</v>
      </c>
      <c r="E215" s="20" t="s">
        <v>1969</v>
      </c>
      <c r="F215" s="20" t="s">
        <v>1613</v>
      </c>
      <c r="G215" s="20" t="s">
        <v>370</v>
      </c>
      <c r="H215" s="20">
        <v>3.44</v>
      </c>
      <c r="I215" s="20" t="s">
        <v>1893</v>
      </c>
      <c r="J215" s="20" t="s">
        <v>986</v>
      </c>
    </row>
    <row r="216" spans="1:10" ht="20.100000000000001" customHeight="1" x14ac:dyDescent="0.2">
      <c r="D216" s="20" t="s">
        <v>1011</v>
      </c>
      <c r="E216" s="20" t="s">
        <v>1970</v>
      </c>
      <c r="F216" s="20" t="s">
        <v>1613</v>
      </c>
      <c r="G216" s="20" t="s">
        <v>370</v>
      </c>
      <c r="H216" s="20">
        <v>3.72</v>
      </c>
      <c r="I216" s="20" t="s">
        <v>1893</v>
      </c>
      <c r="J216" s="20" t="s">
        <v>986</v>
      </c>
    </row>
    <row r="218" spans="1:10" ht="20.100000000000001" customHeight="1" x14ac:dyDescent="0.2">
      <c r="D218" s="2" t="s">
        <v>809</v>
      </c>
    </row>
    <row r="219" spans="1:10" ht="20.100000000000001" customHeight="1" x14ac:dyDescent="0.2">
      <c r="D219" s="20" t="s">
        <v>979</v>
      </c>
      <c r="E219" s="20" t="s">
        <v>132</v>
      </c>
      <c r="F219" s="20" t="s">
        <v>980</v>
      </c>
      <c r="G219" s="20" t="s">
        <v>981</v>
      </c>
      <c r="H219" s="20" t="s">
        <v>982</v>
      </c>
      <c r="I219" s="20" t="s">
        <v>983</v>
      </c>
      <c r="J219" s="20" t="s">
        <v>463</v>
      </c>
    </row>
    <row r="220" spans="1:10" ht="20.100000000000001" customHeight="1" x14ac:dyDescent="0.2">
      <c r="D220" s="20" t="s">
        <v>809</v>
      </c>
      <c r="E220" s="20" t="s">
        <v>831</v>
      </c>
      <c r="F220" s="20" t="s">
        <v>1613</v>
      </c>
      <c r="G220" s="20" t="s">
        <v>1971</v>
      </c>
      <c r="H220" s="20">
        <v>5.2</v>
      </c>
      <c r="I220" s="20" t="s">
        <v>1885</v>
      </c>
      <c r="J220" s="20" t="s">
        <v>986</v>
      </c>
    </row>
    <row r="221" spans="1:10" ht="20.100000000000001" customHeight="1" x14ac:dyDescent="0.2">
      <c r="D221" s="20" t="s">
        <v>809</v>
      </c>
      <c r="E221" s="20" t="s">
        <v>1972</v>
      </c>
      <c r="F221" s="20" t="s">
        <v>1613</v>
      </c>
      <c r="G221" s="20" t="s">
        <v>1971</v>
      </c>
      <c r="H221" s="20">
        <v>8.3800000000000008</v>
      </c>
      <c r="I221" s="20" t="s">
        <v>1885</v>
      </c>
      <c r="J221" s="20" t="s">
        <v>986</v>
      </c>
    </row>
    <row r="222" spans="1:10" ht="20.100000000000001" customHeight="1" x14ac:dyDescent="0.2">
      <c r="D222" s="20" t="s">
        <v>809</v>
      </c>
      <c r="E222" s="20" t="s">
        <v>1973</v>
      </c>
      <c r="F222" s="20" t="s">
        <v>1613</v>
      </c>
      <c r="G222" s="20" t="s">
        <v>1971</v>
      </c>
      <c r="H222" s="20">
        <v>8.8000000000000007</v>
      </c>
      <c r="I222" s="20" t="s">
        <v>1885</v>
      </c>
      <c r="J222" s="20" t="s">
        <v>986</v>
      </c>
    </row>
    <row r="223" spans="1:10" ht="20.100000000000001" customHeight="1" x14ac:dyDescent="0.2">
      <c r="D223" s="20" t="s">
        <v>809</v>
      </c>
      <c r="E223" s="20" t="s">
        <v>828</v>
      </c>
      <c r="F223" s="20" t="s">
        <v>1613</v>
      </c>
      <c r="G223" s="20" t="s">
        <v>1971</v>
      </c>
      <c r="H223" s="20">
        <v>10.3</v>
      </c>
      <c r="I223" s="20" t="s">
        <v>1885</v>
      </c>
      <c r="J223" s="20" t="s">
        <v>986</v>
      </c>
    </row>
    <row r="224" spans="1:10" ht="20.100000000000001" customHeight="1" x14ac:dyDescent="0.2">
      <c r="D224" s="20" t="s">
        <v>809</v>
      </c>
      <c r="E224" s="20" t="s">
        <v>1974</v>
      </c>
      <c r="F224" s="20" t="s">
        <v>1613</v>
      </c>
      <c r="G224" s="20" t="s">
        <v>1971</v>
      </c>
      <c r="H224" s="20">
        <v>4.55</v>
      </c>
      <c r="I224" s="20" t="s">
        <v>1885</v>
      </c>
      <c r="J224" s="20" t="s">
        <v>986</v>
      </c>
    </row>
    <row r="225" spans="1:10" ht="20.100000000000001" customHeight="1" x14ac:dyDescent="0.2">
      <c r="D225" s="20" t="s">
        <v>809</v>
      </c>
      <c r="E225" s="20" t="s">
        <v>1975</v>
      </c>
      <c r="F225" s="20" t="s">
        <v>1613</v>
      </c>
      <c r="G225" s="20" t="s">
        <v>1971</v>
      </c>
      <c r="H225" s="20">
        <v>5.6</v>
      </c>
      <c r="I225" s="20" t="s">
        <v>1885</v>
      </c>
      <c r="J225" s="20" t="s">
        <v>986</v>
      </c>
    </row>
    <row r="226" spans="1:10" ht="20.100000000000001" customHeight="1" x14ac:dyDescent="0.2">
      <c r="D226" s="20" t="s">
        <v>809</v>
      </c>
      <c r="E226" s="20" t="s">
        <v>834</v>
      </c>
      <c r="F226" s="20" t="s">
        <v>1613</v>
      </c>
      <c r="G226" s="20" t="s">
        <v>1971</v>
      </c>
      <c r="H226" s="20">
        <v>8.06</v>
      </c>
      <c r="I226" s="20" t="s">
        <v>1885</v>
      </c>
      <c r="J226" s="20" t="s">
        <v>986</v>
      </c>
    </row>
    <row r="227" spans="1:10" ht="20.100000000000001" customHeight="1" x14ac:dyDescent="0.2">
      <c r="D227" s="20" t="s">
        <v>809</v>
      </c>
      <c r="E227" s="20" t="s">
        <v>1976</v>
      </c>
      <c r="F227" s="20" t="s">
        <v>1613</v>
      </c>
      <c r="G227" s="20" t="s">
        <v>1971</v>
      </c>
      <c r="H227" s="20">
        <v>8.8000000000000007</v>
      </c>
      <c r="I227" s="20" t="s">
        <v>1885</v>
      </c>
      <c r="J227" s="20" t="s">
        <v>986</v>
      </c>
    </row>
    <row r="228" spans="1:10" ht="20.100000000000001" customHeight="1" x14ac:dyDescent="0.2">
      <c r="D228" s="20" t="s">
        <v>809</v>
      </c>
      <c r="E228" s="20" t="s">
        <v>827</v>
      </c>
      <c r="F228" s="20" t="s">
        <v>1613</v>
      </c>
      <c r="G228" s="20" t="s">
        <v>1971</v>
      </c>
      <c r="H228" s="20">
        <v>9.16</v>
      </c>
      <c r="I228" s="20" t="s">
        <v>1885</v>
      </c>
      <c r="J228" s="20" t="s">
        <v>986</v>
      </c>
    </row>
    <row r="229" spans="1:10" ht="20.100000000000001" customHeight="1" x14ac:dyDescent="0.2">
      <c r="D229" s="20" t="s">
        <v>809</v>
      </c>
      <c r="E229" s="20" t="s">
        <v>1977</v>
      </c>
      <c r="F229" s="20" t="s">
        <v>1613</v>
      </c>
      <c r="G229" s="20" t="s">
        <v>1971</v>
      </c>
      <c r="H229" s="20">
        <v>8.57</v>
      </c>
      <c r="I229" s="20" t="s">
        <v>1885</v>
      </c>
      <c r="J229" s="20" t="s">
        <v>986</v>
      </c>
    </row>
    <row r="230" spans="1:10" ht="20.100000000000001" customHeight="1" x14ac:dyDescent="0.2">
      <c r="D230" s="20" t="s">
        <v>809</v>
      </c>
      <c r="E230" s="20" t="s">
        <v>832</v>
      </c>
      <c r="F230" s="20" t="s">
        <v>1613</v>
      </c>
      <c r="G230" s="20" t="s">
        <v>1971</v>
      </c>
      <c r="H230" s="20">
        <v>8.8000000000000007</v>
      </c>
      <c r="I230" s="20" t="s">
        <v>1885</v>
      </c>
      <c r="J230" s="20" t="s">
        <v>986</v>
      </c>
    </row>
    <row r="231" spans="1:10" ht="20.100000000000001" customHeight="1" x14ac:dyDescent="0.2">
      <c r="D231" s="20" t="s">
        <v>809</v>
      </c>
      <c r="E231" s="20" t="s">
        <v>835</v>
      </c>
      <c r="F231" s="20" t="s">
        <v>1613</v>
      </c>
      <c r="G231" s="20" t="s">
        <v>1971</v>
      </c>
      <c r="H231" s="20">
        <v>6.16</v>
      </c>
      <c r="I231" s="20" t="s">
        <v>1885</v>
      </c>
      <c r="J231" s="20" t="s">
        <v>986</v>
      </c>
    </row>
    <row r="233" spans="1:10" ht="20.100000000000001" customHeight="1" x14ac:dyDescent="0.2">
      <c r="D233" s="2" t="s">
        <v>1012</v>
      </c>
    </row>
    <row r="234" spans="1:10" ht="20.100000000000001" customHeight="1" x14ac:dyDescent="0.2">
      <c r="D234" s="20" t="s">
        <v>979</v>
      </c>
      <c r="E234" s="20" t="s">
        <v>132</v>
      </c>
      <c r="F234" s="20" t="s">
        <v>980</v>
      </c>
      <c r="G234" s="20" t="s">
        <v>981</v>
      </c>
      <c r="H234" s="20" t="s">
        <v>982</v>
      </c>
      <c r="I234" s="20" t="s">
        <v>983</v>
      </c>
      <c r="J234" s="20" t="s">
        <v>463</v>
      </c>
    </row>
    <row r="235" spans="1:10" ht="20.100000000000001" customHeight="1" x14ac:dyDescent="0.2">
      <c r="D235" s="20" t="s">
        <v>1012</v>
      </c>
      <c r="E235" s="20" t="s">
        <v>1978</v>
      </c>
      <c r="F235" s="20" t="s">
        <v>1005</v>
      </c>
      <c r="G235" s="20" t="s">
        <v>370</v>
      </c>
      <c r="H235" s="20">
        <v>6.5199999999999994E-2</v>
      </c>
      <c r="I235" s="20" t="s">
        <v>1885</v>
      </c>
      <c r="J235" s="20" t="s">
        <v>986</v>
      </c>
    </row>
    <row r="236" spans="1:10" ht="20.100000000000001" customHeight="1" x14ac:dyDescent="0.2">
      <c r="D236" s="20" t="s">
        <v>1012</v>
      </c>
      <c r="E236" s="20" t="s">
        <v>1626</v>
      </c>
      <c r="F236" s="20" t="s">
        <v>1005</v>
      </c>
      <c r="G236" s="20" t="s">
        <v>370</v>
      </c>
      <c r="H236" s="20">
        <v>6.5199999999999994E-2</v>
      </c>
      <c r="I236" s="20" t="s">
        <v>1885</v>
      </c>
      <c r="J236" s="20" t="s">
        <v>986</v>
      </c>
    </row>
    <row r="237" spans="1:10" ht="20.100000000000001" customHeight="1" x14ac:dyDescent="0.2">
      <c r="D237" s="20" t="s">
        <v>1012</v>
      </c>
      <c r="E237" s="20" t="s">
        <v>1979</v>
      </c>
      <c r="F237" s="20" t="s">
        <v>1005</v>
      </c>
      <c r="G237" s="20" t="s">
        <v>370</v>
      </c>
      <c r="H237" s="20">
        <v>4.8500000000000001E-2</v>
      </c>
      <c r="I237" s="20" t="s">
        <v>1885</v>
      </c>
      <c r="J237" s="20" t="s">
        <v>986</v>
      </c>
    </row>
    <row r="239" spans="1:10" ht="20.100000000000001" customHeight="1" x14ac:dyDescent="0.2">
      <c r="A239" s="81" t="str">
        <f>HYPERLINK("#A1", "▲ Back to top")</f>
        <v>▲ Back to top</v>
      </c>
    </row>
    <row r="240" spans="1:10" ht="20.100000000000001" customHeight="1" x14ac:dyDescent="0.2">
      <c r="D240" s="2" t="s">
        <v>1013</v>
      </c>
    </row>
    <row r="241" spans="4:18" ht="20.100000000000001" customHeight="1" x14ac:dyDescent="0.2">
      <c r="D241" s="20" t="s">
        <v>979</v>
      </c>
      <c r="E241" s="20" t="s">
        <v>132</v>
      </c>
      <c r="F241" s="20" t="s">
        <v>980</v>
      </c>
      <c r="G241" s="20" t="s">
        <v>981</v>
      </c>
      <c r="H241" s="20" t="s">
        <v>982</v>
      </c>
      <c r="I241" s="20" t="s">
        <v>983</v>
      </c>
      <c r="J241" s="20" t="s">
        <v>463</v>
      </c>
      <c r="L241" s="20" t="s">
        <v>132</v>
      </c>
      <c r="M241" s="20" t="s">
        <v>984</v>
      </c>
      <c r="N241" s="1" t="str">
        <f>"Table_ProductRegions_" &amp; SUBSTITUTE(SUBSTITUTE(SUBSTITUTE(SUBSTITUTE(L242, " ", ""), ",", ""), "(", ""), ")", "")</f>
        <v>Table_ProductRegions_Sardineswhole</v>
      </c>
      <c r="R241" s="1"/>
    </row>
    <row r="242" spans="4:18" ht="20.100000000000001" customHeight="1" x14ac:dyDescent="0.2">
      <c r="D242" s="20" t="s">
        <v>1980</v>
      </c>
      <c r="E242" s="20" t="s">
        <v>1981</v>
      </c>
      <c r="F242" s="20" t="s">
        <v>989</v>
      </c>
      <c r="G242" s="20" t="s">
        <v>370</v>
      </c>
      <c r="H242" s="20">
        <v>0.376</v>
      </c>
      <c r="I242" s="20" t="s">
        <v>1885</v>
      </c>
      <c r="J242" s="20" t="s">
        <v>986</v>
      </c>
      <c r="L242" s="20" t="str">
        <f>Table_SourceData_Scope3_FishFeedAndBait[[#This Row],[Product]]</f>
        <v>Sardines (whole)</v>
      </c>
      <c r="M242" s="20" t="str">
        <f>Table_SourceData_Scope3_FishFeedAndBait[[#This Row],[Region of origin]]</f>
        <v>SA</v>
      </c>
      <c r="R242" s="1"/>
    </row>
    <row r="243" spans="4:18" ht="20.100000000000001" customHeight="1" x14ac:dyDescent="0.2">
      <c r="D243" s="20" t="s">
        <v>1013</v>
      </c>
      <c r="E243" s="20" t="s">
        <v>1981</v>
      </c>
      <c r="F243" s="20" t="s">
        <v>1005</v>
      </c>
      <c r="G243" s="20" t="s">
        <v>370</v>
      </c>
      <c r="H243" s="20">
        <v>0.3</v>
      </c>
      <c r="I243" s="20" t="s">
        <v>1982</v>
      </c>
      <c r="J243" s="20" t="s">
        <v>1014</v>
      </c>
      <c r="L243" s="1" t="str">
        <f>Table_SourceData_Scope3_FishFeedAndBait[[#This Row],[Product]]</f>
        <v>Sardines (whole)</v>
      </c>
      <c r="M243" s="1" t="str">
        <f>Table_SourceData_Scope3_FishFeedAndBait[[#This Row],[Region of origin]]</f>
        <v>Australia</v>
      </c>
      <c r="R243" s="1"/>
    </row>
    <row r="244" spans="4:18" ht="20.100000000000001" customHeight="1" x14ac:dyDescent="0.2">
      <c r="D244" s="20" t="s">
        <v>1013</v>
      </c>
      <c r="E244" s="20" t="s">
        <v>1983</v>
      </c>
      <c r="F244" s="20" t="s">
        <v>1005</v>
      </c>
      <c r="G244" s="20" t="s">
        <v>370</v>
      </c>
      <c r="H244" s="20">
        <v>2.2000000000000002</v>
      </c>
      <c r="I244" s="20" t="s">
        <v>1982</v>
      </c>
      <c r="J244" s="20" t="s">
        <v>1014</v>
      </c>
      <c r="R244" s="1"/>
    </row>
    <row r="245" spans="4:18" ht="20.100000000000001" customHeight="1" x14ac:dyDescent="0.2">
      <c r="D245" s="20" t="s">
        <v>1013</v>
      </c>
      <c r="E245" s="20" t="s">
        <v>1984</v>
      </c>
      <c r="F245" s="20" t="s">
        <v>1005</v>
      </c>
      <c r="G245" s="20" t="s">
        <v>370</v>
      </c>
      <c r="H245" s="20">
        <v>0.3</v>
      </c>
      <c r="I245" s="20" t="s">
        <v>1982</v>
      </c>
      <c r="J245" s="20" t="s">
        <v>1014</v>
      </c>
      <c r="R245" s="1"/>
    </row>
    <row r="246" spans="4:18" ht="20.100000000000001" customHeight="1" x14ac:dyDescent="0.2">
      <c r="D246" s="20" t="s">
        <v>1013</v>
      </c>
      <c r="E246" s="20" t="s">
        <v>1985</v>
      </c>
      <c r="F246" s="20" t="s">
        <v>1005</v>
      </c>
      <c r="G246" s="20" t="s">
        <v>370</v>
      </c>
      <c r="H246" s="20">
        <v>0.3</v>
      </c>
      <c r="I246" s="20" t="s">
        <v>1982</v>
      </c>
      <c r="J246" s="20" t="s">
        <v>1014</v>
      </c>
      <c r="R246" s="1"/>
    </row>
    <row r="247" spans="4:18" ht="20.100000000000001" customHeight="1" x14ac:dyDescent="0.2">
      <c r="D247" s="20" t="s">
        <v>1013</v>
      </c>
      <c r="E247" s="20" t="s">
        <v>1986</v>
      </c>
      <c r="F247" s="20" t="s">
        <v>1005</v>
      </c>
      <c r="G247" s="20" t="s">
        <v>370</v>
      </c>
      <c r="H247" s="20">
        <v>0.08</v>
      </c>
      <c r="I247" s="20" t="s">
        <v>1982</v>
      </c>
      <c r="J247" s="20" t="s">
        <v>1014</v>
      </c>
    </row>
  </sheetData>
  <pageMargins left="0.7" right="0.7" top="0.75" bottom="0.75" header="0.3" footer="0.3"/>
  <tableParts count="31">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8CCD09-57A4-417E-A7F2-B1EE09E08D92}">
  <sheetPr>
    <tabColor theme="2" tint="-0.499984740745262"/>
  </sheetPr>
  <dimension ref="A1:AI68"/>
  <sheetViews>
    <sheetView showGridLines="0" zoomScaleNormal="100" workbookViewId="0">
      <pane xSplit="1" topLeftCell="B1" activePane="topRight" state="frozenSplit"/>
      <selection pane="topRight" activeCell="A47" sqref="A47"/>
    </sheetView>
  </sheetViews>
  <sheetFormatPr defaultRowHeight="20.100000000000001" customHeight="1" x14ac:dyDescent="0.2"/>
  <cols>
    <col min="1" max="1" width="36.7109375" customWidth="1"/>
    <col min="2" max="2" width="4.7109375" customWidth="1"/>
    <col min="3" max="3" width="4.7109375" style="1" customWidth="1"/>
    <col min="4" max="4" width="39.140625" style="1" customWidth="1"/>
    <col min="5" max="5" width="30.7109375" style="1" customWidth="1"/>
    <col min="6" max="6" width="29.5703125" style="1" customWidth="1"/>
    <col min="7" max="8" width="43.42578125" style="1" customWidth="1"/>
    <col min="9" max="9" width="43.5703125" style="1" customWidth="1"/>
    <col min="10" max="10" width="37.5703125" style="1" customWidth="1"/>
    <col min="11" max="11" width="33.5703125" style="1" customWidth="1"/>
    <col min="12" max="31" width="20.7109375" style="1" customWidth="1"/>
    <col min="32" max="32" width="4.7109375" style="1" customWidth="1"/>
  </cols>
  <sheetData>
    <row r="1" spans="1:35" s="21" customFormat="1" ht="30" customHeight="1" x14ac:dyDescent="0.35">
      <c r="A1" s="10" t="e" vm="1">
        <v>#VALUE!</v>
      </c>
      <c r="C1" s="21" t="s">
        <v>697</v>
      </c>
      <c r="AG1"/>
      <c r="AH1"/>
      <c r="AI1"/>
    </row>
    <row r="2" spans="1:35" s="3" customFormat="1" ht="20.100000000000001" customHeight="1" x14ac:dyDescent="0.2">
      <c r="A2"/>
      <c r="AG2"/>
      <c r="AH2"/>
      <c r="AI2"/>
    </row>
    <row r="3" spans="1:35" ht="20.100000000000001" customHeight="1" x14ac:dyDescent="0.2">
      <c r="A3" s="5" t="str">
        <f>HYPERLINK("#'Home'!A1", "Home")</f>
        <v>Home</v>
      </c>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row>
    <row r="4" spans="1:35" ht="20.100000000000001" customHeight="1" x14ac:dyDescent="0.2">
      <c r="A4" s="5" t="str">
        <f>HYPERLINK("#'Results - Activity period'!A1", "Results - Activity period")</f>
        <v>Results - Activity period</v>
      </c>
    </row>
    <row r="5" spans="1:35" ht="20.100000000000001" customHeight="1" x14ac:dyDescent="0.2">
      <c r="A5" s="5" t="str">
        <f>HYPERLINK("#'Results - Product EI'!A1", "Results - Product EI")</f>
        <v>Results - Product EI</v>
      </c>
      <c r="D5" s="2" t="s">
        <v>1987</v>
      </c>
    </row>
    <row r="6" spans="1:35" ht="20.100000000000001" customHeight="1" x14ac:dyDescent="0.2">
      <c r="D6" s="17" t="s">
        <v>1988</v>
      </c>
    </row>
    <row r="7" spans="1:35" ht="20.100000000000001" customHeight="1" x14ac:dyDescent="0.2">
      <c r="D7" s="26" t="s">
        <v>1989</v>
      </c>
    </row>
    <row r="8" spans="1:35" ht="20.100000000000001" customHeight="1" x14ac:dyDescent="0.2">
      <c r="A8" s="7" t="s">
        <v>0</v>
      </c>
      <c r="D8" s="26" t="s">
        <v>1990</v>
      </c>
    </row>
    <row r="9" spans="1:35" ht="20.100000000000001" customHeight="1" x14ac:dyDescent="0.2">
      <c r="A9" s="5" t="str">
        <f>HYPERLINK("#'Input - Enterprise'!A1", "Enterprise")</f>
        <v>Enterprise</v>
      </c>
      <c r="D9" s="26" t="s">
        <v>1991</v>
      </c>
    </row>
    <row r="10" spans="1:35" ht="20.100000000000001" customHeight="1" x14ac:dyDescent="0.2">
      <c r="A10" s="5" t="str">
        <f>HYPERLINK("#'Input - Site'!A1", "Site")</f>
        <v>Site</v>
      </c>
      <c r="D10" s="26" t="s">
        <v>1992</v>
      </c>
    </row>
    <row r="11" spans="1:35" ht="20.100000000000001" customHeight="1" x14ac:dyDescent="0.2">
      <c r="A11" s="5" t="str">
        <f>HYPERLINK("#'Input - Crop'!A1", "Crop")</f>
        <v>Crop</v>
      </c>
      <c r="D11" s="26" t="s">
        <v>1993</v>
      </c>
    </row>
    <row r="12" spans="1:35" ht="20.100000000000001" customHeight="1" x14ac:dyDescent="0.2">
      <c r="A12" s="5" t="str">
        <f>HYPERLINK("#'Input - Fert Prod System'!A1", "Fert Prod System")</f>
        <v>Fert Prod System</v>
      </c>
      <c r="D12" s="26" t="s">
        <v>1994</v>
      </c>
    </row>
    <row r="13" spans="1:35" ht="20.100000000000001" customHeight="1" x14ac:dyDescent="0.2">
      <c r="A13" s="5" t="str">
        <f>HYPERLINK("#'Input - Fertiliser'!A1", "Fertiliser")</f>
        <v>Fertiliser</v>
      </c>
      <c r="D13" s="26" t="s">
        <v>1995</v>
      </c>
    </row>
    <row r="14" spans="1:35" ht="20.100000000000001" customHeight="1" x14ac:dyDescent="0.2">
      <c r="A14" s="5" t="str">
        <f>HYPERLINK("#'Input - Fuel'!A1", "Fuel")</f>
        <v>Fuel</v>
      </c>
      <c r="D14" s="1" t="s">
        <v>704</v>
      </c>
    </row>
    <row r="15" spans="1:35" ht="20.100000000000001" customHeight="1" x14ac:dyDescent="0.2">
      <c r="A15" s="5" t="str">
        <f>HYPERLINK("#'Input - Electricity'!A1", "Electricity")</f>
        <v>Electricity</v>
      </c>
      <c r="D15" s="9" t="s">
        <v>1996</v>
      </c>
      <c r="I15" s="1" t="s">
        <v>698</v>
      </c>
      <c r="K15" s="1" t="s">
        <v>699</v>
      </c>
      <c r="M15" s="1" t="s">
        <v>700</v>
      </c>
      <c r="O15" s="1" t="s">
        <v>701</v>
      </c>
    </row>
    <row r="16" spans="1:35" ht="20.100000000000001" customHeight="1" x14ac:dyDescent="0.2">
      <c r="A16" s="5" t="str">
        <f>HYPERLINK("#'Input - Common farm inputs'!A1", "Common farm inputs")</f>
        <v>Common farm inputs</v>
      </c>
      <c r="D16" s="20" t="s">
        <v>702</v>
      </c>
      <c r="E16" s="20" t="s">
        <v>703</v>
      </c>
      <c r="F16" s="20" t="s">
        <v>704</v>
      </c>
      <c r="G16" s="20" t="s">
        <v>705</v>
      </c>
      <c r="I16" s="20" t="s">
        <v>703</v>
      </c>
      <c r="K16" s="218" t="s">
        <v>703</v>
      </c>
      <c r="M16" s="218" t="s">
        <v>703</v>
      </c>
      <c r="O16" s="218" t="s">
        <v>703</v>
      </c>
    </row>
    <row r="17" spans="1:15" ht="20.100000000000001" customHeight="1" x14ac:dyDescent="0.2">
      <c r="A17" s="5" t="str">
        <f>HYPERLINK("#'Input - Crop pasture farm input'!A1", "Crop pasture farm input")</f>
        <v>Crop pasture farm input</v>
      </c>
      <c r="D17" s="20" t="s">
        <v>657</v>
      </c>
      <c r="E17" s="20" t="s">
        <v>654</v>
      </c>
      <c r="F17" s="20">
        <v>2.1</v>
      </c>
      <c r="G17" s="20" t="s">
        <v>1997</v>
      </c>
      <c r="I17" s="20" t="str">
        <f>Table_SourceData_WasteSolid_WasteTreatmentEFs[[#This Row],[Waste type w]]</f>
        <v>Food waste (including animal carcasses, spoiled animal feed or crop)</v>
      </c>
      <c r="K17" s="1" t="str">
        <f t="shared" ref="K17:K26" si="0">E29</f>
        <v>Food waste (including animal carcasses, spoiled animal feed or crop)</v>
      </c>
      <c r="M17" s="1" t="str">
        <f>E40</f>
        <v>Food waste (including animal carcasses, spoiled animal feed or crop)</v>
      </c>
      <c r="O17" s="1" t="str">
        <f>E46</f>
        <v>Food waste (including animal carcasses, spoiled animal feed or crop)</v>
      </c>
    </row>
    <row r="18" spans="1:15" ht="20.100000000000001" customHeight="1" x14ac:dyDescent="0.2">
      <c r="A18" s="5" t="str">
        <f>HYPERLINK("#'Input - Freight'!A1", "Freight")</f>
        <v>Freight</v>
      </c>
      <c r="D18" s="1" t="s">
        <v>657</v>
      </c>
      <c r="E18" s="20" t="s">
        <v>648</v>
      </c>
      <c r="F18" s="20">
        <v>3.3</v>
      </c>
      <c r="G18" s="20" t="s">
        <v>1997</v>
      </c>
      <c r="I18" s="20" t="str">
        <f>Table_SourceData_WasteSolid_WasteTreatmentEFs[[#This Row],[Waste type w]]</f>
        <v>Paper and cardboard</v>
      </c>
      <c r="K18" s="1" t="str">
        <f t="shared" si="0"/>
        <v>Green waste (including crop residues or prunings)</v>
      </c>
      <c r="M18" s="1" t="str">
        <f>E41</f>
        <v>Green waste (including crop residues or prunings)</v>
      </c>
      <c r="O18" s="1" t="str">
        <f>E47</f>
        <v>Green waste (including crop residues or prunings)</v>
      </c>
    </row>
    <row r="19" spans="1:15" ht="20.100000000000001" customHeight="1" x14ac:dyDescent="0.2">
      <c r="A19" s="5" t="str">
        <f>HYPERLINK("#'Input - Solid waste'!A1", "Solid waste")</f>
        <v>Solid waste</v>
      </c>
      <c r="D19" s="1" t="s">
        <v>657</v>
      </c>
      <c r="E19" s="20" t="s">
        <v>666</v>
      </c>
      <c r="F19" s="20">
        <v>1.6</v>
      </c>
      <c r="G19" s="20" t="s">
        <v>1997</v>
      </c>
      <c r="I19" s="20" t="str">
        <f>Table_SourceData_WasteSolid_WasteTreatmentEFs[[#This Row],[Waste type w]]</f>
        <v>Green waste (including crop residues or prunings)</v>
      </c>
      <c r="K19" s="1" t="str">
        <f t="shared" si="0"/>
        <v>Wood</v>
      </c>
      <c r="M19" s="1" t="str">
        <f>E42</f>
        <v>Wood</v>
      </c>
      <c r="O19" s="1" t="str">
        <f>E48</f>
        <v>Wood</v>
      </c>
    </row>
    <row r="20" spans="1:15" ht="20.100000000000001" customHeight="1" x14ac:dyDescent="0.2">
      <c r="A20" s="5" t="str">
        <f>HYPERLINK("#'Input - Data quality'!A1", "Data quality")</f>
        <v>Data quality</v>
      </c>
      <c r="D20" s="1" t="s">
        <v>657</v>
      </c>
      <c r="E20" s="20" t="s">
        <v>1998</v>
      </c>
      <c r="F20" s="20">
        <v>0.7</v>
      </c>
      <c r="G20" s="20" t="s">
        <v>1997</v>
      </c>
      <c r="I20" s="20" t="str">
        <f>Table_SourceData_WasteSolid_WasteTreatmentEFs[[#This Row],[Waste type w]]</f>
        <v>Wood</v>
      </c>
      <c r="K20" s="1" t="str">
        <f t="shared" si="0"/>
        <v>Sludge</v>
      </c>
      <c r="M20" s="1" t="str">
        <f>E43</f>
        <v>Sludge</v>
      </c>
      <c r="O20" s="1" t="str">
        <f>E49</f>
        <v>Sludge</v>
      </c>
    </row>
    <row r="21" spans="1:15" ht="20.100000000000001" customHeight="1" x14ac:dyDescent="0.2">
      <c r="D21" s="1" t="s">
        <v>657</v>
      </c>
      <c r="E21" s="20" t="s">
        <v>1999</v>
      </c>
      <c r="F21" s="20">
        <v>2</v>
      </c>
      <c r="G21" s="20" t="s">
        <v>1997</v>
      </c>
      <c r="I21" s="20" t="str">
        <f>Table_SourceData_WasteSolid_WasteTreatmentEFs[[#This Row],[Waste type w]]</f>
        <v>Textiles</v>
      </c>
      <c r="K21" s="1" t="str">
        <f t="shared" si="0"/>
        <v>Paper and cardboard</v>
      </c>
      <c r="M21" s="1" t="str">
        <f>E44</f>
        <v>Paper and cardboard</v>
      </c>
      <c r="O21" s="1" t="str">
        <f>E50</f>
        <v>Paper and cardboard</v>
      </c>
    </row>
    <row r="22" spans="1:15" ht="20.100000000000001" customHeight="1" x14ac:dyDescent="0.2">
      <c r="D22" s="1" t="s">
        <v>657</v>
      </c>
      <c r="E22" s="20" t="s">
        <v>2000</v>
      </c>
      <c r="F22" s="20">
        <v>0.4</v>
      </c>
      <c r="G22" s="20" t="s">
        <v>1997</v>
      </c>
      <c r="I22" s="20" t="str">
        <f>Table_SourceData_WasteSolid_WasteTreatmentEFs[[#This Row],[Waste type w]]</f>
        <v>Sludge</v>
      </c>
      <c r="K22" s="1" t="str">
        <f t="shared" si="0"/>
        <v>Textiles</v>
      </c>
    </row>
    <row r="23" spans="1:15" ht="20.100000000000001" customHeight="1" x14ac:dyDescent="0.2">
      <c r="A23" s="6" t="s">
        <v>2</v>
      </c>
      <c r="D23" s="1" t="s">
        <v>657</v>
      </c>
      <c r="E23" s="20" t="s">
        <v>2001</v>
      </c>
      <c r="F23" s="20">
        <v>3.3</v>
      </c>
      <c r="G23" s="20" t="s">
        <v>1997</v>
      </c>
      <c r="I23" s="20" t="str">
        <f>Table_SourceData_WasteSolid_WasteTreatmentEFs[[#This Row],[Waste type w]]</f>
        <v>Rubber and leather</v>
      </c>
      <c r="K23" s="1" t="str">
        <f t="shared" si="0"/>
        <v>Rubber and leather</v>
      </c>
    </row>
    <row r="24" spans="1:15" ht="20.100000000000001" customHeight="1" x14ac:dyDescent="0.2">
      <c r="A24" s="5" t="str">
        <f>HYPERLINK("#'5.1.1.1-2 Inorganic fert N2O'!A1", "5.1.1.1-2 Inorganic fert N2O")</f>
        <v>5.1.1.1-2 Inorganic fert N2O</v>
      </c>
      <c r="D24" s="1" t="s">
        <v>657</v>
      </c>
      <c r="E24" s="20" t="s">
        <v>2002</v>
      </c>
      <c r="F24" s="20">
        <v>0</v>
      </c>
      <c r="G24" s="20" t="s">
        <v>1997</v>
      </c>
      <c r="I24" s="20" t="str">
        <f>Table_SourceData_WasteSolid_WasteTreatmentEFs[[#This Row],[Waste type w]]</f>
        <v>Inert waste (including concrete, metal, plastic or glass)</v>
      </c>
      <c r="K24" s="1" t="str">
        <f t="shared" si="0"/>
        <v>Inert waste (including concrete, metal, plastic or glass)</v>
      </c>
    </row>
    <row r="25" spans="1:15" ht="20.100000000000001" customHeight="1" x14ac:dyDescent="0.2">
      <c r="A25" s="5" t="str">
        <f>HYPERLINK("#'5.1.1.3-4 Inorganic fert CO2'!A1", "5.1.1.3-4 Inorganic fert CO2")</f>
        <v>5.1.1.3-4 Inorganic fert CO2</v>
      </c>
      <c r="D25" s="1" t="s">
        <v>657</v>
      </c>
      <c r="E25" s="20" t="s">
        <v>2003</v>
      </c>
      <c r="F25" s="20">
        <v>1.6</v>
      </c>
      <c r="G25" s="20" t="s">
        <v>1997</v>
      </c>
      <c r="I25" s="20" t="str">
        <f>Table_SourceData_WasteSolid_WasteTreatmentEFs[[#This Row],[Waste type w]]</f>
        <v>Municipal solid waste</v>
      </c>
      <c r="K25" s="1" t="str">
        <f t="shared" si="0"/>
        <v>Municipal solid waste</v>
      </c>
    </row>
    <row r="26" spans="1:15" ht="20.100000000000001" customHeight="1" x14ac:dyDescent="0.2">
      <c r="A26" s="5" t="str">
        <f>HYPERLINK("#'5.2.1.1-2 Organic Fert N2O'!A1", "5.2.1.1-2 Organic fert N2O")</f>
        <v>5.2.1.1-2 Organic fert N2O</v>
      </c>
      <c r="D26" s="1" t="s">
        <v>657</v>
      </c>
      <c r="E26" s="20" t="s">
        <v>2004</v>
      </c>
      <c r="F26" s="20">
        <v>1.3</v>
      </c>
      <c r="G26" s="20" t="s">
        <v>1997</v>
      </c>
      <c r="I26" s="20" t="str">
        <f>Table_SourceData_WasteSolid_WasteTreatmentEFs[[#This Row],[Waste type w]]</f>
        <v>Commercial and industrial waste</v>
      </c>
      <c r="K26" s="1" t="str">
        <f t="shared" si="0"/>
        <v>Commercial and industrial waste</v>
      </c>
    </row>
    <row r="27" spans="1:15" ht="20.100000000000001" customHeight="1" x14ac:dyDescent="0.2">
      <c r="A27" s="5" t="str">
        <f>HYPERLINK("#'5.3.1.1-2 Lime CO2'!A1", "5.3.1.1-2 Lime CO2")</f>
        <v>5.3.1.1-2 Lime CO2</v>
      </c>
      <c r="D27" s="1" t="s">
        <v>657</v>
      </c>
      <c r="E27" s="20" t="s">
        <v>2005</v>
      </c>
      <c r="F27" s="20">
        <v>0.2</v>
      </c>
      <c r="G27" s="20" t="s">
        <v>1997</v>
      </c>
      <c r="I27" s="20" t="str">
        <f>Table_SourceData_WasteSolid_WasteTreatmentEFs[[#This Row],[Waste type w]]</f>
        <v>Construction and demolition waste</v>
      </c>
    </row>
    <row r="28" spans="1:15" ht="20.100000000000001" customHeight="1" x14ac:dyDescent="0.2">
      <c r="A28" s="5" t="str">
        <f>HYPERLINK("#'5.4.1.1-4 Atmos deposition'!A1", "5.4.1.1-4 Atmos. deposition")</f>
        <v>5.4.1.1-4 Atmos. deposition</v>
      </c>
      <c r="D28" s="1" t="s">
        <v>671</v>
      </c>
      <c r="E28" s="20" t="s">
        <v>2006</v>
      </c>
      <c r="F28" s="20">
        <v>0</v>
      </c>
      <c r="G28" s="20"/>
    </row>
    <row r="29" spans="1:15" ht="20.100000000000001" customHeight="1" x14ac:dyDescent="0.2">
      <c r="A29" s="5" t="str">
        <f>HYPERLINK("#'5.5.1.1-2 Leaching and runoff'!A1", "5.5.1.1-2 Leaching &amp; runoff")</f>
        <v>5.5.1.1-2 Leaching &amp; runoff</v>
      </c>
      <c r="D29" s="1" t="s">
        <v>671</v>
      </c>
      <c r="E29" s="20" t="s">
        <v>654</v>
      </c>
      <c r="F29" s="20">
        <v>0</v>
      </c>
      <c r="G29" s="20"/>
    </row>
    <row r="30" spans="1:15" ht="20.100000000000001" customHeight="1" x14ac:dyDescent="0.2">
      <c r="A30" s="5" t="str">
        <f>HYPERLINK("#'6.1.1.1-2 Crop residue N2O'!A1", "6.1.1.1-2 Crop residue N2O")</f>
        <v>6.1.1.1-2 Crop residue N2O</v>
      </c>
      <c r="D30" s="1" t="s">
        <v>671</v>
      </c>
      <c r="E30" s="20" t="s">
        <v>666</v>
      </c>
      <c r="F30" s="20">
        <v>0</v>
      </c>
      <c r="G30" s="20"/>
    </row>
    <row r="31" spans="1:15" ht="20.100000000000001" customHeight="1" x14ac:dyDescent="0.2">
      <c r="A31" s="5" t="str">
        <f>HYPERLINK("#'6.3.1.1-2 Leach runoff crop'!A1", "6.3.1.1-2 Leach &amp; runoff (crop)")</f>
        <v>6.3.1.1-2 Leach &amp; runoff (crop)</v>
      </c>
      <c r="D31" s="1" t="s">
        <v>671</v>
      </c>
      <c r="E31" s="20" t="s">
        <v>1998</v>
      </c>
      <c r="F31" s="20">
        <v>0</v>
      </c>
      <c r="G31" s="20"/>
    </row>
    <row r="32" spans="1:15" ht="20.100000000000001" customHeight="1" x14ac:dyDescent="0.2">
      <c r="A32" s="5" t="str">
        <f>HYPERLINK("#'6.4.1.1-2 Residue burning'!A1", "6.4.1.1-2 Residue burning")</f>
        <v>6.4.1.1-2 Residue burning</v>
      </c>
      <c r="D32" s="1" t="s">
        <v>671</v>
      </c>
      <c r="E32" s="20" t="s">
        <v>2000</v>
      </c>
      <c r="F32" s="20">
        <v>0</v>
      </c>
      <c r="G32" s="20"/>
    </row>
    <row r="33" spans="1:7" ht="20.100000000000001" customHeight="1" x14ac:dyDescent="0.2">
      <c r="A33" s="5" t="str">
        <f>HYPERLINK("#'8.1.1.1-2 Transport fuel'!A1", "8.1.1.1-2 Transport fuel")</f>
        <v>8.1.1.1-2 Transport fuel</v>
      </c>
      <c r="D33" s="1" t="s">
        <v>671</v>
      </c>
      <c r="E33" s="20" t="s">
        <v>648</v>
      </c>
      <c r="F33" s="20">
        <v>1.6899999999999998E-2</v>
      </c>
      <c r="G33" s="20"/>
    </row>
    <row r="34" spans="1:7" ht="20.100000000000001" customHeight="1" x14ac:dyDescent="0.2">
      <c r="A34" s="5" t="str">
        <f>HYPERLINK("#'8.2.1.1-2 Stationary fuel'!A1", "8.2.1.1-2 Stationary fuel")</f>
        <v>8.2.1.1-2 Stationary fuel</v>
      </c>
      <c r="D34" s="1" t="s">
        <v>671</v>
      </c>
      <c r="E34" s="20" t="s">
        <v>1999</v>
      </c>
      <c r="F34" s="20">
        <v>0.36670000000000003</v>
      </c>
      <c r="G34" s="20"/>
    </row>
    <row r="35" spans="1:7" ht="20.100000000000001" customHeight="1" x14ac:dyDescent="0.2">
      <c r="A35" s="5" t="str">
        <f>HYPERLINK("#'10.1.1-2 Solid waste treatment'!A1", "10.1.1.1-2 Solid waste")</f>
        <v>10.1.1.1-2 Solid waste</v>
      </c>
      <c r="D35" s="1" t="s">
        <v>671</v>
      </c>
      <c r="E35" s="20" t="s">
        <v>2001</v>
      </c>
      <c r="F35" s="20">
        <v>0.4919</v>
      </c>
      <c r="G35" s="20"/>
    </row>
    <row r="36" spans="1:7" ht="20.100000000000001" customHeight="1" x14ac:dyDescent="0.2">
      <c r="A36" s="5" t="str">
        <f>HYPERLINK("#'14.1.1-2 Purchased electricity'!A1", "14.1.1-2 Purchased electricity")</f>
        <v>14.1.1-2 Purchased electricity</v>
      </c>
      <c r="D36" s="1" t="s">
        <v>671</v>
      </c>
      <c r="E36" s="20" t="s">
        <v>2002</v>
      </c>
      <c r="F36" s="20">
        <v>0.11</v>
      </c>
      <c r="G36" s="20"/>
    </row>
    <row r="37" spans="1:7" ht="20.100000000000001" customHeight="1" x14ac:dyDescent="0.2">
      <c r="A37" s="5" t="str">
        <f>HYPERLINK("#'15 Scope 3'!A1", "15 Scope 3")</f>
        <v>15 Scope 3</v>
      </c>
      <c r="D37" s="1" t="s">
        <v>671</v>
      </c>
      <c r="E37" s="20" t="s">
        <v>2003</v>
      </c>
      <c r="F37" s="20">
        <v>5.3699999999999998E-2</v>
      </c>
      <c r="G37" s="219" t="s">
        <v>2007</v>
      </c>
    </row>
    <row r="38" spans="1:7" ht="20.100000000000001" customHeight="1" x14ac:dyDescent="0.2">
      <c r="D38" s="1" t="s">
        <v>671</v>
      </c>
      <c r="E38" s="20" t="s">
        <v>2004</v>
      </c>
      <c r="F38" s="20">
        <v>1.649</v>
      </c>
      <c r="G38" s="219" t="s">
        <v>2007</v>
      </c>
    </row>
    <row r="39" spans="1:7" ht="20.100000000000001" customHeight="1" x14ac:dyDescent="0.2">
      <c r="D39" s="1" t="s">
        <v>647</v>
      </c>
      <c r="E39" s="20" t="s">
        <v>2008</v>
      </c>
      <c r="F39" s="20">
        <v>4.5999999999999999E-2</v>
      </c>
      <c r="G39" s="219" t="s">
        <v>2009</v>
      </c>
    </row>
    <row r="40" spans="1:7" ht="20.100000000000001" customHeight="1" x14ac:dyDescent="0.2">
      <c r="A40" s="82" t="s">
        <v>1</v>
      </c>
      <c r="D40" s="1" t="s">
        <v>647</v>
      </c>
      <c r="E40" s="20" t="s">
        <v>654</v>
      </c>
      <c r="F40" s="20">
        <v>4.5999999999999999E-2</v>
      </c>
      <c r="G40" s="219"/>
    </row>
    <row r="41" spans="1:7" ht="20.100000000000001" customHeight="1" x14ac:dyDescent="0.2">
      <c r="A41" s="5" t="str">
        <f>HYPERLINK("#'Constants - Ag Residue'!A1", "Constants - Ag residue")</f>
        <v>Constants - Ag residue</v>
      </c>
      <c r="D41" s="1" t="s">
        <v>647</v>
      </c>
      <c r="E41" s="20" t="s">
        <v>666</v>
      </c>
      <c r="F41" s="20">
        <v>4.5999999999999999E-2</v>
      </c>
      <c r="G41" s="219"/>
    </row>
    <row r="42" spans="1:7" ht="20.100000000000001" customHeight="1" x14ac:dyDescent="0.2">
      <c r="A42" s="5" t="str">
        <f>HYPERLINK("#'Constants - Electricity'!A1", "Constants - Electricity")</f>
        <v>Constants - Electricity</v>
      </c>
      <c r="D42" s="1" t="s">
        <v>647</v>
      </c>
      <c r="E42" s="20" t="s">
        <v>1998</v>
      </c>
      <c r="F42" s="20">
        <v>4.5999999999999999E-2</v>
      </c>
      <c r="G42" s="219"/>
    </row>
    <row r="43" spans="1:7" ht="20.100000000000001" customHeight="1" x14ac:dyDescent="0.2">
      <c r="A43" s="5" t="str">
        <f>HYPERLINK("#'Constants - Fertiliser'!A1", "Constants - Fertiliser")</f>
        <v>Constants - Fertiliser</v>
      </c>
      <c r="D43" s="1" t="s">
        <v>647</v>
      </c>
      <c r="E43" s="20" t="s">
        <v>2000</v>
      </c>
      <c r="F43" s="20">
        <v>4.5999999999999999E-2</v>
      </c>
      <c r="G43" s="219"/>
    </row>
    <row r="44" spans="1:7" ht="20.100000000000001" customHeight="1" x14ac:dyDescent="0.2">
      <c r="A44" s="5" t="str">
        <f>HYPERLINK("#'Constants - Fuel'!A1", "Constants - Fuel")</f>
        <v>Constants - Fuel</v>
      </c>
      <c r="D44" s="1" t="s">
        <v>647</v>
      </c>
      <c r="E44" s="20" t="s">
        <v>648</v>
      </c>
      <c r="F44" s="20">
        <v>4.5999999999999999E-2</v>
      </c>
      <c r="G44" s="219"/>
    </row>
    <row r="45" spans="1:7" ht="20.100000000000001" customHeight="1" x14ac:dyDescent="0.2">
      <c r="A45" s="5" t="str">
        <f>HYPERLINK("#'Constants - Scope 3'!A1", "Constants - Scope 3")</f>
        <v>Constants - Scope 3</v>
      </c>
      <c r="D45" s="1" t="s">
        <v>2010</v>
      </c>
      <c r="E45" s="20" t="s">
        <v>2008</v>
      </c>
      <c r="F45" s="20">
        <v>2.8000000000000001E-2</v>
      </c>
      <c r="G45" s="219" t="s">
        <v>2009</v>
      </c>
    </row>
    <row r="46" spans="1:7" ht="20.100000000000001" customHeight="1" x14ac:dyDescent="0.2">
      <c r="A46" s="83" t="str">
        <f>HYPERLINK("#'Constants - Solid Waste'!A1", "Constants - Solid Waste")</f>
        <v>Constants - Solid Waste</v>
      </c>
      <c r="D46" s="1" t="s">
        <v>2010</v>
      </c>
      <c r="E46" s="20" t="s">
        <v>654</v>
      </c>
      <c r="F46" s="20">
        <v>2.8000000000000001E-2</v>
      </c>
      <c r="G46" s="219"/>
    </row>
    <row r="47" spans="1:7" ht="20.100000000000001" customHeight="1" x14ac:dyDescent="0.2">
      <c r="A47" s="5" t="str">
        <f>HYPERLINK("#'Constants - Common'!A1", "Constants - Common")</f>
        <v>Constants - Common</v>
      </c>
      <c r="D47" s="1" t="s">
        <v>2010</v>
      </c>
      <c r="E47" s="20" t="s">
        <v>666</v>
      </c>
      <c r="F47" s="20">
        <v>2.8000000000000001E-2</v>
      </c>
      <c r="G47" s="219"/>
    </row>
    <row r="48" spans="1:7" ht="20.100000000000001" customHeight="1" x14ac:dyDescent="0.2">
      <c r="A48" s="5" t="str">
        <f>HYPERLINK("#'Constants - Common Livestock'!A1", "Constants - Common Livestock")</f>
        <v>Constants - Common Livestock</v>
      </c>
      <c r="D48" s="1" t="s">
        <v>2010</v>
      </c>
      <c r="E48" s="20" t="s">
        <v>1998</v>
      </c>
      <c r="F48" s="20">
        <v>2.8000000000000001E-2</v>
      </c>
      <c r="G48" s="219"/>
    </row>
    <row r="49" spans="1:7" ht="20.100000000000001" customHeight="1" x14ac:dyDescent="0.2">
      <c r="D49" s="1" t="s">
        <v>2010</v>
      </c>
      <c r="E49" s="20" t="s">
        <v>2000</v>
      </c>
      <c r="F49" s="20">
        <v>2.8000000000000001E-2</v>
      </c>
      <c r="G49" s="219"/>
    </row>
    <row r="50" spans="1:7" ht="20.100000000000001" customHeight="1" x14ac:dyDescent="0.2">
      <c r="D50" s="1" t="s">
        <v>2010</v>
      </c>
      <c r="E50" s="20" t="s">
        <v>648</v>
      </c>
      <c r="F50" s="20">
        <v>2.8000000000000001E-2</v>
      </c>
      <c r="G50" s="219"/>
    </row>
    <row r="52" spans="1:7" ht="20.100000000000001" customHeight="1" x14ac:dyDescent="0.2">
      <c r="D52" s="2" t="s">
        <v>2011</v>
      </c>
    </row>
    <row r="53" spans="1:7" ht="20.100000000000001" customHeight="1" x14ac:dyDescent="0.2">
      <c r="D53" s="17" t="s">
        <v>2012</v>
      </c>
    </row>
    <row r="54" spans="1:7" ht="20.100000000000001" customHeight="1" x14ac:dyDescent="0.2">
      <c r="D54" s="26" t="s">
        <v>2013</v>
      </c>
    </row>
    <row r="55" spans="1:7" ht="20.100000000000001" customHeight="1" x14ac:dyDescent="0.2">
      <c r="D55" s="1" t="s">
        <v>706</v>
      </c>
    </row>
    <row r="56" spans="1:7" ht="20.100000000000001" customHeight="1" x14ac:dyDescent="0.2">
      <c r="D56" s="9" t="s">
        <v>1314</v>
      </c>
    </row>
    <row r="57" spans="1:7" ht="20.100000000000001" customHeight="1" x14ac:dyDescent="0.2">
      <c r="D57" s="20" t="s">
        <v>703</v>
      </c>
      <c r="E57" s="20" t="s">
        <v>706</v>
      </c>
    </row>
    <row r="58" spans="1:7" ht="20.100000000000001" customHeight="1" x14ac:dyDescent="0.2">
      <c r="D58" s="20" t="s">
        <v>654</v>
      </c>
      <c r="E58" s="20">
        <v>0.5</v>
      </c>
    </row>
    <row r="59" spans="1:7" ht="20.100000000000001" customHeight="1" x14ac:dyDescent="0.2">
      <c r="A59" s="81" t="str">
        <f>HYPERLINK("#A1", "▲ Back to top")</f>
        <v>▲ Back to top</v>
      </c>
      <c r="D59" s="1" t="s">
        <v>648</v>
      </c>
      <c r="E59" s="20">
        <v>0.09</v>
      </c>
    </row>
    <row r="60" spans="1:7" ht="20.100000000000001" customHeight="1" x14ac:dyDescent="0.2">
      <c r="D60" s="1" t="s">
        <v>666</v>
      </c>
      <c r="E60" s="20">
        <v>0.24</v>
      </c>
    </row>
    <row r="61" spans="1:7" ht="20.100000000000001" customHeight="1" x14ac:dyDescent="0.2">
      <c r="D61" s="1" t="s">
        <v>1998</v>
      </c>
      <c r="E61" s="20">
        <v>0.15</v>
      </c>
    </row>
    <row r="62" spans="1:7" ht="20.100000000000001" customHeight="1" x14ac:dyDescent="0.2">
      <c r="D62" s="1" t="s">
        <v>1999</v>
      </c>
      <c r="E62" s="20">
        <v>0.14000000000000001</v>
      </c>
    </row>
    <row r="63" spans="1:7" ht="20.100000000000001" customHeight="1" x14ac:dyDescent="0.2">
      <c r="D63" s="1" t="s">
        <v>2000</v>
      </c>
      <c r="E63" s="20">
        <v>0.72</v>
      </c>
    </row>
    <row r="64" spans="1:7" ht="20.100000000000001" customHeight="1" x14ac:dyDescent="0.2">
      <c r="D64" s="1" t="s">
        <v>2001</v>
      </c>
      <c r="E64" s="20">
        <v>0.14000000000000001</v>
      </c>
    </row>
    <row r="65" spans="4:5" ht="20.100000000000001" customHeight="1" x14ac:dyDescent="0.2">
      <c r="D65" s="1" t="s">
        <v>2002</v>
      </c>
      <c r="E65" s="20">
        <v>0.42</v>
      </c>
    </row>
    <row r="66" spans="4:5" ht="20.100000000000001" customHeight="1" x14ac:dyDescent="0.2">
      <c r="D66" s="1" t="s">
        <v>2003</v>
      </c>
      <c r="E66" s="20">
        <v>0.36</v>
      </c>
    </row>
    <row r="67" spans="4:5" ht="20.100000000000001" customHeight="1" x14ac:dyDescent="0.2">
      <c r="D67" s="1" t="s">
        <v>2004</v>
      </c>
      <c r="E67" s="20">
        <v>0.33</v>
      </c>
    </row>
    <row r="68" spans="4:5" ht="20.100000000000001" customHeight="1" x14ac:dyDescent="0.2">
      <c r="D68" s="1" t="s">
        <v>2005</v>
      </c>
      <c r="E68" s="20">
        <v>0.39</v>
      </c>
    </row>
  </sheetData>
  <pageMargins left="0.7" right="0.7" top="0.75" bottom="0.75" header="0.3" footer="0.3"/>
  <pageSetup paperSize="9" orientation="portrait" r:id="rId1"/>
  <tableParts count="6">
    <tablePart r:id="rId2"/>
    <tablePart r:id="rId3"/>
    <tablePart r:id="rId4"/>
    <tablePart r:id="rId5"/>
    <tablePart r:id="rId6"/>
    <tablePart r:id="rId7"/>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3DE85-228C-483C-8D62-5D3027BF032E}">
  <sheetPr>
    <tabColor theme="2" tint="-0.499984740745262"/>
  </sheetPr>
  <dimension ref="A1:BY332"/>
  <sheetViews>
    <sheetView showGridLines="0" zoomScaleNormal="100" workbookViewId="0">
      <pane xSplit="1" topLeftCell="B1" activePane="topRight" state="frozenSplit"/>
      <selection pane="topRight" activeCell="A47" sqref="A47"/>
    </sheetView>
  </sheetViews>
  <sheetFormatPr defaultColWidth="9.140625" defaultRowHeight="20.100000000000001" customHeight="1" x14ac:dyDescent="0.2"/>
  <cols>
    <col min="1" max="1" width="36.7109375" style="22" customWidth="1"/>
    <col min="2" max="2" width="2.7109375" style="22"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22" customWidth="1"/>
    <col min="34" max="39" width="21.85546875" style="22" customWidth="1"/>
    <col min="40" max="44" width="20.7109375" style="22" customWidth="1"/>
    <col min="45" max="65" width="9.140625" style="22"/>
    <col min="66" max="16384" width="9.140625" style="25"/>
  </cols>
  <sheetData>
    <row r="1" spans="1:65" s="21" customFormat="1" ht="30" customHeight="1" x14ac:dyDescent="0.35">
      <c r="A1" s="10" t="e" vm="1">
        <v>#VALUE!</v>
      </c>
      <c r="C1" s="21" t="s">
        <v>20</v>
      </c>
    </row>
    <row r="2" spans="1:65" s="3" customFormat="1" ht="20.100000000000001" customHeight="1" x14ac:dyDescent="0.2">
      <c r="A2"/>
    </row>
    <row r="3" spans="1:65" ht="20.100000000000001" customHeight="1" x14ac:dyDescent="0.2">
      <c r="A3" s="5" t="str">
        <f>HYPERLINK("#'Home'!A1", "Home")</f>
        <v>Home</v>
      </c>
      <c r="C3" s="23"/>
      <c r="D3" s="23"/>
      <c r="E3" s="23"/>
      <c r="F3" s="23"/>
      <c r="G3" s="23"/>
      <c r="H3" s="23"/>
      <c r="I3" s="23"/>
      <c r="J3" s="23"/>
      <c r="K3" s="23"/>
      <c r="L3" s="23"/>
      <c r="M3" s="23"/>
      <c r="N3" s="23"/>
      <c r="O3" s="23"/>
      <c r="P3" s="23"/>
      <c r="Q3" s="23"/>
      <c r="R3" s="23"/>
      <c r="S3" s="23"/>
      <c r="T3" s="23"/>
      <c r="U3" s="23"/>
      <c r="V3" s="24"/>
      <c r="W3" s="24"/>
    </row>
    <row r="4" spans="1:65" ht="20.100000000000001" customHeight="1" x14ac:dyDescent="0.2">
      <c r="A4" s="5" t="str">
        <f>HYPERLINK("#'Results - Activity period'!A1", "Results - Activity period")</f>
        <v>Results - Activity period</v>
      </c>
      <c r="BM4" s="25"/>
    </row>
    <row r="5" spans="1:65" ht="20.100000000000001" customHeight="1" x14ac:dyDescent="0.2">
      <c r="A5" s="5" t="str">
        <f>HYPERLINK("#'Results - Product EI'!A1", "Results - Product EI")</f>
        <v>Results - Product EI</v>
      </c>
      <c r="D5" s="2" t="s">
        <v>2014</v>
      </c>
      <c r="BM5" s="25"/>
    </row>
    <row r="6" spans="1:65" ht="20.100000000000001" customHeight="1" x14ac:dyDescent="0.2">
      <c r="A6"/>
      <c r="D6" s="20" t="s">
        <v>21</v>
      </c>
      <c r="E6" s="20" t="s">
        <v>22</v>
      </c>
      <c r="F6" s="20" t="s">
        <v>23</v>
      </c>
    </row>
    <row r="7" spans="1:65" ht="20.100000000000001" customHeight="1" x14ac:dyDescent="0.2">
      <c r="A7"/>
      <c r="D7" s="20" t="s">
        <v>1556</v>
      </c>
      <c r="E7" s="20" t="s">
        <v>1556</v>
      </c>
      <c r="F7" s="20" t="s">
        <v>988</v>
      </c>
    </row>
    <row r="8" spans="1:65" ht="20.100000000000001" customHeight="1" x14ac:dyDescent="0.2">
      <c r="A8" s="7" t="s">
        <v>0</v>
      </c>
      <c r="D8" s="20" t="s">
        <v>2015</v>
      </c>
      <c r="E8" s="20" t="s">
        <v>987</v>
      </c>
      <c r="F8" s="20" t="s">
        <v>987</v>
      </c>
    </row>
    <row r="9" spans="1:65" ht="20.100000000000001" customHeight="1" x14ac:dyDescent="0.2">
      <c r="A9" s="5" t="str">
        <f>HYPERLINK("#'Input - Enterprise'!A1", "Enterprise")</f>
        <v>Enterprise</v>
      </c>
      <c r="D9" s="20" t="s">
        <v>1557</v>
      </c>
      <c r="E9" s="20" t="s">
        <v>1557</v>
      </c>
      <c r="F9" s="20" t="s">
        <v>991</v>
      </c>
    </row>
    <row r="10" spans="1:65" ht="20.100000000000001" customHeight="1" x14ac:dyDescent="0.2">
      <c r="A10" s="5" t="str">
        <f>HYPERLINK("#'Input - Site'!A1", "Site")</f>
        <v>Site</v>
      </c>
      <c r="D10" s="20" t="s">
        <v>1558</v>
      </c>
      <c r="E10" s="20" t="s">
        <v>1558</v>
      </c>
      <c r="F10" s="20" t="s">
        <v>1001</v>
      </c>
    </row>
    <row r="11" spans="1:65" ht="20.100000000000001" customHeight="1" x14ac:dyDescent="0.2">
      <c r="A11" s="5" t="str">
        <f>HYPERLINK("#'Input - Crop'!A1", "Crop")</f>
        <v>Crop</v>
      </c>
      <c r="D11" s="20" t="s">
        <v>1559</v>
      </c>
      <c r="E11" s="20" t="s">
        <v>1559</v>
      </c>
      <c r="F11" s="20" t="s">
        <v>989</v>
      </c>
      <c r="BM11" s="25"/>
    </row>
    <row r="12" spans="1:65" ht="20.100000000000001" customHeight="1" x14ac:dyDescent="0.2">
      <c r="A12" s="5" t="str">
        <f>HYPERLINK("#'Input - Fert Prod System'!A1", "Fert Prod System")</f>
        <v>Fert Prod System</v>
      </c>
      <c r="D12" s="20" t="s">
        <v>99</v>
      </c>
      <c r="E12" s="20" t="s">
        <v>99</v>
      </c>
      <c r="F12" s="20" t="s">
        <v>993</v>
      </c>
      <c r="BM12" s="25"/>
    </row>
    <row r="13" spans="1:65" ht="20.100000000000001" customHeight="1" x14ac:dyDescent="0.2">
      <c r="A13" s="5" t="str">
        <f>HYPERLINK("#'Input - Fertiliser'!A1", "Fertiliser")</f>
        <v>Fertiliser</v>
      </c>
      <c r="D13" s="20" t="s">
        <v>1561</v>
      </c>
      <c r="E13" s="20" t="s">
        <v>1561</v>
      </c>
      <c r="F13" s="20" t="s">
        <v>990</v>
      </c>
    </row>
    <row r="14" spans="1:65" ht="20.100000000000001" customHeight="1" x14ac:dyDescent="0.2">
      <c r="A14" s="5" t="str">
        <f>HYPERLINK("#'Input - Fuel'!A1", "Fuel")</f>
        <v>Fuel</v>
      </c>
      <c r="D14" s="20" t="s">
        <v>1882</v>
      </c>
      <c r="E14" s="20" t="s">
        <v>1882</v>
      </c>
      <c r="F14" s="20" t="s">
        <v>997</v>
      </c>
    </row>
    <row r="15" spans="1:65" ht="20.100000000000001" customHeight="1" x14ac:dyDescent="0.2">
      <c r="A15" s="5" t="str">
        <f>HYPERLINK("#'Input - Electricity'!A1", "Electricity")</f>
        <v>Electricity</v>
      </c>
    </row>
    <row r="16" spans="1:65" ht="20.100000000000001" customHeight="1" x14ac:dyDescent="0.2">
      <c r="A16" s="5" t="str">
        <f>HYPERLINK("#'Input - Common farm inputs'!A1", "Common farm inputs")</f>
        <v>Common farm inputs</v>
      </c>
    </row>
    <row r="17" spans="1:4" ht="20.100000000000001" customHeight="1" x14ac:dyDescent="0.2">
      <c r="A17" s="5" t="str">
        <f>HYPERLINK("#'Input - Crop pasture farm input'!A1", "Crop pasture farm input")</f>
        <v>Crop pasture farm input</v>
      </c>
    </row>
    <row r="18" spans="1:4" ht="20.100000000000001" customHeight="1" x14ac:dyDescent="0.2">
      <c r="A18" s="5" t="str">
        <f>HYPERLINK("#'Input - Freight'!A1", "Freight")</f>
        <v>Freight</v>
      </c>
      <c r="D18" s="2" t="s">
        <v>2016</v>
      </c>
    </row>
    <row r="19" spans="1:4" ht="20.100000000000001" customHeight="1" x14ac:dyDescent="0.2">
      <c r="A19" s="5" t="str">
        <f>HYPERLINK("#'Input - Solid waste'!A1", "Solid waste")</f>
        <v>Solid waste</v>
      </c>
      <c r="D19" s="17" t="s">
        <v>2017</v>
      </c>
    </row>
    <row r="20" spans="1:4" ht="20.100000000000001" customHeight="1" x14ac:dyDescent="0.2">
      <c r="A20" s="5" t="str">
        <f>HYPERLINK("#'Input - Data quality'!A1", "Data quality")</f>
        <v>Data quality</v>
      </c>
      <c r="D20" s="20" t="s">
        <v>24</v>
      </c>
    </row>
    <row r="21" spans="1:4" ht="20.100000000000001" customHeight="1" x14ac:dyDescent="0.2">
      <c r="A21"/>
      <c r="D21" s="20" t="s">
        <v>2018</v>
      </c>
    </row>
    <row r="22" spans="1:4" ht="20.100000000000001" customHeight="1" x14ac:dyDescent="0.2">
      <c r="A22"/>
      <c r="D22" s="20" t="s">
        <v>2019</v>
      </c>
    </row>
    <row r="23" spans="1:4" ht="20.100000000000001" customHeight="1" x14ac:dyDescent="0.2">
      <c r="A23" s="6" t="s">
        <v>2</v>
      </c>
      <c r="D23" s="20" t="s">
        <v>2020</v>
      </c>
    </row>
    <row r="24" spans="1:4" ht="20.100000000000001" customHeight="1" x14ac:dyDescent="0.2">
      <c r="A24" s="5" t="str">
        <f>HYPERLINK("#'5.1.1.1-2 Inorganic fert N2O'!A1", "5.1.1.1-2 Inorganic fert N2O")</f>
        <v>5.1.1.1-2 Inorganic fert N2O</v>
      </c>
      <c r="D24" s="20" t="s">
        <v>2021</v>
      </c>
    </row>
    <row r="25" spans="1:4" ht="20.100000000000001" customHeight="1" x14ac:dyDescent="0.2">
      <c r="A25" s="5" t="str">
        <f>HYPERLINK("#'5.1.1.3-4 Inorganic fert CO2'!A1", "5.1.1.3-4 Inorganic fert CO2")</f>
        <v>5.1.1.3-4 Inorganic fert CO2</v>
      </c>
      <c r="D25" s="20" t="s">
        <v>2022</v>
      </c>
    </row>
    <row r="26" spans="1:4" ht="20.100000000000001" customHeight="1" x14ac:dyDescent="0.2">
      <c r="A26" s="5" t="str">
        <f>HYPERLINK("#'5.2.1.1-2 Organic Fert N2O'!A1", "5.2.1.1-2 Organic fert N2O")</f>
        <v>5.2.1.1-2 Organic fert N2O</v>
      </c>
      <c r="D26" s="20" t="s">
        <v>2023</v>
      </c>
    </row>
    <row r="27" spans="1:4" ht="20.100000000000001" customHeight="1" x14ac:dyDescent="0.2">
      <c r="A27" s="5" t="str">
        <f>HYPERLINK("#'5.3.1.1-2 Lime CO2'!A1", "5.3.1.1-2 Lime CO2")</f>
        <v>5.3.1.1-2 Lime CO2</v>
      </c>
      <c r="D27" s="20" t="s">
        <v>2024</v>
      </c>
    </row>
    <row r="28" spans="1:4" ht="20.100000000000001" customHeight="1" x14ac:dyDescent="0.2">
      <c r="A28" s="5" t="str">
        <f>HYPERLINK("#'5.4.1.1-4 Atmos deposition'!A1", "5.4.1.1-4 Atmos. deposition")</f>
        <v>5.4.1.1-4 Atmos. deposition</v>
      </c>
      <c r="D28" s="20" t="s">
        <v>2025</v>
      </c>
    </row>
    <row r="29" spans="1:4" ht="20.100000000000001" customHeight="1" x14ac:dyDescent="0.2">
      <c r="A29" s="5" t="str">
        <f>HYPERLINK("#'5.5.1.1-2 Leaching and runoff'!A1", "5.5.1.1-2 Leaching &amp; runoff")</f>
        <v>5.5.1.1-2 Leaching &amp; runoff</v>
      </c>
      <c r="D29" s="20" t="s">
        <v>2026</v>
      </c>
    </row>
    <row r="30" spans="1:4" ht="20.100000000000001" customHeight="1" x14ac:dyDescent="0.2">
      <c r="A30" s="5" t="str">
        <f>HYPERLINK("#'6.1.1.1-2 Crop residue N2O'!A1", "6.1.1.1-2 Crop residue N2O")</f>
        <v>6.1.1.1-2 Crop residue N2O</v>
      </c>
      <c r="D30" s="20" t="s">
        <v>102</v>
      </c>
    </row>
    <row r="31" spans="1:4" ht="20.100000000000001" customHeight="1" x14ac:dyDescent="0.2">
      <c r="A31" s="5" t="str">
        <f>HYPERLINK("#'6.3.1.1-2 Leach runoff crop'!A1", "6.3.1.1-2 Leach &amp; runoff (crop)")</f>
        <v>6.3.1.1-2 Leach &amp; runoff (crop)</v>
      </c>
    </row>
    <row r="32" spans="1:4" ht="20.100000000000001" customHeight="1" x14ac:dyDescent="0.2">
      <c r="A32" s="5" t="str">
        <f>HYPERLINK("#'6.4.1.1-2 Residue burning'!A1", "6.4.1.1-2 Residue burning")</f>
        <v>6.4.1.1-2 Residue burning</v>
      </c>
    </row>
    <row r="33" spans="1:8" ht="20.100000000000001" customHeight="1" x14ac:dyDescent="0.2">
      <c r="A33" s="5" t="str">
        <f>HYPERLINK("#'8.1.1.1-2 Transport fuel'!A1", "8.1.1.1-2 Transport fuel")</f>
        <v>8.1.1.1-2 Transport fuel</v>
      </c>
    </row>
    <row r="34" spans="1:8" ht="20.100000000000001" customHeight="1" x14ac:dyDescent="0.2">
      <c r="A34" s="5" t="str">
        <f>HYPERLINK("#'8.2.1.1-2 Stationary fuel'!A1", "8.2.1.1-2 Stationary fuel")</f>
        <v>8.2.1.1-2 Stationary fuel</v>
      </c>
      <c r="D34" s="2" t="s">
        <v>2027</v>
      </c>
    </row>
    <row r="35" spans="1:8" ht="20.100000000000001" customHeight="1" x14ac:dyDescent="0.2">
      <c r="A35" s="5" t="str">
        <f>HYPERLINK("#'10.1.1-2 Solid waste treatment'!A1", "10.1.1.1-2 Solid waste")</f>
        <v>10.1.1.1-2 Solid waste</v>
      </c>
      <c r="D35" s="17" t="s">
        <v>2028</v>
      </c>
    </row>
    <row r="36" spans="1:8" ht="20.100000000000001" customHeight="1" x14ac:dyDescent="0.2">
      <c r="A36" s="5" t="str">
        <f>HYPERLINK("#'14.1.1-2 Purchased electricity'!A1", "14.1.1-2 Purchased electricity")</f>
        <v>14.1.1-2 Purchased electricity</v>
      </c>
      <c r="D36" s="20" t="s">
        <v>25</v>
      </c>
      <c r="E36" s="20" t="s">
        <v>26</v>
      </c>
    </row>
    <row r="37" spans="1:8" ht="20.100000000000001" customHeight="1" x14ac:dyDescent="0.2">
      <c r="A37" s="5" t="str">
        <f>HYPERLINK("#'15 Scope 3'!A1", "15 Scope 3")</f>
        <v>15 Scope 3</v>
      </c>
      <c r="D37" s="20" t="s">
        <v>582</v>
      </c>
      <c r="E37" s="20">
        <v>1</v>
      </c>
    </row>
    <row r="38" spans="1:8" ht="20.100000000000001" customHeight="1" x14ac:dyDescent="0.2">
      <c r="A38"/>
      <c r="D38" s="20" t="s">
        <v>583</v>
      </c>
      <c r="E38" s="20">
        <v>28</v>
      </c>
    </row>
    <row r="39" spans="1:8" ht="20.100000000000001" customHeight="1" x14ac:dyDescent="0.2">
      <c r="A39"/>
      <c r="D39" s="20" t="s">
        <v>584</v>
      </c>
      <c r="E39" s="20">
        <v>265</v>
      </c>
    </row>
    <row r="40" spans="1:8" ht="20.100000000000001" customHeight="1" x14ac:dyDescent="0.2">
      <c r="A40" s="82" t="s">
        <v>1</v>
      </c>
      <c r="D40" s="20" t="s">
        <v>2029</v>
      </c>
      <c r="E40" s="20">
        <v>6630</v>
      </c>
    </row>
    <row r="41" spans="1:8" ht="20.100000000000001" customHeight="1" x14ac:dyDescent="0.2">
      <c r="A41" s="5" t="str">
        <f>HYPERLINK("#'Constants - Ag Residue'!A1", "Constants - Ag residue")</f>
        <v>Constants - Ag residue</v>
      </c>
      <c r="D41" s="20" t="s">
        <v>2030</v>
      </c>
      <c r="E41" s="20">
        <v>12200</v>
      </c>
    </row>
    <row r="42" spans="1:8" ht="20.100000000000001" customHeight="1" x14ac:dyDescent="0.2">
      <c r="A42" s="5" t="str">
        <f>HYPERLINK("#'Constants - Electricity'!A1", "Constants - Electricity")</f>
        <v>Constants - Electricity</v>
      </c>
      <c r="D42" s="20" t="s">
        <v>2031</v>
      </c>
      <c r="E42" s="20">
        <v>22800</v>
      </c>
    </row>
    <row r="43" spans="1:8" ht="20.100000000000001" customHeight="1" x14ac:dyDescent="0.2">
      <c r="A43" s="5" t="str">
        <f>HYPERLINK("#'Constants - Fertiliser'!A1", "Constants - Fertiliser")</f>
        <v>Constants - Fertiliser</v>
      </c>
      <c r="D43" s="20" t="s">
        <v>2032</v>
      </c>
      <c r="E43" s="20">
        <v>17200</v>
      </c>
    </row>
    <row r="44" spans="1:8" ht="20.100000000000001" customHeight="1" x14ac:dyDescent="0.2">
      <c r="A44" s="5" t="str">
        <f>HYPERLINK("#'Constants - Fuel'!A1", "Constants - Fuel")</f>
        <v>Constants - Fuel</v>
      </c>
    </row>
    <row r="45" spans="1:8" ht="20.100000000000001" customHeight="1" x14ac:dyDescent="0.2">
      <c r="A45" s="5" t="str">
        <f>HYPERLINK("#'Constants - Scope 3'!A1", "Constants - Scope 3")</f>
        <v>Constants - Scope 3</v>
      </c>
      <c r="D45" s="2" t="s">
        <v>2033</v>
      </c>
    </row>
    <row r="46" spans="1:8" ht="20.100000000000001" customHeight="1" x14ac:dyDescent="0.2">
      <c r="A46" s="5" t="str">
        <f>HYPERLINK("#'Constants - Solid Waste'!A1", "Constants - Solid Waste")</f>
        <v>Constants - Solid Waste</v>
      </c>
      <c r="D46" s="17" t="s">
        <v>2028</v>
      </c>
    </row>
    <row r="47" spans="1:8" ht="20.100000000000001" customHeight="1" x14ac:dyDescent="0.2">
      <c r="A47" s="83" t="str">
        <f>HYPERLINK("#'Constants - Common'!A1", "Constants - Common")</f>
        <v>Constants - Common</v>
      </c>
      <c r="D47" s="20" t="s">
        <v>25</v>
      </c>
      <c r="E47" s="20" t="s">
        <v>27</v>
      </c>
      <c r="F47" s="20" t="s">
        <v>28</v>
      </c>
      <c r="G47" s="20" t="s">
        <v>29</v>
      </c>
      <c r="H47" s="20" t="s">
        <v>30</v>
      </c>
    </row>
    <row r="48" spans="1:8" ht="20.100000000000001" customHeight="1" x14ac:dyDescent="0.2">
      <c r="A48" s="5" t="str">
        <f>HYPERLINK("#'Constants - Common Livestock'!A1", "Constants - Common Livestock")</f>
        <v>Constants - Common Livestock</v>
      </c>
      <c r="D48" s="20" t="s">
        <v>582</v>
      </c>
      <c r="E48" s="20" t="s">
        <v>2034</v>
      </c>
      <c r="F48" s="20">
        <v>44</v>
      </c>
      <c r="G48" s="20">
        <v>12</v>
      </c>
      <c r="H48" s="20">
        <f>Table_GasToMolecularConversionFactor[[#This Row],[Conversion factor 1]]/Table_GasToMolecularConversionFactor[[#This Row],[Conversion factor 2]]</f>
        <v>3.6666666666666665</v>
      </c>
    </row>
    <row r="49" spans="1:8" ht="20.100000000000001" customHeight="1" x14ac:dyDescent="0.2">
      <c r="A49"/>
      <c r="D49" s="20" t="s">
        <v>583</v>
      </c>
      <c r="E49" s="20" t="s">
        <v>1541</v>
      </c>
      <c r="F49" s="20">
        <v>16</v>
      </c>
      <c r="G49" s="20">
        <v>12</v>
      </c>
      <c r="H49" s="20">
        <f>Table_GasToMolecularConversionFactor[[#This Row],[Conversion factor 1]]/Table_GasToMolecularConversionFactor[[#This Row],[Conversion factor 2]]</f>
        <v>1.3333333333333333</v>
      </c>
    </row>
    <row r="50" spans="1:8" ht="20.100000000000001" customHeight="1" x14ac:dyDescent="0.2">
      <c r="A50"/>
      <c r="D50" s="20" t="s">
        <v>584</v>
      </c>
      <c r="E50" s="20" t="s">
        <v>1542</v>
      </c>
      <c r="F50" s="20">
        <v>44</v>
      </c>
      <c r="G50" s="20">
        <v>28</v>
      </c>
      <c r="H50" s="20">
        <f>Table_GasToMolecularConversionFactor[[#This Row],[Conversion factor 1]]/Table_GasToMolecularConversionFactor[[#This Row],[Conversion factor 2]]</f>
        <v>1.5714285714285714</v>
      </c>
    </row>
    <row r="51" spans="1:8" ht="20.100000000000001" customHeight="1" x14ac:dyDescent="0.2">
      <c r="A51"/>
      <c r="D51" s="20" t="s">
        <v>2035</v>
      </c>
      <c r="E51" s="20" t="s">
        <v>1544</v>
      </c>
      <c r="F51" s="20">
        <v>46</v>
      </c>
      <c r="G51" s="20">
        <v>14</v>
      </c>
      <c r="H51" s="20">
        <f>Table_GasToMolecularConversionFactor[[#This Row],[Conversion factor 1]]/Table_GasToMolecularConversionFactor[[#This Row],[Conversion factor 2]]</f>
        <v>3.2857142857142856</v>
      </c>
    </row>
    <row r="52" spans="1:8" ht="20.100000000000001" customHeight="1" x14ac:dyDescent="0.2">
      <c r="A52"/>
      <c r="D52" s="20" t="s">
        <v>1545</v>
      </c>
      <c r="E52" s="20" t="s">
        <v>1546</v>
      </c>
      <c r="F52" s="20">
        <v>28</v>
      </c>
      <c r="G52" s="20">
        <v>12</v>
      </c>
      <c r="H52" s="20">
        <f>Table_GasToMolecularConversionFactor[[#This Row],[Conversion factor 1]]/Table_GasToMolecularConversionFactor[[#This Row],[Conversion factor 2]]</f>
        <v>2.3333333333333335</v>
      </c>
    </row>
    <row r="53" spans="1:8" ht="20.100000000000001" customHeight="1" x14ac:dyDescent="0.2">
      <c r="A53"/>
      <c r="D53" s="20" t="s">
        <v>2036</v>
      </c>
      <c r="E53" s="20" t="s">
        <v>2034</v>
      </c>
      <c r="F53" s="20">
        <v>44</v>
      </c>
      <c r="G53" s="20">
        <v>12</v>
      </c>
      <c r="H53" s="20">
        <f>Table_GasToMolecularConversionFactor[[#This Row],[Conversion factor 1]]/Table_GasToMolecularConversionFactor[[#This Row],[Conversion factor 2]]</f>
        <v>3.6666666666666665</v>
      </c>
    </row>
    <row r="54" spans="1:8" ht="20.100000000000001" customHeight="1" x14ac:dyDescent="0.2">
      <c r="A54"/>
      <c r="D54" s="20" t="s">
        <v>1547</v>
      </c>
      <c r="E54" s="20" t="s">
        <v>1548</v>
      </c>
      <c r="F54" s="20">
        <v>14</v>
      </c>
      <c r="G54" s="20">
        <v>12</v>
      </c>
      <c r="H54" s="20">
        <f>Table_GasToMolecularConversionFactor[[#This Row],[Conversion factor 1]]/Table_GasToMolecularConversionFactor[[#This Row],[Conversion factor 2]]</f>
        <v>1.1666666666666667</v>
      </c>
    </row>
    <row r="55" spans="1:8" ht="20.100000000000001" customHeight="1" x14ac:dyDescent="0.2">
      <c r="A55"/>
    </row>
    <row r="56" spans="1:8" ht="20.100000000000001" customHeight="1" x14ac:dyDescent="0.2">
      <c r="A56"/>
    </row>
    <row r="57" spans="1:8" ht="20.100000000000001" customHeight="1" x14ac:dyDescent="0.2">
      <c r="A57"/>
      <c r="D57" s="2" t="s">
        <v>2037</v>
      </c>
    </row>
    <row r="58" spans="1:8" ht="20.100000000000001" customHeight="1" x14ac:dyDescent="0.2">
      <c r="A58"/>
      <c r="D58" s="17" t="s">
        <v>2038</v>
      </c>
    </row>
    <row r="59" spans="1:8" ht="20.100000000000001" customHeight="1" x14ac:dyDescent="0.2">
      <c r="A59" s="81" t="str">
        <f>HYPERLINK("#A1", "▲ Back to top")</f>
        <v>▲ Back to top</v>
      </c>
      <c r="D59" s="26" t="str" cm="1">
        <f t="array" ref="D59:D61">"⚠️" &amp; Common_SourceData.Common_SourceData_WetAndDryZones_Variation()</f>
        <v>⚠️VARIATION OF SOURCE DATA:</v>
      </c>
    </row>
    <row r="60" spans="1:8" ht="20.100000000000001" customHeight="1" x14ac:dyDescent="0.2">
      <c r="A60"/>
      <c r="D60" s="26" t="str">
        <v>⚠️Added warm / cool temperate moist / dry - low frost and high temp classes to accommodate climate scenarios excluded by VEERG criteria.</v>
      </c>
    </row>
    <row r="61" spans="1:8" ht="20.100000000000001" customHeight="1" x14ac:dyDescent="0.2">
      <c r="A61"/>
      <c r="D61" s="26" t="str">
        <v>⚠️Fixed typo - Changed 'Fry' to 'Dry'.</v>
      </c>
    </row>
    <row r="62" spans="1:8" ht="20.100000000000001" customHeight="1" x14ac:dyDescent="0.2">
      <c r="A62"/>
    </row>
    <row r="63" spans="1:8" ht="20.100000000000001" customHeight="1" x14ac:dyDescent="0.2">
      <c r="A63"/>
      <c r="D63" s="20" t="s">
        <v>31</v>
      </c>
      <c r="E63" s="20" t="s">
        <v>32</v>
      </c>
    </row>
    <row r="64" spans="1:8" ht="20.100000000000001" customHeight="1" x14ac:dyDescent="0.2">
      <c r="A64"/>
      <c r="D64" s="20" t="s">
        <v>2039</v>
      </c>
      <c r="E64" s="20" t="s">
        <v>1530</v>
      </c>
    </row>
    <row r="65" spans="1:5" ht="20.100000000000001" customHeight="1" x14ac:dyDescent="0.2">
      <c r="A65"/>
      <c r="D65" s="20" t="s">
        <v>2040</v>
      </c>
      <c r="E65" s="20" t="s">
        <v>1530</v>
      </c>
    </row>
    <row r="66" spans="1:5" ht="20.100000000000001" customHeight="1" x14ac:dyDescent="0.2">
      <c r="A66"/>
      <c r="D66" s="20" t="s">
        <v>2041</v>
      </c>
      <c r="E66" s="20" t="s">
        <v>1530</v>
      </c>
    </row>
    <row r="67" spans="1:5" ht="20.100000000000001" customHeight="1" x14ac:dyDescent="0.2">
      <c r="A67"/>
      <c r="D67" s="20" t="s">
        <v>2042</v>
      </c>
      <c r="E67" s="20" t="s">
        <v>1531</v>
      </c>
    </row>
    <row r="68" spans="1:5" ht="20.100000000000001" customHeight="1" x14ac:dyDescent="0.2">
      <c r="A68"/>
      <c r="D68" s="20" t="s">
        <v>2043</v>
      </c>
      <c r="E68" s="20" t="s">
        <v>1530</v>
      </c>
    </row>
    <row r="69" spans="1:5" ht="20.100000000000001" customHeight="1" x14ac:dyDescent="0.2">
      <c r="A69"/>
      <c r="D69" s="20" t="s">
        <v>2044</v>
      </c>
      <c r="E69" s="20" t="s">
        <v>1531</v>
      </c>
    </row>
    <row r="70" spans="1:5" ht="20.100000000000001" customHeight="1" x14ac:dyDescent="0.2">
      <c r="A70"/>
      <c r="D70" s="20" t="s">
        <v>2045</v>
      </c>
      <c r="E70" s="20" t="s">
        <v>1530</v>
      </c>
    </row>
    <row r="71" spans="1:5" ht="20.100000000000001" customHeight="1" x14ac:dyDescent="0.2">
      <c r="A71"/>
      <c r="D71" s="20" t="s">
        <v>2046</v>
      </c>
      <c r="E71" s="20" t="s">
        <v>1531</v>
      </c>
    </row>
    <row r="72" spans="1:5" ht="20.100000000000001" customHeight="1" x14ac:dyDescent="0.2">
      <c r="A72"/>
      <c r="D72" s="20" t="s">
        <v>2047</v>
      </c>
      <c r="E72" s="20" t="s">
        <v>1530</v>
      </c>
    </row>
    <row r="73" spans="1:5" ht="20.100000000000001" customHeight="1" x14ac:dyDescent="0.2">
      <c r="A73"/>
      <c r="D73" s="20" t="s">
        <v>2048</v>
      </c>
      <c r="E73" s="20" t="s">
        <v>1531</v>
      </c>
    </row>
    <row r="74" spans="1:5" ht="20.100000000000001" customHeight="1" x14ac:dyDescent="0.2">
      <c r="A74"/>
      <c r="D74" s="20" t="s">
        <v>2049</v>
      </c>
      <c r="E74" s="20" t="s">
        <v>1530</v>
      </c>
    </row>
    <row r="75" spans="1:5" ht="20.100000000000001" customHeight="1" x14ac:dyDescent="0.2">
      <c r="A75"/>
      <c r="D75" s="20" t="s">
        <v>2050</v>
      </c>
      <c r="E75" s="20" t="s">
        <v>1531</v>
      </c>
    </row>
    <row r="76" spans="1:5" ht="20.100000000000001" customHeight="1" x14ac:dyDescent="0.2">
      <c r="A76"/>
      <c r="D76" s="20" t="s">
        <v>2051</v>
      </c>
      <c r="E76" s="20" t="s">
        <v>1530</v>
      </c>
    </row>
    <row r="77" spans="1:5" ht="20.100000000000001" customHeight="1" x14ac:dyDescent="0.2">
      <c r="A77"/>
      <c r="D77" s="20" t="s">
        <v>2052</v>
      </c>
      <c r="E77" s="20" t="s">
        <v>1531</v>
      </c>
    </row>
    <row r="78" spans="1:5" ht="20.100000000000001" customHeight="1" x14ac:dyDescent="0.2">
      <c r="A78"/>
    </row>
    <row r="79" spans="1:5" ht="20.100000000000001" customHeight="1" x14ac:dyDescent="0.2">
      <c r="A79"/>
    </row>
    <row r="80" spans="1:5" ht="20.100000000000001" customHeight="1" x14ac:dyDescent="0.2">
      <c r="A80"/>
    </row>
    <row r="81" spans="1:20" ht="20.100000000000001" customHeight="1" x14ac:dyDescent="0.2">
      <c r="A81"/>
      <c r="D81" s="2" t="s">
        <v>2053</v>
      </c>
    </row>
    <row r="82" spans="1:20" ht="20.100000000000001" customHeight="1" x14ac:dyDescent="0.2">
      <c r="A82"/>
      <c r="D82" s="17" t="s">
        <v>2054</v>
      </c>
    </row>
    <row r="83" spans="1:20" ht="20.100000000000001" customHeight="1" x14ac:dyDescent="0.2">
      <c r="A83"/>
      <c r="D83" s="26" t="str" cm="1">
        <f t="array" ref="D83:D87">"⚠️" &amp; Common_SourceData.Common_SourceData_ClimateZones_Variation()</f>
        <v>⚠️VARIATION OF SOURCE DATA:</v>
      </c>
    </row>
    <row r="84" spans="1:20" ht="20.100000000000001" customHeight="1" x14ac:dyDescent="0.2">
      <c r="A84"/>
      <c r="D84" s="26" t="str">
        <v>⚠️Added warm / cool temperate moist / dry - low frost and high temp classes to accommodate climate scenarios excluded by VEERG criteria.</v>
      </c>
    </row>
    <row r="85" spans="1:20" ht="20.100000000000001" customHeight="1" x14ac:dyDescent="0.2">
      <c r="A85"/>
      <c r="D85" s="26" t="str">
        <v>⚠️Fixed typo in MAT value for warm temperate dry - changed 10 to 11.</v>
      </c>
    </row>
    <row r="86" spans="1:20" ht="20.100000000000001" customHeight="1" x14ac:dyDescent="0.2">
      <c r="A86"/>
      <c r="D86" s="26" t="str">
        <v>⚠️Added min and max columns for MAT, MAP, frost days per year, elevation, MAP:PET to calculate zones from real climate data.</v>
      </c>
    </row>
    <row r="87" spans="1:20" ht="20.100000000000001" customHeight="1" x14ac:dyDescent="0.2">
      <c r="A87"/>
      <c r="D87" s="26" t="str">
        <v>⚠️GAF accepts rainfall as a proxy for precipitation.</v>
      </c>
    </row>
    <row r="88" spans="1:20" ht="20.100000000000001" customHeight="1" x14ac:dyDescent="0.2">
      <c r="A88"/>
    </row>
    <row r="89" spans="1:20" ht="20.100000000000001" customHeight="1" x14ac:dyDescent="0.2">
      <c r="A89" s="81" t="str">
        <f>HYPERLINK("#A1", "▲ Back to top")</f>
        <v>▲ Back to top</v>
      </c>
      <c r="D89" s="20" t="s">
        <v>31</v>
      </c>
      <c r="E89" s="20" t="s">
        <v>33</v>
      </c>
      <c r="F89" s="20" t="s">
        <v>34</v>
      </c>
      <c r="G89" s="20" t="s">
        <v>35</v>
      </c>
      <c r="H89" s="20" t="s">
        <v>36</v>
      </c>
      <c r="I89" s="20" t="s">
        <v>37</v>
      </c>
      <c r="J89" s="20" t="s">
        <v>38</v>
      </c>
      <c r="K89" s="20" t="s">
        <v>39</v>
      </c>
      <c r="L89" s="20" t="s">
        <v>40</v>
      </c>
      <c r="M89" s="20" t="s">
        <v>41</v>
      </c>
      <c r="N89" s="20" t="s">
        <v>42</v>
      </c>
      <c r="O89" s="20" t="s">
        <v>43</v>
      </c>
      <c r="P89" s="20" t="s">
        <v>44</v>
      </c>
      <c r="Q89" s="20" t="s">
        <v>45</v>
      </c>
      <c r="R89" s="20" t="s">
        <v>46</v>
      </c>
      <c r="S89" s="20" t="s">
        <v>47</v>
      </c>
      <c r="T89" s="20"/>
    </row>
    <row r="90" spans="1:20" ht="20.100000000000001" customHeight="1" x14ac:dyDescent="0.2">
      <c r="A90"/>
      <c r="D90" s="20" t="s">
        <v>2039</v>
      </c>
      <c r="E90" s="20" t="s">
        <v>2055</v>
      </c>
      <c r="F90" s="20" t="s">
        <v>2056</v>
      </c>
      <c r="G90" s="20" t="s">
        <v>2057</v>
      </c>
      <c r="H90" s="20" t="s">
        <v>2058</v>
      </c>
      <c r="I90" s="20" t="s">
        <v>2056</v>
      </c>
      <c r="J90" s="20">
        <v>18.001000000000001</v>
      </c>
      <c r="K90" s="20">
        <v>999999</v>
      </c>
      <c r="L90" s="20">
        <v>-999999</v>
      </c>
      <c r="M90" s="20">
        <v>999999</v>
      </c>
      <c r="N90" s="20">
        <v>-999999</v>
      </c>
      <c r="O90" s="20">
        <v>7</v>
      </c>
      <c r="P90" s="20">
        <v>1000</v>
      </c>
      <c r="Q90" s="20">
        <v>999999</v>
      </c>
      <c r="R90" s="20">
        <v>-999999</v>
      </c>
      <c r="S90" s="20">
        <v>999999</v>
      </c>
      <c r="T90" s="20"/>
    </row>
    <row r="91" spans="1:20" ht="20.100000000000001" customHeight="1" x14ac:dyDescent="0.2">
      <c r="A91"/>
      <c r="D91" s="20" t="s">
        <v>2040</v>
      </c>
      <c r="E91" s="20" t="s">
        <v>2055</v>
      </c>
      <c r="F91" s="20" t="s">
        <v>2059</v>
      </c>
      <c r="G91" s="20" t="s">
        <v>2057</v>
      </c>
      <c r="H91" s="20" t="s">
        <v>2060</v>
      </c>
      <c r="I91" s="20" t="s">
        <v>2056</v>
      </c>
      <c r="J91" s="20">
        <v>18.001000000000001</v>
      </c>
      <c r="K91" s="20">
        <v>999999</v>
      </c>
      <c r="L91" s="20">
        <v>2000.001</v>
      </c>
      <c r="M91" s="20">
        <v>999999</v>
      </c>
      <c r="N91" s="20">
        <v>-999999</v>
      </c>
      <c r="O91" s="20">
        <v>7</v>
      </c>
      <c r="P91" s="20">
        <v>-999999</v>
      </c>
      <c r="Q91" s="20">
        <v>999.99900000000002</v>
      </c>
      <c r="R91" s="20">
        <v>-999999</v>
      </c>
      <c r="S91" s="20">
        <v>999999</v>
      </c>
      <c r="T91" s="20"/>
    </row>
    <row r="92" spans="1:20" ht="20.100000000000001" customHeight="1" x14ac:dyDescent="0.2">
      <c r="A92"/>
      <c r="D92" s="20" t="s">
        <v>2041</v>
      </c>
      <c r="E92" s="20" t="s">
        <v>2055</v>
      </c>
      <c r="F92" s="20" t="s">
        <v>2061</v>
      </c>
      <c r="G92" s="20" t="s">
        <v>2057</v>
      </c>
      <c r="H92" s="20" t="s">
        <v>2060</v>
      </c>
      <c r="I92" s="20" t="s">
        <v>2056</v>
      </c>
      <c r="J92" s="20">
        <v>18.001000000000001</v>
      </c>
      <c r="K92" s="20">
        <v>999999</v>
      </c>
      <c r="L92" s="20">
        <v>1000.001</v>
      </c>
      <c r="M92" s="20">
        <v>2000</v>
      </c>
      <c r="N92" s="20">
        <v>-999999</v>
      </c>
      <c r="O92" s="20">
        <v>7</v>
      </c>
      <c r="P92" s="20">
        <v>-999999</v>
      </c>
      <c r="Q92" s="20">
        <v>999.99900000000002</v>
      </c>
      <c r="R92" s="20">
        <v>-999999</v>
      </c>
      <c r="S92" s="20">
        <v>999999</v>
      </c>
      <c r="T92" s="20"/>
    </row>
    <row r="93" spans="1:20" ht="20.100000000000001" customHeight="1" x14ac:dyDescent="0.2">
      <c r="A93"/>
      <c r="D93" s="20" t="s">
        <v>2042</v>
      </c>
      <c r="E93" s="20" t="s">
        <v>2055</v>
      </c>
      <c r="F93" s="20" t="s">
        <v>2062</v>
      </c>
      <c r="G93" s="20" t="s">
        <v>2057</v>
      </c>
      <c r="H93" s="20" t="s">
        <v>2060</v>
      </c>
      <c r="I93" s="20" t="s">
        <v>2056</v>
      </c>
      <c r="J93" s="20">
        <v>18.001000000000001</v>
      </c>
      <c r="K93" s="20">
        <v>999999</v>
      </c>
      <c r="L93" s="20">
        <v>-999999</v>
      </c>
      <c r="M93" s="20">
        <v>1000</v>
      </c>
      <c r="N93" s="20">
        <v>-999999</v>
      </c>
      <c r="O93" s="20">
        <v>7</v>
      </c>
      <c r="P93" s="20">
        <v>-999999</v>
      </c>
      <c r="Q93" s="20">
        <v>999.99900000000002</v>
      </c>
      <c r="R93" s="20">
        <v>-999999</v>
      </c>
      <c r="S93" s="20">
        <v>999999</v>
      </c>
      <c r="T93" s="20"/>
    </row>
    <row r="94" spans="1:20" ht="20.100000000000001" customHeight="1" x14ac:dyDescent="0.2">
      <c r="A94"/>
      <c r="D94" s="20" t="s">
        <v>2043</v>
      </c>
      <c r="E94" s="20" t="s">
        <v>2063</v>
      </c>
      <c r="F94" s="20" t="s">
        <v>2056</v>
      </c>
      <c r="G94" s="20" t="s">
        <v>2056</v>
      </c>
      <c r="H94" s="20" t="s">
        <v>2056</v>
      </c>
      <c r="I94" s="20" t="s">
        <v>2064</v>
      </c>
      <c r="J94" s="20">
        <v>10.000999999999999</v>
      </c>
      <c r="K94" s="20">
        <v>999999</v>
      </c>
      <c r="L94" s="20">
        <v>-999999</v>
      </c>
      <c r="M94" s="20">
        <v>999999</v>
      </c>
      <c r="N94" s="20">
        <v>-999999</v>
      </c>
      <c r="O94" s="20">
        <v>999999</v>
      </c>
      <c r="P94" s="20">
        <v>-999999</v>
      </c>
      <c r="Q94" s="20">
        <v>999999</v>
      </c>
      <c r="R94" s="20">
        <v>1.0009999999999999</v>
      </c>
      <c r="S94" s="20">
        <v>999999</v>
      </c>
      <c r="T94" s="20"/>
    </row>
    <row r="95" spans="1:20" ht="20.100000000000001" customHeight="1" x14ac:dyDescent="0.2">
      <c r="A95"/>
      <c r="D95" s="20" t="s">
        <v>2044</v>
      </c>
      <c r="E95" s="20" t="s">
        <v>2063</v>
      </c>
      <c r="F95" s="20" t="s">
        <v>2056</v>
      </c>
      <c r="G95" s="20" t="s">
        <v>2056</v>
      </c>
      <c r="H95" s="20" t="s">
        <v>2056</v>
      </c>
      <c r="I95" s="20" t="s">
        <v>2065</v>
      </c>
      <c r="J95" s="20">
        <v>10.000999999999999</v>
      </c>
      <c r="K95" s="20">
        <v>999999</v>
      </c>
      <c r="L95" s="20">
        <v>-999999</v>
      </c>
      <c r="M95" s="20">
        <v>999999</v>
      </c>
      <c r="N95" s="20">
        <v>-999999</v>
      </c>
      <c r="O95" s="20">
        <v>999999</v>
      </c>
      <c r="P95" s="20">
        <v>-999999</v>
      </c>
      <c r="Q95" s="20">
        <v>999999</v>
      </c>
      <c r="R95" s="20">
        <v>-999999</v>
      </c>
      <c r="S95" s="20">
        <v>1</v>
      </c>
      <c r="T95" s="20"/>
    </row>
    <row r="96" spans="1:20" ht="20.100000000000001" customHeight="1" x14ac:dyDescent="0.2">
      <c r="A96"/>
      <c r="D96" s="20" t="s">
        <v>2045</v>
      </c>
      <c r="E96" s="20" t="s">
        <v>2066</v>
      </c>
      <c r="F96" s="20" t="s">
        <v>2056</v>
      </c>
      <c r="G96" s="20" t="s">
        <v>2056</v>
      </c>
      <c r="H96" s="20" t="s">
        <v>2056</v>
      </c>
      <c r="I96" s="20" t="s">
        <v>2064</v>
      </c>
      <c r="J96" s="20">
        <v>-999999</v>
      </c>
      <c r="K96" s="20">
        <v>10</v>
      </c>
      <c r="L96" s="20">
        <v>-999999</v>
      </c>
      <c r="M96" s="20">
        <v>999999</v>
      </c>
      <c r="N96" s="20">
        <v>-999999</v>
      </c>
      <c r="O96" s="20">
        <v>999999</v>
      </c>
      <c r="P96" s="20">
        <v>-999999</v>
      </c>
      <c r="Q96" s="20">
        <v>999999</v>
      </c>
      <c r="R96" s="20">
        <v>1.0009999999999999</v>
      </c>
      <c r="S96" s="20">
        <v>999999</v>
      </c>
      <c r="T96" s="20"/>
    </row>
    <row r="97" spans="1:20" ht="20.100000000000001" customHeight="1" x14ac:dyDescent="0.2">
      <c r="A97"/>
      <c r="D97" s="20" t="s">
        <v>2046</v>
      </c>
      <c r="E97" s="20" t="s">
        <v>2066</v>
      </c>
      <c r="F97" s="20" t="s">
        <v>2056</v>
      </c>
      <c r="G97" s="20" t="s">
        <v>2056</v>
      </c>
      <c r="H97" s="20" t="s">
        <v>2056</v>
      </c>
      <c r="I97" s="20" t="s">
        <v>2065</v>
      </c>
      <c r="J97" s="20">
        <v>-999999</v>
      </c>
      <c r="K97" s="20">
        <v>10</v>
      </c>
      <c r="L97" s="20">
        <v>-999999</v>
      </c>
      <c r="M97" s="20">
        <v>999999</v>
      </c>
      <c r="N97" s="20">
        <v>-999999</v>
      </c>
      <c r="O97" s="20">
        <v>999999</v>
      </c>
      <c r="P97" s="20">
        <v>-999999</v>
      </c>
      <c r="Q97" s="20">
        <v>999999</v>
      </c>
      <c r="R97" s="20">
        <v>-999999</v>
      </c>
      <c r="S97" s="20">
        <v>1</v>
      </c>
      <c r="T97" s="20"/>
    </row>
    <row r="98" spans="1:20" ht="20.100000000000001" customHeight="1" x14ac:dyDescent="0.2">
      <c r="A98"/>
    </row>
    <row r="99" spans="1:20" ht="20.100000000000001" customHeight="1" x14ac:dyDescent="0.2">
      <c r="A99"/>
      <c r="D99" s="9" t="s">
        <v>2067</v>
      </c>
    </row>
    <row r="100" spans="1:20" ht="20.100000000000001" customHeight="1" x14ac:dyDescent="0.2">
      <c r="A100"/>
      <c r="D100" s="9" t="s">
        <v>2068</v>
      </c>
    </row>
    <row r="101" spans="1:20" ht="20.100000000000001" customHeight="1" x14ac:dyDescent="0.2">
      <c r="A101"/>
      <c r="D101" s="9" t="s">
        <v>2069</v>
      </c>
    </row>
    <row r="102" spans="1:20" ht="20.100000000000001" customHeight="1" x14ac:dyDescent="0.2">
      <c r="A102"/>
      <c r="D102" s="9" t="s">
        <v>2070</v>
      </c>
    </row>
    <row r="103" spans="1:20" ht="20.100000000000001" customHeight="1" x14ac:dyDescent="0.2">
      <c r="A103"/>
      <c r="D103" s="9"/>
    </row>
    <row r="104" spans="1:20" ht="20.100000000000001" customHeight="1" x14ac:dyDescent="0.2">
      <c r="A104"/>
    </row>
    <row r="105" spans="1:20" ht="20.100000000000001" customHeight="1" x14ac:dyDescent="0.2">
      <c r="A105"/>
      <c r="D105" s="2" t="s">
        <v>2071</v>
      </c>
    </row>
    <row r="106" spans="1:20" ht="20.100000000000001" customHeight="1" x14ac:dyDescent="0.2">
      <c r="A106"/>
      <c r="D106" s="17" t="s">
        <v>2054</v>
      </c>
    </row>
    <row r="107" spans="1:20" ht="20.100000000000001" customHeight="1" x14ac:dyDescent="0.2">
      <c r="A107"/>
      <c r="D107" s="26" t="str" cm="1">
        <f t="array" ref="D107">"⚠️" &amp; Common_SourceData.Common_SourceData_TemperatureZones_Variation()</f>
        <v>⚠️VARIATION OF SOURCE DATA: Added extra MAT min and MAT max columns to calculate zone from real temperature data.</v>
      </c>
    </row>
    <row r="108" spans="1:20" ht="20.100000000000001" customHeight="1" x14ac:dyDescent="0.2">
      <c r="A108"/>
    </row>
    <row r="109" spans="1:20" ht="20.100000000000001" customHeight="1" x14ac:dyDescent="0.2">
      <c r="A109"/>
      <c r="D109" s="20" t="s">
        <v>48</v>
      </c>
      <c r="E109" s="20" t="s">
        <v>33</v>
      </c>
      <c r="F109" s="20" t="s">
        <v>49</v>
      </c>
      <c r="G109" s="20" t="s">
        <v>50</v>
      </c>
    </row>
    <row r="110" spans="1:20" ht="20.100000000000001" customHeight="1" x14ac:dyDescent="0.2">
      <c r="A110"/>
      <c r="D110" s="20" t="s">
        <v>2072</v>
      </c>
      <c r="E110" s="20" t="s">
        <v>2073</v>
      </c>
      <c r="F110" s="20">
        <v>26</v>
      </c>
      <c r="G110" s="20">
        <v>999999</v>
      </c>
    </row>
    <row r="111" spans="1:20" ht="20.100000000000001" customHeight="1" x14ac:dyDescent="0.2">
      <c r="A111"/>
      <c r="D111" s="20" t="s">
        <v>2074</v>
      </c>
      <c r="E111" s="20" t="s">
        <v>2075</v>
      </c>
      <c r="F111" s="20">
        <v>15</v>
      </c>
      <c r="G111" s="20">
        <v>25.998999999999999</v>
      </c>
    </row>
    <row r="112" spans="1:20" ht="20.100000000000001" customHeight="1" x14ac:dyDescent="0.2">
      <c r="A112"/>
      <c r="D112" s="20" t="s">
        <v>2076</v>
      </c>
      <c r="E112" s="20" t="s">
        <v>2077</v>
      </c>
      <c r="F112" s="20">
        <v>-999999</v>
      </c>
      <c r="G112" s="20">
        <v>14.999000000000001</v>
      </c>
    </row>
    <row r="113" spans="1:66" ht="20.100000000000001" customHeight="1" x14ac:dyDescent="0.2">
      <c r="A113"/>
    </row>
    <row r="114" spans="1:66" ht="20.100000000000001" customHeight="1" x14ac:dyDescent="0.2">
      <c r="A114"/>
    </row>
    <row r="115" spans="1:66" ht="20.100000000000001" customHeight="1" x14ac:dyDescent="0.2">
      <c r="A115"/>
      <c r="D115" s="2" t="s">
        <v>2078</v>
      </c>
      <c r="BN115" s="22"/>
    </row>
    <row r="116" spans="1:66" ht="20.100000000000001" customHeight="1" x14ac:dyDescent="0.2">
      <c r="A116"/>
      <c r="D116" s="17" t="s">
        <v>2054</v>
      </c>
      <c r="BN116" s="22"/>
    </row>
    <row r="117" spans="1:66" ht="20.100000000000001" customHeight="1" x14ac:dyDescent="0.2">
      <c r="A117"/>
      <c r="D117" s="26" t="str" cm="1">
        <f t="array" ref="D117">"⚠️" &amp; Common_SourceData.Common_SourceData_RainfallZones_Variation()</f>
        <v>⚠️VARIATION OF SOURCE DATA: Added extra Rainfall min and Rainfall max columns to calculate zone from real rainfall data.</v>
      </c>
      <c r="BN117" s="22"/>
    </row>
    <row r="118" spans="1:66" ht="20.100000000000001" customHeight="1" x14ac:dyDescent="0.2">
      <c r="A118"/>
      <c r="BN118" s="22"/>
    </row>
    <row r="119" spans="1:66" ht="20.100000000000001" customHeight="1" x14ac:dyDescent="0.2">
      <c r="A119" s="81" t="str">
        <f>HYPERLINK("#A1", "▲ Back to top")</f>
        <v>▲ Back to top</v>
      </c>
      <c r="D119" s="20" t="s">
        <v>51</v>
      </c>
      <c r="E119" s="20" t="s">
        <v>52</v>
      </c>
      <c r="F119" s="20" t="s">
        <v>40</v>
      </c>
      <c r="G119" s="20" t="s">
        <v>41</v>
      </c>
      <c r="BN119" s="22"/>
    </row>
    <row r="120" spans="1:66" ht="20.100000000000001" customHeight="1" x14ac:dyDescent="0.2">
      <c r="A120"/>
      <c r="D120" s="20" t="s">
        <v>2079</v>
      </c>
      <c r="E120" s="20" t="s">
        <v>2080</v>
      </c>
      <c r="F120" s="20">
        <v>600.00099999999998</v>
      </c>
      <c r="G120" s="20">
        <v>999999</v>
      </c>
      <c r="BN120" s="22"/>
    </row>
    <row r="121" spans="1:66" ht="20.100000000000001" customHeight="1" x14ac:dyDescent="0.2">
      <c r="A121"/>
      <c r="D121" s="20" t="s">
        <v>2081</v>
      </c>
      <c r="E121" s="20" t="s">
        <v>2082</v>
      </c>
      <c r="F121" s="20">
        <v>-999999</v>
      </c>
      <c r="G121" s="20">
        <v>600</v>
      </c>
      <c r="BN121" s="22"/>
    </row>
    <row r="122" spans="1:66" ht="20.100000000000001" customHeight="1" x14ac:dyDescent="0.2">
      <c r="A122"/>
      <c r="BN122" s="22"/>
    </row>
    <row r="123" spans="1:66" ht="20.100000000000001" customHeight="1" x14ac:dyDescent="0.2">
      <c r="A123"/>
    </row>
    <row r="124" spans="1:66" ht="20.100000000000001" customHeight="1" x14ac:dyDescent="0.2">
      <c r="A124"/>
      <c r="D124" s="2" t="s">
        <v>2083</v>
      </c>
    </row>
    <row r="125" spans="1:66" ht="20.100000000000001" customHeight="1" x14ac:dyDescent="0.2">
      <c r="A125"/>
      <c r="D125" s="17" t="s">
        <v>2054</v>
      </c>
    </row>
    <row r="126" spans="1:66" ht="20.100000000000001" customHeight="1" x14ac:dyDescent="0.2">
      <c r="A126"/>
    </row>
    <row r="127" spans="1:66" ht="20.100000000000001" customHeight="1" x14ac:dyDescent="0.2">
      <c r="A127"/>
      <c r="D127" s="20" t="s">
        <v>53</v>
      </c>
      <c r="E127" s="20" t="s">
        <v>54</v>
      </c>
    </row>
    <row r="128" spans="1:66" ht="20.100000000000001" customHeight="1" x14ac:dyDescent="0.2">
      <c r="A128"/>
      <c r="D128" s="20" t="s">
        <v>2084</v>
      </c>
      <c r="E128" s="20" t="s">
        <v>2085</v>
      </c>
    </row>
    <row r="129" spans="1:77" ht="20.100000000000001" customHeight="1" x14ac:dyDescent="0.2">
      <c r="A129"/>
      <c r="D129" s="20" t="s">
        <v>2086</v>
      </c>
      <c r="E129" s="20" t="s">
        <v>2087</v>
      </c>
    </row>
    <row r="130" spans="1:77" ht="20.100000000000001" customHeight="1" x14ac:dyDescent="0.2">
      <c r="A130"/>
    </row>
    <row r="131" spans="1:77" ht="20.100000000000001" customHeight="1" x14ac:dyDescent="0.2">
      <c r="A131"/>
    </row>
    <row r="132" spans="1:77" ht="20.100000000000001" customHeight="1" x14ac:dyDescent="0.2">
      <c r="A132"/>
      <c r="D132" s="2" t="s">
        <v>2088</v>
      </c>
      <c r="E132" s="8"/>
    </row>
    <row r="133" spans="1:77" ht="20.100000000000001" customHeight="1" x14ac:dyDescent="0.2">
      <c r="A133"/>
      <c r="D133" s="17" t="s">
        <v>2089</v>
      </c>
      <c r="E133" s="8"/>
    </row>
    <row r="134" spans="1:77" ht="20.100000000000001" customHeight="1" x14ac:dyDescent="0.2">
      <c r="A134"/>
      <c r="D134" t="s">
        <v>55</v>
      </c>
      <c r="E134" t="s">
        <v>56</v>
      </c>
    </row>
    <row r="135" spans="1:77" ht="20.100000000000001" customHeight="1" x14ac:dyDescent="0.2">
      <c r="A135"/>
      <c r="D135" t="s">
        <v>2090</v>
      </c>
      <c r="E135">
        <v>1</v>
      </c>
    </row>
    <row r="136" spans="1:77" ht="20.100000000000001" customHeight="1" x14ac:dyDescent="0.2">
      <c r="A136"/>
      <c r="D136" s="1" t="s">
        <v>2091</v>
      </c>
      <c r="E136" s="20">
        <v>0</v>
      </c>
    </row>
    <row r="137" spans="1:77" ht="20.100000000000001" customHeight="1" x14ac:dyDescent="0.2">
      <c r="A137"/>
    </row>
    <row r="138" spans="1:77" ht="20.100000000000001" customHeight="1" x14ac:dyDescent="0.2">
      <c r="A138"/>
      <c r="BN138" s="22"/>
      <c r="BO138" s="22"/>
      <c r="BP138" s="22"/>
      <c r="BQ138" s="22"/>
      <c r="BR138" s="22"/>
      <c r="BS138" s="22"/>
      <c r="BT138" s="22"/>
      <c r="BU138" s="22"/>
      <c r="BV138" s="22"/>
      <c r="BW138" s="22"/>
      <c r="BX138" s="22"/>
      <c r="BY138" s="22"/>
    </row>
    <row r="139" spans="1:77" ht="20.100000000000001" customHeight="1" x14ac:dyDescent="0.2">
      <c r="A139"/>
      <c r="D139" s="2" t="s">
        <v>2092</v>
      </c>
      <c r="BN139" s="22"/>
      <c r="BO139" s="22"/>
      <c r="BP139" s="22"/>
      <c r="BQ139" s="22"/>
      <c r="BR139" s="22"/>
      <c r="BS139" s="22"/>
      <c r="BT139" s="22"/>
      <c r="BU139" s="22"/>
      <c r="BV139" s="22"/>
      <c r="BW139" s="22"/>
      <c r="BX139" s="22"/>
      <c r="BY139" s="22"/>
    </row>
    <row r="140" spans="1:77" ht="20.100000000000001" customHeight="1" x14ac:dyDescent="0.2">
      <c r="A140"/>
      <c r="D140" s="17" t="s">
        <v>2093</v>
      </c>
      <c r="BN140" s="22"/>
      <c r="BO140" s="22"/>
      <c r="BP140" s="22"/>
      <c r="BQ140" s="22"/>
      <c r="BR140" s="22"/>
      <c r="BS140" s="22"/>
      <c r="BT140" s="22"/>
      <c r="BU140" s="22"/>
      <c r="BV140" s="22"/>
      <c r="BW140" s="22"/>
      <c r="BX140" s="22"/>
      <c r="BY140" s="22"/>
    </row>
    <row r="141" spans="1:77" ht="20.100000000000001" customHeight="1" x14ac:dyDescent="0.2">
      <c r="A141"/>
      <c r="D141" s="26" t="s">
        <v>2094</v>
      </c>
      <c r="BN141" s="22"/>
    </row>
    <row r="142" spans="1:77" ht="20.100000000000001" customHeight="1" x14ac:dyDescent="0.2">
      <c r="A142"/>
      <c r="D142" s="20" t="s">
        <v>57</v>
      </c>
      <c r="E142" s="20" t="s">
        <v>56</v>
      </c>
      <c r="BN142" s="22"/>
    </row>
    <row r="143" spans="1:77" ht="20.100000000000001" customHeight="1" x14ac:dyDescent="0.2">
      <c r="A143"/>
      <c r="D143" s="20" t="s">
        <v>470</v>
      </c>
      <c r="E143" s="20">
        <v>0</v>
      </c>
      <c r="BN143" s="22"/>
    </row>
    <row r="144" spans="1:77" ht="20.100000000000001" customHeight="1" x14ac:dyDescent="0.2">
      <c r="A144"/>
      <c r="D144" s="1" t="s">
        <v>473</v>
      </c>
      <c r="E144" s="20">
        <v>0</v>
      </c>
      <c r="BN144" s="22"/>
    </row>
    <row r="145" spans="1:66" ht="20.100000000000001" customHeight="1" x14ac:dyDescent="0.2">
      <c r="A145"/>
      <c r="D145" s="1" t="s">
        <v>475</v>
      </c>
      <c r="E145" s="20">
        <v>1</v>
      </c>
      <c r="BN145" s="22"/>
    </row>
    <row r="146" spans="1:66" ht="20.100000000000001" customHeight="1" x14ac:dyDescent="0.2">
      <c r="A146"/>
      <c r="D146" s="1" t="s">
        <v>477</v>
      </c>
      <c r="E146" s="20">
        <v>1</v>
      </c>
      <c r="BN146" s="22"/>
    </row>
    <row r="147" spans="1:66" ht="20.100000000000001" customHeight="1" x14ac:dyDescent="0.2">
      <c r="A147"/>
      <c r="D147" s="1" t="s">
        <v>478</v>
      </c>
      <c r="E147" s="20">
        <v>1</v>
      </c>
      <c r="BN147" s="22"/>
    </row>
    <row r="148" spans="1:66" ht="20.100000000000001" customHeight="1" x14ac:dyDescent="0.2">
      <c r="A148"/>
      <c r="BN148" s="22"/>
    </row>
    <row r="149" spans="1:66" ht="20.100000000000001" customHeight="1" x14ac:dyDescent="0.2">
      <c r="A149" s="81" t="str">
        <f>HYPERLINK("#A1", "▲ Back to top")</f>
        <v>▲ Back to top</v>
      </c>
      <c r="BN149" s="22"/>
    </row>
    <row r="150" spans="1:66" ht="20.100000000000001" customHeight="1" x14ac:dyDescent="0.2">
      <c r="A150"/>
      <c r="D150" s="2" t="s">
        <v>2095</v>
      </c>
      <c r="BN150" s="22"/>
    </row>
    <row r="151" spans="1:66" ht="20.100000000000001" customHeight="1" x14ac:dyDescent="0.2">
      <c r="A151"/>
      <c r="D151" s="17" t="s">
        <v>2096</v>
      </c>
      <c r="BN151" s="22"/>
    </row>
    <row r="152" spans="1:66" ht="20.100000000000001" customHeight="1" x14ac:dyDescent="0.2">
      <c r="A152"/>
      <c r="BN152" s="22"/>
    </row>
    <row r="153" spans="1:66" ht="20.100000000000001" customHeight="1" x14ac:dyDescent="0.2">
      <c r="A153"/>
      <c r="D153" s="20" t="s">
        <v>58</v>
      </c>
      <c r="E153" s="20" t="s">
        <v>59</v>
      </c>
      <c r="BC153" s="25"/>
      <c r="BD153" s="25"/>
      <c r="BE153" s="25"/>
      <c r="BF153" s="25"/>
      <c r="BG153" s="25"/>
      <c r="BH153" s="25"/>
      <c r="BI153" s="25"/>
      <c r="BJ153" s="25"/>
      <c r="BK153" s="25"/>
      <c r="BL153" s="25"/>
      <c r="BM153" s="25"/>
    </row>
    <row r="154" spans="1:66" ht="20.100000000000001" customHeight="1" x14ac:dyDescent="0.2">
      <c r="A154"/>
      <c r="D154" s="20" t="s">
        <v>2097</v>
      </c>
      <c r="E154" s="20">
        <v>1</v>
      </c>
      <c r="BC154" s="25"/>
      <c r="BD154" s="25"/>
      <c r="BE154" s="25"/>
      <c r="BF154" s="25"/>
      <c r="BG154" s="25"/>
      <c r="BH154" s="25"/>
      <c r="BI154" s="25"/>
      <c r="BJ154" s="25"/>
      <c r="BK154" s="25"/>
      <c r="BL154" s="25"/>
      <c r="BM154" s="25"/>
    </row>
    <row r="155" spans="1:66" ht="20.100000000000001" customHeight="1" x14ac:dyDescent="0.2">
      <c r="A155"/>
      <c r="D155" s="20" t="s">
        <v>2098</v>
      </c>
      <c r="E155" s="20">
        <v>2</v>
      </c>
      <c r="BC155" s="25"/>
      <c r="BD155" s="25"/>
      <c r="BE155" s="25"/>
      <c r="BF155" s="25"/>
      <c r="BG155" s="25"/>
      <c r="BH155" s="25"/>
      <c r="BI155" s="25"/>
      <c r="BJ155" s="25"/>
      <c r="BK155" s="25"/>
      <c r="BL155" s="25"/>
      <c r="BM155" s="25"/>
    </row>
    <row r="156" spans="1:66" ht="20.100000000000001" customHeight="1" x14ac:dyDescent="0.2">
      <c r="A156"/>
      <c r="D156" s="20" t="s">
        <v>2099</v>
      </c>
      <c r="E156" s="20">
        <v>3</v>
      </c>
    </row>
    <row r="157" spans="1:66" ht="20.100000000000001" customHeight="1" x14ac:dyDescent="0.2">
      <c r="A157"/>
      <c r="D157" s="20" t="s">
        <v>2100</v>
      </c>
      <c r="E157" s="20">
        <v>4</v>
      </c>
    </row>
    <row r="158" spans="1:66" ht="20.100000000000001" customHeight="1" x14ac:dyDescent="0.2">
      <c r="A158"/>
      <c r="D158" s="20" t="s">
        <v>867</v>
      </c>
      <c r="E158" s="20">
        <v>5</v>
      </c>
    </row>
    <row r="159" spans="1:66" ht="20.100000000000001" customHeight="1" x14ac:dyDescent="0.2">
      <c r="A159"/>
    </row>
    <row r="160" spans="1:66" ht="20.100000000000001" customHeight="1" x14ac:dyDescent="0.2">
      <c r="A160"/>
    </row>
    <row r="161" spans="1:68" ht="20.100000000000001" customHeight="1" x14ac:dyDescent="0.2">
      <c r="A161"/>
      <c r="D161" s="2" t="s">
        <v>2088</v>
      </c>
      <c r="E161" s="8"/>
    </row>
    <row r="162" spans="1:68" ht="20.100000000000001" customHeight="1" x14ac:dyDescent="0.2">
      <c r="A162"/>
      <c r="D162" s="17" t="s">
        <v>2089</v>
      </c>
      <c r="E162" s="8"/>
    </row>
    <row r="163" spans="1:68" ht="20.100000000000001" customHeight="1" x14ac:dyDescent="0.2">
      <c r="A163"/>
      <c r="D163" s="17" t="s">
        <v>2101</v>
      </c>
      <c r="E163" s="8"/>
    </row>
    <row r="164" spans="1:68" ht="20.100000000000001" customHeight="1" x14ac:dyDescent="0.2">
      <c r="A164"/>
      <c r="D164" s="8" t="s">
        <v>1155</v>
      </c>
      <c r="E164" s="8">
        <v>0.24</v>
      </c>
    </row>
    <row r="165" spans="1:68" ht="20.100000000000001" customHeight="1" x14ac:dyDescent="0.2">
      <c r="A165"/>
      <c r="BN165" s="22"/>
      <c r="BO165" s="22"/>
      <c r="BP165" s="22"/>
    </row>
    <row r="166" spans="1:68" ht="20.100000000000001" customHeight="1" x14ac:dyDescent="0.2">
      <c r="A166"/>
      <c r="BN166" s="22"/>
      <c r="BO166" s="22"/>
      <c r="BP166" s="22"/>
    </row>
    <row r="167" spans="1:68" ht="20.100000000000001" customHeight="1" x14ac:dyDescent="0.2">
      <c r="A167"/>
      <c r="D167" s="2" t="s">
        <v>1632</v>
      </c>
      <c r="BN167" s="22"/>
      <c r="BO167" s="22"/>
      <c r="BP167" s="22"/>
    </row>
    <row r="168" spans="1:68" ht="20.100000000000001" customHeight="1" x14ac:dyDescent="0.2">
      <c r="A168"/>
      <c r="D168" s="17" t="s">
        <v>2089</v>
      </c>
      <c r="BN168" s="22"/>
      <c r="BO168" s="22"/>
      <c r="BP168" s="22"/>
    </row>
    <row r="169" spans="1:68" ht="20.100000000000001" customHeight="1" x14ac:dyDescent="0.2">
      <c r="A169"/>
      <c r="D169" s="17" t="s">
        <v>2102</v>
      </c>
      <c r="BN169" s="22"/>
      <c r="BO169" s="22"/>
      <c r="BP169" s="22"/>
    </row>
    <row r="170" spans="1:68" ht="20.100000000000001" customHeight="1" x14ac:dyDescent="0.2">
      <c r="A170"/>
      <c r="D170" s="1" t="s">
        <v>2103</v>
      </c>
      <c r="E170" s="1">
        <v>1.0999999999999999E-2</v>
      </c>
      <c r="BN170" s="22"/>
      <c r="BO170" s="22"/>
      <c r="BP170" s="22"/>
    </row>
    <row r="171" spans="1:68" ht="20.100000000000001" customHeight="1" x14ac:dyDescent="0.2">
      <c r="A171"/>
      <c r="BN171" s="22"/>
      <c r="BO171" s="22"/>
      <c r="BP171" s="22"/>
    </row>
    <row r="172" spans="1:68" ht="20.100000000000001" customHeight="1" x14ac:dyDescent="0.2">
      <c r="A172"/>
      <c r="BN172" s="22"/>
      <c r="BO172" s="22"/>
      <c r="BP172" s="22"/>
    </row>
    <row r="173" spans="1:68" ht="20.100000000000001" customHeight="1" x14ac:dyDescent="0.2">
      <c r="A173"/>
      <c r="D173" s="2" t="s">
        <v>2104</v>
      </c>
      <c r="BN173" s="22"/>
      <c r="BO173" s="22"/>
      <c r="BP173" s="22"/>
    </row>
    <row r="174" spans="1:68" ht="20.100000000000001" customHeight="1" x14ac:dyDescent="0.2">
      <c r="A174"/>
      <c r="D174" s="17" t="s">
        <v>2105</v>
      </c>
      <c r="BN174" s="22"/>
      <c r="BO174" s="22"/>
      <c r="BP174" s="22"/>
    </row>
    <row r="175" spans="1:68" ht="20.100000000000001" customHeight="1" x14ac:dyDescent="0.2">
      <c r="A175"/>
      <c r="D175" s="1">
        <v>0.6784</v>
      </c>
      <c r="E175" s="9" t="s">
        <v>2106</v>
      </c>
      <c r="BN175" s="22"/>
      <c r="BO175" s="22"/>
      <c r="BP175" s="22"/>
    </row>
    <row r="176" spans="1:68" ht="20.100000000000001" customHeight="1" x14ac:dyDescent="0.2">
      <c r="A176"/>
      <c r="BN176" s="22"/>
      <c r="BO176" s="22"/>
      <c r="BP176" s="22"/>
    </row>
    <row r="177" spans="1:68" ht="20.100000000000001" customHeight="1" x14ac:dyDescent="0.2">
      <c r="A177"/>
      <c r="BN177" s="22"/>
      <c r="BO177" s="22"/>
      <c r="BP177" s="22"/>
    </row>
    <row r="178" spans="1:68" ht="20.100000000000001" customHeight="1" x14ac:dyDescent="0.2">
      <c r="A178"/>
      <c r="D178" s="2" t="s">
        <v>2107</v>
      </c>
      <c r="BN178" s="22"/>
      <c r="BO178" s="22"/>
      <c r="BP178" s="22"/>
    </row>
    <row r="179" spans="1:68" ht="20.100000000000001" customHeight="1" x14ac:dyDescent="0.2">
      <c r="A179" s="81" t="str">
        <f>HYPERLINK("#A1", "▲ Back to top")</f>
        <v>▲ Back to top</v>
      </c>
      <c r="D179" s="17" t="s">
        <v>2108</v>
      </c>
      <c r="BN179" s="22"/>
      <c r="BO179" s="22"/>
      <c r="BP179" s="22"/>
    </row>
    <row r="180" spans="1:68" ht="20.100000000000001" customHeight="1" x14ac:dyDescent="0.2">
      <c r="A180"/>
      <c r="D180" s="9" t="s">
        <v>2109</v>
      </c>
    </row>
    <row r="181" spans="1:68" ht="20.100000000000001" customHeight="1" x14ac:dyDescent="0.2">
      <c r="A181"/>
      <c r="D181" s="26" t="s">
        <v>2110</v>
      </c>
    </row>
    <row r="182" spans="1:68" ht="20.100000000000001" customHeight="1" x14ac:dyDescent="0.2">
      <c r="A182"/>
      <c r="D182" s="26" t="s">
        <v>2111</v>
      </c>
    </row>
    <row r="183" spans="1:68" ht="20.100000000000001" customHeight="1" x14ac:dyDescent="0.2">
      <c r="A183"/>
      <c r="D183" s="26" t="s">
        <v>2112</v>
      </c>
    </row>
    <row r="184" spans="1:68" ht="20.100000000000001" customHeight="1" x14ac:dyDescent="0.2">
      <c r="A184"/>
      <c r="D184" s="26" t="s">
        <v>2113</v>
      </c>
    </row>
    <row r="185" spans="1:68" ht="20.100000000000001" customHeight="1" x14ac:dyDescent="0.2">
      <c r="A185"/>
      <c r="D185" s="26" t="s">
        <v>2114</v>
      </c>
    </row>
    <row r="186" spans="1:68" ht="20.100000000000001" customHeight="1" x14ac:dyDescent="0.2">
      <c r="A186"/>
      <c r="D186" s="20" t="s">
        <v>60</v>
      </c>
      <c r="E186" s="20" t="s">
        <v>61</v>
      </c>
      <c r="F186" s="20" t="s">
        <v>62</v>
      </c>
      <c r="G186" s="20" t="s">
        <v>63</v>
      </c>
      <c r="H186" s="20" t="s">
        <v>64</v>
      </c>
    </row>
    <row r="187" spans="1:68" ht="20.100000000000001" customHeight="1" x14ac:dyDescent="0.2">
      <c r="A187"/>
      <c r="D187" s="20" t="s">
        <v>2115</v>
      </c>
      <c r="E187" s="20">
        <v>5.8999999999999999E-3</v>
      </c>
      <c r="F187" s="20" t="s">
        <v>469</v>
      </c>
      <c r="G187" s="20" t="s">
        <v>2056</v>
      </c>
      <c r="H187" s="20" t="s">
        <v>2056</v>
      </c>
    </row>
    <row r="188" spans="1:68" ht="20.100000000000001" customHeight="1" x14ac:dyDescent="0.2">
      <c r="A188"/>
      <c r="D188" s="20" t="s">
        <v>2116</v>
      </c>
      <c r="E188" s="20">
        <v>7.0000000000000001E-3</v>
      </c>
      <c r="F188" s="20" t="s">
        <v>178</v>
      </c>
      <c r="G188" s="20" t="s">
        <v>2056</v>
      </c>
      <c r="H188" s="20" t="s">
        <v>2056</v>
      </c>
    </row>
    <row r="189" spans="1:68" ht="20.100000000000001" customHeight="1" x14ac:dyDescent="0.2">
      <c r="A189"/>
      <c r="D189" s="20" t="s">
        <v>2117</v>
      </c>
      <c r="E189" s="20">
        <v>1.8E-3</v>
      </c>
      <c r="F189" s="20" t="s">
        <v>469</v>
      </c>
      <c r="G189" s="20" t="s">
        <v>470</v>
      </c>
      <c r="H189" s="20" t="s">
        <v>2081</v>
      </c>
    </row>
    <row r="190" spans="1:68" ht="20.100000000000001" customHeight="1" x14ac:dyDescent="0.2">
      <c r="A190"/>
      <c r="D190" s="20" t="s">
        <v>2117</v>
      </c>
      <c r="E190" s="20">
        <v>1.8E-3</v>
      </c>
      <c r="F190" s="20" t="s">
        <v>469</v>
      </c>
      <c r="G190" s="20" t="s">
        <v>470</v>
      </c>
      <c r="H190" s="20" t="s">
        <v>2079</v>
      </c>
    </row>
    <row r="191" spans="1:68" ht="20.100000000000001" customHeight="1" x14ac:dyDescent="0.2">
      <c r="A191"/>
      <c r="D191" s="20" t="s">
        <v>2118</v>
      </c>
      <c r="E191" s="20">
        <v>2.8999999999999998E-3</v>
      </c>
      <c r="F191" s="20" t="s">
        <v>178</v>
      </c>
      <c r="G191" s="20" t="s">
        <v>470</v>
      </c>
      <c r="H191" s="20" t="s">
        <v>2081</v>
      </c>
    </row>
    <row r="192" spans="1:68" ht="20.100000000000001" customHeight="1" x14ac:dyDescent="0.2">
      <c r="A192"/>
      <c r="D192" s="20" t="s">
        <v>2119</v>
      </c>
      <c r="E192" s="20">
        <v>8.0000000000000002E-3</v>
      </c>
      <c r="F192" s="20" t="s">
        <v>178</v>
      </c>
      <c r="G192" s="20" t="s">
        <v>470</v>
      </c>
      <c r="H192" s="20" t="s">
        <v>2079</v>
      </c>
    </row>
    <row r="193" spans="1:8" ht="20.100000000000001" customHeight="1" x14ac:dyDescent="0.2">
      <c r="A193"/>
      <c r="D193" s="20" t="s">
        <v>2120</v>
      </c>
      <c r="E193" s="20">
        <v>1.9900000000000001E-2</v>
      </c>
      <c r="F193" s="20" t="s">
        <v>2120</v>
      </c>
      <c r="G193" s="20" t="s">
        <v>2056</v>
      </c>
      <c r="H193" s="20" t="s">
        <v>2056</v>
      </c>
    </row>
    <row r="194" spans="1:8" ht="20.100000000000001" customHeight="1" x14ac:dyDescent="0.2">
      <c r="A194"/>
      <c r="D194" s="20" t="s">
        <v>403</v>
      </c>
      <c r="E194" s="20">
        <v>5.3E-3</v>
      </c>
      <c r="F194" s="20" t="s">
        <v>403</v>
      </c>
      <c r="G194" s="20" t="s">
        <v>2056</v>
      </c>
      <c r="H194" s="20" t="s">
        <v>2056</v>
      </c>
    </row>
    <row r="195" spans="1:8" ht="20.100000000000001" customHeight="1" x14ac:dyDescent="0.2">
      <c r="A195"/>
      <c r="D195" s="20" t="s">
        <v>2121</v>
      </c>
      <c r="E195" s="20">
        <v>6.4000000000000003E-3</v>
      </c>
      <c r="F195" s="20" t="s">
        <v>2121</v>
      </c>
      <c r="G195" s="20" t="s">
        <v>2056</v>
      </c>
      <c r="H195" s="20" t="s">
        <v>2056</v>
      </c>
    </row>
    <row r="196" spans="1:8" ht="20.100000000000001" customHeight="1" x14ac:dyDescent="0.2">
      <c r="A196"/>
      <c r="D196" s="20" t="s">
        <v>2122</v>
      </c>
      <c r="E196" s="20">
        <v>3.0000000000000001E-3</v>
      </c>
      <c r="F196" s="20" t="s">
        <v>1514</v>
      </c>
      <c r="G196" s="20" t="s">
        <v>2123</v>
      </c>
      <c r="H196" s="20" t="s">
        <v>2056</v>
      </c>
    </row>
    <row r="197" spans="1:8" ht="20.100000000000001" customHeight="1" x14ac:dyDescent="0.2">
      <c r="A197"/>
      <c r="D197" s="20" t="s">
        <v>2124</v>
      </c>
      <c r="E197" s="20">
        <v>5.0000000000000001E-3</v>
      </c>
      <c r="F197" s="20" t="s">
        <v>1514</v>
      </c>
      <c r="G197" s="20" t="s">
        <v>2125</v>
      </c>
      <c r="H197" s="20" t="s">
        <v>2056</v>
      </c>
    </row>
    <row r="198" spans="1:8" ht="20.100000000000001" customHeight="1" x14ac:dyDescent="0.2">
      <c r="A198"/>
      <c r="D198" s="20" t="s">
        <v>2126</v>
      </c>
      <c r="E198" s="20">
        <v>2.5999999999999999E-3</v>
      </c>
      <c r="F198" s="20" t="s">
        <v>2126</v>
      </c>
      <c r="G198" s="20" t="s">
        <v>2056</v>
      </c>
      <c r="H198" s="20" t="s">
        <v>2056</v>
      </c>
    </row>
    <row r="199" spans="1:8" ht="20.100000000000001" customHeight="1" x14ac:dyDescent="0.2">
      <c r="A199"/>
      <c r="D199" s="20" t="s">
        <v>2127</v>
      </c>
      <c r="E199" s="20">
        <v>1.8E-3</v>
      </c>
      <c r="F199" s="20" t="s">
        <v>2127</v>
      </c>
      <c r="G199" s="20" t="s">
        <v>2056</v>
      </c>
      <c r="H199" s="20" t="s">
        <v>2056</v>
      </c>
    </row>
    <row r="200" spans="1:8" ht="20.100000000000001" customHeight="1" x14ac:dyDescent="0.2">
      <c r="A200"/>
    </row>
    <row r="201" spans="1:8" ht="20.100000000000001" customHeight="1" x14ac:dyDescent="0.2">
      <c r="A201"/>
    </row>
    <row r="202" spans="1:8" ht="20.100000000000001" customHeight="1" x14ac:dyDescent="0.2">
      <c r="A202"/>
      <c r="D202" s="2" t="s">
        <v>2128</v>
      </c>
    </row>
    <row r="203" spans="1:8" ht="20.100000000000001" customHeight="1" x14ac:dyDescent="0.2">
      <c r="A203"/>
      <c r="D203" s="17" t="s">
        <v>2129</v>
      </c>
    </row>
    <row r="204" spans="1:8" ht="20.100000000000001" customHeight="1" x14ac:dyDescent="0.2">
      <c r="A204"/>
      <c r="D204" s="26" t="s">
        <v>2130</v>
      </c>
    </row>
    <row r="205" spans="1:8" ht="20.100000000000001" customHeight="1" x14ac:dyDescent="0.2">
      <c r="A205"/>
      <c r="D205" s="9" t="s">
        <v>2131</v>
      </c>
    </row>
    <row r="206" spans="1:8" ht="20.100000000000001" customHeight="1" x14ac:dyDescent="0.2">
      <c r="A206"/>
      <c r="D206" s="20" t="s">
        <v>31</v>
      </c>
      <c r="E206" s="20" t="s">
        <v>65</v>
      </c>
    </row>
    <row r="207" spans="1:8" ht="20.100000000000001" customHeight="1" x14ac:dyDescent="0.2">
      <c r="A207"/>
      <c r="D207" s="20" t="s">
        <v>1530</v>
      </c>
      <c r="E207" s="20">
        <v>6.0000000000000001E-3</v>
      </c>
    </row>
    <row r="208" spans="1:8" ht="20.100000000000001" customHeight="1" x14ac:dyDescent="0.2">
      <c r="A208"/>
      <c r="D208" s="1" t="s">
        <v>1531</v>
      </c>
      <c r="E208" s="20">
        <v>2E-3</v>
      </c>
    </row>
    <row r="209" spans="1:5" ht="20.100000000000001" customHeight="1" x14ac:dyDescent="0.2">
      <c r="A209" s="81" t="str">
        <f>HYPERLINK("#A1", "▲ Back to top")</f>
        <v>▲ Back to top</v>
      </c>
    </row>
    <row r="210" spans="1:5" ht="20.100000000000001" customHeight="1" x14ac:dyDescent="0.2">
      <c r="A210"/>
    </row>
    <row r="211" spans="1:5" ht="20.100000000000001" customHeight="1" x14ac:dyDescent="0.2">
      <c r="A211"/>
      <c r="D211" s="1" t="s">
        <v>2132</v>
      </c>
    </row>
    <row r="212" spans="1:5" ht="20.100000000000001" customHeight="1" x14ac:dyDescent="0.2">
      <c r="A212"/>
      <c r="D212" s="20" t="s">
        <v>66</v>
      </c>
      <c r="E212" s="20" t="s">
        <v>67</v>
      </c>
    </row>
    <row r="213" spans="1:5" ht="20.100000000000001" customHeight="1" x14ac:dyDescent="0.2">
      <c r="A213"/>
      <c r="D213" s="20" t="s">
        <v>2133</v>
      </c>
      <c r="E213" s="20" t="s">
        <v>2134</v>
      </c>
    </row>
    <row r="214" spans="1:5" ht="20.100000000000001" customHeight="1" x14ac:dyDescent="0.2">
      <c r="A214"/>
      <c r="D214" s="1" t="s">
        <v>2135</v>
      </c>
      <c r="E214" s="20" t="s">
        <v>2134</v>
      </c>
    </row>
    <row r="215" spans="1:5" ht="20.100000000000001" customHeight="1" x14ac:dyDescent="0.2">
      <c r="A215"/>
      <c r="D215" s="1" t="s">
        <v>2136</v>
      </c>
      <c r="E215" s="20" t="s">
        <v>2137</v>
      </c>
    </row>
    <row r="216" spans="1:5" ht="20.100000000000001" customHeight="1" x14ac:dyDescent="0.2">
      <c r="A216"/>
      <c r="D216" s="1" t="s">
        <v>2138</v>
      </c>
      <c r="E216" s="20" t="s">
        <v>2137</v>
      </c>
    </row>
    <row r="217" spans="1:5" ht="20.100000000000001" customHeight="1" x14ac:dyDescent="0.2">
      <c r="A217"/>
      <c r="D217" s="1" t="s">
        <v>2139</v>
      </c>
      <c r="E217" s="20" t="s">
        <v>2137</v>
      </c>
    </row>
    <row r="218" spans="1:5" ht="20.100000000000001" customHeight="1" x14ac:dyDescent="0.2">
      <c r="A218"/>
      <c r="D218" s="1" t="s">
        <v>2140</v>
      </c>
      <c r="E218" s="20" t="s">
        <v>2141</v>
      </c>
    </row>
    <row r="219" spans="1:5" ht="20.100000000000001" customHeight="1" x14ac:dyDescent="0.2">
      <c r="A219"/>
      <c r="D219" s="1" t="s">
        <v>2142</v>
      </c>
      <c r="E219" s="20" t="s">
        <v>2141</v>
      </c>
    </row>
    <row r="220" spans="1:5" ht="20.100000000000001" customHeight="1" x14ac:dyDescent="0.2">
      <c r="A220"/>
      <c r="D220" s="1" t="s">
        <v>2143</v>
      </c>
      <c r="E220" s="20" t="s">
        <v>2141</v>
      </c>
    </row>
    <row r="221" spans="1:5" ht="20.100000000000001" customHeight="1" x14ac:dyDescent="0.2">
      <c r="A221"/>
      <c r="D221" s="1" t="s">
        <v>2144</v>
      </c>
      <c r="E221" s="20" t="s">
        <v>2145</v>
      </c>
    </row>
    <row r="222" spans="1:5" ht="20.100000000000001" customHeight="1" x14ac:dyDescent="0.2">
      <c r="A222"/>
      <c r="D222" s="1" t="s">
        <v>2146</v>
      </c>
      <c r="E222" s="20" t="s">
        <v>2145</v>
      </c>
    </row>
    <row r="223" spans="1:5" ht="20.100000000000001" customHeight="1" x14ac:dyDescent="0.2">
      <c r="A223"/>
      <c r="D223" s="1" t="s">
        <v>2147</v>
      </c>
      <c r="E223" s="20" t="s">
        <v>2145</v>
      </c>
    </row>
    <row r="224" spans="1:5" ht="20.100000000000001" customHeight="1" x14ac:dyDescent="0.2">
      <c r="A224"/>
      <c r="D224" s="1" t="s">
        <v>2148</v>
      </c>
      <c r="E224" s="20" t="s">
        <v>2134</v>
      </c>
    </row>
    <row r="225" spans="1:19" ht="20.100000000000001" customHeight="1" x14ac:dyDescent="0.2">
      <c r="A225"/>
    </row>
    <row r="226" spans="1:19" ht="20.100000000000001" customHeight="1" x14ac:dyDescent="0.2">
      <c r="A226"/>
    </row>
    <row r="227" spans="1:19" ht="20.100000000000001" customHeight="1" x14ac:dyDescent="0.2">
      <c r="A227"/>
      <c r="D227" s="2" t="s">
        <v>2149</v>
      </c>
    </row>
    <row r="228" spans="1:19" ht="20.100000000000001" customHeight="1" x14ac:dyDescent="0.2">
      <c r="A228"/>
      <c r="D228" s="17" t="s">
        <v>2150</v>
      </c>
    </row>
    <row r="229" spans="1:19" ht="20.100000000000001" customHeight="1" x14ac:dyDescent="0.2">
      <c r="A229"/>
      <c r="D229" s="26" t="s">
        <v>2151</v>
      </c>
    </row>
    <row r="230" spans="1:19" ht="20.100000000000001" customHeight="1" x14ac:dyDescent="0.2">
      <c r="A230"/>
    </row>
    <row r="231" spans="1:19" ht="20.100000000000001" customHeight="1" x14ac:dyDescent="0.2">
      <c r="A231"/>
      <c r="D231" s="20" t="s">
        <v>68</v>
      </c>
      <c r="E231" s="20" t="s">
        <v>69</v>
      </c>
      <c r="F231" s="27" t="s">
        <v>70</v>
      </c>
      <c r="G231" s="20" t="s">
        <v>71</v>
      </c>
      <c r="H231" s="20" t="s">
        <v>72</v>
      </c>
      <c r="I231" s="20" t="s">
        <v>73</v>
      </c>
      <c r="J231" s="20" t="s">
        <v>74</v>
      </c>
      <c r="K231" s="20" t="s">
        <v>75</v>
      </c>
      <c r="L231" s="20" t="s">
        <v>76</v>
      </c>
      <c r="M231" s="20" t="s">
        <v>77</v>
      </c>
      <c r="N231" s="20" t="s">
        <v>78</v>
      </c>
      <c r="O231" s="20" t="s">
        <v>79</v>
      </c>
      <c r="P231" s="20" t="s">
        <v>80</v>
      </c>
      <c r="Q231" s="20" t="s">
        <v>81</v>
      </c>
      <c r="R231" s="20" t="s">
        <v>82</v>
      </c>
      <c r="S231" s="20" t="s">
        <v>83</v>
      </c>
    </row>
    <row r="232" spans="1:19" ht="20.100000000000001" customHeight="1" x14ac:dyDescent="0.2">
      <c r="A232"/>
      <c r="D232" s="20" t="s">
        <v>2076</v>
      </c>
      <c r="E232" s="20" t="s">
        <v>2152</v>
      </c>
      <c r="F232" s="20">
        <v>0.66</v>
      </c>
      <c r="G232" s="20">
        <v>0.1</v>
      </c>
      <c r="H232" s="20">
        <v>0.1</v>
      </c>
      <c r="I232" s="20">
        <v>1E-3</v>
      </c>
      <c r="J232" s="20">
        <v>5.0000000000000001E-3</v>
      </c>
      <c r="K232" s="20">
        <v>0.02</v>
      </c>
      <c r="L232" s="20">
        <v>0.03</v>
      </c>
      <c r="M232" s="20">
        <v>0.04</v>
      </c>
      <c r="N232" s="20">
        <v>1.4999999999999999E-2</v>
      </c>
      <c r="O232" s="20">
        <v>1.4999999999999999E-2</v>
      </c>
      <c r="P232" s="20">
        <v>0</v>
      </c>
      <c r="Q232" s="20">
        <v>0</v>
      </c>
      <c r="R232" s="20">
        <v>4.7000000000000002E-3</v>
      </c>
      <c r="S232" s="20">
        <v>10</v>
      </c>
    </row>
    <row r="233" spans="1:19" ht="20.100000000000001" customHeight="1" x14ac:dyDescent="0.2">
      <c r="A233"/>
      <c r="D233" s="1" t="s">
        <v>2076</v>
      </c>
      <c r="E233" s="20">
        <v>11</v>
      </c>
      <c r="F233" s="20">
        <v>0.68</v>
      </c>
      <c r="G233" s="20">
        <v>0.1</v>
      </c>
      <c r="H233" s="20">
        <v>0.11</v>
      </c>
      <c r="I233" s="20">
        <v>1E-3</v>
      </c>
      <c r="J233" s="20">
        <v>5.0000000000000001E-3</v>
      </c>
      <c r="K233" s="20">
        <v>0.02</v>
      </c>
      <c r="L233" s="20">
        <v>0.03</v>
      </c>
      <c r="M233" s="20">
        <v>0.04</v>
      </c>
      <c r="N233" s="20">
        <v>1.4999999999999999E-2</v>
      </c>
      <c r="O233" s="20">
        <v>1.4999999999999999E-2</v>
      </c>
      <c r="P233" s="20">
        <v>0</v>
      </c>
      <c r="Q233" s="20">
        <v>0</v>
      </c>
      <c r="R233" s="20">
        <v>4.7000000000000002E-3</v>
      </c>
      <c r="S233" s="20">
        <v>11</v>
      </c>
    </row>
    <row r="234" spans="1:19" ht="20.100000000000001" customHeight="1" x14ac:dyDescent="0.2">
      <c r="A234"/>
      <c r="D234" s="1" t="s">
        <v>2076</v>
      </c>
      <c r="E234" s="20">
        <v>12</v>
      </c>
      <c r="F234" s="20">
        <v>0.7</v>
      </c>
      <c r="G234" s="20">
        <v>0.1</v>
      </c>
      <c r="H234" s="20">
        <v>0.13</v>
      </c>
      <c r="I234" s="20">
        <v>1E-3</v>
      </c>
      <c r="J234" s="20">
        <v>5.0000000000000001E-3</v>
      </c>
      <c r="K234" s="20">
        <v>0.02</v>
      </c>
      <c r="L234" s="20">
        <v>0.03</v>
      </c>
      <c r="M234" s="20">
        <v>0.04</v>
      </c>
      <c r="N234" s="20">
        <v>1.4999999999999999E-2</v>
      </c>
      <c r="O234" s="20">
        <v>1.4999999999999999E-2</v>
      </c>
      <c r="P234" s="20">
        <v>0</v>
      </c>
      <c r="Q234" s="20">
        <v>0</v>
      </c>
      <c r="R234" s="20">
        <v>4.7000000000000002E-3</v>
      </c>
      <c r="S234" s="20">
        <v>12</v>
      </c>
    </row>
    <row r="235" spans="1:19" ht="20.100000000000001" customHeight="1" x14ac:dyDescent="0.2">
      <c r="A235"/>
      <c r="D235" s="1" t="s">
        <v>2076</v>
      </c>
      <c r="E235" s="20">
        <v>13</v>
      </c>
      <c r="F235" s="20">
        <v>0.71</v>
      </c>
      <c r="G235" s="20">
        <v>0.1</v>
      </c>
      <c r="H235" s="20">
        <v>0.14000000000000001</v>
      </c>
      <c r="I235" s="20">
        <v>1E-3</v>
      </c>
      <c r="J235" s="20">
        <v>5.0000000000000001E-3</v>
      </c>
      <c r="K235" s="20">
        <v>0.02</v>
      </c>
      <c r="L235" s="20">
        <v>0.03</v>
      </c>
      <c r="M235" s="20">
        <v>0.04</v>
      </c>
      <c r="N235" s="20">
        <v>1.4999999999999999E-2</v>
      </c>
      <c r="O235" s="20">
        <v>1.4999999999999999E-2</v>
      </c>
      <c r="P235" s="20">
        <v>0</v>
      </c>
      <c r="Q235" s="20">
        <v>0</v>
      </c>
      <c r="R235" s="20">
        <v>4.7000000000000002E-3</v>
      </c>
      <c r="S235" s="20">
        <v>13</v>
      </c>
    </row>
    <row r="236" spans="1:19" ht="20.100000000000001" customHeight="1" x14ac:dyDescent="0.2">
      <c r="A236"/>
      <c r="D236" s="1" t="s">
        <v>2076</v>
      </c>
      <c r="E236" s="20">
        <v>14</v>
      </c>
      <c r="F236" s="20">
        <v>0.73</v>
      </c>
      <c r="G236" s="20">
        <v>0.1</v>
      </c>
      <c r="H236" s="20">
        <v>0.15</v>
      </c>
      <c r="I236" s="20">
        <v>1E-3</v>
      </c>
      <c r="J236" s="20">
        <v>5.0000000000000001E-3</v>
      </c>
      <c r="K236" s="20">
        <v>0.02</v>
      </c>
      <c r="L236" s="20">
        <v>0.03</v>
      </c>
      <c r="M236" s="20">
        <v>0.04</v>
      </c>
      <c r="N236" s="20">
        <v>1.4999999999999999E-2</v>
      </c>
      <c r="O236" s="20">
        <v>1.4999999999999999E-2</v>
      </c>
      <c r="P236" s="20">
        <v>0</v>
      </c>
      <c r="Q236" s="20">
        <v>0</v>
      </c>
      <c r="R236" s="20">
        <v>4.7000000000000002E-3</v>
      </c>
      <c r="S236" s="20">
        <v>14</v>
      </c>
    </row>
    <row r="237" spans="1:19" ht="20.100000000000001" customHeight="1" x14ac:dyDescent="0.2">
      <c r="A237"/>
      <c r="D237" s="1" t="s">
        <v>2074</v>
      </c>
      <c r="E237" s="20">
        <v>15</v>
      </c>
      <c r="F237" s="20">
        <v>0.74</v>
      </c>
      <c r="G237" s="20">
        <v>0.1</v>
      </c>
      <c r="H237" s="20">
        <v>0.17</v>
      </c>
      <c r="I237" s="20">
        <v>5.0000000000000001E-3</v>
      </c>
      <c r="J237" s="20">
        <v>0.01</v>
      </c>
      <c r="K237" s="20">
        <v>0.02</v>
      </c>
      <c r="L237" s="20">
        <v>0.03</v>
      </c>
      <c r="M237" s="20">
        <v>0.04</v>
      </c>
      <c r="N237" s="20">
        <v>1.4999999999999999E-2</v>
      </c>
      <c r="O237" s="20">
        <v>1.4999999999999999E-2</v>
      </c>
      <c r="P237" s="20">
        <v>0</v>
      </c>
      <c r="Q237" s="20">
        <v>0</v>
      </c>
      <c r="R237" s="20">
        <v>4.7000000000000002E-3</v>
      </c>
      <c r="S237" s="20">
        <v>15</v>
      </c>
    </row>
    <row r="238" spans="1:19" ht="20.100000000000001" customHeight="1" x14ac:dyDescent="0.2">
      <c r="A238"/>
      <c r="D238" s="1" t="s">
        <v>2074</v>
      </c>
      <c r="E238" s="20">
        <v>16</v>
      </c>
      <c r="F238" s="20">
        <v>0.75</v>
      </c>
      <c r="G238" s="20">
        <v>0.1</v>
      </c>
      <c r="H238" s="20">
        <v>0.18</v>
      </c>
      <c r="I238" s="20">
        <v>5.0000000000000001E-3</v>
      </c>
      <c r="J238" s="20">
        <v>0.01</v>
      </c>
      <c r="K238" s="20">
        <v>0.02</v>
      </c>
      <c r="L238" s="20">
        <v>0.03</v>
      </c>
      <c r="M238" s="20">
        <v>0.04</v>
      </c>
      <c r="N238" s="20">
        <v>1.4999999999999999E-2</v>
      </c>
      <c r="O238" s="20">
        <v>1.4999999999999999E-2</v>
      </c>
      <c r="P238" s="20">
        <v>0</v>
      </c>
      <c r="Q238" s="20">
        <v>0</v>
      </c>
      <c r="R238" s="20">
        <v>4.7000000000000002E-3</v>
      </c>
      <c r="S238" s="20">
        <v>16</v>
      </c>
    </row>
    <row r="239" spans="1:19" ht="20.100000000000001" customHeight="1" x14ac:dyDescent="0.2">
      <c r="A239" s="81" t="str">
        <f>HYPERLINK("#A1", "▲ Back to top")</f>
        <v>▲ Back to top</v>
      </c>
      <c r="D239" s="1" t="s">
        <v>2074</v>
      </c>
      <c r="E239" s="20">
        <v>17</v>
      </c>
      <c r="F239" s="20">
        <v>0.76</v>
      </c>
      <c r="G239" s="20">
        <v>0.1</v>
      </c>
      <c r="H239" s="20">
        <v>0.2</v>
      </c>
      <c r="I239" s="20">
        <v>5.0000000000000001E-3</v>
      </c>
      <c r="J239" s="20">
        <v>0.01</v>
      </c>
      <c r="K239" s="20">
        <v>0.02</v>
      </c>
      <c r="L239" s="20">
        <v>0.03</v>
      </c>
      <c r="M239" s="20">
        <v>0.04</v>
      </c>
      <c r="N239" s="20">
        <v>1.4999999999999999E-2</v>
      </c>
      <c r="O239" s="20">
        <v>1.4999999999999999E-2</v>
      </c>
      <c r="P239" s="20">
        <v>0</v>
      </c>
      <c r="Q239" s="20">
        <v>0</v>
      </c>
      <c r="R239" s="20">
        <v>4.7000000000000002E-3</v>
      </c>
      <c r="S239" s="20">
        <v>17</v>
      </c>
    </row>
    <row r="240" spans="1:19" ht="20.100000000000001" customHeight="1" x14ac:dyDescent="0.2">
      <c r="A240"/>
      <c r="D240" s="1" t="s">
        <v>2074</v>
      </c>
      <c r="E240" s="20">
        <v>18</v>
      </c>
      <c r="F240" s="20">
        <v>0.77</v>
      </c>
      <c r="G240" s="20">
        <v>0.1</v>
      </c>
      <c r="H240" s="20">
        <v>0.22</v>
      </c>
      <c r="I240" s="20">
        <v>5.0000000000000001E-3</v>
      </c>
      <c r="J240" s="20">
        <v>0.01</v>
      </c>
      <c r="K240" s="20">
        <v>0.02</v>
      </c>
      <c r="L240" s="20">
        <v>0.03</v>
      </c>
      <c r="M240" s="20">
        <v>0.04</v>
      </c>
      <c r="N240" s="20">
        <v>1.4999999999999999E-2</v>
      </c>
      <c r="O240" s="20">
        <v>1.4999999999999999E-2</v>
      </c>
      <c r="P240" s="20">
        <v>0</v>
      </c>
      <c r="Q240" s="20">
        <v>0</v>
      </c>
      <c r="R240" s="20">
        <v>4.7000000000000002E-3</v>
      </c>
      <c r="S240" s="20">
        <v>18</v>
      </c>
    </row>
    <row r="241" spans="1:19" ht="20.100000000000001" customHeight="1" x14ac:dyDescent="0.2">
      <c r="A241"/>
      <c r="D241" s="1" t="s">
        <v>2074</v>
      </c>
      <c r="E241" s="20">
        <v>19</v>
      </c>
      <c r="F241" s="20">
        <v>0.77</v>
      </c>
      <c r="G241" s="20">
        <v>0.1</v>
      </c>
      <c r="H241" s="20">
        <v>0.24</v>
      </c>
      <c r="I241" s="20">
        <v>5.0000000000000001E-3</v>
      </c>
      <c r="J241" s="20">
        <v>0.01</v>
      </c>
      <c r="K241" s="20">
        <v>0.02</v>
      </c>
      <c r="L241" s="20">
        <v>0.03</v>
      </c>
      <c r="M241" s="20">
        <v>0.04</v>
      </c>
      <c r="N241" s="20">
        <v>1.4999999999999999E-2</v>
      </c>
      <c r="O241" s="20">
        <v>1.4999999999999999E-2</v>
      </c>
      <c r="P241" s="20">
        <v>0</v>
      </c>
      <c r="Q241" s="20">
        <v>0</v>
      </c>
      <c r="R241" s="20">
        <v>4.7000000000000002E-3</v>
      </c>
      <c r="S241" s="20">
        <v>19</v>
      </c>
    </row>
    <row r="242" spans="1:19" ht="20.100000000000001" customHeight="1" x14ac:dyDescent="0.2">
      <c r="A242"/>
      <c r="D242" s="1" t="s">
        <v>2074</v>
      </c>
      <c r="E242" s="20">
        <v>20</v>
      </c>
      <c r="F242" s="20">
        <v>0.78</v>
      </c>
      <c r="G242" s="20">
        <v>0.1</v>
      </c>
      <c r="H242" s="20">
        <v>0.26</v>
      </c>
      <c r="I242" s="20">
        <v>5.0000000000000001E-3</v>
      </c>
      <c r="J242" s="20">
        <v>0.01</v>
      </c>
      <c r="K242" s="20">
        <v>0.02</v>
      </c>
      <c r="L242" s="20">
        <v>0.03</v>
      </c>
      <c r="M242" s="20">
        <v>0.04</v>
      </c>
      <c r="N242" s="20">
        <v>1.4999999999999999E-2</v>
      </c>
      <c r="O242" s="20">
        <v>1.4999999999999999E-2</v>
      </c>
      <c r="P242" s="20">
        <v>0</v>
      </c>
      <c r="Q242" s="20">
        <v>0</v>
      </c>
      <c r="R242" s="20">
        <v>4.7000000000000002E-3</v>
      </c>
      <c r="S242" s="20">
        <v>20</v>
      </c>
    </row>
    <row r="243" spans="1:19" ht="20.100000000000001" customHeight="1" x14ac:dyDescent="0.2">
      <c r="A243"/>
      <c r="D243" s="1" t="s">
        <v>2074</v>
      </c>
      <c r="E243" s="20">
        <v>21</v>
      </c>
      <c r="F243" s="20">
        <v>0.78</v>
      </c>
      <c r="G243" s="20">
        <v>0.1</v>
      </c>
      <c r="H243" s="20">
        <v>0.28999999999999998</v>
      </c>
      <c r="I243" s="20">
        <v>5.0000000000000001E-3</v>
      </c>
      <c r="J243" s="20">
        <v>0.01</v>
      </c>
      <c r="K243" s="20">
        <v>0.02</v>
      </c>
      <c r="L243" s="20">
        <v>0.03</v>
      </c>
      <c r="M243" s="20">
        <v>0.04</v>
      </c>
      <c r="N243" s="20">
        <v>1.4999999999999999E-2</v>
      </c>
      <c r="O243" s="20">
        <v>1.4999999999999999E-2</v>
      </c>
      <c r="P243" s="20">
        <v>0</v>
      </c>
      <c r="Q243" s="20">
        <v>0</v>
      </c>
      <c r="R243" s="20">
        <v>4.7000000000000002E-3</v>
      </c>
      <c r="S243" s="20">
        <v>21</v>
      </c>
    </row>
    <row r="244" spans="1:19" ht="20.100000000000001" customHeight="1" x14ac:dyDescent="0.2">
      <c r="A244"/>
      <c r="D244" s="1" t="s">
        <v>2074</v>
      </c>
      <c r="E244" s="20">
        <v>22</v>
      </c>
      <c r="F244" s="20">
        <v>0.78</v>
      </c>
      <c r="G244" s="20">
        <v>0.1</v>
      </c>
      <c r="H244" s="20">
        <v>0.31</v>
      </c>
      <c r="I244" s="20">
        <v>5.0000000000000001E-3</v>
      </c>
      <c r="J244" s="20">
        <v>0.01</v>
      </c>
      <c r="K244" s="20">
        <v>0.02</v>
      </c>
      <c r="L244" s="20">
        <v>0.03</v>
      </c>
      <c r="M244" s="20">
        <v>0.04</v>
      </c>
      <c r="N244" s="20">
        <v>1.4999999999999999E-2</v>
      </c>
      <c r="O244" s="20">
        <v>1.4999999999999999E-2</v>
      </c>
      <c r="P244" s="20">
        <v>0</v>
      </c>
      <c r="Q244" s="20">
        <v>0</v>
      </c>
      <c r="R244" s="20">
        <v>4.7000000000000002E-3</v>
      </c>
      <c r="S244" s="20">
        <v>22</v>
      </c>
    </row>
    <row r="245" spans="1:19" ht="20.100000000000001" customHeight="1" x14ac:dyDescent="0.2">
      <c r="A245"/>
      <c r="D245" s="1" t="s">
        <v>2074</v>
      </c>
      <c r="E245" s="20">
        <v>23</v>
      </c>
      <c r="F245" s="20">
        <v>0.79</v>
      </c>
      <c r="G245" s="20">
        <v>0.1</v>
      </c>
      <c r="H245" s="20">
        <v>0.34</v>
      </c>
      <c r="I245" s="20">
        <v>5.0000000000000001E-3</v>
      </c>
      <c r="J245" s="20">
        <v>0.01</v>
      </c>
      <c r="K245" s="20">
        <v>0.02</v>
      </c>
      <c r="L245" s="20">
        <v>0.03</v>
      </c>
      <c r="M245" s="20">
        <v>0.04</v>
      </c>
      <c r="N245" s="20">
        <v>1.4999999999999999E-2</v>
      </c>
      <c r="O245" s="20">
        <v>1.4999999999999999E-2</v>
      </c>
      <c r="P245" s="20">
        <v>0</v>
      </c>
      <c r="Q245" s="20">
        <v>0</v>
      </c>
      <c r="R245" s="20">
        <v>4.7000000000000002E-3</v>
      </c>
      <c r="S245" s="20">
        <v>23</v>
      </c>
    </row>
    <row r="246" spans="1:19" ht="20.100000000000001" customHeight="1" x14ac:dyDescent="0.2">
      <c r="A246"/>
      <c r="D246" s="1" t="s">
        <v>2074</v>
      </c>
      <c r="E246" s="20">
        <v>24</v>
      </c>
      <c r="F246" s="20">
        <v>0.79</v>
      </c>
      <c r="G246" s="20">
        <v>0.1</v>
      </c>
      <c r="H246" s="20">
        <v>0.37</v>
      </c>
      <c r="I246" s="20">
        <v>5.0000000000000001E-3</v>
      </c>
      <c r="J246" s="20">
        <v>0.01</v>
      </c>
      <c r="K246" s="20">
        <v>0.02</v>
      </c>
      <c r="L246" s="20">
        <v>0.03</v>
      </c>
      <c r="M246" s="20">
        <v>0.04</v>
      </c>
      <c r="N246" s="20">
        <v>1.4999999999999999E-2</v>
      </c>
      <c r="O246" s="20">
        <v>1.4999999999999999E-2</v>
      </c>
      <c r="P246" s="20">
        <v>0</v>
      </c>
      <c r="Q246" s="20">
        <v>0</v>
      </c>
      <c r="R246" s="20">
        <v>4.7000000000000002E-3</v>
      </c>
      <c r="S246" s="20">
        <v>24</v>
      </c>
    </row>
    <row r="247" spans="1:19" ht="20.100000000000001" customHeight="1" x14ac:dyDescent="0.2">
      <c r="A247"/>
      <c r="D247" s="1" t="s">
        <v>2074</v>
      </c>
      <c r="E247" s="20">
        <v>25</v>
      </c>
      <c r="F247" s="20">
        <v>0.79</v>
      </c>
      <c r="G247" s="20">
        <v>0.1</v>
      </c>
      <c r="H247" s="20">
        <v>0.41</v>
      </c>
      <c r="I247" s="20">
        <v>5.0000000000000001E-3</v>
      </c>
      <c r="J247" s="20">
        <v>0.01</v>
      </c>
      <c r="K247" s="20">
        <v>0.02</v>
      </c>
      <c r="L247" s="20">
        <v>0.03</v>
      </c>
      <c r="M247" s="20">
        <v>0.04</v>
      </c>
      <c r="N247" s="20">
        <v>1.4999999999999999E-2</v>
      </c>
      <c r="O247" s="20">
        <v>1.4999999999999999E-2</v>
      </c>
      <c r="P247" s="20">
        <v>0</v>
      </c>
      <c r="Q247" s="20">
        <v>0</v>
      </c>
      <c r="R247" s="20">
        <v>4.7000000000000002E-3</v>
      </c>
      <c r="S247" s="20">
        <v>25</v>
      </c>
    </row>
    <row r="248" spans="1:19" ht="20.100000000000001" customHeight="1" x14ac:dyDescent="0.2">
      <c r="A248"/>
      <c r="D248" s="1" t="s">
        <v>2072</v>
      </c>
      <c r="E248" s="20">
        <v>26</v>
      </c>
      <c r="F248" s="20">
        <v>0.79</v>
      </c>
      <c r="G248" s="20">
        <v>0.1</v>
      </c>
      <c r="H248" s="20">
        <v>0.44</v>
      </c>
      <c r="I248" s="20">
        <v>0.01</v>
      </c>
      <c r="J248" s="20">
        <v>1.4999999999999999E-2</v>
      </c>
      <c r="K248" s="20">
        <v>0.02</v>
      </c>
      <c r="L248" s="20">
        <v>0.03</v>
      </c>
      <c r="M248" s="20">
        <v>0.04</v>
      </c>
      <c r="N248" s="20">
        <v>1.4999999999999999E-2</v>
      </c>
      <c r="O248" s="20">
        <v>1.4999999999999999E-2</v>
      </c>
      <c r="P248" s="20">
        <v>0</v>
      </c>
      <c r="Q248" s="20">
        <v>0</v>
      </c>
      <c r="R248" s="20">
        <v>4.7000000000000002E-3</v>
      </c>
      <c r="S248" s="20">
        <v>26</v>
      </c>
    </row>
    <row r="249" spans="1:19" ht="20.100000000000001" customHeight="1" x14ac:dyDescent="0.2">
      <c r="A249"/>
      <c r="D249" s="1" t="s">
        <v>2072</v>
      </c>
      <c r="E249" s="20">
        <v>27</v>
      </c>
      <c r="F249" s="20">
        <v>0.8</v>
      </c>
      <c r="G249" s="20">
        <v>0.1</v>
      </c>
      <c r="H249" s="20">
        <v>0.48</v>
      </c>
      <c r="I249" s="20">
        <v>0.01</v>
      </c>
      <c r="J249" s="20">
        <v>1.4999999999999999E-2</v>
      </c>
      <c r="K249" s="20">
        <v>0.02</v>
      </c>
      <c r="L249" s="20">
        <v>0.03</v>
      </c>
      <c r="M249" s="20">
        <v>0.04</v>
      </c>
      <c r="N249" s="20">
        <v>1.4999999999999999E-2</v>
      </c>
      <c r="O249" s="20">
        <v>1.4999999999999999E-2</v>
      </c>
      <c r="P249" s="20">
        <v>0</v>
      </c>
      <c r="Q249" s="20">
        <v>0</v>
      </c>
      <c r="R249" s="20">
        <v>4.7000000000000002E-3</v>
      </c>
      <c r="S249" s="20">
        <v>27</v>
      </c>
    </row>
    <row r="250" spans="1:19" ht="20.100000000000001" customHeight="1" x14ac:dyDescent="0.2">
      <c r="A250"/>
      <c r="D250" s="1" t="s">
        <v>2072</v>
      </c>
      <c r="E250" s="20" t="s">
        <v>2153</v>
      </c>
      <c r="F250" s="20">
        <v>0.8</v>
      </c>
      <c r="G250" s="20">
        <v>0.1</v>
      </c>
      <c r="H250" s="20">
        <v>0.5</v>
      </c>
      <c r="I250" s="20">
        <v>0.01</v>
      </c>
      <c r="J250" s="20">
        <v>1.4999999999999999E-2</v>
      </c>
      <c r="K250" s="20">
        <v>0.02</v>
      </c>
      <c r="L250" s="20">
        <v>0.03</v>
      </c>
      <c r="M250" s="20">
        <v>0.04</v>
      </c>
      <c r="N250" s="20">
        <v>1.4999999999999999E-2</v>
      </c>
      <c r="O250" s="20">
        <v>1.4999999999999999E-2</v>
      </c>
      <c r="P250" s="20">
        <v>0</v>
      </c>
      <c r="Q250" s="20">
        <v>0</v>
      </c>
      <c r="R250" s="20">
        <v>4.7000000000000002E-3</v>
      </c>
      <c r="S250" s="20">
        <v>28</v>
      </c>
    </row>
    <row r="251" spans="1:19" ht="20.100000000000001" customHeight="1" x14ac:dyDescent="0.2">
      <c r="A251"/>
    </row>
    <row r="252" spans="1:19" ht="20.100000000000001" customHeight="1" x14ac:dyDescent="0.2">
      <c r="A252"/>
    </row>
    <row r="253" spans="1:19" ht="20.100000000000001" customHeight="1" x14ac:dyDescent="0.2">
      <c r="A253"/>
      <c r="D253" s="2" t="s">
        <v>1528</v>
      </c>
    </row>
    <row r="254" spans="1:19" ht="20.100000000000001" customHeight="1" x14ac:dyDescent="0.2">
      <c r="A254"/>
      <c r="D254" s="17" t="s">
        <v>1529</v>
      </c>
    </row>
    <row r="255" spans="1:19" ht="20.100000000000001" customHeight="1" x14ac:dyDescent="0.2">
      <c r="A255"/>
      <c r="D255" s="1" t="s">
        <v>85</v>
      </c>
    </row>
    <row r="256" spans="1:19" ht="20.100000000000001" customHeight="1" x14ac:dyDescent="0.2">
      <c r="A256"/>
      <c r="D256" s="9" t="s">
        <v>2131</v>
      </c>
    </row>
    <row r="257" spans="1:66" ht="20.100000000000001" customHeight="1" x14ac:dyDescent="0.2">
      <c r="A257"/>
      <c r="D257" s="20" t="s">
        <v>84</v>
      </c>
      <c r="E257" s="20" t="s">
        <v>85</v>
      </c>
    </row>
    <row r="258" spans="1:66" ht="20.100000000000001" customHeight="1" x14ac:dyDescent="0.2">
      <c r="A258"/>
      <c r="D258" s="20" t="s">
        <v>1530</v>
      </c>
      <c r="E258" s="20">
        <v>6.0000000000000001E-3</v>
      </c>
    </row>
    <row r="259" spans="1:66" ht="20.100000000000001" customHeight="1" x14ac:dyDescent="0.2">
      <c r="A259"/>
      <c r="D259" s="1" t="s">
        <v>1531</v>
      </c>
      <c r="E259" s="20">
        <v>5.0000000000000001E-3</v>
      </c>
    </row>
    <row r="260" spans="1:66" ht="20.100000000000001" customHeight="1" x14ac:dyDescent="0.2">
      <c r="A260"/>
    </row>
    <row r="261" spans="1:66" ht="20.100000000000001" customHeight="1" x14ac:dyDescent="0.2">
      <c r="A261"/>
    </row>
    <row r="262" spans="1:66" ht="20.100000000000001" customHeight="1" x14ac:dyDescent="0.2">
      <c r="A262"/>
    </row>
    <row r="263" spans="1:66" ht="20.100000000000001" customHeight="1" x14ac:dyDescent="0.2">
      <c r="A263"/>
      <c r="D263" s="2" t="s">
        <v>189</v>
      </c>
    </row>
    <row r="264" spans="1:66" ht="20.100000000000001" customHeight="1" x14ac:dyDescent="0.2">
      <c r="A264"/>
      <c r="D264" s="1" t="s">
        <v>190</v>
      </c>
    </row>
    <row r="265" spans="1:66" ht="20.100000000000001" customHeight="1" x14ac:dyDescent="0.2">
      <c r="A265"/>
      <c r="D265" s="20" t="s">
        <v>233</v>
      </c>
      <c r="E265" s="20" t="s">
        <v>191</v>
      </c>
      <c r="F265" s="20" t="s">
        <v>192</v>
      </c>
      <c r="G265" s="20" t="s">
        <v>185</v>
      </c>
      <c r="V265" s="1"/>
      <c r="BN265" s="22"/>
    </row>
    <row r="266" spans="1:66" ht="20.100000000000001" customHeight="1" x14ac:dyDescent="0.2">
      <c r="A266"/>
      <c r="D266" s="20" t="s">
        <v>234</v>
      </c>
      <c r="E266" s="20" t="s">
        <v>193</v>
      </c>
      <c r="F266" s="20" t="s">
        <v>194</v>
      </c>
      <c r="G266" s="20">
        <v>5</v>
      </c>
      <c r="V266" s="1"/>
      <c r="BN266" s="22"/>
    </row>
    <row r="267" spans="1:66" ht="20.100000000000001" customHeight="1" x14ac:dyDescent="0.2">
      <c r="A267"/>
      <c r="D267" s="20" t="s">
        <v>235</v>
      </c>
      <c r="E267" s="20" t="s">
        <v>195</v>
      </c>
      <c r="F267" s="20" t="s">
        <v>186</v>
      </c>
      <c r="G267" s="20">
        <v>4</v>
      </c>
      <c r="V267" s="1"/>
      <c r="BN267" s="22"/>
    </row>
    <row r="268" spans="1:66" ht="20.100000000000001" customHeight="1" x14ac:dyDescent="0.2">
      <c r="A268"/>
      <c r="D268" s="20" t="s">
        <v>236</v>
      </c>
      <c r="E268" s="20" t="s">
        <v>196</v>
      </c>
      <c r="F268" s="20" t="s">
        <v>197</v>
      </c>
      <c r="G268" s="20">
        <v>3</v>
      </c>
      <c r="V268" s="1"/>
      <c r="BN268" s="22"/>
    </row>
    <row r="269" spans="1:66" ht="20.100000000000001" customHeight="1" x14ac:dyDescent="0.2">
      <c r="A269" s="81" t="str">
        <f>HYPERLINK("#A1", "▲ Back to top")</f>
        <v>▲ Back to top</v>
      </c>
      <c r="D269" s="20" t="s">
        <v>237</v>
      </c>
      <c r="E269" s="20" t="s">
        <v>198</v>
      </c>
      <c r="F269" s="20" t="s">
        <v>199</v>
      </c>
      <c r="G269" s="20">
        <v>2</v>
      </c>
      <c r="V269" s="1"/>
      <c r="BN269" s="22"/>
    </row>
    <row r="270" spans="1:66" ht="20.100000000000001" customHeight="1" x14ac:dyDescent="0.2">
      <c r="A270"/>
      <c r="D270" s="20" t="s">
        <v>238</v>
      </c>
      <c r="E270" s="20" t="s">
        <v>200</v>
      </c>
      <c r="F270" s="20" t="s">
        <v>201</v>
      </c>
      <c r="G270" s="20">
        <v>1</v>
      </c>
      <c r="V270" s="1"/>
      <c r="BN270" s="22"/>
    </row>
    <row r="271" spans="1:66" ht="20.100000000000001" customHeight="1" x14ac:dyDescent="0.2">
      <c r="A271"/>
    </row>
    <row r="272" spans="1:66" ht="20.100000000000001" customHeight="1" x14ac:dyDescent="0.2">
      <c r="A272"/>
    </row>
    <row r="273" spans="1:66" ht="20.100000000000001" customHeight="1" x14ac:dyDescent="0.2">
      <c r="A273"/>
      <c r="D273" s="1" t="s">
        <v>202</v>
      </c>
    </row>
    <row r="274" spans="1:66" ht="20.100000000000001" customHeight="1" x14ac:dyDescent="0.2">
      <c r="A274"/>
      <c r="D274" s="20" t="s">
        <v>233</v>
      </c>
      <c r="E274" s="20" t="s">
        <v>191</v>
      </c>
      <c r="F274" s="20" t="s">
        <v>192</v>
      </c>
      <c r="G274" s="20" t="s">
        <v>185</v>
      </c>
      <c r="V274" s="1"/>
      <c r="BN274" s="22"/>
    </row>
    <row r="275" spans="1:66" ht="20.100000000000001" customHeight="1" x14ac:dyDescent="0.2">
      <c r="A275"/>
      <c r="D275" s="20" t="s">
        <v>239</v>
      </c>
      <c r="E275" s="20" t="s">
        <v>203</v>
      </c>
      <c r="F275" s="20" t="s">
        <v>187</v>
      </c>
      <c r="G275" s="20">
        <v>5</v>
      </c>
      <c r="V275" s="1"/>
      <c r="BN275" s="22"/>
    </row>
    <row r="276" spans="1:66" ht="20.100000000000001" customHeight="1" x14ac:dyDescent="0.2">
      <c r="A276"/>
      <c r="D276" s="20" t="s">
        <v>240</v>
      </c>
      <c r="E276" s="20" t="s">
        <v>204</v>
      </c>
      <c r="F276" s="20" t="s">
        <v>205</v>
      </c>
      <c r="G276" s="20">
        <v>4</v>
      </c>
      <c r="V276" s="1"/>
      <c r="BN276" s="22"/>
    </row>
    <row r="277" spans="1:66" ht="20.100000000000001" customHeight="1" x14ac:dyDescent="0.2">
      <c r="A277"/>
      <c r="D277" s="20" t="s">
        <v>241</v>
      </c>
      <c r="E277" s="20" t="s">
        <v>206</v>
      </c>
      <c r="F277" s="20" t="s">
        <v>207</v>
      </c>
      <c r="G277" s="20">
        <v>3</v>
      </c>
      <c r="V277" s="1"/>
      <c r="BN277" s="22"/>
    </row>
    <row r="278" spans="1:66" ht="20.100000000000001" customHeight="1" x14ac:dyDescent="0.2">
      <c r="A278"/>
      <c r="D278" s="20" t="s">
        <v>242</v>
      </c>
      <c r="E278" s="20" t="s">
        <v>208</v>
      </c>
      <c r="F278" s="20" t="s">
        <v>209</v>
      </c>
      <c r="G278" s="20">
        <v>2</v>
      </c>
      <c r="V278" s="1"/>
      <c r="BN278" s="22"/>
    </row>
    <row r="279" spans="1:66" ht="20.100000000000001" customHeight="1" x14ac:dyDescent="0.2">
      <c r="A279"/>
      <c r="D279" s="20" t="s">
        <v>243</v>
      </c>
      <c r="E279" s="20" t="s">
        <v>210</v>
      </c>
      <c r="F279" s="20" t="s">
        <v>211</v>
      </c>
      <c r="G279" s="20">
        <v>1</v>
      </c>
      <c r="V279" s="1"/>
      <c r="BN279" s="22"/>
    </row>
    <row r="280" spans="1:66" ht="20.100000000000001" customHeight="1" x14ac:dyDescent="0.2">
      <c r="A280"/>
    </row>
    <row r="281" spans="1:66" ht="20.100000000000001" customHeight="1" x14ac:dyDescent="0.2">
      <c r="A281"/>
    </row>
    <row r="282" spans="1:66" ht="20.100000000000001" customHeight="1" x14ac:dyDescent="0.2">
      <c r="A282"/>
      <c r="D282" s="1" t="s">
        <v>212</v>
      </c>
    </row>
    <row r="283" spans="1:66" ht="20.100000000000001" customHeight="1" x14ac:dyDescent="0.2">
      <c r="A283"/>
      <c r="D283" s="20" t="s">
        <v>233</v>
      </c>
      <c r="E283" s="20" t="s">
        <v>191</v>
      </c>
      <c r="F283" s="20" t="s">
        <v>192</v>
      </c>
      <c r="G283" s="20" t="s">
        <v>185</v>
      </c>
      <c r="V283" s="1"/>
      <c r="BN283" s="22"/>
    </row>
    <row r="284" spans="1:66" ht="20.100000000000001" customHeight="1" x14ac:dyDescent="0.2">
      <c r="A284"/>
      <c r="D284" s="20" t="s">
        <v>244</v>
      </c>
      <c r="E284" s="20" t="s">
        <v>213</v>
      </c>
      <c r="F284" s="20" t="s">
        <v>214</v>
      </c>
      <c r="G284" s="20">
        <v>5</v>
      </c>
      <c r="V284" s="1"/>
      <c r="BN284" s="22"/>
    </row>
    <row r="285" spans="1:66" ht="20.100000000000001" customHeight="1" x14ac:dyDescent="0.2">
      <c r="A285"/>
      <c r="D285" s="20" t="s">
        <v>245</v>
      </c>
      <c r="E285" s="20" t="s">
        <v>215</v>
      </c>
      <c r="F285" s="20" t="s">
        <v>216</v>
      </c>
      <c r="G285" s="20">
        <v>4</v>
      </c>
      <c r="V285" s="1"/>
      <c r="BN285" s="22"/>
    </row>
    <row r="286" spans="1:66" ht="20.100000000000001" customHeight="1" x14ac:dyDescent="0.2">
      <c r="A286"/>
      <c r="D286" s="20" t="s">
        <v>246</v>
      </c>
      <c r="E286" s="20" t="s">
        <v>217</v>
      </c>
      <c r="F286" s="20" t="s">
        <v>188</v>
      </c>
      <c r="G286" s="20">
        <v>3</v>
      </c>
      <c r="V286" s="1"/>
      <c r="BN286" s="22"/>
    </row>
    <row r="287" spans="1:66" ht="20.100000000000001" customHeight="1" x14ac:dyDescent="0.2">
      <c r="A287"/>
      <c r="D287" s="20" t="s">
        <v>247</v>
      </c>
      <c r="E287" s="20" t="s">
        <v>218</v>
      </c>
      <c r="F287" s="20" t="s">
        <v>219</v>
      </c>
      <c r="G287" s="20">
        <v>2</v>
      </c>
      <c r="V287" s="1"/>
      <c r="BN287" s="22"/>
    </row>
    <row r="288" spans="1:66" ht="20.100000000000001" customHeight="1" x14ac:dyDescent="0.2">
      <c r="A288"/>
      <c r="D288" s="20" t="s">
        <v>248</v>
      </c>
      <c r="E288" s="20" t="s">
        <v>220</v>
      </c>
      <c r="F288" s="20" t="s">
        <v>221</v>
      </c>
      <c r="G288" s="20">
        <v>1</v>
      </c>
      <c r="V288" s="1"/>
      <c r="BN288" s="22"/>
    </row>
    <row r="289" spans="1:66" ht="20.100000000000001" customHeight="1" x14ac:dyDescent="0.2">
      <c r="A289"/>
    </row>
    <row r="290" spans="1:66" ht="20.100000000000001" customHeight="1" x14ac:dyDescent="0.2">
      <c r="A290"/>
    </row>
    <row r="291" spans="1:66" ht="20.100000000000001" customHeight="1" x14ac:dyDescent="0.2">
      <c r="A291"/>
      <c r="D291" s="1" t="s">
        <v>222</v>
      </c>
    </row>
    <row r="292" spans="1:66" ht="20.100000000000001" customHeight="1" x14ac:dyDescent="0.2">
      <c r="A292"/>
      <c r="D292" s="20" t="s">
        <v>233</v>
      </c>
      <c r="E292" s="20" t="s">
        <v>191</v>
      </c>
      <c r="F292" s="20" t="s">
        <v>192</v>
      </c>
      <c r="G292" s="20" t="s">
        <v>185</v>
      </c>
      <c r="V292" s="1"/>
      <c r="BN292" s="22"/>
    </row>
    <row r="293" spans="1:66" ht="20.100000000000001" customHeight="1" x14ac:dyDescent="0.2">
      <c r="A293"/>
      <c r="D293" s="20" t="s">
        <v>249</v>
      </c>
      <c r="E293" s="20" t="s">
        <v>223</v>
      </c>
      <c r="F293" s="20" t="s">
        <v>224</v>
      </c>
      <c r="G293" s="20">
        <v>5</v>
      </c>
      <c r="V293" s="1"/>
      <c r="BN293" s="22"/>
    </row>
    <row r="294" spans="1:66" ht="20.100000000000001" customHeight="1" x14ac:dyDescent="0.2">
      <c r="A294"/>
      <c r="D294" s="20" t="s">
        <v>250</v>
      </c>
      <c r="E294" s="20" t="s">
        <v>225</v>
      </c>
      <c r="F294" s="20" t="s">
        <v>226</v>
      </c>
      <c r="G294" s="20">
        <v>4</v>
      </c>
      <c r="V294" s="1"/>
      <c r="BN294" s="22"/>
    </row>
    <row r="295" spans="1:66" ht="20.100000000000001" customHeight="1" x14ac:dyDescent="0.2">
      <c r="A295"/>
      <c r="D295" s="20" t="s">
        <v>251</v>
      </c>
      <c r="E295" s="20" t="s">
        <v>227</v>
      </c>
      <c r="F295" s="20" t="s">
        <v>228</v>
      </c>
      <c r="G295" s="20">
        <v>3</v>
      </c>
      <c r="V295" s="1"/>
      <c r="BN295" s="22"/>
    </row>
    <row r="296" spans="1:66" ht="20.100000000000001" customHeight="1" x14ac:dyDescent="0.2">
      <c r="A296"/>
      <c r="D296" s="20" t="s">
        <v>252</v>
      </c>
      <c r="E296" s="20" t="s">
        <v>229</v>
      </c>
      <c r="F296" s="20" t="s">
        <v>230</v>
      </c>
      <c r="G296" s="20">
        <v>2</v>
      </c>
      <c r="V296" s="1"/>
      <c r="BN296" s="22"/>
    </row>
    <row r="297" spans="1:66" ht="20.100000000000001" customHeight="1" x14ac:dyDescent="0.2">
      <c r="A297"/>
      <c r="D297" s="20" t="s">
        <v>253</v>
      </c>
      <c r="E297" s="20" t="s">
        <v>231</v>
      </c>
      <c r="F297" s="20" t="s">
        <v>232</v>
      </c>
      <c r="G297" s="20">
        <v>1</v>
      </c>
      <c r="V297" s="1"/>
      <c r="BN297" s="22"/>
    </row>
    <row r="298" spans="1:66" ht="20.100000000000001" customHeight="1" x14ac:dyDescent="0.2">
      <c r="A298"/>
    </row>
    <row r="299" spans="1:66" ht="20.100000000000001" customHeight="1" x14ac:dyDescent="0.2">
      <c r="A299"/>
    </row>
    <row r="300" spans="1:66" ht="20.100000000000001" customHeight="1" x14ac:dyDescent="0.2">
      <c r="A300"/>
    </row>
    <row r="301" spans="1:66" ht="20.100000000000001" customHeight="1" x14ac:dyDescent="0.2">
      <c r="A301"/>
    </row>
    <row r="302" spans="1:66" ht="20.100000000000001" customHeight="1" x14ac:dyDescent="0.2">
      <c r="A302"/>
    </row>
    <row r="303" spans="1:66" ht="20.100000000000001" customHeight="1" x14ac:dyDescent="0.2">
      <c r="A303"/>
    </row>
    <row r="304" spans="1:66" ht="20.100000000000001" customHeight="1" x14ac:dyDescent="0.2">
      <c r="A304"/>
    </row>
    <row r="305" spans="1:1" ht="20.100000000000001" customHeight="1" x14ac:dyDescent="0.2">
      <c r="A305"/>
    </row>
    <row r="306" spans="1:1" ht="20.100000000000001" customHeight="1" x14ac:dyDescent="0.2">
      <c r="A306"/>
    </row>
    <row r="307" spans="1:1" ht="20.100000000000001" customHeight="1" x14ac:dyDescent="0.2">
      <c r="A307"/>
    </row>
    <row r="308" spans="1:1" ht="20.100000000000001" customHeight="1" x14ac:dyDescent="0.2">
      <c r="A308"/>
    </row>
    <row r="309" spans="1:1" ht="20.100000000000001" customHeight="1" x14ac:dyDescent="0.2">
      <c r="A309"/>
    </row>
    <row r="310" spans="1:1" ht="20.100000000000001" customHeight="1" x14ac:dyDescent="0.2">
      <c r="A310"/>
    </row>
    <row r="311" spans="1:1" ht="20.100000000000001" customHeight="1" x14ac:dyDescent="0.2">
      <c r="A311"/>
    </row>
    <row r="312" spans="1:1" ht="20.100000000000001" customHeight="1" x14ac:dyDescent="0.2">
      <c r="A312"/>
    </row>
    <row r="313" spans="1:1" ht="20.100000000000001" customHeight="1" x14ac:dyDescent="0.2">
      <c r="A313"/>
    </row>
    <row r="314" spans="1:1" ht="20.100000000000001" customHeight="1" x14ac:dyDescent="0.2">
      <c r="A314"/>
    </row>
    <row r="315" spans="1:1" ht="20.100000000000001" customHeight="1" x14ac:dyDescent="0.2">
      <c r="A315"/>
    </row>
    <row r="316" spans="1:1" ht="20.100000000000001" customHeight="1" x14ac:dyDescent="0.2">
      <c r="A316"/>
    </row>
    <row r="317" spans="1:1" ht="20.100000000000001" customHeight="1" x14ac:dyDescent="0.2">
      <c r="A317"/>
    </row>
    <row r="318" spans="1:1" ht="20.100000000000001" customHeight="1" x14ac:dyDescent="0.2">
      <c r="A318"/>
    </row>
    <row r="319" spans="1:1" ht="20.100000000000001" customHeight="1" x14ac:dyDescent="0.2">
      <c r="A319"/>
    </row>
    <row r="320" spans="1:1" ht="20.100000000000001" customHeight="1" x14ac:dyDescent="0.2">
      <c r="A320"/>
    </row>
    <row r="321" spans="1:1" ht="20.100000000000001" customHeight="1" x14ac:dyDescent="0.2">
      <c r="A321"/>
    </row>
    <row r="322" spans="1:1" ht="20.100000000000001" customHeight="1" x14ac:dyDescent="0.2">
      <c r="A322"/>
    </row>
    <row r="323" spans="1:1" ht="20.100000000000001" customHeight="1" x14ac:dyDescent="0.2">
      <c r="A323"/>
    </row>
    <row r="324" spans="1:1" ht="20.100000000000001" customHeight="1" x14ac:dyDescent="0.2">
      <c r="A324"/>
    </row>
    <row r="325" spans="1:1" ht="20.100000000000001" customHeight="1" x14ac:dyDescent="0.2">
      <c r="A325"/>
    </row>
    <row r="326" spans="1:1" ht="20.100000000000001" customHeight="1" x14ac:dyDescent="0.2">
      <c r="A326"/>
    </row>
    <row r="327" spans="1:1" ht="20.100000000000001" customHeight="1" x14ac:dyDescent="0.2">
      <c r="A327"/>
    </row>
    <row r="328" spans="1:1" ht="20.100000000000001" customHeight="1" x14ac:dyDescent="0.2">
      <c r="A328"/>
    </row>
    <row r="329" spans="1:1" ht="20.100000000000001" customHeight="1" x14ac:dyDescent="0.2">
      <c r="A329"/>
    </row>
    <row r="330" spans="1:1" ht="20.100000000000001" customHeight="1" x14ac:dyDescent="0.2">
      <c r="A330"/>
    </row>
    <row r="331" spans="1:1" ht="20.100000000000001" customHeight="1" x14ac:dyDescent="0.2">
      <c r="A331"/>
    </row>
    <row r="332" spans="1:1" ht="20.100000000000001" customHeight="1" x14ac:dyDescent="0.2">
      <c r="A332"/>
    </row>
  </sheetData>
  <pageMargins left="0.7" right="0.7" top="0.75" bottom="0.75" header="0.3" footer="0.3"/>
  <pageSetup paperSize="9" orientation="portrait" r:id="rId1"/>
  <tableParts count="2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A6CAE-AEA5-40D0-AB61-E3C60BCDF82A}">
  <sheetPr>
    <tabColor rgb="FFCC6600"/>
  </sheetPr>
  <dimension ref="A1:M65"/>
  <sheetViews>
    <sheetView showGridLines="0" zoomScaleNormal="100" workbookViewId="0">
      <pane xSplit="1" topLeftCell="B1" activePane="topRight" state="frozenSplit"/>
      <selection pane="topRight" activeCell="A47" sqref="A47"/>
    </sheetView>
  </sheetViews>
  <sheetFormatPr defaultRowHeight="20.100000000000001" customHeight="1" x14ac:dyDescent="0.2"/>
  <cols>
    <col min="1" max="1" width="36.7109375" customWidth="1"/>
    <col min="2" max="2" width="4.7109375" customWidth="1"/>
    <col min="3" max="3" width="4.7109375" style="1" customWidth="1"/>
    <col min="4" max="4" width="49" style="1" customWidth="1"/>
    <col min="5" max="7" width="30.7109375" style="1" customWidth="1"/>
    <col min="8" max="8" width="101.28515625" style="1" customWidth="1"/>
    <col min="9" max="9" width="74.5703125" style="1" customWidth="1"/>
    <col min="10" max="13" width="30.7109375" style="1" customWidth="1"/>
    <col min="14" max="14" width="30.7109375" customWidth="1"/>
  </cols>
  <sheetData>
    <row r="1" spans="1:13" s="10" customFormat="1" ht="30" customHeight="1" x14ac:dyDescent="0.35">
      <c r="C1" s="10" t="s">
        <v>182</v>
      </c>
    </row>
    <row r="2" spans="1:13" s="3" customFormat="1" ht="20.100000000000001" customHeight="1" x14ac:dyDescent="0.2">
      <c r="A2"/>
    </row>
    <row r="3" spans="1:13" ht="20.100000000000001" customHeight="1" x14ac:dyDescent="0.2">
      <c r="A3" s="5" t="str">
        <f>HYPERLINK("#'Home'!A1", "Home")</f>
        <v>Home</v>
      </c>
      <c r="C3" s="29"/>
      <c r="D3" s="29"/>
      <c r="E3" s="29"/>
      <c r="F3" s="29"/>
      <c r="G3" s="29"/>
      <c r="H3" s="29"/>
      <c r="I3" s="29"/>
      <c r="J3" s="29"/>
      <c r="K3" s="29"/>
      <c r="L3" s="29"/>
      <c r="M3" s="29"/>
    </row>
    <row r="4" spans="1:13" ht="20.100000000000001" customHeight="1" x14ac:dyDescent="0.2">
      <c r="A4" s="5" t="str">
        <f>HYPERLINK("#'Results - Activity period'!A1", "Results - Activity period")</f>
        <v>Results - Activity period</v>
      </c>
    </row>
    <row r="5" spans="1:13" ht="20.100000000000001" customHeight="1" x14ac:dyDescent="0.2">
      <c r="A5" s="5" t="str">
        <f>HYPERLINK("#'Results - Product EI'!A1", "Results - Product EI")</f>
        <v>Results - Product EI</v>
      </c>
      <c r="D5" s="2" t="s">
        <v>254</v>
      </c>
    </row>
    <row r="7" spans="1:13" ht="20.100000000000001" customHeight="1" x14ac:dyDescent="0.2">
      <c r="D7" s="80" t="s">
        <v>255</v>
      </c>
      <c r="E7" s="80" t="s">
        <v>256</v>
      </c>
      <c r="F7" s="80" t="s">
        <v>257</v>
      </c>
      <c r="G7" s="80" t="s">
        <v>258</v>
      </c>
      <c r="H7" s="80" t="s">
        <v>183</v>
      </c>
      <c r="I7" s="80" t="s">
        <v>184</v>
      </c>
      <c r="J7" s="80" t="s">
        <v>185</v>
      </c>
    </row>
    <row r="8" spans="1:13" ht="20.100000000000001" customHeight="1" x14ac:dyDescent="0.2">
      <c r="A8" s="7" t="s">
        <v>0</v>
      </c>
      <c r="D8" s="1" t="str">
        <f>"Grain yield"</f>
        <v>Grain yield</v>
      </c>
      <c r="E8" s="13" t="s">
        <v>234</v>
      </c>
      <c r="F8" s="13" t="s">
        <v>239</v>
      </c>
      <c r="G8" s="13" t="s">
        <v>244</v>
      </c>
      <c r="H8" s="84"/>
      <c r="I8" s="84"/>
      <c r="J8" s="15">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15</v>
      </c>
    </row>
    <row r="9" spans="1:13" ht="20.100000000000001" customHeight="1" x14ac:dyDescent="0.2">
      <c r="A9" s="5" t="str">
        <f>HYPERLINK("#'Input - Enterprise'!A1", "Enterprise")</f>
        <v>Enterprise</v>
      </c>
      <c r="D9" s="1" t="str">
        <f>"Grain sold"</f>
        <v>Grain sold</v>
      </c>
      <c r="E9" s="13" t="s">
        <v>235</v>
      </c>
      <c r="F9" s="13" t="s">
        <v>240</v>
      </c>
      <c r="G9" s="13" t="s">
        <v>245</v>
      </c>
      <c r="H9" s="84"/>
      <c r="I9" s="84"/>
      <c r="J9" s="15">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12</v>
      </c>
    </row>
    <row r="10" spans="1:13" ht="20.100000000000001" customHeight="1" x14ac:dyDescent="0.2">
      <c r="A10" s="5" t="str">
        <f>HYPERLINK("#'Input - Site'!A1", "Site")</f>
        <v>Site</v>
      </c>
      <c r="D10" s="1" t="str">
        <f>"Baled hay/silage produced"</f>
        <v>Baled hay/silage produced</v>
      </c>
      <c r="E10" s="13" t="s">
        <v>236</v>
      </c>
      <c r="F10" s="13" t="s">
        <v>241</v>
      </c>
      <c r="G10" s="13" t="s">
        <v>245</v>
      </c>
      <c r="H10" s="84"/>
      <c r="I10" s="84"/>
      <c r="J10" s="15">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10</v>
      </c>
    </row>
    <row r="11" spans="1:13" ht="20.100000000000001" customHeight="1" x14ac:dyDescent="0.2">
      <c r="A11" s="5" t="str">
        <f>HYPERLINK("#'Input - Crop'!A1", "Crop")</f>
        <v>Crop</v>
      </c>
      <c r="D11" s="1" t="str">
        <f>"Baled hay/silage sold"</f>
        <v>Baled hay/silage sold</v>
      </c>
      <c r="E11" s="13" t="s">
        <v>237</v>
      </c>
      <c r="F11" s="13" t="s">
        <v>242</v>
      </c>
      <c r="G11" s="13" t="s">
        <v>247</v>
      </c>
      <c r="H11" s="84"/>
      <c r="I11" s="84"/>
      <c r="J11" s="15">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6</v>
      </c>
    </row>
    <row r="12" spans="1:13" ht="20.100000000000001" customHeight="1" x14ac:dyDescent="0.2">
      <c r="A12" s="5" t="str">
        <f>HYPERLINK("#'Input - Fert Prod System'!A1", "Fert Prod System")</f>
        <v>Fert Prod System</v>
      </c>
      <c r="D12" s="1" t="str">
        <f>"Percent income from grain sold"</f>
        <v>Percent income from grain sold</v>
      </c>
      <c r="E12" s="13" t="s">
        <v>238</v>
      </c>
      <c r="F12" s="13" t="s">
        <v>243</v>
      </c>
      <c r="G12" s="13" t="s">
        <v>248</v>
      </c>
      <c r="H12" s="84"/>
      <c r="I12" s="84"/>
      <c r="J12" s="15">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3</v>
      </c>
    </row>
    <row r="13" spans="1:13" ht="20.100000000000001" customHeight="1" x14ac:dyDescent="0.2">
      <c r="A13" s="5" t="str">
        <f>HYPERLINK("#'Input - Fertiliser'!A1", "Fertiliser")</f>
        <v>Fertiliser</v>
      </c>
      <c r="D13" s="1" t="str">
        <f>"Percent income from baled hay/silage sold"</f>
        <v>Percent income from baled hay/silage sold</v>
      </c>
      <c r="E13" s="13" t="s">
        <v>234</v>
      </c>
      <c r="F13" s="13" t="s">
        <v>240</v>
      </c>
      <c r="G13" s="13" t="s">
        <v>244</v>
      </c>
      <c r="H13" s="84"/>
      <c r="I13" s="84"/>
      <c r="J13" s="15">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14</v>
      </c>
    </row>
    <row r="14" spans="1:13" ht="20.100000000000001" customHeight="1" x14ac:dyDescent="0.2">
      <c r="A14" s="5" t="str">
        <f>HYPERLINK("#'Input - Fuel'!A1", "Fuel")</f>
        <v>Fuel</v>
      </c>
    </row>
    <row r="15" spans="1:13" ht="20.100000000000001" customHeight="1" x14ac:dyDescent="0.2">
      <c r="A15" s="5" t="str">
        <f>HYPERLINK("#'Input - Electricity'!A1", "Electricity")</f>
        <v>Electricity</v>
      </c>
      <c r="J15" s="85">
        <f>SUM(Table_Input_DataQuality_Enterprise[Score])</f>
        <v>60</v>
      </c>
    </row>
    <row r="16" spans="1:13" ht="20.100000000000001" customHeight="1" x14ac:dyDescent="0.2">
      <c r="A16" s="5" t="str">
        <f>HYPERLINK("#'Input - Common farm inputs'!A1", "Common farm inputs")</f>
        <v>Common farm inputs</v>
      </c>
      <c r="D16" s="2" t="s">
        <v>259</v>
      </c>
    </row>
    <row r="17" spans="1:10" ht="20.100000000000001" customHeight="1" x14ac:dyDescent="0.2">
      <c r="A17" s="5" t="str">
        <f>HYPERLINK("#'Input - Crop pasture farm input'!A1", "Crop pasture farm input")</f>
        <v>Crop pasture farm input</v>
      </c>
    </row>
    <row r="18" spans="1:10" ht="20.100000000000001" customHeight="1" x14ac:dyDescent="0.2">
      <c r="A18" s="5" t="str">
        <f>HYPERLINK("#'Input - Freight'!A1", "Freight")</f>
        <v>Freight</v>
      </c>
      <c r="D18" s="80" t="s">
        <v>255</v>
      </c>
      <c r="E18" s="80" t="s">
        <v>256</v>
      </c>
      <c r="F18" s="80" t="s">
        <v>257</v>
      </c>
      <c r="G18" s="80" t="s">
        <v>258</v>
      </c>
      <c r="H18" s="80" t="s">
        <v>183</v>
      </c>
      <c r="I18" s="80" t="s">
        <v>184</v>
      </c>
      <c r="J18" s="80" t="s">
        <v>185</v>
      </c>
    </row>
    <row r="19" spans="1:10" ht="20.100000000000001" customHeight="1" x14ac:dyDescent="0.2">
      <c r="A19" s="5" t="str">
        <f>HYPERLINK("#'Input - Solid waste'!A1", "Solid waste")</f>
        <v>Solid waste</v>
      </c>
      <c r="D19" s="1" t="str">
        <f>"Leaching zone"</f>
        <v>Leaching zone</v>
      </c>
      <c r="E19" s="13" t="s">
        <v>235</v>
      </c>
      <c r="F19" s="13" t="s">
        <v>241</v>
      </c>
      <c r="G19" s="13" t="s">
        <v>244</v>
      </c>
      <c r="H19" s="84"/>
      <c r="I19" s="84"/>
      <c r="J19" s="15">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12</v>
      </c>
    </row>
    <row r="20" spans="1:10" ht="20.100000000000001" customHeight="1" x14ac:dyDescent="0.2">
      <c r="A20" s="102" t="str">
        <f>HYPERLINK("#'Input - Data quality'!A1", "Data quality")</f>
        <v>Data quality</v>
      </c>
      <c r="D20" s="1" t="str">
        <f>"Elevation"</f>
        <v>Elevation</v>
      </c>
      <c r="E20" s="13" t="s">
        <v>235</v>
      </c>
      <c r="F20" s="13" t="s">
        <v>241</v>
      </c>
      <c r="G20" s="13" t="s">
        <v>244</v>
      </c>
      <c r="H20" s="84"/>
      <c r="I20" s="84"/>
      <c r="J20" s="15">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12</v>
      </c>
    </row>
    <row r="21" spans="1:10" ht="20.100000000000001" customHeight="1" x14ac:dyDescent="0.2">
      <c r="D21" s="1" t="str">
        <f>"Average temperature for reporting period"</f>
        <v>Average temperature for reporting period</v>
      </c>
      <c r="E21" s="13" t="s">
        <v>235</v>
      </c>
      <c r="F21" s="13" t="s">
        <v>241</v>
      </c>
      <c r="G21" s="13" t="s">
        <v>244</v>
      </c>
      <c r="H21" s="84"/>
      <c r="I21" s="84"/>
      <c r="J21" s="15">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12</v>
      </c>
    </row>
    <row r="22" spans="1:10" ht="20.100000000000001" customHeight="1" x14ac:dyDescent="0.2">
      <c r="D22" s="1" t="str">
        <f>"Total rainfall for reporting period"</f>
        <v>Total rainfall for reporting period</v>
      </c>
      <c r="E22" s="13" t="s">
        <v>234</v>
      </c>
      <c r="F22" s="13" t="s">
        <v>240</v>
      </c>
      <c r="G22" s="13" t="s">
        <v>244</v>
      </c>
      <c r="H22" s="84"/>
      <c r="I22" s="84"/>
      <c r="J22" s="15">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14</v>
      </c>
    </row>
    <row r="23" spans="1:10" ht="20.100000000000001" customHeight="1" x14ac:dyDescent="0.2">
      <c r="A23" s="6" t="s">
        <v>2</v>
      </c>
      <c r="D23" s="1" t="str">
        <f>"Potential evapotranspiration for reporting period"</f>
        <v>Potential evapotranspiration for reporting period</v>
      </c>
      <c r="E23" s="13" t="s">
        <v>235</v>
      </c>
      <c r="F23" s="13" t="s">
        <v>241</v>
      </c>
      <c r="G23" s="13" t="s">
        <v>244</v>
      </c>
      <c r="H23" s="84"/>
      <c r="I23" s="84"/>
      <c r="J23" s="15">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12</v>
      </c>
    </row>
    <row r="24" spans="1:10" ht="20.100000000000001" customHeight="1" x14ac:dyDescent="0.2">
      <c r="A24" s="5" t="str">
        <f>HYPERLINK("#'5.1.1.1-2 Inorganic fert N2O'!A1", "5.1.1.1-2 Inorganic fert N2O")</f>
        <v>5.1.1.1-2 Inorganic fert N2O</v>
      </c>
      <c r="D24" s="1" t="str">
        <f>"Number of frost days for reporting period"</f>
        <v>Number of frost days for reporting period</v>
      </c>
      <c r="E24" s="86" t="s">
        <v>236</v>
      </c>
      <c r="F24" s="86" t="s">
        <v>241</v>
      </c>
      <c r="G24" s="86" t="s">
        <v>244</v>
      </c>
      <c r="H24" s="84"/>
      <c r="I24" s="84"/>
      <c r="J24" s="15">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11</v>
      </c>
    </row>
    <row r="25" spans="1:10" ht="20.100000000000001" customHeight="1" x14ac:dyDescent="0.2">
      <c r="A25" s="5" t="str">
        <f>HYPERLINK("#'5.1.1.3-4 Inorganic fert CO2'!A1", "5.1.1.3-4 Inorganic fert CO2")</f>
        <v>5.1.1.3-4 Inorganic fert CO2</v>
      </c>
    </row>
    <row r="26" spans="1:10" ht="20.100000000000001" customHeight="1" x14ac:dyDescent="0.2">
      <c r="A26" s="5" t="str">
        <f>HYPERLINK("#'5.2.1.1-2 Organic Fert N2O'!A1", "5.2.1.1-2 Organic fert N2O")</f>
        <v>5.2.1.1-2 Organic fert N2O</v>
      </c>
      <c r="J26" s="85">
        <f>SUM(Table_Input_DataQuality_Site[Score])</f>
        <v>73</v>
      </c>
    </row>
    <row r="27" spans="1:10" ht="20.100000000000001" customHeight="1" x14ac:dyDescent="0.2">
      <c r="A27" s="5" t="str">
        <f>HYPERLINK("#'5.3.1.1-2 Lime CO2'!A1", "5.3.1.1-2 Lime CO2")</f>
        <v>5.3.1.1-2 Lime CO2</v>
      </c>
      <c r="D27" s="2" t="s">
        <v>296</v>
      </c>
    </row>
    <row r="28" spans="1:10" ht="20.100000000000001" customHeight="1" x14ac:dyDescent="0.2">
      <c r="A28" s="5" t="str">
        <f>HYPERLINK("#'5.4.1.1-4 Atmos deposition'!A1", "5.4.1.1-4 Atmos. deposition")</f>
        <v>5.4.1.1-4 Atmos. deposition</v>
      </c>
    </row>
    <row r="29" spans="1:10" ht="20.100000000000001" customHeight="1" x14ac:dyDescent="0.2">
      <c r="A29" s="5" t="str">
        <f>HYPERLINK("#'5.5.1.1-2 Leaching and runoff'!A1", "5.5.1.1-2 Leaching &amp; runoff")</f>
        <v>5.5.1.1-2 Leaching &amp; runoff</v>
      </c>
      <c r="D29" s="80" t="s">
        <v>255</v>
      </c>
      <c r="E29" s="80" t="s">
        <v>256</v>
      </c>
      <c r="F29" s="80" t="s">
        <v>257</v>
      </c>
      <c r="G29" s="80" t="s">
        <v>258</v>
      </c>
      <c r="H29" s="80" t="s">
        <v>183</v>
      </c>
      <c r="I29" s="80" t="s">
        <v>184</v>
      </c>
      <c r="J29" s="80" t="s">
        <v>185</v>
      </c>
    </row>
    <row r="30" spans="1:10" ht="20.100000000000001" customHeight="1" x14ac:dyDescent="0.2">
      <c r="A30" s="5" t="str">
        <f>HYPERLINK("#'6.1.1.1-2 Crop residue N2O'!A1", "6.1.1.1-2 Crop residue N2O")</f>
        <v>6.1.1.1-2 Crop residue N2O</v>
      </c>
      <c r="D30" s="1" t="str">
        <f>"Crop type"</f>
        <v>Crop type</v>
      </c>
      <c r="E30" s="13" t="s">
        <v>234</v>
      </c>
      <c r="F30" s="13" t="s">
        <v>240</v>
      </c>
      <c r="G30" s="13" t="s">
        <v>244</v>
      </c>
      <c r="H30" s="84"/>
      <c r="I30" s="84"/>
      <c r="J30" s="15">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14</v>
      </c>
    </row>
    <row r="31" spans="1:10" ht="20.100000000000001" customHeight="1" x14ac:dyDescent="0.2">
      <c r="A31" s="5" t="str">
        <f>HYPERLINK("#'6.3.1.1-2 Leach runoff crop'!A1", "6.3.1.1-2 Leach &amp; runoff (crop)")</f>
        <v>6.3.1.1-2 Leach &amp; runoff (crop)</v>
      </c>
      <c r="D31" s="1" t="str">
        <f>"Irrigation method"</f>
        <v>Irrigation method</v>
      </c>
      <c r="E31" s="13" t="s">
        <v>234</v>
      </c>
      <c r="F31" s="13" t="s">
        <v>240</v>
      </c>
      <c r="G31" s="13" t="s">
        <v>244</v>
      </c>
      <c r="H31" s="84"/>
      <c r="I31" s="84"/>
      <c r="J31" s="15">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14</v>
      </c>
    </row>
    <row r="32" spans="1:10" ht="20.100000000000001" customHeight="1" x14ac:dyDescent="0.2">
      <c r="A32" s="5" t="str">
        <f>HYPERLINK("#'6.4.1.1-2 Residue burning'!A1", "6.4.1.1-2 Residue burning")</f>
        <v>6.4.1.1-2 Residue burning</v>
      </c>
      <c r="D32" s="1" t="str">
        <f>"Area under cropping"</f>
        <v>Area under cropping</v>
      </c>
      <c r="E32" s="13" t="s">
        <v>234</v>
      </c>
      <c r="F32" s="13" t="s">
        <v>240</v>
      </c>
      <c r="G32" s="13" t="s">
        <v>244</v>
      </c>
      <c r="H32" s="84"/>
      <c r="I32" s="84"/>
      <c r="J32" s="15">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14</v>
      </c>
    </row>
    <row r="33" spans="1:10" ht="20.100000000000001" customHeight="1" x14ac:dyDescent="0.2">
      <c r="A33" s="5" t="str">
        <f>HYPERLINK("#'8.1.1.1-2 Transport fuel'!A1", "8.1.1.1-2 Transport fuel")</f>
        <v>8.1.1.1-2 Transport fuel</v>
      </c>
      <c r="D33" s="1" t="str">
        <f>"Residue management"</f>
        <v>Residue management</v>
      </c>
      <c r="E33" s="13" t="s">
        <v>234</v>
      </c>
      <c r="F33" s="13" t="s">
        <v>240</v>
      </c>
      <c r="G33" s="13" t="s">
        <v>244</v>
      </c>
      <c r="H33" s="84"/>
      <c r="I33" s="84"/>
      <c r="J33" s="15">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14</v>
      </c>
    </row>
    <row r="34" spans="1:10" ht="20.100000000000001" customHeight="1" x14ac:dyDescent="0.2">
      <c r="A34" s="5" t="str">
        <f>HYPERLINK("#'8.2.1.1-2 Stationary fuel'!A1", "8.2.1.1-2 Stationary fuel")</f>
        <v>8.2.1.1-2 Stationary fuel</v>
      </c>
    </row>
    <row r="35" spans="1:10" ht="20.100000000000001" customHeight="1" x14ac:dyDescent="0.2">
      <c r="A35" s="5" t="str">
        <f>HYPERLINK("#'10.1.1-2 Solid waste treatment'!A1", "10.1.1.1-2 Solid waste")</f>
        <v>10.1.1.1-2 Solid waste</v>
      </c>
      <c r="J35" s="85">
        <f>SUM(Table_Input_DataQuality_PastureManagement[Score])</f>
        <v>56</v>
      </c>
    </row>
    <row r="36" spans="1:10" ht="20.100000000000001" customHeight="1" x14ac:dyDescent="0.2">
      <c r="A36" s="5" t="str">
        <f>HYPERLINK("#'14.1.1-2 Purchased electricity'!A1", "14.1.1-2 Purchased electricity")</f>
        <v>14.1.1-2 Purchased electricity</v>
      </c>
      <c r="D36" s="2" t="s">
        <v>260</v>
      </c>
    </row>
    <row r="37" spans="1:10" ht="20.100000000000001" customHeight="1" x14ac:dyDescent="0.2">
      <c r="A37" s="5" t="str">
        <f>HYPERLINK("#'15 Scope 3'!A1", "15 Scope 3")</f>
        <v>15 Scope 3</v>
      </c>
    </row>
    <row r="38" spans="1:10" ht="20.100000000000001" customHeight="1" x14ac:dyDescent="0.2">
      <c r="D38" s="80" t="s">
        <v>255</v>
      </c>
      <c r="E38" s="80" t="s">
        <v>256</v>
      </c>
      <c r="F38" s="80" t="s">
        <v>257</v>
      </c>
      <c r="G38" s="80" t="s">
        <v>258</v>
      </c>
      <c r="H38" s="80" t="s">
        <v>183</v>
      </c>
      <c r="I38" s="80" t="s">
        <v>184</v>
      </c>
      <c r="J38" s="80" t="s">
        <v>185</v>
      </c>
    </row>
    <row r="39" spans="1:10" ht="20.100000000000001" customHeight="1" x14ac:dyDescent="0.2">
      <c r="D39" s="1" t="str">
        <f>"Branded inorganic fertiliser applications"</f>
        <v>Branded inorganic fertiliser applications</v>
      </c>
      <c r="E39" s="13" t="s">
        <v>234</v>
      </c>
      <c r="F39" s="13" t="s">
        <v>240</v>
      </c>
      <c r="G39" s="13" t="s">
        <v>245</v>
      </c>
      <c r="H39" s="84"/>
      <c r="I39" s="84"/>
      <c r="J39" s="15">
        <f>IFERROR(_xlfn.XLOOKUP(Table_Input_DataQuality_FertiliserApplications[[#This Row],[When was the data sourced?]],Table_SourceData_DataQuality_TemporalRepresentativeness[User friendly description],Table_SourceData_DataQuality_TemporalRepresentativeness[Score])+_xlfn.XLOOKUP(Table_Input_DataQuality_FertiliserApplications[[#This Row],[Where is the data sourced from?]],Table_SourceData_DataQuality_SpatialRepresentativeness[User friendly description],Table_SourceData_DataQuality_SpatialRepresentativeness[Score])+_xlfn.XLOOKUP(Table_Input_DataQuality_FertiliserApplications[[#This Row],[How much of the data was from direct samples?]],Table_SourceData_DataQuality_SampleSize[User friendly description],Table_SourceData_DataQuality_SampleSize[Score]), 0)</f>
        <v>13</v>
      </c>
    </row>
    <row r="40" spans="1:10" ht="20.100000000000001" customHeight="1" x14ac:dyDescent="0.2">
      <c r="A40" s="82" t="s">
        <v>1</v>
      </c>
      <c r="D40" s="1" t="str">
        <f>"Custom inorganic fertiliser blend applications"</f>
        <v>Custom inorganic fertiliser blend applications</v>
      </c>
      <c r="E40" s="13" t="s">
        <v>234</v>
      </c>
      <c r="F40" s="13" t="s">
        <v>240</v>
      </c>
      <c r="G40" s="13" t="s">
        <v>244</v>
      </c>
      <c r="H40" s="84"/>
      <c r="I40" s="84"/>
      <c r="J40" s="15">
        <f>IFERROR(_xlfn.XLOOKUP(Table_Input_DataQuality_FertiliserApplications[[#This Row],[When was the data sourced?]],Table_SourceData_DataQuality_TemporalRepresentativeness[User friendly description],Table_SourceData_DataQuality_TemporalRepresentativeness[Score])+_xlfn.XLOOKUP(Table_Input_DataQuality_FertiliserApplications[[#This Row],[Where is the data sourced from?]],Table_SourceData_DataQuality_SpatialRepresentativeness[User friendly description],Table_SourceData_DataQuality_SpatialRepresentativeness[Score])+_xlfn.XLOOKUP(Table_Input_DataQuality_FertiliserApplications[[#This Row],[How much of the data was from direct samples?]],Table_SourceData_DataQuality_SampleSize[User friendly description],Table_SourceData_DataQuality_SampleSize[Score]), 0)</f>
        <v>14</v>
      </c>
    </row>
    <row r="41" spans="1:10" ht="20.100000000000001" customHeight="1" x14ac:dyDescent="0.2">
      <c r="A41" s="5" t="str">
        <f>HYPERLINK("#'Constants - Ag Residue'!A1", "Constants - Ag residue")</f>
        <v>Constants - Ag residue</v>
      </c>
      <c r="D41" s="1" t="str">
        <f>"Lime applications"</f>
        <v>Lime applications</v>
      </c>
      <c r="E41" s="13" t="s">
        <v>234</v>
      </c>
      <c r="F41" s="13" t="s">
        <v>240</v>
      </c>
      <c r="G41" s="13" t="s">
        <v>244</v>
      </c>
      <c r="H41" s="84"/>
      <c r="I41" s="84"/>
      <c r="J41" s="15">
        <f>IFERROR(_xlfn.XLOOKUP(Table_Input_DataQuality_FertiliserApplications[[#This Row],[When was the data sourced?]],Table_SourceData_DataQuality_TemporalRepresentativeness[User friendly description],Table_SourceData_DataQuality_TemporalRepresentativeness[Score])+_xlfn.XLOOKUP(Table_Input_DataQuality_FertiliserApplications[[#This Row],[Where is the data sourced from?]],Table_SourceData_DataQuality_SpatialRepresentativeness[User friendly description],Table_SourceData_DataQuality_SpatialRepresentativeness[Score])+_xlfn.XLOOKUP(Table_Input_DataQuality_FertiliserApplications[[#This Row],[How much of the data was from direct samples?]],Table_SourceData_DataQuality_SampleSize[User friendly description],Table_SourceData_DataQuality_SampleSize[Score]), 0)</f>
        <v>14</v>
      </c>
    </row>
    <row r="42" spans="1:10" ht="20.100000000000001" customHeight="1" x14ac:dyDescent="0.2">
      <c r="A42" s="5" t="str">
        <f>HYPERLINK("#'Constants - Electricity'!A1", "Constants - Electricity")</f>
        <v>Constants - Electricity</v>
      </c>
      <c r="D42" s="1" t="str">
        <f>"Organic fertiliser applications"</f>
        <v>Organic fertiliser applications</v>
      </c>
      <c r="E42" s="13" t="s">
        <v>234</v>
      </c>
      <c r="F42" s="13" t="s">
        <v>240</v>
      </c>
      <c r="G42" s="13" t="s">
        <v>244</v>
      </c>
      <c r="H42" s="84"/>
      <c r="I42" s="84"/>
      <c r="J42" s="15">
        <f>IFERROR(_xlfn.XLOOKUP(Table_Input_DataQuality_FertiliserApplications[[#This Row],[When was the data sourced?]],Table_SourceData_DataQuality_TemporalRepresentativeness[User friendly description],Table_SourceData_DataQuality_TemporalRepresentativeness[Score])+_xlfn.XLOOKUP(Table_Input_DataQuality_FertiliserApplications[[#This Row],[Where is the data sourced from?]],Table_SourceData_DataQuality_SpatialRepresentativeness[User friendly description],Table_SourceData_DataQuality_SpatialRepresentativeness[Score])+_xlfn.XLOOKUP(Table_Input_DataQuality_FertiliserApplications[[#This Row],[How much of the data was from direct samples?]],Table_SourceData_DataQuality_SampleSize[User friendly description],Table_SourceData_DataQuality_SampleSize[Score]), 0)</f>
        <v>14</v>
      </c>
    </row>
    <row r="43" spans="1:10" ht="20.100000000000001" customHeight="1" x14ac:dyDescent="0.2">
      <c r="A43" s="5" t="str">
        <f>HYPERLINK("#'Constants - Fertiliser'!A1", "Constants - Fertiliser")</f>
        <v>Constants - Fertiliser</v>
      </c>
    </row>
    <row r="44" spans="1:10" ht="20.100000000000001" customHeight="1" x14ac:dyDescent="0.2">
      <c r="A44" s="5" t="str">
        <f>HYPERLINK("#'Constants - Fuel'!A1", "Constants - Fuel")</f>
        <v>Constants - Fuel</v>
      </c>
      <c r="J44" s="85">
        <f>SUM(Table_Input_DataQuality_FertiliserApplications[Score])</f>
        <v>55</v>
      </c>
    </row>
    <row r="45" spans="1:10" ht="20.100000000000001" customHeight="1" x14ac:dyDescent="0.2">
      <c r="A45" s="5" t="str">
        <f>HYPERLINK("#'Constants - Scope 3'!A1", "Constants - Scope 3")</f>
        <v>Constants - Scope 3</v>
      </c>
      <c r="D45" s="2" t="s">
        <v>261</v>
      </c>
    </row>
    <row r="46" spans="1:10" ht="20.100000000000001" customHeight="1" x14ac:dyDescent="0.2">
      <c r="A46" s="5" t="str">
        <f>HYPERLINK("#'Constants - Solid Waste'!A1", "Constants - Solid Waste")</f>
        <v>Constants - Solid Waste</v>
      </c>
    </row>
    <row r="47" spans="1:10" ht="20.100000000000001" customHeight="1" x14ac:dyDescent="0.2">
      <c r="A47" s="5" t="str">
        <f>HYPERLINK("#'Constants - Common'!A1", "Constants - Common")</f>
        <v>Constants - Common</v>
      </c>
      <c r="D47" s="80" t="s">
        <v>255</v>
      </c>
      <c r="E47" s="80" t="s">
        <v>256</v>
      </c>
      <c r="F47" s="80" t="s">
        <v>257</v>
      </c>
      <c r="G47" s="80" t="s">
        <v>258</v>
      </c>
      <c r="H47" s="80" t="s">
        <v>183</v>
      </c>
      <c r="I47" s="80" t="s">
        <v>184</v>
      </c>
      <c r="J47" s="80" t="s">
        <v>185</v>
      </c>
    </row>
    <row r="48" spans="1:10" ht="20.100000000000001" customHeight="1" x14ac:dyDescent="0.2">
      <c r="A48" s="5" t="str">
        <f>HYPERLINK("#'Constants - Common Livestock'!A1", "Constants - Common Livestock")</f>
        <v>Constants - Common Livestock</v>
      </c>
      <c r="D48" s="1" t="str">
        <f>"Fuel purchases"</f>
        <v>Fuel purchases</v>
      </c>
      <c r="E48" s="13" t="s">
        <v>234</v>
      </c>
      <c r="F48" s="13" t="s">
        <v>240</v>
      </c>
      <c r="G48" s="13" t="s">
        <v>245</v>
      </c>
      <c r="H48" s="84"/>
      <c r="I48" s="84"/>
      <c r="J48" s="15">
        <f>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f>
        <v>13</v>
      </c>
    </row>
    <row r="49" spans="1:10" ht="20.100000000000001" customHeight="1" x14ac:dyDescent="0.2">
      <c r="D49" s="1" t="str">
        <f>"Fuel consumption"</f>
        <v>Fuel consumption</v>
      </c>
      <c r="E49" s="13" t="s">
        <v>234</v>
      </c>
      <c r="F49" s="13" t="s">
        <v>240</v>
      </c>
      <c r="G49" s="13" t="s">
        <v>244</v>
      </c>
      <c r="H49" s="84"/>
      <c r="I49" s="84"/>
      <c r="J49" s="15">
        <f>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f>
        <v>14</v>
      </c>
    </row>
    <row r="50" spans="1:10" ht="20.100000000000001" customHeight="1" x14ac:dyDescent="0.2">
      <c r="D50" s="1" t="str">
        <f>"Electricity consumption"</f>
        <v>Electricity consumption</v>
      </c>
      <c r="E50" s="13" t="s">
        <v>234</v>
      </c>
      <c r="F50" s="13" t="s">
        <v>240</v>
      </c>
      <c r="G50" s="13" t="s">
        <v>244</v>
      </c>
      <c r="H50" s="84"/>
      <c r="I50" s="84"/>
      <c r="J50" s="15">
        <f>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f>
        <v>14</v>
      </c>
    </row>
    <row r="51" spans="1:10" ht="20.100000000000001" customHeight="1" x14ac:dyDescent="0.2">
      <c r="D51" s="1" t="str">
        <f>"Electricity generation"</f>
        <v>Electricity generation</v>
      </c>
      <c r="E51" s="13" t="s">
        <v>234</v>
      </c>
      <c r="F51" s="13" t="s">
        <v>240</v>
      </c>
      <c r="G51" s="13" t="s">
        <v>244</v>
      </c>
      <c r="H51" s="84"/>
      <c r="I51" s="84"/>
      <c r="J51" s="15">
        <f>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f>
        <v>14</v>
      </c>
    </row>
    <row r="53" spans="1:10" ht="20.100000000000001" customHeight="1" x14ac:dyDescent="0.2">
      <c r="J53" s="85">
        <f>SUM(Table_Input_DataQuality_FuelElectricity[Score])</f>
        <v>55</v>
      </c>
    </row>
    <row r="55" spans="1:10" ht="20.100000000000001" customHeight="1" x14ac:dyDescent="0.2">
      <c r="D55" s="2" t="s">
        <v>262</v>
      </c>
    </row>
    <row r="57" spans="1:10" ht="20.100000000000001" customHeight="1" x14ac:dyDescent="0.2">
      <c r="D57" s="80" t="s">
        <v>255</v>
      </c>
      <c r="E57" s="80" t="s">
        <v>256</v>
      </c>
      <c r="F57" s="80" t="s">
        <v>257</v>
      </c>
      <c r="G57" s="80" t="s">
        <v>258</v>
      </c>
      <c r="H57" s="80" t="s">
        <v>183</v>
      </c>
      <c r="I57" s="80" t="s">
        <v>184</v>
      </c>
      <c r="J57" s="80" t="s">
        <v>185</v>
      </c>
    </row>
    <row r="58" spans="1:10" ht="20.100000000000001" customHeight="1" x14ac:dyDescent="0.2">
      <c r="D58" s="1" t="str">
        <f>"Farm input purchases"</f>
        <v>Farm input purchases</v>
      </c>
      <c r="E58" s="13" t="s">
        <v>234</v>
      </c>
      <c r="F58" s="13" t="s">
        <v>240</v>
      </c>
      <c r="G58" s="13" t="s">
        <v>245</v>
      </c>
      <c r="H58" s="84"/>
      <c r="I58" s="84"/>
      <c r="J58" s="15">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13</v>
      </c>
    </row>
    <row r="59" spans="1:10" ht="20.100000000000001" customHeight="1" x14ac:dyDescent="0.2">
      <c r="A59" s="81" t="str">
        <f>HYPERLINK("#A1", "▲ Back to top")</f>
        <v>▲ Back to top</v>
      </c>
      <c r="D59" s="1" t="str">
        <f>"Inbound freight use"</f>
        <v>Inbound freight use</v>
      </c>
      <c r="E59" s="13" t="s">
        <v>234</v>
      </c>
      <c r="F59" s="13" t="s">
        <v>240</v>
      </c>
      <c r="G59" s="13" t="s">
        <v>244</v>
      </c>
      <c r="H59" s="84"/>
      <c r="I59" s="84"/>
      <c r="J59" s="15">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14</v>
      </c>
    </row>
    <row r="60" spans="1:10" ht="20.100000000000001" customHeight="1" x14ac:dyDescent="0.2">
      <c r="D60" s="1" t="str">
        <f>"Outbound freight use"</f>
        <v>Outbound freight use</v>
      </c>
      <c r="E60" s="13" t="s">
        <v>234</v>
      </c>
      <c r="F60" s="13" t="s">
        <v>240</v>
      </c>
      <c r="G60" s="13" t="s">
        <v>244</v>
      </c>
      <c r="H60" s="84"/>
      <c r="I60" s="84"/>
      <c r="J60" s="15">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14</v>
      </c>
    </row>
    <row r="61" spans="1:10" ht="20.100000000000001" customHeight="1" x14ac:dyDescent="0.2">
      <c r="D61" s="1" t="str">
        <f>"Solid waste generation and treatment"</f>
        <v>Solid waste generation and treatment</v>
      </c>
      <c r="E61" s="13" t="s">
        <v>234</v>
      </c>
      <c r="F61" s="13" t="s">
        <v>240</v>
      </c>
      <c r="G61" s="13" t="s">
        <v>244</v>
      </c>
      <c r="H61" s="84"/>
      <c r="I61" s="84"/>
      <c r="J61" s="15">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14</v>
      </c>
    </row>
    <row r="63" spans="1:10" ht="20.100000000000001" customHeight="1" x14ac:dyDescent="0.2">
      <c r="J63" s="85">
        <f>SUM(Table_Input_DataQuality_FarmInputsFreightWaste[Score])</f>
        <v>55</v>
      </c>
    </row>
    <row r="65" spans="4:5" ht="20.100000000000001" customHeight="1" x14ac:dyDescent="0.2">
      <c r="D65" s="87" t="s">
        <v>263</v>
      </c>
      <c r="E65" s="88" t="str">
        <f>(J15+J26+J35+J44+J53+J63)&amp;" out of "&amp;((COUNT(Table_Input_DataQuality_Enterprise[Score])*15)+(COUNT(Table_Input_DataQuality_Site[Score])*15)+(COUNT(Table_Input_DataQuality_PastureManagement[Score])*15)+(COUNT(Table_Input_DataQuality_FertiliserApplications[Score])*15)+(COUNT(Table_Input_DataQuality_FuelElectricity[Score])*15)+(COUNT(Table_Input_DataQuality_FarmInputsFreightWaste[Score])*15))</f>
        <v>354 out of 420</v>
      </c>
    </row>
  </sheetData>
  <dataValidations count="3">
    <dataValidation type="list" allowBlank="1" showInputMessage="1" showErrorMessage="1" sqref="G8:G13 G19:G24 G39:G42 G48:G51 G58:G61 G30:G33" xr:uid="{97D978E2-EFFF-4D26-AA9B-97907606C063}">
      <formula1>INDIRECT("Table_SourceData_DataQuality_SampleSize[User friendly description]")</formula1>
    </dataValidation>
    <dataValidation type="list" allowBlank="1" showInputMessage="1" showErrorMessage="1" sqref="E8:E13 E19:E24 E39:E42 E48:E51 E58:E61 E30:E33" xr:uid="{6365A925-6C5F-4576-82C6-82C3A3309F18}">
      <formula1>INDIRECT("Table_SourceData_DataQuality_TemporalRepresentativeness[User friendly description]")</formula1>
    </dataValidation>
    <dataValidation type="list" allowBlank="1" showInputMessage="1" showErrorMessage="1" sqref="F8:F13 F19:F24 F39:F42 F48:F51 F58:F61 F30:F33" xr:uid="{2FC31694-CF14-4E83-AB3B-0D117C874273}">
      <formula1>INDIRECT("Table_SourceData_DataQuality_SpatialRepresentativeness[User friendly description]")</formula1>
    </dataValidation>
  </dataValidations>
  <pageMargins left="0.7" right="0.7" top="0.75" bottom="0.75" header="0.3" footer="0.3"/>
  <tableParts count="6">
    <tablePart r:id="rId1"/>
    <tablePart r:id="rId2"/>
    <tablePart r:id="rId3"/>
    <tablePart r:id="rId4"/>
    <tablePart r:id="rId5"/>
    <tablePart r:id="rId6"/>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22EFB6-8BDB-4340-AD17-F0B344FEBA2A}">
  <sheetPr>
    <tabColor theme="2" tint="-0.499984740745262"/>
  </sheetPr>
  <dimension ref="A1:M195"/>
  <sheetViews>
    <sheetView showGridLines="0" zoomScaleNormal="100" workbookViewId="0">
      <pane xSplit="1" topLeftCell="B1" activePane="topRight" state="frozenSplit"/>
      <selection pane="topRight" activeCell="A4" sqref="A4"/>
    </sheetView>
  </sheetViews>
  <sheetFormatPr defaultColWidth="9" defaultRowHeight="20.100000000000001" customHeight="1" x14ac:dyDescent="0.2"/>
  <cols>
    <col min="1" max="1" width="36.7109375" style="229" customWidth="1"/>
    <col min="2" max="2" width="4.140625" style="229" customWidth="1"/>
    <col min="3" max="3" width="4.140625" style="1" customWidth="1"/>
    <col min="4" max="8" width="26.85546875" style="1" customWidth="1"/>
    <col min="9" max="9" width="27" style="1" customWidth="1"/>
    <col min="10" max="13" width="26.85546875" style="1" customWidth="1"/>
    <col min="14" max="16" width="26.85546875" style="229" customWidth="1"/>
    <col min="17" max="16384" width="9" style="229"/>
  </cols>
  <sheetData>
    <row r="1" spans="1:13" ht="30" customHeight="1" x14ac:dyDescent="0.35">
      <c r="A1" s="10" t="e" vm="1">
        <v>#VALUE!</v>
      </c>
      <c r="C1" s="21" t="s">
        <v>1015</v>
      </c>
      <c r="D1" s="21"/>
      <c r="E1" s="21"/>
      <c r="F1" s="21"/>
      <c r="G1" s="21"/>
      <c r="H1" s="21"/>
      <c r="I1" s="21"/>
      <c r="J1" s="21"/>
      <c r="K1" s="21"/>
      <c r="L1" s="21"/>
      <c r="M1" s="21"/>
    </row>
    <row r="2" spans="1:13" ht="20.100000000000001" customHeight="1" x14ac:dyDescent="0.2">
      <c r="A2"/>
      <c r="C2" s="3"/>
      <c r="D2" s="3"/>
      <c r="E2" s="3"/>
      <c r="F2" s="3"/>
      <c r="G2" s="3"/>
      <c r="H2" s="3"/>
      <c r="I2" s="3"/>
      <c r="J2" s="3"/>
      <c r="K2" s="3"/>
      <c r="L2" s="3"/>
      <c r="M2" s="3"/>
    </row>
    <row r="3" spans="1:13" ht="20.100000000000001" customHeight="1" x14ac:dyDescent="0.2">
      <c r="A3" s="5" t="str">
        <f>HYPERLINK("#'Home'!A1", "Home")</f>
        <v>Home</v>
      </c>
      <c r="C3" s="23"/>
      <c r="D3" s="23"/>
      <c r="E3" s="23"/>
      <c r="F3" s="23"/>
      <c r="G3" s="23"/>
      <c r="H3" s="23"/>
      <c r="I3" s="23"/>
      <c r="J3" s="23"/>
      <c r="K3" s="23"/>
      <c r="L3" s="23"/>
      <c r="M3" s="23"/>
    </row>
    <row r="4" spans="1:13" ht="20.100000000000001" customHeight="1" x14ac:dyDescent="0.2">
      <c r="A4" s="5" t="str">
        <f>HYPERLINK("#'Results - Activity period'!A1", "Results - Activity period")</f>
        <v>Results - Activity period</v>
      </c>
    </row>
    <row r="5" spans="1:13" ht="20.100000000000001" customHeight="1" x14ac:dyDescent="0.2">
      <c r="A5" s="5" t="str">
        <f>HYPERLINK("#'Results - Product EI'!A1", "Results - Product EI")</f>
        <v>Results - Product EI</v>
      </c>
    </row>
    <row r="6" spans="1:13" ht="20.100000000000001" customHeight="1" x14ac:dyDescent="0.2">
      <c r="A6"/>
      <c r="D6" s="2" t="s">
        <v>2154</v>
      </c>
      <c r="E6" s="25"/>
      <c r="F6" s="25"/>
      <c r="G6" s="25"/>
      <c r="H6" s="25"/>
    </row>
    <row r="7" spans="1:13" ht="20.100000000000001" customHeight="1" x14ac:dyDescent="0.2">
      <c r="A7"/>
      <c r="D7" s="25" t="s">
        <v>2155</v>
      </c>
      <c r="E7" s="25"/>
      <c r="F7" s="25"/>
      <c r="G7" s="25"/>
      <c r="H7" s="25"/>
    </row>
    <row r="8" spans="1:13" ht="20.100000000000001" customHeight="1" x14ac:dyDescent="0.2">
      <c r="A8" s="7" t="s">
        <v>0</v>
      </c>
      <c r="D8" s="17" t="s">
        <v>2156</v>
      </c>
      <c r="E8" s="25"/>
      <c r="F8" s="25"/>
      <c r="G8" s="25"/>
      <c r="H8" s="25"/>
    </row>
    <row r="9" spans="1:13" ht="20.100000000000001" customHeight="1" x14ac:dyDescent="0.2">
      <c r="A9" s="5" t="str">
        <f>HYPERLINK("#'Input - Enterprise'!A1", "Enterprise")</f>
        <v>Enterprise</v>
      </c>
      <c r="D9" s="27" t="s">
        <v>1016</v>
      </c>
      <c r="E9" s="20" t="s">
        <v>1017</v>
      </c>
      <c r="F9" s="20" t="s">
        <v>1018</v>
      </c>
      <c r="G9" s="25"/>
    </row>
    <row r="10" spans="1:13" ht="20.100000000000001" customHeight="1" x14ac:dyDescent="0.2">
      <c r="A10" s="5" t="str">
        <f>HYPERLINK("#'Input - Site'!A1", "Site")</f>
        <v>Site</v>
      </c>
      <c r="D10" s="27">
        <v>1</v>
      </c>
      <c r="E10" s="27" t="s">
        <v>70</v>
      </c>
      <c r="F10" s="27" t="s">
        <v>2157</v>
      </c>
      <c r="G10" s="25"/>
    </row>
    <row r="11" spans="1:13" ht="20.100000000000001" customHeight="1" x14ac:dyDescent="0.2">
      <c r="A11" s="5" t="str">
        <f>HYPERLINK("#'Input - Crop'!A1", "Crop")</f>
        <v>Crop</v>
      </c>
      <c r="D11" s="27">
        <v>2</v>
      </c>
      <c r="E11" s="27" t="s">
        <v>72</v>
      </c>
      <c r="F11" s="27" t="s">
        <v>2158</v>
      </c>
      <c r="G11" s="25"/>
    </row>
    <row r="12" spans="1:13" ht="20.100000000000001" customHeight="1" x14ac:dyDescent="0.2">
      <c r="A12" s="5" t="str">
        <f>HYPERLINK("#'Input - Fert Prod System'!A1", "Fert Prod System")</f>
        <v>Fert Prod System</v>
      </c>
      <c r="D12" s="20">
        <v>3</v>
      </c>
      <c r="E12" s="20" t="s">
        <v>73</v>
      </c>
      <c r="F12" s="20" t="s">
        <v>2159</v>
      </c>
      <c r="G12" s="25"/>
    </row>
    <row r="13" spans="1:13" ht="20.100000000000001" customHeight="1" x14ac:dyDescent="0.2">
      <c r="A13" s="5" t="str">
        <f>HYPERLINK("#'Input - Fertiliser'!A1", "Fertiliser")</f>
        <v>Fertiliser</v>
      </c>
      <c r="D13" s="20" t="s">
        <v>2160</v>
      </c>
      <c r="E13" s="20" t="s">
        <v>2161</v>
      </c>
      <c r="F13" s="20" t="s">
        <v>2162</v>
      </c>
      <c r="G13" s="25"/>
    </row>
    <row r="14" spans="1:13" ht="20.100000000000001" customHeight="1" x14ac:dyDescent="0.2">
      <c r="A14" s="5" t="str">
        <f>HYPERLINK("#'Input - Fuel'!A1", "Fuel")</f>
        <v>Fuel</v>
      </c>
      <c r="D14" s="20" t="s">
        <v>2163</v>
      </c>
      <c r="E14" s="20" t="s">
        <v>2164</v>
      </c>
      <c r="F14" s="20" t="s">
        <v>2165</v>
      </c>
      <c r="G14" s="25"/>
    </row>
    <row r="15" spans="1:13" ht="20.100000000000001" customHeight="1" x14ac:dyDescent="0.2">
      <c r="A15" s="5" t="str">
        <f>HYPERLINK("#'Input - Electricity'!A1", "Electricity")</f>
        <v>Electricity</v>
      </c>
      <c r="D15" s="20">
        <v>4</v>
      </c>
      <c r="E15" s="20" t="s">
        <v>75</v>
      </c>
      <c r="F15" s="20" t="s">
        <v>2166</v>
      </c>
      <c r="G15" s="25"/>
    </row>
    <row r="16" spans="1:13" ht="20.100000000000001" customHeight="1" x14ac:dyDescent="0.2">
      <c r="A16" s="5" t="str">
        <f>HYPERLINK("#'Input - Common farm inputs'!A1", "Common farm inputs")</f>
        <v>Common farm inputs</v>
      </c>
      <c r="D16" s="20">
        <v>5</v>
      </c>
      <c r="E16" s="20" t="s">
        <v>2167</v>
      </c>
      <c r="F16" s="20" t="s">
        <v>2168</v>
      </c>
      <c r="G16" s="25"/>
    </row>
    <row r="17" spans="1:8" ht="20.100000000000001" customHeight="1" x14ac:dyDescent="0.2">
      <c r="A17" s="5" t="str">
        <f>HYPERLINK("#'Input - Crop pasture farm input'!A1", "Crop pasture farm input")</f>
        <v>Crop pasture farm input</v>
      </c>
      <c r="D17" s="20">
        <v>6</v>
      </c>
      <c r="E17" s="20" t="s">
        <v>74</v>
      </c>
      <c r="F17" s="20" t="s">
        <v>2169</v>
      </c>
      <c r="G17" s="25"/>
    </row>
    <row r="18" spans="1:8" ht="20.100000000000001" customHeight="1" x14ac:dyDescent="0.2">
      <c r="A18" s="5" t="str">
        <f>HYPERLINK("#'Input - Freight'!A1", "Freight")</f>
        <v>Freight</v>
      </c>
      <c r="D18" s="20">
        <v>7</v>
      </c>
      <c r="E18" s="20" t="s">
        <v>71</v>
      </c>
      <c r="F18" s="20" t="s">
        <v>2170</v>
      </c>
      <c r="G18" s="25"/>
    </row>
    <row r="19" spans="1:8" ht="20.100000000000001" customHeight="1" x14ac:dyDescent="0.2">
      <c r="A19" s="5" t="str">
        <f>HYPERLINK("#'Input - Solid waste'!A1", "Solid waste")</f>
        <v>Solid waste</v>
      </c>
      <c r="D19" s="20">
        <v>8</v>
      </c>
      <c r="E19" s="20" t="s">
        <v>77</v>
      </c>
      <c r="F19" s="20" t="s">
        <v>2171</v>
      </c>
      <c r="G19" s="25"/>
    </row>
    <row r="20" spans="1:8" ht="20.100000000000001" customHeight="1" x14ac:dyDescent="0.2">
      <c r="A20" s="5" t="str">
        <f>HYPERLINK("#'Input - Data quality'!A1", "Data quality")</f>
        <v>Data quality</v>
      </c>
      <c r="D20" s="20">
        <v>9</v>
      </c>
      <c r="E20" s="20" t="s">
        <v>76</v>
      </c>
      <c r="F20" s="20" t="s">
        <v>2172</v>
      </c>
      <c r="G20" s="25"/>
    </row>
    <row r="21" spans="1:8" ht="20.100000000000001" customHeight="1" x14ac:dyDescent="0.2">
      <c r="A21"/>
      <c r="D21" s="20">
        <v>10</v>
      </c>
      <c r="E21" s="20" t="s">
        <v>78</v>
      </c>
      <c r="F21" s="20" t="s">
        <v>2173</v>
      </c>
      <c r="G21" s="25"/>
    </row>
    <row r="22" spans="1:8" ht="20.100000000000001" customHeight="1" x14ac:dyDescent="0.2">
      <c r="A22"/>
      <c r="D22" s="20">
        <v>11</v>
      </c>
      <c r="E22" s="20" t="s">
        <v>79</v>
      </c>
      <c r="F22" s="20" t="s">
        <v>2174</v>
      </c>
      <c r="G22" s="25"/>
    </row>
    <row r="23" spans="1:8" ht="20.100000000000001" customHeight="1" x14ac:dyDescent="0.2">
      <c r="A23" s="6" t="s">
        <v>2</v>
      </c>
      <c r="D23" s="20" t="s">
        <v>2175</v>
      </c>
      <c r="E23" s="20" t="s">
        <v>2176</v>
      </c>
      <c r="F23" s="20" t="s">
        <v>2177</v>
      </c>
      <c r="G23" s="25"/>
    </row>
    <row r="24" spans="1:8" ht="20.100000000000001" customHeight="1" x14ac:dyDescent="0.2">
      <c r="A24" s="5" t="str">
        <f>HYPERLINK("#'5.1.1.1-2 Inorganic fert N2O'!A1", "5.1.1.1-2 Inorganic fert N2O")</f>
        <v>5.1.1.1-2 Inorganic fert N2O</v>
      </c>
      <c r="D24" s="20" t="s">
        <v>2178</v>
      </c>
      <c r="E24" s="20" t="s">
        <v>2179</v>
      </c>
      <c r="F24" s="20" t="s">
        <v>2180</v>
      </c>
      <c r="G24" s="25"/>
    </row>
    <row r="25" spans="1:8" ht="20.100000000000001" customHeight="1" x14ac:dyDescent="0.2">
      <c r="A25" s="5" t="str">
        <f>HYPERLINK("#'5.1.1.3-4 Inorganic fert CO2'!A1", "5.1.1.3-4 Inorganic fert CO2")</f>
        <v>5.1.1.3-4 Inorganic fert CO2</v>
      </c>
      <c r="D25" s="20">
        <v>12</v>
      </c>
      <c r="E25" s="20" t="s">
        <v>80</v>
      </c>
      <c r="F25" s="20" t="s">
        <v>2181</v>
      </c>
      <c r="G25" s="25"/>
    </row>
    <row r="26" spans="1:8" ht="20.100000000000001" customHeight="1" x14ac:dyDescent="0.2">
      <c r="A26" s="5" t="str">
        <f>HYPERLINK("#'5.2.1.1-2 Organic Fert N2O'!A1", "5.2.1.1-2 Organic fert N2O")</f>
        <v>5.2.1.1-2 Organic fert N2O</v>
      </c>
      <c r="D26" s="20">
        <v>13</v>
      </c>
      <c r="E26" s="20" t="s">
        <v>81</v>
      </c>
      <c r="F26" s="20" t="s">
        <v>2182</v>
      </c>
      <c r="G26" s="25"/>
    </row>
    <row r="27" spans="1:8" ht="20.100000000000001" customHeight="1" x14ac:dyDescent="0.2">
      <c r="A27" s="5" t="str">
        <f>HYPERLINK("#'5.3.1.1-2 Lime CO2'!A1", "5.3.1.1-2 Lime CO2")</f>
        <v>5.3.1.1-2 Lime CO2</v>
      </c>
      <c r="D27" s="20">
        <v>14</v>
      </c>
      <c r="E27" s="20" t="s">
        <v>82</v>
      </c>
      <c r="F27" s="20" t="s">
        <v>2183</v>
      </c>
      <c r="G27" s="25"/>
    </row>
    <row r="28" spans="1:8" ht="20.100000000000001" customHeight="1" x14ac:dyDescent="0.2">
      <c r="A28" s="5" t="str">
        <f>HYPERLINK("#'5.4.1.1-4 Atmos deposition'!A1", "5.4.1.1-4 Atmos. deposition")</f>
        <v>5.4.1.1-4 Atmos. deposition</v>
      </c>
      <c r="G28" s="25"/>
      <c r="H28" s="25"/>
    </row>
    <row r="29" spans="1:8" ht="20.100000000000001" customHeight="1" x14ac:dyDescent="0.2">
      <c r="A29" s="5" t="str">
        <f>HYPERLINK("#'5.5.1.1-2 Leaching and runoff'!A1", "5.5.1.1-2 Leaching &amp; runoff")</f>
        <v>5.5.1.1-2 Leaching &amp; runoff</v>
      </c>
      <c r="D29" s="2" t="s">
        <v>2184</v>
      </c>
    </row>
    <row r="30" spans="1:8" ht="20.100000000000001" customHeight="1" x14ac:dyDescent="0.2">
      <c r="A30" s="5" t="str">
        <f>HYPERLINK("#'6.1.1.1-2 Crop residue N2O'!A1", "6.1.1.1-2 Crop residue N2O")</f>
        <v>6.1.1.1-2 Crop residue N2O</v>
      </c>
      <c r="D30" s="17" t="s">
        <v>1585</v>
      </c>
    </row>
    <row r="31" spans="1:8" ht="20.100000000000001" customHeight="1" x14ac:dyDescent="0.2">
      <c r="A31" s="5" t="str">
        <f>HYPERLINK("#'6.3.1.1-2 Leach runoff crop'!A1", "6.3.1.1-2 Leach &amp; runoff (crop)")</f>
        <v>6.3.1.1-2 Leach &amp; runoff (crop)</v>
      </c>
      <c r="D31" s="20" t="s">
        <v>132</v>
      </c>
      <c r="E31" s="20" t="s">
        <v>1019</v>
      </c>
      <c r="F31" s="1" t="s">
        <v>1020</v>
      </c>
    </row>
    <row r="32" spans="1:8" ht="20.100000000000001" customHeight="1" x14ac:dyDescent="0.2">
      <c r="A32" s="5" t="str">
        <f>HYPERLINK("#'6.4.1.1-2 Residue burning'!A1", "6.4.1.1-2 Residue burning")</f>
        <v>6.4.1.1-2 Residue burning</v>
      </c>
      <c r="D32" s="20" t="s">
        <v>1883</v>
      </c>
      <c r="E32" s="20" t="s">
        <v>1005</v>
      </c>
    </row>
    <row r="33" spans="1:6" ht="20.100000000000001" customHeight="1" x14ac:dyDescent="0.2">
      <c r="A33" s="5" t="str">
        <f>HYPERLINK("#'8.1.1.1-2 Transport fuel'!A1", "8.1.1.1-2 Transport fuel")</f>
        <v>8.1.1.1-2 Transport fuel</v>
      </c>
      <c r="D33" s="1" t="s">
        <v>1886</v>
      </c>
      <c r="E33" s="20" t="s">
        <v>988</v>
      </c>
    </row>
    <row r="34" spans="1:6" ht="20.100000000000001" customHeight="1" x14ac:dyDescent="0.2">
      <c r="A34" s="5" t="str">
        <f>HYPERLINK("#'8.2.1.1-2 Stationary fuel'!A1", "8.2.1.1-2 Stationary fuel")</f>
        <v>8.2.1.1-2 Stationary fuel</v>
      </c>
      <c r="D34" s="1" t="s">
        <v>1887</v>
      </c>
      <c r="E34" s="20" t="s">
        <v>997</v>
      </c>
    </row>
    <row r="35" spans="1:6" ht="20.100000000000001" customHeight="1" x14ac:dyDescent="0.2">
      <c r="A35" s="5" t="str">
        <f>HYPERLINK("#'10.1.1-2 Solid waste treatment'!A1", "10.1.1.1-2 Solid waste")</f>
        <v>10.1.1.1-2 Solid waste</v>
      </c>
      <c r="E35" s="20" t="s">
        <v>1001</v>
      </c>
    </row>
    <row r="36" spans="1:6" ht="20.100000000000001" customHeight="1" x14ac:dyDescent="0.2">
      <c r="A36" s="5" t="str">
        <f>HYPERLINK("#'14.1.1-2 Purchased electricity'!A1", "14.1.1-2 Purchased electricity")</f>
        <v>14.1.1-2 Purchased electricity</v>
      </c>
      <c r="E36" s="20" t="s">
        <v>989</v>
      </c>
    </row>
    <row r="37" spans="1:6" ht="20.100000000000001" customHeight="1" x14ac:dyDescent="0.2">
      <c r="A37" s="5" t="str">
        <f>HYPERLINK("#'15 Scope 3'!A1", "15 Scope 3")</f>
        <v>15 Scope 3</v>
      </c>
      <c r="E37" s="20" t="s">
        <v>990</v>
      </c>
    </row>
    <row r="38" spans="1:6" ht="20.100000000000001" customHeight="1" x14ac:dyDescent="0.2">
      <c r="A38"/>
      <c r="E38" s="20" t="s">
        <v>991</v>
      </c>
    </row>
    <row r="39" spans="1:6" ht="20.100000000000001" customHeight="1" x14ac:dyDescent="0.2">
      <c r="A39"/>
      <c r="E39" s="20" t="s">
        <v>993</v>
      </c>
    </row>
    <row r="40" spans="1:6" ht="20.100000000000001" customHeight="1" x14ac:dyDescent="0.2">
      <c r="A40" s="82" t="s">
        <v>1</v>
      </c>
    </row>
    <row r="41" spans="1:6" ht="20.100000000000001" customHeight="1" x14ac:dyDescent="0.2">
      <c r="A41" s="5" t="str">
        <f>HYPERLINK("#'Constants - Ag Residue'!A1", "Constants - Ag residue")</f>
        <v>Constants - Ag residue</v>
      </c>
      <c r="D41" s="2" t="s">
        <v>2185</v>
      </c>
    </row>
    <row r="42" spans="1:6" ht="20.100000000000001" customHeight="1" x14ac:dyDescent="0.2">
      <c r="A42" s="5" t="str">
        <f>HYPERLINK("#'Constants - Electricity'!A1", "Constants - Electricity")</f>
        <v>Constants - Electricity</v>
      </c>
      <c r="D42" s="17" t="s">
        <v>1585</v>
      </c>
    </row>
    <row r="43" spans="1:6" ht="20.100000000000001" customHeight="1" x14ac:dyDescent="0.2">
      <c r="A43" s="5" t="str">
        <f>HYPERLINK("#'Constants - Fertiliser'!A1", "Constants - Fertiliser")</f>
        <v>Constants - Fertiliser</v>
      </c>
      <c r="D43" s="20" t="s">
        <v>132</v>
      </c>
      <c r="E43" s="20" t="s">
        <v>1019</v>
      </c>
      <c r="F43" s="1" t="s">
        <v>1021</v>
      </c>
    </row>
    <row r="44" spans="1:6" ht="20.100000000000001" customHeight="1" x14ac:dyDescent="0.2">
      <c r="A44" s="5" t="str">
        <f>HYPERLINK("#'Constants - Fuel'!A1", "Constants - Fuel")</f>
        <v>Constants - Fuel</v>
      </c>
      <c r="D44" s="20" t="s">
        <v>1891</v>
      </c>
      <c r="E44" s="20" t="s">
        <v>1005</v>
      </c>
    </row>
    <row r="45" spans="1:6" ht="20.100000000000001" customHeight="1" x14ac:dyDescent="0.2">
      <c r="A45" s="5" t="str">
        <f>HYPERLINK("#'Constants - Scope 3'!A1", "Constants - Scope 3")</f>
        <v>Constants - Scope 3</v>
      </c>
      <c r="D45" s="20" t="s">
        <v>1892</v>
      </c>
      <c r="E45" s="20" t="s">
        <v>988</v>
      </c>
    </row>
    <row r="46" spans="1:6" ht="20.100000000000001" customHeight="1" x14ac:dyDescent="0.2">
      <c r="A46" s="5" t="str">
        <f>HYPERLINK("#'Constants - Solid Waste'!A1", "Constants - Solid Waste")</f>
        <v>Constants - Solid Waste</v>
      </c>
      <c r="D46" s="20"/>
      <c r="E46" s="20" t="s">
        <v>1001</v>
      </c>
    </row>
    <row r="47" spans="1:6" ht="20.100000000000001" customHeight="1" x14ac:dyDescent="0.2">
      <c r="A47" s="5" t="str">
        <f>HYPERLINK("#'Constants - Common'!A1", "Constants - Common")</f>
        <v>Constants - Common</v>
      </c>
      <c r="D47" s="20"/>
      <c r="E47" s="20" t="s">
        <v>989</v>
      </c>
    </row>
    <row r="48" spans="1:6" ht="20.100000000000001" customHeight="1" x14ac:dyDescent="0.2">
      <c r="A48" s="83" t="str">
        <f>HYPERLINK("#'Constants - Common Livestock'!A1", "Constants - Common Livestock")</f>
        <v>Constants - Common Livestock</v>
      </c>
      <c r="D48" s="20"/>
      <c r="E48" s="20" t="s">
        <v>990</v>
      </c>
    </row>
    <row r="49" spans="1:6" ht="20.100000000000001" customHeight="1" x14ac:dyDescent="0.2">
      <c r="A49"/>
      <c r="D49" s="20"/>
      <c r="E49" s="20" t="s">
        <v>991</v>
      </c>
    </row>
    <row r="50" spans="1:6" ht="20.100000000000001" customHeight="1" x14ac:dyDescent="0.2">
      <c r="A50"/>
      <c r="D50" s="20"/>
      <c r="E50" s="20" t="s">
        <v>993</v>
      </c>
    </row>
    <row r="51" spans="1:6" ht="20.100000000000001" customHeight="1" x14ac:dyDescent="0.2">
      <c r="A51"/>
    </row>
    <row r="52" spans="1:6" ht="20.100000000000001" customHeight="1" x14ac:dyDescent="0.2">
      <c r="A52"/>
      <c r="D52" s="2" t="s">
        <v>2186</v>
      </c>
    </row>
    <row r="53" spans="1:6" ht="20.100000000000001" customHeight="1" x14ac:dyDescent="0.2">
      <c r="A53"/>
      <c r="D53" s="17" t="s">
        <v>1585</v>
      </c>
    </row>
    <row r="54" spans="1:6" ht="20.100000000000001" customHeight="1" x14ac:dyDescent="0.2">
      <c r="A54"/>
      <c r="D54" s="20" t="s">
        <v>132</v>
      </c>
      <c r="E54" s="20" t="s">
        <v>1019</v>
      </c>
      <c r="F54" s="1" t="s">
        <v>1022</v>
      </c>
    </row>
    <row r="55" spans="1:6" ht="20.100000000000001" customHeight="1" x14ac:dyDescent="0.2">
      <c r="A55"/>
      <c r="D55" s="20" t="s">
        <v>1888</v>
      </c>
      <c r="E55" s="20" t="s">
        <v>1005</v>
      </c>
    </row>
    <row r="56" spans="1:6" ht="20.100000000000001" customHeight="1" x14ac:dyDescent="0.2">
      <c r="A56"/>
    </row>
    <row r="57" spans="1:6" ht="20.100000000000001" customHeight="1" x14ac:dyDescent="0.2">
      <c r="A57"/>
      <c r="D57" s="2" t="s">
        <v>2187</v>
      </c>
    </row>
    <row r="58" spans="1:6" ht="20.100000000000001" customHeight="1" x14ac:dyDescent="0.2">
      <c r="A58"/>
      <c r="D58" s="17" t="s">
        <v>1585</v>
      </c>
    </row>
    <row r="59" spans="1:6" ht="20.100000000000001" customHeight="1" x14ac:dyDescent="0.2">
      <c r="A59" s="81" t="str">
        <f>HYPERLINK("#A1", "▲ Back to top")</f>
        <v>▲ Back to top</v>
      </c>
      <c r="D59" s="20" t="s">
        <v>132</v>
      </c>
      <c r="E59" s="20" t="s">
        <v>1019</v>
      </c>
      <c r="F59" s="1" t="s">
        <v>1023</v>
      </c>
    </row>
    <row r="60" spans="1:6" ht="20.100000000000001" customHeight="1" x14ac:dyDescent="0.2">
      <c r="A60"/>
      <c r="D60" s="20" t="s">
        <v>1889</v>
      </c>
      <c r="E60" s="20" t="s">
        <v>991</v>
      </c>
    </row>
    <row r="61" spans="1:6" ht="20.100000000000001" customHeight="1" x14ac:dyDescent="0.2">
      <c r="A61"/>
    </row>
    <row r="62" spans="1:6" ht="20.100000000000001" customHeight="1" x14ac:dyDescent="0.2">
      <c r="A62"/>
      <c r="D62" s="2" t="s">
        <v>2188</v>
      </c>
    </row>
    <row r="63" spans="1:6" ht="20.100000000000001" customHeight="1" x14ac:dyDescent="0.2">
      <c r="A63"/>
      <c r="D63" s="17" t="s">
        <v>1585</v>
      </c>
    </row>
    <row r="64" spans="1:6" ht="20.100000000000001" customHeight="1" x14ac:dyDescent="0.2">
      <c r="A64"/>
      <c r="D64" s="20" t="s">
        <v>132</v>
      </c>
      <c r="E64" s="20" t="s">
        <v>1019</v>
      </c>
      <c r="F64" s="1" t="s">
        <v>1024</v>
      </c>
    </row>
    <row r="65" spans="1:5" ht="20.100000000000001" customHeight="1" x14ac:dyDescent="0.2">
      <c r="A65"/>
      <c r="D65" s="20" t="s">
        <v>875</v>
      </c>
      <c r="E65" s="20" t="s">
        <v>1005</v>
      </c>
    </row>
    <row r="66" spans="1:5" ht="20.100000000000001" customHeight="1" x14ac:dyDescent="0.2">
      <c r="A66"/>
    </row>
    <row r="67" spans="1:5" ht="20.100000000000001" customHeight="1" x14ac:dyDescent="0.2">
      <c r="A67"/>
    </row>
    <row r="68" spans="1:5" ht="20.100000000000001" customHeight="1" x14ac:dyDescent="0.2">
      <c r="A68"/>
    </row>
    <row r="69" spans="1:5" ht="20.100000000000001" customHeight="1" x14ac:dyDescent="0.2">
      <c r="A69"/>
    </row>
    <row r="70" spans="1:5" ht="20.100000000000001" customHeight="1" x14ac:dyDescent="0.2">
      <c r="A70"/>
    </row>
    <row r="71" spans="1:5" ht="20.100000000000001" customHeight="1" x14ac:dyDescent="0.2">
      <c r="A71"/>
    </row>
    <row r="72" spans="1:5" ht="20.100000000000001" customHeight="1" x14ac:dyDescent="0.2">
      <c r="A72"/>
    </row>
    <row r="73" spans="1:5" ht="20.100000000000001" customHeight="1" x14ac:dyDescent="0.2">
      <c r="A73"/>
    </row>
    <row r="74" spans="1:5" ht="20.100000000000001" customHeight="1" x14ac:dyDescent="0.2">
      <c r="A74"/>
    </row>
    <row r="75" spans="1:5" ht="20.100000000000001" customHeight="1" x14ac:dyDescent="0.2">
      <c r="A75"/>
    </row>
    <row r="76" spans="1:5" ht="20.100000000000001" customHeight="1" x14ac:dyDescent="0.2">
      <c r="A76"/>
    </row>
    <row r="77" spans="1:5" ht="20.100000000000001" customHeight="1" x14ac:dyDescent="0.2">
      <c r="A77"/>
    </row>
    <row r="78" spans="1:5" ht="20.100000000000001" customHeight="1" x14ac:dyDescent="0.2">
      <c r="A78"/>
    </row>
    <row r="79" spans="1:5" ht="20.100000000000001" customHeight="1" x14ac:dyDescent="0.2">
      <c r="A79"/>
    </row>
    <row r="80" spans="1:5" ht="20.100000000000001" customHeight="1" x14ac:dyDescent="0.2">
      <c r="A80"/>
    </row>
    <row r="81" spans="1:1" ht="20.100000000000001" customHeight="1" x14ac:dyDescent="0.2">
      <c r="A81"/>
    </row>
    <row r="82" spans="1:1" ht="20.100000000000001" customHeight="1" x14ac:dyDescent="0.2">
      <c r="A82"/>
    </row>
    <row r="83" spans="1:1" ht="20.100000000000001" customHeight="1" x14ac:dyDescent="0.2">
      <c r="A83"/>
    </row>
    <row r="84" spans="1:1" ht="20.100000000000001" customHeight="1" x14ac:dyDescent="0.2">
      <c r="A84"/>
    </row>
    <row r="85" spans="1:1" ht="20.100000000000001" customHeight="1" x14ac:dyDescent="0.2">
      <c r="A85"/>
    </row>
    <row r="86" spans="1:1" ht="20.100000000000001" customHeight="1" x14ac:dyDescent="0.2">
      <c r="A86"/>
    </row>
    <row r="87" spans="1:1" ht="20.100000000000001" customHeight="1" x14ac:dyDescent="0.2">
      <c r="A87"/>
    </row>
    <row r="88" spans="1:1" ht="20.100000000000001" customHeight="1" x14ac:dyDescent="0.2">
      <c r="A88"/>
    </row>
    <row r="89" spans="1:1" ht="20.100000000000001" customHeight="1" x14ac:dyDescent="0.2">
      <c r="A89"/>
    </row>
    <row r="90" spans="1:1" ht="20.100000000000001" customHeight="1" x14ac:dyDescent="0.2">
      <c r="A90"/>
    </row>
    <row r="91" spans="1:1" ht="20.100000000000001" customHeight="1" x14ac:dyDescent="0.2">
      <c r="A91"/>
    </row>
    <row r="92" spans="1:1" ht="20.100000000000001" customHeight="1" x14ac:dyDescent="0.2">
      <c r="A92"/>
    </row>
    <row r="93" spans="1:1" ht="20.100000000000001" customHeight="1" x14ac:dyDescent="0.2">
      <c r="A93"/>
    </row>
    <row r="94" spans="1:1" ht="20.100000000000001" customHeight="1" x14ac:dyDescent="0.2">
      <c r="A94"/>
    </row>
    <row r="95" spans="1:1" ht="20.100000000000001" customHeight="1" x14ac:dyDescent="0.2">
      <c r="A95"/>
    </row>
    <row r="96" spans="1:1" ht="20.100000000000001" customHeight="1" x14ac:dyDescent="0.2">
      <c r="A96"/>
    </row>
    <row r="97" spans="1:1" ht="20.100000000000001" customHeight="1" x14ac:dyDescent="0.2">
      <c r="A97"/>
    </row>
    <row r="98" spans="1:1" ht="20.100000000000001" customHeight="1" x14ac:dyDescent="0.2">
      <c r="A98"/>
    </row>
    <row r="99" spans="1:1" ht="20.100000000000001" customHeight="1" x14ac:dyDescent="0.2">
      <c r="A99"/>
    </row>
    <row r="100" spans="1:1" ht="20.100000000000001" customHeight="1" x14ac:dyDescent="0.2">
      <c r="A100"/>
    </row>
    <row r="101" spans="1:1" ht="20.100000000000001" customHeight="1" x14ac:dyDescent="0.2">
      <c r="A101"/>
    </row>
    <row r="102" spans="1:1" ht="20.100000000000001" customHeight="1" x14ac:dyDescent="0.2">
      <c r="A102"/>
    </row>
    <row r="103" spans="1:1" ht="20.100000000000001" customHeight="1" x14ac:dyDescent="0.2">
      <c r="A103"/>
    </row>
    <row r="104" spans="1:1" ht="20.100000000000001" customHeight="1" x14ac:dyDescent="0.2">
      <c r="A104"/>
    </row>
    <row r="105" spans="1:1" ht="20.100000000000001" customHeight="1" x14ac:dyDescent="0.2">
      <c r="A105"/>
    </row>
    <row r="106" spans="1:1" ht="20.100000000000001" customHeight="1" x14ac:dyDescent="0.2">
      <c r="A106"/>
    </row>
    <row r="107" spans="1:1" ht="20.100000000000001" customHeight="1" x14ac:dyDescent="0.2">
      <c r="A107"/>
    </row>
    <row r="108" spans="1:1" ht="20.100000000000001" customHeight="1" x14ac:dyDescent="0.2">
      <c r="A108"/>
    </row>
    <row r="109" spans="1:1" ht="20.100000000000001" customHeight="1" x14ac:dyDescent="0.2">
      <c r="A109"/>
    </row>
    <row r="110" spans="1:1" ht="20.100000000000001" customHeight="1" x14ac:dyDescent="0.2">
      <c r="A110"/>
    </row>
    <row r="111" spans="1:1" ht="20.100000000000001" customHeight="1" x14ac:dyDescent="0.2">
      <c r="A111"/>
    </row>
    <row r="112" spans="1:1" ht="20.100000000000001" customHeight="1" x14ac:dyDescent="0.2">
      <c r="A112"/>
    </row>
    <row r="113" spans="1:1" ht="20.100000000000001" customHeight="1" x14ac:dyDescent="0.2">
      <c r="A113"/>
    </row>
    <row r="114" spans="1:1" ht="20.100000000000001" customHeight="1" x14ac:dyDescent="0.2">
      <c r="A114"/>
    </row>
    <row r="115" spans="1:1" ht="20.100000000000001" customHeight="1" x14ac:dyDescent="0.2">
      <c r="A115"/>
    </row>
    <row r="116" spans="1:1" ht="20.100000000000001" customHeight="1" x14ac:dyDescent="0.2">
      <c r="A116"/>
    </row>
    <row r="117" spans="1:1" ht="20.100000000000001" customHeight="1" x14ac:dyDescent="0.2">
      <c r="A117"/>
    </row>
    <row r="118" spans="1:1" ht="20.100000000000001" customHeight="1" x14ac:dyDescent="0.2">
      <c r="A118"/>
    </row>
    <row r="119" spans="1:1" ht="20.100000000000001" customHeight="1" x14ac:dyDescent="0.2">
      <c r="A119"/>
    </row>
    <row r="120" spans="1:1" ht="20.100000000000001" customHeight="1" x14ac:dyDescent="0.2">
      <c r="A120"/>
    </row>
    <row r="121" spans="1:1" ht="20.100000000000001" customHeight="1" x14ac:dyDescent="0.2">
      <c r="A121"/>
    </row>
    <row r="122" spans="1:1" ht="20.100000000000001" customHeight="1" x14ac:dyDescent="0.2">
      <c r="A122"/>
    </row>
    <row r="123" spans="1:1" ht="20.100000000000001" customHeight="1" x14ac:dyDescent="0.2">
      <c r="A123"/>
    </row>
    <row r="124" spans="1:1" ht="20.100000000000001" customHeight="1" x14ac:dyDescent="0.2">
      <c r="A124"/>
    </row>
    <row r="125" spans="1:1" ht="20.100000000000001" customHeight="1" x14ac:dyDescent="0.2">
      <c r="A125"/>
    </row>
    <row r="126" spans="1:1" ht="20.100000000000001" customHeight="1" x14ac:dyDescent="0.2">
      <c r="A126"/>
    </row>
    <row r="127" spans="1:1" ht="20.100000000000001" customHeight="1" x14ac:dyDescent="0.2">
      <c r="A127"/>
    </row>
    <row r="128" spans="1:1" ht="20.100000000000001" customHeight="1" x14ac:dyDescent="0.2">
      <c r="A128"/>
    </row>
    <row r="129" spans="1:1" ht="20.100000000000001" customHeight="1" x14ac:dyDescent="0.2">
      <c r="A129"/>
    </row>
    <row r="130" spans="1:1" ht="20.100000000000001" customHeight="1" x14ac:dyDescent="0.2">
      <c r="A130"/>
    </row>
    <row r="131" spans="1:1" ht="20.100000000000001" customHeight="1" x14ac:dyDescent="0.2">
      <c r="A131"/>
    </row>
    <row r="132" spans="1:1" ht="20.100000000000001" customHeight="1" x14ac:dyDescent="0.2">
      <c r="A132"/>
    </row>
    <row r="133" spans="1:1" ht="20.100000000000001" customHeight="1" x14ac:dyDescent="0.2">
      <c r="A133"/>
    </row>
    <row r="134" spans="1:1" ht="20.100000000000001" customHeight="1" x14ac:dyDescent="0.2">
      <c r="A134"/>
    </row>
    <row r="135" spans="1:1" ht="20.100000000000001" customHeight="1" x14ac:dyDescent="0.2">
      <c r="A135"/>
    </row>
    <row r="136" spans="1:1" ht="20.100000000000001" customHeight="1" x14ac:dyDescent="0.2">
      <c r="A136"/>
    </row>
    <row r="137" spans="1:1" ht="20.100000000000001" customHeight="1" x14ac:dyDescent="0.2">
      <c r="A137"/>
    </row>
    <row r="138" spans="1:1" ht="20.100000000000001" customHeight="1" x14ac:dyDescent="0.2">
      <c r="A138"/>
    </row>
    <row r="139" spans="1:1" ht="20.100000000000001" customHeight="1" x14ac:dyDescent="0.2">
      <c r="A139"/>
    </row>
    <row r="140" spans="1:1" ht="20.100000000000001" customHeight="1" x14ac:dyDescent="0.2">
      <c r="A140"/>
    </row>
    <row r="141" spans="1:1" ht="20.100000000000001" customHeight="1" x14ac:dyDescent="0.2">
      <c r="A141"/>
    </row>
    <row r="142" spans="1:1" ht="20.100000000000001" customHeight="1" x14ac:dyDescent="0.2">
      <c r="A142"/>
    </row>
    <row r="143" spans="1:1" ht="20.100000000000001" customHeight="1" x14ac:dyDescent="0.2">
      <c r="A143"/>
    </row>
    <row r="144" spans="1:1" ht="20.100000000000001" customHeight="1" x14ac:dyDescent="0.2">
      <c r="A144"/>
    </row>
    <row r="145" spans="1:1" ht="20.100000000000001" customHeight="1" x14ac:dyDescent="0.2">
      <c r="A145"/>
    </row>
    <row r="146" spans="1:1" ht="20.100000000000001" customHeight="1" x14ac:dyDescent="0.2">
      <c r="A146"/>
    </row>
    <row r="147" spans="1:1" ht="20.100000000000001" customHeight="1" x14ac:dyDescent="0.2">
      <c r="A147"/>
    </row>
    <row r="148" spans="1:1" ht="20.100000000000001" customHeight="1" x14ac:dyDescent="0.2">
      <c r="A148"/>
    </row>
    <row r="149" spans="1:1" ht="20.100000000000001" customHeight="1" x14ac:dyDescent="0.2">
      <c r="A149"/>
    </row>
    <row r="150" spans="1:1" ht="20.100000000000001" customHeight="1" x14ac:dyDescent="0.2">
      <c r="A150"/>
    </row>
    <row r="151" spans="1:1" ht="20.100000000000001" customHeight="1" x14ac:dyDescent="0.2">
      <c r="A151"/>
    </row>
    <row r="152" spans="1:1" ht="20.100000000000001" customHeight="1" x14ac:dyDescent="0.2">
      <c r="A152"/>
    </row>
    <row r="153" spans="1:1" ht="20.100000000000001" customHeight="1" x14ac:dyDescent="0.2">
      <c r="A153"/>
    </row>
    <row r="154" spans="1:1" ht="20.100000000000001" customHeight="1" x14ac:dyDescent="0.2">
      <c r="A154"/>
    </row>
    <row r="155" spans="1:1" ht="20.100000000000001" customHeight="1" x14ac:dyDescent="0.2">
      <c r="A155"/>
    </row>
    <row r="156" spans="1:1" ht="20.100000000000001" customHeight="1" x14ac:dyDescent="0.2">
      <c r="A156"/>
    </row>
    <row r="157" spans="1:1" ht="20.100000000000001" customHeight="1" x14ac:dyDescent="0.2">
      <c r="A157"/>
    </row>
    <row r="158" spans="1:1" ht="20.100000000000001" customHeight="1" x14ac:dyDescent="0.2">
      <c r="A158"/>
    </row>
    <row r="159" spans="1:1" ht="20.100000000000001" customHeight="1" x14ac:dyDescent="0.2">
      <c r="A159"/>
    </row>
    <row r="160" spans="1:1" ht="20.100000000000001" customHeight="1" x14ac:dyDescent="0.2">
      <c r="A160"/>
    </row>
    <row r="161" spans="1:1" ht="20.100000000000001" customHeight="1" x14ac:dyDescent="0.2">
      <c r="A161"/>
    </row>
    <row r="162" spans="1:1" ht="20.100000000000001" customHeight="1" x14ac:dyDescent="0.2">
      <c r="A162"/>
    </row>
    <row r="163" spans="1:1" ht="20.100000000000001" customHeight="1" x14ac:dyDescent="0.2">
      <c r="A163"/>
    </row>
    <row r="164" spans="1:1" ht="20.100000000000001" customHeight="1" x14ac:dyDescent="0.2">
      <c r="A164"/>
    </row>
    <row r="165" spans="1:1" ht="20.100000000000001" customHeight="1" x14ac:dyDescent="0.2">
      <c r="A165"/>
    </row>
    <row r="166" spans="1:1" ht="20.100000000000001" customHeight="1" x14ac:dyDescent="0.2">
      <c r="A166"/>
    </row>
    <row r="167" spans="1:1" ht="20.100000000000001" customHeight="1" x14ac:dyDescent="0.2">
      <c r="A167"/>
    </row>
    <row r="168" spans="1:1" ht="20.100000000000001" customHeight="1" x14ac:dyDescent="0.2">
      <c r="A168"/>
    </row>
    <row r="169" spans="1:1" ht="20.100000000000001" customHeight="1" x14ac:dyDescent="0.2">
      <c r="A169"/>
    </row>
    <row r="170" spans="1:1" ht="20.100000000000001" customHeight="1" x14ac:dyDescent="0.2">
      <c r="A170"/>
    </row>
    <row r="171" spans="1:1" ht="20.100000000000001" customHeight="1" x14ac:dyDescent="0.2">
      <c r="A171"/>
    </row>
    <row r="172" spans="1:1" ht="20.100000000000001" customHeight="1" x14ac:dyDescent="0.2">
      <c r="A172"/>
    </row>
    <row r="173" spans="1:1" ht="20.100000000000001" customHeight="1" x14ac:dyDescent="0.2">
      <c r="A173"/>
    </row>
    <row r="174" spans="1:1" ht="20.100000000000001" customHeight="1" x14ac:dyDescent="0.2">
      <c r="A174"/>
    </row>
    <row r="175" spans="1:1" ht="20.100000000000001" customHeight="1" x14ac:dyDescent="0.2">
      <c r="A175"/>
    </row>
    <row r="176" spans="1:1" ht="20.100000000000001" customHeight="1" x14ac:dyDescent="0.2">
      <c r="A176"/>
    </row>
    <row r="177" spans="1:1" ht="20.100000000000001" customHeight="1" x14ac:dyDescent="0.2">
      <c r="A177"/>
    </row>
    <row r="178" spans="1:1" ht="20.100000000000001" customHeight="1" x14ac:dyDescent="0.2">
      <c r="A178"/>
    </row>
    <row r="179" spans="1:1" ht="20.100000000000001" customHeight="1" x14ac:dyDescent="0.2">
      <c r="A179"/>
    </row>
    <row r="180" spans="1:1" ht="20.100000000000001" customHeight="1" x14ac:dyDescent="0.2">
      <c r="A180"/>
    </row>
    <row r="181" spans="1:1" ht="20.100000000000001" customHeight="1" x14ac:dyDescent="0.2">
      <c r="A181"/>
    </row>
    <row r="182" spans="1:1" ht="20.100000000000001" customHeight="1" x14ac:dyDescent="0.2">
      <c r="A182"/>
    </row>
    <row r="183" spans="1:1" ht="20.100000000000001" customHeight="1" x14ac:dyDescent="0.2">
      <c r="A183"/>
    </row>
    <row r="184" spans="1:1" ht="20.100000000000001" customHeight="1" x14ac:dyDescent="0.2">
      <c r="A184"/>
    </row>
    <row r="185" spans="1:1" ht="20.100000000000001" customHeight="1" x14ac:dyDescent="0.2">
      <c r="A185"/>
    </row>
    <row r="186" spans="1:1" ht="20.100000000000001" customHeight="1" x14ac:dyDescent="0.2">
      <c r="A186"/>
    </row>
    <row r="187" spans="1:1" ht="20.100000000000001" customHeight="1" x14ac:dyDescent="0.2">
      <c r="A187"/>
    </row>
    <row r="188" spans="1:1" ht="20.100000000000001" customHeight="1" x14ac:dyDescent="0.2">
      <c r="A188"/>
    </row>
    <row r="189" spans="1:1" ht="20.100000000000001" customHeight="1" x14ac:dyDescent="0.2">
      <c r="A189"/>
    </row>
    <row r="190" spans="1:1" ht="20.100000000000001" customHeight="1" x14ac:dyDescent="0.2">
      <c r="A190"/>
    </row>
    <row r="191" spans="1:1" ht="20.100000000000001" customHeight="1" x14ac:dyDescent="0.2">
      <c r="A191"/>
    </row>
    <row r="192" spans="1:1" ht="20.100000000000001" customHeight="1" x14ac:dyDescent="0.2">
      <c r="A192"/>
    </row>
    <row r="193" spans="1:1" ht="20.100000000000001" customHeight="1" x14ac:dyDescent="0.2">
      <c r="A193"/>
    </row>
    <row r="194" spans="1:1" ht="20.100000000000001" customHeight="1" x14ac:dyDescent="0.2">
      <c r="A194"/>
    </row>
    <row r="195" spans="1:1" ht="20.100000000000001" customHeight="1" x14ac:dyDescent="0.2">
      <c r="A195"/>
    </row>
  </sheetData>
  <pageMargins left="0.7" right="0.7" top="0.75" bottom="0.75" header="0.3" footer="0.3"/>
  <pageSetup paperSize="9" orientation="portrait" r:id="rId1"/>
  <tableParts count="6">
    <tablePart r:id="rId2"/>
    <tablePart r:id="rId3"/>
    <tablePart r:id="rId4"/>
    <tablePart r:id="rId5"/>
    <tablePart r:id="rId6"/>
    <tablePart r:id="rId7"/>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EUAcQB1AGEAdABpAG8AbgBzACIALAAiAHQAZQB4AHQAIgA6ACIAXABuAC8AKgAgAFwAbgAtAC0ALQAtAC0ALQAtAC0ALQAtAC0ALQAtAC0ALQAtAC0ALQAtAC0ALQAtAC0ALQAtAC0ALQAtAC0ALQAtAC0ALQAtAC0ALQAtAC0AXABuAEMAbwBtAG0AbwBuAF8AQwBvAG4AdgBlAHIAdABOADIATwBUAG8AQwBPADIAZQBcAG4AQwBvAG4AdgBlAHIAdAAgAG4AaQB0AHIAbwB1AHMAIABvAHgAaQBkAGUAIABlAG0AaQBzAHMAaQBvAG4AcwAgAHQAbwAgAGMAYQByAGIAbwBuACAAZABpAG8AeABpAGQAZQAgAGUAcQB1AGkAdgBhAGwAZQBuAHQAIABlAG0AaQBzAHMAaQBvAG4AcwBcAG4ARQBOADIATwAgAEMATwAyAGUAXABuAHQAIABDAE8AMgBlAFwAbgBFAE4AMgBPADoAIABuAGkAdAByAG8AdQBzACAAbwB4AGkAZABlACAAZQBtAGkAcwBzAGkAbwBuAHMAIAAoAHQAIABOADIATwApAFwAbgBHAFcAUABOADIATwA6ACAAZwBsAG8AYgBhAGwAIAB3AGEAcgBtAGkAbgBnACAAcABvAHQAZQBuAHQAaQBhAGwAIABmAG8AcgAgAG4AaQB0AHIAbwB1AHMAIABvAHgAaQBkAGUAIAAoAHQAIABDAE8AMgAtAGUAIAAvACAAdAAgAE4AMgBPACkAXABuAC0ALQAtAC0ALQAtAC0ALQAtAC0ALQAtAC0ALQAtAC0ALQAtAC0ALQAtAC0ALQAtAC0ALQAtAC0ALQAtAC0ALQAtAC0ALQAtAC0ALQBcAG4AKgAvAFwAbgBcAG4AXABuAEMAbwBtAG0AbwBuAF8AQwBvAG4AdgBlAHIAdABOADIATwBUAG8AQwBPADIAZQBcAG4AIAAgAD0ATABBAE0AQgBEAEEAKABcAG4AIAAgACAAIABFAF8ATgAyAE8ALAAgAEcAVwBQAF8ATgAyAE8ALABcAG4AIAAgACAAIABFAF8ATgAyAE8AIAAqACAARwBXAFAAXwBOADIATwBcAG4AIAAgACkAXABuADsAXABuAFwAbgBDAG8AbQBtAG8AbgBfAEMAbwBuAHYAZQByAHQATgAyAE8AVABvAEMATwAyAGUAXwBUAGkAdABsAGUAXABuACAAIAA9AEwAQQBNAEIARABBACgAXAAiAEMAbwBuAHYAZQByAHQAIABuAGkAdAByAG8AdQBzACAAbwB4AGkAZABlACAAZQBtAGkAcwBzAGkAbwBuAHMAIAB0AG8AIABjAGEAcgBiAG8AbgAgAGQAaQBvAHgAaQBkAGUAIABlAHEAdQBpAHYAYQBsAGUAbgB0ACAAZQBtAGkAcwBzAGkAbwBuAHMAXAAiACkAOwBcAG4AXABuAEMAbwBtAG0AbwBuAF8AQwBvAG4AdgBlAHIAdABOADIATwBUAG8AQwBPADIAZQBfAFYAYQByAGkAYQBiAGwAZQBcAG4AIAAgAD0ATABBAE0AQgBEAEEAKABcACIARQBOADIATwAgAEMATwAyAGUAXAAiACkAOwBcAG4AXABuAEMAbwBtAG0AbwBuAF8AQwBvAG4AdgBlAHIAdABOADIATwBUAG8AQwBPADIAZQBfAFUAbgBpAHQAXABuACAAIAA9AEwAQQBNAEIARABBACgAXAAiAHQAIABDAE8AMgBlAFwAIgApADsAXABuAFwAbgBDAG8AbQBtAG8AbgBfAEMAbwBuAHYAZQByAHQATgAyAE8AVABvAEMATwAyAGUAXwBOAEkAUgBSAGUAZgBlAHIAZQBuAGMAZQBcAG4AIAAgAD0ATABBAE0AQgBEAEEAKABcACIAXAAiACkAOwBcAG4AXABuAEMAbwBtAG0AbwBuAF8AQwBvAG4AdgBlAHIAdABOADIATwBUAG8AQwBPADIAZQBfAEwAYQB0AGUAeABFAHEAdQBhAHQAaQBvAG4AXABuACAAIAA9AEwAQQBNAEIARABBACgAXAAiAEMATwAyAF8AZQAgAD0AIABFAF8AewBOADIATwB9ACAAXABcAHQAaQBtAGUAcwAgAEcAVwBQAF8AewBOADIATwB9AFwAIgApADsAXABuAFwAbgBDAG8AbQBtAG8AbgBfAEMAbwBuAHYAZQByAHQATgAyAE8AVABvAEMATwAyAGUAXwBBAHIAZwB1AG0AZQBuAHQAcwBcAG4AIAAgAD0ATABBAE0AQgBEAEEAKABcAG4AIAAgACAAIABNAEEASwBFAEEAUgBSAEEAWQAoADIALAAgADIALAAgAFwAbgAgACAAIAAgACAAIABMAEEATQBCAEQAQQAoAHIALABjACwAIABcAG4AIAAgACAAIAAgACAAIAAgAEkATgBEAEUAWAAoAHsAXABuACAAIAAgACAAIAAgACAAIAAgACAAXAAiAEUATgAyAE8AXAAiACwAXAAiAE4AaQB0AHIAbwB1AHMAIABvAHgAaQBkAGUAIABlAG0AaQBzAHMAaQBvAG4AcwAgACgAdAAgAE4AMgBPACkAXAAiADsAXABuACAAIAAgACAAIAAgACAAIAAgACAAXAAiAEcAVwBQAE4AMgBPAFwAIgAsAFwAIgBHAGwAbwBiAGEAbAAgAHcAYQByAG0AaQBuAGcAIABwAG8AdABlAG4AdABpAGEAbAAgAGYAbwByACAAbgBpAHQAcgBvAHUAcwAgAG8AeABpAGQAZQAgACgAdAAgAEMATwAyAC0AZQAgAC8AIAB0ACAATgAyAE8AKQBcACIAXABuACAAIAAgACAAIAAgACAAIAB9ACwAIAByACwAIABjACkAXABuACAAIAAgACAAIAAgACkAXABuACAAIAAgACAAKQBcAG4AIAAgACkAOwBcAG4AXABuAC8AKgAgAFwAbgAtAC0ALQAtAC0ALQAtAC0ALQAtAC0ALQAtAC0ALQAtAC0ALQAtAC0ALQAtAC0ALQAtAC0ALQAtAC0ALQAtAC0ALQAtAC0ALQAtAC0AXABuAEMAbwBtAG0AbwBuAF8AQwBvAG4AdgBlAHIAdABDAEgANABUAG8AQwBPADIAZQBcAG4AQwBvAG4AdgBlAHIAdAAgAG0AZQB0AGgAYQBuAGUAIABlAG0AaQBzAHMAaQBvAG4AcwAgAHQAbwAgAGMAYQByAGIAbwBuACAAZABpAG8AeABpAGQAZQAgAGUAcQB1AGkAdgBhAGwAZQBuAHQAIABlAG0AaQBzAHMAaQBvAG4AcwBcAG4ARQBDAEgANAAgAEMATwAyAGUAXABuAHQAIABDAE8AMgBlAFwAbgBFAEMASAA0ADoAIABtAGUAdABoAGEAbgBlACAAZQBtAGkAcwBzAGkAbwBuAHMAIAAoAHQAIABDAEgANAApAFwAbgBHAFcAUABDAEgANAA6ACAAZwBsAG8AYgBhAGwAIAB3AGEAcgBtAGkAbgBnACAAcABvAHQAZQBuAHQAaQBhAGwAIABmAG8AcgAgAG0AZQB0AGgAYQBuAGUAIAAoAHQAIABDAE8AMgAtAGUAIAAvACAAdAAgAEMASAA0ACkAXABuAC0ALQAtAC0ALQAtAC0ALQAtAC0ALQAtAC0ALQAtAC0ALQAtAC0ALQAtAC0ALQAtAC0ALQAtAC0ALQAtAC0ALQAtAC0ALQAtAC0ALQBcAG4AKgAvAFwAbgBcAG4AXABuAEMAbwBtAG0AbwBuAF8AQwBvAG4AdgBlAHIAdABDAEgANABUAG8AQwBPADIAZQBcAG4AIAAgAD0ATABBAE0AQgBEAEEAKABcAG4AIAAgACAAIABFAF8AQwBIADQALAAgAEcAVwBQAF8AQwBIADQALABcAG4AIAAgACAAIABFAF8AQwBIADQAIAAqACAARwBXAFAAXwBDAEgANABcAG4AIAAgACkAXABuADsAXABuAFwAbgBDAG8AbQBtAG8AbgBfAEMAbwBuAHYAZQByAHQAQwBIADQAVABvAEMATwAyAGUAXwBUAGkAdABsAGUAXABuACAAIAA9AEwAQQBNAEIARABBACgAXAAiAEMAbwBuAHYAZQByAHQAIABtAGUAdABoAGEAbgBlACAAZQBtAGkAcwBzAGkAbwBuAHMAIAB0AG8AIABjAGEAcgBiAG8AbgAgAGQAaQBvAHgAaQBkAGUAIABlAHEAdQBpAHYAYQBsAGUAbgB0ACAAZQBtAGkAcwBzAGkAbwBuAHMAXAAiACkAOwBcAG4AXABuAEMAbwBtAG0AbwBuAF8AQwBvAG4AdgBlAHIAdABDAEgANABUAG8AQwBPADIAZQBfAFYAYQByAGkAYQBiAGwAZQBcAG4AIAAgAD0ATABBAE0AQgBEAEEAKABcACIARQBDAEgANAAgAEMATwAyAGUAXAAiACkAOwBcAG4AXABuAEMAbwBtAG0AbwBuAF8AQwBvAG4AdgBlAHIAdABDAEgANABUAG8AQwBPADIAZQBfAFUAbgBpAHQAXABuACAAIAA9AEwAQQBNAEIARABBACgAXAAiAHQAIABDAE8AMgBlAFwAIgApADsAXABuAFwAbgBDAG8AbQBtAG8AbgBfAEMAbwBuAHYAZQByAHQAQwBIADQAVABvAEMATwAyAGUAXwBOAEkAUgBSAGUAZgBlAHIAZQBuAGMAZQBcAG4AIAAgAD0ATABBAE0AQgBEAEEAKABcACIAXAAiACkAOwBcAG4AXABuAEMAbwBtAG0AbwBuAF8AQwBvAG4AdgBlAHIAdABDAEgANABUAG8AQwBPADIAZQBfAEwAYQB0AGUAeABFAHEAdQBhAHQAaQBvAG4AXABuACAAIAA9AEwAQQBNAEIARABBACgAXAAiAEMATwAyAF8AZQAgAD0AIABFAF8AewBDAEgANAB9ACAAXABcAHQAaQBtAGUAcwAgAEcAVwBQAF8AewBDAEgANAB9AFwAIgApADsAXABuAFwAbgBDAG8AbQBtAG8AbgBfAEMAbwBuAHYAZQByAHQAQwBIADQAVABvAEMATwAyAGUAXwBBAHIAZwB1AG0AZQBuAHQAcwBcAG4AIAAgAD0ATABBAE0AQgBEAEEAKABcAG4AIAAgACAAIABNAEEASwBFAEEAUgBSAEEAWQAoADIALAAgADIALAAgAFwAbgAgACAAIAAgACAAIABMAEEATQBCAEQAQQAoAHIALABjACwAIABcAG4AIAAgACAAIAAgACAAIAAgAEkATgBEAEUAWAAoAHsAXABuACAAIAAgACAAIAAgACAAIAAgACAAXAAiAEUAQwBIADQAXAAiACwAXAAiAE0AZQB0AGgAYQBuAGUAIABlAG0AaQBzAHMAaQBvAG4AcwAgACgAdAAgAEMASAA0ACkAXAAiADsAXABuACAAIAAgACAAIAAgACAAIAAgACAAXAAiAEcAVwBQAEMASAA0AFwAIgAsAFwAIgBHAGwAbwBiAGEAbAAgAHcAYQByAG0AaQBuAGcAIABwAG8AdABlAG4AdABpAGEAbAAgAGYAbwByACAAbQBlAHQAaABhAG4AZQAgACgAdAAgAEMATwAyAC0AZQAgAC8AIAB0ACAAQwBIADQAKQBcACIAXABuACAAIAAgACAAIAAgACAAIAB9ACwAIAByACwAIABjACkAXABuACAAIAAgACAAIAAgACkAXABuACAAIAAgACAAKQBcAG4AIAAgACkAOwAiAH0ALAB7ACIAcABhAHQAaAAiADoAIgAvAHAAcgBvAGoAZQBjAHQAcwAvAEMAbwBtAG0AbwBuAF8ASQBuAHAAdQB0AEYAdQBuAGMAdABpAG8AbgBzACIALAAiAHQAZQB4AHQAIgA6ACIAVQB0AGkAbABpAHQAeQBfAEcAZQB0AEEAcgByAGEAeQBUAGEAYgBsAGUAUgBvAHcAUwB0AGEAcgB0AE4AdQBtAGIAZQByAFwAbgA9AEwAQQBNAEIARABBACgAXABuACAAIAAgACAAVABhAGIAbABlAGgAZQBhAGQAZQByAEMAZQBsAGwALABSAG8AdwBzAEIAZQB0AHcAZQBlAG4ASABlAGEAZABlAHIAYQBuAGQAQQByAHIAYQB5ACwAXABuACAAIAAgACAAUgBPAFcAKABUAGEAYgBsAGUAaABlAGEAZABlAHIAQwBlAGwAbAApACAAKwAgAFIAbwB3AHMAQgBlAHQAdwBlAGUAbgBIAGUAYQBkAGUAcgBhAG4AZABBAHIAcgBhAHkAIAAtACAAMQBcAG4AKQA7AFwAbgBcAG4AVQB0AGkAbABpAHQAeQBfAEcAZQB0AEEAcgByAGEAeQBUAGEAYgBsAGUAQwBvAGwAdQBtAG4AUwB0AGEAcgB0AE4AdQBtAGIAZQByAFwAbgA9AEwAQQBNAEIARABBACgAXABuACAAIABUAGEAYgBsAGUASABlAGEAZABlAHIAQwBlAGwAbAAsAFwAbgAgACAAQwBPAEwAVQBNAE4AKABUAGEAYgBsAGUASABlAGEAZABlAHIAQwBlAGwAbAApAFwAbgApADsAXABuAFwAbgBVAHQAaQBsAGkAdAB5AF8ARABpAHMAcABsAGEAeQBBAHIAcgBhAHkASQBuAFQAYQBiAGwAZQBcAG4APQBMAEEATQBCAEQAQQAoAFwAbgAgAEEAcgByAGEAeQBEAGEAdABhACwAIABUAGEAYgBsAGUAaABlAGEAZABlAHIAQwBlAGwAbAAsACAAUgBvAHcAcwBCAGUAdAB3AGUAZQBuAEgAZQBhAGQAZQByAGEAbgBkAEEAcgByAGEAeQAsACAAWwBDAG8AbAB1AG0AbgBzAEIAZQB0AHcAZQBlAG4ASABlAGEAZABlAHIAQQBuAGQAQQByAHIAYQB5AF0ALABcAG4AIABJAEYARQBSAFIATwBSACgAXABuACAAIAAgACAAIABJAE4ARABFAFgAKABcAG4AIAAgACAAIAAgACAAIAAgACAAIAAgACAAVQBOAEkAUQBVAEUAKABBAHIAcgBhAHkARABhAHQAYQApACwAIABcAG4AIAAgACAAIAAgACAAIAAgACAAIAAgACAAUgBPAFcAKAApAC0AVQB0AGkAbABpAHQAeQBfAEcAZQB0AEEAcgByAGEAeQBUAGEAYgBsAGUAUgBvAHcAUwB0AGEAcgB0AE4AdQBtAGIAZQByACgAVABhAGIAbABlAGgAZQBhAGQAZQByAEMAZQBsAGwALAAgAFIAbwB3AHMAQgBlAHQAdwBlAGUAbgBIAGUAYQBkAGUAcgBhAG4AZABBAHIAcgBhAHkAKQAsACAAXABuACAAIAAgACAAIAAgACAAIAAgACAAIAAgAEMATwBMAFUATQBOACgAKQAtAFUAdABpAGwAaQB0AHkAXwBHAGUAdABBAHIAcgBhAHkAVABhAGIAbABlAEMAbwBsAHUAbQBuAFMAdABhAHIAdABOAHUAbQBiAGUAcgAoAFQAYQBiAGwAZQBoAGUAYQBkAGUAcgBDAGUAbABsACkAIAArAFwAbgAgACAAIAAgACAAIAAgACAAIAAgACAAIABJAEYAKABJAFMATwBNAEkAVABUAEUARAAoAEMAbwBsAHUAbQBuAHMAQgBlAHQAdwBlAGUAbgBIAGUAYQBkAGUAcgBBAG4AZABBAHIAcgBhAHkAKQAsACAAMQAsACAAQwBvAGwAdQBtAG4AcwBCAGUAdAB3AGUAZQBuAEgAZQBhAGQAZQByAEEAbgBkAEEAcgByAGEAeQApAFwAbgAgACAAIAAgACAAIAAgACAAKQAsACAAXAAiAFwAIgBcAG4AIAAgACAAIAApAFwAbgApADsAXABuAFwAbgBVAHQAaQBsAGkAdAB5AF8ATABvAG8AawB1AHAAVgBhAGwAdQBlAEkAbgBUAGEAYgBsAGUAXABuAD0ATABBAE0AQgBEAEEAKABcAG4AIAAgACAAIABMAG8AbwBrAHUAcABWAGEAbAB1AGUALAAgAEwAbwBvAGsAdQBwAEEAcgByAGEAeQAsACAAUgBlAHQAdQByAG4AQQByAHIAYQB5ACwAXABuACAAIAAgACAAWABMAE8ATwBLAFUAUAAoAEwAbwBvAGsAdQBwAFYAYQBsAHUAZQAsACAATABvAG8AawB1AHAAQQByAHIAYQB5ACwAIABSAGUAdAB1AHIAbgBBAHIAcgBhAHkALAAgAFwAIgBcACIAKQBcAG4AKQA7AFwAbgBcAG4AVQB0AGkAbABpAHQAeQBfAEwAbwBvAGsAdQBwAFYAYQBsAHUAZQBJAG4AVABhAGIAbABlAE4AdQBtAGIAZQByAFwAbgA9AEwAQQBNAEIARABBACgAXABuACAAIAAgACAATABvAG8AawB1AHAAVgBhAGwAdQBlACwAIABMAG8AbwBrAHUAcABBAHIAcgBhAHkALAAgAFIAZQB0AHUAcgBuAEEAcgByAGEAeQAsAFwAbgAgACAAIAAgAEkARgAoAEkAUwBOAFUATQBCAEUAUgAoAFwAbgAgACAAIAAgACAAIAAgACAAWABMAE8ATwBLAFUAUAAoAEwAbwBvAGsAdQBwAFYAYQBsAHUAZQAsACAATABvAG8AawB1AHAAQQByAHIAYQB5ACwAIABSAGUAdAB1AHIAbgBBAHIAcgBhAHkALAAgAFwAIgBcACIAKQBcAG4AIAAgACAAIAApACwAIABYAEwATwBPAEsAVQBQACgATABvAG8AawB1AHAAVgBhAGwAdQBlACwAIABMAG8AbwBrAHUAcABBAHIAcgBhAHkALAAgAFIAZQB0AHUAcgBuAEEAcgByAGEAeQAsACAAXAAiAFwAIgApACwAIAAwACkAXABuACkAOwBcAG4AXABuAFUAdABpAGwAaQB0AHkAXwBMAG8AbwBrAHUAcABWAGEAbAB1AGUASQBuAFQAYQBiAGwAZQBUAHcAbwBDAG8AbAB1AG0AbgBzAFwAbgA9AEwAQQBNAEIARABBACgAXABuACAAIAAgACAATABvAG8AawB1AHAAVgBhAGwAdQBlADEALAAgAEwAbwBvAGsAdQBwAFYAYQBsAHUAZQAyACwAIABMAG8AbwBrAHUAcABBAHIAcgBhAHkAMQAsACAATABvAG8AawB1AHAAQQByAHIAYQB5ADIALAAgAFIAZQB0AHUAcgBuAEEAcgByAGEAeQAsACAAWwBWAGEAbAB1AGUASQBGAEYAYQBsAHMAZQBdACwAXABuACAAIAAgACAAWABMAE8ATwBLAFUAUAAoADEALAAgACgATABvAG8AawB1AHAAQQByAHIAYQB5ADEAPQBMAG8AbwBrAHUAcABWAGEAbAB1AGUAMQApACoAKABMAG8AbwBrAHUAcABBAHIAcgBhAHkAMgA9AEwAbwBvAGsAdQBwAFYAYQBsAHUAZQAyACkALAAgAFIAZQB0AHUAcgBuAEEAcgByAGEAeQAsACAASQBGACgASQBTAE8ATQBJAFQAVABFAEQAKABWAGEAbAB1AGUASQBGAEYAYQBsAHMAZQApACwAIABcACIAXAAiACwAIABWAGEAbAB1AGUASQBGAEYAYQBsAHMAZQApACkAXABuACkAOwBcAG4AXABuAFUAdABpAGwAaQB0AHkAXwBMAG8AbwBrAHUAcABWAGEAbAB1AGUASQBuAFQAYQBiAGwAZQBPAG4AZQBDAG8AbAB1AG0AbgBBAG4AZABIAGUAYQBkAGUAcgBcAG4APQBMAEEATQBCAEQAQQAoAFwAbgAgACAAIAAgAEwAbwBvAGsAdQBwAFYAYQBsAHUAZQAxACwAIABMAG8AbwBrAHUAcABWAGEAbAB1AGUAMgAsACAATABvAG8AawB1AHAAQQByAHIAYQB5ADEALAAgAEwAbwBvAGsAdQBwAEEAcgByAGEAeQAyACwAIABSAGUAdAB1AHIAbgBBAHIAcgBhAHkALAAgAFsAVgBhAGwAdQBlAEkAZgBGAGEAbABzAGUAXQAsAFwAbgAgACAAIAAgAEkARgBFAFIAUgBPAFIAKABcAG4AIAAgACAAIAAgACAAIAAgAFgATABPAE8ASwBVAFAAKABMAG8AbwBrAHUAcABWAGEAbAB1AGUAMQAsACAATABvAG8AawB1AHAAQQByAHIAYQB5ADEALABcAG4AIAAgACAAIAAgACAAIAAgACAAIAAgACAAWABMAE8ATwBLAFUAUAAoAEwAbwBvAGsAdQBwAFYAYQBsAHUAZQAyACwAIABMAG8AbwBrAHUAcABBAHIAcgBhAHkAMgAsACAAUgBlAHQAdQByAG4AQQByAHIAYQB5ACkAXABuACAAIAAgACAAIAAgACAAIAApACwAXABuACAAIAAgACAAIAAgACAAIABJAEYAKABJAFMATwBNAEkAVABUAEUARAAoAFYAYQBsAHUAZQBJAGYARgBhAGwAcwBlACkALAAgAFwAIgBcACIALAAgAFYAYQBsAHUAZQBJAGYARgBhAGwAcwBlACkAXABuACAAIAAgACAAKQBcAG4AKQA7AFwAbgBcAG4AVQB0AGkAbABpAHQAeQBfAFMAcABsAGkAdABTAHQAcgBpAG4AZwBJAG4AdABvAEEAcgByAGEAeQBcAG4APQBMAEEATQBCAEQAQQAoAFwAbgAgACAAIAAgAEMAZQBsAGwALAAgAEQAZQBsAGkAbQBpAHQAZQByACwAIABbAEMAaABhAHIAYQBjAHQAZQByAFQAbwBSAGUAbQBvAHYAZQAxAF0ALAAgAFsAQwBoAGEAcgBhAGMAdABlAHIAVABvAFIAZQBtAG8AdgBlADIAXQAsAFwAbgAgACAAIAAgACAAIAAgACAARgBJAEwAVABFAFIAWABNAEwAKABcAG4AIAAgACAAIAAgACAAIAAgAFwAIgA8AHQAPgA8AHMAPgBcACIAIAAm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DwALwBzAD4APABzAD4AXAAiAFwAbgAgACAAIAAgACAAIAAgACAAKQAgACYAXABuACAAIAAgACAAIAAgACAAIABcACIAPAAvAHMAPgA8AC8AdAA+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A8AD0AYQB2AGcAVABlAG0AcAApACoAXABuACAAIAAgACAAIAAgACAAIAAoAFYAQQBMAFUARQAoAG0AYQB4AFQAZQBtAHAAQQByAHIAYQB5ACkAPgA9AGEAdgBnAFQAZQBtAHAAKQAqAFwAbgAgACAAIAAgACAAIAAgACAAKABWAEEATABVAEUAKABtAGkAbgBSAGEAaQBuAGYAYQBsAGwAQQByAHIAYQB5ACkAPAA9AGEAdgBnAFIAYQBpAG4AKQAqAFwAbgAgACAAIAAgACAAIAAgACAAKABWAEEATABVAEUAKABtAGEAeABSAGEAaQBuAGYAYQBsAGwAQQByAHIAYQB5ACkAPgA9AGEAdgBnAFIAYQBpAG4AKQAqAFwAbgAgACAAIAAgACAAIAAgACAAKABWAEEATABVAEUAKABtAGkAbgBGAHIAbwBzAHQAQQByAHIAYQB5ACkAPAA9AGYAcgBvAHMAdABEAGEAeQBzACkAKgBcAG4AIAAgACAAIAAgACAAIAAgACgAVgBBAEwAVQBFACgAbQBhAHgARgByAG8AcwB0AEEAcgByAGEAeQApAD4APQBmAHIAbwBzAHQARABhAHkAcwApACoAXABuACAAIAAgACAAIAAgACAAIAAoAFYAQQBMAFUARQAoAG0AaQBuAEUAbABlAHYAYQB0AGkAbwBuAEEAcgByAGEAeQApADwAPQBlAGwAZQB2ACkAKgBcAG4AIAAgACAAIAAgACAAIAAgACgAVgBBAEwAVQBFACgAbQBhAHgARQBsAGUAdgBhAHQAaQBvAG4AQQByAHIAYQB5ACkAPgA9AGUAbABlAHYAKQAqAFwAbgAgACAAIAAgACAAIAAgACAAKABWAEEATABVAEUAKABtAGkAbgBQAEUAVABBAHIAcgBhAHkAKQA8AD0AbQBhAHAAXwBwAGUAdAApACoAXABuACAAIAAgACAAIAAgACAAIAAoAFYAQQBMAFUARQAoAG0AYQB4AFAARQBUAEEAcgByAGEAeQApAD4APQBtAGEAcABfAHAAZQB0ACkALABcAG4AIAAgACAAIAAgACAAIAAgAFQAQQBLAEUAKABcAG4AIAAgACAAIAAgACAAIAAgACAAIAAgACAARgBJAEwAVABFAFIAKABjAGwAaQBtAGEAdABlAFoAbwBuAGUAQQByAHIAYQB5ACwAbQBhAHMAawAsACAAXAAiAE4AbwAgAG0AYQB0AGMAaABcACIAKQAsAFwAbgAgACAAIAAgACAAIAAgACAAIAAgACAAIAAxAFwAbgAgACAAIAAgACAAIAAgACAAKQBcAG4AIAAgACAAIAApAFwAbgApADsAXABuAFwAbgBVAHQAaQBsAGkAdAB5AF8ATABvAG8AawB1AHAASQB0AGUAbQBGAHIAbwBtAE0AaQBuAE0AYQB4AFwAbgA9AEwAQQBNAEIARABBACgAXABuACAAIAAgACAATABvAG8AawB1AHAAVgBhAGwAdQBlACwAIABNAGkAbgBBAHIAcgBhAHkALAAgAE0AYQB4AEEAcgByAGEAeQAsACAASQB0AGUAbQBBAHIAcgBhAHkALABcAG4AIAAgACAAIABMAEUAVAAoAFwAbgAgACAAIAAgACAAIAAgACAAbQBhAHMAawAsAFwAbgAgACAAIAAgACAAIAAgACAAKABWAEEATABVAEUAKABNAGkAbgBBAHIAcgBhAHkAKQA8AD0ATABvAG8AawB1AHAAVgBhAGwAdQBlACkAKgBcAG4AIAAgACAAIAAgACAAIAAgACgAVgBBAEwAVQBFACgATQBhAHgAQQByAHIAYQB5ACkAPg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PAAgAFMAKQAsAFwAbgAgACAAIAAgACAAIAAgACAAbABhAHMAdABZAGUAYQByACwAeQBiAC0AKABEAEEAVABFACgAeQBiACwAbQAsAGQAKQA+ACAARQApACwAXABuACAAIAAgACAAIAAgACAAIABNAEEAWAAoADAALABsAGEAcwB0AFkAZQBhAHIALQBmAGkAcgBzAHQAWQBlAGEAcgArADEAKQBcAG4AIAAgACAAIAApAFwAbgApADsAXABuAFwAbgBnAGUAdABPAHYAZQByAGwAYQBwAHAAaQBuAGcAUgBlAHAAbwByAHQAaQBuAGcAUABlAHIAaQBvAGQ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CAALwAqAGgAZQBsAHAAZQByADoAIABlAG4AZAAgAGQAYQB0AGUAIABmAG8AcgAgAGEAIAByAGUAcABvAHIAdABpAG4AZwAgAHAAZQByAGkAbwBkACAAcwB0AGEAcgB0AGkAbgBnACAAYQB0ACAAYQAgAGcAaQB2AGUAbgAgAGQAYQB0AGUAKgAvAFwAbgAgACAAIAAgACAAIAAgACAAUABlAHIAaQBvAGQARQBuAGQALABMAEEATQBCAEQAQQAoAHMAdAAsAEUARABBAFQARQAoAHMAdAAsADEAMgApAC0AMQApACwAIAAvACoAbwBuAGwAeQAgAG4AZQBlAGQAIAB0AG8AIABsAG8AbwBrACAAYgBhAGMAawAgADMANgA1ACAAZABhAHkAcwAoAG0AYQB4ACAAbwB2AGUAcgBsAGEAcAAgAHcAaQBuAGQAbwB3ACkAKgAvAFwAbgAgACAAIAAgACAAIAAgACAAQQAsAFMALQAzADYANQAsAFwAbgAgACAAIAAgACAAIAAgACAAeQBhACwAWQBFAEEAUgAoAEEAKQAsAFwAbgAgACAAIAAgACAAIAAgACAAeQBiACwAWQBFAEEAUgAoAEUAKQAsACAALwAqAGkAZgAgAHQAaABlACAAYQBuAGMAaABvAHIAIABmAG8AcgAgAHkAYQAgAGUAbgBkAHMAIABiAGUAZgBvAHIAZQAgAFMALABpAHQAIABjAGEAbgAnAHQAIABvAHYAZQByAGwAYQBwADsAIABtAG8AdgBlACAAdABvACAAbgBlAHgAdAAgAHkAZQBhAHIAKgAvAFwAbgAgACAAIAAgACAAIAAgACAAZgBpAHIAcwB0AFkAZQBhAHIALAB5AGEAKwAoAFAAZQByAGkAbwBkAEUAbgBkACgARABBAFQARQAoAHkAYQAsAG0ALABkACkAKQA8AFMAKQAsACAALwAqAGkAZgAgAHQAaABlACAAYQBuAGMAaABvAHIAIABmAG8AcgAgAHkAYgAgAHMAdABhAHIAdABzACAAYQBmAHQAZQByACAARQAsAGkAdAAgAGMAYQBuACcAdAAgAG8AdgBlAHIAbABhAHAAOwAgAG0AbwB2AGUAIAB0AG8AIABwAHIAZQB2AGkAbwB1AHMAIAB5AGUAYQByACoALwBcAG4AIAAgACAAIAAgACAAIAAgAGwAYQBzAHQAWQBlAGEAcgAsAHkAYgAtACgARABBAFQARQAoAHkAYgAsAG0ALABkACkAPg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JgAgAFwAIgAgAHQAbwAgAFwAIgAgACYAIABlAG4AZABzAFQAZQB4AHQAIAAm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PgAwACwAIAAxACwAIAAwACkAXABuACAAIAAgACAAKQApADsAXABuAFwAbgBcAG4AVQB0AGkAbABpAHQAeQBfAEMAbwBuAHYAZQByAHQAUwB0AGEAdABlAEMAbwBtAG0AbwBuAE4AYQBtAGUAVABvAEEAYgBiAHIAZQB2AGkAYQB0AGkAbwBuAFwAbgA9AEwAQQBNAEIARABBACgAXABuACAAIAAgACAAUwB0AGEAdABlAEMAbwBtAG0AbwBuAE4AYQBtAGUALABcAG4AIAAgACAAIABTAHQAYQB0AGUAQwBvAG0AbQBvAG4ATgBhAG0AZQBBAHIAcgBhAHkALAAgAFMAdABhAHQAZQBBAGIAYgByAGUAdgBpAGEAdABpAG8AbgBBAHIAcgBhAHkALABcAG4AIAAgACAAIABYAEwATwBPAEsAVQBQACgAUwB0AGEAdABlAEMAbwBtAG0AbwBuAE4AYQBtAGUALAAgAFMAdABhAHQAZQBDAG8AbQBtAG8AbgBOAGEAbQBlAEEAcgByAGEAeQAsACAAUwB0AGEAdABlAEEAYgBiAHIAZQB2AGkAYQB0AGkAbwBuAEEAcgByAGEAeQAsACAAXAAiAFwAIgApAFwAbgApADsAXABuAFwAbgBVAHQAaQBsAGkAdAB5AF8AUwBvAHUAcgBjAGUASAB5AHAAZQByAGwAaQBuAGs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AnAFwAIgAgACYAIABzAGgAIAAmACAAXAAiACcAIQBcACIAIAAm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AmACAAYQBkAGQAcgBcAG4AIAAgACkAXABuACkAOwBcAG4AXABuAFUAdABpAGwAaQB0AHkAXwBEAGkAcwBwAGwAYQB5AEEAcgBnAHUAbQBlAG4AdABzAF8AMQBfADIAXABuAD0ATABBAE0AQgBEAEEAKABcAG4AIAAgACAAIABBAHIAZwB1AG0AZQBuAHQAcwBBAHIAcgBhAHkALABcAG4AIAAgACAAIABDAEgATwBPAFMARQBDAE8ATABTACgAQQByAGcAdQBtAGUAbgB0AHMAQQByAHIAYQB5ACwAIAAxACwAIAAyACkAXABuACkAOwBcAG4AXABuAFUAdABpAGwAaQB0AHkAXwBEAGkAcwBwAGwAYQB5AEEAcgBnAHUAbQBlAG4AdABzAF8AMwBfADQAXABuAD0ATABBAE0AQgBEAEEAKABcAG4AIAAgACAAIABBAHIAZwB1AG0AZQBuAHQAcwBBAHIAcgBhAHkALABcAG4AIAAgACAAIABDAEgATwBPAFMARQBDAE8ATABTACgAQQByAGcAdQBtAGUAbgB0AHMAQQByAHIAYQB5ACwAIAAzACwAIAA0ACkAXABuACkAOwBcAG4AXABuAEMAbwBtAG0AbwBuAF8ARwBlAHQATQBDAEYAVABlAG0AcABlAHIAYQB0AHUAcgBlAFoAbwBuAGUAXABuAD0ATABBAE0AQgBEAEEAKABcAG4AIAAgACAAIABUAGUAbQBwAGUAcgBhAHQAdQByAGUALAAgAE0ATQBTACwAIABUAGUAbQBwAGUAcgBhAHQAdQByAGUAQQByAHIAYQB5ACwAIABNAE0AUwBBAHIAcgBhAHkALAAgAFIAZQB0AHUAcgBuAEEAcgByAGEAeQAsAFwAbgAgACAAIAAgAFgATABPAE8ASwBVAFAAKABcAG4AIAAgACAAIAAgACAAIAAgAE0ARQBEAEkAQQBOACgAXABuACAAIAAgACAAIAAgACAAIAAgACAAIAAgAFIATwBVAE4ARAAoAFQAZQBtAHAAZQByAGEAdAB1AHIAZQAsACAAMAApACwAIABcAG4AIAAgACAAIAAgACAAIAAgACAAIAAgACAATQBJAE4AKABUAGUAbQBwAGUAcgBhAHQAdQByAGUAQQByAHIAYQB5ACkALAAgAFwAbgAgACAAIAAgACAAIAAgACAAIAAgACAAIABNAEEAWAAoAFQAZQBtAHAAZQByAGEAdAB1AHIAZQBBAHIAcgBhAHkAKQBcAG4AIAAgACAAIAAgACAAIAAgACkALABcAG4AIAAgACAAIAAgACAAIAAgAFQAZQBtAHAAZQByAGEAdAB1AHIAZQBBAHIAcgBhAHkALABcAG4AIAAgACAAIAAgACAAIAAgAFgATABPAE8ASwBVAFAAKABNAE0AUwAsACAATQBNAFMAQQByAHIAYQB5ACwAIABSAGUAdAB1AHIAbgBBAHIAcgBhAHkAKQBcAG4AIAAgACAAIAApAFwAbgApADsAXABuAFwAbgBcAG4AVQB0AGkAbABpAHQAeQBfAFIAZQBzAHUAbAB0AHMASQB0AGUAbQBGAHIAbwBtAEUAcQB1AGEAdABpAG8AbgBUAGkAdABsAGUAQQBuAGQAUwBvAHUAcgBjAGUAXABuAD0ATABBAE0AQgBEAEEAKABcAG4AIAAgACAAIABUAGkAdABsAGUAQwBlAGwAbAAsACAAUwBvAHUAcgBjAGUAQwBlAGwAbAAsAFwAbgAgACAAIAAgAFMAVQBCAFMAVABJAFQAVQBUAEUAKABMAEUARgBUACgAUwBvAHUAcgBjAGUAQwBlAGwAbAAsACAARgBJAE4ARAAoAFwAIgAsAFwAIgAsACAAUwBvAHUAcgBjAGUAQwBlAGwAbAApACAALQAxACkALAAgAFwAIgBWAEUARQBSAEcAIAAyADAAMgA2ADoAIABcACIALAAgAFwAIgBcACIAKQAgACYAIABcACIAIABcACIAIAAmACAAVABpAHQAbABlAEMAZQBsAGwAXABuACkAOwAiAH0ALAB7ACIAcABhAHQAaAAiADoAIgAvAHAAcgBvAGoAZQBjAHQAcwAvAEMAbwBtAG0AbwBuAF8AUwBvAHUAcgBjAGUARABhAHQAYQAiACwAIgB0AGUAeAB0ACIAOgAiAC8AK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UwBvAHUAcgBjAGUAIABkAGEAdABhACAAdABoAGEAdAAgAGkAcwAgAGMAbwBtAG0AbwBuACAAYQBjAHIAbwBzAHMAIABhAGwAbAAgAGUAbgB0AGUAcgBwAHIAaQBzAGUAIAB0AHkAcABlAHMAXABuAEUAeABjAGUAbAAgAG0AbwBkAHUAbABlACAAbgBhAG0AZQA6ACAAQwBvAG0AbQBvAG4AXwBTAG8AdQByAGMAZQBEAGEAdABh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AqAC8AXABuAFwAbgAvACoAXABuAD0APQA9AD0APQA9AD0APQA9AD0APQA9AD0APQA9AD0APQA9AD0APQA9AD0APQA9AD0APQA9AD0APQA9AD0APQA9AD0APQA9AD0APQBcAG4APQA9AD0APQA9AD0APQA9AD0APQA9AD0APQA9AD0APQA9AD0APQA9AD0APQA9AD0APQA9AD0APQA9AD0APQA9AD0APQA9AD0APQA9AFwAbgBTAG8AdQByAGMAZQA6ACAATgBhAHQAaQBvAG4AYQBsACAASQBuAHYAZQBuAHQAbwByAHkAIABSAGUAcABvAHIAdAAgADIAMAAyADMAIABWAG8AbAB1AG0AZQAgADEAXABuAE4ASQBSAF8AMgAwADIAMwBfAFYAbwBsADEAXABuAD0APQA9AD0APQA9AD0APQA9AD0APQA9AD0APQA9AD0APQA9AD0APQA9AD0APQA9AD0APQA9AD0APQA9AD0APQA9AD0APQA9AD0APQBcAG4APQA9AD0APQA9AD0APQA9AD0APQA9AD0APQA9AD0APQA9AD0APQA9AD0APQA9AD0APQA9AD0APQA9AD0APQA9AD0APQA9AD0APQA9AFwAbgAqAC8AXABuAFwAbgAvACoAIABcAG4ALQAtAC0ALQAtAC0ALQAtAC0ALQAtAC0ALQAtAC0ALQAtAC0ALQAtAC0ALQAtAC0ALQAtAC0ALQAtAC0ALQAtAC0ALQAtAC0ALQAtAFwAbgBDAG8AbQBtAG8AbgBfAFMAbwB1AHIAYwBlAEQAYQB0AGEAXwBEAGUAbgBzAGkAdAB5AE8AZgBNAGUAdABoAGEAbgBlAFwAbgBwACAAPQAgAGQAZQBuAHMAaQB0AHkAIABvAGYAIABtAGUAdABoAGEAbgBlACAAKAAwAC4ANgA3ADgANAAgAGsAZwAvAG0AMwApAFwAbgBUAGEAawBlAG4AIABmAHIAbwBtACAAdABoAGUAIABOAGEAdABpAG8AbgBhAGwAIABHAHIAZQBlAG4AaABvAHUAcwBlACAAYQBuAGQAIABFAG4AZQByAGcAeQAgAFIAZQBwAG8AcgB0AGkAbgBnACAAXABuACgATQBlAGEAcwB1AHIAZQBtAGUAbgB0ACkAIABEAGUAdABlAHIAbQBpAG4AYQB0AGkAbwBuACAAMgAwADAAOABcAG4ALQAtAC0ALQAtAC0ALQAtAC0ALQAtAC0ALQAtAC0ALQAtAC0ALQAtAC0ALQAtAC0ALQAtAC0ALQAtAC0ALQAtAC0ALQAtAC0ALQAtAFwAbgAqAC8AXABuAFwAbgBDAG8AbQBtAG8AbgBfAFMAbwB1AHIAYwBlAEQAYQB0AGEAXwBEAGUAbgBzAGkAdAB5AE8AZgBNAGUAdABoAGEAbgBlAF8AVABpAHQAbABlAFwAbgAgACAAPQBMAEEATQBCAEQAQQAoAFwAIgBwACAAPQAgAGQAZQBuAHMAaQB0AHkAIABvAGYAIABtAGUAdABoAGEAbgBlAFwAIgApADsAXABuAFwAbgBDAG8AbQBtAG8AbgBfAFMAbwB1AHIAYwBlAEQAYQB0AGEAXwBEAGUAbgBzAGkAdAB5AE8AZgBNAGUAdABoAGEAbgBlAF8AVQBuAGkAdABcAG4AIAAgAD0ATABBAE0AQgBEAEEAKABcACIAawBnAC8AbQAzAFwAIgApADsAXABuAFwAbgBDAG8AbQBtAG8AbgBfAFMAbwB1AHIAYwBlAEQAYQB0AGEAXwBEAGUAbgBzAGkAdAB5AE8AZgBNAGUAdABoAGEAbgBlAF8AUwBvAHUAcgBjAGUAXABuACAAIAA9AEwAQQBNAEIARABBACgAXAAiAE4AYQB0AGkAbwBuAGEAbAAgAEkAbgB2AGUAbgB0AG8AcgB5ACAAUgBlAHAAbwByAHQAIAAyADAAMgAzACAAVgBvAGwAdQBtAGUAIAAxADoAIABFAHEAdQBhAHQAaQBvAG4AcwAgADMALgBCAC4AMQBhAF8AMgAsACAAMwAuAEIALgAxAGMAXwAyACwAIAAzAC4AQgAuADMAXwAxACwAIAAzAC4AQgAuADQAZwBfADIAXAAiACkAOwBcAG4AXABuAEMAbwBtAG0AbwBuAF8AUwBvAHUAcgBjAGUARABhAHQAYQBfAEQAZQBuAHMAaQB0AHkATwBmAE0AZQB0AGgAYQBuAGUAXwBEAGEAdABhAFwAbgAgACAAPQBMAEEATQBCAEQAQQAoADAALgA2ADcAOAA0ACkAOwBcAG4AXABuAC8AKgAgAFwAbgAtAC0ALQAtAC0ALQAtAC0ALQAtAC0ALQAtAC0ALQAtAC0ALQAtAC0ALQAtAC0ALQAtAC0ALQAtAC0ALQAtAC0ALQAtAC0ALQAtAC0AXABuAEMAbwBtAG0AbwBuAF8AUwBvAHUAcgBjAGUARABhAHQAYQBfAEMAbwBuAHYAZQByAHQATgAyAG8ARQBsAGUAbQBlAG4AdABhAGwAVABvAE0AbwBsAGUAYwB1AGwAYQByAEMAZwBcAG4AQwBnACAAPQAgADQANAAvADIAOA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EMAbwBtAG0AbwBuAF8AUwBvAHUAcgBjAGUARABhAHQAYQBfAEMAbwBuAHYAZQByAHQATgAyAG8ARQBsAGUAbQBlAG4AdABhAGwAVABvAE0AbwBsAGUAYwB1AGwAYQByAEMAZwBfAFQAaQB0AGwAZQBcAG4AIAAgAD0ATABBAE0AQgBEAEEAKABcACIARgBhAGMAdABvAHIAIAB0AG8AIABjAG8AbgB2AGUAcgB0ACAAZQBsAGUAbQBlAG4AdABhAGwAIABtAGEAcwBzACAAbwBmACAATgAyAE8AIAB0AG8AIABtAG8AbABlAGMAdQBsAGEAcgAgAG0AYQBzAHMAXAAiACkAOwBcAG4AXABuAEMAbwBtAG0AbwBuAF8AUwBvAHUAcgBjAGUARABhAHQAYQBfAEMAbwBuAHYAZQByAHQATgAyAG8ARQBsAGUAbQBlAG4AdABhAGwAVABvAE0AbwBsAGUAYwB1AGwAYQByAEMAZwBfAFYAYQByAGkAYQBiAGwAZQBcAG4AIAAgAD0ATABBAE0AQgBEAEEAKABcACIAQwBnAE4AMgBPAFwAIgApADsAXABuAFwAbgBDAG8AbQBtAG8AbgBfAFMAbwB1AHIAYwBlAEQAYQB0AGEAXwBDAG8AbgB2AGUAcgB0AE4AMgBvAEUAbABlAG0AZQBuAHQAYQBsAFQAbwBNAG8AbABlAGMAdQBsAGEAcgBDAGcAXwBVAG4AaQB0AFwAbgAgACAAPQBMAEEATQBCAEQAQQAoAFwAIgBmAGEAYwB0AG8AcgBcACIAKQA7AFwAbgBcAG4AQwBvAG0AbQBvAG4AXwBTAG8AdQByAGMAZQBEAGEAdABhAF8AQwBvAG4AdgBlAHIAdABOADIAbwBFAGwAZQBtAGUAbgB0AGEAbABUAG8ATQBvAGwAZQBjAHUAbABhAHIAQwBnAF8AUwBvAHUAcgBjAGUAXABuACAAIAA9AEwAQQBNAEIARABBACgAXAAiAE4AYQB0AGkAbwBuAGEAbAAgAEkAbgB2AGUAbgB0AG8AcgB5ACAAUgBlAHAAbwByAHQAIAAyADAAMgAzACAAVgBvAGwAdQBtAGUAIAAxAFwAIgApADsAXABuAFwAbgBDAG8AbQBtAG8AbgBfAFMAbwB1AHIAYwBlAEQAYQB0AGEAXwBDAG8AbgB2AGUAcgB0AE4AMgBvAEUAbABlAG0AZQBuAHQAYQBsAFQAbwBNAG8AbABlAGMAdQBsAGEAcgBDAGcAXwBEAGEAdABhAFwAbgAgACAAPQBMAEEATQBCAEQAQQAoADQANAAvADIAOAApADsAXABuAFwAbgAvACoAIABcAG4ALQAtAC0ALQAtAC0ALQAtAC0ALQAtAC0ALQAtAC0ALQAtAC0ALQAtAC0ALQAtAC0ALQAtAC0ALQAtAC0ALQAtAC0ALQAtAC0ALQAtAFwAbgBDAG8AbQBtAG8AbgBfAFMAbwB1AHIAYwBlAEQAYQB0AGEAXwBDAG8AbgB2AGUAcgB0AEcAYQBzAEUAbABlAG0AZQBuAHQAYQBsAFQAbwBNAG8AbABlAGMAdQBsAGEAcgBcAG4ARgBhAGMAdABvAHIAIAB0AG8AIABjAG8AbgB2AGUAcgB0ACAAZQBsAGUAbQBlAG4AdABhAGwAIABtAGEAcwBzACAAbwBmACAAZwBhAHMAIAB0AG8AIABtAG8AbABlAGMAdQBsAGEAcgAgAG0AYQBzAHMAXABuAC0ALQAtAC0ALQAtAC0ALQAtAC0ALQAtAC0ALQAtAC0ALQAtAC0ALQAtAC0ALQAtAC0ALQAtAC0ALQAtAC0ALQAtAC0ALQAtAC0ALQBcAG4AKgAvAFwAbgBcAG4AQwBvAG0AbQBvAG4AXwBTAG8AdQByAGMAZQBEAGEAdABhAF8AQwBvAG4AdgBlAHIAdABHAGEAcwBFAGwAZQBtAGUAbgB0AGEAbABUAG8ATQBvAGwAZQBjAHUAbABhAHIAXwBUAGkAdABsAGUAXABuACAAIAA9AEwAQQBNAEIARABBACgAXAAiAEYAYQBjAHQAbwByACAAdABvACAAYwBvAG4AdgBlAHIAdAAgAGUAbABlAG0AZQBuAHQAYQBsACAAbQBhAHMAcwAgAG8AZgAgAGcAYQBzACAAdABvACAAbQBvAGwAZQBjAHUAbABhAHIAIABtAGEAcwBzAFwAIgApADsAXABuAFwAbgBDAG8AbQBtAG8AbgBfAFMAbwB1AHIAYwBlAEQAYQB0AGEAXwBDAG8AbgB2AGUAcgB0AEcAYQBzAEUAbABlAG0AZQBuAHQAYQBsAFQAbwBNAG8AbABlAGMAdQBsAGEAcgBfAFYAYQByAGkAYQBiAGwAZQBcAG4AIAAgAD0ATABBAE0AQgBEAEEAKABcACIAQwBnAFwAIgApADsAXABuAFwAbgBDAG8AbQBtAG8AbgBfAFMAbwB1AHIAYwBlAEQAYQB0AGEAXwBDAG8AbgB2AGUAcgB0AEcAYQBzAEUAbABlAG0AZQBuAHQAYQBsAFQAbwBNAG8AbABlAGMAdQBsAGEAcgBfAFUAbgBpAHQAXABuACAAIAA9AEwAQQBNAEIARABBACgAXAAiAGYAYQBjAHQAbwByAFwAIgApADsAXABuAFwAbgBDAG8AbQBtAG8AbgBfAFMAbwB1AHIAYwBlAEQAYQB0AGEAXwBDAG8AbgB2AGUAcgB0AEcAYQBzAEUAbABlAG0AZQBuAHQAYQBsAFQAbwBNAG8AbABlAGMAdQBsAGEAcgBfAFMAbwB1AHIAYwBlAFwAbgAgACAAPQBMAEEATQBCAEQAQQAoAFwAIgBYAFgAWABYAFgAWABYAFwAIgApADsAXABuAFwAbgBDAG8AbQBtAG8AbgBfAFMAbwB1AHIAYwBlAEQAYQB0AGEAXwBDAG8AbgB2AGUAcgB0AEcAYQBzAEUAbABlAG0AZQBuAHQAYQBsAFQAbwBNAG8AbABlAGMAdQBsAGEAcgBfAEQAYQB0AGEAXABuACAAIAA9AEwAQQBNAEIARABBACgAXABuACAAIAAgACAATQBBAEsARQBBAFIAUgBBAFkAKAA4ACwAIAA0ACwAIABcAG4AIAAgACAAIAAgACAATABBAE0AQgBEAEEAKAByACwAYwAsACAAXABuACAAIAAgACAAIAAgACAAIABJAE4ARABFAFgAKAB7AFwAbgAgACAAIAAgACAAIAAgACAAIAAgAFwAIgBHAGEAcwBcACIALAAgAFwAIgBDAG8AbgB2AGUAcgBzAGkAbwBuACAAZgBhAGMAdABvAHIAXAAiACwAIABcACIAQwBvAG4AdgBlAHIAcwBpAG8AbgAgAGYAYQBjAHQAbwByACAAMQBcACIALAAgAFwAIgBDAG8AbgB2AGUAcgBzAGkAbwBuACAAZgBhAGMAdABvAHIAIAAyAFwAIgA7AFwAbgAgACAAIAAgACAAIAAgACAAIAAgAFwAIgBDAE8AMgBcACIALAAgAFwAIgA0ADQALwAxADIAXAAiACwAIAA0ADQALAAgADEAMgA7AFwAbgAgACAAIAAgACAAIAAgACAAIAAgAFwAIgBDAEgANABcACIALAAgAFwAIgAxADYALwAxADIAXAAiACwAIAAxADYALAAgADEAMgA7AFwAbgAgACAAIAAgACAAIAAgACAAIAAgAFwAIgBOADIATwBcACIALAAgAFwAIgA0ADQALwAyADgAXAAiACwAIAA0ADQALAAgADIAOAA7AFwAbgAgACAAIAAgACAAIAAgACAAIAAgAFwAIgBOAG8AeABcACIALAAgAFwAIgA0ADYALwAxADQAXAAiACwAIAA0ADYALAAgADEANAA7AFwAbgAgACAAIAAgACAAIAAgACAAIAAgAFwAIgBDAE8AXAAiACwAIABcACIAMgA4AC8AMQAyAFwAIgAsACAAMgA4ACwAIAAxADIAOwBcAG4AIAAgACAAIAAgACAAIAAgACAAIABcACIAQwBPADIAIABMAGkAbQBlAFwAIgAsACAAXAAiADQANAAvADEAMgBcACIALAAgADQANAAsACAAMQAyADsAXABuACAAIAAgACAAIAAgACAAIAAgACAAXAAiAE4ATQBWAE8AQwBcACIALAAgAFwAIgAxADQALwAxADIAXAAiACwAIAAxADQALAAgADEAM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wBXAFAATgAyAE8AXABuAEcAbABvAGIAYQBsACAAdwBhAHIAbQBpAG4AZwAgAHAAbwB0AGUAbgB0AGkAYQBsACAAZgBvAHIAIABnAHIAZQBlAG4AaABvAHUAcwBlACAAZwBhAHMAZQBzAFwAbgAtAC0ALQAtAC0ALQAtAC0ALQAtAC0ALQAtAC0ALQAtAC0ALQAtAC0ALQAtAC0ALQAtAC0ALQAtAC0ALQAtAC0ALQAtAC0ALQAtAC0AXABuACoALwBcAG4AXABuAEMAbwBtAG0AbwBuAF8AUwBvAHUAcgBjAGUARABhAHQAYQBfAEcAVwBQAF8AVABpAHQAbABlAFwAbgAgACAAPQBMAEEATQBCAEQAQQAoAFwAIgBHAGwAbwBiAGEAbAAgAHcAYQByAG0AaQBuAGcAIABwAG8AdABlAG4AdABpAGEAbAAgAGYAbwByACAAZwByAGUAZQBuAGgAbwB1AHMAZQAgAGcAYQBzAGUAcwBcACIAKQA7AFwAbgBcAG4AQwBvAG0AbQBvAG4AXwBTAG8AdQByAGMAZQBEAGEAdABhAF8ARwBXAFAAXwBWAGEAcgBpAGEAYgBsAGUAXABuACAAIAA9AEwAQQBNAEIARABBACgAXAAiAEcAVwBQAE4AMgBPAFwAIgApADsAXABuAFwAbgBDAG8AbQBtAG8AbgBfAFMAbwB1AHIAYwBlAEQAYQB0AGEAXwBHAFcAUABfAFUAbgBpAHQAXABuACAAIAA9AEwAQQBNAEIARABBACgAXAAiAGYAYQBjAHQAbwByAFwAIgApADsAXABuAFwAbgBDAG8AbQBtAG8AbgBfAFMAbwB1AHIAYwBlAEQAYQB0AGEAXwBHAFcAUABfAFMAbwB1AHIAYwBlAFwAbgAgACAAPQBMAEEATQBCAEQAQQAoAFwAIgBYAFgAWABYAFgAWABYAFwAIgApADsAXABuAFwAbgBDAG8AbQBtAG8AbgBfAFMAbwB1AHIAYwBlAEQAYQB0AGEAXwBHAFcAUABfAEQAYQB0AGEAXABuACAAIAA9AEwAQQBNAEIARABBACgAXABuACAAIAAgACAATQBBAEsARQBBAFIAUgBBAFkAKAA4ACwAIAAyACwAIABcAG4AIAAgACAAIAAgACAATABBAE0AQgBEAEEAKAByACwAYwAsACAAXABuACAAIAAgACAAIAAgACAAIABJAE4ARABFAFgAKAB7AFwAbgAgACAAIAAgACAAIAAgACAAIAAgAFwAIgBHAGEAcwBcACIALAAgAFwAIgBDAE8AMgAtAGUAIABmAGEAYwB0AG8AcgBcACIAOwBcAG4AIAAgACAAIAAgACAAIAAgACAAIABcACIAQwBPADIAXAAiACwAIAAxADsAXABuACAAIAAgACAAIAAgACAAIAAgACAAXAAiAEMASAA0AFwAIgAsACAAMgA4ADsAXABuACAAIAAgACAAIAAgACAAIAAgACAAXAAiAE4AMgBPAFwAIgAsACAAMgA2ADUAOwBcAG4AIAAgACAAIAAgACAAIAAgACAAIABcACIAQwBGADQAXAAiACwAIAA2ADYAMwAwADsAXABuACAAIAAgACAAIAAgACAAIAAgACAAXAAiAEMAMgBGADYAXAAiACwAIAAxADIAMgAwADAAOwBcAG4AIAAgACAAIAAgACAAIAAgACAAIABcACIAUwBGADYAXAAiACwAIAAyADIAOAAwADAAOwBcAG4AIAAgACAAIAAgACAAIAAgACAAIABcACIATgBGADMAXAAiACwAIAAxADcAMgAwADA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BAHUAcwB0AHIAYQBsAGkAYQBuAFMAdABhAHQAZQBzAFQAZQByAHIAaQB0AG8AcgBpAGUAcwBcAG4ALQAtAC0ALQAtAC0ALQAtAC0ALQAtAC0ALQAtAC0ALQAtAC0ALQAtAC0ALQAtAC0ALQAtAC0ALQAtAC0ALQAtAC0ALQAtAC0ALQAtAFwAbgAqAC8AXABuAFwAbgBDAG8AbQBtAG8AbgBfAFMAbwB1AHIAYwBlAEQAYQB0AGEAXwBBAHUAcwB0AHIAYQBsAGkAYQBuAFMAdABhAHQAZQBzAFQAZQByAHIAaQB0AG8AcgBpAGUAcwBfAFQAaQB0AGwAZQBcAG4AIAAgAD0ATABBAE0AQgBEAEEAKABcACIAQQB1AHMAdAByAGEAbABpAGEAbgAgAHMAdABhAHQAZQBzACAAYQBuAGQAIAB0AGUAcgByAGkAdABvAHIAaQBlAHMAXAAiACkAOwBcAG4AXABuAEMAbwBtAG0AbwBuAF8AUwBvAHUAcgBjAGUARABhAHQAYQBfAEEAdQBzAHQAcgBhAGwAaQBhAG4AUwB0AGEAdABlAHMAVABlAHIAcgBpAHQAbwByAGkAZQBzAF8AVgBhAHIAaQBhAGIAbABlAFwAbgAgACAAPQBMAEEATQBCAEQAQQAoAFwAIgBcACIAKQA7AFwAbgBcAG4AQwBvAG0AbQBvAG4AXwBTAG8AdQByAGMAZQBEAGEAdABhAF8AQQB1AHMAdAByAGEAbABpAGEAbgBTAHQAYQB0AGUAcwBUAGUAcgByAGkAdABvAHIAaQBlAHMAXwBVAG4AaQB0AFwAbgAgACAAPQBMAEEATQBCAEQAQQAoAFwAIgBcACIAKQA7AFwAbgBcAG4AQwBvAG0AbQBvAG4AXwBTAG8AdQByAGMAZQBEAGEAdABhAF8AQQB1AHMAdAByAGEAbABpAGEAbgBTAHQAYQB0AGUAcwBUAGUAcgByAGkAdABvAHIAaQBlAHMAXwBTAG8AdQByAGMAZQBcAG4AIAAgAD0ATABBAE0AQgBEAEEAKABcACIAXAAiACkAOwBcAG4AXABuAEMAbwBtAG0AbwBuAF8AUwBvAHUAcgBjAGUARABhAHQAYQBfAEEAdQBzAHQAcgBhAGwAaQBhAG4AUwB0AGEAdABlAHMAVABlAHIAcgBpAHQAbwByAGkAZQBzAF8ARABhAHQAYQBcAG4AIAAgACAAPQBMAEEATQBCAEQAQQAoAFwAbgAgACAAIAAgAE0AQQBLAEUAQQBSAFIAQQBZACgAOQAsACAAMwAsACAAXABuACAAIAAgACAAIAAgAEwAQQBNAEIARABBACgAcgAsAGMALAAgAFwAbgAgACAAIAAgACAAIAAgACAASQBOAEQARQBYACgAewBcAG4AIAAgACAAIAAgACAAIAAgACAAIABcACIAUwB0AGEAdABlAC8AVABlAHIAcgBpAHQAbwByAHkAXAAiACwAIABcACIAQwBvAG0AbQBvAG4AIABOAGEAbQBlAFwAIgAsACAAXAAiAEEAYgBiAHIAZQB2AGkAYQB0AGkAbwBuAFwAIgA7AFwAbgAgACAAIAAgACAAIAAgACAAIAAgAFwAIgBOAGUAdwAgAFMAbwB1AHQAaAAgAFcAYQBsAGUAcwBcACIALAAgAFwAIgBOAGUAdwAgAFMAbwB1AHQAaAAgAFcAYQBsAGUAcwBcACIALAAgAFwAIgBOAFMAVwBcACIAOwBcAG4AIAAgACAAIAAgACAAIAAgACAAIABcACIAQQB1AHMAdAByAGEAbABpAGEAbgAgAEMAYQBwAGkAdABhAGwAIABUAGUAcgByAGkAdABvAHIAeQBcACIALAAgAFwAIgBBAEMAVABcACIALAAgAFwAIgBBAEMAVABcACIAOwBcAG4AIAAgACAAIAAgACAAIAAgACAAIABcACIAVgBpAGMAdABvAHIAaQBhAFwAIgAsACAAXAAiAFYAaQBjAHQAbwByAGkAYQBcACIALAAgAFwAIgBWAEkAQwBcACIAOwBcAG4AIAAgACAAIAAgACAAIAAgACAAIABcACIAUQB1AGUAZQBuAHMAbABhAG4AZABcACIALAAgAFwAIgBRAHUAZQBlAG4AcwBsAGEAbgBkAFwAIgAsACAAXAAiAFEATABEAFwAIgA7AFwAbgAgACAAIAAgACAAIAAgACAAIAAgAFwAIgBTAG8AdQB0AGgAIABBAHUAcwB0AHIAYQBsAGkAYQBcACIALAAgAFwAIgBTAG8AdQB0AGgAIABBAHUAcwB0AHIAYQBsAGkAYQBcACIALAAgAFwAIgBTAEEAXAAiADsAXABuACAAIAAgACAAIAAgACAAIAAgACAAXAAiAFcAZQBzAHQAZQByAG4AIABBAHUAcwB0AHIAYQBsAGkAYQBcACIALAAgAFwAIgBXAGUAcwB0AGUAcgBuACAAQQB1AHMAdAByAGEAbABpAGEAXAAiACwAIABcACIAVwBBAFwAIgA7AFwAbgAgACAAIAAgACAAIAAgACAAIAAgAFwAIgBUAGEAcwBtAGEAbgBpAGEAXAAiACwAIABcACIAVABhAHMAbQBhAG4AaQBhAFwAIgAsACAAXAAiAFQAQQBTAFwAIgA7AFwAbgAgACAAIAAgACAAIAAgACAAIAAgAFwAIgBOAG8AcgB0AGgAZQByAG4AIABUAGUAcgByAGkAdABvAHIAeQBcACIALAAgAFwAIgBOAG8AcgB0AGgAZQByAG4AIABUAGUAcgByAGkAdABvAHIAeQBcACIALAAgAFwAIgBOAFQ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XAEEAUwBBADQAQQByAGUAYQBzAFwAbgAtAC0ALQAtAC0ALQAtAC0ALQAtAC0ALQAtAC0ALQAtAC0ALQAtAC0ALQAtAC0ALQAtAC0ALQAtAC0ALQAtAC0ALQAtAC0ALQAtAC0AXABuACoALwBcAG4AXABuAEMAbwBtAG0AbwBuAF8AUwBvAHUAcgBjAGUARABhAHQAYQBfAFcAQQBTAEEANABBAHIAZQBhAHMAXwBUAGkAdABsAGUAXABuACAAIAA9AEwAQQBNAEIARABBACgAXAAiAEEAQgBTACAAUwB0AGEAdABpAHMAdABjAGEAbAAgAEEAcgBlAGEAcwAgAEwAZQB2AGUAbAAgADQAIAAtACAAVwBlAHMAdABlAHIAbgAgAEEAdQBzAHQAcgBhAGwAaQBhAFwAIgApADsAXABuAFwAbgBDAG8AbQBtAG8AbgBfAFMAbwB1AHIAYwBlAEQAYQB0AGEAXwBXAEEAUwBBADQAQQByAGUAYQBzAF8AVgBhAHIAaQBhAGIAbABlAFwAbgAgACAAPQBMAEEATQBCAEQAQQAoAFwAIgBcACIAKQA7AFwAbgBcAG4AQwBvAG0AbQBvAG4AXwBTAG8AdQByAGMAZQBEAGEAdABhAF8AVwBBAFMAQQA0AEEAcgBlAGEAcwBfAFUAbgBpAHQAXABuACAAIAA9AEwAQQBNAEIARABBACgAXAAiAFwAIgApADsAXABuAFwAbgBDAG8AbQBtAG8AbgBfAFMAbwB1AHIAYwBlAEQAYQB0AGEAXwBXAEEAUwBBADQAQQByAGUAYQBzAF8AUwBvAHUAcgBjAGUAXABuACAAIAA9AEwAQQBNAEIARABBACgAXAAiAEEAdQBzAHQAcgBhAGwAaQBhAG4AIABCAHUAcgBlAGEAdQAgAG8AZgAgAFMAdABhAHQAaQBzAHQAaQBjAHMAIAAoAEEAQgBTACkAIAAtACAAUwB0AGEAdABpAHMAdABpAGMAYQBsACAAQQByAGUAYQBzACAATABlAHYAZQBsACAAMgAgAC0AIAAyADAAMgAxACAALQAgAFMAaABhAHAAZQBmAGkAbABlAFwAIgApADsAXABuAFwAbgBDAG8AbQBtAG8AbgBfAFMAbwB1AHIAYwBlAEQAYQB0AGEAXwBXAEEAUwBBADQAQQByAGUAYQBzAF8ARABhAHQAYQBcAG4AIAAgACAAPQBMAEEATQBCAEQAQQAoAFwAbgAgACAAIAAgAE0AQQBLAEUAQQBSAFIAQQBZACgAMQAxACwAIAAxACwAIABcAG4AIAAgACAAIAAgACAATABBAE0AQgBEAEEAKAByACwAYwAsACAAXABuACAAIAAgACAAIAAgACAAIABJAE4ARABFAFgAKAB7AFwAbgAgACAAIAAgACAAIAAgACAAIAAgAFwAIgBTAEEAIAA0ACAATgBhAG0AZQBcACIAOwBcAG4AIAAgACAAIAAgACAAIAAgACAAIABcACIAQgB1AG4AYgB1AHIAeQBcACIAOwBcAG4AIAAgACAAIAAgACAAIAAgACAAIABcACIATQBhAG4AZAB1AHIAYQBoAFwAIgA7AFwAbgAgACAAIAAgACAAIAAgACAAIAAgAFwAIgBQAGUAcgB0AGgAIAAtACAASQBuAG4AZQByAFwAIgA7AFwAbgAgACAAIAAgACAAIAAgACAAIAAgAFwAIgBQAGUAcgB0AGgAIAAtACAATgBvAHIAdABoACAARQBhAHMAdABcACIAOwBcAG4AIAAgACAAIAAgACAAIAAgACAAIABcACIAUABlAHIAdABoACAALQAgAE4AbwByAHQAaAAgAFcAZQBzAHQAXAAiADsAXABuACAAIAAgACAAIAAgACAAIAAgACAAXAAiAFAAZQByAHQAaAAgAC0AIABTAG8AdQB0AGgAIABFAGEAcwB0AFwAIgA7AFwAbgAgACAAIAAgACAAIAAgACAAIAAgAFwAIgBQAGUAcgB0AGgAIAAtACAAUwBvAHUAdABoACAAVwBlAHMAdABcACIAOwBcAG4AIAAgACAAIAAgACAAIAAgACAAIABcACIAVwBlAHMAdABlAHIAbgAgAEEAdQBzAHQAcgBhAGwAaQBhACAALQAgAFcAaABlAGEAdAAgAEIAZQBsAHQAXAAiADsAXABuACAAIAAgACAAIAAgACAAIAAgACAAXAAiAFcAZQBzAHQAZQByAG4AIABBAHUAcwB0AHIAYQBsAGkAYQAgAC0AIABPAHUAdABiAGEAYwBrACAAKABOAG8AcgB0AGgAKQBcACIAOwBcAG4AIAAgACAAIAAgACAAIAAgACAAIABcACIAVwBlAHMAdABlAHIAbgAgAEEAdQBzAHQAcgBhAGwAaQBhACAALQAgAE8AdQB0AGIAYQBjAGsAIAAoAFMAbwB1AHQAaAAp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lAHQAQQBuAGQARAByAHkAWgBvAG4AZQBzAFwAbgAtAC0ALQAtAC0ALQAtAC0ALQAtAC0ALQAtAC0ALQAtAC0ALQAtAC0ALQAtAC0ALQAtAC0ALQAtAC0ALQAtAC0ALQAtAC0ALQAtAC0AXABuACoALwBcAG4AXABuAEMAbwBtAG0AbwBuAF8AUwBvAHUAcgBjAGUARABhAHQAYQBfAFcAZQB0AEEAbgBkAEQAcgB5AFoAbwBuAGUAcwBfAFQAaQB0AGwAZQBcAG4AIAAgAD0ATABBAE0AQgBEAEEAKABcACIAVgBFAEUAUgBHACAAQQB1AHMAdAByAGEAbABpAGEAbgAgAHcAZQB0ACAAYQBuAGQAIABkAHIAeQAgAHoAbwBuAGUAcwBcACIAKQA7AFwAbgBcAG4AQwBvAG0AbQBvAG4AXwBTAG8AdQByAGMAZQBEAGEAdABhAF8AVwBlAHQAQQBuAGQARAByAHkAWgBvAG4AZQBzAF8AVgBhAHIAaQBhAGIAbABlAFwAbgAgACAAPQBMAEEATQBCAEQAQQAoAFwAIgBcACIAKQA7AFwAbgBcAG4AQwBvAG0AbQBvAG4AXwBTAG8AdQByAGMAZQBEAGEAdABhAF8AVwBlAHQAQQBuAGQARAByAHkAWgBvAG4AZQBzAF8AVQBuAGkAdABcAG4AIAAgAD0ATABBAE0AQgBEAEEAKABcACIAXAAiACkAOwBcAG4AXABuAEMAbwBtAG0AbwBuAF8AUwBvAHUAcgBjAGUARABhAHQAYQBfAFcAZQB0AEEAbgBkAEQAcgB5AFoAbwBuAGUAcwBfAFMAbwB1AHIAYwBlAFwAbgAgACAAPQBMAEEATQBCAEQAQQAoAFwAIgBWAEUARQBSAEcAIAAyADAAMgA2ADoAIABUAGEAYgBsAGUAIAAxAC4AMgA6ACAAVAByAGEAbgBzAGwAYQB0AGkAbgBnACAAYwBsAGkAbQBhAHQAZQAgAHoAbwBuAGUAcwAgAHQAbwAgAHcAZQB0ACAAYQBuAGQAIABkAHIAeQAgAHoAbwBuAGUAcwBcACIAKQA7AFwAbgBcAG4AQwBvAG0AbQBvAG4AXwBTAG8AdQByAGMAZQBEAGEAdABhAF8AVwBlAHQAQQBuAGQARAByAHkAWgBvAG4AZQBzAF8AVgBhAHIAaQBhAHQAaQBvAG4AXABuACAAIAAgAD0ATABBAE0AQgBEAEEAKABcAG4AIAAgACAAIABNAEEASwBFAEEAUgBSAEEAWQAoADM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C0AIABDAGgAYQBuAGcAZQBkACAAJwBGAHIAeQAnACAAdABvACAAJwBEAHIAeQAnAC4AXAAiAFwAbgAgACAAIAAgACAAIAAgACAAfQAsACAAcgAsACAAYwApAFwAbgAgACAAIAAgACAAIAApAFwAbgAgACAAIAAgACkAXABuACAAIAApADsAXABuAFwAbgBDAG8AbQBtAG8AbgBfAFMAbwB1AHIAYwBlAEQAYQB0AGEAXwBXAGUAdABBAG4AZABEAHIAeQBaAG8AbgBlAHMAXwBEAGEAdABhAFwAbgAgACAAIAA9AEwAQQBNAEIARABBACgAXABuACAAIAAgACAATQBBAEsARQBBAFIAUgBBAFkAKAAxADUALAAgADIALAAgAFwAbgAgACAAIAAgACAAIABMAEEATQBCAEQAQQAoAHIALABjACwAIABcAG4AIAAgACAAIAAgACAAIAAgAEkATgBEAEUAWAAoAHsAXABuACAAIAAgACAAIAAgACAAIAAgACAAXAAiAEMAbABpAG0AYQB0AGUAIABaAG8AbgBlAFwAIgAsACAAXAAiAFcAZQB0ACAAbwByACAARAByAHkAIABaAG8AbgBlAFwAIgA7AFwAbgAgACAAIAAgACAAIAAgACAAIAAgAFwAIgBUAHIAbwBwAGkAYwBhAGwAIABtAG8AbgB0AGEAbgBlAFwAIgAsACAAXAAiAFcAZQB0ACAAYwBsAGkAbQBhAHQAZQAgAHoAbwBuAGUAXAAiADsAXABuACAAIAAgACAAIAAgACAAIAAgACAAXAAiAFQAcgBvAHAAaQBjAGEAbAAgAHcAZQB0AFwAIgAsACAAXAAiAFcAZQB0ACAAYwBsAGkAbQBhAHQAZQAgAHoAbwBuAGUAXAAiADsAXABuACAAIAAgACAAIAAgACAAIAAgACAAXAAiAFQAcgBvAHAAaQBjAGEAbAAgAG0AbwBpAHMAdABcACIALAAgAFwAIgBXAGUAdAAgAGMAbABpAG0AYQB0AGUAIAB6AG8AbgBlAFwAIgA7AFwAbgAgACAAIAAgACAAIAAgACAAIAAgAFwAIgBUAHIAbwBwAGkAYwBhAGwAIABkAHIAeQBcACIALAAgAFwAIgBEAHIAeQAgAGMAbABpAG0AYQB0AGUAIAB6AG8AbgBlAFwAIgA7AFwAbgAgACAAIAAgACAAIAAgACAAIAAgAFwAIgBXAGEAcgBtACAAdABlAG0AcABlAHIAYQB0AGUAIABtAG8AaQBzAHQAXAAiACwAIABcACIAVwBlAHQAIABjAGwAaQBtAGEAdABlACAAegBvAG4AZQBcACIAOwBcAG4AIAAgACAAIAAgACAAIAAgACAAIABcACIAVwBhAHIAbQAgAHQAZQBtAHAAZQByAGEAdABlACAAZAByAHkAXAAiACwAIABcACIARAByAHkAIABjAGwAaQBtAGEAdABlACAAegBvAG4AZQBcACIAOwBcAG4AIAAgACAAIAAgACAAIAAgACAAIABcACIAQwBvAG8AbAAgAHQAZQBtAHAAZQByAGEAdABlACAAbQBvAGkAcwB0AFwAIgAsACAAXAAiAFcAZQB0ACAAYwBsAGkAbQBhAHQAZQAgAHoAbwBuAGUAXAAiADsAXABuACAAIAAgACAAIAAgACAAIAAgACAAXAAiAEMAbwBvAGwAIAB0AGUAbQBwAGUAcgBhAHQAZQAgAGQAcgB5AFwAIgAsACAAXAAiAEQAcgB5ACAAYwBsAGkAbQBhAHQAZQAgAHoAbwBuAGUAXAAiADsAXABuACAAIAAgACAAIAAgACAAIAAgACAAXAAiAFcAYQByAG0AIAB0AGUAbQBwAGUAcgBhAHQAZQAgAG0AbwBpAHMAdAAgAC0AIABsAG8AdwAgAGYAcgBvAHMAdABcACIALAAgAFwAIgBXAGUAdAAgAGMAbABpAG0AYQB0AGUAIAB6AG8AbgBlAFwAIgA7AFwAbgAgACAAIAAgACAAIAAgACAAIAAgAFwAIgBXAGEAcgBtACAAdABlAG0AcABlAHIAYQB0AGUAIABkAHIAeQAgAC0AIABsAG8AdwAgAGYAcgBvAHMAdABcACIALAAgAFwAIgBEAHIAeQAgAGMAbABpAG0AYQB0AGUAIAB6AG8AbgBlAFwAIgA7AFwAbgAgACAAIAAgACAAIAAgACAAIAAgAFwAIgBXAGEAcgBtACAAdABlAG0AcABlAHIAYQB0AGUAIABtAG8AaQBzAHQAIAAtACAAaABpAGcAaAAgAHQAZQBtAHAAXAAiACwAIABcACIAVwBlAHQAIABjAGwAaQBtAGEAdABlACAAegBvAG4AZQBcACIAOwBcAG4AIAAgACAAIAAgACAAIAAgACAAIABcACIAVwBhAHIAbQAgAHQAZQBtAHAAZQByAGEAdABlACAAZAByAHkAIAAtACAAaABpAGcAaAAgAHQAZQBtAHAAXAAiACwAIABcACIARAByAHkAIABjAGwAaQBtAGEAdABlACAAegBvAG4AZQBcACIAOwBcAG4AIAAgACAAIAAgACAAIAAgACAAIABcACIAQwBvAG8AbAAgAHQAZQBtAHAAZQByAGEAdABlACAAbQBvAGkAcwB0ACAALQAgAGwAbwB3ACAAZgByAG8AcwB0AFwAIgAsACAAXAAiAFcAZQB0ACAAYwBsAGkAbQBhAHQAZQAgAHoAbwBuAGUAXAAiADsAXABuACAAIAAgACAAIAAgACAAIAAgACAAXAAiAEMAbwBvAGwAIAB0AGUAbQBwAGUAcgBhAHQAZQAgAGQAcgB5ACAALQAgAGwAbwB3ACAAZgByAG8AcwB0AFwAIgAsACAAXAAiAEQAcgB5ACAAYwBsAGkAbQBhAHQAZQAgAHoAbwBuAGU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DAGwAaQBtAGEAdABlAFoAbwBuAGUAcwBcAG4ALQAtAC0ALQAtAC0ALQAtAC0ALQAtAC0ALQAtAC0ALQAtAC0ALQAtAC0ALQAtAC0ALQAtAC0ALQAtAC0ALQAtAC0ALQAtAC0ALQAtAFwAbgAqAC8AXABuAFwAbgBDAG8AbQBtAG8AbgBfAFMAbwB1AHIAYwBlAEQAYQB0AGEAXwBDAGwAaQBtAGEAdABlAFoAbwBuAGUAcwBfAFQAaQB0AGwAZQBcAG4AIAAgAD0ATABBAE0AQgBEAEEAKABcACIAVgBFAEUAUgBHACAAQQB1AHMAdAByAGEAbABpAGEAbgAgAGMAbABpAG0AYQB0AGUAIAB6AG8AbgBlAHMAXAAiACkAOwBcAG4AXABuAEMAbwBtAG0AbwBuAF8AUwBvAHUAcgBjAGUARABhAHQAYQBfAEMAbABpAG0AYQB0AGUAWgBvAG4AZQBzAF8AVgBhAHIAaQBhAGIAbABlAFwAbgAgACAAPQBMAEEATQBCAEQAQQAoAFwAIgBcACIAKQA7AFwAbgBcAG4AQwBvAG0AbQBvAG4AXwBTAG8AdQByAGMAZQBEAGEAdABhAF8AQwBsAGkAbQBhAHQAZQBaAG8AbgBlAHMAXwBVAG4AaQB0AFwAbgAgACAAPQBMAEEATQBCAEQAQQAoAFwAIgBcACIAKQA7AFwAbgBcAG4AQwBvAG0AbQBvAG4AXwBTAG8AdQByAGMAZQBEAGEAdABhAF8AQwBsAGkAbQBhAHQ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DAGwAaQBtAGEAdABlAFoAbwBuAGUAcwBfAFYAYQByAGkAYQB0AGkAbwBuAFwAbgAgACAAIAA9AEwAQQBNAEIARABBACgAXABuACAAIAAgACAATQBBAEsARQBBAFIAUgBBAFkAKAA1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BpAG4AIABNAEEAVAAgAHYAYQBsAHUAZQAgAGYAbwByACAAdwBhAHIAbQAgAHQAZQBtAHAAZQByAGEAdABlACAAZAByAHkAIAAtACAAYwBoAGEAbgBnAGUAZAAgADEAMAAgAHQAbwAgADEAMQAuAFwAIgA7AFwAbgAgACAAIAAgACAAIAAgACAAIAAgAFwAIgBBAGQAZABlAGQAIABtAGkAbgAgAGEAbgBkACAAbQBhAHgAIABjAG8AbAB1AG0AbgBzACAAZgBvAHIAIABNAEEAVAAsACAATQBBAFAALAAgAGYAcgBvAHMAdAAgAGQAYQB5AHMAIABwAGUAcgAgAHkAZQBhAHIALAAgAGUAbABlAHYAYQB0AGkAbwBuACwAIABNAEEAUAA6AFAARQBUACAAdABvACAAYwBhAGwAYwB1AGwAYQB0AGUAIAB6AG8AbgBlAHMAIABmAHIAbwBtACAAcgBlAGEAbAAgAGMAbABpAG0AYQB0AGUAIABkAGEAdABhAC4AXAAiADsAXABuACAAIAAgACAAIAAgACAAIAAgACAAXAAiAEcAQQBGACAAYQBjAGMAZQBwAHQAcwAgAHIAYQBpAG4AZgBhAGwAbAAgAGEAcwAgAGEAIABwAHIAbwB4AHkAIABmAG8AcgAgAHAAcgBlAGMAaQBwAGkAdABhAHQAaQBvAG4ALgBcACIAXABuACAAIAAgACAAIAAgACAAIAB9ACwAIAByACwAIABjACkAXABuACAAIAAgACAAIAAgACkAXABuACAAIAAgACAAKQBcAG4AIAAgACkAOwBcAG4AXABuAEMAbwBtAG0AbwBuAF8AUwBvAHUAcgBjAGUARABhAHQAYQBfAEMAbABpAG0AYQB0AGUAWgBvAG4AZQBzAF8ARABhAHQAYQBcAG4AIAAgACAAPQBMAEEATQBCAEQAQQAoAFwAbgAgACAAIAAgAE0AQQBLAEUAQQBSAFIAQQBZACgAOQAsACAAMQA2ACwAIABcAG4AIAAgACAAIAAgACAATABBAE0AQgBEAEEAKAByACwAYwAsACAAXABuACAAIAAgACAAIAAgACAAIABJAE4ARABFAFgAKAB7AFwAbgAgACAAIAAgACAAIAAgACAAIAAgAFwAIgBDAGwAaQBtAGEAdABlACAAWgBvAG4AZQBcACIALAAgAFwAIgBNAEEAVABcACIALAAgAFwAIgBNAEEAUABcACIALAAgAFwAIgBGAHIAbwBzAHQAIABkAGEAeQBzACAAcABlAHIAIAB5AGUAYQByAFwAIgAsACAAXAAiAEUAbABlAHYAYQB0AGkAbwBuAFwAIgAsACAAXAAiAE0AQQBQADoAUABFAFQAXAAiACwAIABcACIATQBpAG4AIAB0AGUAbQBwAFwAIgAsACAAXAAiAE0AYQB4ACAAdABlAG0AcABcACIALAAgAFwAIgBNAGkAbgAgAHIAYQBpAG4AZgBhAGwAbABcACIALAAgAFwAIgBNAGEAeAAgAHIAYQBpAG4AZgBhAGwAbABcACIALAAgAFwAIgBNAGkAbgAgAGYAcgBvAHMAdAAgAGQAYQB5AHMAXAAiACwAIABcACIATQBhAHgAIABmAHIAbwBzAHQAIABkAGEAeQBzAFwAIgAsACAAXAAiAE0AaQBuACAAZQBsAGUAdgBhAHQAaQBvAG4AXAAiACwAIABcACIATQBhAHgAIABlAGwAZQB2AGEAdABpAG8AbgBcACIALAAgAFwAIgBNAGkAbgAgAE0AQQBQADoAUABFAFQAXAAiACwAIABcACIATQBpAG4AIABNAEEAUAA6AFAARQBUAFwAIgA7AFwAbgAgACAAIAAgACAAIAAgACAAIAAgAFwAIgBUAHIAbwBwAGkAYwBhAGwAIABtAG8AbgB0AGEAbgBlAFwAIgAsACAAXAAiAD4AIAAxADgAIABDAFwAIgAsACAAXAAiAEEAbgB5AFwAIgAsACAAXAAiAGQiIAA3AFwAIgAsACAAXAAiAD4AIAAxADAAMAAwACAAbQBcACIALAAgAFwAIgBBAG4AeQBcACIALAAgADEAOAAuADAAMAAxACwAIAA5ADkAOQA5ADkAOQAsACAALQA5ADkAOQA5ADkAOQAsACAAOQA5ADkAOQA5ADkALAAgAC0AOQA5ADkAOQA5ADkALAAgADcALAAgADEAMAAwADAALAAgADkAOQA5ADkAOQA5ACwAIAAtADkAOQA5ADkAOQA5ACwAIAA5ADkAOQA5ADkAOQA7AFwAbgAgACAAIAAgACAAIAAgACAAIAAgAFwAIgBUAHIAbwBwAGkAYwBhAGwAIAB3AGUAdABcACIALAAgAFwAIgA+ACAAMQA4ACAAQwBcACIALAAgAFwAIgA+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D4AIAAxADgAIABDAFwAIgAsACAAXAAiAD4AIAAxADAAMAAwACAAbQBtACAALQAgAGQiIAAyADAAMAAwACAAbQBtAFwAIgAsACAAXAAiAGQiIAA3AFwAIgAsACAAXAAiAGQiIAAxADAAMAAwACAAbQBcACIALAAgAFwAIgBBAG4AeQBcACIALAAgADEAOAAuADAAMAAxACwAIAA5ADkAOQA5ADkAOQAsACAAMQAwADAAMAAuADAAMAAxACwAIAAyADAAMAAwACwAIAAtADkAOQA5ADkAOQA5ACwAIAA3ACwAIAAtADkAOQA5ADkAOQA5ACwAIAA5ADkAOQAuADkAOQA5ACwAIAAgAC0AOQA5ADkAOQA5ADkALAAgADkAOQA5ADkAOQA5ADsAXABuACAAIAAgACAAIAAgACAAIAAgACAAXAAiAFQAcgBvAHAAaQBjAGEAbAAgAGQAcgB5AFwAIgAsACAAXAAiAD4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PgAgADEAMAAgAEMAXAAiACwAIABcACIAQQBuAHkAXAAiACwAIABcACIAQQBuAHkAXAAiACwAIABcACIAQQBuAHkAXAAiACwAIABcACIAPgAgADEAXAAiACwAIAAxADAALgAwADAAMQAsACAAOQA5ADkAOQA5ADkALAAgAC0AOQA5ADkAOQA5ADkALAAgADkAOQA5ADkAOQA5ACwAIAAtADkAOQA5ADkAOQA5ACwAIAA5ADkAOQA5ADkAOQAsACAALQA5ADkAOQA5ADkAOQAsACAAOQA5ADkAOQA5ADkALAAgADEALgAwADAAMQAsACAAOQA5ADkAOQA5ADkAOwBcAG4AIAAgACAAIAAgACAAIAAgACAAIABcACIAVwBhAHIAbQAgAHQAZQBtAHAAZQByAGEAdABlACAAZAByAHkAXAAiACwAIABcACIAPg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PgAgADAAIABDACAALQAgAGQiIAAxADAAIABDAFwAIgAsACAAXAAiAEEAbgB5AFwAIgAsACAAXAAiAEEAbgB5AFwAIgAsACAAXAAiAEEAbgB5AFwAIgAsACAAXAAiAD4AIAAxAFwAIgAsACAALQA5ADkAOQA5ADkAOQAsACAAMQAwACwAIAAtADkAOQA5ADkAOQA5ACwAIAA5ADkAOQA5ADkAOQAsACAALQA5ADkAOQA5ADkAOQAsACAAOQA5ADkAOQA5ADkALAAgAC0AOQA5ADkAOQA5ADkALAAgADkAOQA5ADkAOQA5ACwAIAAxAC4AMAAwADEALAAgADkAOQA5ADkAOQA5ADsAXABuACAAIAAgACAAIAAgACAAIAAgACAAXAAiAEMAbwBvAGwAIAB0AGUAbQBwAGUAcgBhAHQAZQAgAGQAcgB5AFwAIgAsACAAXAAiAD4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PgAgADYAMAAwAG0AbQBcACIALAAgADYAMAAwAC4AMAAwADEALAAgADkAOQA5ADkAOQA5ADsAXABuACAAIAAgACAAIAAgACAAIAAgACAAXAAiAEwAbwB3ACAAcgBhAGkAbgBmAGEAbABsAFwAIgAsACAAXAAiAEEAbgBuAHUAYQBsACAAcgBhAGkAbgBmAGEAbABsACAAZCIgADYAMAAwAG0AbQBcACIALAAgAC0AOQA5ADkAOQA5ADkALAAgADYAMAAw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MAGUAYQBjAGgAaQBuAGcAWgBvAG4AZQBzAFwAbgAtAC0ALQAtAC0ALQAtAC0ALQAtAC0ALQAtAC0ALQAtAC0ALQAtAC0ALQAtAC0ALQAtAC0ALQAtAC0ALQAtAC0ALQAtAC0ALQAtAC0AXABuACoALwBcAG4AXABuAEMAbwBtAG0AbwBuAF8AUwBvAHUAcgBjAGUARABhAHQAYQBfAEwAZQBhAGMAaABpAG4AZwBaAG8AbgBlAHMAXwBUAGkAdABsAGUAXABuACAAIAA9AEwAQQBNAEIARABBACgAXAAiAFYARQBFAFIARwAgAEEAdQBzAHQAcgBhAGwAaQBhAG4AIABsAGUAYQBjAGgAaQBuAGcAIAB6AG8AbgBlAHMAXAAiACkAOwBcAG4AXABuAEMAbwBtAG0AbwBuAF8AUwBvAHUAcgBjAGUARABhAHQAYQBfAEwAZQBhAGMAaABpAG4AZwBaAG8AbgBlAHMAXwBWAGEAcgBpAGEAYgBsAGUAXABuACAAIAA9AEwAQQBNAEIARABBACgAXAAiAFwAIgApADsAXABuAFwAbgBDAG8AbQBtAG8AbgBfAFMAbwB1AHIAYwBlAEQAYQB0AGEAXwBMAGUAYQBjAGgAaQBuAGcAWgBvAG4AZQBzAF8AVQBuAGkAdABcAG4AIAAgAD0ATABBAE0AQgBEAEEAKABcACIAXAAiACkAOwBcAG4AXABuAEMAbwBtAG0AbwBuAF8AUwBvAHUAcgBjAGUARABhAHQAYQBfAEwAZQBhAGMAaABpAG4AZw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MAGUAYQBjAGgAaQBuAGcAWgBvAG4AZQBzAF8AVgBhAHIAaQBhAHQAaQBvAG4AXABuACAAIAA9AEwAQQBNAEIARABBACgAXAAiAFwAIgApADsAXABuAFwAbgBDAG8AbQBtAG8AbgBfAFMAbwB1AHIAYwBlAEQAYQB0AGEAXwBMAGUAYQBjAGgAaQBuAGcAWgBvAG4AZQBzAF8ARABhAHQAYQBcAG4AIAAgACAAPQBMAEEATQBCAEQAQQAoAFwAbgAgACAAIAAgAE0AQQBLAEUAQQBSAFIAQQBZACgAMwAsACAAMgAsACAAXABuACAAIAAgACAAIAAgAEwAQQBNAEIARABBACgAcgAsAGMALAAgAFwAbgAgACAAIAAgACAAIAAgACAASQBOAEQARQBYACgAewBcAG4AIAAgACAAIAAgACAAIAAgACAAIABcACIATABlAGEAYwBoAGkAbgBnACAAWgBvAG4AZQBcACIALAAgAFwAIgBMAGUAYQBjAGgAaQBuAGcAIABjAHIAaQB0AGUAcgBpAGEAXAAiADsAXABuACAAIAAgACAAIAAgACAAIAAgACAAXAAiAEwAZQBhAGMAaABpAG4AZwAgAG8AYwBjAHUAcgBzAFwAIgAsACAAXAAiAKMDKAA12F/cNdhO3DXYVtw12FvcKQA+AKMDKAA12DjcNdhH3DAAKQArADXYYNw12FzcNdhW3DXYWdwgADXYZNw12E7cNdhh3DXYUtw12F/cIAAOITXYXNw12FncNdhR3DXYVtw12FvcNdhU3CAANdhQ3DXYTtw12F3cNdhO3DXYUNw12FbcNdhh3DXYZtxcACIAOwBcAG4AIAAgACAAIAAgACAAIAAgACAAIABcACIATABlAGEAYwBoAGkAbgBnACAAZABvAGUAcwAgAG4AbwB0ACAAbwBjAGMAdQByAFwAIgAsACAAXAAiAKMDKAA12F/cNdhO3DXYVtw12FvcKQBkIqMDKAA12DjcNdhH3DAAKQArADXYYNw12FzcNdhW3DXYWdwgADXYZNw12E7cNdhh3DXYUtw12F/cIAAOITXYXNw12FncNdhR3DXYVtw12FvcNdhU3CAANdhQ3DXYTtw12F3cNdhO3DXYUNw12FbcNdhh3DXYZtx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YAcgBhAGMAVwBFAFQAXABuADUALgA1AC4AMgAuADMAIABDAG8AbgBzAHQAYQBuAHQAIABQAGEAcgBhAG0AZQB0AGUAcgBzAFwAbgBGAHIAYQBjAHQAaQBvAG4AIABvAGYAIABOACAAdABoAGEAdAAgAGkAcwAgAGEAdgBhAGkAbABhAGIAbABlACAAZgBvAHIAIABsAGUAYQBjAGgAaQBuAGcAIABhAG4AZAAgAHIAdQBuAG8AZgBmAFwAbgAtAC0ALQAtAC0ALQAtAC0ALQAtAC0ALQAtAC0ALQAtAC0ALQAtAC0ALQAtAC0ALQAtAC0ALQAtAC0ALQAtAC0ALQAtAC0ALQAtAC0AXABuACoALwBcAG4AXABuAEMAbwBtAG0AbwBuAF8AUwBvAHUAcgBjAGUARABhAHQAYQBfAEYAcgBhAGMAVwBFAFQ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VwBFAFQAXwBVAG4AaQB0AFwAbgAgACAAPQBMAEEATQBCAEQAQQAoAFwAIgAoAEQAaQBtAGUAbgBzAGkAbwBuAGwAZQBzAHMAXAAiACkAOwBcAG4AXABuAEMAbwBtAG0AbwBuAF8AUwBvAHUAcgBjAGUARABhAHQAYQBfAEYAcgBhAGMAVwBFAFQAXwBTAG8AdQByAGMAZQBcAG4AIAAgAD0ATABBAE0AQgBEAEEAKABcACIAVgBFAEUAUgBHACAAMgAwADIANgA6ADUALgA1AC4AMgAuADMAIABDAG8AbgBzAHQAYQBuAHQAIABQAGEAcgBhAG0AZQB0AGUAcgBzAFwAIgApADsAXABuAFwAbgBDAG8AbQBtAG8AbgBfAFMAbwB1AHIAYwBlAEQAYQB0AGEAXwBGAHIAYQBjAFcARQBUAF8ATgBJAFIAUgBlAGYAZQByAGUAbgBjAGUAXABuACAAIAA9AEwAQQBNAEIARABBACgAXAAiAFwAIgApADsAXABuAFwAbgBDAG8AbQBtAG8AbgBfAFMAbwB1AHIAYwBlAEQAYQB0AGEAXwBGAHIAYQBjAFcARQBUAF8ARABhAHQAYQBcAG4AIAAgAD0ATABBAE0AQgBEAEEAKABcAG4AIAAgACAAIABNAEEASwBFAEEAUgBSAEEAWQAoADMALAAgADIALAAgAFwAbgAgACAAIAAgACAAIABMAEEATQBCAEQAQQAoAHIALABjACwAIABcAG4AIAAgACAAIAAgACAAIAAgAEkATgBEAEUAWAAoAHsAXABuACAAIAAgACAAIAAgACAAIAAgACAAXAAiAEkAcwAgAGkAbgAgAGwAZQBhAGMAaABpAG4AZwAgAHoAbwBuAGUAXAAiACwAXAAiAEYAcgBhAGMAVwBFAFQAXAAiADsAXABuACAAIAAgACAAIAAgACAAIAAgACAAXAAiAFkAZQBzACAALQAgAGkAbgAgAGwAZQBhAGMAaABpAG4AZwAgAHoAbwBuAGUAXAAiACwAIAAxADsAXABuACAAIAAgACAAIAAgACAAIAAgACAAXAAiAE4AbwAgAC0AIABuAG8AdAAgAGkAbgAgAGwAZQBhAGMAaABpAG4AZwAgAHoAbwBuAGUAXAAiACwAIAAwAFwAbgAgACAAIAAgACAAIAAgACAAfQAsACAAcgAsACAAYwApAFwAbgAgACAAIAAgACAAIAApAFwAbgAgACAAIAAgACkAXABuACAAIAApADsAXABuAFwAbgAgACAAQwBvAG0AbQBvAG4AXwBTAG8AdQByAGMAZQBEAGEAdABhAF8ARgByAGEAYwBXAEUAVABfAFYAYQByAGkAYQB0AGkAbwBuAFwAbgAgACAAPQBMAEEATQBCAEQAQQAoACgAXAAiAFwAIgApACkAOwBcAG4AXABuAFwAbgBcAG4ALwAqACAAXABuAC0ALQAtAC0ALQAtAC0ALQAtAC0ALQAtAC0ALQAtAC0ALQAtAC0ALQAtAC0ALQAtAC0ALQAtAC0ALQAtAC0ALQAtAC0ALQAtAC0ALQBcAG4AQwBvAG0AbQBvAG4AXwBTAG8AdQByAGMAZQBEAGEAdABhAF8ARABhAHQAYQBTAGMAbwByAGUAcwBfAFMAYwBvAHAAZQAzAFwAbgAtAC0ALQAtAC0ALQAtAC0ALQAtAC0ALQAtAC0ALQAtAC0ALQAtAC0ALQAtAC0ALQAtAC0ALQAtAC0ALQAtAC0ALQAtAC0ALQAtAC0AXABuACoALwBcAG4AXABuAEMAbwBtAG0AbwBuAF8AUwBvAHUAcgBjAGUARABhAHQAYQBfAEQAYQB0AGEAUwBjAG8AcgBlAHMAXwBTAGMAbwBwAGUAMwBfAFQAaQB0AGwAZQBcAG4AIAAgAD0ATABBAE0AQgBEAEEAKABcACIAQQB1AHMAdAByAGEAbABpAGEAbgAgAGQAYQB0AGEAIABzAGMAbwByAGUAcwAgAGYAbwByACAAcwBjAG8AcABlACAAMwBcACIAKQA7AFwAbgBcAG4AQwBvAG0AbQBvAG4AXwBTAG8AdQByAGMAZQBEAGEAdABhAF8ARABhAHQAYQBTAGMAbwByAGUAcwBfAFMAYwBvAHAAZQAzAF8AVgBhAHIAaQBhAGIAbABlAFwAbgAgACAAPQBMAEEATQBCAEQAQQAoAFwAIgBcACIAKQA7AFwAbgBcAG4AQwBvAG0AbQBvAG4AXwBTAG8AdQByAGMAZQBEAGEAdABhAF8ARABhAHQAYQBTAGMAbwByAGUAcwBfAFMAYwBvAHAAZQAzAF8AVQBuAGkAdABcAG4AIAAgAD0ATABBAE0AQgBEAEEAKABcACIAXAAiACkAOwBcAG4AXABuAEMAbwBtAG0AbwBuAF8AUwBvAHUAcgBjAGUARABhAHQAYQBfAEQAYQB0AGEAUwBjAG8AcgBlAHMAXwBTAGMAbwBwAGUAMwBfAFMAbwB1AHIAYwBlAFwAbgAgACAAPQBMAEEATQBCAEQAQQAoAFwAIgBWAEUARQBSAEcAIAAyADAAMgA2ADoAIABYAFgAWABYAFgAWABYAFgAXAAiACkAOwBcAG4AXABuAEMAbwBtAG0AbwBuAF8AUwBvAHUAcgBjAGUARABhAHQAYQBfAEQAYQB0AGEAUwBjAG8AcgBlAHMAXwBTAGMAbwBwAGUAMwBfAFYAYQByAGkAYQB0AGkAbwBuAFwAbgAgACAAPQBMAEEATQBCAEQAQQAoAFwAIgBcACIAKQA7AFwAbgBcAG4AQwBvAG0AbQBvAG4AXwBTAG8AdQByAGMAZQBEAGEAdABhAF8ARABhAHQAYQBTAGMAbwByAGUAcwBfAFMAYwBvAHAAZQAzAF8ARABhAHQAYQBcAG4AIAAgACAAPQBMAEEATQBCAEQAQQAoAFwAbgAgACAAIAAgAE0AQQBLAEUAQQBSAFIAQQBZACgANgAsACAAMgAsACAAXABuACAAIAAgACAAIAAgAEwAQQBNAEIARABBACgAcgAsAGMALAAgAFwAbgAgACAAIAAgACAAIAAgACAASQBOAEQARQBYACgAewBcAG4AIAAgACAAIAAgACAAIAAgACAAIABcACIARABhAHQAYQAgAHMAbwB1AHIAYwBlAFwAIgAsACAAXAAiAEQAYQB0AGEAIABzAGMAbwByAGUAXAAiADsAXABuACAAIAAgACAAIAAgACAAIAAgACAAXAAiAEkAbgB0AGUAcgBuAGEAdABpAG8AbgBhAGwAIABzAGMAbwBwAGUAIAAzACAAZABhAHQAYQBiAGEAcwBlAFwAIgAsACAAMQA7AFwAbgAgACAAIAAgACAAIAAgACAAIAAgAFwAIgBBAHUAcwB0AHIAYQBsAGkAYQBuACAAcwBjAG8AcABlACAAMwAgAGQAYQB0AGEAYgBhAHMAZQBcACIALAAgADIAOwBcAG4AIAAgACAAIAAgACAAIAAgACAAIABcACIAUwB0AGEAdABlACAAbwByACAAcgBlAGcAaQBvAG4AYQBsACAAcwBjAG8AcABlACAAMwAgAGQAYQB0AGEAYgBhAHMAZQBcACIALAAgADMAOwBcAG4AIAAgACAAIAAgACAAIAAgACAAIABcACIARQBtAGkAcwBzAGkAbwBuAHMAIABpAG4AdABlAG4AcwBpAHQAeQAgAGMAYQBsAGMAdQBsAGEAdABlAGQAIABmAHIAbwBtACAAYQBwAHAAcgBvAHYAZQBkACAAbQBlAHQAaABvAGQAXAAiACwAIAA0ADsAXABuACAAIAAgACAAIAAgACAAIAAgACAAXAAiAFYAZQByAGkAZgBpAGUAZAAgAGMAcgBlAGQAZQBuAHQAaQBhAGwAIABtAGEAdABjAGgAaQBuAGcAIABJAFMATwAxADQAMAA2ADcAXAAiACwAIAA1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RgByAGEAYwBMAEUAQQBDAEgAXABuADUALgA1AC4AMgAuADMAIABDAG8AbgBzAHQAYQBuAHQAIABQAGEAcgBhAG0AZQB0AGUAcgBzAFwAbgBGAHIAYQBjAHQAaQBvAG4AIABvAGYAIABOACAAdABoAGEAdAAgAGkAcwAgAGEAdgBhAGkAbABhAGIAbABlACAAZgBvAHIAIABsAGUAYQBjAGgAaQBuAGcAIABhAG4AZAAgAHIAdQBuAG8AZgBmAFwAbgAtAC0ALQAtAC0ALQAtAC0ALQAtAC0ALQAtAC0ALQAtAC0ALQAtAC0ALQAtAC0ALQAtAC0ALQAtAC0ALQAtAC0ALQAtAC0ALQAtAC0AXABuACoALwBcAG4AXABuAEMAbwBtAG0AbwBuAF8AUwBvAHUAcgBjAGUARABhAHQAYQBfAEYAcgBhAGMATABFAEEAQwBI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EwARQBBAEMASABfAFUAbgBpAHQAXABuACAAIAA9AEwAQQBNAEIARABBACgAXAAiACgARABpAG0AZQBuAHMAaQBvAG4AbABlAHMAcwBcACIAKQA7AFwAbgBcAG4AQwBvAG0AbQBvAG4AXwBTAG8AdQByAGMAZQBEAGEAdABhAF8ARgByAGEAYwBMAEUAQQBDAEgAXwBTAG8AdQByAGMAZQBcAG4AIAAgAD0ATABBAE0AQgBEAEEAKABcACIAVgBFAEUAUgBHACAAMgAwADIANgA6ADUALgA1AC4AMgAuADMAIABDAG8AbgBzAHQAYQBuAHQAIABQAGEAcgBhAG0AZQB0AGUAcgBzAFwAIgApADsAXABuAFwAbgBDAG8AbQBtAG8AbgBfAFMAbwB1AHIAYwBlAEQAYQB0AGEAXwBGAHIAYQBjAEwARQBBAEMASABfAE4ASQBSAFIAZQBmAGUAcgBlAG4AYwBlAFwAbgAgACAAPQBMAEEATQBCAEQAQQAoAFwAIgBOAGEAdABpAG8AbgBhAGwAIABJAG4AdgBlAG4AdABvAHIAeQAgAFIAZQBwAG8AcgB0ACAAVgBvAGwAdQBtAGUAIAAxADoAIABMAGUAYQBjAGgAaQBuAGcAIABhAG4AZAAgAHIAdQBuAG8AZgBmACAAKAAzAC4ARAAuAGIALgAyACkAXAAiACkAOwBcAG4AXABuAEMAbwBtAG0AbwBuAF8AUwBvAHUAcgBjAGUARABhAHQAYQBfAEYAcgBhAGMATABFAEEAQwBIAF8ARABhAHQAYQBcAG4AIAAgAD0ATABBAE0AQgBEAEEAKABcAG4AIAAgACAAIABNAEEASwBFAEEAUgBSAEEAWQAoADEALAAgADIALAAgAFwAbgAgACAAIAAgACAAIABMAEEATQBCAEQAQQAoAHIALABjACwAIABcAG4AIAAgACAAIAAgACAAIAAgAEkATgBEAEUAWAAoAHsAXABuACAAIAAgACAAIAAgACAAIAAgACAAXAAiAEYAcgBhAGMATABFAEEAQwBIAFwAIgAsADAALgAyADQAXABuACAAIAAgACAAIAAgACAAIAB9ACwAIAByACwAIABjACkAXABuACAAIAAgACAAIAAgACkAXABuACAAIAAgACAAKQBcAG4AIAAgACkAOwBcAG4AXABuACAAIABDAG8AbQBtAG8AbgBfAFMAbwB1AHIAYwBlAEQAYQB0AGEAXwBGAHIAYQBjAEwARQBBAEMASABfAFYAYQByAGkAYQB0AGkAbwBuAFwAbgAgACAAPQBMAEEATQBCAEQAQQAoACgAXAAiAFwAIgApACkAOwBcAG4AXABuAFwAbgBcAG4ALwAqACAAXABuAC0ALQAtAC0ALQAtAC0ALQAtAC0ALQAtAC0ALQAtAC0ALQAtAC0ALQAtAC0ALQAtAC0ALQAtAC0ALQAtAC0ALQAtAC0ALQAtAC0ALQBcAG4AQwBvAG0AbQBvAG4AXwBTAG8AdQByAGMAZQBEAGEAdABhAF8ARQBGAGwAZQBhAGMAaABcAG4ANQAuADUALgAyAC4AMwAgAEMAbwBuAHMAdABhAG4AdAAgAFAAYQByAGEAbQBlAHQAZQByAHMAXABuAEUAbQBpAHMAcwBpAG8AbgAgAGYAYQBjAHQAbwByACAAZgBvAHIAIABuAGkAdAByAG8AZwBlAG4AIABsAGUAYQBjAGgAaQBuAGcAIABhAG4AZAAgAHIAdQBuAG8AZgBmAFwAbgAtAC0ALQAtAC0ALQAtAC0ALQAtAC0ALQAtAC0ALQAtAC0ALQAtAC0ALQAtAC0ALQAtAC0ALQAtAC0ALQAtAC0ALQAtAC0ALQAtAC0AXABuACoALwBcAG4AXABuAEMAbwBtAG0AbwBuAF8AUwBvAHUAcgBjAGUARABhAHQAYQBfAEUARgBsAGUAYQBjAGgAXwBUAGkAdABsAGUAXABuACAAIAA9AEwAQQBNAEIARABBACgAXAAiAEUAbQBpAHMAcwBpAG8AbgAgAGYAYQBjAHQAbwByACAAZgBvAHIAIABuAGkAdAByAG8AZwBlAG4AIABsAGUAYQBjAGgAaQBuAGcAIABhAG4AZAAgAHIAdQBuAG8AZgBmAFwAIgApADsAXABuAFwAbgBDAG8AbQBtAG8AbgBfAFMAbwB1AHIAYwBlAEQAYQB0AGEAXwBFAEYAbABlAGEAYwBoAF8AVQBuAGkAdABcAG4AIAAgAD0ATABBAE0AQgBEAEEAKABcACIAKABrAGcAIABOADIATwAtAE4AIAAvACAAawBnACAATgBcACIAKQA7AFwAbgBcAG4AQwBvAG0AbQBvAG4AXwBTAG8AdQByAGMAZQBEAGEAdABhAF8ARQBGAGwAZQBhAGMAaABfAFMAbwB1AHIAYwBlAFwAbgAgACAAPQBMAEEATQBCAEQAQQAoAFwAIgBWAEUARQBSAEcAIAAyADAAMgA2ADoANQAuADUALgAyAC4AMwAgAEMAbwBuAHMAdABhAG4AdAAgAFAAYQByAGEAbQBlAHQAZQByAHMAXAAiACkAOwBcAG4AXABuAEMAbwBtAG0AbwBuAF8AUwBvAHUAcgBjAGUARABhAHQAYQBfAEUARgBsAGUAYQBjAGgAXwBOAEkAUgBSAGUAZgBlAHIAZQBuAGMAZQBcAG4AIAAgAD0ATABBAE0AQgBEAEEAKABcACIATgBhAHQAaQBvAG4AYQBsACAASQBuAHYAZQBuAHQAbwByAHkAIABSAGUAcABvAHIAdAAgAFYAbwBsAHUAbQBlACAAMQA6ACAARQBxAHUAYQB0AGkAbwBuACAAMwAuAEQALgBCAF8AMQAwAFwAIgApADsAXABuAFwAbgBDAG8AbQBtAG8AbgBfAFMAbwB1AHIAYwBlAEQAYQB0AGEAXwBFAEYAbABlAGEAYwBoAF8ARABhAHQAYQBcAG4AIAAgAD0ATABBAE0AQgBEAEEAKABcAG4AIAAgACAAIABNAEEASwBFAEEAUgBSAEEAWQAoADEALAAgADIALAAgAFwAbgAgACAAIAAgACAAIABMAEEATQBCAEQAQQAoAHIALABjACwAIABcAG4AIAAgACAAIAAgACAAIAAgAEkATgBEAEUAWAAoAHsAXABuACAAIAAgACAAIAAgACAAIAAgACAAXAAiAEUARgBsAGUAYQBjAGgAXAAiACwAMAAuADAAMQAxAFwAbgAgACAAIAAgACAAIAAgACAAfQAsACAAcgAsACAAYwApAFwAbgAgACAAIAAgACAAIAApAFwAbgAgACAAIAAgACkAXABuACAAIAApADsAXABuAFwAbgAgACAAQwBvAG0AbQBvAG4AXwBTAG8AdQByAGMAZQBEAGEAdABhAF8ARQBGAGwAZQBhAGMAaABfAFYAYQByAGkAYQB0AGkAbwBuAFwAbgAgACAAPQBMAEEATQBCAEQAQQAoACgAXAAiAFwAIgApACkAOwBcAG4AXABuAFwAbgAvACoAIABcAG4ALQAtAC0ALQAtAC0ALQAtAC0ALQAtAC0ALQAtAC0ALQAtAC0ALQAtAC0ALQAtAC0ALQAtAC0ALQAtAC0ALQAtAC0ALQAtAC0ALQAtAFwAbgBDAG8AbQBtAG8AbgBfAFMAbwB1AHIAYwBlAEQAYQB0AGEAXwBFAEYATgAyAE8AXABuAFQAYQBiAGwAZQAgAEEALgAyAC4AMgAuADEAXABuAE4AaQB0AHIAbwB1AHMAIABvAHgAaQBkAGUAIABlAG0AaQBzAHMAaQBvAG4AIABmAGEAYwB0AG8AcgBzACAAZgBvAHIAIABpAG4AbwByAGcAYQBuAGkAYwAgAGYAZQByAHQAaQBsAGkAcwBlAHIAIABhAHAAcABsAGkAYwBhAHQAaQBvAG4AIAAoAGsAZwAgAE4AMgBPAC0ATgAvAGsAZwAgAE4AKQAgACgARQBGAE4AMgBPACkAXABuAC0ALQAtAC0ALQAtAC0ALQAtAC0ALQAtAC0ALQAtAC0ALQAtAC0ALQAtAC0ALQAtAC0ALQAtAC0ALQAtAC0ALQAtAC0ALQAtAC0ALQBcAG4AKgAvAFwAbgBcAG4AQwBvAG0AbQBvAG4AXwBTAG8AdQByAGMAZQBEAGEAdABhAF8ARQBGAE4AMgBPAF8AVABpAHQAbABlAFwAbgAgACAAPQBMAEEATQBCAEQAQQAoAFwAIgBOAGkAdAByAG8AdQBzACAAbwB4AGkAZABlACAAZQBtAGkAcwBzAGkAbwBuACAAZgBhAGMAdABvAHIAcwAgAGYAbwByACAAaQBuAG8AcgBnAGEAbgBpAGMAIABmAGUAcgB0AGkAbABpAHMAZQByACAAYQBwAHAAbABpAGMAYQB0AGkAbwBuAFwAIgApADsAXABuAFwAbgBDAG8AbQBtAG8AbgBfAFMAbwB1AHIAYwBlAEQAYQB0AGEAXwBFAEYATgAyAE8AXwBVAG4AaQB0AFwAbgAgACAAPQBMAEEATQBCAEQAQQAoAFwAIgAoAGsAZwAgAE4AMgBPAC0ATgAgAC8AIABrAGcAIABOAFwAIgApADsAXABuAFwAbgBDAG8AbQBtAG8AbgBfAFMAbwB1AHIAYwBlAEQAYQB0AGEAXwBFAEYATgAyAE8AXwBTAG8AdQByAGMAZQBcAG4AIAAgAD0ATABBAE0AQgBEAEEAKABcACIAVgBFAEUAUgBHACAAMgAwADIANgA6ACAAVABhAGIAbABlACAAQQAuADIALgAyAC4AMQBcACIAKQA7AFwAbgBcAG4AQwBvAG0AbQBvAG4AXwBTAG8AdQByAGMAZQBEAGEAdABhAF8ARQBGAE4AMgBPAF8ATgBJAFIAUgBlAGYAZQByAGUAbgBjAGUAXABuACAAIAA9AEwAQQBNAEIARABBACgAXAAiAFwAIgApADsAXABuAFwAbgBDAG8AbQBtAG8AbgBfAFMAbwB1AHIAYwBlAEQAYQB0AGEAXwBFAEYATgAyAE8AXwBEAGEAdABhAFwAbgAgACAAPQBMAEEATQBCAEQAQQAoAFwAbgAgACAAIAAgAE0AQQBLAEUAQQBSAFIAQQBZACgAMQA0ACwAIAA1ACwAIABcAG4AIAAgACAAIAAgACAATABBAE0AQgBEAEEAKAByACwAYwAsACAAXABuACAAIAAgACAAIAAgACAAIABJAE4ARABFAFgAKAB7AFwAbgAgACAAIAAgACAAIAAgACAAIAAgAFwAIgBQAHIAbwBkAHUAYwB0AGkAbwBuACAAcwB5AHMAdABlAG0AIABqAFwAIgAsAFwAIgBFAEYATgAyAE8AXAAiACwAIABcACIAUAByAG8AZAB1AGMAdABpAG8AbgAgAHMAeQBzAHQAZQBtACAAbwBuAGwAeQBcACIALAAgAFwAIgBJAHIAcgBpAGcAYQB0AGkAbwBuACAAbQBlAHQAaABvAGQAXAAiACwAIABcACIAUgBhAGkAbgBmAGEAbABsACAAegBvAG4AZQBcACIAOwBcAG4AIAAgACAAIAAgACAAIAAgACAAIABcACIASQByAHIAaQBnAGEAdABlAGQAIABwAGEAcwB0AHUAcgBlAFwAIgAsADAALgAwADAANQA5ACwAIABcACIAUABhAHMAdAB1AHIAZQBcACIALAAgAFwAIgBBAG4AeQBcACIALAAgAFwAIgBBAG4AeQBcACIAOwBcAG4AIAAgACAAIAAgACAAIAAgACAAIABcACIASQByAHIAaQBnAGEAdABlAGQAIABjAHIAbwBwAFwAIgAsADAALgAwADAANwAsACAAXAAiAEMAcgBvAHAAXAAiACwAIABcACIAQQBuAHkAXAAiACwAIABcACIAQQBuAHkAXAAiADsAXABuACAAIAAgACAAIAAgACAAIAAgACAAXAAiAE4AbwBuAC0AaQByAHIAaQBnAGEAdABlAGQAIABwAGEAcwB0AHUAcgBlAFwAIgAsADAALgAwADAAMQA4ACwAIABcACIAUABhAHMAdAB1AHIAZQBcACIALAAgAFwAIgBOAG8AdAAgAGkAcgByAGkAZwBhAHQAZQBkAFwAIgAsACAAXAAiAEwAbwB3ACAAcgBhAGkAbgBmAGEAbABsAFwAIgA7AFwAbgAgACAAIAAgACAAIAAgACAAIAAgAFwAIgBOAG8AbgAtAGkAcgByAGkAZwBhAHQAZQBkACAAcABhAHMAdAB1AHIAZQBcACIALAAwAC4AMAAwADEAOAAsACAAXAAiAFAAYQBzAHQAdQByAGUAXAAiACwAIABcACIATgBvAHQAIABpAHIAcgBpAGcAYQB0AGUAZABcACIALAAgAFwAIgBIAGkAZwBoACAAcgBhAGkAbgBmAGEAbABsAFwAIgA7AFwAbgAgACAAIAAgACAAIAAgACAAIAAgAFwAIgBOAG8AbgAtAGkAcgByAGkAZwBhAHQAZQBkACAAYwByAG8AcAAgACgAbABvAHcAIAByAGEAaQBuAGYAYQBsAGwAKQBcACIALAAwAC4AMAAwADIAOQAsACAAXAAiAEMAcgBvAHAAXAAiACwAIABcACIATgBvAHQAIABpAHIAcgBpAGcAYQB0AGUAZABcACIALAAgAFwAIgBMAG8AdwAgAHIAYQBpAG4AZgBhAGwAbABcACIAOwBcAG4AIAAgACAAIAAgACAAIAAgACAAIABcACIATgBvAG4ALQBpAHIAcgBpAGcAYQB0AGUAZAAgAGMAcgBvAHAAIAAoAGgAaQBnAGgAIAByAGEAaQBuAGYAYQBsAGwAKQBcACIALAAwAC4AMAAwADgALAAgAFwAIgBDAHIAbwBwAFwAIgAsACAAXAAiAE4AbwB0ACAAaQByAHIAaQBnAGEAdABlAGQAXAAiACwAIABcACIASABpAGcAaAAgAHIAYQBpAG4AZgBhAGwAbABcACIAOwBcAG4AIAAgACAAIAAgACAAIAAgACAAIABcACIAUwB1AGcAYQByAFwAIgAsADAALgAwADEAOQA5ACwAIABcACIAUwB1AGcAYQByAFwAIgAsACAAXAAiAEEAbgB5AFwAIgAsACAAXAAiAEEAbgB5AFwAIgA7AFwAbgAgACAAIAAgACAAIAAgACAAIAAgAFwAIgBDAG8AdAB0AG8AbgBcACIALAAwAC4AMAAwADUAMwAsACAAXAAiAEMAbwB0AHQAbwBuAFwAIgAsACAAXAAiAEEAbgB5AFwAIgAsACAAXAAiAEEAbgB5AFwAIgA7AFwAbgAgACAAIAAgACAAIAAgACAAIAAgAFwAIgBIAG8AcgB0AGkAYwB1AGwAdAB1AHIAYQBsACAAYwByAG8AcABzAFwAIgAsADAALgAwADAANgA0ACwAIABcACIASABvAHIAdABpAGMAdQBsAHQAdQByAGEAbAAgAGMAcgBvAHAAcwBcACIALAAgAFwAIgBBAG4AeQBcACIALAAgAFwAIgBBAG4AeQBcACIAOwBcAG4AIAAgACAAIAAgACAAIAAgACAAIABcACIAUgBpAGMAZQAgACgAYwBvAG4AdABpAG4AdQBvAHUAcwAgAGYAbABvAG8AZABpAG4AZwApAFwAIgAsADAALgAwADAAMwAsACAAXAAiAFIAaQBjAGUAXAAiACwAIABcACIAQwBvAG4AdABpAG4AdQBvAHUAcwAgAGYAbABvAG8AZABpAG4AZwBcACIALAAgAFwAIgBBAG4AeQBcACIAOwBcAG4AIAAgACAAIAAgACAAIAAgACAAIABcACIAUgBpAGMAZQAgACgAcwBpAG4AZwBsAGUAIABhAG4AZAAgAG0AdQBsAHQAaQBwAGwAZQAgAGQAcgBhAGkAbgBhAGcAZQAsACAAbwByACAAYQBsAHQAZQByAG4AYQB0AGUAIAB3AGUAdAB0AGkAbgBnACAAYQBuAGQAIABkAHIAeQBpAG4AZwApAFwAIgAsADAALgAwADAANQAsACAAXAAiAFIAaQBjAGUAXAAiACwAIABcACIAUwBpAG4AZwBsAGUAIABhAG4AZAAgAG0AdQBsAHQAaQBwAGwAZQAgAGQAcgBhAGkAbgBhAGcAZQAsACAAbwByACAAYQBsAHQAZQByAG4AYQB0AGUAIAB3AGUAdAB0AGkAbgBnACAAYQBuAGQAIABkAHIAeQBpAG4AZwBcACIALAAgAFwAIgBBAG4AeQBcACIAOwBcAG4AIAAgACAAIAAgACAAIAAgACAAIABcACIAQQBxAHUAYQBjAHUAbAB0AHUAcgBlAFwAIgAsADAALgAwADAAMgA2ACwAIABcACIAQQBxAHUAYQBjAHUAbAB0AHUAcgBlAFwAIgAsACAAXAAiAEEAbgB5AFwAIgAsACAAXAAiAEEAbgB5AFwAIgA7AFwAbgAgACAAIAAgACAAIAAgACAAIAAgAFwAIgBGAG8AcgBlAHMAdAByAHkAXAAiACwAMAAuADAAMAAxADgALAAgAFwAIgBGAG8AcgBlAHMAdAByAHkAXAAiACwAIABcACIAQQBuAHkAXAAiACwAIABcACIAQQBuAHkAXAAiAFwAbgAgACAAIAAgACAAIAAgACAAfQAsACAAcgAsACAAYwApAFwAbgAgACAAIAAgACAAIAApAFwAbgAgACAAIAAgACkAXABuACAAIAApADsAXABuAFwAbgAgACAAQwBvAG0AbQBvAG4AXwBTAG8AdQByAGMAZQBEAGEAdABhAF8ARQBGAE4AMgBPAF8AVgBhAHIAaQBhAHQAaQBvAG4AXABuACAAIAA9AEwAQQBNAEIARABBACgAXABuACAAIAAgACAATQBBAEsARQBBAFIAUgBBAFkAKAA1ACwAIAAxACwAIABcAG4AIAAgACAAIAAgACAATABBAE0AQgBEAEEAKAByACwAYwAsACAAXABuACAAIAAgACAAIAAgACAAIABJAE4ARABFAFgAKAB7AFwAbgAgACAAIAAgACAAIAAgACAAIAAgAFwAIgBWAEEAUgBJAEEAVABJAE8ATgAgAE8ARgAgAFMATwBVAFIAQwBFACAARABBAFQAQQA6AFwAIgA7AFwAbgAgACAAIAAgACAAIAAgACAAIAAgAFwAIgBSAGUAbQBvAHYAZQBkACAAZAB1AHAAbABpAGMAYQB0AGUAIAAnAEEAcQB1AGEAYwB1AGwAdAB1AHIAZQAnACAAcgBvAHcALgBcACIAOwBcAG4AIAAgACAAIAAgACAAIAAgACAAIABcACIAUgBlAG0AbwB2AGUAZAAgAGEAcwB0AGUAcgBpAHMAawBzACAAdABvACAAYQBpAGQAIABsAG8AbwBrAHUAcAAuAFwAIgA7AFwAbgAgACAAIAAgACAAIAAgACAAIAAgAFwAIgBBAGQAZABlAGQAIAAnAHAAcgBvAGQAdQBjAHQAaQBvAG4AIABzAHkAcwB0AGUAbQAgAG8AbgBsAHkAJwAsACAAJwByAGEAaQBuAGYAYQBsAGwAIAB6AG8AbgBlACcAIABhAG4AZAAgACcAaQByAHIAaQBnAGEAdABpAG8AbgAgAG0AZQB0AGgAbwBkACcAIABjAG8AbAB1AG0AbgBzACAAdABvACAAYQBpAGQAIABsAG8AbwBrAHUAcAAuAFwAIgA7AFwAbgAgACAAIAAgACAAIAAgACAAIAAgAFwAIgBEAHUAcABsAGkAYwBhAHQAZQBkACAAJwBuAG8AbgAtAGkAcgByAGkAZwBhAHQAZQBkACAAcABhAHMAdAB1AHIAZQAn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CcAQQByAGUAYQBzACAAYQByAGUAIABzAHUAYgBqAGUAYwB0ACAAdABvACAAbABlAGEAYwBoAGkAbgBnACAAKABpAC4AZQAuACwAIABpAG4AIAB0AGgAZQAgAGwAZQBhAGMAaABpAG4AZwAgAHoAbwBuAGUAKQAgAHcAaABlAG4ALgAuAC4AIAB0AGgAZQAgAGwAYQBuAGQAIABpAHMAIABpAHIAcgBpAGcAYQB0AGUAZAAgACgAZQB4AGMAZQBwAHQAIABkAHIAaQBwACAAaQByAHIAaQBnAGEAdABpAG8AbgApAC4AJwBcACIAKQA7AFwAbgBcAG4AXABuAC8AKgAgAFwAbgAtAC0ALQAtAC0ALQAtAC0ALQAtAC0ALQAtAC0ALQAtAC0ALQAtAC0ALQAtAC0ALQAtAC0ALQAtAC0ALQAtAC0ALQAtAC0ALQAtAC0AXABuAEMAbwBtAG0AbwBuAF8AUwBvAHUAcgBjAGUARABhAHQAYQBfAEUARgBQAGEAcwB0AHUAcgBlAFIAYQBuAGcAZQBBAG4AZABQAGEAZABkAG8AYwBrAFwAbgBUAGEAYgBsAGUAIABBAC4AMgAuADIALgAyADoAIABFAG0AaQBzAHMAaQBvAG4AIABmAGEAYwB0AG8AcgAgAGYAbwByACAAdQByAGkAbgBlACAAYQBuAGQAIABkAHUAbgBnACAAZABlAHAAbwBzAGkAdABlAGQAIABvAG4AIABwAGEAcwB0AHUAcgBlACwAIAByAGEAbgBnAGUAIABvAHIAIABwAGEAZABkAG8AYwBrACAAKABrAGcAIABOADIATwAtAE4ALwBrAGcAIABOACkAIAAoAEUARgBQAFIAUAApAFwAbgAtAC0ALQAtAC0ALQAtAC0ALQAtAC0ALQAtAC0ALQAtAC0ALQAtAC0ALQAtAC0ALQAtAC0ALQAtAC0ALQAtAC0ALQAtAC0ALQAtAC0AXABuACoALwBcAG4AXABuAEMAbwBtAG0AbwBuAF8AUwBvAHUAcgBjAGUARABhAHQAYQBfAEUARgBQAGEAcwB0AHUAcgBlAFIAYQBuAGcAZQBBAG4AZABQAGEAZABkAG8AYwBrAF8AVABpAHQAbABlAFwAbgAgACAAPQBMAEEATQBCAEQAQQAoAFwAIgBFAG0AaQBzAHMAaQBvAG4AIABmAGEAYwB0AG8AcgAgAGYAbwByACAAdQByAGkAbgBlACAAYQBuAGQAIABkAHUAbgBnACAAZABlAHAAbwBzAGkAdABlAGQAIABvAG4AIABwAGEAcwB0AHUAcgBlACwAIAByAGEAbgBnAGUAIABvAHIAIABwAGEAZABkAG8AYwBrAFwAIgApADsAXABuAFwAbgBDAG8AbQBtAG8AbgBfAFMAbwB1AHIAYwBlAEQAYQB0AGEAXwBFAEYAUABhAHMAdAB1AHIAZQBSAGEAbgBnAGUAQQBuAGQAUABhAGQAZABvAGMAawBfAFUAbgBpAHQAXABuACAAIAA9AEwAQQBNAEIARABBACgAXAAiAGsAZwAgAE4AMgBPACAALQAgAE4AIAAvACAAawBnACAATgBcACIAKQA7AFwAbgBcAG4AQwBvAG0AbQBvAG4AXwBTAG8AdQByAGMAZQBEAGEAdABhAF8ARQBGAFAAYQBzAHQAdQByAGUAUgBhAG4AZwBlAEEAbgBkAFAAYQBkAGQAbwBjAGsAXwBTAG8AdQByAGMAZQBcAG4AIAAgAD0ATABBAE0AQgBEAEEAKABcACIAVgBFAEUAUgBHACAAMgAwADIANgA6ACAAVABhAGIAbABlACAAQQAuADIALgAyAC4AMgBcACIAKQA7AFwAbgBcAG4AQwBvAG0AbQBvAG4AXwBTAG8AdQByAGMAZQBEAGEAdABhAF8ARQBGAFAAYQBzAHQAdQByAGUAUgBhAG4AZwBlAEEAbgBkAFAAYQBkAGQAbwBjAGsAXwBOAEkAUgBSAGUAZgBlAHIAZQBuAGMAZQBcAG4AIAAgAD0ATABBAE0AQgBEAEEAKABcACIAXAAiACkAOwBcAG4AXABuAEMAbwBtAG0AbwBuAF8AUwBvAHUAcgBjAGUARABhAHQAYQBfAEUARgBQAGEAcwB0AHUAcgBlAFIAYQBuAGcAZQBBAG4AZABQAGEAZABkAG8AYwBr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QAFIAUABcACIAOwBcAG4AIAAgACAAIAAgACAAIAAgACAAIABcACIAVwBlAHQAIABjAGwAaQBtAGEAdABlACAAegBvAG4AZQBcACIALAAgADAALgAwADAANgA7AFwAbgAgACAAIAAgACAAIAAgACAAIAAgAFwAIgBEAHIAeQAgAGMAbABpAG0AYQB0AGUAIAB6AG8AbgBlAFwAIgAsACAAMAAuADAAMAAyAFwAbgAgACAAIAAgACAAIAAgACAAfQAsACAAcgAsACAAYwApAFwAbgAgACAAIAAgACAAIAApAFwAbgAgACAAIAAgACkAXABuACAAIAApADsAXABuAFwAbgAgACAAQwBvAG0AbQBvAG4AXwBTAG8AdQByAGMAZQBEAGEAdABhAF8ARQBGAFAAYQBzAHQAdQByAGUAUgBhAG4AZwBlAEEAbgBkAFAAYQBkAGQAbwBjAGsAXwBWAGEAcgBpAGEAdABpAG8AbgBcAG4AIAAgAD0ATABBAE0AQgBEAEEAKABcACIAVgBBAFIASQBBAFQASQBPAE4AIABGAFIATwBNACAAUwBPAFUAUgBDAEUAIABEAEEAVABBADoAIABDAGgAYQBuAGcAZQBkACAAJwBEAHIAeQAgAGMAbABpAG0AYQB0AGUAIAB6AG8AbgBlAHMAJwAgAHQAbwAgAHMAaQBuAGcAdQBsAGEAcgAgACcARAByAHkAIABjAGwAaQBtAGEAdABlACAAegBvAG4AZQAn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x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PAAxACAAbQBvAG4AdABoAFwAIgAsACAAXAAiAEQAZQBlAHAAIABMAGkAdAB0AGUAcgBcACIALAAgAFwAIgBQAG8AdQBsAHQAcgB5ACAATQBhAG4AdQByAGUAIAAoAHcAaQB0AGgALwB3AGkAdABoAG8AdQB0ACAAbABpAHQAdABlAHIAKQBcACIALAAgAFwAIgBcACIALAAgAFwAIgBEAGkAcgBlAGMAdAAgAHAAcgBvAGMAZQBzAHMAaQBuAGcAIABpAG4AdABvACAAcABlAGwAbABlAHQAaQB6AGUAZAAgAGYAZQByAHQAaQBsAGkAcwBlAHIAXAAiACwAIABcACIARABpAHIAZQBjAHQAIABhAHAAcABsAGkAYwBhAHQAaQBvAG4AIAB0AG8AIABzAG8AaQBsAFwAIgAsACAAXAAiAFAAYQBzAHQAdQByAGUALAAgAFIAYQBuAGcAZQAgAGEAbgBkACAAUABhAGQAZABvAGMAawAgACgAYwApACgAZAApAFwAIgAsACAAXAAiAE0AQQBUACAAcgBhAHcAXAAiADsAXABuACAAIAAgACAAIAAgACAAIAAgACAAXAAiAEMAbwBvAGwAXAAiACwAIABcACIAZCIxADAAXAAiACwAIAAwAC4ANgA2ACwAIAAwAC4AMQAsACAAMAAuADEALAAgADAALgAwADAAMQAsACAAMAAuADAAMAA1ACwAIAAwAC4AMAAyACwAIAAwAC4AMAAzACwAIAAwAC4AMAA0ACwAIAAwAC4AMAAxADUALAAgADAALgAwADEANQAsACAAMAAsACAAMAAsACAAMAAuADAAMAA0ADcALAAgADEAMAA7AFwAbgAgACAAIAAgACAAIAAgACAAIAAgAFwAIgBDAG8AbwBsAFwAIgAsACAAMQAxACwAIAAwAC4ANgA4ACwAIAAwAC4AMQAsACAAMAAuADEAMQAsACAAMAAuADAAMAAxACwAIAAwAC4AMAAwADUALAAgADAALgAwADIALAAgADAALgAwADMALAAgADAALgAwADQALAAgADAALgAwADEANQAsACAAMAAuADAAMQA1ACwAIAAwACwAIAAwACwAIAAwAC4AMAAwADQANwAsACAAMQAxADsAXABuACAAIAAgACAAIAAgACAAIAAgACAAXAAiAEMAbwBvAGwAXAAiACwAIAAxADIALAAgADAALgA3ACwAIAAwAC4AMQAsACAAMAAuADEAMwAsACAAMAAuADAAMAAxACwAIAAwAC4AMAAwADUALAAgADAALgAwADIALAAgADAALgAwADMALAAgADAALgAwADQALAAgADAALgAwADEANQAsACAAMAAuADAAMQA1ACwAIAAwACwAIAAwACwAIAAwAC4AMAAwADQANwAsACAAMQAyADsAXABuACAAIAAgACAAIAAgACAAIAAgACAAXAAiAEMAbwBvAGwAXAAiACwAIAAxADMALAAgADAALgA3ADEALAAgADAALgAxACwAIAAwAC4AMQA0ACwAIAAwAC4AMAAwADEALAAgADAALgAwADAANQAsACAAMAAuADAAMgAsACAAMAAuADAAMwAsACAAMAAuADAANAAsACAAMAAuADAAMQA1ACwAIAAwAC4AMAAxADUALAAgADAALAAgADAALAAgADAALgAwADAANAA3ACwAIAAxADMAOwBcAG4AIAAgACAAIAAgACAAIAAgACAAIABcACIAQwBvAG8AbABcACIALAAgADEANAAsACAAMAAuADcAMwAsACAAMAAuADEALAAgADAALgAxADUALAAgADAALgAwADAAMQAsACAAMAAuADAAMAA1ACwAIAAwAC4AMAAyACwAIAAwAC4AMAAzACwAIAAwAC4AMAA0ACwAIAAwAC4AMAAxADUALAAgADAALgAwADEANQAsACAAMAAsACAAMAAsACAAMAAuADAAMAA0ADcALAAgADEANAA7AFwAbgAgACAAIAAgACAAIAAgACAAIAAgAFwAIgBUAGUAbQBwAGUAcgBhAHQAZQBcACIALAAgADEANQAsACAAMAAuADcANAAsACAAMAAuADEALAAgADAALgAxADcALAAgADAALgAwADAANQAsACAAMAAuADAAMQAsACAAMAAuADAAMgAsACAAMAAuADAAMwAsACAAMAAuADAANAAsACAAMAAuADAAMQA1ACwAIAAwAC4AMAAxADUALAAgADAALAAgADAALAAgADAALgAwADAANAA3ACwAIAAxADUAOwBcAG4AIAAgACAAIAAgACAAIAAgACAAIABcACIAVABlAG0AcABlAHIAYQB0AGUAXAAiACwAIAAxADYALAAgADAALgA3ADUALAAgADAALgAxACwAIAAwAC4AMQA4ACwAIAAwAC4AMAAwADUALAAgADAALgAwADEALAAgADAALgAwADIALAAgADAALgAwADMALAAgADAALgAwADQALAAgADAALgAwADEANQAsACAAMAAuADAAMQA1ACwAIAAwACwAIAAwACwAIAAwAC4AMAAwADQANwAsACAAMQA2ADsAXABuACAAIAAgACAAIAAgACAAIAAgACAAXAAiAFQAZQBtAHAAZQByAGEAdABlAFwAIgAsACAAMQA3ACwAIAAwAC4ANwA2ACwAIAAwAC4AMQAsACAAMAAuADIALAAgADAALgAwADAANQAsACAAMAAuADAAMQAsACAAMAAuADAAMgAsACAAMAAuADAAMwAsACAAMAAuADAANAAsACAAMAAuADAAMQA1ACwAIAAwAC4AMAAxADUALAAgADAALAAgADAALAAgADAALgAwADAANAA3ACwAIAAxADcAOwBcAG4AIAAgACAAIAAgACAAIAAgACAAIABcACIAVABlAG0AcABlAHIAYQB0AGUAXAAiACwAIAAxADgALAAgADAALgA3ADcALAAgADAALgAxACwAIAAwAC4AMgAyACwAIAAwAC4AMAAwADUALAAgADAALgAwADEALAAgADAALgAwADIALAAgADAALgAwADMALAAgADAALgAwADQALAAgADAALgAwADEANQAsACAAMAAuADAAMQA1ACwAIAAwACwAIAAwACwAIAAwAC4AMAAwADQANwAsACAAMQA4ADsAXABuACAAIAAgACAAIAAgACAAIAAgACAAXAAiAFQAZQBtAHAAZQByAGEAdABlAFwAIgAsACAAMQA5ACwAIAAwAC4ANwA3ACwAIAAwAC4AMQAsACAAMAAuADIANAAsACAAMAAuADAAMAA1ACwAIAAwAC4AMAAxACwAIAAwAC4AMAAyACwAIAAwAC4AMAAzACwAIAAwAC4AMAA0ACwAIAAwAC4AMAAxADUALAAgADAALgAwADEANQAsACAAMAAsACAAMAAsACAAMAAuADAAMAA0ADcALAAgADEAOQA7AFwAbgAgACAAIAAgACAAIAAgACAAIAAgAFwAIgBUAGUAbQBwAGUAcgBhAHQAZQBcACIALAAgADIAMAAsACAAMAAuADcAOAAsACAAMAAuADEALAAgADAALgAyADYALAAgADAALgAwADAANQAsACAAMAAuADAAMQAsACAAMAAuADAAMgAsACAAMAAuADAAMwAsACAAMAAuADAANAAsACAAMAAuADAAMQA1ACwAIAAwAC4AMAAxADUALAAgADAALAAgADAALAAgADAALgAwADAANAA3ACwAIAAyADAAOwBcAG4AIAAgACAAIAAgACAAIAAgACAAIABcACIAVABlAG0AcABlAHIAYQB0AGUAXAAiACwAIAAyADEALAAgADAALgA3ADgALAAgADAALgAxACwAIAAwAC4AMgA5ACwAIAAwAC4AMAAwADUALAAgADAALgAwADEALAAgADAALgAwADIALAAgADAALgAwADMALAAgADAALgAwADQALAAgADAALgAwADEANQAsACAAMAAuADAAMQA1ACwAIAAwACwAIAAwACwAIAAwAC4AMAAwADQANwAsACAAMgAxADsAXABuACAAIAAgACAAIAAgACAAIAAgACAAXAAiAFQAZQBtAHAAZQByAGEAdABlAFwAIgAsACAAMgAyACwAIAAwAC4ANwA4ACwAIAAwAC4AMQAsACAAMAAuADMAMQAsACAAMAAuADAAMAA1ACwAIAAwAC4AMAAxACwAIAAwAC4AMAAyACwAIAAwAC4AMAAzACwAIAAwAC4AMAA0ACwAIAAwAC4AMAAxADUALAAgADAALgAwADEANQAsACAAMAAsACAAMAAsACAAMAAuADAAMAA0ADcALAAgADIAMgA7AFwAbgAgACAAIAAgACAAIAAgACAAIAAgAFwAIgBUAGUAbQBwAGUAcgBhAHQAZQBcACIALAAgADIAMwAsACAAMAAuADcAOQAsACAAMAAuADEALAAgADAALgAzADQALAAgADAALgAwADAANQAsACAAMAAuADAAMQAsACAAMAAuADAAMgAsACAAMAAuADAAMwAsACAAMAAuADAANAAsACAAMAAuADAAMQA1ACwAIAAwAC4AMAAxADUALAAgADAALAAgADAALAAgADAALgAwADAANAA3ACwAIAAyADMAOwBcAG4AIAAgACAAIAAgACAAIAAgACAAIABcACIAVABlAG0AcABlAHIAYQB0AGUAXAAiACwAIAAyADQALAAgADAALgA3ADkALAAgADAALgAxACwAIAAwAC4AMwA3ACwAIAAwAC4AMAAwADUALAAgADAALgAwADEALAAgADAALgAwADIALAAgADAALgAwADMALAAgADAALgAwADQALAAgADAALgAwADEANQAsACAAMAAuADAAMQA1ACwAIAAwACwAIAAwACwAIAAwAC4AMAAwADQANwAsACAAMgA0ADsAXABuACAAIAAgACAAIAAgACAAIAAgACAAXAAiAFQAZQBtAHAAZQByAGEAdABlAFwAIgAsACAAMgA1ACwAIAAwAC4ANwA5ACwAIAAwAC4AMQAsACAAMAAuADQAMQAsACAAMAAuADAAMAA1ACwAIAAwAC4AMAAxACwAIAAwAC4AMAAyACwAIAAwAC4AMAAzACwAIAAwAC4AMAA0ACwAIAAwAC4AMAAxADUALAAgADAALgAwADEANQAsACAAMAAsACAAMAAsACAAMAAuADAAMAA0ADcALAAgADIANQA7AFwAbgAgACAAIAAgACAAIAAgACAAIAAgAFwAIgBXAGEAcgBtAFwAIgAsACAAMgA2ACwAIAAwAC4ANwA5ACwAIAAwAC4AMQAsACAAMAAuADQANAAsACAAMAAuADAAMQAsACAAMAAuADAAMQA1ACwAIAAwAC4AMAAyACwAIAAwAC4AMAAzACwAIAAwAC4AMAA0ACwAIAAwAC4AMAAxADUALAAgADAALgAwADEANQAsACAAMAAsACAAMAAsACAAMAAuADAAMAA0ADcALAAgADIANgA7AFwAbgAgACAAIAAgACAAIAAgACAAIAAgAFwAIgBXAGEAcgBtAFwAIgAsACAAMgA3ACwAIAAwAC4AOAAsACAAMAAuADEALAAgADAALgA0ADgALAAgADAALgAwADEALAAgADAALgAwADEANQAsACAAMAAuADAAMgAsACAAMAAuADAAMwAsACAAMAAuADAANAAsACAAMAAuADAAMQA1ACwAIAAwAC4AMAAxADUALAAgADAALAAgADAALAAgADAALgAwADAANAA3ACwAIAAyADcAOwBcAG4AIAAgACAAIAAgACAAIAAgACAAIABcACIAVwBhAHIAbQBcACIALAAgAFwAIgBlIjIAOABcACIALAAgADAALgA4ACwAIAAwAC4AMQAsACAAMAAuADUALAAgADAALgAwADEALAAgADAALgAwADEANQAsACAAMAAuADAAMgAsACAAMAAuADAAMwAsACAAMAAuADAANAAsACAAMAAuADAAMQA1ACwAIAAwAC4AMAAxADUALAAgADAALAAgADAALAAgADAALgAwADAANAA3ACwAIAAyADgAOwBcAG4AIAAgACAAIAAgACAAIAAgACAAIABcACIAXAAiACwAIABcACIAXAAiACwAIABcACIAQQBuAGEAZQByAG8AYgBpAGMAIABsAGEAZwBvAG8AbgBcACIALAAgAFwAIgBEAGkAZwBlAHMAdABlAHIAIAAvACAAYwBvAHYAZQByAGUAZAAgAGwAYQBnAG8AbwBuAHMAXAAiACwAIABcACIATABpAHEAdQBpAGQAIABzAHkAcwB0AGUAbQBzAFwAIgAsACAAXAAiAEQAYQBpAGwAeQAgAHMAcAByAGUAYQBkAFwAIgAsACAAXAAiAEMAbwBtAHAAbwBzAHQAaQBuAGcAIAAoAHAAYQBzAHMAaQB2AGUAIAB3AGkAbgBkAHIAbwB3ACkAXAAiACwAIABcACIAUwBvAGwAaQBkACAAcwB0AG8AcgBhAGcAZQBcACIALAAgAFwAIgBQAGkAdAAgAHMAdABvAHIAYQBnAGUAXAAiACwAIABcACIARABlAGUAcAAgAGwAaQB0AHQAZQByAFwAIgAsACAAXAAiAFAAbwB1AGwAdAByAHkAIABtAGEAbgB1AHIAZQAgAHcAaQB0AGgAIABiAGUAZABkAGkAbgBnAFwAIgAsACAAXAAiAFAAbwB1AGwAdAByAHkAIABtAGEAbgB1AHIAZQAgAHcAaQB0AGgAbwB1AHQAIABiAGUAZABkAGkAbgBnAFwAIgAsACAAXAAiAEQAaQByAGUAYwB0ACAAcAByAG8AYwBlAHMAcwBpAG4AZwBcACIALAAgAFwAIgBEAGkAcgBlAGMAdAAgAGEAcABwAGwAaQBjAGEAdABpAG8AbgBcACIALAAgAFwAIgBQAGEAcwB0AHUAcgBlACAAcgBhAG4AZwBlACAAYQBuAGQAIABwAGEAZABkAG8AYwBrAFwAIgAsACAAXAAiAE0AQQBUACAAcgBhAHcAXAAiACAAXABuACAAIAAgACAAIAAgACAAIAB9ACwAIAByACwAIABjACkAXABuACAAIAAgACAAIAAgACkAXABuACAAIAAgACAAKQBcAG4AIAAgACkAOwBcAG4AXABuAEMAbwBtAG0AbwBuAF8AUwBvAHUAcgBjAGUARABhAHQAYQBfAE0AQwBGAFQAZQBtAHAAZQByAGEAdAB1AHIAZQBaAG8AbgBlAF8AVgBhAHIAaQBhAHQAaQBvAG4AXABuACAAIAA9AEwAQQBNAEIARABBACgAXAAiAFYAQQBSAEkAQQBUAEkATwBOACAARgBSAE8ATQAgAFMATwBVAFIAQwBFADoAIABBAGQAZABlAGQAIAByAG8AdwAgAG8AZgAgAE4ASQBSACAATQBNAEEAIABkAGUAZgBpAG4AaQB0AGkAbwBuAHMAIAB0AG8AIABhAGkAZAAgAGwAbwBvAGsAdQBwAC4AIABEAHUAcABsAGkAYwBhAHQAZQBkACAAJwBQAG8AdQBsAHQAcgB5ACAAdwBpAHQAaAAgAGEAbgBkACAAdwBpAHQAaABvAHUAdAAgAGwAaQB0AHQAZQByACcAIABjAG8AbAB1AG0AbgAgAHcAaQB0AGgAIABzAGUAcABhAHIAYQB0AGUAIABOAEkAUgAgAGQAZQBmAGkAbgBpAHQAaQBvAG4AcwAgAHQAbwAgAGEAaQBkACAAbABvAG8AawB1AHAALgAgAEEAZABkAGUAZAAgACcATQBBAFQAIAByAGEAdwAnACAAYwBvAGwAdQBtAG4AIAB0AG8AIABhAGwAbABvAHcAIABsAG8AbwBrAHUAcAAgAG8AZgAgAG4AdQBtAGIAZQByAHMALgBcACIAKQA7AFwAbgBcAG4AXABuAFwAbgAvACoAIABcAG4ALQAtAC0ALQAtAC0ALQAtAC0ALQAtAC0ALQAtAC0ALQAtAC0ALQAtAC0ALQAtAC0ALQAtAC0ALQAtAC0ALQAtAC0ALQAtAC0ALQAtAFwAbgBDAG8AbQBtAG8AbgBfAFMAbwB1AHIAYwBlAEQAYQB0AGEAXwBFAEYATwByAGcAYQBuAGkAYwBGAGUAcgB0AGkAbABpAHMAZQByAEEAbgBkAEMAcgBvAHAAUgBlAHMAaQBkAHUAZQBzAFwAbgAtAC0ALQAtAC0ALQAtAC0ALQAtAC0ALQAtAC0ALQAtAC0ALQAtAC0ALQAtAC0ALQAtAC0ALQAtAC0ALQAtAC0ALQAtAC0ALQAtAC0AXABuACoALwBcAG4AXABuAEMAbwBtAG0AbwBuAF8AUwBvAHUAcgBjAGUARABhAHQAYQBfAEUARgBPAHIAZwBhAG4AaQBjAEYAZQByAHQAaQBsAGkAcwBlAHIAQQBuAGQAQwByAG8AcABSAGUAcwBpAGQAdQBlAHMAXwBUAGkAdABsAGUAXABuACAAIAA9AEwAQQBNAEIARABBACgAXAAiAEUAbQBpAHMAcwBpAG8AbgAgAGYAYQBjAHQAbwByACAAZgBvAHIAIABvAHIAZwBhAG4AaQBjACAAZgBlAHIAdABpAGwAaQBzAGUAcgAgAGEAbgBkACAAYwByAG8AcAAgAHIAZQBzAGkAZAB1AGUAcwAgAHIAZQB0AHUAcgBuAGUAZAAgAHQAbwAgAHQAaABlACAAcwBvAGkAbABcACIAKQA7AFwAbgBcAG4AQwBvAG0AbQBvAG4AXwBTAG8AdQByAGMAZQBEAGEAdABhAF8ARQBGAE8AcgBnAGEAbgBpAGMARgBlAHIAdABpAGwAaQBzAGUAcgBBAG4AZABDAHIAbwBwAFIAZQBzAGkAZAB1AGUAcwBfAFYAYQByAGkAYQBiAGwAZQBcAG4AIAAgAD0ATABBAE0AQgBEAEEAKABcACIARQBGAE4AaQAgAC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AmACAARQBGAE4AMgBPAFwAIgA7AFwAbgAgACAAIAAgACAAIAAgACAAIAAgAFwAIgBXAGUAdAAgAGMAbABpAG0AYQB0AGUAIAB6AG8AbgBlAFwAIgAsACAAMAAuADAAMAA2ADsAXABuACAAIAAgACAAIAAgACAAIAAgACAAXAAiAEQAcgB5ACAAYwBsAGkAbQBhAHQAZQAgAHoAbwBuAGUAXAAiACwAIAAwAC4AMAAwADUAXABuACAAIAAgACAAIAAgACAAIAB9ACwAIAByACwAIABjACkAXABuACAAIAAgACAAIAAgACkAXABuACAAIAAgACAAKQBcAG4AIAAgACkAOwBcAG4AXABuAEMAbwBtAG0AbwBuAF8AUwBvAHUAcgBjAGUARABhAHQAYQBfAEUARgBPAHIAZwBhAG4AaQBjAEYAZQByAHQAaQBsAGkAcwBlAHIAQQBuAGQAQwByAG8AcABSAGUAcwBpAGQAdQBlAHMAXwBWAGEAcgBpAGEAdABpAG8AbgBcAG4AIAAgAD0ATABBAE0AQgBEAEEAKABcACIAXAAiACkAOwBcAG4AXABuAFwAbgBcAG4AXABuAFwAbgBcAG4AXABuAFwAbgBcAG4AXABuAFwAbgBcAG4AXABuAFwAbgBcAG4AXABuACIAfQAsAHsAIgBwAGEAdABoACIAOgAiAC8AcAByAG8AagBlAGMAdABzAC8ARgBlAHIAdABpAGwAaQBzAGUAcgBfAEUAcQB1AGEAdABpAG8AbgBzAF8ASQBuAG8AcgBnAGEAbgBpAGMATgAyAE8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xACAASQBuAG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xAF8AMQBfADEAXwBfADEAXwBJAG4AbwByAGcAYQBuAGkAYwBGAGUAcgB0AGkAbABpAHMAZQByAEEAcABwAGwAaQBjAGEAdABpAG8AbgBOADIATwBFAG0AaQBzAHMAaQBvAG4AcwBcAG4ATgBpAHQAcgBvAHUAcwAgAG8AeABpAGQAZQAgAGUAbQBpAHMAcwBpAG8AbgBzACAAZgByAG8AbQAgAHQAaABlACAAYQBwAHAAbABpAGMAYQB0AGkAbwBuACAAbwBmACAAYQBsAGwAIABpAG4AbwByAGcAYQBuAGkAYwAgAGYAZQByAHQAaQBsAGkAcwBlAHIAIAB0AHkAcABlAHMAIABmACAAdABvACAAYQBsAGwAIABwAHIAbwBkAHUAYwB0AGkAbwBuACAAcwB5AHMAdABlAG0AcwAgAGoAXABuAEUAXwBOADIATwBcAG4AdAAgAE4AMgBPAFwAbgBcAFwAcwB1AG0AXwB7AGoAfQBcAFwAcwB1AG0AXwB7AGYAfQAoACgATQBOAF8AewBqAGYAfQBcAFwAdABpAG0AZQBzACAARQBGAF8AewBqACwATgAyAE8AfQBcAFwAdABpAG0AZQBzACAAQwBfAHsATgAyAE8AfQApAFwAXAB0AGkAbQBlAHMAIAAxADAAXgB7AC0AMwB9ACkAXABuAE0ATgBfAGoAZgBcAG4ARQBGAF8AagBOADIATwBcAG4AQwBfAE4AMgBPAFwAbgBqAFwAbgBmAFwAbgAtAC0ALQAtAC0ALQAtAC0ALQAtAC0ALQAtAC0ALQAtAC0ALQAtAC0ALQAtAC0ALQAtAC0ALQAtAC0ALQAtAC0ALQAtAC0ALQAtAC0AXABuACoALwBcAG4AXABuAFYARQBFAFIARwBfADUAXwAxAF8AMQBfADEAXwBfADEAXwBJAG4AbwByAGcAYQBuAGkAYwBGAGUAcgB0AGkAbABpAHMAZQByAEEAcABwAGwAaQBjAGEAdABpAG8AbgBOADIATwBFAG0AaQBzAHMAaQBvAG4AcwBcAG4AIAAgAD0ATABBAE0AQgBEAEEAKABcAG4AIAAgACAAIABNAE4AXwBqAGYALAAgAEUARgBfAGoATgAyAE8ALAAgAEMAXwBOADIATwAsAFwAbgAgACAAIAAgACgATQBOAF8AagBmACAAKgAgAEUARgBfAGoATgAyAE8AIAAqACAAQwBfAE4AMgBPACkAIAAqACAAMQAwACAAXgAgAC0AMwBcAG4AIAAgACkAOwBcAG4AXABuAFYARQBFAFIARwBfADUAXwAxAF8AMQBfADEAXwBfADEAXwBJAG4AbwByAGcAYQBuAGkAYwBGAGUAcgB0AGkAbABpAHMAZQByAEEAcABwAGwAaQBjAGEAdABpAG8AbgBOADIATwBFAG0AaQBzAHMAaQBvAG4AcwBfAFQAaQB0AGwAZQBcAG4AIAAgAD0ATABBAE0AQgBEAEEAKABcACIATgBpAHQAcgBvAHUAcwAgAG8AeABpAGQAZQAgAGUAbQBpAHMAcwBpAG8AbgBzACAAZgByAG8AbQAgAHQAaABlACAAYQBwAHAAbABpAGMAYQB0AGkAbwBuACAAbwBmACAAYQBsAGwAIABpAG4AbwByAGcAYQBuAGkAYwAgAGYAZQByAHQAaQBsAGkAcwBlAHIAIAB0AHkAcABlAHMAIABmACAAdABvACAAYQBsAGwAIABwAHIAbwBkAHUAYwB0AGkAbwBuACAAcwB5AHMAdABlAG0AcwAgAGoAXAAiACkAOwBcAG4AXABuAFYARQBFAFIARwBfADUAXwAxAF8AMQBfADEAXwBfADEAXwBJAG4AbwByAGcAYQBuAGkAYwBGAGUAcgB0AGkAbABpAHMAZQByAEEAcABwAGwAaQBjAGEAdABpAG8AbgBOADIATwBFAG0AaQBzAHMAaQBvAG4AcwBfAFYAYQByAGkAYQBiAGwAZQBcAG4AIAAgAD0ATABBAE0AQgBEAEEAKABcACIARQBfAE4AMgBPAFwAIgApADsAXABuAFwAbgBWAEUARQBSAEcAXwA1AF8AMQBfADEAXwAxAF8AXwAxAF8ASQBuAG8AcgBnAGEAbgBpAGMARgBlAHIAdABpAGwAaQBzAGUAcgBBAHAAcABsAGkAYwBhAHQAaQBvAG4ATgAyAE8ARQBtAGkAcwBzAGkAbwBuAHMAXwBVAG4AaQB0AFwAbgAgACAAPQBMAEEATQBCAEQAQQAoAFwAIgB0ACAATgAyAE8AXAAiACkAOwBcAG4AXABuAFYARQBFAFIARwBfADUAXwAxAF8AMQBfADEAXwBfADEAXwBJAG4AbwByAGcAYQBuAGkAYwBGAGUAcgB0AGkAbABpAHMAZQByAEEAcABwAGwAaQBjAGEAdABpAG8AbgBOADIATwBFAG0AaQBzAHMAaQBvAG4AcwBfAFMAbwB1AHIAYwBlAFwAbgAgACAAPQBMAEEATQBCAEQAQQAoAFwAIgBWAEUARQBSAEcAIAAyADAAMgA2ADoAIAA1AC4AMQAuADEALgAxACwAIABFAHEAdQBhAHQAaQBvAG4AIAAoADEAKQBcACIAKQA7AFwAbgBcAG4AVgBFAEUAUgBHAF8ANQBfADEAXwAxAF8AMQBfAF8AMQBfAEkAbgBvAHIAZwBhAG4AaQBjAEYAZQByAHQAaQBsAGkAcwBlAHIAQQBwAHAAbABpAGMAYQB0AGkAbwBuAE4AMgBPAEUAbQBpAHMAcwBpAG8AbgBzAF8ATgBJAFIAUgBlAGYAZQByAGUAbgBjAGUAXABuACAAIAA9AEwAQQBNAEIARABBACgAXAAiAFwAIgApADsAXABuAFwAbgBWAEUARQBSAEcAXwA1AF8AMQBfADEAXwAxAF8AXwAxAF8ASQBuAG8AcgBnAGEAbgBpAGMARgBlAHIAdABpAGwAaQBzAGUAcgBBAHAAcABsAGkAYwBhAHQAaQBvAG4ATgAyAE8ARQBtAGkAcwBzAGkAbwBuAHMAXwBMAGEAdABlAHgARQBxAHUAYQB0AGkAbwBuAFwAbgAgACAAPQBMAEEATQBCAEQAQQAoAFwAIgBFAF8AewBOADIATwB9AD0AXABcAHMAdQBtAF8AewBqAH0AXABcAHMAdQBtAF8AewBmAH0AKAAoAE0ATgBfAHsAagBmAH0AXABcAHQAaQBtAGUAcwAgAEUARgBfAHsAagAsAE4AMgBPAH0AXABcAHQAaQBtAGUAcwAgAEMAXwB7AE4AMgBPAH0AKQBcAFwAdABpAG0AZQBzACAAMQAwAF4AewAtADMAfQApAFwAIgApADsAXABuAFwAbgBWAEUARQBSAEcAXwA1AF8AMQBfADEAXwAxAF8AXwAxAF8ASQBuAG8AcgBnAGEAbgBpAGMARgBlAHIAdABpAGwAaQBzAGUAcgBBAHAAcABsAGkAYwBhAHQAaQBvAG4ATgAyAE8ARQBtAGkAcwBzAGkAbwBuAHMAXwBBAHIAZwB1AG0AZQBuAHQAcwBcAG4AIAAgAD0ATABBAE0AQgBEAEEAKABcAG4AIAAgACAAIABNAEEASwBFAEEAUgBSAEEAWQAoADcALAAgADQALAAgAFwAbgAgACAAIAAgACAAIABMAEEATQBCAEQAQQAoAHIALABjACwAIABcAG4AIAAgACAAIAAgACAAIAAgAEkATgBEAEUAWAAoAHsAXABuACAAIAAgACAAIAAgACAAIAAgACAAXAAiAE0ATgBfAGoAZgBcACIALABcACIAbQBhAHMAcwAgAG8AZgAgAG4AaQB0AHIAbwBnAGUAbgAgAGkAbgAgAGkAbgBvAHIAZwBhAG4AaQBjACAAZgBlAHIAdABpAGwAaQBzAGUAcgAgAHQAeQBwAGUAIABmACAAYQBwAHAAbABpAGUAZAAgAHQAbwAgAHAAcgBvAGQAdQBjAHQAaQBvAG4AIABzAHkAcwB0AGUAbQAgAGoAXAAiACwAIABcACIAawBnACAATgBcACIALAAgAFwAIgBDAGEAbABjAHUAbABhAHQAZQBkACAAZgByAG8AbQAgADUALgAxAC4AMQAuADEAIAAoADIAKQBcACIAOwBcAG4AIAAgACAAIAAgACAAIAAgACAAIABcACIARQBGAF8AagBOADIATwBcACIALABcACIAZQBtAGkAcwBzAGkAbwBuACAAZgBhAGMAdABvAHIAIABmAG8AcgAgAG4AaQB0AHIAbwB1AHMAIABvAHgAaQBkAGUAIABmAG8AcgAgAGkAbgBvAHIAZwBhAG4AaQBjACAAZgBlAHIAdABpAGwAaQBzAGUAcgBzAFwAIgAsACAAXAAiAGsAZwAgAE4AMgBPAC0ATgAvAGsAZwAgAE4AIABhAHAAcABsAGkAZQBk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ZgBcACIALABcACIASQBuAG8AcgBnAGEAbgBpAGMAIABmAGUAcgB0AGkAbABpAHMAZQByACAAdAB5AHAAZQBcACIALAAgAFwAIgBcACIALAAgAFwAIgBDAG8AbgBzAHQAYQBuAHQAXAAiADsAXABuACAAIAAgACAAIAAgACAAIAAgACAAXAAiAGkAcgBcACIALAAgAFwAIgBpAHIAcgBpAGcAYQB0AGkAbwBuACAAbQBlAHQAaABvAGQAXAAiACwAIABcACIAXAAiACwAIABcACIASQBuAHAAdQB0AFwAIgA7AFwAbgAgACAAIAAgACAAIAAgACAAIAAgAFwAIgB6AFwAIgAsACAAXAAiAHIAYQBpAG4AZgBhAGwAbAAgAHoAbwBuAGUAXAAiACwAIABcACIAXAAiACwAIABcACIASQBuAHAAdQB0AFwAIgBcAG4AIAAgACAAIAAgACAAIAAgAH0ALAAgAHIALAAgAGMAKQBcAG4AIAAgACAAIAAgACAAKQBcAG4AIAAgACAAIAApAFwAbgAgACAAKQA7AFwAbgBcAG4AVgBFAEUAUgBHAF8ANQBfADEAXwAxAF8AMQBfAF8AMQBfAEkAbgBvAHIAZwBhAG4AaQBjAEYAZQByAHQAaQBsAGkAcwBlAHIAQQBwAHAAbABpAGMAYQB0AGkAbwBuAE4AMgBPAEUAbQBpAHMAcwBpAG8AbgBzAF8AQQByAGcAdQBtAGUAbgB0AHMAXwBNAGUAdABoAG8AZAAyAFwAbgAgACAAPQBMAEEATQBCAEQAQQAoAFwAbgAgACAAIAAgAE0AQQBLAEUAQQBSAFIAQQBZACgAOAAsACAANAAsACAAXABuACAAIAAgACAAIAAgAEwAQQBNAEIARABBACgAcgAsAGMALAAgAFwAbgAgACAAIAAgACAAIAAgACAASQBOAEQARQBYACgAewBcAG4AIAAgACAAIAAgACAAIAAgACAAIABcACIATQBOAF8AagBmAFwAIgAsAFwAIgBtAGEAcwBzACAAbwBmACAAbgBpAHQAcgBvAGcAZQBuACAAaQBuACAAaQBuAG8AcgBnAGEAbgBpAGMAIABmAGUAcgB0AGkAbABpAHMAZQByACAAdAB5AHAAZQAgAGYAIABhAHAAcABsAGkAZQBkACAAdABvACAAcAByAG8AZAB1AGMAdABpAG8AbgAgAHMAeQBzAHQAZQBtACAAagBcACIALAAgAFwAIgBrAGcAIABOAFwAIgAsACAAXAAiAEMAYQBsAGMAdQBsAGEAdABlAGQAIABmAHIAbwBtACAANQAuADEALgAxAC4AMQAgACgAMgApAFwAIgA7AFwAbgAgACAAIAAgACAAIAAgACAAIAAgAFwAIgBFAEYAXwBqAE4AMgBPAFwAIgAsAFwAIgBlAG0AaQBzAHMAaQBvAG4AIABmAGEAYwB0AG8AcgAgAGYAbwByACAAbgBpAHQAcgBvAHUAcwAgAG8AeABpAGQAZQAgAGYAbwByACAAaQBuAG8AcgBnAGEAbgBpAGMAIABmAGUAcgB0AGkAbABpAHMAZQByAHMAXAAiACwAIABcACIAawBnACAATgAyAE8ALQBOAC8AawBnACAATgAgAGEAcABwAGwAaQBlAGQAXAAiACwAIABcACIAQwBhAGwAYwB1AGwAYQB0AGUAZAAgAGYAcgBvAG0AIAA1AC4AMQAuADEALgAyACAAKAAxACkAKAAyACkAKAAzACk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MAXAAiACwAXAAiAEMAcgBvAHAAIAB0AHkAcABlAFwAIgAsACAAXAAiAFwAIgAsACAAXAAiAEkAbgBwAHUAdABcACIAOwBcAG4AIAAgACAAIAAgACAAIAAgACAAIABcACIAZgBcACIALABcACIASQBuAG8AcgBnAGEAbgBpAGMAIABmAGUAcgB0AGkAbABpAHMAZQByACAAdAB5AHAAZQBcACIALAAgAFwAIgBcACIALAAgAFwAIgBDAG8AbgBzAHQAYQBuAHQAXAAiADsAXABuACAAIAAgACAAIAAgACAAIAAgACAAXAAiAGkAcgBcACIALAAgAFwAIgBpAHIAcgBpAGcAYQB0AGkAbwBuACAAbQBlAHQAaABvAGQAXAAiACwAIABcACIAXAAiACwAIABcACIASQBuAHAAdQB0AFwAIgA7AFwAbgAgACAAIAAgACAAIAAgACAAIAAgAFwAIgB6AFwAIgAsACAAXAAiAHIAYQBpAG4AZgBhAGwAbAAgAHoAbwBuAGU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EAXwAxAF8AMQBfAF8AMgBfAE0AYQBzAHMATwBmAE4AaQB0AHIAbwBnAGUAbgBJAG4ASQBuAG8AcgBnAGEAbgBpAGMARgBlAHIAdABpAGwAaQBzAGUAcgBcAG4ATQBhAHMAcwAgAG8AZgAgAG4AaQB0AHIAbwBnAGUAbgAgAGkAbgAgAGkAbgBvAHIAZwBhAG4AaQBjACAAZgBlAHIAdABpAGwAaQBzAGUAcgAgAGEAcABwAGwAaQBlAGQAIAB0AG8AIABwAHIAbwBkAHUAYwB0AGkAbwBuACAAcwB5AHMAdABlAG0AXABuAE0ATgBfAGoAZgBcAG4AawBnACAATgBcAG4AewBNAE4AfQBfAHsAagBmAH0APQBUAE0AXwB7AGoAZgB9AFwAXAB0AGkAbQBlAHMAIABGAE4AXwB7AGkAbgBvAHIAZwBhAG4AaQBjACwAZgB9AFwAbgBUAE0AXwBqAGYAXABuAEYATgBfAGkAbgBvAHIAZwBhAG4AaQBjAGYAXABuAGoAXABuAGkAbgBvAHIAZwBhAG4AaQBjAFwAbgBmAFwAbgAtAC0ALQAtAC0ALQAtAC0ALQAtAC0ALQAtAC0ALQAtAC0ALQAtAC0ALQAtAC0ALQAtAC0ALQAtAC0ALQAtAC0ALQAtAC0ALQAtAC0AXABuACoALwBcAG4AXABuAFYARQBFAFIARwBfADUAXwAxAF8AMQBfADEAXwBfADIAXwBNAGEAcwBzAE8AZgBOAGkAdAByAG8AZwBlAG4ASQBuAEkAbgBvAHIAZwBhAG4AaQBjAEYAZQByAHQAaQBsAGkAcwBlAHIAXABuACAAIAA9AEwAQQBNAEIARABBACgAXABuACAAIAAgACAAVABNAF8AagBmACwAIABGAE4AXwBpAG4AbwByAGcAYQBuAGkAYwBmACwAXABuACAAIAAgACAAVABNAF8AagBmACAAKgAgAEYATgBfAGkAbgBvAHIAZwBhAG4AaQBjAGYAXABuACAAIAApADsAXABuAFwAbgBWAEUARQBSAEcAXwA1AF8AMQBfADEAXwAxAF8AXwAyAF8ATQBhAHMAcwBPAGYATgBpAHQAcgBvAGcAZQBuAEkAbgBJAG4AbwByAGcAYQBuAGkAYwBGAGUAcgB0AGkAbABpAHMAZQByAF8AVABpAHQAbABlAFwAbgAgACAAPQBMAEEATQBCAEQAQQAoAFwAIgBNAGEAcwBzACAAbwBmACAAbgBpAHQAcgBvAGcAZQBuACAAaQBuACAAaQBuAG8AcgBnAGEAbgBpAGMAIABmAGUAcgB0AGkAbABpAHMAZQByACAAYQBwAHAAbABpAGUAZAAgAHQAbwAgAHAAcgBvAGQAdQBjAHQAaQBvAG4AIABzAHkAcwB0AGUAbQBcACIAKQA7AFwAbgBcAG4AVgBFAEUAUgBHAF8ANQBfADEAXwAxAF8AMQBfAF8AMgBfAE0AYQBzAHMATwBmAE4AaQB0AHIAbwBnAGUAbgBJAG4ASQBuAG8AcgBnAGEAbgBpAGMARgBlAHIAdABpAGwAaQBzAGUAcgBfAFYAYQByAGkAYQBiAGwAZQBcAG4AIAAgAD0ATABBAE0AQgBEAEEAKABcACIATQBOAF8AagBmAFwAIgApADsAXABuAFwAbgBWAEUARQBSAEcAXwA1AF8AMQBfADEAXwAxAF8AXwAyAF8ATQBhAHMAcwBPAGYATgBpAHQAcgBvAGcAZQBuAEkAbgBJAG4AbwByAGcAYQBuAGkAYwBGAGUAcgB0AGkAbABpAHMAZQByAF8AVQBuAGkAdABcAG4AIAAgAD0ATABBAE0AQgBEAEEAKABcACIAawBnACAATgBcACIAKQA7AFwAbgBcAG4AVgBFAEUAUgBHAF8ANQBfADEAXwAxAF8AMQBfAF8AMgBfAE0AYQBzAHMATwBmAE4AaQB0AHIAbwBnAGUAbgBJAG4ASQBuAG8AcgBnAGEAbgBpAGMARgBlAHIAdABpAGwAaQBzAGUAcgBfAFMAbwB1AHIAYwBlAFwAbgAgACAAPQBMAEEATQBCAEQAQQAoAFwAIgBWAEUARQBSAEcAIAAyADAAMgA2ADoAIAA1AC4AMQAuADEALgAxACwAIABFAHEAdQBhAHQAaQBvAG4AIAAoADIAKQBcACIAKQA7AFwAbgBcAG4AVgBFAEUAUgBHAF8ANQBfADEAXwAxAF8AMQBfAF8AMgBfAE0AYQBzAHMATwBmAE4AaQB0AHIAbwBnAGUAbgBJAG4ASQBuAG8AcgBnAGEAbgBpAGMARgBlAHIAdABpAGwAaQBzAGUAcgBfAE4ASQBSAFIAZQBmAGUAcgBlAG4AYwBlAFwAbgAgACAAPQBMAEEATQBCAEQAQQAoAFwAIgBcACIAKQA7AFwAbgBcAG4AVgBFAEUAUgBHAF8ANQBfADEAXwAxAF8AMQBfAF8AMgBfAE0AYQBzAHMATwBmAE4AaQB0AHIAbwBnAGUAbgBJAG4ASQBuAG8AcgBnAGEAbgBpAGMARgBlAHIAdABpAGwAaQBzAGUAcgBfAEwAYQB0AGUAeABFAHEAdQBhAHQAaQBvAG4AXABuACAAIAA9AEwAQQBNAEIARABBACgAXAAiAHsATQBOAH0AXwB7AGoAZgB9AD0AVABNAF8AewBqAGYAfQBcAFwAdABpAG0AZQBzACAARgBOAF8AewBpAG4AbwByAGcAYQBuAGkAYwAsAGYAfQBcACIAKQA7AFwAbgBcAG4AVgBFAEUAUgBHAF8ANQBfADEAXwAxAF8AMQBfAF8AMgBfAE0AYQBzAHMATwBmAE4AaQB0AHIAbwBnAGUAbgBJAG4ASQBuAG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VABNAF8AagBmAFwAIgAsAFwAIgB0AG8AdABhAGwAIABtAGEAcwBzACAAbwBmACAAaQBuAG8AcgBnAGEAbgBpAGMAIABmAGUAcgB0AGkAbABpAHMAZQByACAAdAB5AHAAZQAgAGYAIABhAHAAcABsAGkAZQBkACAAdABvACAAcAByAG8AZAB1AGMAdABpAG8AbgAgAHMAeQBzAHQAZQBtACAAagBcACIALAAgAFwAIgBrAGcAXAAiACwAIABcACIASQBuAHAAdQB0AFwAIgA7AFwAbgAgACAAIAAgACAAIAAgACAAIAAgAFwAIgBGAE4AXwBpAG4AbwByAGcAYQBuAGkAYwBmAFwAIgAsAFwAIgBmAHIAYQBjAHQAaQBvAG4AIABvAGYAIABuAGkAdAByAG8AZwBlAG4AIABpAG4AIABpAG4AbwByAGcAYQBuAGkAYwAgAGYAZQByAHQAaQBsAGkAcwBlAHIAIAB0AHkAcABlACAAZgAgAFwAIgAsACAAXAAiAGsAZwAgAE4ALwBrAGcAXAAiACwAIABcACIAQwBvAG4AcwB0AGEAbgB0AFwAIgBcAG4AIAAgACAAIAAgACAAIAAgAH0ALAAgAHIALAAgAGMAKQBcAG4AIAAgACAAIAAgACAAKQBcAG4AIAAgACAAIAApAFwAbgAgACAAKQA7AFwAbgBcAG4AXABuAC8AKgAgAFwAbgAtAC0ALQAtAC0ALQAtAC0ALQAtAC0ALQAtAC0ALQAtAC0ALQAtAC0ALQAtAC0ALQAtAC0ALQAtAC0ALQAtAC0ALQAtAC0ALQAtAC0AXABuAFYARQBFAFIARwBfADUAXwAxAF8AMQBfADIAXwBfADEAXwBFAG0AaQBzAHMAaQBvAG4ARgBhAGMAdABvAHIASQByAHIAaQBnAGEAdABlAGQATQBhAGkAegBlAFwAbgBFAG0AaQBzAHMAaQBvAG4AIABmAGEAYwB0AG8AcgAgAGYAbwByACAAbgBpAHQAcgBvAHUAcwAgAG8AeABpAGQAZQAgAGYAbwByACAAaQByAHIAaQBnAGEAdABlAGQAIABtAGEAaQB6AGUAXABuAEUARgBfAGYAagBJAHIAcgBpAGcAYQB0AGUAZABNAGEAaQB6AGUATgAyAE8AXABuAGsAZwAgAE4AMgBPAC0ATgAvAGsAZwAgAE4AIABhAHAAcABsAGkAZQBkAFwAbgBFAEYAXwB7AGYAagA9AGkAcgByAGkAZwBhAHQAZQBkAG0AYQBpAHoAZQAsAE4AMgBPAH0APQAoAC0AMAAuADEANAA3ADQAKwAoADAALgAwADAANgAxAFwAXAB0AGkAbQBlAHMAIABOAF8AewBmAGoAPQBpAHIAcgBpAGcAYQB0AGUAZABtAGEAaQB6AGUAfQApACkAXABcAHQAaQBtAGUAcwAgADEAMABeAHsALQAyAH0AXABuAE4AXwBmAGoASQByAHIAaQBnAGEAdABlAGQATQBhAGkAegBlAFwAbgBmAFwAbgAtAC0ALQAtAC0ALQAtAC0ALQAtAC0ALQAtAC0ALQAtAC0ALQAtAC0ALQAtAC0ALQAtAC0ALQAtAC0ALQAtAC0ALQAtAC0ALQAtAC0AXABuACoALwBcAG4AXABuAFYARQBFAFIARwBfADUAXwAxAF8AMQBfADIAXwBfADEAXwBFAG0AaQBzAHMAaQBvAG4ARgBhAGMAdABvAHIASQByAHIAaQBnAGEAdABlAGQATQBhAGkAegBlAFwAbgAgACAAPQBMAEEATQBCAEQAQQAoAFwAbgAgACAAIAAgAE4AXwBmAGoASQByAHIAaQBnAGEAdABlAGQATQBhAGkAegBlACwAXABuACAAIAAgACAAKAAtADAALgAxADQANwA0ACAAKwAgACgAMAAuADAAMAA2ADEAIAAqACAATgBfAGYAagBJAHIAcgBpAGcAYQB0AGUAZABNAGEAaQB6AGUAKQApACAAKgAgADEAMAAgAF4AIAAtADIAXABuACAAIAApADsAXABuAFwAbgBWAEUARQBSAEcAXwA1AF8AMQBfADEAXwAyAF8AXwAxAF8ARQBtAGkAcwBzAGkAbwBuAEYAYQBjAHQAbwByAEkAcgByAGkAZwBhAHQAZQBkAE0AYQBpAHoAZQBfAFQAaQB0AGwAZQBcAG4AIAAgAD0ATABBAE0AQgBEAEEAKABcACIARQBtAGkAcwBzAGkAbwBuACAAZgBhAGMAdABvAHIAIABmAG8AcgAgAG4AaQB0AHIAbwB1AHMAIABvAHgAaQBkAGUAIABmAG8AcgAgAGkAcgByAGkAZwBhAHQAZQBkACAAbQBhAGkAegBlAFwAIgApADsAXABuAFwAbgBWAEUARQBSAEcAXwA1AF8AMQBfADEAXwAyAF8AXwAxAF8ARQBtAGkAcwBzAGkAbwBuAEYAYQBjAHQAbwByAEkAcgByAGkAZwBhAHQAZQBkAE0AYQBpAHoAZQBfAFYAYQByAGkAYQBiAGwAZQBcAG4AIAAgAD0ATABBAE0AQgBEAEEAKABcACIARQBGAF8AZgBqAEkAcgByAGkAZwBhAHQAZQBkAE0AYQBpAHoAZQBOADIATwBcACIAKQA7AFwAbgBcAG4AVgBFAEUAUgBHAF8ANQBfADEAXwAxAF8AMgBfAF8AMQBfAEUAbQBpAHMAcwBpAG8AbgBGAGEAYwB0AG8AcgBJAHIAcgBpAGcAYQB0AGUAZABNAGEAaQB6AGUAXwBVAG4AaQB0AFwAbgAgACAAPQBMAEEATQBCAEQAQQAoAFwAIgBrAGcAIABOADIATwAtAE4ALwBrAGcAIABOACAAYQBwAHAAbABpAGUAZABcACIAKQA7AFwAbgBcAG4AVgBFAEUAUgBHAF8ANQBfADEAXwAxAF8AMgBfAF8AMQBfAEUAbQBpAHMAcwBpAG8AbgBGAGEAYwB0AG8AcgBJAHIAcgBpAGcAYQB0AGUAZABNAGEAaQB6AGUAXwBTAG8AdQByAGMAZQBcAG4AIAAgAD0ATABBAE0AQgBEAEEAKABcACIAVgBFAEUAUgBHACAAMgAwADIANgA6ACAANQAuADEALgAxAC4AMgAsACAARQBxAHUAYQB0AGkAbwBuACAAKAAxACkAXAAiACkAOwBcAG4AXABuAFYARQBFAFIARwBfADUAXwAxAF8AMQBfADIAXwBfADEAXwBFAG0AaQBzAHMAaQBvAG4ARgBhAGMAdABvAHIASQByAHIAaQBnAGEAdABlAGQATQBhAGkAegBlAF8ATgBJAFIAUgBlAGYAZQByAGUAbgBjAGUAXABuACAAIAA9AEwAQQBNAEIARABBACgAXAAiAFwAIgApADsAXABuAFwAbgBWAEUARQBSAEcAXwA1AF8AMQBfADEAXwAyAF8AXwAxAF8ARQBtAGkAcwBzAGkAbwBuAEYAYQBjAHQAbwByAEkAcgByAGkAZwBhAHQAZQBkAE0AYQBpAHoAZQBfAEwAYQB0AGUAeABFAHEAdQBhAHQAaQBvAG4AXABuACAAIAA9AEwAQQBNAEIARABBACgAXAAiAEUARgBfAHsAZgBqAD0AaQByAHIAaQBnAGEAdABlAGQAbQBhAGkAegBlACwATgAyAE8AfQA9ACgALQAwAC4AMQA0ADcANAArACgAMAAuADAAMAA2ADEAXABcAHQAaQBtAGUAcwAgAE4AXwB7AGYAagA9AGkAcgByAGkAZwBhAHQAZQBkAG0AYQBpAHoAZQB9ACkAKQBcAFwAdABpAG0AZQBzACAAMQAwAF4AewAtADIAfQBcACIAKQA7AFwAbgBcAG4AVgBFAEUAUgBHAF8ANQBfADEAXwAxAF8AMgBfAF8AMQBfAEUAbQBpAHMAcwBpAG8AbgBGAGEAYwB0AG8AcgBJAHIAcgBpAGcAYQB0AGUAZABNAGEAaQB6AGUAXwBBAHIAZwB1AG0AZQBuAHQAcwBcAG4AIAAgAD0ATABBAE0AQgBEAEEAKABcAG4AIAAgACAAIABNAEEASwBFAEEAUgBSAEEAWQAoADIALAAgADQALAAgAFwAbgAgACAAIAAgACAAIABMAEEATQBCAEQAQQAoAHIALABjACwAIABcAG4AIAAgACAAIAAgACAAIAAgAEkATgBEAEUAWAAoAHsAXABuACAAIAAgACAAIAAgACAAIAAgACAAXAAiAE4AXwBmAGoASQByAHIAaQBnAGEAdABlAGQATQBhAGkAegBlAFwAIgAsAFwAIgBhAHAAcABsAGkAYwBhAHQAaQBvAG4AIAByAGEAdABlACAAbwBmACAAaQBuAG8AcgBnAGEAbgBpAGMAIABmAGUAcgB0AGkAbABpAHMAZQByACAAdAB5AHAAZQAgAGYAIABpAG4AIAB0AGgAZQAgAGkAcgByAGkAZwBhAHQAZQBkACAAbQBhAGkAegBlACAAYwByAG8AcABcACIALAAgAFwAIgBrAGcAIABOAC8AaABhAFwAIgAsACAAXAAiAEkAbgBwAHUAdABcACIAOwBcAG4AIAAgACAAIAAgACAAIAAgACAAIABcACIAZgBcACIALABcACIASQBuAG8AcgBnAGEAbgBpAGMAIABmAGUAcgB0AGkAbABpAHMAZQByACAAdAB5AHAAZQ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1AF8AMQBfADEAXwAyAF8AXwAyAF8ARQBtAGkAcwBzAGkAbwBuAEYAYQBjAHQAbwByAE4AbwBuAEkAcgByAGkAZwBhAHQAZQBkAEcAcgBhAGkAbgBzAEgAaQBnAGgAUgBhAGkAbgBmAGEAbABsAFwAbgBFAG0AaQBzAHMAaQBvAG4AIABmAGEAYwB0AG8AcgAgAGYAbwByACAAbgBpAHQAcgBvAHUAcwAgAG8AeABpAGQAZQAgAGYAbwByACAAbgBvAG4ALQBpAHIAcgBpAGcAYQB0AGUAZAAgAGcAcgBhAGkAbgBzACAAaQBuACAAaABpAGcAaAAgAHIAYQBpAG4AZgBhAGwAbAAgAHoAbwBuAGUAXABuAEUARgBfAGYAagBOAG8AbgBJAHIAcgBpAGcAYQB0AGUAZABHAHIAYQBpAG4AcwBOADIATwBcAG4AawBnACAATgAyAE8ALQBOAC8AawBnACAATgAgAGEAcABwAGwAaQBlAGQAXABuAEUARgBfAHsAZgBqAD0AbgBvAG4AaQByAHIAaQBnAGEAdABlAGQAZwByAGEAaQBuAHMALABOADIATwB9AD0AKAAwAC4AMAA3ADgAMQArACgAMAAuADAAMAA3ADUAXABcAHQAaQBtAGUAcwAgAE4AXwB7AGYAagA9AG4AbwBuAGkAcgByAGkAZwBhAHQAZQBkAGcAcgBhAGkAbgBzAH0AKQApAFwAXAB0AGkAbQBlAHMAIAAxADAAXgB7AC0AMgB9AFwAbgBOAF8AZgBqAE4AbwBuAEkAcgByAGkAZwBhAHQAZQBkAEcAcgBhAGkAbgBzAFwAbgBmAFwAbgAtAC0ALQAtAC0ALQAtAC0ALQAtAC0ALQAtAC0ALQAtAC0ALQAtAC0ALQAtAC0ALQAtAC0ALQAtAC0ALQAtAC0ALQAtAC0ALQAtAC0AXABuACoALwBcAG4AXABuAFYARQBFAFIARwBfADUAXwAxAF8AMQBfADIAXwBfADIAXwBFAG0AaQBzAHMAaQBvAG4ARgBhAGMAdABvAHIATgBvAG4ASQByAHIAaQBnAGEAdABlAGQARwByAGEAaQBuAHMASABpAGcAaABSAGEAaQBuAGYAYQBsAGwAXABuACAAIAA9AEwAQQBNAEIARABBACgAXABuACAAIAAgACAATgBfAGYAagBOAG8AbgBJAHIAcgBpAGcAYQB0AGUAZABHAHIAYQBpAG4AcwAsAFwAbgAgACAAIAAgACgAMAAuADAANwA4ADEAIAArACAAKAAwAC4AMAAwADcANQAgACoAIABOAF8AZgBqAE4AbwBuAEkAcgByAGkAZwBhAHQAZQBkAEcAcgBhAGkAbgBzACkAKQAgACoAIAAxADAAIABeACAALQAyAFwAbgAgACAAKQA7AFwAbgBcAG4AVgBFAEUAUgBHAF8ANQBfADEAXwAxAF8AMgBfAF8AMgBfAEUAbQBpAHMAcwBpAG8AbgBGAGEAYwB0AG8AcgBOAG8AbgBJAHIAcgBpAGcAYQB0AGUAZABHAHIAYQBpAG4AcwBIAGkAZwBoAFIAYQBpAG4AZgBhAGwAbABfAFQAaQB0AGwAZQBcAG4AIAAgAD0ATABBAE0AQgBEAEEAKABcACIARQBtAGkAcwBzAGkAbwBuACAAZgBhAGMAdABvAHIAIABmAG8AcgAgAG4AaQB0AHIAbwB1AHMAIABvAHgAaQBkAGUAIABmAG8AcgAgAG4AbwBuAC0AaQByAHIAaQBnAGEAdABlAGQAIABnAHIAYQBpAG4AcwAgAGkAbgAgAGgAaQBnAGgAIAByAGEAaQBuAGYAYQBsAGwAIAB6AG8AbgBlAFwAIgApADsAXABuAFwAbgBWAEUARQBSAEcAXwA1AF8AMQBfADEAXwAyAF8AXwAyAF8ARQBtAGkAcwBzAGkAbwBuAEYAYQBjAHQAbwByAE4AbwBuAEkAcgByAGkAZwBhAHQAZQBkAEcAcgBhAGkAbgBzAEgAaQBnAGgAUgBhAGkAbgBmAGEAbABsAF8AVgBhAHIAaQBhAGIAbABlAFwAbgAgACAAPQBMAEEATQBCAEQAQQAoAFwAIgBFAEYAXwBmAGoATgBvAG4ASQByAHIAaQBnAGEAdABlAGQARwByAGEAaQBuAHMATgAyAE8AXAAiACkAOwBcAG4AXABuAFYARQBFAFIARwBfADUAXwAxAF8AMQBfADIAXwBfADIAXwBFAG0AaQBzAHMAaQBvAG4ARgBhAGMAdABvAHIATgBvAG4ASQByAHIAaQBnAGEAdABlAGQARwByAGEAaQBuAHMASABpAGcAaABSAGEAaQBuAGYAYQBsAGwAXwBVAG4AaQB0AFwAbgAgACAAPQBMAEEATQBCAEQAQQAoAFwAIgBrAGcAIABOADIATwAtAE4ALwBrAGcAIABOACAAYQBwAHAAbABpAGUAZABcACIAKQA7AFwAbgBcAG4AVgBFAEUAUgBHAF8ANQBfADEAXwAxAF8AMgBfAF8AMgBfAEUAbQBpAHMAcwBpAG8AbgBGAGEAYwB0AG8AcgBOAG8AbgBJAHIAcgBpAGcAYQB0AGUAZABHAHIAYQBpAG4AcwBIAGkAZwBoAFIAYQBpAG4AZgBhAGwAbABfAFMAbwB1AHIAYwBlAFwAbgAgACAAPQBMAEEATQBCAEQAQQAoAFwAIgBWAEUARQBSAEcAIAAyADAAMgA2ADoAIAA1AC4AMQAuADEALgAyACwAIABFAHEAdQBhAHQAaQBvAG4AIAAoADIAKQBcACIAKQA7AFwAbgBcAG4AVgBFAEUAUgBHAF8ANQBfADEAXwAxAF8AMgBfAF8AMgBfAEUAbQBpAHMAcwBpAG8AbgBGAGEAYwB0AG8AcgBOAG8AbgBJAHIAcgBpAGcAYQB0AGUAZABHAHIAYQBpAG4AcwBIAGkAZwBoAFIAYQBpAG4AZgBhAGwAbABfAE4ASQBSAFIAZQBmAGUAcgBlAG4AYwBlAFwAbgAgACAAPQBMAEEATQBCAEQAQQAoAFwAIgBcACIAKQA7AFwAbgBcAG4AVgBFAEUAUgBHAF8ANQBfADEAXwAxAF8AMgBfAF8AMgBfAEUAbQBpAHMAcwBpAG8AbgBGAGEAYwB0AG8AcgBOAG8AbgBJAHIAcgBpAGcAYQB0AGUAZABHAHIAYQBpAG4AcwBIAGkAZwBoAFIAYQBpAG4AZgBhAGwAbABfAEwAYQB0AGUAeABFAHEAdQBhAHQAaQBvAG4AXABuACAAIAA9AEwAQQBNAEIARABBACgAXAAiAEUARgBfAHsAZgBqAD0AbgBvAG4AaQByAHIAaQBnAGEAdABlAGQAZwByAGEAaQBuAHMALABOADIATwB9AD0AKAAwAC4AMAA3ADgAMQArACgAMAAuADAAMAA3ADUAXABcAHQAaQBtAGUAcwAgAE4AXwB7AGYAagA9AG4AbwBuAGkAcgByAGkAZwBhAHQAZQBkAGcAcgBhAGkAbgBzAH0AKQApAFwAXAB0AGkAbQBlAHMAIAAxADAAXgB7AC0AMgB9AFwAIgApADsAXABuAFwAbgBWAEUARQBSAEcAXwA1AF8AMQBfADEAXwAyAF8AXwAyAF8ARQBtAGkAcwBzAGkAbwBuAEYAYQBjAHQAbwByAE4AbwBuAEkAcgByAGkAZwBhAHQAZQBkAEcAcgBhAGkAbgBzAEgAaQBnAGgAUgBhAGkAbgBmAGEAbABsAF8AQQByAGcAdQBtAGUAbgB0AHMAXABuACAAIAA9AEwAQQBNAEIARABBACgAXABuACAAIAAgACAATQBBAEsARQBBAFIAUgBBAFkAKAAyACwAIAA0ACwAIABcAG4AIAAgACAAIAAgACAATABBAE0AQgBEAEEAKAByACwAYwAsACAAXABuACAAIAAgACAAIAAgACAAIABJAE4ARABFAFgAKAB7AFwAbgAgACAAIAAgACAAIAAgACAAIAAgAFwAIgBOAF8AZgBqAE4AbwBuAEkAcgByAGkAZwBhAHQAZQBkAEcAcgBhAGkAbgBzAFwAIgAsAFwAIgBhAHAAcABsAGkAYwBhAHQAaQBvAG4AIAByAGEAdABlACAAbwBmACAAaQBuAG8AcgBnAGEAbgBpAGMAIABmAGUAcgB0AGkAbABpAHMAZQByACAAdAB5AHAAZQAgAGYAIABpAG4AIAB0AGgAZQAgAGcAcgBhAGkAbgBzACAAYwByAG8AcABcACIALAAgAFwAIgBrAGcAIABOAC8AaABhAFwAIgAsACAAXAAiAEkAbgBwAHUAdABcACIAOwBcAG4AIAAgACAAIAAgACAAIAAgACAAIABcACIAZgBcACIALABcACIASQBuAG8AcgBnAGEAbgBpAGMAIABmAGUAcgB0AGkAbABpAHMAZQByACAAdAB5AHAAZQ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1AF8AMQBfADEAXwAyAF8AXwAzAF8ARQBtAGkAcwBzAGkAbwBuAEYAYQBjAHQAbwByAEMAbwB0AHQAbwBuAFwAbgBFAG0AaQBzAHMAaQBvAG4AIABmAGEAYwB0AG8AcgAgAGYAbwByACAAbgBpAHQAcgBvAHUAcwAgAG8AeABpAGQAZQAgAGYAbwByACAAYwBvAHQAdABvAG4AXABuAEUARgBfAGYAagBDAG8AdAB0AG8AbgBOADIATwBcAG4AawBnACAATgAyAE8ALQBOAC8AawBnACAATgAgAGEAcABwAGwAaQBlAGQAXABuAEUARgBfAHsAZgBqAD0AYwBvAHQAdABvAG4ALABOADIATwB9AD0AXABcAG0AaQBuAFwAXABsAGUAZgB0ACgAKAAwAC4AMAAxAFwAXAB0AGkAbQBlAHMAKAAwAC4AMgA5ACsAMAAuADAAMAA3AFwAXAB0AGkAbQBlAHMAKAAoAGUAXgB7ACgAMAAuADAAMwA3AFwAXAB0AGkAbQBlAHMAIABOAF8AewBmAGoAPQBjAG8AdAB0AG8AbgB9ACkAfQAtADEAKQAvAE4AXwB7AGYAagA9AGMAbwB0AHQAbwBuAH0AKQApACkAXABcAHQAaQBtAGUAcwAgADEAMABeAHsALQAyAH0ALAAwAC4AMAAxADgAMwBcAFwAcgBpAGcAaAB0ACkAXABuAE4AXwBmAGoAQwBvAHQAdABvAG4AXABuAGYAXABuAC0ALQAtAC0ALQAtAC0ALQAtAC0ALQAtAC0ALQAtAC0ALQAtAC0ALQAtAC0ALQAtAC0ALQAtAC0ALQAtAC0ALQAtAC0ALQAtAC0ALQBcAG4AKgAvAFwAbgBcAG4AVgBFAEUAUgBHAF8ANQBfADEAXwAxAF8AMgBfAF8AMwBfAEUAbQBpAHMAcwBpAG8AbgBGAGEAYwB0AG8AcgBDAG8AdAB0AG8AbgBcAG4AIAAgAD0ATABBAE0AQgBEAEEAKABcAG4AIAAgACAAIABOAF8AZgBqAEMAbwB0AHQAbwBuACwAXABuACAAIAAgACAAKAAwAC4AMAAxACAAKgAgACgAMAAuADIAOQAgACsAIAAoACAAIAAoADAALgAwADAANwAgACoAIAAoAEUAWABQACgAMAAuADAAMwA3ACAAKgAgAE4AXwBmAGoAQwBvAHQAdABvAG4AKQAgAC0AIAAxACkAKQAgAC8AIABOAF8AZgBqAEMAbwB0AHQAbwBuACAAIAApACAAKQApACAAKgAgADEAMAAgAF4AIAAtADIAXABuACAAIAApADsAXABuAFwAbgBWAEUARQBSAEcAXwA1AF8AMQBfADEAXwAyAF8AXwAzAF8ARQBtAGkAcwBzAGkAbwBuAEYAYQBjAHQAbwByAEMAbwB0AHQAbwBuAF8AVABpAHQAbABlAFwAbgAgACAAPQBMAEEATQBCAEQAQQAoAFwAIgBFAG0AaQBzAHMAaQBvAG4AIABmAGEAYwB0AG8AcgAgAGYAbwByACAAbgBpAHQAcgBvAHUAcwAgAG8AeABpAGQAZQAgAGYAbwByACAAYwBvAHQAdABvAG4AXAAiACkAOwBcAG4AXABuAFYARQBFAFIARwBfADUAXwAxAF8AMQBfADIAXwBfADMAXwBFAG0AaQBzAHMAaQBvAG4ARgBhAGMAdABvAHIAQwBvAHQAdABvAG4AXwBWAGEAcgBpAGEAYgBsAGUAXABuACAAIAA9AEwAQQBNAEIARABBACgAXAAiAEUARgBfAGYAagBDAG8AdAB0AG8AbgBOADIATwBcACIAKQA7AFwAbgBcAG4AVgBFAEUAUgBHAF8ANQBfADEAXwAxAF8AMgBfAF8AMwBfAEUAbQBpAHMAcwBpAG8AbgBGAGEAYwB0AG8AcgBDAG8AdAB0AG8AbgBfAFUAbgBpAHQAXABuACAAIAA9AEwAQQBNAEIARABBACgAXAAiAGsAZwAgAE4AMgBPAC0ATgAvAGsAZwAgAE4AIABhAHAAcABsAGkAZQBkAFwAIgApADsAXABuAFwAbgBWAEUARQBSAEcAXwA1AF8AMQBfADEAXwAyAF8AXwAzAF8ARQBtAGkAcwBzAGkAbwBuAEYAYQBjAHQAbwByAEMAbwB0AHQAbwBuAF8AUwBvAHUAcgBjAGUAXABuACAAIAA9AEwAQQBNAEIARABBACgAXAAiAFYARQBFAFIARwAgADIAMAAyADYAOgAgADUALgAxAC4AMQAuADIALAAgAEUAcQB1AGEAdABpAG8AbgAgACgAMwApAFwAIgApADsAXABuAFwAbgBWAEUARQBSAEcAXwA1AF8AMQBfADEAXwAyAF8AXwAzAF8ARQBtAGkAcwBzAGkAbwBuAEYAYQBjAHQAbwByAEMAbwB0AHQAbwBuAF8ATgBJAFIAUgBlAGYAZQByAGUAbgBjAGUAXABuACAAIAA9AEwAQQBNAEIARABBACgAXAAiAFwAIgApADsAXABuAFwAbgBWAEUARQBSAEcAXwA1AF8AMQBfADEAXwAyAF8AXwAzAF8ARQBtAGkAcwBzAGkAbwBuAEYAYQBjAHQAbwByAEMAbwB0AHQAbwBuAF8ATABhAHQAZQB4AEUAcQB1AGEAdABpAG8AbgBcAG4AIAAgAD0ATABBAE0AQgBEAEEAKABcACIARQBGAF8AewBmAGoAPQBjAG8AdAB0AG8AbgAsAE4AMgBPAH0APQAoADAALgAwADEAIABcAFwAdABpAG0AZQBzACAAKAAwAC4AMgA5ACAAKwAgAFwAXABmAHIAYQBjAHsAMAAuADAAMAA3ACgAZQBeAHsAMAAuADAAMwA3ACAAXABcAHQAaQBtAGUAcwAgAE4AXwB7AGYAagA9AGMAbwB0AHQAbwBuAH0AfQAtADEAKQB9AHsATgBfAHsAZgBqAD0AYwBvAHQAdABvAG4AfQB9ACkAKQAgAFwAXAB0AGkAbQBlAHMAIAAxADAAXgB7AC0AMgB9AFwAbgBcACIAKQA7AFwAbgBcAG4AVgBFAEUAUgBHAF8ANQBfADEAXwAxAF8AMgBfAF8AMwBfAEUAbQBpAHMAcwBpAG8AbgBGAGEAYwB0AG8AcgBDAG8AdAB0AG8AbgBfAEEAcgBnAHUAbQBlAG4AdABzAFwAbgAgACAAPQBMAEEATQBCAEQAQQAoAFwAbgAgACAAIAAgAE0AQQBLAEUAQQBSAFIAQQBZACgAMgAsACAANAAsACAAXABuACAAIAAgACAAIAAgAEwAQQBNAEIARABBACgAcgAsAGMALAAgAFwAbgAgACAAIAAgACAAIAAgACAASQBOAEQARQBYACgAewBcAG4AIAAgACAAIAAgACAAIAAgACAAIABcACIATgBfAGYAagBDAG8AdAB0AG8AbgBcACIALABcACIAYQBwAHAAbABpAGMAYQB0AGkAbwBuACAAcgBhAHQAZQAgAG8AZgAgAGkAbgBvAHIAZwBhAG4AaQBjACAAZgBlAHIAdABpAGwAaQBzAGUAcgAgAHQAeQBwAGUAIABmACAAaQBuACAAdABoAGUAIABjAG8AdAB0AG8Abg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IgB9ACwAewAiAHAAYQB0AGgAIgA6ACIALwBwAHIAbwBqAGUAYwB0AHMALwBGAGUAcgB0AGkAbABpAHMAZQByAF8ARQBxAHUAYQB0AGkAbwBuAHMAXwBJAG4AbwByAGcAYQBuAGkAYwBDAE8AM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EAIABJAG4AbwByAGcAYQBuAGkAYwAgAGYAZQByAHQAaQBsAGkAcwBlAHI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EAXwAxAF8AMwBfAF8AMQBfAEkAbgBvAHIAZwBhAG4AaQBjAEYAZQByAHQAaQBsAGkAcwBlAHIAQQBwAHAAbABpAGMAYQB0AGkAbwBuAEMATwAyAEUAbQBpAHMAcwBpAG8AbgBzAFwAbgBDAGEAcgBiAG8AbgAgAGQAaQBvAHgAaQBkAGUAIABlAG0AaQBzAHMAaQBvAG4AcwAgAHIAZQBzAHUAbAB0AGkAbgBnACAAZgByAG8AbQAgAHQAaABlACAAdQBzAGUAIABvAGYAIABhAGwAbAAgAGkAbgBvAHIAZwBhAG4AaQBjACwAIAB1AHIAZQBhAC0AYgBhAHMAZQBkACAAZgBlAHIAdABpAGwAaQBzAGUAcgBzAFwAbgBFAF8AQwBPADIAXABuAHQAIABDAE8AMgBcAG4ARQBfAHsAQwBPADIAfQA9AFwAXABzAHUAbQBfAHsAagB9AFwAXABzAHUAbQBfAHsAZgB9ACgAKABNAFUAXwB7AGoAZgB9AFwAXAB0AGkAbQBlAHMAIABFAEYAXwB7AHUAcgBlAGEALABDAE8AMgB9AFwAXAB0AGkAbQBlAHMAIABDAF8AewBDAE8AMgB9ACkAXABcAHQAaQBtAGUAcwAgADEAMABeAHsALQAzAH0AKQBcAG4ATQBVAF8AagBmAFwAbgBFAEYAXwB1AHIAZQBhAEMATwAyAFwAbgBDAF8AQwBPADIAXABuAGoAXABuAGYAXABuAC0ALQAtAC0ALQAtAC0ALQAtAC0ALQAtAC0ALQAtAC0ALQAtAC0ALQAtAC0ALQAtAC0ALQAtAC0ALQAtAC0ALQAtAC0ALQAtAC0ALQBcAG4AKgAvAFwAbgBcAG4AVgBFAEUAUgBHAF8ANQBfADEAXwAxAF8AMwBfAF8AMQBfAEkAbgBvAHIAZwBhAG4AaQBjAEYAZQByAHQAaQBsAGkAcwBlAHIAQQBwAHAAbABpAGMAYQB0AGkAbwBuAEMATwAyAEUAbQBpAHMAcwBpAG8AbgBzAFwAbgAgACAAPQBMAEEATQBCAEQAQQAoAFwAbgAgACAAIAAgAE0AVQBfAGoAZgAsACAARQBGAF8AdQByAGUAYQBDAE8AMgAsACAAQwBfAEMATwAyACwAXABuACAAIAAgACAAKABNAFUAXwBqAGYAIAAqACAARQBGAF8AdQByAGUAYQBDAE8AMgAgACoAIABDAF8AQwBPADIAKQAgACoAIAAxADAAIABeACAALQAzAFwAbgAgACAAKQA7AFwAbgBcAG4AVgBFAEUAUgBHAF8ANQBfADEAXwAxAF8AMwBfAF8AMQBfAEkAbgBvAHIAZwBhAG4AaQBjAEYAZQByAHQAaQBsAGkAcwBlAHIAQQBwAHAAbABpAGMAYQB0AGkAbwBuAEMATwAyAEUAbQBpAHMAcwBpAG8AbgBzAF8AVABpAHQAbABlAFwAbgAgACAAPQBMAEEATQBCAEQAQQAoAFwAIgBDAGEAcgBiAG8AbgAgAGQAaQBvAHgAaQBkAGUAIABlAG0AaQBzAHMAaQBvAG4AcwAgAHIAZQBzAHUAbAB0AGkAbgBnACAAZgByAG8AbQAgAHQAaABlACAAdQBzAGUAIABvAGYAIABhAGwAbAAgAGkAbgBvAHIAZwBhAG4AaQBjACwAIAB1AHIAZQBhAC0AYgBhAHMAZQBkACAAZgBlAHIAdABpAGwAaQBzAGUAcgBzAFwAIgApADsAXABuAFwAbgBWAEUARQBSAEcAXwA1AF8AMQBfADEAXwAzAF8AXwAxAF8ASQBuAG8AcgBnAGEAbgBpAGMARgBlAHIAdABpAGwAaQBzAGUAcgBBAHAAcABsAGkAYwBhAHQAaQBvAG4AQwBPADIARQBtAGkAcwBzAGkAbwBuAHMAXwBWAGEAcgBpAGEAYgBsAGUAXABuACAAIAA9AEwAQQBNAEIARABBACgAXAAiAEUAXwBDAE8AMgBcACIAKQA7AFwAbgBcAG4AVgBFAEUAUgBHAF8ANQBfADEAXwAxAF8AMwBfAF8AMQBfAEkAbgBvAHIAZwBhAG4AaQBjAEYAZQByAHQAaQBsAGkAcwBlAHIAQQBwAHAAbABpAGMAYQB0AGkAbwBuAEMATwAyAEUAbQBpAHMAcwBpAG8AbgBzAF8AVQBuAGkAdABcAG4AIAAgAD0ATABBAE0AQgBEAEEAKABcACIAdAAgAEMATwAyAFwAIgApADsAXABuAFwAbgBWAEUARQBSAEcAXwA1AF8AMQBfADEAXwAzAF8AXwAxAF8ASQBuAG8AcgBnAGEAbgBpAGMARgBlAHIAdABpAGwAaQBzAGUAcgBBAHAAcABsAGkAYwBhAHQAaQBvAG4AQwBPADIARQBtAGkAcwBzAGkAbwBuAHMAXwBTAG8AdQByAGMAZQBcAG4AIAAgAD0ATABBAE0AQgBEAEEAKABcACIAVgBFAEUAUgBHACAAMgAwADIANgA6ACAANQAuADEALgAxAC4AMwAsACAARQBxAHUAYQB0AGkAbwBuACAAKAAxACkAXAAiACkAOwBcAG4AXABuAFYARQBFAFIARwBfADUAXwAxAF8AMQBfADMAXwBfADEAXwBJAG4AbwByAGcAYQBuAGkAYwBGAGUAcgB0AGkAbABpAHMAZQByAEEAcABwAGwAaQBjAGEAdABpAG8AbgBDAE8AMgBFAG0AaQBzAHMAaQBvAG4AcwBfAE4ASQBSAFIAZQBmAGUAcgBlAG4AYwBlAFwAbgAgACAAPQBMAEEATQBCAEQAQQAoAFwAIgBcACIAKQA7AFwAbgBcAG4AVgBFAEUAUgBHAF8ANQBfADEAXwAxAF8AMwBfAF8AMQBfAEkAbgBvAHIAZwBhAG4AaQBjAEYAZQByAHQAaQBsAGkAcwBlAHIAQQBwAHAAbABpAGMAYQB0AGkAbwBuAEMATwAyAEUAbQBpAHMAcwBpAG8AbgBzAF8ATABhAHQAZQB4AEUAcQB1AGEAdABpAG8AbgBcAG4AIAAgAD0ATABBAE0AQgBEAEEAKABcACIARQBfAHsAQwBPADIAfQA9AFwAXABzAHUAbQBfAHsAagB9AFwAXABzAHUAbQBfAHsAZgB9ACgAKABNAFUAXwB7AGoAZgB9AFwAXAB0AGkAbQBlAHMAIABFAEYAXwB7AHUAcgBlAGEALABDAE8AMgB9AFwAXAB0AGkAbQBlAHMAIABDAF8AewBDAE8AMgB9ACkAXABcAHQAaQBtAGUAcwAgADEAMABeAHsALQAzAH0AKQBcACIAKQA7AFwAbgBcAG4AVgBFAEUAUgBHAF8ANQBfADEAXwAxAF8AMwBfAF8AMQBfAEkAbgBvAHIAZwBhAG4AaQBjAEYAZQByAHQAaQBsAGkAcwBlAHIAQQBwAHAAbABpAGMAYQB0AGkAbwBuAEMATwAyAEUAbQBpAHMAcwBpAG8AbgBzAF8AQQByAGcAdQBtAGUAbgB0AHMAXABuACAAIAA9AEwAQQBNAEIARABBACgAXABuACAAIAAgACAATQBBAEsARQBBAFIAUgBBAFkAKAA1ACwAIAA0ACwAIABcAG4AIAAgACAAIAAgACAATABBAE0AQgBEAEEAKAByACwAYwAsACAAXABuACAAIAAgACAAIAAgACAAIABJAE4ARABFAFgAKAB7AFwAbgAgACAAIAAgACAAIAAgACAAIAAgAFwAIgBNAFUAXwBqAGYAXAAiACwAXAAiAG0AYQBzAHMAIABvAGYAIAB1AHIAZQBhACAAbwBmACAAaQBuAG8AcgBnAGEAbgBpAGMAIABmAGUAcgB0AGkAbABpAHMAZQByACAAdAB5AHAAZQAgAGYAIABhAHAAcABsAGkAZQBkACAAdABvACAAcAByAG8AZAB1AGMAdABpAG8AbgAgAHMAeQBzAHQAZQBtACAAagBcACIALAAgAFwAIgBrAGcAIAB1AHIAZQBhAFwAIgAsACAAXAAiAEMAYQBsAGMAdQBsAGEAdABlAGQAXAAiADsAXABuACAAIAAgACAAIAAgACAAIAAgACAAXAAiAEUARgBfAHUAcgBlAGEAQwBPADIAXAAiACwAXAAiAGUAbQBpAHMAcwBpAG8AbgAgAGYAYQBjAHQAbwByACAAZgBvAHIAIABjAGEAcgBiAG8AbgAgAGUAbQBpAHMAcwBpAG8AbgBzACAAZgByAG8AbQAgAHUAcgBlAGEALQBiAGEAcwBlAGQAIABmAGUAcgB0AGkAbABpAHMAZQByAHMAXAAiACwAIABcACIAawBnACAAQwAvAGsAZwAgAHUAcgBlAGEAXAAiACwAIABcACIAQwBvAG4AcwB0AGEAbgB0AFwAIgA7AFwAbgAgACAAIAAgACAAIAAgACAAIAAgAFwAIgBDAF8AQwBPADIAXAAiACwAXAAiAGYAYQBjAHQAbwByACAAdABvACAAYwBvAG4AdgBlAHIAdAAgAGUAbABlAG0AZQBuAHQAYQBsACAAbQBhAHMAcwAgAG8AZgAgAGMAYQByAGIAbwBuACAAdABvACAAbQBvAGwAZQBjAHUAbABhAHIAIABtAGEAcwBzACAAbwBmACAAYwBhAHIAYgBvAG4AIABkAGkAbwB4AGkAZABlAFwAIgAsACAAXAAiAFwAIgAsACAAXAAiAEMAbwBuAHMAdABhAG4AdABcACIAOwBcAG4AIAAgACAAIAAgACAAIAAgACAAIABcACIAagBcACIALABcACIAUAByAG8AZAB1AGMAdABpAG8AbgAgAHMAeQBzAHQAZQBtAFwAIgAsACAAXAAiAFwAIgAsACAAXAAiAEkAbgBwAHUAdABcACIAOwBcAG4AIAAgACAAIAAgACAAIAAgACAAIABcACIAZgBcACIALABcACIASQBuAG8AcgBnAGEAbgBpAGMAIABmAGUAcgB0AGkAbABpAHMAZQByACAAdAB5AHAAZQBcACIALAAgAFwAIgBcACIALAAgAFwAIgBMAG8AbwBrAHUAcABcACIAXABuACAAIAAgACAAIAAgACAAIAB9ACwAIAByACwAIABjACkAXABuACAAIAAgACAAIAAgACkAXABuACAAIAAgACAAKQBcAG4AIAAgACkAOwBcAG4AXABuAC8AKgAgAFwAbgAtAC0ALQAtAC0ALQAtAC0ALQAtAC0ALQAtAC0ALQAtAC0ALQAtAC0ALQAtAC0ALQAtAC0ALQAtAC0ALQAtAC0ALQAtAC0ALQAtAC0AXABuAFYARQBFAFIARwBfADUAXwAxAF8AMQBfADMAXwBfADIAXwBNAGEAcwBzAE8AZgBVAHIAZQBhAEkAbgBJAG4AbwByAGcAYQBuAGkAYwBGAGUAcgB0AGkAbABpAHMAZQByAFwAbgBNAGEAcwBzACAAbwBmACAAdQByAGUAYQAgAGEAcABwAGwAaQBlAGQAIAB0AG8AIABwAHIAbwBkAHUAYwB0AGkAbwBuACAAcwB5AHMAdABlAG0AXABuAE0AVQBfAGoAZgBcAG4AawBnACAAdQByAGUAYQBcAG4AewBNAFUAfQBfAHsAagBmAH0APQBUAE0AXwB7AGoAZgB9AFwAXAB0AGkAbQBlAHMAIABGAFUAXwBmAFwAbgBUAE0AXwBqAGYAXABuAEYAVQBfAGYAXABuAGoAXABuAGYAXABuAC0ALQAtAC0ALQAtAC0ALQAtAC0ALQAtAC0ALQAtAC0ALQAtAC0ALQAtAC0ALQAtAC0ALQAtAC0ALQAtAC0ALQAtAC0ALQAtAC0ALQBcAG4AKgAvAFwAbgBcAG4AVgBFAEUAUgBHAF8ANQBfADEAXwAxAF8AMwBfAF8AMgBfAE0AYQBzAHMATwBmAFUAcgBlAGEASQBuAEkAbgBvAHIAZwBhAG4AaQBjAEYAZQByAHQAaQBsAGkAcwBlAHIAXABuACAAIAA9AEwAQQBNAEIARABBACgAXABuACAAIAAgACAAVABNAF8AagBmACwAIABGAFUAXwBmACwAXABuACAAIAAgACAAVABNAF8AagBmACAAKgAgAEYAVQBfAGYAXABuACAAIAApADsAXABuAFwAbgBWAEUARQBSAEcAXwA1AF8AMQBfADEAXwAzAF8AXwAyAF8ATQBhAHMAcwBPAGYAVQByAGUAYQBJAG4ASQBuAG8AcgBnAGEAbgBpAGMARgBlAHIAdABpAGwAaQBzAGUAcgBfAFQAaQB0AGwAZQBcAG4AIAAgAD0ATABBAE0AQgBEAEEAKABcACIATQBhAHMAcwAgAG8AZgAgAHUAcgBlAGEAIABhAHAAcABsAGkAZQBkACAAdABvACAAcAByAG8AZAB1AGMAdABpAG8AbgAgAHMAeQBzAHQAZQBtAFwAIgApADsAXABuAFwAbgBWAEUARQBSAEcAXwA1AF8AMQBfADEAXwAzAF8AXwAyAF8ATQBhAHMAcwBPAGYAVQByAGUAYQBJAG4ASQBuAG8AcgBnAGEAbgBpAGMARgBlAHIAdABpAGwAaQBzAGUAcgBfAFYAYQByAGkAYQBiAGwAZQBcAG4AIAAgAD0ATABBAE0AQgBEAEEAKABcACIATQBVAF8AagBmAFwAIgApADsAXABuAFwAbgBWAEUARQBSAEcAXwA1AF8AMQBfADEAXwAzAF8AXwAyAF8ATQBhAHMAcwBPAGYAVQByAGUAYQBJAG4ASQBuAG8AcgBnAGEAbgBpAGMARgBlAHIAdABpAGwAaQBzAGUAcgBfAFUAbgBpAHQAXABuACAAIAA9AEwAQQBNAEIARABBACgAXAAiAGsAZwAgAHUAcgBlAGEAXAAiACkAOwBcAG4AXABuAFYARQBFAFIARwBfADUAXwAxAF8AMQBfADMAXwBfADIAXwBNAGEAcwBzAE8AZgBVAHIAZQBhAEkAbgBJAG4AbwByAGcAYQBuAGkAYwBGAGUAcgB0AGkAbABpAHMAZQByAF8AUwBvAHUAcgBjAGUAXABuACAAIAA9AEwAQQBNAEIARABBACgAXAAiAFYARQBFAFIARwAgADIAMAAyADYAOgAgADUALgAxAC4AMQAuADMALAAgAEUAcQB1AGEAdABpAG8AbgAgACgAMgApAFwAIgApADsAXABuAFwAbgBWAEUARQBSAEcAXwA1AF8AMQBfADEAXwAzAF8AXwAyAF8ATQBhAHMAcwBPAGYAVQByAGUAYQBJAG4ASQBuAG8AcgBnAGEAbgBpAGMARgBlAHIAdABpAGwAaQBzAGUAcgBfAE4ASQBSAFIAZQBmAGUAcgBlAG4AYwBlAFwAbgAgACAAPQBMAEEATQBCAEQAQQAoAFwAIgBcACIAKQA7AFwAbgBcAG4AVgBFAEUAUgBHAF8ANQBfADEAXwAxAF8AMwBfAF8AMgBfAE0AYQBzAHMATwBmAFUAcgBlAGEASQBuAEkAbgBvAHIAZwBhAG4AaQBjAEYAZQByAHQAaQBsAGkAcwBlAHIAXwBMAGEAdABlAHgARQBxAHUAYQB0AGkAbwBuAFwAbgAgACAAPQBMAEEATQBCAEQAQQAoAFwAIgB7AE0AVQB9AF8AewBqAGYAfQA9AFQATQBfAHsAagBmAH0AXABcAHQAaQBtAGUAcwAgAEYAVQBfAGYAXAAiACkAOwBcAG4AXABuAFYARQBFAFIARwBfADUAXwAxAF8AMQBfADMAXwBfADIAXwBNAGEAcwBzAE8AZgBVAHIAZQBhAEkAbgBJAG4AbwByAGcAYQBuAGkAYwBGAGUAcgB0AGkAbABpAHMAZQByAF8AQQByAGcAdQBtAGUAbgB0AHMAXABuACAAIAA9AEwAQQBNAEIARABBACgAXABuACAAIAAgACAATQBBAEsARQBBAFIAUgBBAFkAKAAyACwAIAA0ACwAIABcAG4AIAAgACAAIAAgACAATABBAE0AQgBEAEEAKAByACwAYwAsACAAXABuACAAIAAgACAAIAAgACAAIABJAE4ARABFAFgAKAB7AFwAbgAgACAAIAAgACAAIAAgACAAIAAgAFwAIgBUAE0AXwBqAGYAXAAiACwAXAAiAHQAbwB0AGEAbAAgAG0AYQBzAHMAIABvAGYAIABpAG4AbwByAGcAYQBuAGkAYwAgAGYAZQByAHQAaQBsAGkAcwBlAHIAIAB0AHkAcABlACAAZgAgAGEAcABwAGwAaQBlAGQAIAB0AG8AIABwAHIAbwBkAHUAYwB0AGkAbwBuACAAcwB5AHMAdABlAG0AIABqAFwAIgAsAFwAIgBrAGcAXAAiACwAIABcACIASQBuAHAAdQB0AFwAIgA7AFwAbgAgACAAIAAgACAAIAAgACAAIAAgAFwAIgBGAFUAXwBmAFwAIgAsAFwAIgBmAHIAYQBjAHQAaQBvAG4AIABvAGYAIAB1AHIAZQBhACAAaQBuACAAZgBlAHIAdABpAGwAaQBzAGUAcgAgAHQAeQBwAGUAIABmAFwAIgAsAFwAIgBrAGcAIAB1AHIAZQBhAC8AawBnAFwAIgAsACAAXAAiAEwAbwBvAGsAdQBwAFwAIgBcAG4AIAAgACAAIAAgACAAIAAgAH0ALAAgAHIALAAgAGMAKQBcAG4AIAAgACAAIAAgACAAKQBcAG4AIAAgACAAIAApAFwAbgAgACAAKQA7AFwAbgAiAH0ALAB7ACIAcABhAHQAaAAiADoAIgAvAHAAcgBvAGoAZQBjAHQAcwAvAEYAZQByAHQAaQBsAGkAcwBlAHIAXwBFAHEAdQBhAHQAaQBvAG4AcwBfAE8AcgBnAGEAbgBpAGMATgAyAE8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yACAATwByAGcAYQBuAGkAYwAgAGYAZQByAHQAaQBsAGkAcwBlAHI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IAXwAxAF8AMQBfAF8AMQBfAE8AcgBnAGEAbgBpAGMARgBlAHIAdABpAGwAaQBzAGUAcgBBAHAAcABsAGkAYwBhAHQAaQBvAG4ATgAyAE8ARQBtAGkAcwBzAGkAbwBuAHMAXABuAE4AaQB0AHIAbwB1AHMAIABvAHgAaQBkAGUAIABlAG0AaQBzAHMAaQBvAG4AcwAgAGYAcgBvAG0AIAB0AGgAZQAgAGEAcABwAGwAaQBjAGEAdABpAG8AbgAgAG8AZgAgAGEAbABsACAAbwByAGcAYQBuAGkAYwAgAGYAZQByAHQAaQBsAGkAcwBlAHIAIAB0AHkAcABlAHMAIABmACAAdABvACAAYQBsAGwAIABwAHIAbwBkAHUAYwB0AGkAbwBuACAAcwB5AHMAdABlAG0AcwAgAGoAXABuAEUAXwBOADIATwBcAG4AdAAgAE4AMgBPAFwAbgBFAF8AewBOADIATwB9AD0AXABcAHMAdQBtAF8AewBqAH0AXABcAHMAdQBtAF8AewBmAH0AKAAoAE0ATgBTAG8AaQBsAF8AewBqAGYAfQBcAFwAdABpAG0AZQBzACAARQBGAF8AewBOADIATwAsAGkAfQBcAFwAdABpAG0AZQBzACAAQwBfAHsATgAyAE8AfQApAFwAXAB0AGkAbQBlAHMAIAAxADAAXgB7AC0AMwB9ACkAXABuAE0ATgBTAG8AaQBsAF8AagBmAFwAbgBFAEYAXwBOADIATwBpAFwAbgBDAF8ATgAyAE8AXABuAGoAXABuAGkAXABuAGYAXABuAC0ALQAtAC0ALQAtAC0ALQAtAC0ALQAtAC0ALQAtAC0ALQAtAC0ALQAtAC0ALQAtAC0ALQAtAC0ALQAtAC0ALQAtAC0ALQAtAC0ALQBcAG4AKgAvAFwAbgBcAG4AVgBFAEUAUgBHAF8ANQBfADIAXwAxAF8AMQBfAF8AMQBfAE8AcgBnAGEAbgBpAGMARgBlAHIAdABpAGwAaQBzAGUAcgBBAHAAcABsAGkAYwBhAHQAaQBvAG4ATgAyAE8ARQBtAGkAcwBzAGkAbwBuAHMAXABuACAAIAA9AEwAQQBNAEIARABBACgAXABuACAAIAAgACAATQBOAFMAbwBpAGwAXwBqAGYALAAgAEUARgBfAE4AMgBPAGkALAAgAEMAXwBOADIATwAsAFwAbgAgACAAIAAgACgATQBOAFMAbwBpAGwAXwBqAGYAIAAqACAARQBGAF8ATgAyAE8AaQAgACoAIABDAF8ATgAyAE8AKQAgACoAIAAxADAAIABeACAALQAzAFwAbgAgACAAKQA7AFwAbgBcAG4AVgBFAEUAUgBHAF8ANQBfADIAXwAxAF8AMQBfAF8AMQBfAE8AcgBnAGEAbgBpAGMARgBlAHIAdABpAGwAaQBzAGUAcgBBAHAAcABsAGkAYwBhAHQAaQBvAG4ATgAyAE8ARQBtAGkAcwBzAGkAbwBuAHMAXwBUAGkAdABsAGUAXABuACAAIAA9AEwAQQBNAEIARABBACgAXAAiAE4AaQB0AHIAbwB1AHMAIABvAHgAaQBkAGUAIABlAG0AaQBzAHMAaQBvAG4AcwAgAGYAcgBvAG0AIAB0AGgAZQAgAGEAcABwAGwAaQBjAGEAdABpAG8AbgAgAG8AZgAgAGEAbABsACAAbwByAGcAYQBuAGkAYwAgAGYAZQByAHQAaQBsAGkAcwBlAHIAIAB0AHkAcABlAHMAIABmACAAdABvACAAYQBsAGwAIABwAHIAbwBkAHUAYwB0AGkAbwBuACAAcwB5AHMAdABlAG0AcwAgAGoAXAAiACkAOwBcAG4AXABuAFYARQBFAFIARwBfADUAXwAyAF8AMQBfADEAXwBfADEAXwBPAHIAZwBhAG4AaQBjAEYAZQByAHQAaQBsAGkAcwBlAHIAQQBwAHAAbABpAGMAYQB0AGkAbwBuAE4AMgBPAEUAbQBpAHMAcwBpAG8AbgBzAF8AVgBhAHIAaQBhAGIAbABlAFwAbgAgACAAPQBMAEEATQBCAEQAQQAoAFwAIgBFAF8ATgAyAE8AXAAiACkAOwBcAG4AXABuAFYARQBFAFIARwBfADUAXwAyAF8AMQBfADEAXwBfADEAXwBPAHIAZwBhAG4AaQBjAEYAZQByAHQAaQBsAGkAcwBlAHIAQQBwAHAAbABpAGMAYQB0AGkAbwBuAE4AMgBPAEUAbQBpAHMAcwBpAG8AbgBzAF8AVQBuAGkAdABcAG4AIAAgAD0ATABBAE0AQgBEAEEAKABcACIAdAAgAE4AMgBPAFwAIgApADsAXABuAFwAbgBWAEUARQBSAEcAXwA1AF8AMgBfADEAXwAxAF8AXwAxAF8ATwByAGcAYQBuAGkAYwBGAGUAcgB0AGkAbABpAHMAZQByAEEAcABwAGwAaQBjAGEAdABpAG8AbgBOADIATwBFAG0AaQBzAHMAaQBvAG4AcwBfAFMAbwB1AHIAYwBlAFwAbgAgACAAPQBMAEEATQBCAEQAQQAoAFwAIgBWAEUARQBSAEcAIAAyADAAMgA2ADoAIAA1AC4AMgAuADEALgAxACwAIABFAHEAdQBhAHQAaQBvAG4AIAAoADEAKQBcACIAKQA7AFwAbgBcAG4AVgBFAEUAUgBHAF8ANQBfADIAXwAxAF8AMQBfAF8AMQBfAE8AcgBnAGEAbgBpAGMARgBlAHIAdABpAGwAaQBzAGUAcgBBAHAAcABsAGkAYwBhAHQAaQBvAG4ATgAyAE8ARQBtAGkAcwBzAGkAbwBuAHMAXwBOAEkAUgBSAGUAZgBlAHIAZQBuAGMAZQBcAG4AIAAgAD0ATABBAE0AQgBEAEEAKABcACIAXAAiACkAOwBcAG4AXABuAFYARQBFAFIARwBfADUAXwAyAF8AMQBfADEAXwBfADEAXwBPAHIAZwBhAG4AaQBjAEYAZQByAHQAaQBsAGkAcwBlAHIAQQBwAHAAbABpAGMAYQB0AGkAbwBuAE4AMgBPAEUAbQBpAHMAcwBpAG8AbgBzAF8ATABhAHQAZQB4AEUAcQB1AGEAdABpAG8AbgBcAG4AIAAgAD0ATABBAE0AQgBEAEEAKABcACIARQBfAHsATgAyAE8AfQA9AFwAXABzAHUAbQBfAHsAagB9AFwAXABzAHUAbQBfAHsAZgB9ACgAKABNAE4AUwBvAGkAbABfAHsAagBmAH0AXABcAHQAaQBtAGUAcwAgAEUARgBfAHsATgAyAE8ALABpAH0AXABcAHQAaQBtAGUAcwAgAEMAXwB7AE4AMgBPAH0AKQBcAFwAdABpAG0AZQBzACAAMQAwAF4AewAtADMAfQApAFwAIgApADsAXABuAFwAbgBWAEUARQBSAEcAXwA1AF8AMgBfADEAXwAxAF8AXwAxAF8ATwByAGcAYQBuAGkAYwBGAGUAcgB0AGkAbABpAHMAZQByAEEAcABwAGwAaQBjAGEAdABpAG8AbgBOADIATwBFAG0AaQBzAHMAaQBvAG4AcwBfAEEAcgBnAHUAbQBlAG4AdABzAFwAbgAgACAAPQBMAEEATQBCAEQAQQAoAFwAbgAgACAAIAAgAE0AQQBLAEUAQQBSAFIAQQBZACgANQAsACAANAAsACAAXABuACAAIAAgACAAIAAgAEwAQQBNAEIARABBACgAcgAsAGMALAAgAFwAbgAgACAAIAAgACAAIAAgACAASQBOAEQARQBYACgAewBcAG4AIAAgACAAIAAgACAAIAAgACAAIABcACIATQBOAFMAbwBpAGwAXwBqAGYAXAAiACwAXAAiAG0AYQBzAHMAIABvAGYAIABuAGkAdAByAG8AZwBlAG4AIABpAG4AIABvAHIAZwBhAG4AaQBjACAAZgBlAHIAdABpAGwAaQBzAGUAcgAgAHQAeQBwAGUAIABmACAAYQBwAHAAbABpAGUAZAAgAHQAbwAgAHAAcgBvAGQAdQBjAHQAaQBvAG4AIABzAHkAcwB0AGUAbQAgAGoAXAAiACwAIABcACIAawBnACAATgBcACIALAAgAFwAIgBDAGEAbABjAHUAbABhAHQAZQBkACAAZgByAG8AbQAgADUALgAyAC4AMQAuADEAIAAoADIAKQBcACIAOwBcAG4AIAAgACAAIAAgACAAIAAgACAAIABcACIARQBGAF8ATgAyAE8AaQBcACIALABcACIAZQBtAGkAcwBzAGkAbwBuACAAZgBhAGMAdABvAHIAIABmAG8AcgAgAGQAaQByAGUAYwB0ACAAbgBpAHQAcgBvAHUAcwAgAG8AeABpAGQAZQAgAGUAbQBpAHMAcwBpAG8AbgBzACAAZgByAG8AbQAgAG8AcgBnAGEAbgBpAGMAIABmAGUAcgB0AGkAbABpAHMAZQByACAAYQBwAHAAbABpAGUAZAAgAHQAbwAgAHMAbwBpAGwAcwAgAGEAbgBkACAAYQBxAHUAYQB0AGkAYwAgAHMAeQBzAHQAZQBtAHMAIABpAG4AIABjAGwAaQBtAGEAdABlACAAegBvAG4AZQAgAGkAXAAiACwAIABcACIAawBnACAATgAyAE8ALQBOAC8AawBnACAATgBcACIALAAgAFwAIgBMAG8AbwBrAHUAc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aQBcACIALABcACIAVwBlAHQAIABvAHIAIABkAHIAeQAgAGMAbABpAG0AYQB0AGUAIAB6AG8Abg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yAF8AMQBfADEAXwBfADIAXwBNAGEAcwBzAE8AZgBOAGkAdAByAG8AZwBlAG4ASQBuAE8AcgBnAGEAbgBpAGMARgBlAHIAdABpAGwAaQBzAGUAcgBcAG4ATQBhAHMAcwAgAG8AZgAgAG4AaQB0AHIAbwBnAGUAbgAgAGkAbgAgAHAAdQByAGMAaABhAHMAZQBkACAAbwByAGcAYQBuAGkAYwAgAGYAZQByAHQAaQBsAGkAcwBlAHIAcwAgAGEAcABwAGwAaQBlAGQAIAB0AG8AIABwAHIAbwBkAHUAYwB0AGkAbwBuACAAcwB5AHMAdABlAG0AXABuAE0ATgBTAG8AaQBsAF8AagBmAFwAbgBrAGcAIABOAFwAbgBNAE4AUwBvAGkAbABfAHsAagBmAH0APQBNAF8AewBvAHIAZwBhAG4AaQBjACwAagBmAH0AXABcAHQAaQBtAGUAcwAgAEYATgBfAHsAbwByAGcAYQBuAGkAYwAsAGYAfQBcAG4ATQBfAG8AcgBnAGEAbgBpAGMAagBmAFwAbgBGAE4AXwBvAHIAZwBhAG4AaQBjAGYAXABuAGoAXABuAGYAXABuAC0ALQAtAC0ALQAtAC0ALQAtAC0ALQAtAC0ALQAtAC0ALQAtAC0ALQAtAC0ALQAtAC0ALQAtAC0ALQAtAC0ALQAtAC0ALQAtAC0ALQBcAG4AKgAvAFwAbgBcAG4AVgBFAEUAUgBHAF8ANQBfADIAXwAxAF8AMQBfAF8AMgBfAE0AYQBzAHMATwBmAE4AaQB0AHIAbwBnAGUAbgBJAG4ATwByAGcAYQBuAGkAYwBGAGUAcgB0AGkAbABpAHMAZQByAFwAbgAgACAAPQBMAEEATQBCAEQAQQAoAFwAbgAgACAAIAAgAE0AXwBvAHIAZwBhAG4AaQBjAGoAZgAsACAARgBOAF8AbwByAGcAYQBuAGkAYwBmACwAXABuACAAIAAgACAATQBfAG8AcgBnAGEAbgBpAGMAagBmACAAKgAgAEYATgBfAG8AcgBnAGEAbgBpAGMAZgBcAG4AIAAgACkAOwBcAG4AXABuAFYARQBFAFIARwBfADUAXwAyAF8AMQBfADEAXwBfADIAXwBNAGEAcwBzAE8AZgBOAGkAdAByAG8AZwBlAG4ASQBuAE8AcgBnAGEAbgBpAGMARgBlAHIAdABpAGwAaQBzAGUAcgBfAFQAaQB0AGwAZQBcAG4AIAAgAD0ATABBAE0AQgBEAEEAKABcACIATQBhAHMAcwAgAG8AZgAgAG4AaQB0AHIAbwBnAGUAbgAgAGkAbgAgAHAAdQByAGMAaABhAHMAZQBkACAAbwByAGcAYQBuAGkAYwAgAGYAZQByAHQAaQBsAGkAcwBlAHIAcwAgAGEAcABwAGwAaQBlAGQAIAB0AG8AIABwAHIAbwBkAHUAYwB0AGkAbwBuACAAcwB5AHMAdABlAG0AXAAiACkAOwBcAG4AXABuAFYARQBFAFIARwBfADUAXwAyAF8AMQBfADEAXwBfADIAXwBNAGEAcwBzAE8AZgBOAGkAdAByAG8AZwBlAG4ASQBuAE8AcgBnAGEAbgBpAGMARgBlAHIAdABpAGwAaQBzAGUAcgBfAFYAYQByAGkAYQBiAGwAZQBcAG4AIAAgAD0ATABBAE0AQgBEAEEAKABcACIATQBOAFMAbwBpAGwAXwBqAGYAXAAiACkAOwBcAG4AXABuAFYARQBFAFIARwBfADUAXwAyAF8AMQBfADEAXwBfADIAXwBNAGEAcwBzAE8AZgBOAGkAdAByAG8AZwBlAG4ASQBuAE8AcgBnAGEAbgBpAGMARgBlAHIAdABpAGwAaQBzAGUAcgBfAFUAbgBpAHQAXABuACAAIAA9AEwAQQBNAEIARABBACgAXAAiAGsAZwAgAE4AXAAiACkAOwBcAG4AXABuAFYARQBFAFIARwBfADUAXwAyAF8AMQBfADEAXwBfADIAXwBNAGEAcwBzAE8AZgBOAGkAdAByAG8AZwBlAG4ASQBuAE8AcgBnAGEAbgBpAGMARgBlAHIAdABpAGwAaQBzAGUAcgBfAFMAbwB1AHIAYwBlAFwAbgAgACAAPQBMAEEATQBCAEQAQQAoAFwAIgBWAEUARQBSAEcAIAAyADAAMgA2ADoAIAA1AC4AMgAuADEALgAxACwAIABFAHEAdQBhAHQAaQBvAG4AIAAoADIAKQBcACIAKQA7AFwAbgBcAG4AVgBFAEUAUgBHAF8ANQBfADIAXwAxAF8AMQBfAF8AMgBfAE0AYQBzAHMATwBmAE4AaQB0AHIAbwBnAGUAbgBJAG4ATwByAGcAYQBuAGkAYwBGAGUAcgB0AGkAbABpAHMAZQByAF8ATgBJAFIAUgBlAGYAZQByAGUAbgBjAGUAXABuACAAIAA9AEwAQQBNAEIARABBACgAXAAiAFwAIgApADsAXABuAFwAbgBWAEUARQBSAEcAXwA1AF8AMgBfADEAXwAxAF8AXwAyAF8ATQBhAHMAcwBPAGYATgBpAHQAcgBvAGcAZQBuAEkAbgBPAHIAZwBhAG4AaQBjAEYAZQByAHQAaQBsAGkAcwBlAHIAXwBMAGEAdABlAHgARQBxAHUAYQB0AGkAbwBuAFwAbgAgACAAPQBMAEEATQBCAEQAQQAoAFwAIgBNAE4AUwBvAGkAbABfAHsAagBmAH0APQBNAF8AewBvAHIAZwBhAG4AaQBjACwAagBmAH0AXABcAHQAaQBtAGUAcwAgAEYATgBfAHsAbwByAGcAYQBuAGkAYwAsAGYAfQBcACIAKQA7AFwAbgBcAG4AVgBFAEUAUgBHAF8ANQBfADIAXwAxAF8AMQBfAF8AMgBfAE0AYQBzAHMATwBmAE4AaQB0AHIAbwBnAGUAbgBJAG4ATwByAGcAYQBuAGkAYwBGAGUAcgB0AGkAbABpAHMAZQByAF8AQQByAGcAdQBtAGUAbgB0AHMAXABuACAAIAA9AEwAQQBNAEIARABBACgAXABuACAAIAAgACAATQBBAEsARQBBAFIAUgBBAFkAKAAzACwAIAA0ACwAIABcAG4AIAAgACAAIAAgACAATABBAE0AQgBEAEEAKAByACwAYwAsACAAXABuACAAIAAgACAAIAAgACAAIABJAE4ARABFAFgAKAB7AFwAbgAgACAAIAAgACAAIAAgACAAIAAgAFwAIgBNAF8AbwByAGcAYQBuAGkAYwBqAGYAXAAiACwAXAAiAG0AYQBzAHMAIABvAGYAIABvAHIAZwBhAG4AaQBjACAAZgBlAHIAdABpAGwAaQBzAGUAcgAgAHQAeQBwAGUAIABmACAAYQBwAHAAbABpAGUAZAAgAHQAbwAgAHAAcgBvAGQAdQBjAHQAaQBvAG4AIABzAHkAcwB0AGUAbQAgAGoAXAAiACwAIABcACIAawBnAFwAIgAsACAAXAAiAEkAbgBwAHUAdABcACIAOwBcAG4AIAAgACAAIAAgACAAIAAgACAAIABcACIARgBOAF8AbwByAGcAYQBuAGkAYwBmAFwAIgAsAFwAIgBuAGkAdAByAG8AZwBlAG4AIABmAHIAYQBjAHQAaQBvAG4AIABvAGYAIABvAHIAZwBhAG4AaQBjACAAZgBlAHIAdABpAGwAaQBzAGUAcgAgAHQAeQBwAGUAIABmAFwAIgAsACAAXAAiAGsAZwAgAE4ALwBrAGcAXAAiACwAIABcACIASQBuAHAAdQB0AFwAIgA7AFwAbgAgACAAIAAgACAAIAAgACAAIAAgAFwAIgBmAFwAIgAsAFwAIgBPAHIAZwBhAG4AaQBjACAAZgBlAHIAdABpAGwAaQBzAGUAcgAgAHQAeQBwAGUAXAAiACwAIABcACIAXAAiACwAIABcACIASQBuAHAAdQB0AFwAIgBcAG4AIAAgACAAIAAgACAAIAAgAH0ALAAgAHIALAAgAGMAKQBcAG4AIAAgACAAIAAgACAAKQBcAG4AIAAgACAAIAApAFwAbgAgACAAKQA7AFwAbgAiAH0ALAB7ACIAcABhAHQAaAAiADoAIgAvAHAAcgBvAGoAZQBjAHQAcwAvAEYAZQByAHQAaQBsAGkAcwBlAHIAXwBFAHEAdQBhAHQAaQBvAG4AcwBfAEwAaQBtAGU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zACAATABpAG0AZQAgAGEAcABwAGwAaQBjAGEAdABpAG8AbgBcAG4APQA9AD0APQA9AD0APQA9AD0APQA9AD0APQA9AD0APQA9AD0APQA9AD0APQA9AD0APQA9AD0APQA9AD0APQA9AD0APQA9AD0APQA9AFwAbgAqAC8AXABuAFwAbgAvACoAIABcAG4ALQAtAC0ALQAtAC0ALQAtAC0ALQAtAC0ALQAtAC0ALQAtAC0ALQAtAC0ALQAtAC0ALQAtAC0ALQAtAC0ALQAtAC0ALQAtAC0ALQAtAFwAbgBWAEUARQBSAEcAXwA1AF8AMwBfADEAXwAxAF8AXwAxAF8ATABpAG0AZQBBAHAAcABsAGkAYwBhAHQAaQBvAG4AQwBPADIARQBtAGkAcwBzAGkAbwBuAHMAXABuAEUAbQBpAHMAcwBpAG8AbgBzACAAZgByAG8AbQAgAHQAaABlACAAYQBwAHAAbABpAGMAYQB0AGkAbwBuACAAbwBmACAAbABpAG0AZQAgAGEAbgBkACAAZABvAGwAbwBtAGkAdABlACAAdABvACAAcAByAG8AZAB1AGMAdABpAG8AbgAgAHMAeQBzAHQAZQBtAHMAXABuAEUAXwBsAGkAbQBlAFwAbgB0ACAAQwBPADIAXABuAEUAXwB7AGwAaQBtAGUAfQA9AFsAKABNAF8AewBsAGkAbQBlAH0AXABcAHQAaQBtAGUAcwAgAEYAcgBhAGMATABpAG0AZQBcAFwAdABpAG0AZQBzACAAUABfAHsAbABpAG0AZQB9AFwAXAB0AGkAbQBlAHMAIABFAEYAXwB7AGwAaQBtAGUAfQApACsAKABNAF8AewBsAGkAbQBlAH0AXABcAHQAaQBtAGUAcwAgAEYAcgBhAGMARABvAGwAXABcAHQAaQBtAGUAcwAgAFAAXwB7AGQAbwBsAH0AXABcAHQAaQBtAGUAcwAgAEUARgBfAHsAZABvAGwAfQApAF0AXABcAHQAaQBtAGUAcwAgAEMAXwB7AEMATwAyAH0AXABcAHQAaQBtAGUAcwAgADEAMABeAHsALQAzAH0AXABuAE0AXwBsAGkAbQBlAFwAbgBGAHIAYQBjAEwAaQBtAGUAXABuAFAAXwBsAGkAbQBlAFwAbgBFAEYAXwBsAGkAbQBlAFwAbgBGAHIAYQBjAEQAbwBsAFwAbgBQAF8AZABvAGwAXABuAEUARgBfAGQAbwBsAFwAbgBDAF8AQwBPADIAXABuAC0ALQAtAC0ALQAtAC0ALQAtAC0ALQAtAC0ALQAtAC0ALQAtAC0ALQAtAC0ALQAtAC0ALQAtAC0ALQAtAC0ALQAtAC0ALQAtAC0ALQBcAG4AKgAvAFwAbgBcAG4AVgBFAEUAUgBHAF8ANQBfADMAXwAxAF8AMQBfAF8AMQBfAEwAaQBtAGUAQQBwAHAAbABpAGMAYQB0AGkAbwBuAEMATwAyAEUAbQBpAHMAcwBpAG8AbgBzAFwAbgAgACAAPQBMAEEATQBCAEQAQQAoAFwAbgAgACAAIAAgAE0AXwBsAGkAbQBlACwAIABGAHIAYQBjAEwAaQBtAGUALAAgAFAAXwBsAGkAbQBlACwAIABFAEYAXwBsAGkAbQBlACwAIABGAHIAYQBjAEQAbwBsACwAIABQAF8AZABvAGwALAAgAEUARgBfAGQAbwBsACwAIABDAF8AQwBPADIALABcAG4AIAAgACAAIAAoACgATQBfAGwAaQBtAGUAIAAqACAARgByAGEAYwBMAGkAbQBlACAAKgAgAFAAXwBsAGkAbQBlACAAKgAgAEUARgBfAGwAaQBtAGUAKQAgACsAIAAoAE0AXwBsAGkAbQBlACAAKgAgAEYAcgBhAGMARABvAGwAIAAqACAAUABfAGQAbwBsACAAKgAgAEUARgBfAGQAbwBsACkAKQAgACoAIABDAF8AQwBPADIAIAAqACAAMQAwACAAXgAgAC0AMwBcAG4AIAAgACkAOwBcAG4AXABuAFYARQBFAFIARwBfADUAXwAzAF8AMQBfADEAXwBfADEAXwBMAGkAbQBlAEEAcABwAGwAaQBjAGEAdABpAG8AbgBDAE8AMgBFAG0AaQBzAHMAaQBvAG4AcwBfAFQAaQB0AGwAZQBcAG4AIAAgAD0ATABBAE0AQgBEAEEAKABcACIARQBtAGkAcwBzAGkAbwBuAHMAIABmAHIAbwBtACAAdABoAGUAIABhAHAAcABsAGkAYwBhAHQAaQBvAG4AIABvAGYAIABsAGkAbQBlACAAYQBuAGQAIABkAG8AbABvAG0AaQB0AGUAIAB0AG8AIABwAHIAbwBkAHUAYwB0AGkAbwBuACAAcwB5AHMAdABlAG0AcwBcACIAKQA7AFwAbgBcAG4AVgBFAEUAUgBHAF8ANQBfADMAXwAxAF8AMQBfAF8AMQBfAEwAaQBtAGUAQQBwAHAAbABpAGMAYQB0AGkAbwBuAEMATwAyAEUAbQBpAHMAcwBpAG8AbgBzAF8AVgBhAHIAaQBhAGIAbABlAFwAbgAgACAAPQBMAEEATQBCAEQAQQAoAFwAIgBFAF8AbABpAG0AZQBcACIAKQA7AFwAbgBcAG4AVgBFAEUAUgBHAF8ANQBfADMAXwAxAF8AMQBfAF8AMQBfAEwAaQBtAGUAQQBwAHAAbABpAGMAYQB0AGkAbwBuAEMATwAyAEUAbQBpAHMAcwBpAG8AbgBzAF8AVQBuAGkAdABcAG4AIAAgAD0ATABBAE0AQgBEAEEAKABcACIAdAAgAEMATwAyAFwAIgApADsAXABuAFwAbgBWAEUARQBSAEcAXwA1AF8AMwBfADEAXwAxAF8AXwAxAF8ATABpAG0AZQBBAHAAcABsAGkAYwBhAHQAaQBvAG4AQwBPADIARQBtAGkAcwBzAGkAbwBuAHMAXwBTAG8AdQByAGMAZQBcAG4AIAAgAD0ATABBAE0AQgBEAEEAKABcACIAVgBFAEUAUgBHACAAMgAwADIANgA6ACAANQAuADMALgAxAC4AMQAsACAARQBxAHUAYQB0AGkAbwBuACAAKAAxACkAXAAiACkAOwBcAG4AXABuAFYARQBFAFIARwBfADUAXwAzAF8AMQBfADEAXwBfADEAXwBMAGkAbQBlAEEAcABwAGwAaQBjAGEAdABpAG8AbgBDAE8AMgBFAG0AaQBzAHMAaQBvAG4AcwBfAE4ASQBSAFIAZQBmAGUAcgBlAG4AYwBlAFwAbgAgACAAPQBMAEEATQBCAEQAQQAoAFwAIgBcACIAKQA7AFwAbgBcAG4AVgBFAEUAUgBHAF8ANQBfADMAXwAxAF8AMQBfAF8AMQBfAEwAaQBtAGUAQQBwAHAAbABpAGMAYQB0AGkAbwBuAEMATwAyAEUAbQBpAHMAcwBpAG8AbgBzAF8ATABhAHQAZQB4AEUAcQB1AGEAdABpAG8AbgBcAG4AIAAgAD0ATABBAE0AQgBEAEEAKABcACIARQBfAHsAbABpAG0AZQB9AD0AWwAoAE0AXwB7AGwAaQBtAGUAfQBcAFwAdABpAG0AZQBzACAARgByAGEAYwBMAGkAbQBlAFwAXAB0AGkAbQBlAHMAIABQAF8AewBsAGkAbQBlAH0AXABcAHQAaQBtAGUAcwAgAEUARgBfAHsAbABpAG0AZQB9ACkAKwAoAE0AXwB7AGwAaQBtAGUAfQBcAFwAdABpAG0AZQBzACAARgByAGEAYwBEAG8AbABcAFwAdABpAG0AZQBzACAAUABfAHsAZABvAGwAfQBcAFwAdABpAG0AZQBzACAARQBGAF8AewBkAG8AbAB9ACkAXQBcAFwAdABpAG0AZQBzACAAQwBfAHsAQwBPADIAfQBcAFwAdABpAG0AZQBzACAAMQAwAF4AewAtADMAfQBcACIAKQA7AFwAbgBcAG4AVgBFAEUAUgBHAF8ANQBfADMAXwAxAF8AMQBfAF8AMQBfAEwAaQBtAGUAQQBwAHAAbABpAGMAYQB0AGkAbwBuAEMATwAyAEUAbQBpAHMAcwBpAG8AbgBzAF8AQQByAGcAdQBtAGUAbgB0AHMAXABuACAAIAA9AEwAQQBNAEIARABBACgAXABuACAAIAAgACAATQBBAEsARQBBAFIAUgBBAFkAKAA4ACwAIAA0ACwAIABcAG4AIAAgACAAIAAgACAATABBAE0AQgBEAEEAKAByACwAYwAsACAAXABuACAAIAAgACAAIAAgACAAIABJAE4ARABFAFgAKAB7AFwAbgAgACAAIAAgACAAIAAgACAAIAAgAFwAIgBNAF8AbABpAG0AZQBcACIALABcACIAdABvAHQAYQBsACAAbQBhAHMAcwAgAG8AZgAgAGwAaQBtAGUAIABhAHAAcABsAGkAZQBkACAAdABvACAAcAByAG8AZAB1AGMAdABpAG8AbgAgAHMAeQBzAHQAZQBtAFwAIgAsACAAXAAiAGsAZwBcACIALAAgAFwAIgBJAG4AcAB1AHQAXAAiADsAXABuACAAIAAgACAAIAAgACAAIAAgACAAXAAiAEYAcgBhAGMATABpAG0AZQBcACIALABcACIAZgByAGEAYwB0AGkAbwBuACAAbwBmACAAbABpAG0AZQAgAGEAcwAgAGwAaQBtAGUAcwB0AG8AbgBlACAAKABDAGEAQwBPADMAKQBcACIALAAgAFwAIgBmAHIAYQBjAHQAaQBvAG4AXAAiACwAIABcACIASQBuAHAAdQB0AFwAIgA7AFwAbgAgACAAIAAgACAAIAAgACAAIAAgAFwAIgBQAF8AbABpAG0AZQBcACIALABcACIAZgByAGEAYwB0AGkAbwBuAGEAbAAgAHAAdQByAGkAdAB5ACAAbwBmACAAbABpAG0AZQBzAHQAbwBuAGUAXAAiACwAIABcACIAZgByAGEAYwB0AGkAbwBuAFwAIgAsACAAXAAiAEMAbwBuAHMAdABhAG4AdABcACIAOwBcAG4AIAAgACAAIAAgACAAIAAgACAAIABcACIARQBGAF8AbABpAG0AZQBcACIALABcACIAZQBtAGkAcwBzAGkAbwBuACAAZgBhAGMAdABvAHIAIABmAG8AcgAgAGwAaQBtAGUAcwB0AG8AbgBlACAAZgByAGEAYwB0AGkAbwBuACAAbwBmACAAbABpAG0AZQBcACIALAAgAFwAIgBrAGcAIABDAC8AawBnAFwAIgAsACAAXAAiAEMAbwBuAHMAdABhAG4AdABcACIAOwBcAG4AIAAgACAAIAAgACAAIAAgACAAIABcACIARgByAGEAYwBEAG8AbABcACIALABcACIAZgByAGEAYwB0AGkAbwBuACAAbwBmACAAbABpAG0AZQAgAGEAcwAgAGQAbwBsAG8AbQBpAHQAZQBcACIALAAgAFwAIgBmAHIAYQBjAHQAaQBvAG4AXAAiACwAIABcACIASQBuAHAAdQB0AFwAIgA7AFwAbgAgACAAIAAgACAAIAAgACAAIAAgAFwAIgBQAF8AZABvAGwAXAAiACwAXAAiAGYAcgBhAGMAdABpAG8AbgBhAGwAIABwAHUAcgBpAHQAeQAgAG8AZgAgAGQAbwBsAG8AbQBpAHQAZQBcACIALAAgAFwAIgBmAHIAYQBjAHQAaQBvAG4AXAAiACwAIABcACIAQwBvAG4AcwB0AGEAbgB0AFwAIgA7AFwAbgAgACAAIAAgACAAIAAgACAAIAAgAFwAIgBFAEYAXwBkAG8AbABcACIALABcACIAZQBtAGkAcwBzAGkAbwBuACAAZgBhAGMAdABvAHIAIABmAG8AcgAgAGQAbwBsAG8AbQBpAHQAZQAgAGYAcgBhAGMAdABpAG8AbgAgAG8AZgAgAGwAaQBtAGUAXAAiACwAIABcACIAawBnACAAQwAvAGsAZwBcACIALAAgAFwAIgBDAG8AbgBzAHQAYQBuAHQAXAAiADsAXABuACAAIAAgACAAIAAgACAAIAAgACAAXAAiAEMAXwBDAE8AMgBcACIALABcACIAZgBhAGMAdABvAHIAIAB0AG8AIABjAG8AbgB2AGUAcgB0ACAAZQBsAGUAbQBlAG4AdABhAGwAIABtAGEAcwBzACAAbwBmACAAYwBhAHIAYgBvAG4AIABkAGkAbwB4AGkAZABlACAAdABvACAAbQBvAGwAZQBjAHUAbABhAHIAIABtAGEAcwBzAFwAIgAsACAAXAAiAFwAIgAsACAAXAAiAEMAbwBuAHMAdABhAG4AdABcACIAXABuACAAIAAgACAAIAAgACAAIAB9ACwAIAByACwAIABjACkAXABuACAAIAAgACAAIAAgACkAXABuACAAIAAgACAAKQBcAG4AIAAgACkAOwBcAG4AXABuAFwAbgAiAH0ALAB7ACIAcABhAHQAaAAiADoAIgAvAHAAcgBvAGoAZQBjAHQAcwAvAEYAZQByAHQAaQBsAGkAcwBlAHIAXwBFAHEAdQBhAHQAaQBvAG4AcwBfAEEAdABtAG8AcwBwAGgAZQByAGkAYwBEAGUAcABvAHMAaQB0AGkAbwBu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NAAgAEkAbgBvAHIAZwBhAG4AaQBjACAAZgBlAHIAdABpAGwAaQBzAGUAcgAgAGEAdABtAG8AcwBwAGgAZQByAGkAYwAgAGQAZQBwAG8AcwBp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QAXwAxAF8AMQBfAF8AMQBfAEkAbgBvAHIAZwBhAG4AaQBjAEYAZQByAHQAaQBsAGkAcwBlAHIAQQB0AG0AbwBzAHAAaABlAHIAaQBjAEQAZQBwAG8AcwBpAHQAaQBvAG4ATgAyAE8ARQBtAGkAcwBzAGkAbwBuAHMAXABuAE4AaQB0AHIAbwB1AHMAIABvAHgAaQBkAGUAIABlAG0AaQBzAHMAaQBvAG4AcwAgAGYAcgBvAG0AIABhAHQAbQBvAHMAcABoAGUAcgBpAGMAIABkAGUAcABvAHMAaQB0AGkAbwBuACAAZgByAG8AbQAgAGEAbABsACAAaQBuAG8AcgBnAGEAbgBpAGMAIABmAGUAcgB0AGkAbABpAHMAZQByACAAdAB5AHAAZQBzACAAZgAgAGEAbgBkACAAYQBsAGwAIABwAHIAbwBkAHUAYwB0AGkAbwBuACAAcwB5AHMAdABlAG0AcwAgAGoAXABuAEUAXwBhAGQAaQBuAG8AcgBnAGEAbgBpAGMAXABuAHQAIABOADIATwBcAG4ARQBfAHsAYQBkACwAaQBuAG8AcgBnAGEAbgBpAGMAfQA9AFwAXABzAHUAbQBfAHsAagB9AFwAXABzAHUAbQBfAHsAZgB9ACgAKABNAF8AewB2AG8AbAAsAGkAbgBvAHIAZwBhAG4AaQBjACwAagBmAH0AXABcAHQAaQBtAGUAcwAgAEUARgBfAHsATgAyAE8ALABqAH0AKQBcAFwAdABpAG0AZQBzACAAQwBfAHsATgAyAE8AfQBcAFwAdABpAG0AZQBzACAAMQAwAF4AewAtADMAfQApAFwAbgBNAF8AdgBvAGwAaQBuAG8AcgBnAGEAbgBpAGMAagBmAFwAbgBFAEYAXwBOADIATwBqAFwAbgBDAF8ATgAyAE8AXABuAGoAXABuAGYAXABuAC0ALQAtAC0ALQAtAC0ALQAtAC0ALQAtAC0ALQAtAC0ALQAtAC0ALQAtAC0ALQAtAC0ALQAtAC0ALQAtAC0ALQAtAC0ALQAtAC0ALQBcAG4AKgAvAFwAbgBcAG4AVgBFAEUAUgBHAF8ANQBfADQAXwAxAF8AMQBfAF8AMQBfAEkAbgBvAHIAZwBhAG4AaQBjAEYAZQByAHQAaQBsAGkAcwBlAHIAQQB0AG0AbwBzAHAAaABlAHIAaQBjAEQAZQBwAG8AcwBpAHQAaQBvAG4ATgAyAE8ARQBtAGkAcwBzAGkAbwBuAHMAXABuACAAIAA9AEwAQQBNAEIARABBACgAXABuACAAIAAgACAATQBfAHYAbwBsAGkAbgBvAHIAZwBhAG4AaQBjAGoAZgAsACAARQBGAF8ATgAyAE8AagAsACAAQwBfAE4AMgBPACwAXABuACAAIAAgACAAKABNAF8AdgBvAGwAaQBuAG8AcgBnAGEAbgBpAGMAagBmACAAKgAgAEUARgBfAE4AMgBPAGoAKQAgACoAIABDAF8ATgAyAE8AIAAqACAAMQAwACAAXgAgAC0AMwBcAG4AIAAgACkAOwBcAG4AXABuAFYARQBFAFIARwBfADUAXwA0AF8AMQBfADEAXwBfADEAXwBJAG4AbwByAGcAYQBuAGkAYwBGAGUAcgB0AGkAbABpAHMAZQByAEEAdABtAG8AcwBwAGgAZQByAGkAYwBEAGUAcABvAHMAaQB0AGkAbwBuAE4AMgBPAEUAbQBpAHMAcwBpAG8AbgBzAF8AVABpAHQAbABlAFwAbgAgACAAPQBMAEEATQBCAEQAQQAoAFwAIgBOAGkAdAByAG8AdQBzACAAbwB4AGkAZABlACAAZQBtAGkAcwBzAGkAbwBuAHMAIABmAHIAbwBtACAAYQB0AG0AbwBzAHAAaABlAHIAaQBjACAAZABlAHAAbwBzAGkAdABpAG8AbgAgAGYAcgBvAG0AIABhAGwAbAAgAGkAbgBvAHIAZwBhAG4AaQBjACAAZgBlAHIAdABpAGwAaQBzAGUAcgAgAHQAeQBwAGUAcwAgAGYAIABhAG4AZAAgAGEAbABsACAAcAByAG8AZAB1AGMAdABpAG8AbgAgAHMAeQBzAHQAZQBtAHMAIABqAFwAIgApADsAXABuAFwAbgBWAEUARQBSAEcAXwA1AF8ANABfADEAXwAxAF8AXwAxAF8ASQBuAG8AcgBnAGEAbgBpAGMARgBlAHIAdABpAGwAaQBzAGUAcgBBAHQAbQBvAHMAcABoAGUAcgBpAGMARABlAHAAbwBzAGkAdABpAG8AbgBOADIATwBFAG0AaQBzAHMAaQBvAG4AcwBfAFYAYQByAGkAYQBiAGwAZQBcAG4AIAAgAD0ATABBAE0AQgBEAEEAKABcACIARQBfAGEAZABpAG4AbwByAGcAYQBuAGkAYwBcACIAKQA7AFwAbgBcAG4AVgBFAEUAUgBHAF8ANQBfADQAXwAxAF8AMQBfAF8AMQBfAEkAbgBvAHIAZwBhAG4AaQBjAEYAZQByAHQAaQBsAGkAcwBlAHIAQQB0AG0AbwBzAHAAaABlAHIAaQBjAEQAZQBwAG8AcwBpAHQAaQBvAG4ATgAyAE8ARQBtAGkAcwBzAGkAbwBuAHMAXwBVAG4AaQB0AFwAbgAgACAAPQBMAEEATQBCAEQAQQAoAFwAIgB0ACAATgAyAE8AXAAiACkAOwBcAG4AXABuAFYARQBFAFIARwBfADUAXwA0AF8AMQBfADEAXwBfADEAXwBJAG4AbwByAGcAYQBuAGkAYwBGAGUAcgB0AGkAbABpAHMAZQByAEEAdABtAG8AcwBwAGgAZQByAGkAYwBEAGUAcABvAHMAaQB0AGkAbwBuAE4AMgBPAEUAbQBpAHMAcwBpAG8AbgBzAF8AUwBvAHUAcgBjAGUAXABuACAAIAA9AEwAQQBNAEIARABBACgAXAAiAFYARQBFAFIARwAgADIAMAAyADYAOgAgADUALgA0AC4AMQAuADEALAAgAEUAcQB1AGEAdABpAG8AbgAgACgAMQApAFwAIgApADsAXABuAFwAbgBWAEUARQBSAEcAXwA1AF8ANABfADEAXwAxAF8AXwAxAF8ASQBuAG8AcgBnAGEAbgBpAGMARgBlAHIAdABpAGwAaQBzAGUAcgBBAHQAbQBvAHMAcABoAGUAcgBpAGMARABlAHAAbwBzAGkAdABpAG8AbgBOADIATwBFAG0AaQBzAHMAaQBvAG4AcwBfAE4ASQBSAFIAZQBmAGUAcgBlAG4AYwBlAFwAbgAgACAAPQBMAEEATQBCAEQAQQAoAFwAIgBcACIAKQA7AFwAbgBcAG4AVgBFAEUAUgBHAF8ANQBfADQAXwAxAF8AMQBfAF8AMQBfAEkAbgBvAHIAZwBhAG4AaQBjAEYAZQByAHQAaQBsAGkAcwBlAHIAQQB0AG0AbwBzAHAAaABlAHIAaQBjAEQAZQBwAG8AcwBpAHQAaQBvAG4ATgAyAE8ARQBtAGkAcwBzAGkAbwBuAHMAXwBMAGEAdABlAHgARQBxAHUAYQB0AGkAbwBuAFwAbgAgACAAPQBMAEEATQBCAEQAQQAoAFwAIgBFAF8AewBhAGQALABpAG4AbwByAGcAYQBuAGkAYwB9AD0AXABcAHMAdQBtAFwAXABuAG8AbABpAG0AaQB0AHMAXwB7AGoAfQBcAFwAcwB1AG0AXABcAG4AbwBsAGkAbQBpAHQAcwBfAHsAZgB9ACgAKABNAF8AewB2AG8AbAAsAGkAbgBvAHIAZwBhAG4AaQBjACwAagBmAH0AXABcAHQAaQBtAGUAcwAgAEUARgBfAHsATgAyAE8ALABqAH0AKQBcAFwAdABpAG0AZQBzACAAQwBfAHsATgAyAE8AfQBcAFwAdABpAG0AZQBzACAAMQAwAF4AewAtADMAfQApAFwAIgApADsAXABuAFwAbgBWAEUARQBSAEcAXwA1AF8ANABfADEAXwAxAF8AXwAxAF8ASQBuAG8AcgBnAGEAbgBpAGMARgBlAHIAdABpAGwAaQBzAGUAcgBBAHQAbQBvAHMAcABoAGUAcgBpAGMARABlAHAAbwBzAGkAdABpAG8AbgBOADIATwBFAG0AaQBzAHMAaQBvAG4AcwBfAEEAcgBnAHUAbQBlAG4AdABzAFwAbgAgACAAPQBMAEEATQBCAEQAQQAoAFwAbgAgACAAIAAgAE0AQQBLAEUAQQBSAFIAQQBZACgANgAsACAANAAsACAAXABuACAAIAAgACAAIAAgAEwAQQBNAEIARABBACgAcgAsAGMALAAgAFwAbgAgACAAIAAgACAAIAAgACAASQBOAEQARQBYACgAewBcAG4AIAAgACAAIAAgACAAIAAgACAAIABcACIATQBfAHYAbwBsAGkAbgBvAHIAZwBhAG4AaQBjAGoAZgBcACIALABcACIAbQBhAHMAcwAgAG8AZgAgAG4AaQB0AHIAbwBnAGUAbgAgAHYAbwBsAGEAdABpAGwAaQBzAGUAZAAgAGYAcgBvAG0AIABpAG4AbwByAGcAYQBuAGkAYwAgAGYAZQByAHQAaQBsAGkAcwBlAHIAIABhAHAAcABsAGkAZQBkACAAdABvACAAcAByAG8AZAB1AGMAdABpAG8AbgAgAHMAeQBzAHQAZQBtAFwAIgAsACAAXAAiAGsAZwAgAE4AXAAiACwAIABcACIAQwBhAGwAYwB1AGwAYQB0AGUAZAAgAGYAcgBvAG0AIAA1AC4ANAAuADEALgAxACAAKAAyACkAXAAiADsAXABuACAAIAAgACAAIAAgACAAIAAgACAAXAAiAEUARgBfAE4AMgBPAGoAXAAiACwAXAAiAGUAbQBpAHMAcwBpAG8AbgAgAGYAYQBjAHQAbwByACAAZgBvAHIAIABhAHQAbQBvAHMAcABoAGUAcgBpAGMAIABkAGUAcABvAHMAaQB0AGkAbwBu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pAHIAXAAiACwAXAAiAGkAcgByAGkAZwBhAHQAaQBvAG4AIABtAGUAdABoAG8AZABcACIALAAgAFwAIgBcACIALAAgAFwAIgBJAG4AcAB1AHQAXAAiADsAXABuACAAIAAgACAAIAAgACAAIAAgACAAXAAiAHIAXAAiACwAXAAiAHIAYQBpAG4AZgBhAGwAbAAgAHIAZQBnAGkAbwBu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0AF8AMQBfADEAXwBfADIAXwBNAGEAcwBzAE8AZgBOAGkAdAByAG8AZwBlAG4AVgBvAGwAYQB0AGkAbABpAHMAZQBkAEYAcgBvAG0ASQBuAG8AcgBnAGEAbgBpAGMARgBlAHIAdABpAGwAaQBzAGUAcgBcAG4ATQBhAHMAcwAgAG8AZgAgAG4AaQB0AHIAbwBnAGUAbgAgAHYAbwBsAGEAdABpAGwAaQBzAGUAZAAgAGYAcgBvAG0AIABpAG4AbwByAGcAYQBuAGkAYwAgAGYAZQByAHQAaQBsAGkAcwBlAHIAIABhAHAAcABsAGkAZQBkACAAdABvACAAcAByAG8AZAB1AGMAdABpAG8AbgAgAHMAeQBzAHQAZQBtAFwAbgBNAF8AdgBvAGwAaQBuAG8AcgBnAGEAbgBpAGMAagBmAFwAbgBrAGcAIABOAFwAbgBNAF8AewB2AG8AbAAsAGkAbgBvAHIAZwBhAG4AaQBjACwAagBmAH0APQB7AE0ATgB9AF8AewBqAGYAfQBcAFwAdABpAG0AZQBzACAARgByAGEAYwBHAEEAUwBGAF8AewBmAH0AXABuAE0ATgBfAGoAZgBcAG4ARgByAGEAYwBHAEEAUwBGAF8AZgBcAG4AagBcAG4AZgBcAG4ALQAtAC0ALQAtAC0ALQAtAC0ALQAtAC0ALQAtAC0ALQAtAC0ALQAtAC0ALQAtAC0ALQAtAC0ALQAtAC0ALQAtAC0ALQAtAC0ALQAtAFwAbgAqAC8AXABuAFwAbgBWAEUARQBSAEcAXwA1AF8ANABfADEAXwAxAF8AXwAyAF8ATQBhAHMAcwBPAGYATgBpAHQAcgBvAGcAZQBuAFYAbwBsAGEAdABpAGwAaQBzAGUAZABGAHIAbwBtAEkAbgBvAHIAZwBhAG4AaQBjAEYAZQByAHQAaQBsAGkAcwBlAHIAXABuACAAIAA9AEwAQQBNAEIARABBACgAXABuACAAIAAgACAATQBOAF8AagBmACwAIABGAHIAYQBjAEcAQQBTAEYAXwBmACwAXABuACAAIAAgACAATQBOAF8AagBmACAAKgAgAEYAcgBhAGMARwBBAFMARgBfAGYAXABuACAAIAApADsAXABuAFwAbgBWAEUARQBSAEcAXwA1AF8ANABfADEAXwAxAF8AXwAyAF8ATQBhAHMAcwBPAGYATgBpAHQAcgBvAGcAZQBuAFYAbwBsAGEAdABpAGwAaQBzAGUAZABGAHIAbwBtAEkAbgBvAHIAZwBhAG4AaQBjAEYAZQByAHQAaQBsAGkAcwBlAHIAXwBUAGkAdABsAGUAXABuACAAIAA9AEwAQQBNAEIARABBACgAXAAiAE0AYQBzAHMAIABvAGYAIABuAGkAdAByAG8AZwBlAG4AIAB2AG8AbABhAHQAaQBsAGkAcwBlAGQAIABmAHIAbwBtACAAaQBuAG8AcgBnAGEAbgBpAGMAIABmAGUAcgB0AGkAbABpAHMAZQByACAAYQBwAHAAbABpAGUAZAAgAHQAbwAgAHAAcgBvAGQAdQBjAHQAaQBvAG4AIABzAHkAcwB0AGUAbQBcACIAKQA7AFwAbgBcAG4AVgBFAEUAUgBHAF8ANQBfADQAXwAxAF8AMQBfAF8AMgBfAE0AYQBzAHMATwBmAE4AaQB0AHIAbwBnAGUAbgBWAG8AbABhAHQAaQBsAGkAcwBlAGQARgByAG8AbQBJAG4AbwByAGcAYQBuAGkAYwBGAGUAcgB0AGkAbABpAHMAZQByAF8AVgBhAHIAaQBhAGIAbABlAFwAbgAgACAAPQBMAEEATQBCAEQAQQAoAFwAIgBNAF8AdgBvAGwAaQBuAG8AcgBnAGEAbgBpAGMAagBmAFwAIgApADsAXABuAFwAbgBWAEUARQBSAEcAXwA1AF8ANABfADEAXwAxAF8AXwAyAF8ATQBhAHMAcwBPAGYATgBpAHQAcgBvAGcAZQBuAFYAbwBsAGEAdABpAGwAaQBzAGUAZABGAHIAbwBtAEkAbgBvAHIAZwBhAG4AaQBjAEYAZQByAHQAaQBsAGkAcwBlAHIAXwBVAG4AaQB0AFwAbgAgACAAPQBMAEEATQBCAEQAQQAoAFwAIgBrAGcAIABOAFwAIgApADsAXABuAFwAbgBWAEUARQBSAEcAXwA1AF8ANABfADEAXwAxAF8AXwAyAF8ATQBhAHMAcwBPAGYATgBpAHQAcgBvAGcAZQBuAFYAbwBsAGEAdABpAGwAaQBzAGUAZABGAHIAbwBtAEkAbgBvAHIAZwBhAG4AaQBjAEYAZQByAHQAaQBsAGkAcwBlAHIAXwBTAG8AdQByAGMAZQBcAG4AIAAgAD0ATABBAE0AQgBEAEEAKABcACIAVgBFAEUAUgBHACAAMgAwADIANgA6ACAANQAuADQALgAxAC4AMQAsACAARQBxAHUAYQB0AGkAbwBuACAAKAAyACkAXAAiACkAOwBcAG4AXABuAFYARQBFAFIARwBfADUAXwA0AF8AMQBfADEAXwBfADIAXwBNAGEAcwBzAE8AZgBOAGkAdAByAG8AZwBlAG4AVgBvAGwAYQB0AGkAbABpAHMAZQBkAEYAcgBvAG0ASQBuAG8AcgBnAGEAbgBpAGMARgBlAHIAdABpAGwAaQBzAGUAcgBfAE4ASQBSAFIAZQBmAGUAcgBlAG4AYwBlAFwAbgAgACAAPQBMAEEATQBCAEQAQQAoAFwAIgBcACIAKQA7AFwAbgBcAG4AVgBFAEUAUgBHAF8ANQBfADQAXwAxAF8AMQBfAF8AMgBfAE0AYQBzAHMATwBmAE4AaQB0AHIAbwBnAGUAbgBWAG8AbABhAHQAaQBsAGkAcwBlAGQARgByAG8AbQBJAG4AbwByAGcAYQBuAGkAYwBGAGUAcgB0AGkAbABpAHMAZQByAF8ATABhAHQAZQB4AEUAcQB1AGEAdABpAG8AbgBcAG4AIAAgAD0ATABBAE0AQgBEAEEAKABcACIATQBfAHsAdgBvAGwALABpAG4AbwByAGcAYQBuAGkAYwAsAGoAZgB9AD0AewBNAE4AfQBfAHsAagBmAH0AXABcAHQAaQBtAGUAcwAgAEYAcgBhAGMARwBBAFMARgBfAHsAZgB9AFwAIgApADsAXABuAFwAbgBWAEUARQBSAEcAXwA1AF8ANABfADEAXwAxAF8AXwAyAF8ATQBhAHMAcwBPAGYATgBpAHQAcgBvAGcAZQBuAFYAbwBsAGEAdABpAGwAaQBzAGUAZABGAHIAbwBtAEkAbgBvAHIAZwBhAG4AaQBjAEYAZQByAHQAaQBsAGkAcwBlAHIAXwBBAHIAZwB1AG0AZQBuAHQAcwBcAG4AIAAgAD0ATABBAE0AQgBEAEEAKABcAG4AIAAgACAAIABNAEEASwBFAEEAUgBSAEEAWQAoADIALAAgADQALAAgAFwAbgAgACAAIAAgACAAIABMAEEATQBCAEQAQQAoAHIALABjACwAIABcAG4AIAAgACAAIAAgACAAIAAgAEkATgBEAEUAWAAoAHsAXABuACAAIAAgACAAIAAgACAAIAAgACAAXAAiAE0ATgBfAGoAZgBcACIALABcACIAbQBhAHMAcwAgAG8AZgAgAG4AaQB0AHIAbwBnAGUAbgAgAGkAbgAgAGkAbgBvAHIAZwBhAG4AaQBjACAAZgBlAHIAdABpAGwAaQBzAGUAcgAgAGEAcABwAGwAaQBlAGQAXAAiACwAIABcACIAawBnACAATgBcACIALAAgAFwAIgBDAGEAbABjAHUAbABhAHQAZQBkACAAZgByAG8AbQAgADUALgAxAC4AMQAuADEAIAAoADIAKQBcACIAOwBcAG4AIAAgACAAIAAgACAAIAAgACAAIABcACIARgByAGEAYwBHAEEAUwBGAF8AZgBcACIALABcACIAZgByAGEAYwB0AGkAbwBuACAAbwBmACAAaQBuAG8AcgBnAGEAbgBpAGMAIABmAGUAcgB0AGkAbABpAHMAZQByACAAdABoAGEAdAAgAHYAbwBsAGEAdABpAGwAaQBzAGUAcwBcACIALAAgAFwAIgAoAGsAZwAgAE4ASAAzAC0ATgAgACsAIABOAE8AeAAtAE4AKQAvAGsAZwAgAE4AXAAiACwAIABcACIAQwBvAG4AcwB0AGEAbgB0AFwAIgBcAG4AIAAgACAAIAAgACAAIAAgAH0ALAAgAHIALAAgAGMAKQBcAG4AIAAgACAAIAAgACAAKQBcAG4AIAAgACAAIAApAFwAbgAgACAAKQA7AFwAbgBcAG4AXABuAC8AKgAgAFwAbgAtAC0ALQAtAC0ALQAtAC0ALQAtAC0ALQAtAC0ALQAtAC0ALQAtAC0ALQAtAC0ALQAtAC0ALQAtAC0ALQAtAC0ALQAtAC0ALQAtAC0AXABuAFYARQBFAFIARwBfADUAXwA0AF8AMQBfADMAXwBfADEAXwBPAHIAZwBhAG4AaQBjAEYAZQByAHQAaQBsAGkAcwBlAHIAQQB0AG0AbwBzAHAAaABlAHIAaQBjAEQAZQBwAG8AcwBpAHQAaQBvAG4ATgAyAE8ARQBtAGkAcwBzAGkAbwBuAHMAXABuAE4AaQB0AHIAbwB1AHMAIABvAHgAaQBkAGUAIABlAG0AaQBzAHMAaQBvAG4AcwAgAGYAcgBvAG0AIABhAHQAbQBvAHMAcABoAGUAcgBpAGMAIABkAGUAcABvAHMAaQB0AGkAbwBuACAAbwBmACAAYQBsAGwAIABvAHIAZwBhAG4AaQBjACAAZgBlAHIAdABpAGwAaQBzAGUAcgAgAHQAeQBwAGUAcwAgAGYAIABhAG4AZAAgAGEAbABsACAAcAByAG8AZAB1AGMAdABpAG8AbgAgAHMAeQBzAHQAZQBtAHMAIABqAFwAbgBFAF8AYQBkAG8AcgBnAGEAbgBpAGMAXABuAHQAIABOADIATwBcAG4ARQBfAHsAYQBkACwAbwByAGcAYQBuAGkAYwB9AD0AXABcAHMAdQBtAF8AewBqAH0AXABcAHMAdQBtAF8AewBmAH0AKAAoAE0AXwB7AHYAbwBsACwAbwByAGcAYQBuAGkAYwAsAGoAZgB9AFwAXAB0AGkAbQBlAHMAIABFAEYAXwB7AE4AMgBPACwAagB9ACkAXABcAHQAaQBtAGUAcwAgAEMAXwB7AE4AMgBPAH0AXABcAHQAaQBtAGUAcwAgADEAMABeAHsALQAzAH0AKQBcAG4ATQBfAHYAbwBsAG8AcgBnAGEAbgBpAGMAagBmAFwAbgBFAEYAXwBOADIATwBqAFwAbgBDAF8ATgAyAE8AXABuAGoAXABuAGYAXABuAC0ALQAtAC0ALQAtAC0ALQAtAC0ALQAtAC0ALQAtAC0ALQAtAC0ALQAtAC0ALQAtAC0ALQAtAC0ALQAtAC0ALQAtAC0ALQAtAC0ALQBcAG4AKgAvAFwAbgBcAG4AVgBFAEUAUgBHAF8ANQBfADQAXwAxAF8AMwBfAF8AMQBfAE8AcgBnAGEAbgBpAGMARgBlAHIAdABpAGwAaQBzAGUAcgBBAHQAbQBvAHMAcABoAGUAcgBpAGMARABlAHAAbwBzAGkAdABpAG8AbgBOADIATwBFAG0AaQBzAHMAaQBvAG4AcwBcAG4AIAAgAD0ATABBAE0AQgBEAEEAKABcAG4AIAAgACAAIABNAF8AdgBvAGwAbwByAGcAYQBuAGkAYwBqAGYALAAgAEUARgBfAE4AMgBPAGoALAAgAEMAXwBOADIATwAsAFwAbgAgACAAIAAgACgATQBfAHYAbwBsAG8AcgBnAGEAbgBpAGMAagBmACAAKgAgAEUARgBfAE4AMgBPAGoAKQAgACoAIABDAF8ATgAyAE8AIAAqACAAMQAwACAAXgAgAC0AMwBcAG4AIAAgACkAOwBcAG4AXABuAFYARQBFAFIARwBfADUAXwA0AF8AMQBfADMAXwBfADEAXwBPAHIAZwBhAG4AaQBjAEYAZQByAHQAaQBsAGkAcwBlAHIAQQB0AG0AbwBzAHAAaABlAHIAaQBjAEQAZQBwAG8AcwBpAHQAaQBvAG4ATgAyAE8ARQBtAGkAcwBzAGkAbwBuAHMAXwBUAGkAdABsAGUAXABuACAAIAA9AEwAQQBNAEIARABBACgAXAAiAE4AaQB0AHIAbwB1AHMAIABvAHgAaQBkAGUAIABlAG0AaQBzAHMAaQBvAG4AcwAgAGYAcgBvAG0AIABhAHQAbQBvAHMAcABoAGUAcgBpAGMAIABkAGUAcABvAHMAaQB0AGkAbwBuACAAbwBmACAAYQBsAGwAIABvAHIAZwBhAG4AaQBjACAAZgBlAHIAdABpAGwAaQBzAGUAcgAgAHQAeQBwAGUAcwAgAGYAIABhAG4AZAAgAGEAbABsACAAcAByAG8AZAB1AGMAdABpAG8AbgAgAHMAeQBzAHQAZQBtAHMAIABqAFwAIgApADsAXABuAFwAbgBWAEUARQBSAEcAXwA1AF8ANABfADEAXwAzAF8AXwAxAF8ATwByAGcAYQBuAGkAYwBGAGUAcgB0AGkAbABpAHMAZQByAEEAdABtAG8AcwBwAGgAZQByAGkAYwBEAGUAcABvAHMAaQB0AGkAbwBuAE4AMgBPAEUAbQBpAHMAcwBpAG8AbgBzAF8AVgBhAHIAaQBhAGIAbABlAFwAbgAgACAAPQBMAEEATQBCAEQAQQAoAFwAIgBFAF8AYQBkAG8AcgBnAGEAbgBpAGMAXAAiACkAOwBcAG4AXABuAFYARQBFAFIARwBfADUAXwA0AF8AMQBfADMAXwBfADEAXwBPAHIAZwBhAG4AaQBjAEYAZQByAHQAaQBsAGkAcwBlAHIAQQB0AG0AbwBzAHAAaABlAHIAaQBjAEQAZQBwAG8AcwBpAHQAaQBvAG4ATgAyAE8ARQBtAGkAcwBzAGkAbwBuAHMAXwBVAG4AaQB0AFwAbgAgACAAPQBMAEEATQBCAEQAQQAoAFwAIgB0ACAATgAyAE8AXAAiACkAOwBcAG4AXABuAFYARQBFAFIARwBfADUAXwA0AF8AMQBfADMAXwBfADEAXwBPAHIAZwBhAG4AaQBjAEYAZQByAHQAaQBsAGkAcwBlAHIAQQB0AG0AbwBzAHAAaABlAHIAaQBjAEQAZQBwAG8AcwBpAHQAaQBvAG4ATgAyAE8ARQBtAGkAcwBzAGkAbwBuAHMAXwBTAG8AdQByAGMAZQBcAG4AIAAgAD0ATABBAE0AQgBEAEEAKABcACIAVgBFAEUAUgBHACAAMgAwADIANgA6ACAANQAuADQALgAxAC4AMwAsACAARQBxAHUAYQB0AGkAbwBuACAAKAAxACkAXAAiACkAOwBcAG4AXABuAFYARQBFAFIARwBfADUAXwA0AF8AMQBfADMAXwBfADEAXwBPAHIAZwBhAG4AaQBjAEYAZQByAHQAaQBsAGkAcwBlAHIAQQB0AG0AbwBzAHAAaABlAHIAaQBjAEQAZQBwAG8AcwBpAHQAaQBvAG4ATgAyAE8ARQBtAGkAcwBzAGkAbwBuAHMAXwBOAEkAUgBSAGUAZgBlAHIAZQBuAGMAZQBcAG4AIAAgAD0ATABBAE0AQgBEAEEAKABcACIAXAAiACkAOwBcAG4AXABuAFYARQBFAFIARwBfADUAXwA0AF8AMQBfADMAXwBfADEAXwBPAHIAZwBhAG4AaQBjAEYAZQByAHQAaQBsAGkAcwBlAHIAQQB0AG0AbwBzAHAAaABlAHIAaQBjAEQAZQBwAG8AcwBpAHQAaQBvAG4ATgAyAE8ARQBtAGkAcwBzAGkAbwBuAHMAXwBMAGEAdABlAHgARQBxAHUAYQB0AGkAbwBuAFwAbgAgACAAPQBMAEEATQBCAEQAQQAoAFwAIgBFAF8AewBhAGQALABvAHIAZwBhAG4AaQBjAH0APQBcAFwAcwB1AG0AXABcAG4AbwBsAGkAbQBpAHQAcwBfAHsAagB9AFwAXABzAHUAbQBcAFwAbgBvAGwAaQBtAGkAdABzAF8AewBmAH0AKAAoAE0AXwB7AHYAbwBsACwAbwByAGcAYQBuAGkAYwAsAGoAZgB9AFwAXAB0AGkAbQBlAHMAIABFAEYAXwB7AE4AMgBPACwAagB9ACkAXABcAHQAaQBtAGUAcwAgAEMAXwB7AE4AMgBPAH0AXABcAHQAaQBtAGUAcwAgADEAMABeAHsALQAzAH0AKQBcACIAKQA7AFwAbgBcAG4AVgBFAEUAUgBHAF8ANQBfADQAXwAxAF8AMwBfAF8AMQBfAE8AcgBnAGEAbgBpAGMARgBlAHIAdABpAGwAaQBzAGUAcgBBAHQAbQBvAHMAcABoAGUAcgBpAGMARABlAHAAbwBzAGkAdABpAG8AbgBOADIATwBFAG0AaQBzAHMAaQBvAG4AcwBfAEEAcgBnAHUAbQBlAG4AdABzAFwAbgAgACAAPQBMAEEATQBCAEQAQQAoAFwAbgAgACAAIAAgAE0AQQBLAEUAQQBSAFIAQQBZACgANgAsACAANAAsACAAXABuACAAIAAgACAAIAAgAEwAQQBNAEIARABBACgAcgAsAGMALAAgAFwAbgAgACAAIAAgACAAIAAgACAASQBOAEQARQBYACgAewBcAG4AIAAgACAAIAAgACAAIAAgACAAIABcACIATQBfAHYAbwBsAG8AcgBnAGEAbgBpAGMAagBmAFwAIgAsAFwAIgBtAGEAcwBzACAAbwBmACAAbgBpAHQAcgBvAGcAZQBuACAAdgBvAGwAYQB0AGkAbABpAHMAZQBkACAAZgByAG8AbQAgAG8AcgBnAGEAbgBpAGMAIABmAGUAcgB0AGkAbABpAHMAZQByACAAYQBwAHAAbABpAGUAZAAgAHQAbwAgAHAAcgBvAGQAdQBjAHQAaQBvAG4AIABzAHkAcwB0AGUAbQBcACIALAAgAFwAIgBrAGcAIABOAFwAIgAsACAAXAAiAEMAYQBsAGMAdQBsAGEAdABlAGQAIABmAHIAbwBtACAANQAuADQALgAxAC4AMwAgACgAMgApAFwAIgA7AFwAbgAgACAAIAAgACAAIAAgACAAIAAgAFwAIgBFAEYAXwBOADIATwBqAFwAIgAsAFwAIgBlAG0AaQBzAHMAaQBvAG4AIABmAGEAYwB0AG8AcgAgAGYAbwByACAAYQB0AG0AbwBzAHAAaABlAHIAaQBjACAAZABlAHAAbwBzAGkAdABpAG8AbgAgAGkAbgAgAHAAcgBvAGQAdQBjAHQAaQBvAG4AIABzAHkAcwB0AGUAbQAgAGo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kAcgBcACIALABcACIAaQByAHIAaQBnAGEAdABpAG8AbgAgAG0AZQB0AGgAbwBkAFwAIgAsACAAXAAiAFwAIgAsACAAXAAiAEkAbgBwAHUAdABcACIAOwBcAG4AIAAgACAAIAAgACAAIAAgACAAIABcACIAcgBcACIALABcACIAcgBhAGkAbgBmAGEAbABsACAAcgBlAGcAaQBvAG4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QAXwAxAF8AMwBfAF8AMgBfAE0AYQBzAHMATwBmAE4AaQB0AHIAbwBnAGUAbgBWAG8AbABhAHQAaQBsAGkAcwBlAGQARgByAG8AbQBPAHIAZwBhAG4AaQBjAEYAZQByAHQAaQBsAGkAcwBlAHIAXABuAE0AYQBzAHMAIABvAGYAIABuAGkAdAByAG8AZwBlAG4AIAB2AG8AbABhAHQAaQBsAGkAcwBlAGQAIABmAHIAbwBtACAAbwByAGcAYQBuAGkAYwAgAGYAZQByAHQAaQBsAGkAcwBlAHIAIABhAHAAcABsAGkAZQBkACAAdABvACAAcAByAG8AZAB1AGMAdABpAG8AbgAgAHMAeQBzAHQAZQBtAFwAbgBNAF8AdgBvAGwAbwByAGcAYQBuAGkAYwBqAGYAXABuAGsAZwAgAE4AXABuAE0AXwB7AHYAbwBsACwAbwByAGcAYQBuAGkAYwAsAGoAZgB9AD0ATQBOAFMAbwBpAGwAXwB7AGoAZgB9AFwAXAB0AGkAbQBlAHMAIABGAHIAYQBjAEcAQQBTAE0AXwB7AHMAbwBpAGwAfQBcAG4ATQBOAFMAbwBpAGwAXwBqAGYAXABuAEYAcgBhAGMARwBBAFMATQBfAHMAbwBpAGwAXABuAGoAXABuAGYAXABuAC0ALQAtAC0ALQAtAC0ALQAtAC0ALQAtAC0ALQAtAC0ALQAtAC0ALQAtAC0ALQAtAC0ALQAtAC0ALQAtAC0ALQAtAC0ALQAtAC0ALQBcAG4AKgAvAFwAbgBcAG4AVgBFAEUAUgBHAF8ANQBfADQAXwAxAF8AMwBfAF8AMgBfAE0AYQBzAHMATwBmAE4AaQB0AHIAbwBnAGUAbgBWAG8AbABhAHQAaQBsAGkAcwBlAGQARgByAG8AbQBPAHIAZwBhAG4AaQBjAEYAZQByAHQAaQBsAGkAcwBlAHIAXABuACAAIAA9AEwAQQBNAEIARABBACgAXABuACAAIAAgACAATQBOAFMAbwBpAGwAXwBqAGYALAAgAEYAcgBhAGMARwBBAFMATQBfAHMAbwBpAGwALABcAG4AIAAgACAAIABNAE4AUwBvAGkAbABfAGoAZgAgACoAIABGAHIAYQBjAEcAQQBTAE0AXwBzAG8AaQBsAFwAbgAgACAAKQA7AFwAbgBcAG4AVgBFAEUAUgBHAF8ANQBfADQAXwAxAF8AMwBfAF8AMgBfAE0AYQBzAHMATwBmAE4AaQB0AHIAbwBnAGUAbgBWAG8AbABhAHQAaQBsAGkAcwBlAGQARgByAG8AbQBPAHIAZwBhAG4AaQBjAEYAZQByAHQAaQBsAGkAcwBlAHIAXwBUAGkAdABsAGUAXABuACAAIAA9AEwAQQBNAEIARABBACgAXAAiAE0AYQBzAHMAIABvAGYAIABuAGkAdAByAG8AZwBlAG4AIAB2AG8AbABhAHQAaQBsAGkAcwBlAGQAIABmAHIAbwBtACAAbwByAGcAYQBuAGkAYwAgAGYAZQByAHQAaQBsAGkAcwBlAHIAIABhAHAAcABsAGkAZQBkACAAdABvACAAcAByAG8AZAB1AGMAdABpAG8AbgAgAHMAeQBzAHQAZQBtAFwAIgApADsAXABuAFwAbgBWAEUARQBSAEcAXwA1AF8ANABfADEAXwAzAF8AXwAyAF8ATQBhAHMAcwBPAGYATgBpAHQAcgBvAGcAZQBuAFYAbwBsAGEAdABpAGwAaQBzAGUAZABGAHIAbwBtAE8AcgBnAGEAbgBpAGMARgBlAHIAdABpAGwAaQBzAGUAcgBfAFYAYQByAGkAYQBiAGwAZQBcAG4AIAAgAD0ATABBAE0AQgBEAEEAKABcACIATQBfAHYAbwBsAG8AcgBnAGEAbgBpAGMAagBmAFwAIgApADsAXABuAFwAbgBWAEUARQBSAEcAXwA1AF8ANABfADEAXwAzAF8AXwAyAF8ATQBhAHMAcwBPAGYATgBpAHQAcgBvAGcAZQBuAFYAbwBsAGEAdABpAGwAaQBzAGUAZABGAHIAbwBtAE8AcgBnAGEAbgBpAGMARgBlAHIAdABpAGwAaQBzAGUAcgBfAFUAbgBpAHQAXABuACAAIAA9AEwAQQBNAEIARABBACgAXAAiAGsAZwAgAE4AXAAiACkAOwBcAG4AXABuAFYARQBFAFIARwBfADUAXwA0AF8AMQBfADMAXwBfADIAXwBNAGEAcwBzAE8AZgBOAGkAdAByAG8AZwBlAG4AVgBvAGwAYQB0AGkAbABpAHMAZQBkAEYAcgBvAG0ATwByAGcAYQBuAGkAYwBGAGUAcgB0AGkAbABpAHMAZQByAF8AUwBvAHUAcgBjAGUAXABuACAAIAA9AEwAQQBNAEIARABBACgAXAAiAFYARQBFAFIARwAgADIAMAAyADYAOgAgADUALgA0AC4AMQAuADMALAAgAEUAcQB1AGEAdABpAG8AbgAgACgAMgApAFwAIgApADsAXABuAFwAbgBWAEUARQBSAEcAXwA1AF8ANABfADEAXwAzAF8AXwAyAF8ATQBhAHMAcwBPAGYATgBpAHQAcgBvAGcAZQBuAFYAbwBsAGEAdABpAGwAaQBzAGUAZABGAHIAbwBtAE8AcgBnAGEAbgBpAGMARgBlAHIAdABpAGwAaQBzAGUAcgBfAE4ASQBSAFIAZQBmAGUAcgBlAG4AYwBlAFwAbgAgACAAPQBMAEEATQBCAEQAQQAoAFwAIgBcACIAKQA7AFwAbgBcAG4AVgBFAEUAUgBHAF8ANQBfADQAXwAxAF8AMwBfAF8AMgBfAE0AYQBzAHMATwBmAE4AaQB0AHIAbwBnAGUAbgBWAG8AbABhAHQAaQBsAGkAcwBlAGQARgByAG8AbQBPAHIAZwBhAG4AaQBjAEYAZQByAHQAaQBsAGkAcwBlAHIAXwBMAGEAdABlAHgARQBxAHUAYQB0AGkAbwBuAFwAbgAgACAAPQBMAEEATQBCAEQAQQAoAFwAIgBNAF8AewB2AG8AbAAsAG8AcgBnAGEAbgBpAGMALABqAGYAfQA9AE0ATgBTAG8AaQBsAF8AewBqAGYAfQBcAFwAdABpAG0AZQBzACAARgByAGEAYwBHAEEAUwBNAF8AewBzAG8AaQBsAH0AXAAiACkAOwBcAG4AXABuAFYARQBFAFIARwBfADUAXwA0AF8AMQBfADMAXwBfADIAXwBNAGEAcwBzAE8AZgBOAGkAdAByAG8AZwBlAG4AVgBvAGwAYQB0AGkAbABpAHMAZQBkAEYAcgBvAG0ATwByAGcAYQBuAGkAYwBGAGUAcgB0AGkAbABpAHMAZQByAF8AQQByAGcAdQBtAGUAbgB0AHMAXABuACAAIAA9AEwAQQBNAEIARABBACgAXABuACAAIAAgACAATQBBAEsARQBBAFIAUgBBAFkAKAAyACwAIAA0ACwAIABcAG4AIAAgACAAIAAgACAATABBAE0AQgBEAEEAKAByACwAYwAsACAAXABuACAAIAAgACAAIAAgACAAIABJAE4ARABFAFgAKAB7AFwAbgAgACAAIAAgACAAIAAgACAAIAAgAFwAIgBNAE4AUwBvAGkAbABfAGoAZgBcACIALABcACIAbQBhAHMAcwAgAG8AZgAgAG4AaQB0AHIAbwBnAGUAbgAgAGkAbgAgAG8AcgBnAGEAbgBpAGMAIABmAGUAcgB0AGkAbABpAHMAZQByACAAdAB5AHAAZQAgAGYAIABhAHAAcABsAGkAZQBkACAAdABvACAAcAByAG8AZAB1AGMAdABpAG8AbgAgAHMAeQBzAHQAZQBtACAAagBcACIALAAgAFwAIgBrAGcAIABOAFwAIgAsACAAXAAiAEMAYQBsAGMAdQBsAGEAdABlAGQAIABmAHIAbwBtACAANQAuADIALgAxAC4AMQAgACgAMgApAFwAIgA7AFwAbgAgACAAIAAgACAAIAAgACAAIAAgAFwAIgBGAHIAYQBjAEcAQQBTAE0AXwBzAG8AaQBsAFwAIgAsAFwAIgBmAHIAYQBjAHQAaQBvAG4AIABvAGYAIABvAHIAZwBhAG4AaQBjACAAZgBlAHIAdABpAGwAaQBzAGUAcgAgAE4AIAB0AGgAYQB0ACAAdgBvAGwAYQB0AGkAbABpAHMAZQBzAFwAIgAsACAAXAAiACgAawBnACAATgBIADMALQBOACAAKwAgAE4ATwB4AC0ATgApAC8AawBnACAATgBcACIALAAgAFwAIgBDAG8AbgBzAHQAYQBuAHQAXAAiAFwAbgAgACAAIAAgACAAIAAgACAAfQAsACAAcgAsACAAYwApAFwAbgAgACAAIAAgACAAIAApAFwAbgAgACAAIAAgACkAXABuACAAIAApADsAXABuACIAfQAsAHsAIgBwAGEAdABoACIAOgAiAC8AcAByAG8AagBlAGMAdABzAC8ARgBlAHIAdABpAGwAaQBzAGUAcgBfAEUAcQB1AGEAdABpAG8AbgBzAF8ATABlAGEAYwBoAGkAbgBnAEEAbgBkAFIAdQBuAG8AZgBm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NQAgAEwAZQBhAGMAaABpAG4AZwAgAGEAbgBkACAAcgB1AG4ALQBvAGYAZgAgAHIAZQBzAHUAbAB0AGkAbgBnACAAZgByAG8AbQAgAGYAZQByAHQAaQBsAGkAcwBlAHI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UAXwAxAF8AMQBfAF8AMQBfAEYAZQByAHQAaQBsAGkAcwBlAHIATABlAGEAYwBoAGkAbgBnAEEAbgBkAFIAdQBuAG8AZgBmAE4AMgBPAEUAbQBpAHMAcwBpAG8AbgBzAFwAbgBOAGkAdAByAG8AdQBzACAAbwB4AGkAZABlACAAZQBtAGkAcwBzAGkAbwBuAHMAIABmAHIAbwBtACAAbgBpAHQAcgBvAGcAZQBuACAAbABlAGEAYwBoAGkAbgBnACAAYQBuAGQAIAByAHUAbgBvAGYAZgAgAGYAcgBvAG0AIAB0AGgAZQAgAGEAcABwAGwAaQBjAGEAdABpAG8AbgAgAG8AZgAgAGEAbABsACAAZgBlAHIAdABpAGwAaQBzAGUAcgBzACAAYQBjAHIAbwBzAHMAIABhAGwAbAAgAHAAcgBvAGQAdQBjAHQAaQBvAG4AIABzAHkAcwB0AGUAbQBzACAAagBcAG4ARQBfAGYAZQByAHQAbABlAGEAYwBoAFwAbgB0ACAATgAyAE8AXABuAEUAXwB7AGYAZQByAHQALABsAGUAYQBjAGgAfQA9AFwAXABzAHUAbQBfAHsAagB9ACgAKABNAF8AewBsAGUAYQBjAGgALABpAG4AbwByAGcAYQBuAGkAYwAsAGoAfQArAE0AXwB7AGwAZQBhAGMAaAAsAG8AcgBnAGEAbgBpAGMALABqAH0AKQBcAFwAdABpAG0AZQBzACAARQBGAF8AewBsAGUAYQBjAGgAfQBcAFwAdABpAG0AZQBzACAAQwBfAHsATgAyAE8AfQBcAFwAdABpAG0AZQBzACAAMQAwAF4AewAtADMAfQApAFwAbgBNAF8AbABlAGEAYwBoAGkAbgBvAHIAZwBhAG4AaQBjAGoAXABuAE0AXwBsAGUAYQBjAGgAbwByAGcAYQBuAGkAYwBqAFwAbgBFAEYAXwBsAGUAYQBjAGgAXABuAEMAXwBOADIATwBcAG4AagBcAG4ALQAtAC0ALQAtAC0ALQAtAC0ALQAtAC0ALQAtAC0ALQAtAC0ALQAtAC0ALQAtAC0ALQAtAC0ALQAtAC0ALQAtAC0ALQAtAC0ALQAtAFwAbgAqAC8AXABuAFwAbgBWAEUARQBSAEcAXwA1AF8ANQBfADEAXwAxAF8AXwAxAF8ARgBlAHIAdABpAGwAaQBzAGUAcgBMAGUAYQBjAGgAaQBuAGcAQQBuAGQAUgB1AG4AbwBmAGYATgAyAE8ARQBtAGkAcwBzAGkAbwBuAHMAXABuACAAIAA9AEwAQQBNAEIARABBACgAXABuACAAIAAgACAATQBfAGwAZQBhAGMAaABpAG4AbwByAGcAYQBuAGkAYwBqACwAIABNAF8AbABlAGEAYwBoAG8AcgBnAGEAbgBpAGMAagAsACAARQBGAF8AbABlAGEAYwBoACwAIABDAF8ATgAyAE8ALABcAG4AIAAgACAAIAAoAE0AXwBsAGUAYQBjAGgAaQBuAG8AcgBnAGEAbgBpAGMAagAgACsAIABNAF8AbABlAGEAYwBoAG8AcgBnAGEAbgBpAGMAagApACAAKgAgAEUARgBfAGwAZQBhAGMAaAAgACoAIABDAF8ATgAyAE8AIAAqACAAMQAwACAAXgAgAC0AMwBcAG4AIAAgACkAOwBcAG4AXABuAFYARQBFAFIARwBfADUAXwA1AF8AMQBfADEAXwBfADEAXwBGAGUAcgB0AGkAbABpAHMAZQByAEwAZQBhAGMAaABpAG4AZwBBAG4AZABSAHUAbgBvAGYAZgBOADIATwBFAG0AaQBzAHMAaQBvAG4AcwBfAFQAaQB0AGwAZQBcAG4AIAAgAD0ATABBAE0AQgBEAEEAKABcACIATgBpAHQAcgBvAHUAcwAgAG8AeABpAGQAZQAgAGUAbQBpAHMAcwBpAG8AbgBzACAAZgByAG8AbQAgAG4AaQB0AHIAbwBnAGUAbgAgAGwAZQBhAGMAaABpAG4AZwAgAGEAbgBkACAAcgB1AG4AbwBmAGYAIABmAHIAbwBtACAAdABoAGUAIABhAHAAcABsAGkAYwBhAHQAaQBvAG4AIABvAGYAIABhAGwAbAAgAGYAZQByAHQAaQBsAGkAcwBlAHIAcwAgAGEAYwByAG8AcwBzACAAYQBsAGwAIABwAHIAbwBkAHUAYwB0AGkAbwBuACAAcwB5AHMAdABlAG0AcwAgAGoAXAAiACkAOwBcAG4AXABuAFYARQBFAFIARwBfADUAXwA1AF8AMQBfADEAXwBfADEAXwBGAGUAcgB0AGkAbABpAHMAZQByAEwAZQBhAGMAaABpAG4AZwBBAG4AZABSAHUAbgBvAGYAZgBOADIATwBFAG0AaQBzAHMAaQBvAG4AcwBfAFYAYQByAGkAYQBiAGwAZQBcAG4AIAAgAD0ATABBAE0AQgBEAEEAKABcACIARQBfAGYAZQByAHQAbABlAGEAYwBoAFwAIgApADsAXABuAFwAbgBWAEUARQBSAEcAXwA1AF8ANQBfADEAXwAxAF8AXwAxAF8ARgBlAHIAdABpAGwAaQBzAGUAcgBMAGUAYQBjAGgAaQBuAGcAQQBuAGQAUgB1AG4AbwBmAGYATgAyAE8ARQBtAGkAcwBzAGkAbwBuAHMAXwBVAG4AaQB0AFwAbgAgACAAPQBMAEEATQBCAEQAQQAoAFwAIgB0ACAATgAyAE8AXAAiACkAOwBcAG4AXABuAFYARQBFAFIARwBfADUAXwA1AF8AMQBfADEAXwBfADEAXwBGAGUAcgB0AGkAbABpAHMAZQByAEwAZQBhAGMAaABpAG4AZwBBAG4AZABSAHUAbgBvAGYAZgBOADIATwBFAG0AaQBzAHMAaQBvAG4AcwBfAFMAbwB1AHIAYwBlAFwAbgAgACAAPQBMAEEATQBCAEQAQQAoAFwAIgBWAEUARQBSAEcAIAAyADAAMgA2ADoAIAA1AC4ANQAsACAARQBxAHUAYQB0AGkAbwBuACAAKAAxACkAXAAiACkAOwBcAG4AXABuAFYARQBFAFIARwBfADUAXwA1AF8AMQBfADEAXwBfADEAXwBGAGUAcgB0AGkAbABpAHMAZQByAEwAZQBhAGMAaABpAG4AZwBBAG4AZABSAHUAbgBvAGYAZgBOADIATwBFAG0AaQBzAHMAaQBvAG4AcwBfAE4ASQBSAFIAZQBmAGUAcgBlAG4AYwBlAFwAbgAgACAAPQBMAEEATQBCAEQAQQAoAFwAIgBcACIAKQA7AFwAbgBcAG4AVgBFAEUAUgBHAF8ANQBfADUAXwAxAF8AMQBfAF8AMQBfAEYAZQByAHQAaQBsAGkAcwBlAHIATABlAGEAYwBoAGkAbgBnAEEAbgBkAFIAdQBuAG8AZgBmAE4AMgBPAEUAbQBpAHMAcwBpAG8AbgBzAF8ATABhAHQAZQB4AEUAcQB1AGEAdABpAG8AbgBcAG4AIAAgAD0ATABBAE0AQgBEAEEAKABcACIARQBfAHsAZgBlAHIAdAAsAGwAZQBhAGMAaAB9AD0AXABcAHMAdQBtAF8AewBqAH0AKAAoAE0AXwB7AGwAZQBhAGMAaAAsAGkAbgBvAHIAZwBhAG4AaQBjACwAagB9ACsATQBfAHsAbABlAGEAYwBoACwAbwByAGcAYQBuAGkAYwAsAGoAfQApAFwAXAB0AGkAbQBlAHMAIABFAEYAXwB7AGwAZQBhAGMAaAB9AFwAXAB0AGkAbQBlAHMAIABDAF8AewBOADIATwB9AFwAXAB0AGkAbQBlAHMAIAAxADAAXgB7AC0AMwB9ACkAXAAiACkAOwBcAG4AXABuAFYARQBFAFIARwBfADUAXwA1AF8AMQBfADEAXwBfADEAXwBGAGUAcgB0AGkAbABpAHMAZQByAEwAZQBhAGMAaABpAG4AZwBBAG4AZABSAHUAbgBvAGYAZgBOADIATwBFAG0AaQBzAHMAaQBvAG4AcwBfAEEAcgBnAHUAbQBlAG4AdABzAFwAbgAgACAAPQBMAEEATQBCAEQAQQAoAFwAbgAgACAAIAAgAE0AQQBLAEUAQQBSAFIAQQBZACgANAAsACAANAAsACAAXABuACAAIAAgACAAIAAgAEwAQQBNAEIARABBACgAcgAsAGMALAAgAFwAbgAgACAAIAAgACAAIAAgACAASQBOAEQARQBYACgAewBcAG4AIAAgACAAIAAgACAAIAAgACAAIABcACIATQBfAGwAZQBhAGMAaABpAG4AbwByAGcAYQBuAGkAYwBqAFwAIgAsAFwAIgBtAGEAcwBzACAAbwBmACAAbgBpAHQAcgBvAGcAZQBuACAAbABvAHMAdAAgAHQAaAByAG8AdQBnAGgAIABsAGUAYQBjAGgAaQBuAGcAIABhAG4AZAAgAHIAdQBuAG8AZgBmACAAZgByAG8AbQAgAGkAbgBvAHIAZwBhAG4AaQBjACAAZgBlAHIAdABpAGwAaQBzAGUAcgAgAGEAcABwAGwAaQBjAGEAdABpAG8AbgAgAGkAbgAgAHAAcgBvAGQAdQBjAHQAaQBvAG4AIABzAHkAcwB0AGUAbQAgAGoAXAAiACwAIABcACIAawBnACAATgBcACIALAAgAFwAIgBDAGEAbABjAHUAbABhAHQAZQBkACAAZgByAG8AbQAgADUALgA1AC4AMQAuADEAIAAoADIAKQBcACIAOwBcAG4AIAAgACAAIAAgACAAIAAgACAAIABcACIATQBfAGwAZQBhAGMAaABvAHIAZwBhAG4AaQBjAGoAXAAiACwAXAAiAG0AYQBzAHMAIABvAGYAIABuAGkAdAByAG8AZwBlAG4AIABsAG8AcwB0ACAAdABoAHIAbwB1AGcAaAAgAGwAZQBhAGMAaABpAG4AZwAgAGEAbgBkACAAcgB1AG4AbwBmAGYAIABmAHIAbwBtACAAbwByAGcAYQBuAGkAYwAgAGYAZQByAHQAaQBsAGkAcwBlAHIAIABhAHAAcABsAGkAYwBhAHQAaQBvAG4AXAAiACwAIABcACIAawBnACAATgBcACIALAAgAFwAIgBDAGEAbABjAHUAbABhAHQAZQBkACAAZgByAG8AbQAgADUALgA1AC4AMQAuADEAIAAoADMAKQBcACIAOwBcAG4AIAAgACAAIAAgACAAIAAgACAAIABcACIARQBGAF8AbABlAGEAYwBoAFwAIgAsAFwAIgBlAG0AaQBzAHMAaQBvAG4AIABmAGEAYwB0AG8AcgAgAGYAbwByACAAbgBpAHQAcgBvAGcAZQBuACAAbABlAGEAYwBoAGkAbgBnACAAYQBuAGQAIAByAHUAbgBvAGYAZg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XABuACAAIAAgACAAIAAgACAAIAB9ACwAIAByACwAIABjACkAXABuACAAIAAgACAAIAAgACkAXABuACAAIAAgACAAKQBcAG4AIAAgACkAOwBcAG4AXABuAC8AKgAgAFwAbgAtAC0ALQAtAC0ALQAtAC0ALQAtAC0ALQAtAC0ALQAtAC0ALQAtAC0ALQAtAC0ALQAtAC0ALQAtAC0ALQAtAC0ALQAtAC0ALQAtAC0AXABuAFYARQBFAFIARwBfADUAXwA1AF8AMQBfADEAXwBfADIAXwBNAGEAcwBzAE8AZgBOAGkAdAByAG8AZwBlAG4ATABlAGEAYwBoAGUAZABGAHIAbwBtAEkAbgBvAHIAZwBhAG4AaQBjAEYAZQByAHQAaQBsAGkAcwBlAHIAXABuAE0AYQBzAHMAIABvAGYAIABuAGkAdAByAG8AZwBlAG4AIABsAG8AcwB0ACAAdABoAHIAbwB1AGcAaAAgAGwAZQBhAGMAaABpAG4AZwAgAGEAbgBkACAAcgB1AG4AbwBmAGYAIABmAHIAbwBtACAAaQBuAG8AcgBnAGEAbgBpAGMAIABmAGUAcgB0AGkAbABpAHMAZQByACAAYQBwAHAAbABpAGMAYQB0AGkAbwBuACAAaQBuACAAcAByAG8AZAB1AGMAdABpAG8AbgAgAHMAeQBzAHQAZQBtACAAagBcAG4ATQBfAGwAZQBhAGMAaABpAG4AbwByAGcAYQBuAGkAYwBqAFwAbgBrAGcAIABOAFwAbgBNAF8AewBsAGUAYQBjAGgALABpAG4AbwByAGcAYQBuAGkAYwAsAGoAfQA9AFwAXABzAHUAbQBfAHsAZgB9ACgAewBNAE4AfQBfAHsAagBmAH0AXABcAHQAaQBtAGUAcwAgAEYAcgBhAGMAXwB7AFcARQBUACwAagB9AFwAXAB0AGkAbQBlAHMAIABGAHIAYQBjAF8AewBMAEUAQQBDAEgAfQApAFwAbgBNAE4AXwBqAGYAXABuAEYAcgBhAGMAVwBFAFQAagBcAG4ARgByAGEAYwBMAEUAQQBDAEgAXABuAGoAXABuAGYAXABuAC0ALQAtAC0ALQAtAC0ALQAtAC0ALQAtAC0ALQAtAC0ALQAtAC0ALQAtAC0ALQAtAC0ALQAtAC0ALQAtAC0ALQAtAC0ALQAtAC0ALQBcAG4AKgAvAFwAbgBcAG4AVgBFAEUAUgBHAF8ANQBfADUAXwAxAF8AMQBfAF8AMgBfAE0AYQBzAHMATwBmAE4AaQB0AHIAbwBnAGUAbgBMAGUAYQBjAGgAZQBkAEYAcgBvAG0ASQBuAG8AcgBnAGEAbgBpAGMARgBlAHIAdABpAGwAaQBzAGUAcgBcAG4AIAAgAD0ATABBAE0AQgBEAEEAKABcAG4AIAAgACAAIABNAE4AXwBqAGYALAAgAEYAcgBhAGMAVwBFAFQAagAsACAARgByAGEAYwBMAEUAQQBDAEgALABcAG4AIAAgACAAIABNAE4AXwBqAGYAIAAqACAARgByAGEAYwBXAEUAVABqACAAKgAgAEYAcgBhAGMATABFAEEAQwBIAFwAbgAgACAAKQA7AFwAbgBcAG4AVgBFAEUAUgBHAF8ANQBfADUAXwAxAF8AMQBfAF8AMgBfAE0AYQBzAHMATwBmAE4AaQB0AHIAbwBnAGUAbgBMAGUAYQBjAGgAZQBkAEYAcgBvAG0ASQBuAG8AcgBnAGEAbgBpAGMARgBlAHIAdABpAGwAaQBzAGUAcgBfAFQAaQB0AGwAZQBcAG4AIAAgAD0ATABBAE0AQgBEAEEAKABcACIATQBhAHMAcwAgAG8AZgAgAG4AaQB0AHIAbwBnAGUAbgAgAGwAbwBzAHQAIAB0AGgAcgBvAHUAZwBoACAAbABlAGEAYwBoAGkAbgBnACAAYQBuAGQAIAByAHUAbgBvAGYAZgAgAGYAcgBvAG0AIABpAG4AbwByAGcAYQBuAGkAYwAgAGYAZQByAHQAaQBsAGkAcwBlAHIAIABhAHAAcABsAGkAYwBhAHQAaQBvAG4AIABpAG4AIABwAHIAbwBkAHUAYwB0AGkAbwBuACAAcwB5AHMAdABlAG0AIABqAFwAIgApADsAXABuAFwAbgBWAEUARQBSAEcAXwA1AF8ANQBfADEAXwAxAF8AXwAyAF8ATQBhAHMAcwBPAGYATgBpAHQAcgBvAGcAZQBuAEwAZQBhAGMAaABlAGQARgByAG8AbQBJAG4AbwByAGcAYQBuAGkAYwBGAGUAcgB0AGkAbABpAHMAZQByAF8AVgBhAHIAaQBhAGIAbABlAFwAbgAgACAAPQBMAEEATQBCAEQAQQAoAFwAIgBNAF8AbABlAGEAYwBoAGkAbgBvAHIAZwBhAG4AaQBjAGoAXAAiACkAOwBcAG4AXABuAFYARQBFAFIARwBfADUAXwA1AF8AMQBfADEAXwBfADIAXwBNAGEAcwBzAE8AZgBOAGkAdAByAG8AZwBlAG4ATABlAGEAYwBoAGUAZABGAHIAbwBtAEkAbgBvAHIAZwBhAG4AaQBjAEYAZQByAHQAaQBsAGkAcwBlAHIAXwBVAG4AaQB0AFwAbgAgACAAPQBMAEEATQBCAEQAQQAoAFwAIgBrAGcAIABOAFwAIgApADsAXABuAFwAbgBWAEUARQBSAEcAXwA1AF8ANQBfADEAXwAxAF8AXwAyAF8ATQBhAHMAcwBPAGYATgBpAHQAcgBvAGcAZQBuAEwAZQBhAGMAaABlAGQARgByAG8AbQBJAG4AbwByAGcAYQBuAGkAYwBGAGUAcgB0AGkAbABpAHMAZQByAF8AUwBvAHUAcgBjAGUAXABuACAAIAA9AEwAQQBNAEIARABBACgAXAAiAFYARQBFAFIARwAgADIAMAAyADYAOgAgADUALgA1ACwAIABFAHEAdQBhAHQAaQBvAG4AIAAoADIAKQBcACIAKQA7AFwAbgBcAG4AVgBFAEUAUgBHAF8ANQBfADUAXwAxAF8AMQBfAF8AMgBfAE0AYQBzAHMATwBmAE4AaQB0AHIAbwBnAGUAbgBMAGUAYQBjAGgAZQBkAEYAcgBvAG0ASQBuAG8AcgBnAGEAbgBpAGMARgBlAHIAdABpAGwAaQBzAGUAcgBfAE4ASQBSAFIAZQBmAGUAcgBlAG4AYwBlAFwAbgAgACAAPQBMAEEATQBCAEQAQQAoAFwAIgBcACIAKQA7AFwAbgBcAG4AVgBFAEUAUgBHAF8ANQBfADUAXwAxAF8AMQBfAF8AMgBfAE0AYQBzAHMATwBmAE4AaQB0AHIAbwBnAGUAbgBMAGUAYQBjAGgAZQBkAEYAcgBvAG0ASQBuAG8AcgBnAGEAbgBpAGMARgBlAHIAdABpAGwAaQBzAGUAcgBfAEwAYQB0AGUAeABFAHEAdQBhAHQAaQBvAG4AXABuACAAIAA9AEwAQQBNAEIARABBACgAXAAiAE0AXwB7AGwAZQBhAGMAaAAsAGkAbgBvAHIAZwBhAG4AaQBjACwAagB9AD0AXABcAHMAdQBtAFwAXABuAG8AbABpAG0AaQB0AHMAXwB7AGYAfQBcAFwAbABlAGYAdAAoAHsATQBOAH0AXwB7AGoAZgB9AFwAXAB0AGkAbQBlAHMAIABGAHIAYQBjAF8AewBXAEUAVAAsAGoAfQBcAFwAdABpAG0AZQBzACAARgByAGEAYwBfAHsATABFAEEAQwBIAH0AXABcAHIAaQBnAGgAdAApAFwAIgApADsAXABuAFwAbgBWAEUARQBSAEcAXwA1AF8ANQBfADEAXwAxAF8AXwAyAF8ATQBhAHMAcwBPAGYATgBpAHQAcgBvAGcAZQBuAEwAZQBhAGMAaABlAGQARgByAG8AbQBJAG4AbwByAGcAYQBuAGkAYwBGAGUAcgB0AGkAbABpAHMAZQByAF8AQQByAGcAdQBtAGUAbgB0AHMAXABuACAAIAA9AEwAQQBNAEIARABBACgAXABuACAAIAAgACAATQBBAEsARQBBAFIAUgBBAFkAKAA2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XAAiACwAIABcACIAawBnACAATgBcACIALAAgAFwAIgBDAGEAbABjAHUAbABhAHQAZQBkACAAZgByAG8AbQAgADUALgAxAC4AMQAuADEAIAAoADIAKQBcACIAOwBcAG4AIAAgACAAIAAgACAAIAAgACAAIABcACIARgByAGEAYwBXAEUAVABqAFwAIgAsAFwAIgBmAHIAYQBjAHQAaQBvAG4AIABvAGYAIABOACAAYQB2AGEAaQBsAGEAYgBsAGUAIABmAG8AcgAgAGwAZQBhAGMAaABpAG4AZwAgAGEAbgBkACAAcgB1AG4AbwBmAGYAXAAiACwAIABcACIAZgByAGEAYwB0AGkAbwBuAFwAIgAsACAAXAAiAEMAbwBuAHMAdABhAG4AdABcACIAOwBcAG4AIAAgACAAIAAgACAAIAAgACAAIABcACIARgByAGEAYwBMAEUAQQBDAEgAXAAiACwAXAAiAGYAcgBhAGMAdABpAG8AbgAgAG8AZgAgAE4AIAB0AGgAYQB0ACAAaQBzACAAbABvAHMAdAAgAHQAaAByAG8AdQBnAGgAIABsAGUAYQBjAGgAaQBuAGcAIABhAG4AZAAgAHIAdQBuAG8AZgBmAFwAIgAsACAAXAAiAGYAcgBhAGMAdABpAG8AbgBcACIALAAgAFwAIgBDAG8AbgBzAHQAYQBuAHQAXAAiADsAXABuACAAIAAgACAAIAAgACAAIAAgACAAIAAgAFwAIgB6AFwAIgAsAFwAIgBsAG8AYwBhAHQAaQBvAG4AIABpAG4AIABsAGUAYQBjAGgAaQBuAGcAIAB6AG8AbgBlAFwAIgAsACAAXAAiAFwAIgAsACAAXAAiAEkAbgBwAHUAdABcACIAOwBcAG4AIAAgACAAIAAgACAAIAAgACAAIAAgACAAXAAiAGoAXAAiACwAXAAiAHAAcgBvAGQAdQBjAHQAaQBvAG4AIABzAHkAcwB0AGUAbQBcACIALAAgAFwAIgBcACIALAAgAFwAIgBJAG4AcAB1AHQAXAAiADsAXABuACAAIAAgACAAIAAgACAAIAAgACAAIAAgAFwAIgBpAHIAXAAiACwAXAAiAGkAcgByAGkAZwBhAHQAaQBvAG4AIABtAGUAdABoAG8AZA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NQBfADEAXwAxAF8AXwAzAF8ATQBhAHMAcwBPAGYATgBpAHQAcgBvAGcAZQBuAEwAZQBhAGMAaABlAGQARgByAG8AbQBPAHIAZwBhAG4AaQBjAEYAZQByAHQAaQBsAGkAcwBlAHIAXABuAE0AYQBzAHMAIABvAGYAIABuAGkAdAByAG8AZwBlAG4AIABsAG8AcwB0ACAAdABoAHIAbwB1AGcAaAAgAGwAZQBhAGMAaABpAG4AZwAgAGEAbgBkACAAcgB1AG4AbwBmAGYAIABmAHIAbwBtACAAbwByAGcAYQBuAGkAYwAgAGYAZQByAHQAaQBsAGkAcwBlAHIAIABhAHAAcABsAGkAYwBhAHQAaQBvAG4AIABpAG4AIABwAHIAbwBkAHUAYwB0AGkAbwBuACAAcwB5AHMAdABlAG0AIABqAFwAbgBNAF8AbABlAGEAYwBoAG8AcgBnAGEAbgBpAGMAagBcAG4AawBnACAATgBcAG4ATQBfAHsAbABlAGEAYwBoACwAbwByAGcAYQBuAGkAYwAsAGoAfQA9AFwAXABzAHUAbQBfAHsAZgB9ACgAewBNAE4AUwBvAGkAbAB9AF8AewBqAGYAfQBcAFwAdABpAG0AZQBzACAARgByAGEAYwBfAHsAVwBFAFQALABqAH0AXABcAHQAaQBtAGUAcwAgAEYAcgBhAGMAXwB7AEwARQBBAEMASAB9ACkAXABuAE0ATgBTAG8AaQBsAF8AagBmAFwAbgBGAHIAYQBjAFcARQBUAGoAXABuAEYAcgBhAGMATABFAEEAQwBIAFwAbgBqAFwAbgBmAFwAbgAtAC0ALQAtAC0ALQAtAC0ALQAtAC0ALQAtAC0ALQAtAC0ALQAtAC0ALQAtAC0ALQAtAC0ALQAtAC0ALQAtAC0ALQAtAC0ALQAtAC0AXABuACoALwBcAG4AXABuAFYARQBFAFIARwBfADUAXwA1AF8AMQBfADEAXwBfADMAXwBNAGEAcwBzAE8AZgBOAGkAdAByAG8AZwBlAG4ATABlAGEAYwBoAGUAZABGAHIAbwBtAE8AcgBnAGEAbgBpAGMARgBlAHIAdABpAGwAaQBzAGUAcgBcAG4AIAAgAD0ATABBAE0AQgBEAEEAKABcAG4AIAAgACAAIABNAE4AUwBvAGkAbABfAGoAZgAsACAARgByAGEAYwBXAEUAVABqACwAIABGAHIAYQBjAEwARQBBAEMASAAsAFwAbgAgACAAIAAgAE0ATgBTAG8AaQBsAF8AagBmACAAKgAgAEYAcgBhAGMAVwBFAFQAagAgACoAIABGAHIAYQBjAEwARQBBAEMASABcAG4AIAAgACkAOwBcAG4AXABuAFYARQBFAFIARwBfADUAXwA1AF8AMQBfADEAXwBfADMAXwBNAGEAcwBzAE8AZgBOAGkAdAByAG8AZwBlAG4ATABlAGEAYwBoAGUAZABGAHIAbwBtAE8AcgBnAGEAbgBpAGMARgBlAHIAdABpAGwAaQBzAGUAcgBfAFQAaQB0AGwAZQBcAG4AIAAgAD0ATABBAE0AQgBEAEEAKABcACIATQBhAHMAcwAgAG8AZgAgAG4AaQB0AHIAbwBnAGUAbgAgAGwAbwBzAHQAIAB0AGgAcgBvAHUAZwBoACAAbABlAGEAYwBoAGkAbgBnACAAYQBuAGQAIAByAHUAbgBvAGYAZgAgAGYAcgBvAG0AIABvAHIAZwBhAG4AaQBjACAAZgBlAHIAdABpAGwAaQBzAGUAcgAgAGEAcABwAGwAaQBjAGEAdABpAG8AbgAgAGkAbgAgAHAAcgBvAGQAdQBjAHQAaQBvAG4AIABzAHkAcwB0AGUAbQAgAGoAXAAiACkAOwBcAG4AXABuAFYARQBFAFIARwBfADUAXwA1AF8AMQBfADEAXwBfADMAXwBNAGEAcwBzAE8AZgBOAGkAdAByAG8AZwBlAG4ATABlAGEAYwBoAGUAZABGAHIAbwBtAE8AcgBnAGEAbgBpAGMARgBlAHIAdABpAGwAaQBzAGUAcgBfAFYAYQByAGkAYQBiAGwAZQBcAG4AIAAgAD0ATABBAE0AQgBEAEEAKABcACIATQBfAGwAZQBhAGMAaABvAHIAZwBhAG4AaQBjAGoAXAAiACkAOwBcAG4AXABuAFYARQBFAFIARwBfADUAXwA1AF8AMQBfADEAXwBfADMAXwBNAGEAcwBzAE8AZgBOAGkAdAByAG8AZwBlAG4ATABlAGEAYwBoAGUAZABGAHIAbwBtAE8AcgBnAGEAbgBpAGMARgBlAHIAdABpAGwAaQBzAGUAcgBfAFUAbgBpAHQAXABuACAAIAA9AEwAQQBNAEIARABBACgAXAAiAGsAZwAgAE4AXAAiACkAOwBcAG4AXABuAFYARQBFAFIARwBfADUAXwA1AF8AMQBfADEAXwBfADMAXwBNAGEAcwBzAE8AZgBOAGkAdAByAG8AZwBlAG4ATABlAGEAYwBoAGUAZABGAHIAbwBtAE8AcgBnAGEAbgBpAGMARgBlAHIAdABpAGwAaQBzAGUAcgBfAFMAbwB1AHIAYwBlAFwAbgAgACAAPQBMAEEATQBCAEQAQQAoAFwAIgBWAEUARQBSAEcAIAAyADAAMgA2ADoAIAA1AC4ANQAsACAARQBxAHUAYQB0AGkAbwBuACAAKAAzACkAXAAiACkAOwBcAG4AXABuAFYARQBFAFIARwBfADUAXwA1AF8AMQBfADEAXwBfADMAXwBNAGEAcwBzAE8AZgBOAGkAdAByAG8AZwBlAG4ATABlAGEAYwBoAGUAZABGAHIAbwBtAE8AcgBnAGEAbgBpAGMARgBlAHIAdABpAGwAaQBzAGUAcgBfAE4ASQBSAFIAZQBmAGUAcgBlAG4AYwBlAFwAbgAgACAAPQBMAEEATQBCAEQAQQAoAFwAIgBcACIAKQA7AFwAbgBcAG4AVgBFAEUAUgBHAF8ANQBfADUAXwAxAF8AMQBfAF8AMwBfAE0AYQBzAHMATwBmAE4AaQB0AHIAbwBnAGUAbgBMAGUAYQBjAGgAZQBkAEYAcgBvAG0ATwByAGcAYQBuAGkAYwBGAGUAcgB0AGkAbABpAHMAZQByAF8ATABhAHQAZQB4AEUAcQB1AGEAdABpAG8AbgBcAG4AIAAgAD0ATABBAE0AQgBEAEEAKABcACIATQBfAHsAbABlAGEAYwBoACwAbwByAGcAYQBuAGkAYwAsAGoAfQA9AFwAXABzAHUAbQBcAFwAbgBvAGwAaQBtAGkAdABzAF8AewBmAH0AXABcAGwAZQBmAHQAKAB7AE0ATgBTAG8AaQBsAH0AXwB7AGoAZgB9AFwAXAB0AGkAbQBlAHMAIABGAHIAYQBjAF8AewBXAEUAVAAsAGoAfQBcAFwAdABpAG0AZQBzACAARgByAGEAYwBfAHsATABFAEEAQwBIAH0AXABcAHIAaQBnAGgAdAApAFwAIgApADsAXABuAFwAbgBWAEUARQBSAEcAXwA1AF8ANQBfADEAXwAxAF8AXwAzAF8ATQBhAHMAcwBPAGYATgBpAHQAcgBvAGcAZQBuAEwAZQBhAGMAaABlAGQARgByAG8AbQBPAHIAZwBhAG4AaQBjAEYAZQByAHQAaQBsAGkAcwBlAHIAXwBBAHIAZwB1AG0AZQBuAHQAcwBcAG4AIAAgAD0ATABBAE0AQgBEAEEAKABcAG4AIAAgACAAIABNAEEASwBFAEEAUgBSAEEAWQAoADYALAAgADQALAAgAFwAbgAgACAAIAAgACAAIABMAEEATQBCAEQAQQAoAHIALABjACwAIABcAG4AIAAgACAAIAAgACAAIAAgAEkATgBEAEUAWAAoAHsAXABuACAAIAAgACAAIAAgACAAIAAgACAAXAAiAE0ATgBTAG8AaQBsAF8AagBmAFwAIgAsAFwAIgBtAGEAcwBzACAAbwBmACAAbgBpAHQAcgBvAGcAZQBuACAAaQBuACAAbwByAGcAYQBuAGkAYwAgAGYAZQByAHQAaQBsAGkAcwBlAHIAXAAiACwAIABcACIAawBnACAATgBcACIALAAgAFwAIgBDAGEAbABjAHUAbABhAHQAZQBkACAAZgByAG8AbQAgADUALgAyAC4AMQAuADEAIAAoADIAKQBcACIAOwBcAG4AIAAgACAAIAAgACAAIAAgACAAIABcACIARgByAGEAYwBXAEUAVABqAFwAIgAsAFwAIgBmAHIAYQBjAHQAaQBvAG4AIABvAGYAIABOACAAYQB2AGEAaQBsAGEAYgBsAGUAIABmAG8AcgAgAGwAZQBhAGMAaABpAG4AZwAgAGEAbgBkACAAcgB1AG4AbwBmAGYAXAAiACwAIABcACIAZgByAGEAYwB0AGkAbwBuAFwAIgAsACAAXAAiAEMAbwBuAHMAdABhAG4AdABcACIAOwBcAG4AIAAgACAAIAAgACAAIAAgACAAIABcACIARgByAGEAYwBMAEUAQQBDAEgAXAAiACwAXAAiAGYAcgBhAGMAdABpAG8AbgAgAG8AZgAgAE4AIAB0AGgAYQB0ACAAaQBzACAAbABvAHMAdAAgAHQAaAByAG8AdQBnAGgAIABsAGUAYQBjAGgAaQBuAGcAIABhAG4AZAAgAHIAdQBuAG8AZgBmAFwAIgAsACAAXAAiAGYAcgBhAGMAdABpAG8AbgBcACIALAAgAFwAIgBDAG8AbgBzAHQAYQBuAHQAXAAiADsAXABuACAAIAAgACAAIAAgACAAIAAgACAAXAAiAHoAXAAiACwAXAAiAGwAbwBjAGEAdABpAG8AbgAgAGkAbgAgAGwAZQBhAGMAaABpAG4AZwAgAHoAbwBuAGUAXAAiACwAIABcACIAXAAiACwAIABcACIASQBuAHAAdQB0AFwAIgA7AFwAbgAgACAAIAAgACAAIAAgACAAIAAgAFwAIgBqAFwAIgAsAFwAIgBwAHIAbwBkAHUAYwB0AGkAbwBuACAAcwB5AHMAdABlAG0AXAAiACwAIABcACIAXAAiACwAIABcACIASQBuAHAAdQB0AFwAIgA7AFwAbgAgACAAIAAgACAAIAAgACAAIAAgAFwAIgBpAHIAXAAiACwAXAAiAGkAcgByAGkAZwBhAHQAaQBvAG4AIABtAGUAdABoAG8AZABcACIALAAgAFwAIgBcACIALAAgAFwAIgBJAG4AcAB1AHQAXAAiAFwAbgAgACAAIAAgACAAIAAgACAAfQAsACAAcgAsACAAYwApAFwAbgAgACAAIAAgACAAIAApAFwAbgAgACAAIAAgACkAXABuACAAIAApADsAXABuACIAfQAsAHsAIgBwAGEAdABoACIAOgAiAC8AcAByAG8AagBlAGMAdABzAC8ARgBlAHIAdABpAGwAaQBzAGUAcgBfAEkAbgBwAHUAdABGAHUAbgBjAHQAaQBvAG4AcwAiACwAIgB0AGUAeAB0ACIAOgAiAEYAZQByAHQAaQBsAGkAcwBlAHIAXwBGAGUAcgB0AGkAbABpAHMAZQByAFAAcgBvAGQAdQBjAHQATABvAG8AawB1AHAAXABuAD0ATABBAE0AQgBEAEEAKABcAG4AIAAgAFAAcgBvAGQAdQBjAHQALABcAG4AIAAgAFAAcgBvAGQAdQBjAHQAQQB0AHQAcgBpAGIAdQB0AGUALABcAG4AIAAgAFAAcgBvAGQAdQBjAHQAQQByAHIAYQB5ACwAXABuACAAIABQAHIAbwBkAHUAYwB0AEEAcgByAGEAeQBDAG8AbAB1AG0AbgAsAFwAbgAgACAAUAByAG8AZAB1AGMAdABBAHIAcgBhAHkASABlAGEAZABlAHIAcwAsAFwAbgAgACAASQBGAEUAUgBSAE8AUgAoAFwAbgAgACAAIAAgAEkATgBEAEUAWAAoAFwAbgAgACAAIAAgACAAIABQAHIAbwBkAHUAYwB0AEEAcgByAGEAeQAsAFwAbgAgACAAIAAgACAAIABYAE0AQQBUAEMASAAoAFwAbgAgACAAIAAgACAAIAAgACAAVABSAEkATQAoAFwAbgAgACAAIAAgACAAIAAgACAAIAAgAFAAcgBvAGQAdQBjAHQAXABuACAAIAAgACAAIAAgACAAIAApACwAXABuACAAIAAgACAAIAAgACAAIABQAHIAbwBkAHUAYwB0AEEAcgByAGEAeQBDAG8AbAB1AG0AbgAsAFwAbgAgACAAIAAgACAAIAAgACAAMABcAG4AIAAgACAAIAAgACAAKQAsAFwAbgAgACAAIAAgACAAIABYAE0AQQBUAEMASAAoAFwAbgAgACAAIAAgACAAIAAgACAAVABSAEkATQAoAFwAbgAgACAAIAAgACAAIAAgACAAIAAgAFAAcgBvAGQAdQBjAHQAQQB0AHQAcgBpAGIAdQB0AGUAXABuACAAIAAgACAAIAAgACAAIAApACwAXABuACAAIAAgACAAIAAgACAAIABQAHIAbwBkAHUAYwB0AEEAcgByAGEAeQBIAGUAYQBkAGUAcgBzACwAXABuACAAIAAgACAAIAAgACAAIAAwAFwAbgAgACAAIAAgACAAIAApAFwAbgAgACAAIAAgACkALABcAG4AIAAgACAAIABcACIAXAAiAFwAbgAgACAAKQBcAG4AKQA7AFwAbgBcAG4ARgBlAHIAdABpAGwAaQBzAGUAcgBfAFMAdQBtAFAAcgBvAGQAdQBjAHQAQQBwAHAAbABpAGUAZABcAG4APQBMAEEATQBCAEQAQQAoAFwAbgAgACAATABvAG8AawB1AHAAVABhAHIAZwBlAHQAMQAsAFwAbgAgACAATABvAG8AawB1AHAAQQByAHIAYQB5ADEALABcAG4AIAAgAEEAbQBvAHUAbgB0AEEAcABwAGwAaQBlAGQALABcAG4AIAAgAFsATABvAG8AawB1AHAAVABhAHIAZwBlAHQAMgBdACwAXABuACAAIABbAEwAbwBvAGsAdQBwAEEAcgByAGEAeQAyAF0ALABcAG4AIAAgAEwARQBUACgAXABuACAAIAAgACAAYwByAGkAdABlAHIAaQBhADEALABcAG4AIAAgACAAIAAtAC0AKABcAG4AIAAgACAAIAAgACAATABvAG8AawB1AHAAQQByAHIAYQB5ADEAIAA9ACAATABvAG8AawB1AHAAVABhAHIAZwBlAHQAMQBcAG4AIAAgACAAIAApACwAXABuACAAIAAgACAAYwByAGkAdABlAHIAaQBhADIALABcAG4AIAAgACAAIABJAEYAKABcAG4AIAAgACAAIAAgACAASQBTAE8ATQBJAFQAVABFAEQAKABcAG4AIAAgACAAIAAgACAAIAAgAEwAbwBvAGsAdQBwAFQAYQByAGcAZQB0ADIAXABuACAAIAAgACAAIAAgACkALABcAG4AIAAgACAAIAAgACAAMQAsAFwAbgAgACAAIAAgACAAIAAtAC0AKABcAG4AIAAgACAAIAAgACAAIAAgAEwAbwBvAGsAdQBwAEEAcgByAGEAeQAyACAAPQAgAEwAbwBvAGsAdQBwAFQAYQByAGcAZQB0ADIAXABuACAAIAAgACAAIAAgACkAXABuACAAIAAgACAAKQAsAFwAbgAgACAAIAAgAFMAVQBNAFAAUgBPAEQAVQBDAFQAKABcAG4AIAAgACAAIAAgACAASQBGAEUAUgBSAE8AUgAoAGMAcgBpAHQAZQByAGkAYQAxACAAKgAgAGMAcgBpAHQAZQByAGkAYQAyACAAKgAgAEEAbQBvAHUAbgB0AEEAcABwAGwAaQBlAGQALAAgADAAKQBcAG4AIAAgACAAIAApAFwAbgAgACAAKQBcAG4AKQA7AFwAbgBcAG4ARgBlAHIAdABpAGwAaQBzAGUAcgBfAFQAbwB0AGEAbABTAG8AaQBsAEEAbQBlAG4AZABtAGUAbgB0AEEAcABwAGwAaQBlAGQAXABuAD0ATABBAE0AQgBEAEEAKABcAG4AIAAgAEEAbQBvAHUAbgB0AEEAcABwAGwAaQBlAGQALABcAG4AIAAgAEEAbQBlAG4AZABtAGUAbgB0AFAAZQByAGMAZQBuAHQALABcAG4AIAAgAFMAVQBNAFAAUgBPAEQAVQBDAFQAKABcAG4AIAAgACAAIABBAG0AbwB1AG4AdABBAHAAcABsAGkAZQBkACAAKgAgAEEAbQBlAG4AZABtAGUAbgB0AFAAZQByAGMAZQBuAHQAXABuACAAIAApAFwAbgApADsAXABuAFwAbgBGAGUAcgB0AGkAbABpAHMAZQByAF8AVABvAHQAYQBsAEMAaABlAG0AaQBjAGEAbABDAG8AbQBwAG8AdQBuAGQAQQBwAHAAbABpAGUAZABBAGwAbABJAG4AZwByAGUAZABpAGUAbgB0AHMAXABuAD0ATABBAE0AQgBEAEEAKABcAG4AIAAgAEMAaABlAG0AaQBjAGEAbABDAG8AbQBwAG8AdQBuAGQALABcAG4AIAAgAEEAbQBvAHUAbgB0AEEAcABwAGwAaQBlAGQALABcAG4AIAAgAFAAcgBvAGQAdQBjAHQASQBuAGcAcgBlAGQAaQBlAG4AdAAxACwAXABuACAAIABQAHIAbwBkAHUAYwB0AEkAbgBnAHIAZQBkAGkAZQBuAHQAUABlAHIAYwBlAG4AdAAxACwAXABuACAAIABbAFAAcgBvAGQAdQBjAHQASQBuAGcAcgBlAGQAaQBlAG4AdAAyAF0ALABcAG4AIAAgAFsAUAByAG8AZAB1AGMAdABJAG4AZwByAGUAZABpAGUAbgB0AFAAZQByAGMAZQBuAHQAMgBdACwAXABuACAAIABbAFAAcgBvAGQAdQBjAHQASQBuAGcAcgBlAGQAaQBlAG4AdAAzAF0ALABcAG4AIAAgAFsAUAByAG8AZAB1AGMAdABJAG4AZwByAGUAZABpAGUAbgB0AFAAZQByAGMAZQBuAHQAMwBdACwAXABuACAAIABbAFAAcgBvAGQAdQBjAHQASQBuAGcAcgBlAGQAaQBlAG4AdAA0AF0ALABcAG4AIAAgAFsAUAByAG8AZAB1AGMAdABJAG4AZwByAGUAZABpAGUAbgB0AFAAZQByAGMAZQBuAHQANABdACwAXABuACAAIABbAFAAcgBvAGQAdQBjAHQASQBuAGcAcgBlAGQAaQBlAG4AdAA1AF0ALABcAG4AIAAgAFsAUAByAG8AZAB1AGMAdABJAG4AZwByAGUAZABpAGUAbgB0AFAAZQByAGMAZQBuAHQANQBdACwAXABuACAAIABbAFAAcgBvAGQAdQBjAHQASQBuAGcAcgBlAGQAaQBlAG4AdAA2AF0ALABcAG4AIAAgAFsAUAByAG8AZAB1AGMAdABJAG4AZwByAGUAZABpAGUAbgB0AFAAZQByAGMAZQBuAHQANgBdACwAXABuACAAIABMAEUAVAAoAFwAbgAgACAAIAAgAGMAYQBsAGMAdQBsAGEAdABlAGQAQQBtAG8AdQBuAHQAMQAsAFwAbgAgACAAIAAgACgAXABuACAAIAAgACAAIAAgAEEAbQBvAHUAbgB0AEEAcABwAGwAaQBlAGQAIAAqACAAUAByAG8AZAB1AGMAdABJAG4AZwByAGUAZABpAGUAbgB0AFAAZQByAGMAZQBuAHQAMQBcAG4AIAAgACAAIAApACwAXABuACAAIAAgACAAYwBhAGwAYwB1AGwAYQB0AGUAZABBAG0AbwB1AG4AdAAyACwAXABuACAAIAAgACAAKABcAG4AIAAgACAAIAAgACAAQQBtAG8AdQBuAHQAQQBwAHAAbABpAGUAZAAgACoAIABQAHIAbwBkAHUAYwB0AEkAbgBnAHIAZQBkAGkAZQBuAHQAUABlAHIAYwBlAG4AdAAyAFwAbgAgACAAIAAgACkALABcAG4AIAAgACAAIABjAGEAbABjAHUAbABhAHQAZQBkAEEAbQBvAHUAbgB0ADMALABcAG4AIAAgACAAIAAoAFwAbgAgACAAIAAgACAAIABBAG0AbwB1AG4AdABBAHAAcABsAGkAZQBkACAAKgAgAFAAcgBvAGQAdQBjAHQASQBuAGcAcgBlAGQAaQBlAG4AdABQAGUAcgBjAGUAbgB0ADMAXABuACAAIAAgACAAKQAsAFwAbgAgACAAIAAgAGMAYQBsAGMAdQBsAGEAdABlAGQAQQBtAG8AdQBuAHQANAAsAFwAbgAgACAAIAAgACgAXABuACAAIAAgACAAIAAgAEEAbQBvAHUAbgB0AEEAcABwAGwAaQBlAGQAIAAqACAAUAByAG8AZAB1AGMAdABJAG4AZwByAGUAZABpAGUAbgB0AFAAZQByAGMAZQBuAHQANABcAG4AIAAgACAAIAApACwAXABuACAAIAAgACAAYwBhAGwAYwB1AGwAYQB0AGUAZABBAG0AbwB1AG4AdAA1ACwAXABuACAAIAAgACAAKABcAG4AIAAgACAAIAAgACAAQQBtAG8AdQBuAHQAQQBwAHAAbABpAGUAZAAgACoAIABQAHIAbwBkAHUAYwB0AEkAbgBnAHIAZQBkAGkAZQBuAHQAUABlAHIAYwBlAG4AdAA1AFwAbgAgACAAIAAgACkALABcAG4AIAAgACAAIABjAGEAbABjAHUAbABhAHQAZQBkAEEAbQBvAHUAbgB0ADYALABcAG4AIAAgACAAIAAoAFwAbgAgACAAIAAgACAAIABBAG0AbwB1AG4AdABBAHAAcABsAGkAZQBkACAAKgAgAFAAcgBvAGQAdQBjAHQASQBuAGcAcgBlAGQAaQBlAG4AdABQAGUAcgBjAGUAbgB0ADYAXABuACAAIAAgACAAKQAsAFwAbgAgACAAIAAgAEYAZQByAHQAaQBsAGkAcwBlAHIAXwBTAHUAbQBQAHIAbwBkAHUAYwB0AEEAcABwAGwAaQBlAGQAKABcAG4AIAAgACAAIAAgACAAQwBoAGUAbQBpAGMAYQBsAEMAbwBtAHAAbwB1AG4AZAAsAFwAbgAgACAAIAAgACAAIABQAHIAbwBkAHUAYwB0AEkAbgBnAHIAZQBkAGkAZQBuAHQAMQAsAFwAbgAgACAAIAAgACAAIABjAGEAbABjAHUAbABhAHQAZQBkAEEAbQBvAHUAbgB0ADE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yACwAXABuACAAIAAgACAAIAAgACAAIABjAGEAbABjAHUAbABhAHQAZQBkAEEAbQBvAHUAbgB0ADI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MALABcAG4AIAAgACAAIAAgACAAIAAgAGMAYQBsAGMAdQBsAGEAdABlAGQAQQBtAG8AdQBuAHQAMw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AAsAFwAbgAgACAAIAAgACAAIAAgACAAYwBhAGwAYwB1AGwAYQB0AGUAZABBAG0AbwB1AG4AdAA0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1ACwAXABuACAAIAAgACAAIAAgACAAIABjAGEAbABjAHUAbABhAHQAZQBkAEEAbQBvAHUAbgB0AD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YALABcAG4AIAAgACAAIAAgACAAIAAgAGMAYQBsAGMAdQBsAGEAdABlAGQAQQBtAG8AdQBuAHQANgBcAG4AIAAgACAAIAAgACAAKQAsAFwAbgAgACAAIAAgACAAIAAwAFwAbgAgACAAIAAgACkAXABuACAAIAApAFwAbgApADsAXABuAFwAbgBGAGUAcgB0AGkAbABpAHMAZQByAF8AVABvAHQAYQBsAEMAaABlAG0AaQBjAGEAbABDAG8AbQBwAG8AdQBuAGQAdABBAHAAcABsAGkAZQBkAEIAeQBTAG8AdQByAGMAZQBBAGwAbABJAG4AZwByAGUAZABpAGUAbgB0AHMAXABuAD0ATABBAE0AQgBEAEEAKABcAG4AIAAgAEMAaABlAG0AaQBjAGEAbABDAG8AbQBwAG8AdQBuAGQALABcAG4AIAAgAFMAbwB1AHIAYwBlACwAXABuACAAIABBAG0AbwB1AG4AdABBAHAAcABsAGkAZQBkACwAXABuACAAIABQAHIAbwBkAHUAYwB0AEkAbgBnAHIAZQBkAGkAZQBuAHQAMQAsAFwAbgAgACAAUAByAG8AZAB1AGMAdABJAG4AZwByAGUAZABpAGUAbgB0AFAAZQByAGMAZQBuAHQAMQAsAFwAbgAgACAAWwBQAHIAbwBkAHUAYwB0AEkAbgBnAHIAZQBkAGkAZQBuAHQAUwBvAHUAcgBjAGUAXQAsAFwAbgAgACAAWwBQAHIAbwBkAHUAYwB0AEkAbgBnAHIAZQBkAGkAZQBuAHQAMgBdACwAXABuACAAIABbAFAAcgBvAGQAdQBjAHQASQBuAGcAcgBlAGQAaQBlAG4AdABQAGUAcgBjAGUAbgB0ADIAXQAsAFwAbgAgACAAWwBQAHIAbwBkAHUAYwB0AEkAbgBnAHIAZQBkAGkAZQBuAHQAMwBdACwAXABuACAAIABbAFAAcgBvAGQAdQBjAHQASQBuAGcAcgBlAGQAaQBlAG4AdABQAGUAcgBjAGUAbgB0ADMAXQAsAFwAbgAgACAAWwBQAHIAbwBkAHUAYwB0AEkAbgBnAHIAZQBkAGkAZQBuAHQANABdACwAXABuACAAIABbAFAAcgBvAGQAdQBjAHQASQBuAGcAcgBlAGQAaQBlAG4AdABQAGUAcgBjAGUAbgB0ADQAXQAsAFwAbgAgACAAWwBQAHIAbwBkAHUAYwB0AEkAbgBnAHIAZQBkAGkAZQBuAHQANQBdACwAXABuACAAIABbAFAAcgBvAGQAdQBjAHQASQBuAGcAcgBlAGQAaQBlAG4AdABQAGUAcgBjAGUAbgB0ADUAXQAsAFwAbgAgACAAWwBQAHIAbwBkAHUAYwB0AEkAbgBnAHIAZQBkAGkAZQBuAHQANgBdACwAXABuACAAIABbAFAAcgBvAGQAdQBjAHQASQBuAGcAcgBlAGQAaQBlAG4AdABQAGUAcgBjAGUAbgB0ADYAXQAsAFwAbgAgACAATABFAFQAKABcAG4AIAAgACAAIABjAGEAbABjAHUAbABhAHQAZQBkAEEAbQBvAHUAbgB0ADEALABcAG4AIAAgACAAIAAoAFwAbgAgACAAIAAgACAAIABBAG0AbwB1AG4AdABBAHAAcABsAGkAZQBkACAAKgAgAFAAcgBvAGQAdQBjAHQASQBuAGcAcgBlAGQAaQBlAG4AdABQAGUAcgBjAGUAbgB0ADEAXABuACAAIAAgACAAKQAsAFwAbgAgACAAIAAgAGMAYQBsAGMAdQBsAGEAdABlAGQAQQBtAG8AdQBuAHQAMgAsAFwAbgAgACAAIAAgACgAXABuACAAIAAgACAAIAAgAEEAbQBvAHUAbgB0AEEAcABwAGwAaQBlAGQAIAAqACAAUAByAG8AZAB1AGMAdABJAG4AZwByAGUAZABpAGUAbgB0AFAAZQByAGMAZQBuAHQAMgBcAG4AIAAgACAAIAApACwAXABuACAAIAAgACAAYwBhAGwAYwB1AGwAYQB0AGUAZABBAG0AbwB1AG4AdAAzACwAXABuACAAIAAgACAAKABcAG4AIAAgACAAIAAgACAAQQBtAG8AdQBuAHQAQQBwAHAAbABpAGUAZAAgACoAIABQAHIAbwBkAHUAYwB0AEkAbgBnAHIAZQBkAGkAZQBuAHQAUABlAHIAYwBlAG4AdAAzAFwAbgAgACAAIAAgACkALABcAG4AIAAgACAAIABjAGEAbABjAHUAbABhAHQAZQBkAEEAbQBvAHUAbgB0ADQALABcAG4AIAAgACAAIAAoAFwAbgAgACAAIAAgACAAIABBAG0AbwB1AG4AdABBAHAAcABsAGkAZQBkACAAKgAgAFAAcgBvAGQAdQBjAHQASQBuAGcAcgBlAGQAaQBlAG4AdABQAGUAcgBjAGUAbgB0ADQAXABuACAAIAAgACAAKQAsAFwAbgAgACAAIAAgAGMAYQBsAGMAdQBsAGEAdABlAGQAQQBtAG8AdQBuAHQANQAsAFwAbgAgACAAIAAgACgAXABuACAAIAAgACAAIAAgAEEAbQBvAHUAbgB0AEEAcABwAGwAaQBlAGQAIAAqACAAUAByAG8AZAB1AGMAdABJAG4AZwByAGUAZABpAGUAbgB0AFAAZQByAGMAZQBuAHQANQBcAG4AIAAgACAAIAApACwAXABuACAAIAAgACAAYwBhAGwAYwB1AGwAYQB0AGUAZABBAG0AbwB1AG4AdAA2ACwAXABuACAAIAAgACAAKABcAG4AIAAgACAAIAAgACAAQQBtAG8AdQBuAHQAQQBwAHAAbABpAGUAZAAgACoAIABQAHIAbwBkAHUAYwB0AEkAbgBnAHIAZQBkAGkAZQBuAHQAUABlAHIAYwBlAG4AdAA2AFwAbgAgACAAIAAgACkALABcAG4AIAAgACAAIABQAHIAbwBkAHUAYwB0AEkAbgBnAHIAZQBkAGkAZQBuAHQAUwBvAHUAcgBjAGUALABcAG4AIAAgACAAIABJAEYAKABcAG4AIAAgACAAIAAgACAAUAByAG8AZAB1AGMAdABJAG4AZwByAGUAZABpAGUAbgB0AFMAbwB1AHIAYwBlACAAPQAgAFwAIgBcACIALABcAG4AIAAgACAAIAAgACAAXAAiAEcAbABvAGIAYQBsAFwAIgAsAFwAbgAgACAAIAAgACAAIABQAHIAbwBkAHUAYwB0AEkAbgBnAHIAZQBkAGkAZQBuAHQAUwBvAHUAcgBjAGUAXABuACAAIAAgACAAKQAsAFwAbgAgACAAIAAgAEYAZQByAHQAaQBsAGkAcwBlAHIAXwBTAHUAbQBQAHIAbwBkAHUAYwB0AEEAcABwAGwAaQBlAGQAKABcAG4AIAAgACAAIAAgACAAQwBoAGUAbQBpAGMAYQBsAEMAbwBtAHAAbwB1AG4AZAAsAFwAbgAgACAAIAAgACAAIABQAHIAbwBkAHUAYwB0AEkAbgBnAHIAZQBkAGkAZQBuAHQAMQAsAFwAbgAgACAAIAAgACAAIABjAGEAbABjAHUAbABhAHQAZQBkAEEAbQBvAHUAbgB0ADEALABcAG4AIAAgACAAIAAgACAAUwBvAHUAcgBjAGUALABcAG4AIAAgACAAIAAgACAAUAByAG8AZAB1AGMAdABJAG4AZwByAGUAZABpAGUAbgB0AFMAbwB1AHIAYwBl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gAsAFwAbgAgACAAIAAgACAAIAAgACAAYwBhAGwAYwB1AGwAYQB0AGUAZABBAG0AbwB1AG4AdAAy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zACwAXABuACAAIAAgACAAIAAgACAAIABjAGEAbABjAHUAbABhAHQAZQBkAEEAbQBvAHUAbgB0ADMALABcAG4AIAAgACAAIAAgACAAIAAgAFMAbwB1AHIAYwBlACwAXABuACAAIAAgACAAIAAgACAAIABQAHIAbwBkAHUAYwB0AEkAbgBnAHIAZQBkAGkAZQBuAHQAUwBvAHUAcgBjAG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QALABcAG4AIAAgACAAIAAgACAAIAAgAGMAYQBsAGMAdQBsAGEAdABlAGQAQQBtAG8AdQBuAHQANA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QAsAFwAbgAgACAAIAAgACAAIAAgACAAYwBhAGwAYwB1AGwAYQB0AGUAZABBAG0AbwB1AG4AdAA1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2ACwAXABuACAAIAAgACAAIAAgACAAIABjAGEAbABjAHUAbABhAHQAZQBkAEEAbQBvAHUAbgB0ADYALABcAG4AIAAgACAAIAAgACAAIAAgAFMAbwB1AHIAYwBlACwAXABuACAAIAAgACAAIAAgACAAIABQAHIAbwBkAHUAYwB0AEkAbgBnAHIAZQBkAGkAZQBuAHQAUwBvAHUAcgBjAGUAXABuACAAIAAgACAAIAAgACkALABcAG4AIAAgACAAIAAgACAAMABcAG4AIAAgACAAIAApAFwAbgAgACAAKQBcAG4AKQA7AFwAbgBcAG4ARgBlAHIAdABpAGwAaQBzAGUAcgBfAEcAZQB0AFMAYwBvAHAAZQAzAEUARgBcAG4APQBMAEEATQBCAEQAQQAoAFwAbgAgACAAQwBoAGUAbQBpAGMAYQBsAEMAbwBtAHAAbwB1AG4AZAAsAFwAbgAgACAAUwBjAG8AcABlADMAQQByAHIAYQB5ACwAXABuACAAIABDAGgAZQBtAGkAYwBhAGwAQwBvAG0AcABvAHUAbgBkAEMAbwBsAHUAbQBuACwAXABuACAAIABTAG8AdQByAGMAZQAsAFwAbgAgACAAUwBvAHUAcgBjAGUAUgBvAHcALABcAG4AIAAgAEkATgBEAEUAWAAoAFwAbgAgACAAIAAgAFMAYwBvAHAAZQAzAEEAcgByAGEAeQAsAFwAbgAgACAAIAAgAE0AQQBUAEMASAAoAFwAbgAgACAAIAAgACAAIABDAGgAZQBtAGkAYwBhAGwAQwBvAG0AcABvAHUAbgBkACwAXABuACAAIAAgACAAIAAgAEMAaABlAG0AaQBjAGEAbABDAG8AbQBwAG8AdQBuAGQAQwBvAGwAdQBtAG4ALABcAG4AIAAgACAAIAAgACAAMABcAG4AIAAgACAAIAApACwAXABuACAAIAAgACAATQBBAFQAQwBIACgAXABuACAAIAAgACAAIAAgAFMAbwB1AHIAYwBlACwAXABuACAAIAAgACAAIAAgAFMAbwB1AHIAYwBlAFIAbwB3ACwAXABuACAAIAAgACAAIAAgADAAXABuACAAIAAgACAAKQBcAG4AIAAgACkAXABuACkAOwBcAG4AXABuAEYAZQByAHQAaQBsAGkAcwBlAHIAXwBHAGUAdABDAGgAZQBtAGkAYwBhAGwAQwBvAG0AcABvAHUAbgBkAEUAbABlAG0AZQBuAHQARgByAGEAYwB0AGkAbwBuAFwAbgA9AEwAQQBNAEIARABBACgAXABuACAAIABDAGgAZQBtAGkAYwBhAGwAQwBvAG0AcABvAHUAbgBkACwAXABuACAAIABFAGwAZQBtAGUAbgB0ACwAXABuACAAIABDAGgAZQBtAGkAYwBhAGwAQwBvAG0AcABvAHUAbgBkAEEAcgByAGEAeQAsAFwAbgAgACAAQwBoAGUAbQBpAGMAYQBsAEMAbwBtAHAAbwB1AG4AZABDAG8AbAB1AG0AbgAsAFwAbgAgACAARQBsAGUAbQBlAG4AdABSAG8AdwAsAFwAbgAgACAASQBOAEQARQBYACgAXABuACAAIAAgACAAQwBoAGUAbQBpAGMAYQBsAEMAbwBtAHAAbwB1AG4AZABBAHIAcgBhAHkALABcAG4AIAAgACAAIABNAEEAVABDAEgAKABcAG4AIAAgACAAIAAgACAAQwBoAGUAbQBpAGMAYQBsAEMAbwBtAHAAbwB1AG4AZAAsAFwAbgAgACAAIAAgACAAIABDAGgAZQBtAGkAYwBhAGwAQwBvAG0AcABvAHUAbgBkAEMAbwBsAHUAbQBuACwAXABuACAAIAAgACAAIAAgADAAXABuACAAIAAgACAAKQAsAFwAbgAgACAAIAAgAE0AQQBUAEMASAAoAFwAbgAgACAAIAAgACAAIABFAGwAZQBtAGUAbgB0ACwAXABuACAAIAAgACAAIAAgAEUAbABlAG0AZQBuAHQAUgBvAHcALABcAG4AIAAgACAAIAAgACAAMABcAG4AIAAgACAAIAApAFwAbgAgACAAKQBcAG4AKQA7AFwAbgBcAG4ARgBlAHIAdABpAGwAaQBzAGUAcgBfAFQAbwB0AGEAbABBAGMAdABpAHYAZQBJAG4AZwByAGUAZABpAGUAbgB0AEEAcABwAGwAaQBlAGQAQQBsAGwASQBuAGcAcgBlAGQAaQBlAG4AdABzAFwAbgA9AEwAQQBNAEIARABBACgAXABuACAAIABDAGgAZQBtAGkAYwBhAGwAQwBvAG0AcABvAHUAbgBkACwAXABuACAAIABBAG0AbwB1AG4AdABBAHAAcABsAGkAZQBkACwAXABuACAAIABQAHIAbwBkAHUAYwB0AEkAbgBnAHIAZQBkAGkAZQBuAHQAMQAsAFwAbgAgACAAUAByAG8AZAB1AGMAdABJAG4AZwByAGUAZABpAGUAbgB0AFUAbgBpAHQAMQAsAFwAbgAgACAAUAByAG8AZAB1AGMAdABJAG4AZwByAGUAZABpAGUAbgB0AFAAZQByAGMAZQBuAHQAMQAsAFwAbgAgACAAWwBQAHIAbwBkAHUAYwB0AEkAbgBnAHIAZQBkAGkAZQBuAHQAMgBdACwAXABuACAAIABbAFAAcgBvAGQAdQBjAHQASQBuAGcAcgBlAGQAaQBlAG4AdABVAG4AaQB0ADIAXQAsAFwAbgAgACAAWwBQAHIAbwBkAHUAYwB0AEkAbgBnAHIAZQBkAGkAZQBuAHQAUABlAHIAYwBlAG4AdAAyAF0ALABcAG4AIAAgAFsAUAByAG8AZAB1AGMAdABJAG4AZwByAGUAZABpAGUAbgB0ADMAXQAsAFwAbgAgACAAWwBQAHIAbwBkAHUAYwB0AEkAbgBnAHIAZQBkAGkAZQBuAHQAVQBuAGkAdAAzAF0ALABcAG4AIAAgAFsAUAByAG8AZAB1AGMAdABJAG4AZwByAGUAZABpAGUAbgB0AFAAZQByAGMAZQBuAHQAMwBdACwAXABuACAAIABMAEUAVAAoAFwAbgAgACAAIAAgAGMAYQBsAGMAdQBsAGEAdABlAGQAQQBtAG8AdQBuAHQAMQAsAFwAbgAgACAAIAAgACgAXABuACAAIAAgACAAIAAgAEkARgAoAFwAbgAgACAAIAAgACAAIAAgACAAUAByAG8AZAB1AGMAdABJAG4AZwByAGUAZABpAGUAbgB0AFUAbgBpAHQAMQAgAD0AIABcACIAUABlAHIAYwBlAG4AdAAgAG8AZgAgAHAAcgBvAGQAdQBjAHQAXAAiACwAXABuACAAIAAgACAAIAAgACAAIABBAG0AbwB1AG4AdABBAHAAcABsAGkAZQBkACAAKgAgAFAAcgBvAGQAdQBjAHQASQBuAGcAcgBlAGQAaQBlAG4AdABQAGUAcgBjAGUAbgB0ADEALABcAG4AIAAgACAAIAAgACAAIAAgAEEAbQBvAHUAbgB0AEEAcABwAGwAaQBlAGQAIAAqACgAXABuACAAIAAgACAAIAAgACAAIAAgACAAUAByAG8AZAB1AGMAdABJAG4AZwByAGUAZABpAGUAbgB0AFAAZQByAGMAZQBuAHQAMQAgACoAIAAxADAAIABeACAALQAgADMAXABuACAAIAAgACAAIAAgACAAIAApAFwAbgAgACAAIAAgACAAIAApAFwAbgAgACAAIAAgACkALABcAG4AIAAgACAAIABjAGEAbABjAHUAbABhAHQAZQBkAEEAbQBvAHUAbgB0ADIALABcAG4AIAAgACAAIAAoAFwAbgAgACAAIAAgACAAIABJAEYAKABcAG4AIAAgACAAIAAgACAAIAAgAFAAcgBvAGQAdQBjAHQASQBuAGcAcgBlAGQAaQBlAG4AdABVAG4AaQB0ADEAIAA9ACAAXAAiAFAAZQByAGMAZQBuAHQAIABvAGYAIABwAHIAbwBkAHUAYwB0AFwAIgAsAFwAbgAgACAAIAAgACAAIAAgACAAQQBtAG8AdQBuAHQAQQBwAHAAbABpAGUAZAAgACoAIABQAHIAbwBkAHUAYwB0AEkAbgBnAHIAZQBkAGkAZQBuAHQAUABlAHIAYwBlAG4AdAAyACwAXABuACAAIAAgACAAIAAgACAAIABBAG0AbwB1AG4AdABBAHAAcABsAGkAZQBkACAAKgAoAFwAbgAgACAAIAAgACAAIAAgACAAIAAgAFAAcgBvAGQAdQBjAHQASQBuAGcAcgBlAGQAaQBlAG4AdABQAGUAcgBjAGUAbgB0ADIAIAAqACAAMQAwACAAXgAgAC0AIAAzAFwAbgAgACAAIAAgACAAIAAgACAAKQBcAG4AIAAgACAAIAAgACAAKQBcAG4AIAAgACAAIAApACwAXABuACAAIAAgACAAYwBhAGwAYwB1AGwAYQB0AGUAZABBAG0AbwB1AG4AdAAzACwAXABuACAAIAAgACAAKABcAG4AIAAgACAAIAAgACAASQBGACgAXABuACAAIAAgACAAIAAgACAAIABQAHIAbwBkAHUAYwB0AEkAbgBnAHIAZQBkAGkAZQBuAHQAVQBuAGkAdAAxACAAPQAgAFwAIgBQAGUAcgBjAGUAbgB0ACAAbwBmACAAcAByAG8AZAB1AGMAdABcACIALABcAG4AIAAgACAAIAAgACAAIAAgAEEAbQBvAHUAbgB0AEEAcABwAGwAaQBlAGQAIAAqACAAUAByAG8AZAB1AGMAdABJAG4AZwByAGUAZABpAGUAbgB0AFAAZQByAGMAZQBuAHQAMwAsAFwAbgAgACAAIAAgACAAIAAgACAAQQBtAG8AdQBuAHQAQQBwAHAAbABpAGUAZAAgACoAKABcAG4AIAAgACAAIAAgACAAIAAgACAAIABQAHIAbwBkAHUAYwB0AEkAbgBnAHIAZQBkAGkAZQBuAHQAUABlAHIAYwBlAG4AdAAzACAAKgAgADEAMAAgAF4AIAAtACAAMwBcAG4AIAAgACAAIAAgACAAIAAgACkAXABuACAAIAAgACAAIAAgACkAXABuACAAIAAgACAAKQAsAFwAbgAgACAAIAAgAEYAZQByAHQAaQBsAGkAcwBlAHIAXwBJAG4AcAB1AHQARgB1AG4AYwB0AGkAbwBuAHMALgBGAGUAcgB0AGkAbABpAHMAZQByAF8AUwB1AG0AUAByAG8AZAB1AGMAdABBAHAAcABsAGkAZQBkACgAXABuACAAIAAgACAAIAAgAEMAaABlAG0AaQBjAGEAbABDAG8AbQBwAG8AdQBuAGQALABcAG4AIAAgACAAIAAgACAAUAByAG8AZAB1AGMAdABJAG4AZwByAGUAZABpAGUAbgB0ADEALABcAG4AIAAgACAAIAAgACAAYwBhAGwAYwB1AGwAYQB0AGUAZABBAG0AbwB1AG4AdAAxAFwAbgAgACAAIAAgACkAIAArACAASQBGAEUAUgBSAE8AUgAoAFwAbgAgACAAIAAgACAAIABGAGUAcgB0AGkAbABpAHMAZQByAF8ASQBuAHAAdQB0AEYAdQBuAGMAdABpAG8AbgBzAC4ARgBlAHIAdABpAGwAaQBzAGUAcgBfAFMAdQBtAFAAcgBvAGQAdQBjAHQAQQBwAHAAbABpAGUAZAAoAFwAbgAgACAAIAAgACAAIAAgACAAQwBoAGUAbQBpAGMAYQBsAEMAbwBtAHAAbwB1AG4AZAAsAFwAbgAgACAAIAAgACAAIAAgACAAUAByAG8AZAB1AGMAdABJAG4AZwByAGUAZABpAGUAbgB0ADIALABcAG4AIAAgACAAIAAgACAAIAAgAGMAYQBsAGMAdQBsAGEAdABlAGQAQQBtAG8AdQBuAHQAMgBcAG4AIAAgACAAIAAgACAAKQAsAFwAbgAgACAAIAAgACAAIAAwAFwAbgAgACAAIAAgACkAIAArACAASQBGAEUAUgBSAE8AUgAoAFwAbgAgACAAIAAgACAAIABGAGUAcgB0AGkAbABpAHMAZQByAF8ASQBuAHAAdQB0AEYAdQBuAGMAdABpAG8AbgBzAC4ARgBlAHIAdABpAGwAaQBzAGUAcgBfAFMAdQBtAFAAcgBvAGQAdQBjAHQAQQBwAHAAbABpAGUAZAAoAFwAbgAgACAAIAAgACAAIAAgACAAQwBoAGUAbQBpAGMAYQBsAEMAbwBtAHAAbwB1AG4AZAAsAFwAbgAgACAAIAAgACAAIAAgACAAUAByAG8AZAB1AGMAdABJAG4AZwByAGUAZABpAGUAbgB0ADMALABcAG4AIAAgACAAIAAgACAAIAAgAGMAYQBsAGMAdQBsAGEAdABlAGQAQQBtAG8AdQBuAHQAMwBcAG4AIAAgACAAIAAgACAAKQAsAFwAbgAgACAAIAAgACAAIAAwAFwAbgAgACAAIAAgACkAXABuACAAIAApAFwAbgApACIAfQAsAHsAIgBwAGEAdABoACIAOgAiAC8AcAByAG8AagBlAGMAdABzAC8ARgBlAHIAdABpAGwAaQBzAGUAcgBfAFMAbwB1AHIAYwBlAEQAYQB0AGEAIgAsACIAdABlAHgAdAAiADoAIgAvACoAXABuAD0APQA9AD0APQA9AD0APQA9AD0APQA9AD0APQA9AD0APQA9AD0APQA9AD0APQA9AD0APQA9AD0APQA9AD0APQA9AD0APQA9AD0APQA9AD0APQA9AD0APQA9AD0APQA9AD0APQA9AD0APQA9AD0APQA9AD0APQA9AD0APQA9AD0APQA9AD0APQA9AD0APQA9AD0APQA9AD0AXABuAEYAZQByAHQAaQBsAGkAcwBlAHIAIABjAGgAZQBtAGkAYwBhAGwAIABjAG8AbQBwAG8AdQBuAGQAcwBcAG4APQA9AD0APQA9AD0APQA9AD0APQA9AD0APQA9AD0APQA9AD0APQA9AD0APQA9AD0APQA9AD0APQA9AD0APQA9AD0APQA9AD0APQA9AD0APQA9AD0APQA9AD0APQA9AD0APQA9AD0APQA9AD0APQA9AD0APQA9AD0APQA9AD0APQA9AD0APQA9AD0APQA9AD0APQA9AD0APQBcAG4AKgAvAFwAbgBcAG4ARgBlAHIAdABpAGwAaQBzAGUAcgBfAEMAaABlAG0AaQBjAGEAbABDAG8AbQBwAG8AdQBuAGQARQBsAGUAbQBlAG4AdABzAF8AVABpAHQAbABlAFwAbgA9AEwAQQBNAEIARABBACgAKABcACIAQwBvAG0AbQBvAG4AIABpAG4AbwByAGcAYQBuAGkAYwAgAGYAZQByAHQAaQBsAGkAcwBlAHIAcwBcACIAKQApADsAXABuAFwAbgBGAGUAcgB0AGkAbABpAHMAZQByAF8AQwBoAGUAbQBpAGMAYQBsAEMAbwBtAHAAbwB1AG4AZABFAGwAZQBtAGUAbgB0AHMAXwBTAG8AdQByAGMAZQBcAG4APQBMAEEATQBCAEQAQQAoACgAXAAiAFQAYQBiAGwAZQAgAEEALgAyAC4AMgAuADMAOgAgAEYAcgBhAGMAdABpAG8AbgAgAG8AZgAgAG4AaQB0AHIAbwBnAGUAbgAgAGkAbgAgAGMAbwBtAG0AbwBuACAAaQBuAG8AcgBnAGEAbgBpAGMAIABmAGUAcgB0AGkAbABpAHMAZQByAHMAIAAoAGsAZwBOAC8AawBnACkAIAAoAEYATgBvAHIAZwBhAG4AaQBjACwAZgApACAAQQBOAEQAIABUAGEAYgBsAGUAIABBAC4AMgAuADIALgA0ADoAIABGAHIAYQBjAHQAaQBvAG4AIABvAGYAIAB1AHIAZQBhACAAaQBuACAAYwBvAG0AbQBvAG4AIABpAG4AbwByAGcAYQBuAGkAYwAgAGYAZQByAHQAaQBsAGkAcwBlAHIAcwAgACgAawBnACAAdQByAGUAYQAvAGsAZwApACAAKABGAFUAZgApAFwAIgApACkAOwBcAG4AXABuAEYAZQByAHQAaQBsAGkAcwBlAHIAXwBDAGgAZQBtAGkAYwBhAGwAQwBvAG0AcABvAHUAbgBkAEUAbABlAG0AZQBuAHQAcwBfAEQAYQB0AGEAXABuAD0ATABBAE0AQgBEAEEAKABcAG4AIABNAEEASwBFAEEAUgBSAEEAWQAoADIAMAAsACAANgAsAFwAbgAgAEwAQQBNAEIARABBACgAcgAsAGMALABcAG4AIAAgAEkATgBEAEUAWAAoAHsAXABuACAAIABcACIARgBlAHIAdABpAGwAaQBzAGUAcgAgAFQAeQBwAGUAIABmAFwAIgAsACAAXAAiAEYATgBpAG4AbwByAGcAYQBuAGkAYwAsAGYAXAAiACwAIABcACIARgBVAGYAXAAiACwAIABcACIAQgBhAHMAaQBzAFwAIgAsACAAXAAiAEwAaQBmAGUAQwB5AGMAbABlAHMAIABTAGMAbwBwAGUAIAAzACAAZABlAGYAaQBuAGkAdABpAG8AbgBcACIALAAgAFwAIgBTAG8AdQByAGMAZQBcACIAOwBcAG4AIAAgAFwAIgBNAG8AbgBvAGEAbQBtAG8AbgBpAHUAbQAgAHAAaABvAHMAcABoAGEAdABlACAAKABNAEEAUAApAFwAIgAsACAAMAAuADEAMAAsACAAMAAsACAAXAAiAEEAbQBtAG8AbgBpAHUAbQAtAGIAYQBzAGUAZAAgAGYAZQByAHQAaQBsAGkAcwBlAHIAcwBcACIALAAgAFwAIgBNAG8AbgBvAGEAbQBtAG8AbgBpAHUAbQAgAHAAaABvAHMAcABoAGEAdABlACAAKABNAEEAUAApAFwAIgAsACAAXAAiAFYARQBFAFIARwBcACIAOwBcAG4AIAAgAFwAIgBEAGkAYQBtAG0AbwBuAGkAdQBtACAAcABoAG8AcwBwAGgAYQB0AGUAIAAoAEQAQQBQACkAXAAiACwAIAAwAC4AMQA4ACwAIAAwACwAIABcACIAQQBtAG0AbwBuAGkAdQBtAC0AYgBhAHMAZQBkACAAZgBlAHIAdABpAGwAaQBzAGUAcgBzAFwAIgAsACAAXAAiAEQAaQBhAG0AbQBvAG4AaQB1AG0AIABwAGgAbwBzAHAAaABhAHQAZQAgACgARABBAFAAKQBcACIALAAgAFwAIgBWAEUARQBSAEcAXAAiADsAXABuACAAIABcACIAVQByAGUAYQBcACIALAAgADAALgA0ADYALAAgADEALAAgAFwAIgBVAHIAZQBhAC0AYgBhAHMAZQBkACAAZgBlAHIAdABpAGwAaQBzAGUAcgBzAFwAIgAsACAAXAAiAFUAcgBlAGEAXAAiACwAIABcACIAVgBFAEUAUgBHAFwAIgA7AFwAbgAgACAAXAAiAFMAdQBsAHAAaABhAHQAZQAgAG8AZgAgAGEAbQBtAG8AbgBpAGEAIAAoAFMATwBBACkAXAAiACwAIAAwAC4AMgAxACwAIAAwACwAIABcACIAQQBtAG0AbwBuAGkAdQBtAC0AYgBhAHMAZQBkACAAZgBlAHIAdABpAGwAaQBzAGUAcgBzAFwAIgAsACAAXAAiAFMAdQBsAHAAaABhAHQAZQAgAG8AZgAgAGEAbQBtAG8AbgBpAGEAIAAoAFMATwBBACkAXAAiACwAIABcACIAVgBFAEUAUgBHAFwAIgA7AFwAbgAgACAAXAAiAFUAcgBlAGEALQBhAG0AbQBvAG4AaQB1AG0AIABuAGkAdAByAGEAdABlACAAKABVAEEATgApAFwAIgAsACAAMAAuADMAMgAsACAAMAAuADMANQAsACAAXAAiAFUAcgBlAGEALQBiAGEAcwBlAGQAIABmAGUAcgB0AGkAbABpAHMAZQByAHMAXAAiACwAIABcACIAVQByAGUAYQAtAGEAbQBtAG8AbgBpAHUAbQAgAG4AaQB0AHIAYQB0AGUAIAAoAFUAQQBOACkAXAAiACwAIABcACIAVgBFAEUAUgBHAFwAIgA7AFwAbgAgACAAXAAiAEEAbQBtAG8AbgBpAHUAbQAgAG4AaQB0AHIAYQB0AGUAIAAoAEEATgApAFwAIgAsACAAMAAuADMAMwA3ACwAIAAwACwAIABcACIAQQBtAG0AbwBuAGkAdQBtAC0AbgBpAHQAcgBhAHQAZQAgAGIAYQBzAGUAZAAgAGYAZQByAHQAaQBsAGkAcwBlAHIAcwBcACIALAAgAFwAIgBBAG0AbQBvAG4AaQB1AG0AIABuAGkAdAByAGEAdABlACAAKABBAE4AKQBcACIALAAgAFwAIgBWAEUARQBSAEcAXAAiADsAXABuACAAIABcACIAQwBhAGwAYwBpAHUAbQAgAGEAbQBtAG8AbgBpAHUAbQAgAG4AaQB0AHIAYQB0AGUAIAAoAEMAQQBOACkAXAAiACwAIAAwAC4AMgA3ACwAIAAwACwAIABcACIAQQBtAG0AbwBuAGkAdQBtAC0AbgBpAHQAcgBhAHQAZQAgAGIAYQBzAGUAZAAgAGYAZQByAHQAaQBsAGkAcwBlAHIAcwBcACIALAAgAFwAIgBDAGEAbABjAGkAdQBtACAAYQBtAG0AbwBuAGkAdQBtACAAbgBpAHQAcgBhAHQAZQAgACgAQwBBAE4AKQBcACIALAAgAFwAIgBWAEUARQBSAEcAXAAiADsAXABuACAAIABcACIATgBpAHQAcgBvAGcAZQBuACAALQAgAEEAbQBtAG8AbgBpAGEAYwBhAGwAXAAiACwAIAAxACwAIAAwACwAIABcACIAQQBtAG0AbwBuAGkAdQBtAC0AYgBhAHMAZQBkACAAZgBlAHIAdABpAGwAaQBzAGUAcgBzAFwAIgAsACAAXAAiAE4AaQB0AHIAbwBnAGUAbgAgAC0AIABBAG0AbQBvAG4AaQBhAGMAYQBsAFwAIgAsACAAXAAiAEwAaQBmAGUAQwB5AGMAbABlAHMAXAAiADsAXABuACAAIABcACIATgBpAHQAcgBvAGcAZQBuACAALQAgAE4AaQB0AHIAYQB0AGUAXAAiACwAIAAxACwAIAAwACwAIABcACIATgBpAHQAcgBhAHQAZQAtAGIAYQBzAGUAZAAgAGYAZQByAHQAaQBsAGkAcwBlAHIAcwBcACIALAAgAFwAIgBOAGkAdAByAG8AZwBlAG4AIABmAHIAbwBtACAATgBpAHQAcgBhAHQAZQBcACIALAAgAFwAIgBMAGkAZgBlAEMAeQBjAGwAZQBzAFwAIgA7AFwAbgAgACAAXAAiAE4AaQB0AHIAbwBnAGUAbgAgAC0AIABHAGUAbgBlAHIAaQBjAFwAIgAsACAAMQAsACAAMAAsACAAXAAiAFUAcgBlAGEALQBiAGEAcwBlAGQAIABmAGUAcgB0AGkAbABpAHMAZQByAHMAXAAiACwAIABcACIATgBpAHQAcgBvAGcAZQBuACAAZgByAG8AbQAgAGYAZQByAHQAaQBsAGkAcwBlAHIAXAAiACwAIABcACIATABpAGYAZQBDAHkAYwBsAGUAcwBcACIAOwBcAG4AIAAgAFwAIgBQAGgAbwBzAHAAaABvAHIAdQBzACAALQAgAEcAZQBuAGUAcgBpAGMAXAAiACwAIAAwACwAIAAwACwAIABcACIATwB0AGgAZQByACAAZgBlAHIAdABpAGwAaQBzAGUAcgBzAFwAIgAsACAAXAAiAFAAaABvAHMAcABoAG8AcgB1AHMAIABmAHIAbwBtACAAZgBlAHIAdABpAGwAaQBzAGUAcgBcACIALAAgAFwAIgBMAGkAZgBlAEMAeQBjAGwAZQBzAFwAIgA7AFwAbgAgACAAXAAiAFAAbwB0AGEAcwBzAGkAdQBtACAALQAgAEcAZQBuAGUAcgBpAGMAXAAiACwAIAAwACwAIAAwACwAIABcACIATwB0AGgAZQByACAAZgBlAHIAdABpAGwAaQBzAGUAcgBzAFwAIgAsACAAXAAiAFAAbwB0AGEAcwBzAGkAdQBtACAAZgByAG8AbQAgAGYAZQByAHQAaQBsAGkAcwBlAHIAXAAiACwAIABcACIATABpAGYAZQBDAHkAYwBsAGUAcwBcACIAOwBcAG4AIAAgAFwAIgBTAHUAbABmAHUAcgAgAC0AIABHAGUAbgBlAHIAaQBjAFwAIgAsACAAMAAsACAAMAAsACAAXAAiAE8AdABoAGUAcgAgAGYAZQByAHQAaQBsAGkAcwBlAHIAcwBcACIALAAgAFwAIgBTAHUAbABmAHUAcgAgAGYAcgBvAG0AIABmAGUAcgB0AGkAbABpAHMAZQByAFwAIgAsACAAXAAiAEwAaQBmAGUAQwB5AGMAbABlAHMAXAAiADsAXABuACAAIABcACIAWgBpAG4AYwAgAC0AIABHAGUAbgBlAHIAaQBjAFwAIgAsACAAMAAsACAAMAAsACAAXAAiAE8AdABoAGUAcgAgAGYAZQByAHQAaQBsAGkAcwBlAHIAcwBcACIALAAgAFwAIgBaAGkAbgBjACAAZgByAG8AbQAgAGYAZQByAHQAaQBsAGkAcwBlAHIAXAAiACwAIABcACIATABpAGYAZQBDAHkAYwBsAGUAcwBcACIAOwBcAG4AIAAgAFwAIgBNAHUAcgBpAGEAdABlACAAbwBmACAAcABvAHQAYQBzAGgAIAAoAE0ATwBQACkAXAAiACwAIAAwACwAIAAwACwAIABcACIATwB0AGgAZQByACAAZgBlAHIAdABpAGwAaQBzAGUAcgBzAFwAIgAsACAAXAAiAE0AdQByAGkAYQB0AGUAIABvAGYAIABwAG8AdABhAHMAaAAgACgATQBPAFAAKQBcACIALAAgAFwAIgBMAGkAZgBlAEMAeQBjAGwAZQBzAFwAIgA7AFwAbgAgACAAXAAiAEQAbwB1AGIAbABlACAAcwB1AHAAZQByAHAAaABvAHMAcABoAGEAdABlAFwAIgAsACAAMAAsACAAMAAsACAAXAAiAE8AdABoAGUAcgAgAGYAZQByAHQAaQBsAGkAcwBlAHIAcwBcACIALAAgAFwAIgBEAG8AdQBiAGwAZQAgAHMAdQBwAGUAcgBwAGgAbwBzAHAAaABhAHQAZQBcACIALAAgAFwAIgBMAGkAZgBlAEMAeQBjAGwAZQBzAFwAIgA7AFwAbgAgACAAXAAiAFMAaQBuAGcAbABlACAAcwB1AHAAZQByAHAAaABvAHMAcABoAGEAdABlACAAKABTAFMAUAApAFwAIgAsACAAMAAsACAAMAAsACAAXAAiAE8AdABoAGUAcgAgAGYAZQByAHQAaQBsAGkAcwBlAHIAcwBcACIALAAgAFwAIgBTAGkAbgBnAGwAZQAgAHMAdQBwAGUAcgBwAGgAbwBzAHAAaABhAHQAZQAgACgAUwBTAFAAKQBcACIALAAgAFwAIgBMAGkAZgBlAEMAeQBjAGwAZQBzAFwAIgA7AFwAbgAgACAAXAAiAEEAbQBtAG8AbgBpAGEAXAAiACwAIAAwAC4AOAAyADMANQAsACAAMAAsACAAXAAiAEEAbQBtAG8AbgBpAHUAbQAtAGIAYQBzAGUAZAAgAGYAZQByAHQAaQBsAGkAcwBlAHIAcwBcACIALAAgAFwAIgBBAG0AbQBvAG4AaQBhAFwAIgAsACAAXAAiAEwAaQBmAGUAQwB5AGMAbABlAHMAXAAiADsAXABuACAAIABcACIAQwBhAGwAYwBpAHUAbQAgAG4AaQB0AHIAYQB0AGUAXAAiACwAIAAwAC4AMQA1ADUALAAgADAALAAgAFwAIgBOAGkAdAByAGEAdABlAC0AYgBhAHMAZQBkACAAZgBlAHIAdABpAGwAaQBzAGUAcgBzAFwAIgAsACAAXAAiAEMAYQBsAGMAaQB1AG0AIABuAGkAdAByAGEAdABlAFwAIgAsACAAXAAiAFYARQBFAFIARwBcACIAXABuACAAIAB9ACwAIAByACwAIABjACkAXABuACkAKQApADsAXABuAFwAbgBGAGUAcgB0AGkAbABpAHMAZQByAF8AQwBoAGUAbQBpAGMAYQBsAEMAbwBtAHAAbwB1AG4AZABFAGwAZQBtAGUAbgB0AHMAXwBWAGEAcgBpAGEAdABpAG8AbgBcAG4APQBMAEEATQBCAEQAQQAoAFwAbgAgAE0AQQBLAEUAQQBSAFIAQQBZACgAMQAyACwAIAAxACwAXABuACAATABBAE0AQgBEAEEAKAByACwAYwAsAFwAbgAgACAASQBOAEQARQBYACgAewBcAG4AIAAgAFwAIgBWAEEAUgBJAEEAVABJAE8ATgAgAE8ATgAgAFMATwBVAFIAQwBFAFwAIgA7AFwAbgAgACAAXAAiAEEAZABkAGUAZAAgACcAQgBhAHMAaQBzACcAIABjAG8AbAB1AG0AbgAgAHQAbwAgAGEAbABsAG8AdwAgAGMAcgBvAHMAcwAtAHIAZQBmAGUAcgBlAG4AYwBpAG4AZwAgAHcAaQB0AGgAIAB0AGEAYgBsAGUAIABUAGEAYgBsAGUAIABBAC4AMgAuADIALgA2ADoAIABGAHIAYQBjAHQAaQBvAG4AIABvAGYAIABpAG4AbwByAGcAYQBuAGkAYwAgAGYAZQByAHQAaQBsAGkAcwBlAHIAIABmACAAdABoAGEAdAAgAHYAbwBsAGEAdABpAGwAaQBzAGUAcwAgAGEAcwAgAE4ASAAzACAAYQBuAGQAIABOAE8AeAAgACgAKABrAGcAIABOAEgAMwAtAE4AIAArACAATgBPAHgALQBOACkALwBrAGcAIABOACkAIAAoAEYAcgBhAGMARwBBAFMARgBmACkAXAAiADsAXABuACAAIABcACIAQQBkAGQAZQBkACAAZQB4AHQAcgBhACAAZgBlAHIAdABpAGwAaQBzAGUAcgAgAHQAeQBwAGUAcwAgAGEAbgBkACAAZwBlAG4AZQByAGkAYwAgAGMAaABlAG0AaQBjAGEAbAAgAGMAbwBtAHAAbwB1AG4AZABzACAAdABvACAAYQBsAGwAbwB3ACAAZgBvAHIAIABjAHUAcwB0AG8AbQAgAE4AUABLAFMAIABiAGwAZQBuAGQAcwBcACIAOwBcAG4AIAAgAFwAIgBBAGQAZABlAGQAIABlAHgAdAByAGEAIAAnAFMAYwBvAHAAZQAgADMAIABkAGUAZgBpAG4AaQB0AGkAbwBuACcAIABjAG8AbAB1AG0AbgAgAHQAbwAgAGEAbABsAG8AdwAgAG0AYQBwAHAAaQBuAGcAIAB3AGkAdABoACAAcwBjAG8AcABlACAAMwAgAGQAYQB0AGEAXAAiADsAXABuACAAIABcACIAQQBkAGQAZQBkACAAJwBTAG8AdQByAGMAZQAnACAAYwBvAGwAdQBtAG4AXAAiADsAXABuACAAIABcACIAQwBvAG0AYgBpAG4AZQBkACAAZABhAHQAYQAgAGYAcgBvAG0AIABUAGEAYgBsAGUAIABBAC4AMgAuADIALgAzACAAYQBuAGQAIABUAGEAYgBsAGUAIABBAC4AMgAuADIALgA0ACAAaQBuAHQAbwAgAG8AbgBlACAAdABhAGIAbABlACAAdABvACAAYQBpAGQAIABsAG8AbwBrAHUAcAAuAFwAIgA7AFwAbgAgACAAXAAiAEUAeABjAGwAdQBkAGUAZAAgACcAUgBlAGYAZQByAGUAbgBjAGUAcwAnACAAYwBvAGwAdQBtAG4AXAAiADsAXABuACAAIABcACIARQB4AGMAbAB1AGQAZQBkACAAJwBBAG0AbQBvAG4AaQB1AG0AIABzAHUAbABmAGEAdABlACcAIABhAHMAIABpAHQAIABpAHMAIABhACAAZAB1AHAAbABpAGMAYQB0AGUAIABvAGYAIAAnAFMAdQBsAHAAaABhAHQAZQAgAG8AZgAgAGEAbQBtAG8AbgBpAGEAIAAoAFMATwBBACkAJwBcACIAOwBcAG4AIAAgAFwAIgBFAHgAYwBsAHUAZABlAGQAIAAnAEMAYQBsAGMAaQB1AG0AIABuAGkAdAByAGEAdABlACcAIABhAHMAIABuAG8AIABzAGMAbwBwAGUAIAAzACAAdgBhAGwAdQBlACAAYQB2AGEAaQBsAGEAYgBsAGUALgBcACIAOwBcAG4AIAAgAFwAIgBTAGUAdAAgACcATgBpAHQAcgBvAGcAZQBuACAALQAgAEcAZQBuAGUAcgBpAGMAJwAgAGIAYQBzAGkAcwAgAGEAcwAgACcAVQByAGUAYQAtAGIAYQBzAGUAZAAgAGYAZQByAHQAaQBsAGkAcwBlAHIAcwAsACAAYQBzACAAdQByAGUAYQAgAGkAcwAgAHQAaABlACAAbQBvAHMAdAAgAGMAbwBtAG0AbwBuAGwAeQAgAHUAcwBlAGQAIABmAG8AcgBtACAAbwBmACAAbgBpAHQAcgBvAGcAZQBuACAAaQBuACAAQQB1AHMAdAByAGEAbABpAGEAbgAgAGYAZQByAHQAaQBsAGkAcwBlAHIAcwBcACIAOwBcAG4AIAAgAFwAIgBTAGUAdAAgACcAVQByAGUAYQAtAGEAbQBtAG8AbgBpAHUAbQAgAG4AaQB0AHIAYQB0AGUAJwAgAGIAYQBzAGkAcwAgAGEAcwAgACcAVQByAGUAYQAtAGIAYQBzAGUAZAAgAGYAZQByAHQAaQBsAGkAcwBlAHIAJwBcACIAOwBcAG4AIAAgAFwAIgBBAG0AbQBvAG4AaQBhACAAaABhAHMAIABhAG4AIABGAE4AIAB2AGEAbAB1AGUAIABvAGYAIAAwAC4AOAAyADMANQAgAGIAYQBzAGUAZAAgAG8AbgAgACgAMQA0AC8AMQA3ACkAeAAxADAAMAAsACAAdwBoAGUAcgBlACAAMQA0ACAAaQBzACAAdABoAGUAIABtAGEAcwBzACAAbwBmACAAbgBpAHQAcgBvAGcAZQBuACAAaQBuACAAYQBtAG0AbwBuAGkAYQAgAGEAbgBkACAAMQA3ACAAaQBzACAAdABoAGUAIABtAG8AbABhAHIAIABtAGEAcwBzACAAbwBmACAAYQBtAG0AbwBuAGkAYQAuAFwAIgBcAG4AIAAgAH0ALAAgAHIALAAgAGMAKQBcAG4AKQApACkAOwBcAG4AXABuAFwAbgAvACoAXABuAD0APQA9AD0APQA9AD0APQA9AD0APQA9AD0APQA9AD0APQA9AD0APQA9AD0APQA9AD0APQA9AD0APQA9AD0APQA9AD0APQA9AD0APQA9AD0APQA9AD0APQA9AD0APQA9AD0APQA9AD0APQA9AD0APQA9AD0APQA9AD0APQA9AD0APQA9AD0APQA9AD0APQA9AD0APQA9AD0AXABuAEYAcgBhAGMAdABpAG8AbgAgAG8AZgAgAGkAbgBvAHIAZwBhAG4AaQBjACAAZgBlAHIAdABpAGwAaQBzAGUAcgAgAHQAaABhAHQAIAB2AG8AbABhAHQAaQBsAGkAcwBlAHMAIABhAHMAIABOAEgAMwAgAGEAbgBkACAATgBPAHgAXABuAD0APQA9AD0APQA9AD0APQA9AD0APQA9AD0APQA9AD0APQA9AD0APQA9AD0APQA9AD0APQA9AD0APQA9AD0APQA9AD0APQA9AD0APQA9AD0APQA9AD0APQA9AD0APQA9AD0APQA9AD0APQA9AD0APQA9AD0APQA9AD0APQA9AD0APQA9AD0APQA9AD0APQA9AD0APQA9AD0AXABuACoALwBcAG4AXABuAEYAZQByAHQAaQBsAGkAcwBlAHIAXwBGAHIAYQBjAEcAQQBTAEYAXwBUAGkAdABsAGUAXABuAD0ATABBAE0AQgBEAEEAKAAoAFwAIgBGAHIAYQBjAHQAaQBvAG4AIABvAGYAIABpAG4AbwByAGcAYQBuAGkAYwAgAGYAZQByAHQAaQBsAGkAcwBlAHIAIAB0AGgAYQB0ACAAdgBvAGwAYQB0AGkAbABpAHMAZQBzACAAYQBzACAATgBIADMAIABhAG4AZAAgAE4ATwB4AFwAIgApACkAOwBcAG4AXABuAEYAZQByAHQAaQBsAGkAcwBlAHIAXwBGAHIAYQBjAEcAQQBTAEYAXwBTAG8AdQByAGMAZQBcAG4APQBMAEEATQBCAEQAQQAoACgAXAAiAFQAYQBiAGwAZQAgAEEALgAyAC4AMgAuADYAOgAgAEYAcgBhAGMAdABpAG8AbgAgAG8AZgAgAGkAbgBvAHIAZwBhAG4AaQBjACAAZgBlAHIAdABpAGwAaQBzAGUAcgAgAGYAIAB0AGgAYQB0ACAAdgBvAGwAYQB0AGkAbABpAHMAZQBzACAAYQBzACAATgBIADMAIABhAG4AZAAgAE4ATwB4ACAAKAAoAGsAZwAgAE4ASAAzAC0ATgAgACsAIABOAE8AeAAtAE4AKQAvAGsAZwAgAE4AKQAgACgARgByAGEAYwBHAEEAUwBGAGYAKQBcACIAKQApADsAXABuAFwAbgBGAGUAcgB0AGkAbABpAHMAZQByAF8ARgByAGEAYwBHAEEAUwBGAF8ARABhAHQAYQBcAG4APQBMAEEATQBCAEQAQQAoAFwAbgAgAE0AQQBLAEUAQQBSAFIAQQBZACgANgAsACAAMgAsAFwAbgAgAEwAQQBNAEIARABBACgAcgAsAGMALABcAG4AIAAgAEkATgBEAEUAWAAoAHsAXABuACAAIABcACIARgBlAHIAdABpAGwAaQBzAGUAcgAgAHQAeQBwAGUAIABmAFwAIgAsACAAXAAiAEYAcgBhAGMARwBBAFMARgBmAFwAIgA7AFwAbgAgACAAXAAiAFUAcgBlAGEALQBiAGEAcwBlAGQAIABmAGUAcgB0AGkAbABpAHMAZQByAHMAXAAiACwAIAAwAC4AMQA1ADsAXABuACAAIABcACIAQQBtAG0AbwBuAGkAdQBtAC0AYgBhAHMAZQBkACAAZgBlAHIAdABpAGwAaQBzAGUAcgBzAFwAIgAsACAAMAAuADAAOAA7AFwAbgAgACAAXAAiAE4AaQB0AHIAYQB0AGUALQBiAGEAcwBlAGQAIABmAGUAcgB0AGkAbABpAHMAZQByAHMAXAAiACwAIAAwAC4AMAAxADsAXABuACAAIABcACIAQQBtAG0AbwBuAGkAdQBtAC0AbgBpAHQAcgBhAHQAZQAgAGIAYQBzAGUAZAAgAGYAZQByAHQAaQBsAGkAcwBlAHIAcwBcACIALAAgADAALgAwADUAOwBcAG4AIAAgAFwAIgBPAHQAaABlAHIAIABmAGUAcgB0AGkAbABpAHMAZQByAHMAXAAiACwAIAAwAC4AMQAxAFwAbgAgACAAfQAsACAAcgAsACAAYwApAFwAbgApACkAKQA7AFwAbgBcAG4ARgBlAHIAdABpAGwAaQBzAGUAcgBfAEYAcgBhAGMARwBBAFMARg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FAG0AaQBzAHMAaQBvAG4AIABmAGEAYwB0AG8AcgAgAGYAbwByACAAYwBhAHIAYgBvAG4AIABlAG0AaQBzAHMAaQBvAG4AcwAgAGYAcgBvAG0AIAB1AHIAZQBhACAAYQBwAHAAbABpAGMAYQB0AGkAbwBuAFwAbgA9AD0APQA9AD0APQA9AD0APQA9AD0APQA9AD0APQA9AD0APQA9AD0APQA9AD0APQA9AD0APQA9AD0APQA9AD0APQA9AD0APQA9AD0APQA9AD0APQA9AD0APQA9AD0APQA9AD0APQA9AD0APQA9AD0APQA9AD0APQA9AD0APQA9AD0APQA9AD0APQA9AD0APQA9AD0APQA9AFwAbgAqAC8AXABuAFwAbgBGAGUAcgB0AGkAbABpAHMAZQByAF8ARQBGAFUAcgBlAGEAQwBPADIAXwBUAGkAdABsAGUAXABuAD0ATABBAE0AQgBEAEEAKAAoAFwAIgBFAG0AaQBzAHMAaQBvAG4AIABmAGEAYwB0AG8AcgAgAGYAbwByACAAYwBhAHIAYgBvAG4AIABlAG0AaQBzAHMAaQBvAG4AcwAgAGYAcgBvAG0AIAB1AHIAZQBhACAAYQBwAHAAbABpAGMAYQB0AGkAbwBuAFwAIgApACkAOwBcAG4AXABuAEYAZQByAHQAaQBsAGkAcwBlAHIAXwBFAEYAVQByAGUAYQBDAE8AMgBfAFMAbwB1AHIAYwBlAFwAbgA9AEwAQQBNAEIARABBACgAKABcACIAVgBFAEUAUgBHACAAMgAwADIANgA6ACAANQAuADEALgAyAC4AMgAgAEMAbwBuAHMAdABhAG4AdAAgAFAAYQByAGEAbQBlAHQAZQByAHMAXAAiACkAKQA7AFwAbgBcAG4ARgBlAHIAdABpAGwAaQBzAGUAcgBfAEUARgBVAHIAZQBhAEMATwAyAF8AVgBhAHIAaQBhAGIAbABlAFwAbgA9AEwAQQBNAEIARABBACgAKABcACIARQBGAHUAcgBlAGEAQwBPADIAXAAiACkAKQA7AFwAbgBcAG4ARgBlAHIAdABpAGwAaQBzAGUAcgBfAEUARgBVAHIAZQBhAEMATwAyAF8AVQBuAGkAdABcAG4APQBMAEEATQBCAEQAQQAoACgAXAAiAGsAZwAgAEMALwBrAGcAIAB1AHIAZQBhAFwAIgApACkAOwBcAG4AXABuAEYAZQByAHQAaQBsAGkAcwBlAHIAXwBFAEYAVQByAGUAYQBDAE8AMgBfAEQAYQB0AGEAXABuAD0ATABBAE0AQgBEAEEAKAAwAC4AMgApADsAXABuAFwAbgBGAGUAcgB0AGkAbABpAHMAZQByAF8ARQBGAFUAcgBlAGEAQwBPADI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gByAGEAYwB0AGkAbwBuACAAbwBmACAAbwByAGcAYQBuAGkAYwAgAGYAZQByAHQAaQBsAGkAcwBlAHIAIAB0AGgAYQB0ACAAdgBvAGwAYQB0AGkAbABpAHMAZQBzACAAYQBzACAATgBIADMAIABhAG4AZAAgAE4ATwB4AFwAbgA9AD0APQA9AD0APQA9AD0APQA9AD0APQA9AD0APQA9AD0APQA9AD0APQA9AD0APQA9AD0APQA9AD0APQA9AD0APQA9AD0APQA9AD0APQA9AD0APQA9AD0APQA9AD0APQA9AD0APQA9AD0APQA9AD0APQA9AD0APQA9AD0APQA9AD0APQA9AD0APQA9AD0APQA9AD0APQA9AFwAbgAqAC8AXABuAFwAbgBGAGUAcgB0AGkAbABpAHMAZQByAF8ARgByAGEAYwBHAEEAUwBNAFMAbwBpAGwAXwBUAGkAdABsAGUAXABuAD0ATABBAE0AQgBEAEEAKAAoAFwAIgBGAHIAYQBjAHQAaQBvAG4AIABvAGYAIABvAHIAZwBhAG4AaQBjACAAZgBlAHIAdABpAGwAaQBzAGUAcgAgAHQAaABhAHQAIAB2AG8AbABhAHQAaQBsAGkAcwBlAHMAIABhAHMAIABOAEgAMwAgAGEAbgBkACAATgBPAHgAXAAiACkAKQA7AFwAbgBcAG4ARgBlAHIAdABpAGwAaQBzAGUAcgBfAEYAcgBhAGMARwBBAFMATQBTAG8AaQBsAF8AUwBvAHUAcgBjAGUAXABuAD0ATABBAE0AQgBEAEEAKAAoAFwAIgBWAEUARQBSAEcAIAAyADAAMgA2ADoAIAA1AC4ANAAuADIALgAzACAAQwBvAG4AcwB0AGEAbgB0ACAAUABhAHIAYQBtAGUAdABlAHIAcwBcACIAKQApADsAXABuAFwAbgBGAGUAcgB0AGkAbABpAHMAZQByAF8ARgByAGEAYwBHAEEAUwBNAFMAbwBpAGwAXwBWAGEAcgBpAGEAYgBsAGUAXABuAD0ATABBAE0AQgBEAEEAKAAoAFwAIgBGAHIAYQBjAEcAQQBTAE0AcwBvAGkAbABcACIAKQApADsAXABuAFwAbgBGAGUAcgB0AGkAbABpAHMAZQByAF8ARgByAGEAYwBHAEEAUwBNAFMAbwBpAGwAXwBVAG4AaQB0AFwAbgA9AEwAQQBNAEIARABBACgAKABcACIAKABrAGcAIABOAEgAMwAtAE4AIAArACAATgBPAHgALQBOACkALwBrAGcAIABOAFwAIgApACkAOwBcAG4AXABuAEYAZQByAHQAaQBsAGkAcwBlAHIAXwBGAHIAYQBjAEcAQQBTAE0AUwBvAGkAbABfAEQAYQB0AGEAXABuAD0ATABBAE0AQgBEAEEAKAAwAC4AMgAxACkAOwBcAG4AXABuAEYAZQByAHQAaQBsAGkAcwBlAHIAXwBGAHIAYQBjAEcAQQBTAE0AUwBvAGkAbA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GAHIAYQBjAHQAaQBvAG4AIABvAGYAIABuAGkAdAByAG8AZwBlAG4AIAB0AGgAYQB0ACAAaQBzACAAbABvAHMAdAAgAHQAaAByAG8AdQBnAGgAIABsAGUAYQBjAGgAaQBuAGcAIABhAG4AZAAgAHIAdQBuAG8AZgBmAFwAbgA9AD0APQA9AD0APQA9AD0APQA9AD0APQA9AD0APQA9AD0APQA9AD0APQA9AD0APQA9AD0APQA9AD0APQA9AD0APQA9AD0APQA9AD0APQA9AD0APQA9AD0APQA9AD0APQA9AD0APQA9AD0APQA9AD0APQA9AD0APQA9AD0APQA9AD0APQA9AD0APQA9AD0APQA9AD0APQA9AFwAbgAqAC8AXABuAFwAbgBGAGUAcgB0AGkAbABpAHMAZQByAF8ARgByAGEAYwBMAEUAQQBDAEgAXwBUAGkAdABsAGUAXABuAD0ATABBAE0AQgBEAEEAKAAoAFwAIgBGAHIAYQBjAHQAaQBvAG4AIABvAGYAIABuAGkAdAByAG8AZwBlAG4AIAB0AGgAYQB0ACAAaQBzACAAbABvAHMAdAAgAHQAaAByAG8AdQBnAGgAIABsAGUAYQBjAGgAaQBuAGcAIABhAG4AZAAgAHIAdQBuAG8AZgBmAFwAIgApACkAOwBcAG4AXABuAEYAZQByAHQAaQBsAGkAcwBlAHIAXwBGAHIAYQBjAEwARQBBAEMASABfAFMAbwB1AHIAYwBlAFwAbgA9AEwAQQBNAEIARABBACgAKABcACIAVgBFAEUAUgBHACAAMgAwADIANgA6ACAANQAuADUALgAyAC4AMwAgAEMAbwBuAHMAdABhAG4AdAAgAFAAYQByAGEAbQBlAHQAZQByAHMAXAAiACkAKQA7AFwAbgBcAG4ARgBlAHIAdABpAGwAaQBzAGUAcgBfAEYAcgBhAGMATABFAEEAQwBIAF8AVgBhAHIAaQBhAGIAbABlAFwAbgA9AEwAQQBNAEIARABBACgAKABcACIARgByAGEAYwBMAEUAQQBDAEgAXAAiACkAKQA7AFwAbgBcAG4ARgBlAHIAdABpAGwAaQBzAGUAcgBfAEYAcgBhAGMATABFAEEAQwBIAF8AVQBuAGkAdABcAG4APQBMAEEATQBCAEQAQQAoACgAXAAiAGYAcgBhAGMAdABpAG8AbgBcACIAKQApADsAXABuAFwAbgBGAGUAcgB0AGkAbABpAHMAZQByAF8ARgByAGEAYwBMAEUAQQBDAEgAXwBEAGEAdABhAFwAbgA9AEwAQQBNAEIARABBACgAMAAuADIANAApADsAXABuAFwAbgBGAGUAcgB0AGkAbABpAHMAZQByAF8ARgByAGEAYwBMAEUAQQBDAEg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QBtAGkAcwBzAGkAbwBuACAAZgBhAGMAdABvAHIAIABmAG8AcgAgAG4AaQB0AHIAbwBnAGUAbgAgAGwAZQBhAGMAaABpAG4AZwAgAGEAbgBkACAAcgB1AG4AbwBmAGYAXABuAD0APQA9AD0APQA9AD0APQA9AD0APQA9AD0APQA9AD0APQA9AD0APQA9AD0APQA9AD0APQA9AD0APQA9AD0APQA9AD0APQA9AD0APQA9AD0APQA9AD0APQA9AD0APQA9AD0APQA9AD0APQA9AD0APQA9AD0APQA9AD0APQA9AD0APQA9AD0APQA9AD0APQA9AD0APQA9AD0AXABuACoALwBcAG4AXABuAEYAZQByAHQAaQBsAGkAcwBlAHIAXwBFAEYATABlAGEAYwBoAF8AVABpAHQAbABlAFwAbgA9AEwAQQBNAEIARABBACgAKABcACIARQBtAGkAcwBzAGkAbwBuACAAZgBhAGMAdABvAHIAIABmAG8AcgAgAG4AaQB0AHIAbwBnAGUAbgAgAGwAZQBhAGMAaABpAG4AZwAgAGEAbgBkACAAcgB1AG4AbwBmAGYAXAAiACkAKQA7AFwAbgBcAG4ARgBlAHIAdABpAGwAaQBzAGUAcgBfAEUARgBMAGUAYQBjAGgAXwBTAG8AdQByAGMAZQBcAG4APQBMAEEATQBCAEQAQQAoACgAXAAiAFYARQBFAFIARwAgADIAMAAyADYAOgAgADUALgA1AC4AMgAuADMAIABDAG8AbgBzAHQAYQBuAHQAIABQAGEAcgBhAG0AZQB0AGUAcgBzAFwAIgApACkAOwBcAG4AXABuAEYAZQByAHQAaQBsAGkAcwBlAHIAXwBFAEYATABlAGEAYwBoAF8AVgBhAHIAaQBhAGIAbABlAFwAbgA9AEwAQQBNAEIARABBACgAKABcACIARQBGAEwAZQBhAGMAaABcACIAKQApADsAXABuAFwAbgBGAGUAcgB0AGkAbABpAHMAZQByAF8ARQBGAEwAZQBhAGMAaABfAFUAbgBpAHQAXABuAD0ATABBAE0AQgBEAEEAKAAoAFwAIgBrAGcAIABOADIATwAtAE4AIAAvACAAawBnACAATgBcACIAKQApADsAXABuAFwAbgBGAGUAcgB0AGkAbABpAHMAZQByAF8ARQBGAEwAZQBhAGMAaABfAEQAYQB0AGEAXABuAD0ATABBAE0AQgBEAEEAKAAwAC4AMAAxADEAKQA7AFwAbgBcAG4ARgBlAHIAdABpAGwAaQBzAGUAcgBfAEUARgBMAGUAYQBjAGgAXwBWAGEAcgBpAGEAdABpAG8AbgBcAG4APQBMAEEATQBCAEQAQQAoAFwAIgBcACIAKQA7AFwAbgBcAG4AXABuAFwAbgAvACoAXABuAD0APQA9AD0APQA9AD0APQA9AD0APQA9AD0APQA9AD0APQA9AD0APQA9AD0APQA9AD0APQA9AD0APQA9AD0APQA9AD0APQA9AD0APQA9AD0APQA9AD0APQA9AD0APQA9AD0APQA9AD0APQA9AD0APQA9AD0APQA9AD0APQA9AD0APQA9AD0APQA9AD0APQA9AD0APQA9AD0AXABuAEwAaQBtAGUALAAgAGQAbwBsAG8AbQBpAHQAZQAgAGEAbgBkACAAZwB5AHAAcwB1AG0AXABuAD0APQA9AD0APQA9AD0APQA9AD0APQA9AD0APQA9AD0APQA9AD0APQA9AD0APQA9AD0APQA9AD0APQA9AD0APQA9AD0APQA9AD0APQA9AD0APQA9AD0APQA9AD0APQA9AD0APQA9AD0APQA9AD0APQA9AD0APQA9AD0APQA9AD0APQA9AD0APQA9AD0APQA9AD0APQA9AD0AXABuACoALwBcAG4AXABuAEYAZQByAHQAaQBsAGkAcwBlAHIAXwBMAGkAbQBlAEQAbwBsAG8AbQBpAHQAZQBHAHkAcABzAHUAbQBDAG8AbgBzAHQAYQBuAHQAcwBfAFQAaQB0AGwAZQBcAG4APQBMAEEATQBCAEQAQQAoACgAXAAiAEMAbwBuAHMAdABhAG4AdABzACAAZgBvAHIAIABsAGkAbQBlACwAIABkAG8AbABvAG0AaQB0AGUAIABhAG4AZAAgAGcAeQBwAHMAdQBtAFwAIgApACkAOwBcAG4AXABuAEYAZQByAHQAaQBsAGkAcwBlAHIAXwBMAGkAbQBlAEQAbwBsAG8AbQBpAHQAZQBHAHkAcABzAHUAbQBDAG8AbgBzAHQAYQBuAHQAcwBfAEQAZQBzAGMAcgBpAHAAdABpAG8AbgBcAG4APQBMAEEATQBCAEQAQQAoACgAXAAiAEMAbwBuAHMAdABhAG4AdABzACAAZgBvAHIAIABsAGkAbQBlACwAIABkAG8AbABvAG0AaQB0AGUAIABhAG4AZAAgAGcAeQBwAHMAdQBtAFwAIgApACkAOwBcAG4AXABuAEYAZQByAHQAaQBsAGkAcwBlAHIAXwBMAGkAbQBlAEQAbwBsAG8AbQBpAHQAZQBHAHkAcABzAHUAbQBDAG8AbgBzAHQAYQBuAHQAcwBfAFMAbwB1AHIAYwBlAFwAbgA9AEwAQQBNAEIARABBACgAKABcACIAVgBFAEUAUgBHACAAMgAwADIANgA6ACAANQAuADMALgAyAC4AMwAgAEMAbwBuAHMAdABhAG4AdAAgAFAAYQByAGEAbQBlAHQAZQByAHMAXAAiACkAKQA7AFwAbgBcAG4ARgBlAHIAdABpAGwAaQBzAGUAcgBfAEwAaQBtAGUARABvAGwAbwBtAGkAdABlAEcAeQBwAHMAdQBtAEMAbwBuAHMAdABhAG4AdABzAF8ARABhAHQAYQBcAG4APQBMAEEATQBCAEQAQQAoAFwAbgAgAE0AQQBLAEUAQQBSAFIAQQBZACgANAAsACAAMwAsAFwAbgAgAEwAQQBNAEIARABBACgAcgAsAGMALABcAG4AIAAgAEkATgBEAEUAWAAoAHsAXABuACAAIABcACIARQBsAGUAbQBlAG4AdABcACIALAAgAFwAIgBQAFwAIgAsACAAXAAiAEUARgBcACIAOwBcAG4AIAAgAFwAIgBMAGkAbQBlACAAKABDAGEAbABjAGkAdQBtACAAYwBhAHIAYgBvAG4AYQB0AGUAKQBcACIALAAgADAALgA5ACwAIAAwAC4AMQAyADsAXABuACAAIABcACIARABvAGwAbwBtAGkAdABlACAAKABNAGEAZwBuAGUAcwBpAHUAbQAgAGMAYQByAGIAbwBuAGEAdABlACkAXAAiACwAIAAwAC4AOQA1ACwAIAAwAC4AMQAzADsAXABuACAAIABcACIARwB5AHAAcwB1AG0AXAAiACwAIAAwACwAIAAwAFwAbgAgACAAfQAsACAAcgAsACAAYwApAFwAbgApACkAKQA7AFwAbgBcAG4ARgBlAHIAdABpAGwAaQBzAGUAcgBfAEwAaQBtAGUARABvAGwAbwBtAGkAdABlAEcAeQBwAHMAdQBtAEMAbwBuAHMAdABhAG4AdABzAF8AVgBhAHIAaQBhAHQAaQBvAG4AXABuAD0ATABBAE0AQgBEAEEAKAAoAFwAIgBWAEEAUgBJAEEAVABJAE8ATgAgAEYAUgBPAE0AIABTAE8AVQBSAEMARQAgAEQAQQBUAEEAOgAgAEcAeQBwAHMAdQBtACAAaABhAHMAIABiAGUAZQBuACAAYQBkAGQAZQBkACAAdwBpAHQAaAAgAHAAbABhAGMAZQBoAG8AbABkAGUAcgAgAHYAYQBsAHUAZQBzACAAbwBmACAAMAAgAGYAbwByACAAUAAgAGEAbgBkACAARQBGAC4AXAAiACkAKQA7AFwAbgBcAG4AXABuAC8AKgBcAG4APQA9AD0APQA9AD0APQA9AD0APQA9AD0APQA9AD0APQA9AD0APQA9AD0APQA9AD0APQA9AD0APQA9AD0APQA9AD0APQA9AD0APQA9AD0APQA9AD0APQA9AD0APQA9AD0APQA9AD0APQA9AD0APQA9AD0APQA9AD0APQA9AD0APQA9AD0APQA9AD0APQA9AD0APQA9AD0APQBcAG4ARgByAGEAYwB0AGkAbwBuACAAbwBmACAAbgBpAHQAcgBvAGcAZQBuACAAaQBuACAAYwBvAG0AbQBvAG4AIABp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RgBlAHIAdABpAGwAaQBzAGUAcgBfAEYAcgBhAGMAdABpAG8AbgBOAEMAbwBtAG0AbwBuAEYAZQByAHQAaQBsAGkAcwBlAHIAcwBfAFQAaQB0AGwAZQBcAG4APQBMAEEATQBCAEQAQQAoACgAXAAiAEYAcgBhAGMAdABpAG8AbgAgAG8AZgAgAG4AaQB0AHIAbwBnAGUAbgAgAGkAbgAgAGMAbwBtAG0AbwBuACAAaQBuAG8AcgBnAGEAbgBpAGMAIABmAGUAcgB0AGkAbABpAHMAZQByAHMAIAAoAGsAZwBOAC8AawBnACkAIAAoAEYATgBvAHIAZwBhAG4AaQBjACwAZgApAFwAIgApACkAOwBcAG4AXABuAEYAZQByAHQAaQBsAGkAcwBlAHIAXwBGAHIAYQBjAHQAaQBvAG4ATgBDAG8AbQBtAG8AbgBGAGUAcgB0AGkAbABpAHMAZQByAHMAXwBTAG8AdQByAGMAZQBcAG4APQBMAEEATQBCAEQAQQAoACgAXAAiAFYARQBFAFIARwAgADIAMAAyADYAOgAgAFQAYQBiAGwAZQAgAEEALgAyAC4AMgAuADMAXAAiACkAKQA7AFwAbgBcAG4ARgBlAHIAdABpAGwAaQBzAGUAcgBfAEYAcgBhAGMAdABpAG8AbgBOAEMAbwBtAG0AbwBuAEYAZQByAHQAaQBsAGkAcwBlAHIAcwBfAEQAYQB0AGEAXABuAD0ATABBAE0AQgBEAEEAKABcAG4AIABNAEEASwBFAEEAUgBSAEEAWQAoADEAMAAsACAAMgAsAFwAbgAgAEwAQQBNAEIARABBACgAcgAsAGMALABcAG4AIAAgAEkATgBEAEUAWAAoAHsAXABuACAAIABcACIARgBlAHIAdABpAGwAaQBzAGUAcgAgAFQAeQBwAGUAIABmAFwAIgAsACAAXAAiAEYATgBpAG4AbwByAGcAYQBuAGkAYwBmAFwAIgA7AFwAbgAgACAAXAAiAE0AbwBuAG8AYQBtAG0AbwBuAGkAdQBtACAAcABoAG8AcwBwAGgAYQB0AGUAIAAoAE0AQQBQACkAXAAiACwAIAAwAC4AMQAwADsAXABuACAAIABcACIARABpAGEAbQBtAG8AbgBpAHUAbQAgAHAAaABvAHMAcABoAGEAdABlACAAKABEAEEAUAApAFwAIgAsACAAMAAuADEAOAA7AFwAbgAgACAAXAAiAFUAcgBlAGEAXAAiACwAIAAwAC4ANAA2ADsAXABuACAAIABcACIAUwB1AGwAcABoAGEAdABlACAAbwBmACAAYQBtAG0AbwBuAGkAYQAgACgAUwBPAEEAKQBcACIALAAgADAALgAyADEAOwBcAG4AIAAgAFwAIgBVAHIAZQBhAC0AYQBtAG0AbwBuAGkAdQBtACAAbgBpAHQAcgBhAHQAZQAgACgAVQBBAE4AKQBcACIALAAgADAALgAzADIAOwBcAG4AIAAgAFwAIgBBAG0AbQBvAG4AaQB1AG0AIABuAGkAdAByAGEAdABlACAAKABBAE4AKQBcACIALAAgADAALgAzADMANwA7AFwAbgAgACAAXAAiAEMAYQBsAGMAaQB1AG0AIABhAG0AbQBvAG4AaQB1AG0AIABuAGkAdAByAGEAdABlACAAKABDAEEATgApAFwAIgAsACAAMAAuADIANwA7AFwAbgAgACAAXAAiAEEAbQBtAG8AbgBpAHUAbQAgAFMAdQBsAGYAYQB0AGUAXAAiACwAIAAwAC4AMgAxADsAXABuACAAIABcACIAQwBhAGwAYwBpAHUAbQAgAE4AaQB0AHIAYQB0AGUAXAAiACwAIAAwAC4AMQA1ADUAXABuACAAIAB9ACwAIAByACwAIABjACkAXABuACkAKQApADsAXABuAFwAbgBGAGUAcgB0AGkAbABpAHMAZQByAF8ARgByAGEAYwB0AGkAbwBuAE4AQwBvAG0AbQBvAG4ARgBlAHIAdABpAGwAaQBzAGUAcgBzAF8AVgBhAHIAaQBhAHQAaQBvAG4AXABuAD0ATABBAE0AQgBEAEEAKAAoAFwAIgBcACIAKQApADsAXABuAFwAbgBcAG4ALwAqAFwAbgA9AD0APQA9AD0APQA9AD0APQA9AD0APQA9AD0APQA9AD0APQA9AD0APQA9AD0APQA9AD0APQA9AD0APQA9AD0APQA9AD0APQA9AD0APQA9AD0APQA9AD0APQA9AD0APQA9AD0APQA9AD0APQA9AD0APQA9AD0APQA9AD0APQA9AD0APQA9AD0APQA9AD0APQA9AD0APQA9AFwAbgBGAHIAYQBjAHQAaQBvAG4AIABvAGYAIAB1AHIAZQBhACAAaQBuACAAYwBvAG0AbQBvAG4AIABp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RgBlAHIAdABpAGwAaQBzAGUAcgBfAEYAcgBhAGMAdABpAG8AbgBVAHIAZQBhAEMAbwBtAG0AbwBuAEYAZQByAHQAaQBsAGkAcwBlAHIAcwBfAFQAaQB0AGwAZQBcAG4APQBMAEEATQBCAEQAQQAoACgAXAAiAEYAcgBhAGMAdABpAG8AbgAgAG8AZgAgAHUAcgBlAGEAIABpAG4AIABjAG8AbQBtAG8AbgAgAGkAbgBvAHIAZwBhAG4AaQBjACAAZgBlAHIAdABpAGwAaQBzAGUAcgBzACAAKABrAGcAIAB1AHIAZQBhAC8AawBnACkAIAAoAEYAVQBmACkAXAAiACkAKQA7AFwAbgBcAG4ARgBlAHIAdABpAGwAaQBzAGUAcgBfAEYAcgBhAGMAdABpAG8AbgBVAHIAZQBhAEMAbwBtAG0AbwBuAEYAZQByAHQAaQBsAGkAcwBlAHIAcwBfAFMAbwB1AHIAYwBlAFwAbgA9AEwAQQBNAEIARABBACgAKABcACIAVgBFAEUAUgBHACAAMgAwADIANgA6ACAAVABhAGIAbABlACAAQQAuADIALgAyAC4ANABcACIAKQApADsAXABuAFwAbgBGAGUAcgB0AGkAbABpAHMAZQByAF8ARgByAGEAYwB0AGkAbwBuAFUAcgBlAGEAQwBvAG0AbQBvAG4ARgBlAHIAdABpAGwAaQBzAGUAcgBzAF8ARABhAHQAYQBcAG4APQBMAEEATQBCAEQAQQAoAFwAbgAgAE0AQQBLAEUAQQBSAFIAQQBZACgAMQAwACwAIAAyACwAXABuACAATABBAE0AQgBEAEEAKAByACwAYwAsAFwAbgAgACAASQBOAEQARQBYACgAewBcAG4AIAAgAFwAIgBGAGUAcgB0AGkAbABpAHMAZQByACAAVAB5AHAAZQAgAGYAXAAiACwAIABcACIARgBVAGYAXAAiADsAXABuACAAIABcACIATQBvAG4AbwBhAG0AbQBvAG4AaQB1AG0AIABwAGgAbwBzAHAAaABhAHQAZQAgACgATQBBAFAAKQBcACIALAAgADAAOwBcAG4AIAAgAFwAIgBEAGkAYQBtAG0AbwBuAGkAdQBtACAAcABoAG8AcwBwAGgAYQB0AGUAIAAoAEQAQQBQACkAXAAiACwAIAAwADsAXABuACAAIABcACIAVQByAGUAYQBcACIALAAgADEAOwBcAG4AIAAgAFwAIgBTAHUAbABwAGgAYQB0AGUAIABvAGYAIABhAG0AbQBvAG4AaQBhACAAKABTAE8AQQApAFwAIgAsACAAMAA7AFwAbgAgACAAXAAiAFUAcgBlAGEALQBhAG0AbQBvAG4AaQB1AG0AIABuAGkAdAByAGEAdABlACAAKABVAEEATgApAFwAIgAsACAAMAAuADMANQA7AFwAbgAgACAAXAAiAEEAbQBtAG8AbgBpAHUAbQAgAG4AaQB0AHIAYQB0AGUAIAAoAEEATgApAFwAIgAsACAAMAA7AFwAbgAgACAAXAAiAEMAYQBsAGMAaQB1AG0AIABhAG0AbQBvAG4AaQB1AG0AIABuAGkAdAByAGEAdABlACAAKABDAEEATgApAFwAIgAsACAAMAA7AFwAbgAgACAAXAAiAEEAbQBtAG8AbgBpAHUAbQAgAFMAdQBsAGYAYQB0AGUAXAAiACwAIAAwADsAXABuACAAIABcACIAQwBhAGwAYwBpAHUAbQAgAE4AaQB0AHIAYQB0AGUAXAAiACwAIAAwAFwAbgAgACAAfQAsACAAcgAsACAAYwApAFwAbgApACkAKQA7AFwAbgBcAG4ARgBlAHIAdABpAGwAaQBzAGUAcgBfAEYAcgBhAGMAdABpAG8AbgBVAHIAZQBhAEMAbwBtAG0AbwBuAEYAZQByAHQAaQBsAGkAcwBlAHIAcwBfAFYAYQByAGkAYQB0AGkAbwBuAFwAbgA9AEwAQQBNAEIARABBACgAKABcACIAXAAiACkAKQA7AFwAbgBcAG4AXABuAC8AKgBcAG4APQA9AD0APQA9AD0APQA9AD0APQA9AD0APQA9AD0APQA9AD0APQA9AD0APQA9AD0APQA9AD0APQA9AD0APQA9AD0APQA9AD0APQA9AD0APQA9AD0APQA9AD0APQA9AD0APQA9AD0APQA9AD0APQA9AD0APQA9AD0APQA9AD0APQA9AD0APQA9AD0APQA9AD0APQA9AD0APQBcAG4AUwBvAHUAcgBjAGUAIAByAGUAZwBpAG8AbgBzACAAZgBvAHIAIAB1AHIAZQBhACAAYQBuAGQAIABhAG0AbQBvAG4AaQBhAFwAbgA9AD0APQA9AD0APQA9AD0APQA9AD0APQA9AD0APQA9AD0APQA9AD0APQA9AD0APQA9AD0APQA9AD0APQA9AD0APQA9AD0APQA9AD0APQA9AD0APQA9AD0APQA9AD0APQA9AD0APQA9AD0APQA9AD0APQA9AD0APQA9AD0APQA9AD0APQA9AD0APQA9AD0APQA9AD0APQA9AFwAbgAqAC8AXABuAFwAbgBGAGUAcgB0AGkAbABpAHMAZQByAF8AVQByAGUAYQBBAG0AbQBvAG4AaQBhAFMAbwB1AHIAYwBlAFIAZQBnAGkAbwBuAHMAXwBUAGkAdABsAGUAXABuAD0ATABBAE0AQgBEAEEAKABcACIAUwBvAHUAcgBjAGUAIAByAGUAZwBpAG8AbgBzACAAZgBvAHIAIAB1AHIAZQBhACAAYQBuAGQAIABhAG0AbQBvAG4AaQBhAFwAIgApADsAXABuAFwAbgBGAGUAcgB0AGkAbABpAHMAZQByAF8AVQByAGUAYQBBAG0AbQBvAG4AaQBhAFMAbwB1AHIAYwBlAFIAZQBnAGkAbwBuAHMAXwBTAG8AdQByAGMAZQBcAG4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GAGUAcgB0AGkAbABpAHMAZQByAF8AVQByAGUAYQBBAG0AbQBvAG4AaQBhAFMAbwB1AHIAYwBlAFIAZQBnAGkAbwBuAHMAXwBEAGEAdABhAFwAbgA9AEwAQQBNAEIARABBACgAXABuACAATQBBAEsARQBBAFIAUgBBAFkAKAA1ACwAIAAxACwAXABuACAATABBAE0AQgBEAEEAKAByACwAYwAsAFwAbgAgACAASQBOAEQARQBYACgAewBcAG4AIAAgAFwAIgBTAG8AdQByAGMAZQBcACIAOwBcAG4AIAAgAFwAIgBHAGwAbwBiAGEAbABcACIAOwBcAG4AIAAgAFwAIgBDAGEAbgBhAGQAYQBcACIAOwBcAG4AIAAgAFwAIgBDAGgAaQBuAGEAXAAiADsAXABuACAAIABcACIAWQBlAG0AZQBuAFwAIgBcAG4AIAAgAH0ALAAgAHIALAAgAGMAKQBcAG4AKQApACkAOwBcAG4AXABuAC8AKgBcAG4APQA9AD0APQA9AD0APQA9AD0APQA9AD0APQA9AD0APQA9AD0APQA9AD0APQA9AD0APQA9AD0APQA9AD0APQA9AD0APQA9AD0APQA9AD0APQA9AD0APQA9AD0APQA9AD0APQA9AD0APQA9AD0APQA9AD0APQA9AD0APQA9AD0APQA9AD0APQA9AD0APQA9AD0APQA9AD0APQBcAG4AQgByAGEAbgBkAGUAZAAgAGYAZQByAHQAaQBsAGkAcwBlAHIAIABwAHIAbwBkAHUAYwB0AHMAXABuAD0APQA9AD0APQA9AD0APQA9AD0APQA9AD0APQA9AD0APQA9AD0APQA9AD0APQA9AD0APQA9AD0APQA9AD0APQA9AD0APQA9AD0APQA9AD0APQA9AD0APQA9AD0APQA9AD0APQA9AD0APQA9AD0APQA9AD0APQA9AD0APQA9AD0APQA9AD0APQA9AD0APQA9AD0APQA9AD0AXABuACoALwBcAG4AXABuAEYAZQByAHQAaQBsAGkAcwBlAHIAXwBQAHIAbwBkAHUAYwB0AHMAXwBUAGkAdABsAGUAXABuAD0ATABBAE0AQgBEAEEAKAAoAFwAIgBCAHIAYQBuAGQAZQBkACAAZgBlAHIAdABpAGwAaQBzAGUAcgAgAHAAcgBvAGQAdQBjAHQAcwAgAGEAbgBkACAAdABoAGUAaQByACAAYwBoAGUAbQBpAGMAYQBsACAAYwBvAG0AcABvAHMAaQB0AGkAbwBuAFwAIgApACkAOwBcAG4AXABuAEYAZQByAHQAaQBsAGkAcwBlAHIAXwBQAHIAbwBkAHUAYwB0AHMAXwBTAG8AdQByAGMAZQBcAG4APQBMAEEATQBCAEQAQQAoACgAXAAiAFwAIgApACkAOwBcAG4AXABuAC8AKgBcAG4ARgBlAHIAdABpAGwAaQBzAGUAcgAgAHAAcgBvAGQAdQBjAHQAIABkAGEAdABhACAALQAgAEUAeABjAGUAbAAgAE0AQQBLAEUAQQBSAFIAQQBZACAAZQB4AHAAbwByAHQAXABuAC0ALQAtAC0ALQAtAC0ALQAtAC0ALQAtAC0ALQAtAC0ALQAtAC0ALQAtAC0ALQAtAC0ALQAtAC0ALQAtAC0ALQAtAC0ALQAtAC0ALQAtAC0ALQAtAC0ALQAtAC0ALQAtAC0ALQAtAC0ALQAtAC0ALQAtAC0ALQAtAFwAbgBQAHIAbwBkAHUAYwB0AHMAOgAgADEAMwA0ACAAKABJAG4AYwBsAHUAZABlACAAbwBuAGwAeQA7ACAAYwBvAG0AYgBpAG4AZQBkACAAZgByAG8AbQAgAG0AYQBpAG4AIAArACAAYgBhAHQAYwBoACAAMQAgACsAIABiAGEAdABjAGgAIAAyACAAdwBvAHIAawBiAG8AbwBrAHMAKQBcAG4AQQByAHIAYQB5AHMAOgAgADUAIAB8ACAAUgBvAHcAcwAgAHAAZQByACAAYQByAHIAYQB5ADoAIAAzADAAIAAoAGYAaQBuAGEAbAAgAGEAcgByAGEAeQA6ACAAMQA0ACkAIAB8ACAAQwBvAGwAdQBtAG4AcwA6ACAAMwAxAFwAbgBcAG4ARQB4AGMAbAB1AGQAZQBkACAAYwBvAGwAdQBtAG4AcwA6ACAASQBuAGMAbAB1AGQAZQAgAG8AcgAgAGUAeABjAGwAdQBkAGUALAAgAEEAbgBhAGwAeQBzAGkAcwAgAGIAYQBzAGUALAAgAEEAbgBhAGwAeQBzAGkAcwAgAHMAbwB1AHIAYwBlACwAIABBAG4AYQBsAHkAcwBpAHMAIABmAGwAYQBnACwAIABOAG8AdABlAHMALAAgAEwAaQBuAGsALAAgAEQAYQB0AGEAIABzAG8AdQByAGMAZQAsACAARQBOAEQAIABSAE8AVwAuAFwAbgBJAG4AZwByAGUAZABpAGUAbgB0ACAAcABlAHIAYwBlAG4AdAAgAHYAYQBsAHUAZQBzACAAYQByAGUAIABlAHYAYQBsAHUAYQB0AGUAZAAgAGQAZQBjAGkAbQBhAGwAIABmAHIAYQBjAHQAaQBvAG4AcwAgACgAPQA0ADYALwAxADAAMAAgAC0APgAgADAALgA0ADYAKQA7ACAAZQBtAHAAdAB5ACAAYwBlAGwAbABzACAAYQByAGUAIABcACIAXAAiAC4AXABuAFwAbgBDAG8AbAB1AG0AbgAgAG8AcgBkAGUAcgAgACgAMwAxACkAOgBcAG4AIAAgADEALgAgAEMAbwBtAHAAYQBuAHkAXABuACAAIAAyAC4AIABQAHIAbwBkAHUAYwB0ACAAbgBhAG0AZQBcAG4AIAAgADMALgAgAFUAbgBpAHQAXABuACAAIAA0AC4AIABEAGUAbgBzAGkAdAB5AFwAbgAgACAANQAuACAAQwBvAG4AdABhAGkAbgBzACAAaQBuAGgAaQBiAGkAdABvAHIAXABuACAAIAA2AC4AIABVAHIAZQBhACAAcwBvAHUAcgBjAGUAXABuACAAIAA3AC4AIABBAG0AbQBvAG4AaQBhACAAcwBvAHUAcgBjAGUAXABuACAAIAA4AC4AIABOACAAZABlAGMAbABhAHIAZQBkAFwAbgAgACAAOQAuACAAUAAgAGQAZQBjAGwAYQByAGUAZABcAG4AIAAgADEAMAAuACAASwAgAGQAZQBjAGwAYQByAGUAZABcAG4AIAAgADEAMQAuACAAUwAgAGQAZQBjAGwAYQByAGUAZABcAG4AIAAgADEAMgAuACAASQBuAGcAcgBlAGQAaQBlAG4AdAAgADEAXABuACAAIAAxADMALgAgAEkAbgBnAHIAZQBkAGkAZQBuAHQAIAAxACAAcABlAHIAYwBlAG4AdABcAG4AIAAgADEANAAuACAASQBuAGcAcgBlAGQAaQBlAG4AdAAgADIAXABuACAAIAAxADUALgAgAEkAbgBnAHIAZQBkAGkAZQBuAHQAIAAyACAAcABlAHIAYwBlAG4AdABcAG4AIAAgADEANgAuACAASQBuAGcAcgBlAGQAaQBlAG4AdAAgADMAXABuACAAIAAxADcALgAgAEkAbgBnAHIAZQBkAGkAZQBuAHQAIAAzACAAcABlAHIAYwBlAG4AdABcAG4AIAAgADEAOAAuACAASQBuAGcAcgBlAGQAaQBlAG4AdAAgADQAXABuACAAIAAxADkALgAgAEkAbgBnAHIAZQBkAGkAZQBuAHQAIAA0ACAAcABlAHIAYwBlAG4AdABcAG4AIAAgADIAMAAuACAASQBuAGcAcgBlAGQAaQBlAG4AdAAgADUAXABuACAAIAAyADEALgAgAEkAbgBnAHIAZQBkAGkAZQBuAHQAIAA1ACAAcABlAHIAYwBlAG4AdABcAG4AIAAgADIAMgAuACAASQBuAGcAcgBlAGQAaQBlAG4AdAAgADYAXABuACAAIAAyADMALgAgAEkAbgBnAHIAZQBkAGkAZQBuAHQAIAA2ACAAcABlAHIAYwBlAG4AdABcAG4AIAAgADIANAAuACAASQBuAGcAcgBlAGQAaQBlAG4AdAAgADcAXABuACAAIAAyADUALgAgAEkAbgBnAHIAZQBkAGkAZQBuAHQAIAA3ACAAcABlAHIAYwBlAG4AdABcAG4AIAAgADIANgAuACAASQBuAGcAcgBlAGQAaQBlAG4AdAAgADgAXABuACAAIAAyADcALgAgAEkAbgBnAHIAZQBkAGkAZQBuAHQAIAA4ACAAcABlAHIAYwBlAG4AdABcAG4AIAAgADIAOAAuACAASQBuAGcAcgBlAGQAaQBlAG4AdAAgADkAXABuACAAIAAyADkALgAgAEkAbgBnAHIAZQBkAGkAZQBuAHQAIAA5ACAAcABlAHIAYwBlAG4AdABcAG4AIAAgADMAMAAuACAASQBuAGcAcgBlAGQAaQBlAG4AdAAgADEAMABcAG4AIAAgADMAMQAuACAASQBuAGcAcgBlAGQAaQBlAG4AdAAgADEAMAAgAHAAZQByAGMAZQBuAHQAXABuACAAIABcAG4ALQAtAC0ALQAtAC0ALQAtAC0ALQAtAC0ALQAtAC0ALQAtAC0ALQAtAC0ALQAtAC0ALQAtAC0ALQAtAC0ALQAtAC0ALQAtAC0ALQAtAC0ALQAtAC0ALQAtAC0ALQAtAC0ALQAtAC0ALQAtAC0ALQAtAC0ALQAtAC0AXABuACoALwBcAG4AXABuAEYAZQByAHQAaQBsAGkAcwBlAHIAXwBQAHIAbwBkAHUAYwB0AHMAXwBEAGEAdABhADEAXABuAD0ATABBAE0AQgBEAEEAKABcAG4AIABNAEEASwBFAEEAUgBSAEEAWQAoADMAMAAsACAAMwAxACwAXABuACAATABBAE0AQgBEAEEAKAByACwAYwAsAFwAbgAgACAASQBOAEQARQBYACgAewBcAG4AXAAiAEMAYQBtAHAAYgBlAGwAbABzACAAZgBlAHIAdABpAGwAaQBzAGUAcgBzACAAQQB1AHMAdAByAGEAbABpAGEAXAAiACwAXAAiAEEAcQB1AGEAIABGAGkAbgBpAHMAaABcACIALABcACIATABcACIALAAxAC4AMgA2ACwAXAAiAFwAIgAsAFwAIgBcACIALABcACIAXAAiACwAMgAuADYALAA0ACwAMgAyAC4ANQAsAFwAIgBcACIALABcACIAUABvAHQAYQBzAHMAaQB1AG0AIAAtACAARwBlAG4AZQByAGkAYwBcACIALAAwAC4AMgAyADUALABcACIAUABoAG8AcwBwAGgAbwByAHUAcwAgAC0AIABHAGUAbgBlAHIAaQBjAFwAIgAsADAALgAwADQALABcACIATgBpAHQAcgBvAGcAZQBuACAALQAgAEcAZQBuAGUAcgBpAGMAXAAiACwAMAAuADAAMgA2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EEAcQB1AGEAIABHAHIAbwB3AFwAIgAsAFwAIgBMAFwAIgAsADEALgAyADYALABcACIAXAAiACwAXAAiAFwAIgAsAFwAIgBcACIALAA5AC4ANgAsADUALAAxADAALgA1ACwAXAAiAFwAIgAsAFwAIgBQAG8AdABhAHMAcwBpAHUAbQAgAC0AIABHAGUAbgBlAHIAaQBjAFwAIgAsADAALgAxADAANQAsAFwAIgBOAGkAdAByAG8AZwBlAG4AIAAtACAARwBlAG4AZQByAGkAYwBcACIALAAwAC4AMAA5ADYALABcACIAUABoAG8AcwBwAGgAbwByAHUAcwAgAC0AIABHAGUAbgBlAHIAaQBjAFwAIgAsADAALgAwADU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QQBxAHUAYQAgAE4AaQB0AHIAbwAgAEEATgBcACIALABcACIATABcACIALAAxAC4AMgA0ACwAXAAiAFwAIgAsAFwAIgBcACIALABcACIAXAAiACwAMgAyAC4AMwAsAFwAIgBcACIALABcACIAXAAiACwAXAAiAFwAIgAsAFwAIgBOAGkAdAByAG8AZwBlAG4AIAAtACAAQQBtAG0AbwBuAGkAYQBjAGEAbABcACIALAAwAC4AMgAyADMALABcACIAXAAiACwAXAAiAFwAIgAsAFwAIgBcACIALABcACIAXAAi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EEAcQB1AGEAIABOAGkAdAByAG8AQwBhAGwAXAAiACwAXAAiAEwAXAAiACwAMQAuADUALABcACIAXAAiACwAXAAiAFwAIgAsAFwAIgBcACIALAAxADMALgAyACwAXAAiAFwAIgAsAFwAIgBcACIALABcACIAXAAiACwAXAAiAEMAYQBsAGMAaQB1AG0AXAAiACwAMAAuADEANgAyACwAXAAiAE4AaQB0AHIAbwBnAGUAbgAgAC0AIABOAGkAdAByAGEAdABlAFwAIgAsADAALgAxADMAMgAsAFwAIgBcACIALABcACIAXAAi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EEAcQB1AGEAIABOAGkAdAByAG8AQwBhAGwAIAAoAFYASQApAFwAIgAsAFwAIgBMAFwAIgAsADEALgA1ACwAXAAiAFwAIgAsAFwAIgBcACIALABcACIAXAAiACwAMQAzAC4AMgAsAFwAIgBcACIALABcACIAXAAiACwAXAAiAFwAIgAsAFwAIgBDAGEAbABjAGkAdQBtAFwAIgAsADAALgAxADgANwAsAFwAIgBOAGkAdAByAG8AZwBlAG4AIAAtACAATgBpAHQAcgBhAHQAZQBcACIALAAwAC4AMQAzADIALABcACIAXAAiACwAXAAiAFwAIgAsAFwAIgBcACIALABcACIAXAAiACwAXAAiAFwAIgAsAFwAIgBcACIALABcACIAXAAiACwAXAAiAFwAIgAsAFwAIgBcACIALABcACIAXAAiACwAXAAiAFwAIgAsAFwAIgBcACIALABcACIAXAAiACwAXAAiAFwAIgAsAFwAIgBcACIALABcACIAXAAiADsAXABuAFwAIgBDAGEAbQBwAGIAZQBsAGwAcwAgAGYAZQByAHQAaQBsAGkAcwBlAHIAcwAgAEEAdQBzAHQAcgBhAGwAaQBhAFwAIgAsAFwAIgBBAHEAdQBhACAATgBpAHQAcgBvAEMAYQBsACAAVQBsAHQAaQBtAGEAdABlAFwAIgAsAFwAIgBMAFwAIgAsADEALgA1ACwAXAAiAFwAIgAsAFwAIgBcACIALABcACIAXAAiACwAMQAzAC4AMgAsAFwAIgBcACIALABcACIAXAAiACwAXAAiAFwAIgAsAFwAIgBDAGEAbABjAGkAdQBtAFwAIgAsADAALgAxADgAMwAsAFwAIgBOAGkAdAByAG8AZwBlAG4AIAAtACAATgBpAHQAcgBhAHQAZQBcACIALAAwAC4AMQAzADIALABcACIAXAAiACwAXAAiAFwAIgAsAFwAIgBcACIALABcACIAXAAiACwAXAAiAFwAIgAsAFwAIgBcACIALABcACIAXAAiACwAXAAiAFwAIgAsAFwAIgBcACIALABcACIAXAAiACwAXAAiAFwAIgAsAFwAIgBcACIALABcACIAXAAiACwAXAAiAFwAIgAsAFwAIgBcACIALABcACIAXAAiADsAXABuAFwAIgBDAGEAbQBwAGIAZQBsAGwAcwAgAGYAZQByAHQAaQBsAGkAcwBlAHIAcwAgAEEAdQBzAHQAcgBhAGwAaQBhAFwAIgAsAFwAIgBBAHEAdQBhACAAUwB0AGEAcgB0AFwAIgAsAFwAIgBMAFwAIgAsADEALgAyADUALABcACIAXAAiACwAXAAiAFwAIgAsAFwAIgBcACIALAAxADAALgAzACwAMQAwACwAMwAuADQALABcACIAXAAiACwAXAAiAE4AaQB0AHIAbwBnAGUAbgAgAC0AIABHAGUAbgBlAHIAaQBjAFwAIgAsADAALgAxADAAMwAsAFwAIgBQAGgAbwBzAHAAaABvAHIAdQBzACAALQAgAEcAZQBuAGUAcgBpAGMAXAAiACwAMAAuADEALABcACIAUABvAHQAYQBzAHMAaQB1AG0AIAAtACAARwBlAG4AZQByAGkAYwBcACIALAAwAC4AMAAzADQ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QQBxAHUAYQAgAFQAaABpAG8ALQBDAG8AbQBwAGwAZQB0AGUAXAAiACwAXAAiAEwAXAAiACwAMQAuADQAMwAsAFwAIgBcACIALABcACIAXAAiACwAXAAiAFwAIgAsADIALgA1ACwAMwAuADgALAAyADIALgA1ACwAXAAiAFwAIgAsAFwAIgBQAG8AdABhAHMAcwBpAHUAbQAgAC0AIABHAGUAbgBlAHIAaQBjAFwAIgAsADAALgAyADIANQAsAFwAIgBQAGgAbwBzAHAAaABvAHIAdQBzACAALQAgAEcAZQBuAGUAcgBpAGMAXAAiACwAMAAuADAAMwA4ACwAXAAiAE4AaQB0AHIAbwBnAGUAbgAgAC0AIABHAGUAbgBlAHIAaQBjAFwAIgAsADAALgAwADIANQAsAFwAIgBcACIALABcACIAXAAiACwAXAAiAFwAIgAsAFwAIgBcACIALABcACIAXAAiACwAXAAiAFwAIgAsAFwAIgBcACIALABcACIAXAAiACwAXAAiAFwAIgAsAFwAIgBcACIALABcACIAXAAiACwAXAAiAFwAIgAsAFwAIgBcACIALABcACIAXAAiADsAXABuAFwAIgBDAGEAbQBwAGIAZQBsAGwAcwAgAGYAZQByAHQAaQBsAGkAcwBlAHIAcwAgAEEAdQBzAHQAcgBhAGwAaQBhAFwAIgAsAFwAIgBBAHEAdQBhACAAVABoAGkAbwAtAEUAbQBlAHIAZwBlAFwAIgAsAFwAIgBMAFwAIgAsADEALgAyADkALABcACIAXAAiACwAXAAiAFwAIgAsAFwAIgBcACIALAAxADAALgA1ACwAOQAuADQALAA0ACwAMwAsAFwAIgBOAGkAdAByAG8AZwBlAG4AIAAtACAARwBlAG4AZQByAGkAYwBcACIALAAwAC4AMQAwADUALABcACIAUABoAG8AcwBwAGgAbwByAHUAcwAgAC0AIABHAGUAbgBlAHIAaQBjAFwAIgAsADAALgAwADkANAAsAFwAIgBQAG8AdABhAHMAcwBpAHUAbQAgAC0AIABHAGUAbgBlAHIAaQBjAFwAIgAsADAALgAwADQALABcACIAUwB1AGwAZgB1AHIAIAAtACAARwBlAG4AZQByAGkAYwBcACIALAAwAC4AMAAzACwAXAAiAFwAIgAsAFwAIgBcACIALABcACIAXAAiACwAXAAiAFwAIgAsAFwAIgBcACIALABcACIAXAAiACwAXAAiAFwAIgAsAFwAIgBcACIALABcACIAXAAiACwAXAAiAFwAIgAsAFwAIgBcACIALABcACIAXAAiADsAXABuAFwAIgBDAGEAbQBwAGIAZQBsAGwAcwAgAGYAZQByAHQAaQBsAGkAcwBlAHIAcwAgAEEAdQBzAHQAcgBhAGwAaQBhAFwAIgAsAFwAIgBBAHEAdQBhACAAVABoAGkAbwAtAEYAbABvAHUAcgBpAHMAaABcACIALABcACIATABcACIALAAxAC4AMwAyACwAXAAiAFwAIgAsAFwAIgBcACIALABcACIAXAAiACwAOQAuADUALAA0AC4ANwAsADEAMAAuADgALAA4AC4AMQAsAFwAIgBQAG8AdABhAHMAcwBpAHUAbQAgAC0AIABHAGUAbgBlAHIAaQBjAFwAIgAsADAALgAxADAAOAAsAFwAIgBOAGkAdAByAG8AZwBlAG4AIAAtACAARwBlAG4AZQByAGkAYwBcACIALAAwAC4AMAA5ADUALABcACIAUwB1AGwAZgB1AHIAIAAtACAARwBlAG4AZQByAGkAYwBcACIALAAwAC4AMAA4ADEALABcACIAUABoAG8AcwBwAGgAbwByAHUAcwAgAC0AIABHAGUAbgBlAHIAaQBjAFwAIgAsADAALgAwADQANwAsAFwAIgBcACIALABcACIAXAAiACwAXAAiAFwAIgAsAFwAIgBcACIALABcACIAXAAiACwAXAAiAFwAIgAsAFwAIgBcACIALABcACIAXAAiACwAXAAiAFwAIgAsAFwAIgBcACIALABcACIAXAAiACwAXAAiAFwAIgA7AFwAbgBcACIAQwBhAG0AcABiAGUAbABsAHMAIABmAGUAcgB0AGkAbABpAHMAZQByAHMAIABBAHUAcwB0AHIAYQBsAGkAYQBcACIALABcACIAQgBvAG8AcwB0AC0ASQB0AFwAIgAsAFwAIgBrAGcAXAAiACwAMQAsAFwAIgBcACIALABcACIAXAAiACwAXAAiAFwAIgAsADIANAAsADUALgAyACwAOAAsADUALgAzACwAXAAiAFUAcgBlAGEAXAAiACwAMAAuADUAMgAxADcAMwA5ACwAXAAiAFAAbwB0AGEAcwBzAGkAdQBtACAALQAgAEcAZQBuAGUAcgBpAGMAXAAiACwAMAAuADAAOAAsAFwAIgBTAHUAbABmAHUAcgAgAC0AIABHAGUAbgBlAHIAaQBjAFwAIgAsADAALgAwADUAMwAsAFwAIgBQAGgAbwBzAHAAaABvAHIAdQBzACAALQAgAEcAZQBuAGUAcgBpAGMAXAAiACwAMAAuADAANQAyACwAXAAiAE0AYQBnAG4AZQBzAGkAdQBtAFwAIgAsADAALgAwADEAMwAsAFwAIgBaAGkAbgBjAFwAIgAsADAALgAwADAAMgAsAFwAIgBNAGEAbgBnAGEAbgBlAHMAZQBcACIALAAwAC4AMAAwADMANQAsAFwAIgBJAHIAbwBuAFwAIgAsADAALgAwADAAMQAzACwAXAAiAEMAbwBwAHAAZQByAFwAIgAsADAALgAwADAAMAA3ACwAXAAiAEIAbwByAG8AbgBcACIALAAwAC4AMAAwADAANwA7AFwAbgBcACIAQwBhAG0AcABiAGUAbABsAHMAIABmAGUAcgB0AGkAbABpAHMAZQByAHMAIABBAHUAcwB0AHIAYQBsAGkAYQBcACIALABcACIAQgByAG8AbgB6AGUAXAAiACwAXAAiAGsAZwBcACIALAAxACwAXAAiAFwAIgAsAFwAIgBcACIALABcACIAXAAiACwAMQA3ACwAMAAuADAANAAsADEAMQAuADYALAAwAC4ANQAsAFwAIgBNAHUAcgBpAGEAdABlACAAbwBmACAAcABvAHQAYQBzAGgAIAAoAE0ATwBQACkAXAAiACwAMAAuADIAMwAyACwAXAAiAE4AaQB0AHIAbwBnAGUAbgAgAC0AIABHAGUAbgBlAHIAaQBjAFwAIgAsADAALgAxADcALABcACIAUwB1AGwAZgB1AHIAIAAtACAARwBlAG4AZQByAGkAYwBcACIALAAwAC4AMAAwADUALABcACIATQBhAGcAbgBlAHMAaQB1AG0AXAAiACwAMAAuADAAMAAyADQALABcACIAUABoAG8AcwBwAGgAbwByAHUAcwAgAC0AIABHAGUAbgBlAHIAaQBjAFwAIgAsADAALgAwADAAMAA0ACwAXAAiAFwAIgAsAFwAIgBcACIALABcACIAXAAiACwAXAAiAFwAIgAsAFwAIgBcACIALABcACIAXAAiACwAXAAiAFwAIgAsAFwAIgBcACIALABcACIAXAAiACwAXAAiAFwAIgA7AFwAbgBcACIAQwBhAG0AcABiAGUAbABsAHMAIABmAGUAcgB0AGkAbABpAHMAZQByAHMAIABBAHUAcwB0AHIAYQBsAGkAYQBcACIALABcACIAQwBhAGwAYgBpAHQAIABDAFwAIgAsAFwAIgBMAFwAIgAsADEALgA0ADUALABcACIAXAAiACwAXAAiAFwAIgAsAFwAIgBcACIALABcACIAXAAiACwAXAAiAFwAIgAsAFwAIgBcACIALABcACIAXAAiACwAXAAiAEMAYQBsAGMAaQB1AG0AXAAiACwAMAAuADEAMAA3ACwAXAAiAFwAIgAsAFwAIgBcACIALABcACIAXAAiACwAXAAiAFwAIgAsAFwAIgBcACIALABcACIAXAAiACwAXAAiAFwAIgAsAFwAIgBcACIALABcACIAXAAiACwAXAAiAFwAIgAsAFwAIgBcACIALABcACIAXAAiACwAXAAiAFwAIgAsAFwAIgBcACIALABcACIAXAAiACwAXAAiAFwAIgAsAFwAIgBcACIALABcACIAXAAiADsAXABuAFwAIgBDAGEAbQBwAGIAZQBsAGwAcwAgAGYAZQByAHQAaQBsAGkAcwBlAHIAcwAgAEEAdQBzAHQAcgBhAGwAaQBhAFwAIgAsAFwAIgBDAG8AbQBwAGEAcwBzAFwAIgAsAFwAIgBrAGcAXAAiACwAMQAsAFwAIgBcACIALABcACIAXAAiACwAXAAiAFwAIgAsADEANQAsADYALgA1ACwAMQAyAC4ANQAsADYALABcACIATgBpAHQAcgBvAGcAZQBuACAALQAgAEEAbQBtAG8AbgBpAGEAYwBhAGwAXAAiACwAMAAuADAANwA1ACwAXAAiAE4AaQB0AHIAbwBnAGUAbgAgAC0AIABOAGkAdAByAGEAdABlAFwAIgAsADAALgAwADcANQAsAFwAIgBQAG8AdABhAHMAcwBpAHUAbQAgAC0AIABHAGUAbgBlAHIAaQBjAFwAIgAsADAALgAxADIANQAsAFwAIgBQAGgAbwBzAHAAaABvAHIAdQBzACAALQAgAEcAZQBuAGUAcgBpAGMAXAAiACwAMAAuADAANgA1ACwAXAAiAFMAdQBsAGYAdQByACAALQAgAEcAZQBuAGUAcgBpAGMAXAAiACwAMAAuADAANgAsAFwAIgBcACIALABcACIAXAAiACwAXAAiAFwAIgAsAFwAIgBcACIALABcACIAXAAiACwAXAAiAFwAIgAsAFwAIgBcACIALABcACIAXAAiACwAXAAiAFwAIgAsAFwAIgBcACIAOwBcAG4AXAAiAEMAYQBtAHAAYgBlAGwAbABzACAAZgBlAHIAdABpAGwAaQBzAGUAcgBzACAAQQB1AHMAdAByAGEAbABpAGEAXAAiACwAXAAiAEMAbwBSAG8ATgAgADEAMgAtADAALQAxADAAXAAiACwAXAAiAEwAXAAiACwAMQAuADIAMQA1ACwAXAAiAFwAIgAsAFwAIgBcACIALABcACIAXAAiACwAMQAyACwAXAAiAFwAIgAsADEAMAAsAFwAIgBcACIALABcACIAVQByAGUAYQBcACIALAAwAC4AMQA5ADUANgA1ADIALABcACIAUABvAHQAYQBzAHMAaQB1AG0AIAAtACAARwBlAG4AZQByAGkAYwBcACIALAAwAC4AMQAsAFwAIgBOAGkAdAByAG8AZwBlAG4AIAAtACAARwBlAG4AZQByAGkAYwBcACIALAAwAC4AMAAzACwAXAAiAEIAbwByAG8AbgBcACIALAAwAC4AMAAwADUALABcACIAXAAiACwAXAAiAFwAIgAsAFwAIgBcACIALABcACIAXAAiACwAXAAiAFwAIgAsAFwAIgBcACIALABcACIAXAAiACwAXAAiAFwAIgAsAFwAIgBcACIALABcACIAXAAiACwAXAAiAFwAIgAsAFwAIgBcACIAOwBcAG4AXAAiAEMAYQBtAHAAYgBlAGwAbABzACAAZgBlAHIAdABpAGwAaQBzAGUAcgBzACAAQQB1AHMAdAByAGEAbABpAGEAXAAiACwAXAAiAE0AYQB4AGkAbQB1AG0AIABRAHUAaQBjAGsALQBOAFwAIgAsAFwAIgBrAGcAXAAiACwAMQAsAFwAIgBcACIALABcACIAXAAiACwAXAAiAFwAIgAsADIAMQAuADYANgAsAFwAIgBcACIALABcACIAXAAiACwAMQAzAC4AMgAsAFwAIgBTAHUAbABwAGgAYQB0AGUAIABvAGYAIABhAG0AbQBvAG4AaQBhACAAKABTAE8AQQApAFwAIgAsADAALgA1ADUALABcACIAQQBtAG0AbwBuAGkAdQBtACAAbgBpAHQAcgBhAHQAZQAgACgAQQBOACkAXAAiACwAMAAuADMALABcACIAXAAiACwAXAAiAFwAIgAsAFwAIgBcACIALABcACIAXAAiACwAXAAiAFwAIgAsAFwAIgBcACIALABcACIAXAAiACwAXAAiAFwAIgAsAFwAIgBcACIALABcACIAXAAiACwAXAAiAFwAIgAsAFwAIgBcACIALABcACIAXAAiACwAXAAiAFwAIgAsAFwAIgBcACIALABcACIAXAAiADsAXABuAFwAIgBTAEwAIABUAGUAYwBcACIALABcACIAQwByAG8AcAAgAEIAbwBvAHMAdABlAHIAIABQAEwAVQBTAFwAIgAsAFwAIgBMAFwAIgAsADEALgAzADEAOQAsAFwAIgBcACIALABcACIAXAAiACwAXAAiAFwAIgAsADUALAAxADUALAAyAC4AMQAsAFwAIgBcACIALABcACIAUABoAG8AcwBwAGgAbwByAHUAcwAgAC0AIABHAGUAbgBlAHIAaQBjAFwAIgAsADAALgAxADUALABcACIAQwBhAGwAYwBpAHUAbQBcACIALAAwAC4AMAA0ACwAXAAiAE4AaQB0AHIAbwBnAGUAbgAgAC0AIABBAG0AbQBvAG4AaQBhAGMAYQBsAFwAIgAsADAALgAwADIAOQAsAFwAIgBOAGkAdAByAG8AZwBlAG4AIAAtACAATgBpAHQAcgBhAHQAZQBcACIALAAwAC4AMAAyADEALABcACIAUABvAHQAYQBzAHMAaQB1AG0AIAAtACAARwBlAG4AZQByAGkAYwBcACIALAAwAC4AMAAyADEALABcACIAQwBvAHAAcABlAHIAXAAiACwAMAAuADAAMAA1ACwAXAAiAFoAaQBuAGMAXAAiACwAMAAuADAAMAA0ACwAXAAiAE0AYQBuAGcAYQBuAGUAcwBlAFwAIgAsADAALgAwADAANAAsAFwAIgBNAGEAZwBuAGUAcwBpAHUAbQBcACIALAAwAC4AMAAwADIALABcACIAXAAiACwAXAAiAFwAIgA7AFwAbgBcACIAUgBpAHMAcwBvAC0AQwBoAGUAbQBpAGMAYQBsAFwAIgAsAFwAIgBBAG0AbQBvAG4AaQB1AG0AIABCAGkAYwBhAHIAYgBvAG4AYQB0AGUAXAAiACwAXAAiAGsAZwBcACIALAAxACwAXAAiAFwAIgAsAFwAIgBcACIALABcACIAQwBoAGkAbgBhAFwAIgAsADEANwAuADcALABcACIAXAAiACwAXAAiAFwAIgAsAFwAIgBcACIALABcACIATgBpAHQAcgBvAGcAZQBuACAALQAgAEEAbQBtAG8AbgBpAGEAYwBhAGwAXAAiACwAMAAuADEANwA3ACwAXAAiAFwAIgAsAFwAIgBcACIALABcACIAXAAiACwAXAAiAFwAIgAsAFwAIgBcACIALABcACIAXAAiACwAXAAiAFwAIgAsAFwAIgBcACIALABcACIAXAAiACwAXAAiAFwAIgAsAFwAIgBcACIALABcACIAXAAiACwAXAAiAFwAIgAsAFwAIgBcACIALABcACIAXAAiACwAXAAiAFwAIgAsAFwAIgBcACIALABcACIAXAAiADsAXABuAFwAIgBSAGkAcwBzAG8ALQBDAGgAZQBtAGkAYwBhAGwAXAAiACwAXAAiAEEAbQBtAG8AbgBpAHUAbQAgAFMAdQBsAGYAYQB0AGUAXAAiACwAXAAiAGsAZwBcACIALAAxACwAXAAiAFwAIgAsAFwAIgBcACIALABcACIAQwBoAGkAbgBhAFwAIgAsADIAMQAsAFwAIgBcACIALABcACIAXAAiACwAMgA0ACwAXAAiAFMAdQBsAGYAdQByACAALQAgAEcAZQBuAGUAcgBpAGMAXAAiACwAMAAuADIANAAsAFwAIgBOAGkAdAByAG8AZwBlAG4AIAAtACAAQQBtAG0AbwBuAGkAYQBjAGEAbABcACIALAAwAC4AMgAxACwAXAAiAFwAIgAsAFwAIgBcACIALABcACIAXAAiACwAXAAiAFwAIgAsAFwAIgBcACIALABcACIAXAAiACwAXAAiAFwAIgAsAFwAIgBcACIALABcACIAXAAiACwAXAAiAFwAIgAsAFwAIgBcACIALABcACIAXAAiACwAXAAiAFwAIgAsAFwAIgBcACIALABcACIAXAAiACwAXAAiAFwAIgA7AFwAbgBcACIAUgBhAHYAZQBuAHMAZABvAHcAbgBcACIALABcACIAQQBtAG0AbwBuAGkAdQBtACAAUwB1AGwAcABoAGEAdABlACAALQAgAEcAcgBhAG4AdQBsAGEAcgBcACIALABcACIAawBnAFwAIgAsADEALABcACIAXAAiACwAXAAiAFwAIgAsAFwAIgBcACIALAAyADEALABcACIAXAAiACwAXAAiAFwAIgAsADIANAAsAFwAIgBTAHUAbABwAGgAYQB0AGUAIABvAGYAIABhAG0AbQBvAG4AaQBhACAAKABTAE8AQQApAFwAIgAsADEALABcACIAXAAiACwAXAAiAFwAIgAsAFwAIgBcACIALABcACIAXAAiACwAXAAiAFwAIgAsAFwAIgBcACIALABcACIAXAAiACwAXAAiAFwAIgAsAFwAIgBcACIALABcACIAXAAiACwAXAAiAFwAIgAsAFwAIgBcACIALABcACIAXAAiACwAXAAiAFwAIgAsAFwAIgBcACIALABcACIAXAAiACwAXAAiAFwAIgAsAFwAIgBcACIAOwBcAG4AXAAiAEkAbQBwAGEAYwB0ACAARgBlAHIAdABpAGwAaQBzAGUAcgBzAFwAIgAsAFwAIgBEAGkALQBBAG0AbQBvAG4AaQB1AG0AIABQAGgAbwBzAHAAaABhAHQAZQAgACgARABBAFAAKQBcACIALABcACIAawBnAFwAIgAsADEALABcACIAXAAiACwAXAAiAFwAIgAsAFwAIgBcACIALAAxADgALAAyADAALABcACIAXAAiACwAXAAiAFwAIgAsAFwAIgBEAGkAYQBtAG0AbwBuAGkAdQBtACAAcABoAG8AcwBwAGgAYQB0AGUAIAAoAEQAQQBQACkAXAAiACwAMQAsAFwAIgBcACIALABcACIAXAAiACwAXAAiAFwAIgAsAFwAIgBcACIALABcACIAXAAiACwAXAAiAFwAIgAsAFwAIgBcACIALABcACIAXAAiACwAXAAiAFwAIgAsAFwAIgBcACIALABcACIAXAAiACwAXAAiAFwAIgAsAFwAIgBcACIALABcACIAXAAiACwAXAAiAFwAIgAsAFwAIgBcACIALABcACIAXAAiACwAXAAiAFwAIgA7AFwAbgBcACIASQBuAGMAaQB0AGUAYwAgAFAAaQB2AG8AdAAgAEYAZQByAHQAaQBsAGkAcwBlAHIAcwBcACIALABcACIAQgBhAHMAYQBsAHQAIABCAG8AbwBTAFMAdABhAFwAIgAsAFwAIgBrAGcAXAAiACwAMQAsAFwAIgBcACIALABcACIAXAAiACwAXAAiAFwAIgAsADgALAAxADQALABcACIAXAAiACwAMgA3AC4ANgAsAFwAIgBTAHUAbABmAHUAcgAgAC0AIABHAGUAbgBlAHIAaQBjAFwAIgAsADAALgAyADcANgAsAFwAIgBQAGgAbwBzAHAAaABvAHIAdQBzACAALQAgAEcAZQBuAGUAcgBpAGMAXAAiACwAMAAuADEANAAsAFwAIgBOAGkAdAByAG8AZwBlAG4AIAAtACAARwBlAG4AZQByAGkAYwBcACIALAAwAC4AMAA4ACwAXAAiAEYAbAB1AG8AcgBpAGQAZQBcACIALAAwAC4AMAAyADQALABcACIAXAAiACwAXAAiAFwAIgAsAFwAIgBcACIALABcACIAXAAiACwAXAAiAFwAIgAsAFwAIgBcACIALABcACIAXAAiACwAXAAiAFwAIgAsAFwAIgBcACIALABcACIAXAAiACwAXAAiAFwAIgAsAFwAIgBcACIAOwBcAG4AXAAiAFMAdQBtAG0AaQB0ACAARgBlAHIAdABpAGwAaQB6AGUAcgBzAFwAIgAsAFwAIgBEAEEAUABTAFoAQwBcACIALABcACIAawBnAFwAIgAsADEALABcACIAXAAiACwAXAAiAFwAIgAsAFwAIgBcACIALAAxADYALgA5ACwAMQA4AC4AMgAsAFwAIgBcACIALAA4ACwAXAAiAFAAaABvAHMAcABoAG8AcgB1AHMAIAAtACAARwBlAG4AZQByAGkAYwBcACIALAAwAC4AMQA4ADIALABcACIATgBpAHQAcgBvAGcAZQBuACAALQAgAEcAZQBuAGUAcgBpAGMAXAAiACwAMAAuADEANgA5ACwAXAAiAFMAdQBsAGYAdQByACAALQAgAEcAZQBuAGUAcgBpAGMAXAAiACwAMAAuADAAOAAsAFwAIgBaAGkAbgBjAFwAIgAsADAALgAwADAAMgAsAFwAIgBDAG8AcABwAGUAcgBcACIALAAwAC4AMAAwADEALABcACIAXAAiACwAXAAiAFwAIgAsAFwAIgBcACIALABcACIAXAAiACwAXAAiAFwAIgAsAFwAIgBcACIALABcACIAXAAiACwAXAAiAFwAIgAsAFwAIgBcACIALABcACIAXAAiADsAXABuAFwAIgBJAG4AYwBpAHQAZQBjACAAUABpAHYAbwB0ACAARgBlAHIAdABpAGwAaQBzAGUAcgBzAFwAIgAsAFwAIgBFAGEAcwB5ACAATgBcACIALABcACIATABcACIALAAxAC4AMwAyACwAXAAiAFwAIgAsAFwAIgBcACIALABcACIAXAAiACwANAAyAC4ANQAsAFwAIgBcACIALABcACIAXAAiACwAXAAiAFwAIgAsAFwAIgBVAHIAZQBhAFwAIgAsADAALgA0ADYANwAzADkAMQAsAFwAIgBOAGkAdAByAG8AZwBlAG4AIAAtACAATgBpAHQAcgBhAHQAZQBcACIALAAwAC4AMQAwADUALABcACIATgBpAHQAcgBvAGcAZQBuACAALQAgAEEAbQBtAG8AbgBpAGEAYwBhAGwAXAAiACwAMAAuADEAMAA1ACwAXAAiAEIAaQB1AHIAZQB0AFwAIgAsADAALgAwADAANgAsAFwAIgBcACIALABcACIAXAAiACwAXAAiAFwAIgAsAFwAIgBcACIALABcACIAXAAiACwAXAAiAFwAIgAsAFwAIgBcACIALABcACIAXAAiACwAXAAiAFwAIgAsAFwAIgBcACIALABcACIAXAAiACwAXAAiAFwAIgA7AFwAbgBcACIAUgBpAHMAcwBvAC0AQwBoAGUAbQBpAGMAYQBsAFwAIgAsAFwAIgBDAGEAbABjAGkAdQBtACAAQQBtAG0AbwBuAGkAdQBtACAAbgBpAHQAcgBhAHQAZQBcACIALABcACIAawBnAFwAIgAsADEALABcACIAXAAiACwAXAAiAFwAIgAsAFwAIgBDAGgAaQBuAGEAXAAiACwANAAwAC4ANQAsAFwAIgBcACIALABcACIAXAAiACwAXAAiAFwAIgAsAFwAIgBOAGkAdAByAG8AZwBlAG4AIAAtACAAQQBtAG0AbwBuAGkAYQBjAGEAbABcACIALAAwAC4AMgA3ACwAXAAiAE4AaQB0AHIAbwBnAGUAbgAgAC0AIABOAGkAdAByAGEAdABlAFwAIgAsADAALgAxADMANQAsAFwAIgBDAGEAbABjAGkAdQBtAFwAIgAsADAALgAxADIALABcACIAXAAiACwAXAAiAFwAIgAsAFwAIgBcACIALABcACIAXAAiACwAXAAiAFwAIgAsAFwAIgBcACIALABcACIAXAAiACwAXAAiAFwAIgAsAFwAIgBcACIALABcACIAXAAiACwAXAAiAFwAIgAsAFwAIgBcACIALABcACIAXAAiACwAXAAiAFwAIgA7AFwAbgBcACIAUwBMACAAVABlAGMAXAAiACwAXAAiAEMAZQBsAGwAQwBBAEwAIABQAGwAdQBzAFwAIgAsAFwAIgBMAFwAIgAsADEALgAxADMAOAAsAFwAIgBcACIALABcACIAXAAiACwAXAAiAFwAIgAsAFwAIgBcACIALABcACIAXAAiACwAXAAiAFwAIgAsAFwAIgBcACIALABcACIAQwBhAGwAYwBpAHUAbQBcACIALAAwAC4AMAA1ADkALABcACIAQwBvAHAAcABlAHIAXAAiACwAMAAuADAAMAAzACwAXAAiAEIAbwByAG8AbgBcACIALAAwAC4AMAAwADEALABcACIAXAAiACwAXAAiAFwAIgAsAFwAIgBcACIALABcACIAXAAiACwAXAAiAFwAIgAsAFwAIgBcACIALABcACIAXAAiACwAXAAiAFwAIgAsAFwAIgBcACIALABcACIAXAAiACwAXAAiAFwAIgAsAFwAIgBcACIALABcACIAXAAiACwAXAAiAFwAIgA7AFwAbgBcACIASQBuAGMAaQB0AGUAYwAgAFAAaQB2AG8AdAAgAEYAZQByAHQAaQBsAGkAcwBlAHIAcwBcACIALABcACIAQwBLADUANQBcACIALABcACIAawBnAFwAIgAsADEALABcACIAXAAiACwAXAAiAFwAIgAsAFwAIgBcACIALAAxADMALgA1ACwAMQA1ACwANgAuADIANQAsADEALgAyACwAXAAiAFAAaABvAHMAcABoAG8AcgB1AHMAIAAtACAARwBlAG4AZQByAGkAYwBcACIALAAwAC4AMQA1ACwAXAAiAE4AaQB0AHIAbwBnAGUAbgAgAC0AIABBAG0AbQBvAG4AaQBhAGMAYQBsAFwAIgAsADAALgAxADMANQAsAFwAIgBNAHUAcgBpAGEAdABlACAAbwBmACAAcABvAHQAYQBzAGgAIAAoAE0ATwBQACkAXAAiACwAMAAuADEAMgA1ACwAXAAiAEYAbAB1AG8AcgBpAGQAZQBcACIALAAwAC4AMAAyADMALABcACIAUwB1AGwAZgB1AHIAIAAtACAARwBlAG4AZQByAGkAYwBcACIALAAwAC4AMAAxADIALABcACIAXAAiACwAXAAiAFwAIgAsAFwAIgBcACIALABcACIAXAAiACwAXAAiAFwAIgAsAFwAIgBcACIALABcACIAXAAiACwAXAAiAFwAIgAsAFwAIgBcACIALABcACIAXAAiADsAXABuAFwAIgBTAHcAaQB0AGMAaAAgAEEAZwBcACIALABcACIAQwByAG8AcAAgAEsAXAAiACwAXAAiAEwAXAAiACwAMQAuADIANQAsAFwAIgBcACIALABcACIAXAAiACwAXAAiAFwAIgAsADMALABcACIAXAAiACwAMgAxACwAXAAiAFwAIgAsAFwAIgBQAG8AdABhAHMAcwBpAHUAbQAgAC0AIABHAGUAbgBlAHIAaQBjAFwAIgAsADAALgAyADEALABcACIATgBpAHQAcgBvAGcAZQBuACAALQAgAEcAZQBuAGUAcgBpAGMAXAAiACwAMAAuADAAMwAsAFwAIgBcACIALABcACIAXAAiACwAXAAiAFwAIgAsAFwAIgBcACIALABcACIAXAAiACwAXAAiAFwAIgAsAFwAIgBcACIALABcACIAXAAiACwAXAAiAFwAIgAsAFwAIgBcACIALABcACIAXAAiACwAXAAiAFwAIgAsAFwAIgBcACIALABcACIAXAAiACwAXAAiAFwAIgAsAFwAIgBcACIAOwBcAG4AXAAiAFMAdwBpAHQAYwBoACAAQQBnAFwAIgAsAFwAIgBDAHIAbwBwACAAUwB0AGEAcgB0AGUAcgBcACIALABcACIATABcACIALAAxAC4AMgAsAFwAIgBcACIALABcACIAXAAiACwAXAAiAFwAIgAsADUALAAzACwAOAAsAFwAIgBcACIALABcACIAUABvAHQAYQBzAHMAaQB1AG0AIAAtACAARwBlAG4AZQByAGkAYwBcACIALAAwAC4AMAA4ACwAXAAiAE4AaQB0AHIAbwBnAGUAbgAgAC0AIABHAGUAbgBlAHIAaQBjAFwAIgAsADAALgAwADUALABcACIAUABoAG8AcwBwAGgAbwByAHUAcwAgAC0AIABHAGUAbgBlAHIAaQBjAFwAIgAsADAALgAwADMALABcACIAXAAiACwAXAAiAFwAIgAsAFwAIgBcACIALABcACIAXAAiACwAXAAiAFwAIgAsAFwAIgBcACIALABcACIAXAAiACwAXAAiAFwAIgAsAFwAIgBcACIALABcACIAXAAiACwAXAAiAFwAIgAsAFwAIgBcACIALABcACIAXAAiACwAXAAiAFwAIgA7AFwAbgBcACIASQBuAGMAaQB0AGUAYwAgAFAAaQB2AG8AdAAgAEYAZQByAHQAaQBsAGkAcwBlAHIAcwBcACIALABcACIARwByAGEAbgAtAEEAbQBcACIALABcACIAawBnAFwAIgAsADEALABcACIAXAAiACwAXAAiAFwAIgAsAFwAIgBcACIALAAyADEALABcACIAXAAiACwAXAAiAFwAIgAsADIANAAsAFwAIgBTAHUAbABwAGgAYQB0AGUAIABvAGYAIABhAG0AbQBvAG4AaQBhACAAKABTAE8AQQApAFwAIgAsADEALABcACIAXAAiACwAXAAiAFwAIgAsAFwAIgBcACIALABcACIAXAAiACwAXAAiAFwAIgAsAFwAIgBcACIALABcACIAXAAiACwAXAAiAFwAIgAsAFwAIgBcACIALABcACIAXAAiACwAXAAiAFwAIgAsAFwAIgBcACIALABcACIAXAAiACwAXAAiAFwAIgAsAFwAIgBcACIALABcACIAXAAiACwAXAAiAFwAIgAsAFwAIgBcACIAXABuACAAIAB9ACwAIAByACwAIABjACkAXABuACAAKQApACkAOwBcAG4AXABuAFwAbgBGAGUAcgB0AGkAbABpAHMAZQByAF8AUAByAG8AZAB1AGMAdABzAF8ARABhAHQAYQAyAFwAbgA9AEwAQQBNAEIARABBACgAXABuACAATQBBAEsARQBBAFIAUgBBAFkAKAAzADAALAAgADMAMQAsAFwAbgAgAEwAQQBNAEIARABBACgAcgAsAGMALABcAG4AIAAgAEkATgBEAEUAWAAoAHsAXABuAFwAIgBDAGEAbQBwAGIAZQBsAGwAcwAgAGYAZQByAHQAaQBsAGkAcwBlAHIAcwAgAEEAdQBzAHQAcgBhAGwAaQBhAFwAIgAsAFwAIgBFAG4AYwBhAGwAXAAiACwAXAAiAEwAXAAiACwAMQAuADUALABcACIAXAAiACwAXAAiAFwAIgAsAFwAIgBcACIALAA5ACwAXAAiAFwAIgAsAFwAIgBcACIALAAxADMALgA5ADQALABcACIAUwB1AGwAcABoAGEAdABlACAAbwBmACAAYQBtAG0AbwBuAGkAYQAgACgAUwBPAEEAKQBcACIALAAwAC4ANQA4ADAANgA0ADUALABcACIATQBhAGcAbgBlAHMAaQB1AG0AXAAiACwAMAAuADAAMQAyACwAXAAiAFwAIgAsAFwAIgBcACIALABcACIAXAAiACwAXAAiAFwAIgAsAFwAIgBcACIALABcACIAXAAiACwAXAAiAFwAIgAsAFwAIgBcACIALABcACIAXAAiACwAXAAiAFwAIgAsAFwAIgBcACIALABcACIAXAAiACwAXAAiAFwAIgAsAFwAIgBcACIALABcACIAXAAiACwAXAAiAFwAIgA7AFwAbgBcACIASQBuAGMAaQB0AGUAYwAgAFAAaQB2AG8AdAAgAEYAZQByAHQAaQBsAGkAcwBlAHIAcwBcACIALABcACIARwByAGEAbgB1AGwAbwBjAGsAIABTAFMAXAAiACwAXAAiAGsAZwBcACIALAAxACwAXAAiAFwAIgAsAFwAIgBcACIALABcACIAXAAiACwAMQAwACwAMQA3AC4ANQAsAFwAIgBcACIALAAxADIALABcACIAUABoAG8AcwBwAGgAbwByAHUAcwAgAC0AIABHAGUAbgBlAHIAaQBjAFwAIgAsADAALgAxADcANQAsAFwAIgBTAHUAbABmAHUAcgAgAC0AIABHAGUAbgBlAHIAaQBjAFwAIgAsADAALgAxADIALABcACIATgBpAHQAcgBvAGcAZQBuACAALQAgAEEAbQBtAG8AbgBpAGEAYwBhAGwAXAAiACwAMAAuADEALABcACIARgBsAHUAbwByAGkAZABlAFwAIgAsADAALgAwADMALABcACIAXAAiACwAXAAiAFwAIgAsAFwAIgBcACIALABcACIAXAAiACwAXAAiAFwAIgAsAFwAIgBcACIALABcACIAXAAiACwAXAAiAFwAIgAsAFwAIgBcACIALABcACIAXAAiACwAXAAiAFwAIgAsAFwAIgBcACIAOwBcAG4AXAAiAEkAbgBjAGkAdABlAGMAIABQAGkAdgBvAHQAIABGAGUAcgB0AGkAbABpAHMAZQByAHMAXAAiACwAXAAiAEcAcgBhAG4AdQBsAG8AYwBrACAAWgBcACIALABcACIAawBnAFwAIgAsADEALABcACIAXAAiACwAXAAiAFwAIgAsAFwAIgBcACIALAAxADEALAAyADEALgA4ACwAXAAiAFwAIgAsADQALABcACIAUABoAG8AcwBwAGgAbwByAHUAcwAgAC0AIABHAGUAbgBlAHIAaQBjAFwAIgAsADAALgAyADEAOAAsAFwAIgBOAGkAdAByAG8AZwBlAG4AIAAtACAARwBlAG4AZQByAGkAYwBcACIALAAwAC4AMQAxACwAXAAiAFMAdQBsAGYAdQByACAALQAgAEcAZQBuAGUAcgBpAGMAXAAiACwAMAAuADAANAAsAFwAIgBGAGwAdQBvAHIAaQBkAGUAXAAiACwAMAAuADAAMwAsAFwAIgBaAGkAbgBjAFwAIgAsADAALgAwADEALABcACIAXAAiACwAXAAiAFwAIgAsAFwAIgBcACIALABcACIAXAAiACwAXAAiAFwAIgAsAFwAIgBcACIALABcACIAXAAiACwAXAAiAFwAIgAsAFwAIgBcACIALABcACIAXAAiADsAXABuAFwAIgBJAG4AYwBpAHQAZQBjACAAUABpAHYAbwB0ACAARgBlAHIAdABpAGwAaQBzAGUAcgBzAFwAIgAsAFwAIgBGAGEAcgBtACAAQQBnACAATABlAGkAYwBoAGgAYQByAGQAdABcACIALABcACIAawBnAFwAIgAsADEALABcACIAXAAiACwAXAAiAFwAIgAsAFwAIgBcACIALAAzADIALgA1ACwANQAuADQALAA2AC4AMgA1ACwAXAAiAFwAIgAsAFwAIgBVAHIAZQBhAFwAIgAsADAALgA2ACwAXAAiAE4AaQB0AHIAbwBnAGUAbgAgAC0AIABBAG0AbQBvAG4AaQBhAGMAYQBsAFwAIgAsADAALgAwADQAOQAsAFwAIgBQAGgAbwBzAHAAaABvAHIAdQBzACAALQAgAEcAZQBuAGUAcgBpAGMAXAAiACwAMAAuADAANQA0ACwAXAAiAE0AdQByAGkAYQB0AGUAIABvAGYAIABwAG8AdABhAHMAaAAgACgATQBPAFAAKQBcACIALAAwAC4AMQAyADUALABcACIAXAAiACwAXAAiAFwAIgAsAFwAIgBcACIALABcACIAXAAiACwAXAAiAFwAIgAsAFwAIgBcACIALABcACIAXAAiACwAXAAiAFwAIgAsAFwAIgBcACIALABcACIAXAAiACwAXAAiAFwAIgAsAFwAIgBcACIAOwBcAG4AXAAiAFIAYQB2AGUAbgBzAGQAbwB3AG4AXAAiACwAXAAiAEYAbABlAHgAaQAtAE4AIABOAEIAUABUAFwAIgAsAFwAIgBrAGcAXAAiACwAMQAsAFwAIgBZAGUAcwBcACIALABcACIAXAAiACwAXAAiAFwAIgAsADQANQAuADUANAAsAFwAIgBcACIALABcACIAXAAiACwAXAAiAFwAIgAsAFwAIgBVAHIAZQBhAFwAIgAsADAALgA5ADkALABcACIAXAAiACwAXAAiAFwAIgAsAFwAIgBcACIALABcACIAXAAi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EcAbwBsAGQAIABQAHIAZQBtAGkAdQBtAFwAIgAsAFwAIgBrAGcAXAAiACwAMQAsAFwAIgBcACIALABcACIAXAAiACwAXAAiAFwAIgAsADEANAAuADgANwAsADIALgAyACwAMQA2AC4ANgAsADgALABcACIAQQBtAG0AbwBuAGkAdQBtACAAbgBpAHQAcgBhAHQAZQAgACgAQQBOACkAXAAiACwAMAAuADQANAAxADEANwA2ACwAXAAiAFAAbwB0AGEAcwBzAGkAdQBtACAALQAgAEcAZQBuAGUAcgBpAGMAXAAiACwAMAAuADEANgA2ACwAXAAiAFMAdQBsAGYAdQByACAALQAgAEcAZQBuAGUAcgBpAGMAXAAiACwAMAAuADAAOAAsAFwAIgBQAGgAbwBzAHAAaABvAHIAdQBzACAALQAgAEcAZQBuAGUAcgBpAGMAXAAiACwAMAAuADAAMgAyACwAXAAiAE0AYQBnAG4AZQBzAGkAdQBtAFwAIgAsADAALgAwADEAMgAsAFwAIgBCAG8AcgBvAG4AXAAiACwAMAAuADAAMAAwADIALABcACIAWgBpAG4AYwBcACIALAAwAC4AMAAwADAAMQAsAFwAIgBcACIALABcACIAXAAiACwAXAAiAFwAIgAsAFwAIgBcACIALABcACIAXAAiACwAXAAiAFwAIgA7AFwAbgBcACIAUwBMACAAVABlAGMAXAAiACwAXAAiAEgAaQBnAGgAIABOAFMAXAAiACwAXAAiAEwAXAAiACwAMQAuADIAOQA5ACwAXAAiAFwAIgAsAFwAIgBcACIALABcACIAXAAiACwAMwA4ACwAXAAiAFwAIgAsAFwAIgBcACIALAAyACwAXAAiAFUAcgBlAGEAXAAiACwAMAAuADQANgAwADgANwAsAFwAIgBOAGkAdAByAG8AZwBlAG4AIAAtACAAQQBtAG0AbwBuAGkAYQBjAGEAbABcACIALAAwAC4AMAA5ADIALABcACIATgBpAHQAcgBvAGcAZQBuACAALQAgAE4AaQB0AHIAYQB0AGUAXAAiACwAMAAuADAANwA2ACwAXAAiAFMAdQBsAGYAdQByACAALQAgAEcAZQBuAGUAcgBpAGMAXAAiACwAMAAuADAAMgAsAFwAIgBcACIALABcACIAXAAiACwAXAAiAFwAIgAsAFwAIgBcACIALABcACIAXAAiACwAXAAiAFwAIgAsAFwAIgBcACIALABcACIAXAAiACwAXAAiAFwAIgAsAFwAIgBcACIALABcACIAXAAiACwAXAAiAFwAIgA7AFwAbgBcACIASQBtAHAAYQBjAHQAIABGAGUAcgB0AGkAbABpAHMAZQByAHMAXAAiACwAXAAiAEkAbQBwAGEAYwB0ACAAUwBTAFAAXAAiACwAXAAiAGsAZwBcACIALAAxACwAXAAiAFwAIgAsAFwAIgBcACIALABcACIAXAAiACwAXAAiAFwAIgAsADgALgA4ACwAXAAiAFwAIgAsADEAMQAsAFwAIgBTAGkAbgBnAGwAZQAgAHMAdQBwAGUAcgBwAGgAbwBzAHAAaABhAHQAZQAgACgAUwBTAFAAKQBcACIALAAxACwAXAAiAFwAIgAsAFwAIgBcACIALABcACIAXAAiACwAXAAiAFwAIgAsAFwAIgBcACIALABcACIAXAAiACwAXAAiAFwAIgAsAFwAIgBcACIALABcACIAXAAiACwAXAAiAFwAIgAsAFwAIgBcACIALABcACIAXAAiACwAXAAiAFwAIgAsAFwAIgBcACIALABcACIAXAAiACwAXAAiAFwAIgAsAFwAIgBcACIALABcACIAXAAiADsAXABuAFwAIgBTAHcAaQB0AGMAaAAgAEEAZwBcACIALABcACIASQBuACAAQwByAG8AcABcACIALABcACIATABcACIALAAxAC4AMgAsAFwAIgBcACIALABcACIAXAAiACwAXAAiAFwAIgAsADEAMAAsADEALAAxADEALABcACIAXAAiACwAXAAiAFAAbwB0AGEAcwBzAGkAdQBtACAALQAgAEcAZQBuAGUAcgBpAGMAXAAiACwAMAAuADEAMQAsAFwAIgBOAGkAdAByAG8AZwBlAG4AIAAtACAARwBlAG4AZQByAGkAYwBcACIALAAwAC4AMQAsAFwAIgBQAGgAbwBzAHAAaABvAHIAdQBzACAALQAgAEcAZQBuAGUAcgBpAGMAXAAiACwAMAAuADAAMQAsAFwAIgBcACIALABcACIAXAAiACwAXAAiAFwAIgAsAFwAIgBcACIALABcACIAXAAiACwAXAAiAFwAIgAsAFwAIgBcACIALABcACIAXAAiACwAXAAiAFwAIgAsAFwAIgBcACIALABcACIAXAAiACwAXAAiAFwAIgAsAFwAIgBcACIALABcACIAXAAiADsAXABuAFwAIgBTAHcAaQB0AGMAaAAgAEEAZwBcACIALABcACIASwAyADAAXAAiACwAXAAiAEwAXAAiACwAMQAuADMALABcACIAXAAiACwAXAAiAFwAIgAsAFwAIgBcACIALAAzACwAXAAiAFwAIgAsADIAMgAsAFwAIgBcACIALABcACIAUABvAHQAYQBzAHMAaQB1AG0AIAAtACAARwBlAG4AZQByAGkAYwBcACIALAAwAC4AMgAyACwAXAAiAE4AaQB0AHIAbwBnAGUAbgAgAC0AIABHAGUAbgBlAHIAaQBjAFwAIgAsADAALgAwADMALABcACIAXAAiACwAXAAiAFwAIgAsAFwAIgBcACIALABcACIAXAAiACwAXAAiAFwAIgAsAFwAIgBcACIALABcACIAXAAiACwAXAAiAFwAIgAsAFwAIgBcACIALABcACIAXAAiACwAXAAiAFwAIgAsAFwAIgBcACIALABcACIAXAAiACwAXAAiAFwAIgAsAFwAIgBcACIALABcACIAXAAiADsAXABuAFwAIgBMAG8AdgBlAGwAYQBuAGQAIABBAGcAcgBpAHAAcgBvAGQAdQBjAHQAcwBcACIALABcACIATQBhAHgAaQBtAHUAbQAgAE4ALQBQAGEAYwB0AFwAIgAsAFwAIgBMAFwAIgAsADEALgAxADgANQAsAFwAIgBcACIALABcACIAXAAiACwAXAAiAFwAIgAsADIAMwAuADgALABcACIAXAAiACwAXAAiAFwAIgAsAFwAIgBcACIALABcACIAVQByAGUAYQBcACIALAAwAC4ANQAxADcAMwA5ADEALABcACIAXAAiACwAXAAiAFwAIgAsAFwAIgBcACIALABcACIAXAAiACwAXAAiAFwAIgAsAFwAIgBcACIALABcACIAXAAiACwAXAAiAFwAIgAsAFwAIgBcACIALABcACIAXAAiACwAXAAiAFwAIgAsAFwAIgBcACIALABcACIAXAAiACwAXAAiAFwAIgAsAFwAIgBcACIALABcACIAXAAiACwAXAAiAFwAIgAsAFwAIgBcACIAOwBcAG4AXAAiAFMATAAgAFQAZQBjAFwAIgAsAFwAIgBOAGkAdAByAG8AIABDAG8AbQBiAGkAIABUAEUAXAAiACwAXAAiAEwAXAAiACwAMQAuADIANQA1ACwAXAAiAFwAIgAsAFwAIgBcACIALABcACIAXAAiACwAXAAiAFwAIgAsAFwAIgBcACIALAAwAC4AMQAsADQALgA0ACwAXAAiAFMAdQBsAGYAdQByACAALQAgAEcAZQBuAGUAcgBpAGMAXAAiACwAMAAuADAANAA0ACwAXAAiAFoAaQBuAGMAXAAiACwAMAAuADAAMgAyACwAXAAiAEkAcgBvAG4AXAAiACwAMAAuADAAMgAyACwAXAAiAE0AYQBuAGcAYQBuAGUAcwBlAFwAIgAsADAALgAwADEANgAsAFwAIgBCAG8AcgBvAG4AXAAiACwAMAAuADAAMAA4ACwAXAAiAE0AYQBnAG4AZQBzAGkAdQBtAFwAIgAsADAALgAwADAANwAsAFwAIgBGAHUAbAB2AGkAYwAgAGEAYwBpAGQAIAAoAG8AcgBnAGEAbgBpAGMAKQBcACIALAAwAC4AMAAwADUALABcACIAQwBvAHAAcABlAHIAXAAiACwAMAAuADAAMAAzACwAXAAiAFAAbwB0AGEAcwBzAGkAdQBtACAALQAgAEcAZQBuAGUAcgBpAGMAXAAiACwAMAAuADAAMAAxACwAXAAiAE0AbwBsAHkAYgBkAGUAbgB1AG0AXAAiACwAMAAuADAAMAAwADMAOwBcAG4AXAAiAFMAdwBpAHQAYwBoACAAQQBnAFwAIgAsAFwAIgBQAGEAcwB0AHUAcgBlAE0AQQBYAFgAXAAiACwAXAAiAEwAXAAiACwAMQAuADIAMwAsAFwAIgBcACIALABcACIAXAAiACwAXAAiAFwAIgAsADkALgA3ADEALABcACIAXAAiACwAMwAuADIANQAsADIALgAxADEALABcACIATgBpAHQAcgBvAGcAZQBuACAALQAgAEcAZQBuAGUAcgBpAGMAXAAiACwAMAAuADAAOQA3ADEALABcACIAUABvAHQAYQBzAHMAaQB1AG0AIAAtACAARwBlAG4AZQByAGkAYwBcACIALAAwAC4AMAAzADIANQAsAFwAIgBTAHUAbABmAHUAcgAgAC0AIABHAGUAbgBlAHIAaQBjAFwAIgAsADAALgAwADIAMQAxACwAXAAiAFoAaQBuAGMAXAAiACwAMAAuADAAMQA1ACwAXAAiAEkAcgBvAG4AXAAiACwAMAAuADAAMQAxADEALABcACIATQBhAG4AZwBhAG4AZQBzAGUAXAAiACwAMAAuADAAMQAxADUALABcACIATQBhAGcAbgBlAHMAaQB1AG0AXAAiACwAMAAuADAAMAA0ADUALABcACIAQgBvAHIAbwBuAFwAIgAsADAALgAwADAAMgAsAFwAIgBcACIALABcACIAXAAiACwAXAAiAFwAIgAsAFwAIgBcACIAOwBcAG4AXAAiAEMAYQBtAHAAYgBlAGwAbABzACAAZgBlAHIAdABpAGwAaQBzAGUAcgBzACAAQQB1AHMAdAByAGEAbABpAGEAXAAiACwAXAAiAFAAbABhAHQAaQBuAHUAbQAgAE4AZQByAGcAZQB0AGkAYwBcACIALABcACIAawBnAFwAIgAsADEALABcACIAXAAiACwAXAAiAFwAIgAsAFwAIgBcACIALAAxADAALAAxADAALgA5ACwAMQAwACwANAAuADMANAAsAFwAIgBNAG8AbgBvAGEAbQBtAG8AbgBpAHUAbQAgAHAAaABvAHMAcABoAGEAdABlACAAKABNAEEAUAApAFwAIgAsADAALgA0ADEANwA4ACwAXAAiAEEAbQBtAG8AbgBpAHUAbQAgAG4AaQB0AHIAYQB0AGUAIAAoAEEATgApAFwAIgAsADAALgAxADcAMgA4ACwAXAAiAFAAbwB0AGEAcwBzAGkAdQBtACAAcwB1AGwAcABoAGEAdABlAFwAIgAsADAALgAyADQAMAA5ADYANAAsAFwAIgBEAG8AdQBiAGwAZQAgAHMAdQBwAGUAcgBwAGgAbwBzAHAAaABhAHQAZQBcACIALAAwAC4AMQAsAFwAIgBNAGEAZwBuAGUAcwBpAHUAbQBcACIALAAwAC4AMAAxADIALABcACIAWgBpAG4AYwBcACIALAAwAC4AMAAwADMANgAsAFwAIgBCAG8AcgBvAG4AXAAiACwAMAAuADAAMAAxACwAXAAiAEcAbABhAHoAZQAgAEUAeAB0AGUAbgBkACAARwAzACAARgBsAGUAeABpAFwAIgAsADAALgAwADUAMQA5ACwAXAAiAFwAIgAsAFwAIgBcACIALABcACIAXAAiACwAXAAiAFwAIgA7AFwAbgBcACIASQBtAHAAYQBjAHQAIABGAGUAcgB0AGkAbABpAHMAZQByAHMAXAAiACwAXAAiAFMAdQBsAHAAaABhAHQAZQAgAG8AZgAgAGEAbQBtAG8AbgBpAGEAIAAoAFMATwBBACkAXAAiACwAXAAiAGsAZwBcACIALAAxACwAXAAiAFwAIgAsAFwAIgBcACIALABcACIAXAAiACwAMgAxACwAXAAiAFwAIgAsAFwAIgBcACIALAAyADQALABcACIAUwB1AGwAcABoAGEAdABlACAAbwBmACAAYQBtAG0AbwBuAGkAYQAgACgAUwBPAEEAKQBcACIALAAxACwAXAAiAFwAIgAsAFwAIgBcACIALABcACIAXAAiACwAXAAiAFwAIgAsAFwAIgBcACIALABcACIAXAAiACwAXAAiAFwAIgAsAFwAIgBcACIALABcACIAXAAiACwAXAAiAFwAIgAsAFwAIgBcACIALABcACIAXAAiACwAXAAiAFwAIgAsAFwAIgBcACIALABcACIAXAAiACwAXAAiAFwAIgAsAFwAIgBcACIALABcACIAXAAiADsAXABuAFwAIgBJAG0AcABhAGMAdAAgAEYAZQByAHQAaQBsAGkAcwBlAHIAcwBcACIALABcACIATQBvAG4AbwAtAEEAbQBtAG8AbgBpAHUAbQAgAFAAaABvAHMAcABoAGEAdABlACAAKABNAEEAUAApAFwAIgAsAFwAIgBrAGcAXAAiACwAMQAsAFwAIgBcACIALABcACIAXAAiACwAXAAiAFwAIgAsADEAMAAsADIAMQAuADkALABcACIAXAAiACwAMQAuADUALABcACIATQBvAG4AbwBhAG0AbQBvAG4AaQB1AG0AIABwAGgAbwBzAHAAaABhAHQAZQAgACgATQBBAFAAKQBcACIALAAxACwAXAAiAFwAIgAsAFwAIgBcACIALABcACIAXAAiACwAXAAiAFwAIgAsAFwAIgBcACIALABcACIAXAAiACwAXAAiAFwAIgAsAFwAIgBcACIALABcACIAXAAiACwAXAAiAFwAIgAsAFwAIgBcACIALABcACIAXAAiACwAXAAiAFwAIgAsAFwAIgBcACIALABcACIAXAAiACwAXAAiAFwAIgAsAFwAIgBcACIALABcACIAXAAiADsAXABuAFwAIgBJAG0AcABhAGMAdAAgAEYAZQByAHQAaQBsAGkAcwBlAHIAcwBcACIALABcACIAVQByAGUAYQBcACIALABcACIAawBnAFwAIgAsADEALABcACIAXAAiACwAXAAiAFwAIgAsAFwAIgBcACIALAA0ADYALABcACIAXAAiACwAXAAiAFwAIgAsAFwAIgBcACIALABcACIAVQByAGUAYQBcACIALAAxACwAXAAiAFwAIgAsAFwAIgBcACIALABcACIAXAAiACwAXAAiAFwAIgAsAFwAIgBcACIALABcACIAXAAiACwAXAAiAFwAIgAsAFwAIgBcACIALABcACIAXAAiACwAXAAiAFwAIgAsAFwAIgBcACIALABcACIAXAAiACwAXAAiAFwAIgAsAFwAIgBcACIALABcACIAXAAiACwAXAAiAFwAIgAsAFwAIgBcACIALABcACIAXAAiADsAXABuAFwAIgBLAG8AYwBoACAARgBlAHIAdABpAGwAaQBzAGUAcgAgAEEAdQBzAHQAcgBhAGwAaQBhAFwAIgAsAFwAIgBNAHUAcgBpAGEAdABlACAAbwBmACAAcABvAHQAYQBzAGgAIAAoAE0ATwBQACkAXAAiACwAXAAiAGsAZwBcACIALAAxACwAXAAiAFwAIgAsAFwAIgBcACIALABcACIAXAAiACwAXAAiAFwAIgAsAFwAIgBcACIALAA1ADAALABcACIAXAAiACwAXAAiAE0AdQByAGkAYQB0AGUAIABvAGYAIABwAG8AdABhAHMAaAAgACgATQBPAFAAKQBcACIALAAxACwAXAAiAFwAIgAsAFwAIgBcACIALABcACIAXAAiACwAXAAiAFwAIgAsAFwAIgBcACIALABcACIAXAAiACwAXAAiAFwAIgAsAFwAIgBcACIALABcACIAXAAiACwAXAAiAFwAIgAsAFwAIgBcACIALABcACIAXAAiACwAXAAiAFwAIgAsAFwAIgBcACIALABcACIAXAAiACwAXAAiAFwAIgAsAFwAIgBcACIALABcACIAXAAiADsAXABuAFwAIgBSAGkAcwBzAG8ALQBDAGgAZQBtAGkAYwBhAGwAXAAiACwAXAAiAFUAcgBlAGEAIABBAG0AbQBvAG4AaQB1AG0AIABuAGkAdAByAGEAdABlACAAKABVAEEATgAgADMAMgAtADAALQAwACkAXAAiACwAXAAiAEwAXAAiACwAMQAuADMAMgAsAFwAIgBcACIALABcACIAQwBoAGkAbgBhAFwAIgAsAFwAIgBDAGgAaQBuAGEAXAAiACwAMwAyACwAXAAiAFwAIgAsAFwAIgBcACIALABcACIAXAAiACwAXAAiAFUAcgBlAGEALQBhAG0AbQBvAG4AaQB1AG0AIABuAGkAdAByAGEAdABlACAAKABVAEEATgApAFwAIgAsADEALABcACIAXAAiACwAXAAiAFwAIgAsAFwAIgBcACIALABcACIAXAAiACwAXAAiAFwAIgAsAFwAIgBcACIALABcACIAXAAiACwAXAAiAFwAIgAsAFwAIgBcACIALABcACIAXAAiACwAXAAiAFwAIgAsAFwAIgBcACIALABcACIAXAAiACwAXAAiAFwAIgAsAFwAIgBcACIALABcACIAXAAiACwAXAAiAFwAIgAsAFwAIgBcACIAOwBcAG4AXAAiAFIAaQBzAHMAbwAtAEMAaABlAG0AaQBjAGEAbABcACIALABcACIAUABvAGwAeQBwAGUAcAB0AGkAZABlACAAVQByAGUAYQBcACIALABcACIAawBnAFwAIgAsADEALABcACIAXAAiACwAXAAiAEMAaABpAG4AYQBcACIALABcACIAXAAiACwANAA2ACwAXAAiAFwAIgAsAFwAIgBcACIALABcACIAXAAiACwAXAAiAFUAcgBlAGEAXAAiACwAMQAsAFwAIgBQAG8AbAB5AHAAZQBwAHQAaQBkAGUAIAAoAGEAbQBpAG4AbwAgAGEAYwBpAGQAcwApAFwAIgAsADAALABcACIAXAAiACwAXAAiAFwAIgAsAFwAIgBcACIALABcACIAXAAiACwAXAAiAFwAIgAsAFwAIgBcACIALABcACIAXAAiACwAXAAiAFwAIgAsAFwAIgBcACIALABcACIAXAAiACwAXAAiAFwAIgAsAFwAIgBcACIALABcACIAXAAiACwAXAAiAFwAIgAsAFwAIgBcACIALABcACIAXAAiADsAXABuAFwAIgBZAGEAcgBhACAAQQB1AHMAdAByAGEAbABpAGEAXAAiACwAXAAiAFkAYQByAGEAVABlAHIAYQAgAEMAQQBMAEMASQBOAEkAVABcACIALABcACIAawBnAFwAIgAsADEALABcACIAXAAiACwAXAAiAFwAIgAsAFwAIgBcACIALAAxADUALgA1ACwAXAAiAFwAIgAsAFwAIgBcACIALABcACIAXAAiACwAXAAiAEMAYQBsAGMAaQB1AG0AIABuAGkAdAByAGEAdABlAFwAIgAsADEALABcACIAXAAiACwAXAAiAFwAIgAsAFwAIgBcACIALABcACIAXAAiACwAXAAiAFwAIgAsAFwAIgBcACIALABcACIAXAAiACwAXAAiAFwAIgAsAFwAIgBcACIALABcACIAXAAiACwAXAAiAFwAIgAsAFwAIgBcACIALABcACIAXAAiACwAXAAiAFwAIgAsAFwAIgBcACIALABcACIAXAAiACwAXAAiAFwAIgAsAFwAIgBcACIAOwBcAG4AXAAiAFkAYQByAGEAIABBAHUAcwB0AHIAYQBsAGkAYQBcACIALABcACIAWQBhAHIAYQBMAGkAdgBhACAATgBJAFQAUgBBAEIATwBSAFwAIgAsAFwAIgBrAGcAXAAiACwAMQAsAFwAIgBcACIALABcACIAXAAiACwAXAAiAFwAIgAsADEANQAuADQALABcACIAXAAiACwAXAAiAFwAIgAsAFwAIgBcACIALABcACIAQwBhAGwAYwBpAHUAbQAgAG4AaQB0AHIAYQB0AGUAXAAiACwAMAAuADkAOQAzADUANAA4ACwAXAAiAEIAbwByAG8AbgBcACIALAAwAC4AMAAwADMALABcACIAXAAiACwAXAAiAFwAIgAsAFwAIgBcACIALABcACIAXAAiACwAXAAiAFwAIgAsAFwAIgBcACIALABcACIAXAAiACwAXAAiAFwAIgAsAFwAIgBcACIALABcACIAXAAiACwAXAAiAFwAIgAsAFwAIgBcACIALABcACIAXAAiACwAXAAiAFwAIgAsAFwAIgBcACIALABcACIAXAAiADsAXABuAFwAIgBZAGEAcgBhACAAQQB1AHMAdAByAGEAbABpAGEAXAAiACwAXAAiAFkAYQByAGEATQBpAGwAYQAgAEMATwBNAFAATABFAFgAXAAiACwAXAAiAGsAZwBcACIALAAxACwAXAAiAFwAIgAsAFwAIgBcACIALABcACIAXAAiACwAMQAyACwANQAsADEANQAsADgALABcACIATgBpAHQAcgBvAGcAZQBuACAALQAgAE4AaQB0AHIAYQB0AGUAXAAiACwAMAAuADAANQAsAFwAIgBOAGkAdAByAG8AZwBlAG4AIAAtACAAQQBtAG0AbwBuAGkAYQBjAGEAbABcACIALAAwAC4AMAA3ACwAXAAiAFAAaABvAHMAcABoAG8AcgB1AHMAIAAtACAARwBlAG4AZQByAGkAYwBcACIALAAwAC4AMAA1ACwAXAAiAFAAbwB0AGEAcwBzAGkAdQBtACAALQAgAEcAZQBuAGUAcgBpAGMAXAAiACwAMAAuADEANQAsAFwAIgBTAHUAbABmAHUAcgAgAC0AIABHAGUAbgBlAHIAaQBjAFwAIgAsADAALgAwADgALABcACIATQBhAGcAbgBlAHMAaQB1AG0AXAAiACwAMAAuADAAMQA2ACwAXAAiAFoAaQBuAGMAXAAiACwAMAAuADAAMAAwADIALABcACIAQgBvAHIAbwBuAFwAIgAsADAALgAwADAAMAAxADUALABcACIAXAAiACwAXAAiAFwAIgAsAFwAIgBcACIALABcACIAXAAiADsAXABuAFwAIgBZAGEAcgBhACAAQQB1AHMAdAByAGEAbABpAGEAXAAiACwAXAAiAFkAYQByAGEAUgBlAGcAYQAgADkALQAwAC0AMwAwACAAKAAxADQAKQBcACIALABcACIAawBnAFwAIgAsADEALABcACIAXAAiACwAXAAiAFwAIgAsAFwAIgBcACIALAA5ACwAXAAiAFwAIgAsADMAMAAsADEANAAsAFwAIgBQAG8AdABhAHMAcwBpAHUAbQAgAC0AIABHAGUAbgBlAHIAaQBjAFwAIgAsADAALgAzACwAXAAiAFMAdQBsAGYAdQByACAALQAgAEcAZQBuAGUAcgBpAGMAXAAiACwAMAAuADEANAAsAFwAIgBOAGkAdAByAG8AZwBlAG4AIAAtACAATgBpAHQAcgBhAHQAZQBcACIALAAwAC4AMAA0ADUALABcACIATgBpAHQAcgBvAGcAZQBuACAALQAgAEEAbQBtAG8AbgBpAGEAYwBhAGwAXAAiACwAMAAuADAANAA1ACwAXAAiAFwAIgAsAFwAIgBcACIALABcACIAXAAiACwAXAAiAFwAIgAsAFwAIgBcACIALABcACIAXAAiACwAXAAiAFwAIgAsAFwAIgBcACIALABcACIAXAAiACwAXAAiAFwAIgAsAFwAIgBcACIALABcACIAXAAiADsAXABuAFwAIgBZAGEAcgBhACAAQQB1AHMAdAByAGEAbABpAGEAXAAiACwAXAAiAFkAYQByAGEAUgBlAGcAYQAgADEAMwAtADIALQAyADEAXAAiACwAXAAiAGsAZwBcACIALAAxACwAXAAiAFwAIgAsAFwAIgBcACIALABcACIAXAAiACwAMQAzACwAMQAuADcANQAsADIAMQAsADEAMAAuADgALABcACIAUABvAHQAYQBzAHMAaQB1AG0AIAAtACAARwBlAG4AZQByAGkAYwBcACIALAAwAC4AMgAxACwAXAAiAFMAdQBsAGYAdQByACAALQAgAEcAZQBuAGUAcgBpAGMAXAAiACwAMAAuADEAMAA4ACwAXAAiAE4AaQB0AHIAbwBnAGUAbgAgAC0AIABBAG0AbQBvAG4AaQBhAGMAYQBsAFwAIgAsADAALgAwADcANwAsAFwAIgBOAGkAdAByAG8AZwBlAG4AIAAtACAATgBpAHQAcgBhAHQAZQBcACIALAAwAC4AMAA1ADMALABcACIAUABoAG8AcwBwAGgAbwByAHUAcwAgAC0AIABHAGUAbgBlAHIAaQBjAFwAIgAsADAALgAwADEANwA1ACwAXAAiAE0AYQBnAG4AZQBzAGkAdQBtAFwAIgAsADAALgAwADAANAAsAFwAIgBaAGkAbgBjAFwAIgAsADAALgAwADAAMAA4ACwAXAAiAEIAbwByAG8AbgBcACIALAAwAC4AMAAwADAAOAAsAFwAIgBcACIALABcACIAXAAiACwAXAAiAFwAIgAsAFwAIgBcACIAOwBcAG4AXAAiAFkAYQByAGEAIABBAHUAcwB0AHIAYQBsAGkAYQBcACIALABcACIAWQBhAHIAYQBSAGUAZwBhACAAMQA1AC0ANwAtADEAMwAgACgANwBTACkAXAAiACwAXAAiAGsAZwBcACIALAAxACwAXAAiAFwAIgAsAFwAIgBcACIALABcACIAXAAiACwAMQA1ACwANgAuADUALAAxADIALgA1ACwANwAuADIALABcACIATgBpAHQAcgBvAGcAZQBuACAALQAgAE4AaQB0AHIAYQB0AGUAXAAiACwAMAAuADAAOQA1ACwAXAAiAFAAbwB0AGEAcwBzAGkAdQBtACAALQAgAEcAZQBuAGUAcgBpAGMAXAAiACwAMAAuADEAMgA1ACwAXAAiAFMAdQBsAGYAdQByACAALQAgAEcAZQBuAGUAcgBpAGMAXAAiACwAMAAuADAANwAyACwAXAAiAFAAaABvAHMAcABoAG8AcgB1AHMAIAAtACAARwBlAG4AZQByAGkAYwBcACIALAAwAC4AMAA2ADUALABcACIATgBpAHQAcgBvAGcAZQBuACAALQAgAEEAbQBtAG8AbgBpAGEAYwBhAGwAXAAiACwAMAAuADAANQA1ACwAXAAiAE0AYQBnAG4AZQBzAGkAdQBtAFwAIgAsADAALgAwADAANgA2ACwAXAAiAEIAbwByAG8AbgBcACIALAAwAC4AMAAwADEALABcACIAWgBpAG4AYwBcACIALAAwAC4AMAAwADAANgAsAFwAIgBcACIALABcACIAXAAiACwAXAAiAFwAIgAsAFwAIgBcACIAOwBcAG4AXAAiAFkAYQByAGEAIABBAHUAcwB0AHIAYQBsAGkAYQBcACIALABcACIAWQBhAHIAYQBUAGUAcgBhACAAQwBBAEwAQwBJAE4ASQBUACAAQgBcACIALABcACIAawBnAFwAIgAsADEALABcACIAXAAiACwAXAAiAFwAIgAsAFwAIgBcACIALAAxADUALgA1ACwAXAAiAFwAIgAsAFwAIgBcACIALABcACIAXAAiACwAXAAiAEMAYQBsAGMAaQB1AG0AIABuAGkAdAByAGEAdABlAFwAIgAsADEALABcACIAQgBvAHIAbwBuAFwAIgAsADAALgAwADAAMQAsAFwAIgBcACIALABcACIAXAAiACwAXAAiAFwAIgAsAFwAIgBcACIALABcACIAXAAiACwAXAAiAFwAIgAsAFwAIgBcACIALABcACIAXAAiACwAXAAiAFwAIgAsAFwAIgBcACIALABcACIAXAAiACwAXAAiAFwAIgAsAFwAIgBcACIALABcACIAXAAiACwAXAAiAFwAIgAsAFwAIgBcACIAOwBcAG4AXAAiAFkAYQByAGEAIABBAHUAcwB0AHIAYQBsAGkAYQBcACIALABcACIAWQBhAHIAYQBUAGUAcgBhACAASwBSAEkAUwBUAEEAIABNAEEAUABcACIALABcACIAawBnAFwAIgAsADEALABcACIAXAAiACwAXAAiAFwAIgAsAFwAIgBcACIALAAxADAALAAyADEALgA5ACwAXAAiAFwAIgAsAFwAIgBcACIALABcACIATQBvAG4AbwBhAG0AbQBvAG4AaQB1AG0AIABwAGgAbwBzAHAAaABhAHQAZQAgACgATQBBAFAAKQBcACIALAAxACwAXAAiAFwAIgAsAFwAIgBcACIALABcACIAXAAiACwAXAAiAFwAIgAsAFwAIgBcACIALABcACIAXAAiACwAXAAiAFwAIgAsAFwAIgBcACIALABcACIAXAAiACwAXAAiAFwAIgAsAFwAIgBcACIALABcACIAXAAiACwAXAAiAFwAIgAsAFwAIgBcACIALABcACIAXAAiACwAXAAiAFwAIgAsAFwAIgBcACIALABcACIAXAAiADsAXABuAFwAIgBZAGEAcgBhACAAQQB1AHMAdAByAGEAbABpAGEAXAAiACwAXAAiAFkAYQByAGEAVABlAHIAYQAgAEsAUgBJAFMAVABBAEwATwBOACAAUgBFAEQAXAAiACwAXAAiAGsAZwBcACIALAAxACwAXAAiAFwAIgAsAFwAIgBcACIALABcACIAXAAiACwAMQAyACwANQAuADIALAAyADkALgA5ACwAMQAsAFwAIgBQAG8AdABhAHMAcwBpAHUAbQAgAC0AIABHAGUAbgBlAHIAaQBjAFwAIgAsADAALgAyADkAOQAsAFwAIgBOAGkAdAByAG8AZwBlAG4AIAAtACAATgBpAHQAcgBhAHQAZQBcACIALAAwAC4AMQAwADEALABcACIAUABoAG8AcwBwAGgAbwByAHUAcwAgAC0AIABHAGUAbgBlAHIAaQBjAFwAIgAsADAALgAwADUAMgAsAFwAIgBOAGkAdAByAG8AZwBlAG4AIAAtACAAQQBtAG0AbwBuAGkAYQBjAGEAbABcACIALAAwAC4AMAAxADkALABcACIAUwB1AGwAZgB1AHIAIAAtACAARwBlAG4AZQByAGkAYwBcACIALAAwAC4AMAAxACwAXAAiAE0AYQBnAG4AZQBzAGkAdQBtAFwAIgAsADAALgAwADAANgAsAFwAIgBJAHIAbwBuAFwAIgAsADAALgAwADAAMAA3ACwAXAAiAE0AYQBuAGcAYQBuAGUAcwBlAFwAIgAsADAALgAwADAAMAA0ACwAXAAiAFoAaQBuAGMAXAAiACwAMAAuADAAMAAwADIANQAsAFwAIgBCAG8AcgBvAG4AXAAiACwAMAAuADAAMAAwADIANQA7AFwAbgBcACIAWQBhAHIAYQAgAEEAdQBzAHQAcgBhAGwAaQBhAFwAIgAsAFwAIgBZAGEAcgBhAFQAZQByAGEAIABLAFIASQBTAFQAQQBMAE8ATgAgAFMAUABFAEMASQBBAEwAXAAiACwAXAAiAGsAZwBcACIALAAxACwAXAAiAFwAIgAsAFwAIgBcACIALABcACIAXAAiACwAMQA4ACwANwAuADkALAAxADQALgA5ACwAMgAsAFwAIgBQAG8AdABhAHMAcwBpAHUAbQAgAC0AIABHAGUAbgBlAHIAaQBjAFwAIgAsADAALgAxADQAOQAsAFwAIgBVAHIAZQBhAFwAIgAsADAALgAyADEAMwAwADQAMwAsAFwAIgBQAGgAbwBzAHAAaABvAHIAdQBzACAALQAgAEcAZQBuAGUAcgBpAGMAXAAiACwAMAAuADAANwA5ACwAXAAiAE4AaQB0AHIAbwBnAGUAbgAgAC0AIABOAGkAdAByAGEAdABlAFwAIgAsADAALgAwADQAOQAsAFwAIgBOAGkAdAByAG8AZwBlAG4AIAAtACAAQQBtAG0AbwBuAGkAYQBjAGEAbABcACIALAAwAC4AMAAzADMALABcACIAUwB1AGwAZgB1AHIAIAAtACAARwBlAG4AZQByAGkAYwBcACIALAAwAC4AMAAyACwAXAAiAE0AYQBnAG4AZQBzAGkAdQBtAFwAIgAsADAALgAwADEAOAAsAFwAIgBJAHIAbwBuAFwAIgAsADAALgAwADAAMAA3ACwAXAAiAE0AYQBuAGcAYQBuAGUAcwBlAFwAIgAsADAALgAwADAAMAA0ACwAXAAiAFoAaQBuAGMAXAAiACwAMAAuADAAMAAwADIANQBcAG4AIAAgAH0ALAAgAHIALAAgAGMAKQBcAG4AIAApACkAKQA7AFwAbgBcAG4AXABuAEYAZQByAHQAaQBsAGkAcwBlAHIAXwBQAHIAbwBkAHUAYwB0AHMAXwBEAGEAdABhADMAXABuAD0ATABBAE0AQgBEAEEAKABcAG4AIABNAEEASwBFAEEAUgBSAEEAWQAoADMAMAAsACAAMwAxACwAXABuACAATABBAE0AQgBEAEEAKAByACwAYwAsAFwAbgAgACAASQBOAEQARQBYACgAewBcAG4AXAAiAFkAYQByAGEAIABBAHUAcwB0AHIAYQBsAGkAYQBcACIALABcACIAWQBhAHIAYQBNAGkAbABhACAAMgAxAC0ANwAtADMAKAA0ACkAXAAiACwAXAAiAGsAZwBcACIALAAxACwAXAAiAFwAIgAsAFwAIgBcACIALABcACIAXAAiACwAMgAxACwANwAuADQALAAyAC4ANQAsADQALABcACIATgBpAHQAcgBvAGcAZQBuACAALQAgAE4AaQB0AHIAYQB0AGUAXAAiACwAMAAuADEAMAA1ACwAXAAiAE4AaQB0AHIAbwBnAGUAbgAgAC0AIABBAG0AbQBvAG4AaQBhAGMAYQBsAFwAIgAsADAALgAxADAANQAsAFwAIgBQAGgAbwBzAHAAaABvAHIAdQBzACAALQAgAEcAZQBuAGUAcgBpAGMAXAAiACwAMAAuADAANwA0ACwAXAAiAFMAdQBsAGYAdQByACAALQAgAEcAZQBuAGUAcgBpAGMAXAAiACwAMAAuADAANAAsAFwAIgBQAG8AdABhAHMAcwBpAHUAbQAgAC0AIABHAGUAbgBlAHIAaQBjAFwAIgAsADAALgAwADIANQAsAFwAIgBNAGEAZwBuAGUAcwBpAHUAbQBcACIALAAwAC4AMAAwADQALABcACIAWgBpAG4AYwBcACIALAAwAC4AMAAwADEANQAsAFwAIgBcACIALABcACIAXAAiACwAXAAiAFwAIgAsAFwAIgBcACIALABcACIAXAAiACwAXAAiAFwAIgA7AFwAbgBcACIAWQBhAHIAYQAgAEEAdQBzAHQAcgBhAGwAaQBhAFwAIgAsAFwAIgBZAGEAcgBhAFQAZQByAGEAIABLAFIASQBTAFQAQQBMAE8ATgAgAFMAQwBBAFIATABFAFQAXAAiACwAXAAiAGsAZwBcACIALAAxACwAXAAiAFwAIgAsAFwAIgBcACIALABcACIAXAAiACwANwAuADUALABcACIAXAAiACwAMgA5AC4AOQAsADQALABcACIAUABvAHQAYQBzAHMAaQB1AG0AIAAtACAARwBlAG4AZQByAGkAYwBcACIALAAwAC4AMgA5ADkALABcACIATgBpAHQAcgBvAGcAZQBuACAALQAgAE4AaQB0AHIAYQB0AGUAXAAiACwAMAAuADAANQAyACwAXAAiAFMAdQBsAGYAdQByACAALQAgAEcAZQBuAGUAcgBpAGMAXAAiACwAMAAuADAANAAsAFwAIgBNAGEAZwBuAGUAcwBpAHUAbQBcACIALAAwAC4AMAAyADcALABcACIATgBpAHQAcgBvAGcAZQBuACAALQAgAEEAbQBtAG8AbgBpAGEAYwBhAGwAXAAiACwAMAAuADAAMgAzACwAXAAiAFwAIgAsAFwAIgBcACIALABcACIAXAAiACwAXAAiAFwAIgAsAFwAIgBcACIALABcACIAXAAiACwAXAAiAFwAIgAsAFwAIgBcACIALABcACIAXAAiACwAXAAiAFwAIgA7AFwAbgBcACIAQwBhAG0AcABiAGUAbABsAHMAIABmAGUAcgB0AGkAbABpAHMAZQByAHMAIABBAHUAcwB0AHIAYQBsAGkAYQBcACIALABcACIAUwBvAGwAdQAtAE0AQQBQAFwAIgAsAFwAIgBrAGcAXAAiACwAMQAsAFwAIgBcACIALABcACIAXAAiACwAXAAiAFwAIgAsADEAMAAsADIAMQAuADkALABcACIAXAAiACwAXAAiAFwAIgAsAFwAIgBNAG8AbgBvAGEAbQBtAG8AbgBpAHUAbQAgAHAAaABvAHMAcABoAGEAdABlACAAKABNAEEAUAApAFwAIgAsADEALABcACIAXAAiACwAXAAiAFwAIgAsAFwAIgBcACIALABcACIAXAAi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FMAbwBsAHUALQBTAGEAbQBcACIALABcACIAawBnAFwAIgAsADEALABcACIAXAAiACwAXAAiAFwAIgAsAFwAIgBcACIALAAyADEALABcACIAXAAiACwAXAAiAFwAIgAsADIANAAsAFwAIgBTAHUAbABwAGgAYQB0AGUAIABvAGYAIABhAG0AbQBvAG4AaQBhACAAKABTAE8AQQApAFwAIgAsADEALABcACIAXAAiACwAXAAiAFwAIgAsAFwAIgBcACIALABcACIAXAAiACwAXAAiAFwAIgAsAFwAIgBcACIALABcACIAXAAiACwAXAAiAFwAIgAsAFwAIgBcACIALABcACIAXAAiACwAXAAiAFwAIgAsAFwAIgBcACIALABcACIAXAAiACwAXAAiAFwAIgAsAFwAIgBcACIALABcACIAXAAiACwAXAAiAFwAIgAsAFwAIgBcACIAOwBcAG4AXAAiAEMAYQBtAHAAYgBlAGwAbABzACAAZgBlAHIAdABpAGwAaQBzAGUAcgBzACAAQQB1AHMAdAByAGEAbABpAGEAXAAiACwAXAAiAFIAdQBzAHQAaQBjAGEAIABQAGwAdQBzAFwAIgAsAFwAIgBrAGcAXAAiACwAMQAsAFwAIgBcACIALABcACIAXAAiACwAXAAiAFwAIgAsADEAMgAsADUALAAxADQALAA5AC4ANwAsAFwAIgBQAG8AdABhAHMAcwBpAHUAbQAgAC0AIABHAGUAbgBlAHIAaQBjAFwAIgAsADAALgAxADQALABcACIAUwB1AGwAZgB1AHIAIAAtACAARwBlAG4AZQByAGkAYwBcACIALAAwAC4AMAA5ADcALABcACIATgBpAHQAcgBvAGcAZQBuACAALQAgAE4AaQB0AHIAYQB0AGUAXAAiACwAMAAuADAANgAsAFwAIgBOAGkAdAByAG8AZwBlAG4AIAAtACAAQQBtAG0AbwBuAGkAYQBjAGEAbABcACIALAAwAC4AMAA2ACwAXAAiAFAAaABvAHMAcABoAG8AcgB1AHMAIAAtACAARwBlAG4AZQByAGkAYwBcACIALAAwAC4AMAA1ACwAXAAiAEMAYQBsAGMAaQB1AG0AXAAiACwAMAAuADAAMwAxACwAXAAiAE0AYQBnAG4AZQBzAGkAdQBtAFwAIgAsADAALgAwADEAMgAsAFwAIgBaAGkAbgBjAFwAIgAsADAALgAwADAAMQAsAFwAIgBCAG8AcgBvAG4AXAAiACwAMAAuADAAMAAwADIALABcACIAXAAiACwAXAAiAFwAIgA7AFwAbgBcACIAQwBhAG0AcABiAGUAbABsAHMAIABmAGUAcgB0AGkAbABpAHMAZQByAHMAIABBAHUAcwB0AHIAYQBsAGkAYQBcACIALABcACIAUABsAGEAdABpAG4AdQBtACAAUABsAHUAcwBcACIALABcACIAawBnAFwAIgAsADEALABcACIAXAAiACwAXAAiAFwAIgAsAFwAIgBcACIALAAxADAALAAxADEALAAxADAALAA2ACwAXAAiAFAAaABvAHMAcABoAG8AcgB1AHMAIAAtACAARwBlAG4AZQByAGkAYwBcACIALAAwAC4AMQAxACwAXAAiAFAAbwB0AGEAcwBzAGkAdQBtACAALQAgAEcAZQBuAGUAcgBpAGMAXAAiACwAMAAuADEALABcACIAUwB1AGwAZgB1AHIAIAAtACAARwBlAG4AZQByAGkAYwBcACIALAAwAC4AMAA2ACwAXAAiAE4AaQB0AHIAbwBnAGUAbgAgAC0AIABOAGkAdAByAGEAdABlAFwAIgAsADAALgAwADUALABcACIATgBpAHQAcgBvAGcAZQBuACAALQAgAEEAbQBtAG8AbgBpAGEAYwBhAGwAXAAiACwAMAAuADAANQAsAFwAIgBDAGEAbABjAGkAdQBtAFwAIgAsADAALgAwADQAMwAsAFwAIgBNAGEAZwBuAGUAcwBpAHUAbQBcACIALAAwAC4AMAAxADIALABcACIAWgBpAG4AYwBcACIALAAwAC4AMAAwADMANgAsAFwAIgBCAG8AcgBvAG4AXAAiACwAMAAuADAAMAAxACwAXAAiAFwAIgAsAFwAIgBcACIAOwBcAG4AXAAiAEMAYQBtAHAAYgBlAGwAbABzACAAZgBlAHIAdABpAGwAaQBzAGUAcgBzACAAQQB1AHMAdAByAGEAbABpAGEAXAAiACwAXAAiAFQAcgBvAHAAaQBrAGEAXAAiACwAXAAiAGsAZwBcACIALAAxACwAXAAiAFwAIgAsAFwAIgBcACIALABcACIAXAAiACwAMQAxACwAMgAuADYALAAyADAALgA4ACwANAAsAFwAIgBOAGkAdAByAG8AZwBlAG4AIAAtACAATgBpAHQAcgBhAHQAZQBcACIALAAwAC4AMAA1ADUALABcACIATgBpAHQAcgBvAGcAZQBuACAALQAgAEEAbQBtAG8AbgBpAGEAYwBhAGwAXAAiACwAMAAuADAANQA1ACwAXAAiAFAAaABvAHMAcABoAG8AcgB1AHMAIAAtACAARwBlAG4AZQByAGkAYwBcACIALAAwAC4AMAAyADYALABcACIAUABvAHQAYQBzAHMAaQB1AG0AIAAtACAARwBlAG4AZQByAGkAYwBcACIALAAwAC4AMgAwADgALABcACIAUwB1AGwAZgB1AHIAIAAtACAARwBlAG4AZQByAGkAYwBcACIALAAwAC4AMAA0ACwAXAAiAE0AYQBnAG4AZQBzAGkAdQBtAFwAIgAsADAALgAwADIANAAsAFwAIgBcACIALABcACIAXAAiACwAXAAiAFwAIgAsAFwAIgBcACIALABcACIAXAAiACwAXAAiAFwAIgAsAFwAIgBcACIALABcACIAXAAiADsAXABuAFwAIgBDAGEAbQBwAGIAZQBsAGwAcwAgAGYAZQByAHQAaQBsAGkAcwBlAHIAcwAgAEEAdQBzAHQAcgBhAGwAaQBhAFwAIgAsAFwAIgBSAHUAcwB0AGkAYwBhACAATgBlAHIAZwBlAHQAaQBjAFwAIgAsAFwAIgBrAGcAXAAiACwAMQAsAFwAIgBcACIALABcACIAXAAiACwAXAAiAFwAIgAsADEAMgAsADUALgAyACwAMQA0AC4AMQAsADkALgA2ACwAXAAiAFAAbwB0AGEAcwBzAGkAdQBtACAALQAgAEcAZQBuAGUAcgBpAGMAXAAiACwAMAAuADEANAAxACwAXAAiAFMAdQBsAGYAdQByACAALQAgAEcAZQBuAGUAcgBpAGMAXAAiACwAMAAuADAAOQA2ACwAXAAiAE4AaQB0AHIAbwBnAGUAbgAgAC0AIABOAGkAdAByAGEAdABlAFwAIgAsADAALgAwADYALABcACIATgBpAHQAcgBvAGcAZQBuACAALQAgAEEAbQBtAG8AbgBpAGEAYwBhAGwAXAAiACwAMAAuADAANgAsAFwAIgBQAGgAbwBzAHAAaABvAHIAdQBzACAALQAgAEcAZQBuAGUAcgBpAGMAXAAiACwAMAAuADAANQAyACwAXAAiAE0AYQBnAG4AZQBzAGkAdQBtAFwAIgAsADAALgAwADEAMgAsAFwAIgBaAGkAbgBjAFwAIgAsADAALgAwADAAMAA4ACwAXAAiAEkAcgBvAG4AXAAiACwAMAAuADAAMAAwADcALABcACIATQBhAG4AZwBhAG4AZQBzAGUAXAAiACwAMAAuADAAMAAwADYALABcACIAQgBvAHIAbwBuAFwAIgAsADAALgAwADAAMAAyADsAXABuAFwAIgBDAGEAbQBwAGIAZQBsAGwAcwAgAGYAZQByAHQAaQBsAGkAcwBlAHIAcwAgAEEAdQBzAHQAcgBhAGwAaQBhAFwAIgAsAFwAIgBRAHUAaQBjAGsALQBOACAATgBlAHIAZwBlAHQAaQBjAFwAIgAsAFwAIgBrAGcAXAAiACwAMQAsAFwAIgBcACIALABcACIAXAAiACwAXAAiAFwAIgAsADIANQAsAFwAIgBcACIALABcACIAXAAiACwAMQAyAC4AOAAsAFwAIgBTAHUAbABwAGgAYQB0AGUAIABvAGYAIABhAG0AbQBvAG4AaQBhACAAKABTAE8AQQApAFwAIgAsADAALgA1ADMAMwAzADMAMwAsAFwAIgBBAG0AbQBvAG4AaQB1AG0AIABuAGkAdAByAGEAdABlACAAKABBAE4AKQBcACIALAAwAC4ANAAwADkANAA5ADYALABcACIAWgBpAG4AYwBcACIALAAwAC4AMAAwADEALABcACIATQBhAG4AZwBhAG4AZQBzAGUAXAAiACwAMAAuADAAMAAxACwAXAAiAEIAbwByAG8AbgBcACIALAAwAC4AMAAwADAAMQAsAFwAIgBNAG8AbAB5AGIAZABlAG4AdQBtAFwAIgAsADAALgAwADAAMAAwADEALABcACIAXAAiACwAXAAiAFwAIgAsAFwAIgBcACIALABcACIAXAAiACwAXAAiAFwAIgAsAFwAIgBcACIALABcACIAXAAiACwAXAAiAFwAIgA7AFwAbgBcACIARgBlAHIAdABQAHIAbwAgAE0AYQBuAHUAZgBhAGMAdAB1AHIAaQBuAGcAIABQAHQAeQAuACAATAB0AGQALgBcACIALABcACIAKABTAFMAUAApACAAUwBpAG4AZwBsAGUAIABTAHUAcABlAHIAIABGAGUAcgB0AGkAbABpAHMAZQByAFwAIgAsAFwAIgBrAGcAXAAiACwAMQAsAFwAIgBcACIALABcACIAXAAiACwAXAAiAFwAIgAsAFwAIgBcACIALAA4AC4AOAAsAFwAIgBcACIALAAxADEALABcACIAUwBpAG4AZwBsAGUAIABzAHUAcABlAHIAcABoAG8AcwBwAGgAYQB0AGUAIAAoAFMAUwBQACkAXAAiACwAMQAsAFwAIgBcACIALABcACIAXAAiACwAXAAiAFwAIgAsAFwAIgBcACIALABcACIAXAAiACwAXAAiAFwAIgAsAFwAIgBcACIALABcACIAXAAiACwAXAAiAFwAIgAsAFwAIgBcACIALABcACIAXAAiACwAXAAiAFwAIgAsAFwAIgBcACIALABcACIAXAAiACwAXAAiAFwAIgAsAFwAIgBcACIALABcACIAXAAiACwAXAAiAFwAIgA7AFwAbgBcACIASQBtAHAAYQBjAHQAIABGAGUAcgB0AGkAbABpAHMAZQByAHMAXAAiACwAXAAiAFoAaQBuAGMAUwB0AGEAcgBcACIALABcACIAawBnAFwAIgAsADEALABcACIAXAAiACwAXAAiAFwAIgAsAFwAIgBcACIALAAxADAALAAyADEALgA5ACwAMAAsADIALABcACIATQBvAG4AbwBhAG0AbQBvAG4AaQB1AG0AIABwAGgAbwBzAHAAaABhAHQAZQAgACgATQBBAFAAKQBcACIALAAxACwAXAAiAFoAaQBuAGMAXAAiACwAMAAuADAAMQAsAFwAIgBcACIALABcACIAXAAiACwAXAAiAFwAIgAsAFwAIgBcACIALABcACIAXAAiACwAXAAiAFwAIgAsAFwAIgBcACIALABcACIAXAAiACwAXAAiAFwAIgAsAFwAIgBcACIALABcACIAXAAiACwAXAAiAFwAIgAsAFwAIgBcACIALABcACIAXAAiACwAXAAiAFwAIgAsAFwAIgBcACIAOwBcAG4AXAAiAEIAYQBpAGwAZQB5AHMAIAAoAFMAaQBtAHAAbABvAHQAKQAgAFsAbABpAHMAdABlAGQAIABhAHMAIABJAG0AcABhAGMAdABdAFwAIgAsAFwAIgBBAHAAZQB4ACAARwBhAEkAWABlACAATABvAHcAIABQACAAMgAxAC0AMQAtADYAXAAiACwAXAAiAGsAZwBcACIALAAxACwAXAAiAFwAIgAsAFwAIgBcACIALABcACIAXAAiACwAMgAxACwAMAAuADgANgAsADUALgA4ACwANAAuADIALABcACIATgBpAHQAcgBvAGcAZQBuACAALQAgAEcAZQBuAGUAcgBpAGMAXAAiACwAMAAuADIAMQAsAFwAIgBQAG8AdABhAHMAcwBpAHUAbQAgAC0AIABHAGUAbgBlAHIAaQBjAFwAIgAsADAALgAwADUAOAAsAFwAIgBTAHUAbABmAHUAcgAgAC0AIABHAGUAbgBlAHIAaQBjAFwAIgAsADAALgAwADQAMgAsAFwAIgBQAGgAbwBzAHAAaABvAHIAdQBzACAALQAgAEcAZQBuAGUAcgBpAGMAXAAiACwAMAAuADAAMAA4ADYALABcACIAXAAiACwAXAAiAFwAIgAsAFwAIgBcACIALABcACIAXAAiACwAXAAiAFwAIgAsAFwAIgBcACIALABcACIAXAAiACwAXAAiAFwAIgAsAFwAIgBcACIALABcACIAXAAiACwAXAAiAFwAIgAsAFwAIgBcACIAOwBcAG4AXAAiAEkAbgBjAGkAdABlAGMAIABQAGkAdgBvAHQAIABGAGUAcgB0AGkAbABpAHMAZQByAHMAXAAiACwAXAAiAFMAdQBQAGUAcgBmAGUAYwB0AFwAIgAsAFwAIgBrAGcAXAAiACwAMQAsAFwAIgBcACIALABcACIAXAAiACwAXAAiAFwAIgAsAFwAIgBcACIALAA4AC4AOAAsAFwAIgBcACIALAAxADEALABcACIAUwBpAG4AZwBsAGUAIABzAHUAcABlAHIAcABoAG8AcwBwAGgAYQB0AGUAIAAoAFMAUwBQACkAXAAiACwAMQAsAFwAIgBcACIALABcACIAXAAiACwAXAAiAFwAIgAsAFwAIgBcACIALABcACIAXAAiACwAXAAiAFwAIgAsAFwAIgBcACIALABcACIAXAAiACwAXAAiAFwAIgAsAFwAIgBcACIALABcACIAXAAiACwAXAAiAFwAIgAsAFwAIgBcACIALABcACIAXAAiACwAXAAiAFwAIgAsAFwAIgBcACIALABcACIAXAAiACwAXAAiAFwAIgA7AFwAbgBcACIASQBuAGMAaQB0AGUAYwAgAFAAaQB2AG8AdAAgAEYAZQByAHQAaQBsAGkAcwBlAHIAcwAgAFsAbABpAHMAdABlAGQAIABhAHMAIABTAHUAbQBtAGkAdABdAFwAIgAsAFwAIgBCAGkAZwAgAE4AXAAiACwAXAAiAGsAZwBcACIALAAxACwAXAAiAFwAIgAsAFwAIgBcACIALABcACIAXAAiACwAOAAyAC4AMwA1ACwAXAAiAFwAIgAsAFwAIgBcACIALABcACIAXAAiACwAXAAiAEEAbQBtAG8AbgBpAGEAXAAiACwAMQAsAFwAIgBcACIALABcACIAXAAiACwAXAAiAFwAIgAsAFwAIgBcACIALABcACIAXAAiACwAXAAiAFwAIgAsAFwAIgBcACIALABcACIAXAAiACwAXAAiAFwAIgAsAFwAIgBcACIALABcACIAXAAiACwAXAAiAFwAIgAsAFwAIgBcACIALABcACIAXAAiACwAXAAiAFwAIgAsAFwAIgBcACIALABcACIAXAAiACwAXAAiAFwAIgA7AFwAbgBcACIASQBuAGMAaQB0AGUAYwAgAFAAaQB2AG8AdAAgAEYAZQByAHQAaQBsAGkAcwBlAHIAcwBcACIALABcACIARQBuAHQAZQBjACAAVQByAGUAYQBcACIALABcACIAawBnAFwAIgAsADEALABcACIAWQBlAHMAXAAiACwAXAAiAFwAIgAsAFwAIgBcACIALAA0ADYALABcACIAXAAiACwAXAAiAFwAIgAsAFwAIgBcACIALABcACIAVQByAGUAYQBcACIALAAxACwAXAAiAFwAIgAsAFwAIgBcACIALABcACIAXAAiACwAXAAiAFwAIgAsAFwAIgBcACIALABcACIAXAAiACwAXAAiAFwAIgAsAFwAIgBcACIALABcACIAXAAiACwAXAAiAFwAIgAsAFwAIgBcACIALABcACIAXAAiACwAXAAiAFwAIgAsAFwAIgBcACIALABcACIAXAAiACwAXAAiAFwAIgAsAFwAIgBcACIALABcACIAXAAiADsAXABuAFwAIgBJAG4AYwBpAHQAZQBjACAAUABpAHYAbwB0ACAARgBlAHIAdABpAGwAaQBzAGUAcgBzACAAKABvAHIAIABSAGEAdgBlAG4AcwBkAG8AdwBuACAALQAgAHMAZQBlACAAbgBvAHQAZQApAFwAIgAsAFwAIgBGAGwAZQB4AGkALQBOACAATgBJACAAbwBuAGwAeQBcACIALABcACIAawBnAFwAIgAsADEALABcACIAWQBlAHMAXAAiACwAXAAiAFwAIgAsAFwAIgBcACIALAA0ADUALgA1ADQALABcACIAXAAiACwAXAAiAFwAIgAsAFwAIgBcACIALABcACIAVQByAGUAYQBcACIALAAwAC4AOQA5ACwAXAAiAFUAcgBlAGEAcwBlAC8AbgBpAHQAcgBpAGYAaQBjAGEAdABpAG8AbgAgAGkAbgBoAGkAYgBpAHQAbwByAFwAIgAsADAALgAwADEALABcACIAXAAiACwAXAAiAFwAIgAsAFwAIgBcACIALABcACIAXAAiACwAXAAiAFwAIgAsAFwAIgBcACIALABcACIAXAAiACwAXAAiAFwAIgAsAFwAIgBcACIALABcACIAXAAiACwAXAAiAFwAIgAsAFwAIgBcACIALABcACIAXAAiACwAXAAiAFwAIgAsAFwAIgBcACIALABcACIAXAAiADsAXABuAFwAIgBOAHUAdAByAGkALQBUAGUAYwBoACAAUwBvAGwAdQB0AGkAbwBuAHMAIAAoAE4AVABTACkAXAAiACwAXAAiAE0AdQByAGkAYQB0AGUAIABPAGYAIABQAG8AdABhAHMAaAAgAE0ATwBQAFwAIgAsAFwAIgBrAGcAXAAiACwAMQAsAFwAIgBcACIALABcACIAXAAiACwAXAAiAFwAIgAsAFwAIgBcACIALABcACIAXAAiACwANQAwACwAXAAiAFwAIgAsAFwAIgBNAHUAcgBpAGEAdABlACAAbwBmACAAcABvAHQAYQBzAGgAIAAoAE0ATwBQACkAXAAiACwAMQAsAFwAIgBcACIALABcACIAXAAiACwAXAAiAFwAIgAsAFwAIgBcACIALABcACIAXAAiACwAXAAiAFwAIgAsAFwAIgBcACIALABcACIAXAAiACwAXAAiAFwAIgAsAFwAIgBcACIALABcACIAXAAiACwAXAAiAFwAIgAsAFwAIgBcACIALABcACIAXAAiACwAXAAiAFwAIgAsAFwAIgBcACIALABcACIAXAAiACwAXAAiAFwAIgA7AFwAbgBcACIATgB1AHQAdQByAGYAXAAiACwAXAAiAE0AQQBQACAATgBVAFQAVQBSAEYAXAAiACwAXAAiAGsAZwBcACIALAAxACwAXAAiAFwAIgAsAFwAIgBcACIALABcACIAXAAiACwAMQAwACwAMgAxAC4AOQAsAFwAIgBcACIALABcACIAXAAiACwAXAAiAE0AbwBuAG8AYQBtAG0AbwBuAGkAdQBtACAAcABoAG8AcwBwAGgAYQB0AGUAIAAoAE0AQQBQACkAXAAiACwAMQAsAFwAIgBcACIALABcACIAXAAiACwAXAAiAFwAIgAsAFwAIgBcACIALABcACIAXAAiACwAXAAiAFwAIgAsAFwAIgBcACIALABcACIAXAAiACwAXAAiAFwAIgAsAFwAIgBcACIALABcACIAXAAiACwAXAAiAFwAIgAsAFwAIgBcACIALABcACIAXAAiACwAXAAiAFwAIgAsAFwAIgBcACIALABcACIAXAAiACwAXAAiAFwAIgA7AFwAbgBcACIAQwBhAG0AcABiAGUAbABsAHMAIABmAGUAcgB0AGkAbABpAHMAZQByAHMAIABBAHUAcwB0AHIAYQBsAGkAYQBcACIALABcACIAUQB1AGkAYwBrAC0ATgBcACIALABcACIAawBnAFwAIgAsADEALABcACIAXAAiACwAXAAiAFwAIgAsAFwAIgBcACIALAAyADYALABcACIAXAAiACwAXAAiAFwAIgAsADEAMwAsAFwAIgBTAHUAbABwAGgAYQB0AGUAIABvAGYAIABhAG0AbQBvAG4AaQBhACAAKABTAE8AQQApAFwAIgAsADAALgA1ADQAMQA2ADYANwAsAFwAIgBBAG0AbQBvAG4AaQB1AG0AIABuAGkAdAByAGEAdABlACAAKABBAE4AKQBcACIALAAwAC4ANAAzADMAOQA3ADYALABcACIAXAAiACwAXAAiAFwAIgAsAFwAIgBcACIALABcACIAXAAiACwAXAAiAFwAIgAsAFwAIgBcACIALABcACIAXAAiACwAXAAiAFwAIgAsAFwAIgBcACIALABcACIAXAAiACwAXAAiAFwAIgAsAFwAIgBcACIALABcACIAXAAiACwAXAAiAFwAIgAsAFwAIgBcACIALABcACIAXAAiADsAXABuAFwAIgBTAEwAVABFAEMAIABGAGUAcgB0AGkAbABpAHoAZQByAHMAXAAiACwAXAAiAFUAQQBTAFwAIgAsAFwAIgBMAFwAIgAsADEALgAyADMANQAsAFwAIgBcACIALABcACIAXAAiACwAXAAiAFwAIgAsADIANgAuADYALABcACIAXAAiACwAXAAiAFwAIgAsADYALgA3ACwAXAAiAFUAcgBlAGEAXAAiACwAMAAuADQANQAwADgAMQA1ACwAXAAiAFMAdQBsAHAAaABhAHQAZQAgAG8AZgAgAGEAbQBtAG8AbgBpAGEAIAAoAFMATwBBACkAXAAiACwAMAAuADIANwA5ADEANgA3ACwAXAAiAFwAIgAsAFwAIgBcACIALABcACIAXAAiACwAXAAiAFwAIgAsAFwAIgBcACIALABcACIAXAAiACwAXAAiAFwAIgAsAFwAIgBcACIALABcACIAXAAiACwAXAAiAFwAIgAsAFwAIgBcACIALABcACIAXAAiACwAXAAiAFwAIgAsAFwAIgBcACIALABcACIAXAAiACwAXAAiAFwAIgA7AFwAbgBcACIAUwBMAFQARQBDACAARgBlAHIAdABpAGwAaQB6AGUAcgBzAFwAIgAsAFwAIgBUAHIAaQBhAHoAbwBuAGUAIABVAHIAZQBhAFwAIgAsAFwAIgBMAFwAIgAsADEALgAyADgALABcACIAXAAiACwAXAAiAFwAIgAsAFwAIgBcACIALAAwACwAXAAiAFwAIgAsAFwAIgBcACIALABcACIAXAAiACwAXAAiAFUAcgBlAGEAXAAiACwAMAAuADYANQAyADEANwA0ACwAXAAiAFwAIgAsAFwAIgBcACIALABcACIAXAAiACwAXAAiAFwAIgAsAFwAIgBcACIALABcACIAXAAiACwAXAAiAFwAIgAsAFwAIgBcACIALABcACIAXAAiACwAXAAiAFwAIgAsAFwAIgBcACIALABcACIAXAAiACwAXAAiAFwAIgAsAFwAIgBcACIALABcACIAXAAiACwAXAAiAFwAIgAsAFwAIgBcACIALABcACIAXAAiADsAXABuAFwAIgBNAGEAcgBuAGMAbwAgAFsAbABpAHMAdABlAGQAIABhAHMAIABTAEwAVABFAEMAXQBcACIALABcACIAQQBtAG0AbwAgADMANgBOAFwAIgAsAFwAIgBrAGcAXAAiACwAMQAsAFwAIgBcACIALABcACIAXAAiACwAXAAiAFwAIgAsADMANgAsAFwAIgBcACIALABcACIAXAAiACwAOQAuADYALABcACIATgBpAHQAcgBvAGcAZQBuACAALQAgAEcAZQBuAGUAcgBpAGMAXAAiACwAMAAuADMANgAsAFwAIgBTAHUAbABmAHUAcgAgAC0AIABHAGUAbgBlAHIAaQBjAFwAIgAsADAALgAwADkANgAsAFwAIgBcACIALABcACIAXAAiACwAXAAiAFwAIgAsAFwAIgBcACIALABcACIAXAAiACwAXAAiAFwAIgAsAFwAIgBcACIALABcACIAXAAiACwAXAAiAFwAIgAsAFwAIgBcACIALABcACIAXAAiACwAXAAiAFwAIgAsAFwAIgBcACIALABcACIAXAAiACwAXAAiAFwAIgAsAFwAIgBcACIAOwBcAG4AXAAiAFIAaQBzAHMAbwAtAEMAaABlAG0AaQBjAGEAbABcACIALABcACIAUgBpAHMAcwBvACAATABpAHEAdQBpAGQAIABOAFAASwAgACgAMgAwADAALQAyADAAMAAtADIAMAAwACkAXAAiACwAXAAiAEwAXAAiACwAMQAuADMALABcACIAXAAiACwAXAAiAFwAIgAsAFwAIgBcACIALAAyADAALAA4AC4ANwAzACwAMQA2AC4ANgAsAFwAIgBcACIALABcACIATgBpAHQAcgBvAGcAZQBuACAALQAgAEcAZQBuAGUAcgBpAGMAXAAiACwAMAAuADIALABcACIAUABoAG8AcwBwAGgAbwByAHUAcwAgAC0AIABHAGUAbgBlAHIAaQBjAFwAIgAsADAALgAwADgANwAyADgALABcACIAUABvAHQAYQBzAHMAaQB1AG0AIAAtACAARwBlAG4AZQByAGkAYwBcACIALAAwAC4AMQA2ADYAMAAyACwAXAAiAFwAIgAsAFwAIgBcACIALABcACIAXAAiACwAXAAiAFwAIgAsAFwAIgBcACIALABcACIAXAAiACwAXAAiAFwAIgAsAFwAIgBcACIALABcACIAXAAiACwAXAAiAFwAIgAsAFwAIgBcACIALABcACIAXAAiACwAXAAiAFwAIgAsAFwAIgBcACIAOwBcAG4AXAAiAFQAdQByAGYAIABHAHIAbwB1AHAAIABBAHUAcwB0AHIAYQBsAGkAYQAgACgAUwBpAG0AcABsAG8AdAApAFwAIgAsAFwAIgBTAHUAcABlAHIAIABDAGEAbAAgADEANQAtADAALQAxADIAXAAiACwAXAAiAGsAZwBcACIALAAxACwAXAAiAFwAIgAsAFwAIgBcACIALABcACIAXAAiACwAMQA1ACwAXAAiAFwAIgAsADkALgA5ADYALABcACIAXAAiACwAXAAiAE4AaQB0AHIAbwBnAGUAbgAgAC0AIABOAGkAdAByAGEAdABlAFwAIgAsADAALgAwADgANAA3ADMANwAsAFwAIgBQAG8AdABhAHMAcwBpAHUAbQAgAC0AIABHAGUAbgBlAHIAaQBjAFwAIgAsADAALgAwADkAOQA2ADEAMgAsAFwAIgBDAGEAbABjAGkAdQBtACAAbgBpAHQAcgBhAHQAZQBcACIALAAwAC4ANAAyADEAMAA1ADMALABcACIATQBhAGcAbgBlAHMAaQB1AG0AXAAiACwAMAAuADAAMAA1ACwAXAAiAEIAbwByAG8AbgBcACIALAAwAC4AMAAwADAAMgAsAFwAIgBcACIALABcACIAXAAiACwAXAAiAFwAIgAsAFwAIgBcACIALABcACIAXAAiACwAXAAiAFwAIgAsAFwAIgBcACIALABcACIAXAAiACwAXAAiAFwAIgAsAFwAIgBcACIAOwBcAG4AXAAiAEkAbgBjAGkAdABlAGMAIABQAGkAdgBvAHQAIABGAGUAcgB0AGkAbABpAHMAZQByAHMAXAAiACwAXAAiAEMASwAgADgAOABcACIALABcACIAawBnAFwAIgAsADEALABcACIAXAAiACwAXAAiAFwAIgAsAFwAIgBcACIALAAxADUALgAxACwANAAuADQALAAxADEALgA1ACwAMQAzAC4ANgAsAFwAIgBOAGkAdAByAG8AZwBlAG4AIAAtACAARwBlAG4AZQByAGkAYwBcACIALAAwAC4AMQA1ADEALABcACIAUABoAG8AcwBwAGgAbwByAHUAcwAgAC0AIABHAGUAbgBlAHIAaQBjAFwAIgAsADAALgAwADQANAAsAFwAIgBQAG8AdABhAHMAcwBpAHUAbQAgAC0AIABHAGUAbgBlAHIAaQBjAFwAIgAsADAALgAxADEANQAsAFwAIgBTAHUAbABmAHUAcgAgAC0AIABHAGUAbgBlAHIAaQBjAFwAIgAsADAALgAxADMANgAsAFwAIgBcACIALABcACIAXAAiACwAXAAiAFwAIgAsAFwAIgBcACIALABcACIAXAAiACwAXAAiAFwAIgAsAFwAIgBcACIALABcACIAXAAiACwAXAAiAFwAIgAsAFwAIgBcACIALABcACIAXAAiACwAXAAiAFwAIgA7AFwAbgBcACIASQBuAGMAaQB0AGUAYwAgAFAAaQB2AG8AdAAgAEYAZQByAHQAaQBsAGkAcwBlAHIAcwBcACIALABcACIAQwByAG8AcABMAGkAZgB0ACAAMQA1AFwAIgAsAFwAIgBrAGcAXAAiACwAMQAsAFwAIgBcACIALABcACIAXAAiACwAXAAiAFwAIgAsADEANAAuADYALAAxADIALgAxACwAXAAiAFwAIgAsADEAMQAuADYALABcACIATgBpAHQAcgBvAGcAZQBuACAALQAgAEcAZQBuAGUAcgBpAGMAXAAiACwAMAAuADEANAA2ACwAXAAiAFAAaABvAHMAcABoAG8AcgB1AHMAIAAtACAARwBlAG4AZQByAGkAYwBcACIALAAwAC4AMQAyADEALABcACIAUwB1AGwAZgB1AHIAIAAtACAARwBlAG4AZQByAGkAYwBcACIALAAwAC4AMQAxADYALABcACIAXAAiACwAXAAiAFwAIgAsAFwAIgBcACIALABcACIAXAAiACwAXAAiAFwAIgAsAFwAIgBcACIALABcACIAXAAiACwAXAAiAFwAIgAsAFwAIgBcACIALABcACIAXAAiACwAXAAiAFwAIgAsAFwAIgBcACIALABcACIAXAAiACwAXAAiAFwAIgA7AFwAbgBcACIASQBuAGMAaQB0AGUAYwAgAFAAaQB2AG8AdAAgAEYAZQByAHQAaQBsAGkAcwBlAHIAcwBcACIALABcACIATgBQAEsAUwAgADEAOQAtADEAMwAtADAALQA5AFwAIgAsAFwAIgBrAGcAXAAiACwAMQAsAFwAIgBcACIALABcACIAXAAiACwAXAAiAFwAIgAsADEAOQAsADEAMwAsADAALAA5ACwAXAAiAE4AaQB0AHIAbwBnAGUAbgAgAC0AIABHAGUAbgBlAHIAaQBjAFwAIgAsADAALgAxADkALABcACIAUABoAG8AcwBwAGgAbwByAHUAcwAgAC0AIABHAGUAbgBlAHIAaQBjAFwAIgAsADAALgAxADMALABcACIAUwB1AGwAZgB1AHIAIAAtACAARwBlAG4AZQByAGkAYwBcACIALAAwAC4AMAA5ACwAXAAiAFwAIgAsAFwAIgBcACIALABcACIAXAAiACwAXAAiAFwAIgAsAFwAIgBcACIALABcACIAXAAiACwAXAAiAFwAIgAsAFwAIgBcACIALABcACIAXAAiACwAXAAiAFwAIgAsAFwAIgBcACIALABcACIAXAAiACwAXAAiAFwAIgAsAFwAIgBcACIAOwBcAG4AXAAiAEkAbgBjAGkAdABlAGMAIABQAGkAdgBvAHQAIABGAGUAcgB0AGkAbABpAHMAZQByAHMAXAAiACwAXAAiAFAAYQBzAHQAdQByAGUAQgBvAG8AcwB0AGEAXAAiACwAXAAiAGsAZwBcACIALAAxACwAXAAiAFwAIgAsAFwAIgBcACIALABcACIAXAAiACwAMgAzAC4AOAAsADMALgA3ACwAMQAzACwANAAuADEALABcACIATgBpAHQAcgBvAGcAZQBuACAALQAgAEcAZQBuAGUAcgBpAGMAXAAiACwAMAAuADIAMwA4ACwAXAAiAFAAaABvAHMAcABoAG8AcgB1AHMAIAAtACAARwBlAG4AZQByAGkAYwBcACIALAAwAC4AMAAzADcALABcACIAUABvAHQAYQBzAHMAaQB1AG0AIAAtACAARwBlAG4AZQByAGkAYwBcACIALAAwAC4AMQAzACwAXAAiAFMAdQBsAGYAdQByACAALQAgAEcAZQBuAGUAcgBpAGMAXAAiACwAMAAuADAANAAxACwAXAAiAFwAIgAsAFwAIgBcACIALABcACIAXAAiACwAXAAiAFwAIgAsAFwAIgBcACIALABcACIAXAAiACwAXAAiAFwAIgAsAFwAIgBcACIALABcACIAXAAiACwAXAAiAFwAIgAsAFwAIgBcACIALABcACIAXAAiADsAXABuAFwAIgBJAG4AYwBpAHQAZQBjACAAUABpAHYAbwB0ACAARgBlAHIAdABpAGwAaQBzAGUAcgBzAFwAIgAsAFwAIgBHAHIAZQBlAG4AdABvAHAAIABLAFwAIgAsAFwAIgBrAGcAXAAiACwAMQAsAFwAIgBcACIALABcACIAXAAiACwAXAAiAFwAIgAsADMAMgAuADgALABcACIAXAAiACwAMQAxACwAMgAuADkALABcACIAVQByAGUAYQBcACIALAAwAC4ANgA2ADAAOAA3ACwAXAAiAE4AaQB0AHIAbwBnAGUAbgAgAC0AIABBAG0AbQBvAG4AaQBhAGMAYQBsAFwAIgAsADAALgAwADIANAAsAFwAIgBQAG8AdABhAHMAcwBpAHUAbQAgAC0AIABHAGUAbgBlAHIAaQBjAFwAIgAsADAALgAxADEALABcACIAUwB1AGwAZgB1AHIAIAAtACAARwBlAG4AZQByAGkAYwBcACIALAAwAC4AMAAyADkALABcACIAXAAiACwAXAAiAFwAIgAsAFwAIgBcACIALABcACIAXAAiACwAXAAiAFwAIgAsAFwAIgBcACIALABcACIAXAAiACwAXAAiAFwAIgAsAFwAIgBcACIALABcACIAXAAiACwAXAAiAFwAIgAsAFwAIgBcACIAOwBcAG4AXAAiAEkAbgBjAGkAdABlAGMAIABQAGkAdgBvAHQAIABGAGUAcgB0AGkAbABpAHMAZQByAHMAXAAiACwAXAAiAEgAYQB5AEIAbwBvAHMAdABhAFwAIgAsAFwAIgBrAGcAXAAiACwAMQAsAFwAIgBcACIALABcACIAXAAiACwAXAAiAFwAIgAsADEAMQAuADcALAA0AC4ANwAsADIAMwAuADkALAA0AC4ANgAsAFwAIgBOAGkAdAByAG8AZwBlAG4AIAAtACAARwBlAG4AZQByAGkAYwBcACIALAAwAC4AMQAxADcALABcACIAUABoAG8AcwBwAGgAbwByAHUAcwAgAC0AIABHAGUAbgBlAHIAaQBjAFwAIgAsADAALgAwADQANwAsAFwAIgBQAG8AdABhAHMAcwBpAHUAbQAgAC0AIABHAGUAbgBlAHIAaQBjAFwAIgAsADAALgAyADMAOQAsAFwAIgBTAHUAbABmAHUAcgAgAC0AIABHAGUAbgBlAHIAaQBjAFwAIgAsADAALgAwADQANgAsAFwAIgBcACIALABcACIAXAAiACwAXAAiAFwAIgAsAFwAIgBcACIALABcACIAXAAiACwAXAAiAFwAIgAsAFwAIgBcACIALABcACIAXAAiACwAXAAiAFwAIgAsAFwAIgBcACIALABcACIAXAAiACwAXAAiAFwAIgBcAG4AIAAgAH0ALAAgAHIALAAgAGMAKQBcAG4AIAApACkAKQA7AFwAbgBcAG4AXABuAEYAZQByAHQAaQBsAGkAcwBlAHIAXwBQAHIAbwBkAHUAYwB0AHMAXwBEAGEAdABhADQAXABuAD0ATABBAE0AQgBEAEEAKABcAG4AIABNAEEASwBFAEEAUgBSAEEAWQAoADMAMAAsACAAMwAxACwAXABuACAATABBAE0AQgBEAEEAKAByACwAYwAsAFwAbgAgACAASQBOAEQARQBYACgAewBcAG4AXAAiAEkAbQBwAGEAYwB0ACAARgBlAHIAdABpAGwAaQBzAGUAcgBzAFwAIgAsAFwAIgBJAG0AcABhAGMAdAAgAFMAdQBwAGUAcgAgAFAAbwB0AGEAcwBoACAAMQAmADEAXAAiACwAXAAiAGsAZwBcACIALAAxACwAXAAiAFwAIgAsAFwAIgBcACIALABcACIAXAAiACwAXAAiAFwAIgAsADQALgA0ACwAMgA1ACwANQAuADUALABcACIAUwBpAG4AZwBsAGUAIABzAHUAcABlAHIAcABoAG8AcwBwAGgAYQB0AGUAIAAoAFMAUwBQACkAXAAiACwAMAAuADUALABcACIATQB1AHIAaQBhAHQAZQAgAG8AZgAgAHAAbwB0AGEAcwBoACAAKABNAE8AUAApAFwAIgAsADAALgA1ACwAXAAiAFwAIgAsAFwAIgBcACIALABcACIAXAAiACwAXAAiAFwAIgAsAFwAIgBcACIALABcACIAXAAiACwAXAAiAFwAIgAsAFwAIgBcACIALABcACIAXAAiACwAXAAiAFwAIgAsAFwAIgBcACIALABcACIAXAAiACwAXAAiAFwAIgAsAFwAIgBcACIALABcACIAXAAiACwAXAAiAFwAIgA7AFwAbgBcACIASQBtAHAAYQBjAHQAIABGAGUAcgB0AGkAbABpAHMAZQByAHMAXAAiACwAXAAiAEkAbQBwAGEAYwB0ACAAUwB1AHAAZQByACAAUABvAHQAYQBzAGgAIAAyACYAMQBcACIALABcACIAawBnAFwAIgAsADEALABcACIAXAAiACwAXAAiAFwAIgAsAFwAIgBcACIALABcACIAXAAiACwANQAuADgANAAsADEANgAuADgALAA3AC4AMgA5ACwAXAAiAFMAaQBuAGcAbABlACAAcwB1AHAAZQByAHAAaABvAHMAcABoAGEAdABlACAAKABTAFMAUAApAFwAIgAsADAALgA2ADYAMwAxADUAOAAsAFwAIgBNAHUAcgBpAGEAdABlACAAbwBmACAAcABvAHQAYQBzAGgAIAAoAE0ATwBQACkAXAAiACwAMAAuADMAMwA2ACwAXAAiAFwAIgAsAFwAIgBcACIALABcACIAXAAiACwAXAAiAFwAIgAsAFwAIgBcACIALABcACIAXAAiACwAXAAiAFwAIgAsAFwAIgBcACIALABcACIAXAAiACwAXAAiAFwAIgAsAFwAIgBcACIALABcACIAXAAiACwAXAAiAFwAIgAsAFwAIgBcACIALABcACIAXAAiACwAXAAiAFwAIgA7AFwAbgBcACIASQBtAHAAYQBjAHQAIABGAGUAcgB0AGkAbABpAHMAZQByAHMAXAAiACwAXAAiAEkAbQBwAGEAYwB0ACAAUwB1AHAAZQByACAAUABvAHQAYQBzAGgAIAAzACYAMQBcACIALABcACIAawBnAFwAIgAsADEALABcACIAXAAiACwAXAAiAFwAIgAsAFwAIgBcACIALABcACIAXAAiACwANgAuADUAOAAsADEAMgAuADUALAA4AC4AMgAyACwAXAAiAFMAaQBuAGcAbABlACAAcwB1AHAAZQByAHAAaABvAHMAcABoAGEAdABlACAAKABTAFMAUAApAFwAIgAsADAALgA3ADQANwAzADYAOAAsAFwAIgBNAHUAcgBpAGEAdABlACAAbwBmACAAcABvAHQAYQBzAGgAIAAoAE0ATwBQACkAXAAiACwAMAAuADIANQAsAFwAIgBcACIALABcACIAXAAiACwAXAAiAFwAIgAsAFwAIgBcACIALABcACIAXAAiACwAXAAiAFwAIgAsAFwAIgBcACIALABcACIAXAAiACwAXAAiAFwAIgAsAFwAIgBcACIALABcACIAXAAiACwAXAAiAFwAIgAsAFwAIgBcACIALABcACIAXAAiACwAXAAiAFwAIgAsAFwAIgBcACIAOwBcAG4AXAAiAEkAbQBwAGEAYwB0ACAARgBlAHIAdABpAGwAaQBzAGUAcgBzAFwAIgAsAFwAIgBJAG0AcABhAGMAdAAgAFMAdQBwAGUAcgAgAFAAbwB0AGEAcwBoACAANAAmADEAXAAiACwAXAAiAGsAZwBcACIALAAxACwAXAAiAFwAIgAsAFwAIgBcACIALABcACIAXAAiACwAXAAiAFwAIgAsADcALgAwADQALAAxADAALAA4AC4AOAAsAFwAIgBTAGkAbgBnAGwAZQAgAHMAdQBwAGUAcgBwAGgAbwBzAHAAaABhAHQAZQAgACgAUwBTAFAAKQBcACIALAAwAC4AOAAsAFwAIgBNAHUAcgBpAGEAdABlACAAbwBmACAAcABvAHQAYQBzAGgAIAAoAE0ATwBQACkAXAAiACwAMAAuADIALABcACIAXAAiACwAXAAiAFwAIgAsAFwAIgBcACIALABcACIAXAAiACwAXAAiAFwAIgAsAFwAIgBcACIALABcACIAXAAiACwAXAAiAFwAIgAsAFwAIgBcACIALABcACIAXAAiACwAXAAiAFwAIgAsAFwAIgBcACIALABcACIAXAAiACwAXAAiAFwAIgAsAFwAIgBcACIALABcACIAXAAiADsAXABuAFwAIgBJAG0AcABhAGMAdAAgAEYAZQByAHQAaQBsAGkAcwBlAHIAcwBcACIALABcACIASQBtAHAAYQBjAHQAIABTAHUAcABlAHIAIABQAG8AdABhAHMAaAAgADUAJgAxAFwAIgAsAFwAIgBrAGcAXAAiACwAMQAsAFwAIgBcACIALABcACIAXAAiACwAXAAiAFwAIgAsAFwAIgBcACIALAA3AC4AMwAyACwAOAAuADQALAA5AC4AMQA1ACwAXAAiAFMAaQBuAGcAbABlACAAcwB1AHAAZQByAHAAaABvAHMAcABoAGEAdABlACAAKABTAFMAUAApAFwAIgAsADAALgA4ADMAMQA1ADcAOQAsAFwAIgBNAHUAcgBpAGEAdABlACAAbwBmACAAcABvAHQAYQBzAGgAIAAoAE0ATwBQACkAXAAiACwAMAAuADEANgA4ACwAXAAiAFwAIgAsAFwAIgBcACIALABcACIAXAAiACwAXAAiAFwAIgAsAFwAIgBcACIALABcACIAXAAiACwAXAAiAFwAIgAsAFwAIgBcACIALABcACIAXAAiACwAXAAiAFwAIgAsAFwAIgBcACIALABcACIAXAAiACwAXAAiAFwAIgAsAFwAIgBcACIALABcACIAXAAiACwAXAAiAFwAIgA7AFwAbgBcACIAUABhAGMAaQBmAGkAYwAgAEYAZQByAHQAaQBsAGkAcwBlAHIAIAAvACAASQBuAGMAaQB0AGUAYwAgAFAAaQB2AG8AdAAgAEYAZQByAHQAaQBsAGkAcwBlAHIAcwBcACIALABcACIAQwBhAGwALQBHAHIAYQBuAFwAIgAsAFwAIgBrAGcAXAAiACwAMQAsAFwAIgBcACIALABcACIAXAAiACwAXAAiAFwAIgAsADIAMwAuADkALABcACIAXAAiACwAXAAiAFwAIgAsADEAMAAuADgALABcACIATgBpAHQAcgBvAGcAZQBuACAALQAgAE4AaQB0AHIAYQB0AGUAXAAiACwAMAAuADAANwA0ACwAXAAiAE4AaQB0AHIAbwBnAGUAbgAgAC0AIABBAG0AbQBvAG4AaQBhAGMAYQBsAFwAIgAsADAALgAxADYANQAsAFwAIgBTAHUAbABmAHUAcgAgAC0AIABHAGUAbgBlAHIAaQBjAFwAIgAsADAALgAxADAAOAAsAFwAIgBDAGEAbABjAGkAdQBtAFwAIgAsADAALgAwADQANAAsAFwAIgBcACIALABcACIAXAAiACwAXAAiAFwAIgAsAFwAIgBcACIALABcACIAXAAiACwAXAAiAFwAIgAsAFwAIgBcACIALABcACIAXAAiACwAXAAiAFwAIgAsAFwAIgBcACIALABcACIAXAAiACwAXAAiAFwAIgA7AFwAbgBcACIAUABhAGMAaQBmAGkAYwAgAEYAZQByAHQAaQBsAGkAcwBlAHIAIAAvACAASQBuAGMAaQB0AGUAYwAgAFAAaQB2AG8AdAAgAEYAZQByAHQAaQBsAGkAcwBlAHIAcwBcACIALABcACIAQwBhAGwALQBHAHIAYQBuACAANQAwAC8ANQAwAFwAIgAsAFwAIgBrAGcAXAAiACwAMQAsAFwAIgBcACIALABcACIAXAAiACwAXAAiAFwAIgAsADEANwAuADkALABcACIAXAAiACwAMQA1ACwAMwAuADYALABcACIATgBpAHQAcgBvAGcAZQBuACAALQAgAE4AaQB0AHIAYQB0AGUAXAAiACwAMAAuADAANQA1ACwAXAAiAE4AaQB0AHIAbwBnAGUAbgAgAC0AIABBAG0AbQBvAG4AaQBhAGMAYQBsAFwAIgAsADAALgAxADIANAAsAFwAIgBQAG8AdABhAHMAcwBpAHUAbQAgAC0AIABHAGUAbgBlAHIAaQBjAFwAIgAsADAALgAxADUALABcACIAUwB1AGwAZgB1AHIAIAAtACAARwBlAG4AZQByAGkAYwBcACIALAAwAC4AMAAzADYALABcACIAQwBhAGwAYwBpAHUAbQBcACIALAAwAC4AMAA0ADQALABcACIAXAAiACwAXAAiAFwAIgAsAFwAIgBcACIALABcACIAXAAiACwAXAAiAFwAIgAsAFwAIgBcACIALABcACIAXAAiACwAXAAiAFwAIgAsAFwAIgBcACIALABcACIAXAAiADsAXABuAFwAIgBQAGEAYwBpAGYAaQBjACAARgBlAHIAdABpAGwAaQBzAGUAcgAgAC8AIABJAG4AYwBpAHQAZQBjACAAUABpAHYAbwB0ACAARgBlAHIAdABpAGwAaQBzAGUAcgBzAFwAIgAsAFwAIgBDAGEAbAAtAEcAcgBhAG4AIAA1ADAALwA1ADAAIAAoAFMAKQBcACIALABcACIAawBnAFwAIgAsADEALABcACIAXAAiACwAXAAiAFwAIgAsAFwAIgBcACIALAAxADYALgA5ACwAXAAiAFwAIgAsADEANAAuADQALAA4AC4ANwAsAFwAIgBOAGkAdAByAG8AZwBlAG4AIAAtACAATgBpAHQAcgBhAHQAZQBcACIALAAwAC4AMAA1ADIALABcACIATgBpAHQAcgBvAGcAZQBuACAALQAgAEEAbQBtAG8AbgBpAGEAYwBhAGwAXAAiACwAMAAuADEAMQA3ACwAXAAiAFAAbwB0AGEAcwBzAGkAdQBtACAALQAgAEcAZQBuAGUAcgBpAGMAXAAiACwAMAAuADEANAA0ACwAXAAiAFMAdQBsAGYAdQByACAALQAgAEcAZQBuAGUAcgBpAGMAXAAiACwAMAAuADAAOAA3ACwAXAAiAEMAYQBsAGMAaQB1AG0AXAAiACwAMAAuADAANAA0ACwAXAAiAFwAIgAsAFwAIgBcACIALABcACIAXAAiACwAXAAiAFwAIgAsAFwAIgBcACIALABcACIAXAAiACwAXAAiAFwAIgAsAFwAIgBcACIALABcACIAXAAiACwAXAAiAFwAIgA7AFwAbgBcACIAUABhAGMAaQBmAGkAYwAgAEYAZQByAHQAaQBsAGkAcwBlAHIAIAAvACAASQBuAGMAaQB0AGUAYwAgAFAAaQB2AG8AdAAgAEYAZQByAHQAaQBsAGkAcwBlAHIAcwBcACIALABcACIAQwBhAGwALQBHAHIAYQBuACAAMQAzADAAXAAiACwAXAAiAGsAZwBcACIALAAxACwAXAAiAFwAIgAsAFwAIgBcACIALABcACIAXAAiACwAMQA4AC4AOAAsADEALAAxADIALgA1ACwAMwAuADcALABcACIATgBpAHQAcgBvAGcAZQBuACAALQAgAE4AaQB0AHIAYQB0AGUAXAAiACwAMAAuADAANQA4ACwAXAAiAE4AaQB0AHIAbwBnAGUAbgAgAC0AIABBAG0AbQBvAG4AaQBhAGMAYQBsAFwAIgAsADAALgAxADMALABcACIAUABoAG8AcwBwAGgAbwByAHUAcwAgAC0AIABHAGUAbgBlAHIAaQBjAFwAIgAsADAALgAwADEALABcACIAUABvAHQAYQBzAHMAaQB1AG0AIAAtACAARwBlAG4AZQByAGkAYwBcACIALAAwAC4AMQAyADUALABcACIAUwB1AGwAZgB1AHIAIAAtACAARwBlAG4AZQByAGkAYwBcACIALAAwAC4AMAAzADcALABcACIAQwBhAGwAYwBpAHUAbQBcACIALAAwAC4AMAA0ADQALABcACIAXAAiACwAXAAiAFwAIgAsAFwAIgBcACIALABcACIAXAAiACwAXAAiAFwAIgAsAFwAIgBcACIALABcACIAXAAiACwAXAAiAFwAIgA7AFwAbgBcACIAUABhAGMAaQBmAGkAYwAgAEYAZQByAHQAaQBsAGkAcwBlAHIAIAAvACAASQBuAGMAaQB0AGUAYwAgAFAAaQB2AG8AdAAgAEYAZQByAHQAaQBsAGkAcwBlAHIAcwBcACIALABcACIAQwBhAGwALQBHAHIAYQBuACAAMQA1ADAAXAAiACwAXAAiAGsAZwBcACIALAAxACwAXAAiAFwAIgAsAFwAIgBcACIALABcACIAXAAiACwAMQA4AC4ANgAsADMALAAxADIALgA1ACwAMQAuADQALABcACIATgBpAHQAcgBvAGcAZQBuACAALQAgAE4AaQB0AHIAYQB0AGUAXAAiACwAMAAuADAANQA4ACwAXAAiAE4AaQB0AHIAbwBnAGUAbgAgAC0AIABBAG0AbQBvAG4AaQBhAGMAYQBsAFwAIgAsADAALgAxADIAOAAsAFwAIgBQAGgAbwBzAHAAaABvAHIAdQBzACAALQAgAEcAZQBuAGUAcgBpAGMAXAAiACwAMAAuADAAMwAsAFwAIgBQAG8AdABhAHMAcwBpAHUAbQAgAC0AIABHAGUAbgBlAHIAaQBjAFwAIgAsADAALgAxADIANQAsAFwAIgBTAHUAbABmAHUAcgAgAC0AIABHAGUAbgBlAHIAaQBjAFwAIgAsADAALgAwADEANAAsAFwAIgBDAGEAbABjAGkAdQBtAFwAIgAsADAALgAwADQANAAsAFwAIgBcACIALABcACIAXAAiACwAXAAiAFwAIgAsAFwAIgBcACIALABcACIAXAAiACwAXAAiAFwAIgAsAFwAIgBcACIALABcACIAXAAiADsAXABuAFwAIgBQAGEAYwBpAGYAaQBjACAARgBlAHIAdABpAGwAaQBzAGUAcgAgAC8AIABJAG4AYwBpAHQAZQBjACAAUABpAHYAbwB0ACAARgBlAHIAdABpAGwAaQBzAGUAcgBzAFwAIgAsAFwAIgBDAGEAbAAtAEcAcgBhAG4AIABFAHgAdAByAGEAIABLAFwAIgAsAFwAIgBrAGcAXAAiACwAMQAsAFwAIgBcACIALABcACIAXAAiACwAXAAiAFwAIgAsADEANQAuADgALABcACIAXAAiACwAMQA5ACwAMwAuADIALABcACIATgBpAHQAcgBvAGcAZQBuACAALQAgAE4AaQB0AHIAYQB0AGUAXAAiACwAMAAuADAANAA5ACwAXAAiAE4AaQB0AHIAbwBnAGUAbgAgAC0AIABBAG0AbQBvAG4AaQBhAGMAYQBsAFwAIgAsADAALgAxADAAOQAsAFwAIgBQAG8AdABhAHMAcwBpAHUAbQAgAC0AIABHAGUAbgBlAHIAaQBjAFwAIgAsADAALgAxADkALABcACIAUwB1AGwAZgB1AHIAIAAtACAARwBlAG4AZQByAGkAYwBcACIALAAwAC4AMAAzADIALABcACIAQwBhAGwAYwBpAHUAbQBcACIALAAwAC4AMAAzADkALABcACIAXAAiACwAXAAiAFwAIgAsAFwAIgBcACIALABcACIAXAAiACwAXAAiAFwAIgAsAFwAIgBcACIALABcACIAXAAiACwAXAAiAFwAIgAsAFwAIgBcACIALABcACIAXAAiADsAXABuAFwAIgBJAG4AYwBpAHQAZQBjACAAUABpAHYAbwB0ACAARgBlAHIAdABpAGwAaQBzAGUAcgBzAFwAIgAsAFwAIgBEAGEAaQByAHkAIABQAHIAbwBcACIALABcACIAawBnAFwAIgAsADEALABcACIAXAAiACwAXAAiAFwAIgAsAFwAIgBcACIALAAyADUALgA5ACwAMwAuADkALAAxADUALgA5ACwAMAAuADMALABcACIATgBpAHQAcgBvAGcAZQBuACAALQAgAEcAZQBuAGUAcgBpAGMAXAAiACwAMAAuADIANQA5ACwAXAAiAFAAaABvAHMAcABoAG8AcgB1AHMAIAAtACAARwBlAG4AZQByAGkAYwBcACIALAAwAC4AMAAzADkALABcACIAUABvAHQAYQBzAHMAaQB1AG0AIAAtACAARwBlAG4AZQByAGkAYwBcACIALAAwAC4AMQA1ADkALABcACIAUwB1AGwAZgB1AHIAIAAtACAARwBlAG4AZQByAGkAYwBcACIALAAwAC4AMAAwADMALABcACIAXAAiACwAXAAiAFwAIgAsAFwAIgBcACIALABcACIAXAAiACwAXAAiAFwAIgAsAFwAIgBcACIALABcACIAXAAiACwAXAAiAFwAIgAsAFwAIgBcACIALABcACIAXAAiACwAXAAiAFwAIgAsAFwAIgBcACIAOwBcAG4AXAAiAFkAYQByAGEAIABBAHUAcwB0AHIAYQBsAGkAYQBcACIALABcACIAWQBhAHIAYQBNAGkAbABhACAAQQBDAFQAWQBWAEEAIABTAFwAIgAsAFwAIgBrAGcAXAAiACwAMQAsAFwAIgBcACIALABcACIAXAAiACwAXAAiAFwAIgAsADEANQAuADYALAA2AC4AMwA3ACwAMQAyAC4ANAA1ACwAMgAuADYALABcACIATgBpAHQAcgBvAGcAZQBuACAALQAgAE4AaQB0AHIAYQB0AGUAXAAiACwAMAAuADAANQA4ACwAXAAiAE4AaQB0AHIAbwBnAGUAbgAgAC0AIABBAG0AbQBvAG4AaQBhAGMAYQBsAFwAIgAsADAALgAwADkAOAAsAFwAIgBQAGgAbwBzAHAAaABvAHIAdQBzACAALQAgAEcAZQBuAGUAcgBpAGMAXAAiACwAMAAuADAANgAzADcAMQA0ACwAXAAiAFAAbwB0AGEAcwBzAGkAdQBtACAALQAgAEcAZQBuAGUAcgBpAGMAXAAiACwAMAAuADEAMgA0ADUAMQA1ACwAXAAiAFMAdQBsAGYAdQByACAALQAgAEcAZQBuAGUAcgBpAGMAXAAiACwAMAAuADAAMgA2ACwAXAAiAFwAIgAsAFwAIgBcACIALABcACIAXAAiACwAXAAiAFwAIgAsAFwAIgBcACIALABcACIAXAAiACwAXAAiAFwAIgAsAFwAIgBcACIALABcACIAXAAiACwAXAAiAFwAIgA7AFwAbgBcACIAQwBTAEIAUABcACIALABcACIAQQBnAGYAbABvAHcAIABFAHgAdAByAGEAXAAiACwAXAAiAGsAZwBcACIALAAxACwAXAAiAFwAIgAsAFwAIgBcACIALABcACIAXAAiACwAMQAxAC4AMQA1ACwAMQA3AC4ANQAyACwAXAAiAFwAIgAsADMALgA2ACwAXAAiAE0AbwBuAG8AYQBtAG0AbwBuAGkAdQBtACAAcABoAG8AcwBwAGgAYQB0AGUAIAAoAE0AQQBQACkAXAAiACwAMAAuADgALABcACIAUwB1AGwAcABoAGEAdABlACAAbwBmACAAYQBtAG0AbwBuAGkAYQAgACgAUwBPAEEAKQBcACIALAAwAC4AMQA1ACwAXAAiAEMAbwBwAHAAZQByAFwAIgAsAFwAIgBOAG8AIABkAGEAdABhAFwAIgAsAFwAIgBNAG8AbAB5AGIAZABlAG4AdQBtAFwAIgAsAFwAIgBOAG8AIABkAGEAdABhAFwAIgAsAFwAIgBaAGkAbgBjAFwAIgAsAFwAIgBOAG8AIABkAGEAdABhAFwAIgAsAFwAIgBcACIALABcACIAXAAiACwAXAAiAFwAIgAsAFwAIgBcACIALABcACIAXAAiACwAXAAiAFwAIgAsAFwAIgBcACIALABcACIAXAAiACwAXAAiAFwAIgAsAFwAIgBcACIAOwBcAG4AXAAiAEMAUwBCAFAAXAAiACwAXAAiAFMAdQBwAGUAcgAgACYAIABQAG8AdABhAHMAaAAgADMAOgAxAFwAIgAsAFwAIgBrAGcAXAAiACwAMQAsAFwAIgBcACIALABcACIAXAAiACwAXAAiAFwAIgAsAFwAIgBcACIALAA1AC4ANQAsADEANQAsADYALgA4ADgALABcACIAUwBpAG4AZwBsAGUAIABzAHUAcABlAHIAcABoAG8AcwBwAGgAYQB0AGUAIAAoAFMAUwBQACkAXAAiACwAMAAuADYAMgA1ACwAXAAiAE0AdQByAGkAYQB0AGUAIABvAGYAIABwAG8AdABhAHMAaAAgACgATQBPAFAAKQBcACIALAAwAC4AMwAsAFwAIgBcACIALABcACIAXAAiACwAXAAiAFwAIgAsAFwAIgBcACIALABcACIAXAAiACwAXAAiAFwAIgAsAFwAIgBcACIALABcACIAXAAiACwAXAAiAFwAIgAsAFwAIgBcACIALABcACIAXAAiACwAXAAiAFwAIgAsAFwAIgBcACIALABcACIAXAAiACwAXAAiAFwAIgAsAFwAIgBcACIAOwBcAG4AXAAiAFkAYQByAGEAXAAiACwAXAAiAFkAYQByAGEAQgBlAGwAYQAgAEMAQQBOAC0AMgA3AFwAIgAsAFwAIgBrAGcAXAAiACwAMQAsAFwAIgBcACIALABcACIAXAAiACwAXAAiAFwAIgAsADIANwAsAFwAIgBcACIALABcACIAXAAiACwAXAAiAFwAIgAsAFwAIgBDAGEAbABjAGkAdQBtACAAYQBtAG0AbwBuAGkAdQBtACAAbgBpAHQAcgBhAHQAZQAgACgAQwBBAE4AKQBcACIALAAxACwAXAAiAFwAIgAsAFwAIgBcACIALABcACIAXAAiACwAXAAiAFwAIgAsAFwAIgBcACIALABcACIAXAAiACwAXAAiAFwAIgAsAFwAIgBcACIALABcACIAXAAiACwAXAAiAFwAIgAsAFwAIgBcACIALABcACIAXAAiACwAXAAiAFwAIgAsAFwAIgBcACIALABcACIAXAAiACwAXAAiAFwAIgAsAFwAIgBcACIALABcACIAXAAiADsAXABuAFwAIgBJAG4AYwBpAHQAZQBjACAAUABpAHYAbwB0ACAARgBlAHIAdABpAGwAaQBzAGUAcgBzAFwAIgAsAFwAIgBDAGEAbAAtAEcAcgBhAG4AIABBAGYAdABlAHIAZwByAGEAegBlAFwAIgAsAFwAIgBrAGcAXAAiACwAMQAsAFwAIgBcACIALABcACIAXAAiACwAXAAiAFwAIgAsADIAMAAuADYALAAzACwANwAuADUALAAzAC4AOAAsAFwAIgBOAGkAdAByAG8AZwBlAG4AIAAtACAATgBpAHQAcgBhAHQAZQBcACIALAAwAC4AMAA2ADQALABcACIATgBpAHQAcgBvAGcAZQBuACAALQAgAEEAbQBtAG8AbgBpAGEAYwBhAGwAXAAiACwAMAAuADEANAAyACwAXAAiAFAAaABvAHMAcABoAG8AcgB1AHMAIAAtACAARwBlAG4AZQByAGkAYwBcACIALAAwAC4AMAAzACwAXAAiAFAAbwB0AGEAcwBzAGkAdQBtACAALQAgAEcAZQBuAGUAcgBpAGMAXAAiACwAMAAuADAANwA1ACwAXAAiAFMAdQBsAGYAdQByACAALQAgAEcAZQBuAGUAcgBpAGMAXAAiACwAMAAuADAAMwA4ACwAXAAiAEMAYQBsAGMAaQB1AG0AXAAiACwAMAAuADAANAA0ACwAXAAiAFwAIgAsAFwAIgBcACIALABcACIAXAAiACwAXAAiAFwAIgAsAFwAIgBcACIALABcACIAXAAiACwAXAAiAFwAIgAsAFwAIgBcACIAOwBcAG4AXAAiAEkAbgBjAGkAdABlAGMAIABQAGkAdgBvAHQAIABGAGUAcgB0AGkAbABpAHMAZQByAHMAXAAiACwAXAAiAEMAYQBsAC0ARwByAGEAbgAgAFAAcgBvAGQAcgBlAHMAcwBcACIALABcACIAawBnAFwAIgAsADEALABcACIAXAAiACwAXAAiAFwAIgAsAFwAIgBcACIALAAxADcALgA4ACwAMQAsADEANQAsADIALgA1ACwAXAAiAE4AaQB0AHIAbwBnAGUAbgAgAC0AIABOAGkAdAByAGEAdABlAFwAIgAsADAALgAwADUANQAsAFwAIgBOAGkAdAByAG8AZwBlAG4AIAAtACAAQQBtAG0AbwBuAGkAYQBjAGEAbABcACIALAAwAC4AMQAyADMALABcACIAUABoAG8AcwBwAGgAbwByAHUAcwAgAC0AIABHAGUAbgBlAHIAaQBjAFwAIgAsADAALgAwADEALABcACIAUABvAHQAYQBzAHMAaQB1AG0AIAAtACAARwBlAG4AZQByAGkAYwBcACIALAAwAC4AMQA1ACwAXAAiAFMAdQBsAGYAdQByACAALQAgAEcAZQBuAGUAcgBpAGMAXAAiACwAMAAuADAAMgA1ACwAXAAiAEMAYQBsAGMAaQB1AG0AXAAiACwAMAAuADAANAA0ACwAXAAiAFwAIgAsAFwAIgBcACIALABcACIAXAAiACwAXAAiAFwAIgAsAFwAIgBcACIALABcACIAXAAiACwAXAAiAFwAIgAsAFwAIgBcACIAOwBcAG4AXAAiAFcAZQBuAGcAZgB1ACAAQQB1AHMAdAByAGEAbABpAGEAXAAiACwAXAAiAFcAZQBuAGcAZgB1ACAAUAByAGkAbQBlAFoAaQBuAGMAIAAxADAAXAAiACwAXAAiAGsAZwBcACIALAAxACwAXAAiAFwAIgAsAFwAIgBcACIALABcACIAXAAiACwAMQAwACwAMgAyACwAXAAiAFwAIgAsADEALgA1ACwAXAAiAE4AaQB0AHIAbwBnAGUAbgAgAC0AIABHAGUAbgBlAHIAaQBjAFwAIgAsADAALgAxACwAXAAiAFAAaABvAHMAcABoAG8AcgB1AHMAIAAtACAARwBlAG4AZQByAGkAYwBcACIALAAwAC4AMgAyACwAXAAiAFMAdQBsAGYAdQByACAALQAgAEcAZQBuAGUAcgBpAGMAXAAiACwAMAAuADAAMQA1ACwAXAAiAFoAaQBuAGMAXAAiACwAMAAuADAAMQAsAFwAIgBcACIALABcACIAXAAiACwAXAAiAFwAIgAsAFwAIgBcACIALABcACIAXAAiACwAXAAiAFwAIgAsAFwAIgBcACIALABcACIAXAAiACwAXAAiAFwAIgAsAFwAIgBcACIALABcACIAXAAiACwAXAAiAFwAIgA7AFwAbgBcACIAVwBlAG4AZwBmAHUAIABBAHUAcwB0AHIAYQBsAGkAYQBcACIALABcACIAVwBlAG4AZwBmAHUAIABQAGEAcwB0AHUAcgBlACAASwBpAG4AZwBcACIALABcACIAawBnAFwAIgAsADEALABcACIAXAAiACwAXAAiAFwAIgAsAFwAIgBcACIALABcACIAXAAiACwAMQA1AC4ANwAsAFwAIgBcACIALAA0AC4ANgAsAFwAIgBQAGgAbwBzAHAAaABvAHIAdQBzACAALQAgAEcAZQBuAGUAcgBpAGMAXAAiACwAMAAuADEANQA3ACwAXAAiAFMAdQBsAGYAdQByACAALQAgAEcAZQBuAGUAcgBpAGMAXAAiACwAMAAuADAANAA2ACwAXAAiAEMAYQBsAGMAaQB1AG0AXAAiACwAMAAuADEANAAsAFwAIgBcACIALABcACIAXAAiACwAXAAiAFwAIgAsAFwAIgBcACIALABcACIAXAAiACwAXAAiAFwAIgAsAFwAIgBcACIALABcACIAXAAiACwAXAAiAFwAIgAsAFwAIgBcACIALABcACIAXAAiACwAXAAiAFwAIgAsAFwAIgBcACIALABcACIAXAAiADsAXABuAFwAIgBXAGUAbgBnAGYAdQAgAEEAdQBzAHQAcgBhAGwAaQBhAFwAIgAsAFwAIgBXAGUAbgBnAGYAdQAgAFMAdQBTAHQAYQBpAG4AXAAiACwAXAAiAGsAZwBcACIALAAxACwAXAAiAFwAIgAsAFwAIgBcACIALABcACIAXAAiACwAXAAiAFwAIgAsAFwAIgBcACIALABcACIAXAAiACwAOQAwACwAXAAiAFMAdQBsAGYAdQByACAALQAgAEcAZQBuAGUAcgBpAGMAXAAiACwAMAAuADkALABcACIAXAAiACwAXAAiAFwAIgAsAFwAIgBcACIALABcACIAXAAiACwAXAAiAFwAIgAsAFwAIgBcACIALABcACIAXAAiACwAXAAiAFwAIgAsAFwAIgBcACIALABcACIAXAAiACwAXAAiAFwAIgAsAFwAIgBcACIALABcACIAXAAiACwAXAAiAFwAIgAsAFwAIgBcACIALABcACIAXAAiACwAXAAiAFwAIgAsAFwAIgBcACIAOwBcAG4AXAAiAFcAZQBuAGcAZgB1ACAAQQB1AHMAdAByAGEAbABpAGEAXAAiACwAXAAiAFcAZQBuAGcAZgB1ACAAUwBsAGEAbQBcACIALABcACIAawBnAFwAIgAsADEALABcACIAXAAiACwAXAAiAFwAIgAsAFwAIgBcACIALAAxADkALgA1ACwAMAAuADcALABcACIAXAAiACwAMgAzACwAXAAiAE4AaQB0AHIAbwBnAGUAbgAgAC0AIABHAGUAbgBlAHIAaQBjAFwAIgAsADAALgAxADkANQAsAFwAIgBQAGgAbwBzAHAAaABvAHIAdQBzACAALQAgAEcAZQBuAGUAcgBpAGMAXAAiACwAMAAuADAAMAA3ACwAXAAiAFMAdQBsAGYAdQByACAALQAgAEcAZQBuAGUAcgBpAGMAXAAiACwAMAAuADIAMwAsAFwAIgBcACIALABcACIAXAAiACwAXAAiAFwAIgAsAFwAIgBcACIALABcACIAXAAiACwAXAAiAFwAIgAsAFwAIgBcACIALABcACIAXAAiACwAXAAiAFwAIgAsAFwAIgBcACIALABcACIAXAAiACwAXAAiAFwAIgAsAFwAIgBcACIALABcACIAXAAiADsAXABuAFwAIgBXAGUAbgBnAGYAdQAgAEEAdQBzAHQAcgBhAGwAaQBhAFwAIgAsAFwAIgBXAGUAbgBnAGYAdQAgAFAAcgBpAG0AZQAgAE0AUwBaAFwAIgAsAFwAIgBrAGcAXAAiACwAMQAsAFwAIgBcACIALABcACIAXAAiACwAXAAiAFwAIgAsADEAMAAsADEAOAAsAFwAIgBcACIALAA4ACwAXAAiAE4AaQB0AHIAbwBnAGUAbgAgAC0AIABHAGUAbgBlAHIAaQBjAFwAIgAsADAALgAxACwAXAAiAFAAaABvAHMAcABoAG8AcgB1AHMAIAAtACAARwBlAG4AZQByAGkAYwBcACIALAAwAC4AMQA4ACwAXAAiAFMAdQBsAGYAdQByACAALQAgAEcAZQBuAGUAcgBpAGMAXAAiACwAMAAuADAAOAAsAFwAIgBaAGkAbgBjAFwAIgAsADAALgAwADAANQAsAFwAIgBcACIALABcACIAXAAiACwAXAAiAFwAIgAsAFwAIgBcACIALABcACIAXAAiACwAXAAiAFwAIgAsAFwAIgBcACIALABcACIAXAAiACwAXAAiAFwAIgAsAFwAIgBcACIALABcACIAXAAiACwAXAAiAFwAIgA7AFwAbgBcACIAVwBlAG4AZwBmAHUAIABBAHUAcwB0AHIAYQBsAGkAYQBcACIALABcACIAVwBlAG4AZwBmAHUAIAA5AC0AMgAwAC0AMAAtADEAMAAgAE0AQQBQACAAUwB1AFMAdABhAGkAbgBcACIALABcACIAawBnAFwAIgAsADEALABcACIAXAAiACwAXAAiAFwAIgAsAFwAIgBcACIALAA5ACwAMQA5AC4AOAAsADAALAAxADAALgA0ACwAXAAiAE4AaQB0AHIAbwBnAGUAbgAgAC0AIABHAGUAbgBlAHIAaQBjAFwAIgAsADAALgAwADkALABcACIAUABoAG8AcwBwAGgAbwByAHUAcwAgAC0AIABHAGUAbgBlAHIAaQBjAFwAIgAsADAALgAxADkAOAAsAFwAIgBTAHUAbABmAHUAcgAgAC0AIABHAGUAbgBlAHIAaQBjAFwAIgAsADAALgAxADAANAAsAFwAIgBcACIALABcACIAXAAiACwAXAAiAFwAIgAsAFwAIgBcACIALABcACIAXAAiACwAXAAiAFwAIgAsAFwAIgBcACIALABcACIAXAAiACwAXAAiAFwAIgAsAFwAIgBcACIALABcACIAXAAiACwAXAAiAFwAIgAsAFwAIgBcACIALABcACIAXAAiADsAXABuAFwAIgBXAGUAbgBnAGYAdQAgAEEAdQBzAHQAcgBhAGwAaQBhAFwAIgAsAFwAIgBXAGUAbgBnAGYAdQAgADEANQAtADEANwAtADAALQAxADUAIABEAEEAUAAgAFMAdQBTAHQAYQBpAG4AXAAiACwAXAAiAGsAZwBcACIALAAxACwAXAAiAFwAIgAsAFwAIgBcACIALABcACIAXAAiACwAMQA1AC4AMgAsADEANgAuADkALAAwACwAMQA1AC4AMgAsAFwAIgBOAGkAdAByAG8AZwBlAG4AIAAtACAARwBlAG4AZQByAGkAYwBcACIALAAwAC4AMQA1ADIALABcACIAUABoAG8AcwBwAGgAbwByAHUAcwAgAC0AIABHAGUAbgBlAHIAaQBjAFwAIgAsADAALgAxADYAOQAsAFwAIgBTAHUAbABmAHUAcgAgAC0AIABHAGUAbgBlAHIAaQBjAFwAIgAsADAALgAxADUAMgAsAFwAIgBcACIALABcACIAXAAiACwAXAAiAFwAIgAsAFwAIgBcACIALABcACIAXAAiACwAXAAiAFwAIgAsAFwAIgBcACIALABcACIAXAAiACwAXAAiAFwAIgAsAFwAIgBcACIALABcACIAXAAiACwAXAAiAFwAIgAsAFwAIgBcACIALABcACIAXAAiADsAXABuAFwAIgBXAGUAbgBnAGYAdQAgAEEAdQBzAHQAcgBhAGwAaQBhAFwAIgAsAFwAIgBXAGUAbgBnAGYAdQAgADEANgAtADEAOAAtADAALQAxADAAIABEAEEAUAAgAFMAdQBTAHQAYQBpAG4AXAAiACwAXAAiAGsAZwBcACIALAAxACwAXAAiAFwAIgAsAFwAIgBcACIALABcACIAXAAiACwAMQA2AC4AMgAsADEAOAAsADAALAAxADAALgA0ACwAXAAiAE4AaQB0AHIAbwBnAGUAbgAgAC0AIABHAGUAbgBlAHIAaQBjAFwAIgAsADAALgAxADYAMgAsAFwAIgBQAGgAbwBzAHAAaABvAHIAdQBzACAALQAgAEcAZQBuAGUAcgBpAGMAXAAiACwAMAAuADEAOAAsAFwAIgBTAHUAbABmAHUAcgAgAC0AIABHAGUAbgBlAHIAaQBjAFwAIgAsADAALgAxADAANAAsAFwAIgBcACIALABcACIAXAAiACwAXAAiAFwAIgAsAFwAIgBcACIALABcACIAXAAiACwAXAAiAFwAIgAsAFwAIgBcACIALABcACIAXAAiACwAXAAiAFwAIgAsAFwAIgBcACIALABcACIAXAAiACwAXAAiAFwAIgAsAFwAIgBcACIALABcACIAXAAiADsAXABuAFwAIgBXAGUAbgBnAGYAdQAgAEEAdQBzAHQAcgBhAGwAaQBhAFwAIgAsAFwAIgBXAGUAbgBnAGYAdQAgADUALQAxADUALQAwAC0ANgAgAEYAYQBzAHQAIABTAHQAYQByAHQAIABMAGUAZwB1AG0AZQBcACIALABcACIAawBnAFwAIgAsADEALABcACIAXAAiACwAXAAiAFwAIgAsAFwAIgBcACIALAA1ACwAMQA1AC4ANAAsADAALAA2AC4AMwAsAFwAIgBOAGkAdAByAG8AZwBlAG4AIAAtACAARwBlAG4AZQByAGkAYwBcACIALAAwAC4AMAA1ACwAXAAiAFAAaABvAHMAcABoAG8AcgB1AHMAIAAtACAARwBlAG4AZQByAGkAYwBcACIALAAwAC4AMQA1ADQALABcACIAUwB1AGwAZgB1AHIAIAAtACAARwBlAG4AZQByAGkAYwBcACIALAAwAC4AMAA2ADMALABcACIAXAAiACwAXAAiAFwAIgAsAFwAIgBcACIALABcACIAXAAiACwAXAAiAFwAIgAsAFwAIgBcACIALABcACIAXAAiACwAXAAiAFwAIgAsAFwAIgBcACIALABcACIAXAAiACwAXAAiAFwAIgAsAFwAIgBcACIALABcACIAXAAiACwAXAAiAFwAIgA7AFwAbgBcACIAVwBlAG4AZwBmAHUAIABBAHUAcwB0AHIAYQBsAGkAYQBcACIALABcACIAVwBlAG4AZwBmAHUAIAA5AC0AMgAwAC0AMAAtADEAMAAgAFAAcgBpAG0AZQBaAGkAbgBjAFwAIgAsAFwAIgBrAGcAXAAiACwAMQAsAFwAIgBcACIALABcACIAXAAiACwAXAAiAFwAIgAsADkALAAxADkALgA4ACwAMAAsADEAMAAuADQALABcACIATgBpAHQAcgBvAGcAZQBuACAALQAgAEcAZQBuAGUAcgBpAGMAXAAiACwAMAAuADAAOQAsAFwAIgBQAGgAbwBzAHAAaABvAHIAdQBzACAALQAgAEcAZQBuAGUAcgBpAGMAXAAiACwAMAAuADEAOQA4ACwAXAAiAFMAdQBsAGYAdQByACAALQAgAEcAZQBuAGUAcgBpAGMAXAAiACwAMAAuADEAMAA0ACwAXAAiAFoAaQBuAGMAXAAiACwAMAAuADAAMAA5ACwAXAAiAFwAIgAsAFwAIgBcACIALABcACIAXAAiACwAXAAiAFwAIgAsAFwAIgBcACIALABcACIAXAAiACwAXAAiAFwAIgAsAFwAIgBcACIALABcACIAXAAiACwAXAAiAFwAIgAsAFwAIgBcACIALABcACIAXAAiADsAXABuAFwAIgBXAGUAbgBnAGYAdQAgAEEAdQBzAHQAcgBhAGwAaQBhAFwAIgAsAFwAIgBXAGUAbgBnAGYAdQAgADEAMgAtADEAOAAtADAALQA2ACAAUAByAGkAbQBlAFoAaQBuAGMAXAAiACwAXAAiAGsAZwBcACIALAAxACwAXAAiAFwAIgAsAFwAIgBcACIALABcACIAXAAiACwAMQAxAC4AOQAsADEANwAuADYALAAwACwANQAuADkALABcACIATgBpAHQAcgBvAGcAZQBuACAALQAgAEcAZQBuAGUAcgBpAGMAXAAiACwAMAAuADEAMQA5ACwAXAAiAFAAaABvAHMAcABoAG8AcgB1AHMAIAAtACAARwBlAG4AZQByAGkAYwBcACIALAAwAC4AMQA3ADYALABcACIAUwB1AGwAZgB1AHIAIAAtACAARwBlAG4AZQByAGkAYwBcACIALAAwAC4AMAA1ADkALABcACIAWgBpAG4AYwBcACIALAAwAC4AMAAwADgALABcACIAXAAiACwAXAAiAFwAIgAsAFwAIgBcACIALABcACIAXAAiACwAXAAiAFwAIgAsAFwAIgBcACIALABcACIAXAAiACwAXAAiAFwAIgAsAFwAIgBcACIALABcACIAXAAiACwAXAAiAFwAIgAsAFwAIgBcACIAOwBcAG4AXAAiAFcAZQBuAGcAZgB1ACAAQQB1AHMAdAByAGEAbABpAGEAXAAiACwAXAAiAFcAZQBuAGcAZgB1ACAAMQA0AC0AMQAzAC0AMAAtADEAMQAgAFAAcgBpAG0AZQBaAGkAbgBjAFwAIgAsAFwAIgBrAGcAXAAiACwAMQAsAFwAIgBcACIALABcACIAXAAiACwAXAAiAFwAIgAsADEANAAuADEALAAxADIALgA4ACwAMAAsADEAMAAuADcALABcACIATgBpAHQAcgBvAGcAZQBuACAALQAgAEcAZQBuAGUAcgBpAGMAXAAiACwAMAAuADEANAAxACwAXAAiAFAAaABvAHMAcABoAG8AcgB1AHMAIAAtACAARwBlAG4AZQByAGkAYwBcACIALAAwAC4AMQAyADgALABcACIAUwB1AGwAZgB1AHIAIAAtACAARwBlAG4AZQByAGkAYwBcACIALAAwAC4AMQAwADcALABcACIAWgBpAG4AYwBcACIALAAwAC4AMAAwADYALABcACIAXAAiACwAXAAiAFwAIgAsAFwAIgBcACIALABcACIAXAAiACwAXAAiAFwAIgAsAFwAIgBcACIALABcACIAXAAiACwAXAAiAFwAIgAsAFwAIgBcACIALABcACIAXAAiACwAXAAiAFwAIgAsAFwAIgBcACIAXABuACAAIAB9ACwAIAByACwAIABjACkAXABuACAAKQApACkAOwBcAG4AXABuAFwAbgBGAGUAcgB0AGkAbABpAHMAZQByAF8AUAByAG8AZAB1AGMAdABzAF8ARABhAHQAYQA1AFwAbgA9AEwAQQBNAEIARABBACgAXABuACAATQBBAEsARQBBAFIAUgBBAFkAKAAxADQALAAgADMAMQAsAFwAbgAgAEwAQQBNAEIARABBACgAcgAsAGMALABcAG4AIAAgAEkATgBEAEUAWAAoAHsAXABuAFwAIgBXAGUAbgBnAGYAdQAgAEEAdQBzAHQAcgBhAGwAaQBhAFwAIgAsAFwAIgBXAGUAbgBnAGYAdQAgADEAOQAtADEAMwAtADAALQA3ACAAUAByAGkAbQBlAFoAaQBuAGMAXAAiACwAXAAiAGsAZwBcACIALAAxACwAXAAiAFwAIgAsAFwAIgBcACIALABcACIAXAAiACwAMQA4AC4ANgAsADEAMgAuADcALAAwACwANgAuADgALABcACIATgBpAHQAcgBvAGcAZQBuACAALQAgAEcAZQBuAGUAcgBpAGMAXAAiACwAMAAuADEAOAA2ACwAXAAiAFAAaABvAHMAcABoAG8AcgB1AHMAIAAtACAARwBlAG4AZQByAGkAYwBcACIALAAwAC4AMQAyADcALABcACIAUwB1AGwAZgB1AHIAIAAtACAARwBlAG4AZQByAGkAYwBcACIALAAwAC4AMAA2ADgALABcACIAWgBpAG4AYwBcACIALAAwAC4AMAAwADYALABcACIAXAAiACwAXAAiAFwAIgAsAFwAIgBcACIALABcACIAXAAiACwAXAAiAFwAIgAsAFwAIgBcACIALABcACIAXAAiACwAXAAiAFwAIgAsAFwAIgBcACIALABcACIAXAAiACwAXAAiAFwAIgAsAFwAIgBcACIAOwBcAG4AXAAiAFcAZQBuAGcAZgB1ACAAQQB1AHMAdAByAGEAbABpAGEAXAAiACwAXAAiAFcAZQBuAGcAZgB1ACAAQgBvAG8AcwB0AGUAcgAgAEsAXAAiACwAXAAiAGsAZwBcACIALAAxACwAXAAiAFwAIgAsAFwAIgBcACIALABcACIAXAAiACwAMwAyACwAMAAsADEAMQAsADMALABcACIATgBpAHQAcgBvAGcAZQBuACAALQAgAEcAZQBuAGUAcgBpAGMAXAAiACwAMAAuADMAMgAsAFwAIgBQAG8AdABhAHMAcwBpAHUAbQAgAC0AIABHAGUAbgBlAHIAaQBjAFwAIgAsADAALgAxADEALABcACIAUwB1AGwAZgB1AHIAIAAtACAARwBlAG4AZQByAGkAYwBcACIALAAwAC4AMAAzACwAXAAiAFwAIgAsAFwAIgBcACIALABcACIAXAAiACwAXAAiAFwAIgAsAFwAIgBcACIALABcACIAXAAiACwAXAAiAFwAIgAsAFwAIgBcACIALABcACIAXAAiACwAXAAiAFwAIgAsAFwAIgBcACIALABcACIAXAAiACwAXAAiAFwAIgAsAFwAIgBcACIAOwBcAG4AXAAiAFcAZQBuAGcAZgB1ACAAQQB1AHMAdAByAGEAbABpAGEAXAAiACwAXAAiAFcAZQBuAGcAZgB1ACAAQgBvAG8AcwB0AGUAcgAgAFIAaQBjAGgAIAAxAFwAIgAsAFwAIgBrAGcAXAAiACwAMQAsAFwAIgBcACIALABcACIAXAAiACwAXAAiAFwAIgAsADMAMQAsADYALAAwACwANgAsAFwAIgBOAGkAdAByAG8AZwBlAG4AIAAtACAARwBlAG4AZQByAGkAYwBcACIALAAwAC4AMwAxACwAXAAiAFAAaABvAHMAcABoAG8AcgB1AHMAIAAtACAARwBlAG4AZQByAGkAYwBcACIALAAwAC4AMAA2ACwAXAAiAFMAdQBsAGYAdQByACAALQAgAEcAZQBuAGUAcgBpAGMAXAAiACwAMAAuADAANgAsAFwAIgBcACIALABcACIAXAAiACwAXAAiAFwAIgAsAFwAIgBcACIALABcACIAXAAiACwAXAAiAFwAIgAsAFwAIgBcACIALABcACIAXAAiACwAXAAiAFwAIgAsAFwAIgBcACIALABcACIAXAAiACwAXAAiAFwAIgAsAFwAIgBcACIALABcACIAXAAiADsAXABuAFwAIgBXAGUAbgBnAGYAdQAgAEEAdQBzAHQAcgBhAGwAaQBhAFwAIgAsAFwAIgBXAGUAbgBnAGYAdQAgAEIAbwBvAHMAdABlAHIAIABHAHIAYQBzAHMAIABEAEEAUABcACIALABcACIAawBnAFwAIgAsADEALABcACIAXAAiACwAXAAiAFwAIgAsAFwAIgBcACIALAAyADEALAA0ACwAOAAsADcALABcACIATgBpAHQAcgBvAGcAZQBuACAALQAgAEcAZQBuAGUAcgBpAGMAXAAiACwAMAAuADIAMQAsAFwAIgBQAGgAbwBzAHAAaABvAHIAdQBzACAALQAgAEcAZQBuAGUAcgBpAGMAXAAiACwAMAAuADAANAAsAFwAIgBQAG8AdABhAHMAcwBpAHUAbQAgAC0AIABHAGUAbgBlAHIAaQBjAFwAIgAsADAALgAwADgALABcACIAUwB1AGwAZgB1AHIAIAAtACAARwBlAG4AZQByAGkAYwBcACIALAAwAC4AMAA3ACwAXAAiAFwAIgAsAFwAIgBcACIALABcACIAXAAiACwAXAAiAFwAIgAsAFwAIgBcACIALABcACIAXAAiACwAXAAiAFwAIgAsAFwAIgBcACIALABcACIAXAAiACwAXAAiAFwAIgAsAFwAIgBcACIALABcACIAXAAiADsAXABuAFwAIgBXAGUAbgBnAGYAdQAgAEEAdQBzAHQAcgBhAGwAaQBhAFwAIgAsAFwAIgBXAGUAbgBnAGYAdQAgAEEAZgB0AGUAcgBnAHIAYQB6AGUAXAAiACwAXAAiAGsAZwBcACIALAAxACwAXAAiAFwAIgAsAFwAIgBcACIALABcACIAXAAiACwAMgAzACwAMAAsADIANQAsADAALABcACIATgBpAHQAcgBvAGcAZQBuACAALQAgAEcAZQBuAGUAcgBpAGMAXAAiACwAMAAuADIAMwAsAFwAIgBQAG8AdABhAHMAcwBpAHUAbQAgAC0AIABHAGUAbgBlAHIAaQBjAFwAIgAsADAALgAyADUALABcACIAXAAiACwAXAAiAFwAIgAsAFwAIgBcACIALABcACIAXAAiACwAXAAiAFwAIgAsAFwAIgBcACIALABcACIAXAAiACwAXAAiAFwAIgAsAFwAIgBcACIALABcACIAXAAiACwAXAAiAFwAIgAsAFwAIgBcACIALABcACIAXAAiACwAXAAiAFwAIgAsAFwAIgBcACIALABcACIAXAAiADsAXABuAFwAIgBXAGUAbgBnAGYAdQAgAEEAdQBzAHQAcgBhAGwAaQBhAFwAIgAsAFwAIgBXAGUAbgBnAGYAdQAgAFMAaQBkAGUAZAByAGUAcwBzAFwAIgAsAFwAIgBrAGcAXAAiACwAMQAsAFwAIgBcACIALABcACIAXAAiACwAXAAiAFwAIgAsADIANQAsADQALAAxADMALAA0ACwAXAAiAE4AaQB0AHIAbwBnAGUAbgAgAC0AIABHAGUAbgBlAHIAaQBjAFwAIgAsADAALgAyADUALABcACIAUABoAG8AcwBwAGgAbwByAHUAcwAgAC0AIABHAGUAbgBlAHIAaQBjAFwAIgAsADAALgAwADQALABcACIAUABvAHQAYQBzAHMAaQB1AG0AIAAtACAARwBlAG4AZQByAGkAYwBcACIALAAwAC4AMQAzACwAXAAiAFMAdQBsAGYAdQByACAALQAgAEcAZQBuAGUAcgBpAGMAXAAiACwAMAAuADAANAAsAFwAIgBcACIALABcACIAXAAiACwAXAAiAFwAIgAsAFwAIgBcACIALABcACIAXAAiACwAXAAiAFwAIgAsAFwAIgBcACIALABcACIAXAAiACwAXAAiAFwAIgAsAFwAIgBcACIALABcACIAXAAiACwAXAAiAFwAIgA7AFwAbgBcACIAVwBlAG4AZwBmAHUAIABBAHUAcwB0AHIAYQBsAGkAYQBcACIALABcACIAVwBlAG4AZwBmAHUAIABQAGEAcwB0AHUAcgBlACAAQgBvAG8AcwB0AGUAcgBcACIALABcACIAawBnAFwAIgAsADEALABcACIAXAAiACwAXAAiAFwAIgAsAFwAIgBcACIALAAxADMALAA1ACwAMgA0ACwANQAsAFwAIgBOAGkAdAByAG8AZwBlAG4AIAAtACAARwBlAG4AZQByAGkAYwBcACIALAAwAC4AMQAzACwAXAAiAFAAaABvAHMAcABoAG8AcgB1AHMAIAAtACAARwBlAG4AZQByAGkAYwBcACIALAAwAC4AMAA1ACwAXAAiAFAAbwB0AGEAcwBzAGkAdQBtACAALQAgAEcAZQBuAGUAcgBpAGMAXAAiACwAMAAuADIANAAsAFwAIgBTAHUAbABmAHUAcgAgAC0AIABHAGUAbgBlAHIAaQBjAFwAIgAsADAALgAwADUALABcACIAXAAiACwAXAAiAFwAIgAsAFwAIgBcACIALABcACIAXAAiACwAXAAiAFwAIgAsAFwAIgBcACIALABcACIAXAAiACwAXAAiAFwAIgAsAFwAIgBcACIALABcACIAXAAiACwAXAAiAFwAIgAsAFwAIgBcACIAOwBcAG4AXAAiAFcAZQBuAGcAZgB1ACAAQQB1AHMAdAByAGEAbABpAGEAXAAiACwAXAAiAFcAZQBuAGcAZgB1ACAARABBAFAAIABIAGEAeQAgAEIAbwBvAHMAdABlAHIAXAAiACwAXAAiAGsAZwBcACIALAAxACwAXAAiAFwAIgAsAFwAIgBcACIALABcACIAXAAiACwAMQAxACwANQAsADIANAAsADQALABcACIATgBpAHQAcgBvAGcAZQBuACAALQAgAEcAZQBuAGUAcgBpAGMAXAAiACwAMAAuADEAMQAsAFwAIgBQAGgAbwBzAHAAaABvAHIAdQBzACAALQAgAEcAZQBuAGUAcgBpAGMAXAAiACwAMAAuADAANQAsAFwAIgBQAG8AdABhAHMAcwBpAHUAbQAgAC0AIABHAGUAbgBlAHIAaQBjAFwAIgAsADAALgAyADQALABcACIAUwB1AGwAZgB1AHIAIAAtACAARwBlAG4AZQByAGkAYwBcACIALAAwAC4AMAA0ACwAXAAiAFwAIgAsAFwAIgBcACIALABcACIAXAAiACwAXAAiAFwAIgAsAFwAIgBcACIALABcACIAXAAiACwAXAAiAFwAIgAsAFwAIgBcACIALABcACIAXAAiACwAXAAiAFwAIgAsAFwAIgBcACIALABcACIAXAAiADsAXABuAFwAIgBXAGUAbgBnAGYAdQAgAEEAdQBzAHQAcgBhAGwAaQBhAFwAIgAsAFwAIgBXAGUAbgBnAGYAdQAgAE0AQQBQACAASABhAHkAIABCAG8AbwBzAHQAZQByAFwAIgAsAFwAIgBrAGcAXAAiACwAMQAsAFwAIgBcACIALABcACIAXAAiACwAXAAiAFwAIgAsADEAMQAsADgALAAyADAALAA2ACwAXAAiAE4AaQB0AHIAbwBnAGUAbgAgAC0AIABHAGUAbgBlAHIAaQBjAFwAIgAsADAALgAxADEALABcACIAUABoAG8AcwBwAGgAbwByAHUAcwAgAC0AIABHAGUAbgBlAHIAaQBjAFwAIgAsADAALgAwADgALABcACIAUABvAHQAYQBzAHMAaQB1AG0AIAAtACAARwBlAG4AZQByAGkAYwBcACIALAAwAC4AMgAsAFwAIgBTAHUAbABmAHUAcgAgAC0AIABHAGUAbgBlAHIAaQBjAFwAIgAsADAALgAwADYALABcACIAXAAiACwAXAAiAFwAIgAsAFwAIgBcACIALABcACIAXAAiACwAXAAiAFwAIgAsAFwAIgBcACIALABcACIAXAAiACwAXAAiAFwAIgAsAFwAIgBcACIALABcACIAXAAiACwAXAAiAFwAIgAsAFwAIgBcACIAOwBcAG4AXAAiAFcAZQBuAGcAZgB1ACAAQQB1AHMAdAByAGEAbABpAGEAXAAiACwAXAAiAFcAZQBuAGcAZgB1ACAARgBvAGQAZABlAHIAIABCAG8AbwBzAHQAZQByAFwAIgAsAFwAIgBrAGcAXAAiACwAMQAsAFwAIgBcACIALABcACIAXAAiACwAXAAiAFwAIgAsADkALAA0ACwANQAsADEANQAsAFwAIgBOAGkAdAByAG8AZwBlAG4AIAAtACAARwBlAG4AZQByAGkAYwBcACIALAAwAC4AMAA5ACwAXAAiAFAAaABvAHMAcABoAG8AcgB1AHMAIAAtACAARwBlAG4AZQByAGkAYwBcACIALAAwAC4AMAA0ACwAXAAiAFAAbwB0AGEAcwBzAGkAdQBtACAALQAgAEcAZQBuAGUAcgBpAGMAXAAiACwAMAAuADAANQAsAFwAIgBTAHUAbABmAHUAcgAgAC0AIABHAGUAbgBlAHIAaQBjAFwAIgAsADAALgAxADUALABcACIAXAAiACwAXAAiAFwAIgAsAFwAIgBcACIALABcACIAXAAiACwAXAAiAFwAIgAsAFwAIgBcACIALABcACIAXAAiACwAXAAiAFwAIgAsAFwAIgBcACIALABcACIAXAAiACwAXAAiAFwAIgAsAFwAIgBcACIAOwBcAG4AXAAiAEMAUwBCAFAAXAAiACwAXAAiAEsALQBUAGkAbABsACAARQB4AHQAcgBhAFwAIgAsAFwAIgBrAGcAXAAiACwAMQAsAFwAIgBcACIALABcACIAXAAiACwAXAAiAFwAIgAsADEAMAAuADcAMwAsADEAMAAuADkANQAsADEAMQAuADMANQAsADYALgA1ADUALABcACIATQBvAG4AbwBhAG0AbQBvAG4AaQB1AG0AIABwAGgAbwBzAHAAaABhAHQAZQAgACgATQBBAFAAKQBcACIALAAwAC4ANQAsAFwAIgBTAHUAbABwAGgAYQB0AGUAIABvAGYAIABhAG0AbQBvAG4AaQBhACAAKABTAE8AQQApAFwAIgAsADAALgAyADcAMwAsAFwAIgBNAHUAcgBpAGEAdABlACAAbwBmACAAcABvAHQAYQBzAGgAIAAoAE0ATwBQACkAXAAiACwAMAAuADIAMgA3ACwAXAAiAEMAbwBwAHAAZQByAFwAIgAsAFwAIgBOAG8AIABkAGEAdABhAFwAIgAsAFwAIgBaAGkAbgBjAFwAIgAsAFwAIgBOAG8AIABkAGEAdABhAFwAIgAsAFwAIgBcACIALABcACIAXAAiACwAXAAiAFwAIgAsAFwAIgBcACIALABcACIAXAAiACwAXAAiAFwAIgAsAFwAIgBcACIALABcACIAXAAiACwAXAAiAFwAIgAsAFwAIgBcACIAOwBcAG4AXAAiAEMAUwBCAFAAXAAiACwAXAAiAEEAZwByAGEAcwAgAEUAeAB0AHIAYQBcACIALABcACIAawBnAFwAIgAsADEALABcACIAXAAiACwAXAAiAFwAIgAsAFwAIgBcACIALAAxADYALgA5ADUALAA4AC4AMAA2ACwAXAAiAFwAIgAsADEANQAuADEANwAsAFwAIgBTAHUAbABwAGgAYQB0AGUAIABvAGYAIABhAG0AbQBvAG4AaQBhACAAKABTAE8AQQApAFwAIgAsADAALgA2ADMAMgAsAFwAIgBNAG8AbgBvAGEAbQBtAG8AbgBpAHUAbQAgAHAAaABvAHMAcABoAGEAdABlACAAKABNAEEAUAApAFwAIgAsADAALgAzADYAOAAsAFwAIgBaAGkAbgBjAFwAIgAsAFwAIgBOAG8AIABkAGEAdABhAFwAIgAsAFwAIgBDAG8AcABwAGUAcgBcACIALABcACIATgBvACAAZABhAHQAYQBcACIALABcACIATQBvAGwAeQBiAGQAZQBuAHUAbQBcACIALABcACIATgBvACAAZABhAHQAYQBcACIALABcACIAQwBvAGIAYQBsAHQAXAAiACwAXAAiAE4AbwAgAGQAYQB0AGEAXAAiACwAXAAiAFwAIgAsAFwAIgBcACIALABcACIAXAAiACwAXAAiAFwAIgAsAFwAIgBcACIALABcACIAXAAiACwAXAAiAFwAIgAsAFwAIgBcACIAOwBcAG4AXAAiAEMAUwBCAFAAXAAiACwAXAAiAFMAdQBwAGUAcgAgAEMAbwBwAHAAZQByACAAWgBpAG4AYwAgAE0AbwBsAHkAXAAiACwAXAAiAGsAZwBcACIALAAxACwAXAAiAFwAIgAsAFwAIgBcACIALABcACIAXAAiACwAXAAiAFwAIgAsADgALgA4ACwAXAAiAFwAIgAsADEAMQAsAFwAIgBTAGkAbgBnAGwAZQAgAHMAdQBwAGUAcgBwAGgAbwBzAHAAaABhAHQAZQAgACgAUwBTAFAAKQBcACIALAAxACwAXAAiAEMAbwBwAHAAZQByAFwAIgAsADAALgAwADAANgAsAFwAIgBaAGkAbgBjAFwAIgAsADAALgAwADAAMwAsAFwAIgBNAG8AbAB5AGIAZABlAG4AdQBtAFwAIgAsADAALgAwADAAMAA2ACwAXAAiAFwAIgAsAFwAIgBcACIALABcACIAXAAiACwAXAAiAFwAIgAsAFwAIgBcACIALABcACIAXAAiACwAXAAiAFwAIgAsAFwAIgBcACIALABcACIAXAAiACwAXAAiAFwAIgAsAFwAIgBcACIALABcACIAXAAiADsAXABuAFwAIgBDAFMAQgBQAFwAIgAsAFwAIgBGAGwAZQB4AGkALQBOAFwAIgAsAFwAIgBMAFwAIgAsADEALgAzADIALABcACIAXAAiACwAXAAiAFwAIgAsAFwAIgBcACIALAAzADIALABcACIAXAAiACwAXAAiAFwAIgAsAFwAIgBcACIALABcACIAVQByAGUAYQAtAGEAbQBtAG8AbgBpAHUAbQAgAG4AaQB0AHIAYQB0AGUAIAAoAFUAQQBOACkAXAAiACwAMQAsAFwAIgBcACIALABcACIAXAAiACwAXAAiAFwAIgAsAFwAIgBcACIALABcACIAXAAiACwAXAAiAFwAIgAsAFwAIgBcACIALABcACIAXAAiACwAXAAiAFwAIgAsAFwAIgBcACIALABcACIAXAAiACwAXAAiAFwAIgAsAFwAIgBcACIALABcACIAXAAiACwAXAAiAFwAIgAsAFwAIgBcACIALABcACIAXAAiACwAXAAiAFwAIgBcAG4AIAAgAH0ALAAgAHIALAAgAGMAKQBcAG4AIAApACkAKQA7AFwAbgBcAG4AXABuAFwAbgAiAH0ALAB7ACIAcABhAHQAaAAiADoAIgAvAHAAcgBvAGoAZQBjAHQAcwAvAEUAbABlAGMAdAByAGkAYwBpAHQAeQBfAEUAcQB1AGEAdABpAG8AbgBzACIALAAiAHQAZQB4AHQAIgA6ACIALwAqAFwAbgA9AD0APQA9AD0APQA9AD0APQA9AD0APQA9AD0APQA9AD0APQA9AD0APQA9AD0APQA9AD0APQA9AD0APQA9AD0APQA9AD0APQA9AD0APQA9AD0APQA9AD0APQA9AD0APQA9AD0APQA9AD0APQA9AD0APQA9AD0APQA9AD0APQA9AD0APQA9AD0APQA9AD0APQA9AD0APQA9AFwAbgAxADQAOgAgAEUAbABlAGMAdAByAGkAYwBpAHQAeQBcAG4APQA9AD0APQA9AD0APQA9AD0APQA9AD0APQA9AD0APQA9AD0APQA9AD0APQA9AD0APQA9AD0APQA9AD0APQA9AD0APQA9AD0APQA9AD0APQA9AD0APQA9AD0APQA9AD0APQA9AD0APQA9AD0APQA9AD0APQA9AD0APQA9AD0APQA9AD0APQA9AD0APQA9AD0APQA9AD0APQBcAG4AMQA0AC4AMQAuADEAIABQAHUAcgBjAGgAYQBzAGUAZAAgAEUAbABlAGMAdAByAGkAYwBpAHQAeQAgACgATABvAGMAYQB0AGkAbwBuAC0AQgBhAHMAZQBkACkAXABuADEANAAuADEALgAyACAAUAB1AHIAYwBoAGEAcwBlAGQAIABFAGwAZQBjAHQAcgBpAGMAaQB0AHkAIAAoAE0AYQByAGsAZQB0AC0AQgBhAHMAZQBkAC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xADQAXwAxAF8AMQBfAF8AMQBfAEwAbwBjAGEAdABpAG8AbgBCAGEAcwBlAGQAUwBjAG8AcABlAEUAbABlAGMAdAByAGkAYwBpAHQAeQBFAG0AaQBzAHMAaQBvAG4AcwBcAG4ATABvAGMAYQB0AGkAbwBuAC0AYgBhAHMAZQBkACAAUwBjAG8AcABlACAAMgAgAGUAbQBpAHMAcwBpAG8AbgBzACAAZgByAG8AbQAgAHAAdQByAGMAaABhAHMAZQBkACAAZQBsAGUAYwB0AHIAaQBjAGkAdAB5AFwAbgBFAF8AMgBlAGwAZQBjAFwAbgB0ACAAQwBPADIAZQBcAG4ARQBfAHsAMgAsAGUAbABlAGMAfQA9AFEAXwB7AGUAbABlAGMAfQBcAFwAdABpAG0AZQBzACAARQBGAF8AewAyACwAZQBsAGUAYwB9AFwAXAB0AGkAbQBlAHMAIAAxADAAXgB7AC0AMwB9AFwAbgBRAF8AZQBsAGUAYwAgAD0AIABhAG0AbwB1AG4AdAAgAG8AZgAgAGUAbABlAGMAdAByAGkAYwBpAHQAeQAgAHAAdQByAGMAaABhAHMAZQBkACAAZgByAG8AbQAgAHQAaABlACAAZwByAGkAZAAgACgAawBXAGgAKQBcAG4ARQBGAF8AMgBlAGwAZQBjACAAPQAgAGwAbwBjAGEAdABpAG8AbgAtAGIAYQBzAGUAZAAgAFMAYwBvAHAAZQAgADIAIABlAG0AaQBzAHMAaQBvAG4AIABmAGEAYwB0AG8AcgAgAGYAbwByACAAZQBsAGUAYwB0AHIAaQBjAGkAdAB5ACAAKABrAGcAIABDAE8AMgBlAC8AawBXAGgAKQBcAG4ALQAtAC0ALQAtAC0ALQAtAC0ALQAtAC0ALQAtAC0ALQAtAC0ALQAtAC0ALQAtAC0ALQAtAC0ALQAtAC0ALQAtAC0ALQAtAC0ALQAtAFwAbgAqAC8AXABuAFwAbgBWAEUARQBSAEcAXwAxADQAXwAxAF8AMQBfAF8AMQBfAEwAbwBjAGEAdABpAG8AbgBCAGEAcwBlAGQAUwBjAG8AcABlAEUAbABlAGMAdAByAGkAYwBpAHQAeQBFAG0AaQBzAHMAaQBvAG4AcwBcAG4AIAAgAD0ATABBAE0AQgBEAEEAKABcAG4AIAAgACAAIABRAF8AZQBsAGUAYwAsACAARQBGAF8AMgBlAGwAZQBjACwAXABuACAAIAAgACAAUQBfAGUAbABlAGMAIAAqACAARQBGAF8AMgBlAGwAZQBjACAAKgAgADEAMAAgAF4AIAAtADMAXABuACAAIAApADsAXABuAFwAbgBWAEUARQBSAEcAXwAxADQAXwAxAF8AMQBfAF8AMQBfAEwAbwBjAGEAdABpAG8AbgBCAGEAcwBlAGQAUwBjAG8AcABlAEUAbABlAGMAdAByAGkAYwBpAHQAeQBFAG0AaQBzAHMAaQBvAG4AcwBfAFQAaQB0AGwAZQBcAG4AIAAgAD0ATABBAE0AQgBEAEEAKABcACIATABvAGMAYQB0AGkAbwBuAC0AYgBhAHMAZQBkACAAUwBjAG8AcABlACAAMgAgAGUAbQBpAHMAcwBpAG8AbgBzACAAZgByAG8AbQAgAHAAdQByAGMAaABhAHMAZQBkACAAZQBsAGUAYwB0AHIAaQBjAGkAdAB5AFwAIgApADsAXABuAFwAbgBWAEUARQBSAEcAXwAxADQAXwAxAF8AMQBfAF8AMQBfAEwAbwBjAGEAdABpAG8AbgBCAGEAcwBlAGQAUwBjAG8AcABlAEUAbABlAGMAdAByAGkAYwBpAHQAeQBFAG0AaQBzAHMAaQBvAG4AcwBfAFYAYQByAGkAYQBiAGwAZQBcAG4AIAAgAD0ATABBAE0AQgBEAEEAKABcACIARQBfADIAZQBsAGUAYwBcACIAKQA7AFwAbgBcAG4AVgBFAEUAUgBHAF8AMQA0AF8AMQBfADEAXwBfADEAXwBMAG8AYwBhAHQAaQBvAG4AQgBhAHMAZQBkAFMAYwBvAHAAZQBFAGwAZQBjAHQAcgBpAGMAaQB0AHkARQBtAGkAcwBzAGkAbwBuAHMAXwBVAG4AaQB0AFwAbgAgACAAPQBMAEEATQBCAEQAQQAoAFwAIgB0ACAAQwBPADIAZQBcACIAKQA7AFwAbgBcAG4AVgBFAEUAUgBHAF8AMQA0AF8AMQBfADEAXwBfADEAXwBMAG8AYwBhAHQAaQBvAG4AQgBhAHMAZQBkAFMAYwBvAHAAZQBFAGwAZQBjAHQAcgBpAGMAaQB0AHkARQBtAGkAcwBzAGkAbwBuAHMAXwBTAG8AdQByAGMAZQBcAG4AIAAgAD0ATABBAE0AQgBEAEEAKABcACIAVgBFAEUAUgBHACAAMgAwADIANgA6ACAAMQA0AC4AMQAuADEALAAgAEUAcQB1AGEAdABpAG8AbgAgACgAMQApAFwAIgApADsAXABuAFwAbgBWAEUARQBSAEcAXwAxADQAXwAxAF8AMQBfAF8AMQBfAEwAbwBjAGEAdABpAG8AbgBCAGEAcwBlAGQAUwBjAG8AcABlAEUAbABlAGMAdAByAGkAYwBpAHQAeQBFAG0AaQBzAHMAaQBvAG4AcwBfAE4ASQBSAFIAZQBmAGUAcgBlAG4AYwBlAFwAbgAgACAAPQBMAEEATQBCAEQAQQAoAFwAIgBcACIAKQA7AFwAbgBcAG4AVgBFAEUAUgBHAF8AMQA0AF8AMQBfADEAXwBfADEAXwBMAG8AYwBhAHQAaQBvAG4AQgBhAHMAZQBkAFMAYwBvAHAAZQBFAGwAZQBjAHQAcgBpAGMAaQB0AHkARQBtAGkAcwBzAGkAbwBuAHMAXwBMAGEAdABlAHgARQBxAHUAYQB0AGkAbwBuAFwAbgAgACAAPQBMAEEATQBCAEQAQQAoAFwAIgBFAF8AewAyACwAZQBsAGUAYwB9AD0AUQBfAHsAZQBsAGUAYwB9AFwAXAB0AGkAbQBlAHMAIABFAEYAXwB7ADIALABlAGwAZQBjAH0AXABcAHQAaQBtAGUAcwAgADEAMABeAHsALQAzAH0AXAAiACkAOwBcAG4AXABuAFYARQBFAFIARwBfADEANABfADEAXwAxAF8AXwAxAF8ATABvAGMAYQB0AGkAbwBuAEIAYQBzAGUAZABTAGMAbwBwAGUARQBsAGUAYwB0AHIAaQBjAGkAdAB5AEUAbQBpAHMAcwBpAG8AbgBzAF8AQQByAGcAdQBtAGUAbgB0AHMAXABuACAAIAA9AEwAQQBNAEIARABBACgAXABuACAAIAAgACAATQBBAEsARQBBAFIAUgBBAFkAKAAzACwAIAA0ACwAXABuACAAIAAgACAAIAAgAEwAQQBNAEIARABBACgAcgAsAGMALABcAG4AIAAgACAAIAAgACAAIAAgAEkATgBEAEUAWAAoAHsAXABuACAAIAAgACAAIAAgACAAIAAgACAAXAAiAFEAXwBlAGwAZQBjAFwAIgAsACAAXAAiAGEAbQBvAHUAbgB0ACAAbwBmACAAZQBsAGUAYwB0AHIAaQBjAGkAdAB5ACAAcAB1AHIAYwBoAGEAcwBlAGQAIABmAHIAbwBtACAAdABoAGUAIABnAHIAaQBkAFwAIgAsACAAXAAiAGsAVwBoAFwAIgAsACAAXAAiAEkAbgBwAHUAdABcACIAOwBcAG4AIAAgACAAIAAgACAAIAAgACAAIABcACIARQBGAF8AMgBlAGwAZQBjAFwAIgAsACAAXAAiAGwAbwBjAGEAdABpAG8AbgAtAGIAYQBzAGUAZAAgAFMAYwBvAHAAZQAgADIAIABlAG0AaQBzAHMAaQBvAG4AIABmAGEAYwB0AG8AcgAgAGYAbwByACAAZQBsAGUAYwB0AHIAaQBjAGkAdAB5AFwAIgAsACAAXAAiAGsAZwAgAEMATwAyAGUALwBrAFcAaABcACIALAAgAFwAIgBDAG8AbgBzAHQAYQBuAHQAXAAiADsAXABuACAAIAAgACAAIAAgACAAIAAgACAAXAAiAGcAXAAiACwAIABcACIARwByAGkAZAAgAGUAbABlAGMAdAByAGkAYwBpAHQAeQAgAHcAYQBzACAAcAB1AHIAYwBoAGEAcwBlAGQAIABmAHIAbwBtAFwAIgAsACAAXAAiAFwAIgAsACAAXAAiAEkAbgBwAHUAdABcACIAXABuACAAIAAgACAAIAAgACAAIAB9ACwAIAByACwAIABjACkAXABuACAAIAAgACAAIAAgACkAXABuACAAIAAgACAAKQBcAG4AIAAgACkAOwBcAG4AXABuAFYARQBFAFIARwBfADEANABfADEAXwAxAF8AXwAxAF8ATABvAGMAYQB0AGkAbwBuAEIAYQBzAGUAZABTAGMAbwBwAGUARQBsAGUAYwB0AHIAaQBjAGkAdAB5AEUAbQBpAHMAcwBpAG8AbgBzAF8AVgBhAHIAaQBhAHQAaQBvAG4AXABuACAAIAA9AEwAQQBNAEIARABBACgAXAAiAEEAZABkAGUAZAAgAGcAIAB2AGEAcgBpAGEAYgBsAGUAIAB0AG8AIABjAGEAcAB0AHUAcgBlACAAdwBoAGkAYwBoACAAZwByAGkAZAAgAGUAbABlAGMAdAByAGkAYwBpAHQAeQAgAHcAYQBzACAAcAB1AHIAYwBoAGEAcwBlAGQAIABmAHIAbwBtAFwAIgApADsAXABuAFwAbgAvACoAXABuAC0ALQAtAC0ALQAtAC0ALQAtAC0ALQAtAC0ALQAtAC0ALQAtAC0ALQAtAC0ALQAtAC0ALQAtAC0ALQAtAC0ALQAtAC0ALQAtAC0ALQBcAG4AVgBFAEUAUgBHAF8AMQA0AF8AMQBfADIAXwBfADEAXwBNAGEAcgBrAGUAdABCAGEAcwBlAGQAUwBjAG8AcABlAEUAbABlAGMAdAByAGkAYwBpAHQAeQBFAG0AaQBzAHMAaQBvAG4AcwBcAG4ATQBhAHIAawBlAHQALQBiAGEAcwBlAGQAIABTAGMAbwBwAGUAIAAyACAAZQBtAGkAcwBzAGkAbwBuAHMAIABmAHIAbwBtACAAcAB1AHIAYwBoAGEAcwBlAGQAIABlAGwAZQBjAHQAcgBpAGMAaQB0AHkAXABuAEUAXwAyAGUAbABlAGMAXABuAHQAIABDAE8AMgBlAFwAbgBFAF8AewAyACwAZQBsAGUAYwB9AD0AKAAoAFEAXwB7AGUAbABlAGMAfQBcAFwAdABpAG0AZQBzACgAMQAtACgAUgBQAFAAKwBKAFIAUABQACkAKQApAC0AKAAoAFIARQBDAF8AewBzAHUAcgByAGUAbgBkAGUAcgBlAGQAfQAtAFIARQBDAF8AewBvAG4AcwBpAHQAZQB9ACkAXABcAHQAaQBtAGUAcwAgADEAMABeAHsALQAzAH0AKQApAFwAXAB0AGkAbQBlAHMAIABFAEYAXwB7AFIATQBGADIALABlAGwAZQBjAH0AXABcAHQAaQBtAGUAcwAgADEAMABeAHsALQAzAH0AXABuAFEAXwBlAGwAZQBjACAAPQAgAGEAbQBvAHUAbgB0ACAAbwBmACAAZQBsAGUAYwB0AHIAaQBjAGkAdAB5ACAAcAB1AHIAYwBoAGEAcwBlAGQAIABmAHIAbwBtACAAdABoAGUAIABnAHIAaQBkACAAKABrAFcAaAApAFwAbgBSAFAAUAAgAD0AIABSAGUAbgBlAHcAYQBiAGwAZQAgAFAAbwB3AGUAcgAgAFAAZQByAGMAZQBuAHQAYQBnAGUAIAB1AG4AZABlAHIAIAB0AGgAZQAgAEwAYQByAGcAZQAtAHMAYwBhAGwAZQAgAFIAZQBuAGUAdwBhAGIAbABlACAARQBuAGUAcgBnAHkAIABUAGEAcgBnAGUAdAAgACgATABSAEUAVAApACAAZgBvAHIAIAB0AGgAZQAgAGEAcABwAGwAaQBjAGEAYgBsAGUAIABwAGUAcgBpAG8AZAAgACgAcABlAHIAIABjAGUAbgB0ACkAXABuAEoAUgBQAFAAIAA9ACAAagB1AHIAaQBzAGQAaQBjAHQAaQBvAG4AYQBsACAAcgBlAG4AZQB3AGEAYgBsAGUAIABwAG8AdwBlAHIAIABwAGUAcgBjAGUAbgB0AGEAZwBlACAAZgBvAHIAIAB0AGgAZQAgAGEAcABwAGwAaQBjAGEAYgBsAGUAIABwAGUAcgBpAG8AZAAgACgAbwBuAGwAeQAgAGEAcABwAGwAaQBlAHMAIAB0AG8AIAB0AGgAZQAgAEEAQwBUACkAIAAoAHAAZQByACAAYwBlAG4AdAApAFwAbgBSAEUAQwBfAHMAdQByAHIAZQBuAGQAZQByAGUAZAAgAD0AIABuAHUAbQBiAGUAcgAgAG8AZgAgAGUAbABpAGcAaQBiAGwAZQAgAFIAZQBuAGUAdwBhAGIAbABlACAARQBuAGUAcgBnAHkAIABDAGUAcgB0AGkAZgBpAGMAYQB0AGUAcwAgAHYAbwBsAHUAbgB0AGEAcgBpAGwAeQAgAHMAdQByAHIAZQBuAGQAZQByAGUAZAAgAGkAbgAgAHQAaABlACAAcgBlAHAAbwByAHQAaQBuAGcAIAB5AGUAYQByACAAZQBxAHUAaQB2AGEAbABlAG4AdAAgAHQAbwAgAG0AZQBnAGEAdwBhAHQAdAAgAGgAbwB1AHIAcwAgACgATQBXAGgAKQBcAG4AUgBFAEMAXwBvAG4AcwBpAHQAZQAgAD0AIABuAHUAbQBiAGUAcgAgAG8AZgAgAGUAbABpAGcAaQBiAGwAZQAgAFIAZQBuAGUAdwBhAGIAbABlACAARQBuAGUAcgBnAHkAIABDAGUAcgB0AGkAZgBpAGMAYQB0AGUAcwAgAHQAaABhAHQAIABoAGEAdgBlACAAYgBlAGUAbgAgAG8AcgAgAHcAaQBsAGwAIABiAGUAIABpAHMAcwB1AGUAZAAgAGYAbwByACAAZQBsAGUAYwB0AHIAaQBjAGkAdAB5ACAAcAByAG8AZAB1AGMAZQBkACAAbwBuAC0AcwBpAHQAZQAgAGQAdQByAGkAbgBnACAAdABoAGUAIAB5AGUAYQByACAAYQBuAGQAIABjAG8AbgBzAHUAbQBlAGQAIABiAHkAIAB0AGgAZQAgAGUAbgB0AGkAdAB5ACAAZQBxAHUAaQB2AGEAbABlAG4AdAAgAHQAbwAgAG0AZQBnAGEAdwBhAHQAdAAgAGgAbwB1AHIAcwAgACgATQBXAGgAKQBcAG4ARQBGAF8AUgBNAEYAMgBlAGwAZQBjACAAPQAgAFMAYwBvAHAAZQAgADIAIAByAGUAcwBpAGQAdQBhAGwAIABtAGkAeAAgAGUAbQBpAHMAcwBpAG8AbgAgAGYAYQBjAHQAbwByACAAZgBvAHIAIABlAGwAZQBjAHQAcgBpAGMAaQB0AHkAIAAoAGsAZwAgAEMATwAyAGUALwBrAFcAaAApAFwAbgAtAC0ALQAtAC0ALQAtAC0ALQAtAC0ALQAtAC0ALQAtAC0ALQAtAC0ALQAtAC0ALQAtAC0ALQAtAC0ALQAtAC0ALQAtAC0ALQAtAC0AXABuACoALwBcAG4AXABuAFYARQBFAFIARwBfADEANABfADEAXwAyAF8AXwAxAF8ATQBhAHIAawBlAHQAQgBhAHMAZQBkAFMAYwBvAHAAZQBFAGwAZQBjAHQAcgBpAGMAaQB0AHkARQBtAGkAcwBzAGkAbwBuAHMAXABuACAAIAA9AEwAQQBNAEIARABBACgAXABuACAAIAAgACAAUQBfAGUAbABlAGMALAAgAFIAUABQACwAIABKAFIAUABQACwAIABSAEUAQwBfAHMAdQByAHIAZQBuAGQAZQByAGUAZAAsACAAUgBFAEMAXwBvAG4AcwBpAHQAZQAsACAARQBGAF8AUgBNAEYAMgBlAGwAZQBjACwAXABuACAAIAAgACAAKAAoAFEAXwBlAGwAZQBjACAAKgAgACgAMQAgAC0AIAAoAFIAUABQACAAKwAgAEoAUgBQAFAAKQApACkAIAAtACAAKAAoAFIARQBDAF8AcwB1AHIAcgBlAG4AZABlAHIAZQBkACAALQAgAFIARQBDAF8AbwBuAHMAaQB0AGUAKQAgACoAIAAxADAAIABeACAALQAzACkAKQAgACoAIABFAEYAXwBSAE0ARgAyAGUAbABlAGMAIAAqACAAMQAwACAAXgAgAC0AMwBcAG4AIAAgACkAOwBcAG4AXABuAFYARQBFAFIARwBfADEANABfADEAXwAyAF8AXwAxAF8ATQBhAHIAawBlAHQAQgBhAHMAZQBkAFMAYwBvAHAAZQBFAGwAZQBjAHQAcgBpAGMAaQB0AHkARQBtAGkAcwBzAGkAbwBuAHMAVgBhAHIAaQBhAHQAaQBvAG4AXABuACAAIAA9AEwAQQBNAEIARABBACgAXABuACAAIAAgACAAUQBfAGUAbABlAGMALAAgAFIAUABQACwAIABKAFIAUABQACwAIABSAEUAQwBfAHMAdQByAHIAZQBuAGQAZQByAGUAZAAsACAAUgBFAEMAXwBvAG4AcwBpAHQAZQAsACAARQBGAF8AUgBNAEYAMgBlAGwAZQBjACwAXABuACAAIAAgACAAKAAoAFEAXwBlAGwAZQBjACAAKgAgACgAMQAgAC0AIAAoAFIAUABQACAAKwAgAEoAUgBQAFAAKQApACkAIAAtACAAKAAoAFIARQBDAF8AcwB1AHIAcgBlAG4AZABlAHIAZQBkACAALQAgAFIARQBDAF8AbwBuAHMAaQB0AGUAKQAgACoAIAAxADAAIABeACAAMwApACkAIAAqACAARQBGAF8AUgBNAEYAMgBlAGwAZQBjACAAKgAgADEAMAAgAF4AIAAtADMAXABuACAAIAApADsAXABuAFwAbgBWAEUARQBSAEcAXwAxADQAXwAxAF8AMgBfAF8AMQBfAE0AYQByAGsAZQB0AEIAYQBzAGUAZABTAGMAbwBwAGUARQBsAGUAYwB0AHIAaQBjAGkAdAB5AEUAbQBpAHMAcwBpAG8AbgBzAF8AVABpAHQAbABlAFwAbgAgACAAPQBMAEEATQBCAEQAQQAoAFwAIgBNAGEAcgBrAGUAdAAtAGIAYQBzAGUAZAAgAFMAYwBvAHAAZQAgADIAIABlAG0AaQBzAHMAaQBvAG4AcwAgAGYAcgBvAG0AIABwAHUAcgBjAGgAYQBzAGUAZAAgAGUAbABlAGMAdAByAGkAYwBpAHQAeQBcACIAKQA7AFwAbgBcAG4AVgBFAEUAUgBHAF8AMQA0AF8AMQBfADIAXwBfADEAXwBNAGEAcgBrAGUAdABCAGEAcwBlAGQAUwBjAG8AcABlAEUAbABlAGMAdAByAGkAYwBpAHQAeQBFAG0AaQBzAHMAaQBvAG4AcwBfAFYAYQByAGkAYQBiAGwAZQBcAG4AIAAgAD0ATABBAE0AQgBEAEEAKABcACIARQBfADIAZQBsAGUAYwBcACIAKQA7AFwAbgBcAG4AVgBFAEUAUgBHAF8AMQA0AF8AMQBfADIAXwBfADEAXwBNAGEAcgBrAGUAdABCAGEAcwBlAGQAUwBjAG8AcABlAEUAbABlAGMAdAByAGkAYwBpAHQAeQBFAG0AaQBzAHMAaQBvAG4AcwBfAFUAbgBpAHQAXABuACAAIAA9AEwAQQBNAEIARABBACgAXAAiAHQAIABDAE8AMgBlAFwAIgApADsAXABuAFwAbgBWAEUARQBSAEcAXwAxADQAXwAxAF8AMgBfAF8AMQBfAE0AYQByAGsAZQB0AEIAYQBzAGUAZABTAGMAbwBwAGUARQBsAGUAYwB0AHIAaQBjAGkAdAB5AEUAbQBpAHMAcwBpAG8AbgBzAF8AUwBvAHUAcgBjAGUAXABuACAAIAA9AEwAQQBNAEIARABBACgAXAAiAFYARQBFAFIARwAgADIAMAAyADYAOgAgADEANAAuADEALgAyACwAIABFAHEAdQBhAHQAaQBvAG4AIAAoADEAKQBcACIAKQA7AFwAbgBcAG4AVgBFAEUAUgBHAF8AMQA0AF8AMQBfADIAXwBfADEAXwBNAGEAcgBrAGUAdABCAGEAcwBlAGQAUwBjAG8AcABlAEUAbABlAGMAdAByAGkAYwBpAHQAeQBFAG0AaQBzAHMAaQBvAG4AcwBfAE4ASQBSAFIAZQBmAGUAcgBlAG4AYwBlAFwAbgAgACAAPQBMAEEATQBCAEQAQQAoAFwAIgBcACIAKQA7AFwAbgBcAG4AVgBFAEUAUgBHAF8AMQA0AF8AMQBfADIAXwBfADEAXwBNAGEAcgBrAGUAdABCAGEAcwBlAGQAUwBjAG8AcABlAEUAbABlAGMAdAByAGkAYwBpAHQAeQBFAG0AaQBzAHMAaQBvAG4AcwBfAEwAYQB0AGUAeABFAHEAdQBhAHQAaQBvAG4AXABuACAAIAA9AEwAQQBNAEIARABBACgAXAAiAEUAXwB7ADIALABlAGwAZQBjAH0APQAoAFEAXwB7AGUAbABlAGMAfQAgAFwAXAB0AGkAbQBlAHMAIAAoADEALQAoAFIAUABQACsASgBSAFAAUAApACkAIAAtACAAKAAoAFIARQBDAF8AewBzAHUAcgByAGUAbgBkAGUAcgBlAGQAfQAtAFIARQBDAF8AewBvAG4AcwBpAHQAZQB9ACkAXABcAHQAaQBtAGUAcwAgADEAMABeAHsALQAzAH0AKQApACAAXABcAHQAaQBtAGUAcwAgAEUARgBfAHsAUgBNAEYAMgAsAGUAbABlAGMAfQAgAFwAXAB0AGkAbQBlAHMAIAAxADAAXgB7AC0AMwB9AFwAIgApADsAXABuAFwAbgBWAEUARQBSAEcAXwAxADQAXwAxAF8AMgBfAF8AMQBfAE0AYQByAGsAZQB0AEIAYQBzAGUAZABTAGMAbwBwAGUARQBsAGUAYwB0AHIAaQBjAGkAdAB5AEUAbQBpAHMAcwBpAG8AbgBzAFYAYQByAGkAYQB0AGkAbwBuAF8ATABhAHQAZQB4AEUAcQB1AGEAdABpAG8AbgBcAG4AIAAgAD0ATABBAE0AQgBEAEEAKABcACIARQBfAHsAMgAsAGUAbABlAGMAfQA9ACgAUQBfAHsAZQBsAGUAYwB9ACAAXABcAHQAaQBtAGUAcwAgACgAMQAtACgAUgBQAFAAKwBKAFIAUABQACkAKQAgAC0AIAAoACgAUgBFAEMAXwB7AHMAdQByAHIAZQBuAGQAZQByAGUAZAB9AC0AUgBFAEMAXwB7AG8AbgBzAGkAdABlAH0AKQBcAFwAdABpAG0AZQBzACAAMQAwAF4AewAzAH0AKQApACAAXABcAHQAaQBtAGUAcwAgAEUARgBfAHsAUgBNAEYAMgAsAGUAbABlAGMAfQAgAFwAXAB0AGkAbQBlAHMAIAAxADAAXgB7AC0AMwB9AFwAIgApADsAXABuAFwAbgBWAEUARQBSAEcAXwAxADQAXwAxAF8AMgBfAF8AMQBfAE0AYQByAGsAZQB0AEIAYQBzAGUAZABTAGMAbwBwAGUARQBsAGUAYwB0AHIAaQBjAGkAdAB5AEUAbQBpAHMAcwBpAG8AbgBzAF8AQQByAGcAdQBtAGUAbgB0AHMAXABuACAAIAA9AEwAQQBNAEIARABBACgAXABuACAAIAAgACAATQBBAEsARQBBAFIAUgBBAFkAKAA3ACwAIAA0ACwAXABuACAAIAAgACAAIAAgAEwAQQBNAEIARABBACgAcgAsAGMALABcAG4AIAAgACAAIAAgACAAIAAgAEkATgBEAEUAWAAoAHsAXABuACAAIAAgACAAIAAgACAAIAAgACAAXAAiAFEAXwBlAGwAZQBjAFwAIgAsACAAXAAiAGEAbQBvAHUAbgB0ACAAbwBmACAAZQBsAGUAYwB0AHIAaQBjAGkAdAB5ACAAcAB1AHIAYwBoAGEAcwBlAGQAIABmAHIAbwBtACAAdABoAGUAIABnAHIAaQBkAFwAIgAsACAAXAAiAGsAVwBoAFwAIgAsACAAXAAiAEkAbgBwAHUAdABcACIAOwBcAG4AIAAgACAAIAAgACAAIAAgACAAIABcACIAUgBQAFAAXAAiACwAIABcACIAUgBlAG4AZQB3AGEAYgBsAGUAIABQAG8AdwBlAHIAIABQAGUAcgBjAGUAbgB0AGEAZwBlACAAdQBuAGQAZQByACAAdABoAGUAIABMAGEAcgBnAGUALQBzAGMAYQBsAGUAIABSAGUAbgBlAHcAYQBiAGwAZQAgAEUAbgBlAHIAZwB5ACAAVABhAHIAZwBlAHQAIAAoAEwAUgBFAFQAKQBcACIALAAgAFwAIgBwAGUAcgAgAGMAZQBuAHQAXAAiACwAIABcACIASQBuAHAAdQB0AFwAIgA7AFwAbgAgACAAIAAgACAAIAAgACAAIAAgAFwAIgBKAFIAUABQAFwAIgAsACAAXAAiAGoAdQByAGkAcwBkAGkAYwB0AGkAbwBuAGEAbAAgAHIAZQBuAGUAdwBhAGIAbABlACAAcABvAHcAZQByACAAcABlAHIAYwBlAG4AdABhAGcAZQAgAGYAbwByACAAdABoAGUAIABhAHAAcABsAGkAYwBhAGIAbABlACAAcABlAHIAaQBvAGQAIAAoAEEAQwBUACAAbwBuAGwAeQApAFwAIgAsACAAXAAiAHAAZQByACAAYwBlAG4AdABcACIALAAgAFwAIgBJAG4AcAB1AHQAXAAiADsAXABuACAAIAAgACAAIAAgACAAIAAgACAAXAAiAFIARQBDAF8AcwB1AHIAcgBlAG4AZABlAHIAZQBkAFwAIgAsACAAXAAiAFIAZQBuAGUAdwBhAGIAbABlACAARQBuAGUAcgBnAHkAIABDAGUAcgB0AGkAZgBpAGMAYQB0AGUAcwAgAHYAbwBsAHUAbgB0AGEAcgBpAGwAeQAgAHMAdQByAHIAZQBuAGQAZQByAGUAZAAgAGkAbgAgAHQAaABlACAAcgBlAHAAbwByAHQAaQBuAGcAIAB5AGUAYQByAFwAIgAsACAAXAAiAE0AVwBoAFwAIgAsACAAXAAiAEkAbgBwAHUAdABcACIAOwBcAG4AIAAgACAAIAAgACAAIAAgACAAIABcACIAUgBFAEMAXwBvAG4AcwBpAHQAZQBcACIALAAgAFwAIgBSAGUAbgBlAHcAYQBiAGwAZQAgAEUAbgBlAHIAZwB5ACAAQwBlAHIAdABpAGYAaQBjAGEAdABlAHMAIABpAHMAcwB1AGUAZAAgAGYAbwByACAAZQBsAGUAYwB0AHIAaQBjAGkAdAB5ACAAcAByAG8AZAB1AGMAZQBkACAAbwBuAC0AcwBpAHQAZQAgAGQAdQByAGkAbgBnACAAdABoAGUAIAB5AGUAYQByACAAYQBuAGQAIABjAG8AbgBzAHUAbQBlAGQAIABiAHkAIAB0AGgAZQAgAGUAbgB0AGkAdAB5AFwAIgAsACAAXAAiAE0AVwBoAFwAIgAsACAAXAAiAEkAbgBwAHUAdABcACIAOwBcAG4AIAAgACAAIAAgACAAIAAgACAAIABcACIARQBGAF8AUgBNAEYAMgBlAGwAZQBjAFwAIgAsACAAXAAiAFMAYwBvAHAAZQAgADIAIAByAGUAcwBpAGQAdQBhAGwAIABtAGkAeAAgAGUAbQBpAHMAcwBpAG8AbgAgAGYAYQBjAHQAbwByACAAZgBvAHIAIABlAGwAZQBjAHQAcgBpAGMAaQB0AHkAXAAiACwAIABcACIAawBnACAAQwBPADIAZQAvAGsAVwBoAFwAIgAsACAAXAAiAEMAbwBuAHMAdABhAG4AdABcACIAOwBcAG4AIAAgACAAIAAgACAAIAAgACAAIABcACIAaQBcACIALAAgAFwAIgBzAHQAYQB0AGUAXAAiACwAIABcACIAXAAiACwAIABcACIASQBuAHAAdQB0AFwAIgBcAG4AIAAgACAAIAAgACAAIAAgAH0ALAAgAHIALAAgAGMAKQBcAG4AIAAgACAAIAAgACAAKQBcAG4AIAAgACAAIAApAFwAbgAgACAAKQA7AFwAbgBcAG4AVgBFAEUAUgBHAF8AMQA0AF8AMQBfADIAXwBfADEAXwBNAGEAcgBrAGUAdABCAGEAcwBlAGQAUwBjAG8AcABlAEUAbABlAGMAdAByAGkAYwBpAHQAeQBFAG0AaQBzAHMAaQBvAG4AcwBfAFYAYQByAGkAYQB0AGkAbwBuAFwAbgAgACAAPQBMAEEATQBCAEQAQQAoAFwAIgBWAEEAUgBJAEEAVABJAE8ATgAgAE8ATgAgAFMATwBVAFIAQwBFADoAIABJAG4AIABvAHIAZABlAHIAIAB0AG8AIABjAG8AbgB2AGUAcgB0ACAAbQBlAGcAYQB3AGEAdAB0ACAAaABvAHUAcgBzACAAdABvACAAawBpAGwAbwB3AGEAdAB0ACAAaABvAHUAcgBzACwAIAB0AGgAZQAgAFIARQBDAF8AcwB1AHIAcgBlAG4AZABlAHIAZQBkACAAYQBuAGQAIABSAEUAQwBfAG8AbgBzAGkAdABlACAAdgBhAHIAaQBhAGIAbABlAHMAIABhAHIAZQAgAG0AdQBsAHQAaQBwAGwAaQBlAGQAIABiAHkAIAAxADAAXgAzACAAaQBuAHMAdABlAGEAZAAgAG8AZgAgADEAMABeAC0AMwAuAFwAIgApADsAXABuACIAfQAsAHsAIgBwAGEAdABoACIAOgAiAC8AcAByAG8AagBlAGMAdABzAC8ARQBsAGUAYwB0AHIAaQBjAGkAdAB5AF8AUwBvAHUAcgBjAGUARABhAHQAYQAiACwAIgB0AGUAeAB0ACIAOgAiAC8AKgBcAG4APQA9AD0APQA9AD0APQA9AD0APQA9AD0APQA9AD0APQA9AD0APQA9AD0APQA9AD0APQA9AD0APQA9AD0APQA9AD0APQA9AD0APQA9AD0APQA9AD0APQA9AD0APQA9AD0APQA9AD0APQA9AD0APQA9AD0APQA9AD0APQA9AD0APQA9AD0APQA9AD0APQA9AD0APQA9AD0APQBcAG4ASQBuAGQAaQByAGUAYwB0ACAAKABzAGMAbwBwAGUAIAAyACAAYQBuAGQAIABzAGMAbwBwAGUAIAAzACkAIABsAG8AYwBhAHQAaQBvAG4ALQBiAGEAcwBlAGQAIABlAG0AaQBzAHMAaQBvAG4AIABmAGEAYwB0AG8AcgBzACAAYQBzAHMAbwBjAGkAYQB0AGUAZAAgAHcAaQB0AGgAIAB0AGgAZQAgAGMAbwBuAHMAdQBtAHAAdABpAG8AbgAgAGEAbgBkACAAbABvAHMAcwBlAHMAIABvAGYAIABwAHUAcgBjAGgAYQBzAGUAZAAgAG8AcgAgAGEAYwBxAHUAaQByAGUAZAAgAGUAbABlAGMAdAByAGkAYwBpAHQAeQAgAFwAbgA9AD0APQA9AD0APQA9AD0APQA9AD0APQA9AD0APQA9AD0APQA9AD0APQA9AD0APQA9AD0APQA9AD0APQA9AD0APQA9AD0APQA9AD0APQA9AD0APQA9AD0APQA9AD0APQA9AD0APQA9AD0APQA9AD0APQA9AD0APQA9AD0APQA9AD0APQA9AD0APQA9AD0APQA9AD0APQA9AFwAbgAqAC8AXABuAFwAbgBFAGwAZQBjAHQAcgBpAGMAaQB0AHkAXwBTAGMAbwBwAGUAMgBTAGMAbwBwAGUAMwBMAG8AYwBhAHQAaQBvAG4AQgBhAHMAZQBkAF8AVABpAHQAbABlAFwAbgA9AEwAQQBNAEIARABBACgAKABcACIARQBsAGUAYwB0AHIAaQBjAGkAdAB5ACAAcwBjAG8AcABlACAAMgAgAGEAbgBkACAAcwBjAG8AcABlACAAMwAgAGwAbwBjAGEAdABpAG8AbgAtAGIAYQBzAGUAZAAgAGUAbQBpAHMAcwBpAG8AbgAgAGYAYQBjAHQAbwByAHMAXAAiACkAKQA7AFwAbgBcAG4ARQBsAGUAYwB0AHIAaQBjAGkAdAB5AF8AUwBjAG8AcABlADIATABvAGMAYQB0AGkAbwBuAEIAYQBzAGUAZABfAEQAZQBzAGMAcgBpAHAAdABpAG8AbgBcAG4APQBMAEEATQBCAEQAQQAoACgAXAAiAEkAbgBkAGkAcgBlAGMAdAAgACgAcwBjAG8AcABlACAAMgAgAGEAbgBkACAAcwBjAG8AcABlACAAMwApACAAbABvAGMAYQB0AGkAbwBuAC0AYgBhAHMAZQBkACAAZQBtAGkAcwBzAGkAbwBuACAAZgBhAGMAdABvAHIAcwAgAGEAcwBzAG8AYwBpAGEAdABlAGQAIAB3AGkAdABoACAAdABoAGUAIABjAG8AbgBzAHUAbQBwAHQAaQBvAG4AIABhAG4AZAAgAGwAbwBzAHMAZQBzACAAbwBmACAAcAB1AHIAYwBoAGEAcwBlAGQAIABvAHIAIABhAGMAcQB1AGkAcgBlAGQAIABlAGwAZQBjAHQAcgBpAGMAaQB0AHkAXAAiACkAKQA7AFwAbgBcAG4ARQBsAGUAYwB0AHIAaQBjAGkAdAB5AF8AUwBjAG8AcABlADIAUwBjAG8AcABlADMATABvAGMAYQB0AGkAbwBuAEIAYQBzAGUAZABfAFMAbwB1AHIAYwBlAFwAbgA9AEwAQQBNAEIARABBACgAKABcACIAQQB1AHMAdAByAGEAbABpAGEAbgAgAE4AYQB0AGkAbwBuAGEAbAAgAEcAcgBlAGUAbgBoAG8AdQBzAGUAIABBAGMAYwBvAHUAbgB0AHMAIABGAGEAYwB0AG8AcgBzACAAMgAwADIANQAgAC0AIABUAGEAYgBsAGUAIAAxAFwAIgApACkAOwBcAG4AXABuAEUAbABlAGMAdAByAGkAYwBpAHQAeQBfAFMAYwBvAHAAZQAyAFMAYwBvAHAAZQAzAEwAbwBjAGEAdABpAG8AbgBCAGEAcwBlAGQAXwBEAGEAdABhAFwAbgA9AEwAQQBNAEIARABBACgAXABuACAAIABNAEEASwBFAEEAUgBSAEEAWQAoADEAMQAsACAAMwAsAFwAbgAgACAAIAAgAEwAQQBNAEIARABBACgAcgAsAGMALABcAG4AIAAgACAAIAAgACAASQBOAEQARQBYACgAewBcAG4AIAAgACAAIAAgACAAIAAgAFwAIgBTAHQAYQB0AGUALAAgAFQAZQByAHIAaQB0AG8AcgB5ACAAbwByACAAZwByAGkAZAAgAGQAZQBzAGMAcgBpAHAAdABpAG8AbgBcACIALAAgAFwAIgBTAGMAbwBwAGUAIAAyACAARQBtAGkAcwBzAGkAbwBuACAARgBhAGMAdABvAHIAcwAgACgAawBnACAAQwBPADIALQBlAC8AawBXAGgAKQBcACIALAAgAFwAIgBTAGMAbwBwAGUAIAAzACAARQBtAGkAcwBzAGkAbwBuACAARgBhAGMAdABvAHIAcwAgACgAawBnACAAQwBPADIALQBlAC8AawBXAGgAKQBcACIAOwBcAG4AIAAgACAAIAAgACAAIAAgAFwAIgBOAGUAdwAgAFMAbwB1AHQAaAAgAFcAYQBsAGUAcwBcACIALAAgADAALgA2ADQALAAgADAALgAwADMAOwBcAG4AIAAgACAAIAAgACAAIAAgAFwAIgBBAEMAVABcACIALAAgADAALgA2ADQALAAgADAALgAwADMAOwBcAG4AIAAgACAAIAAgACAAIAAgAFwAIgBWAGkAYwB0AG8AcgBpAGEAXAAiACwAIAAwAC4ANwA4ACwAIAAwAC4AMAA5ADsAXABuACAAIAAgACAAIAAgACAAIABcACIAUQB1AGUAZQBuAHMAbABhAG4AZABcACIALAAgADAALgA2ADcALAAgADAALgAwADkAOwBcAG4AIAAgACAAIAAgACAAIAAgAFwAIgBTAG8AdQB0AGgAIABBAHUAcwB0AHIAYQBsAGkAYQBcACIALAAgADAALgAyADIALAAgADAALgAwADQAOwBcAG4AIAAgACAAIAAgACAAIAAgAFwAIgBXAGUAcwB0AGUAcgBuACAAQQB1AHMAdAByAGEAbABpAGEAIAAtACAAUwBvAHUAdABoACAAVwBlAHMAdAAgAEkAbgB0AGUAcgBjAG8AbgBuAGUAYwB0AGUAZAAgAFMAeQBzAHQAZQBtACAAKABTAFcASQBTACkAXAAiACwAIAAwAC4ANQAwACwAIAAwAC4AMAA2ADsAXABuACAAIAAgACAAIAAgACAAIABcACIAVwBlAHMAdABlAHIAbgAgAEEAdQBzAHQAcgBhAGwAaQBhACAALQAgAE4AbwByAHQAaAAgAFcAZQBzAHQAZQByAG4AIABJAG4AdABlAHIAYwBvAG4AbgBlAGMAdABlAGQAIABTAHkAcwB0AGUAbQAgACgATgBXAEkAUwApAFwAIgAsACAAMAAuADUANgAsACAAMAAuADAAOQA7AFwAbgAgACAAIAAgACAAIAAgACAAXAAiAFQAYQBzAG0AYQBuAGkAYQBcACIALAAgADAALgAyADAALAAgADAALgAwADMAOwBcAG4AIAAgACAAIAAgACAAIAAgAFwAIgBOAG8AcgB0AGgAZQByAG4AIABUAGUAcgByAGkAdABvAHIAeQAgAC0AIABEAGEAcgB3AGkAbgAgAEsAYQB0AGgAZQByAGkAbgBlACAASQBuAHQAZQByAGMAbwBuAG4AZQBjAHQAZQBkACAAUwB5AHMAdABlAG0AIAAoAEQASwBJAFMAKQBcACIALAAgADAALgA1ADYALAAgADAALgAwADkAOwBcAG4AIAAgACAAIAAgACAAIAAgAFwAIgBOAGEAdABpAG8AbgBhAGwAXAAiACwAIAAwAC4ANgAyACwAIAAwAC4AMAA3AFwAbgAgACAAIAAgACAAIAB9ACwAIAByACwAIABjACkAXABuACkAKQApADsAXABuAFwAbgBFAGwAZQBjAHQAcgBpAGMAaQB0AHkAXwBTAGMAbwBwAGUAMgBTAGMAbwBwAGUAMwBMAG8AYwBhAHQAaQBvAG4AQgBhAHMAZQBkAF8AVgBhAHIAaQBhAHQAaQBvAG4AXABuAD0ATABBAE0AQgBEAEEAKAAoAFwAIgBWAEEAUgBJAEEAVABJAE8ATgAgAE8ARgAgAFMATwBVAFIAQwBFACAARABBAFQAQQA6ACAATgBTAFcAIABhAG4AZAAgAEEAQwBUACAAcwBwAGwAaQB0ACAAaQBuAHQAbwAgAHMAZQBwAGEAcgBhAHQAZQAgAHIAbwB3AHMALgBcACIAKQApADsAXABuAFwAbgBcAG4ALwAqAFwAbgA9AD0APQA9AD0APQA9AD0APQA9AD0APQA9AD0APQA9AD0APQA9AD0APQA9AD0APQA9AD0APQA9AD0APQA9AD0APQA9AD0APQA9AD0APQA9AD0APQA9AD0APQA9AD0APQA9AD0APQA9AD0APQA9AD0APQA9AD0APQA9AD0APQA9AD0APQA9AD0APQA9AD0APQA9AD0APQA9AFwAbgBSAGUAcwBpAGQAdQBhAGwAIABNAGkAeAAgAEYAYQBjAHQAbwByACAAZgBvAHIAIABtAGEAcgBrAGUAdAAtAGIAYQBzAGUAZAAgAGUAcQB1AGEAdABpAG8AbgBzAFwAbgA9AD0APQA9AD0APQA9AD0APQA9AD0APQA9AD0APQA9AD0APQA9AD0APQA9AD0APQA9AD0APQA9AD0APQA9AD0APQA9AD0APQA9AD0APQA9AD0APQA9AD0APQA9AD0APQA9AD0APQA9AD0APQA9AD0APQA9AD0APQA9AD0APQA9AD0APQA9AD0APQA9AD0APQA9AD0APQA9AFwAbgAqAC8AXABuAFwAbgBFAGwAZQBjAHQAcgBpAGMAaQB0AHkAXwBTAGMAbwBwAGUAMgBTAGMAbwBwAGUAMwBNAGEAcgBrAGUAdABCAGEAcwBlAGQAXwBUAGkAdABsAGUAXABuAD0ATABBAE0AQgBEAEEAKAAoAFwAIgBFAGwAZQBjAHQAcgBpAGMAaQB0AHkAIABzAGMAbwBwAGUAIAAyACAAYQBuAGQAIABzAGMAbwBwAGUAIAAzACAAbQBhAHIAawBlAHQALQBiAGEAcwBlAGQAIABlAG0AaQBzAHMAaQBvAG4AIABmAGEAYwB0AG8AcgBzAFwAIgApACkAOwBcAG4AXABuAEUAbABlAGMAdAByAGkAYwBpAHQAeQBfAFMAYwBvAHAAZQAyAE0AYQByAGsAZQB0AEIAYQBzAGUAZABfAEQAZQBzAGMAcgBpAHAAdABpAG8AbgBcAG4APQBMAEEATQBCAEQAQQAoACgAXAAiAFQAYQBiAGwAZQAgADIAYQAgAEkAbgBkAGkAcgBlAGMAdAAgACgAcwBjAG8AcABlACAAMgAgAGEAbgBkACAAcwBjAG8AcABlACAAMwApACAAZQBtAGkAcwBzAGkAbwBuACAAZgBhAGMAdABvAHIAcwAgAGYAcgBvAG0AIABjAG8AbgBzAHUAbQBwAHQAaQBvAG4AIABvAGYAIABwAHUAcgBjAGgAYQBzAGUAZAAgAG8AcgAgAGEAYwBxAHUAaQByAGUAZAAgAGUAbABlAGMAdAByAGkAYwBpAHQAeQA6ACAAbQBhAHIAawBlAHQALQBiAGEAcwBlAGQAIABmAGEAYwB0AG8AcgBzACAAXAAiACkAKQA7AFwAbgBcAG4ARQBsAGUAYwB0AHIAaQBjAGkAdAB5AF8AUwBjAG8AcABlADIAUwBjAG8AcABlADMATQBhAHIAawBlAHQAQgBhAHMAZQBkAF8AUwBvAHUAcgBjAGUAXABuAD0ATABBAE0AQgBEAEEAKAAoAFwAIgBBAHUAcwB0AHIAYQBsAGkAYQBuACAATgBhAHQAaQBvAG4AYQBsACAARwByAGUAZQBuAGgAbwB1AHMAZQAgAEEAYwBjAG8AdQBuAHQAcwAgAEYAYQBjAHQAbwByAHMAIAAyADAAMgA1ACAALQAgAFQAYQBiAGwAZQAgADIAYQBcACIAKQApADsAXABuAFwAbgBFAGwAZQBjAHQAcgBpAGMAaQB0AHkAXwBTAGMAbwBwAGUAMgBTAGMAbwBwAGUAMwBNAGEAcgBrAGUAdABCAGEAcwBlAGQAXwBEAGEAdABhAFwAbgA9AEwAQQBNAEIARABBACgAXABuACAAIABNAEEASwBFAEEAUgBSAEEAWQAoADIALAAgADUALABcAG4AIAAgACAAIABMAEEATQBCAEQAQQAoAHIALABjACwAXABuACAAIAAgACAAIAAgAEkATgBEAEUAWAAoAHsAXABuACAAIAAgACAAIAAgACAAIABcACIAUwB0AGEAdABlACwAIABUAGUAcgByAGkAdABvAHIAeQAgAG8AcgAgAGcAcgBpAGQAIABkAGUAcwBjAHIAaQBwAHQAaQBvAG4AXAAiACwAIABcACIAUwBjAG8AcABlACAAMgAgAEUAbQBpAHMAcwBpAG8AbgAgAEYAYQBjAHQAbwByAHMAIAAoAGsAZwAgAEMATwAyAC0AZQAvAGsAVwBoACkAXAAiACwAIABcACIAUwBjAG8AcABlACAAMgAgAEUAbQBpAHMAcwBpAG8AbgAgAEYAYQBjAHQAbwByAHMAIAAoAGsAZwAgAEMATwAyAC0AZQAvAEcASgApAFwAIgAsACAAXAAiAFMAYwBvAHAAZQAgADMAIABFAG0AaQBzAHMAaQBvAG4AIABGAGEAYwB0AG8AcgBzACAAKABrAGcAIABDAE8AMgAgAC0AIABlACAALwAgAGsAVwBoACkAXAAiACwAIABcACIAUwBjAG8AcABlACAAMwAgAEUAbQBpAHMAcwBpAG8AbgAgAEYAYQBjAHQAbwByAHMAIAAoAGsAZwAgAEMATwAyACAALQAgAGUAIAAvACAARwBKACkAXAAiADsAXABuACAAIAAgACAAIAAgACAAIABcACIATgBhAHQAaQBvAG4AYQBsAFwAIgAsACAAMAAuADgAMQAsACAAMgAyADYALAAgADAALgAxADAALAAgADIAOQBcAG4AIAAgACAAIAAgACAAfQAsACAAcgAsACAAYwApAFwAbgApACkAKQA7AFwAbgBcAG4ARQBsAGUAYwB0AHIAaQBjAGkAdAB5AF8AUwBjAG8AcABlADIAUwBjAG8AcABlADMATQBhAHIAawBlAHQAQgBhAHMAZQBkAF8AVgBhAHIAaQBhAHQAaQBvAG4AXABuAD0ATABBAE0AQgBEAEEAKAAoAFwAIgBcACIAKQApADsAIgB9ACwAewAiAHAAYQB0AGgAIgA6ACIALwBwAHIAbwBqAGUAYwB0AHMALwBGAHUAZQBsAF8ARQBxAHUAYQB0AGkAbwBuAHMAIgAsACIAdABlAHgAdAAiADoAIgAvACoAXABuAD0APQA9AD0APQA9AD0APQA9AD0APQA9AD0APQA9AD0APQA9AD0APQA9AD0APQA9AD0APQA9AD0APQA9AD0APQA9AD0APQA9AD0APQBcAG4AOAA6ACAARgB1AGUAbAAgAFUAcwBlAFwAbgA9AD0APQA9AD0APQA9AD0APQA9AD0APQA9AD0APQA9AD0APQA9AD0APQA9AD0APQA9AD0APQA9AD0APQA9AD0APQA9AD0APQA9AD0AXABuADgALgAxACAARgB1AGUAbAAgAFUAcwBlACAALQAgAFQAcgBhAG4AcwBwAG8AcgB0ACAAZgB1AGUAbABcAG4APQA9AD0APQA9AD0APQA9AD0APQA9AD0APQA9AD0APQA9AD0APQA9AD0APQA9AD0APQA9AD0APQA9AD0APQA9AD0APQA9AD0APQA9AFwAbgAqAC8AXABuAFwAbgBcAG4AVgBFAEUAUgBHAF8AOABfAEYAdQBlAGwAQwBvAG0AYgB1AHMAdABpAG8AbgBcAG4AIAAgAD0ATABBAE0AQgBEAEEAKABcAG4AIAAgACAAIABRACwAIABFAEMALAAgAEUARgAsAFwAbgAgACAAIAAgACgAUQAgACoAIABFAEMAIAAqACAARQBGACkAIAAqACAAMQAwACAAXgAgAC0AIAAzAFwAbgAgACAAKQBcAG4AOwBcAG4AXABuAC8AKgAgAFwAbgAtAC0ALQAtAC0ALQAtAC0ALQAtAC0ALQAtAC0ALQAtAC0ALQAtAC0ALQAtAC0ALQAtAC0ALQAtAC0ALQAtAC0ALQAtAC0ALQAtAC0AXABuAFYARQBFAFIARwBfADgAXwAxAF8AMQBfADEAXwBfADEAXwBGAHUAZQBsAEMAbwBtAGIAdQBzAHQAaQBvAG4AVAByAGEAbgBzAHAAbwByAHQAXABuAEUAbQBpAHMAcwBpAG8AbgBzACAAZgBvAHIAIABlAGEAYwBoACAARwBIAEcAIABmAHIAbwBtACAAdABoAGUAIABjAG8AbQBiAHUAcwB0AGkAbwBuACAAbwBmACAAZgB1AGUAbABzACAAZgBvAHIAIAB0AHIAYQBuAHMAcABvAHIAdAAgAGUAbgBlAHIAZwB5ACAAcAB1AHIAcABvAHMAZQBzAFwAbgBRACAAOgAgAEEAbQBvAHUAbgB0ACAAbwBmACAAZgB1AGUAbAAgAHQAeQBwAGUAIABxACAAYwBvAG0AYgB1AHMAdABlAGQAIABmAG8AcgAgAHQAcgBhAG4AcwBwAG8AcgB0ACAAZQBuAGUAcgBnAHkAIABwAHUAcgBwAG8AcwBlAHMAIAA6ACAAawBMAFwAbgBFAEMAIAA6ACAAZQBuAGUAcgBnAHkAIABjAG8AbgB0AGUAbgB0ACAAZgBhAGMAdABvAHIAIABmAG8AcgAgAHQAcgBhAG4AcwBwAG8AcgB0ACAAZQBuAGUAcgBnAHkAIABwAHUAcgBwAG8AcwBlAHMAIAA6ACAARwBKAC8AawBMAFwAbgBFAEYAIAA6ACAAUwBjAG8AcABlACAAMQAgAGUAbQBpAHMAcwBpAG8AbgAgAGYAYQBjAHQAbwByACAAZgBvAHIAIAB0AHIAYQBuAHMAcABvAHIAdAAgAGUAbgBlAHIAZwB5ACAAcAB1AHIAcABvAHMAZQBzACAAZgBvAHIAIABlAGEAYwBoACAAZwByAGUAZQBuAGgAbwB1AHMAZQAgAGcAYQBzACAAOgAgAGsAZwAgAEMATwAyAGUAIAAvACAARwBKAFwAbgAtAC0ALQAtAC0ALQAtAC0ALQAtAC0ALQAtAC0ALQAtAC0ALQAtAC0ALQAtAC0ALQAtAC0ALQAtAC0ALQAtAC0ALQAtAC0ALQAtAC0AXABuACoALwBcAG4AXABuAFwAbgBWAEUARQBSAEcAXwA4AF8AMQBfADEAXwAxAF8AXwAxAF8ARgB1AGUAbABDAG8AbQBiAHUAcwB0AGkAbwBuAFQAcgBhAG4AcwBwAG8AcgB0AFwAbgAgACAAPQBMAEEATQBCAEQAQQAoAFwAbgAgACAAIAAgAFEAXwBUAHIAYQBuAHMAdABxACwAIABFAEMAXwBUAHIAYQBuAHMAcQAsACAARQBGAF8AVAByAGEAbgBzADEAdABxAGcALABcAG4AIAAgACAAIABWAEUARQBSAEcAXwA4AF8ARgB1AGUAbABDAG8AbQBiAHUAcwB0AGkAbwBuACgAUQBfAFQAcgBhAG4AcwB0AHEALAAgAEUAQwBfAFQAcgBhAG4AcwBxACwAIABFAEYAXwBUAHIAYQBuAHMAMQB0AHEAZwApAFwAbgAgACAAKQBcAG4AOwBcAG4AXABuAFYARQBFAFIARwBfADgAXwAxAF8AMQBfADEAXwBfADEAXwBGAHUAZQBsAEMAbwBtAGIAdQBzAHQAaQBvAG4AVAByAGEAbgBzAHAAbwByAHQAXwBUAGkAdABsAGUAXABuACAAIAA9AEwAQQBNAEIARABBACgAXAAiAEUAbQBpAHMAcwBpAG8AbgBzACAAZgBvAHIAIABlAGEAYwBoACAARwBIAEcAIABmAHIAbwBtACAAdABoAGUAIABjAG8AbQBiAHUAcwB0AGkAbwBuACAAbwBmACAAZgB1AGUAbABzACAAZgBvAHIAIAB0AHIAYQBuAHMAcABvAHIAdAAgAGUAbgBlAHIAZwB5ACAAcAB1AHIAcABvAHMAZQBzAFwAIgApADsAXABuAFwAbgBWAEUARQBSAEcAXwA4AF8AMQBfADEAXwAxAF8AXwAxAF8ARgB1AGUAbABDAG8AbQBiAHUAcwB0AGkAbwBuAFQAcgBhAG4AcwBwAG8AcgB0AF8AVgBhAHIAaQBhAGIAbABlAFwAbgAgACAAPQBMAEEATQBCAEQAQQAoAFwAIgBFAF8AZwBcACIAKQA7AFwAbgBcAG4AVgBFAEUAUgBHAF8AOABfADEAXwAxAF8AMQBfAF8AMQBfAEYAdQBlAGwAQwBvAG0AYgB1AHMAdABpAG8AbgBUAHIAYQBuAHMAcABvAHIAdABfAFUAbgBpAHQAXABuACAAIAA9AEwAQQBNAEIARABBACgAXAAiAHQAIABDAE8AMgAtAGUAXAAiACkAOwBcAG4AXABuAFYARQBFAFIARwBfADgAXwAxAF8AMQBfADEAXwBfADEAXwBGAHUAZQBsAEMAbwBtAGIAdQBzAHQAaQBvAG4AVAByAGEAbgBzAHAAbwByAHQAXwBTAG8AdQByAGMAZQBcAG4AIAAgAD0ATABBAE0AQgBEAEEAKABcACIAVgBFAEUAUgBHACAAMgAwADIANgA6ACAAOAAuADEALgAxAC4AMQAsACAARQBxAHUAYQB0AGkAbwBuACAAKAAxACkAXAAiACkAOwBcAG4AXABuAFYARQBFAFIARwBfADgAXwAxAF8AMQBfADEAXwBfADEAXwBGAHUAZQBsAEMAbwBtAGIAdQBzAHQAaQBvAG4AVAByAGEAbgBzAHAAbwByAHQAXwBOAEkAUgBSAGUAZgBlAHIAZQBuAGMAZQBcAG4AIAAgAD0ATABBAE0AQgBEAEEAKABcACIAQQB1AHMAdAByAGEAbABpAGEAbgAgAE4AYQB0AGkAbwBuAGEAbAAgAEcAcgBlAGUAbgBoAG8AdQBzAGUAIABBAGMAYwBvAHUAbgB0AHMAIABGAGEAYwB0AG8AcgBzACAAMgAwADIANQAgAC0AIAAyAC4AMwAgAEUAcwB0AGkAbQBhAHQAaQBuAGcAIABlAG0AaQBzAHMAaQBvAG4AcwAgAGYAcgBvAG0AIAB0AHIAYQBuAHMAcABvAHIAdAAgAGYAdQBlAGwAcwBcACIAKQA7AFwAbgBcAG4AVgBFAEUAUgBHAF8AOABfADEAXwAxAF8AMQBfAF8AMQBfAEYAdQBlAGwAQwBvAG0AYgB1AHMAdABpAG8AbgBUAHIAYQBuAHMAcABvAHIAdABfAEwAYQB0AGUAeABFAHEAdQBhAHQAaQBvAG4AXABuACAAIAA9AEwAQQBNAEIARABBACgAXAAiAEUAXwBnAD0AXABcAHMAdQBtAFwAXABuAG8AbABpAG0AaQB0AHMAXwB0ACAAXABcAHMAdQBtAFwAXABuAG8AbABpAG0AaQB0AHMAXwBxAFwAXABsAGUAZgB0ACgAUQBfAHsAVAByAGEAbgBzACwAdABxAH0AXABcAHQAaQBtAGUAcwAgAEUAQwBfAHsAVAByAGEAbgBzACwAcQB9AFwAXAB0AGkAbQBlAHMAIABFAEYAXwB7AFQAcgBhAG4AcwAsADEALAB0AHEAZwB9AFwAXAByAGkAZwBoAHQAKQBcAFwAdABpAG0AZQBzACAAMQAwAF4AewAtADMAfQBcACIAKQA7AFwAbgBcAG4AVgBFAEUAUgBHAF8AOABfADEAXwAxAF8AMQBfAF8AMQBfAEYAdQBlAGwAQwBvAG0AYgB1AHMAdABpAG8AbgBUAHIAYQBuAHMAcABvAHIAdABfAEEAcgBnAHUAbQBlAG4AdABzAFwAbgAgACAAPQBMAEEATQBCAEQAQQAoAFwAbgAgACAAIAAgAE0AQQBLAEUAQQBSAFIAQQBZACgANwAsACAANAAsACAAXABuACAAIAAgACAAIAAgAEwAQQBNAEIARABBACgAcgAsAGMALAAgAFwAbgAgACAAIAAgACAAIAAgACAASQBOAEQARQBYACgAewBcAG4AIAAgACAAIAAgACAAIAAgACAAIABcACIAUQBfAFQAcgBhAG4AcwB0AHEAXAAiACwAIABcACIAQQBtAG8AdQBuAHQAIABvAGYAIABmAHUAZQBsACAAdAB5AHAAZQAgAHEAIABjAG8AbQBiAHUAcwB0AGUAZAAgAGYAbwByACAAdAByAGEAbgBzAHAAbwByAHQAIABlAG4AZQByAGcAeQAgAHAAdQByAHAAbwBzAGUAcwBcACIALAAgAFwAIgBWAGEAcgBpAGUAcwAgAGIAYQBzAGUAZAAgAG8AbgAgAGYAdQBlAGwAIAB0AHkAcABlADoAIABrAEwALAAgAG0AMwAsACAARwBKAFwAIgAsACAAXAAiAEkAbgBwAHUAdABcACIAOwBcAG4AIAAgACAAIAAgACAAIAAgACAAIABcACIARQBDAF8AVAByAGEAbgBzAHEAXAAiACwAIABcACIARQBuAGUAcgBnAHkAIABjAG8AbgB0AGUAbgB0ACAAZgBhAGMAdABvAHIAIABmAG8AcgAgAHQAcgBhAG4AcwBwAG8AcgB0ACAAZQBuAGUAcgBnAHkAIABwAHUAcgBwAG8AcwBlAHMAXAAiACwAIABcACIARwBKACAALwAgAHUAbgBpAHQAIABvAGYAIABmAHUAZQBsAFwAIgAsACAAXAAiAEMAbwBuAHMAdABhAG4AdABcACIAOwBcAG4AIAAgACAAIAAgACAAIAAgACAAIABcACIARQBGAF8AVAByAGEAbgBzADEAdABxAGcAXAAiACwAIABcACIAUwBjAG8AcABlACAAMQAgAGUAbQBpAHMAcwBpAG8AbgAgAGYAYQBjAHQAbwByACAAZgBvAHIAIAB0AHIAYQBuAHMAcABvAHIAdAAgAGUAbgBlAHIAZwB5ACAAcAB1AHIAcABvAHMAZQBzACAAZgBvAHIAIABlAGEAYwBoACAAZwByAGUAZQBuAGgAbwB1AHMAZQAgAGcAYQBzAFwAIgAsACAAXAAiAGsAZwAgAEMATwAyAGUAIAAvACAARwBKAFwAIgAsACAAXAAiAEMAbwBuAHMAdABhAG4AdABcACIAOwBcAG4AIAAgACAAIAAgACAAIAAgACAAIABcACIAcQBcACIALAAgAFwAIgBGAHUAZQBsACAAdAB5AHAAZQBcACIALAAgAFwAIgBcACIALAAgAFwAIgBDAG8AbgBzAHQAYQBuAHQAXAAiADsAXABuACAAIAAgACAAIAAgACAAIAAgACAAXAAiAFQAcgBhAG4AcwBcACIALAAgAFwAIgBUAHIAYQBuAHMAcABvAHIAdAAgAGMAbwBtAGIAdQBzAHQAaQBvAG4AXAAiACwAIABcACIAXAAiACwAIABcACIAQwBvAG4AcwB0AGEAbgB0AFwAIgA7AFwAbgAgACAAIAAgACAAIAAgACAAIAAgAFwAIgBnAFwAIgAsACAAXAAiAEcAcgBlAGUAbgBoAG8AdQBzAGUAIABnAGEAcwBcACIALAAgAFwAIgBcACIALAAgAFwAIgBDAG8AbgBzAHQAYQBuAHQAXAAiADsAXABuACAAIAAgACAAIAAgACAAIAAgACAAXAAiADEAXAAiACwAIABcACIAUwBjAG8AcABlACAAMQ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4AF8AMgBfADEAXwAxAF8AXwAxAF8ARgB1AGUAbABDAG8AbQBiAHUAcwB0AGkAbwBuAFMAdABhAHQAaQBvAG4AYQByAHkAXABuAEUAbQBpAHMAcwBpAG8AbgBzACAAZgBvAHIAIABlAGEAYwBoACAARwBIAEcAIABmAHIAbwBtACAAdABoAGUAIABzAHQAYQB0AGkAbwBuAGEAcgB5ACAAYwBvAG0AYgB1AHMAdABpAG8AbgAgAG8AZgAgAGYAdQBlAGwAcwBcAG4AUQAgADoAIABBAG0AbwB1AG4AdAAgAG8AZgAgAGYAdQBlAGwAIAB0AHkAcABlACAAcQAgAHUAcwBlAGQAIABmAG8AcgAgAHMAdABhAHQAaQBvAG4AYQByAHkAIABjAG8AbQBiAHUAcwB0AGkAbwBuACAAbwBwAGUAcgBhAHQAaQBvAG4AcwAgADoAIABrAEwAXABuAEUAQwAgADoAIABFAG4AZQByAGcAeQAgAGMAbwBuAHQAZQBuAHQAIABmAGEAYwB0AG8AcgAgAGYAbwByACAAcwB0AGEAdABpAG8AbgBhAHIAeQAgAGMAbwBtAGIAdQBzAHQAaQBvAG4AIABvAHAAZQByAGEAdABpAG8AbgBzACAAOgAgAEcASgAvAGsATABcAG4ARQBGACAAOgAgAFMAYwBvAHAAZQAgADEAIABlAG0AaQBzAHMAaQBvAG4AIABmAGEAYwB0AG8AcgAgAGYAbwByACAAcwB0AGEAdABpAG8AbgBhAHIAeQAgAGMAbwBtAGIAdQBzAHQAaQBvAG4AIABmAG8AcgAgAGUAYQBjAGgAIABnAHIAZQBlAG4AaABvAHUAcwBlACAAZwBhAHMAIAA6ACAAawBnACAAQwBPADIAZQAgAC8AIABHAEoAXABuAC0ALQAtAC0ALQAtAC0ALQAtAC0ALQAtAC0ALQAtAC0ALQAtAC0ALQAtAC0ALQAtAC0ALQAtAC0ALQAtAC0ALQAtAC0ALQAtAC0ALQBcAG4AKgAvAFwAbgBcAG4AXABuAFYARQBFAFIARwBfADgAXwAyAF8AMQBfADEAXwBfADEAXwBGAHUAZQBsAEMAbwBtAGIAdQBzAHQAaQBvAG4AUwB0AGEAdABpAG8AbgBhAHIAeQBcAG4AIAAgAD0ATABBAE0AQgBEAEEAKABcAG4AIAAgACAAIABRAF8AUwBDAHEALAAgAEUAQwBfAFMAQwBxACwAIABFAEYAXwBTAEMAMQBxAGcALABcAG4AIAAgACAAIABWAEUARQBSAEcAXwA4AF8ARgB1AGUAbABDAG8AbQBiAHUAcwB0AGkAbwBuACgAUQBfAFMAQwBxACwAIABFAEMAXwBTAEMAcQAsACAARQBGAF8AUwBDADEAcQBnACkAXABuACAAIAApAFwAbgA7AFwAbgBcAG4AVgBFAEUAUgBHAF8AOABfADIAXwAxAF8AMQBfAF8AMQBfAEYAdQBlAGwAQwBvAG0AYgB1AHMAdABpAG8AbgBTAHQAYQB0AGkAbwBuAGEAcgB5AF8AVABpAHQAbABlAFwAbgAgACAAPQBMAEEATQBCAEQAQQAoAFwAIgBFAG0AaQBzAHMAaQBvAG4AcwAgAGYAbwByACAAZQBhAGMAaAAgAEcASABHACAAZgByAG8AbQAgAHQAaABlACAAcwB0AGEAdABpAG8AbgBhAHIAeQAgAGMAbwBtAGIAdQBzAHQAaQBvAG4AIABvAGYAIABmAHUAZQBsAHMAXAAiACkAOwBcAG4AXABuAFYARQBFAFIARwBfADgAXwAyAF8AMQBfADEAXwBfADEAXwBGAHUAZQBsAEMAbwBtAGIAdQBzAHQAaQBvAG4AUwB0AGEAdABpAG8AbgBhAHIAeQBfAFYAYQByAGkAYQBiAGwAZQBcAG4AIAAgAD0ATABBAE0AQgBEAEEAKABcACIARQBfAGcAXAAiACkAOwBcAG4AXABuAFYARQBFAFIARwBfADgAXwAyAF8AMQBfADEAXwBfADEAXwBGAHUAZQBsAEMAbwBtAGIAdQBzAHQAaQBvAG4AUwB0AGEAdABpAG8AbgBhAHIAeQBfAFUAbgBpAHQAXABuACAAIAA9AEwAQQBNAEIARABBACgAXAAiAHQAIABDAE8AMgAtAGUAXAAiACkAOwBcAG4AXABuAFYARQBFAFIARwBfADgAXwAyAF8AMQBfADEAXwBfADEAXwBGAHUAZQBsAEMAbwBtAGIAdQBzAHQAaQBvAG4AUwB0AGEAdABpAG8AbgBhAHIAeQBfAFMAbwB1AHIAYwBlAFwAbgAgACAAPQBMAEEATQBCAEQAQQAoAFwAIgBWAEUARQBSAEcAIAAyADAAMgA2ADoAIAA4AC4AMgAuADEALgAxACwAIABFAHEAdQBhAHQAaQBvAG4AIAAoADEAKQBcACIAKQA7AFwAbgBcAG4AVgBFAEUAUgBHAF8AOABfADIAXwAxAF8AMQBfAF8AMQBfAEYAdQBlAGwAQwBvAG0AYgB1AHMAdABpAG8AbgBTAHQAYQB0AGkAbwBuAGEAcgB5AF8ATgBJAFIAUgBlAGYAZQByAGUAbgBjAGUAXABuACAAIAA9AEwAQQBNAEIARABBACgAXAAiAEEAdQBzAHQAcgBhAGwAaQBhAG4AIABOAGEAdABpAG8AbgBhAGwAIABHAHIAZQBlAG4AaABvAHUAcwBlACAAQQBjAGMAbwB1AG4AdABzACAARgBhAGMAdABvAHIAcwAgADIAMAAyADUAIAAtACAAMgAuADIAIABFAHMAdABpAG0AYQB0AGkAbgBnACAAZQBtAGkAcwBzAGkAbwBuAHMAIABmAHIAbwBtACAAcwB0AGEAdABpAG8AbgBhAHIAeQAgAGUAbgBlAHIAZwB5ACAAcwBvAHUAcgBjAGUAcwAgAC0AIABDAGEAbABjAHUAbABhAHQAaQBuAGcAIABlAG0AaQBzAHMAaQBvAG4AcwAgAGYAcgBvAG0AIABzAHQAYQB0AGkAbwBuAGEAcgB5ACAAYwBvAG0AYgB1AHMAdABpAG8AbgAgAG8AZgAgAGwAaQBxAHUAaQBkACAAZgB1AGUAbABzAFwAIgApADsAXABuAFwAbgBWAEUARQBSAEcAXwA4AF8AMgBfADEAXwAxAF8AXwAxAF8ARgB1AGUAbABDAG8AbQBiAHUAcwB0AGkAbwBuAFMAdABhAHQAaQBvAG4AYQByAHkAXwBMAGEAdABlAHgARQBxAHUAYQB0AGkAbwBuAFwAbgAgACAAPQBMAEEATQBCAEQAQQAoAFwAIgBFAF8AZwA9AFwAXABzAHUAbQBcAFwAbgBvAGwAaQBtAGkAdABzAF8AdAAgAFwAXABzAHUAbQBcAFwAbgBvAGwAaQBtAGkAdABzAF8AcQBcAFwAbABlAGYAdAAoAFEAXwB7AFMAQwAsAHEAfQBcAFwAdABpAG0AZQBzACAARQBDAF8AewBTAEMALABxAH0AXABcAHQAaQBtAGUAcwAgAEUARgBfAHsAUwBDACwAMQAsAHEAZwB9AFwAXAByAGkAZwBoAHQAKQBcAFwAdABpAG0AZQBzACAAMQAwAF4AewAtADMAfQBcACIAKQA7AFwAbgBcAG4AVgBFAEUAUgBHAF8AOABfADIAXwAxAF8AMQBfAF8AMQBfAEYAdQBlAGwAQwBvAG0AYgB1AHMAdABpAG8AbgBTAHQAYQB0AGkAbwBuAGEAcgB5AF8AQQByAGcAdQBtAGUAbgB0AHMAXABuACAAIAA9AEwAQQBNAEIARABBACgAXABuACAAIAAgACAATQBBAEsARQBBAFIAUgBBAFkAKAA3ACwAIAA0ACwAIABcAG4AIAAgACAAIAAgACAATABBAE0AQgBEAEEAKAByACwAYwAsACAAXABuACAAIAAgACAAIAAgACAAIABJAE4ARABFAFgAKAB7AFwAbgAgACAAIAAgACAAIAAgACAAIAAgAFwAIgBRAF8AUwBDAHEAXAAiACwAIABcACIAQQBtAG8AdQBuAHQAIABvAGYAIABmAHUAZQBsACAAdAB5AHAAZQAgAHEAIAB1AHMAZQBkACAAZgBvAHIAIABzAHQAYQB0AGkAbwBuAGEAcgB5ACAAYwBvAG0AYgB1AHMAdABpAG8AbgAgAG8AcABlAHIAYQB0AGkAbwBuAHMAXAAiACwAIABcACIAVgBhAHIAaQBlAHMAIABiAGEAcwBlAGQAIABvAG4AIABmAHUAZQBsACAAdAB5AHAAZQA6ACAAawBMACwAIABtADMALAAgAEcASgBcACIALAAgAFwAIgBJAG4AcAB1AHQAXAAiADsAXABuACAAIAAgACAAIAAgACAAIAAgACAAXAAiAEUAQwBfAFMAQwBxAFwAIgAsACAAXAAiAEUAbgBlAHIAZwB5ACAAYwBvAG4AdABlAG4AdAAgAGYAYQBjAHQAbwByACAAZgBvAHIAIABzAHQAYQB0AGkAbwBuAGEAcgB5ACAAYwBvAG0AYgB1AHMAdABpAG8AbgAgAG8AcABlAHIAYQB0AGkAbwBuAHMAXAAiACwAIABcACIARwBKACAALwAgAHUAbgBpAHQAIABvAGYAIABmAHUAZQBsAFwAIgAsACAAXAAiAEMAbwBuAHMAdABhAG4AdABcACIAOwBcAG4AIAAgACAAIAAgACAAIAAgACAAIABcACIARQBGAF8AUwBDADEAcQBnAFwAIgAsACAAXAAiAFMAYwBvAHAAZQAgADEAIABlAG0AaQBzAHMAaQBvAG4AIABmAGEAYwB0AG8AcgAgAGYAbwByACAAcwB0AGEAdABpAG8AbgBhAHIAeQAgAGMAbwBtAGIAdQBzAHQAaQBvAG4AIABmAG8AcgAgAGUAYQBjAGgAIABnAHIAZQBlAG4AaABvAHUAcwBlACAAZwBhAHMAXAAiACwAIABcACIAawBnACAAQwBPADIAZQAgAC8AIABHAEoAXAAiACwAIABcACIAQwBvAG4AcwB0AGEAbgB0AFwAIgA7AFwAbgAgACAAIAAgACAAIAAgACAAIAAgAFwAIgBxAFwAIgAsACAAXAAiAEYAdQBlAGwAIAB0AHkAcABlAFwAIgAsACAAXAAiAFwAIgAsACAAXAAiAEMAbwBuAHMAdABhAG4AdABcACIAOwBcAG4AIAAgACAAIAAgACAAIAAgACAAIABcACIAUwBDAFwAIgAsACAAXAAiAFMAdABhAHQAaQBvAG4AYQByAHkAIABjAG8AbQBiAHUAcwB0AGkAbwBuAFwAIgAsACAAXAAiAFwAIgAsACAAXAAiAEMAbwBuAHMAdABhAG4AdABcACIAOwBcAG4AIAAgACAAIAAgACAAIAAgACAAIABcACIAZwBcACIALAAgAFwAIgBHAHIAZQBlAG4AaABvAHUAcwBlACAAZwBhAHMAXAAiACwAIABcACIAXAAiACwAIABcACIAQwBvAG4AcwB0AGEAbgB0AFwAIgA7AFwAbgAgACAAIAAgACAAIAAgACAAIAAgAFwAIgAxAFwAIgAsACAAXAAiAFMAYwBvAHAAZQAgADEAXAAiACwAIABcACIAXAAiACwAIABcACIAQwBvAG4AcwB0AGEAbgB0AFwAIgBcAG4AIAAgACAAIAAgACAAIAAgAH0ALAAgAHIALAAgAGMAKQBcAG4AIAAgACAAIAAgACAAKQBcAG4AIAAgACAAIAApAFwAbgAgACAAKQA7AFwAbgBcAG4AIgB9ACwAewAiAHAAYQB0AGgAIgA6ACIALwBwAHIAbwBqAGUAYwB0AHMALwBGAHUAZQBsAF8ASQBuAHAAdQB0AEYAdQBuAGMAdABpAG8AbgBzACIALAAiAHQAZQB4AHQAIgA6ACIARgB1AGUAbABfAEcAZQB0AFQAcgBhAG4AcwBwAG8AcgB0AEYAdQBlAGwAUwB0AHIAaQBuAGcAXABuAD0ATABBAE0AQgBEAEEAKABcAG4AIAAgACAAIABDAGUAbABsACwAXABuACAAIAAgACAATABFAEYAVAAoAEMAZQBsAGwALAAgAEYASQBOAEQAKABcACIALAAgAFwAIgAsAEMAZQBsAGwAKQAgAC0AMQApAFwAbgApADsAXABuAFwAbgBGAHUAZQBsAF8ARwBlAHQAUwB0AGEAdABpAG8AbgBhAHIAeQBGAHUAZQBsAFMAdAByAGkAbgBnAFwAbgA9AEwAQQBNAEIARABBACgAXABuACAAIAAgACAAQwBlAGwAbAAsAFwAbgAgACAAIAAgAFIASQBHAEgAVAAoAEMAZQBsAGwALABMAEUATgAoAEMAZQBsAGwAKQAtAEYASQBOAEQAKABcACIALAAgAFwAIgAsAEMAZQBsAGwAKQApAFwAbgApADsAXABuAFwAbgBGAHUAZQBsAF8AVABvAHQAYQBsAEMAbwBuAHMAdQBtAHAAdABpAG8AbgBcAG4APQAgAEwAQQBNAEIARABBACgAXABuACAAIAAgACAARgB1AGUAbABDAG8AbgBzAHUAbQBwAHQAaQBvAG4AQQByAHIAYQB5ACwAIABGAHUAZQBsAFUAcwBlAEEAcgByAGEAeQAsACAARgB1AGUAbABVAHMAZQAsACAARgB1AGUAbABUAHkAcABlAEEAcgByAGEAeQAsACAARgB1AGUAbABUAHkAcABlACwAXABuACAAIAAgACAASQBGAEUAUgBSAE8AUgAoAFwAbgAgACAAIAAgAFMAVQBNACgAXABuACAAIAAgACAAIAAgAEYASQBMAFQARQBSACgAXABuACAAIAAgACAAIAAgACAAIABGAHUAZQBsAEMAbwBuAHMAdQBtAHAAdABpAG8AbgBBAHIAcgBhAHkALABcAG4AIAAgACAAIAAgACAAIAAgACgARgB1AGUAbABUAHkAcABlAEEAcgByAGEAeQAgAD0AIABGAHUAZQBsAFQAeQBwAGUAKQAgACoAIABcAG4AIAAgACAAIAAgACAAIAAgACgARgB1AGUAbABVAHMAZQBBAHIAcgBhAHkAIAA9ACAARgB1AGUAbABVAHMAZQApAFwAbgAgACAAIAAgACAAIAApAFwAbgAgACAAIAAgACkALABcAG4AIAAgACAAIAAwAFwAbgAgACAAKQBcAG4AKQA7ACIAfQAsAHsAIgBwAGEAdABoACIAOgAiAC8AcAByAG8AagBlAGMAdABzAC8ARgB1AGUAbABfAFMAbwB1AHIAYwBlAEQAYQB0AGEAIgAsACIAdABlAHgAdAAiADoAIgAvACoAXABuAD0APQA9AD0APQA9AD0APQA9AD0APQA9AD0APQA9AD0APQA9AD0APQA9AD0APQA9AD0APQA9AD0APQA9AD0APQA9AD0APQA9AD0APQA9AD0APQA9AD0APQA9AD0APQA9AD0APQA9AD0APQA9AD0APQA9AD0APQA9AD0APQA9AD0APQA9AD0APQA9AD0APQA9AD0APQA9AD0AXABuAEYAdQBlAGwAIABzAGMAbwBwAGUAIAAxACAAZQBtAGkAcwBzAGkAbwBuACAAZgBhAGMAdABvAHIAcwAgAC0AIABTAHQAYQB0AGkAbwBuAGEAcgB5ACAAZwBhAHMAZQBvAHUAcwAgAGYAdQBlAGwAcwBcAG4APQA9AD0APQA9AD0APQA9AD0APQA9AD0APQA9AD0APQA9AD0APQA9AD0APQA9AD0APQA9AD0APQA9AD0APQA9AD0APQA9AD0APQA9AD0APQA9AD0APQA9AD0APQA9AD0APQA9AD0APQA9AD0APQA9AD0APQA9AD0APQA9AD0APQA9AD0APQA9AD0APQA9AD0APQA9AD0APQBcAG4AKgAvAFwAbgBcAG4ARgB1AGUAbABfAFMAYwBvAHAAZQAxAEUAbQBpAHMAcwBpAG8AbgBGAGEAYwB0AG8AcgBzAFMAdABhAHQAaQBvAG4AYQByAHkARwBhAHMAZQBvAHUAcwBfAFQAaQB0AGwAZQBcAG4APQBMAEEATQBCAEQAQQAoACgAXAAiAEYAdQBlAGwAIABzAGMAbwBwAGUAIAAxACAAZQBtAGkAcwBzAGkAbwBuACAAZgBhAGMAdABvAHIAcwAgAC0AIABTAHQAYQB0AGkAbwBuAGEAcgB5ACAAZwBhAHMAZQBvAHUAcwAgAGYAdQBlAGwAcwBcACIAKQApADsAXABuAFwAbgBGAHUAZQBsAF8AUwBjAG8AcABlADEARQBtAGkAcwBzAGkAbwBuAEYAYQBjAHQAbwByAHMAUwB0AGEAdABpAG8AbgBhAHIAeQBHAGEAcwBlAG8AdQBzAF8ARABlAHMAYwByAGkAcAB0AGkAbwBuAFwAbgA9AEwAQQBNAEIARABBACgAKABcACIARABpAHIAZQBjAHQAIAAoAFMAYwBvAHAAZQAgADEAKQAgAGUAbQBpAHMAcwBpAG8AbgAgAGYAYQBjAHQAbwByAHMAIABmAG8AcgAgAHQAaABlACAAYwBvAG4AcwB1AG0AcAB0AGkAbwBuACAAbwBmACAAZwBhAHMAZQBvAHUAcwAgAGYAdQBlAGwAcwAgAGkAbgBjAGwAdQBkAGkAbgBnACAAbABpAHEAdQBlAGYAaQBlAGQAIABuAGEAdAB1AHIAYQBsACAAZwBhAHMAIAAgAFwAIgApACkAOwBcAG4AXABuAEYAdQBlAGwAXwBTAGMAbwBwAGUAMQBFAG0AaQBzAHMAaQBvAG4ARgBhAGMAdABvAHIAcwBTAHQAYQB0AGkAbwBuAGEAcgB5AEcAYQBzAGUAbwB1AHMAXwBTAG8AdQByAGMAZQBcAG4APQBMAEEATQBCAEQAQQAoACgAXAAiAEEAdQBzAHQAcgBhAGwAaQBhAG4AIABOAGEAdABpAG8AbgBhAGwAIABHAHIAZQBlAG4AaABvAHUAcwBlACAAQQBjAGMAbwB1AG4AdABzACAARgBhAGMAdABvAHIAcwAgADIAMAAyADUAIAAtACAAVABhAGIAbABlACAANQBcACIAKQApADsAXABuAFwAbgBGAHUAZQBsAF8AUwBjAG8AcABlADEARQBtAGkAcwBzAGkAbwBuAEYAYQBjAHQAbwByAHMAUwB0AGEAdABpAG8AbgBhAHIAeQBHAGEAcwBlAG8AdQBzAF8ARABhAHQAYQBcAG4APQBMAEEATQBCAEQAQQAoAFwAbgAgACAATQBBAEsARQBBAFIAUgBBAFkAKAAxADkALAAgADcALABcAG4AIAAgACAAIABMAEEATQBCAEQAQQAoAHIALABjACwAXABuACAAIAAgACAAIAAgAEkATgBEAEUAWAAoAHsAXABuACAAIAAgACAAIAAgACAAIABcACIARgB1AGUAbAAgAGMAbwBtAGIAdQBzAHQAZQBkAFwAIgAsACAAXAAiAEUAbgBlAHIAZwB5ACAAQwBvAG4AdABlAG4AdAAgAEYAYQBjAHQAbwByACAAKABHAEoAIABwAGUAcgAgAHUAbgBpAHQAIABvAGYAIABmAHUAZQBsACkAXAAiACwAIABcACIARgB1AGUAbAAgAHUAbgBpAHQAXAAiACwAIABcACIAUwBjAG8AcABlACAAMQAgAEUAbQBpAHMAcwBpAG8AbgAgAEYAYQBjAHQAbwByACAAKABrAGcAIABDAE8AMgAgAC0AIABlACAALwAgAEcASgApACAAQwBPADIAXAAiACwAIABcACIAUwBjAG8AcABlACAAMQAgAEUAbQBpAHMAcwBpAG8AbgAgAEYAYQBjAHQAbwByACAAKABrAGcAIABDAE8AMgAgAC0AIABlACAALwAgAEcASgApACAAQwBIADQAXAAiACwAIABcACIAUwBjAG8AcABlACAAMQAgAEUAbQBpAHMAcwBpAG8AbgAgAEYAYQBjAHQAbwByACAAKABrAGcAIABDAE8AMgAgAC0AIABlACAALwAgAEcASgApACAATgAyAE8AXAAiACwAIABcACIAUwBjAG8AcABlACAAMQAgAEUAbQBpAHMAcwBpAG8AbgAgAEYAYQBjAHQAbwByACAAKABrAGcAIABDAE8AMgAgAC0AIABlACAALwAgAEcASgApACAAQwBvAG0AYgBpAG4AZQBkACAAZwBhAHMAZQBzAFwAIgA7AFwAbgAgACAAIAAgACAAIAAgACAAXAAiAE4AYQB0AHUAcgBhAGwAIABnAGEAcwAgAGQAaQBzAHQAcgBpAGIAdQB0AGUAZAAgAGkAbgAgAGEAIABwAGkAcABlAGwAaQBuAGUAXAAiACwAIAAwAC4AMAAzADkAMwAsACAAXAAiAG0AMwBcACIALAAgADUAMQAuADQALAAgADAALgAxACwAIAAwAC4AMAAzACwAIAA1ADEALgA1ADMAOwBcAG4AIAAgACAAIAAgACAAIAAgAFwAIgBDAG8AYQBsACAAcwBlAGEAbQAgAG0AZQB0AGgAYQBuAGUAIAB0AGgAYQB0ACAAaQBzACAAYwBhAHAAdAB1AHIAZQBkACAAZgBvAHIAIABjAG8AbQBiAHUAcwB0AGkAbwBuAFwAIgAsACAAMAAuADAAMwA3ADcALAAgAFwAIgBtADMAXAAiACwAIAA1ADEALgA0ACwAIAAwAC4AMgAsACAAMAAuADAAMwAsACAANQAxAC4ANgAzADsAXABuACAAIAAgACAAIAAgACAAIABcACIAQwBvAGEAbAAgAG0AaQBuAGUAIAB3AGEAcwB0AGUAIABnAGEAcwAgAHQAaABhAHQAIABpAHMAIABjAGEAcAB0AHUAcgBlAGQAIABmAG8AcgAgAGMAbwBtAGIAdQBzAHQAaQBvAG4AXAAiACwAIAAwAC4AMAAzADcANwAsACAAXAAiAG0AMwBcACIALAAgADUAMQAuADkALAAgADQALgA2ACwAIAAwAC4AMwAsACAANQA2AC4AOAA7AFwAbgAgACAAIAAgACAAIAAgACAAXAAiAEMAbwBtAHAAcgBlAHMAcwBlAGQAIABuAGEAdAB1AHIAYQBsACAAZwBhAHMAKAByAGUAdgBlAHIAdABpAG4AZwAgAHQAbwAgAHMAdABhAG4AZABhAHIAZAAgAGMAbwBuAGQAaQB0AGkAbwBuAHMAKQBcACIALAAgADAALgAwADMAOQAzACwAIABcACIAbQAzAFwAIgAsACAANQAxAC4ANAAsACAAMAAuADEALAAgADAALgAwADMALAAgADUAMQAuADUAMwA7AFwAbgAgACAAIAAgACAAIAAgACAAXAAiAFUAbgBwAHIAbwBjAGUAcwBzAGUAZAAgAG4AYQB0AHUAcgBhAGwAIABnAGEAcwBcACIALAAgADAALgAwADMAOQAzACwAIABcACIAbQAzAFwAIgAsACAANQAxAC4ANAAsACAAMAAuADEALAAgADAALgAwADMALAAgADUAMQAuADUAMwA7AFwAbgAgACAAIAAgACAAIAAgACAAXAAiAEUAdABoAGEAbgBlAFwAIgAsACAAMAAuADAANgAyADkALAAgAFwAIgBtADMAXAAiACwAIAA1ADYALgA1ACwAIAAwAC4AMAAzACwAIAAwAC4AMAAzACwAIAA1ADYALgA1ADYAOwBcAG4AIAAgACAAIAAgACAAIAAgAFwAIgBDAG8AawBlACAAbwB2AGUAbgAgAGcAYQBzAFwAIgAsACAAMAAuADAAMQA4ADEALAAgAFwAIgBtADMAXAAiACwAIAAzADcALgAwACwAIAAwAC4AMAAzACwAIAAwAC4AMAA1ACwAIAAzADcALgAwADgAOwBcAG4AIAAgACAAIAAgACAAIAAgAFwAIgBCAGwAYQBzAHQAIABmAHUAcgBuAGEAYwBlACAAZwBhAHMAXAAiACwAIAAwAC4AMAAwADQAMAAsACAAXAAiAG0AMwBcACIALAAgADIAMwA0AC4AMAAsACAAMAAuADAAMwAsACAAMAAuADAAMgAsACAAMgAzADQALgAwADUAOwBcAG4AIAAgACAAIAAgACAAIAAgAFwAIgBUAG8AdwBuACAAZwBhAHMAXAAiACwAIAAwAC4AMAAzADkAMAAsACAAXAAiAG0AMwBcACIALAAgADYAMAAuADIALAAgADAALgAwADQALAAgADAALgAwADMALAAgADYAMAAuADIANwA7AFwAbgAgACAAIAAgACAAIAAgACAAXAAiAEwAaQBxAHUAZQBmAGkAZQBkACAAbgBhAHQAdQByAGEAbAAgAGcAYQBzAFwAIgAsACAAMgA1AC4AMwAsACAAXAAiAGsATABcACIALAAgADUAMQAuADQALAAgADAALgAxACwAIAAwAC4AMAAzACwAIAA1ADEALgA1ADMAOwBcAG4AIAAgACAAIAAgACAAIAAgAFwAIgBHAGEAcwBlAG8AdQBzACAAZgBvAHMAcwBpAGwAIABmAHUAZQBsAHMAIABvAHQAaABlAHIAIAB0AGgAYQBuACAAdABoAG8AcwBlACAAbQBlAG4AdABpAG8AbgBlAGQAIABpAG4AIAB0AGgAZQAgAGkAdABlAG0AcwAgAGEAYgBvAHYAZQBcACIALAAgADAALgAwADMAOQAwACwAIABcACIAbQAzAFwAIgAsACAANQAxAC4ANAAsACAAMAAuADEALAAgADAALgAwADMALAAgADUAMQAuADUAMwA7AFwAbgAgACAAIAAgACAAIAAgACAAXAAiAEwAYQBuAGQAZgBpAGwAbAAgAGIAaQBvAGcAYQBzACAAdABoAGEAdAAgAGkAcwAgAGMAYQBwAHQAdQByAGUAZAAgAGYAbwByACAAYwBvAG0AYgB1AHMAdABpAG8AbgAgACgAbQBlAHQAaABhAG4AZQAgAG8AbgBsAHkAKQBcACIALAAgADAALgAwADMANwA3ACwAIABcACIAbQAzAFwAIgAsACAAMAAuADAALAAgADYALgA0ACwAIAAwAC4AMAAzACwAIAA2AC4ANAAzADsAXABuACAAIAAgACAAIAAgACAAIABcACIAUwBsAHUAZABnAGUAIABiAGkAbwBnAGEAcwAgAHQAaABhAHQAIABpAHMAIABjAGEAcAB0AHUAcgBlAGQAIABmAG8AcgAgAGMAbwBtAGIAdQBzAHQAaQBvAG4AIAAoAG0AZQB0AGgAYQBuAGUAIABvAG4AbAB5ACkAXAAiACwAIAAwAC4AMAAzADcANwAsACAAXAAiAG0AMwBcACIALAAgADAALgAwACwAIAA2AC4ANAAsACAAMAAuADAAMwAsACAANgAuADQAMwA7AFwAbgAgACAAIAAgACAAIAAgACAAXAAiAEEAIABiAGkAbwBnAGEAcwAgAHQAaABhAHQAIABpAHMAIABjAGEAcAB0AHUAcgBlAGQAIABmAG8AcgAgAGMAbwBtAGIAdQBzAHQAaQBvAG4ALAAgAG8AdABoAGUAcgAgAHQAaABhAG4AIAB0AGgAbwBzAGUAIABtAGUAbgB0AGkAbwBuAGUAZAAgAGkAbgAgAHQAaABlACAAaQB0AGUAbQBzACAAYQBiAG8AdgBlAFwAIgAsACAAMAAuADAAMwA3ADAALAAgAFwAIgBtADMAXAAiACwAIAAwAC4AMAAsACAANgAuADQALAAgADAALgAwADMALAAgADYALgA0ADMAOwBcAG4AIAAgACAAIAAgACAAIAAgAFwAIgBCAGkAbwBtAGUAdABoAGEAbgBlAFwAIgAsACAAMAAuADAAMwA5ADMALAAgAFwAIgBtADMAXAAiACwAIAAwAC4AMAAsACAAMAAuADEALAAgADAALgAwADMALAAgADAALgAxADMAOwBcAG4AIAAgACAAIAAgACAAIAAgAFwAIgBIAHkAZAByAG8AZwBlAG4AXAAiACwAIAAwAC4AMAAxADIAMgAsACAAXAAiAG0AMwBcACIALAAgADAALgAwACwAIAAwAC4AMAAsACAAMAAuADUALAAgADAALgA1ADsAXABuACAAIAAgACAAIAAgACAAIABcACIATgBhAHQAdQByAGEAbAAgAGcAYQBzACAAZABpAHMAdAByAGkAYgB1AHQAZQBkACAAaQBuACAAYQAgAHAAaQBwAGUAbABpAG4AZQAgAC0AIABHAGkAZwBhAGoAbwB1AGwAZQBzAFwAIgAsACAAMQAsACAAXAAiAEcASgBcACIALAAgADUAMQAuADQALAAgADAALgAxACwAIAAwAC4AMAAzACwAIAA1ADEALgA1ADMAOwBcAG4AIAAgACAAIAAgACAAIAAgAFwAIgBUAG8AdwBuACAAZwBhAHMAIAAtACAARwBpAGcAYQBqAG8AdQBsAGUAcwBcACIALAAgADEALAAgAFwAIgBHAEoAXAAiACwAIAA2ADAALgAyACwAIAAwAC4AMAA0ACwAIAAwAC4AMAAzACwAIAA2ADAALgAyADcAXABuACAAIAAgACAAIAAgAH0ALAAgAHIALAAgAGMAKQBcAG4AKQApACkAOwBcAG4AXABuAEYAdQBlAGwAXwBTAGMAbwBwAGUAMQBFAG0AaQBzAHMAaQBvAG4ARgBhAGMAdABvAHIAcwBTAHQAYQB0AGkAbwBuAGEAcgB5AEcAYQBzAGUAbwB1AHMAXwBWAGEAcgBpAGEAdABpAG8AbgBcAG4APQBMAEEATQBCAEQAQQAoACgAXAAiAFYAQQBSAEkAQQBUAEkATwBOACAATwBGACAAUwBPAFUAUgBDAEUAIABEAEEAVABBADoAIAAnAE4AYQB0AHUAcgBhAGwAIABnAGEAcwAgAGQAaQBzAHQAcgBpAGIAdQB0AGUAZAAgAGkAbgAgAGEAIABwAGkAcABlAGwAaQBuAGUAIAAtACAARwBpAGcAYQBqAG8AdQBsAGUAcwAnACAAYQBuAGQAIAAnAFQAbwB3AG4AIABnAGEAcwAgAC0AIABHAGkAZwBhAGoAbwB1AGwAZQBzACcAIAB3AGUAcgBlACAAYQBkAGQAZQBkACwAIABlAGEAYwBoACAAdwBpAHQAaAAgAGEAbgAgAGUAbgBlAHIAZwB5ACAAYwBvAG4AdABlAG4AdAAgAGYAYQBjAHQAbwByACAAbwBmACAAMQAgAEcASgAgAHAAZQByACAAdQBuAGkAdAAgAG8AZgAgAGYAdQBlAGwALgAgAFQAaABpAHMAIABpAHMAIABmAG8AcgAgAHUAcwBlAHIAcwAgAHcAaABvACAAaABhAHYAZQAgAGYAdQBlAGwAIABjAG8AbgBzAHUAbQBwAHQAaQBvAG4AIABkAGEAdABhACAAaQBuACAARwBKACAAcgBhAHQAaABlAHIAIAB0AGgAYQBuACAAbQAzAC4AXAAiACkAKQA7AFwAbgBcAG4AXABuAC8AKgBcAG4APQA9AD0APQA9AD0APQA9AD0APQA9AD0APQA9AD0APQA9AD0APQA9AD0APQA9AD0APQA9AD0APQA9AD0APQA9AD0APQA9AD0APQA9AD0APQA9AD0APQA9AD0APQA9AD0APQA9AD0APQA9AD0APQA9AD0APQA9AD0APQA9AD0APQA9AD0APQA9AD0APQA9AD0APQA9AD0APQBcAG4ARgB1AGUAbAAgAHMAYwBvAHAAZQAgADMAIABlAG0AaQBzAHMAaQBvAG4AIABmAGEAYwB0AG8AcgBzACAALQAgAFMAdABhAHQAaQBvAG4AYQByAHkAIABnAGEAcwBlAG8AdQBzACAAZgB1AGUAbABzAFwAbgA9AD0APQA9AD0APQA9AD0APQA9AD0APQA9AD0APQA9AD0APQA9AD0APQA9AD0APQA9AD0APQA9AD0APQA9AD0APQA9AD0APQA9AD0APQA9AD0APQA9AD0APQA9AD0APQA9AD0APQA9AD0APQA9AD0APQA9AD0APQA9AD0APQA9AD0APQA9AD0APQA9AD0APQA9AD0APQA9AFwAbgAqAC8AXABuAFwAbgBGAHUAZQBsAF8AUwBjAG8AcABlADMARQBtAGkAcwBzAGkAbwBuAEYAYQBjAHQAbwByAHMAUwB0AGEAdABpAG8AbgBhAHIAeQBHAGEAcwBlAG8AdQBzAF8AVABpAHQAbABlAFwAbgA9AEwAQQBNAEIARABBACgAKABcACIARgB1AGUAbAAgAHMAYwBvAHAAZQAgADMAIABlAG0AaQBzAHMAaQBvAG4AIABmAGEAYwB0AG8AcgBzACAALQAgAFMAdABhAHQAaQBvAG4AYQByAHkAIABnAGEAcwBlAG8AdQBzACAAZgB1AGUAbABzAFwAIgApACkAOwBcAG4AXABuAEYAdQBlAGwAXwBTAGMAbwBwAGUAMwBFAG0AaQBzAHMAaQBvAG4ARgBhAGMAdABvAHIAcwBTAHQAYQB0AGkAbwBuAGEAcgB5AEcAYQBzAGUAbwB1AHMAXwBEAGUAcwBjAHIAaQBwAHQAaQBvAG4AXABuAD0ATABBAE0AQgBEAEEAKAAoAFwAIgBJAG4AZABpAHIAZQBjAHQAIAAoAFMAYwBvAHAAZQAgADMAKQAgAGUAbQBpAHMAcwBpAG8AbgAgAGYAYQBjAHQAbwByAHMAIABmAG8AcgAgAHQAaABlACAAYwBvAG4AcwB1AG0AcAB0AGkAbwBuACAAbwBmACAAbgBhAHQAdQByAGEAbAAgAGcAYQBzAC4AXAAiACkAKQA7AFwAbgBcAG4ARgB1AGUAbABfAFMAYwBvAHAAZQAzAEUAbQBpAHMAcwBpAG8AbgBGAGEAYwB0AG8AcgBzAFMAdABhAHQAaQBvAG4AYQByAHkARwBhAHMAZQBvAHUAcwBfAFMAbwB1AHIAYwBlAFwAbgA9AEwAQQBNAEIARABBACgAKABcACIAQQB1AHMAdAByAGEAbABpAGEAbgAgAE4AYQB0AGkAbwBuAGEAbAAgAEcAcgBlAGUAbgBoAG8AdQBzAGUAIABBAGMAYwBvAHUAbgB0AHMAIABGAGEAYwB0AG8AcgBzACAAMgAwADIANQAgAC0AIABUAGEAYgBsAGUAIAA2AFwAIgApACkAOwBcAG4AXABuAEYAdQBlAGwAXwBTAGMAbwBwAGUAMwBFAG0AaQBzAHMAaQBvAG4ARgBhAGMAdABvAHIAcwBTAHQAYQB0AGkAbwBuAGEAcgB5AEcAYQBzAGUAbwB1AHMAXwBEAGEAdABhAFwAbgA9AEwAQQBNAEIARABBACgAXABuACAAIABNAEEASwBFAEEAUgBSAEEAWQAoADkALAAgADMALABcAG4AIAAgACAAIABMAEEATQBCAEQAQQAoAHIALABjACwAXABuACAAIAAgACAAIAAgAEkATgBEAEUAWAAoAHsAXABuACAAIAAgACAAIAAgACAAIABcACIAUwB0AGEAdABlACAAbwByACAAdABlAHIAcgBpAHQAbwByAHkAXAAiACwAIABcACIAUwBjAG8AcABlACAAMwAgAEUAbQBpAHMAcwBpAG8AbgAgAEYAYQBjAHQAbwByAHMAIABmAG8AcgAgAE4AYQB0AHUAcgBhAGwAIABHAGEAcwAgACgAawBnACAAQwBPADIAIAAtACAAZQAgAC8AIABHAEoAKQAgAE0AZQB0AHIAbwBcACIALAAgAFwAIgBTAGMAbwBwAGUAIAAzACAARQBtAGkAcwBzAGkAbwBuACAARgBhAGMAdABvAHIAcwAgAGYAbwByACAATgBhAHQAdQByAGEAbAAgAEcAYQBzACAAKABrAGcAIABDAE8AMgAgAC0AIABlACAALwAgAEcASgApACAATgBvAG4AIAAtACAATQBlAHQAcgBvAFwAIgA7AFwAbgAgACAAIAAgACAAIAAgACAAXAAiAE4AZQB3ACAAUwBvAHUAdABoACAAVwBhAGwAZQBzAFwAIgAsACAAMQAzAC4AMQAsACAAMQA0AC4AMAA7AFwAbgAgACAAIAAgACAAIAAgACAAXAAiAEEAQwBUAFwAIgAsACAAMQAzAC4AMQAsACAAMQA0AC4AMAA7AFwAbgAgACAAIAAgACAAIAAgACAAXAAiAFYAaQBjAHQAbwByAGkAYQBcACIALAAgADQALgAwACwAIAA0AC4AMAA7AFwAbgAgACAAIAAgACAAIAAgACAAXAAiAFEAdQBlAGUAbgBzAGwAYQBuAGQAXAAiACwAIAA4AC4AOAAsACAANwAuADkAOwBcAG4AIAAgACAAIAAgACAAIAAgAFwAIgBTAG8AdQB0AGgAIABBAHUAcwB0AHIAYQBsAGkAYQBcACIALAAgADEAMAAuADcALAAgADEAMAAuADYAOwBcAG4AIAAgACAAIAAgACAAIAAgAFwAIgBXAGUAcwB0AGUAcgBuACAAQQB1AHMAdAByAGEAbABpAGEAXAAiACwAIAA0AC4AMQAsACAANAAuADAAOwBcAG4AIAAgACAAIAAgACAAIAAgAFwAIgBUAGEAcwBtAGEAbgBpAGEAXAAiACwAIAA0AC4AMAAsACAANAAuADAAOwBcAG4AIAAgACAAIAAgACAAIAAgAFwAIgBOAG8AcgB0AGgAZQByAG4AIABUAGUAcgByAGkAdABvAHIAeQBcACIALAAgADQALgAxACwAIAA0AC4AMABcAG4AIAAgACAAIAAgACAAfQAsACAAcgAsACAAYwApAFwAbgApACkAKQA7AFwAbgBcAG4ARgB1AGUAbABfAFMAYwBvAHAAZQAzAEUAbQBpAHMAcwBpAG8AbgBGAGEAYwB0AG8AcgBzAFMAdABhAHQAaQBvAG4AYQByAHkARwBhAHMAZQBvAHUAcwBfAFYAYQByAGkAYQB0AGkAbwBuAFwAbgA9AEwAQQBNAEIARABBACgAKABcACIAVgBBAFIASQBBAFQASQBPAE4AIABPAEYAIABTAE8AVQBSAEMARQAgAEQAQQBUAEEAOgAgAE4AUwBXACAAYQBuAGQAIABBAEMAVAAgAHMAcABsAGkAdAAgAGkAbgB0AG8AIABzAGUAcABhAHIAYQB0AGUAIAByAG8AdwBzAC4AIAAnAEMAJwAgAFYAYQBsAHUAZQBzACAAZgBvAHIAIABUAGEAcwBtAGEAbgBpAGEAIABhAG4AZAAgAE4AbwByAHQAaABlAHIAbgAgAFQAZQByAHIAaQB0AG8AcgB5ACAAcgBlAHAAbABhAGMAZQBkACAAdwBpAHQAaAAgAHQAaABvAHMAZQAgAGYAbwByACAAVgBpAGMAdABvAHIAaQBhACAAYQBuAGQAIABXAGUAcwB0AGUAcgBuACAAQQB1AHMAdAByAGEAbABpAGEAIAByAGUAcwBwAGUAYwB0AGkAdgBlAGwAeQAuACAAKABTAGUAZQAgAGEAcABwAGUAbgBkAGkAYwBlAHMAKQBcACIAKQApADsAXABuAFwAbgBGAHUAZQBsAF8AUwBjAG8AcABlADMARQBtAGkAcwBzAGkAbwBuAEYAYQBjAHQAbwByAHMAUwB0AGEAdABpAG8AbgBhAHIAeQBHAGEAcwBlAG8AdQBzAF8AQQBwAHAAZQBuAGQAaQBjAGUAcwBcAG4APQBMAEEATQBCAEQAQQAoAFwAbgAgACAATQBBAEsARQBBAFIAUgBBAFkAKAAxADIALAAgADIALABcAG4AIAAgACAAIABMAEEATQBCAEQAQQAoAHIALABjACwAXABuACAAIAAgACAAIAAgAEkATgBEAEUAWAAoAHsAXABuACAAIAAgACAAIAAgACAAIABcACIALQBcACIALAAgAFwAIgBBAHMAIABTAGMAbwBwAGUAIAAzACAAZgBhAGMAdABvAHIAcwAgAGEAcgBlACAAYwBhAGwAYwB1AGwAYQB0AGUAZAAgAGEAdAAgAHQAaABlACAAcABvAGkAbgB0ACAAdwBoAGUAcgBlACAAbgBhAHQAdQByAGEAbAAgAGcAYQBzACAAaQBzACAAZABlAGwAaQB2AGUAcgBlAGQAIAB0AG8AIABlAG4AZAAgAHUAcwBlAHIAcwAsACAAaQB0ACAAaQBzACAAbgBlAGMAZQBzAHMAYQByAHkAIAB0AG8AIABjAGEAbABjAHUAbABhAHQAZQAgAGMAbwBuAHMAdQBtAHAAdABpAG8AbgAgAGEAdAAgAGUAYQBjAGgAIABvAGYAIAB0AGgAZQAgAGwAbwBhAGQAIABjAGUAbgB0AHIAZQBzAC4AXAAiADsAXABuACAAIAAgACAAIAAgACAAIABcACIAXAAiACwAIABcACIARwBhAHMAIAByAGUAYQBjAGgAZQBzACAAZQBuAGQAIAB1AHMAZQByAHMAIABlAGkAdABoAGUAcgAgAGYAcgBvAG0AIAB0AGgAZQAgAG0AZQB0AHIAbwAgAGQAaQBzAHQAcgBpAGIAdQB0AGkAbwBuACAAbgBlAHQAdwBvAHIAawBzACAAbwByACAAZABpAHIAZQBjAHQAIABmAHIAbwBtACAAdABoAGUAIABoAGkAZwBoACAALQAgAHAAcgBlAHMAcwB1AHIAZQAgAGQAaQBzAHQAcgBpAGIAdQB0AGkAbwBuACAAcABpAHAAZQBsAGkAbgBlAHMALgBcACIAOwBcAG4AIAAgACAAIAAgACAAIAAgAFwAIgBcACIALAAgAFwAIgBIAG8AdQBzAGUAaABvAGwAZABzACAAYQBuAGQAIABjAG8AbQBtAGUAcgBjAGkAYQBsACAAdQBzAGUAcgBzACAAdABlAG4AZAAgAHQAbwAgAGIAZQAgAHMAZQByAHYAZQBkACAAYgB5ACAAdABoAGUAIABmAG8AcgBtAGUAcgAsACAAYQBuAGQAIABlAGwAZQBjAHQAcgBpAGMAaQB0AHkAIABnAGUAbgBlAHIAYQB0AG8AcgBzACAAYQBuAGQAIABsAGEAcgBnAGUAIABpAG4AZAB1AHMAdAByAGkAYQBsACAAcABsAGEAbgB0AHMAIABmAHIAbwBtACAAdABoAGUAIABsAGEAdAB0AGUAcgAuAFwAIgA7AFwAbgAgACAAIAAgACAAIAAgACAAXAAiAC0AXAAiACwAIABcACIATQBlAHQAcgBvACAAaQBzACAAZABlAGYAaQBuAGUAZAAgAGEAcwAgAGwAbwBjAGEAdABlAGQAIABvAG4AIABvAHIAIABlAGEAcwB0ACAAbwBmACAAdABoAGUAIABkAGkAdgBpAGQAaQBuAGcAIAByAGEAbgBnAGUAIABpAG4AIABOAFMAVwAsACAAaQBuAGMAbAB1AGQAaQBuAGcAIABDAGEAbgBiAGUAcgByAGEAIABhAG4AZAAgAFEAdQBlAGEAbgBiAGUAeQBhAG4ALAAgAE0AZQBsAGIAbwB1AHIAbgBlACwAIABCAHIAaQBzAGIAYQBuAGUALAAgAEEAZABlAGwAYQBpAGQAZQAgAG8AcgAgAFAAZQByAHQAaAAuAFwAIgA7AFwAbgAgACAAIAAgACAAIAAgACAAXAAiAFwAIgAsACAAXAAiAE8AdABoAGUAcgB3AGkAcwBlACwAIAB0AGgAZQAgAG4AbwBuACAALQAgAG0AZQB0AHIAbwAgAGYAYQBjAHQAbwByACAAcwBoAG8AdQBsAGQAIABiAGUAIAB1AHMAZQBkAC4AXAAiADsAXABuACAAIAAgACAAIAAgACAAIABcACIALQBcACIALAAgAFwAIgBGAGEAYwB0AG8AcgBzACAAYQByAGUAIABjAGEAbABjAHUAbABhAHQAZQBkACAAZgBvAHIAIABhAGwAbAAgAG4AYQB0AHUAcgBhAGwAIABnAGEAcwAgAGQAaQBzAHQAcgBpAGIAdQB0AGUAZAAgAGkAbgAgAGEAIABwAGkAcABlAGwAaQBuAGUAIAB3AGgAaQBjAGgAIABtAGEAeQAgAGkAbgBjAGwAdQBkAGUAIABjAG8AYQBsACAAcwBlAGEAbQAgAG0AZQB0AGgAYQBuAGUALgBcACIAOwBcAG4AIAAgACAAIAAgACAAIAAgAFwAIgAtAFwAIgAsACAAXAAiAFQAYQBiAGwAZQAgADYAIABpAHMAIABuAG8AdAAgAGEAcABwAGwAaQBjAGEAYgBsAGUAIAB0AG8AIABlAHQAaABhAG4AZQAuACAAUwBlAGUAIABUAGEAYgBsAGUAIAA3ACAASQBuAGQAaQByAGUAYwB0ACAAKABTAGMAbwBwAGUAIAAzACkAIABlAG0AaQBzAHMAaQBvAG4AcwAgAGYAcgBvAG0AIAB0AGgAZQAgAGMAbwBuAHMAdQBtAHAAdABpAG8AbgAgAG8AZgAgAGUAdABoAGEAbgBlAC4AXAAiADsAXABuACAAIAAgACAAIAAgACAAIABcACIALQBcACIALAAgAFwAIgBDACAAPQAgAEMAbwBuAGYAaQBkAGUAbgB0AGkAYQBsAC4AIABTAGMAbwBwAGUAIAAzACAAZQBtAGkAcwBzAGkAbwBuACAAZgBhAGMAdABvAHIAcwAgAGYAbwByACAAVABhAHMAbQBhAG4AaQBhACAAYQBuAGQAIAB0AGgAZQAgAE4AbwByAHQAaABlAHIAbgAgAFQAZQByAHIAaQB0AG8AcgB5ACAAYQByAGUAIABuAG8AdAAgAGEAdgBhAGkAbABhAGIAbABlACAAZAB1AGUAIAB0AG8AIABjAG8AbgBmAGkAZABlAG4AdABpAGEAbABpAHQAeQAgAGMAbwBuAHMAdAByAGEAaQBuAHQAcwAgAHQAaABhAHQAIABhAHIAaQBzAGUAXAAiADsAXABuACAAIAAgACAAIAAgACAAIABcACIAXAAiACwAIABcACIAZgByAG8AbQAgAHQAaABlACAAdQBzAGUAIABvAGYAIABhACAAbABpAG0AaQB0AGUAZAAgAG4AdQBtAGIAZQByACAAbwBmACAATgBHAEUAUgAgAGQAYQB0AGEAIABpAG4AcAB1AHQAcwAuACAASQB0ACAAaQBzACAAcwB1AGcAZwBlAHMAdABlAGQAIAB0AGgAYQB0ACAAZgBvAHIAIABUAGEAcwBtAGEAbgBpAGEAIAB0AGgAZQAgAHUAcwBlACAAbwBmACAAdABoAGUAIABWAGkAYwB0AG8AcgBpAGEAbgAgAGUAbQBpAHMAcwBpAG8AbgAgAGYAYQBjAHQAbwByAHMAIABpAHMAIABhAHAAcAByAG8AcAByAGkAYQB0AGUALABcACIAOwBcAG4AIAAgACAAIAAgACAAIAAgAFwAIgBcACIALAAgAFwAIgB3AGgAaQBsAGUAIABmAG8AcgAgAE4AbwByAHQAaABlAHIAbgAgAFQAZQByAHIAaQB0AG8AcgB5ACAAdABoAGUAIAB1AHMAZQAgAG8AZgAgAHQAaABlACAAVwBlAHMAdABlAHIAbgAgAEEAdQBzAHQAcgBhAGwAaQBhAG4AIABlAG0AaQBzAHMAaQBvAG4AIABmAGEAYwB0AG8AcgBzACAAaQBzACAAYQBwAHAAcgBvAHAAcgBpAGEAdABlAC4AXAAiADsAXABuACAAIAAgACAAIAAgACAAIABcACIALQBcACIALAAgAFwAIgBTAGMAbwBwAGUAIAAzACAAZQBtAGkAcwBzAGkAbwBuACAAZgBhAGMAdABvAHIAcwAgAGQAbwAgAG4AbwB0ACAAaQBuAGMAbAB1AGQAZQAgAGYAdQBnAGkAdABpAHYAZQAgAGUAbQBpAHMAcwBpAG8AbgAgAGwAZQBhAGsAYQBnAGUAIABmAHIAbwBtACAAbABvAHcAIABwAHIAZQBzAHMAdQByAGUAIABuAGEAdAB1AHIAYQBsACAAZwBhAHMAIABkAGkAcwB0AHIAaQBiAHUAdABpAG8AbgAgAHAAaQBwAGUAbABpAG4AZQAgAG4AZQB0AHcAbwByAGsAcwAgAHcAaABpAGwAZQAgAHQAaABvAHMAZQAgAGYAcgBvAG0AIABoAGkAZwBoACAAcAByAGUAcwBzAHUAcgBlAFwAIgA7AFwAbgAgACAAIAAgACAAIAAgACAAXAAiAFwAIgAsACAAXAAiAGcAYQBzACAAbgBlAHQAdwBvAHIAawBzACAAYQByAGUAIABjAG8AbgBzAGkAZABlAHIAZQBkACAAbgBlAGcAbABpAGcAaQBiAGwAZQAu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RgB1AGUAbAAgAHMAYwBvAHAAZQAgADEAIABhAG4AZAAgADMAIABlAG0AaQBzAHMAaQBvAG4AIABmAGEAYwB0AG8AcgBzACAALQAgAFMAdABhAHQAaQBvAG4AYQByAHkAIABsAGkAcQB1AGkAZAAgAGYAdQBlAGwAcwBcAG4APQA9AD0APQA9AD0APQA9AD0APQA9AD0APQA9AD0APQA9AD0APQA9AD0APQA9AD0APQA9AD0APQA9AD0APQA9AD0APQA9AD0APQA9AD0APQA9AD0APQA9AD0APQA9AD0APQA9AD0APQA9AD0APQA9AD0APQA9AD0APQA9AD0APQA9AD0APQA9AD0APQA9AD0APQA9AD0APQBcAG4AKgAvAFwAbgBcAG4ARgB1AGUAbABfAFMAYwBvAHAAZQAxAFMAYwBvAHAAZQAzAEUAbQBpAHMAcwBpAG8AbgBGAGEAYwB0AG8AcgBzAFMAdABhAHQAaQBvAG4AYQByAHkATABpAHEAdQBpAGQAXwBUAGkAdABsAGUAXABuAD0ATABBAE0AQgBEAEEAKAAoAFwAIgBGAHUAZQBsACAAcwBjAG8AcABlACAAMQAgAGEAbgBkACAAMwAgAGUAbQBpAHMAcwBpAG8AbgAgAGYAYQBjAHQAbwByAHMAIAAtACAAUwB0AGEAdABpAG8AbgBhAHIAeQAgAGwAaQBxAHUAaQBkACAAZgB1AGUAbABzAFwAIgApACkAOwBcAG4AXABuAEYAdQBlAGwAXwBTAGMAbwBwAGUAMQBTAGMAbwBwAGUAMwBFAG0AaQBzAHMAaQBvAG4ARgBhAGMAdABvAHIAcwBTAHQAYQB0AGkAbwBuAGEAcgB5AEwAaQBxAHUAaQBkAF8ARABlAHMAYwByAGkAcAB0AGkAbwBuAFwAbgA9AEwAQQBNAEIARABBACgAKABcACIARABpAHIAZQBjAHQAIAAoAFMAYwBvAHAAZQAgADEAKQAgAGEAbgBkACAAaQBuAGQAaQByAGUAYwB0ACAAKABzAGMAbwBwAGUAIAAzACkAIABlAG0AaQBzAHMAaQBvAG4AIABmAGEAYwB0AG8AcgBzACAAZgBvAHIAIAB0AGgAZQAgAGMAbwBuAHMAdQBtAHAAdABpAG8AbgAgAG8AZgAgAGwAaQBxAHUAaQBkACAAZgB1AGUAbABzACwAIABpAG4AYwBsAHUAZABpAG4AZwAgAGMAZQByAHQAYQBpAG4AIABwAGUAdAByAG8AbABlAHUAbQAgAGIAYQBzAGUAZAAgAHAAcgBvAGQAdQBjAHQAcwAgAGYAbwByACAAcwB0AGEAdABpAG8AbgBhAHIAeQAgAGUAbgBlAHIAZwB5ACAAcAB1AHIAcABvAHMAZQBzAC4AXAAiACkAKQA7AFwAbgBcAG4ARgB1AGUAbABfAFMAYwBvAHAAZQAxAFMAYwBvAHAAZQAzAEUAbQBpAHMAcwBpAG8AbgBGAGEAYwB0AG8AcgBzAFMAdABhAHQAaQBvAG4AYQByAHkATABpAHEAdQBpAGQAXwBTAG8AdQByAGMAZQBcAG4APQBMAEEATQBCAEQAQQAoACgAXAAiAEEAdQBzAHQAcgBhAGwAaQBhAG4AIABOAGEAdABpAG8AbgBhAGwAIABHAHIAZQBlAG4AaABvAHUAcwBlACAAQQBjAGMAbwB1AG4AdABzACAARgBhAGMAdABvAHIAcwAgADIAMAAyADUAIAAtACAAVABhAGIAbABlACAAOABcACIAKQApADsAXABuAFwAbgBGAHUAZQBsAF8AUwBjAG8AcABlADEAUwBjAG8AcABlADMARQBtAGkAcwBzAGkAbwBuAEYAYQBjAHQAbwByAHMAUwB0AGEAdABpAG8AbgBhAHIAeQBMAGkAcQB1AGkAZABfAEQAYQB0AGEAXABuAD0ATABBAE0AQgBEAEEAKABcAG4AIAAgAE0AQQBLAEUAQQBSAFIAQQBZACgAMgA1ACwAIAA4ACwAXABuACAAIAAgACAATABBAE0AQgBEAEEAKAByACwAYwAsAFwAbgAgACAAIAAgACAAIABJAE4ARABFAFgAKAB7AFwAbgAgACAAIAAgACAAIAAgACAAXAAiAEYAdQBlAGwAIABjAG8AbQBiAHUAcwB0AGUAZABcACIALAAgAFwAIgBFAG4AZQByAGcAeQAgAEMAbwBuAHQAZQBuAHQAIABGAGEAYwB0AG8AcgAgACgARwBKACAAcABlAHIAIAB1AG4AaQB0ACAAbwBmACAAZgB1AGUAbAApAFwAIgAsACAAXAAiAEYAdQBlAGwAIAB1AG4AaQB0AFwAIgAsACAAXAAiAFMAYwBvAHAAZQAgADEAIABFAG0AaQBzAHMAaQBvAG4AIABGAGEAYwB0AG8AcgAgACgAawBnACAAQwBPADIAIAAtACAAZQAgAC8AIABHAEoAKQAgAEMATwAyAFwAIgAsACAAXAAiAFMAYwBvAHAAZQAgADEAIABFAG0AaQBzAHMAaQBvAG4AIABGAGEAYwB0AG8AcgAgACgAawBnACAAQwBPADIAIAAtACAAZQAgAC8AIABHAEoAKQAgAEMASAA0AFwAIgAsACAAXAAiAFMAYwBvAHAAZQAgADEAIABFAG0AaQBzAHMAaQBvAG4AIABGAGEAYwB0AG8AcgAgACgAawBnACAAQwBPADIAIAAtACAAZQAgAC8AIABHAEoAKQAgAE4AMgBPAFwAIgAsACAAXAAiAFMAYwBvAHAAZQAgADEAIABFAG0AaQBzAHMAaQBvAG4AIABGAGEAYwB0AG8AcgAgACgAawBnACAAQwBPADIAIAAtACAAZQAgAC8AIABHAEoAKQAgAEMAbwBtAGIAaQBuAGUAZAAgAGcAYQBzAGUAcwBcACIALAAgAFwAIgBTAGMAbwBwAGUAIAAzACAARQBtAGkAcwBzAGkAbwBuACAARgBhAGMAdABvAHIAIAAoAGsAZwAgAEMATwAyACAALQAgAGUAIAAvACAARwBKACkAXAAiADsAXABuACAAIAAgACAAIAAgACAAIABcACIAUABlAHQAcgBvAGwAZQB1AG0AIABiAGEAcwBlAGQAIABvAGkAbABzACAAKABvAHQAaABlAHIAIAB0AGgAYQBuACAAcABlAHQAcgBvAGwAZQB1AG0AIABiAGEAcwBlAGQAIABvAGkAbAAgAHUAcwBlAGQAIABhAHMAIABmAHUAZQBsACkALAAgAGUALgBnAC4AIABsAHUAYgByAGkAYwBhAG4AdABzAFwAIgAsACAAMwA4AC4AOAAsACAAXAAiAGsAbABcACIALAAgADEAMwAuADkALAAgADAALgAwACwAIAAwAC4AMAAsACAAMQAzAC4AOQAsACAAMQA4AC4AMAA7AFwAbgAgACAAIAAgACAAIAAgACAAXAAiAFAAZQB0AHIAbwBsAGUAdQBtACAAYgBhAHMAZQBkACAAZwByAGUAYQBzAGUAcwBcACIALAAgADMAOAAuADgALAAgAFwAIgBrAGwAXAAiACwAIAAzAC4ANQAsACAAMAAuADAALAAgADAALgAwACwAIAAzAC4ANQAsACAAMQA4AC4AMAA7AFwAbgAgACAAIAAgACAAIAAgACAAXAAiAEMAcgB1AGQAZQAgAG8AaQBsACAAaQBuAGMAbAB1AGQAaQBuAGcAIABjAHIAdQBkAGUAIABvAGkAbAAgAGMAbwBuAGQAZQBuAHMAYQB0AGUAcwBcACIALAAgADQANQAuADMALAAgAFwAIgB0AFwAIgAsACAANgA5AC4ANgAsACAAMAAuADAAOAAsACAAMAAuADIALAAgADYAOQAuADgAOAAsACAAXAAiAE4ARQBcACIAOwBcAG4AIAAgACAAIAAgACAAIAAgAFwAIgBPAHQAaABlAHIAIABuAGEAdAB1AHIAYQBsACAAZwBhAHMAIABsAGkAcQB1AGkAZABzAFwAIgAsACAANAA2AC4ANQAsACAAXAAiAHQAXAAiACwAIAA2ADEALgAwACwAIAAwAC4AMAA4ACwAIAAwAC4AMgAsACAANgAxAC4AMgA4ACwAIABcACIATgBFAFwAIgA7AFwAbgAgACAAIAAgACAAIAAgACAAXAAiAEEAdQB0AG8AbQBvAHQAaQB2AGUAIABnAGEAcwBvAGwAaQBuAGUAIAAvACAAcABlAHQAcgBvAGwAIAAoAG8AdABoAGUAcgAgAHQAaABhAG4AIABmAG8AcgAgAHUAcwBlACAAYQBzACAAZgB1AGUAbAAgAGkAbgAgAGEAbgAgAGEAaQByAGMAcgBhAGYAdAApAFwAIgAsACAAMwA0AC4AMgAsACAAXAAiAGsATABcACIALAAgADYANwAuADQALAAgADAALgAyACwAIAAwAC4AMgAsACAANgA3AC4AOAAwACwAIAAxADcALgAyADsAXABuACAAIAAgACAAIAAgACAAIABcACIAQQB2AGkAYQB0AGkAbwBuACAAZwBhAHMAbwBsAGkAbgBlAFwAIgAsACAAMwAzAC4AMQAsACAAXAAiAGsATABcACIALAAgADYANwAsACAAMAAuADIALAAgADAALgAyACwAIAA2ADcALgA0ADAALAAgADEAOAAuADAAOwBcAG4AIAAgACAAIAAgACAAIAAgAFwAIgBLAGUAcgBvAHMAZQBuAGUAIAAoAG8AdABoAGUAcgAgAHQAaABhAG4AIABmAG8AcgAgAHUAcwBlACAAYQBzACAAZgB1AGUAbAAgAGkAbgAgAGEAbgAgAGEAaQByAGMAcgBhAGYAdAApAFwAIgAsACAAMwA3AC4ANQAsACAAXAAiAGsATABcACIALAAgADYAOAAuADkALAAgADAALgAwADEALAAgADAALgAyACwAIAA2ADkALgAxADEALAAgADEAOAAuADAAOwBcAG4AIAAgACAAIAAgACAAIAAgAFwAIgBBAHYAaQBhAHQAaQBvAG4AIAB0AHUAcgBiAGkAbgBlACAAZgB1AGUAbAAgAC8AIABrAGUAcgBvAHMAZQBuAGUAXAAiACwAIAAzADYALgA4ACwAIABcACIAawBMAFwAIgAsACAANgA5AC4ANgAsACAAMAAuADAAMgAsACAAMAAuADIALAAgADYAOQAuADgAMgAsACAAMQA4AC4AMAA7AFwAbgAgACAAIAAgACAAIAAgACAAXAAiAEgAZQBhAHQAaQBuAGcAIABvAGkAbABcACIALAAgADMANwAuADMALAAgAFwAIgBrAEwAXAAiACwAIAA2ADkALgA1ACwAIAAwAC4AMAAzACwAIAAwAC4AMgAsACAANgA5AC4ANwAzACwAIAAxADgALgAwADsAXABuACAAIAAgACAAIAAgACAAIABcACIARABpAGUAcwBlAGwAIABvAGkAbABcACIALAAgADMAOAAuADYALAAgAFwAIgBrAEwAXAAiACwAIAA2ADkALgA5ACwAIAAwAC4AMQAsACAAMAAuADIALAAgADcAMAAuADIAMAAsACAAMQA3AC4AMwA7AFwAbgAgACAAIAAgACAAIAAgACAAXAAiAEYAdQBlAGwAIABvAGkAbABcACIALAAgADMAOQAuADcALAAgAFwAIgBrAEwAXAAiACwAIAA3ADMALgA2ACwAIAAwAC4AMAA0ACwAIAAwAC4AMgAsACAANwAzAC4AOAA0ACwAIAAxADgALgAwADsAXABuACAAIAAgACAAIAAgACAAIABcACIATABpAHEAdQBlAGYAaQBlAGQAIABhAHIAbwBtAGEAdABpAGMAIABoAHkAZAByAG8AYwBhAHIAYgBvAG4AcwBcACIALAAgADMANAAuADQALAAgAFwAIgBrAEwAXAAiACwAIAA2ADkALgA3ACwAIAAwAC4AMAAzACwAIAAwAC4AMgAsACAANgA5AC4AOQAzACwAIAAxADgALgAwADsAXABuACAAIAAgACAAIAAgACAAIABcACIAUwBvAGwAdgBlAG4AdABzADoAIABtAGkAbgBlAHIAYQBsACAAdAB1AHIAcABlAG4AdABpAG4AZQAgAG8AcgAgAHcAaABpAHQAZQAgAHMAcABpAHIAaQB0AHMAXAAiACwAIAAzADQALgA0ACwAIABcACIAawBMAFwAIgAsACAANgA5AC4ANwAsACAAMAAuADAAMwAsACAAMAAuADIALAAgADYAOQAuADkAMwAsACAAMQA4AC4AMAA7AFwAbgAgACAAIAAgACAAIAAgACAAXAAiAEwAaQBxAHUAZQBmAGkAZQBkACAAcABlAHQAcgBvAGwAZQB1AG0AIABnAGEAcwAgACgATABQAEcAKQBcACIALAAgADIANQAuADcALAAgAFwAIgBrAEwAXAAiACwAIAA2ADAALgAyACwAIAAwAC4AMgAsACAAMAAuADIALAAgADYAMAAuADYAMAAsACAAMgAwAC4AMgA7AFwAbgAgACAAIAAgACAAIAAgACAAXAAiAE4AYQBwAGgAdABoAGEAXAAiACwAIAAzADEALgA0ACwAIABcACIAawBMAFwAIgAsACAANgA5AC4AOAAsACAAMAAuADAAMQAsACAAMAAuADAAMQAsACAANgA5AC4AOAAyACwAIAAxADgALgAwADsAXABuACAAIAAgACAAIAAgACAAIABcACIAUABlAHQAcgBvAGwAZQB1AG0AIABjAG8AawBlAFwAIgAsACAAMwA0AC4AMgAsACAAXAAiAHQAXAAiACwAIAA5ADIALgA2ACwAIAAwAC4AMAA4ACwAIAAwAC4AMgAsACAAOQAyAC4AOAA4ACwAIAAxADgALgAwADsAXABuACAAIAAgACAAIAAgACAAIABcACIAUgBlAGYAaQBuAGUAcgB5ACAAZwBhAHMAIABhAG4AZAAgAGwAaQBxAHUAaQBkAHMAXAAiACwAIAA0ADIALgA5ACwAIABcACIAdABcACIALAAgADUANAAuADcALAAgADAALgAwADMALAAgADAALgAwADMALAAgADUANAAuADcANgAsACAAMQA4AC4AMAA7AFwAbgAgACAAIAAgACAAIAAgACAAXAAiAFIAZQBmAGkAbgBlAHIAeQAgAGMAbwBrAGUAXAAiACwAIAAzADQALgAyACwAIABcACIAdABcACIALAAgADkAMgAuADYALAAgADAALgAwADgALAAgADAALgAyACwAIAA5ADIALgA4ADgALAAgADEAOAAuADAAOwBcAG4AIAAgACAAIAAgACAAIAAgAFwAIgBQAGUAdAByAG8AbABlAHUAbQAgAGIAYQBzAGUAZAAgAHAAcgBvAGQAdQBjAHQAcwAgAG8AdABoAGUAcgAgAHQAaABhAG4AIABtAGUAbgB0AGkAbwBuAGUAZAAgAGkAbgAgAHQAaABlACAAaQB0AGUAbQBzACAAYQBiAG8AdgBlAFwAIgAsACAAMwA0AC4ANAAsACAAXAAiAGsATABcACIALAAgADYAOQAuADgALAAgADAALgAwADIALAAgADAALgAxACwAIAA2ADkALgA5ADIALAAgADEAOAAuADAAOwBcAG4AIAAgACAAIAAgACAAIAAgAFwAIgBCAGkAbwBkAGkAZQBzAGUAbABcACIALAAgADMANAAuADYALAAgAFwAIgBrAEwAXAAiACwAIAAwAC4AMAAsACAAMAAuADAAOAAsACAAMAAuADIALAAgADAALgAyADgALAAgAFwAIgBOAEUAXAAiADsAXABuACAAIAAgACAAIAAgACAAIABcACIARQB0AGgAYQBuAG8AbAAgAGYAbwByACAAdQBzAGUAIABhAHMAIABhACAAZgB1AGUAbAAgAGkAbgAgAGEAbgAgAGkAbgB0AGUAcgBuAGEAbAAgAGMAbwBtAGIAdQBzAHQAaQBvAG4AIABlAG4AZwBpAG4AZQBcACIALAAgADIAMwAuADQALAAgAFwAIgBrAEwAXAAiACwAIAAwAC4AMAAsACAAMAAuADAAOAAsACAAMAAuADIALAAgADAALgAyADgALAAgAFwAIgBOAEUAXAAiADsAXABuACAAIAAgACAAIAAgACAAIABcACIAQgBpAG8AZgB1AGUAbABzACAAbwB0AGgAZQByACAAdABoAGEAbgAgAHQAaABvAHMAZQAgAG0AZQBuAHQAaQBvAG4AZQBkACAAaQBuACAAdABoAGUAIABpAHQAZQBtAHMAIABhAGIAbwB2AGUAIABhAG4AZAAgAGIAZQBsAG8AdwBcACIALAAgADIAMwAuADQALAAgAFwAIgBrAEwAXAAiACwAIAAwAC4AMAAsACAAMAAuADAAOAAsACAAMAAuADIALAAgADAALgAyADgALAAgAFwAIgBOAEUAXAAiADsAXABuACAAIAAgACAAIAAgACAAIABcACIAUgBlAG4AZQB3AGEAYgBsAGUAIABhAHYAaQBhAHQAaQBvAG4AIABrAGUAcgBvAHMAZQBuAGUAXAAiACwAIAAzADYALgA4ACwAIABcACIAawBMAFwAIgAsACAAMAAuADAALAAgADAALgAwADIALAAgADAALgAyACwAIAAwAC4AMgAyACwAIABcACIATgBFAFwAIgA7AFwAbgAgACAAIAAgACAAIAAgACAAXAAiAFIAZQBuAGUAdwBhAGIAbABlACAAZABpAGUAcwBlAGwAXAAiACwAIAAzADgALgA2ACwAIABcACIAawBMAFwAIgAsACAAMAAuADAALAAgADAALgAxACwAIAAwAC4AMgAsACAAMAAuADMAMAAsACAAXAAiAE4ARQBcACIAXABuACAAIAAgACAAIAAgAH0ALAAgAHIALAAgAGMAKQBcAG4AKQApACkAOwBcAG4AXABuAEYAdQBlAGwAXwBTAGMAbwBwAGUAMQBTAGMAbwBwAGUAMwBFAG0AaQBzAHMAaQBvAG4ARgBhAGMAdABvAHIAcwBTAHQAYQB0AGkAbwBuAGEAcgB5AEwAaQBxAHUAaQBkAF8AVgBhAHIAaQBhAHQAaQBvAG4AXABuAD0ATABBAE0AQgBEAEEAKABcACIAVgBBAFIASQBBAFQASQBPAE4AIABPAEYAIABTAE8AVQBSAEMARQAgAEQAQQBUAEEAOgAgACcATgBFACcAIAB2AGEAbAB1AGUAcwAgAHIAZQB0AHUAcgBuAGUAZAAgAGEAcwAgAHoAZQByAG8AIABmAG8AcgAgAGMAYQBsAGMAdQBsAGEAdABpAG8AbgBzAC4AXAAiACkAOwBcAG4AXABuAC8AKgBcAG4APQA9AD0APQA9AD0APQA9AD0APQA9AD0APQA9AD0APQA9AD0APQA9AD0APQA9AD0APQA9AD0APQA9AD0APQA9AD0APQA9AD0APQA9AD0APQA9AD0APQA9AD0APQA9AD0APQA9AD0APQA9AD0APQA9AD0APQA9AD0APQA9AD0APQA9AD0APQA9AD0APQA9AD0APQA9AD0APQBcAG4ARgB1AGUAbAAgAHMAYwBvAHAAZQAgADEAIABhAG4AZAAgADMAIABlAG0AaQBzAHMAaQBvAG4AIABmAGEAYwB0AG8AcgBzACAALQAgAFQAcgBhAG4AcwBwAG8AcgB0AFwAbgA9AD0APQA9AD0APQA9AD0APQA9AD0APQA9AD0APQA9AD0APQA9AD0APQA9AD0APQA9AD0APQA9AD0APQA9AD0APQA9AD0APQA9AD0APQA9AD0APQA9AD0APQA9AD0APQA9AD0APQA9AD0APQA9AD0APQA9AD0APQA9AD0APQA9AD0APQA9AD0APQA9AD0APQA9AD0APQA9AFwAbgAqAC8AXABuAFwAbgBGAHUAZQBsAF8AUwBjAG8AcABlADEAUwBjAG8AcABlADMARQBtAGkAcwBzAGkAbwBuAEYAYQBjAHQAbwByAHMAVAByAGEAbgBzAHAAbwByAHQAXwBUAGkAdABsAGUAXABuAD0ATABBAE0AQgBEAEEAKAAoAFwAIgBGAHUAZQBsACAAcwBjAG8AcABlACAAMQAgAGEAbgBkACAAMwAgAGUAbQBpAHMAcwBpAG8AbgAgAGYAYQBjAHQAbwByAHMAIAAtACAAVAByAGEAbgBzAHAAbwByAHQAXAAiACkAKQA7AFwAbgBcAG4ARgB1AGUAbABfAFMAYwBvAHAAZQAxAFMAYwBvAHAAZQAzAEUAbQBpAHMAcwBpAG8AbgBGAGEAYwB0AG8AcgBzAFQAcgBhAG4AcwBwAG8AcgB0AF8ARABlAHMAYwByAGkAcAB0AGkAbwBuAFwAbgA9AEwAQQBNAEIARABBACgAKABcACIARABpAHIAZQBjAHQAIAAoAHMAYwBvAHAAZQAgADEAKQAgAGEAbgBkACAAaQBuAGQAaQByAGUAYwB0ACAAKABzAGMAbwBwAGUAIAAzACkAIABlAG0AaQBzAHMAaQBvAG4AIABmAGEAYwB0AG8AcgBzACAAZgBvAHIAIAB0AGgAZQAgAGMAbwBuAHMAdQBtAHAAdABpAG8AbgAgAG8AZgAgAHQAcgBhAG4AcwBwAG8AcgB0ACAAZgB1AGUAbABzACAAaQBuACAAZABpAGYAZgBlAHIAZQBuAHQAIAB0AHIAYQBuAHMAcABvAHIAdAAgAGUAcQB1AGkAcABtAGUAbgB0AFwAIgApACkAOwBcAG4AXABuAEYAdQBlAGwAXwBTAGMAbwBwAGUAMQBTAGMAbwBwAGUAMwBFAG0AaQBzAHMAaQBvAG4ARgBhAGMAdABvAHIAcwBUAHIAYQBuAHMAcABvAHIAdABfAFMAbwB1AHIAYwBlAFwAbgA9AEwAQQBNAEIARABBACgAKABcACIAQQB1AHMAdAByAGEAbABpAGEAbgAgAE4AYQB0AGkAbwBuAGEAbAAgAEcAcgBlAGUAbgBoAG8AdQBzAGUAIABBAGMAYwBvAHUAbgB0AHMAIABGAGEAYwB0AG8AcgBzACAAMgAwADIANQAgAC0AIABUAGEAYgBsAGUAIAA5AFwAIgApACkAOwBcAG4AXABuAEYAdQBlAGwAXwBTAGMAbwBwAGUAMQBTAGMAbwBwAGUAMwBFAG0AaQBzAHMAaQBvAG4ARgBhAGMAdABvAHIAcwBUAHIAYQBuAHMAcABvAHIAdABfAEQAYQB0AGEAXABuAD0ATABBAE0AQgBEAEEAKABcAG4AIAAgAE0AQQBLAEUAQQBSAFIAQQBZACgAMgA2ACwAIAAxADAALABcAG4AIAAgACAAIABMAEEATQBCAEQAQQAoAHIALABjACwAXABuACAAIAAgACAAIAAgAEkATgBEAEUAWAAoAHsAXABuACAAIAAgACAAIAAgACAAIABcACIAVAByAGEAbgBzAHAAbwByAHQAIAB0AHkAcABlAFwAIgAsACAAXAAiAEYAdQBlAGwAIABjAG8AbQBiAHUAcwB0AGUAZABcACIALAAgAFwAIgBFAG4AZQByAGcAeQAgAEMAbwBuAHQAZQBuAHQAIABGAGEAYwB0AG8AcgAoAEcASgAgAHAAZQByACAAdQBuAGkAdAAgAG8AZgAgAGYAdQBlAGwAKQBcACIALAAgAFwAIgBGAHUAZQBsACAAdQBuAGkAdABcACIALAAgAFwAIgBTAGMAbwBwAGUAIAAxACAARQBtAGkAcwBzAGkAbwBuACAARgBhAGMAdABvAHIAIAAoAGsAZwAgAEMATwAyACAALQAgAGUAIAAvACAARwBKACkAIABDAE8AMgBcACIALAAgAFwAIgBTAGMAbwBwAGUAIAAxACAARQBtAGkAcwBzAGkAbwBuACAARgBhAGMAdABvAHIAIAAoAGsAZwAgAEMATwAyACAALQAgAGUAIAAvACAARwBKACkAIABDAEgANABcACIALAAgAFwAIgBTAGMAbwBwAGUAIAAxACAARQBtAGkAcwBzAGkAbwBuACAARgBhAGMAdABvAHIAIAAoAGsAZwAgAEMATwAyACAALQAgAGUAIAAvACAARwBKACkAIABOADIATwBcACIALAAgAFwAIgBTAGMAbwBwAGUAIAAxACAARQBtAGkAcwBzAGkAbwBuACAARgBhAGMAdABvAHIAIAAoAGsAZwAgAEMATwAyACAALQAgAGUAIAAvACAARwBKACkAIABDAG8AbQBiAGkAbgBlAGQAIABnAGEAcwBlAHMAXAAiACwAIABcACIAUwBjAG8AcABlACAAMwAgAEUAbQBpAHMAcwBpAG8AbgAgAEYAYQBjAHQAbwByACAAKABrAGcAIABDAE8AMgAgAC0AIABlACAALwAgAEcASgApAFwAIgAsACAAXAAiAFMAbwB1AHIAYwBlAFwAIgA7AFwAbgAgACAAIAAgACAAIAAgACAAXAAiAEMAYQByAHMAIABhAG4AZAAgAGwAaQBnAGgAdAAgAGMAbwBtAG0AZQByAGMAaQBhAGwAIAB2AGUAaABpAGMAbABlAHMAXAAiACwAIABcACIARwBhAHMAbwBsAGkAbgBlAFwAIgAsACAAMwA0AC4AMgAsACAAXAAiAGsAbABcACIALAAgADYANwAuADQALAAgADAALgAwADIALAAgADAALgAyACwAIAA2ADcALgA2ADIALAAgADEANwAuADIALAAgAFwAIgBOAEcAQQBGACAAMgAwADIANQA6ACAAVABhAGIAbABlACAAOQBcACIAOwBcAG4AIAAgACAAIAAgACAAIAAgAFwAIgBDAGEAcgBzACAAYQBuAGQAIABsAGkAZwBoAHQAIABjAG8AbQBtAGUAcgBjAGkAYQBsACAAdgBlAGgAaQBjAGwAZQBzAFwAIgAsACAAXAAiAEQAaQBlAHMAZQBsACAAbwBpAGwAXAAiACwAIAAzADgALgA2ACwAIABcACIAawBsAFwAIgAsACAANgA5AC4AOQAsACAAMAAuADAAMQAsACAAMAAuADUALAAgADcAMAAuADQAMQAsACAAMQA3AC4AMwAsACAAXAAiAE4ARwBBAEYAIAAyADAAMgA1ADoAIABUAGEAYgBsAGUAIAA5AFwAIgA7AFwAbgAgACAAIAAgACAAIAAgACAAXAAiAEMAYQByAHMAIABhAG4AZAAgAGwAaQBnAGgAdAAgAGMAbwBtAG0AZQByAGMAaQBhAGwAIAB2AGUAaABpAGMAbABlAHMAXAAiACwAIABcACIATABpAHEAdQBlAGYAaQBlAGQAIABwAGUAdAByAG8AbABlAHUAbQAgAGcAYQBzACAAKABMAFAARwApAFwAIgAsACAAMgA2AC4AMgAsACAAXAAiAGsAbABcACIALAAgADYAMAAuADIALAAgADAALgA1ACwAIAAwAC4AMwAsACAANgAxAC4AMAAwACwAIAAyADAALgAyACwAIABcACIATgBHAEEARgAgADIAMAAyADUAOgAgAFQAYQBiAGwAZQAgADkAXAAiADsAXABuACAAIAAgACAAIAAgACAAIABcACIAQwBhAHIAcwAgAGEAbgBkACAAbABpAGcAaAB0ACAAYwBvAG0AbQBlAHIAYwBpAGEAbAAgAHYAZQBoAGkAYwBsAGUAcwBcACIALAAgAFwAIgBGAHUAZQBsACAAbwBpAGwAXAAiACwAIAAzADkALgA3ACwAIABcACIAawBsAFwAIgAsACAANwAzAC4ANgAsACAAMAAuADAAOAAsACAAMAAuADUALAAgADcANAAuADEAOAAsACAAMQA4AC4AMAAsACAAXAAiAE4ARwBBAEYAIAAyADAAMgA1ADoAIABUAGEAYgBsAGUAIAA5AFwAIgA7AFwAbgAgACAAIAAgACAAIAAgACAAXAAiAEMAYQByAHMAIABhAG4AZAAgAGwAaQBnAGgAdAAgAGMAbwBtAG0AZQByAGMAaQBhAGwAIAB2AGUAaABpAGMAbABlAHMAXAAiACwAIABcACIARQB0AGgAYQBuAG8AbABcACIALAAgADIAMwAuADQALAAgAFwAIgBrAGwAXAAiACwAIAAwAC4AMAAsACAAMAAuADIALAAgADAALgAyACwAIAAwAC4ANAAsACAAXAAiAE4ARQBcACIALAAgAFwAIgBOAEcAQQBGACAAMgAwADIANQA6ACAAVABhAGIAbABlACAAOQBcACIAOwBcAG4AIAAgACAAIAAgACAAIAAgAFwAIgBDAGEAcgBzACAAYQBuAGQAIABsAGkAZwBoAHQAIABjAG8AbQBtAGUAcgBjAGkAYQBsACAAdgBlAGgAaQBjAGwAZQBzAFwAIgAsACAAXAAiAEIAaQBvAGQAaQBlAHMAZQBsAFwAIgAsACAAMwA0AC4ANgAsACAAXAAiAGsAbABcACIALAAgADAALgAwACwAIAAwAC4AOAAsACAAMQAuADcALAAgADIALgA1ACwAIABcACIATgBFAFwAIgAsACAAXAAiAE4ARwBBAEYAIAAyADAAMgA1ADoAIABUAGEAYgBsAGUAIAA5AFwAIgA7AFwAbgAgACAAIAAgACAAIAAgACAAXAAiAEMAYQByAHMAIABhAG4AZAAgAGwAaQBnAGgAdAAgAGMAbwBtAG0AZQByAGMAaQBhAGwAIAB2AGUAaABpAGMAbABlAHMAXAAiACwAIABcACIAUgBlAG4AZQB3AGEAYgBsAGUAIABkAGkAZQBzAGUAbABcACIALAAgADMAOAAuADYALAAgAFwAIgBrAGwAXAAiACwAIAAwAC4AMAAsACAAMAAuADAAMQAsACAAMAAuADUALAAgADAALgA1ADEALAAgAFwAIgBOAEUAXAAiACwAIABcACIATgBHAEEARgAgADIAMAAyADUAOgAgAFQAYQBiAGwAZQAgADkAXAAiADsAXABuACAAIAAgACAAIAAgACAAIABcACIAQwBhAHIAcwAgAGEAbgBkACAAbABpAGcAaAB0ACAAYwBvAG0AbQBlAHIAYwBpAGEAbAAgAHYAZQBoAGkAYwBsAGUAcwBcACIALAAgAFwAIgBPAHQAaABlAHIAIABiAGkAbwBmAHUAZQBsAHMAXAAiACwAIAAyADMALgA0ACwAIABcACIAawBsAFwAIgAsACAAMAAuADAALAAgADAALgA4ACwAIAAxAC4ANwAsACAAMgAuADUALAAgAFwAIgBOAEUAXAAiACwAIABcACIATgBHAEEARgAgADIAMAAyADUAOgAgAFQAYQBiAGwAZQAgADkAXAAiADsAXABuACAAIAAgACAAIAAgACAAIABcACIATABpAGcAaAB0ACAAZAB1AHQAeQAgAHYAZQBoAGkAYwBsAGUAcwBcACIALAAgAFwAIgBDAG8AbQBwAHIAZQBzAHMAZQBkACAAbgBhAHQAdQByAGEAbAAgAGcAYQBzAFwAIgAsACAAMAAuADAAMwA5ADMALAAgAFwAIgBtADMAXAAiACwAIAA1ADEALgA0ACwAIAA3AC4AMwAsACAAMAAuADMALAAgADUAOQAuADAALAAgADEAOAAuADAALAAgAFwAIgBOAEcAQQBGACAAMgAwADIANQA6ACAAVABhAGIAbABlACAAOQBcACIAOwBcAG4AIAAgACAAIAAgACAAIAAgAFwAIgBMAGkAZwBoAHQAIABkAHUAdAB5ACAAdgBlAGgAaQBjAGwAZQBzAFwAIgAsACAAXAAiAEwAaQBxAHUAZQBmAGkAZQBkACAAbgBhAHQAdQByAGEAbAAgAGcAYQBzAFwAIgAsACAAMgA1AC4AMwAsACAAXAAiAGsAbABcACIALAAgADUAMQAuADQALAAgADcALgAzACwAIAAwAC4AMwAsACAANQA5AC4AMAAsACAAMQA4AC4AMAAsACAAXAAiAE4ARwBBAEYAIAAyADAAMgA1ADoAIABUAGEAYgBsAGUAIAA5AFwAIgA7AFwAbgAgACAAIAAgACAAIAAgACAAXAAiAEgAZQBhAHYAeQAgAGQAdQB0AHkAIAB2AGUAaABpAGMAbABlAHMAXAAiACwAIABcACIAQwBvAG0AcAByAGUAcwBzAGUAZAAgAG4AYQB0AHUAcgBhAGwAIABnAGEAcwBcACIALAAgADAALgAwADMAOQAzACwAIABcACIAbQAzAFwAIgAsACAANQAxAC4ANAAsACAAMgAuADgALAAgADAALgAzACwAIAA1ADQALgA1ACwAIAAxADgALgAwACwAIABcACIATgBHAEEARgAgADIAMAAyADUAOgAgAFQAYQBiAGwAZQAgADkAXAAiADsAXABuACAAIAAgACAAIAAgACAAIABcACIASABlAGEAdgB5ACAAZAB1AHQAeQAgAHYAZQBoAGkAYwBsAGUAcwBcACIALAAgAFwAIgBMAGkAcQB1AGUAZgBpAGUAZAAgAG4AYQB0AHUAcgBhAGwAIABnAGEAcwBcACIALAAgADIANQAuADMALAAgAFwAIgBrAGwAXAAiACwAIAA1ADEALgA0ACwAIAAyAC4AOAAsACAAMAAuADMALAAgADUANAAuADUALAAgADEAOAAuADAALAAgAFwAIgBOAEcAQQBGACAAMgAwADIANQA6ACAAVABhAGIAbABlACAAOQBcACIAOwBcAG4AIAAgACAAIAAgACAAIAAgAFwAIgBIAGUAYQB2AHkAIABkAHUAdAB5ACAAdgBlAGgAaQBjAGwAZQBzAFwAIgAsACAAXAAiAEQAaQBlAHMAZQBsACAAbwBpAGwAIAAtACAARQB1AHIAbwAgAGkAdgAgAG8AcgAgAGgAaQBnAGgAZQByAFwAIgAsACAAMwA4AC4ANgAsACAAXAAiAGsAbABcACIALAAgADYAOQAuADkALAAgADAALgAwADcALAAgADAALgA0ACwAIAA3ADAALgAzADcALAAgADEANwAuADMALAAgAFwAIgBOAEcAQQBGACAAMgAwADIANQA6ACAAVABhAGIAbABlACAAOQBcACIAOwBcAG4AIAAgACAAIAAgACAAIAAgAFwAIgBIAGUAYQB2AHkAIABkAHUAdAB5ACAAdgBlAGgAaQBjAGwAZQBzAFwAIgAsACAAXAAiAEQAaQBlAHMAZQBsACAAbwBpAGwAIAAtACAARQB1AHIAbwAgAGkAaQBpAFwAIgAsACAAMwA4AC4ANgAsACAAXAAiAGsAbABcACIALAAgADYAOQAuADkALAAgADAALgAxACwAIAAwAC4ANAAsACAANwAwAC4ANAAsACAAMQA3AC4AMwAsACAAXAAiAE4ARwBBAEYAIAAyADAAMgA1ADoAIABUAGEAYgBsAGUAIAA5AFwAIgA7AFwAbgAgACAAIAAgACAAIAAgACAAXAAiAEgAZQBhAHYAeQAgAGQAdQB0AHkAIAB2AGUAaABpAGMAbABlAHMAXAAiACwAIABcACIARABpAGUAcwBlAGwAIABvAGkAbAAgAC0AIABFAHUAcgBvACAAaQBcACIALAAgADMAOAAuADYALAAgAFwAIgBrAGwAXAAiACwAIAA2ADkALgA5ACwAIAAwAC4AMgAsACAAMAAuADQALAAgADcAMAAuADUALAAgADEANwAuADMALAAgAFwAIgBOAEcAQQBGACAAMgAwADIANQA6ACAAVABhAGIAbABlACAAOQBcACIAOwBcAG4AIAAgACAAIAAgACAAIAAgAFwAIgBIAGUAYQB2AHkAIABkAHUAdAB5ACAAdgBlAGgAaQBjAGwAZQBzAFwAIgAsACAAXAAiAFIAZQBuAGUAdwBhAGIAbABlACAAZABpAGUAcwBlAGwAIAATICAARQB1AHIAbwAgAGkAdgAgAG8AcgAgAGgAaQBnAGgAZQByAFwAIgAsACAAMwA4AC4ANgAsACAAXAAiAGsAbABcACIALAAgADAALgAwACwAIAAwAC4AMAA3ACwAIAAwAC4ANAAsACAAMAAuADQANwAsACAAXAAiAE4ARQBcACIALAAgAFwAIgBOAEcAQQBGACAAMgAwADIANQA6ACAAVABhAGIAbABlACAAOQBcACIAOwBcAG4AIAAgACAAIAAgACAAIAAgAFwAIgBIAGUAYQB2AHkAIABkAHUAdAB5ACAAdgBlAGgAaQBjAGwAZQBzAFwAIgAsACAAXAAiAFIAZQBuAGUAdwBhAGIAbABlACAAZABpAGUAcwBlAGwAIAATICAARQB1AHIAbwAgAGkAaQBpAFwAIgAsACAAMwA4AC4ANgAsACAAXAAiAGsAbABcACIALAAgADAALgAwACwAIAAwAC4AMQAsACAAMAAuADQALAAgADAALgA1ACwAIABcACIATgBFAFwAIgAsACAAXAAiAE4ARwBBAEYAIAAyADAAMgA1ADoAIABUAGEAYgBsAGUAIAA5AFwAIgA7AFwAbgAgACAAIAAgACAAIAAgACAAXAAiAEgAZQBhAHYAeQAgAGQAdQB0AHkAIAB2AGUAaABpAGMAbABlAHMAXAAiACwAIABcACIAUgBlAG4AZQB3AGEAYgBsAGUAIABkAGkAZQBzAGUAbAAgABMgIABFAHUAcgBvACAAaQBcACIALAAgADMAOAAuADYALAAgAFwAIgBrAGwAXAAiACwAIAAwAC4AMAAsACAAMAAuADIALAAgADAALgA0ACwAIAAwAC4ANgAsACAAXAAiAE4ARQBcACIALAAgAFwAIgBOAEcAQQBGACAAMgAwADIANQA6ACAAVABhAGIAbABlACAAOQBcACIAOwBcAG4AIAAgACAAIAAgACAAIAAgAFwAIgBBAHYAaQBhAHQAaQBvAG4AXAAiACwAIABcACIARwBhAHMAbwBsAGkAbgBlACAAZgBvAHIAIAB1AHMAZQAgAGEAcwAgAGYAdQBlAGwAIABpAG4AIABhAG4AIABhAGkAcgBjAHIAYQBmAHQAXAAiACwAIAAzADMALgAxACwAIABcACIAawBsAFwAIgAsACAANgA3AC4AMAAsACAAMAAuADAANgAsACAAMAAuADYALAAgADYANwAuADYANgAsACAAMQA4AC4AMAAsACAAXAAiAE4ARwBBAEYAIAAyADAAMgA1ADoAIABUAGEAYgBsAGUAIAA5AFwAIgA7AFwAbgAgACAAIAAgACAAIAAgACAAXAAiAEEAdgBpAGEAdABpAG8AbgBcACIALAAgAFwAIgBLAGUAcgBvAHMAZQBuAGUAIABmAG8AcgAgAHUAcwBlACAAYQBzACAAZgB1AGUAbAAgAGkAbgAgAGEAbgAgAGEAaQByAGMAcgBhAGYAdABcACIALAAgADMANgAuADgALAAgAFwAIgBrAGwAXAAiACwAIAA2ADkALgA2ACwAIAAwAC4AMAAxACwAIAAwAC4ANgAsACAANwAwAC4AMgAxACwAIAAxADgALgAwACwAIABcACIATgBHAEEARgAgADIAMAAyADUAOgAgAFQAYQBiAGwAZQAgADkAXAAiADsAXABuACAAIAAgACAAIAAgACAAIABcACIAQQB2AGkAYQB0AGkAbwBuAFwAIgAsACAAXAAiAFIAZQBuAGUAdwBhAGIAbABlACAAYQB2AGkAYQB0AGkAbwBuACAAawBlAHIAbwBzAGUAbgBlAFwAIgAsACAAMwA2AC4AOAAsACAAXAAiAGsAbABcACIALAAgADAALgAwACwAIAAwAC4AMAAxACwAIAAwAC4ANgAsACAAMAAuADYAMQAsACAAXAAiAE4ARQBcACIALAAgAFwAIgBOAEcAQQBGACAAMgAwADIANQA6ACAAVABhAGIAbABlACAAOQBcACIAOwBcAG4AIAAgACAAIAAgACAAIAAgAFwAIgBWAGUAcwBzAGUAbABzAFwAIgAsACAAXAAiAEcAYQBzAG8AbABpAG4AZQBcACIALAAgADMANAAuADIALAAgAFwAIgBrAEwAXAAiACwAIAA2ADcALgA0ACwAIAAxADAALgAxACwAIAAwAC4AMwAsACAAXAAiAFwAIgAsACAAMQA3AC4AMgAsACAAXAAiAFYARQBFAFIARwAgADIAMAAyADYAOgAgAFQAYQBiAGwAZQAgAEEALgA0AC4AMgAuADEAXAAiADsAXABuACAAIAAgACAAIAAgACAAIABcACIAVgBlAHMAcwBlAGwAcwBcACIALAAgAFwAIgBEAGkAZQBzAGUAbAAgAG8AaQBsAFwAIgAsACAAMwA4AC4ANgAsACAAXAAiAGsATABcACIALAAgADYAOQAuADkALAAgADAALgAyACwAIAAwAC4ANQAsACAAXAAiAFwAIgAsACAAMQA3AC4AMwAsACAAXAAiAFYARQBFAFIARwAgADIAMAAyADYAOgAgAFQAYQBiAGwAZQAgAEEALgA0AC4AMgAuADEAXAAiADsAXABuACAAIAAgACAAIAAgACAAIABcACIAVgBlAHMAcwBlAGwAcwBcACIALAAgAFwAIgBGAHUAZQBsACAATwBpAGwAXAAiACwAIAAzADkALgA3ACwAIABcACIAawBMAFwAIgAsACAANwAzAC4ANgAsACAAMAAuADIALAAgADAALgA1ACwAIABcACIAXAAiACwAIAAxADgALgAwACwAIABcACIAVgBFAEUAUgBHACAAMgAwADIANgA6ACAAVABhAGIAbABlACAAQQAuADQALgAyAC4AMQBcACIAOwBcAG4AIAAgACAAIAAgACAAIAAgAFwAIgBPAGYAZgAtAHIAbwBhAGQAIABBAGcAcgBpAGMAdQBsAHQAdQByAGUAIABhAG4AZAAgAGYAbwByAGUAcwB0AHIAeQAgAGUAcQB1AGkAcABtAGUAbgB0AFwAIgAsACAAXAAiAEQAaQBlAHMAZQBsACAAbwBpAGwAXAAiACwAIAAzADgALgA2ACwAIABcACIAawBMAFwAIgAsACAANgA5AC4AOQAsACAAMAAuADMALAAgADAALgA1ACwAIABcACIAXAAiACwAIAAxADcALgAzACwAIABcACIAVgBFAEUAUgBHACAAMgAwADIANgA6ACAAVABhAGIAbABlACAAQQAuADQALgAyAC4AMQBcACIAXABuACAAIAAgACAAIAAgAH0ALAAgAHIALAAgAGMAKQBcAG4AKQApACkAOwBcAG4AXABuAEYAdQBlAGwAXwBTAGMAbwBwAGUAMQBTAGMAbwBwAGUAMwBFAG0AaQBzAHMAaQBvAG4ARgBhAGMAdABvAHIAcwBUAHIAYQBuAHMAcABvAHIAdABfAFYAYQByAGkAYQB0AGkAbwBuAFwAbgA9AEwAQQBNAEIARABBACgAXAAiAFYAQQBSAEkAQQBUAEkATwBOACAATwBGACAAUwBPAFUAUgBDAEUAIABEAEEAVABBADoAIAAnAE4ARQAnACAAdgBhAGwAdQBlAHMAIAByAGUAdAB1AHIAbgBlAGQAIABhAHMAIAB6AGUAcgBvACAAZgBvAHIAIABjAGEAbABjAHUAbABhAHQAaQBvAG4AcwAuAFwAIgApADsAXABuAFwAbgBcAG4ALwAqAFwAbgA9AD0APQA9AD0APQA9AD0APQA9AD0APQA9AD0APQA9AD0APQA9AD0APQA9AD0APQA9AD0APQA9AD0APQA9AD0APQA9AD0APQA9AD0APQA9AD0APQA9AD0APQA9AD0APQA9AD0APQA9AD0APQA9AD0APQA9AD0APQA9AD0APQA9AD0APQA9AD0APQA9AD0APQA9AD0APQA9AFwAbgBGAHUAZQBsACAAcwBjAG8AcABlACAAMQAgAGEAbgBkACAAMwAgAGUAbQBpAHMAcwBpAG8AbgAgAGYAYQBjAHQAbwByAHMAIAAtACAATwBmAGYALQByAGEAZAAgAGUAcQB1AGkAcABtAGUAbgB0ACAAYQBuAGQAIAB2AGUAcwBzAGUAbABzAFwAbgA9AD0APQA9AD0APQA9AD0APQA9AD0APQA9AD0APQA9AD0APQA9AD0APQA9AD0APQA9AD0APQA9AD0APQA9AD0APQA9AD0APQA9AD0APQA9AD0APQA9AD0APQA9AD0APQA9AD0APQA9AD0APQA9AD0APQA9AD0APQA9AD0APQA9AD0APQA9AD0APQA9AD0APQA9AD0APQA9AFwAbgAqAC8AXABuAFwAbgBGAHUAZQBsAF8AUwBjAG8AcABlADEAUwBjAG8AcABlADMARQBtAGkAcwBzAGkAbwBuAEYAYQBjAHQAbwByAHMAVAByAGEAbgBzAHAAbwByAHQATwBmAGYAUgBvAGEAZABfAFQAaQB0AGwAZQBcAG4APQBMAEEATQBCAEQAQQAoACgAXAAiAEYAdQBlAGwAIABzAGMAbwBwAGUAIAAxACAAYQBuAGQAIAAzACAAZQBtAGkAcwBzAGkAbwBuACAAZgBhAGMAdABvAHIAcwAgAC0AIABPAGYAZgAtAHIAbwBhAGQAIABlAHEAdQBpAHAAbQBlAG4AdAAgAGEAbgBkACAAdgBlAHMAcwBlAGwAcwBcACIAKQApADsAXABuAFwAbgBGAHUAZQBsAF8AUwBjAG8AcABlADEAUwBjAG8AcABlADMARQBtAGkAcwBzAGkAbwBuAEYAYQBjAHQAbwByAHMAVAByAGEAbgBzAHAAbwByAHQATwBmAGYAUgBvAGEAZABfAEQAZQBzAGMAcgBpAHAAdABpAG8AbgBcAG4APQBMAEEATQBCAEQAQQAoACgAXAAiAEQAaQByAGUAYwB0ACAAKABzAGMAbwBwAGUAIAAxACkAIABhAG4AZAAgAGkAbgBkAGkAcgBlAGMAdAAgACgAcwBjAG8AcABlACAAMwApACAAZQBtAGkAcwBzAGkAbwBuACAAZgBhAGMAdABvAHIAcwAgAGYAbwByACAAdABoAGUAIABjAG8AbgBzAHUAbQBwAHQAaQBvAG4AIABvAGYAIABmAHUAZQBsAHMAIABpAG4AIABvAGYAZgAtAHIAbwBhAGQAIABlAHEAdQBpAHAAbQBlAG4AdAAgAGEAbgBkACAAdgBlAHMAcwBlAGwAcwBcACIAKQApADsAXABuAFwAbgBGAHUAZQBsAF8AUwBjAG8AcABlADEAUwBjAG8AcABlADMARQBtAGkAcwBzAGkAbwBuAEYAYQBjAHQAbwByAHMAVAByAGEAbgBzAHAAbwByAHQATwBmAGYAUgBvAGEAZABfAFMAbwB1AHIAYwBlAFwAbgA9AEwAQQBNAEIARABBACgAKABcACIAVgBFAEUAUgBHACAAMgAwADIANgA6ACAAVABhAGIAbABlACAAQQAuADQALgAyAC4AMQBcACIAKQApADsAXABuAFwAbgBGAHUAZQBsAF8AUwBjAG8AcABlADEAUwBjAG8AcABlADMARQBtAGkAcwBzAGkAbwBuAEYAYQBjAHQAbwByAHMAVAByAGEAbgBzAHAAbwByAHQATwBmAGYAUgBvAGEAZABfAEQAYQB0AGEAXABuAD0ATABBAE0AQgBEAEEAKABcAG4AIAAgAE0AQQBLAEUAQQBSAFIAQQBZACgANQAsACAANwAsAFwAbgAgACAAIAAgAEwAQQBNAEIARABBACgAcgAsAGMALABcAG4AIAAgACAAIAAgACAASQBOAEQARQBYACgAewBcAG4AIAAgACAAIAAgACAAIAAgAFwAIgBUAHIAYQBuAHMAcABvAHIAdAAgAHQAeQBwAGUAIAB0AFwAIgAsACAAXAAiAEYAdQBlAGwAIAB0AHkAcABlACAAcQBcACIALAAgAFwAIgBFAEMAVAByAGEAbgBzACwAcQAgACgARwBKAC8AawBMACkAXAAiACwAIABcACIAUwBjAG8AcABlACAAMQAgAEMATwAyACAARQBGAFQAcgBhAG4ALAAxACwAdABxAGcAIAAoAGsAZwAgAEMATwAyAC0AZQAvAEcASgApAFwAIgAsACAAXAAiAFMAYwBvAHAAZQAgADEAIABDAEgANAAgAEUARgBUAHIAYQBuACwAMQAsAHQAZwBnACAAKABrAGcAIABDAE8AMgAtAGUALwBHAEoAKQBcACIALAAgAFwAIgBTAGMAbwBwAGUAIAAxACAATgAyAE8AIABFAEYAVAByAGEAbgAsADEALAB0AGcAZwAgACgAawBnACAAQwBPADIALQBlAC8ARwBKACkAXAAiACwAIABcACIAUwBjAG8AcABlACAAMwAgAEUARgBUAHIAYQBuAHMALAAzACwAcQAgACgAawBnACAAQwBPADIALQBlAC8ARwBKACkAXAAiADsAXABuACAAIAAgACAAIAAgACAAIABcACIAVgBlAHMAcwBlAGwAXAAiACwAIABcACIAUABlAHQAcgBvAGwAXAAiACwAIAAzADQALgAyACwAIAA2ADcALgA0ACwAIAAxADAALgAxACwAIAAwAC4AMwAsACAAMQA3AC4AMgA7AFwAbgAgACAAIAAgACAAIAAgACAAXAAiAFYAZQBzAHMAZQBsAFwAIgAsACAAXAAiAEQAaQBlAHMAZQBsAFwAIgAsACAAMwA4AC4ANgAsACAANgA5AC4AOQAsACAAMAAuADIALAAgADAALgA1ACwAIAAxADcALgAzADsAXABuACAAIAAgACAAIAAgACAAIABcACIAVgBlAHMAcwBlAGwAXAAiACwAIABcACIARgB1AGUAbAAgAE8AaQBsAFwAIgAsACAAMwA5AC4ANwAsACAANwAzAC4ANgAsACAAMAAuADIALAAgADAALgA1ACwAIAAxADgALgAwADsAXABuACAAIAAgACAAIAAgACAAIABcACIATwBmAGYALQByAG8AYQBkACAAQQBnAHIAaQBjAHUAbAB0AHUAcgBlACAAYQBuAGQAIABmAG8AcgBlAHMAdAByAHkAIABlAHEAdQBpAHAAbQBlAG4AdABcACIALAAgAFwAIgBEAGkAZQBzAGUAbABcACIALAAgADMAOAAuADYALAAgADYAOQAuADkALAAgADAALgAzACwAIAAwAC4ANQAsACAAMQA3AC4AMwBcAG4AIAAgACAAIAAgACAAfQAsACAAcgAsACAAYwApAFwAbgApACkAKQA7AFwAbgBcAG4AXABuAFwAbgAiAH0ALAB7ACIAcABhAHQAaAAiADoAIgAvAHAAcgBvAGoAZQBjAHQAcwAvAFcAYQBzAHQAZQBTAG8AbABpAGQAXwBFAHEAdQBhAHQAaQBvAG4AcwAiACwAIgB0AGUAeAB0ACIAOgAiAC8AKgBcAG4APQA9AD0APQA9AD0APQA9AD0APQA9AD0APQA9AD0APQA9AD0APQA9AD0APQA9AD0APQA9AD0APQA9AD0APQA9AD0APQA9AD0APQA9AD0APQA9AD0APQA9AD0APQA9AD0APQA9AD0APQA9AD0APQA9AD0APQA9AD0APQA9AD0APQA9AD0APQA9AD0APQA9AD0APQA9AD0APQBcAG4AMQAwAC4AMQA6ACAAVwBhAHMAdABlAFwAbgA9AD0APQA9AD0APQA9AD0APQA9AD0APQA9AD0APQA9AD0APQA9AD0APQA9AD0APQA9AD0APQA9AD0APQA9AD0APQA9AD0APQA9AD0APQA9AD0APQA9AD0APQA9AD0APQA9AD0APQA9AD0APQA9AD0APQA9AD0APQA9AD0APQA9AD0APQA9AD0APQA9AD0APQA9AD0APQA9AFwAbgAxADAALgAxAC4AMQAuADEAIABNAGUAdABoAG8AZAAgADEAIAAtACAAUwBvAGwAaQBkACAAVwBhAHMAdABlACAAVAByAGUAYQB0AG0AZQBuAHQ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xADAAXwAxAF8AMQBfADEAXwBfADEAXwBFAG0AaQBzAHMAaQBvAG4AcwBGAHIAbwBtAFcAYQBzAHQAZQBNAGEAbgBhAGcAZQBtAGUAbgB0AFwAbgBFAG0AaQBzAHMAaQBvAG4AcwAgAGYAcgBvAG0AIAB3AGEAcwB0AGUAIABtAGEAbgBhAGcAZQBtAGUAbgB0ACAAYgB5ACAAZwByAGUAZQBuAGgAbwB1AHMAZQAgAGcAYQBzAFwAbgBFAF8AZwBcAG4AdAAgAEMATwAyAGUAXABuAEUAXwBnAD0AXABcAHMAdQBtAF8AdABcAFwAcwB1AG0AXwB3ACgAUQBfAHcAdABcAFwAdABpAG0AZQBzACAARQBGAF8AdwB0AGcAKQBcAG4AUQBfAHcAdAAgAD0AIABxAHUAYQBuAHQAaQB0AHkAIABvAGYAIABzAG8AbABpAGQAIAB3AGEAcwB0AGUAIABvAGYAIAB0AHkAcABlACAAdwAgAGIAZQBpAG4AZwAgAHMAZQBuAHQAIAB0AG8AIAB0AHIAZQBhAHQAbQBlAG4AdAAgAGYAYQBjAGkAbABpAHQAeQAgAHQALAAgAG8AbgAgAGEAIAB3AGUAdAAgAHcAZQBpAGcAaAB0ACAAYgBhAHMAaQBzACAAKAB0ACkAXABuAEUARgBfAHcAdABnACAAPQAgAGUAbQBpAHMAcwBpAG8AbgAgAGYAYQBjAHQAbwByACAAZgBvAHIAIABnAHIAZQBlAG4AaABvAHUAcwBlACAAZwBhAHMAIABnACAAZgBvAHIAIAB0AGgAZQAgAG0AYQBuAGEAZwBlAG0AZQBuAHQAIABvAGYAIAB3AGEAcwB0AGUAIABhAHQAIAB0AHIAZQBhAHQAbQBlAG4AdAAgAGYAYQBjAGkAbABpAHQAeQAgAHQAIAAoAHQAIABDAE8AMgBlAC8AdAApAFwAbgAtAC0ALQAtAC0ALQAtAC0ALQAtAC0ALQAtAC0ALQAtAC0ALQAtAC0ALQAtAC0ALQAtAC0ALQAtAC0ALQAtAC0ALQAtAC0ALQAtAC0AXABuACoALwBcAG4AXABuAFYARQBFAFIARwBfADEAMABfADEAXwAxAF8AMQBfAF8AMQBfAEUAbQBpAHMAcwBpAG8AbgBzAEYAcgBvAG0AVwBhAHMAdABlAE0AYQBuAGEAZwBlAG0AZQBuAHQAXABuACAAIAA9AEwAQQBNAEIARABBACgAXABuACAAIAAgACAAUQBfAHcAdAAsACAARQBGAF8AdwB0AGcALABcAG4AIAAgACAAIABRAF8AdwB0ACAAKgAgAEUARgBfAHcAdABnAFwAbgAgACAAKQA7AFwAbgBcAG4AVgBFAEUAUgBHAF8AMQAwAF8AMQBfADEAXwAxAF8AXwAxAF8ARQBtAGkAcwBzAGkAbwBuAHMARgByAG8AbQBXAGEAcwB0AGUATQBhAG4AYQBnAGUAbQBlAG4AdABfAFQAaQB0AGwAZQBcAG4AIAAgAD0ATABBAE0AQgBEAEEAKABcACIARQBtAGkAcwBzAGkAbwBuAHMAIABmAHIAbwBtACAAdwBhAHMAdABlACAAbQBhAG4AYQBnAGUAbQBlAG4AdAAgAGIAeQAgAGcAcgBlAGUAbgBoAG8AdQBzAGUAIABnAGEAcwBcACIAKQA7AFwAbgBcAG4AVgBFAEUAUgBHAF8AMQAwAF8AMQBfADEAXwAxAF8AXwAxAF8ARQBtAGkAcwBzAGkAbwBuAHMARgByAG8AbQBXAGEAcwB0AGUATQBhAG4AYQBnAGUAbQBlAG4AdABfAFYAYQByAGkAYQBiAGwAZQBcAG4AIAAgAD0ATABBAE0AQgBEAEEAKABcACIARQBfAGcAXAAiACkAOwBcAG4AXABuAFYARQBFAFIARwBfADEAMABfADEAXwAxAF8AMQBfAF8AMQBfAEUAbQBpAHMAcwBpAG8AbgBzAEYAcgBvAG0AVwBhAHMAdABlAE0AYQBuAGEAZwBlAG0AZQBuAHQAXwBVAG4AaQB0AFwAbgAgACAAPQBMAEEATQBCAEQAQQAoAFwAIgB0ACAAQwBPADIAZQBcACIAKQA7AFwAbgBcAG4AVgBFAEUAUgBHAF8AMQAwAF8AMQBfADEAXwAxAF8AXwAxAF8ARQBtAGkAcwBzAGkAbwBuAHMARgByAG8AbQBXAGEAcwB0AGUATQBhAG4AYQBnAGUAbQBlAG4AdABfAFMAbwB1AHIAYwBlAFwAbgAgACAAPQBMAEEATQBCAEQAQQAoAFwAIgBWAEUARQBSAEcAIAAyADAAMgA2ADoAIAAxADAALgAxAC4AMQAuADEALAAgAEUAcQB1AGEAdABpAG8AbgAgACgAMQApAFwAIgApADsAXABuAFwAbgBWAEUARQBSAEcAXwAxADAAXwAxAF8AMQBfADEAXwBfADEAXwBFAG0AaQBzAHMAaQBvAG4AcwBGAHIAbwBtAFcAYQBzAHQAZQBNAGEAbgBhAGcAZQBtAGUAbgB0AF8ATgBJAFIAUgBlAGYAZQByAGUAbgBjAGUAXABuACAAIAA9AEwAQQBNAEIARABBACgAXAAiAFwAIgApADsAXABuAFwAbgBWAEUARQBSAEcAXwAxADAAXwAxAF8AMQBfADEAXwBfADEAXwBFAG0AaQBzAHMAaQBvAG4AcwBGAHIAbwBtAFcAYQBzAHQAZQBNAGEAbgBhAGcAZQBtAGUAbgB0AF8ATABhAHQAZQB4AEUAcQB1AGEAdABpAG8AbgBcAG4AIAAgAD0ATABBAE0AQgBEAEEAKABcACIARQBfAGcAPQBcAFwAcwB1AG0AXABcAG4AbwBsAGkAbQBpAHQAcwBfAHQAXABcAHMAdQBtAFwAXABuAG8AbABpAG0AaQB0AHMAXwB3ACgAUQBfAHsAdwB0AH0AXABcAHQAaQBtAGUAcwAgAEUARgBfAHsAdwB0AGcAfQApAFwAIgApADsAXABuAFwAbgBWAEUARQBSAEcAXwAxADAAXwAxAF8AMQBfADEAXwBfADEAXwBFAG0AaQBzAHMAaQBvAG4AcwBGAHIAbwBtAFcAYQBzAHQAZQBNAGEAbgBhAGcAZQBtAGUAbgB0AF8AQQByAGcAdQBtAGUAbgB0AHMAXABuACAAIAA9AEwAQQBNAEIARABBACgAXABuACAAIAAgACAATQBBAEsARQBBAFIAUgBBAFkAKAA3ACwAIAA0ACwAXABuACAAIAAgACAAIAAgAEwAQQBNAEIARABBACgAcgAsAGMALABcAG4AIAAgACAAIAAgACAAIAAgAEkATgBEAEUAWAAoAHsAXABuACAAIAAgACAAIAAgACAAIAAgACAAXAAiAFEAXwB3AHQAXAAiACwAIABcACIAcQB1AGEAbgB0AGkAdAB5ACAAbwBmACAAcwBvAGwAaQBkACAAdwBhAHMAdABlACAAbwBmACAAdAB5AHAAZQAgAHcAIABiAGUAaQBuAGcAIABzAGUAbgB0ACAAdABvACAAdAByAGUAYQB0AG0AZQBuAHQAIABmAGEAYwBpAGwAaQB0AHkAIAB0ACwAIABvAG4AIABhACAAdwBlAHQAIAB3AGUAaQBnAGgAdAAgAGIAYQBzAGkAcwBcACIALAAgAFwAIgB0AFwAIgAsACAAXAAiAFMAdQBtACAAbwBmACAAUQBfAHYAbwBsAHcAdAAgAGEAbgBkACAAUQBfAG0AYQBzAHMAdwB0AFwAIgA7AFwAbgAgACAAIAAgACAAIAAgACAAIAAgAFwAIgBFAEYAXwB3AHQAZwBcACIALAAgAFwAIgBlAG0AaQBzAHMAaQBvAG4AIABmAGEAYwB0AG8AcgAgAGYAbwByACAAZwByAGUAZQBuAGgAbwB1AHMAZQAgAGcAYQBzACAAZwAgAGYAbwByACAAdABoAGUAIABtAGEAbgBhAGcAZQBtAGUAbgB0ACAAbwBmACAAdwBhAHMAdABlACAAYQB0ACAAdAByAGUAYQB0AG0AZQBuAHQAIABmAGEAYwBpAGwAaQB0AHkAIAB0AFwAIgAsACAAXAAiAHQAIABDAE8AMgBlAC8AdABcACIALAAgAFwAIgBDAG8AbgBzAHQAYQBuAHQAXAAiADsAXABuACAAIAAgACAAIAAgACAAIAAgACAAXAAiAHcAXAAiACwAIABcACIAdwBhAHMAdABlACAAdAB5AHAAZQBcACIALAAgAFwAIgBcACIALAAgAFwAIgBJAG4AcAB1AHQAXAAiADsAXABuACAAIAAgACAAIAAgACAAIAAgACAAXAAiAHQAXAAiACwAIABcACIAdAByAGUAYQB0AG0AZQBuAHQAIABmAGEAYwBpAGwAaQB0AHkAXAAiACwAIABcACIAXAAiACwAIABcACIASQBuAHAAdQB0AFwAIgA7AFwAbgAgACAAIAAgACAAIAAgACAAIAAgAFwAIgBnAFwAIgAsACAAXAAiAGcAcgBlAGUAbgBoAG8AdQBzAGUAIABnAGEAcwBcACIALAAgAFwAIgBcACIALAAgAFwAIgBJAG4AcAB1AHQAXAAiADsAXABuACAAIAAgACAAIAAgACAAIAAgACAAXAAiAFEAXwB2AG8AbAB3AHQAXAAiACwAIABcACIAcQB1AGEAbgB0AGkAdAB5ACAAbwBmACAAcwBvAGwAZAAgAHcAYQBzAHQAZQAgAGkAbgBwAHUAdAAgAGEAcwAgAHYAbwBsAHUAbQBlACAAYQBuAGQAIABjAG8AbgB2AGUAcgB0AGUAZAAgAHQAbwAgAHQAbwBuAG4AZQBzAFwAIgAsACAAXAAiAHQAbwBuAG4AZQBzAFwAIgAsACAAXAAiAEMAYQBsAGMAdQBsAGEAdABlAGQAIABmAHIAbwBtACAAMQAwAC4AMQAuADEALgAxACAAKAAyACkAXAAiADsAXABuACAAIAAgACAAIAAgACAAIAAgACAAXAAiAFEAXwBtAGEAcwBzAHcAdABcACIALAAgAFwAIgBxAHUAYQBuAHQAaQB0AHkAIABvAGYAIABzAG8AbABpAGQAIAB3AGEAcwB0AGUAIABpAG4AcAB1AHQAIABhAHMAIABtAGEAcwBzAFwAIgAsACAAXAAiAHQAbwBuAG4AZQBzAFwAIgAsACAAXAAiAEkAbgBwAHUAdABcACIAXABuACAAIAAgACAAIAAgACAAIAB9ACwAIAByACwAIABjACkAXABuACAAIAAgACAAIAAgACkAXABuACAAIAAgACAAKQBcAG4AIAAgACkAOwBcAG4AXABuAFYARQBFAFIARwBfADEAMABfADEAXwAxAF8AMQBfAF8AMQBfAEUAbQBpAHMAcwBpAG8AbgBzAEYAcgBvAG0AVwBhAHMAdABlAE0AYQBuAGEAZwBlAG0AZQBuAHQAXwBWAGEAcgBpAGEAdABpAG8AbgBcAG4AIAAgAD0ATABBAE0AQgBEAEEAKABcACIAVgBBAFIASQBBAFQASQBPAE4AIABPAE4AIABTAE8AVQBSAEMARQA6ACAAQQBkAGQAZQBkACAAUQBfAHYAbwBsAHcAdAAgAGEAbgBkACAAUQBfAG0AYQBzAHMAdwB0ACAAdgBhAHIAaQBhAGIAbABlAHMAIAB0AG8AIABjAGwAZQBhAHIAbAB5ACAAdAByAGEAYwBrACAAaQBuAHAAdQB0ACAAbwByACAAYwBhAGwAYwB1AGwAYQB0AGUAZAAgAFEAIAB2AGEAbAB1AGUAcwBcACIAKQA7AFwAbgBcAG4ALwAqAFwAbgAtAC0ALQAtAC0ALQAtAC0ALQAtAC0ALQAtAC0ALQAtAC0ALQAtAC0ALQAtAC0ALQAtAC0ALQAtAC0ALQAtAC0ALQAtAC0ALQAtAC0AXABuAFYARQBFAFIARwBfADEAMABfADEAXwAxAF8AMQBfAF8AMgBfAE0AYQBzAHMATwBmAFcAYQBzAHQAZQBGAHIAbwBtAFYAbwBsAHUAbQBlAFwAbgBNAGEAcwBzACAAbwBmACAAdwBhAHMAdABlACAAZgByAG8AbQAgAHcAYQBzAHQAZQAgAHYAbwBsAHUAbQBlAFwAbgBRAF8AdwB0AFwAbgB0AFwAbgBRAF8AdwB0AD0AVgBfAHcAdABcAFwAdABpAG0AZQBzACAAVgBUAE0AXwB3AFwAbgBWAF8AdwB0ACAAPQAgAHYAbwBsAHUAbQBlACAAbwBmACAAcwBvAGwAaQBkACAAdwBhAHMAdABlACAAdAB5AHAAZQAgAHcAIABiAGUAaQBuAGcAIABzAGUAbgB0ACAAdABvACAAdAByAGUAYQB0AG0AZQBuAHQAIABmAGEAYwBpAGwAaQB0AHkAIAB0ACAAKABtADMAKQBcAG4AVgBUAE0AXwB3ACAAPQAgAGMAbwBuAHYAZQByAHMAaQBvAG4AIABmAGEAYwB0AG8AcgAgAG8AZgAgAHYAbwBsAHUAbQBlACAAdABvACAAbQBhAHMAcwAgAGYAbwByACAAdwBhAHMAdABlACAAdAB5AHAAZQAgAHcAIAAoAHQALwBtADMAKQBcAG4ALQAtAC0ALQAtAC0ALQAtAC0ALQAtAC0ALQAtAC0ALQAtAC0ALQAtAC0ALQAtAC0ALQAtAC0ALQAtAC0ALQAtAC0ALQAtAC0ALQAtAFwAbgAqAC8AXABuAFwAbgBWAEUARQBSAEcAXwAxADAAXwAxAF8AMQBfADEAXwBfADIAXwBNAGEAcwBzAE8AZgBXAGEAcwB0AGUARgByAG8AbQBWAG8AbAB1AG0AZQBcAG4AIAAgAD0ATABBAE0AQgBEAEEAKABcAG4AIAAgACAAIABWAF8AdwB0ACwAIABWAFQATQBfAHcALABcAG4AIAAgACAAIABWAF8AdwB0ACAAKgAgAFYAVABNAF8AdwBcAG4AIAAgACkAOwBcAG4AXABuAFYARQBFAFIARwBfADEAMABfADEAXwAxAF8AMQBfAF8AMgBfAE0AYQBzAHMATwBmAFcAYQBzAHQAZQBGAHIAbwBtAFYAbwBsAHUAbQBlAF8AVABpAHQAbABlAFwAbgAgACAAPQBMAEEATQBCAEQAQQAoAFwAIgBNAGEAcwBzACAAbwBmACAAdwBhAHMAdABlACAAZgByAG8AbQAgAHcAYQBzAHQAZQAgAHYAbwBsAHUAbQBlAFwAIgApADsAXABuAFwAbgBWAEUARQBSAEcAXwAxADAAXwAxAF8AMQBfADEAXwBfADIAXwBNAGEAcwBzAE8AZgBXAGEAcwB0AGUARgByAG8AbQBWAG8AbAB1AG0AZQBfAFYAYQByAGkAYQBiAGwAZQBcAG4AIAAgAD0ATABBAE0AQgBEAEEAKABcACIAUQBfAHcAdABcACIAKQA7AFwAbgBcAG4AVgBFAEUAUgBHAF8AMQAwAF8AMQBfADEAXwAxAF8AXwAyAF8ATQBhAHMAcwBPAGYAVwBhAHMAdABlAEYAcgBvAG0AVgBvAGwAdQBtAGUAXwBVAG4AaQB0AFwAbgAgACAAPQBMAEEATQBCAEQAQQAoAFwAIgB0AFwAIgApADsAXABuAFwAbgBWAEUARQBSAEcAXwAxADAAXwAxAF8AMQBfADEAXwBfADIAXwBNAGEAcwBzAE8AZgBXAGEAcwB0AGUARgByAG8AbQBWAG8AbAB1AG0AZQBfAFMAbwB1AHIAYwBlAFwAbgAgACAAPQBMAEEATQBCAEQAQQAoAFwAIgBWAEUARQBSAEcAIAAyADAAMgA2ADoAIAAxADAALgAxAC4AMQAuADEALAAgAEUAcQB1AGEAdABpAG8AbgAgACgAMgApAFwAIgApADsAXABuAFwAbgBWAEUARQBSAEcAXwAxADAAXwAxAF8AMQBfADEAXwBfADIAXwBNAGEAcwBzAE8AZgBXAGEAcwB0AGUARgByAG8AbQBWAG8AbAB1AG0AZQBfAE4ASQBSAFIAZQBmAGUAcgBlAG4AYwBlAFwAbgAgACAAPQBMAEEATQBCAEQAQQAoAFwAIgBcACIAKQA7AFwAbgBcAG4AVgBFAEUAUgBHAF8AMQAwAF8AMQBfADEAXwAxAF8AXwAyAF8ATQBhAHMAcwBPAGYAVwBhAHMAdABlAEYAcgBvAG0AVgBvAGwAdQBtAGUAXwBMAGEAdABlAHgARQBxAHUAYQB0AGkAbwBuAFwAbgAgACAAPQBMAEEATQBCAEQAQQAoAFwAIgBRAF8AewB3AHQAfQA9AFYAXwB7AHcAdAB9AFwAXAB0AGkAbQBlAHMAIABWAFQATQBfAHcAXAAiACkAOwBcAG4AXABuAFYARQBFAFIARwBfADEAMABfADEAXwAxAF8AMQBfAF8AMgBfAE0AYQBzAHMATwBmAFcAYQBzAHQAZQBGAHIAbwBtAFYAbwBsAHUAbQBlAF8AQQByAGcAdQBtAGUAbgB0AHMAXABuACAAIAA9AEwAQQBNAEIARABBACgAXABuACAAIAAgACAATQBBAEsARQBBAFIAUgBBAFkAKAA0ACwAIAA0ACwAXABuACAAIAAgACAAIAAgAEwAQQBNAEIARABBACgAcgAsAGMALABcAG4AIAAgACAAIAAgACAAIAAgAEkATgBEAEUAWAAoAHsAXABuACAAIAAgACAAIAAgACAAIAAgACAAXAAiAFYAXwB3AHQAXAAiACwAIABcACIAdgBvAGwAdQBtAGUAIABvAGYAIABzAG8AbABpAGQAIAB3AGEAcwB0AGUAIAB0AHkAcABlACAAdwAgAGIAZQBpAG4AZwAgAHMAZQBuAHQAIAB0AG8AIAB0AHIAZQBhAHQAbQBlAG4AdAAgAGYAYQBjAGkAbABpAHQAeQAgAHQAXAAiACwAIABcACIAbQAzAFwAIgAsACAAXAAiAEkAbgBwAHUAdABcACIAOwBcAG4AIAAgACAAIAAgACAAIAAgACAAIABcACIAVgBUAE0AXwB3AFwAIgAsACAAXAAiAGMAbwBuAHYAZQByAHMAaQBvAG4AIABmAGEAYwB0AG8AcgAgAG8AZgAgAHYAbwBsAHUAbQBlACAAdABvACAAbQBhAHMAcwAgAGYAbwByACAAdwBhAHMAdABlACAAdAB5AHAAZQAgAHcAXAAiACwAIABcACIAdAAvAG0AMwBcACIALAAgAFwAIgBDAG8AbgBzAHQAYQBuAHQAXAAiADsAXABuACAAIAAgACAAIAAgACAAIAAgACAAXAAiAHcAXAAiACwAIABcACIAdwBhAHMAdABlACAAdAB5AHAAZQBcACIALAAgAFwAIgBcACIALAAgAFwAIgBJAG4AcAB1AHQAXAAiADsAXABuACAAIAAgACAAIAAgACAAIAAgACAAXAAiAHQAXAAiACwAIABcACIAdAByAGUAYQB0AG0AZQBuAHQAIABmAGEAYwBpAGwAaQB0AHkAXAAiACwAIABcACIAXAAiACwAIABcACIASQBuAHAAdQB0AFwAIgBcAG4AIAAgACAAIAAgACAAIAAgAH0ALAAgAHIALAAgAGMAKQBcAG4AIAAgACAAIAAgACAAKQBcAG4AIAAgACAAIAApAFwAbgAgACAAKQA7AFwAbgAiAH0ALAB7ACIAcABhAHQAaAAiADoAIgAvAHAAcgBvAGoAZQBjAHQAcwAvAFcAYQBzAHQAZQBTAG8AbABpAGQAXwBJAG4AcAB1AHQARgB1AG4AYwB0AGkAbwBuAHMAIgAsACIAdABlAHgAdAAiADoAIgBcAG4AVwBhAHMAdABlAFMAbwBsAGkAZABfAEkAbgBwAHUAdABGAHUAbgBjAHQAaQBvAG4AcwBfAFMAdQBtAFcAYQBzAHQAZQBUAHIAZQBhAHQAbQBlAG4AdABcAG4APQBMAEEATQBCAEQAQQAoAFwAbgAgACAAVAByAGUAYQB0AG0AZQBuAHQAQQByAHIAYQB5ACwAIABXAGEAcwB0AGUAQQByAHIAYQB5ACwAIABUAHIAZQBhAHQAbQBlAG4AdABMAG8AYwBhAHQAaQBvAG4AQQByAHIAYQB5ACwAIABVAG4AaQB0AEEAcgByAGEAeQAsACAAQQBtAG8AdQBuAHQAQQByAHIAYQB5ACwAXABuACAAIABUAHIAZQBhAHQAbQBlAG4AdABUAHkAcABlACwAIABXAGEAcwB0AGUAVAB5AHAAZQAsACAAVAByAGUAYQB0AG0AZQBuAHQATABvAGMAYQB0AGkAbwBuAFQAeQBwAGUALAAgAFUAbgBpAHQAVAB5AHAAZQAsAFwAbgAgACAAUwBVAE0ASQBGAFMAKABcAG4AIAAgACAAIABBAG0AbwB1AG4AdABBAHIAcgBhAHkALABcAG4AIAAgACAAVAByAGUAYQB0AG0AZQBuAHQAQQByAHIAYQB5ACwAIABUAHIAZQBhAHQAbQBlAG4AdABUAHkAcABlACwAXABuACAAIAAgACAAVwBhAHMAdABlAEEAcgByAGEAeQAsACAAVwBhAHMAdABlAFQAeQBwAGUALABcAG4AIAAgACAAIABUAHIAZQBhAHQAbQBlAG4AdABMAG8AYwBhAHQAaQBvAG4AQQByAHIAYQB5ACwAIABUAHIAZQBhAHQAbQBlAG4AdABMAG8AYwBhAHQAaQBvAG4AVAB5AHAAZQAsACAAXABuACAAIAAgACAAVQBuAGkAdABBAHIAcgBhAHkALAAgAFUAbgBpAHQAVAB5AHAAZQBcAG4AIAAgACkAXABuACkAOwAiAH0ALAB7ACIAcABhAHQAaAAiADoAIgAvAHAAcgBvAGoAZQBjAHQAcwAvAFcAYQBzAHQAZQBTAG8AbABpAGQAXwBTAG8AdQByAGMAZQBEAGEAdABhACIALAAiAHQAZQB4AHQAIgA6ACIALwAqAFwAbgA9AD0APQA9AD0APQA9AD0APQA9AD0APQA9AD0APQA9AD0APQA9AD0APQA9AD0APQA9AD0APQA9AD0APQA9AD0APQA9AD0APQA9AD0APQA9AD0APQA9AD0APQA9AD0APQA9AD0APQA9AD0APQA9AD0APQA9AD0APQA9AD0APQA9AD0APQA9AD0APQA9AD0APQA9AD0APQA9AFwAbgBFAG0AaQBzAHMAaQBvAG4AIABmAGEAYwB0AG8AcgBzACAAZgBvAHIAIAB3AGEAcwB0AGUAcwAgAGQAaQBzAHAAbwBzAGUAZAAgAG8AZgAgAGEAdAAgAGQAaQBmAGYAZQByAGUAbgB0ACAAdAByAGUAYQB0AG0AZQBuAHQAIABmAGEAYwBpAGwAaQB0AGkAZQBzAFwAbgA9AD0APQA9AD0APQA9AD0APQA9AD0APQA9AD0APQA9AD0APQA9AD0APQA9AD0APQA9AD0APQA9AD0APQA9AD0APQA9AD0APQA9AD0APQA9AD0APQA9AD0APQA9AD0APQA9AD0APQA9AD0APQA9AD0APQA9AD0APQA9AD0APQA9AD0APQA9AD0APQA9AD0APQA9AD0APQA9AFwAbgAqAC8AXABuAFwAbgBXAGEAcwB0AGUAXwBFAG0AaQBzAHMAaQBvAG4ARgBhAGMAdABvAHIAcwBGAG8AcgBXAGEAcwB0AGUAVAByAGUAYQB0AG0AZQBuAHQAXwBUAGkAdABsAGUAXABuAD0ATABBAE0AQgBEAEEAKAAoAFwAIgBFAG0AaQBzAHMAaQBvAG4AIABmAGEAYwB0AG8AcgBzACAAZgBvAHIAIAB3AGEAcwB0AGUAcwAgAGQAaQBzAHAAbwBzAGUAZAAgAG8AZgAgAGEAdAAgAGQAaQBmAGYAZQByAGUAbgB0ACAAdAByAGUAYQB0AG0AZQBuAHQAIABmAGEAYwBpAGwAaQB0AGkAZQBzAFwAIgApACkAOwBcAG4AXABuAFcAYQBzAHQAZQBfAEUAbQBpAHMAcwBpAG8AbgBGAGEAYwB0AG8AcgBzAEYAbwByAFcAYQBzAHQAZQBUAHIAZQBhAHQAbQBlAG4AdABfAFYAYQByAGkAYQBiAGwAZQBcAG4APQBMAEEATQBCAEQAQQAoACgAXAAiAEUARgB3AHQAXAAiACkAKQA7AFwAbgBcAG4AVwBhAHMAdABlAF8ARQBtAGkAcwBzAGkAbwBuAEYAYQBjAHQAbwByAHMARgBvAHIAVwBhAHMAdABlAFQAcgBlAGEAdABtAGUAbgB0AF8AVQBuAGkAdABcAG4APQBMAEEATQBCAEQAQQAoACgAXAAiAHQAIABDAE8AMgBlACAALwAgAHQAXAAiACkAKQA7AFwAbgBcAG4AVwBhAHMAdABlAF8ARQBtAGkAcwBzAGkAbwBuAEYAYQBjAHQAbwByAHMARgBvAHIAVwBhAHMAdABlAFQAcgBlAGEAdABtAGUAbgB0AF8AUwBvAHUAcgBjAGUAXABuAD0ATABBAE0AQgBEAEEAKAAoAFwAIgBWAEUARQBSAEcAIAAyADAAMgA2ADoAIABUAGEAYgBsAGUAIABBAC4ANAAuADEALgAxAFwAIgApACkAOwBcAG4AXABuAFcAYQBzAHQAZQBfAEUAbQBpAHMAcwBpAG8AbgBGAGEAYwB0AG8AcgBzAEYAbwByAFcAYQBzAHQAZQBUAHIAZQBhAHQAbQBlAG4AdABfAEQAYQB0AGEAXABuAD0ATABBAE0AQgBEAEEAKABcAG4AIAAgAE0AQQBLAEUAQQBSAFIAQQBZACgAMwA1ACwAIAA0ACwAXABuACAAIAAgACAATABBAE0AQgBEAEEAKAByACwAYwAsAFwAbgAgACAAIAAgACAAIABJAE4ARABFAFgAKAB7AFwAbgAgACAAIAAgACAAIAAgACAAXAAiAFQAcgBlAGEAdABtAGUAbgB0ACAAdAB5AHAAZQAgAHQAXAAiACwAIABcACIAVwBhAHMAdABlACAAdAB5AHAAZQAgAHcAXAAiACwAIABcACIARQBGAHcAdABcACIALAAgAFwAIgBFAEYAIABzAG8AdQByAGMAZQBcACIAOwBcAG4AIAAgACAAIAAgACAAIAAgAFwAIgBMAGEAbgBkAGYAaQBsAGwAXAAiACwAIABcACIARgBvAG8AZAAgAHcAYQBzAHQAZQAgACgAaQBuAGMAbAB1AGQAaQBuAGcAIABhAG4AaQBtAGEAbAAgAGMAYQByAGMAYQBzAHMAZQBzACwAIABzAHAAbwBpAGwAZQBkACAAYQBuAGkAbQBhAGwAIABmAGUAZQBkACAAbwByACAAYwByAG8AcAApAFwAIgAsACAAMgAuADEALAAgAFwAIgBOAEcAQQBGACAAMgAwADIANQAgAHQAYQBiAGwAZQAgADEANQBcACIAOwBcAG4AIAAgACAAIAAgACAAIAAgAFwAIgBMAGEAbgBkAGYAaQBsAGwAXAAiACwAIABcACIAUABhAHAAZQByACAAYQBuAGQAIABjAGEAcgBkAGIAbwBhAHIAZABcACIALAAgADMALgAzACwAIABcACIATgBHAEEARgAgADIAMAAyADUAIAB0AGEAYgBsAGUAIAAxADUAXAAiADsAXABuACAAIAAgACAAIAAgACAAIABcACIATABhAG4AZABmAGkAbABsAFwAIgAsACAAXAAiAEcAcgBlAGUAbgAgAHcAYQBzAHQAZQAgACgAaQBuAGMAbAB1AGQAaQBuAGcAIABjAHIAbwBwACAAcgBlAHMAaQBkAHUAZQBzACAAbwByACAAcAByAHUAbgBpAG4AZwBzACkAXAAiACwAIAAxAC4ANgAsACAAXAAiAE4ARwBBAEYAIAAyADAAMgA1ACAAdABhAGIAbABlACAAMQA1AFwAIgA7AFwAbgAgACAAIAAgACAAIAAgACAAXAAiAEwAYQBuAGQAZgBpAGwAbABcACIALAAgAFwAIgBXAG8AbwBkAFwAIgAsACAAMAAuADcALAAgAFwAIgBOAEcAQQBGACAAMgAwADIANQAgAHQAYQBiAGwAZQAgADEANQBcACIAOwBcAG4AIAAgACAAIAAgACAAIAAgAFwAIgBMAGEAbgBkAGYAaQBsAGwAXAAiACwAIABcACIAVABlAHgAdABpAGwAZQBzAFwAIgAsACAAMgAuADAALAAgAFwAIgBOAEcAQQBGACAAMgAwADIANQAgAHQAYQBiAGwAZQAgADEANQBcACIAOwBcAG4AIAAgACAAIAAgACAAIAAgAFwAIgBMAGEAbgBkAGYAaQBsAGwAXAAiACwAIABcACIAUwBsAHUAZABnAGUAXAAiACwAIAAwAC4ANAAsACAAXAAiAE4ARwBBAEYAIAAyADAAMgA1ACAAdABhAGIAbABlACAAMQA1AFwAIgA7AFwAbgAgACAAIAAgACAAIAAgACAAXAAiAEwAYQBuAGQAZgBpAGwAbABcACIALAAgAFwAIgBSAHUAYgBiAGUAcgAgAGEAbgBkACAAbABlAGEAdABoAGUAcgBcACIALAAgADMALgAzACwAIABcACIATgBHAEEARgAgADIAMAAyADUAIAB0AGEAYgBsAGUAIAAxADUAXAAiADsAXABuACAAIAAgACAAIAAgACAAIABcACIATABhAG4AZABmAGkAbABsAFwAIgAsACAAXAAiAEkAbgBlAHIAdAAgAHcAYQBzAHQAZQAgACgAaQBuAGMAbAB1AGQAaQBuAGcAIABjAG8AbgBjAHIAZQB0AGUALAAgAG0AZQB0AGEAbAAsACAAcABsAGEAcwB0AGkAYwAgAG8AcgAgAGcAbABhAHMAcwApAFwAIgAsACAAMAAsACAAXAAiAE4ARwBBAEYAIAAyADAAMgA1ACAAdABhAGIAbABlACAAMQA1AFwAIgA7AFwAbgAgACAAIAAgACAAIAAgACAAXAAiAEwAYQBuAGQAZgBpAGwAbABcACIALAAgAFwAIgBNAHUAbgBpAGMAaQBwAGEAbAAgAHMAbwBsAGkAZAAgAHcAYQBzAHQAZQBcACIALAAgADEALgA2ACwAIABcACIATgBHAEEARgAgADIAMAAyADUAIAB0AGEAYgBsAGUAIAAxADUAXAAiADsAXABuACAAIAAgACAAIAAgACAAIABcACIATABhAG4AZABmAGkAbABsAFwAIgAsACAAXAAiAEMAbwBtAG0AZQByAGMAaQBhAGwAIABhAG4AZAAgAGkAbgBkAHUAcwB0AHIAaQBhAGwAIAB3AGEAcwB0AGUAXAAiACwAIAAxAC4AMwAsACAAXAAiAE4ARwBBAEYAIAAyADAAMgA1ACAAdABhAGIAbABlACAAMQA1AFwAIgA7AFwAbgAgACAAIAAgACAAIAAgACAAXAAiAEwAYQBuAGQAZgBpAGwAbABcACIALAAgAFwAIgBDAG8AbgBzAHQAcgB1AGMAdABpAG8AbgAgAGEAbgBkACAAZABlAG0AbwBsAGkAdABpAG8AbgAgAHcAYQBzAHQAZQBcACIALAAgADAALgAyACwAIABcACIATgBHAEEARgAgADIAMAAyADUAIAB0AGEAYgBsAGUAIAAxADUAXAAiADsAXABuACAAIAAgACAAIAAgACAAIABcAG4AIAAgACAAIAAgACAAIAAgAFwAIgBJAG4AYwBpAG4AZQByAGEAdABpAG8AbgBcACIALAAgAFwAIgBGAG8AbwBkACAAdwBhAHMAdABlACwAIABnAHIAZQBlAG4AIAB3AGEAcwB0AGUALAAgAHcAbwBvAGQALAAgAHMAbAB1AGQAZwBlAFwAIgAsACAAMAAsACAAXAAiAFwAIgA7AFwAbgAgACAAIAAgACAAIAAgACAAXAAiAEkAbgBjAGkAbgBlAHIAYQB0AGkAbwBuAFwAIgAsACAAXAAiAEYAbwBvAGQAIAB3AGEAcwB0AGUAIAAoAGkAbgBjAGwAdQBkAGkAbgBnACAAYQBuAGkAbQBhAGwAIABjAGEAcgBjAGEAcwBzAGUAcwAsACAAcwBwAG8AaQBsAGUAZAAgAGEAbgBpAG0AYQBsACAAZgBlAGUAZAAgAG8AcgAgAGMAcgBvAHAAKQBcACIALAAgADAALAAgAFwAIgBcACIAOwBcAG4AIAAgACAAIAAgACAAIAAgAFwAIgBJAG4AYwBpAG4AZQByAGEAdABpAG8AbgBcACIALAAgAFwAIgBHAHIAZQBlAG4AIAB3AGEAcwB0AGUAIAAoAGkAbgBjAGwAdQBkAGkAbgBnACAAYwByAG8AcAAgAHIAZQBzAGkAZAB1AGUAcwAgAG8AcgAgAHAAcgB1AG4AaQBuAGcAcwApAFwAIgAsACAAMAAsACAAXAAiAFwAIgA7AFwAbgAgACAAIAAgACAAIAAgACAAXAAiAEkAbgBjAGkAbgBlAHIAYQB0AGkAbwBuAFwAIgAsACAAXAAiAFcAbwBvAGQAXAAiACwAIAAwACwAIABcACIAXAAiADsAXABuACAAIAAgACAAIAAgACAAIABcACIASQBuAGMAaQBuAGUAcgBhAHQAaQBvAG4AXAAiACwAIABcACIAUwBsAHUAZABnAGUAXAAiACwAIAAwACwAIABcACIAXAAiADsAXABuACAAIAAgACAAIAAgACAAIABcACIASQBuAGMAaQBuAGUAcgBhAHQAaQBvAG4AXAAiACwAIABcACIAUABhAHAAZQByACAAYQBuAGQAIABjAGEAcgBkAGIAbwBhAHIAZABcACIALAAgADAALgAwADEANgA5ACwAIABcACIAXAAiADsAXABuACAAIAAgACAAIAAgACAAIABcACIASQBuAGMAaQBuAGUAcgBhAHQAaQBvAG4AXAAiACwAIABcACIAVABlAHgAdABpAGwAZQBzAFwAIgAsACAAMAAuADMANgA2ADcALAAgAFwAIgBcACIAOwBcAG4AIAAgACAAIAAgACAAIAAgAFwAIgBJAG4AYwBpAG4AZQByAGEAdABpAG8AbgBcACIALAAgAFwAIgBSAHUAYgBiAGUAcgAgAGEAbgBkACAAbABlAGEAdABoAGUAcgBcACIALAAgADAALgA0ADkAMQA5ACwAIABcACIAXAAiADsAXABuACAAIAAgACAAIAAgACAAIABcACIASQBuAGMAaQBuAGUAcgBhAHQAaQBvAG4AXAAiACwAIABcACIASQBuAGUAcgB0ACAAdwBhAHMAdABlACAAKABpAG4AYwBsAHUAZABpAG4AZwAgAGMAbwBuAGMAcgBlAHQAZQAsACAAbQBlAHQAYQBsACwAIABwAGwAYQBzAHQAaQBjACAAbwByACAAZwBsAGEAcwBzACkAXAAiACwAIAAwAC4AMQAxADAAMAAsACAAXAAiAFwAIgA7AFwAbgAgACAAIAAgACAAIAAgACAAXAAiAEkAbgBjAGkAbgBlAHIAYQB0AGkAbwBuAFwAIgAsACAAXAAiAE0AdQBuAGkAYwBpAHAAYQBsACAAcwBvAGwAaQBkACAAdwBhAHMAdABlAFwAIgAsACAAMAAuADAANQAzADcALAAgAFwAIgBOAEcAQQBGACAAMgAwADIANQAgAFQAYQBiAGwAZQAgADEAOABcACIAOwBcAG4AIAAgACAAIAAgACAAIAAgAFwAIgBJAG4AYwBpAG4AZQByAGEAdABpAG8AbgBcACIALAAgAFwAIgBDAG8AbQBtAGUAcgBjAGkAYQBsACAAYQBuAGQAIABpAG4AZAB1AHMAdAByAGkAYQBsACAAdwBhAHMAdABlAFwAIgAsACAAMQAuADYANAA5ACwAIABcACIATgBHAEEARgAgADIAMAAyADUAIABUAGEAYgBsAGUAIAAxADgAXAAiADsAXABuAFwAbgAgACAAIAAgACAAIAAgACAAXAAiAEMAbwBtAHAAbwBzAHQAaQBuAGcAXAAiACwAIABcACIAQQBsAGwAIABvAHIAZwBhAG4AaQBjACAAdwBhAHMAdABlAFwAIgAsACAAMAAuADAANAA2ACwAIABcACIATgBHAEEARgAgADIAMAAyADUAIABUAGEAYgBsAGUAIAAxADkAXAAiADsAXABuACAAIAAgACAAIAAgACAAIABcACIAQwBvAG0AcABvAHMAdABpAG4AZwBcACIALAAgAFwAIgBGAG8AbwBkACAAdwBhAHMAdABlACAAKABpAG4AYwBsAHUAZABpAG4AZwAgAGEAbgBpAG0AYQBsACAAYwBhAHIAYwBhAHMAcwBlAHMALAAgAHMAcABvAGkAbABlAGQAIABhAG4AaQBtAGEAbAAgAGYAZQBlAGQAIABvAHIAIABjAHIAbwBwACkAXAAiACwAIAAwAC4AMAA0ADYALAAgAFwAIgBcACIAOwBcAG4AIAAgACAAIAAgACAAIAAgAFwAIgBDAG8AbQBwAG8AcwB0AGkAbgBnAFwAIgAsACAAXAAiAEcAcgBlAGUAbgAgAHcAYQBzAHQAZQAgACgAaQBuAGMAbAB1AGQAaQBuAGcAIABjAHIAbwBwACAAcgBlAHMAaQBkAHUAZQBzACAAbwByACAAcAByAHUAbgBpAG4AZwBzACkAXAAiACwAIAAwAC4AMAA0ADYALAAgAFwAIgBcACIAOwBcAG4AIAAgACAAIAAgACAAIAAgAFwAIgBDAG8AbQBwAG8AcwB0AGkAbgBnAFwAIgAsACAAXAAiAFcAbwBvAGQAXAAiACwAIAAwAC4AMAA0ADYALAAgAFwAIgBcACIAOwBcAG4AIAAgACAAIAAgACAAIAAgAFwAIgBDAG8AbQBwAG8AcwB0AGkAbgBnAFwAIgAsACAAXAAiAFMAbAB1AGQAZwBlAFwAIgAsACAAMAAuADAANAA2ACwAIABcACIAXAAiADsAXABuACAAIAAgACAAIAAgACAAIABcACIAQwBvAG0AcABvAHMAdABpAG4AZwBcACIALAAgAFwAIgBQAGEAcABlAHIAIABhAG4AZAAgAGMAYQByAGQAYgBvAGEAcgBkAFwAIgAsACAAMAAuADAANAA2ACwAIABcACIAXAAiADsAXABuAFwAbgAgACAAIAAgACAAIAAgACAAXAAiAEEAbgBhAGUAcgBvAGIAaQBjACAAZABpAGcAZQBzAHQAaQBvAG4AXAAiACwAIABcACIAQQBsAGwAIABvAHIAZwBhAG4AaQBjACAAdwBhAHMAdABlAFwAIgAsACAAMAAuADAAMgA4ACwAIABcACIATgBHAEEARgAgADIAMAAyADUAIABUAGEAYgBsAGUAIAAxADkAXAAiADsAXABuACAAIAAgACAAIAAgACAAIABcACIAQQBuAGEAZQByAG8AYgBpAGMAIABkAGkAZwBlAHMAdABpAG8AbgBcACIALAAgAFwAIgBGAG8AbwBkACAAdwBhAHMAdABlACAAKABpAG4AYwBsAHUAZABpAG4AZwAgAGEAbgBpAG0AYQBsACAAYwBhAHIAYwBhAHMAcwBlAHMALAAgAHMAcABvAGkAbABlAGQAIABhAG4AaQBtAGEAbAAgAGYAZQBlAGQAIABvAHIAIABjAHIAbwBwACkAXAAiACwAIAAwAC4AMAAyADgALAAgAFwAIgBcACIAOwBcAG4AIAAgACAAIAAgACAAIAAgAFwAIgBBAG4AYQBlAHIAbwBiAGkAYwAgAGQAaQBnAGUAcwB0AGkAbwBuAFwAIgAsACAAXAAiAEcAcgBlAGUAbgAgAHcAYQBzAHQAZQAgACgAaQBuAGMAbAB1AGQAaQBuAGcAIABjAHIAbwBwACAAcgBlAHMAaQBkAHUAZQBzACAAbwByACAAcAByAHUAbgBpAG4AZwBzACkAXAAiACwAIAAwAC4AMAAyADgALAAgAFwAIgBcACIAOwBcAG4AIAAgACAAIAAgACAAIAAgAFwAIgBBAG4AYQBlAHIAbwBiAGkAYwAgAGQAaQBnAGUAcwB0AGkAbwBuAFwAIgAsACAAXAAiAFcAbwBvAGQAXAAiACwAIAAwAC4AMAAyADgALAAgAFwAIgBcACIAOwBcAG4AIAAgACAAIAAgACAAIAAgAFwAIgBBAG4AYQBlAHIAbwBiAGkAYwAgAGQAaQBnAGUAcwB0AGkAbwBuAFwAIgAsACAAXAAiAFMAbAB1AGQAZwBlAFwAIgAsACAAMAAuADAAMgA4ACwAIABcACIAXAAiADsAXABuACAAIAAgACAAIAAgACAAIABcACIAQQBuAGEAZQByAG8AYgBpAGMAIABkAGkAZwBlAHMAdABpAG8AbgBcACIALAAgAFwAIgBQAGEAcABlAHIAIABhAG4AZAAgAGMAYQByAGQAYgBvAGEAcgBkAFwAIgAsACAAMAAuADAAMgA4ACwAIABcACIAXAAiAFwAbgAgACAAIAAgACAAIAB9ACwAIAByACwAIABjACkAXABuACkAKQApADsAXABuAFwAbgBXAGEAcwB0AGUAXwBFAG0AaQBzAHMAaQBvAG4ARgBhAGMAdABvAHIAcwBGAG8AcgBXAGEAcwB0AGUAVAByAGUAYQB0AG0AZQBuAHQAXwBWAGEAcgBpAGEAdABpAG8AbgBcAG4APQBMAEEATQBCAEQAQQAoAFwAbgAgACAATQBBAEsARQBBAFIAUgBBAFkAKAA3ACwAIAAxACwAXABuACAAIAAgACAATABBAE0AQgBEAEEAKAByACwAYwAsAFwAbgAgACAAIAAgACAAIABJAE4ARABFAFgAKAB7AFwAbgAgACAAIAAgACAAIAAgACAAXAAiAFYAQQBSAEkAQQBUAEkATwBOACAATwBOACAAUwBPAFUAUgBDAEUAOgBcACIAOwBcAG4AIAAgACAAIAAgACAAIAAgAFwAIgBGAGkAeABlAGQAIAB0AHkAcABvACAAJwBwAGEAcABlAHIAIABhAG4AZAAgAGMAYQByAGIAbwBhAHIAZAAnACAAdABvACAAJwBwAGEAcABlAHIAIABhAG4AZAAgAGMAYQByAGQAYgBvAGEAcgBkACcAXAAiADsAXABuACAAIAAgACAAIAAgACAAIABcACIARgBpAHgAZQBkACAAdAB5AHAAbwAgACcAcAByAHUAbgBuAGkAbgBnAHMAJwAgAHQAbwAgACcAcAByAHUAbgBpAG4AZwBzACcAXAAiADsAXABuACAAIAAgACAAIAAgACAAIABcACIAQQBkAGQAZQBkACAARQBGACAAcwBvAHUAcgBjAGUAIABjAG8AbAB1AG0AbgAgAHcAaQB0AGgAIABzAHAAZQBjAGkAZgBpAGMAIAByAGUAZgBlAHIAZQBuAGMAZQBzAFwAIgA7AFwAbgAgACAAIAAgACAAIAAgACAAXAAiAEEAZABkAGUAZAAgAHMAdQBiAC0AYwBhAHQAZQBnAG8AcgBpAGUAcwAgAGYAbwByACAAJwBJAG4AYwBpAG4AZQByAGEAdABpAG8AbgA6ACAARgBvAG8AZAAgAHcAYQBzAHQAZQAsACAAZwByAGUAZQBuACAAdwBhAHMAdABlACwAIAB3AG8AbwBkACwAIABzAGwAdQBkAGcAZQAnACAAaQBuACAAbwByAGQAZQByACAAdABvACAAdQBzAGUAIAB2AG8AbAB1AG0AZQAgAHQAbwAgAG0AYQBzAHMAIABjAG8AbgB2AGUAcgBzAGkAbwBuACAAZgBhAGMAdABvAHIAIAB2AGEAbAB1AGUAcwBcACIAOwBcAG4AIAAgACAAIAAgACAAIAAgAFwAIgBBAGQAZABlAGQAIABzAHUAYgAtAGMAYQB0AGUAZwBvAHIAaQBlAHMAIABmAG8AcgAgACcAQwBvAG0AcABvAHMAdABpAG4AZwA6ACAAQQBsAGwAIABvAHIAZwBhAG4AaQBjACAAdwBhAHMAdABlACcAIABpAG4AIABvAHIAZABlAHIAIAB0AG8AIAB1AHMAZQAgAHYAbwBsAHUAbQBlACAAdABvACAAbQBhAHMAcwAgAGMAbwBuAHYAZQByAHMAaQBvAG4AIABmAGEAYwB0AG8AcgAgAHYAYQBsAHUAZQBzAFwAIgA7AFwAbgAgACAAIAAgACAAIAAgACAAXAAiAEEAZABkAGUAZAAgAHMAdQBiAC0AYwBhAHQAZQBnAG8AcgBpAGUAcwAgAGYAbwByACAAJwBBAG4AYQBlAHIAbwBiAGkAYwAgAGQAaQBnAGUAcwB0AGkAbwBuADoAIABBAGwAbAAgAG8AcgBnAGEAbgBpAGMAIAB3AGEAcwB0AGUAJwAgAGkAbgAgAG8AcgBkAGUAcgAgAHQAbwAgAHUAcwBlACAAdgBvAGwAdQBtAGUAIAB0AG8AIABtAGEAcwBzACAAYwBvAG4AdgBlAHIAcwBpAG8AbgAgAGYAYQBjAHQAbwByACAAdgBhAGwAdQBlAHM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UAGEAYgBsAGUAIABBAC4ANAAuADEALgAyADoAIABWAG8AbAB1AG0AZQAgAHQAbwAgAG0AYQBzAHMAIABjAG8AbgB2AGUAcgBzAGkAbwBuACAAZgBhAGMAdABvAHIAIABmAG8AcgAgAHYAYQByAGkAbwB1AHMAIAB3AGEAcwB0AGUAIAB0AHkAcABlAHMAIAAoAHQALwBtADMAKQAgACgAVgBUAE0AdwApAFwAbgA9AD0APQA9AD0APQA9AD0APQA9AD0APQA9AD0APQA9AD0APQA9AD0APQA9AD0APQA9AD0APQA9AD0APQA9AD0APQA9AD0APQA9AD0APQA9AD0APQA9AD0APQA9AD0APQA9AD0APQA9AD0APQA9AD0APQA9AD0APQA9AD0APQA9AD0APQA9AD0APQA9AD0APQA9AD0APQA9AFwAbgAqAC8AXABuAFwAbgBXAGEAcwB0AGUAXwBXAGEAcwB0AGUAVgBvAGwAdQBtAGUAVABvAE0AYQBzAHMAQwBvAG4AdgBlAHIAcwBpAG8AbgBfAFQAaQB0AGwAZQBcAG4APQBMAEEATQBCAEQAQQAoACgAXAAiAFYAbwBsAHUAbQBlACAAdABvACAAbQBhAHMAcwAgAGMAbwBuAHYAZQByAHMAaQBvAG4AIABmAGEAYwB0AG8AcgAgAGYAbwByACAAdgBhAHIAaQBvAHUAcwAgAHcAYQBzAHQAZQAgAHQAeQBwAGUAcwBcACIAKQApADsAXABuAFwAbgBXAGEAcwB0AGUAXwBXAGEAcwB0AGUAVgBvAGwAdQBtAGUAVABvAE0AYQBzAHMAQwBvAG4AdgBlAHIAcwBpAG8AbgBfAFYAYQByAGkAYQBiAGwAZQBcAG4APQBMAEEATQBCAEQAQQAoACgAXAAiAFYAVABNAHcAXAAiACkAKQA7AFwAbgBcAG4AVwBhAHMAdABlAF8AVwBhAHMAdABlAFYAbwBsAHUAbQBlAFQAbwBNAGEAcwBzAEMAbwBuAHYAZQByAHMAaQBvAG4AXwBVAG4AaQB0AFwAbgA9AEwAQQBNAEIARABBACgAKABcACIAdAAvAG0AMwBcACIAKQApADsAXABuAFwAbgBXAGEAcwB0AGUAXwBXAGEAcwB0AGUAVgBvAGwAdQBtAGUAVABvAE0AYQBzAHMAQwBvAG4AdgBlAHIAcwBpAG8AbgBfAFMAbwB1AHIAYwBlAFwAbgA9AEwAQQBNAEIARABBACgAKABcACIAVgBFAEUAUgBHACAAMgAwADIANgA6ACAAVABhAGIAbABlACAAQQAuADQALgAxAC4AMgBcACIAKQApADsAXABuAFwAbgBXAGEAcwB0AGUAXwBXAGEAcwB0AGUAVgBvAGwAdQBtAGUAVABvAE0AYQBzAHMAQwBvAG4AdgBlAHIAcwBpAG8AbgBfAEQAYQB0AGEAXABuAD0ATABBAE0AQgBEAEEAKABcAG4AIAAgAE0AQQBLAEUAQQBSAFIAQQBZACgAMQAyACwAIAAyACwAXABuACAAIAAgACAATABBAE0AQgBEAEEAKAByACwAYwAsAFwAbgAgACAAIAAgACAAIABJAE4ARABFAFgAKAB7AFwAbgAgACAAIAAgACAAIAAgACAAXAAiAFcAYQBzAHQAZQAgAHQAeQBwAGUAIAB3AFwAIgAsACAAXAAiAFYAVABNAHcAXAAiADsAXABuACAAIAAgACAAIAAgACAAIABcACIARgBvAG8AZAAgAHcAYQBzAHQAZQAgACgAaQBuAGMAbAB1AGQAaQBuAGcAIABhAG4AaQBtAGEAbAAgAGMAYQByAGMAYQBzAHMAZQBzACwAIABzAHAAbwBpAGwAZQBkACAAYQBuAGkAbQBhAGwAIABmAGUAZQBkACAAbwByACAAYwByAG8AcAApAFwAIgAsACAAMAAuADUAMAA7AFwAbgAgACAAIAAgACAAIAAgACAAXAAiAFAAYQBwAGUAcgAgAGEAbgBkACAAYwBhAHIAZABiAG8AYQByAGQAXAAiACwAIAAwAC4AMAA5ADsAXABuACAAIAAgACAAIAAgACAAIABcACIARwByAGUAZQBuACAAdwBhAHMAdABlACAAKABpAG4AYwBsAHUAZABpAG4AZwAgAGMAcgBvAHAAIAByAGUAcwBpAGQAdQBlAHMAIABvAHIAIABwAHIAdQBuAGkAbgBnAHMAKQBcACIALAAgADAALgAyADQAOwBcAG4AIAAgACAAIAAgACAAIAAgAFwAIgBXAG8AbwBkAFwAIgAsACAAMAAuADEANQA7AFwAbgAgACAAIAAgACAAIAAgACAAXAAiAFQAZQB4AHQAaQBsAGUAcwBcACIALAAgADAALgAxADQAOwBcAG4AIAAgACAAIAAgACAAIAAgAFwAIgBTAGwAdQBkAGcAZQBcACIALAAgADAALgA3ADIAOwBcAG4AIAAgACAAIAAgACAAIAAgAFwAIgBSAHUAYgBiAGUAcgAgAGEAbgBkACAAbABlAGEAdABoAGUAcgBcACIALAAgADAALgAxADQAOwBcAG4AIAAgACAAIAAgACAAIAAgAFwAIgBJAG4AZQByAHQAIAB3AGEAcwB0AGUAIAAoAGkAbgBjAGwAdQBkAGkAbgBnACAAYwBvAG4AYwByAGUAdABlACwAIABtAGUAdABhAGwALAAgAHAAbABhAHMAdABpAGMAIABvAHIAIABnAGwAYQBzAHMAKQBcACIALAAgADAALgA0ADIAOwBcAG4AIAAgACAAIAAgACAAIAAgAFwAIgBNAHUAbgBpAGMAaQBwAGEAbAAgAHMAbwBsAGkAZAAgAHcAYQBzAHQAZQBcACIALAAgADAALgAzADYAOwBcAG4AIAAgACAAIAAgACAAIAAgAFwAIgBDAG8AbQBtAGUAcgBjAGkAYQBsACAAYQBuAGQAIABpAG4AZAB1AHMAdAByAGkAYQBsACAAdwBhAHMAdABlAFwAIgAsACAAMAAuADMAMwA7AFwAbgAgACAAIAAgACAAIAAgACAAXAAiAEMAbwBuAHMAdAByAHUAYwB0AGkAbwBuACAAYQBuAGQAIABkAGUAbQBvAGwAaQB0AGkAbwBuACAAdwBhAHMAdABlAFwAIgAsACAAMAAuADMAOQBcAG4AIAAgACAAIAAgACAAfQAsACAAcgAsACAAYwApAFwAbgApACkAKQA7AFwAbgBcAG4AVwBhAHMAdABlAF8AVwBhAHMAdABlAFYAbwBsAHUAbQBlAFQAbwBNAGEAcwBzAEMAbwBuAHYAZQByAHMAaQBvAG4AXwBWAGEAcgBpAGEAdABpAG8AbgBcAG4APQBMAEEATQBCAEQAQQAoACgAXAAiAFYAQQBSAEkAQQBUAEkATwBOACAATwBGACAAUwBPAFUAUgBDAEUAOgAgAEMAaABhAG4AZwBlAGQAIABjAG8AbAB1AG0AbgAgAGgAZQBhAGQAZQByACAAQwBGAHcAIAB0AG8AIABWAFQATQB3ACAAdABvACAAbQBhAHQAYwBoACAAdABpAHQAbABlACAAdgBhAHIAaQBhAGIAbABlAC4AXAAiACkAKQA7AFwAbgBcAG4AXABuACIAfQAsAHsAIgBwAGEAdABoACIAOgAiAC8AcAByAG8AagBlAGMAdABzAC8AQQBnAFIAZQBzAGkAZAB1AGUAXwBFAHEAdQBhAHQAaQBvAG4AcwBfAEMAcgBvAHAAUgBlAHMAaQBkAHUAZQAiACwAIgB0AGUAeAB0ACIAOgAiAC8AKgAgAFwAbgAtAC0ALQAtAC0ALQAtAC0ALQAtAC0ALQAtAC0ALQAtAC0ALQAtAC0ALQAtAC0ALQAtAC0ALQAtAC0ALQAtAC0ALQAtAC0ALQAtAC0AXABuAFYARQBFAFIARwBfADYAXwAxAF8AMQBfADEAXwBfADEAXwBfAE4AaQB0AHIAbwB1AHMATwB4AGkAZABlAEUAbQBpAHMAcwBpAG8AbgBzAEYAcgBvAG0AQwByAG8AcABSAGUAcwBpAGQAdQBlAHMAXABuAE4AaQB0AHIAbwB1AHMAIABvAHgAaQBkAGUAIABlAG0AaQBzAHMAaQBvAG4AcwAgAGYAcgBvAG0AIAB0AGgAZQAgAHIAZQB0AHUAcgBuACAAbwBmACAAYwByAG8AcAAgAHIAZQBzAGkAZAB1AGUAcwAgAGEAYwByAG8AcwBzACAAYQBsAGwAIABjAHIAbwBwAHMAIABjACAAdABvACAAdABoAGUAIABzAG8AaQBsAFwAbgBFAFwAbgB0ACAATgAyAE8AXABuAEUAPQBcAFwAcwB1AG0AXwB7AGMAfQB7AE0AXwB7AGMAfQBcAFwAdABpAG0AZQBzACAARQBGAF8AewBOAH0AXABcAHQAaQBtAGUAcwAgAEMAXwB7AGcALABOADIATwB9AFwAXAB0AGkAbQBlAHMAIAAxADAAXgB7AC0AMwB9AH0AXABuAE0AYwAgAD0AIABtAGEAcwBzACAAbwBmACAAbgBpAHQAcgBvAGcAZQBuACAAaQBuACAAYwByAG8AcAAgAGMAIAByAGUAcwBpAGQAdQBlAHMAIAByAGUAdAB1AHIAbgBlAGQAIAB0AG8AIAB0AGgAZQAgAHMAbwBpAGwAIAAoAGsAZwAgAE4AKQBcAG4ARQBGAE4AaQAgAD0AIABlAG0AaQBzAHMAaQBvAG4AIABmAGEAYwB0AG8AcgAgAGYAbwByACAAYwByAG8AcAAgAHIAZQBzAGkAZAB1AGUAcwAgAHIAZQB0AHUAcgBuAGUAZAAgAHQAbwAgAHQAaABlACAAcwBvAGkAbAAgACgAawBnACAATgAyAE8ALQBOAC8AawBnACAATgApAFwAbgBDAGcATgAyAE8AIAA9ACAAZgBhAGMAdABvAHIAIAB0AG8AIABjAG8AbgB2AGUAcgB0ACAAZQBsAGUAbQBlAG4AdABhAGwAIABtAGEAcwBzACAAbwBmACAAbgBpAHQAcgBvAHUAcwAgAG8AeABpAGQAZQAgAHQAbwAgAG0AbwBsAGUAYwB1AGwAYQByACAAbQBhAHMAcwAgACgAZABpAG0AZQBuAHMAaQBvAG4AbABlAHMAcwApAFwAbgBjACAAPQAgAEMAcgBvAHAAIAB0AHkAcABlAFwAbgAtAC0ALQAtAC0ALQAtAC0ALQAtAC0ALQAtAC0ALQAtAC0ALQAtAC0ALQAtAC0ALQAtAC0ALQAtAC0ALQAtAC0ALQAtAC0ALQAtAC0AXABuACoALwBcAG4AXABuAFYARQBFAFIARwBfADYAXwAxAF8AMQBfADEAXwBfADEAXwBfAE4AaQB0AHIAbwB1AHMATwB4AGkAZABlAEUAbQBpAHMAcwBpAG8AbgBzAEYAcgBvAG0AQwByAG8AcABSAGUAcwBpAGQAdQBlAHMAXABuACAAIAA9AEwAQQBNAEIARABBACgAXABuACAAIAAgACAATQBfAGMALAAgAEUARgBfAE4AaQAsACAAQwBfAE4AMgBPACwAXABuACAAIAAgACAATQBfAGMAIAAqACAARQBGAF8ATgBpACAAKgAgAEMAXwBOADIATwAgACoAIAAxADAAXgAoAC0AMwApAFwAbgAgACAAKQBcAG4AOwBcAG4AXABuAFYARQBFAFIARwBfADYAXwAxAF8AMQBfADEAXwBfADEAXwBfAE4AaQB0AHIAbwB1AHMATwB4AGkAZABlAEUAbQBpAHMAcwBpAG8AbgBzAEYAcgBvAG0AQwByAG8AcABSAGUAcwBpAGQAdQBlAHMAXwBGAHUAbgBjAHQAaQBvAG4ATgBhAG0AZQBcAG4AIAAgAD0ATABBAE0AQgBEAEEAKABcACIAVgBFAEUAUgBHAF8ANgBfADEAXwAxAF8AMQBfAF8AMQBfAF8ATgBpAHQAcgBvAHUAcwBPAHgAaQBkAGUARQBtAGkAcwBzAGkAbwBuAHMARgByAG8AbQBDAHIAbwBwAFIAZQBzAGkAZAB1AGUAcwBcACIAKQA7AFwAbgBcAG4AVgBFAEUAUgBHAF8ANgBfADEAXwAxAF8AMQBfAF8AMQBfAF8ATgBpAHQAcgBvAHUAcwBPAHgAaQBkAGUARQBtAGkAcwBzAGkAbwBuAHMARgByAG8AbQBDAHIAbwBwAFIAZQBzAGkAZAB1AGUAcwBfAFQAaQB0AGwAZQBcAG4AIAAgAD0ATABBAE0AQgBEAEEAKABcACIATgBpAHQAcgBvAHUAcwAgAG8AeABpAGQAZQAgAGUAbQBpAHMAcwBpAG8AbgBzACAAZgByAG8AbQAgAHQAaABlACAAcgBlAHQAdQByAG4AIABvAGYAIABjAHIAbwBwACAAcgBlAHMAaQBkAHUAZQBzACAAYQBjAHIAbwBzAHMAIABhAGwAbAAgAGMAcgBvAHAAcwAgAGMAIAB0AG8AIAB0AGgAZQAgAHMAbwBpAGwAXAAiACkAOwBcAG4AXABuAFYARQBFAFIARwBfADYAXwAxAF8AMQBfADEAXwBfADEAXwBfAE4AaQB0AHIAbwB1AHMATwB4AGkAZABlAEUAbQBpAHMAcwBpAG8AbgBzAEYAcgBvAG0AQwByAG8AcABSAGUAcwBpAGQAdQBlAHMAXwBWAGEAcgBpAGEAYgBsAGUAXABuACAAIAA9AEwAQQBNAEIARABBACgAXAAiAEUAXAAiACkAOwBcAG4AXABuAFYARQBFAFIARwBfADYAXwAxAF8AMQBfADEAXwBfADEAXwBfAE4AaQB0AHIAbwB1AHMATwB4AGkAZABlAEUAbQBpAHMAcwBpAG8AbgBzAEYAcgBvAG0AQwByAG8AcABSAGUAcwBpAGQAdQBlAHMAXwBVAG4AaQB0AFwAbgAgACAAPQBMAEEATQBCAEQAQQAoAFwAIgB0ACAATgAyAE8AXAAiACkAOwBcAG4AXABuAFYARQBFAFIARwBfADYAXwAxAF8AMQBfADEAXwBfADEAXwBfAE4AaQB0AHIAbwB1AHMATwB4AGkAZABlAEUAbQBpAHMAcwBpAG8AbgBzAEYAcgBvAG0AQwByAG8AcABSAGUAcwBpAGQAdQBlAHMAXwBTAG8AdQByAGMAZQBcAG4AIAAgAD0ATABBAE0AQgBEAEEAKABcACIAVgBFAEUAUgBHACAAMgAwADIANgA6ACAANgAuADEALgAxAC4AMQAsACAARQBxAHUAYQB0AGkAbwBuACAAKAAxACkAXAAiACkAOwBcAG4AXABuAFYARQBFAFIARwBfADYAXwAxAF8AMQBfADEAXwBfADEAXwBfAE4AaQB0AHIAbwB1AHMATwB4AGkAZABlAEUAbQBpAHMAcwBpAG8AbgBzAEYAcgBvAG0AQwByAG8AcABSAGUAcwBpAGQAdQBlAHMAXwBOAEkAUgBSAGUAZgBlAHIAZQBuAGMAZQBcAG4AIAAgAD0ATABBAE0AQgBEAEEAKABcACIAXAAiACkAOwBcAG4AXABuAFYARQBFAFIARwBfADYAXwAxAF8AMQBfADEAXwBfADEAXwBfAE4AaQB0AHIAbwB1AHMATwB4AGkAZABlAEUAbQBpAHMAcwBpAG8AbgBzAEYAcgBvAG0AQwByAG8AcABSAGUAcwBpAGQAdQBlAHMAXwBMAGEAdABlAHgARQBxAHUAYQB0AGkAbwBuAFwAbgAgACAAPQBMAEEATQBCAEQAQQAoAFwAIgBFAD0AXABcAHMAdQBtAFwAXABuAG8AbABpAG0AaQB0AHMAXwBjAFwAXABsAGUAZgB0ACgATQBfAHsAYwB9AFwAXAB0AGkAbQBlAHMAIABFAEYAXwB7AE4AfQBcAFwAcgBpAGcAaAB0ACkAXABcAHQAaQBtAGUAcwAgAEMAXwB7AGcALABOADIATwB9AFwAXAB0AGkAbQBlAHMAIAAxADAAXgB7AC0AMwB9AFwAIgApADsAXABuAFwAbgBWAEUARQBSAEcAXwA2AF8AMQBfADEAXwAxAF8AXwAxAF8AXwBOAGkAdAByAG8AdQBzAE8AeABpAGQAZQBFAG0AaQBzAHMAaQBvAG4AcwBGAHIAbwBtAEMAcgBvAHAAUgBlAHMAaQBkAHUAZQBzAF8AQQByAGcAdQBtAGUAbgB0AHMAXABuACAAIAA9AEwAQQBNAEIARABBACgAXABuACAAIAAgACAATQBBAEsARQBBAFIAUgBBAFkAKAA1ACwAIAA0ACwAIABcAG4AIAAgACAAIAAgACAATABBAE0AQgBEAEEAKAByACwAYwAsACAAXABuACAAIAAgACAAIAAgACAAIABJAE4ARABFAFgAKAB7AFwAbgAgACAAIAAgACAAIAAgACAAIAAgAFwAIgBNAF8AYwBcACIALABcACIAbQBhAHMAcwAgAG8AZgAgAG4AaQB0AHIAbwBnAGUAbgAgAGkAbgAgAGMAcgBvAHAAIABjACAAcgBlAHMAaQBkAHUAZQBzACAAcgBlAHQAdQByAG4AZQBkACAAdABvACAAdABoAGUAIABzAG8AaQBsAFwAIgAsACAAXAAiAGsAZwAgAE4AXAAiACwAIABcACIAQwBhAGwAYwB1AGwAYQB0AGUAZAAgAGYAcgBvAG0AIAA2AC4AMQAuADEALgAxACAAKAAyACkAXAAiADsAXABuACAAIAAgACAAIAAgACAAIAAgACAAXAAiAEUARgBfAE4AaQBcACIALABcACIAZQBtAGkAcwBzAGkAbwBuACAAZgBhAGMAdABvAHIAIABmAG8AcgAgAGMAcgBvAHAAIAByAGUAcwBpAGQAdQBlAHMAIAByAGUAdAB1AHIAbgBlAGQAIAB0AG8AIAB0AGgAZQAgAHMAbwBpAGw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kAGkAbQBlAG4AcwBpAG8AbgBsAGUAcwBzAFwAIgAsACAAXAAiAEMAbwBuAHMAdABhAG4AdABcACIAOwBcAG4AIAAgACAAIAAgACAAIAAgACAAIABcACIAYwBcACIALABcACIAQwByAG8AcAAgAHQAeQBwAGUAXAAiACwAIABcACIAXAAiACwAIABcACIASQBuAHAAdQB0AFwAIgA7AFwAbgAgACAAIAAgACAAIAAgACAAIAAgAFwAIgBpAFwAIgAsAFwAIgBXAGUAdAAgAG8AcgAgAGQAcgB5ACAAYwBsAGkAbQBhAHQAZQAgAHoAbwBuAGU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gBfADEAXwAxAF8AMQBfAF8AMgBfAF8ATQBhAHMAcwBPAGYATgBpAHQAcgBvAGcAZQBuAEkAbgBDAHIAbwBwAFIAZQBzAGkAZAB1AGUAcwBcAG4ATQBhAHMAcwAgAG8AZgAgAG4AaQB0AHIAbwBnAGUAbgAgAGkAbgAgAGMAcgBvAHAAIAByAGUAcwBpAGQAdQBlAHMAIAByAGUAdAB1AHIAbgBlAGQAIAB0AG8AIAB0AGgAZQAgAHMAbwBpAGwAXABuAE0AYwBcAG4AawBnACAATgBcAG4ATQBfAHsAYwB9AD0AKABQAF8AewBjAH0AXABcAHQAaQBtAGUAcwAgAFIAXwB7AEEARwBjAH0AXABcAHQAaQBtAGUAcwAoADEALQBGAF8AewBjAH0ALQBGAEYATwBEAF8AewBjAH0AKQBcAFwAdABpAG0AZQBzACAARABNAF8AewBjAH0AXABcAHQAaQBtAGUAcwAgAE4AQwBfAHsAQQBHAGMAfQApACsAKABQAF8AewBjAH0AXABcAHQAaQBtAGUAcwAgAFIAXwB7AEEARwBjAH0AXABcAHQAaQBtAGUAcwAgAFIAXwB7AEIARwBjAH0AXABcAHQAaQBtAGUAcwAgAEQATQBfAHsAYwB9AFwAXAB0AGkAbQBlAHMAIABOAEMAXwB7AEIARwBjAH0AKQBcAG4AUABjACAAPQAgAGEAbgBuAHUAYQBsACAAcAByAG8AZAB1AGMAdABpAG8AbgAgAG8AZgAgAGMAcgBvAHAAIABjACAAKABrAGcAKQBcAG4AUgBBAEcAYwAgAD0AIAByAGUAcwBpAGQAdQBlACAAdABvACAAYwByAG8AcAAgAHIAYQB0AGkAbwAgAGYAbwByACAAYwByAG8AcAAgAGMAIAAoAGQAaQBtAGUAbgBzAGkAbwBuAGwAZQBzAHMAKQBcAG4AUgBCAEcAYwAgAD0AIABiAGUAbABvAHcAIABnAHIAbwB1AG4AZAAtAHIAZQBzAGkAZAB1AGUAIAB0AG8AIABhAGIAbwB2AGUAIABnAHIAbwB1AG4AZAAgAHIAZQBzAGkAZAB1AGUAIAByAGEAdABpAG8AIABmAG8AcgAgAGMAcgBvAHAAIABjACAAKABkAGkAbQBlAG4AcwBpAG8AbgBsAGUAcwBzACkAXABuAEYAYwAgAD0AIABmAHIAYQBjAHQAaQBvAG4AIABvAGYAIABjAHIAbwBwACAAcgBlAHMAaQBkAHUAZQAgAHQAaABhAHQAIABpAHMAIABiAHUAcgBuAHQAIABmAG8AcgAgAGMAcgBvAHAAIABjACAAKABkAGkAbQBlAG4AcwBpAG8AbgBsAGUAcwBzACkAXABuAEYARgBPAEQAYwAgAD0AIABmAHIAYQBjAHQAaQBvAG4AIABvAGYAIAB0AGgAZQAgAGMAcgBvAHAAIAByAGUAcwBpAGQAdQBlACAAdABoAGEAdAAgAGkAcwAgAHIAZQBtAG8AdgBlAGQAIABmAG8AcgAgAGMAcgBvAHAAIABjACAAKABkAGkAbQBlAG4AcwBpAG8AbgBsAGUAcwBzACkAXABuAEQATQBjACAAPQAgAGQAcgB5ACAAbQBhAHQAdABlAHIAIABjAG8AbgB0AGUAbgB0ACAAbwBmACAAYwByAG8AcAAgAGMAIAAoAGsAZwAgAGQAcgB5ACAAdwBlAGkAZwBoAHQALwBrAGcAIABjAHIAbwBwACAAcgBlAHMAaQBkAHUAZQApAFwAbgBOAEMAQQBHAGMAIAA9ACAAbgBpAHQAcgBvAGcAZQBuACAAYwBvAG4AdABlAG4AdAAgAG8AZgAgAGEAYgBvAHYAZQAtAGcAcgBvAHUAbgBkACAAYwByAG8AcAAgAHIAZQBzAGkAZAB1AGUAIABvAGYAIABjAHIAbwBwACAAYwAgACgAawBnACAATgAvAGsAZwAgAEQATQApAFwAbgBOAEMAQgBHAGMAIAA9ACAAbgBpAHQAcgBvAGcAZQBuACAAYwBvAG4AdABlAG4AdAAgAG8AZgAgAGIAZQBsAG8AdwAtAGcAcgBvAHUAbgBkACAAYwByAG8AcAAgAHIAZQBzAGkAZAB1AGUAIABvAGYAIABjAHIAbwBwACAAYwAgACgAawBnACAATgAvAGsAZwAgAEQATQApAFwAbgBjACAAPQAgAEMAcgBvAHAAIAB0AHkAcABlAFwAbgAtAC0ALQAtAC0ALQAtAC0ALQAtAC0ALQAtAC0ALQAtAC0ALQAtAC0ALQAtAC0ALQAtAC0ALQAtAC0ALQAtAC0ALQAtAC0ALQAtAC0AXABuACoALwBcAG4AXABuAFYARQBFAFIARwBfADYAXwAxAF8AMQBfADEAXwBfADIAXwBfAE0AYQBzAHMATwBmAE4AaQB0AHIAbwBnAGUAbgBJAG4AQwByAG8AcABSAGUAcwBpAGQAdQBlAHMAXABuACAAIAA9AEwAQQBNAEIARABBACgAXABuACAAIAAgACAAUABfAGMALAAgAFIAXwBBAEcAYwAsACAARgBfAGMALAAgAEYARgBPAEQAXwBjACwAIABEAE0AXwBjACwAIABOAEMAXwBBAEcAYwAsACAAUgBfAEIARwBjACwAIABOAEMAXwBCAEcAYwAsAFwAbgAgACAAIAAgACgAUABfAGMAIAAqACAAUgBfAEEARwBjACAAKgAgACgAMQAgAC0AIABGAF8AYwAgAC0AIABGAEYATwBEAF8AYwApACAAKgAgAEQATQBfAGMAIAAqACAATgBDAF8AQQBHAGMAKQAgACsAIAAoAFAAXwBjACAAKgAgAFIAXwBBAEcAYwAgACoAIABSAF8AQgBHAGMAIAAqACAARABNAF8AYwAgACoAIABOAEMAXwBCAEcAYwApAFwAbgAgACAAKQBcAG4AOwBcAG4AXABuAFYARQBFAFIARwBfADYAXwAxAF8AMQBfADEAXwBfADIAXwBfAE0AYQBzAHMATwBmAE4AaQB0AHIAbwBnAGUAbgBJAG4AQwByAG8AcABSAGUAcwBpAGQAdQBlAHMAXwBUAGkAdABsAGUAXABuACAAIAA9AEwAQQBNAEIARABBACgAXAAiAE0AYQBzAHMAIABvAGYAIABuAGkAdAByAG8AZwBlAG4AIABpAG4AIABjAHIAbwBwACAAcgBlAHMAaQBkAHUAZQBzACAAcgBlAHQAdQByAG4AZQBkACAAdABvACAAdABoAGUAIABzAG8AaQBsAFwAIgApADsAXABuAFwAbgBWAEUARQBSAEcAXwA2AF8AMQBfADEAXwAxAF8AXwAyAF8AXwBNAGEAcwBzAE8AZgBOAGkAdAByAG8AZwBlAG4ASQBuAEMAcgBvAHAAUgBlAHMAaQBkAHUAZQBzAF8AVgBhAHIAaQBhAGIAbABlAFwAbgAgACAAPQBMAEEATQBCAEQAQQAoAFwAIgBNAF8AYwBcACIAKQA7AFwAbgBcAG4AVgBFAEUAUgBHAF8ANgBfADEAXwAxAF8AMQBfAF8AMgBfAF8ATQBhAHMAcwBPAGYATgBpAHQAcgBvAGcAZQBuAEkAbgBDAHIAbwBwAFIAZQBzAGkAZAB1AGUAcwBfAFUAbgBpAHQAXABuACAAIAA9AEwAQQBNAEIARABBACgAXAAiAGsAZwAgAE4AXAAiACkAOwBcAG4AXABuAFYARQBFAFIARwBfADYAXwAxAF8AMQBfADEAXwBfADIAXwBfAE0AYQBzAHMATwBmAE4AaQB0AHIAbwBnAGUAbgBJAG4AQwByAG8AcABSAGUAcwBpAGQAdQBlAHMAXwBTAG8AdQByAGMAZQBcAG4AIAAgAD0ATABBAE0AQgBEAEEAKABcACIAVgBFAEUAUgBHACAAMgAwADIANgA6ACAANgAuADEALgAxAC4AMQAsACAARQBxAHUAYQB0AGkAbwBuACAAKAAyACkAXAAiACkAOwBcAG4AXABuAFYARQBFAFIARwBfADYAXwAxAF8AMQBfADEAXwBfADIAXwBfAE0AYQBzAHMATwBmAE4AaQB0AHIAbwBnAGUAbgBJAG4AQwByAG8AcABSAGUAcwBpAGQAdQBlAHMAXwBOAEkAUgBSAGUAZgBlAHIAZQBuAGMAZQBcAG4AIAAgAD0ATABBAE0AQgBEAEEAKABcACIAXAAiACkAOwBcAG4AXABuAFYARQBFAFIARwBfADYAXwAxAF8AMQBfADEAXwBfADIAXwBfAE0AYQBzAHMATwBmAE4AaQB0AHIAbwBnAGUAbgBJAG4AQwByAG8AcABSAGUAcwBpAGQAdQBlAHMAXwBMAGEAdABlAHgARQBxAHUAYQB0AGkAbwBuAFwAbgAgACAAPQBMAEEATQBCAEQAQQAoAFwAIgBNAF8AewBjAH0APQAoAFAAXwB7AGMAfQBcAFwAdABpAG0AZQBzACAAUgBfAHsAQQBHAGMAfQBcAFwAdABpAG0AZQBzACgAMQAtAEYAXwB7AGMAfQAtAEYARgBPAEQAXwB7AGMAfQApAFwAXAB0AGkAbQBlAHMAIABEAE0AXwB7AGMAfQBcAFwAdABpAG0AZQBzACAATgBDAF8AewBBAEcAYwB9ACkAKwAoAFAAXwB7AGMAfQBcAFwAdABpAG0AZQBzACAAUgBfAHsAQQBHAGMAfQBcAFwAdABpAG0AZQBzACAAUgBfAHsAQgBHAGMAfQBcAFwAdABpAG0AZQBzACAARABNAF8AewBjAH0AXABcAHQAaQBtAGUAcwAgAE4AQwBfAHsAQgBHAGMAfQApAFwAIgApADsAXABuAFwAbgBWAEUARQBSAEcAXwA2AF8AMQBfADEAXwAxAF8AXwAyAF8AXwBNAGEAcwBzAE8AZgBOAGkAdAByAG8AZwBlAG4ASQBuAEMAcgBvAHAAUgBlAHMAaQBkAHUAZQBzAF8AQQByAGcAdQBtAGUAbgB0AHMAXABuACAAIAA9AEwAQQBNAEIARABBACgAXABuACAAIAAgACAATQBBAEsARQBBAFIAUgBBAFkAKAAxADAALAAgADQALAAgAFwAbgAgACAAIAAgACAAIABMAEEATQBCAEQAQQAoAHIALABjACwAIABcAG4AIAAgACAAIAAgACAAIAAgAEkATgBEAEUAWAAoAHsAXABuACAAIAAgACAAIAAgACAAIAAgACAAXAAiAFAAXwBjAFwAIgAsAFwAIgBhAG4AbgB1AGEAbAAgAHAAcgBvAGQAdQBjAHQAaQBvAG4AIABvAGYAIABjAHIAbwBwACAAYwBcACIALAAgAFwAIgBrAGcAXAAiACwAIABcACIASQBuAHAAdQB0AFwAIgA7AFwAbgAgACAAIAAgACAAIAAgACAAIAAgAFwAIgBSAF8AQQBHAGMAXAAiACwAXAAiAHIAZQBzAGkAZAB1AGUAIAB0AG8AIABjAHIAbwBwACAAcgBhAHQAaQBvACAAZgBvAHIAIABjAHIAbwBwACAAYwBcACIALAAgAFwAIgBcACIALAAgAFwAIgBDAG8AbgBzAHQAYQBuAHQAXAAiADsAXABuACAAIAAgACAAIAAgACAAIAAgACAAXAAiAFIAXwBCAEcAYwBcACIALABcACIAYgBlAGwAbwB3ACAAZwByAG8AdQBuAGQALQByAGUAcwBpAGQAdQBlACAAdABvACAAYQBiAG8AdgBlACAAZwByAG8AdQBuAGQAIAByAGUAcwBpAGQAdQBlACAAcgBhAHQAaQBvACAAZgBvAHIAIABjAHIAbwBwACAAYwBcACIALAAgAFwAIgBcACIALAAgAFwAIgBDAG8AbgBzAHQAYQBuAHQAXAAiADsAXABuACAAIAAgACAAIAAgACAAIAAgACAAXAAiAEYAXwBjAFwAIgAsAFwAIgBmAHIAYQBjAHQAaQBvAG4AIABvAGYAIABjAHIAbwBwACAAcgBlAHMAaQBkAHUAZQAgAHQAaABhAHQAIABpAHMAIABiAHUAcgBuAHQAIABmAG8AcgAgAGMAcgBvAHAAIABjAFwAIgAsACAAXAAiAGYAcgBhAGMAdABpAG8AbgBcACIALAAgAFwAIgBJAG4AcAB1AHQAXAAiADsAXABuACAAIAAgACAAIAAgACAAIAAgACAAXAAiAEYARgBPAEQAXwBjAFwAIgAsAFwAIgBmAHIAYQBjAHQAaQBvAG4AIABvAGYAIAB0AGgAZQAgAGMAcgBvAHAAIAByAGUAcwBpAGQAdQBlACAAdABoAGEAdAAgAGkAcwAgAHIAZQBtAG8AdgBlAGQAIABmAG8AcgAgAGMAcgBvAHAAIABjAFwAIgAsACAAXAAiAGYAcgBhAGMAdABpAG8AbgBcACIALAAgAFwAIgBDAG8AbgBzAHQAYQBuAHQAXAAiADsAXABuACAAIAAgACAAIAAgACAAIAAgACAAXAAiAEQATQBfAGMAXAAiACwAXAAiAGQAcgB5ACAAbQBhAHQAdABlAHIAIABjAG8AbgB0AGUAbgB0ACAAbwBmACAAYwByAG8AcAAgAGMAXAAiACwAIABcACIAawBnACAAZAByAHkAIAB3AGUAaQBnAGgAdAAvAGsAZwAgAGMAcgBvAHAAIAByAGUAcwBpAGQAdQBlAFwAIgAsACAAXAAiAEMAbwBuAHMAdABhAG4AdABcACIAOwBcAG4AIAAgACAAIAAgACAAIAAgACAAIABcACIATgBDAF8AQQBHAGMAXAAiACwAXAAiAG4AaQB0AHIAbwBnAGUAbgAgAGMAbwBuAHQAZQBuAHQAIABvAGYAIABhAGIAbwB2AGUALQBnAHIAbwB1AG4AZAAgAGMAcgBvAHAAIAByAGUAcwBpAGQAdQBlACAAbwBmACAAYwByAG8AcAAgAGMAXAAiACwAIABcACIAawBnACAATgAvAGsAZwAgAEQATQBcACIALAAgAFwAIgBDAG8AbgBzAHQAYQBuAHQAXAAiADsAXABuACAAIAAgACAAIAAgACAAIAAgACAAXAAiAE4AQwBfAEIARwBjAFwAIgAsAFwAIgBuAGkAdAByAG8AZwBlAG4AIABjAG8AbgB0AGUAbgB0ACAAbwBmACAAYgBlAGwAbwB3AC0AZwByAG8AdQBuAGQAIABjAHIAbwBwACAAcgBlAHMAaQBkAHUAZQAgAG8AZgAgAGMAcgBvAHAAIABjAFwAIgAsACAAXAAiAGsAZwAgAE4ALwBrAGcAIABEAE0AXAAiACwAIABcACIAQwBvAG4AcwB0AGEAbgB0AFwAIgA7AFwAbgAgACAAIAAgACAAIAAgACAAIAAgAFwAIgBjAFwAIgAsAFwAIgBDAHIAbwBwACAAdAB5AHAAZQBcACIALAAgAFwAIgBcACIALAAgAFwAIgBJAG4AcAB1AHQAXAAiADsAXABuACAAIAAgACAAIAAgACAAIAAgACAAXAAiAFMAdABhAHQAZQBcACIALABcACIAUwB0AGEAdABlACAAbwByACAAdABlAHIAcgBpAHQAbwByAHkAXAAiACwAIABcACIAXAAiACwAIABcACIASQBuAHAAdQB0AFwAIgBcAG4AIAAgACAAIAAgACAAIAAgAH0ALAAgAHIALAAgAGMAKQBcAG4AIAAgACAAIAAgACAAKQBcAG4AIAAgACAAIAApAFwAbgAgACAAKQA7AFwAbgBcAG4AVgBFAEUAUgBHAF8ANgBfADEAXwAxAF8AMQBfAF8AMgBfAF8ATQBhAHMAcwBPAGYATgBpAHQAcgBvAGcAZQBuAEkAbgBDAHIAbwBwAFIAZQBzAGkAZAB1AGUAcwBfAEEAcgBnAHUAbQBlAG4AdABzAF8ATQBlAHQAaABvAGQAMgBcAG4AIAAgAD0ATABBAE0AQgBEAEEAKABcAG4AIAAgACAAIABNAEEASwBFAEEAUgBSAEEAWQAoADEAMAAsACAANAAsACAAXABuACAAIAAgACAAIAAgAEwAQQBNAEIARABBACgAcgAsAGMALAAgAFwAbgAgACAAIAAgACAAIAAgACAASQBOAEQARQBYACgAewBcAG4AIAAgACAAIAAgACAAIAAgACAAIABcACIAUABfAGMAXAAiACwAXAAiAGEAbgBuAHUAYQBsACAAcAByAG8AZAB1AGMAdABpAG8AbgAgAG8AZgAgAGMAcgBvAHAAIABjAFwAIgAsACAAXAAiAGsAZwBcACIALAAgAFwAIgBJAG4AcAB1AHQAXAAiADsAXABuACAAIAAgACAAIAAgACAAIAAgACAAXAAiAFIAXwBBAEcAYwBcACIALABcACIAcgBlAHMAaQBkAHUAZQAgAHQAbwAgAGMAcgBvAHAAIAByAGEAdABpAG8AIABmAG8AcgAgAGMAcgBvAHAAIABjAFwAIgAsACAAXAAiAFwAIgAsACAAXAAiAEMAbwBuAHMAdABhAG4AdABcACIAOwBcAG4AIAAgACAAIAAgACAAIAAgACAAIABcACIAUgBfAEIARwBjAFwAIgAsAFwAIgBiAGUAbABvAHcAIABnAHIAbwB1AG4AZAAtAHIAZQBzAGkAZAB1AGUAIAB0AG8AIABhAGIAbwB2AGUAIABnAHIAbwB1AG4AZAAgAHIAZQBzAGkAZAB1AGUAIAByAGEAdABpAG8AIABmAG8AcgAgAGMAcgBvAHAAIABjAFwAIgAsACAAXAAiAFwAIgAsACAAXAAiAEMAbwBuAHMAdABhAG4AdABcACIAOwBcAG4AIAAgACAAIAAgACAAIAAgACAAIABcACIARgBfAGMAXAAiACwAXAAiAGYAcgBhAGMAdABpAG8AbgAgAG8AZgAgAGMAcgBvAHAAIAByAGUAcwBpAGQAdQBlACAAdABoAGEAdAAgAGkAcwAgAGIAdQByAG4AdAAgAGYAbwByACAAYwByAG8AcAAgAGMAXAAiACwAIABcACIAZgByAGEAYwB0AGkAbwBuAFwAIgAsACAAXAAiAEkAbgBwAHUAdABcACIAOwBcAG4AIAAgACAAIAAgACAAIAAgACAAIABcACIARgBGAE8ARABfAGMAXAAiACwAXAAiAGYAcgBhAGMAdABpAG8AbgAgAG8AZgAgAHQAaABlACAAYwByAG8AcAAgAHIAZQBzAGkAZAB1AGUAIAB0AGgAYQB0ACAAaQBzACAAcgBlAG0AbwB2AGUAZAAgAGYAbwByACAAYwByAG8AcAAgAGMAXAAiACwAIABcACIAZgByAGEAYwB0AGkAbwBuAFwAIgAsACAAXAAiAEMAYQBsAGMAdQBsAGEAdABlAGQAIABmAHIAbwBtACAANgAuADEALgAxAC4AMgAgACgAMQApAFwAIgA7AFwAbgAgACAAIAAgACAAIAAgACAAIAAgAFwAIgBEAE0AXwBjAFwAIgAsAFwAIgBkAHIAeQAgAG0AYQB0AHQAZQByACAAYwBvAG4AdABlAG4AdAAgAG8AZgAgAGMAcgBvAHAAIABjAFwAIgAsACAAXAAiAGsAZwAgAGQAcgB5ACAAdwBlAGkAZwBoAHQALwBrAGcAIABjAHIAbwBwACAAcgBlAHMAaQBkAHUAZQBcACIALAAgAFwAIgBDAG8AbgBzAHQAYQBuAHQAXAAiADsAXABuACAAIAAgACAAIAAgACAAIAAgACAAXAAiAE4AQwBfAEEARwBjAFwAIgAsAFwAIgBuAGkAdAByAG8AZwBlAG4AIABjAG8AbgB0AGUAbgB0ACAAbwBmACAAYQBiAG8AdgBlAC0AZwByAG8AdQBuAGQAIABjAHIAbwBwACAAcgBlAHMAaQBkAHUAZQAgAG8AZgAgAGMAcgBvAHAAIABjAFwAIgAsACAAXAAiAGsAZwAgAE4ALwBrAGcAIABEAE0AXAAiACwAIABcACIAQwBvAG4AcwB0AGEAbgB0AFwAIgA7AFwAbgAgACAAIAAgACAAIAAgACAAIAAgAFwAIgBOAEMAXwBCAEcAYwBcACIALABcACIAbgBpAHQAcgBvAGcAZQBuACAAYwBvAG4AdABlAG4AdAAgAG8AZgAgAGIAZQBsAG8AdwAtAGcAcgBvAHUAbgBkACAAYwByAG8AcAAgAHIAZQBzAGkAZAB1AGUAIABvAGYAIABjAHIAbwBwACAAYwBcACIALAAgAFwAIgBrAGcAIABOAC8AawBnACAARABNAFwAIgAsACAAXAAiAEMAbwBuAHMAdABhAG4AdABcACIAOwBcAG4AIAAgACAAIAAgACAAIAAgACAAIABcACIAYwBcACIALABcACIAQwByAG8AcAAgAHQAeQBwAGUAXAAiACwAIABcACIAXAAiACwAIABcACIASQBuAHAAdQB0AFwAIgA7AFwAbgAgACAAIAAgACAAIAAgACAAIAAgAFwAIgBTAHQAYQB0AGUAXAAiACwAXAAiAFMAdABhAHQAZQAgAG8AcgAgAHQAZQByAHIAaQB0AG8AcgB5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YAXwAxAF8AMQBfADIAXwBfADEAXwBfAEYAcgBhAGMAdABpAG8AbgBPAGYAQwByAG8AcABSAGUAcwBpAGQAdQBlAFIAZQBtAG8AdgBlAGQAQgBhAGwAZQBkAFwAbgBGAHIAYQBjAHQAaQBvAG4AIABvAGYAIABjAHIAbwBwACAAcgBlAHMAaQBkAHUAZQAgAHQAaABhAHQAIABpAHMAIAByAGUAbQBvAHYAZQBkACAAZgBvAHIAIABjAHIAbwBwACAAYwAsACAAYwBhAGwAYwB1AGwAYQB0AGUAZAAgAHcAaABlAHIAZQAgAHIAZQBzAGkAZAB1AGUAcwAgAGEAcgBlACAAYgBhAGwAZQBkAFwAbgBGAEYATwBEAGMAXABuAGQAaQBtAGUAbgBzAGkAbwBuAGwAZQBzAHMAXABuAEYARgBPAEQAXwB7AGMAfQA9AFwAXABmAHIAYQBjAHsAQgBcAFwAdABpAG0AZQBzACAATQBfAHsAQgB9AH0AewBQAF8AewBjAH0AXABcAHQAaQBtAGUAcwAgAFIAXwB7AEEARwAsAGMAfQB9AFwAbgBCACAAPQAgAG4AdQBtAGIAZQByACAAbwBmACAAYgBhAGwAZQBzACAAZwBlAG4AZQByAGEAdABlAGQAIAAoAG4AdQBtAGIAZQByACkAXABuAE0AQgAgAD0AIABtAGEAcwBzACAAbwBmACAAZQBhAGMAaAAgAGIAYQBsAGUAIAAoAGsAZwApAFwAbgBQAGMAIAA9ACAAYQBuAG4AdQBhAGwAIABwAHIAbwBkAHUAYwB0AGkAbwBuACAAbwBmACAAYwByAG8AcAAgAGMAIAAoAGsAZwApAFwAbgBSAEEARwBjACAAPQAgAHIAZQBzAGkAZAB1AGUAIAB0AG8AIABjAHIAbwBwACAAcgBhAHQAaQBvACAAZgBvAHIAIABjAHIAbwBwACAAYwAgACgAZgByAGEAYwB0AGkAbwBuACkAXABuAGMAIAA9ACAAQwByAG8AcAAgAHQAeQBwAGUAXABuAC0ALQAtAC0ALQAtAC0ALQAtAC0ALQAtAC0ALQAtAC0ALQAtAC0ALQAtAC0ALQAtAC0ALQAtAC0ALQAtAC0ALQAtAC0ALQAtAC0ALQBcAG4AKgAvAFwAbgBcAG4AVgBFAEUAUgBHAF8ANgBfADEAXwAxAF8AMgBfAF8AMQBfAF8ARgByAGEAYwB0AGkAbwBuAE8AZgBDAHIAbwBwAFIAZQBzAGkAZAB1AGUAUgBlAG0AbwB2AGUAZABCAGEAbABlAGQAXABuACAAIAA9AEwAQQBNAEIARABBACgAXABuACAAIAAgACAAQgAsACAATQBfAEIALAAgAFAAXwBjACwAIABSAF8AQQBHAGMALABcAG4AIAAgACAAIABJAEYARQBSAFIATwBSACgAKABCACAAKgAgAE0AXwBCACkAIAAvACAAKABQAF8AYwAgACoAIABSAF8AQQBHAGMAKQAsACAAMAApAFwAbgAgACAAKQBcAG4AOwBcAG4AXABuAFYARQBFAFIARwBfADYAXwAxAF8AMQBfADIAXwBfADEAXwBfAEYAcgBhAGMAdABpAG8AbgBPAGYAQwByAG8AcABSAGUAcwBpAGQAdQBlAFIAZQBtAG8AdgBlAGQAQgBhAGwAZQBkAF8AVABpAHQAbABlAFwAbgAgACAAPQBMAEEATQBCAEQAQQAoAFwAIgBGAHIAYQBjAHQAaQBvAG4AIABvAGYAIABjAHIAbwBwACAAcgBlAHMAaQBkAHUAZQAgAHQAaABhAHQAIABpAHMAIAByAGUAbQBvAHYAZQBkACAAZgBvAHIAIABjAHIAbwBwACAAYwAsACAAYwBhAGwAYwB1AGwAYQB0AGUAZAAgAHcAaABlAHIAZQAgAHIAZQBzAGkAZAB1AGUAcwAgAGEAcgBlACAAYgBhAGwAZQBkAFwAIgApADsAXABuAFwAbgBWAEUARQBSAEcAXwA2AF8AMQBfADEAXwAyAF8AXwAxAF8AXwBGAHIAYQBjAHQAaQBvAG4ATwBmAEMAcgBvAHAAUgBlAHMAaQBkAHUAZQBSAGUAbQBvAHYAZQBkAEIAYQBsAGUAZABfAFYAYQByAGkAYQBiAGwAZQBcAG4AIAAgAD0ATABBAE0AQgBEAEEAKABcACIARgBGAE8ARABfAGMAXAAiACkAOwBcAG4AXABuAFYARQBFAFIARwBfADYAXwAxAF8AMQBfADIAXwBfADEAXwBfAEYAcgBhAGMAdABpAG8AbgBPAGYAQwByAG8AcABSAGUAcwBpAGQAdQBlAFIAZQBtAG8AdgBlAGQAQgBhAGwAZQBkAF8AVQBuAGkAdABcAG4AIAAgAD0ATABBAE0AQgBEAEEAKABcACIAZgByAGEAYwB0AGkAbwBuAFwAIgApADsAXABuAFwAbgBWAEUARQBSAEcAXwA2AF8AMQBfADEAXwAyAF8AXwAxAF8AXwBGAHIAYQBjAHQAaQBvAG4ATwBmAEMAcgBvAHAAUgBlAHMAaQBkAHUAZQBSAGUAbQBvAHYAZQBkAEIAYQBsAGUAZABfAFMAbwB1AHIAYwBlAFwAbgAgACAAPQBMAEEATQBCAEQAQQAoAFwAIgBWAEUARQBSAEcAIAAyADAAMgA2ADoAIAA2AC4AMQAuADEALgAyACwAIABFAHEAdQBhAHQAaQBvAG4AIAAoADEAKQBcACIAKQA7AFwAbgBcAG4AVgBFAEUAUgBHAF8ANgBfADEAXwAxAF8AMgBfAF8AMQBfAF8ARgByAGEAYwB0AGkAbwBuAE8AZgBDAHIAbwBwAFIAZQBzAGkAZAB1AGUAUgBlAG0AbwB2AGUAZABCAGEAbABlAGQAXwBOAEkAUgBSAGUAZgBlAHIAZQBuAGMAZQBcAG4AIAAgAD0ATABBAE0AQgBEAEEAKABcACIAXAAiACkAOwBcAG4AXABuAFYARQBFAFIARwBfADYAXwAxAF8AMQBfADIAXwBfADEAXwBfAEYAcgBhAGMAdABpAG8AbgBPAGYAQwByAG8AcABSAGUAcwBpAGQAdQBlAFIAZQBtAG8AdgBlAGQAQgBhAGwAZQBkAF8ATABhAHQAZQB4AEUAcQB1AGEAdABpAG8AbgBcAG4AIAAgAD0ATABBAE0AQgBEAEEAKABcACIARgBGAE8ARABfAHsAYwB9AD0AXABcAGYAcgBhAGMAewBCAFwAXAB0AGkAbQBlAHMAIABNAF8AewBCAH0AfQB7AFAAXwB7AGMAfQBcAFwAdABpAG0AZQBzACAAUgBfAHsAQQBHACwAYwB9AH0AXAAiACkAOwBcAG4AXABuAFYARQBFAFIARwBfADYAXwAxAF8AMQBfADIAXwBfADEAXwBfAEYAcgBhAGMAdABpAG8AbgBPAGYAQwByAG8AcABSAGUAcwBpAGQAdQBlAFIAZQBtAG8AdgBlAGQAQgBhAGwAZQBkAF8AQQByAGcAdQBtAGUAbgB0AHMAXABuACAAIAA9AEwAQQBNAEIARABBACgAXABuACAAIAAgACAATQBBAEsARQBBAFIAUgBBAFkAKAA1ACwAIAA0ACwAIABcAG4AIAAgACAAIAAgACAATABBAE0AQgBEAEEAKAByACwAYwAsACAAXABuACAAIAAgACAAIAAgACAAIABJAE4ARABFAFgAKAB7AFwAbgAgACAAIAAgACAAIAAgACAAIAAgAFwAIgBCAFwAIgAsAFwAIgBuAHUAbQBiAGUAcgAgAG8AZgAgAGIAYQBsAGUAcwAgAGcAZQBuAGUAcgBhAHQAZQBkAFwAIgAsACAAXAAiAFwAIgAsACAAXAAiAEkAbgBwAHUAdABcACIAOwBcAG4AIAAgACAAIAAgACAAIAAgACAAIABcACIATQBfAEIAXAAiACwAXAAiAG0AYQBzAHMAIABvAGYAIABlAGEAYwBoACAAYgBhAGwAZQBcACIALAAgAFwAIgBrAGcAXAAiACwAIABcACIASQBuAHAAdQB0AFwAIgA7AFwAbgAgACAAIAAgACAAIAAgACAAIAAgAFwAIgBQAF8AYwBcACIALABcACIAYQBuAG4AdQBhAGwAIABwAHIAbwBkAHUAYwB0AGkAbwBuACAAbwBmACAAYwByAG8AcAAgAGMAXAAiACwAIABcACIAawBnAFwAIgAsACAAXAAiAEkAbgBwAHUAdABcACIAOwBcAG4AIAAgACAAIAAgACAAIAAgACAAIABcACIAUgBfAEEARwBjAFwAIgAsAFwAIgByAGUAcwBpAGQAdQBlACAAdABvACAAYwByAG8AcAAgAHIAYQB0AGkAbwAgAGYAbwByACAAYwByAG8AcAAgAGMAXAAiACwAIABcACIAXAAiACwAIABcACIAQwBvAG4AcwB0AGEAbgB0AFwAIgA7AFwAbgAgACAAIAAgACAAIAAgACAAIAAgAFwAIgBjAFwAIgAsAFwAIgBDAHIAbwBwACAAdAB5AHAAZQBcACIALAAgAFwAIgBcACIALAAgAFwAIgBJAG4AcAB1AHQAXAAiAFwAbgAgACAAIAAgACAAIAAgACAAfQAsACAAcgAsACAAYwApAFwAbgAgACAAIAAgACAAIAApAFwAbgAgACAAIAAgACkAXABuACAAIAApADsAXABuAFwAbgBWAEUARQBSAEcAXwA2AF8AMQBfADEAXwAyAF8AXwAxAF8AXwBGAHIAYQBjAHQAaQBvAG4ATwBmAEMAcgBvAHAAUgBlAHMAaQBkAHUAZQBSAGUAbQBvAHYAZQBkAEIAYQBsAGUAZABfAFYAYQByAGkAYQB0AGkAbwBuAFwAbgAgACAAPQBMAEEATQBCAEQAQQAoAFwAIgBcACIAKQA7AFwAbgBcAG4AXABuAFwAbgAvACoAIABcAG4ALQAtAC0ALQAtAC0ALQAtAC0ALQAtAC0ALQAtAC0ALQAtAC0ALQAtAC0ALQAtAC0ALQAtAC0ALQAtAC0ALQAtAC0ALQAtAC0ALQAtAFwAbgBWAEUARQBSAEcAXwA2AF8AMQBfADEAXwAyAF8AXwAxAGEAXwBfAEYAcgBhAGMAdABpAG8AbgBPAGYAQwByAG8AcABSAGUAcwBpAGQAdQBlAFIAZQBtAG8AdgBlAGQAXABuAEYAcgBhAGMAdABpAG8AbgAgAG8AZgAgAGMAcgBvAHAAIAByAGUAcwBpAGQAdQBlACAAdABoAGEAdAAgAGkAcwAgAHIAZQBtAG8AdgBlAGQAIABmAG8AcgAgAGMAcgBvAHAAIABjAFwAbgBGAEYATwBEAGMAXABuAGQAaQBtAGUAbgBzAGkAbwBuAGwAZQBzAHMAXABuAFwAbgAtAC0ALQAtAC0ALQAtAC0ALQAtAC0ALQAtAC0ALQAtAC0ALQAtAC0ALQAtAC0ALQAtAC0ALQAtAC0ALQAtAC0ALQAtAC0ALQAtAC0AXABuACoALwBcAG4AXABuAC8AKgBcAG4AVgBFAEUAUgBHAF8ANgBfADEAXwAxAF8AMgBfAF8AMQBhAF8AXwBGAHIAYQBjAHQAaQBvAG4ATwBmAEMAcgBvAHAAUgBlAHMAaQBkAHUAZQBSAGUAbQBvAHYAZQBkAFwAbgAgACAAPQBMAEEATQBCAEQAQQAoAFwAbgAgACAAIAAgAEYARgBPAEQAXwBjAGIAYQBsAGUAZAAsACAARgBGAE8ARABfAGMAbwB0AGgAZQByACwAXABuACAAIAAgACAARgBGAE8ARABfAGMAYgBhAGwAZQBkACAAKwAgAEYARgBPAEQAXwBjAG8AdABoAGUAcgBcAG4AIAAgACkAXABuADsAXABuAFwAbgBWAEUARQBSAEcAXwA2AF8AMQBfADEAXwAyAF8AXwAxAGEAXwBfAEYAcgBhAGMAdABpAG8AbgBPAGYAQwByAG8AcABSAGUAcwBpAGQAdQBlAFIAZQBtAG8AdgBlAGQAXwBUAGkAdABsAGUAXABuACAAIAA9AEwAQQBNAEIARABBACgAXAAiAEYAcgBhAGMAdABpAG8AbgAgAG8AZgAgAGMAcgBvAHAAIAByAGUAcwBpAGQAdQBlACAAdABoAGEAdAAgAGkAcwAgAHIAZQBtAG8AdgBlAGQAIABmAG8AcgAgAGMAcgBvAHAAIABjAFwAIgApADsAXABuAFwAbgBWAEUARQBSAEcAXwA2AF8AMQBfADEAXwAyAF8AXwAxAGEAXwBfAEYAcgBhAGMAdABpAG8AbgBPAGYAQwByAG8AcABSAGUAcwBpAGQAdQBlAFIAZQBtAG8AdgBlAGQAXwBWAGEAcgBpAGEAYgBsAGUAXABuACAAIAA9AEwAQQBNAEIARABBACgAXAAiAEYARgBPAEQAXwBjAFwAIgApADsAXABuAFwAbgBWAEUARQBSAEcAXwA2AF8AMQBfADEAXwAyAF8AXwAxAGEAXwBfAEYAcgBhAGMAdABpAG8AbgBPAGYAQwByAG8AcABSAGUAcwBpAGQAdQBlAFIAZQBtAG8AdgBlAGQAXwBVAG4AaQB0AFwAbgAgACAAPQBMAEEATQBCAEQAQQAoAFwAIgBkAGkAbQBlAG4AcwBpAG8AbgBsAGUAcwBzAFwAIgApADsAXABuAFwAbgBWAEUARQBSAEcAXwA2AF8AMQBfADEAXwAyAF8AXwAxAGEAXwBfAEYAcgBhAGMAdABpAG8AbgBPAGYAQwByAG8AcABSAGUAcwBpAGQAdQBlAFIAZQBtAG8AdgBlAGQAXwBTAG8AdQByAGMAZQBcAG4AIAAgAD0ATABBAE0AQgBEAEEAKABcACIAXAAiACkAOwBcAG4AXABuAFYARQBFAFIARwBfADYAXwAxAF8AMQBfADIAXwBfADEAYQBfAF8ARgByAGEAYwB0AGkAbwBuAE8AZgBDAHIAbwBwAFIAZQBzAGkAZAB1AGUAUgBlAG0AbwB2AGUAZABfAE4ASQBSAFIAZQBmAGUAcgBlAG4AYwBlAFwAbgAgACAAPQBMAEEATQBCAEQAQQAoAFwAIgBcACIAKQA7AFwAbgBcAG4AVgBFAEUAUgBHAF8ANgBfADEAXwAxAF8AMgBfAF8AMQBhAF8AXwBGAHIAYQBjAHQAaQBvAG4ATwBmAEMAcgBvAHAAUgBlAHMAaQBkAHUAZQBSAGUAbQBvAHYAZQBkAF8ATABhAHQAZQB4AEUAcQB1AGEAdABpAG8AbgBcAG4AIAAgAD0ATABBAE0AQgBEAEEAKABcACIARgBGAE8ARABfAHsAYwB9ACAAPQAgAEYARgBPAEQAXwB7AGMALABiAGEAbABlAGQAfQAgACsAIABGAEYATwBEAF8AewBjACwAbwB0AGgAZQByAH0AXAAiACkAOwBcAG4AXABuAFYARQBFAFIARwBfADYAXwAxAF8AMQBfADIAXwBfADEAYQBfAF8ARgByAGEAYwB0AGkAbwBuAE8AZgBDAHIAbwBwAFIAZQBzAGkAZAB1AGUAUgBlAG0AbwB2AGUAZABfAEEAcgBnAHUAbQBlAG4AdABzAFwAbgAgACAAPQBMAEEATQBCAEQAQQAoAFwAbgAgACAAIAAgAE0AQQBLAEUAQQBSAFIAQQBZACgAMgAsACAANAAsACAAXABuACAAIAAgACAAIAAgAEwAQQBNAEIARABBACgAcgAsAGMALAAgAFwAbgAgACAAIAAgACAAIAAgACAASQBOAEQARQBYACgAewBcAG4AIAAgACAAIAAgACAAIAAgACAAIABcACIARgBGAE8ARABfAGMAYgBhAGwAZQBkAFwAIgAsAFwAIgBGAHIAYQBjAHQAaQBvAG4AIABvAGYAIABjAHIAbwBwACAAcgBlAHMAaQBkAHUAZQAgAHQAaABhAHQAIABpAHMAIAByAGUAbQBvAHYAZQBkACAAZgBvAHIAIABjAHIAbwBwACAAYwAsACAAYwBhAGwAYwB1AGwAYQB0AGUAZAAgAHcAaABlAHIAZQAgAHIAZQBzAGkAZAB1AGUAcwAgAGEAcgBlACAAYgBhAGwAZQBkAFwAIgAsACAAXAAiAGYAcgBhAGMAdABpAG8AbgBcACIALAAgAFwAIgBDAGEAbABjAHUAbABhAHQAZQBkACAAZgByAG8AbQAgADYALgAxAC4AMQAuADIALAAgACgAMQApAFwAIgA7AFwAbgAgACAAIAAgACAAIAAgACAAIAAgAFwAIgBGAEYATwBEAF8AYwBvAHQAaABlAHIAXAAiACwAXAAiAEYAcgBhAGMAdABpAG8AbgAgAG8AZgAgAGMAcgBvAHAAIAByAGUAcwBpAGQAdQBlACAAdABoAGEAdAAgAGkAcwAgAHIAZQBtAG8AdgBlAGQAIABmAG8AcgAgAGMAcgBvAHAAIABjACwAIABjAGEAbABjAHUAbABhAHQAZQBkACAAdwBoAGUAcgBlACAAcgBlAHMAaQBkAHUAZQBzACAAYQByAGUAIAByAGUAbQBvAHYAZQBkACAAYgB5ACAAbwB0AGgAZQByACAAbQBlAGEAbgBzAFwAIgAsACAAXAAiAGYAcgBhAGMAdABpAG8AbgBcACIALAAgAFwAIgBJAG4AcAB1AHQAXAAiAFwAbgAgACAAIAAgACAAIAAgACAAfQAsACAAcgAsACAAYwApAFwAbgAgACAAIAAgACAAIAApAFwAbgAgACAAIAAgACkAXABuACAAIAApADsAXABuAFwAbgBWAEUARQBSAEcAXwA2AF8AMQBfADEAXwAyAF8AXwAxAGEAXwBfAEYAcgBhAGMAdABpAG8AbgBPAGYAQwByAG8AcABSAGUAcwBpAGQAdQBlAFIAZQBtAG8AdgBlAGQAXwBWAGEAcgBpAGEAdABpAG8AbgBcAG4AIAAgAD0ATABBAE0AQgBEAEEAKABcACIAVgBBAFIASQBBAFQASQBPAE4AIABGAFIATwBNACAAUwBPAFUAUgBDAEUAOgAgAEEAZABkAGUAZAAgAHQAaABpAHMAIABlAHEAdQBhAHQAaQBvAG4AIAB0AG8AIABhAGMAYwBvAG0AbQBvAGQAYQB0AGUAIAB1AHMAZQByAC0AZABlAGYAaQBuAGUAZAAgAHIAZQBzAGkAZAB1AGUAIAByAGUAbQBvAHYAYQBsACAAbwB0AGgAZQByACAAdABoAGEAbgAgAGIAYQBsAGkAbgBnAC4AXAAiACkAOwBcAG4AIAAgACoALwAiAH0ALAB7ACIAcABhAHQAaAAiADoAIgAvAHAAcgBvAGoAZQBjAHQAcwAvAEEAZwBSAGUAcwBpAGQAdQBlAF8ARQBxAHUAYQB0AGkAbwBuAHMAXwBQAGEAcwB0AHUAcgBlAFIAZQBzAGkAZAB1AGUAIgAsACIAdABlAHgAdAAiADoAIgAvACoAIABcAG4ALQAtAC0ALQAtAC0ALQAtAC0ALQAtAC0ALQAtAC0ALQAtAC0ALQAtAC0ALQAtAC0ALQAtAC0ALQAtAC0ALQAtAC0ALQAtAC0ALQAtAFwAbgBWAEUARQBSAEcAXwA2AF8AMgBfADEAXwAxAF8AXwAxAF8AXwBOAGkAdAByAG8AdQBzAE8AeABpAGQAZQBFAG0AaQBzAHMAaQBvAG4AcwBGAHIAbwBtAFAAYQBzAHQAdQByAGUAUgBlAHMAaQBkAHUAZQBzAFwAbgBOAGkAdAByAG8AdQBzACAAbwB4AGkAZABlACAAZQBtAGkAcwBzAGkAbwBuAHMAIABmAHIAbwBtACAAdABoAGUAIAByAGUAdAB1AHIAbgAgAG8AZgAgAHAAYQBzAHQAdQByAGUAIAByAGUAcwBpAGQAdQBlAHMAIABmAHIAbwBtACAAYQBsAGwAIABwAGEAcwB0AHUAcgBlACAAdAB5AHAAZQBzACAAdABvACAAdABoAGUAIABzAG8AaQBsAFwAbgBFAE4AMgBPAFwAbgB0ACAATgAyAE8AXABuAEUAXwB7AE4AMgBPAH0APQBcAFwAcwB1AG0AXwB7AHAAfQBcAFwAbABlAGYAdAAoAE0AXwBwAFwAXAB0AGkAbQBlAHMAIABFAEYAXwB7AE4AaQB9AFwAXAB0AGkAbQBlAHMAIABDAF8AewBOADIATwB9AFwAXAB0AGkAbQBlAHMAewAxADAAfQBeAHsALQAzAH0AXABcAHIAaQBnAGgAdAApAFwAbgBNAHAAIAA9ACAAbQBhAHMAcwAgAG8AZgAgAG4AaQB0AHIAbwBnAGUAbgAgAGkAbgAgAHAAYQBzAHQAdQByAGUAIABwACAAcgBlAHMAaQBkAHUAZQBzACAAcgBlAHQAdQByAG4AZQBkACAAdABvACAAdABoAGUAIABzAG8AaQBsACAAKABrAGcAIABOACkAXABuAEUARgBOAGkAIAA9ACAAZQBtAGkAcwBzAGkAbwBuACAAZgBhAGMAdABvAHIAIABmAG8AcgAgAGMAcgBvAHAAIAByAGUAcwBpAGQAdQBlAHMAIAByAGUAdAB1AHIAbgBlAGQAIAB0AG8AIAB0AGgAZQAgAHMAbwBpAGwAIABpAG4AIABjAGwAaQBtAGEAdABlACAAegBvAG4AZQAgAGkAIAAoAGsAZwAgAE4AMgBPAC0ATgAvAGsAZwAgAE4AKQBcAG4AQwBOADIATwAgAD0AIABmAGEAYwB0AG8AcgAgAHQAbwAgAGMAbwBuAHYAZQByAHQAIABlAGwAZQBtAGUAbgB0AGEAbAAgAG0AYQBzAHMAIABvAGYAIABuAGkAdAByAG8AdQBzACAAbwB4AGkAZABlACAAdABvACAAbQBvAGwAZQBjAHUAbABhAHIAIABtAGEAcwBzACAAKABkAGkAbQBlAG4AcwBpAG8AbgBsAGUAcwBzACkAXABuAHAAIAA9ACAAUABhAHMAdAB1AHIAZQAgAHQAeQBwAGUAXABuAGkAIAA9ACAAQwBsAGkAbQBhAHQAZQAgAHoAbwBuAGUAXABuAC0ALQAtAC0ALQAtAC0ALQAtAC0ALQAtAC0ALQAtAC0ALQAtAC0ALQAtAC0ALQAtAC0ALQAtAC0ALQAtAC0ALQAtAC0ALQAtAC0ALQBcAG4AKgAvAFwAbgBcAG4AVgBFAEUAUgBHAF8ANgBfADIAXwAxAF8AMQBfAF8AMQBfAF8ATgBpAHQAcgBvAHUAcwBPAHgAaQBkAGUARQBtAGkAcwBzAGkAbwBuAHMARgByAG8AbQBQAGEAcwB0AHUAcgBlAFIAZQBzAGkAZAB1AGUAcwBcAG4AIAAgAD0ATABBAE0AQgBEAEEAKABcAG4AIAAgACAAIABNAF8AcAAsACAARQBGAF8ATgBpACwAIABDAF8ATgAyAE8ALABcAG4AIAAgACAAIAAoAE0AXwBwACAAKgAgAEUARgBfAE4AaQApACAAKgAgAEMAXwBOADIATwAgACoAIAAxADAAXgAoAC0AMwApAFwAbgAgACAAKQA7AFwAbgBcAG4AVgBFAEUAUgBHAF8ANgBfADIAXwAxAF8AMQBfAF8AMQBfAF8ATgBpAHQAcgBvAHUAcwBPAHgAaQBkAGUARQBtAGkAcwBzAGkAbwBuAHMARgByAG8AbQBQAGEAcwB0AHUAcgBlAFIAZQBzAGkAZAB1AGUAcwBfAFQAaQB0AGwAZQBcAG4AIAAgAD0ATABBAE0AQgBEAEEAKABcACIATgBpAHQAcgBvAHUAcwAgAG8AeABpAGQAZQAgAGUAbQBpAHMAcwBpAG8AbgBzACAAZgByAG8AbQAgAHQAaABlACAAcgBlAHQAdQByAG4AIABvAGYAIABwAGEAcwB0AHUAcgBlACAAcgBlAHMAaQBkAHUAZQBzACAAZgByAG8AbQAgAGEAbABsACAAcABhAHMAdAB1AHIAZQAgAHQAeQBwAGUAcwAgAHQAbwAgAHQAaABlACAAcwBvAGkAbABcACIAKQA7AFwAbgBcAG4AVgBFAEUAUgBHAF8ANgBfADIAXwAxAF8AMQBfAF8AMQBfAF8ATgBpAHQAcgBvAHUAcwBPAHgAaQBkAGUARQBtAGkAcwBzAGkAbwBuAHMARgByAG8AbQBQAGEAcwB0AHUAcgBlAFIAZQBzAGkAZAB1AGUAcwBfAFYAYQByAGkAYQBiAGwAZQBcAG4AIAAgAD0ATABBAE0AQgBEAEEAKABcACIARQBOADIATwBcACIAKQA7AFwAbgBcAG4AVgBFAEUAUgBHAF8ANgBfADIAXwAxAF8AMQBfAF8AMQBfAF8ATgBpAHQAcgBvAHUAcwBPAHgAaQBkAGUARQBtAGkAcwBzAGkAbwBuAHMARgByAG8AbQBQAGEAcwB0AHUAcgBlAFIAZQBzAGkAZAB1AGUAcwBfAFUAbgBpAHQAXABuACAAIAA9AEwAQQBNAEIARABBACgAXAAiAHQAIABOADIATwBcACIAKQA7AFwAbgBcAG4AVgBFAEUAUgBHAF8ANgBfADIAXwAxAF8AMQBfAF8AMQBfAF8ATgBpAHQAcgBvAHUAcwBPAHgAaQBkAGUARQBtAGkAcwBzAGkAbwBuAHMARgByAG8AbQBQAGEAcwB0AHUAcgBlAFIAZQBzAGkAZAB1AGUAcwBfAFMAbwB1AHIAYwBlAFwAbgAgACAAPQBMAEEATQBCAEQAQQAoAFwAIgBWAEUARQBSAEcAIAAyADAAMgA2ADoAIAA2AC4AMgAuADEALgAxACwAIABFAHEAdQBhAHQAaQBvAG4AIAAoADEAKQBcACIAKQA7AFwAbgBcAG4AVgBFAEUAUgBHAF8ANgBfADIAXwAxAF8AMQBfAF8AMQBfAF8ATgBpAHQAcgBvAHUAcwBPAHgAaQBkAGUARQBtAGkAcwBzAGkAbwBuAHMARgByAG8AbQBQAGEAcwB0AHUAcgBlAFIAZQBzAGkAZAB1AGUAcwBfAE4ASQBSAFIAZQBmAGUAcgBlAG4AYwBlAFwAbgAgACAAPQBMAEEATQBCAEQAQQAoAFwAIgBcACIAKQA7AFwAbgBcAG4AVgBFAEUAUgBHAF8ANgBfADIAXwAxAF8AMQBfAF8AMQBfAF8ATgBpAHQAcgBvAHUAcwBPAHgAaQBkAGUARQBtAGkAcwBzAGkAbwBuAHMARgByAG8AbQBQAGEAcwB0AHUAcgBlAFIAZQBzAGkAZAB1AGUAcwBfAEwAYQB0AGUAeABFAHEAdQBhAHQAaQBvAG4AXABuACAAIAA9AEwAQQBNAEIARABBACgAXAAiAEUAXwB7AE4AMgBPAH0APQBcAFwAcwB1AG0AXABcAG4AbwBsAGkAbQBpAHQAcwBfAHAAXABcAGwAZQBmAHQAKABNAF8AcABcAFwAdABpAG0AZQBzACAARQBGAF8AewBOAGkAfQBcAFwAcgBpAGcAaAB0ACkAXABcAHQAaQBtAGUAcwAgAEMAXwB7AE4AMgBPAH0AXABcAHQAaQBtAGUAcwB7ADEAMAB9AF4AewAtADMAfQBcACIAKQA7AFwAbgBcAG4AVgBFAEUAUgBHAF8ANgBfADIAXwAxAF8AMQBfAF8AMQBfAF8ATgBpAHQAcgBvAHUAcwBPAHgAaQBkAGUARQBtAGkAcwBzAGkAbwBuAHMARgByAG8AbQBQAGEAcwB0AHUAcgBlAFIAZQBzAGkAZAB1AGUAcwBfAEEAcgBnAHUAbQBlAG4AdABzAFwAbgAgACAAPQBMAEEATQBCAEQAQQAoAFwAbgAgACAAIAAgAE0AQQBLAEUAQQBSAFIAQQBZACgANQAsACAANAAsACAAXABuACAAIAAgACAAIAAgAEwAQQBNAEIARABBACgAcgAsAGMALAAgAFwAbgAgACAAIAAgACAAIAAgACAASQBOAEQARQBYACgAewBcAG4AIAAgACAAIAAgACAAIAAgACAAIABcACIATQBfAHAAXAAiACwAXAAiAG0AYQBzAHMAIABvAGYAIABuAGkAdAByAG8AZwBlAG4AIABpAG4AIABwAGEAcwB0AHUAcgBlACAAcAAgAHIAZQBzAGkAZAB1AGUAcwAgAHIAZQB0AHUAcgBuAGUAZAAgAHQAbwAgAHQAaABlACAAcwBvAGkAbABcACIALAAgAFwAIgBrAGcAIABOAFwAIgAsACAAXAAiAEMAYQBsAGMAdQBsAGEAdABlAGQAIABmAHIAbwBtACAANgAuADIALgAxAC4AMQAgACgAMgApAFwAIgA7AFwAbgAgACAAIAAgACAAIAAgACAAIAAgAFwAIgBFAEYAXwBOAGkAXAAiACwAXAAiAGUAbQBpAHMAcwBpAG8AbgAgAGYAYQBjAHQAbwByACAAZgBvAHIAIABjAHIAbwBwACAAcgBlAHMAaQBkAHUAZQBzACAAcgBlAHQAdQByAG4AZQBkACAAdABvACAAdABoAGUAIABzAG8AaQBsACAAaQBuACAAYwBsAGkAbQBhAHQAZQAgAHoAbwBuAGUAIABp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ZABpAG0AZQBuAHMAaQBvAG4AbABlAHMAcwBcACIALAAgAFwAIgBDAG8AbgBzAHQAYQBuAHQAXAAiADsAXABuACAAIAAgACAAIAAgACAAIAAgACAAXAAiAHAAXAAiACwAXAAiAFAAYQBzAHQAdQByAGUAIAB0AHkAcABlAFwAIgAsACAAXAAiAFwAIgAsACAAXAAiAEkAbgBwAHUAdABcACIAOwBcAG4AIAAgACAAIAAgACAAIAAgACAAIABcACIAaQBcACIALABcACIAVwBlAHQAIABvAHIAIABkAHIAeQAgAGMAbABpAG0AYQB0AGUAIAB6AG8Abg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YAXwAyAF8AMQBfADEAXwBfADIAXwBfAE0AYQBzAHMATwBmAE4AaQB0AHIAbwBnAGUAbgBJAG4AUABhAHMAdAB1AHIAZQBSAGUAcwBpAGQAdQBlAHMAXABuAE0AYQBzAHMAIABvAGYAIABuAGkAdAByAG8AZwBlAG4AIABpAG4AIABwAGEAcwB0AHUAcgBlACAAcgBlAHMAaQBkAHUAZQBzACAAcgBlAHQAdQByAG4AZQBkACAAdABvACAAdABoAGUAIABzAG8AaQBsAFwAbgBNAHAAXABuAGsAZwAgAE4AXABuAE0AXwBwACAAPQAgACgAQQBfAHAAIADXACgAWQBfAHAAIABcAFwAdABpAG0AZQBzACAAMQAwAF4AewAtADMAfQApACAAXABcAHQAaQBtAGUAcwAgACgAMQAtACAARgBGAE8ARABfAHAAKQAgAFwAXAB0AGkAbQBlAHMAIABOAEMAXwB7AEEARwBwAH0AKQAgACsAIAAoAEEAXwBwACAAXABcAHQAaQBtAGUAcwAgACgAWQBfAHAAIABcAFwAdABpAG0AZQBzACAAMQAwAF4AewAtADMAfQApAFwAXAB0AGkAbQBlAHMAIABSAF8AewBCAEcAcAB9ACAAXABcAHQAaQBtAGUAcwAgAE4AQwBfAHsAQgBHAHAAfQApAFwAbgBBAF8AcAAgAD0AIABhAHIAZQBhACAAbwBmACAAcABhAHMAdAB1AHIAZQAgAHIAZQBuAGUAdwBlAGQAIABvAHIAIAByAGUAbQBvAHYAZQBkACAAKABoAGEAKQBcAG4AWQBwACAAPQAgAGEAdgBlAHIAYQBnAGUAIAB5AGkAZQBsAGQAIABvAGYAIABwAGEAcwB0AHUAcgBlACAAYwByAG8AcAAgACgAdAAgAEQATQAvAGgAYQApAFwAbgBOAEMAQQBHAHAAIAA9ACAATgAgAGMAbwBuAHQAZQBuAHQAIABvAGYAIABhAGIAbwB2AGUALQBnAHIAbwB1AG4AZAAgAHAAYQBzAHQAdQByAGUAIAByAGUAcwBpAGQAdQBlACAAKABrAGcAIABOAC8AawBnACAARABNACkAXABuAFIAXwBCAEcAcAAgAD0AIABiAGUAbABvAHcALQBnAHIAbwB1AG4AZAAgAHIAZQBzAGkAZAB1AGUAIAB0AG8AIABhAGIAbwB2AGUALQBnAHIAbwB1AG4AZAAgAHIAZQBzAGkAZAB1AGUAIAByAGEAdABpAG8AIABmAG8AcgAgAHAAYQBzAHQAdQByAGUAIABjAHIAbwBwACAAKABkAGkAbQBlAG4AcwBpAG8AbgBsAGUAcwBzACkAXABuAE4AQwBfAEIARwBwACAAPQAgAE4AIABjAG8AbgB0AGUAbgB0ACAAbwBmACAAYgBlAGwAbwB3AC0AZwByAG8AdQBuAGQAIABwAGEAcwB0AHUAcgBlACAAYwByAG8AcAAgAHIAZQBzAGkAZAB1AGUAIAAoAGsAZwAgAE4ALwBrAGcAIABEAE0AKQBcAG4ARgBGAE8ARABwACAAPQAgAGYAcgBhAGMAdABpAG8AbgAgAG8AZgAgAHAAYQBzAHQAdQByAGUAIAB5AGkAZQBsAGQAIAB0AGgAYQB0ACAAaQBzACAAcgBlAG0AbwB2AGUAZAAgACgAZABpAG0AZQBuAHMAaQBvAG4AbABlAHMAcwApAFwAbgBwACAAPQAgAFAAYQBzAHQAdQByAGUAIAB0AHkAcABlAFwAbgAtAC0ALQAtAC0ALQAtAC0ALQAtAC0ALQAtAC0ALQAtAC0ALQAtAC0ALQAtAC0ALQAtAC0ALQAtAC0ALQAtAC0ALQAtAC0ALQAtAC0AXABuACoALwBcAG4AXABuAFYARQBFAFIARwBfADYAXwAyAF8AMQBfADEAXwBfADIAXwBfAE0AYQBzAHMATwBmAE4AaQB0AHIAbwBnAGUAbgBJAG4AUABhAHMAdAB1AHIAZQBSAGUAcwBpAGQAdQBlAHMAXABuACAAIAA9AEwAQQBNAEIARABBACgAXABuACAAIAAgACAAQQBfAHAALAAgAFkAXwBwACwAIABGAEYATwBEAF8AcAAsACAATgBDAF8AQQBHAHAALAAgAFIAXwBCAEcAcAAsACAATgBDAF8AQgBHAHAALABcAG4AIAAgACAAIAAoAEEAXwBwACAAKgAgACgAWQBfAHAAIAAqACAAMQAwAF4AKAAtADMAKQApACAAKgAgACgAMQAgAC0AIABGAEYATwBEAF8AcAApACAAKgAgAE4AQwBfAEEARwBwACkAIAArACAAKABBAF8AcAAgACoAIAAoAFkAXwBwACAAKgAgADEAMABeACgALQAzACkAKQAgACoAIABSAF8AQgBHAHAAIAAqACAATgBDAF8AQgBHAHAAKQBcAG4AIAAgACkAOwBcAG4AXABuAFYARQBFAFIARwBfADYAXwAyAF8AMQBfADEAXwBfADIAXwBfAE0AYQBzAHMATwBmAE4AaQB0AHIAbwBnAGUAbgBJAG4AUABhAHMAdAB1AHIAZQBSAGUAcwBpAGQAdQBlAHMAXwBUAGkAdABsAGUAXABuACAAIAA9AEwAQQBNAEIARABBACgAXAAiAE0AYQBzAHMAIABvAGYAIABuAGkAdAByAG8AZwBlAG4AIABpAG4AIABwAGEAcwB0AHUAcgBlACAAcgBlAHMAaQBkAHUAZQBzACAAcgBlAHQAdQByAG4AZQBkACAAdABvACAAdABoAGUAIABzAG8AaQBsAFwAIgApADsAXABuAFwAbgBWAEUARQBSAEcAXwA2AF8AMgBfADEAXwAxAF8AXwAyAF8AXwBNAGEAcwBzAE8AZgBOAGkAdAByAG8AZwBlAG4ASQBuAFAAYQBzAHQAdQByAGUAUgBlAHMAaQBkAHUAZQBzAF8AVgBhAHIAaQBhAGIAbABlAFwAbgAgACAAPQBMAEEATQBCAEQAQQAoAFwAIgBNAHAAXAAiACkAOwBcAG4AXABuAFYARQBFAFIARwBfADYAXwAyAF8AMQBfADEAXwBfADIAXwBfAE0AYQBzAHMATwBmAE4AaQB0AHIAbwBnAGUAbgBJAG4AUABhAHMAdAB1AHIAZQBSAGUAcwBpAGQAdQBlAHMAXwBVAG4AaQB0AFwAbgAgACAAPQBMAEEATQBCAEQAQQAoAFwAIgBrAGcAIABOAFwAIgApADsAXABuAFwAbgBWAEUARQBSAEcAXwA2AF8AMgBfADEAXwAxAF8AXwAyAF8AXwBNAGEAcwBzAE8AZgBOAGkAdAByAG8AZwBlAG4ASQBuAFAAYQBzAHQAdQByAGUAUgBlAHMAaQBkAHUAZQBzAF8AUwBvAHUAcgBjAGUAXABuACAAIAA9AEwAQQBNAEIARABBACgAXAAiAFYARQBFAFIARwAgADIAMAAyADYAOgAgADYALgAyAC4AMQAuADEALAAgAEUAcQB1AGEAdABpAG8AbgAgACgAMgApAFwAIgApADsAXABuAFwAbgBWAEUARQBSAEcAXwA2AF8AMgBfADEAXwAxAF8AXwAyAF8AXwBNAGEAcwBzAE8AZgBOAGkAdAByAG8AZwBlAG4ASQBuAFAAYQBzAHQAdQByAGUAUgBlAHMAaQBkAHUAZQBzAF8ATgBJAFIAUgBlAGYAZQByAGUAbgBjAGUAXABuACAAIAA9AEwAQQBNAEIARABBACgAXAAiAFwAIgApADsAXABuAFwAbgBWAEUARQBSAEcAXwA2AF8AMgBfADEAXwAxAF8AXwAyAF8AXwBNAGEAcwBzAE8AZgBOAGkAdAByAG8AZwBlAG4ASQBuAFAAYQBzAHQAdQByAGUAUgBlAHMAaQBkAHUAZQBzAF8ATABhAHQAZQB4AEUAcQB1AGEAdABpAG8AbgBcAG4AIAAgAD0ATABBAE0AQgBEAEEAKABcACIATQBfAHAAIAA9ACAAKABBAF8AcAAgAFwAXAB0AGkAbQBlAHMAIAAoAFkAXwBwACAAXABcAHQAaQBtAGUAcwAgADEAMABeAHsALQAzAH0AKQAgAFwAXAB0AGkAbQBlAHMAIAAoADEALQAgAEYARgBPAEQAXwBwACkAIABcAFwAdABpAG0AZQBzACAATgBDAF8AewBBAEcAcAB9ACkAIAArACAAKABBAF8AcAAgAFwAXAB0AGkAbQBlAHMAIAAoAFkAXwBwACAAXABcAHQAaQBtAGUAcwAgADEAMABeAHsALQAzAH0AKQBcAFwAdABpAG0AZQBzACAAUgBfAHsAQgBHAHAAfQAgAFwAXAB0AGkAbQBlAHMAIABOAEMAXwB7AEIARwBwAH0AKQBcACIAKQA7AFwAbgBcAG4AVgBFAEUAUgBHAF8ANgBfADIAXwAxAF8AMQBfAF8AMgBfAF8ATQBhAHMAcwBPAGYATgBpAHQAcgBvAGcAZQBuAEkAbgBQAGEAcwB0AHUAcgBlAFIAZQBzAGkAZAB1AGUAcwBfAEEAcgBnAHUAbQBlAG4AdABzAFwAbgAgACAAPQBMAEEATQBCAEQAQQAoAFwAbgAgACAAIAAgAE0AQQBLAEUAQQBSAFIAQQBZACgANwAsACAANAAsACAAXABuACAAIAAgACAAIAAgAEwAQQBNAEIARABBACgAcgAsAGMALAAgAFwAbgAgACAAIAAgACAAIAAgACAASQBOAEQARQBYACgAewBcAG4AIAAgACAAIAAgACAAIAAgACAAIABcACIAQQBfAHAAXAAiACwAXAAiAGEAcgBlAGEAIABvAGYAIABwAGEAcwB0AHUAcgBlACAAcgBlAG4AZQB3AGUAZAAgAG8AcgAgAHIAZQBtAG8AdgBlAGQAXAAiACwAIABcACIAaABhAFwAIgAsACAAXAAiAEkAbgBwAHUAdABcACIAOwBcAG4AIAAgACAAIAAgACAAIAAgACAAIABcACIAWQBfAHAAXAAiACwAXAAiAGEAdgBlAHIAYQBnAGUAIAB5AGkAZQBsAGQAIABvAGYAIABwAGEAcwB0AHUAcgBlACAAYwByAG8AcABcACIALAAgAFwAIgB0ACAARABNAC8AaABhAFwAIgAsACAAXAAiAEMAbwBuAHMAdABhAG4AdABcACIAOwBcAG4AIAAgACAAIAAgACAAIAAgACAAIABcACIATgBDAF8AQQBHAHAAXAAiACwAXAAiAE4AIABjAG8AbgB0AGUAbgB0ACAAbwBmACAAYQBiAG8AdgBlAC0AZwByAG8AdQBuAGQAIABwAGEAcwB0AHUAcgBlACAAcgBlAHMAaQBkAHUAZQBcACIALAAgAFwAIgBrAGcAIABOAC8AawBnACAARABNAFwAIgAsACAAXAAiAEMAbwBuAHMAdABhAG4AdABcACIAOwBcAG4AIAAgACAAIAAgACAAIAAgACAAIABcACIAUgBfAEIARwBwAFwAIgAsAFwAIgBiAGUAbABvAHcALQBnAHIAbwB1AG4AZAAgAHIAZQBzAGkAZAB1AGUAIAB0AG8AIABhAGIAbwB2AGUALQBnAHIAbwB1AG4AZAAgAHIAZQBzAGkAZAB1AGUAIAByAGEAdABpAG8AIABmAG8AcgAgAHAAYQBzAHQAdQByAGUAIABjAHIAbwBwAFwAIgAsACAAXAAiAFwAIgAsACAAXAAiAEMAbwBuAHMAdABhAG4AdABcACIAOwBcAG4AIAAgACAAIAAgACAAIAAgACAAIABcACIATgBDAF8AQgBHAHAAXAAiACwAXAAiAE4AIABjAG8AbgB0AGUAbgB0ACAAbwBmACAAYgBlAGwAbwB3AC0AZwByAG8AdQBuAGQAIABwAGEAcwB0AHUAcgBlACAAYwByAG8AcAAgAHIAZQBzAGkAZAB1AGUAXAAiACwAIABcACIAawBnACAATgAvAGsAZwAgAEQATQBcACIALAAgAFwAIgBDAG8AbgBzAHQAYQBuAHQAXAAiADsAXABuACAAIAAgACAAIAAgACAAIAAgACAAXAAiAEYARgBPAEQAXwBwAFwAIgAsAFwAIgBmAHIAYQBjAHQAaQBvAG4AIABvAGYAIABwAGEAcwB0AHUAcgBlACAAeQBpAGUAbABkACAAdABoAGEAdAAgAGkAcwAgAHIAZQBtAG8AdgBlAGQAXAAiACwAIABcACIAZgByAGEAYwB0AGkAbwBuAFwAIgAsACAAXAAiAEMAbwBuAHMAdABhAG4AdABcACIAOwBcAG4AIAAgACAAIAAgACAAIAAgACAAIABcACIAcABcACIALABcACIAUABhAHMAdAB1AHIAZQAgAHQAeQBwAGUAXAAiACwAIABcACIAXAAiACwAIABcACIASQBuAHAAdQB0AFwAIgBcAG4AIAAgACAAIAAgACAAIAAgAH0ALAAgAHIALAAgAGMAKQBcAG4AIAAgACAAIAAgACAAKQBcAG4AIAAgACAAIAApAFwAbgAgACAAKQA7AFwAbgBcAG4AXABuAFYARQBFAFIARwBfADYAXwAyAF8AMQBfADEAXwBfADIAXwBfAE0AYQBzAHMATwBmAE4AaQB0AHIAbwBnAGUAbgBJAG4AUABhAHMAdAB1AHIAZQBSAGUAcwBpAGQAdQBlAHMAXwBBAHIAZwB1AG0AZQBuAHQAcwBfAE0AZQB0AGgAbwBkADIAXABuACAAIAA9AEwAQQBNAEIARABBACgAXABuACAAIAAgACAATQBBAEsARQBBAFIAUgBBAFkAKAA3ACwAIAA0ACwAIABcAG4AIAAgACAAIAAgACAATABBAE0AQgBEAEEAKAByACwAYwAsACAAXABuACAAIAAgACAAIAAgACAAIABJAE4ARABFAFgAKAB7AFwAbgAgACAAIAAgACAAIAAgACAAIAAgAFwAIgBBAF8AcABcACIALABcACIAYQByAGUAYQAgAG8AZgAgAHAAYQBzAHQAdQByAGUAIAByAGUAbgBlAHcAZQBkACAAbwByACAAcgBlAG0AbwB2AGUAZABcACIALAAgAFwAIgBoAGEAXAAiACwAIABcACIASQBuAHAAdQB0AFwAIgA7AFwAbgAgACAAIAAgACAAIAAgACAAIAAgAFwAIgBZAF8AcABcACIALABcACIAYQB2AGUAcgBhAGcAZQAgAHkAaQBlAGwAZAAgAG8AZgAgAHAAYQBzAHQAdQByAGUAIABjAHIAbwBwAFwAIgAsACAAXAAiAHQAIABEAE0ALwBoAGEAXAAiACwAIABcACIASQBuAHAAdQB0AFwAIgA7AFwAbgAgACAAIAAgACAAIAAgACAAIAAgAFwAIgBOAEMAXwBBAEcAcABcACIALABcACIATgAgAGMAbwBuAHQAZQBuAHQAIABvAGYAIABhAGIAbwB2AGUALQBnAHIAbwB1AG4AZAAgAHAAYQBzAHQAdQByAGUAIAByAGUAcwBpAGQAdQBlAFwAIgAsACAAXAAiAGsAZwAgAE4ALwBrAGcAIABEAE0AXAAiACwAIABcACIAQwBvAG4AcwB0AGEAbgB0AFwAIgA7AFwAbgAgACAAIAAgACAAIAAgACAAIAAgAFwAIgBSAF8AQgBHAHAAXAAiACwAXAAiAGIAZQBsAG8AdwAtAGcAcgBvAHUAbgBkACAAcgBlAHMAaQBkAHUAZQAgAHQAbwAgAGEAYgBvAHYAZQAtAGcAcgBvAHUAbgBkACAAcgBlAHMAaQBkAHUAZQAgAHIAYQB0AGkAbwAgAGYAbwByACAAcABhAHMAdAB1AHIAZQAgAGMAcgBvAHAAXAAiACwAIABcACIAXAAiACwAIABcACIAQwBvAG4AcwB0AGEAbgB0AFwAIgA7AFwAbgAgACAAIAAgACAAIAAgACAAIAAgAFwAIgBOAEMAXwBCAEcAcABcACIALABcACIATgAgAGMAbwBuAHQAZQBuAHQAIABvAGYAIABiAGUAbABvAHcALQBnAHIAbwB1AG4AZAAgAHAAYQBzAHQAdQByAGUAIABjAHIAbwBwACAAcgBlAHMAaQBkAHUAZQBcACIALAAgAFwAIgBrAGcAIABOAC8AawBnACAARABNAFwAIgAsACAAXAAiAEMAbwBuAHMAdABhAG4AdABcACIAOwBcAG4AIAAgACAAIAAgACAAIAAgACAAIABcACIARgBGAE8ARABfAHAAXAAiACwAXAAiAGYAcgBhAGMAdABpAG8AbgAgAG8AZgAgAHAAYQBzAHQAdQByAGUAIAB5AGkAZQBsAGQAIAB0AGgAYQB0ACAAaQBzACAAcgBlAG0AbwB2AGUAZABcACIALAAgAFwAIgBmAHIAYQBjAHQAaQBvAG4AXAAiACwAIABcACIAQwBvAG4AcwB0AGEAbgB0AFwAIgA7AFwAbgAgACAAIAAgACAAIAAgACAAIAAgAFwAIgBwAFwAIgAsAFwAIgBQAGEAcwB0AHUAcgBlACAAdAB5AHAAZQBcACIALAAgAFwAIgBcACIALAAgAFwAIgBJAG4AcAB1AHQAXAAiAFwAbgAgACAAIAAgACAAIAAgACAAfQAsACAAcgAsACAAYwApAFwAbgAgACAAIAAgACAAIAApAFwAbgAgACAAIAAgACkAXABuACAAIAApADsAXABuAFwAbgBcAG4AXABuAFwAbgAiAH0ALAB7ACIAcABhAHQAaAAiADoAIgAvAHAAcgBvAGoAZQBjAHQAcwAvAEEAZwBSAGUAcwBpAGQAdQBlAF8ARQBxAHUAYQB0AGkAbwBuAHMAXwBMAGUAYQBjAGgAaQBuAGcAIgAsACIAdABlAHgAdAAiADoAIgAvACoAIABcAG4ALQAtAC0ALQAtAC0ALQAtAC0ALQAtAC0ALQAtAC0ALQAtAC0ALQAtAC0ALQAtAC0ALQAtAC0ALQAtAC0ALQAtAC0ALQAtAC0ALQAtAFwAbgBWAEUARQBSAEcAXwA2AF8AMwBfADEAXwAxAF8AXwAxAF8AXwBMAGUAYQBjAGgAaQBuAGcAQQBuAGQAUgB1AG4AbwBmAGYARQBtAGkAcwBzAGkAbwBuAHMAQwByAG8AcABBAG4AZABQAGEAcwB0AHUAcgBlAFIAZQBzAGkAZAB1AGUAXABuAE4AaQB0AHIAbwB1AHMAIABvAHgAaQBkAGUAIABsAGUAYQBjAGgAaQBuAGcAIABhAG4AZAAgAHIAdQBuAG8AZgBmACAAZQBtAGkAcwBzAGkAbwBuAHMAIABmAHIAbwBtACAAYwByAG8AcAAgAGEAbgBkACAAcABhAHMAdAB1AHIAZQAgAHIAZQBzAGkAZAB1AGUAcwAgAHIAZQB0AHUAcgBuAGUAZAAgAHQAbwAgAHQAaABlACAAcwBvAGkAbAAsACAAYQBjAHIAbwBzAHMAIABhAGwAbAAgAGMAcgBvAHAAIAByAGUAcwBpAGQAdQBlAHMAIABjACAAYQBuAGQAIABwAGEAcwB0AHUAcgBlACAAcgBlAHMAaQBkAHUAZQBzACAAcABcAG4ARQBOADIATwBcAG4AdAAgAE4AMgBPAFwAbgBFAF8AewBOADIATwB9AD0AXABcAHMAdQBtAF8AewBjAH0AXABcAHMAdQBtAF8AewBwAH0AKABNAF8AewBsAGUAYQBjAGgALABjAHAAfQBcAFwAdABpAG0AZQBzACAARQBGAF8AewBsAGUAYQBjAGgAfQBcAFwAdABpAG0AZQBzACAAQwBfAHsATgAyAE8AfQBcAFwAdABpAG0AZQBzACAAMQAwAF4AewAtADMAfQApAFwAbgBNAF8AbABlAGEAYwBoAGMAcAAgAD0AIABtAGEAcwBzACAAbwBmACAAbgBpAHQAcgBvAGcAZQBuACAAbABvAHMAdAAgAHQAaAByAG8AdQBnAGgAIABsAGUAYQBjAGgAaQBuAGcAIABhAG4AZAAgAHIAdQBuAG8AZgBmACAAZgByAG8AbQAgAHQAaABlACAAYwByAG8AcAAgAHIAZQBzAGkAZAB1AGUAIABjACAAbwByACAAcABhAHMAdAB1AHIAZQAgAHIAZQBzAGkAZAB1AGUAIABwACAAKABrAGcAIABOACkAXABuAEUARgBfAGwAZQBhAGMAaAAgAD0AIABlAG0AaQBzAHMAaQBvAG4AIABmAGEAYwB0AG8AcgAgAGYAbwByACAAbABlAGEAYwBoAGkAbgBnACAAYQBuAGQAIAByAHUAbgBvAGYAZgAgACgAawBnACAATgAyAE8ALQBOAC8AawBnACAATgApAFwAbgBDAE4AMgBPACAAPQAgAGYAYQBjAHQAbwByACAAdABvACAAYwBvAG4AdgBlAHIAdAAgAGUAbABlAG0AZQBuAHQAYQBsACAAbQBhAHMAcwAgAG8AZgAgAG4AaQB0AHIAbwB1AHMAIABvAHgAaQBkAGUAIAB0AG8AIABtAG8AbABlAGMAdQBsAGEAcgAgAG0AYQBzAHMAIAAoAGQAaQBtAGUAbgBzAGkAbwBuAGwAZQBzAHMAKQBcAG4AYwAgAD0AIABDAHIAbwBwACAAcgBlAHMAaQBkAHUAZQAgAHQAeQBwAGUAXABuAHAAIAA9ACAAUABhAHMAdAB1AHIAZQAgAHIAZQBzAGkAZAB1AGUAIAB0AHkAcABlAFwAbgAtAC0ALQAtAC0ALQAtAC0ALQAtAC0ALQAtAC0ALQAtAC0ALQAtAC0ALQAtAC0ALQAtAC0ALQAtAC0ALQAtAC0ALQAtAC0ALQAtAC0AXABuACoALwBcAG4AXABuAFYARQBFAFIARwBfADYAXwAzAF8AMQBfADEAXwBfADEAXwBfAEwAZQBhAGMAaABpAG4AZwBBAG4AZABSAHUAbgBvAGYAZgBFAG0AaQBzAHMAaQBvAG4AcwBDAHIAbwBwAEEAbgBkAFAAYQBzAHQAdQByAGUAUgBlAHMAaQBkAHUAZQBcAG4AIAAgAD0ATABBAE0AQgBEAEEAKABcAG4AIAAgACAAIABNAF8AbABlAGEAYwBoAGMAcAAsACAARQBGAF8AbABlAGEAYwBoACwAIABDAF8ATgAyAE8ALABcAG4AIAAgACAAIAAoAE0AXwBsAGUAYQBjAGgAYwBwACAAKgAgAEUARgBfAGwAZQBhAGMAaAApACAAKgAgAEMAXwBOADIATwAgACoAIAAxADAAXgAoAC0AMwApAFwAbgAgACAAKQBcAG4AOwBcAG4AXABuAFYARQBFAFIARwBfADYAXwAzAF8AMQBfADEAXwBfADEAXwBfAEwAZQBhAGMAaABpAG4AZwBBAG4AZABSAHUAbgBvAGYAZgBFAG0AaQBzAHMAaQBvAG4AcwBDAHIAbwBwAEEAbgBkAFAAYQBzAHQAdQByAGUAUgBlAHMAaQBkAHUAZQBfAFQAaQB0AGwAZQBcAG4AIAAgAD0ATABBAE0AQgBEAEEAKABcACIATgBpAHQAcgBvAHUAcwAgAG8AeABpAGQAZQAgAGwAZQBhAGMAaABpAG4AZwAgAGEAbgBkACAAcgB1AG4AbwBmAGYAIABlAG0AaQBzAHMAaQBvAG4AcwAgAGYAcgBvAG0AIABjAHIAbwBwACAAYQBuAGQAIABwAGEAcwB0AHUAcgBlACAAcgBlAHMAaQBkAHUAZQBzACAAcgBlAHQAdQByAG4AZQBkACAAdABvACAAdABoAGUAIABzAG8AaQBsAFwAIgApADsAXABuAFwAbgBWAEUARQBSAEcAXwA2AF8AMwBfADEAXwAxAF8AXwAxAF8AXwBMAGUAYQBjAGgAaQBuAGcAQQBuAGQAUgB1AG4AbwBmAGYARQBtAGkAcwBzAGkAbwBuAHMAQwByAG8AcABBAG4AZABQAGEAcwB0AHUAcgBlAFIAZQBzAGkAZAB1AGUAXwBWAGEAcgBpAGEAYgBsAGUAXABuACAAIAA9AEwAQQBNAEIARABBACgAXAAiAEUATgAyAE8AXAAiACkAOwBcAG4AXABuAFYARQBFAFIARwBfADYAXwAzAF8AMQBfADEAXwBfADEAXwBfAEwAZQBhAGMAaABpAG4AZwBBAG4AZABSAHUAbgBvAGYAZgBFAG0AaQBzAHMAaQBvAG4AcwBDAHIAbwBwAEEAbgBkAFAAYQBzAHQAdQByAGUAUgBlAHMAaQBkAHUAZQBfAFUAbgBpAHQAXABuACAAIAA9AEwAQQBNAEIARABBACgAXAAiAHQAIABOADIATwBcACIAKQA7AFwAbgBcAG4AVgBFAEUAUgBHAF8ANgBfADMAXwAxAF8AMQBfAF8AMQBfAF8ATABlAGEAYwBoAGkAbgBnAEEAbgBkAFIAdQBuAG8AZgBmAEUAbQBpAHMAcwBpAG8AbgBzAEMAcgBvAHAAQQBuAGQAUABhAHMAdAB1AHIAZQBSAGUAcwBpAGQAdQBlAF8AUwBvAHUAcgBjAGUAXABuACAAIAA9AEwAQQBNAEIARABBACgAXAAiAFYARQBFAFIARwAgADIAMAAyADYAOgAgADYALgAzAC4AMQAuADEALAAgAEUAcQB1AGEAdABpAG8AbgAgACgAMQApAFwAIgApADsAXABuAFwAbgBWAEUARQBSAEcAXwA2AF8AMwBfADEAXwAxAF8AXwAxAF8AXwBMAGUAYQBjAGgAaQBuAGcAQQBuAGQAUgB1AG4AbwBmAGYARQBtAGkAcwBzAGkAbwBuAHMAQwByAG8AcABBAG4AZABQAGEAcwB0AHUAcgBlAFIAZQBzAGkAZAB1AGUAXwBOAEkAUgBSAGUAZgBlAHIAZQBuAGMAZQBcAG4AIAAgAD0ATABBAE0AQgBEAEEAKABcACIAXAAiACkAOwBcAG4AXABuAFYARQBFAFIARwBfADYAXwAzAF8AMQBfADEAXwBfADEAXwBfAEwAZQBhAGMAaABpAG4AZwBBAG4AZABSAHUAbgBvAGYAZgBFAG0AaQBzAHMAaQBvAG4AcwBDAHIAbwBwAEEAbgBkAFAAYQBzAHQAdQByAGUAUgBlAHMAaQBkAHUAZQBfAEwAYQB0AGUAeABFAHEAdQBhAHQAaQBvAG4AXABuACAAIAA9AEwAQQBNAEIARABBACgAXAAiAEUAXwB7AE4AMgBPAH0APQBcAFwAcwB1AG0AXABcAG4AbwBsAGkAbQBpAHQAcwBfAGMAXABcAHMAdQBtAFwAXABuAG8AbABpAG0AaQB0AHMAXwBwACgATQBfAHsAbABlAGEAYwBoACwAYwBwAH0AXABcAHQAaQBtAGUAcwAgAEUARgBfAHsAbABlAGEAYwBoAH0AXABcAHQAaQBtAGUAcwAgAEMAXwB7AE4AMgBPAH0AXABcAHQAaQBtAGUAcwAgADEAMABeAHsALQAzAH0AKQBcACIAKQA7AFwAbgBcAG4AVgBFAEUAUgBHAF8ANgBfADMAXwAxAF8AMQBfAF8AMQBfAF8ATABlAGEAYwBoAGkAbgBnAEEAbgBkAFIAdQBuAG8AZgBmAEUAbQBpAHMAcwBpAG8AbgBzAEMAcgBvAHAAQQBuAGQAUABhAHMAdAB1AHIAZQBSAGUAcwBpAGQAdQBlAF8AQQByAGcAdQBtAGUAbgB0AHMAXABuACAAIAA9AEwAQQBNAEIARABBACgAXABuACAAIAAgACAATQBBAEsARQBBAFIAUgBBAFkAKAA1ACwAIAA0ACwAIABcAG4AIAAgACAAIAAgACAATABBAE0AQgBEAEEAKAByACwAYwAsACAAXABuACAAIAAgACAAIAAgACAAIABJAE4ARABFAFgAKAB7AFwAbgAgACAAIAAgACAAIAAgACAAIAAgAFwAIgBNAF8AbABlAGEAYwBoAGMAcABcACIALABcACIAbQBhAHMAcwAgAG8AZgAgAG4AaQB0AHIAbwBnAGUAbgAgAGwAbwBzAHQAIAB0AGgAcgBvAHUAZwBoACAAbABlAGEAYwBoAGkAbgBnACAAYQBuAGQAIAByAHUAbgBvAGYAZgAgAGYAcgBvAG0AIAB0AGgAZQAgAGMAcgBvAHAAIAByAGUAcwBpAGQAdQBlACAAYwAgAG8AcgAgAHAAYQBzAHQAdQByAGUAIAByAGUAcwBpAGQAdQBlACAAcABcACIALAAgAFwAIgBrAGcAIABOAFwAIgAsACAAXAAiAEMAYQBsAGMAdQBsAGEAdABlAGQAIABmAHIAbwBtACAANgAuADMALgAxAC4AMQAgACgAMgApAFwAIgA7AFwAbgAgACAAIAAgACAAIAAgACAAIAAgAFwAIgBFAEYAXwBsAGUAYQBjAGgAXAAiACwAXAAiAGUAbQBpAHMAcwBpAG8AbgAgAGYAYQBjAHQAbwByACAAZgBvAHIAIABsAGUAYQBjAGgAaQBuAGcAIABhAG4AZAAgAHIAdQBuAG8AZgBm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ZABpAG0AZQBuAHMAaQBvAG4AbABlAHMAcwBcACIALAAgAFwAIgBDAG8AbgBzAHQAYQBuAHQAXAAiADsAXABuACAAIAAgACAAIAAgACAAIAAgACAAXAAiAGMAXAAiACwAXAAiAEMAcgBvAHAAIAByAGUAcwBpAGQAdQBlACAAdAB5AHAAZQBcACIALAAgAFwAIgBcACIALAAgAFwAIgBJAG4AcAB1AHQAXAAiADsAXABuACAAIAAgACAAIAAgACAAIAAgACAAXAAiAHAAXAAiACwAXAAiAFAAYQBzAHQAdQByAGUAIAByAGUAcwBpAGQAdQBlACAAdAB5AHAAZQ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2AF8AMwBfADEAXwAxAF8AXwAyAF8AXwBNAGEAcwBzAE8AZgBOAGkAdAByAG8AZwBlAG4ATABvAHMAdABUAGgAcgBvAHUAZwBoAEwAZQBhAGMAaABpAG4AZwBBAG4AZABSAHUAbgBvAGYAZgBcAG4ATQBhAHMAcwAgAG8AZgAgAG4AaQB0AHIAbwBnAGUAbgAgAGwAbwBzAHQAIAB0AGgAcgBvAHUAZwBoACAAbABlAGEAYwBoAGkAbgBnACAAYQBuAGQAIAByAHUAbgBvAGYAZgBcAG4ATQBfAGwAZQBhAGMAaABjAHAAXABuAGsAZwAgAE4AXABuAE0AXwB7AGwAZQBhAGMAaAAsAGMAcAB9AD0ATQBfAHsAYwBwAH0AXABcAHQAaQBtAGUAcwAgAEYAcgBhAGMAVwBFAFQAXwB7AGoAfQBcAFwAdABpAG0AZQBzACAARgByAGEAYwBMAEUAQQBDAEgAXABuAE0AXwBjAHAAIAA9ACAAbQBhAHMAcwAgAG8AZgAgAG4AaQB0AHIAbwBnAGUAbgAgAGkAbgAgAGMAcgBvAHAAIAByAGUAcwBpAGQAdQBlAHMAIABjACAAbwByACAAcABhAHMAdAB1AHIAZQAgAHIAZQBzAGkAZAB1AGUAcwAgAHAAIABhAHAAcABsAGkAZQBkACAAdABvACAAcwBvAGkAbABzACAAKABrAGcAIABOACkAXABuAEYAcgBhAGMAVwBFAFQAagAgAD0AIABmAHIAYQBjAHQAaQBvAG4AIABvAGYAIABOACAAdABoAGEAdAAgAGkAcwAgAGEAdgBhAGkAbABhAGIAbABlACAAZgBvAHIAIABsAGUAYQBjAGgAaQBuAGcAIABhAG4AZAAgAHIAdQBuAG8AZgBmACAAZgByAG8AbQAgAHAAcgBvAGQAdQBjAHQAaQBvAG4AIABzAHkAcwB0AGUAbQAgAGoAIAAoAGQAaQBtAGUAbgBzAGkAbwBuAGwAZQBzAHMAKQBcAG4ARgByAGEAYwBMAEUAQQBDAEgAIAA9ACAAZgByAGEAYwB0AGkAbwBuACAAbwBmACAATgAgAHQAaABhAHQAIABpAHMAIABsAG8AcwB0ACAAdABoAHIAbwB1AGcAaAAgAGwAZQBhAGMAaABpAG4AZwAgAGEAbgBkACAAcgB1AG4AbwBmAGYAIAAoAGQAaQBtAGUAbgBzAGkAbwBuAGwAZQBzAHMAKQBcAG4AYwAgAD0AIABDAHIAbwBwACAAcgBlAHMAaQBkAHUAZQAgAHQAeQBwAGUAXABuAHAAIAA9ACAAUABhAHMAdAB1AHIAZQAgAHIAZQBzAGkAZAB1AGUAIAB0AHkAcABlAFwAbgBpAHIAIAA9ACAAaQByAHIAaQBnAGEAdABpAG8AbgAgAHQAeQBwAGUAXABuAC0ALQAtAC0ALQAtAC0ALQAtAC0ALQAtAC0ALQAtAC0ALQAtAC0ALQAtAC0ALQAtAC0ALQAtAC0ALQAtAC0ALQAtAC0ALQAtAC0ALQBcAG4AKgAvAFwAbgBcAG4AVgBFAEUAUgBHAF8ANgBfADMAXwAxAF8AMQBfAF8AMgBfAF8ATQBhAHMAcwBPAGYATgBpAHQAcgBvAGcAZQBuAEwAbwBzAHQAVABoAHIAbwB1AGcAaABMAGUAYQBjAGgAaQBuAGcAQQBuAGQAUgB1AG4AbwBmAGYAXABuACAAIAA9AEwAQQBNAEIARABBACgAXABuACAAIAAgACAATQBfAGMAcAAsACAARgByAGEAYwBXAEUAVABfAGoALAAgAEYAcgBhAGMATABFAEEAQwBIACwAXABuACAAIAAgACAATQBfAGMAcAAgACoAIABGAHIAYQBjAFcARQBUAF8AagAgACoAIABGAHIAYQBjAEwARQBBAEMASABcAG4AIAAgACkAXABuADsAXABuAFwAbgBWAEUARQBSAEcAXwA2AF8AMwBfADEAXwAxAF8AXwAyAF8AXwBNAGEAcwBzAE8AZgBOAGkAdAByAG8AZwBlAG4ATABvAHMAdABUAGgAcgBvAHUAZwBoAEwAZQBhAGMAaABpAG4AZwBBAG4AZABSAHUAbgBvAGYAZgBfAFQAaQB0AGwAZQBcAG4AIAAgAD0ATABBAE0AQgBEAEEAKABcACIATQBhAHMAcwAgAG8AZgAgAG4AaQB0AHIAbwBnAGUAbgAgAGwAbwBzAHQAIAB0AGgAcgBvAHUAZwBoACAAbABlAGEAYwBoAGkAbgBnACAAYQBuAGQAIAByAHUAbgBvAGYAZgBcACIAKQA7AFwAbgBcAG4AVgBFAEUAUgBHAF8ANgBfADMAXwAxAF8AMQBfAF8AMgBfAF8ATQBhAHMAcwBPAGYATgBpAHQAcgBvAGcAZQBuAEwAbwBzAHQAVABoAHIAbwB1AGcAaABMAGUAYQBjAGgAaQBuAGcAQQBuAGQAUgB1AG4AbwBmAGYAXwBWAGEAcgBpAGEAYgBsAGUAXABuACAAIAA9AEwAQQBNAEIARABBACgAXAAiAE0AXwBsAGUAYQBjAGgAYwBwAFwAIgApADsAXABuAFwAbgBWAEUARQBSAEcAXwA2AF8AMwBfADEAXwAxAF8AXwAyAF8AXwBNAGEAcwBzAE8AZgBOAGkAdAByAG8AZwBlAG4ATABvAHMAdABUAGgAcgBvAHUAZwBoAEwAZQBhAGMAaABpAG4AZwBBAG4AZABSAHUAbgBvAGYAZgBfAFUAbgBpAHQAXABuACAAIAA9AEwAQQBNAEIARABBACgAXAAiAGsAZwAgAE4AXAAiACkAOwBcAG4AXABuAFYARQBFAFIARwBfADYAXwAzAF8AMQBfADEAXwBfADIAXwBfAE0AYQBzAHMATwBmAE4AaQB0AHIAbwBnAGUAbgBMAG8AcwB0AFQAaAByAG8AdQBnAGgATABlAGEAYwBoAGkAbgBnAEEAbgBkAFIAdQBuAG8AZgBmAF8AUwBvAHUAcgBjAGUAXABuACAAIAA9AEwAQQBNAEIARABBACgAXAAiAFYARQBFAFIARwAgADIAMAAyADYAOgAgADYALgAzAC4AMQAuADEALAAgAEUAcQB1AGEAdABpAG8AbgAgACgAMgApAFwAIgApADsAXABuAFwAbgBWAEUARQBSAEcAXwA2AF8AMwBfADEAXwAxAF8AXwAyAF8AXwBNAGEAcwBzAE8AZgBOAGkAdAByAG8AZwBlAG4ATABvAHMAdABUAGgAcgBvAHUAZwBoAEwAZQBhAGMAaABpAG4AZwBBAG4AZABSAHUAbgBvAGYAZgBfAE4ASQBSAFIAZQBmAGUAcgBlAG4AYwBlAFwAbgAgACAAPQBMAEEATQBCAEQAQQAoAFwAIgBcACIAKQA7AFwAbgBcAG4AVgBFAEUAUgBHAF8ANgBfADMAXwAxAF8AMQBfAF8AMgBfAF8ATQBhAHMAcwBPAGYATgBpAHQAcgBvAGcAZQBuAEwAbwBzAHQAVABoAHIAbwB1AGcAaABMAGUAYQBjAGgAaQBuAGcAQQBuAGQAUgB1AG4AbwBmAGYAXwBMAGEAdABlAHgARQBxAHUAYQB0AGkAbwBuAFwAbgAgACAAPQBMAEEATQBCAEQAQQAoAFwAIgBNAF8AewBsAGUAYQBjAGgALABjAHAAfQA9AE0AXwB7AGMAcAB9AFwAXAB0AGkAbQBlAHMAIABGAHIAYQBjAFcARQBUAF8AewBqAH0AXABcAHQAaQBtAGUAcwAgAEYAcgBhAGMATABFAEEAQwBIAFwAIgApADsAXABuAFwAbgBWAEUARQBSAEcAXwA2AF8AMwBfADEAXwAxAF8AXwAyAF8AXwBNAGEAcwBzAE8AZgBOAGkAdAByAG8AZwBlAG4ATABvAHMAdABUAGgAcgBvAHUAZwBoAEwAZQBhAGMAaABpAG4AZwBBAG4AZABSAHUAbgBvAGYAZgBfAEEAcgBnAHUAbQBlAG4AdABzAFwAbgAgACAAPQBMAEEATQBCAEQAQQAoAFwAbgAgACAAIAAgAE0AQQBLAEUAQQBSAFIAQQBZACgANwAsACAANAAsACAAXABuACAAIAAgACAAIAAgAEwAQQBNAEIARABBACgAcgAsAGMALAAgAFwAbgAgACAAIAAgACAAIAAgACAASQBOAEQARQBYACgAewBcAG4AIAAgACAAIAAgACAAIAAgACAAIABcACIATQBfAGMAcABcACIALABcACIAbQBhAHMAcwAgAG8AZgAgAG4AaQB0AHIAbwBnAGUAbgAgAGkAbgAgAGMAcgBvAHAAIAByAGUAcwBpAGQAdQBlAHMAIABjACAAbwByACAAcABhAHMAdAB1AHIAZQAgAHIAZQBzAGkAZAB1AGUAcwAgAHAAIABhAHAAcABsAGkAZQBkACAAdABvACAAcwBvAGkAbABzAFwAIgAsACAAXAAiAGsAZwAgAE4AXAAiACwAIABcACIAQwBhAGwAYwAgAGYAcgBvAG0AIAA2AC4AMQAuADEALgAxACAAKAAyACkAIABhAG4AZAAgADYALgAyAC4AMQAuADEAIAAoADIAKQBcACIAOwBcAG4AIAAgACAAIAAgACAAIAAgACAAIABcACIARgByAGEAYwBXAEUAVABfAGoAXAAiACwAXAAiAGYAcgBhAGMAdABpAG8AbgAgAG8AZgAgAE4AIAB0AGgAYQB0ACAAaQBzACAAYQB2AGEAaQBsAGEAYgBsAGUAIABmAG8AcgAgAGwAZQBhAGMAaABpAG4AZwAgAGEAbgBkACAAcgB1AG4AbwBmAGYAIABmAHIAbwBtACAAdABoAGUAIABsAGUAYQBjAGgAaQBuAGcAIAB6AG8AbgBlACAAegAgAGEAbgBkACAAaQByAHIAaQBnAGEAdABpAG8AbgAgAHQAeQBwAGUAIABpAHIAXAAiACwAIABcACIAZgByAGEAYwB0AGkAbwBuAFwAIgAsACAAXAAiAEMAbwBuAHMAdABhAG4AdABcACIAOwBcAG4AIAAgACAAIAAgACAAIAAgACAAIABcACIARgByAGEAYwBMAEUAQQBDAEgAXAAiACwAXAAiAGYAcgBhAGMAdABpAG8AbgAgAG8AZgAgAE4AIAB0AGgAYQB0ACAAaQBzACAAbABvAHMAdAAgAHQAaAByAG8AdQBnAGgAIABsAGUAYQBjAGgAaQBuAGcAIABhAG4AZAAgAHIAdQBuAG8AZgBmAFwAIgAsACAAXAAiAGYAcgBhAGMAdABpAG8AbgBcACIALAAgAFwAIgBDAG8AbgBzAHQAYQBuAHQAXAAiADsAXABuACAAIAAgACAAIAAgACAAIAAgACAAXAAiAHoAXAAiACwAIABcACIATABvAGMAYQB0AGkAbwBuACAAaQBuACAAbABlAGEAYwBoAGkAbgBnACAAegBvAG4AZQBcACIALAAgAFwAIgBcACIALAAgAFwAIgBJAG4AcAB1AHQAXAAiADsAXABuACAAIAAgACAAIAAgACAAIAAgACAAXAAiAGMAXAAiACwAXAAiAEMAcgBvAHAAIAByAGUAcwBpAGQAdQBlACAAdAB5AHAAZQBcACIALAAgAFwAIgBcACIALAAgAFwAIgBJAG4AcAB1AHQAXAAiADsAXABuACAAIAAgACAAIAAgACAAIAAgACAAXAAiAHAAXAAiACwAXAAiAFAAYQBzAHQAdQByAGUAIAByAGUAcwBpAGQAdQBlACAAdAB5AHAAZQBcACIALAAgAFwAIgBcACIALAAgAFwAIgBJAG4AcAB1AHQAXAAiADsAXABuACAAIAAgACAAIAAgACAAIAAgACAAXAAiAGkAcgBcACIALAAgAFwAIgBJAHIAcgBpAGcAYQB0AGkAbwBuACAAdAB5AHAAZQBcACIALAAgAFwAIgBcACIALAAgAFwAIgBJAG4AcAB1AHQAXAAiAFwAbgAgACAAIAAgACAAIAAgACAAfQAsACAAcgAsACAAYwApAFwAbgAgACAAIAAgACAAIAApAFwAbgAgACAAIAAgACkAXABuACAAIAApADsAXABuAFwAbgAgACAAVgBFAEUAUgBHAF8ANgBfADMAXwAxAF8AMQBfAF8AMgBfAF8ATQBhAHMAcwBPAGYATgBpAHQAcgBvAGcAZQBuAEwAbwBzAHQAVABoAHIAbwB1AGcAaABMAGUAYQBjAGgAaQBuAGcAQQBuAGQAUgB1AG4AbwBmAGYAXwBWAGEAcgBpAGEAdABpAG8AbgBcAG4AIAAgAD0ATABBAE0AQgBEAEEAKABcACIAXAAiACkAOwBcAG4AXABuAFwAbgBcAG4AIgB9ACwAewAiAHAAYQB0AGgAIgA6ACIALwBwAHIAbwBqAGUAYwB0AHMALwBBAGcAUgBlAHMAaQBkAHUAZQBfAEUAcQB1AGEAdABpAG8AbgBzAF8ARgBpAGUAbABkAEIAdQByAG4AaQBuAGcAIgAsACIAdABlAHgAdAAiADoAIgAvACoAIABcAG4ALQAtAC0ALQAtAC0ALQAtAC0ALQAtAC0ALQAtAC0ALQAtAC0ALQAtAC0ALQAtAC0ALQAtAC0ALQAtAC0ALQAtAC0ALQAtAC0ALQAtAFwAbgBWAEUARQBSAEcAXwA2AF8ANABfADEAXwAxAF8AXwAxAF8AXwBNAGUAdABoAGEAbgBlAEUAbQBpAHMAcwBpAG8AbgBzAEYAcgBvAG0AQgB1AHIAbgBpAG4AZwBPAGYAQwByAG8AcABSAGUAcwBpAGQAdQBlAHMAXABuAE0AZQB0AGgAYQBuAGUAIABlAG0AaQBzAHMAaQBvAG4AcwAgAGYAcgBvAG0AIAB0AGgAZQAgAGIAdQByAG4AaQBuAGcAIABvAGYAIABjAHIAbwBwACAAcgBlAHMAaQBkAHUAZQBzAFwAbgBFAEMASAA0AFwAbgB0ACAAQwBIADQAXABuAEUAXwB7AEMASAA0AH0APQBcAG4AXABcAHMAdQBtAF8AewBjAH0AKABNAF8AewBiAHUAcgBuACwAYwB9AFwAXAB0AGkAbQBlAHMAIABDAEMAXwB7AGMAfQBcAFwAdABpAG0AZQBzACAARQBGAF8AewBDAEgANAB9AFwAXAB0AGkAbQBlAHMAIABDAF8AewBDAEgANAB9AFwAXAB0AGkAbQBlAHMAIAAxADAAXgB7AC0AMwB9ACkAXABuAE0AXwBiAHUAcgBuAGMAIAA9ACAAbQBhAHMAcwAgAG8AZgAgAHIAZQBzAGkAZAB1AGUAIABiAHUAcgBuAHQAIABmAG8AcgAgAGMAcgBvAHAAIAB0AHkAcABlACAAYwAgACgAawBnACkAXABuAEMAQwBfAGMAIAA9ACAAYwBhAHIAYgBvAG4AIABtAGEAcwBzACAAZgByAGEAYwB0AGkAbwBuACAAaQBuACAAdABoAGUAIAByAGUAcwBpAGQAdQBlAHMAIABvAGYAIABjAHIAbwBwACAAdAB5AHAAZQAgAGMAIAAoAGQAaQBtAGUAbgBzAGkAbwBuAGwAZQBzAHMAKQBcAG4ARQBGAF8AQwBIADQAIAA9ACAAZQBtAGkAcwBzAGkAbwBuACAAZgBhAGMAdABvAHIAIABmAG8AcgAgAG0AZQB0AGgAYQBuAGUAIABmAHIAbwBtACAAYgB1AHIAbgBpAG4AZwAgAG8AZgAgAGMAcgBvAHAAIAByAGUAcwBpAGQAdQBlAHMAIAAoAGsAZwAgAEMASAA0AC8AawBnACAAQwBIADQAIABiAHUAcgBuAHQAKQBcAG4AQwBDAEgANAAgAD0AIABmAGEAYwB0AG8AcgAgAHQAbwAgAGMAbwBuAHYAZQByAHQAIABlAGwAZQBtAGUAbgB0AGEAbAAgAG0AYQBzAHMAIABvAGYAIABtAGUAdABoAGEAbgBlACAAdABvACAAbQBvAGwAZQBjAHUAbABhAHIAIABtAGEAcwBzACAAKABkAGkAbQBlAG4AcwBpAG8AbgBsAGUAcwBzACkAXABuAGMAIAA9ACAAQwByAG8AcAAgAHQAeQBwAGUAXABuAC0ALQAtAC0ALQAtAC0ALQAtAC0ALQAtAC0ALQAtAC0ALQAtAC0ALQAtAC0ALQAtAC0ALQAtAC0ALQAtAC0ALQAtAC0ALQAtAC0ALQBcAG4AKgAvAFwAbgBcAG4AVgBFAEUAUgBHAF8ANgBfADQAXwAxAF8AMQBfAF8AMQBfAF8ATQBlAHQAaABhAG4AZQBFAG0AaQBzAHMAaQBvAG4AcwBGAHIAbwBtAEIAdQByAG4AaQBuAGcATwBmAEMAcgBvAHAAUgBlAHMAaQBkAHUAZQBzAFwAbgAgACAAPQBMAEEATQBCAEQAQQAoAFwAbgAgACAAIAAgAE0AXwBiAHUAcgBuAGMALAAgAEMAQwBfAGMALAAgAEUARgBfAEMASAA0ACwAIABDAF8AQwBIADQALABcAG4AIAAgACAAIAAoAE0AXwBiAHUAcgBuAGMAIAAqACAAQwBDAF8AYwApACAAKgAgAEUARgBfAEMASAA0ACAAKgAgAEMAXwBDAEgANAAgACoAIAAxADAAXgAoAC0AMwApAFwAbgAgACAAKQA7AFwAbgBcAG4AVgBFAEUAUgBHAF8ANgBfADQAXwAxAF8AMQBfAF8AMQBfAF8ATQBlAHQAaABhAG4AZQBFAG0AaQBzAHMAaQBvAG4AcwBGAHIAbwBtAEIAdQByAG4AaQBuAGcATwBmAEMAcgBvAHAAUgBlAHMAaQBkAHUAZQBzAF8ARgB1AG4AYwB0AGkAbwBuAE4AYQBtAGUAXABuACAAIAA9AEwAQQBNAEIARABBACgAXAAiAFYARQBFAFIARwBfADYAXwA0AF8AMQBfADEAXwBfADEAXwBfAE0AZQB0AGgAYQBuAGUARQBtAGkAcwBzAGkAbwBuAHMARgByAG8AbQBCAHUAcgBuAGkAbgBnAE8AZgBDAHIAbwBwAFIAZQBzAGkAZAB1AGUAcwBcACIAKQA7AFwAbgBcAG4AVgBFAEUAUgBHAF8ANgBfADQAXwAxAF8AMQBfAF8AMQBfAF8ATQBlAHQAaABhAG4AZQBFAG0AaQBzAHMAaQBvAG4AcwBGAHIAbwBtAEIAdQByAG4AaQBuAGcATwBmAEMAcgBvAHAAUgBlAHMAaQBkAHUAZQBzAF8AVABpAHQAbABlAFwAbgAgACAAPQBMAEEATQBCAEQAQQAoAFwAIgBNAGUAdABoAGEAbgBlACAAZQBtAGkAcwBzAGkAbwBuAHMAIABmAHIAbwBtACAAdABoAGUAIABiAHUAcgBuAGkAbgBnACAAbwBmACAAYwByAG8AcAAgAHIAZQBzAGkAZAB1AGUAcwBcACIAKQA7AFwAbgBcAG4AVgBFAEUAUgBHAF8ANgBfADQAXwAxAF8AMQBfAF8AMQBfAF8ATQBlAHQAaABhAG4AZQBFAG0AaQBzAHMAaQBvAG4AcwBGAHIAbwBtAEIAdQByAG4AaQBuAGcATwBmAEMAcgBvAHAAUgBlAHMAaQBkAHUAZQBzAF8AVgBhAHIAaQBhAGIAbABlAFwAbgAgACAAPQBMAEEATQBCAEQAQQAoAFwAIgBFAEMASAA0AFwAIgApADsAXABuAFwAbgBWAEUARQBSAEcAXwA2AF8ANABfADEAXwAxAF8AXwAxAF8AXwBNAGUAdABoAGEAbgBlAEUAbQBpAHMAcwBpAG8AbgBzAEYAcgBvAG0AQgB1AHIAbgBpAG4AZwBPAGYAQwByAG8AcABSAGUAcwBpAGQAdQBlAHMAXwBVAG4AaQB0AFwAbgAgACAAPQBMAEEATQBCAEQAQQAoAFwAIgB0ACAAQwBIADQAXAAiACkAOwBcAG4AXABuAFYARQBFAFIARwBfADYAXwA0AF8AMQBfADEAXwBfADEAXwBfAE0AZQB0AGgAYQBuAGUARQBtAGkAcwBzAGkAbwBuAHMARgByAG8AbQBCAHUAcgBuAGkAbgBnAE8AZgBDAHIAbwBwAFIAZQBzAGkAZAB1AGUAcwBfAFMAbwB1AHIAYwBlAFwAbgAgACAAPQBMAEEATQBCAEQAQQAoAFwAIgBWAEUARQBSAEcAIAAyADAAMgA2ADoAIAA2AC4ANAAuADEALgAxACwAIABFAHEAdQBhAHQAaQBvAG4AIAAoADEAKQBcACIAKQA7AFwAbgBcAG4AVgBFAEUAUgBHAF8ANgBfADQAXwAxAF8AMQBfAF8AMQBfAF8ATQBlAHQAaABhAG4AZQBFAG0AaQBzAHMAaQBvAG4AcwBGAHIAbwBtAEIAdQByAG4AaQBuAGcATwBmAEMAcgBvAHAAUgBlAHMAaQBkAHUAZQBzAF8ATgBJAFIAUgBlAGYAZQByAGUAbgBjAGUAXABuACAAIAA9AEwAQQBNAEIARABBACgAXAAiAFwAIgApADsAXABuAFwAbgBWAEUARQBSAEcAXwA2AF8ANABfADEAXwAxAF8AXwAxAF8AXwBNAGUAdABoAGEAbgBlAEUAbQBpAHMAcwBpAG8AbgBzAEYAcgBvAG0AQgB1AHIAbgBpAG4AZwBPAGYAQwByAG8AcABSAGUAcwBpAGQAdQBlAHMAXwBMAGEAdABlAHgARQBxAHUAYQB0AGkAbwBuAFwAbgAgACAAPQBMAEEATQBCAEQAQQAoAFwAIgBFAF8AewBDAEgANAB9AD0AXABcAHMAdQBtAFwAXABuAG8AbABpAG0AaQB0AHMAXwBjACgATQBfAHsAYgB1AHIAbgAsAGMAfQBcAFwAdABpAG0AZQBzACAAQwBDAF8AewBjAH0AKQBcAFwAdABpAG0AZQBzACAARQBGAF8AewBDAEgANAB9AFwAXAB0AGkAbQBlAHMAIABDAF8AewBDAEgANAB9AFwAXAB0AGkAbQBlAHMAIAAxADAAXgB7AC0AMwB9AFwAIgApADsAXABuAFwAbgBWAEUARQBSAEcAXwA2AF8ANABfADEAXwAxAF8AXwAxAF8AXwBNAGUAdABoAGEAbgBlAEUAbQBpAHMAcwBpAG8AbgBzAEYAcgBvAG0AQgB1AHIAbgBpAG4AZwBPAGYAQwByAG8AcABSAGUAcwBpAGQAdQBlAHMAXwBBAHIAZwB1AG0AZQBuAHQAcwBcAG4AIAAgAD0ATABBAE0AQgBEAEEAKABcAG4AIAAgACAAIABNAEEASwBFAEEAUgBSAEEAWQAoADUALAAgADQALABcAG4AIAAgACAAIAAgACAATABBAE0AQgBEAEEAKAByACwAYwAsAFwAbgAgACAAIAAgACAAIAAgACAASQBOAEQARQBYACgAewBcAG4AIAAgACAAIAAgACAAIAAgACAAIABcACIATQBfAGIAdQByAG4AYwBcACIALABcACIAbQBhAHMAcwAgAG8AZgAgAHIAZQBzAGkAZAB1AGUAIABiAHUAcgBuAHQAIABmAG8AcgAgAGMAcgBvAHAAIAB0AHkAcABlACAAYwBcACIALAAgAFwAIgBrAGcAXAAiACwAIABcACIAQwBhAGwAYwB1AGwAYQB0AGUAZAAgAGYAcgBvAG0AIAA2AC4ANAAuADEALgAxACAAKAAzACkAXAAiADsAXABuACAAIAAgACAAIAAgACAAIAAgACAAXAAiAEMAQwBfAGMAXAAiACwAXAAiAGMAYQByAGIAbwBuACAAbQBhAHMAcwAgAGYAcgBhAGMAdABpAG8AbgAgAGkAbgAgAHQAaABlACAAcgBlAHMAaQBkAHUAZQBzACAAbwBmACAAYwByAG8AcAAgAHQAeQBwAGUAIABjAFwAIgAsACAAXAAiAGYAcgBhAGMAdABpAG8AbgBcACIALAAgAFwAIgBDAG8AbgBzAHQAYQBuAHQAXAAiADsAXABuACAAIAAgACAAIAAgACAAIAAgACAAXAAiAEUARgBfAEMASAA0AFwAIgAsAFwAIgBlAG0AaQBzAHMAaQBvAG4AIABmAGEAYwB0AG8AcgAgAGYAbwByACAAbQBlAHQAaABhAG4AZQAgAGYAcgBvAG0AIABiAHUAcgBuAGkAbgBnACAAbwBmACAAYwByAG8AcAAgAHIAZQBzAGkAZAB1AGUAcwBcACIALAAgAFwAIgBrAGcAIABDAEgANAAgAC8AIABrAGcAIABDAEgANAAgAGIAdQByAG4AdABcACIALAAgAFwAIgBDAG8AbgBzAHQAYQBuAHQAXAAiADsAXABuACAAIAAgACAAIAAgACAAIAAgACAAXAAiAEMAXwBDAEgANABcACIALABcACIAZgBhAGMAdABvAHIAIAB0AG8AIABjAG8AbgB2AGUAcgB0ACAAZQBsAGUAbQBlAG4AdABhAGwAIABtAGEAcwBzACAAbwBmACAAbQBlAHQAaABhAG4AZQAgAHQAbwAgAG0AbwBsAGUAYwB1AGwAYQByACAAbQBhAHMAcwBcACIALAAgAFwAIgBkAGkAbQBlAG4AcwBpAG8AbgBsAGUAcwBzAFwAIgAsACAAXAAiAEMAbwBuAHMAdABhAG4AdABcACIAOwBcAG4AIAAgACAAIAAgACAAIAAgACAAIABcACIAYwBcACIALABcACIAQwByAG8AcAAgAHQAeQBwAGU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gBfADQAXwAxAF8AMQBfAF8AMgBfAF8ATgBpAHQAcgBvAHUAcwBPAHgAaQBkAGUARQBtAGkAcwBzAGkAbwBuAHMARgByAG8AbQBCAHUAcgBuAGkAbgBnAE8AZgBDAHIAbwBwAFIAZQBzAGkAZAB1AGUAcwBcAG4ATgBpAHQAcgBvAHUAcwAgAG8AeABpAGQAZQAgAGUAbQBpAHMAcwBpAG8AbgBzACAAZgByAG8AbQAgAHQAaABlACAAYgB1AHIAbgBpAG4AZwAgAG8AZgAgAGMAcgBvAHAAIAByAGUAcwBpAGQAdQBlAHMAXABuAEUATgAyAE8AXABuAHQAIABOADIATwBcAG4ARQBfAHsATgAyAE8AfQA9AFwAXABzAHUAbQBfAHsAYwB9ACgATQBfAHsAYgB1AHIAbgAsAGMAfQBcAFwAdABpAG0AZQBzACAATgBDAF8AewBBAEcAYwB9AFwAXAB0AGkAbQBlAHMAIABFAEYAXwB7AE4AMgBPAH0AXABcAHQAaQBtAGUAcwAgAEMAXwB7AE4AMgBPAH0AXABcAHQAaQBtAGUAcwAgADEAMABeAHsALQAzAH0AKQBcAG4ATQBfAGIAdQByAG4AYwAgAD0AIABtAGEAcwBzACAAbwBmACAAcgBlAHMAaQBkAHUAZQAgAGIAdQByAG4AdAAgAGYAbwByACAAYwByAG8AcAAgAHQAeQBwAGUAIABjACAAKABrAGcAKQBcAG4ATgBDAF8AQQBHAGMAIAA9ACAAbgBpAHQAcgBvAGcAZQBuACAAYwBvAG4AdABlAG4AdAAgAGkAbgAgAHQAaABlACAAYQBiAG8AdgBlAC0AZwByAG8AdQBuAGQAIAByAGUAcwBpAGQAdQBlACAAbwBmACAAYwByAG8AcAAgAHQAeQBwAGUAIABjACAAKABrAGcAIABOAC8AawBnACAARABNACkAXABuAEUARgBfAE4AMgBPACAAPQAgAGUAbQBpAHMAcwBpAG8AbgAgAGYAYQBjAHQAbwByACAAZgBvAHIAIABuAGkAdAByAG8AdQBzACAAbwB4AGkAZABlACAAZgByAG8AbQAgAGIAdQByAG4AaQBuAGcAIABvAGYAIABjAHIAbwBwACAAcgBlAHMAaQBkAHUAZQBzACAAKABrAGcAIABOADIATwAvAGsAZwAgAE4AMgBPACAAYgB1AHIAbgB0ACkAXABuAEMAXwBOADIATwAgAD0AIABmAGEAYwB0AG8AcgAgAHQAbwAgAGMAbwBuAHYAZQByAHQAIABlAGwAZQBtAGUAbgB0AGEAbAAgAG0AYQBzAHMAIABvAGYAIABuAGkAdAByAG8AdQBzACAAbwB4AGkAZABlACAAdABvACAAbQBvAGwAZQBjAHUAbABhAHIAIABtAGEAcwBzACAAKABkAGkAbQBlAG4AcwBpAG8AbgBsAGUAcwBzACkAXABuAGMAIAA9ACAAQwByAG8AcAAgAHQAeQBwAGUAXABuAC0ALQAtAC0ALQAtAC0ALQAtAC0ALQAtAC0ALQAtAC0ALQAtAC0ALQAtAC0ALQAtAC0ALQAtAC0ALQAtAC0ALQAtAC0ALQAtAC0ALQBcAG4AKgAvAFwAbgBcAG4AVgBFAEUAUgBHAF8ANgBfADQAXwAxAF8AMQBfAF8AMgBfAF8ATgBpAHQAcgBvAHUAcwBPAHgAaQBkAGUARQBtAGkAcwBzAGkAbwBuAHMARgByAG8AbQBCAHUAcgBuAGkAbgBnAE8AZgBDAHIAbwBwAFIAZQBzAGkAZAB1AGUAcwBcAG4AIAAgAD0ATABBAE0AQgBEAEEAKABcAG4AIAAgACAAIABNAF8AYgB1AHIAbgBjACwAIABOAEMAXwBBAEcAYwAsACAARQBGAF8ATgAyAE8ALAAgAEMAXwBOADIATwAsAFwAbgAgACAAIAAgACgATQBfAGIAdQByAG4AYwAgACoAIABOAEMAXwBBAEcAYwApACAAKgAgAEUARgBfAE4AMgBPACAAKgAgAEMAXwBOADIATwAgACoAIAAxADAAXgAoAC0AMwApAFwAbgAgACAAKQA7AFwAbgBcAG4AVgBFAEUAUgBHAF8ANgBfADQAXwAxAF8AMQBfAF8AMgBfAF8ATgBpAHQAcgBvAHUAcwBPAHgAaQBkAGUARQBtAGkAcwBzAGkAbwBuAHMARgByAG8AbQBCAHUAcgBuAGkAbgBnAE8AZgBDAHIAbwBwAFIAZQBzAGkAZAB1AGUAcwBfAEYAdQBuAGMAdABpAG8AbgBOAGEAbQBlAFwAbgAgACAAPQBMAEEATQBCAEQAQQAoAFwAIgBWAEUARQBSAEcAXwA2AF8ANABfADEAXwAxAF8AXwAyAF8AXwBOAGkAdAByAG8AdQBzAE8AeABpAGQAZQBFAG0AaQBzAHMAaQBvAG4AcwBGAHIAbwBtAEIAdQByAG4AaQBuAGcATwBmAEMAcgBvAHAAUgBlAHMAaQBkAHUAZQBzAFwAIgApADsAXABuAFwAbgBWAEUARQBSAEcAXwA2AF8ANABfADEAXwAxAF8AXwAyAF8AXwBOAGkAdAByAG8AdQBzAE8AeABpAGQAZQBFAG0AaQBzAHMAaQBvAG4AcwBGAHIAbwBtAEIAdQByAG4AaQBuAGcATwBmAEMAcgBvAHAAUgBlAHMAaQBkAHUAZQBzAF8AVABpAHQAbABlAFwAbgAgACAAPQBMAEEATQBCAEQAQQAoAFwAIgBOAGkAdAByAG8AdQBzACAAbwB4AGkAZABlACAAZQBtAGkAcwBzAGkAbwBuAHMAIABmAHIAbwBtACAAdABoAGUAIABiAHUAcgBuAGkAbgBnACAAbwBmACAAYwByAG8AcAAgAHIAZQBzAGkAZAB1AGUAcwBcACIAKQA7AFwAbgBcAG4AVgBFAEUAUgBHAF8ANgBfADQAXwAxAF8AMQBfAF8AMgBfAF8ATgBpAHQAcgBvAHUAcwBPAHgAaQBkAGUARQBtAGkAcwBzAGkAbwBuAHMARgByAG8AbQBCAHUAcgBuAGkAbgBnAE8AZgBDAHIAbwBwAFIAZQBzAGkAZAB1AGUAcwBfAFYAYQByAGkAYQBiAGwAZQBcAG4AIAAgAD0ATABBAE0AQgBEAEEAKABcACIARQBOADIATwBcACIAKQA7AFwAbgBcAG4AVgBFAEUAUgBHAF8ANgBfADQAXwAxAF8AMQBfAF8AMgBfAF8ATgBpAHQAcgBvAHUAcwBPAHgAaQBkAGUARQBtAGkAcwBzAGkAbwBuAHMARgByAG8AbQBCAHUAcgBuAGkAbgBnAE8AZgBDAHIAbwBwAFIAZQBzAGkAZAB1AGUAcwBfAFUAbgBpAHQAXABuACAAIAA9AEwAQQBNAEIARABBACgAXAAiAHQAIABOADIATwBcACIAKQA7AFwAbgBcAG4AVgBFAEUAUgBHAF8ANgBfADQAXwAxAF8AMQBfAF8AMgBfAF8ATgBpAHQAcgBvAHUAcwBPAHgAaQBkAGUARQBtAGkAcwBzAGkAbwBuAHMARgByAG8AbQBCAHUAcgBuAGkAbgBnAE8AZgBDAHIAbwBwAFIAZQBzAGkAZAB1AGUAcwBfAFMAbwB1AHIAYwBlAFwAbgAgACAAPQBMAEEATQBCAEQAQQAoAFwAIgBWAEUARQBSAEcAIAAyADAAMgA2ADoAIAA2AC4ANAAuADEALgAxACwAIABFAHEAdQBhAHQAaQBvAG4AIAAoADIAKQBcACIAKQA7AFwAbgBcAG4AVgBFAEUAUgBHAF8ANgBfADQAXwAxAF8AMQBfAF8AMgBfAF8ATgBpAHQAcgBvAHUAcwBPAHgAaQBkAGUARQBtAGkAcwBzAGkAbwBuAHMARgByAG8AbQBCAHUAcgBuAGkAbgBnAE8AZgBDAHIAbwBwAFIAZQBzAGkAZAB1AGUAcwBfAE4ASQBSAFIAZQBmAGUAcgBlAG4AYwBlAFwAbgAgACAAPQBMAEEATQBCAEQAQQAoAFwAIgBcACIAKQA7AFwAbgBcAG4AVgBFAEUAUgBHAF8ANgBfADQAXwAxAF8AMQBfAF8AMgBfAF8ATgBpAHQAcgBvAHUAcwBPAHgAaQBkAGUARQBtAGkAcwBzAGkAbwBuAHMARgByAG8AbQBCAHUAcgBuAGkAbgBnAE8AZgBDAHIAbwBwAFIAZQBzAGkAZAB1AGUAcwBfAEwAYQB0AGUAeABFAHEAdQBhAHQAaQBvAG4AXABuACAAIAA9AEwAQQBNAEIARABBACgAXAAiAEUAXwB7AE4AMgBPAH0APQBcAFwAcwB1AG0AXABcAG4AbwBsAGkAbQBpAHQAcwBfAGMAKABNAF8AewBiAHUAcgBuACwAYwB9AFwAXAB0AGkAbQBlAHMAIABOAEMAXwB7AEEARwBjAH0AKQBcAFwAdABpAG0AZQBzACAARQBGAF8AewBOADIATwB9AFwAXAB0AGkAbQBlAHMAIABDAF8AewBOADIATwB9AFwAXAB0AGkAbQBlAHMAIAAxADAAXgB7AC0AMwB9AFwAIgApADsAXABuAFwAbgBWAEUARQBSAEcAXwA2AF8ANABfADEAXwAxAF8AXwAyAF8AXwBOAGkAdAByAG8AdQBzAE8AeABpAGQAZQBFAG0AaQBzAHMAaQBvAG4AcwBGAHIAbwBtAEIAdQByAG4AaQBuAGcATwBmAEMAcgBvAHAAUgBlAHMAaQBkAHUAZQBzAF8AQQByAGcAdQBtAGUAbgB0AHMAXABuACAAIAA9AEwAQQBNAEIARABBACgAXABuACAAIAAgACAATQBBAEsARQBBAFIAUgBBAFkAKAA1ACwAIAA0ACwAXABuACAAIAAgACAAIAAgAEwAQQBNAEIARABBACgAcgAsAGMALABcAG4AIAAgACAAIAAgACAAIAAgAEkATgBEAEUAWAAoAHsAXABuACAAIAAgACAAIAAgACAAIAAgACAAXAAiAE0AXwBiAHUAcgBuAGMAXAAiACwAXAAiAG0AYQBzAHMAIABvAGYAIAByAGUAcwBpAGQAdQBlACAAYgB1AHIAbgB0ACAAZgBvAHIAIABjAHIAbwBwACAAdAB5AHAAZQAgAGMAXAAiACwAIABcACIAawBnAFwAIgAsACAAXAAiAEMAYQBsAGMAdQBsAGEAdABlAGQAIABmAHIAbwBtACAANgAuADQALgAxAC4AMQAgACgAMwApAFwAIgA7AFwAbgAgACAAIAAgACAAIAAgACAAIAAgAFwAIgBOAEMAXwBBAEcAYwBcACIALABcACIAbgBpAHQAcgBvAGcAZQBuACAAYwBvAG4AdABlAG4AdAAgAGkAbgAgAHQAaABlACAAYQBiAG8AdgBlAC0AZwByAG8AdQBuAGQAIAByAGUAcwBpAGQAdQBlACAAbwBmACAAYwByAG8AcAAgAHQAeQBwAGUAIABjAFwAIgAsACAAXAAiAGsAZwAgAE4ALwBrAGcAIABEAE0AXAAiACwAIABcACIAQwBvAG4AcwB0AGEAbgB0AFwAIgA7AFwAbgAgACAAIAAgACAAIAAgACAAIAAgAFwAIgBFAEYAXwBOADIATwBcACIALABcACIAZQBtAGkAcwBzAGkAbwBuACAAZgBhAGMAdABvAHIAIABmAG8AcgAgAG4AaQB0AHIAbwB1AHMAIABvAHgAaQBkAGUAIABmAHIAbwBtACAAYgB1AHIAbgBpAG4AZwAgAG8AZgAgAGMAcgBvAHAAIAByAGUAcwBpAGQAdQBlAHMAXAAiACwAIABcACIAawBnACAATgAyAE8ALwBrAGcAIABOADIATwAgAGIAdQByAG4AdA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kAGkAbQBlAG4AcwBpAG8AbgBsAGUAcwBzAFwAIgAsACAAXAAiAEMAbwBuAHMAdABhAG4AdABcACIAOwBcAG4AIAAgACAAIAAgACAAIAAgACAAIABcACIAYwBcACIALABcACIAQwByAG8AcAAgAHQAeQBwAGU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gBfADQAXwAxAF8AMQBfAF8AMwBfAF8ATQBhAHMAcwBPAGYAQwByAG8AcABSAGUAcwBpAGQAdQBlAEIAdQByAG4AdABcAG4ATQBhAHMAcwAgAG8AZgAgAHIAZQBzAGkAZAB1AGUAIABvAGYAIABjAHIAbwBwACAAYwAgAGIAdQByAG4AdABcAG4ATQBfAGIAdQByAG4AYwBcAG4AawBnAFwAbgBNAF8AewBiAHUAcgBuACwAYwB9AD0AUABfAHsAYwB9AFwAXAB0AGkAbQBlAHMAIABSAF8AewBBAEcAYwB9AFwAXAB0AGkAbQBlAHMAIABTAF8AewBjAH0AXABcAHQAaQBtAGUAcwAgAEQATQBfAHsAYwB9AFwAXAB0AGkAbQBlAHMAIABaAF8AewBjAH0AXABcAHQAaQBtAGUAcwAgAEYAXwB7AGMAfQBcAG4AUABfAGMAIAA9ACAAYQBuAG4AdQBhAGwAIABwAHIAbwBkAHUAYwB0AGkAbwBuACAAbwBmACAAYwByAG8AcAAgAHQAeQBwAGUAIABjACAAKABrAGcAKQBcAG4AUgBfAEEARwBjACAAPQAgAHIAZQBzAGkAZAB1AGUAIAB0AG8AIABjAHIAbwBwACAAcgBhAHQAaQBvACAAbwBmACAAYwByAG8AcAAgAHQAeQBwAGUAIABjACAAKABrAGcAIABjAHIAbwBwACAAcgBlAHMAaQBkAHUAZQAvAGsAZwAgAGMAcgBvAHAAKQBcAG4AUwBfAGMAIAA9ACAAZgByAGEAYwB0AGkAbwBuACAAbwBmACAAcgBlAHMAaQBkAHUAZQBzACAAbwBmACAAYwByAG8AcAAgAHQAeQBwAGUAIABjACAAcgBlAG0AYQBpAG4AaQBuAGcAIABhAHQAIABiAHUAcgBuAGkAbgBnACAAKABkAGkAbQBlAG4AcwBpAG8AbgBsAGUAcwBzACkAXABuAEQATQBfAGMAIAA9ACAAZAByAHkAIABtAGEAdAB0AGUAcgAgAGMAbwBuAHQAZQBuAHQAIABvAGYAIABjAHIAbwBwACAAdAB5AHAAZQAgAGMAIAAoAGsAZwAgAGQAcgB5ACAAdwBlAGkAZwBoAHQALwBrAGcAIABjAHIAbwBwACAAcgBlAHMAaQBkAHUAZQApAFwAbgBaAF8AYwAgAD0AIABiAHUAcgBuAGkAbgBnACAAZQBmAGYAaQBjAGkAZQBuAGMAeQAgACgAcgBhAHQAaQBvACAAbwBmACAAZgB1AGUAbAAgAGIAdQByAG4AdAAgAHQAbwAgAGYAdQBlAGwAIABsAG8AYQBkACkAIABvAGYAIABjAHIAbwBwACAAdAB5AHAAZQAgAGMAIAAoAGQAaQBtAGUAbgBzAGkAbwBuAGwAZQBzAHMAKQBcAG4ARgBfAGMAIAA9ACAAZgByAGEAYwB0AGkAbwBuACAAbwBmACAAdABoAGUAIABhAG4AbgB1AGEAbAAgAHAAcgBvAGQAdQBjAHQAaQBvAG4AIABvAGYAIABjAHIAbwBwACAAdAB5AHAAZQAgAGMAIAB0AGgAYQB0ACAAaQBzACAAYgB1AHIAbgB0ACAAKABkAGkAbQBlAG4AcwBpAG8AbgBsAGUAcwBzACkAXABuAGMAIAA9ACAAQwByAG8AcAAgAHQAeQBwAGUAXABuAC0ALQAtAC0ALQAtAC0ALQAtAC0ALQAtAC0ALQAtAC0ALQAtAC0ALQAtAC0ALQAtAC0ALQAtAC0ALQAtAC0ALQAtAC0ALQAtAC0ALQBcAG4AKgAvAFwAbgBcAG4AVgBFAEUAUgBHAF8ANgBfADQAXwAxAF8AMQBfAF8AMwBfAF8ATQBhAHMAcwBPAGYAQwByAG8AcABSAGUAcwBpAGQAdQBlAEIAdQByAG4AdABcAG4AIAAgAD0ATABBAE0AQgBEAEEAKABcAG4AIAAgACAAIABQAF8AYwAsACAAUgBfAEEARwBjACwAIABTAF8AYwAsACAARABNAF8AYwAsACAAWgBfAGMALAAgAEYAXwBjACwAXABuACAAIAAgACAAUABfAGMAIAAqACAAUgBfAEEARwBjACAAKgAgAFMAXwBjACAAKgAgAEQATQBfAGMAIAAqACAAWgBfAGMAIAAqACAARgBfAGMAXABuACAAIAApADsAXABuAFwAbgBWAEUARQBSAEcAXwA2AF8ANABfADEAXwAxAF8AXwAzAF8AXwBNAGEAcwBzAE8AZgBDAHIAbwBwAFIAZQBzAGkAZAB1AGUAQgB1AHIAbgB0AF8ARgB1AG4AYwB0AGkAbwBuAE4AYQBtAGUAXABuACAAIAA9AEwAQQBNAEIARABBACgAXAAiAFYARQBFAFIARwBfADYAXwA0AF8AMQBfADEAXwBfADMAXwBfAE0AYQBzAHMATwBmAEMAcgBvAHAAUgBlAHMAaQBkAHUAZQBCAHUAcgBuAHQAXAAiACkAOwBcAG4AXABuAFYARQBFAFIARwBfADYAXwA0AF8AMQBfADEAXwBfADMAXwBfAE0AYQBzAHMATwBmAEMAcgBvAHAAUgBlAHMAaQBkAHUAZQBCAHUAcgBuAHQAXwBUAGkAdABsAGUAXABuACAAIAA9AEwAQQBNAEIARABBACgAXAAiAE0AYQBzAHMAIABvAGYAIAByAGUAcwBpAGQAdQBlACAAbwBmACAAYwByAG8AcAAgAGMAIABiAHUAcgBuAHQAXAAiACkAOwBcAG4AXABuAFYARQBFAFIARwBfADYAXwA0AF8AMQBfADEAXwBfADMAXwBfAE0AYQBzAHMATwBmAEMAcgBvAHAAUgBlAHMAaQBkAHUAZQBCAHUAcgBuAHQAXwBWAGEAcgBpAGEAYgBsAGUAXABuACAAIAA9AEwAQQBNAEIARABBACgAXAAiAE0AXwBiAHUAcgBuAGMAXAAiACkAOwBcAG4AXABuAFYARQBFAFIARwBfADYAXwA0AF8AMQBfADEAXwBfADMAXwBfAE0AYQBzAHMATwBmAEMAcgBvAHAAUgBlAHMAaQBkAHUAZQBCAHUAcgBuAHQAXwBVAG4AaQB0AFwAbgAgACAAPQBMAEEATQBCAEQAQQAoAFwAIgBrAGcAXAAiACkAOwBcAG4AXABuAFYARQBFAFIARwBfADYAXwA0AF8AMQBfADEAXwBfADMAXwBfAE0AYQBzAHMATwBmAEMAcgBvAHAAUgBlAHMAaQBkAHUAZQBCAHUAcgBuAHQAXwBTAG8AdQByAGMAZQBcAG4AIAAgAD0ATABBAE0AQgBEAEEAKABcACIAVgBFAEUAUgBHACAAMgAwADIANgA6ACAANgAuADQALgAxAC4AMQAsACAARQBxAHUAYQB0AGkAbwBuACAAKAAzACkAXAAiACkAOwBcAG4AXABuAFYARQBFAFIARwBfADYAXwA0AF8AMQBfADEAXwBfADMAXwBfAE0AYQBzAHMATwBmAEMAcgBvAHAAUgBlAHMAaQBkAHUAZQBCAHUAcgBuAHQAXwBOAEkAUgBSAGUAZgBlAHIAZQBuAGMAZQBcAG4AIAAgAD0ATABBAE0AQgBEAEEAKABcACIAXAAiACkAOwBcAG4AXABuAFYARQBFAFIARwBfADYAXwA0AF8AMQBfADEAXwBfADMAXwBfAE0AYQBzAHMATwBmAEMAcgBvAHAAUgBlAHMAaQBkAHUAZQBCAHUAcgBuAHQAXwBMAGEAdABlAHgARQBxAHUAYQB0AGkAbwBuAFwAbgAgACAAPQBMAEEATQBCAEQAQQAoAFwAIgBNAF8AewBiAHUAcgBuACwAYwB9AD0AUABfAHsAYwB9AFwAXAB0AGkAbQBlAHMAIABSAF8AewBBAEcAYwB9AFwAXAB0AGkAbQBlAHMAIABTAF8AewBjAH0AXABcAHQAaQBtAGUAcwAgAEQATQBfAHsAYwB9AFwAXAB0AGkAbQBlAHMAIABaAF8AewBjAH0AXABcAHQAaQBtAGUAcwAgAEYAXwB7AGMAfQBcACIAKQA7AFwAbgBcAG4AVgBFAEUAUgBHAF8ANgBfADQAXwAxAF8AMQBfAF8AMwBfAF8ATQBhAHMAcwBPAGYAQwByAG8AcABSAGUAcwBpAGQAdQBlAEIAdQByAG4AdABfAEEAcgBnAHUAbQBlAG4AdABzAFwAbgAgACAAPQBMAEEATQBCAEQAQQAoAFwAbgAgACAAIAAgAE0AQQBLAEUAQQBSAFIAQQBZACgANwAsACAANAAsAFwAbgAgACAAIAAgACAAIABMAEEATQBCAEQAQQAoAHIALABjACwAXABuACAAIAAgACAAIAAgACAAIABJAE4ARABFAFgAKAB7AFwAbgAgACAAIAAgACAAIAAgACAAIAAgAFwAIgBQAF8AYwBcACIALABcACIAYQBuAG4AdQBhAGwAIABwAHIAbwBkAHUAYwB0AGkAbwBuACAAbwBmACAAYwByAG8AcAAgAHQAeQBwAGUAIABjAFwAIgAsACAAXAAiAGsAZwBcACIALAAgAFwAIgBJAG4AcAB1AHQAXAAiADsAXABuACAAIAAgACAAIAAgACAAIAAgACAAXAAiAFIAXwBBAEcAYwBcACIALABcACIAcgBlAHMAaQBkAHUAZQAgAHQAbwAgAGMAcgBvAHAAIAByAGEAdABpAG8AIABvAGYAIABjAHIAbwBwACAAdAB5AHAAZQAgAGMAXAAiACwAIABcACIAawBnACAAYwByAG8AcAAgAHIAZQBzAGkAZAB1AGUALwBrAGcAIABjAHIAbwBwAFwAIgAsACAAXAAiAEMAbwBuAHMAdABhAG4AdABcACIAOwBcAG4AIAAgACAAIAAgACAAIAAgACAAIABcACIAUwBfAGMAXAAiACwAXAAiAGYAcgBhAGMAdABpAG8AbgAgAG8AZgAgAHIAZQBzAGkAZAB1AGUAcwAgAG8AZgAgAGMAcgBvAHAAIAB0AHkAcABlACAAYwAgAHIAZQBtAGEAaQBuAGkAbgBnACAAYQB0ACAAYgB1AHIAbgBpAG4AZwBcACIALAAgAFwAIgBmAHIAYQBjAHQAaQBvAG4AXAAiACwAIABcACIAQwBvAG4AcwB0AGEAbgB0AFwAIgA7AFwAbgAgACAAIAAgACAAIAAgACAAIAAgAFwAIgBEAE0AXwBjAFwAIgAsAFwAIgBkAHIAeQAgAG0AYQB0AHQAZQByACAAYwBvAG4AdABlAG4AdAAgAG8AZgAgAGMAcgBvAHAAIAB0AHkAcABlACAAYwBcACIALAAgAFwAIgBrAGcAIABkAHIAeQAgAHcAZQBpAGcAaAB0AC8AawBnACAAYwByAG8AcAAgAHIAZQBzAGkAZAB1AGUAXAAiACwAIABcACIAQwBvAG4AcwB0AGEAbgB0AFwAIgA7AFwAbgAgACAAIAAgACAAIAAgACAAIAAgAFwAIgBaAF8AYwBcACIALABcACIAYgB1AHIAbgBpAG4AZwAgAGUAZgBmAGkAYwBpAGUAbgBjAHkAIAAoAHIAYQB0AGkAbwAgAG8AZgAgAGYAdQBlAGwAIABiAHUAcgBuAHQAIAB0AG8AIABmAHUAZQBsACAAbABvAGEAZAApACAAbwBmACAAYwByAG8AcAAgAHQAeQBwAGUAIABjAFwAIgAsACAAXAAiAFwAIgAsACAAXAAiAEMAbwBuAHMAdABhAG4AdABcACIAOwBcAG4AIAAgACAAIAAgACAAIAAgACAAIABcACIARgBfAGMAXAAiACwAXAAiAGYAcgBhAGMAdABpAG8AbgAgAG8AZgAgAHQAaABlACAAYQBuAG4AdQBhAGwAIABwAHIAbwBkAHUAYwB0AGkAbwBuACAAbwBmACAAYwByAG8AcAAgAHQAeQBwAGUAIABjACAAdABoAGEAdAAgAGkAcwAgAGIAdQByAG4AdABcACIALAAgAFwAIgBmAHIAYQBjAHQAaQBvAG4AXAAiACwAIABcACIAQwBvAG4AcwB0AGEAbgB0AFwAIgA7AFwAbgAgACAAIAAgACAAIAAgACAAIAAgAFwAIgBjAFwAIgAsAFwAIgBDAHIAbwBwACAAdAB5AHAAZQBcACIALAAgAFwAIgBcACIALAAgAFwAIgBJAG4AcAB1AHQAXAAiAFwAbgAgACAAIAAgACAAIAAgACAAfQAsACAAcgAsACAAYwApAFwAbgAgACAAIAAgACAAIAApAFwAbgAgACAAIAAgACkAXABuACAAIAApADsAIgB9ACwAewAiAHAAYQB0AGgAIgA6ACIALwBwAHIAbwBqAGUAYwB0AHMALwBBAGcAcgBlAHMAaQBkAHUAZQBfAFMAbwB1AHIAYwBlAEQAYQB0AGEAIgAsACIAdABlAHgAdAAiADoAIgAvACoAXABuAD0APQA9AD0APQA9AD0APQA9AD0APQA9AD0APQA9AD0APQA9AD0APQA9AD0APQA9AD0APQA9AD0APQA9AD0APQA9AD0APQA9AD0APQA9AD0APQA9AD0APQA9AD0APQA9AD0APQA9AD0APQA9AD0APQA9AD0APQA9AD0APQA9AD0APQA9AD0APQA9AD0APQA9AD0APQA9AD0AXABuAEMAcgBvAHAAIABwAHUAcgBwAG8AcwBlACAAYQBuAGQAIAB5AGkAZQBsAGQAXABuAD0APQA9AD0APQA9AD0APQA9AD0APQA9AD0APQA9AD0APQA9AD0APQA9AD0APQA9AD0APQA9AD0APQA9AD0APQA9AD0APQA9AD0APQA9AD0APQA9AD0APQA9AD0APQA9AD0APQA9AD0APQA9AD0APQA9AD0APQA9AD0APQA9AD0APQA9AD0APQA9AD0APQA9AD0APQA9AD0AXABuACoALwBcAG4AXABuAEMAcgBvAHAAUAB1AHIAcABvAHMAZQBBAG4AZABZAGkAZQBsAGQAXwBUAGkAdABsAGUAXABuAD0ATABBAE0AQgBEAEEAKAAoAFwAIgBDAHIAbwBwACAAcAB1AHIAcABvAHMAZQAgAGEAbgBkACAAeQBpAGUAbABkAFwAIgApACkAOwBcAG4AXABuAEMAcgBvAHAAUAB1AHIAcABvAHMAZQBBAG4AZABZAGkAZQBsAGQAXwBEAGEAdABhAFwAbgA9AEwAQQBNAEIARABBACgAXABuACAAIABNAEEASwBFAEEAUgBSAEEAWQAoADQALAAgADgALABcAG4AIAAgACAAIABMAEEATQBCAEQAQQAoAHIALABjACwAXABuACAAIAAgACAAIAAgAEkATgBEAEUAWAAoAHsAXABuACAAIAAgACAAIAAgACAAIABcACIAUAB1AHIAcABvAHMAZQBcACIALAAgAFwAIgBQAGUAcgAgAGgAZQBjAHQAYQByAGUAIAB1AG4AaQB0AFwAIgAsACAAXAAiAGgAYQByAHYAZQBzAHQAIAB0AGUAcgBtAFwAIgAsACAAXAAiAGgAYQByAHYAZQBzAHQAIABlAG4AZABwAG8AaQBuAHQAXAAiACwAIABcACIASABhAHIAdgBlAHMAdAAgAHUAaQB0AFwAIgAsACAAXAAiAFkAaQBlAGwAZAAgAG4AbwB0AGUAXAAiACwAIABcACIAUgBlAHMAaQBkAHUAZQAgAGMAcgBvAHAAIAByAGEAdABpAG8AIABuAG8AdABlAFwAIgAsACAAXAAiAFQAbwB0AGEAbAAgAHAAcgBvAGQAdQBjAHQAaQBvAG4AIABuAG8AdABlAFwAIgA7AFwAbgAgACAAIAAgACAAIAAgACAAXAAiAEMAYQBzAGgAIABnAHIAYQBpAG4AIABjAHIAbwBwAFwAIgAsACAAXAAiAGcAcgBhAGkAbgBcACIALAAgAFwAIgB5AGkAZQBsAGQAXAAiACwAIABcACIAaABhAHIAdgBlAHMAdABcACIALAAgAFwAIgBnAHIAYQBpAG4AXAAiACwAIABcACIAWQBpAGUAbABkACAAaQBzACAAdABoAGUAIABnAHIAYQBpAG4AIABoAGEAcgB2AGUAcwB0AGUAZAAgAGYAcgBvAG0AIAB0AGgAZQAgAHAAbABhAG4AdABcACIALAAgAFwAIgBSAGUAcwBpAGQAdQBlACAAdABvACAAYwByAG8AcAAgAHIAYQB0AGkAbwAgAGkAcwAgAHAAcgBvAHYAaQBkAGUAZAAgAGYAcgBvAG0AIABkAGUAZgBhAHUAbAB0ACAAdgBhAGwAdQBlAHMAXAAiACwAIABcACIAVABvAHQAYQBsACAAcAByAG8AZAB1AGMAdABpAG8AbgAgAGkAcwAgAHQAaABlACAAdABvAHQAYQBsACAAZwByAGEAaQBuACAAaABhAHIAdgBlAHMAdABlAGQAXAAiADsAXABuACAAIAAgACAAIAAgACAAIABcACIAQwBhAHMAaAAgAGMAcgBvAHAAIABmAG8AcgAgAGgAYQB5AC8AcwBpAGwAYQBnAGUAXAAiACwAIABcACIAYQBiAG8AdgBlACAAZwByAG8AdQBuAGQAIABiAGkAbwBtAGEAcwBzAFwAIgAsACAAXAAiAHkAaQBlAGwAZABcACIALAAgAFwAIgBoAGEAcgB2AGUAcwB0AFwAIgAsACAAXAAiAHAAbABhAG4AdAAgAGIAaQBvAG0AYQBzAHMAXAAiACwAIABcACIAWQBpAGUAbABkACAAaQBzACAAdABoAGUAIAB3AGgAbwBsAGUAIABwAGwAYQBuAHQAIABoAGEAcgB2AGUAcwB0AGUAZAAgAGYAbwByACAAaABhAHkALwBzAGkAbABhAGcAZQBcACIALAAgAFwAIgBSAGUAcwBpAGQAdQBlACAAdABvACAAYwByAG8AcAAgAHIAYQB0AGkAbwAgAGkAcwAgADAAIABhAHMAcwB1AG0AaQBuAGcAIAB0AGgAZQAgAHcAaABvAGwAZQAgAHAAbABhAG4AdAAgAGkAcwAgAGgAYQByAHYAZQBzAHQAZQBkACAAZgBvAHIAIABoAGEAeQAvAHMAaQBsAGEAZwBlAFwAIgAsACAAXAAiAFQAbwB0AGEAbAAgAHAAcgBvAGQAdQBjAHQAaQBvAG4AIABpAHMAIAB0AGgAZQAgAHQAbwB0AGEAbAAgAHcAaABvAGwAZQAgAHAAbABhAG4AdAAgAGIAaQBvAG0AYQBzAHMAIABoAGEAcgB2AGUAcwB0AGUAZAAgAGEAcwAgAGgAYQB5AC8AcwBpAGwAYQBnAGUAXAAiADsAXABuACAAIAAgACAAIAAgACAAIABcACIAQwBvAHYAZQByACAAYwByAG8AcABcACIALAAgAFwAIgBhAGIAbwB2AGUAIABnAHIAbwB1AG4AZAAgAGIAaQBvAG0AYQBzAHMAXAAiACwAIABcACIAbQBhAHMAcwBcACIALAAgAFwAIgBlAG4AZAAgAG8AZgAgAGMAcgBvAHAAIABjAHkAYwBsAGUAXAAiACwAIABcACIAYQBiAG8AdgBlACAAZwByAG8AdQBuAGQAIABiAGkAbwBtAGEAcwBzAFwAIgAsACAAXAAiAFkAaQBlAGwAZAAgAGkAcwAgAHQAaABlACAAdwBoAG8AbABlACAAcABsAGEAbgB0ACAAawBlAHAAdAAgAGEAcwAgAGMAbwB2AGUAcgAgAGMAcgBvAHAAXAAiACwAIABcACIAUgBlAHMAaQBkAHUAZQAgAHQAbwAgAGMAcgBvAHAAIAByAGEAdABpAG8AIABpAHMAIAAxACAAYQBzAHMAdQBtAGkAbgBnACAAdABoAGUAIAB3AGgAbwBsAGUAIABwAGwAYQBuAHQAIABpAHMAIABrAGUAcAB0ACAAYQBzACAAYwBvAHYAZQByACAAYwByAG8AcABcACIALAAgAFwAIgBUAG8AdABhAGwAIABwAHIAbwBkAHUAYwB0AGkAbwBuACAAaQBzACAAdABoAGUAIAB0AG8AdABhAGwAIAB3AGgAbwBsAGUAIABwAGwAYQBuAHQAIABiAGkAbwBtAGEAcwBzACAAawBlAHAAdAAgAGEAcwAgAGMAbwB2AGUAcgAgAGMAcgBvAHAAXAAiAFwAbgAgACAAIAAgACAAIAB9ACwAIAByACwAIABjACkAXABuACkAKQApADsAXABuAFwAbgAvACoAXABuAD0APQA9AD0APQA9AD0APQA9AD0APQA9AD0APQA9AD0APQA9AD0APQA9AD0APQA9AD0APQA9AD0APQA9AD0APQA9AD0APQA9AD0APQA9AD0APQA9AD0APQA9AD0APQA9AD0APQA9AD0APQA9AD0APQA9AD0APQA9AD0APQA9AD0APQA9AD0APQA9AD0APQA9AD0APQA9AD0AXABuAEMAcgBvAHAAIABhAHQAdAByAGkAYgB1AHQAZQBzAFwAbgA9AD0APQA9AD0APQA9AD0APQA9AD0APQA9AD0APQA9AD0APQA9AD0APQA9AD0APQA9AD0APQA9AD0APQA9AD0APQA9AD0APQA9AD0APQA9AD0APQA9AD0APQA9AD0APQA9AD0APQA9AD0APQA9AD0APQA9AD0APQA9AD0APQA9AD0APQA9AD0APQA9AD0APQA9AD0APQA9AFwAbgAqAC8AXABuAFwAbgBDAHIAbwBwAEEAdAB0AHIAaQBiAHUAdABlAHMAXwBUAGkAdABsAGUAXABuAD0ATABBAE0AQgBEAEEAKAAoAFwAIgBUAGEAYgBsAGUAIABBAC4AMgAuADEALgAxADoAIABDAHIAbwBwACAAYQB0AHQAcgBpAGIAdQB0AGUAcwBcACIAKQApADsAXABuAFwAbgBDAHIAbwBwAEEAdAB0AHIAaQBiAHUAdABlAHMAXwBEAGUAcwBjAHIAaQBwAHQAaQBvAG4AXABuAD0ATABBAE0AQgBEAEEAKAAoAFwAIgBDAHIAbwBwACAAYQB0AHQAcgBpAGIAdQB0AGUAcwBcACIAKQApADsAXABuAFwAbgBDAHIAbwBwAEEAdAB0AHIAaQBiAHUAdABlAHMAXwBTAG8AdQByAGMAZQBcAG4APQBMAEEATQBCAEQAQQAoACgAXAAiAFYARQBFAFIARwAgADIAMAAyADYAOgAgAFQAYQBiAGwAZQAgAEEALgAyAC4AMQAuADEAOgAgAEMAcgBvAHAAIABhAHQAdAByAGkAYgB1AHQAZQBzAFwAIgApACkAOwBcAG4AXABuAEMAcgBvAHAAQQB0AHQAcgBpAGIAdQB0AGUAcwBfAEQAYQB0AGEAXABuAD0ATABBAE0AQgBEAEEAKABcAG4AIAAgAE0AQQBLAEUAQQBSAFIAQQBZACgAMgAwACwAIAA5ACwAXABuACAAIAAgACAATABBAE0AQgBEAEEAKAByACwAYwAsAFwAbgAgACAAIAAgACAAIABJAE4ARABFAFgAKAB7AFwAbgAgACAAIAAgACAAIAAgACAAXAAiAEMAcgBvAHAAIAB0AHkAcABlAFwAIgAsACAAXAAiAFIAZQBzAGkAZAB1AGUAOgAgAEMAcgBvAHAAIAByAGEAdABpAG8AXAAiACwAIABcACIAQgBlAGwAbwB3AC0AZwByAG8AdQBuAGQAOgAgAGEAYgBvAHYAZQAtAGcAcgBvAHUAbgBkACAAcgBlAHMAaQBkAHUAZQAgAHIAYQB0AGkAbwBcACIALAAgAFwAIgBEAHIAeQAgAG0AYQB0AHQAZQByACAAYwBvAG4AdABlAG4AdABcACIALAAgAFwAIgBDAGEAcgBiAG8AbgAgAGYAcgBhAGMAdABpAG8AbgAgAGkAbgAgAGQAcgB5ACAAbQBhAHQAdABlAHIAXAAiACwAIABcACIATgAgAGMAbwBuAHQAZQBuAHQAIABhAGIAbwB2AGUALQBnAHIAbwB1AG4AZABcACIALAAgAFwAIgBOACAAYwBvAG4AdABlAG4AdAAgAGIAZQBsAG8AdwAtAGcAcgBvAHUAbgBkAFwAIgAsACAAXAAiAEYAcgBhAGMAdABpAG8AbgAgAG8AZgAgAHIAZQBzAGkAZAB1AGUAIAByAGUAbQBhAGkAbgBpAG4AZwAgAGEAdAAgAHQAaQBtAGUAIABvAGYAIABiAHUAcgBuAGkAbgBnAFwAIgAsACAAXAAiAEIAdQByAG4AaQBuAGcAIABlAGYAZgBpAGMAaQBlAG4AYwB5AHQAXAAiADsAXABuACAAIAAgACAAIAAgACAAIABcACIAYwBcACIALAAgAFwAIgBSAEEARwBjAFwAIgAsACAAXAAiAFIAQgBHAGMAXAAiACwAIABcACIARABNAGMAXAAiACwAIABcACIAQwBDAGMAXAAiACwAIABcACIATgBDAEEARwBjAFwAIgAsACAAXAAiAE4AQwBCAEcAYwBcACIALAAgAFwAIgBTAGMAXAAiACwAIABcACIAWgBjAFwAIgA7AFwAbgAgACAAIAAgACAAIAAgACAAXAAiAFcAaABlAGEAdABcACIALAAgADEALgA1ADAALAAgADAALgAyADkALAAgADAALgA4ADgALAAgADAALgA0ADAALAAgADAALgAwADAANgAsACAAMAAuADAAMQAwACwAIAAwAC4ANQAsACAAMAAuADkAMAA7AFwAbgAgACAAIAAgACAAIAAgACAAXAAiAEIAYQByAGwAZQB5AFwAIgAsACAAMQAuADIANAAsACAAMAAuADMAMgAsACAAMAAuADgAOAAsACAAMAAuADQAMAAsACAAMAAuADAAMAA3ACwAIAAwAC4AMAAxADAALAAgADAALgA1ACwAIAAwAC4AOAA1ADsAXABuACAAIAAgACAAIAAgACAAIABcACIATQBhAGkAegBlAFwAIgAsACAAMAAuADgAMQAsACAAMAAuADMAOQAsACAAMAAuADgANQAsACAAMAAuADQAMgAsACAAMAAuADAAMAA1ACwAIAAwAC4AMAAwADcALAAgADEALgAwACwAIAAwAC4AOAAwADsAXABuACAAIAAgACAAIAAgACAAIABcACIATwBhAHQAcwBcACIALAAgADEALgA0ADIALAAgADAALgA0ADMALAAgADAALgA4ADgALAAgADAALgA0ADAALAAgADAALgAwADAANgAsACAAMAAuADAAMQAwACwAIAAwAC4ANQAsACAAMAAuADgANQA7AFwAbgAgACAAIAAgACAAIAAgACAAXAAiAFIAaQBjAGUAXAAiACwAIAAxAC4AMwAxACwAIAAwAC4AMQA2ACwAIAAwAC4AOAAwACwAIAAwAC4ANAAyACwAIAAwAC4AMAAwADcALAAgADAALgAwADEAMAAsACAAMQAuADAALAAgADAALgA4ADAAOwBcAG4AIAAgACAAIAAgACAAIAAgAFwAIgBTAG8AcgBnAGgAdQBtAFwAIgAsACAAMQAuADUAMAAsACAAMAAuADIAMgAsACAAMAAuADgAMAAsACAAMAAuADQAMAAsACAAMAAuADAAMAA4ACwAIAAwAC4AMAAwADcALAAgADAALgA1ACwAIAAwAC4AOAA1ADsAXABuACAAIAAgACAAIAAgACAAIABcACIAVAByAGkAdABpAGMAYQBsAGUAXAAiACwAIAAxAC4ANQAwACwAIAAwAC4ANAAyACwAIAAwAC4AOAA4ACwAIAAwAC4ANAAwACwAIAAwAC4AMAAwADYALAAgADAALgAwADEAMAAsACAAMAAuADUALAAgADAALgA4ADUAOwBcAG4AIAAgACAAIAAgACAAIAAgAFwAIgBPAHQAaABlAHIAIABjAGUAcgBlAGEAbABzAFwAIgAsACAAMQAuADQANgAsACAAMAAuADMANgAsACAAMAAuADgAOAAsACAAMAAuADQAMAAsACAAMAAuADAAMAA2ACwAIAAwAC4AMAAxADAALAAgADAALgA1ACwAIAAwAC4AOAA1ADsAXABuACAAIAAgACAAIAAgACAAIABcACIAUAB1AGwAcwBlAHMAXAAiACwAIAAxAC4AMwA3ACwAIAAwAC4ANQAxACwAIAAwAC4AOAA3ACwAIAAwAC4ANAAwACwAIAAwAC4AMAAwADkALAAgADAALgAwADEAMAAsACAAMAAuADUALAAgADAALgA4ADUAOwBcAG4AIAAgACAAIAAgACAAIAAgAFwAIgBUAHUAYgBlAHIAcwAgAGEAbgBkACAAcgBvAG8AdABzAFwAIgAsACAAMAAuADMANAAsACAAMAAuADQAMwAsACAAMAAuADIANQAsACAAMAAuADQAMAAsACAAMAAuADAAMgAwACwAIAAwAC4AMAAxADAALAAgAFwAIgBuAC8AYQBcACIALAAgADAALgA4ADUAOwBcAG4AIAAgACAAIAAgACAAIAAgAFwAIgBQAGUAYQBuAHUAdABzAFwAIgAsACAAMQAuADAANwAsACAAMAAuADIAMAAsACAAMAAuADgAMAAsACAAMAAuADQAMgAsACAAMAAuADAAMQA2ACwAIAAwAC4AMAAxADQALAAgADAALgA1ACwAIAAwAC4AOAA1ADsAXABuACAAIAAgACAAIAAgACAAIABcACIAUwB1AGcAYQByACAAYwBhAG4AZQBcACIALAAgADAALgAyADUALAAgADAALgA0ADUALAAgADAALgAyADAALAAgADAALgA0ADAALAAgADAALgAwADAANQAsACAAMAAuADAAMAA3ACwAIAAxAC4AMAAsACAAMAAuADgAMAA7AFwAbgAgACAAIAAgACAAIAAgACAAXAAiAEMAbwB0AHQAbwBuAFwAIgAsACAAMQAuADkAMAAsACAAMAAuADMAMAAsACAAMAAuADkAMAAsACAAMAAuADQAMAAsACAAMAAuADAAMQAsACAAMAAuADAAMQAsACAAXAAiAG4ALwBhAFwAIgAsACAAMAAuADgANQA7AFwAbgAgACAAIAAgACAAIAAgACAAXAAiAEgAbwBwAHMAXAAiACwAIAAxAC4ANQAwACwAIAAwAC4AMgA5ACwAIAAwAC4AOAA4ACwAIAAwAC4ANAAwACwAIAAwAC4AMAAwADYALAAgAFwAIgBuAC8AYQBcACIALAAgAFwAIgBuAC8AYQBcACIALAAgADAALgA4ADUAOwBcAG4AIAAgACAAIAAgACAAIAAgAFwAIgBPAGkAbABzAGUAZQBkAHMAXAAiACwAIAAyAC4AMAA4ACwAIAAwAC4AMwAzACwAIAAwAC4AOQA2ACwAIAAwAC4ANAAwACwAIAAwAC4AMAAwADkALAAgADAALgAwADEAMAAsACAAMAAuADUALAAgADAALgA4ADUAOwBcAG4AIAAgACAAIAAgACAAIAAgAFwAIgBGAG8AcgBhAGcAZQAgAGMAcgBvAHAAcwBcACIALAAgADEALgAzADQALAAgADAALgAzADcALAAgADAALgA4ADgALAAgADAALgA0ADAALAAgADAALgAwADAANgAsACAAMAAuADAAMQAwACwAIABcACIAbgAvAGEAXAAiACwAIAAwAC4AOAA1ADsAXABuACAAIAAgACAAIAAgACAAIABcACIATwB0AGgAZQByACAAYQBuAG4AdQBhAGwAIABjAHIAbwBwAHMAXAAiACwAIAAxAC4AMAAwACwAIAAwAC4AMgAyACwAIAAwAC4AOAA1ACwAIAAwAC4ANAAwACwAIAAwAC4AMAAwADgALAAgADAALgAwADAAOQAsACAAXAAiAG4ALwBhAFwAIgAsACAAXAAiAG4ALwBhAFwAIgA7AFwAbgAgACAAIAAgACAAIAAgACAAXAAiAE8AdABoAGUAcgAgAHAAZQByAGUAbgBuAGkAYQBsACAAYwByAG8AcABzAFwAIgAsACAAMQAuADUALAAgADAALgAyADkALAAgADAALgA4ADgALAAgADAALgA0ACwAIAAwAC4AMAAwADYALAAgAFwAIgBuAC8AYQBcACIALAAgAFwAIgBuAC8AYQBcACIALAAgAFwAIgBuAC8AYQBcACIAXABuACAAIAAgACAAIAAgAH0ALAAgAHIALAAgAGMAKQBcAG4AKQApACkAOwBcAG4AXABuAEMAcgBvAHAAQQB0AHQAcgBpAGIAdQB0AGUAcwBfAFYAYQByAGkAYQB0AGkAbwBuAFwAbgA9AEwAQQBNAEIARABBACgAKABcACIAVgBBAFIASQBBAFQASQBPAE4AIABGAFIATwBNACAAUwBPAFUAUgBDAEUAOgAgACcATgAvAEEAJwAgAHYAYQBsAHUAZQBzACAAcABhAHMAcwBlAGQAIABhAHMAIAB6AGUAcgBvACAAZgBvAHIAIABjAGEAbABjAHUAbABhAHQAaQBvAG4AcwAuAFwAIgApACkAOwBcAG4AXABuAC8AKgBcAG4APQA9AD0APQA9AD0APQA9AD0APQA9AD0APQA9AD0APQA9AD0APQA9AD0APQA9AD0APQA9AD0APQA9AD0APQA9AD0APQA9AD0APQA9AD0APQA9AD0APQA9AD0APQA9AD0APQA9AD0APQA9AD0APQA9AD0APQA9AD0APQA9AD0APQA9AD0APQA9AD0APQA9AD0APQA9AD0APQBcAG4AQwByAG8AcAAgAGEAdAB0AHIAaQBiAHUAdABlAHMAIAAtACAARgByAGEAYwB0AGkAbwBuACAAcgBlAG0AbwB2AGUAZAAgACgARgBGAE8ARABjACkAXABuAD0APQA9AD0APQA9AD0APQA9AD0APQA9AD0APQA9AD0APQA9AD0APQA9AD0APQA9AD0APQA9AD0APQA9AD0APQA9AD0APQA9AD0APQA9AD0APQA9AD0APQA9AD0APQA9AD0APQA9AD0APQA9AD0APQA9AD0APQA9AD0APQA9AD0APQA9AD0APQA9AD0APQA9AD0APQA9AD0AXABuACoALwBcAG4AXABuAEMAcgBvAHAARgByAGEAYwB0AGkAbwBuAFIAZQBtAG8AdgBlAGQAXwBUAGkAdABsAGUAXABuAD0ATABBAE0AQgBEAEEAKAAoAFwAIgBUAGEAYgBsAGUAIABBAC4AMgAuADEALgAyADoAIABDAHIAbwBwACAAYQB0AHQAcgBpAGIAdQB0AGUAcwAgAC0AIABGAHIAYQBjAHQAaQBvAG4AIAByAGUAbQBvAHYAZQBkACAAKABGAEYATwBEAGMAKQBcACIAKQApADsAXABuAFwAbgBDAHIAbwBwAEYAcgBhAGMAdABpAG8AbgBSAGUAbQBvAHYAZQBkAF8ARABlAHMAYwByAGkAcAB0AGkAbwBuAFwAbgA9AEwAQQBNAEIARABBACgAKABcACIAQwByAG8AcAAgAGEAdAB0AHIAaQBiAHUAdABlAHMAIAAtACAARgByAGEAYwB0AGkAbwBuACAAcgBlAG0AbwB2AGUAZAAgACgARgBGAE8ARABjACkAXAAiACkAKQA7AFwAbgBcAG4AQwByAG8AcABGAHIAYQBjAHQAaQBvAG4AUgBlAG0AbwB2AGUAZABfAFMAbwB1AHIAYwBlAFwAbgA9AEwAQQBNAEIARABBACgAKABcACIAVgBFAEUAUgBHACAAMgAwADIANgA6ACAAVABhAGIAbABlACAAQQAuADIALgAxAC4AMgA6ACAAQwByAG8AcAAgAGEAdAB0AHIAaQBiAHUAdABlAHMAIAAtACAARgByAGEAYwB0AGkAbwBuACAAcgBlAG0AbwB2AGUAZAAgACgARgBGAE8ARABjACkAXAAiACkAKQA7AFwAbgBcAG4AQwByAG8AcABGAHIAYQBjAHQAaQBvAG4AUgBlAG0AbwB2AGUAZABfAEQAYQB0AGEAXABuAD0ATABBAE0AQgBEAEEAKABcAG4AIAAgAE0AQQBLAEUAQQBSAFIAQQBZACgAMQA3ACwAIAAzACwAXABuACAAIAAgACAATABBAE0AQgBEAEEAKAByACwAYwAsAFwAbgAgACAAIAAgACAAIABJAE4ARABFAFgAKAB7AFwAbgAgACAAIAAgACAAIAAgACAAXAAiAEMAcgBvAHAAIAB0AHkAcABlACAAYwBcACIALAAgAFwAIgBTAHQAYQB0AGUAXAAiACwAIABcACIARgByAGEAYwB0AGkAbwBuACAAcgBlAG0AbwB2AGUAZAAgAEYARgBPAEQAYwBcACIAOwBcAG4AIAAgACAAIAAgACAAIAAgAFwAIgBSAGkAYwBlAFwAIgAsACAAXAAiAEEAbABsACAAcwB0AGEAdABlAHMAXAAiACwAIAAwAC4AMAA2ADsAXABuACAAIAAgACAAIAAgACAAIABcACIAVAB1AGIAZQByAHMAIABhAG4AZAAgAHIAbwBvAHQAcwBcACIALAAgAFwAIgBBAGwAbAAgAHMAdABhAHQAZQBzAFwAIgAsACAAMQA7AFwAbgAgACAAIAAgACAAIAAgACAAXAAiAEMAbwB0AHQAbwBuAFwAIgAsACAAXAAiAEEAbABsACAAcwB0AGEAdABlAHMAXAAiACwAIAAwADsAXABuACAAIAAgACAAIAAgACAAIABcACIASABvAHAAcwBcACIALAAgAFwAIgBBAGwAbAAgAHMAdABhAHQAZQBzAFwAIgAsACAAMAA7AFwAbgAgACAAIAAgACAAIAAgACAAXAAiAEYAbwByAGEAZwBlACAAYwByAG8AcABzAFwAIgAsACAAXAAiAEEAbABsACAAcwB0AGEAdABlAHMAXAAiACwAIAAwAC4AOAA7AFwAbgAgACAAIAAgACAAIAAgACAAXAAiAFMAdQBnAGEAcgAgAEMAYQBuAGUAXAAiACwAIABcACIATgBTAFcAXAAiACwAIAAwADsAXABuACAAIAAgACAAIAAgACAAIABcACIAUwB1AGcAYQByACAAQwBhAG4AZQBcACIALAAgAFwAIgBRAEwARABcACIALAAgADAALgAwADMAOwBcAG4AIAAgACAAIAAgACAAIAAgAFwAIgBTAHUAZwBhAHIAIABDAGEAbgBlAFwAIgAsACAAXAAiAFcAQQBcACIALAAgADAAOwBcAG4AIAAgACAAIAAgACAAIAAgAFwAIgBBAGwAbAAgAG8AdABoAGUAcgAgAGMAcgBvAHAAIAB0AHkAcABlAHMAXAAiACwAIABcACIATgBTAFcAXAAiACwAIAAwAC4AMAA1ADsAXABuACAAIAAgACAAIAAgACAAIABcACIAQQBsAGwAIABvAHQAaABlAHIAIABjAHIAbwBwACAAdAB5AHAAZQBzAFwAIgAsACAAXAAiAFYASQBDAFwAIgAsACAAMAAuADAANwA7AFwAbgAgACAAIAAgACAAIAAgACAAXAAiAEEAbABsACAAbwB0AGgAZQByACAAYwByAG8AcAAgAHQAeQBwAGUAcwBcACIALAAgAFwAIgBRAEwARABcACIALAAgADAALgAwADQAOwBcAG4AIAAgACAAIAAgACAAIAAgAFwAIgBBAGwAbAAgAG8AdABoAGUAcgAgAGMAcgBvAHAAIAB0AHkAcABlAHMAXAAiACwAIABcACIAUwBBAFwAIgAsACAAMAAuADAAOQA7AFwAbgAgACAAIAAgACAAIAAgACAAXAAiAEEAbABsACAAbwB0AGgAZQByACAAYwByAG8AcAAgAHQAeQBwAGUAcwBcACIALAAgAFwAIgBXAEEAXAAiACwAIAAwAC4AMQAxADsAXABuACAAIAAgACAAIAAgACAAIABcACIAQQBsAGwAIABvAHQAaABlAHIAIABjAHIAbwBwACAAdAB5AHAAZQBzAFwAIgAsACAAXAAiAFQAQQBTAFwAIgAsACAAMAAuADEANgA7AFwAbgAgACAAIAAgACAAIAAgACAAXAAiAEEAbABsACAAbwB0AGgAZQByACAAYwByAG8AcAAgAHQAeQBwAGUAcwBcACIALAAgAFwAIgBOAFQAXAAiACwAIAAwAC4AMAAxADsAXABuACAAIAAgACAAIAAgACAAIABcACIAQQBsAGwAIABvAHQAaABlAHIAIABjAHIAbwBwACAAdAB5AHAAZQBzAFwAIgAsACAAXAAiAEEAQwBUAFwAIgAsACAAMAAuADAAMABcAG4AIAAgACAAIAAgACAAfQAsACAAcgAsACAAYwApAFwAbgApACkAKQA7AFwAbgBcAG4AQwByAG8AcABGAHIAYQBjAHQAaQBvAG4AUgBlAG0AbwB2AGUAZABfAEMAdQBzAHQAbwBtAGkAcwBlAGQARABhAHQAYQBcAG4APQBMAEEATQBCAEQAQQAoAFwAbgAgACAATQBBAEsARQBBAFIAUgBBAFkAKAAxADQANAAsACAAMwAsAFwAbgAgACAAIAAgAEwAQQBNAEIARABBACgAcgAsAGMALABcAG4AIAAgACAAIAAgACAASQBOAEQARQBYACgAewBcAG4AIAAgACAAIAAgACAAIAAgAFwAIgBDAHIAbwBwACAAdAB5AHAAZQAgAGMAXAAiACwAIABcACIAUwB0AGEAdABlAFwAIgAsACAAXAAiAEYAcgBhAGMAdABpAG8AbgAgAHIAZQBtAG8AdgBlAGQAIABGAEYATwBEAGMAXAAiADsAXABuACAAIAAgACAAIAAgACAAIABcACIAUgBpAGMAZQBcACIALAAgAFwAIgBOAFMAVwBcACIALAAgADAALgAwADYAOwBcAG4AIAAgACAAIAAgACAAIAAgAFwAIgBSAGkAYwBlAFwAIgAsACAAXAAiAFYASQBDAFwAIgAsACAAMAAuADAANgA7AFwAbgAgACAAIAAgACAAIAAgACAAXAAiAFIAaQBjAGUAXAAiACwAIABcACIAUQBMAEQAXAAiACwAIAAwAC4AMAA2ADsAXABuACAAIAAgACAAIAAgACAAIABcACIAUgBpAGMAZQBcACIALAAgAFwAIgBTAEEAXAAiACwAIAAwAC4AMAA2ADsAXABuACAAIAAgACAAIAAgACAAIABcACIAUgBpAGMAZQBcACIALAAgAFwAIgBXAEEAXAAiACwAIAAwAC4AMAA2ADsAXABuACAAIAAgACAAIAAgACAAIABcACIAUgBpAGMAZQBcACIALAAgAFwAIgBUAEEAUwBcACIALAAgADAALgAwADYAOwBcAG4AIAAgACAAIAAgACAAIAAgAFwAIgBSAGkAYwBlAFwAIgAsACAAXAAiAE4AVABcACIALAAgADAALgAwADYAOwBcAG4AIAAgACAAIAAgACAAIAAgAFwAIgBSAGkAYwBlAFwAIgAsACAAXAAiAEEAQwBUAFwAIgAsACAAMAAuADAANgA7AFwAbgAgACAAIAAgACAAIAAgACAAXAAiAFQAdQBiAGUAcgBzACAAYQBuAGQAIAByAG8AbwB0AHMAXAAiACwAIABcACIATgBTAFcAXAAiACwAIAAxADsAXABuACAAIAAgACAAIAAgACAAIABcACIAVAB1AGIAZQByAHMAIABhAG4AZAAgAHIAbwBvAHQAcwBcACIALAAgAFwAIgBWAEkAQwBcACIALAAgADEAOwBcAG4AIAAgACAAIAAgACAAIAAgAFwAIgBUAHUAYgBlAHIAcwAgAGEAbgBkACAAcgBvAG8AdABzAFwAIgAsACAAXAAiAFEATABEAFwAIgAsACAAMQA7AFwAbgAgACAAIAAgACAAIAAgACAAXAAiAFQAdQBiAGUAcgBzACAAYQBuAGQAIAByAG8AbwB0AHMAXAAiACwAIABcACIAUwBBAFwAIgAsACAAMQA7AFwAbgAgACAAIAAgACAAIAAgACAAXAAiAFQAdQBiAGUAcgBzACAAYQBuAGQAIAByAG8AbwB0AHMAXAAiACwAIABcACIAVwBBAFwAIgAsACAAMQA7AFwAbgAgACAAIAAgACAAIAAgACAAXAAiAFQAdQBiAGUAcgBzACAAYQBuAGQAIAByAG8AbwB0AHMAXAAiACwAIABcACIAVABBAFMAXAAiACwAIAAxADsAXABuACAAIAAgACAAIAAgACAAIABcACIAVAB1AGIAZQByAHMAIABhAG4AZAAgAHIAbwBvAHQAcwBcACIALAAgAFwAIgBOAFQAXAAiACwAIAAxADsAXABuACAAIAAgACAAIAAgACAAIABcACIAVAB1AGIAZQByAHMAIABhAG4AZAAgAHIAbwBvAHQAcwBcACIALAAgAFwAIgBBAEMAVABcACIALAAgADEAOwBcAG4AIAAgACAAIAAgACAAIAAgAFwAIgBDAG8AdAB0AG8AbgBcACIALAAgAFwAIgBOAFMAVwBcACIALAAgADAAOwBcAG4AIAAgACAAIAAgACAAIAAgAFwAIgBDAG8AdAB0AG8AbgBcACIALAAgAFwAIgBWAEkAQwBcACIALAAgADAAOwBcAG4AIAAgACAAIAAgACAAIAAgAFwAIgBDAG8AdAB0AG8AbgBcACIALAAgAFwAIgBRAEwARABcACIALAAgADAAOwBcAG4AIAAgACAAIAAgACAAIAAgAFwAIgBDAG8AdAB0AG8AbgBcACIALAAgAFwAIgBTAEEAXAAiACwAIAAwADsAXABuACAAIAAgACAAIAAgACAAIABcACIAQwBvAHQAdABvAG4AXAAiACwAIABcACIAVwBBAFwAIgAsACAAMAA7AFwAbgAgACAAIAAgACAAIAAgACAAXAAiAEMAbwB0AHQAbwBuAFwAIgAsACAAXAAiAFQAQQBTAFwAIgAsACAAMAA7AFwAbgAgACAAIAAgACAAIAAgACAAXAAiAEMAbwB0AHQAbwBuAFwAIgAsACAAXAAiAE4AVABcACIALAAgADAAOwBcAG4AIAAgACAAIAAgACAAIAAgAFwAIgBDAG8AdAB0AG8AbgBcACIALAAgAFwAIgBBAEMAVABcACIALAAgADAAOwBcAG4AIAAgACAAIAAgACAAIAAgAFwAIgBIAG8AcABzAFwAIgAsACAAXAAiAE4AUwBXAFwAIgAsACAAMAA7AFwAbgAgACAAIAAgACAAIAAgACAAXAAiAEgAbwBwAHMAXAAiACwAIABcACIAVgBJAEMAXAAiACwAIAAwADsAXABuACAAIAAgACAAIAAgACAAIABcACIASABvAHAAcwBcACIALAAgAFwAIgBRAEwARABcACIALAAgADAAOwBcAG4AIAAgACAAIAAgACAAIAAgAFwAIgBIAG8AcABzAFwAIgAsACAAXAAiAFMAQQBcACIALAAgADAAOwBcAG4AIAAgACAAIAAgACAAIAAgAFwAIgBIAG8AcABzAFwAIgAsACAAXAAiAFcAQQBcACIALAAgADAAOwBcAG4AIAAgACAAIAAgACAAIAAgAFwAIgBIAG8AcABzAFwAIgAsACAAXAAiAFQAQQBTAFwAIgAsACAAMAA7AFwAbgAgACAAIAAgACAAIAAgACAAXAAiAEgAbwBwAHMAXAAiACwAIABcACIATgBUAFwAIgAsACAAMAA7AFwAbgAgACAAIAAgACAAIAAgACAAXAAiAEgAbwBwAHMAXAAiACwAIABcACIAQQBDAFQAXAAiACwAIAAwADsAXABuACAAIAAgACAAIAAgACAAIABcACIARgBvAHIAYQBnAGUAIABjAHIAbwBwAHMAXAAiACwAIABcACIATgBTAFcAXAAiACwAIAAwAC4AOAA7AFwAbgAgACAAIAAgACAAIAAgACAAXAAiAEYAbwByAGEAZwBlACAAYwByAG8AcABzAFwAIgAsACAAXAAiAFYASQBDAFwAIgAsACAAMAAuADgAOwBcAG4AIAAgACAAIAAgACAAIAAgAFwAIgBGAG8AcgBhAGcAZQAgAGMAcgBvAHAAcwBcACIALAAgAFwAIgBRAEwARABcACIALAAgADAALgA4ADsAXABuACAAIAAgACAAIAAgACAAIABcACIARgBvAHIAYQBnAGUAIABjAHIAbwBwAHMAXAAiACwAIABcACIAUwBBAFwAIgAsACAAMAAuADgAOwBcAG4AIAAgACAAIAAgACAAIAAgAFwAIgBGAG8AcgBhAGcAZQAgAGMAcgBvAHAAcwBcACIALAAgAFwAIgBXAEEAXAAiACwAIAAwAC4AOAA7AFwAbgAgACAAIAAgACAAIAAgACAAXAAiAEYAbwByAGEAZwBlACAAYwByAG8AcABzAFwAIgAsACAAXAAiAFQAQQBTAFwAIgAsACAAMAAuADgAOwBcAG4AIAAgACAAIAAgACAAIAAgAFwAIgBGAG8AcgBhAGcAZQAgAGMAcgBvAHAAcwBcACIALAAgAFwAIgBOAFQAXAAiACwAIAAwAC4AOAA7AFwAbgAgACAAIAAgACAAIAAgACAAXAAiAEYAbwByAGEAZwBlACAAYwByAG8AcABzAFwAIgAsACAAXAAiAEEAQwBUAFwAIgAsACAAMAAuADgAOwBcAG4AIAAgACAAIAAgACAAIAAgAFwAIgBTAHUAZwBhAHIAIABDAGEAbgBlAFwAIgAsACAAXAAiAE4AUwBXAFwAIgAsACAAMAA7AFwAbgAgACAAIAAgACAAIAAgACAAXAAiAFMAdQBnAGEAcgAgAEMAYQBuAGUAXAAiACwAIABcACIAVgBJAEMAXAAiACwAIABcACIATgAvAEEAXAAiADsAXABuACAAIAAgACAAIAAgACAAIABcACIAUwB1AGcAYQByACAAQwBhAG4AZQBcACIALAAgAFwAIgBRAEwARABcACIALAAgADAALgAwADMAOwBcAG4AIAAgACAAIAAgACAAIAAgAFwAIgBTAHUAZwBhAHIAIABDAGEAbgBlAFwAIgAsACAAXAAiAFMAQQBcACIALAAgAFwAIgBOAC8AQQBcACIAOwBcAG4AIAAgACAAIAAgACAAIAAgAFwAIgBTAHUAZwBhAHIAIABDAGEAbgBlAFwAIgAsACAAXAAiAFcAQQBcACIALAAgADAAOwBcAG4AIAAgACAAIAAgACAAIAAgAFwAIgBTAHUAZwBhAHIAIABDAGEAbgBlAFwAIgAsACAAXAAiAFQAQQBTAFwAIgAsACAAXAAiAE4ALwBBAFwAIgA7AFwAbgAgACAAIAAgACAAIAAgACAAXAAiAFMAdQBnAGEAcgAgAEMAYQBuAGUAXAAiACwAIABcACIATgBUAFwAIgAsACAAXAAiAE4ALwBBAFwAIgA7AFwAbgAgACAAIAAgACAAIAAgACAAXAAiAFMAdQBnAGEAcgAgAEMAYQBuAGUAXAAiACwAIABcACIAQQBDAFQAXAAiACwAIABcACIATgAvAEEAXAAiADsAXABuACAAIAAgACAAIAAgACAAIABcACIAVwBoAGUAYQB0AFwAIgAsACAAXAAiAE4AUwBXAFwAIgAsACAAMAAuADAANQA7AFwAbgAgACAAIAAgACAAIAAgACAAXAAiAFcAaABlAGEAdABcACIALAAgAFwAIgBWAEkAQwBcACIALAAgADAALgAwADcAOwBcAG4AIAAgACAAIAAgACAAIAAgAFwAIgBXAGgAZQBhAHQAXAAiACwAIABcACIAUQBMAEQAXAAiACwAIAAwAC4AMAA0ADsAXABuACAAIAAgACAAIAAgACAAIABcACIAVwBoAGUAYQB0AFwAIgAsACAAXAAiAFMAQQBcACIALAAgADAALgAwADkAOwBcAG4AIAAgACAAIAAgACAAIAAgAFwAIgBXAGgAZQBhAHQAXAAiACwAIABcACIAVwBBAFwAIgAsACAAMAAuADEAMQA7AFwAbgAgACAAIAAgACAAIAAgACAAXAAiAFcAaABlAGEAdABcACIALAAgAFwAIgBUAEEAUwBcACIALAAgADAALgAxADYAOwBcAG4AIAAgACAAIAAgACAAIAAgAFwAIgBXAGgAZQBhAHQAXAAiACwAIABcACIATgBUAFwAIgAsACAAMAAuADAAMQA7AFwAbgAgACAAIAAgACAAIAAgACAAXAAiAFcAaABlAGEAdABcACIALAAgAFwAIgBBAEMAVABcACIALAAgADAALgAwADAAOwBcAG4AIAAgACAAIAAgACAAIAAgAFwAIgBCAGEAcgBsAGUAeQBcACIALAAgAFwAIgBOAFMAVwBcACIALAAgADAALgAwADUAOwBcAG4AIAAgACAAIAAgACAAIAAgAFwAIgBCAGEAcgBsAGUAeQBcACIALAAgAFwAIgBWAEkAQwBcACIALAAgADAALgAwADcAOwBcAG4AIAAgACAAIAAgACAAIAAgAFwAIgBCAGEAcgBsAGUAeQBcACIALAAgAFwAIgBRAEwARABcACIALAAgADAALgAwADQAOwBcAG4AIAAgACAAIAAgACAAIAAgAFwAIgBCAGEAcgBsAGUAeQBcACIALAAgAFwAIgBTAEEAXAAiACwAIAAwAC4AMAA5ADsAXABuACAAIAAgACAAIAAgACAAIABcACIAQgBhAHIAbABlAHkAXAAiACwAIABcACIAVwBBAFwAIgAsACAAMAAuADEAMQA7AFwAbgAgACAAIAAgACAAIAAgACAAXAAiAEIAYQByAGwAZQB5AFwAIgAsACAAXAAiAFQAQQBTAFwAIgAsACAAMAAuADEANgA7AFwAbgAgACAAIAAgACAAIAAgACAAXAAiAEIAYQByAGwAZQB5AFwAIgAsACAAXAAiAE4AVABcACIALAAgADAALgAwADEAOwBcAG4AIAAgACAAIAAgACAAIAAgAFwAIgBCAGEAcgBsAGUAeQBcACIALAAgAFwAIgBBAEMAVABcACIALAAgADAALgAwADAAOwBcAG4AIAAgACAAIAAgACAAIAAgAFwAIgBNAGEAaQB6AGUAXAAiACwAIABcACIATgBTAFcAXAAiACwAIAAwAC4AMAA1ADsAXABuACAAIAAgACAAIAAgACAAIABcACIATQBhAGkAegBlAFwAIgAsACAAXAAiAFYASQBDAFwAIgAsACAAMAAuADAANwA7AFwAbgAgACAAIAAgACAAIAAgACAAXAAiAE0AYQBpAHoAZQBcACIALAAgAFwAIgBRAEwARABcACIALAAgADAALgAwADQAOwBcAG4AIAAgACAAIAAgACAAIAAgAFwAIgBNAGEAaQB6AGUAXAAiACwAIABcACIAUwBBAFwAIgAsACAAMAAuADAAOQA7AFwAbgAgACAAIAAgACAAIAAgACAAXAAiAE0AYQBpAHoAZQBcACIALAAgAFwAIgBXAEEAXAAiACwAIAAwAC4AMQAxADsAXABuACAAIAAgACAAIAAgACAAIABcACIATQBhAGkAegBlAFwAIgAsACAAXAAiAFQAQQBTAFwAIgAsACAAMAAuADEANgA7AFwAbgAgACAAIAAgACAAIAAgACAAXAAiAE0AYQBpAHoAZQBcACIALAAgAFwAIgBOAFQAXAAiACwAIAAwAC4AMAAxADsAXABuACAAIAAgACAAIAAgACAAIABcACIATQBhAGkAegBlAFwAIgAsACAAXAAiAEEAQwBUAFwAIgAsACAAMAAuADAAMAA7AFwAbgAgACAAIAAgACAAIAAgACAAXAAiAE8AYQB0AHMAXAAiACwAIABcACIATgBTAFcAXAAiACwAIAAwAC4AMAA1ADsAXABuACAAIAAgACAAIAAgACAAIABcACIATwBhAHQAcwBcACIALAAgAFwAIgBWAEkAQwBcACIALAAgADAALgAwADcAOwBcAG4AIAAgACAAIAAgACAAIAAgAFwAIgBPAGEAdABzAFwAIgAsACAAXAAiAFEATABEAFwAIgAsACAAMAAuADAANAA7AFwAbgAgACAAIAAgACAAIAAgACAAXAAiAE8AYQB0AHMAXAAiACwAIABcACIAUwBBAFwAIgAsACAAMAAuADAAOQA7AFwAbgAgACAAIAAgACAAIAAgACAAXAAiAE8AYQB0AHMAXAAiACwAIABcACIAVwBBAFwAIgAsACAAMAAuADEAMQA7AFwAbgAgACAAIAAgACAAIAAgACAAXAAiAE8AYQB0AHMAXAAiACwAIABcACIAVABBAFMAXAAiACwAIAAwAC4AMQA2ADsAXABuACAAIAAgACAAIAAgACAAIABcACIATwBhAHQAcwBcACIALAAgAFwAIgBOAFQAXAAiACwAIAAwAC4AMAAxADsAXABuACAAIAAgACAAIAAgACAAIABcACIATwBhAHQAcwBcACIALAAgAFwAIgBBAEMAVABcACIALAAgADAALgAwADAAOwBcAG4AIAAgACAAIAAgACAAIAAgAFwAIgBTAG8AcgBnAGgAdQBtAFwAIgAsACAAXAAiAE4AUwBXAFwAIgAsACAAMAAuADAANQA7AFwAbgAgACAAIAAgACAAIAAgACAAXAAiAFMAbwByAGcAaAB1AG0AXAAiACwAIABcACIAVgBJAEMAXAAiACwAIAAwAC4AMAA3ADsAXABuACAAIAAgACAAIAAgACAAIABcACIAUwBvAHIAZwBoAHUAbQBcACIALAAgAFwAIgBRAEwARABcACIALAAgADAALgAwADQAOwBcAG4AIAAgACAAIAAgACAAIAAgAFwAIgBTAG8AcgBnAGgAdQBtAFwAIgAsACAAXAAiAFMAQQBcACIALAAgADAALgAwADkAOwBcAG4AIAAgACAAIAAgACAAIAAgAFwAIgBTAG8AcgBnAGgAdQBtAFwAIgAsACAAXAAiAFcAQQBcACIALAAgADAALgAxADEAOwBcAG4AIAAgACAAIAAgACAAIAAgAFwAIgBTAG8AcgBnAGgAdQBtAFwAIgAsACAAXAAiAFQAQQBTAFwAIgAsACAAMAAuADEANgA7AFwAbgAgACAAIAAgACAAIAAgACAAXAAiAFMAbwByAGcAaAB1AG0AXAAiACwAIABcACIATgBUAFwAIgAsACAAMAAuADAAMQA7AFwAbgAgACAAIAAgACAAIAAgACAAXAAiAFMAbwByAGcAaAB1AG0AXAAiACwAIABcACIAQQBDAFQAXAAiACwAIAAwAC4AMAAwADsAXABuACAAIAAgACAAIAAgACAAIABcACIAVAByAGkAdABpAGMAYQBsAGUAXAAiACwAIABcACIATgBTAFcAXAAiACwAIAAwAC4AMAA1ADsAXABuACAAIAAgACAAIAAgACAAIABcACIAVAByAGkAdABpAGMAYQBsAGUAXAAiACwAIABcACIAVgBJAEMAXAAiACwAIAAwAC4AMAA3ADsAXABuACAAIAAgACAAIAAgACAAIABcACIAVAByAGkAdABpAGMAYQBsAGUAXAAiACwAIABcACIAUQBMAEQAXAAiACwAIAAwAC4AMAA0ADsAXABuACAAIAAgACAAIAAgACAAIABcACIAVAByAGkAdABpAGMAYQBsAGUAXAAiACwAIABcACIAUwBBAFwAIgAsACAAMAAuADAAOQA7AFwAbgAgACAAIAAgACAAIAAgACAAXAAiAFQAcgBpAHQAaQBjAGEAbABlAFwAIgAsACAAXAAiAFcAQQBcACIALAAgADAALgAxADEAOwBcAG4AIAAgACAAIAAgACAAIAAgAFwAIgBUAHIAaQB0AGkAYwBhAGwAZQBcACIALAAgAFwAIgBUAEEAUwBcACIALAAgADAALgAxADYAOwBcAG4AIAAgACAAIAAgACAAIAAgAFwAIgBUAHIAaQB0AGkAYwBhAGwAZQBcACIALAAgAFwAIgBOAFQAXAAiACwAIAAwAC4AMAAxADsAXABuACAAIAAgACAAIAAgACAAIABcACIAVAByAGkAdABpAGMAYQBsAGUAXAAiACwAIABcACIAQQBDAFQAXAAiACwAIAAwAC4AMAAwADsAXABuACAAIAAgACAAIAAgACAAIABcACIATwB0AGgAZQByACAAYwBlAHIAZQBhAGwAcwBcACIALAAgAFwAIgBOAFMAVwBcACIALAAgADAALgAwADUAOwBcAG4AIAAgACAAIAAgACAAIAAgAFwAIgBPAHQAaABlAHIAIABjAGUAcgBlAGEAbABzAFwAIgAsACAAXAAiAFYASQBDAFwAIgAsACAAMAAuADAANwA7AFwAbgAgACAAIAAgACAAIAAgACAAXAAiAE8AdABoAGUAcgAgAGMAZQByAGUAYQBsAHMAXAAiACwAIABcACIAUQBMAEQAXAAiACwAIAAwAC4AMAA0ADsAXABuACAAIAAgACAAIAAgACAAIABcACIATwB0AGgAZQByACAAYwBlAHIAZQBhAGwAcwBcACIALAAgAFwAIgBTAEEAXAAiACwAIAAwAC4AMAA5ADsAXABuACAAIAAgACAAIAAgACAAIABcACIATwB0AGgAZQByACAAYwBlAHIAZQBhAGwAcwBcACIALAAgAFwAIgBXAEEAXAAiACwAIAAwAC4AMQAxADsAXABuACAAIAAgACAAIAAgACAAIABcACIATwB0AGgAZQByACAAYwBlAHIAZQBhAGwAcwBcACIALAAgAFwAIgBUAEEAUwBcACIALAAgADAALgAxADYAOwBcAG4AIAAgACAAIAAgACAAIAAgAFwAIgBPAHQAaABlAHIAIABjAGUAcgBlAGEAbABzAFwAIgAsACAAXAAiAE4AVABcACIALAAgADAALgAwADEAOwBcAG4AIAAgACAAIAAgACAAIAAgAFwAIgBPAHQAaABlAHIAIABjAGUAcgBlAGEAbABzAFwAIgAsACAAXAAiAEEAQwBUAFwAIgAsACAAMAAuADAAMAA7AFwAbgAgACAAIAAgACAAIAAgACAAXAAiAFAAdQBsAHMAZQBzAFwAIgAsACAAXAAiAE4AUwBXAFwAIgAsACAAMAAuADAANQA7AFwAbgAgACAAIAAgACAAIAAgACAAXAAiAFAAdQBsAHMAZQBzAFwAIgAsACAAXAAiAFYASQBDAFwAIgAsACAAMAAuADAANwA7AFwAbgAgACAAIAAgACAAIAAgACAAXAAiAFAAdQBsAHMAZQBzAFwAIgAsACAAXAAiAFEATABEAFwAIgAsACAAMAAuADAANAA7AFwAbgAgACAAIAAgACAAIAAgACAAXAAiAFAAdQBsAHMAZQBzAFwAIgAsACAAXAAiAFMAQQBcACIALAAgADAALgAwADkAOwBcAG4AIAAgACAAIAAgACAAIAAgAFwAIgBQAHUAbABzAGUAcwBcACIALAAgAFwAIgBXAEEAXAAiACwAIAAwAC4AMQAxADsAXABuACAAIAAgACAAIAAgACAAIABcACIAUAB1AGwAcwBlAHMAXAAiACwAIABcACIAVABBAFMAXAAiACwAIAAwAC4AMQA2ADsAXABuACAAIAAgACAAIAAgACAAIABcACIAUAB1AGwAcwBlAHMAXAAiACwAIABcACIATgBUAFwAIgAsACAAMAAuADAAMQA7AFwAbgAgACAAIAAgACAAIAAgACAAXAAiAFAAdQBsAHMAZQBzAFwAIgAsACAAXAAiAEEAQwBUAFwAIgAsACAAMAAuADAAMAA7AFwAbgAgACAAIAAgACAAIAAgACAAXAAiAFAAZQBhAG4AdQB0AHMAXAAiACwAIABcACIATgBTAFcAXAAiACwAIAAwAC4AMAA1ADsAXABuACAAIAAgACAAIAAgACAAIABcACIAUABlAGEAbgB1AHQAcwBcACIALAAgAFwAIgBWAEkAQwBcACIALAAgADAALgAwADcAOwBcAG4AIAAgACAAIAAgACAAIAAgAFwAIgBQAGUAYQBuAHUAdABzAFwAIgAsACAAXAAiAFEATABEAFwAIgAsACAAMAAuADAANAA7AFwAbgAgACAAIAAgACAAIAAgACAAXAAiAFAAZQBhAG4AdQB0AHMAXAAiACwAIABcACIAUwBBAFwAIgAsACAAMAAuADAAOQA7AFwAbgAgACAAIAAgACAAIAAgACAAXAAiAFAAZQBhAG4AdQB0AHMAXAAiACwAIABcACIAVwBBAFwAIgAsACAAMAAuADEAMQA7AFwAbgAgACAAIAAgACAAIAAgACAAXAAiAFAAZQBhAG4AdQB0AHMAXAAiACwAIABcACIAVABBAFMAXAAiACwAIAAwAC4AMQA2ADsAXABuACAAIAAgACAAIAAgACAAIABcACIAUABlAGEAbgB1AHQAcwBcACIALAAgAFwAIgBOAFQAXAAiACwAIAAwAC4AMAAxADsAXABuACAAIAAgACAAIAAgACAAIABcACIAUABlAGEAbgB1AHQAcwBcACIALAAgAFwAIgBBAEMAVABcACIALAAgADAALgAwADAAOwBcAG4AIAAgACAAIAAgACAAIAAgAFwAIgBPAGkAbABzAGUAZQBkAHMAXAAiACwAIABcACIATgBTAFcAXAAiACwAIAAwAC4AMAA1ADsAXABuACAAIAAgACAAIAAgACAAIABcACIATwBpAGwAcwBlAGUAZABzAFwAIgAsACAAXAAiAFYASQBDAFwAIgAsACAAMAAuADAANwA7AFwAbgAgACAAIAAgACAAIAAgACAAXAAiAE8AaQBsAHMAZQBlAGQAcwBcACIALAAgAFwAIgBRAEwARABcACIALAAgADAALgAwADQAOwBcAG4AIAAgACAAIAAgACAAIAAgAFwAIgBPAGkAbABzAGUAZQBkAHMAXAAiACwAIABcACIAUwBBAFwAIgAsACAAMAAuADAAOQA7AFwAbgAgACAAIAAgACAAIAAgACAAXAAiAE8AaQBsAHMAZQBlAGQAcwBcACIALAAgAFwAIgBXAEEAXAAiACwAIAAwAC4AMQAxADsAXABuACAAIAAgACAAIAAgACAAIABcACIATwBpAGwAcwBlAGUAZABzAFwAIgAsACAAXAAiAFQAQQBTAFwAIgAsACAAMAAuADEANgA7AFwAbgAgACAAIAAgACAAIAAgACAAXAAiAE8AaQBsAHMAZQBlAGQAcwBcACIALAAgAFwAIgBOAFQAXAAiACwAIAAwAC4AMAAxADsAXABuACAAIAAgACAAIAAgACAAIABcACIATwBpAGwAcwBlAGUAZABzAFwAIgAsACAAXAAiAEEAQwBUAFwAIgAsACAAMAAuADAAMAA7AFwAbgAgACAAIAAgACAAIAAgACAAXAAiAE8AdABoAGUAcgAgAGEAbgBuAHUAYQBsACAAYwByAG8AcABzAFwAIgAsACAAXAAiAE4AUwBXAFwAIgAsACAAMAAuADAANQA7AFwAbgAgACAAIAAgACAAIAAgACAAXAAiAE8AdABoAGUAcgAgAGEAbgBuAHUAYQBsACAAYwByAG8AcABzAFwAIgAsACAAXAAiAFYASQBDAFwAIgAsACAAMAAuADAANwA7AFwAbgAgACAAIAAgACAAIAAgACAAXAAiAE8AdABoAGUAcgAgAGEAbgBuAHUAYQBsACAAYwByAG8AcABzAFwAIgAsACAAXAAiAFEATABEAFwAIgAsACAAMAAuADAANAA7AFwAbgAgACAAIAAgACAAIAAgACAAXAAiAE8AdABoAGUAcgAgAGEAbgBuAHUAYQBsACAAYwByAG8AcABzAFwAIgAsACAAXAAiAFMAQQBcACIALAAgADAALgAwADkAOwBcAG4AIAAgACAAIAAgACAAIAAgAFwAIgBPAHQAaABlAHIAIABhAG4AbgB1AGEAbAAgAGMAcgBvAHAAcwBcACIALAAgAFwAIgBXAEEAXAAiACwAIAAwAC4AMQAxADsAXABuACAAIAAgACAAIAAgACAAIABcACIATwB0AGgAZQByACAAYQBuAG4AdQBhAGwAIABjAHIAbwBwAHMAXAAiACwAIABcACIAVABBAFMAXAAiACwAIAAwAC4AMQA2ADsAXABuACAAIAAgACAAIAAgACAAIABcACIATwB0AGgAZQByACAAYQBuAG4AdQBhAGwAIABjAHIAbwBwAHMAXAAiACwAIABcACIATgBUAFwAIgAsACAAMAAuADAAMQA7AFwAbgAgACAAIAAgACAAIAAgACAAXAAiAE8AdABoAGUAcgAgAGEAbgBuAHUAYQBsACAAYwByAG8AcABzAFwAIgAsACAAXAAiAEEAQwBUAFwAIgAsACAAMAAuADAAMAA7AFwAbgAgACAAIAAgACAAIAAgACAAXAAiAE8AdABoAGUAcgAgAHAAZQByAGUAbgBuAGkAYQBsACAAYwByAG8AcABzAFwAIgAsACAAXAAiAE4AUwBXAFwAIgAsACAAMAAuADAANQA7AFwAbgAgACAAIAAgACAAIAAgACAAXAAiAE8AdABoAGUAcgAgAHAAZQByAGUAbgBuAGkAYQBsACAAYwByAG8AcABzAFwAIgAsACAAXAAiAFYASQBDAFwAIgAsACAAMAAuADAANwA7AFwAbgAgACAAIAAgACAAIAAgACAAXAAiAE8AdABoAGUAcgAgAHAAZQByAGUAbgBuAGkAYQBsACAAYwByAG8AcABzAFwAIgAsACAAXAAiAFEATABEAFwAIgAsACAAMAAuADAANAA7AFwAbgAgACAAIAAgACAAIAAgACAAXAAiAE8AdABoAGUAcgAgAHAAZQByAGUAbgBuAGkAYQBsACAAYwByAG8AcABzAFwAIgAsACAAXAAiAFMAQQBcACIALAAgADAALgAwADkAOwBcAG4AIAAgACAAIAAgACAAIAAgAFwAIgBPAHQAaABlAHIAIABwAGUAcgBlAG4AbgBpAGEAbAAgAGMAcgBvAHAAcwBcACIALAAgAFwAIgBXAEEAXAAiACwAIAAwAC4AMQAxADsAXABuACAAIAAgACAAIAAgACAAIABcACIATwB0AGgAZQByACAAcABlAHIAZQBuAG4AaQBhAGwAIABjAHIAbwBwAHMAXAAiACwAIABcACIAVABBAFMAXAAiACwAIAAwAC4AMQA2ADsAXABuACAAIAAgACAAIAAgACAAIABcACIATwB0AGgAZQByACAAcABlAHIAZQBuAG4AaQBhAGwAIABjAHIAbwBwAHMAXAAiACwAIABcACIATgBUAFwAIgAsACAAMAAuADAAMQA7AFwAbgAgACAAIAAgACAAIAAgACAAXAAiAE8AdABoAGUAcgAgAHAAZQByAGUAbgBuAGkAYQBsACAAYwByAG8AcABzAFwAIgAsACAAXAAiAEEAQwBUAFwAIgAsACAAMAAuADAAMABcAG4AIAAgACAAIAAgACAAfQAsACAAcgAsACAAYwApAFwAbgApACkAKQA7AFwAbgBcAG4AQwByAG8AcABGAHIAYQBjAHQAaQBvAG4AUgBlAG0AbwB2AGUAZABfAFYAYQByAGkAYQB0AGkAbwBuAFwAbgA9AEwAQQBNAEIARABBACgAKABcACIAVgBBAFIASQBBAFQASQBPAE4AIABPAEYAIABTAE8AVQBSAEMARQAgAEQAQQBUAEEAOgAgAFMAcABsAGkAdAAgACcAQQBsAGwAIABvAHQAaABlAHIAIABjAHIAbwBwACAAdAB5AHAAZQBzACcAIABpAG4AdABvACAAaQBuAGQAaQB2AGkAZAB1AGEAbAAgAGMAcgBvAHAAIAB0AHkAcABlAHMAIABmAG8AcgAgAGUAYQBjAGgAIABzAHQAYQB0AGUALgAgAEwAaQBzAHQAZQBkACAAYQBsAGwAIABzAHQAYQB0AGUAcwAgAGYAbwByACAAUwB1AGcAYQByACAAQwBhAG4AZQAsACAAdwBpAHQAaAAgACcATgAvAEEAJwAgAGYAbwByACAAcwB0AGEAdABlAHMAIAB3AGgAZQByAGUAIABpAHQAIABpAHMAIABuAG8AdAAgAGcAcgBvAHcAbgAuAFwAIgApACkAOwBcAG4AXABuAFwAbgAvACoAXABuAD0APQA9AD0APQA9AD0APQA9AD0APQA9AD0APQA9AD0APQA9AD0APQA9AD0APQA9AD0APQA9AD0APQA9AD0APQA9AD0APQA9AD0APQA9AD0APQA9AD0APQA9AD0APQA9AD0APQA9AD0APQA9AD0APQA9AD0APQA9AD0APQA9AD0APQA9AD0APQA9AD0APQA9AD0APQA9AD0AXABuAFAAYQBzAHQAdQByAGUAIABhAHQAdAByAGkAYgB1AHQAZQBzAFwAbgA9AD0APQA9AD0APQA9AD0APQA9AD0APQA9AD0APQA9AD0APQA9AD0APQA9AD0APQA9AD0APQA9AD0APQA9AD0APQA9AD0APQA9AD0APQA9AD0APQA9AD0APQA9AD0APQA9AD0APQA9AD0APQA9AD0APQA9AD0APQA9AD0APQA9AD0APQA9AD0APQA9AD0APQA9AD0APQA9AFwAbgAqAC8AXABuAFwAbgBQAGEAcwB0AHUAcgBlAEEAdAB0AHIAaQBiAHUAdABlAHMAXwBUAGkAdABsAGUAXABuAD0ATABBAE0AQgBEAEEAKAAoAFwAIgBUAGEAYgBsAGUAIABBAC4AMgAuADEALgAzACAAUABhAHMAdAB1AHIAZQAgAGEAdAB0AHIAaQBiAHUAdABlAHMAXAAiACkAKQA7AFwAbgBcAG4AUABhAHMAdAB1AHIAZQBBAHQAdAByAGkAYgB1AHQAZQBzAF8ARABlAHMAYwByAGkAcAB0AGkAbwBuAFwAbgA9AEwAQQBNAEIARABBACgAKABcACIAUABhAHMAdAB1AHIAZQAgAGEAdAB0AHIAaQBiAHUAdABlAHMAXAAiACkAKQA7AFwAbgBcAG4AUABhAHMAdAB1AHIAZQBBAHQAdAByAGkAYgB1AHQAZQBzAF8AUwBvAHUAcgBjAGUAXABuAD0ATABBAE0AQgBEAEEAKAAoAFwAIgBWAEUARQBSAEcAIAAyADAAMgA2ADoAIABUAGEAYgBsAGUAIABBAC4AMgAuADEALgAzADoAIABQAGEAcwB0AHUAcgBlACAAYQB0AHQAcgBpAGIAdQB0AGUAcwBcACIAKQApADsAXABuAFwAbgBQAGEAcwB0AHUAcgBlAEEAdAB0AHIAaQBiAHUAdABlAHMAXwBEAGEAdABhAFwAbgA9AEwAQQBNAEIARABBACgAXABuACAAIABNAEEASwBFAEEAUgBSAEEAWQAoADYALAAgADYALABcAG4AIAAgACAAIABMAEEATQBCAEQAQQAoAHIALABjACwAXABuACAAIAAgACAAIAAgAEkATgBEAEUAWAAoAHsAXABuACAAIAAgACAAIAAgACAAIABcACIAUABhAHMAdAB1AHIAZQAgAHQAeQBwAGUAXAAiACwAIABcACIAQQB2AGUAcgBhAGcAZQAgAFkAaQBlAGwAZAAgACgAdAAgAEQATQAgAGgAYQApACAAWQBwAFwAIgAsACAAXAAiAEIAZQBsAG8AdwAtAGcAcgBvAHUAbgBkADoAIABhAGIAbwB2AGUALQBnAHIAbwB1AG4AZAAgAHIAZQBzAGkAZAB1AGUAIAByAGEAdABpAG8AIABSAEIARwBwAFwAIgAsACAAXAAiAE4AIABjAG8AbgB0AGUAbgB0ACAAQQBiAG8AdgBlAC0AZwByAG8AdQBuAGQAIABOAEMAQQBHAHAAXAAiACwAIABcACIATgAgAGMAbwBuAHQAZQBuAHQAIABCAGUAbABvAHcALQBnAHIAbwB1AG4AZAAgAE4AQwBCAEcAcABcACIALAAgAFwAIgBGAHIAYQBjAHQAaQBvAG4AIABvAGYAIABwAGEAcwB0AHUAcgBlACAAeQBpAGUAbABkACAAdABoAGEAdAAgAGkAcwAgAHIAZQBtAG8AdgBlAGQAIABGAEYATwBEAHAAXAAiADsAXABuACAAIAAgACAAIAAgACAAIABcACIAQQBuAG4AdQBhAGwAIABnAHIAYQBzAHMAXAAiACwAIAA0AC4ANAAxACwAIAAwAC4ANAAsACAAMAAuADAAMQA1ACwAIAAwAC4AMAAxADIALAAgADAALgA4ADsAXABuACAAIAAgACAAIAAgACAAIABcACIARwByAGEAcwBzACAAYwBsAG8AdgBlAHIAIABtAGkAeAB0AHUAcgBlAFwAIgAsACAAOAAuADMANAAsACAAMAAuADgALAAgADAALgAwADIANQAsACAAMAAuADAAMQA2ACwAIAAwAC4AOAA7AFwAbgAgACAAIAAgACAAIAAgACAAXAAiAEwAdQBjAGUAcgBuAGUAXAAiACwAIAA4AC4ANgAyACwAIAAwAC4ANAAsACAAMAAuADAAMgA3ACwAIAAwAC4AMAAxADkALAAgADAALgA4ADsAXABuACAAIAAgACAAIAAgACAAIABcACIATwB0AGgAZQByACAAbABlAGcAdQBtAGUAXAAiACwAIAA1AC4ANgAyACwAIAAwAC4ANAAsACAAMAAuADAAMgA3ACwAIAAwAC4AMAAyADIALAAgADAALgA4ADsAXABuACAAIAAgACAAIAAgACAAIABcACIAUABlAHIAZQBuAG4AaQBhAGwAIABwAGEAcwB0AHUAcgBlAFwAIgAsACAAOAAuADMANQAsACAAMAAuADgALAAgADAALgAwADEANQAsACAAMAAuADAAMQAyACwAIAAwAC4AOA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VABhAGIAbABlACAANQAuADMAMQAgAEIAdQByAG4AaQBuAGcAIABvAGYAIABhAGcAcgBpAGMAdQBsAHQAdQByAGEAbAAgAHIAZQBzAGkAZAB1AGUAcwAgAC0AIABFAEYAcwBcAG4APQA9AD0APQA9AD0APQA9AD0APQA9AD0APQA9AD0APQA9AD0APQA9AD0APQA9AD0APQA9AD0APQA9AD0APQA9AD0APQA9AD0APQA9AD0APQA9AD0APQA9AD0APQA9AD0APQA9AD0APQA9AD0APQA9AD0APQA9AD0APQA9AD0APQA9AD0APQA9AD0APQA9AD0APQA9AD0APQBcAG4AKgAvAFwAbgBcAG4AQgB1AHIAbgBpAG4AZwBPAGYAQQBnAHIAaQBjAHUAbAB0AHUAcgBhAGwAUgBlAHMAaQBkAHUAZQBzAEUARgBzAF8AVABpAHQAbABlAFwAbgA9AEwAQQBNAEIARABBACgAKABcACIAVABhAGIAbABlACAANQAuADMAMQAgAEIAdQByAG4AaQBuAGcAIABvAGYAIABhAGcAcgBpAGMAdQBsAHQAdQByAGEAbAAgAHIAZQBzAGkAZAB1AGUAcwAgAC0AIABFAEYAcwBcACIAKQApADsAXABuAFwAbgBCAHUAcgBuAGkAbgBnAE8AZgBBAGcAcgBpAGMAdQBsAHQAdQByAGEAbABSAGUAcwBpAGQAdQBlAHMARQBGAHMAXwBEAGUAcwBjAHIAaQBwAHQAaQBvAG4AXABuAD0ATABBAE0AQgBEAEEAKAAoAFwAIgBCAHUAcgBuAGkAbgBnACAAbwBmACAAYQBnAHIAaQBjAHUAbAB0AHUAcgBhAGwAIAByAGUAcwBpAGQAdQBlAHMAIAAtACAARQBGAHMAXAAiACkAKQA7AFwAbgBcAG4AQgB1AHIAbgBpAG4AZwBPAGYAQQBnAHIAaQBjAHUAbAB0AHUAcgBhAGwAUgBlAHMAaQBkAHUAZQBzAEUARgBzAF8AUwBvAHUAcgBjAGUAXABuAD0ATABBAE0AQgBEAEEAKAAoAFwAIgBOAGEAdABpAG8AbgBhAGwAIABJAG4AdgBlAG4AdABvAHIAeQAgAFIAZQBwAG8AcgB0ACAAMgAwADIAMwAgAHYAbwBsAHUAbQBlACAAMgA6ACAAVABhAGIAbABlACAANQAuADMAMQA6ACAAQgB1AHIAbgBpAG4AZwAgAG8AZgAgAGEAZwByAGkAYwB1AGwAdAB1AHIAYQBsACAAcgBlAHMAaQBkAHUAZQBzACAALQAgAEUARgBzAFwAIgApACkAOwBcAG4AXABuAEIAdQByAG4AaQBuAGcATwBmAEEAZwByAGkAYwB1AGwAdAB1AHIAYQBsAFIAZQBzAGkAZAB1AGUAcwBFAEYAcwBfAEQAYQB0AGEAXABuAD0ATABBAE0AQgBEAEEAKABcAG4AIAAgAE0AQQBLAEUAQQBSAFIAQQBZACgANgAsACAAMwAsAFwAbgAgACAAIAAgAEwAQQBNAEIARABBACgAcgAsAGMALABcAG4AIAAgACAAIAAgACAASQBOAEQARQBYACgAewBcAG4AIAAgACAAIAAgACAAIAAgAFwAIgBHAGEAcwAgAHMAcABlAGMAaQBlAHMAXAAiACwAIABcACIARQBtAGkAcwBzAGkAbwBuACAAZgBhAGMAdABvAHIAIABFAEYAZwAgACgARwBnACAAZQBsAGUAbQBlAG4AdAAgAGkAbgAgAHMAcABlAGMAaQBlAHMALwAgAEcAZwAgAGUAbABlAG0AZQBuAHQAIABpAG4AIABmAHUAZQBsACAAYgB1AHIAbgB0ACkAXAAiACwAIABcACIARQBsAGUAbQBlAG4AdABhAGwAIAB0AG8AIABtAG8AbABlAGMAdQBsAGEAcgAgAG0AYQBzAHMAIABjAG8AbgB2AGUAcgBzAGkAbwBuACAAZgBhAGMAdABvAHIAIAAoAEMAZwApAFwAIgA7AFwAbgAgACAAIAAgACAAIAAgACAAXAAiAEMASAA0AFwAIgAsACAAMAAuADAAMAAzADUALAAgAFwAIgAxADYALwAxADIAXAAiADsAXABuACAAIAAgACAAIAAgACAAIABcACIATgAyAE8AXAAiACwAIAAwAC4AMAAwADcANgAsACAAXAAiADQANAAvADIAOABcACIAOwBcAG4AIAAgACAAIAAgACAAIAAgAFwAIgBOAE8AeABcACIALAAgADAALgAyADEAMAAwACwAIABcACIANAA2AC8AMQA0AFwAIgA7AFwAbgAgACAAIAAgACAAIAAgACAAXAAiAEMATwBcACIALAAgADAALgAwADcAOAAwACwAIABcACIAMgA4AC8AMQAyAFwAIgA7AFwAbgAgACAAIAAgACAAIAAgACAAXAAiAE4ATQBWAE8AQwBcACIALAAgADAALgAwADAAOQAxACwAIABcACIAMQA0AC8AMQAyAFwAIgBcAG4AIAAgACAAIAAgACAAfQAsACAAcgAsACAAYwApAFwAbgApACkAKQA7AFwAbgBcAG4AXABuAC8AKgAgAFwAbgAtAC0ALQAtAC0ALQAtAC0ALQAtAC0ALQAtAC0ALQAtAC0ALQAtAC0ALQAtAC0ALQAtAC0ALQAtAC0ALQAtAC0ALQAtAC0ALQAtAC0AXABuAE4AMgBPAEUARgBPAHIAZwBhAG4AaQBjAEYAZQByAHQAaQBsAGkAcwBlAHIAXABuAFYARQBFAFIARwAgADIAMAAyADYAOgAgAFQAYQBiAGwAZQAgAEEALgAyAC4AMQAuADQAIABFAG0AaQBzAHMAaQBvAG4AIABmAGEAYwB0AG8AcgAgAGYAbwByACAAbwByAGcAYQBuAGkAYwAgAGYAZQByAHQAaQBsAGkAcwBlAHIAIABhAG4AZAAgAGMAcgBvAHAAIAByAGUAcwBpAGQAdQBlAHMAIAByAGUAdAB1AHIAbgBlAGQAIAB0AG8AIAB0AGgAZQAgAHMAbwBpAGwAXABuAC0ALQAtAC0ALQAtAC0ALQAtAC0ALQAtAC0ALQAtAC0ALQAtAC0ALQAtAC0ALQAtAC0ALQAtAC0ALQAtAC0ALQAtAC0ALQAtAC0ALQBcAG4AKgAvAFwAbgBcAG4ATgAyAE8ARQBGAE8AcgBnAGEAbgBpAGMARgBlAHIAdABpAGwAaQBzAGUAcg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OADIATwBFAEYATwByAGcAYQBuAGkAYwBGAGUAcgB0AGkAbABpAHMAZQByAF8AVQBuAGkAdABcAG4AIAAgAD0ATABBAE0AQgBEAEEAKABcACIAawBnACAATgAyAE8AIAAtACAATgAgAC8AIABrAGcAIABOAFwAIgApADsAXABuAFwAbgBOADIATwBFAEYATwByAGcAYQBuAGkAYwBGAGUAcgB0AGkAbABpAHMAZQByAF8AUwBvAHUAcgBjAGUAXABuACAAIAA9AEwAQQBNAEIARABBACgAXAAiAFYARQBFAFIARwAgADIAMAAyADYAOgAgAFQAYQBiAGwAZQAgAEEALgAyAC4AMQAuADQAXAAiACkAOwBcAG4AXABuAE4AMgBPAEUARgBPAHIAZwBhAG4AaQBjAEYAZQByAHQAaQBsAGkAcwBlAHIAXwBOAEkAUgBSAGUAZgBlAHIAZQBuAGMAZQBcAG4AIAAgAD0ATABBAE0AQgBEAEEAKABcACIASQBQAEMAQwAgADIAMAAxADkAIABSAGUAZgBpAG4AZQBtAGUAbgB0ACAAVgBvAGwAdQBtAGUAIAA0ACAAVABhAGIAbABlACAAMQAxAC4AMQAgAFsAMQAsACAAcAAuACAAMQAxAF0AXAAiACkAOwBcAG4AXABuAE4AMgBPAEUARgBPAHIAZwBhAG4AaQBjAEYAZQByAHQAaQBsAGkAcwBlAHIAXwBEAGEAdABhAFwAbgAgACAAPQBMAEEATQBCAEQAQQAoAFwAbgAgACAAIAAgAE0AQQBLAEUAQQBSAFIAQQBZACgAMwAsACAAMgAsACAAXABuACAAIAAgACAAIAAgAEwAQQBNAEIARABBACgAcgAsAGMALAAgAFwAbgAgACAAIAAgACAAIAAgACAASQBOAEQARQBYACgAewBcAG4AIAAgACAAIAAgACAAIAAgACAAIABcACIAQwBsAGkAbQBhAHQAZQAgAHoAbwBuAGUAIABpAFwAIgAsACAAXAAiAEUARgAgAGkAIABOADIATwBcACIAOwBcAG4AIAAgACAAIAAgACAAIAAgACAAIAAgACAAXAAiAFcAZQB0ACAAYwBsAGkAbQBhAHQAZQAgAHoAbwBuAGUAXAAiACwAIAAwAC4AMAAwADYAOwBcAG4AIAAgACAAIAAgACAAIAAgACAAIAAgACAAXAAiAEQAcgB5ACAAYwBsAGkAbQBhAHQAZQAgAHoAbwBuAGUAXAAiACwAIAAwAC4AMAAwADUAXABuACAAIAAgACAAIAAgACAAIAB9ACwAIAByACwAIABjACkAXABuACAAIAAgACAAIAAgACkAXABuACAAIAAgACAAKQBcAG4AIAAgACkAOwBcAG4AXABuAFwAbgBcAG4AIgB9ACwAewAiAHAAYQB0AGgAIgA6ACIALwBwAHIAbwBqAGUAYwB0AHMALwBTAGMAbwBwAGUAMwBfAEUAcQB1AGEAdABpAG8AbgBzACIALAAiAHQAZQB4AHQAIgA6ACIALwAqAFwAbgA9AD0APQA9AD0APQA9AD0APQA9AD0APQA9AD0APQA9AD0APQA9AD0APQA9AD0APQA9AD0APQA9AD0APQA9AD0APQA9AD0APQA9AD0APQA9AD0APQA9AD0APQA9AD0APQA9AD0APQA9AD0APQA9AD0APQA9AD0APQA9AD0APQA9AD0APQA9AD0APQA9AD0APQA9AD0APQA9AFwAbgAxADUAOgAgAFMAYwBvAHAAZQAgADMAIABFAG0AaQBzAHMAaQBvAG4Ac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EANQBfADEAXwAxAF8AMQBfAF8AMQBfAEUAbQBpAHMAcwBpAG8AbgBzAEYAcgBvAG0AUAB1AHIAYwBoAGEAcwBlAGQATABpAHYAZQBzAHQAbwBjAGsAXABuAFQAbwB0AGEAbAAgAGUAbQBpAHMAcwBpAG8AbgBzACAAZgByAG8AbQAgAHAAdQByAGMAaABhAHMAZQBkACAAbABpAHYAZQBzAHQAbwBjAGsAXABuAEUAXABuAHQAIABDAE8AMgBlAFwAbgBFAD0AXABcAHMAdQBtAFwAXABuAG8AbABpAG0AaQB0AHMAXwBjAFwAXABzAHUAbQBcAFwAbgBvAGwAaQBtAGkAdABzAF8AbwBcAFwAbABlAGYAdAAoAE4AXwB7AGMAbwB9AFwAXAB0AGkAbQBlAHMAIABXAF8AewBjAG8AfQBcAFwAdABpAG0AZQBzACAARQBGAF8AewBjAG8AfQBcAFwAcgBpAGcAaAB0ACkAXABcAHQAaQBtAGUAcwAgADEAMABeAHsALQAzAH0AXABuAE4AXwBjAG8AIAA9ACAAbgB1AG0AYgBlAHIAIABvAGYAIABhAG4AaQBtAGEAbABzACAAcAB1AHIAYwBoAGEAcwBlAGQAIABpAG4AIABsAGkAdgBlAHMAdABvAGMAawAgAHQAeQBwAGUAIABjACAAZgByAG8AbQAgAG8AcgBpAGcAaQBuACAAbwBcAG4AVwBfAGMAbwAgAD0AIABhAHYAZQByAGEAZwBlACAAbABpAHYAZQB3AGUAaQBnAGgAdAAgAG8AZgAgAHAAdQByAGMAaABhAHMAZQBkACAAbABpAHYAZQBzAHQAbwBjAGsAIABhAHQAIABwAG8AaQBuAHQAIABvAGYAIABwAHUAcgBjAGgAYQBzAGUAXABuAEUARgBfAGMAbwAgAD0AIABlAG0AaQBzAHMAaQBvAG4AIABmAGEAYwB0AG8AcgAgAHAAZQByACAAbABpAHYAZQBzAHQAbwBjAGsAIAB0AHkAcABlACAAYQBuAGQAIABvAHIAaQBnAGkAbgBcAG4ALQAtAC0ALQAtAC0ALQAtAC0ALQAtAC0ALQAtAC0ALQAtAC0ALQAtAC0ALQAtAC0ALQAtAC0ALQAtAC0ALQAtAC0ALQAtAC0ALQAtAFwAbgAqAC8AXABuAFwAbgBWAEUARQBSAEcAXwAxADUAXwAxAF8AMQBfADEAXwBfADEAXwBFAG0AaQBzAHMAaQBvAG4AcwBGAHIAbwBtAFAAdQByAGMAaABhAHMAZQBkAEwAaQB2AGUAcwB0AG8AYwBrAFwAbgAgACAAPQBMAEEATQBCAEQAQQAoAFwAbgAgACAAIAAgAE4AXwBjAG8ALAAgAFcAXwBjAG8ALAAgAEUARgBfAGMAbwAsAFwAbgAgACAAIAAgACgATgBfAGMAbwAgACoAIABXAF8AYwBvACAAKgAgAEUARgBfAGMAbwApACAAKgAgADEAMAAgAF4AIAAtADMAXABuACAAIAApADsAXABuAFwAbgBWAEUARQBSAEcAXwAxADUAXwAxAF8AMQBfADEAXwBfADEAXwBFAG0AaQBzAHMAaQBvAG4AcwBGAHIAbwBtAFAAdQByAGMAaABhAHMAZQBkAEwAaQB2AGUAcwB0AG8AYwBrAF8AVABpAHQAbABlAFwAbgAgACAAPQBMAEEATQBCAEQAQQAoAFwAIgBUAG8AdABhAGwAIABlAG0AaQBzAHMAaQBvAG4AcwAgAGYAcgBvAG0AIABwAHUAcgBjAGgAYQBzAGUAZAAgAGwAaQB2AGUAcwB0AG8AYwBrAFwAIgApADsAXABuAFwAbgBWAEUARQBSAEcAXwAxADUAXwAxAF8AMQBfADEAXwBfADEAXwBFAG0AaQBzAHMAaQBvAG4AcwBGAHIAbwBtAFAAdQByAGMAaABhAHMAZQBkAEwAaQB2AGUAcwB0AG8AYwBrAF8AVgBhAHIAaQBhAGIAbABlAFwAbgAgACAAPQBMAEEATQBCAEQAQQAoAFwAIgBFAFwAIgApADsAXABuAFwAbgBWAEUARQBSAEcAXwAxADUAXwAxAF8AMQBfADEAXwBfADEAXwBFAG0AaQBzAHMAaQBvAG4AcwBGAHIAbwBtAFAAdQByAGMAaABhAHMAZQBkAEwAaQB2AGUAcwB0AG8AYwBrAF8AVQBuAGkAdABcAG4AIAAgAD0ATABBAE0AQgBEAEEAKABcACIAdAAgAEMATwAyAGUAXAAiACkAOwBcAG4AXABuAFYARQBFAFIARwBfADEANQBfADEAXwAxAF8AMQBfAF8AMQBfAEUAbQBpAHMAcwBpAG8AbgBzAEYAcgBvAG0AUAB1AHIAYwBoAGEAcwBlAGQATABpAHYAZQBzAHQAbwBjAGsAXwBTAG8AdQByAGMAZQBcAG4AIAAgAD0ATABBAE0AQgBEAEEAKABcACIAVgBFAEUAUgBHACAAMgAwADIANgA6ACAAMQA1AC4AMQAuADEALgAxACwAIABFAHEAdQBhAHQAaQBvAG4AIAAoADEAKQBcACIAKQA7AFwAbgBcAG4AVgBFAEUAUgBHAF8AMQA1AF8AMQBfADEAXwAxAF8AXwAxAF8ARQBtAGkAcwBzAGkAbwBuAHMARgByAG8AbQBQAHUAcgBjAGgAYQBzAGUAZABMAGkAdgBlAHMAdABvAGMAawBfAE4ASQBSAFIAZQBmAGUAcgBlAG4AYwBlAFwAbgAgACAAPQBMAEEATQBCAEQAQQAoAFwAIgBcACIAKQA7AFwAbgBcAG4AVgBFAEUAUgBHAF8AMQA1AF8AMQBfADEAXwAxAF8AXwAxAF8ARQBtAGkAcwBzAGkAbwBuAHMARgByAG8AbQBQAHUAcgBjAGgAYQBzAGUAZABMAGkAdgBlAHMAdABvAGMAawBfAEwAYQB0AGUAeABFAHEAdQBhAHQAaQBvAG4AXABuACAAIAA9AEwAQQBNAEIARABBACgAXAAiAEUAPQBcAFwAcwB1AG0AXABcAG4AbwBsAGkAbQBpAHQAcwBfAGMAXABcAHMAdQBtAFwAXABuAG8AbABpAG0AaQB0AHMAXwBvAFwAXABsAGUAZgB0ACgATgBfAHsAYwBvAH0AXABcAHQAaQBtAGUAcwAgAFcAXwB7AGMAbwB9AFwAXAB0AGkAbQBlAHMAIABFAEYAXwB7AGMAbwB9AFwAXAByAGkAZwBoAHQAKQBcAFwAdABpAG0AZQBzACAAMQAwAF4AewAtADMAfQBcACIAKQA7AFwAbgBcAG4AVgBFAEUAUgBHAF8AMQA1AF8AMQBfADEAXwAxAF8AXwAxAF8ARQBtAGkAcwBzAGkAbwBuAHMARgByAG8AbQBQAHUAcgBjAGgAYQBzAGUAZABMAGkAdgBlAHMAdABvAGMAawBfAEEAcgBnAHUAbQBlAG4AdABzAFwAbgAgACAAPQBMAEEATQBCAEQAQQAoAFwAbgAgACAAIAAgAE0AQQBLAEUAQQBSAFIAQQBZACgANQAsACAANAAsAFwAbgAgACAAIAAgACAAIABMAEEATQBCAEQAQQAoAHIALABjACwAXABuACAAIAAgACAAIAAgACAAIABJAE4ARABFAFgAKAB7AFwAbgAgACAAIAAgACAAIAAgACAAIAAgAFwAIgBOAF8AYwBvAFwAIgAsACAAXAAiAG4AdQBtAGIAZQByACAAbwBmACAAYQBuAGkAbQBhAGwAcwAgAHAAdQByAGMAaABhAHMAZQBkACAAaQBuACAAbABpAHYAZQBzAHQAbwBjAGsAIAB0AHkAcABlACAAYwAgAGYAcgBvAG0AIABvAHIAaQBnAGkAbgAgAG8AXAAiACwAIABcACIAaABlAGEAZABcACIALAAgAFwAIgBJAG4AcAB1AHQAXAAiADsAXABuACAAIAAgACAAIAAgACAAIAAgACAAXAAiAFcAXwBjAG8AXAAiACwAIABcACIAYQB2AGUAcgBhAGcAZQAgAGwAaQB2AGUAdwBlAGkAZwBoAHQAIABvAGYAIABwAHUAcgBjAGgAYQBzAGUAZAAgAGwAaQB2AGUAcwB0AG8AYwBrACAAYQB0ACAAcABvAGkAbgB0ACAAbwBmACAAcAB1AHIAYwBoAGEAcwBlAFwAIgAsACAAXAAiAGsAZwAvAGgAZQBhAGQAXAAiACwAIABcACIASQBuAHAAdQB0AFwAIgA7AFwAbgAgACAAIAAgACAAIAAgACAAIAAgAFwAIgBFAEYAXwBjAG8AXAAiACwAIABcACIAZQBtAGkAcwBzAGkAbwBuACAAZgBhAGMAdABvAHIAIABwAGUAcgAgAGwAaQB2AGUAcwB0AG8AYwBrACAAdAB5AHAAZQAgAGEAbgBkACAAbwByAGkAZwBpAG4AXAAiACwAIABcACIAawBnACAAQwBPADIAZQAvAGsAZwBcACIALAAgAFwAIgBDAG8AbgBzAHQAYQBuAHQAXAAiADsAXABuACAAIAAgACAAIAAgACAAIAAgACAAXAAiAGMAXAAiACwAIABcACIAbABpAHYAZQBzAHQAbwBjAGsAIAB0AHkAcABlAFwAIgAsACAAXAAiAFwAIgAsACAAXAAiAEkAbgBwAHUAdABcACIAOwBcAG4AIAAgACAAIAAgACAAIAAgACAAIABcACIAbwBcACIALAAgAFwAIgBvAHIAaQBnAGkAbg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MgBfADEAXwAxAF8AXwAxAF8ARQBtAGkAcwBzAGkAbwBuAHMARgByAG8AbQBQAHUAcgBjAGgAYQBzAGUAZABGAGUAZQBkAFwAbgBFAG0AaQBzAHMAaQBvAG4AcwAgAGYAcgBvAG0AIABwAHUAcgBjAGgAYQBzAGUAZAAgAGYAZQBlAGQAXABuAEUAXABuAHQAIABDAE8AMgBlAFwAbgBFAD0AXABcAHMAdQBtAFwAXABuAG8AbABpAG0AaQB0AHMAXwBqAFwAXABsAGUAZgB0ACgAUQBfAGoAXABcAHQAaQBtAGUAcwAgAEUARgBfAGoAXABcAHIAaQBnAGgAdAApAFwAbgBRAF8AagAgAD0AIABxAHUAYQBuAHQAaQB0AHkAIABvAGYAIABmAGUAZQBkACAAdAB5AHAAZQAgAGoAIABwAHUAcgBjAGgAYQBzAGUAZABcAG4ARQBGAF8AagAgAD0AIABlAG0AaQBzAHMAaQBvAG4AIABmAGEAYwB0AG8AcgAgAG8AZgAgAHAAdQByAGMAaABhAHMAZQBkACAAZgBlAGUAZABcAG4ALQAtAC0ALQAtAC0ALQAtAC0ALQAtAC0ALQAtAC0ALQAtAC0ALQAtAC0ALQAtAC0ALQAtAC0ALQAtAC0ALQAtAC0ALQAtAC0ALQAtAFwAbgAqAC8AXABuAFwAbgBWAEUARQBSAEcAXwAxADUAXwAyAF8AMQBfADEAXwBfADEAXwBFAG0AaQBzAHMAaQBvAG4AcwBGAHIAbwBtAFAAdQByAGMAaABhAHMAZQBkAEYAZQBlAGQAXABuACAAIAA9AEwAQQBNAEIARABBACgAXABuACAAIAAgACAAUQBfAGoALAAgAEUARgBfAGoALABcAG4AIAAgACAAIABRAF8AagAgACoAIABFAEYAXwBqAFwAbgAgACAAKQA7AFwAbgBcAG4AVgBFAEUAUgBHAF8AMQA1AF8AMgBfADEAXwAxAF8AXwAxAF8ARQBtAGkAcwBzAGkAbwBuAHMARgByAG8AbQBQAHUAcgBjAGgAYQBzAGUAZABGAGUAZQBkAF8AVABpAHQAbABlAFwAbgAgACAAPQBMAEEATQBCAEQAQQAoAFwAIgBFAG0AaQBzAHMAaQBvAG4AcwAgAGYAcgBvAG0AIABwAHUAcgBjAGgAYQBzAGUAZAAgAGYAZQBlAGQAXAAiACkAOwBcAG4AXABuAFYARQBFAFIARwBfADEANQBfADIAXwAxAF8AMQBfAF8AMQBfAEUAbQBpAHMAcwBpAG8AbgBzAEYAcgBvAG0AUAB1AHIAYwBoAGEAcwBlAGQARgBlAGUAZABfAFYAYQByAGkAYQBiAGwAZQBcAG4AIAAgAD0ATABBAE0AQgBEAEEAKABcACIARQBcACIAKQA7AFwAbgBcAG4AVgBFAEUAUgBHAF8AMQA1AF8AMgBfADEAXwAxAF8AXwAxAF8ARQBtAGkAcwBzAGkAbwBuAHMARgByAG8AbQBQAHUAcgBjAGgAYQBzAGUAZABGAGUAZQBkAF8AVQBuAGkAdABcAG4AIAAgAD0ATABBAE0AQgBEAEEAKABcACIAdAAgAEMATwAyAGUAXAAiACkAOwBcAG4AXABuAFYARQBFAFIARwBfADEANQBfADIAXwAxAF8AMQBfAF8AMQBfAEUAbQBpAHMAcwBpAG8AbgBzAEYAcgBvAG0AUAB1AHIAYwBoAGEAcwBlAGQARgBlAGUAZABfAFMAbwB1AHIAYwBlAFwAbgAgACAAPQBMAEEATQBCAEQAQQAoAFwAIgBWAEUARQBSAEcAIAAyADAAMgA2ADoAIAAxADUALgAyAC4AMQAuADEALAAgAEUAcQB1AGEAdABpAG8AbgAgACgAMQApAFwAIgApADsAXABuAFwAbgBWAEUARQBSAEcAXwAxADUAXwAyAF8AMQBfADEAXwBfADEAXwBFAG0AaQBzAHMAaQBvAG4AcwBGAHIAbwBtAFAAdQByAGMAaABhAHMAZQBkAEYAZQBlAGQAXwBOAEkAUgBSAGUAZgBlAHIAZQBuAGMAZQBcAG4AIAAgAD0ATABBAE0AQgBEAEEAKABcACIAXAAiACkAOwBcAG4AXABuAFYARQBFAFIARwBfADEANQBfADIAXwAxAF8AMQBfAF8AMQBfAEUAbQBpAHMAcwBpAG8AbgBzAEYAcgBvAG0AUAB1AHIAYwBoAGEAcwBlAGQARgBlAGUAZABfAEwAYQB0AGUAeABFAHEAdQBhAHQAaQBvAG4AXABuACAAIAA9AEwAQQBNAEIARABBACgAXAAiAEUAPQBcAFwAcwB1AG0AXABcAG4AbwBsAGkAbQBpAHQAcwBfAGoAXABcAGwAZQBmAHQAKABRAF8AagBcAFwAdABpAG0AZQBzACAARQBGAF8AagBcAFwAcgBpAGcAaAB0ACkAXAAiACkAOwBcAG4AXABuAFYARQBFAFIARwBfADEANQBfADIAXwAxAF8AMQBfAF8AMQBfAEUAbQBpAHMAcwBpAG8AbgBzAEYAcgBvAG0AUAB1AHIAYwBoAGEAcwBlAGQARgBlAGUAZABfAEEAcgBnAHUAbQBlAG4AdABzAFwAbgAgACAAPQBMAEEATQBCAEQAQQAoAFwAbgAgACAAIAAgAE0AQQBLAEUAQQBSAFIAQQBZACgAMwAsACAANAAsAFwAbgAgACAAIAAgACAAIABMAEEATQBCAEQAQQAoAHIALABjACwAXABuACAAIAAgACAAIAAgACAAIABJAE4ARABFAFgAKAB7AFwAbgAgACAAIAAgACAAIAAgACAAIAAgAFwAIgBRAF8AagBcACIALAAgAFwAIgBxAHUAYQBuAHQAaQB0AHkAIABvAGYAIABmAGUAZQBkACAAdAB5AHAAZQAgAGoAIABwAHUAcgBjAGgAYQBzAGUAZABcACIALAAgAFwAIgB0AFwAIgAsACAAXAAiAEkAbgBwAHUAdABcACIAOwBcAG4AIAAgACAAIAAgACAAIAAgACAAIABcACIARQBGAF8AagBcACIALAAgAFwAIgBlAG0AaQBzAHMAaQBvAG4AIABmAGEAYwB0AG8AcgAgAG8AZgAgAHAAdQByAGMAaABhAHMAZQBkACAAZgBlAGUAZABcACIALAAgAFwAIgBrAGcAIABDAE8AMgBlAC8AawBnAFwAIgAsACAAXAAiAEMAbwBuAHMAdABhAG4AdABcACIAOwBcAG4AIAAgACAAIAAgACAAIAAgACAAIABcACIAagBcACIALAAgAFwAIgBmAGUAZQBkACAAdAB5AHA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MwBfADEAXwAxAF8AXwAxAF8ARQBtAGkAcwBzAGkAbwBuAHMARgByAG8AbQBQAHUAcgBjAGgAYQBzAGUAZABNAGkAbgBlAHIAYQBsAFMAdQBwAHAAbABlAG0AZQBuAHQAcwBcAG4AVABvAHQAYQBsACAAZQBtAGkAcwBzAGkAbwBuAHMAIABmAHIAbwBtACAAcAB1AHIAYwBoAGEAcwBlAGQAIABtAGkAbgBlAHIAYQBsACAAcwB1AHAAcABsAGUAbQBlAG4AdABzAFwAbgBFAFwAbgB0ACAAQwBPADIAZQBcAG4ARQA9AFwAXABzAHUAbQBcAFwAbgBvAGwAaQBtAGkAdABzAF8AbQBcAFwAbABlAGYAdAAoAFEAXwBtAFwAXAB0AGkAbQBlAHMAIABFAEYAXwBtAFwAXAByAGkAZwBoAHQAKQBcAG4AUQBfAG0AIAA9ACAAdABvAHQAYQBsACAAcQB1AGEAbgB0AGkAdAB5ACAAbwBmACAAbQBpAG4AZQByAGEAbAAgAHMAdQBwAHAAbABlAG0AZQBuAHQAIAB0AHkAcABlACAAbQAgAHUAcwBlAGQAXABuAEUARgBfAG0AIAA9ACAAZQBtAGkAcwBzAGkAbwBuACAAZgBhAGMAdABvAHIAIABvAGYAIABwAHUAcgBjAGgAYQBzAGUAZAAgAG0AaQBuAGUAcgBhAGwAIABzAHUAcABwAGwAZQBtAGUAbgB0AFwAbgAtAC0ALQAtAC0ALQAtAC0ALQAtAC0ALQAtAC0ALQAtAC0ALQAtAC0ALQAtAC0ALQAtAC0ALQAtAC0ALQAtAC0ALQAtAC0ALQAtAC0AXABuACoALwBcAG4AXABuAFYARQBFAFIARwBfADEANQBfADMAXwAxAF8AMQBfAF8AMQBfAEUAbQBpAHMAcwBpAG8AbgBzAEYAcgBvAG0AUAB1AHIAYwBoAGEAcwBlAGQATQBpAG4AZQByAGEAbABTAHUAcABwAGwAZQBtAGUAbgB0AHMAXABuACAAIAA9AEwAQQBNAEIARABBACgAXABuACAAIAAgACAAUQBfAG0ALAAgAEUARgBfAG0ALABcAG4AIAAgACAAIABRAF8AbQAgACoAIABFAEYAXwBtAFwAbgAgACAAKQA7AFwAbgBcAG4AVgBFAEUAUgBHAF8AMQA1AF8AMwBfADEAXwAxAF8AXwAxAF8ARQBtAGkAcwBzAGkAbwBuAHMARgByAG8AbQBQAHUAcgBjAGgAYQBzAGUAZABNAGkAbgBlAHIAYQBsAFMAdQBwAHAAbABlAG0AZQBuAHQAcwBfAFQAaQB0AGwAZQBcAG4AIAAgAD0ATABBAE0AQgBEAEEAKABcACIAVABvAHQAYQBsACAAZQBtAGkAcwBzAGkAbwBuAHMAIABmAHIAbwBtACAAcAB1AHIAYwBoAGEAcwBlAGQAIABtAGkAbgBlAHIAYQBsACAAcwB1AHAAcABsAGUAbQBlAG4AdABzAFwAIgApADsAXABuAFwAbgBWAEUARQBSAEcAXwAxADUAXwAzAF8AMQBfADEAXwBfADEAXwBFAG0AaQBzAHMAaQBvAG4AcwBGAHIAbwBtAFAAdQByAGMAaABhAHMAZQBkAE0AaQBuAGUAcgBhAGwAUwB1AHAAcABsAGUAbQBlAG4AdABzAF8AVgBhAHIAaQBhAGIAbABlAFwAbgAgACAAPQBMAEEATQBCAEQAQQAoAFwAIgBFAFwAIgApADsAXABuAFwAbgBWAEUARQBSAEcAXwAxADUAXwAzAF8AMQBfADEAXwBfADEAXwBFAG0AaQBzAHMAaQBvAG4AcwBGAHIAbwBtAFAAdQByAGMAaABhAHMAZQBkAE0AaQBuAGUAcgBhAGwAUwB1AHAAcABsAGUAbQBlAG4AdABzAF8AVQBuAGkAdABcAG4AIAAgAD0ATABBAE0AQgBEAEEAKABcACIAdAAgAEMATwAyAGUAXAAiACkAOwBcAG4AXABuAFYARQBFAFIARwBfADEANQBfADMAXwAxAF8AMQBfAF8AMQBfAEUAbQBpAHMAcwBpAG8AbgBzAEYAcgBvAG0AUAB1AHIAYwBoAGEAcwBlAGQATQBpAG4AZQByAGEAbABTAHUAcABwAGwAZQBtAGUAbgB0AHMAXwBTAG8AdQByAGMAZQBcAG4AIAAgAD0ATABBAE0AQgBEAEEAKABcACIAVgBFAEUAUgBHACAAMgAwADIANgA6ACAAMQA1AC4AMwAuADEALgAxACwAIABFAHEAdQBhAHQAaQBvAG4AIAAoADEAKQBcACIAKQA7AFwAbgBcAG4AVgBFAEUAUgBHAF8AMQA1AF8AMwBfADEAXwAxAF8AXwAxAF8ARQBtAGkAcwBzAGkAbwBuAHMARgByAG8AbQBQAHUAcgBjAGgAYQBzAGUAZABNAGkAbgBlAHIAYQBsAFMAdQBwAHAAbABlAG0AZQBuAHQAcwBfAE4ASQBSAFIAZQBmAGUAcgBlAG4AYwBlAFwAbgAgACAAPQBMAEEATQBCAEQAQQAoAFwAIgBcACIAKQA7AFwAbgBcAG4AVgBFAEUAUgBHAF8AMQA1AF8AMwBfADEAXwAxAF8AXwAxAF8ARQBtAGkAcwBzAGkAbwBuAHMARgByAG8AbQBQAHUAcgBjAGgAYQBzAGUAZABNAGkAbgBlAHIAYQBsAFMAdQBwAHAAbABlAG0AZQBuAHQAcwBfAEwAYQB0AGUAeABFAHEAdQBhAHQAaQBvAG4AXABuACAAIAA9AEwAQQBNAEIARABBACgAXAAiAEUAPQBcAFwAcwB1AG0AXABcAG4AbwBsAGkAbQBpAHQAcwBfAG0AXABcAGwAZQBmAHQAKABRAF8AbQBcAFwAdABpAG0AZQBzACAARQBGAF8AbQBcAFwAcgBpAGcAaAB0ACkAXAAiACkAOwBcAG4AXABuAFYARQBFAFIARwBfADEANQBfADMAXwAxAF8AMQBfAF8AMQBfAEUAbQBpAHMAcwBpAG8AbgBzAEYAcgBvAG0AUAB1AHIAYwBoAGEAcwBlAGQATQBpAG4AZQByAGEAbABTAHUAcABwAGwAZQBtAGUAbgB0AHMAXwBBAHIAZwB1AG0AZQBuAHQAcwBcAG4AIAAgAD0ATABBAE0AQgBEAEEAKABcAG4AIAAgACAAIABNAEEASwBFAEEAUgBSAEEAWQAoADMALAAgADQALABcAG4AIAAgACAAIAAgACAATABBAE0AQgBEAEEAKAByACwAYwAsAFwAbgAgACAAIAAgACAAIAAgACAASQBOAEQARQBYACgAewBcAG4AIAAgACAAIAAgACAAIAAgACAAIABcACIAUQBfAG0AXAAiACwAIABcACIAdABvAHQAYQBsACAAcQB1AGEAbgB0AGkAdAB5ACAAbwBmACAAbQBpAG4AZQByAGEAbAAgAHMAdQBwAHAAbABlAG0AZQBuAHQAIAB0AHkAcABlACAAbQAgAHUAcwBlAGQAXAAiACwAIABcACIAdABcACIALAAgAFwAIgBJAG4AcAB1AHQAXAAiADsAXABuACAAIAAgACAAIAAgACAAIAAgACAAXAAiAEUARgBfAG0AXAAiACwAIABcACIAZQBtAGkAcwBzAGkAbwBuACAAZgBhAGMAdABvAHIAIABvAGYAIABwAHUAcgBjAGgAYQBzAGUAZAAgAG0AaQBuAGUAcgBhAGwAIABzAHUAcABwAGwAZQBtAGUAbgB0AFwAIgAsACAAXAAiAGsAZwAgAEMATwAyAGUALwBrAGcAXAAiACwAIABcACIAQwBvAG4AcwB0AGEAbgB0AFwAIgA7AFwAbgAgACAAIAAgACAAIAAgACAAIAAgAFwAIgBtAFwAIgAsACAAXAAiAG0AaQBuAGUAcgBhAGwAIABzAHUAcABwAGwAZQBtAGUAbgB0ACAAdAB5AHAAZ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NABfADEAXwAxAF8AXwAxAF8ARQBtAGkAcwBzAGkAbwBuAHMARgByAG8AbQBQAHUAcgBjAGgAYQBzAGUAZABGAGUAcgB0AGkAbABpAHMAZQByAFwAbgBFAG0AaQBzAHMAaQBvAG4AcwAgAGYAcgBvAG0AIABwAHUAcgBjAGgAYQBzAGUAZAAgAGYAZQByAHQAaQBsAGkAcwBlAHIAXABuAEUAXABuAHQAIABDAE8AMgBlAFwAbgBFAD0AXABcAHMAdQBtAFwAXABuAG8AbABpAG0AaQB0AHMAXwBmAFwAXABzAHUAbQBcAFwAbgBvAGwAaQBtAGkAdABzAF8AagBcAFwAbABlAGYAdAAoAFQATQBfAHsAagBmAH0AXABcAHQAaQBtAGUAcwAgAEUARgBfAGYAXABcAHIAaQBnAGgAdAApAFwAXAB0AGkAbQBlAHMAIAAxADAAXgB7AC0AMwB9AFwAbgBUAE0AXwBqAGYAIAA9ACAAcQB1AGEAbgB0AGkAdAB5ACAAbwBmACAAaQBuAG8AcgBnAGEAbgBpAGMAIABmAGUAcgB0AGkAbABpAHMAZQByACAAdAB5AHAAZQAgAGYAIABwAHUAcgBjAGgAYQBzAGUAZAAgAGEAbgBkACAAYQBwAHAAbABpAGUAZAAgAHQAbwAgAHAAcgBvAGQAdQBjAHQAaQBvAG4AIABzAHkAcwB0AGUAbQAgAGoAXABuAEUARgBfAGYAIAA9ACAAZQBtAGkAcwBzAGkAbwBuACAAZgBhAGMAdABvAHIAIABvAGYAIABwAHUAcgBjAGgAYQBzAGUAZAAgAGkAbgBvAHIAZwBhAG4AaQBjACAAZgBlAHIAdABpAGwAaQBzAGUAcgBcAG4ALQAtAC0ALQAtAC0ALQAtAC0ALQAtAC0ALQAtAC0ALQAtAC0ALQAtAC0ALQAtAC0ALQAtAC0ALQAtAC0ALQAtAC0ALQAtAC0ALQAtAFwAbgAqAC8AXABuAFwAbgBWAEUARQBSAEcAXwAxADUAXwA0AF8AMQBfADEAXwBfADEAXwBFAG0AaQBzAHMAaQBvAG4AcwBGAHIAbwBtAFAAdQByAGMAaABhAHMAZQBkAEYAZQByAHQAaQBsAGkAcwBlAHIAXABuACAAIAA9AEwAQQBNAEIARABBACgAXABuACAAIAAgACAAVABNAF8AagBmACwAIABFAEYAXwBmACwAXABuACAAIAAgACAAKABUAE0AXwBqAGYAIAAqACAARQBGAF8AZgApACAAKgAgADEAMAAgAF4AIAAtADMAXABuACAAIAApADsAXABuAFwAbgBWAEUARQBSAEcAXwAxADUAXwA0AF8AMQBfADEAXwBfADEAXwBFAG0AaQBzAHMAaQBvAG4AcwBGAHIAbwBtAFAAdQByAGMAaABhAHMAZQBkAEYAZQByAHQAaQBsAGkAcwBlAHIAXwBUAGkAdABsAGUAXABuACAAIAA9AEwAQQBNAEIARABBACgAXAAiAEUAbQBpAHMAcwBpAG8AbgBzACAAZgByAG8AbQAgAHAAdQByAGMAaABhAHMAZQBkACAAZgBlAHIAdABpAGwAaQBzAGUAcgBcACIAKQA7AFwAbgBcAG4AVgBFAEUAUgBHAF8AMQA1AF8ANABfADEAXwAxAF8AXwAxAF8ARQBtAGkAcwBzAGkAbwBuAHMARgByAG8AbQBQAHUAcgBjAGgAYQBzAGUAZABGAGUAcgB0AGkAbABpAHMAZQByAF8AVgBhAHIAaQBhAGIAbABlAFwAbgAgACAAPQBMAEEATQBCAEQAQQAoAFwAIgBFAFwAIgApADsAXABuAFwAbgBWAEUARQBSAEcAXwAxADUAXwA0AF8AMQBfADEAXwBfADEAXwBFAG0AaQBzAHMAaQBvAG4AcwBGAHIAbwBtAFAAdQByAGMAaABhAHMAZQBkAEYAZQByAHQAaQBsAGkAcwBlAHIAXwBVAG4AaQB0AFwAbgAgACAAPQBMAEEATQBCAEQAQQAoAFwAIgB0ACAAQwBPADIAZQBcACIAKQA7AFwAbgBcAG4AVgBFAEUAUgBHAF8AMQA1AF8ANABfADEAXwAxAF8AXwAxAF8ARQBtAGkAcwBzAGkAbwBuAHMARgByAG8AbQBQAHUAcgBjAGgAYQBzAGUAZABGAGUAcgB0AGkAbABpAHMAZQByAF8AUwBvAHUAcgBjAGUAXABuACAAIAA9AEwAQQBNAEIARABBACgAXAAiAFYARQBFAFIARwAgADIAMAAyADYAOgAgADEANQAuADQALgAxAC4AMQAsACAARQBxAHUAYQB0AGkAbwBuACAAKAAxACkAXAAiACkAOwBcAG4AXABuAFYARQBFAFIARwBfADEANQBfADQAXwAxAF8AMQBfAF8AMQBfAEUAbQBpAHMAcwBpAG8AbgBzAEYAcgBvAG0AUAB1AHIAYwBoAGEAcwBlAGQARgBlAHIAdABpAGwAaQBzAGUAcgBfAE4ASQBSAFIAZQBmAGUAcgBlAG4AYwBlAFwAbgAgACAAPQBMAEEATQBCAEQAQQAoAFwAIgBcACIAKQA7AFwAbgBcAG4AVgBFAEUAUgBHAF8AMQA1AF8ANABfADEAXwAxAF8AXwAxAF8ARQBtAGkAcwBzAGkAbwBuAHMARgByAG8AbQBQAHUAcgBjAGgAYQBzAGUAZABGAGUAcgB0AGkAbABpAHMAZQByAF8ATABhAHQAZQB4AEUAcQB1AGEAdABpAG8AbgBcAG4AIAAgAD0ATABBAE0AQgBEAEEAKABcACIARQA9AFwAXABzAHUAbQBcAFwAbgBvAGwAaQBtAGkAdABzAF8AZgBcAFwAcwB1AG0AXABcAG4AbwBsAGkAbQBpAHQAcwBfAGoAXABcAGwAZQBmAHQAKABUAE0AXwB7AGoAZgB9AFwAXAB0AGkAbQBlAHMAIABFAEYAXwBmAFwAXAByAGkAZwBoAHQAKQBcAFwAdABpAG0AZQBzACAAMQAwAF4AewAtADMAfQBcACIAKQA7AFwAbgBcAG4AVgBFAEUAUgBHAF8AMQA1AF8ANABfADEAXwAxAF8AXwAxAF8ARQBtAGkAcwBzAGkAbwBuAHMARgByAG8AbQBQAHUAcgBjAGgAYQBzAGUAZABGAGUAcgB0AGkAbABpAHMAZQByAF8AQQByAGcAdQBtAGUAbgB0AHMAXABuACAAIAA9AEwAQQBNAEIARABBACgAXABuACAAIAAgACAATQBBAEsARQBBAFIAUgBBAFkAKAA0ACwAIAA0ACwAXABuACAAIAAgACAAIAAgAEwAQQBNAEIARABBACgAcgAsAGMALABcAG4AIAAgACAAIAAgACAAIAAgAEkATgBEAEUAWAAoAHsAXABuACAAIAAgACAAIAAgACAAIAAgACAAXAAiAFQATQBfAGoAZgBcACIALAAgAFwAIgBxAHUAYQBuAHQAaQB0AHkAIABvAGYAIABpAG4AbwByAGcAYQBuAGkAYwAgAGYAZQByAHQAaQBsAGkAcwBlAHIAIAB0AHkAcABlACAAZgAgAHAAdQByAGMAaABhAHMAZQBkACAAYQBuAGQAIABhAHAAcABsAGkAZQBkACAAdABvACAAcAByAG8AZAB1AGMAdABpAG8AbgAgAHMAeQBzAHQAZQBtACAAagBcACIALAAgAFwAIgBrAGcAXAAiACwAIABcACIASQBuAHAAdQB0AFwAIgA7AFwAbgAgACAAIAAgACAAIAAgACAAIAAgAFwAIgBFAEYAXwBmAFwAIgAsACAAXAAiAGUAbQBpAHMAcwBpAG8AbgAgAGYAYQBjAHQAbwByACAAbwBmACAAcAB1AHIAYwBoAGEAcwBlAGQAIABpAG4AbwByAGcAYQBuAGkAYwAgAGYAZQByAHQAaQBsAGkAcwBlAHIAXAAiACwAIABcACIAawBnACAAQwBPADIAZQAvAGsAZwBcACIALAAgAFwAIgBDAG8AbgBzAHQAYQBuAHQAXAAiADsAXABuACAAIAAgACAAIAAgACAAIAAgACAAXAAiAGoAXAAiACwAIABcACIAcAByAG8AZAB1AGMAdABpAG8AbgAgAHMAeQBzAHQAZQBtAFwAIgAsACAAXAAiAFwAIgAsACAAXAAiAEkAbgBwAHUAdABcACIAOwBcAG4AIAAgACAAIAAgACAAIAAgACAAIABcACIAZgBcACIALAAgAFwAIgBpAG4AbwByAGcAYQBuAGkAYwAgAGYAZQByAHQAaQBsAGkAcwBlAHI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0AF8AMQBfADEAXwBfADIAXwBFAG0AaQBzAHMAaQBvAG4AcwBGAHIAbwBtAFAAdQByAGMAaABhAHMAZQBkAEYAZQByAHQAaQBsAGkAcwBlAHIAQwBvAG0AcABvAG4AZQBuAHQAcwBcAG4ARQBtAGkAcwBzAGkAbwBuAHMAIABmAHIAbwBtACAAcAB1AHIAYwBoAGEAcwBlAGQAIABmAGUAcgB0AGkAbABpAHMAZQByACAAYwBvAG0AcABvAG4AZQBuAHQAcwBcAG4ARQBcAG4AdAAgAEMATwAyAGUAXABuAEUAPQBcAFwAcwB1AG0AXABcAG4AbwBsAGkAbQBpAHQAcwBfAGYAXABcAHMAdQBtAFwAXABuAG8AbABpAG0AaQB0AHMAXwBjAFwAXABzAHUAbQBcAFwAbgBvAGwAaQBtAGkAdABzAF8AagBcAFwAbABlAGYAdAAoACgARgBfAHsAYwBmAH0AXABcAHQAaQBtAGUAcwAgAFQATQBfAHsAagBmAH0AKQAvADEAMAAwAFwAXAB0AGkAbQBlAHMAIABFAEYAXwBjAFwAXAByAGkAZwBoAHQAKQBcAG4ARgBfAGMAZgAgAD0AIABmAHIAYQBjAHQAaQBvAG4AIABvAGYAIABjAG8AbQBwAG8AbgBlAG4AdAAgAGMAIABjAG8AbgB0AGEAaQBuAGUAZAAgAHcAaQB0AGgAaQBuACAAdABoAGUAIABpAG4AbwByAGcAYQBuAGkAYwAgAGYAZQByAHQAaQBsAGkAcwBlAHIAIABmAFwAbgBUAE0AXwBqAGYAIAA9ACAAcQB1AGEAbgB0AGkAdAB5ACAAbwBmACAAaQBuAG8AcgBnAGEAbgBpAGMAIABmAGUAcgB0AGkAbABpAHMAZQByACAAdAB5AHAAZQAgAGYAIABwAHUAcgBjAGgAYQBzAGUAZAAgAGEAbgBkACAAYQBwAHAAbABpAGUAZAAgAHQAbwAgAHAAcgBvAGQAdQBjAHQAaQBvAG4AIABzAHkAcwB0AGUAbQAgAGoAXABuAEUARgBfAGMAIAA9ACAAZQBtAGkAcwBzAGkAbwBuACAAZgBhAGMAdABvAHIAIABmAG8AcgAgAHQAaABlACAAcAByAG8AZAB1AGMAdABpAG8AbgAgAG8AZgAgAGMAbwBtAHAAbwBuAGUAbgB0ACAAYwBcAG4ALQAtAC0ALQAtAC0ALQAtAC0ALQAtAC0ALQAtAC0ALQAtAC0ALQAtAC0ALQAtAC0ALQAtAC0ALQAtAC0ALQAtAC0ALQAtAC0ALQAtAFwAbgAqAC8AXABuAFwAbgBWAEUARQBSAEcAXwAxADUAXwA0AF8AMQBfADEAXwBfADIAXwBFAG0AaQBzAHMAaQBvAG4AcwBGAHIAbwBtAFAAdQByAGMAaABhAHMAZQBkAEYAZQByAHQAaQBsAGkAcwBlAHIAQwBvAG0AcABvAG4AZQBuAHQAcwBcAG4AIAAgAD0ATABBAE0AQgBEAEEAKABcAG4AIAAgACAAIABGAF8AYwBmACwAIABUAE0AXwBqAGYALAAgAEUARgBfAGMALABcAG4AIAAgACAAIAAoACgARgBfAGMAZgAgACoAIABUAE0AXwBqAGYAKQAgAC8AIAAxADAAMAApACAAKgAgAEUARgBfAGMAXABuACAAIAApADsAXABuAFwAbgBWAEUARQBSAEcAXwAxADUAXwA0AF8AMQBfADEAXwBfADIAXwBFAG0AaQBzAHMAaQBvAG4AcwBGAHIAbwBtAFAAdQByAGMAaABhAHMAZQBkAEYAZQByAHQAaQBsAGkAcwBlAHIAQwBvAG0AcABvAG4AZQBuAHQAcwBWAGEAcgBpAGEAdABpAG8AbgBcAG4AIAAgAD0ATABBAE0AQgBEAEEAKABcAG4AIAAgACAAIABGAF8AYwBmACwAIABUAE0AXwBqAGYALAAgAEUARgBfAGMALABcAG4AIAAgACAAIAAoAEYAXwBjAGYAIAAqACAAVABNAF8AagBmACkAIAAqACAARQBGAF8AYwAgACoAIAAxADAAXgAtADMAXABuACAAIAApADsAXABuAFwAbgBWAEUARQBSAEcAXwAxADUAXwA0AF8AMQBfADEAXwBfADIAXwBFAG0AaQBzAHMAaQBvAG4AcwBGAHIAbwBtAFAAdQByAGMAaABhAHMAZQBkAEYAZQByAHQAaQBsAGkAcwBlAHIAQwBvAG0AcABvAG4AZQBuAHQAcwBfAFQAaQB0AGwAZQBcAG4AIAAgAD0ATABBAE0AQgBEAEEAKABcACIARQBtAGkAcwBzAGkAbwBuAHMAIABmAHIAbwBtACAAcAB1AHIAYwBoAGEAcwBlAGQAIABmAGUAcgB0AGkAbABpAHMAZQByACAAYwBvAG0AcABvAG4AZQBuAHQAcwBcACIAKQA7AFwAbgBcAG4AVgBFAEUAUgBHAF8AMQA1AF8ANABfADEAXwAxAF8AXwAyAF8ARQBtAGkAcwBzAGkAbwBuAHMARgByAG8AbQBQAHUAcgBjAGgAYQBzAGUAZABGAGUAcgB0AGkAbABpAHMAZQByAEMAbwBtAHAAbwBuAGUAbgB0AHMAXwBWAGEAcgBpAGEAYgBsAGUAXABuACAAIAA9AEwAQQBNAEIARABBACgAXAAiAEUAXAAiACkAOwBcAG4AXABuAFYARQBFAFIARwBfADEANQBfADQAXwAxAF8AMQBfAF8AMgBfAEUAbQBpAHMAcwBpAG8AbgBzAEYAcgBvAG0AUAB1AHIAYwBoAGEAcwBlAGQARgBlAHIAdABpAGwAaQBzAGUAcgBDAG8AbQBwAG8AbgBlAG4AdABzAF8AVQBuAGkAdABcAG4AIAAgAD0ATABBAE0AQgBEAEEAKABcACIAdAAgAEMATwAyAGUAXAAiACkAOwBcAG4AXABuAFYARQBFAFIARwBfADEANQBfADQAXwAxAF8AMQBfAF8AMgBfAEUAbQBpAHMAcwBpAG8AbgBzAEYAcgBvAG0AUAB1AHIAYwBoAGEAcwBlAGQARgBlAHIAdABpAGwAaQBzAGUAcgBDAG8AbQBwAG8AbgBlAG4AdABzAF8AUwBvAHUAcgBjAGUAXABuACAAIAA9AEwAQQBNAEIARABBACgAXAAiAFYARQBFAFIARwAgADIAMAAyADYAOgAgADEANQAuADQALgAxAC4AMQAsACAARQBxAHUAYQB0AGkAbwBuACAAKAAyACkAXAAiACkAOwBcAG4AXABuAFYARQBFAFIARwBfADEANQBfADQAXwAxAF8AMQBfAF8AMgBfAEUAbQBpAHMAcwBpAG8AbgBzAEYAcgBvAG0AUAB1AHIAYwBoAGEAcwBlAGQARgBlAHIAdABpAGwAaQBzAGUAcgBDAG8AbQBwAG8AbgBlAG4AdABzAF8ATgBJAFIAUgBlAGYAZQByAGUAbgBjAGUAXABuACAAIAA9AEwAQQBNAEIARABBACgAXAAiAFwAIgApADsAXABuAFwAbgBWAEUARQBSAEcAXwAxADUAXwA0AF8AMQBfADEAXwBfADIAXwBFAG0AaQBzAHMAaQBvAG4AcwBGAHIAbwBtAFAAdQByAGMAaABhAHMAZQBkAEYAZQByAHQAaQBsAGkAcwBlAHIAQwBvAG0AcABvAG4AZQBuAHQAcwBfAEwAYQB0AGUAeABFAHEAdQBhAHQAaQBvAG4AXABuACAAIAA9AEwAQQBNAEIARABBACgAXAAiAEUAPQBcAFwAcwB1AG0AXABcAG4AbwBsAGkAbQBpAHQAcwBfAGYAXABcAHMAdQBtAFwAXABuAG8AbABpAG0AaQB0AHMAXwBjAFwAXABzAHUAbQBcAFwAbgBvAGwAaQBtAGkAdABzAF8AagBcAFwAbABlAGYAdAAoAFwAXABmAHIAYQBjAHsARgBfAHsAYwBmAH0AXABcAHQAaQBtAGUAcwAgAFQATQBfAHsAagBmAH0AfQB7ADEAMAAwAH0AXABcAHQAaQBtAGUAcwAgAEUARgBfAGMAXABcAHIAaQBnAGgAdAApAFwAIgApADsAXABuAFwAbgBWAEUARQBSAEcAXwAxADUAXwA0AF8AMQBfADEAXwBfADIAXwBFAG0AaQBzAHMAaQBvAG4AcwBGAHIAbwBtAFAAdQByAGMAaABhAHMAZQBkAEYAZQByAHQAaQBsAGkAcwBlAHIAQwBvAG0AcABvAG4AZQBuAHQAcwBfAEwAYQB0AGUAeABFAHEAdQBhAHQAaQBvAG4AVgBhAHIAaQBhAHQAaQBvAG4AXABuACAAIAA9AEwAQQBNAEIARABBACgAXAAiAEUAPQBcAFwAcwB1AG0AXABcAG4AbwBsAGkAbQBpAHQAcwBfAGYAXABcAHMAdQBtAFwAXABuAG8AbABpAG0AaQB0AHMAXwBjAFwAXABzAHUAbQBcAFwAbgBvAGwAaQBtAGkAdABzAF8AagBcAFwAbABlAGYAdAAoAEYAXwB7AGMAZgB9AFwAXAB0AGkAbQBlAHMAIABUAE0AXwB7AGoAZgB9AFwAXAB0AGkAbQBlAHMAIABFAEYAXwBjAFwAXAByAGkAZwBoAHQAKQBcAFwAdABpAG0AZQBzACAAMQAwAF4AewAtADMAfQBcACIAKQA7AFwAbgBcAG4AVgBFAEUAUgBHAF8AMQA1AF8ANABfADEAXwAxAF8AXwAyAF8ARQBtAGkAcwBzAGkAbwBuAHMARgByAG8AbQBQAHUAcgBjAGgAYQBzAGUAZABGAGUAcgB0AGkAbABpAHMAZQByAEMAbwBtAHAAbwBuAGUAbgB0AHMAXwBBAHIAZwB1AG0AZQBuAHQAcwBcAG4AIAAgAD0ATABBAE0AQgBEAEEAKABcAG4AIAAgACAAIABNAEEASwBFAEEAUgBSAEEAWQAoADYALAAgADQALABcAG4AIAAgACAAIAAgACAATABBAE0AQgBEAEEAKAByACwAYwAsAFwAbgAgACAAIAAgACAAIAAgACAASQBOAEQARQBYACgAewBcAG4AIAAgACAAIAAgACAAIAAgACAAIABcACIARgBfAGMAZgBcACIALAAgAFwAIgBmAHIAYQBjAHQAaQBvAG4AIABvAGYAIABjAG8AbQBwAG8AbgBlAG4AdAAgAGMAIABjAG8AbgB0AGEAaQBuAGUAZAAgAHcAaQB0AGgAaQBuACAAdABoAGUAIABpAG4AbwByAGcAYQBuAGkAYwAgAGYAZQByAHQAaQBsAGkAcwBlAHIAIABmAFwAIgAsACAAXAAiAHcAdAAlAFwAIgAsACAAXAAiAEkAbgBwAHUAdABcACIAOwBcAG4AIAAgACAAIAAgACAAIAAgACAAIABcACIAVABNAF8AagBmAFwAIgAsACAAXAAiAHEAdQBhAG4AdABpAHQAeQAgAG8AZgAgAGkAbgBvAHIAZwBhAG4AaQBjACAAZgBlAHIAdABpAGwAaQBzAGUAcgAgAHQAeQBwAGUAIABmACAAcAB1AHIAYwBoAGEAcwBlAGQAIABhAG4AZAAgAGEAcABwAGwAaQBlAGQAIAB0AG8AIABwAHIAbwBkAHUAYwB0AGkAbwBuACAAcwB5AHMAdABlAG0AIABqAFwAIgAsACAAXAAiAGsAZwBcACIALAAgAFwAIgBJAG4AcAB1AHQAXAAiADsAXABuACAAIAAgACAAIAAgACAAIAAgACAAXAAiAEUARgBfAGMAXAAiACwAIABcACIAZQBtAGkAcwBzAGkAbwBuACAAZgBhAGMAdABvAHIAIABmAG8AcgAgAHQAaABlACAAcAByAG8AZAB1AGMAdABpAG8AbgAgAG8AZgAgAGMAbwBtAHAAbwBuAGUAbgB0ACAAYwBcACIALAAgAFwAIgBrAGcAIABDAE8AMgBlAC8AawBnACAAYwBvAG0AcABvAG4AZQBuAHQAXAAiACwAIABcACIAQwBvAG4AcwB0AGEAbgB0AFwAIgA7AFwAbgAgACAAIAAgACAAIAAgACAAIAAgAFwAIgBjAFwAIgAsACAAXAAiAGYAZQByAHQAaQBsAGkAcwBlAHIAIABjAG8AbQBwAG8AbgBlAG4AdABcACIALAAgAFwAIgBcACIALAAgAFwAIgBJAG4AcAB1AHQAXAAiADsAXABuACAAIAAgACAAIAAgACAAIAAgACAAXAAiAGYAXAAiACwAIABcACIAaQBuAG8AcgBnAGEAbgBpAGMAIABmAGUAcgB0AGkAbABpAHMAZQByACAAdAB5AHAAZQBcACIALAAgAFwAIgBcACIALAAgAFwAIgBJAG4AcAB1AHQAXAAiADsAXABuACAAIAAgACAAIAAgACAAIAAgACAAXAAiAGoAXAAiACwAIABcACIAcAByAG8AZAB1AGMAdABpAG8AbgAgAHMAeQBzAHQAZQBtAFwAIgAsACAAXAAiAFwAIgAsACAAXAAiAEkAbgBwAHUAdABcACIAXABuACAAIAAgACAAIAAgACAAIAB9ACwAIAByACwAIABjACkAXABuACAAIAAgACAAIAAgACkAXABuACAAIAAgACAAKQBcAG4AIAAgACkAOwBcAG4AXABuAFYARQBFAFIARwBfADEANQBfADQAXwAxAF8AMQBfAF8AMgBfAEUAbQBpAHMAcwBpAG8AbgBzAEYAcgBvAG0AUAB1AHIAYwBoAGEAcwBlAGQARgBlAHIAdABpAGwAaQBzAGUAcgBDAG8AbQBwAG8AbgBlAG4AdABzAF8AVgBhAHIAaQBhAHQAaQBvAG4AXABuACAAIAA9AEwAQQBNAEIARABBACgAXAAiAFYAQQBSAEkAQQBUAEkATwBOACAATwBOACAAUwBPAFUAUgBDAEUAOgAgAHIAZQBtAG8AdgBlAHMAIABkAGkAdgBpAHMAaQBvAG4AIABiAHkAIAAxADAAMAAgAGYAbwByACAARgBfAGMAZgAsACAAdAByAGUAYQB0AGkAbgBnACAARgBfAGMAZgAgAGEAcwAgAGYAcgBhAGMAdABpAG8AbgAgAGkAbgBzAHQAZQBhAGQAIABvAGYAIABwAGUAcgBjAGUAbgB0ACAAYgBlAGMAYQB1AHMAZQAgAGkAdAAgAGkAcwAgAGEAIABmAHIAYQBjAHQAaQBvAG4AIABpAG4AIABzAGMAbwBwAGUAIAAxACAAZQBxAHUAYQB0AGkAbwBuAHMALgAgAEMAbwBuAHYAZQByAHQAIABrAGcAIAB0AG8AIAB0AG8AbgBuAGUAcwAgAGIAeQAgAG0AdQB0AGkAcABsAHkAaQBuAGcAIABiAHkAIAAxADAAXgAtADMALgBcACIAKQA7AFwAbgBcAG4AXABuAFwAbgBcAG4ALwAqAFwAbgAtAC0ALQAtAC0ALQAtAC0ALQAtAC0ALQAtAC0ALQAtAC0ALQAtAC0ALQAtAC0ALQAtAC0ALQAtAC0ALQAtAC0ALQAtAC0ALQAtAC0AXABuAFYARQBFAFIARwBfADEANQBfADQAXwAxAF8AMQBfAF8AWABfAEUAbQBpAHMAcwBpAG8AbgBGAGEAYwB0AG8AcgBGAHIAbwBtAFAAdQByAGMAaABhAHMAZQBkAEYAZQByAHQAaQBsAGkAcwBlAHIAQwBvAG0AcABvAG4AZQBuAHQAcwBcAG4ARQBtAGkAcwBzAGkAbwBuACAAZgBhAGMAdABvAHIAIABmAG8AcgAgAGYAZQByAHQAaQBsAGkAcwBlAHIAIABwAHIAbwBkAHUAYwB0ACAAZABlAHIAaQB2AGUAZAAgAGYAcgBvAG0AIABjAG8AbQBwAG8AbgBlAG4AdABzAFwAbgAtAC0ALQAtAC0ALQAtAC0ALQAtAC0ALQAtAC0ALQAtAC0ALQAtAC0ALQAtAC0ALQAtAC0ALQAtAC0ALQAtAC0ALQAtAC0ALQAtAC0AXABuACoALwBcAG4AXABuAFYARQBFAFIARwBfADEANQBfADQAXwAxAF8AMQBfAF8AWABfAEUAbQBpAHMAcwBpAG8AbgBGAGEAYwB0AG8AcgBGAHIAbwBtAFAAdQByAGMAaABhAHMAZQBkAEYAZQByAHQAaQBsAGkAcwBlAHIAQwBvAG0AcABvAG4AZQBuAHQAcwBcAG4AIAAgAD0ATABBAE0AQgBEAEEAKABcAG4AIAAgACAAIABGAF8AYwBmACwAIABFAEYAXwBjACwAXABuACAAIAAgACAARgBfAGMAZgAgACoAIABFAEYAXwBjAFwAbgAgACAAKQA7AFwAbgBcAG4AVgBFAEUAUgBHAF8AMQA1AF8ANABfADEAXwAxAF8AXwBYAF8ARQBtAGkAcwBzAGkAbwBuAEYAYQBjAHQAbwByAEYAcgBvAG0AUAB1AHIAYwBoAGEAcwBlAGQARgBlAHIAdABpAGwAaQBzAGUAcgBDAG8AbQBwAG8AbgBlAG4AdABzAF8AVABpAHQAbABlAFwAbgAgACAAPQBMAEEATQBCAEQAQQAoAFwAIgBFAG0AaQBzAHMAaQBvAG4AIABmAGEAYwB0AG8AcgAgAGYAbwByACAAZgBlAHIAdABpAGwAaQBzAGUAcgAgAHAAcgBvAGQAdQBjAHQAIABkAGUAcgBpAHYAZQBkACAAZgByAG8AbQAgAGMAbwBtAHAAbwBuAGUAbgB0AHMAXAAiACkAOwBcAG4AXABuAFYARQBFAFIARwBfADEANQBfADQAXwAxAF8AMQBfAF8AWABfAEUAbQBpAHMAcwBpAG8AbgBGAGEAYwB0AG8AcgBGAHIAbwBtAFAAdQByAGMAaABhAHMAZQBkAEYAZQByAHQAaQBsAGkAcwBlAHIAQwBvAG0AcABvAG4AZQBuAHQAcwBfAFYAYQByAGkAYQBiAGwAZQBcAG4AIAAgAD0ATABBAE0AQgBEAEEAKABcACIARQBGAF8AZgBcACIAKQA7AFwAbgBcAG4AVgBFAEUAUgBHAF8AMQA1AF8ANABfADEAXwAxAF8AXwBYAF8ARQBtAGkAcwBzAGkAbwBuAEYAYQBjAHQAbwByAEYAcgBvAG0AUAB1AHIAYwBoAGEAcwBlAGQARgBlAHIAdABpAGwAaQBzAGUAcgBDAG8AbQBwAG8AbgBlAG4AdABzAF8AVQBuAGkAdABcAG4AIAAgAD0ATABBAE0AQgBEAEEAKABcACIAawBnACAAQwBPADIAZQAvAGsAZwAgAGYAZQByAHQAaQBsAGkAcwBlAHIAXAAiACkAOwBcAG4AXABuAFYARQBFAFIARwBfADEANQBfADQAXwAxAF8AMQBfAF8AWABfAEUAbQBpAHMAcwBpAG8AbgBGAGEAYwB0AG8AcgBGAHIAbwBtAFAAdQByAGMAaABhAHMAZQBkAEYAZQByAHQAaQBsAGkAcwBlAHIAQwBvAG0AcABvAG4AZQBuAHQAcwBfAFMAbwB1AHIAYwBlAFwAbgAgACAAPQBMAEEATQBCAEQAQQAoAFwAIgBHAEEARgBcACIAKQA7AFwAbgBcAG4AVgBFAEUAUgBHAF8AMQA1AF8ANABfADEAXwAxAF8AXwBYAF8ARQBtAGkAcwBzAGkAbwBuAEYAYQBjAHQAbwByAEYAcgBvAG0AUAB1AHIAYwBoAGEAcwBlAGQARgBlAHIAdABpAGwAaQBzAGUAcgBDAG8AbQBwAG8AbgBlAG4AdABzAF8ATgBJAFIAUgBlAGYAZQByAGUAbgBjAGUAXABuACAAIAA9AEwAQQBNAEIARABBACgAXAAiAFwAIgApADsAXABuAFwAbgBWAEUARQBSAEcAXwAxADUAXwA0AF8AMQBfADEAXwBfAFgAXwBFAG0AaQBzAHMAaQBvAG4ARgBhAGMAdABvAHIARgByAG8AbQBQAHUAcgBjAGgAYQBzAGUAZABGAGUAcgB0AGkAbABpAHMAZQByAEMAbwBtAHAAbwBuAGUAbgB0AHMAXwBMAGEAdABlAHgARQBxAHUAYQB0AGkAbwBuAFwAbgAgACAAPQBMAEEATQBCAEQAQQAoAFwAIgBFAEYAXwBmAD0AXABcAHMAdQBtAFwAXABuAG8AbABpAG0AaQB0AHMAXwBjAFwAXABsAGUAZgB0ACgARgBfAHsAYwBmAH0AXABcAHQAaQBtAGUAcwAgAEUARgBfAGMAXABcAHIAaQBnAGgAdAApAFwAIgApADsAXABuAFwAbgBWAEUARQBSAEcAXwAxADUAXwA0AF8AMQBfADEAXwBfAFgAXwBFAG0AaQBzAHMAaQBvAG4ARgBhAGMAdABvAHIARgByAG8AbQBQAHUAcgBjAGgAYQBzAGUAZABGAGUAcgB0AGkAbABpAHMAZQByAEMAbwBtAHAAbwBuAGUAbgB0AHMAXwBBAHIAZwB1AG0AZQBuAHQAcwBcAG4AIAAgAD0ATABBAE0AQgBEAEEAKABcAG4AIAAgACAAIABNAEEASwBFAEEAUgBSAEEAWQAoADQALAAgADQALABcAG4AIAAgACAAIAAgACAATABBAE0AQgBEAEEAKAByACwAYwAsAFwAbgAgACAAIAAgACAAIAAgACAASQBOAEQARQBYACgAewBcAG4AIAAgACAAIAAgACAAIAAgACAAIABcACIARgBfAGMAZgBcACIALAAgAFwAIgBmAHIAYQBjAHQAaQBvAG4AIABvAGYAIABjAG8AbQBwAG8AbgBlAG4AdAAgAGMAIABjAG8AbgB0AGEAaQBuAGUAZAAgAHcAaQB0AGgAaQBuACAAdABoAGUAIABpAG4AbwByAGcAYQBuAGkAYwAgAGYAZQByAHQAaQBsAGkAcwBlAHIAIABmAFwAIgAsACAAXAAiAHcAdAAlAFwAIgAsACAAXAAiAEkAbgBwAHUAdABcACIAOwBcAG4AIAAgACAAIAAgACAAIAAgACAAIABcACIARQBGAF8AYwBcACIALAAgAFwAIgBlAG0AaQBzAHMAaQBvAG4AIABmAGEAYwB0AG8AcgAgAGYAbwByACAAdABoAGUAIABwAHIAbwBkAHUAYwB0AGkAbwBuACAAbwBmACAAYwBvAG0AcABvAG4AZQBuAHQAIABjAFwAIgAsACAAXAAiAGsAZwAgAEMATwAyAGUALwBrAGcAIABjAG8AbQBwAG8AbgBlAG4AdABcACIALAAgAFwAIgBDAG8AbgBzAHQAYQBuAHQAXAAiADsAXABuACAAIAAgACAAIAAgACAAIAAgACAAXAAiAGMAXAAiACwAIABcACIAZgBlAHIAdABpAGwAaQBzAGUAcgAgAGMAbwBtAHAAbwBuAGUAbgB0AFwAIgAsACAAXAAiAFwAIgAsACAAXAAiAEkAbgBwAHUAdABcACIAOwBcAG4AIAAgACAAIAAgACAAIAAgACAAIABcACIAZgBcACIALAAgAFwAIgBpAG4AbwByAGcAYQBuAGkAYwAgAGYAZQByAHQAaQBsAGkAcwBlAHIAIAB0AHkAcABlAFwAIgAsACAAXAAiAFwAIgAsACAAXAAiAEkAbgBwAHUAdABcACIAXABuACAAIAAgACAAIAAgACAAIAB9ACwAIAByACwAIABjACkAXABuACAAIAAgACAAIAAgACkAXABuACAAIAAgACAAKQBcAG4AIAAgACkAOwBcAG4AXABuAFYARQBFAFIARwBfADEANQBfADQAXwAxAF8AMQBfAF8AWABfAEUAbQBpAHMAcwBpAG8AbgBGAGEAYwB0AG8AcgBGAHIAbwBtAFAAdQByAGMAaABhAHMAZQBkAEYAZQByAHQAaQBsAGkAcwBlAHIAQwBvAG0AcABvAG4AZQBuAHQAcwBfAFYAYQByAGkAYQB0AGkAbwBuAFwAbgAgACAAPQBMAEEATQBCAEQAQQAoAFwAIgBWAEEAUgBJAEEAVABJAE8ATgAgAE8ATgAgAFMATwBVAFIAQwBFADoAIABUAGgAaQBzACAAZQBxAHUAYQB0AGkAbwBuACAAaQBzACAAYQBkAGQAZQBkACAAdABvACAAYwBhAGwAYwB1AGwAYQB0AGUAIABhAG4AIABFAEYAIAB2AGEAbAB1AGUAIABmAHIAbwBtACAAZgBlAHIAdABpAGwAaQBzAGUAcgAgAGMAbwBtAHAAbwBuAGUAbgB0AHMAIAB0AGgAYQB0ACAAYwBhAG4AIABiAGUAIAB1AHMAZQBkACAAaQBuACAAMQA1AC4ANAAuADEALgAxACAAKAAxACkAXAAiACkAOwBcAG4AXABuAC8AKgBcAG4ALQAtAC0ALQAtAC0ALQAtAC0ALQAtAC0ALQAtAC0ALQAtAC0ALQAtAC0ALQAtAC0ALQAtAC0ALQAtAC0ALQAtAC0ALQAtAC0ALQAtAFwAbgBWAEUARQBSAEcAXwAxADUAXwA1AF8AMQBfADEAXwBfADEAXwBFAG0AaQBzAHMAaQBvAG4AcwBGAHIAbwBtAFAAdQByAGMAaABhAHMAZQBkAEEAZwByAGkAYwBoAGUAbQBpAGMAYQBsAHMAXABuAFQAbwB0AGEAbAAgAGUAbQBpAHMAcwBpAG8AbgBzACAAZgByAG8AbQAgAHAAdQByAGMAaABhAHMAZQBkACAAYQBnAHIAaQBjAGgAZQBtAGkAYwBhAGwAcwBcAG4ARQBcAG4AdAAgAEMATwAyAGUAXABuAEUAPQBcAFwAcwB1AG0AXABcAG4AbwBsAGkAbQBpAHQAcwBfAGgAXABcAGwAZQBmAHQAKABRAF8AaABcAFwAdABpAG0AZQBzACAARQBGAF8AaABcAFwAcgBpAGcAaAB0ACkAXABcAHQAaQBtAGUAcwAgADEAMABeAHsALQAzAH0AXABuAFEAXwBoACAAPQAgAHEAdQBhAG4AdABpAHQAeQAgAG8AZgAgAGEAYwB0AGkAdgBlACAAaQBuAGcAcgBlAGQAaQBlAG4AdABzACAAaQBuACAAYQBnAHIAaQBjAGgAZQBtAGkAYwBhAGwAIAB0AHkAcABlACAAaAAgAHAAdQByAGMAaABhAHMAZQBkACAAYQBuAGQAIABhAHAAcABsAGkAZQBkACAAdABvACAAcwBvAGkAbABzAFwAbgBFAEYAXwBoACAAPQAgAGUAbQBpAHMAcwBpAG8AbgAgAGYAYQBjAHQAbwByACAAZgBvAHIAIABwAHUAcgBjAGgAYQBzAGUAZAAgAGEAZwByAGkAYwBoAGUAbQBpAGMAYQBsACAAYQBjAHQAaQB2AGUAIABpAG4AZwByAGUAZABpAGUAbgB0AFwAbgAtAC0ALQAtAC0ALQAtAC0ALQAtAC0ALQAtAC0ALQAtAC0ALQAtAC0ALQAtAC0ALQAtAC0ALQAtAC0ALQAtAC0ALQAtAC0ALQAtAC0AXABuACoALwBcAG4AXABuAFYARQBFAFIARwBfADEANQBfADUAXwAxAF8AMQBfAF8AMQBfAEUAbQBpAHMAcwBpAG8AbgBzAEYAcgBvAG0AUAB1AHIAYwBoAGEAcwBlAGQAQQBnAHIAaQBjAGgAZQBtAGkAYwBhAGwAcwBcAG4AIAAgAD0ATABBAE0AQgBEAEEAKABcAG4AIAAgACAAIABRAF8AaAAsACAARQBGAF8AaAAsAFwAbgAgACAAIAAgACgAUQBfAGgAIAAqACAARQBGAF8AaAApACAAKgAgADEAMAAgAF4AIAAtADMAXABuACAAIAApADsAXABuAFwAbgBWAEUARQBSAEcAXwAxADUAXwA1AF8AMQBfADEAXwBfADEAXwBFAG0AaQBzAHMAaQBvAG4AcwBGAHIAbwBtAFAAdQByAGMAaABhAHMAZQBkAEEAZwByAGkAYwBoAGUAbQBpAGMAYQBsAHMAXwBUAGkAdABsAGUAXABuACAAIAA9AEwAQQBNAEIARABBACgAXAAiAFQAbwB0AGEAbAAgAGUAbQBpAHMAcwBpAG8AbgBzACAAZgByAG8AbQAgAHAAdQByAGMAaABhAHMAZQBkACAAYQBnAHIAaQBjAGgAZQBtAGkAYwBhAGwAcwBcACIAKQA7AFwAbgBcAG4AVgBFAEUAUgBHAF8AMQA1AF8ANQBfADEAXwAxAF8AXwAxAF8ARQBtAGkAcwBzAGkAbwBuAHMARgByAG8AbQBQAHUAcgBjAGgAYQBzAGUAZABBAGcAcgBpAGMAaABlAG0AaQBjAGEAbABzAF8AVgBhAHIAaQBhAGIAbABlAFwAbgAgACAAPQBMAEEATQBCAEQAQQAoAFwAIgBFAFwAIgApADsAXABuAFwAbgBWAEUARQBSAEcAXwAxADUAXwA1AF8AMQBfADEAXwBfADEAXwBFAG0AaQBzAHMAaQBvAG4AcwBGAHIAbwBtAFAAdQByAGMAaABhAHMAZQBkAEEAZwByAGkAYwBoAGUAbQBpAGMAYQBsAHMAXwBVAG4AaQB0AFwAbgAgACAAPQBMAEEATQBCAEQAQQAoAFwAIgB0ACAAQwBPADIAZQBcACIAKQA7AFwAbgBcAG4AVgBFAEUAUgBHAF8AMQA1AF8ANQBfADEAXwAxAF8AXwAxAF8ARQBtAGkAcwBzAGkAbwBuAHMARgByAG8AbQBQAHUAcgBjAGgAYQBzAGUAZABBAGcAcgBpAGMAaABlAG0AaQBjAGEAbABzAF8AUwBvAHUAcgBjAGUAXABuACAAIAA9AEwAQQBNAEIARABBACgAXAAiAFYARQBFAFIARwAgADIAMAAyADYAOgAgADEANQAuADUALgAxAC4AMQAsACAARQBxAHUAYQB0AGkAbwBuACAAKAAxACkAXAAiACkAOwBcAG4AXABuAFYARQBFAFIARwBfADEANQBfADUAXwAxAF8AMQBfAF8AMQBfAEUAbQBpAHMAcwBpAG8AbgBzAEYAcgBvAG0AUAB1AHIAYwBoAGEAcwBlAGQAQQBnAHIAaQBjAGgAZQBtAGkAYwBhAGwAcwBfAE4ASQBSAFIAZQBmAGUAcgBlAG4AYwBlAFwAbgAgACAAPQBMAEEATQBCAEQAQQAoAFwAIgBcACIAKQA7AFwAbgBcAG4AVgBFAEUAUgBHAF8AMQA1AF8ANQBfADEAXwAxAF8AXwAxAF8ARQBtAGkAcwBzAGkAbwBuAHMARgByAG8AbQBQAHUAcgBjAGgAYQBzAGUAZABBAGcAcgBpAGMAaABlAG0AaQBjAGEAbABzAF8ATABhAHQAZQB4AEUAcQB1AGEAdABpAG8AbgBcAG4AIAAgAD0ATABBAE0AQgBEAEEAKABcACIARQA9AFwAXABzAHUAbQBcAFwAbgBvAGwAaQBtAGkAdABzAF8AaABcAFwAbABlAGYAdAAoAFEAXwBoAFwAXAB0AGkAbQBlAHMAIABFAEYAXwBoAFwAXAByAGkAZwBoAHQAKQBcAFwAdABpAG0AZQBzACAAMQAwAF4AewAtADMAfQBcACIAKQA7AFwAbgBcAG4AVgBFAEUAUgBHAF8AMQA1AF8ANQBfADEAXwAxAF8AXwAxAF8ARQBtAGkAcwBzAGkAbwBuAHMARgByAG8AbQBQAHUAcgBjAGgAYQBzAGUAZABBAGcAcgBpAGMAaABlAG0AaQBjAGEAbABzAF8AQQByAGcAdQBtAGUAbgB0AHMAXABuACAAIAA9AEwAQQBNAEIARABBACgAXABuACAAIAAgACAATQBBAEsARQBBAFIAUgBBAFkAKAAzACwAIAA0ACwAXABuACAAIAAgACAAIAAgAEwAQQBNAEIARABBACgAcgAsAGMALABcAG4AIAAgACAAIAAgACAAIAAgAEkATgBEAEUAWAAoAHsAXABuACAAIAAgACAAIAAgACAAIAAgACAAXAAiAFEAXwBoAFwAIgAsACAAXAAiAHEAdQBhAG4AdABpAHQAeQAgAG8AZgAgAGEAYwB0AGkAdgBlACAAaQBuAGcAcgBlAGQAaQBlAG4AdABzACAAaQBuACAAYQBnAHIAaQBjAGgAZQBtAGkAYwBhAGwAIAB0AHkAcABlACAAaAAgAHAAdQByAGMAaABhAHMAZQBkACAAYQBuAGQAIABhAHAAcABsAGkAZQBkACAAdABvACAAcwBvAGkAbABzAFwAIgAsACAAXAAiAGsAZwAgAGEAaQBcACIALAAgAFwAIgBJAG4AcAB1AHQAXAAiADsAXABuACAAIAAgACAAIAAgACAAIAAgACAAXAAiAEUARgBfAGgAXAAiACwAIABcACIAZQBtAGkAcwBzAGkAbwBuACAAZgBhAGMAdABvAHIAIABmAG8AcgAgAHAAdQByAGMAaABhAHMAZQBkACAAYQBnAHIAaQBjAGgAZQBtAGkAYwBhAGwAIABhAGMAdABpAHYAZQAgAGkAbgBnAHIAZQBkAGkAZQBuAHQAXAAiACwAIABcACIAawBnACAAQwBPADIAZQAvAGsAZwAgAGEAaQBcACIALAAgAFwAIgBDAG8AbgBzAHQAYQBuAHQAXAAiADsAXABuACAAIAAgACAAIAAgACAAIAAgACAAXAAiAGgAXAAiACwAIABcACIAYQBnAHIAaQBjAGgAZQBtAGkAYwBhAGw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2AF8AMQBfADEAXwBfADEAXwBFAG0AaQBzAHMAaQBvAG4AcwBGAHIAbwBtAFAAdQByAGMAaABhAHMAZQBkAEwAaQBtAGUAXABuAEUAbQBiAGUAZABkAGUAZAAgAGUAbQBpAHMAcwBpAG8AbgBzACAAZgBvAHIAIABwAHUAcgBjAGgAYQBzAGUAZAAgAGwAaQBtAGUAXABuAEUAXABuAHQAIABDAE8AMgBlAFwAbgBFAD0ATQBfAGwAaQBtAGUAXABcAHQAaQBtAGUAcwAgAEUARgBfAGwAXABuAE0AXwBsAGkAbQBlACAAPQAgAHQAbwB0AGEAbAAgAHEAdQBhAG4AdABpAHQAeQAgAG8AZgAgAGwAaQBtAGUAIABhAHAAcABsAGkAZQBkACAAdABvACAAcwBvAGkAbABzAFwAbgBFAEYAXwBsACAAPQAgAGUAbQBpAHMAcwBpAG8AbgAgAGYAYQBjAHQAbwByACAAZgBvAHIAIABwAHUAcgBjAGgAYQBzAGUAZAAgAGwAaQBtAGUAXABuAC0ALQAtAC0ALQAtAC0ALQAtAC0ALQAtAC0ALQAtAC0ALQAtAC0ALQAtAC0ALQAtAC0ALQAtAC0ALQAtAC0ALQAtAC0ALQAtAC0ALQBcAG4AKgAvAFwAbgBcAG4AVgBFAEUAUgBHAF8AMQA1AF8ANgBfADEAXwAxAF8AXwAxAF8ARQBtAGkAcwBzAGkAbwBuAHMARgByAG8AbQBQAHUAcgBjAGgAYQBzAGUAZABMAGkAbQBlAFwAbgAgACAAPQBMAEEATQBCAEQAQQAoAFwAbgAgACAAIAAgAE0AXwBsAGkAbQBlACwAIABFAEYAXwBsACwAXABuACAAIAAgACAATQBfAGwAaQBtAGUAIAAqACAARQBGAF8AbABcAG4AIAAgACkAOwBcAG4AXABuAFYARQBFAFIARwBfADEANQBfADYAXwAxAF8AMQBfAF8AMQBfAEUAbQBpAHMAcwBpAG8AbgBzAEYAcgBvAG0AUAB1AHIAYwBoAGEAcwBlAGQATABpAG0AZQBfAFQAaQB0AGwAZQBcAG4AIAAgAD0ATABBAE0AQgBEAEEAKABcACIARQBtAGIAZQBkAGQAZQBkACAAZQBtAGkAcwBzAGkAbwBuAHMAIABmAG8AcgAgAHAAdQByAGMAaABhAHMAZQBkACAAbABpAG0AZQBcACIAKQA7AFwAbgBcAG4AVgBFAEUAUgBHAF8AMQA1AF8ANgBfADEAXwAxAF8AXwAxAF8ARQBtAGkAcwBzAGkAbwBuAHMARgByAG8AbQBQAHUAcgBjAGgAYQBzAGUAZABMAGkAbQBlAF8AVgBhAHIAaQBhAGIAbABlAFwAbgAgACAAPQBMAEEATQBCAEQAQQAoAFwAIgBFAFwAIgApADsAXABuAFwAbgBWAEUARQBSAEcAXwAxADUAXwA2AF8AMQBfADEAXwBfADEAXwBFAG0AaQBzAHMAaQBvAG4AcwBGAHIAbwBtAFAAdQByAGMAaABhAHMAZQBkAEwAaQBtAGUAXwBVAG4AaQB0AFwAbgAgACAAPQBMAEEATQBCAEQAQQAoAFwAIgB0ACAAQwBPADIAZQBcACIAKQA7AFwAbgBcAG4AVgBFAEUAUgBHAF8AMQA1AF8ANgBfADEAXwAxAF8AXwAxAF8ARQBtAGkAcwBzAGkAbwBuAHMARgByAG8AbQBQAHUAcgBjAGgAYQBzAGUAZABMAGkAbQBlAF8AUwBvAHUAcgBjAGUAXABuACAAIAA9AEwAQQBNAEIARABBACgAXAAiAFYARQBFAFIARwAgADIAMAAyADYAOgAgADEANQAuADYALgAxAC4AMQAsACAARQBxAHUAYQB0AGkAbwBuACAAKAAxACkAXAAiACkAOwBcAG4AXABuAFYARQBFAFIARwBfADEANQBfADYAXwAxAF8AMQBfAF8AMQBfAEUAbQBpAHMAcwBpAG8AbgBzAEYAcgBvAG0AUAB1AHIAYwBoAGEAcwBlAGQATABpAG0AZQBfAE4ASQBSAFIAZQBmAGUAcgBlAG4AYwBlAFwAbgAgACAAPQBMAEEATQBCAEQAQQAoAFwAIgBcACIAKQA7AFwAbgBcAG4AVgBFAEUAUgBHAF8AMQA1AF8ANgBfADEAXwAxAF8AXwAxAF8ARQBtAGkAcwBzAGkAbwBuAHMARgByAG8AbQBQAHUAcgBjAGgAYQBzAGUAZABMAGkAbQBlAF8ATABhAHQAZQB4AEUAcQB1AGEAdABpAG8AbgBcAG4AIAAgAD0ATABBAE0AQgBEAEEAKABcACIARQA9AE0AXwB7AGwAaQBtAGUAfQBcAFwAdABpAG0AZQBzACAARQBGAF8AbABcACIAKQA7AFwAbgBcAG4AVgBFAEUAUgBHAF8AMQA1AF8ANgBfADEAXwAxAF8AXwAxAF8ARQBtAGkAcwBzAGkAbwBuAHMARgByAG8AbQBQAHUAcgBjAGgAYQBzAGUAZABMAGkAbQBlAF8AQQByAGcAdQBtAGUAbgB0AHMAXABuACAAIAA9AEwAQQBNAEIARABBACgAXABuACAAIAAgACAATQBBAEsARQBBAFIAUgBBAFkAKAAyACwAIAA0ACwAXABuACAAIAAgACAAIAAgAEwAQQBNAEIARABBACgAcgAsAGMALABcAG4AIAAgACAAIAAgACAAIAAgAEkATgBEAEUAWAAoAHsAXABuACAAIAAgACAAIAAgACAAIAAgACAAXAAiAE0AXwBsAGkAbQBlAFwAIgAsACAAXAAiAHQAbwB0AGEAbAAgAHEAdQBhAG4AdABpAHQAeQAgAG8AZgAgAGwAaQBtAGUAIABhAHAAcABsAGkAZQBkACAAdABvACAAcwBvAGkAbABzAFwAIgAsACAAXAAiAHQAXAAiACwAIABcACIASQBuAHAAdQB0AFwAIgA7AFwAbgAgACAAIAAgACAAIAAgACAAIAAgAFwAIgBFAEYAXwBsAFwAIgAsACAAXAAiAGUAbQBpAHMAcwBpAG8AbgAgAGYAYQBjAHQAbwByACAAZgBvAHIAIABwAHUAcgBjAGgAYQBzAGUAZAAgAGwAaQBtAGUAXAAiACwAIABcACIAdAAgAEMATwAyAGUALwB0AFwAIgAsACAAXAAiAEMAbwBuAHMAdABhAG4AdABcACIAXABuACAAIAAgACAAIAAgACAAIAB9ACwAIAByACwAIABjACkAXABuACAAIAAgACAAIAAgACkAXABuACAAIAAgACAAKQBcAG4AIAAgACkAOwBcAG4AXABuAC8AKgBcAG4ALQAtAC0ALQAtAC0ALQAtAC0ALQAtAC0ALQAtAC0ALQAtAC0ALQAtAC0ALQAtAC0ALQAtAC0ALQAtAC0ALQAtAC0ALQAtAC0ALQAtAFwAbgBWAEUARQBSAEcAXwAxADUAXwA3AF8AMQBfADEAXwBfADEAXwBFAG0AaQBzAHMAaQBvAG4AcwBGAHIAbwBtAFAAdQByAGMAaABhAHMAZQBkAFMAZQByAHYAaQBjAGUAcwBcAG4ARQBtAGkAcwBzAGkAbwBuAHMAIABvAGYAIABwAHUAcgBjAGgAYQBzAGUAZAAgAHMAZQByAHYAaQBjAGUAcwAgAGEAbgBkACAAYwBvAG4AdAByAGEAYwB0AG8AcgAgAG8AcABlAHIAYQB0AGkAbwBuAHMAXABuAEUAXABuAHQAIABDAE8AMgBlAFwAbgBFAD0AXABcAHMAdQBtAFwAXABuAG8AbABpAG0AaQB0AHMAXwBwAFwAXABsAGUAZgB0ACgAQQBfAHAAXABcAHQAaQBtAGUAcwAgAEUARgBfAHAAXABcAHIAaQBnAGgAdAApAFwAXAB0AGkAbQBlAHMAIAAxADAAXgB7AC0AMwB9AFwAbgBBAF8AcAAgAD0AIABhAGMAdABpAHYAaQB0AHkAIABkAGEAdABhACAAbwBmACAAdABoAGUAIABzAGUAcgB2AGkAYwBlACAAdABoAGEAdAAgAHcAYQBzACAAcAB1AHIAYwBoAGEAcwBlAGQAXABuAEUARgBfAHAAIAA9ACAAbABpAGYAZQAgAGMAeQBjAGwAZQAgAGUAbQBpAHMAcwBpAG8AbgAgAGYAYQBjAHQAbwByACAAZgBvAHIAIAB0AGgAZQAgAHAAdQByAGMAaABhAHMAZQBkACAAcwBlAHIAdgBpAGMAZQBcAG4ALQAtAC0ALQAtAC0ALQAtAC0ALQAtAC0ALQAtAC0ALQAtAC0ALQAtAC0ALQAtAC0ALQAtAC0ALQAtAC0ALQAtAC0ALQAtAC0ALQAtAFwAbgAqAC8AXABuAFwAbgBWAEUARQBSAEcAXwAxADUAXwA3AF8AMQBfADEAXwBfADEAXwBFAG0AaQBzAHMAaQBvAG4AcwBGAHIAbwBtAFAAdQByAGMAaABhAHMAZQBkAFMAZQByAHYAaQBjAGUAcwBcAG4AIAAgAD0ATABBAE0AQgBEAEEAKABcAG4AIAAgACAAIABBAF8AcAAsACAARQBGAF8AcAAsAFwAbgAgACAAIAAgACgAQQBfAHAAIAAqACAARQBGAF8AcAApACAAKgAgADEAMAAgAF4AIAAtADMAXABuACAAIAApADsAXABuAFwAbgBWAEUARQBSAEcAXwAxADUAXwA3AF8AMQBfADEAXwBfADEAXwBFAG0AaQBzAHMAaQBvAG4AcwBGAHIAbwBtAFAAdQByAGMAaABhAHMAZQBkAFMAZQByAHYAaQBjAGUAcwBfAFQAaQB0AGwAZQBcAG4AIAAgAD0ATABBAE0AQgBEAEEAKABcACIARQBtAGkAcwBzAGkAbwBuAHMAIABvAGYAIABwAHUAcgBjAGgAYQBzAGUAZAAgAHMAZQByAHYAaQBjAGUAcwAgAGEAbgBkACAAYwBvAG4AdAByAGEAYwB0AG8AcgAgAG8AcABlAHIAYQB0AGkAbwBuAHMAXAAiACkAOwBcAG4AXABuAFYARQBFAFIARwBfADEANQBfADcAXwAxAF8AMQBfAF8AMQBfAEUAbQBpAHMAcwBpAG8AbgBzAEYAcgBvAG0AUAB1AHIAYwBoAGEAcwBlAGQAUwBlAHIAdgBpAGMAZQBzAF8AVgBhAHIAaQBhAGIAbABlAFwAbgAgACAAPQBMAEEATQBCAEQAQQAoAFwAIgBFAFwAIgApADsAXABuAFwAbgBWAEUARQBSAEcAXwAxADUAXwA3AF8AMQBfADEAXwBfADEAXwBFAG0AaQBzAHMAaQBvAG4AcwBGAHIAbwBtAFAAdQByAGMAaABhAHMAZQBkAFMAZQByAHYAaQBjAGUAcwBfAFUAbgBpAHQAXABuACAAIAA9AEwAQQBNAEIARABBACgAXAAiAHQAIABDAE8AMgBlAFwAIgApADsAXABuAFwAbgBWAEUARQBSAEcAXwAxADUAXwA3AF8AMQBfADEAXwBfADEAXwBFAG0AaQBzAHMAaQBvAG4AcwBGAHIAbwBtAFAAdQByAGMAaABhAHMAZQBkAFMAZQByAHYAaQBjAGUAcwBfAFMAbwB1AHIAYwBlAFwAbgAgACAAPQBMAEEATQBCAEQAQQAoAFwAIgBWAEUARQBSAEcAIAAyADAAMgA2ADoAIAAxADUALgA3AC4AMQAuADEALAAgAEUAcQB1AGEAdABpAG8AbgAgACgAMQApAFwAIgApADsAXABuAFwAbgBWAEUARQBSAEcAXwAxADUAXwA3AF8AMQBfADEAXwBfADEAXwBFAG0AaQBzAHMAaQBvAG4AcwBGAHIAbwBtAFAAdQByAGMAaABhAHMAZQBkAFMAZQByAHYAaQBjAGUAcwBfAE4ASQBSAFIAZQBmAGUAcgBlAG4AYwBlAFwAbgAgACAAPQBMAEEATQBCAEQAQQAoAFwAIgBcACIAKQA7AFwAbgBcAG4AVgBFAEUAUgBHAF8AMQA1AF8ANwBfADEAXwAxAF8AXwAxAF8ARQBtAGkAcwBzAGkAbwBuAHMARgByAG8AbQBQAHUAcgBjAGgAYQBzAGUAZABTAGUAcgB2AGkAYwBlAHMAXwBMAGEAdABlAHgARQBxAHUAYQB0AGkAbwBuAFwAbgAgACAAPQBMAEEATQBCAEQAQQAoAFwAIgBFAD0AXABcAHMAdQBtAFwAXABuAG8AbABpAG0AaQB0AHMAXwBwAFwAXABsAGUAZgB0ACgAQQBfAHAAXABcAHQAaQBtAGUAcwAgAEUARgBfAHAAXABcAHIAaQBnAGgAdAApAFwAXAB0AGkAbQBlAHMAIAAxADAAXgB7AC0AMwB9AFwAIgApADsAXABuAFwAbgBWAEUARQBSAEcAXwAxADUAXwA3AF8AMQBfADEAXwBfADEAXwBFAG0AaQBzAHMAaQBvAG4AcwBGAHIAbwBtAFAAdQByAGMAaABhAHMAZQBkAFMAZQByAHYAaQBjAGUAcwBfAEEAcgBnAHUAbQBlAG4AdABzAFwAbgAgACAAPQBMAEEATQBCAEQAQQAoAFwAbgAgACAAIAAgAE0AQQBLAEUAQQBSAFIAQQBZACgAMwAsACAANAAsAFwAbgAgACAAIAAgACAAIABMAEEATQBCAEQAQQAoAHIALABjACwAXABuACAAIAAgACAAIAAgACAAIABJAE4ARABFAFgAKAB7AFwAbgAgACAAIAAgACAAIAAgACAAIAAgAFwAIgBBAF8AcABcACIALAAgAFwAIgBhAGMAdABpAHYAaQB0AHkAIABkAGEAdABhACAAbwBmACAAdABoAGUAIABzAGUAcgB2AGkAYwBlACAAdABoAGEAdAAgAHcAYQBzACAAcAB1AHIAYwBoAGEAcwBlAGQAXAAiACwAIABcACIAaABhACAAbwByACAAaABcACIALAAgAFwAIgBJAG4AcAB1AHQAXAAiADsAXABuACAAIAAgACAAIAAgACAAIAAgACAAXAAiAEUARgBfAHAAXAAiACwAIABcACIAbABpAGYAZQAgAGMAeQBjAGwAZQAgAGUAbQBpAHMAcwBpAG8AbgAgAGYAYQBjAHQAbwByACAAZgBvAHIAIAB0AGgAZQAgAHAAdQByAGMAaABhAHMAZQBkACAAcwBlAHIAdgBpAGMAZQBcACIALAAgAFwAIgBrAGcAIABDAE8AMgBlAC8AaABhACAAbwByACAAawBnACAAQwBPADIAZQAvAGgAXAAiACwAIABcACIAQwBvAG4AcwB0AGEAbgB0AFwAIgA7AFwAbgAgACAAIAAgACAAIAAgACAAIAAgAFwAIgBwAFwAIgAsACAAXAAiAHMAZQByAHYAaQBjAGUAIAB0AHkAcABlAFwAIgAsACAAXAAi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xADUAXwA4AF8AMQBfADEAXwBfADEAXwBFAG0AaQBzAHMAaQBvAG4AcwBGAHIAbwBtAFAAdQByAGMAaABhAHMAZQBkAFAAYQBjAGsAYQBnAGkAbgBnAFwAbgBFAG0AYgBlAGQAZABlAGQAIABlAG0AaQBzAHMAaQBvAG4AcwAgAGYAcgBvAG0AIAB1AHMAZQAgAG8AZgAgAHAAYQBjAGsAYQBnAGkAbgBnACAAbQBhAHQAZQByAGkAYQBsAHMAXABuAEUAXABuAHQAIABDAE8AMgBlAFwAbgBFAD0AXABcAHMAdQBtAFwAXABuAG8AbABpAG0AaQB0AHMAXwBwAFwAXABsAGUAZgB0ACgAUQBfAHAAXABcAHQAaQBtAGUAcwAgAEUARgBfAHAAXABcAHIAaQBnAGgAdAApAFwAXAB0AGkAbQBlAHMAIAAxADAAXgB7AC0AMwB9AFwAbgBRAF8AcAAgAD0AIAB1AG4AaQB0AHMAIABvAGYAIABwAGEAYwBrAGEAZwBpAG4AZwAgAHQAeQBwAGUAIABwAFwAbgBFAEYAXwBwACAAPQAgAGUAbQBpAHMAcwBpAG8AbgAgAGYAYQBjAHQAbwByACAAZgBvAHIAIABwAGEAYwBrAGEAZwBpAG4AZwAgAHQAeQBwAGUAIABwAFwAbgAtAC0ALQAtAC0ALQAtAC0ALQAtAC0ALQAtAC0ALQAtAC0ALQAtAC0ALQAtAC0ALQAtAC0ALQAtAC0ALQAtAC0ALQAtAC0ALQAtAC0AXABuACoALwBcAG4AXABuAFYARQBFAFIARwBfADEANQBfADgAXwAxAF8AMQBfAF8AMQBfAEUAbQBpAHMAcwBpAG8AbgBzAEYAcgBvAG0AUAB1AHIAYwBoAGEAcwBlAGQAUABhAGMAawBhAGcAaQBuAGcAXABuACAAIAA9AEwAQQBNAEIARABBACgAXABuACAAIAAgACAAUQBfAHAALAAgAEUARgBfAHAALABcAG4AIAAgACAAIAAoAFEAXwBwACAAKgAgAEUARgBfAHAAKQAgACoAIAAxADAAIABeACAALQAzAFwAbgAgACAAKQA7AFwAbgBcAG4AVgBFAEUAUgBHAF8AMQA1AF8AOABfADEAXwAxAF8AXwAxAF8ARQBtAGkAcwBzAGkAbwBuAHMARgByAG8AbQBQAHUAcgBjAGgAYQBzAGUAZABQAGEAYwBrAGEAZwBpAG4AZwBfAFQAaQB0AGwAZQBcAG4AIAAgAD0ATABBAE0AQgBEAEEAKABcACIARQBtAGIAZQBkAGQAZQBkACAAZQBtAGkAcwBzAGkAbwBuAHMAIABmAHIAbwBtACAAdQBzAGUAIABvAGYAIABwAGEAYwBrAGEAZwBpAG4AZwAgAG0AYQB0AGUAcgBpAGEAbABzAFwAIgApADsAXABuAFwAbgBWAEUARQBSAEcAXwAxADUAXwA4AF8AMQBfADEAXwBfADEAXwBFAG0AaQBzAHMAaQBvAG4AcwBGAHIAbwBtAFAAdQByAGMAaABhAHMAZQBkAFAAYQBjAGsAYQBnAGkAbgBnAF8AVgBhAHIAaQBhAGIAbABlAFwAbgAgACAAPQBMAEEATQBCAEQAQQAoAFwAIgBFAFwAIgApADsAXABuAFwAbgBWAEUARQBSAEcAXwAxADUAXwA4AF8AMQBfADEAXwBfADEAXwBFAG0AaQBzAHMAaQBvAG4AcwBGAHIAbwBtAFAAdQByAGMAaABhAHMAZQBkAFAAYQBjAGsAYQBnAGkAbgBnAF8AVQBuAGkAdABcAG4AIAAgAD0ATABBAE0AQgBEAEEAKABcACIAdAAgAEMATwAyAGUAXAAiACkAOwBcAG4AXABuAFYARQBFAFIARwBfADEANQBfADgAXwAxAF8AMQBfAF8AMQBfAEUAbQBpAHMAcwBpAG8AbgBzAEYAcgBvAG0AUAB1AHIAYwBoAGEAcwBlAGQAUABhAGMAawBhAGcAaQBuAGcAXwBTAG8AdQByAGMAZQBcAG4AIAAgAD0ATABBAE0AQgBEAEEAKABcACIAVgBFAEUAUgBHACAAMgAwADIANgA6ACAAMQA1AC4AOAAuADEALgAxACwAIABFAHEAdQBhAHQAaQBvAG4AIAAoADEAKQBcACIAKQA7AFwAbgBcAG4AVgBFAEUAUgBHAF8AMQA1AF8AOABfADEAXwAxAF8AXwAxAF8ARQBtAGkAcwBzAGkAbwBuAHMARgByAG8AbQBQAHUAcgBjAGgAYQBzAGUAZABQAGEAYwBrAGEAZwBpAG4AZwBfAE4ASQBSAFIAZQBmAGUAcgBlAG4AYwBlAFwAbgAgACAAPQBMAEEATQBCAEQAQQAoAFwAIgBcACIAKQA7AFwAbgBcAG4AVgBFAEUAUgBHAF8AMQA1AF8AOABfADEAXwAxAF8AXwAxAF8ARQBtAGkAcwBzAGkAbwBuAHMARgByAG8AbQBQAHUAcgBjAGgAYQBzAGUAZABQAGEAYwBrAGEAZwBpAG4AZwBfAEwAYQB0AGUAeABFAHEAdQBhAHQAaQBvAG4AXABuACAAIAA9AEwAQQBNAEIARABBACgAXAAiAEUAPQBcAFwAcwB1AG0AXABcAG4AbwBsAGkAbQBpAHQAcwBfAHAAXABcAGwAZQBmAHQAKABRAF8AcABcAFwAdABpAG0AZQBzACAARQBGAF8AcABcAFwAcgBpAGcAaAB0ACkAXABcAHQAaQBtAGUAcwAgADEAMABeAHsALQAzAH0AXAAiACkAOwBcAG4AXABuAFYARQBFAFIARwBfADEANQBfADgAXwAxAF8AMQBfAF8AMQBfAEUAbQBpAHMAcwBpAG8AbgBzAEYAcgBvAG0AUAB1AHIAYwBoAGEAcwBlAGQAUABhAGMAawBhAGcAaQBuAGcAXwBBAHIAZwB1AG0AZQBuAHQAcwBcAG4AIAAgAD0ATABBAE0AQgBEAEEAKABcAG4AIAAgACAAIABNAEEASwBFAEEAUgBSAEEAWQAoADMALAAgADQALABcAG4AIAAgACAAIAAgACAATABBAE0AQgBEAEEAKAByACwAYwAsAFwAbgAgACAAIAAgACAAIAAgACAASQBOAEQARQBYACgAewBcAG4AIAAgACAAIAAgACAAIAAgACAAIABcACIAUQBfAHAAXAAiACwAIABcACIAdQBuAGkAdABzACAAbwBmACAAcABhAGMAawBhAGcAaQBuAGcAIAB0AHkAcABlACAAcABcACIALAAgAFwAIgB1AG4AaQB0AHMAXAAiACwAIABcACIASQBuAHAAdQB0AFwAIgA7AFwAbgAgACAAIAAgACAAIAAgACAAIAAgAFwAIgBFAEYAXwBwAFwAIgAsACAAXAAiAGUAbQBpAHMAcwBpAG8AbgAgAGYAYQBjAHQAbwByACAAZgBvAHIAIABwAGEAYwBrAGEAZwBpAG4AZwAgAHQAeQBwAGUAIABwAFwAIgAsACAAXAAiAGsAZwAgAEMATwAyAGUALwB1AG4AaQB0AFwAIgAsACAAXAAiAEMAbwBuAHMAdABhAG4AdABcACIAOwBcAG4AIAAgACAAIAAgACAAIAAgACAAIABcACIAcABcACIALAAgAFwAIgBwAGEAYwBrAGEAZwBpAG4AZwAgAHQAeQBwAGUAXAAiACwAIABcACIAXAAiACwAIABcACIASQBuAHAAdQB0AFwAIgBcAG4AIAAgACAAIAAgACAAIAAgAH0ALAAgAHIALAAgAGMAKQBcAG4AIAAgACAAIAAgACAAKQBcAG4AIAAgACAAIAApAFwAbgAgACAAKQA7AFwAbgBcAG4AVgBFAEUAUgBHAF8AMQA1AF8AOABfADEAXwAxAF8AXwAxAF8ARQBtAGkAcwBzAGkAbwBuAHMARgByAG8AbQBQAHUAcgBjAGgAYQBzAGUAZABQAGEAYwBrAGEAZwBpAG4AZwBfAFYAYQByAGkAYQB0AGkAbwBuAFwAbgAgACAAPQBMAEEATQBCAEQAQQAoAFwAIgBWAEEAUgBJAEEAVABJAE8ATgAgAE8ATgAgAFMATwBVAFIAQwBFADoAIABDAGgAYQBuAGcAZQBkACAAdQBuAGkAdAAgAG8AZgAgAFEAIABmAHIAbwBtACAAJwB1AG4AaQB0AHMAJwAgAHQAbwAgACcAawBnACcAIABhAHMAIABFAEYAIABkAGEAdABhACAAaQBzACAAaQBuACAAawBnAC4AXAAiACkAOwBcAG4AIAAgAFwAbgBcAG4ALwAqAFwAbgAtAC0ALQAtAC0ALQAtAC0ALQAtAC0ALQAtAC0ALQAtAC0ALQAtAC0ALQAtAC0ALQAtAC0ALQAtAC0ALQAtAC0ALQAtAC0ALQAtAC0AXABuAFYARQBFAFIARwBfADEANQBfADkAXwAxAF8AMQBfAF8AMQBfAEUAbQBpAHMAcwBpAG8AbgBzAEYAcgBvAG0AUAB1AHIAYwBoAGEAcwBlAGQARwByAG8AdwBNAGUAZABpAGEAXABuAEUAbQBiAGUAZABkAGUAZAAgAGUAbQBpAHMAcwBpAG8AbgBzACAAZgByAG8AbQAgAHUAcwBlACAAbwBmACAAZwByAG8AdwAgAG0AZQBkAGkAYQAgAHAAcgBvAGQAdQBjAHQAcwBcAG4ARQBcAG4AdAAgAEMATwAyAGUAXABuAEUAPQBcAFwAcwB1AG0AXABcAG4AbwBsAGkAbQBpAHQAcwBfAGcAXABcAGwAZQBmAHQAKABRAF8AZwBcAFwAdABpAG0AZQBzACAARQBGAF8AZwBcAFwAcgBpAGcAaAB0ACkAXABcAHQAaQBtAGUAcwAgADEAMABeAHsALQAzAH0AXABuAFEAXwBnACAAPQAgAHQAbwB0AGEAbAAgAHEAdQBhAG4AdABpAHQAeQAgAG8AZgAgAGcAcgBvAHcAIABtAGUAZABpAGEAIAB0AHkAcABlACAAZwBcAG4ARQBGAF8AZwAgAD0AIABlAG0AaQBzAHMAaQBvAG4AIABmAGEAYwB0AG8AcgAgAGYAbwByACAAZwByAG8AdwAgAG0AZQBkAGkAYQAgAHQAeQBwAGUAIABnAFwAbgAtAC0ALQAtAC0ALQAtAC0ALQAtAC0ALQAtAC0ALQAtAC0ALQAtAC0ALQAtAC0ALQAtAC0ALQAtAC0ALQAtAC0ALQAtAC0ALQAtAC0AXABuACoALwBcAG4AXABuAFYARQBFAFIARwBfADEANQBfADkAXwAxAF8AMQBfAF8AMQBfAEUAbQBpAHMAcwBpAG8AbgBzAEYAcgBvAG0AUAB1AHIAYwBoAGEAcwBlAGQARwByAG8AdwBNAGUAZABpAGEAXABuACAAIAA9AEwAQQBNAEIARABBACgAXABuACAAIAAgACAAUQBfAGcALAAgAEUARgBfAGcALABcAG4AIAAgACAAIAAoAFEAXwBnACAAKgAgAEUARgBfAGcAKQAgACoAIAAxADAAIABeACAALQAzAFwAbgAgACAAKQA7AFwAbgBcAG4AVgBFAEUAUgBHAF8AMQA1AF8AOQBfADEAXwAxAF8AXwAxAF8ARQBtAGkAcwBzAGkAbwBuAHMARgByAG8AbQBQAHUAcgBjAGgAYQBzAGUAZABHAHIAbwB3AE0AZQBkAGkAYQBfAFQAaQB0AGwAZQBcAG4AIAAgAD0ATABBAE0AQgBEAEEAKABcACIARQBtAGIAZQBkAGQAZQBkACAAZQBtAGkAcwBzAGkAbwBuAHMAIABmAHIAbwBtACAAdQBzAGUAIABvAGYAIABnAHIAbwB3ACAAbQBlAGQAaQBhACAAcAByAG8AZAB1AGMAdABzAFwAIgApADsAXABuAFwAbgBWAEUARQBSAEcAXwAxADUAXwA5AF8AMQBfADEAXwBfADEAXwBFAG0AaQBzAHMAaQBvAG4AcwBGAHIAbwBtAFAAdQByAGMAaABhAHMAZQBkAEcAcgBvAHcATQBlAGQAaQBhAF8AVgBhAHIAaQBhAGIAbABlAFwAbgAgACAAPQBMAEEATQBCAEQAQQAoAFwAIgBFAFwAIgApADsAXABuAFwAbgBWAEUARQBSAEcAXwAxADUAXwA5AF8AMQBfADEAXwBfADEAXwBFAG0AaQBzAHMAaQBvAG4AcwBGAHIAbwBtAFAAdQByAGMAaABhAHMAZQBkAEcAcgBvAHcATQBlAGQAaQBhAF8AVQBuAGkAdABcAG4AIAAgAD0ATABBAE0AQgBEAEEAKABcACIAdAAgAEMATwAyAGUAXAAiACkAOwBcAG4AXABuAFYARQBFAFIARwBfADEANQBfADkAXwAxAF8AMQBfAF8AMQBfAEUAbQBpAHMAcwBpAG8AbgBzAEYAcgBvAG0AUAB1AHIAYwBoAGEAcwBlAGQARwByAG8AdwBNAGUAZABpAGEAXwBTAG8AdQByAGMAZQBcAG4AIAAgAD0ATABBAE0AQgBEAEEAKABcACIAVgBFAEUAUgBHACAAMgAwADIANgA6ACAAMQA1AC4AOQAuADEALgAxACwAIABFAHEAdQBhAHQAaQBvAG4AIAAoADEAKQBcACIAKQA7AFwAbgBcAG4AVgBFAEUAUgBHAF8AMQA1AF8AOQBfADEAXwAxAF8AXwAxAF8ARQBtAGkAcwBzAGkAbwBuAHMARgByAG8AbQBQAHUAcgBjAGgAYQBzAGUAZABHAHIAbwB3AE0AZQBkAGkAYQBfAE4ASQBSAFIAZQBmAGUAcgBlAG4AYwBlAFwAbgAgACAAPQBMAEEATQBCAEQAQQAoAFwAIgBcACIAKQA7AFwAbgBcAG4AVgBFAEUAUgBHAF8AMQA1AF8AOQBfADEAXwAxAF8AXwAxAF8ARQBtAGkAcwBzAGkAbwBuAHMARgByAG8AbQBQAHUAcgBjAGgAYQBzAGUAZABHAHIAbwB3AE0AZQBkAGkAYQBfAEwAYQB0AGUAeABFAHEAdQBhAHQAaQBvAG4AXABuACAAIAA9AEwAQQBNAEIARABBACgAXAAiAEUAPQBcAFwAcwB1AG0AXABcAG4AbwBsAGkAbQBpAHQAcwBfAGcAXABcAGwAZQBmAHQAKABRAF8AZwBcAFwAdABpAG0AZQBzACAARQBGAF8AZwBcAFwAcgBpAGcAaAB0ACkAXABcAHQAaQBtAGUAcwAgADEAMABeAHsALQAzAH0AXAAiACkAOwBcAG4AXABuAFYARQBFAFIARwBfADEANQBfADkAXwAxAF8AMQBfAF8AMQBfAEUAbQBpAHMAcwBpAG8AbgBzAEYAcgBvAG0AUAB1AHIAYwBoAGEAcwBlAGQARwByAG8AdwBNAGUAZABpAGEAXwBBAHIAZwB1AG0AZQBuAHQAcwBcAG4AIAAgAD0ATABBAE0AQgBEAEEAKABcAG4AIAAgACAAIABNAEEASwBFAEEAUgBSAEEAWQAoADMALAAgADQALABcAG4AIAAgACAAIAAgACAATABBAE0AQgBEAEEAKAByACwAYwAsAFwAbgAgACAAIAAgACAAIAAgACAASQBOAEQARQBYACgAewBcAG4AIAAgACAAIAAgACAAIAAgACAAIABcACIAUQBfAGcAXAAiACwAIABcACIAdABvAHQAYQBsACAAcQB1AGEAbgB0AGkAdAB5ACAAbwBmACAAZwByAG8AdwAgAG0AZQBkAGkAYQAgAHQAeQBwAGUAIABnAFwAIgAsACAAXAAiAGsAZwAgAG8AcgAgAG0AMwBcACIALAAgAFwAIgBJAG4AcAB1AHQAXAAiADsAXABuACAAIAAgACAAIAAgACAAIAAgACAAXAAiAEUARgBfAGcAXAAiACwAIABcACIAZQBtAGkAcwBzAGkAbwBuACAAZgBhAGMAdABvAHIAIABmAG8AcgAgAGcAcgBvAHcAIABtAGUAZABpAGEAIAB0AHkAcABlACAAZwBcACIALAAgAFwAIgBrAGcAIABDAE8AMgBlAC8AawBnACAAbwByACAAawBnACAAQwBPADIAZQAvAG0AMwBcACIALAAgAFwAIgBDAG8AbgBzAHQAYQBuAHQAXAAiADsAXABuACAAIAAgACAAIAAgACAAIAAgACAAXAAiAGcAXAAiACwAIABcACIAZwByAG8AdwAgAG0AZQBkAGkAYQAgAHQAeQBwAGU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EANQBfADEAMABfADEAXwAxAF8AXwAxAF8ATwB0AGgAZQByAFAAdQByAGMAaABhAHMAZQBkAEcAbwBvAGQAcwBBAG4AZABTAGUAcgB2AGkAYwBlAHMAXABuAE8AdABoAGUAcgAgAHAAdQByAGMAaABhAHMAZQBkACAAZwBvAG8AZABzACAAYQBuAGQAIABzAGUAcgB2AGkAYwBlAHMAIABnAGUAbgBlAHIAaQBjACAAZQBzAHQAaQBtAGEAdABlAFwAbgBlAG0AaQBzAHMAaQBvAG4AcwBcAG4AdAAgAEMATwAyAGUAXABuAGUAbQBpAHMAcwBpAG8AbgBzAD0AYQBjAHQAaQB2AGkAdAB5AF8AZABhAHQAYQBcAFwAdABpAG0AZQBzACAAZQBtAGkAcwBzAGkAbwBuAF8AZgBhAGMAdABvAHIAXABuAGEAYwB0AGkAdgBpAHQAeQBfAGQAYQB0AGEAIAA9ACAAbQBlAGEAcwB1AHIAZQBkACAAYQBjAHQAaQB2AGkAdAB5ACAAZgBvAHIAIAB0AGgAZQAgAHAAdQByAGMAaABhAHMAZQBkACAAZwBvAG8AZAAgAG8AcgAgAHMAZQByAHYAaQBjAGUAXABuAGUAbQBpAHMAcwBpAG8AbgBfAGYAYQBjAHQAbwByACAAPQAgAGwAaQBmAGUAYwB5AGMAbABlACAAZQBtAGkAcwBzAGkAbwBuAHMAIABwAGUAcgAgAHUAbgBpAHQAIABvAGYAIABhAGMAdABpAHYAaQB0AHkAXABuAC0ALQAtAC0ALQAtAC0ALQAtAC0ALQAtAC0ALQAtAC0ALQAtAC0ALQAtAC0ALQAtAC0ALQAtAC0ALQAtAC0ALQAtAC0ALQAtAC0ALQBcAG4AKgAvAFwAbgBcAG4AVgBFAEUAUgBHAF8AMQA1AF8AMQAwAF8AMQBfADEAXwBfADEAXwBPAHQAaABlAHIAUAB1AHIAYwBoAGEAcwBlAGQARwBvAG8AZABzAEEAbgBkAFMAZQByAHYAaQBjAGUAcwBcAG4AIAAgAD0ATABBAE0AQgBEAEEAKABcAG4AIAAgACAAIABhAGMAdABpAHYAaQB0AHkAXwBkAGEAdABhACwAIABlAG0AaQBzAHMAaQBvAG4AXwBmAGEAYwB0AG8AcgAsAFwAbgAgACAAIAAgAGEAYwB0AGkAdgBpAHQAeQBfAGQAYQB0AGEAIAAqACAAZQBtAGkAcwBzAGkAbwBuAF8AZgBhAGMAdABvAHIAXABuACAAIAApADsAXABuAFwAbgBWAEUARQBSAEcAXwAxADUAXwAxADAAXwAxAF8AMQBfAF8AMQBfAE8AdABoAGUAcgBQAHUAcgBjAGgAYQBzAGUAZABHAG8AbwBkAHMAQQBuAGQAUwBlAHIAdgBpAGMAZQBzAF8AVABpAHQAbABlAFwAbgAgACAAPQBMAEEATQBCAEQAQQAoAFwAIgBPAHQAaABlAHIAIABwAHUAcgBjAGgAYQBzAGUAZAAgAGcAbwBvAGQAcwAgAGEAbgBkACAAcwBlAHIAdgBpAGMAZQBzACAAZwBlAG4AZQByAGkAYwAgAGUAcwB0AGkAbQBhAHQAZQBcACIAKQA7AFwAbgBcAG4AVgBFAEUAUgBHAF8AMQA1AF8AMQAwAF8AMQBfADEAXwBfADEAXwBPAHQAaABlAHIAUAB1AHIAYwBoAGEAcwBlAGQARwBvAG8AZABzAEEAbgBkAFMAZQByAHYAaQBjAGUAcwBfAFYAYQByAGkAYQBiAGwAZQBcAG4AIAAgAD0ATABBAE0AQgBEAEEAKABcACIAZQBtAGkAcwBzAGkAbwBuAHMAXAAiACkAOwBcAG4AXABuAFYARQBFAFIARwBfADEANQBfADEAMABfADEAXwAxAF8AXwAxAF8ATwB0AGgAZQByAFAAdQByAGMAaABhAHMAZQBkAEcAbwBvAGQAcwBBAG4AZABTAGUAcgB2AGkAYwBlAHMAXwBVAG4AaQB0AFwAbgAgACAAPQBMAEEATQBCAEQAQQAoAFwAIgB0ACAAQwBPADIAZQBcACIAKQA7AFwAbgBcAG4AVgBFAEUAUgBHAF8AMQA1AF8AMQAwAF8AMQBfADEAXwBfADEAXwBPAHQAaABlAHIAUAB1AHIAYwBoAGEAcwBlAGQARwBvAG8AZABzAEEAbgBkAFMAZQByAHYAaQBjAGUAcwBfAFMAbwB1AHIAYwBlAFwAbgAgACAAPQBMAEEATQBCAEQAQQAoAFwAIgBWAEUARQBSAEcAIAAyADAAMgA2ADoAIAAxADUALgAxADAALAAgAGcAZQBuAGUAcgBpAGMAIABwAGwAYQBjAGUAaABvAGwAZABlAHIAIABlAHEAdQBhAHQAaQBvAG4AXAAiACkAOwBcAG4AXABuAFYARQBFAFIARwBfADEANQBfADEAMABfADEAXwAxAF8AXwAxAF8ATwB0AGgAZQByAFAAdQByAGMAaABhAHMAZQBkAEcAbwBvAGQAcwBBAG4AZABTAGUAcgB2AGkAYwBlAHMAXwBOAEkAUgBSAGUAZgBlAHIAZQBuAGMAZQBcAG4AIAAgAD0ATABBAE0AQgBEAEEAKABcACIAXAAiACkAOwBcAG4AXABuAFYARQBFAFIARwBfADEANQBfADEAMABfADEAXwAxAF8AXwAxAF8ATwB0AGgAZQByAFAAdQByAGMAaABhAHMAZQBkAEcAbwBvAGQAcwBBAG4AZABTAGUAcgB2AGkAYwBlAHMAXwBMAGEAdABlAHgARQBxAHUAYQB0AGkAbwBuAFwAbgAgACAAPQBMAEEATQBCAEQAQQAoAFwAIgBlAG0AaQBzAHMAaQBvAG4AcwA9AGEAYwB0AGkAdgBpAHQAeQBcAFwAXwBkAGEAdABhAFwAXAB0AGkAbQBlAHMAIABlAG0AaQBzAHMAaQBvAG4AXABcAF8AZgBhAGMAdABvAHIAXAAiACkAOwBcAG4AXABuAFYARQBFAFIARwBfADEANQBfADEAMABfADEAXwAxAF8AXwAxAF8ATwB0AGgAZQByAFAAdQByAGMAaABhAHMAZQBkAEcAbwBvAGQAcwBBAG4AZABTAGUAcgB2AGkAYwBlAHMAXwBBAHIAZwB1AG0AZQBuAHQAcwBcAG4AIAAgAD0ATABBAE0AQgBEAEEAKABcAG4AIAAgACAAIABNAEEASwBFAEEAUgBSAEEAWQAoADIALAAgADQALABcAG4AIAAgACAAIAAgACAATABBAE0AQgBEAEEAKAByACwAYwAsAFwAbgAgACAAIAAgACAAIAAgACAASQBOAEQARQBYACgAewBcAG4AIAAgACAAIAAgACAAIAAgACAAIABcACIAYQBjAHQAaQB2AGkAdAB5AF8AZABhAHQAYQBcACIALAAgAFwAIgBtAGUAYQBzAHUAcgBlAGQAIABhAGMAdABpAHYAaQB0AHkAIABmAG8AcgAgAHQAaABlACAAcAB1AHIAYwBoAGEAcwBlAGQAIABnAG8AbwBkACAAbwByACAAcwBlAHIAdgBpAGMAZQBcACIALAAgAFwAIgB2AGEAcgBpAGUAcwBcACIALAAgAFwAIgBJAG4AcAB1AHQAXAAiADsAXABuACAAIAAgACAAIAAgACAAIAAgACAAXAAiAGUAbQBpAHMAcwBpAG8AbgBfAGYAYQBjAHQAbwByAFwAIgAsACAAXAAiAGwAaQBmAGUAYwB5AGMAbABlACAAZQBtAGkAcwBzAGkAbwBuAHMAIABwAGUAcgAgAHUAbgBpAHQAIABvAGYAIABhAGMAdABpAHYAaQB0AHkAXAAiACwAIABcACIAdgBhAHIAaQBlAHM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EANQBfADEAMQBfADEAXwAxAF8AXwAxAF8AVABvAHQAYQBsAFUAcABzAHQAcgBlAGEAbQBFAG0AaQBzAHMAaQBvAG4AcwBGAHIAbwBtAEYAdQBlAGwAXABuAFQAbwB0AGEAbAAgAHUAcABzAHQAcgBlAGEAbQAgAGUAbQBpAHMAcwBpAG8AbgBzACAAZgByAG8AbQAgAHMAYwBvAHAAZQAgADEAIABmAHUAZQBsACAAYwBvAG4AcwB1AG0AcAB0AGkAbwBuAFwAbgBFAFwAbgB0ACAAQwBPADIAZQBcAG4ARQA9AFwAXABzAHUAbQBcAFwAbgBvAGwAaQBtAGkAdABzAF8AcQBFAF8AewBXAFQAVAAsAHQAcgBhAG4AcwAsAHEAfQArAFwAXABzAHUAbQBcAFwAbgBvAGwAaQBtAGkAdABzAF8AcQBFAF8AewBXAFQAVAAsAFMAQwAsAHEAfQBcAG4ARQBfAFcAVABUAHQAcgBhAG4AcwBxACAAPQAgAHUAcABzAHQAcgBlAGEAbQAgAGUAbQBpAHMAcwBpAG8AbgBzACAAZgByAG8AbQAgAHMAYwBvAHAAZQAgADEAIAB0AHIAYQBuAHMAcABvAHIAdAAgAGYAdQBlAGwAIAB1AHMAZQBcAG4ARQBfAFcAVABUAFMAQwBxACAAPQAgAHUAcABzAHQAcgBlAGEAbQAgAGUAbQBpAHMAcwBpAG8AbgBzACAAZgByAG8AbQAgAHMAYwBvAHAAZQAgADEAIABzAHQAYQB0AGkAbwBuAGEAcgB5ACAAYwBvAG0AYgB1AHMAdABpAG8AbgAgAGYAdQBlAGwAIAB1AHMAZQBcAG4ALQAtAC0ALQAtAC0ALQAtAC0ALQAtAC0ALQAtAC0ALQAtAC0ALQAtAC0ALQAtAC0ALQAtAC0ALQAtAC0ALQAtAC0ALQAtAC0ALQAtAFwAbgAqAC8AXABuAFwAbgBWAEUARQBSAEcAXwAxADUAXwAxADEAXwAxAF8AMQBfAF8AMQBfAFQAbwB0AGEAbABVAHAAcwB0AHIAZQBhAG0ARQBtAGkAcwBzAGkAbwBuAHMARgByAG8AbQBGAHUAZQBsAFwAbgAgACAAPQBMAEEATQBCAEQAQQAoAFwAbgAgACAAIAAgAEUAXwBXAFQAVAB0AHIAYQBuAHMAcQAsACAARQBfAFcAVABUAFMAQwBxACwAXABuACAAIAAgACAARQBfAFcAVABUAHQAcgBhAG4AcwBxACAAKwAgAEUAXwBXAFQAVABTAEMAcQBcAG4AIAAgACkAOwBcAG4AXABuAFYARQBFAFIARwBfADEANQBfADEAMQBfADEAXwAxAF8AXwAxAF8AVABvAHQAYQBsAFUAcABzAHQAcgBlAGEAbQBFAG0AaQBzAHMAaQBvAG4AcwBGAHIAbwBtAEYAdQBlAGwAXwBUAGkAdABsAGUAXABuACAAIAA9AEwAQQBNAEIARABBACgAXAAiAFQAbwB0AGEAbAAgAHUAcABzAHQAcgBlAGEAbQAgAGUAbQBpAHMAcwBpAG8AbgBzACAAZgByAG8AbQAgAHMAYwBvAHAAZQAgADEAIABmAHUAZQBsACAAYwBvAG4AcwB1AG0AcAB0AGkAbwBuAFwAIgApADsAXABuAFwAbgBWAEUARQBSAEcAXwAxADUAXwAxADEAXwAxAF8AMQBfAF8AMQBfAFQAbwB0AGEAbABVAHAAcwB0AHIAZQBhAG0ARQBtAGkAcwBzAGkAbwBuAHMARgByAG8AbQBGAHUAZQBsAF8AVgBhAHIAaQBhAGIAbABlAFwAbgAgACAAPQBMAEEATQBCAEQAQQAoAFwAIgBFAFwAIgApADsAXABuAFwAbgBWAEUARQBSAEcAXwAxADUAXwAxADEAXwAxAF8AMQBfAF8AMQBfAFQAbwB0AGEAbABVAHAAcwB0AHIAZQBhAG0ARQBtAGkAcwBzAGkAbwBuAHMARgByAG8AbQBGAHUAZQBsAF8AVQBuAGkAdABcAG4AIAAgAD0ATABBAE0AQgBEAEEAKABcACIAdAAgAEMATwAyAGUAXAAiACkAOwBcAG4AXABuAFYARQBFAFIARwBfADEANQBfADEAMQBfADEAXwAxAF8AXwAxAF8AVABvAHQAYQBsAFUAcABzAHQAcgBlAGEAbQBFAG0AaQBzAHMAaQBvAG4AcwBGAHIAbwBtAEYAdQBlAGwAXwBTAG8AdQByAGMAZQBcAG4AIAAgAD0ATABBAE0AQgBEAEEAKABcACIAVgBFAEUAUgBHACAAMgAwADIANgA6ACAAMQA1AC4AMQAxAC4AMQAuADEALAAgAEUAcQB1AGEAdABpAG8AbgAgACgAMQApAFwAIgApADsAXABuAFwAbgBWAEUARQBSAEcAXwAxADUAXwAxADEAXwAxAF8AMQBfAF8AMQBfAFQAbwB0AGEAbABVAHAAcwB0AHIAZQBhAG0ARQBtAGkAcwBzAGkAbwBuAHMARgByAG8AbQBGAHUAZQBsAF8ATgBJAFIAUgBlAGYAZQByAGUAbgBjAGUAXABuACAAIAA9AEwAQQBNAEIARABBACgAXAAiAFwAIgApADsAXABuAFwAbgBWAEUARQBSAEcAXwAxADUAXwAxADEAXwAxAF8AMQBfAF8AMQBfAFQAbwB0AGEAbABVAHAAcwB0AHIAZQBhAG0ARQBtAGkAcwBzAGkAbwBuAHMARgByAG8AbQBGAHUAZQBsAF8ATABhAHQAZQB4AEUAcQB1AGEAdABpAG8AbgBcAG4AIAAgAD0ATABBAE0AQgBEAEEAKABcACIARQA9AFwAXABzAHUAbQBcAFwAbgBvAGwAaQBtAGkAdABzAF8AcQBFAF8AewBXAFQAVAAsAHQAcgBhAG4AcwAsAHEAfQArAFwAXABzAHUAbQBcAFwAbgBvAGwAaQBtAGkAdABzAF8AcQBFAF8AewBXAFQAVAAsAFMAQwAsAHEAfQBcACIAKQA7AFwAbgBcAG4AVgBFAEUAUgBHAF8AMQA1AF8AMQAxAF8AMQBfADEAXwBfADEAXwBUAG8AdABhAGwAVQBwAHMAdAByAGUAYQBtAEUAbQBpAHMAcwBpAG8AbgBzAEYAcgBvAG0ARgB1AGUAbABfAEEAcgBnAHUAbQBlAG4AdABzAFwAbgAgACAAPQBMAEEATQBCAEQAQQAoAFwAbgAgACAAIAAgAE0AQQBLAEUAQQBSAFIAQQBZACgAMgAsACAANAAsAFwAbgAgACAAIAAgACAAIABMAEEATQBCAEQAQQAoAHIALABjACwAXABuACAAIAAgACAAIAAgACAAIABJAE4ARABFAFgAKAB7AFwAbgAgACAAIAAgACAAIAAgACAAIAAgAFwAIgBFAF8AVwBUAFQAdAByAGEAbgBzAHEAXAAiACwAIABcACIAdQBwAHMAdAByAGUAYQBtACAAZQBtAGkAcwBzAGkAbwBuAHMAIABmAHIAbwBtACAAcwBjAG8AcABlACAAMQAgAHQAcgBhAG4AcwBwAG8AcgB0ACAAZgB1AGUAbAAgAHUAcwBlAFwAIgAsACAAXAAiAHQAIABDAE8AMgBlAFwAIgAsACAAXAAiAEMAYQBsAGMAdQBsAGEAdABlAGQAIABiAHkAIAAxADUALgAxADEALgAxAC4AMQAgACgAMgApAFwAIgA7AFwAbgAgACAAIAAgACAAIAAgACAAIAAgAFwAIgBFAF8AVwBUAFQAUwBDAHEAXAAiACwAIABcACIAdQBwAHMAdAByAGUAYQBtACAAZQBtAGkAcwBzAGkAbwBuAHMAIABmAHIAbwBtACAAcwBjAG8AcABlACAAMQAgAHMAdABhAHQAaQBvAG4AYQByAHkAIABjAG8AbQBiAHUAcwB0AGkAbwBuACAAZgB1AGUAbAAgAHUAcwBlAFwAIgAsACAAXAAiAHQAIABDAE8AMgBlAFwAIgAsACAAXAAiAEMAYQBsAGMAdQBsAGEAdABlAGQAIABiAHkAIAAxADUALgAxADEALgAxAC4AMQAgACgAMwApAFwAIgBcAG4AIAAgACAAIAAgACAAIAAgAH0ALAAgAHIALAAgAGMAKQBcAG4AIAAgACAAIAAgACAAKQBcAG4AIAAgACAAIAApAFwAbgAgACAAKQA7AFwAbgBcAG4ALwAqAFwAbgAtAC0ALQAtAC0ALQAtAC0ALQAtAC0ALQAtAC0ALQAtAC0ALQAtAC0ALQAtAC0ALQAtAC0ALQAtAC0ALQAtAC0ALQAtAC0ALQAtAC0AXABuAFYARQBFAFIARwBfADEANQBfADEAMQBfADEAXwAxAF8AXwAyAF8AVQBwAHMAdAByAGUAYQBtAFQAcgBhAG4AcwBwAG8AcgB0AEYAdQBlAGwARQBtAGkAcwBzAGkAbwBuAHMAXABuAFUAcABzAHQAcgBlAGEAbQAgAGUAbQBpAHMAcwBpAG8AbgBzACAAZgByAG8AbQAgAHMAYwBvAHAAZQAgADEAIABmAHUAZQBsACAAdQBzAGUAIABmAG8AcgAgAHQAcgBhAG4AcwBwAG8AcgB0ACAAcAB1AHIAcABvAHMAZQBzAFwAbgBFAF8AVwBUAFQAdAByAGEAbgBzAHEAXABuAHQAIABDAE8AMgBlAFwAbgBFAF8AewBXAFQAVAAsAHQAcgBhAG4AcwAsAHEAfQA9AFEAXwB7AFQAcgBhAG4AcwAsAHEAfQBcAFwAdABpAG0AZQBzACAARQBDAF8AewBUAHIAYQBuAHMALABxAH0AXABcAHQAaQBtAGUAcwAgAEUARgBfAHsAVAByAGEAbgBzACwAMwAsAHEAfQBcAFwAdABpAG0AZQBzACAAMQAwAF4AewAtADMAfQBcAG4AUQBfAFQAcgBhAG4AcwBxACAAPQAgAGEAbQBvAHUAbgB0ACAAbwBmACAAZgB1AGUAbAAgAHEAIABjAG8AbQBiAHUAcwB0AGUAZAAgAGYAbwByACAAdAByAGEAbgBzAHAAbwByAHQAIABlAG4AZQByAGcAeQAgAHAAdQByAHAAbwBzAGUAcwBcAG4ARQBDAF8AVAByAGEAbgBzAHEAIAA9ACAAZQBuAGUAcgBnAHkAIABjAG8AbgB0AGUAbgB0ACAAZgBhAGMAdABvAHIAIABmAG8AcgAgAHQAcgBhAG4AcwBwAG8AcgB0ACAAZQBuAGUAcgBnAHkAIABwAHUAcgBwAG8AcwBlAHMAXABuAEUARgBfAFQAcgBhAG4AcwAzAHEAIAA9ACAAcwBjAG8AcABlACAAMwAgAGUAbQBpAHMAcwBpAG8AbgAgAGYAYQBjAHQAbwByACAAZgBvAHIAIAB0AHIAYQBuAHMAcABvAHIAdAAgAGUAbgBlAHIAZwB5ACAAcAB1AHIAcABvAHMAZQBzAFwAbgAtAC0ALQAtAC0ALQAtAC0ALQAtAC0ALQAtAC0ALQAtAC0ALQAtAC0ALQAtAC0ALQAtAC0ALQAtAC0ALQAtAC0ALQAtAC0ALQAtAC0AXABuACoALwBcAG4AXABuAFYARQBFAFIARwBfADEANQBfADEAMQBfADEAXwAxAF8AXwAyAF8AVQBwAHMAdAByAGUAYQBtAFQAcgBhAG4AcwBwAG8AcgB0AEYAdQBlAGwARQBtAGkAcwBzAGkAbwBuAHMAXABuACAAIAA9AEwAQQBNAEIARABBACgAXABuACAAIAAgACAAUQBfAFQAcgBhAG4AcwBxACwAIABFAEMAXwBUAHIAYQBuAHMAcQAsACAARQBGAF8AVAByAGEAbgBzADMAcQAsAFwAbgAgACAAIAAgACgAUQBfAFQAcgBhAG4AcwBxACAAKgAgAEUAQwBfAFQAcgBhAG4AcwBxACAAKgAgAEUARgBfAFQAcgBhAG4AcwAzAHEAKQAgACoAIAAxADAAIABeACAALQAzAFwAbgAgACAAKQA7AFwAbgBcAG4AVgBFAEUAUgBHAF8AMQA1AF8AMQAxAF8AMQBfADEAXwBfADIAXwBVAHAAcwB0AHIAZQBhAG0AVAByAGEAbgBzAHAAbwByAHQARgB1AGUAbABFAG0AaQBzAHMAaQBvAG4AcwBfAFQAaQB0AGwAZQBcAG4AIAAgAD0ATABBAE0AQgBEAEEAKABcACIAVQBwAHMAdAByAGUAYQBtACAAZQBtAGkAcwBzAGkAbwBuAHMAIABmAHIAbwBtACAAcwBjAG8AcABlACAAMQAgAGYAdQBlAGwAIAB1AHMAZQAgAGYAbwByACAAdAByAGEAbgBzAHAAbwByAHQAIABwAHUAcgBwAG8AcwBlAHMAXAAiACkAOwBcAG4AXABuAFYARQBFAFIARwBfADEANQBfADEAMQBfADEAXwAxAF8AXwAyAF8AVQBwAHMAdAByAGUAYQBtAFQAcgBhAG4AcwBwAG8AcgB0AEYAdQBlAGwARQBtAGkAcwBzAGkAbwBuAHMAXwBWAGEAcgBpAGEAYgBsAGUAXABuACAAIAA9AEwAQQBNAEIARABBACgAXAAiAEUAXwBXAFQAVAB0AHIAYQBuAHMAcQBcACIAKQA7AFwAbgBcAG4AVgBFAEUAUgBHAF8AMQA1AF8AMQAxAF8AMQBfADEAXwBfADIAXwBVAHAAcwB0AHIAZQBhAG0AVAByAGEAbgBzAHAAbwByAHQARgB1AGUAbABFAG0AaQBzAHMAaQBvAG4AcwBfAFUAbgBpAHQAXABuACAAIAA9AEwAQQBNAEIARABBACgAXAAiAHQAIABDAE8AMgBlAFwAIgApADsAXABuAFwAbgBWAEUARQBSAEcAXwAxADUAXwAxADEAXwAxAF8AMQBfAF8AMgBfAFUAcABzAHQAcgBlAGEAbQBUAHIAYQBuAHMAcABvAHIAdABGAHUAZQBsAEUAbQBpAHMAcwBpAG8AbgBzAF8AUwBvAHUAcgBjAGUAXABuACAAIAA9AEwAQQBNAEIARABBACgAXAAiAFYARQBFAFIARwAgADIAMAAyADYAOgAgADEANQAuADEAMQAuADEALgAxACwAIABFAHEAdQBhAHQAaQBvAG4AIAAoADIAKQBcACIAKQA7AFwAbgBcAG4AVgBFAEUAUgBHAF8AMQA1AF8AMQAxAF8AMQBfADEAXwBfADIAXwBVAHAAcwB0AHIAZQBhAG0AVAByAGEAbgBzAHAAbwByAHQARgB1AGUAbABFAG0AaQBzAHMAaQBvAG4AcwBfAE4ASQBSAFIAZQBmAGUAcgBlAG4AYwBlAFwAbgAgACAAPQBMAEEATQBCAEQAQQAoAFwAIgBcACIAKQA7AFwAbgBcAG4AVgBFAEUAUgBHAF8AMQA1AF8AMQAxAF8AMQBfADEAXwBfADIAXwBVAHAAcwB0AHIAZQBhAG0AVAByAGEAbgBzAHAAbwByAHQARgB1AGUAbABFAG0AaQBzAHMAaQBvAG4AcwBfAEwAYQB0AGUAeABFAHEAdQBhAHQAaQBvAG4AXABuACAAIAA9AEwAQQBNAEIARABBACgAXAAiAEUAXwB7AFcAVABUACwAdAByAGEAbgBzACwAcQB9AD0AUQBfAHsAVAByAGEAbgBzACwAcQB9AFwAXAB0AGkAbQBlAHMAIABFAEMAXwB7AFQAcgBhAG4AcwAsAHEAfQBcAFwAdABpAG0AZQBzACAARQBGAF8AewBUAHIAYQBuAHMALAAzACwAcQB9AFwAXAB0AGkAbQBlAHMAIAAxADAAXgB7AC0AMwB9AFwAIgApADsAXABuAFwAbgBWAEUARQBSAEcAXwAxADUAXwAxADEAXwAxAF8AMQBfAF8AMgBfAFUAcABzAHQAcgBlAGEAbQBUAHIAYQBuAHMAcABvAHIAdABGAHUAZQBsAEUAbQBpAHMAcwBpAG8AbgBzAF8AQQByAGcAdQBtAGUAbgB0AHMAXABuACAAIAA9AEwAQQBNAEIARABBACgAXABuACAAIAAgACAATQBBAEsARQBBAFIAUgBBAFkAKAAzACwAIAA0ACwAXABuACAAIAAgACAAIAAgAEwAQQBNAEIARABBACgAcgAsAGMALABcAG4AIAAgACAAIAAgACAAIAAgAEkATgBEAEUAWAAoAHsAXABuACAAIAAgACAAIAAgACAAIAAgACAAXAAiAFEAXwBUAHIAYQBuAHMAcQBcACIALAAgAFwAIgBhAG0AbwB1AG4AdAAgAG8AZgAgAGYAdQBlAGwAIABxACAAYwBvAG0AYgB1AHMAdABlAGQAIABmAG8AcgAgAHQAcgBhAG4AcwBwAG8AcgB0ACAAZQBuAGUAcgBnAHkAIABwAHUAcgBwAG8AcwBlAHMAXAAiACwAIABcACIAawBMAFwAIgAsACAAXAAiAEkAbgBwAHUAdABcACIAOwBcAG4AIAAgACAAIAAgACAAIAAgACAAIABcACIARQBDAF8AVAByAGEAbgBzAHEAXAAiACwAIABcACIAZQBuAGUAcgBnAHkAIABjAG8AbgB0AGUAbgB0ACAAZgBhAGMAdABvAHIAIABmAG8AcgAgAHQAcgBhAG4AcwBwAG8AcgB0ACAAZQBuAGUAcgBnAHkAIABwAHUAcgBwAG8AcwBlAHMAXAAiACwAIABcACIARwBKAC8AawBMACAAbwByACAARwBKAC8AbQAzAFwAIgAsACAAXAAiAEMAbwBuAHMAdABhAG4AdABcACIAOwBcAG4AIAAgACAAIAAgACAAIAAgACAAIABcACIARQBGAF8AVAByAGEAbgBzADMAcQBcACIALAAgAFwAIgBzAGMAbwBwAGUAIAAzACAAZQBtAGkAcwBzAGkAbwBuACAAZgBhAGMAdABvAHIAIABmAG8AcgAgAHQAcgBhAG4AcwBwAG8AcgB0ACAAZQBuAGUAcgBnAHkAIABwAHUAcgBwAG8AcwBlAHMAXAAiACwAIABcACIAawBnACAAQwBPADIAZQAvAEcASg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MQA1AF8AMQAxAF8AMQBfADEAXwBfADMAXwBVAHAAcwB0AHIAZQBhAG0AUwB0AGEAdABpAG8AbgBhAHIAeQBGAHUAZQBsAEUAbQBpAHMAcwBpAG8AbgBzAFwAbgBVAHAAcwB0AHIAZQBhAG0AIABlAG0AaQBzAHMAaQBvAG4AcwAgAGYAcgBvAG0AIABzAGMAbwBwAGUAIAAxACAAcwB0AGEAdABpAG8AbgBhAHIAeQAgAGMAbwBtAGIAdQBzAHQAaQBvAG4AIABmAHUAZQBsACAAdQBzAGUAXABuAEUAXwBXAFQAVABTAEMAcQBcAG4AdAAgAEMATwAyAGUAXABuAEUAXwB7AFcAVABUACwAUwBDACwAcQB9AD0AUQBfAHsAUwBDACwAcQB9AFwAXAB0AGkAbQBlAHMAIABFAEMAXwB7AFMAQwAsAHEAfQBcAFwAdABpAG0AZQBzACAARQBGAF8AewBTAEMALAAzACwAcQB9AFwAXAB0AGkAbQBlAHMAIAAxADAAXgB7AC0AMwB9AFwAbgBRAF8AUwBDAHEAIAA9ACAAYQBtAG8AdQBuAHQAIABvAGYAIABmAHUAZQBsACAAcQAgAHUAcwBlAGQAIABmAG8AcgAgAHMAdABhAHQAaQBvAG4AYQByAHkAIABjAG8AbQBiAHUAcwB0AGkAbwBuACAAbwBwAGUAcgBhAHQAaQBvAG4AcwBcAG4ARQBDAF8AUwBDAHEAIAA9ACAAZQBuAGUAcgBnAHkAIABjAG8AbgB0AGUAbgB0ACAAZgBhAGMAdABvAHIAIABmAG8AcgAgAHMAdABhAHQAaQBvAG4AYQByAHkAIABjAG8AbQBiAHUAcwB0AGkAbwBuACAAbwBwAGUAcgBhAHQAaQBvAG4AcwBcAG4ARQBGAF8AUwBDADMAcQAgAD0AIABzAGMAbwBwAGUAIAAzACAAZQBtAGkAcwBzAGkAbwBuACAAZgBhAGMAdABvAHIAIABmAG8AcgAgAHMAdABhAHQAaQBvAG4AYQByAHkAIABjAG8AbQBiAHUAcwB0AGkAbwBuACAAbwBwAGUAcgBhAHQAaQBvAG4AcwBcAG4ALQAtAC0ALQAtAC0ALQAtAC0ALQAtAC0ALQAtAC0ALQAtAC0ALQAtAC0ALQAtAC0ALQAtAC0ALQAtAC0ALQAtAC0ALQAtAC0ALQAtAFwAbgAqAC8AXABuAFwAbgBWAEUARQBSAEcAXwAxADUAXwAxADEAXwAxAF8AMQBfAF8AMwBfAFUAcABzAHQAcgBlAGEAbQBTAHQAYQB0AGkAbwBuAGEAcgB5AEYAdQBlAGwARQBtAGkAcwBzAGkAbwBuAHMAXABuACAAIAA9AEwAQQBNAEIARABBACgAXABuACAAIAAgACAAUQBfAFMAQwBxACwAIABFAEMAXwBTAEMAcQAsACAARQBGAF8AUwBDADMAcQAsAFwAbgAgACAAIAAgACgAUQBfAFMAQwBxACAAKgAgAEUAQwBfAFMAQwBxACAAKgAgAEUARgBfAFMAQwAzAHEAKQAgACoAIAAxADAAIABeACAALQAzAFwAbgAgACAAKQA7AFwAbgBcAG4AVgBFAEUAUgBHAF8AMQA1AF8AMQAxAF8AMQBfADEAXwBfADMAXwBVAHAAcwB0AHIAZQBhAG0AUwB0AGEAdABpAG8AbgBhAHIAeQBGAHUAZQBsAEUAbQBpAHMAcwBpAG8AbgBzAF8AVABpAHQAbABlAFwAbgAgACAAPQBMAEEATQBCAEQAQQAoAFwAIgBVAHAAcwB0AHIAZQBhAG0AIABlAG0AaQBzAHMAaQBvAG4AcwAgAGYAcgBvAG0AIABzAGMAbwBwAGUAIAAxACAAcwB0AGEAdABpAG8AbgBhAHIAeQAgAGMAbwBtAGIAdQBzAHQAaQBvAG4AIABmAHUAZQBsACAAdQBzAGUAXAAiACkAOwBcAG4AXABuAFYARQBFAFIARwBfADEANQBfADEAMQBfADEAXwAxAF8AXwAzAF8AVQBwAHMAdAByAGUAYQBtAFMAdABhAHQAaQBvAG4AYQByAHkARgB1AGUAbABFAG0AaQBzAHMAaQBvAG4AcwBfAFYAYQByAGkAYQBiAGwAZQBcAG4AIAAgAD0ATABBAE0AQgBEAEEAKABcACIARQBfAFcAVABUAFMAQwBxAFwAIgApADsAXABuAFwAbgBWAEUARQBSAEcAXwAxADUAXwAxADEAXwAxAF8AMQBfAF8AMwBfAFUAcABzAHQAcgBlAGEAbQBTAHQAYQB0AGkAbwBuAGEAcgB5AEYAdQBlAGwARQBtAGkAcwBzAGkAbwBuAHMAXwBVAG4AaQB0AFwAbgAgACAAPQBMAEEATQBCAEQAQQAoAFwAIgB0ACAAQwBPADIAZQBcACIAKQA7AFwAbgBcAG4AVgBFAEUAUgBHAF8AMQA1AF8AMQAxAF8AMQBfADEAXwBfADMAXwBVAHAAcwB0AHIAZQBhAG0AUwB0AGEAdABpAG8AbgBhAHIAeQBGAHUAZQBsAEUAbQBpAHMAcwBpAG8AbgBzAF8AUwBvAHUAcgBjAGUAXABuACAAIAA9AEwAQQBNAEIARABBACgAXAAiAFYARQBFAFIARwAgADIAMAAyADYAOgAgADEANQAuADEAMQAuADEALgAxACwAIABFAHEAdQBhAHQAaQBvAG4AIAAoADMAKQBcACIAKQA7AFwAbgBcAG4AVgBFAEUAUgBHAF8AMQA1AF8AMQAxAF8AMQBfADEAXwBfADMAXwBVAHAAcwB0AHIAZQBhAG0AUwB0AGEAdABpAG8AbgBhAHIAeQBGAHUAZQBsAEUAbQBpAHMAcwBpAG8AbgBzAF8ATgBJAFIAUgBlAGYAZQByAGUAbgBjAGUAXABuACAAIAA9AEwAQQBNAEIARABBACgAXAAiAFwAIgApADsAXABuAFwAbgBWAEUARQBSAEcAXwAxADUAXwAxADEAXwAxAF8AMQBfAF8AMwBfAFUAcABzAHQAcgBlAGEAbQBTAHQAYQB0AGkAbwBuAGEAcgB5AEYAdQBlAGwARQBtAGkAcwBzAGkAbwBuAHMAXwBMAGEAdABlAHgARQBxAHUAYQB0AGkAbwBuAFwAbgAgACAAPQBMAEEATQBCAEQAQQAoAFwAIgBFAF8AewBXAFQAVAAsAFMAQwAsAHEAfQA9AFEAXwB7AFMAQwAsAHEAfQBcAFwAdABpAG0AZQBzACAARQBDAF8AewBTAEMALABxAH0AXABcAHQAaQBtAGUAcwAgAEUARgBfAHsAUwBDACwAMwAsAHEAfQBcAFwAdABpAG0AZQBzACAAMQAwAF4AewAtADMAfQBcACIAKQA7AFwAbgBcAG4AVgBFAEUAUgBHAF8AMQA1AF8AMQAxAF8AMQBfADEAXwBfADMAXwBVAHAAcwB0AHIAZQBhAG0AUwB0AGEAdABpAG8AbgBhAHIAeQBGAHUAZQBsAEUAbQBpAHMAcwBpAG8AbgBzAF8AQQByAGcAdQBtAGUAbgB0AHMAXABuACAAIAA9AEwAQQBNAEIARABBACgAXABuACAAIAAgACAATQBBAEsARQBBAFIAUgBBAFkAKAA1ACwAIAA0ACwAXABuACAAIAAgACAAIAAgAEwAQQBNAEIARABBACgAcgAsAGMALABcAG4AIAAgACAAIAAgACAAIAAgAEkATgBEAEUAWAAoAHsAXABuACAAIAAgACAAIAAgACAAIAAgACAAXAAiAFEAXwBTAEMAcQBcACIALAAgAFwAIgBhAG0AbwB1AG4AdAAgAG8AZgAgAGYAdQBlAGwAIABxACAAdQBzAGUAZAAgAGYAbwByACAAcwB0AGEAdABpAG8AbgBhAHIAeQAgAGMAbwBtAGIAdQBzAHQAaQBvAG4AIABvAHAAZQByAGEAdABpAG8AbgBzAFwAIgAsACAAXAAiAGsATABcACIALAAgAFwAIgBJAG4AcAB1AHQAXAAiADsAXABuACAAIAAgACAAIAAgACAAIAAgACAAXAAiAEUAQwBfAFMAQwBxAFwAIgAsACAAXAAiAGUAbgBlAHIAZwB5ACAAYwBvAG4AdABlAG4AdAAgAGYAYQBjAHQAbwByACAAZgBvAHIAIABzAHQAYQB0AGkAbwBuAGEAcgB5ACAAYwBvAG0AYgB1AHMAdABpAG8AbgAgAG8AcABlAHIAYQB0AGkAbwBuAHMAXAAiACwAIABcACIARwBKAC8AawBMAFwAIgAsACAAXAAiAEMAbwBuAHMAdABhAG4AdABcACIAOwBcAG4AIAAgACAAIAAgACAAIAAgACAAIABcACIARQBGAF8AUwBDADMAcQBcACIALAAgAFwAIgBzAGMAbwBwAGUAIAAzACAAZQBtAGkAcwBzAGkAbwBuACAAZgBhAGMAdABvAHIAIABmAG8AcgAgAHMAdABhAHQAaQBvAG4AYQByAHkAIABjAG8AbQBiAHUAcwB0AGkAbwBuACAAbwBwAGUAcgBhAHQAaQBvAG4AcwBcACIALAAgAFwAIgBrAGcAIABDAE8AMgBlAC8ARwBKAFwAIgAsACAAXAAiAEMAbwBuAHMAdABhAG4AdABcACIAOwBcAG4AIAAgACAAIAAgACAAIAAgACAAIABcACIAaQBcACIALAAgAFwAIgBzAHQAYQB0AGUAXAAiACwAIABcACIAXAAiACwAIABcACIASQBuAHAAdQB0AFwAIgA7AFwAbgAgACAAIAAgACAAIAAgACAAIAAgAFwAIgBtAFwAIgAsACAAXAAiAG0AZQB0AHIAbwBwAG8AbABpAHQAYQBuAC8AbgBvAG4ALQBtAGUAdAByAG8AcABvAGwAaQB0AGEAbgAgAGwAbwBjAGEAdABpAG8AbgBcACIALAAgAFwAIgBcACIALAAgAFwAIgBJAG4AcAB1AHQAXAAiAFwAbgAgACAAIAAgACAAIAAgACAAfQAsACAAcgAsACAAYwApAFwAbgAgACAAIAAgACAAIAApAFwAbgAgACAAIAAgACkAXABuACAAIAApADsAXABuAFwAbgBWAEUARQBSAEcAXwAxADUAXwAxADEAXwAxAF8AMQBfAF8AMwBfAFUAcABzAHQAcgBlAGEAbQBTAHQAYQB0AGkAbwBuAGEAcgB5AEYAdQBlAGwARQBtAGkAcwBzAGkAbwBuAHMAXwBWAGEAcgBpAGEAdABpAG8AbgBcAG4AIAAgAD0ATABBAE0AQgBEAEEAKABcACIAVgBBAFIASQBBAFQASQBPAE4AIABPAE4AIABTAE8AVQBSAEMARQA6ACAAQQBkAGQAZQBkACAAJwBzAHQAYQB0AGUAJwAgAGEAbgBkACAAJwBtAGUAdAByAG8ALwBuAG8AbgAtAG0AZQB0AHIAbwAnACAAYQByAGcAdQBtAGUAbgB0AHMAIABhAHMAIABnAGEAcwBlAG8AdQBzACAAcwBjAG8AcABlACAAMwAgAEUARgBzACAAYQByAGUAIABzAHQAYQB0AGUAIABhAG4AZAAgAG0AZQB0AHIAbwAvAG4AbwBuAC0AbQBlAHQAcgBvACAAbABvAGMAYQB0AGkAbwBuAC0AYgBhAHMAZQBkAC4AXAAiACkAOwBcAG4AXABuAC8AKgBcAG4ALQAtAC0ALQAtAC0ALQAtAC0ALQAtAC0ALQAtAC0ALQAtAC0ALQAtAC0ALQAtAC0ALQAtAC0ALQAtAC0ALQAtAC0ALQAtAC0ALQAtAFwAbgBWAEUARQBSAEcAXwAxADUAXwAxADIAXwAxAF8AMQBfAF8AMQBfAFUAcABzAHQAcgBlAGEAbQBQAHUAcgBjAGgAYQBzAGUAZABFAGwAZQBjAHQAcgBpAGMAaQB0AHkATABvAGMAYQB0AGkAbwBuAEIAYQBzAGUAZABcAG4AUwBjAG8AcABlACAAMwAgAGUAbQBpAHMAcwBpAG8AbgBzACAAZgByAG8AbQAgAHAAdQByAGMAaABhAHMAZQBkACAAZQBsAGUAYwB0AHIAaQBjAGkAdAB5ACAAbABvAGMAYQB0AGkAbwBuACAAYgBhAHMAZQBkAFwAbgBFAF8AMwBlAGwAZQBjAFwAbgB0ACAAQwBPADIAZQBcAG4ARQBfAHsAMwAsAGUAbABlAGMAfQA9AFEAXwB7AGUAbABlAGMAfQBcAFwAdABpAG0AZQBzACAARQBGAF8AewAzACwAZQBsAGUAYwB9AFwAXAB0AGkAbQBlAHMAIAAxADAAXgB7AC0AMwB9AFwAbgBRAF8AZQBsAGUAYwAgAD0AIABhAG0AbwB1AG4AdAAgAG8AZgAgAGUAbABlAGMAdAByAGkAYwBpAHQAeQAgAHAAdQByAGMAaABhAHMAZQBkACAAZgByAG8AbQAgAHQAaABlACAAZwByAGkAZABcAG4ARQBGAF8AMwBlAGwAZQBjACAAPQAgAHMAYwBvAHAAZQAgADMAIABlAG0AaQBzAHMAaQBvAG4AIABmAGEAYwB0AG8AcgAgAGYAbwByACAAcAB1AHIAYwBoAGEAcwBlAGQAIABlAGwAZQBjAHQAcgBpAGMAaQB0AHkAXABuAC0ALQAtAC0ALQAtAC0ALQAtAC0ALQAtAC0ALQAtAC0ALQAtAC0ALQAtAC0ALQAtAC0ALQAtAC0ALQAtAC0ALQAtAC0ALQAtAC0ALQBcAG4AKgAvAFwAbgBcAG4AVgBFAEUAUgBHAF8AMQA1AF8AMQAyAF8AMQBfADEAXwBfADEAXwBVAHAAcwB0AHIAZQBhAG0AUAB1AHIAYwBoAGEAcwBlAGQARQBsAGUAYwB0AHIAaQBjAGkAdAB5AEwAbwBjAGEAdABpAG8AbgBCAGEAcwBlAGQAXABuACAAIAA9AEwAQQBNAEIARABBACgAXABuACAAIAAgACAAUQBfAGUAbABlAGMALAAgAEUARgBfADMAZQBsAGUAYwAsAFwAbgAgACAAIAAgACgAUQBfAGUAbABlAGMAIAAqACAARQBGAF8AMwBlAGwAZQBjACkAIAAqACAAMQAwACAAXgAgAC0AMwBcAG4AIAAgACkAOwBcAG4AXABuAFYARQBFAFIARwBfADEANQBfADEAMgBfADEAXwAxAF8AXwAxAF8AVQBwAHMAdAByAGUAYQBtAFAAdQByAGMAaABhAHMAZQBkAEUAbABlAGMAdAByAGkAYwBpAHQAeQBMAG8AYwBhAHQAaQBvAG4AQgBhAHMAZQBkAF8AVABpAHQAbABlAFwAbgAgACAAPQBMAEEATQBCAEQAQQAoAFwAIgBTAGMAbwBwAGUAIAAzACAAZQBtAGkAcwBzAGkAbwBuAHMAIABmAHIAbwBtACAAcAB1AHIAYwBoAGEAcwBlAGQAIABlAGwAZQBjAHQAcgBpAGMAaQB0AHkAIABsAG8AYwBhAHQAaQBvAG4AIABiAGEAcwBlAGQAXAAiACkAOwBcAG4AXABuAFYARQBFAFIARwBfADEANQBfADEAMgBfADEAXwAxAF8AXwAxAF8AVQBwAHMAdAByAGUAYQBtAFAAdQByAGMAaABhAHMAZQBkAEUAbABlAGMAdAByAGkAYwBpAHQAeQBMAG8AYwBhAHQAaQBvAG4AQgBhAHMAZQBkAF8AVgBhAHIAaQBhAGIAbABlAFwAbgAgACAAPQBMAEEATQBCAEQAQQAoAFwAIgBFAF8AMwBlAGwAZQBjAFwAIgApADsAXABuAFwAbgBWAEUARQBSAEcAXwAxADUAXwAxADIAXwAxAF8AMQBfAF8AMQBfAFUAcABzAHQAcgBlAGEAbQBQAHUAcgBjAGgAYQBzAGUAZABFAGwAZQBjAHQAcgBpAGMAaQB0AHkATABvAGMAYQB0AGkAbwBuAEIAYQBzAGUAZABfAFUAbgBpAHQAXABuACAAIAA9AEwAQQBNAEIARABBACgAXAAiAHQAIABDAE8AMgBlAFwAIgApADsAXABuAFwAbgBWAEUARQBSAEcAXwAxADUAXwAxADIAXwAxAF8AMQBfAF8AMQBfAFUAcABzAHQAcgBlAGEAbQBQAHUAcgBjAGgAYQBzAGUAZABFAGwAZQBjAHQAcgBpAGMAaQB0AHkATABvAGMAYQB0AGkAbwBuAEIAYQBzAGUAZABfAFMAbwB1AHIAYwBlAFwAbgAgACAAPQBMAEEATQBCAEQAQQAoAFwAIgBWAEUARQBSAEcAIAAyADAAMgA2ADoAIAAxADUALgAxADIALgAxAC4AMQAsACAARQBxAHUAYQB0AGkAbwBuACAAKAAxACkAXAAiACkAOwBcAG4AXABuAFYARQBFAFIARwBfADEANQBfADEAMgBfADEAXwAxAF8AXwAxAF8AVQBwAHMAdAByAGUAYQBtAFAAdQByAGMAaABhAHMAZQBkAEUAbABlAGMAdAByAGkAYwBpAHQAeQBMAG8AYwBhAHQAaQBvAG4AQgBhAHMAZQBkAF8ATgBJAFIAUgBlAGYAZQByAGUAbgBjAGUAXABuACAAIAA9AEwAQQBNAEIARABBACgAXAAiAFwAIgApADsAXABuAFwAbgBWAEUARQBSAEcAXwAxADUAXwAxADIAXwAxAF8AMQBfAF8AMQBfAFUAcABzAHQAcgBlAGEAbQBQAHUAcgBjAGgAYQBzAGUAZABFAGwAZQBjAHQAcgBpAGMAaQB0AHkATABvAGMAYQB0AGkAbwBuAEIAYQBzAGUAZABfAEwAYQB0AGUAeABFAHEAdQBhAHQAaQBvAG4AXABuACAAIAA9AEwAQQBNAEIARABBACgAXAAiAEUAXwB7ADMALABlAGwAZQBjAH0APQBRAF8AewBlAGwAZQBjAH0AXABcAHQAaQBtAGUAcwAgAEUARgBfAHsAMwAsAGUAbABlAGMAfQBcAFwAdABpAG0AZQBzACAAMQAwAF4AewAtADMAfQBcACIAKQA7AFwAbgBcAG4AVgBFAEUAUgBHAF8AMQA1AF8AMQAyAF8AMQBfADEAXwBfADEAXwBVAHAAcwB0AHIAZQBhAG0AUAB1AHIAYwBoAGEAcwBlAGQARQBsAGUAYwB0AHIAaQBjAGkAdAB5AEwAbwBjAGEAdABpAG8AbgBCAGEAcwBlAGQAXwBBAHIAZwB1AG0AZQBuAHQAcwBcAG4AIAAgAD0ATABBAE0AQgBEAEEAKABcAG4AIAAgACAAIABNAEEASwBFAEEAUgBSAEEAWQAoADMALAAgADQALABcAG4AIAAgACAAIAAgACAATABBAE0AQgBEAEEAKAByACwAYwAsAFwAbgAgACAAIAAgACAAIAAgACAASQBOAEQARQBYACgAewBcAG4AIAAgACAAIAAgACAAIAAgACAAIABcACIAUQBfAGUAbABlAGMAXAAiACwAIABcACIAYQBtAG8AdQBuAHQAIABvAGYAIABlAGwAZQBjAHQAcgBpAGMAaQB0AHkAIABwAHUAcgBjAGgAYQBzAGUAZAAgAGYAcgBvAG0AIAB0AGgAZQAgAGcAcgBpAGQAXAAiACwAIABcACIAawBXAGgAXAAiACwAIABcACIASQBuAHAAdQB0AFwAIgA7AFwAbgAgACAAIAAgACAAIAAgACAAIAAgAFwAIgBFAEYAXwAzAGUAbABlAGMAXAAiACwAIABcACIAcwBjAG8AcABlACAAMwAgAGUAbQBpAHMAcwBpAG8AbgAgAGYAYQBjAHQAbwByACAAZgBvAHIAIABwAHUAcgBjAGgAYQBzAGUAZAAgAGUAbABlAGMAdAByAGkAYwBpAHQAeQBcACIALAAgAFwAIgBrAGcAIABDAE8AMgBlAC8AawBXAGgAXAAiACwAIABcACIAQwBvAG4AcwB0AGEAbgB0AFwAIgA7AFwAbgAgACAAIAAgACAAIAAgACAAIAAgAFwAIgBnAFwAIgAsACAAXAAiAGcAcgBpAGQAIABlAGwAZQBjAHQAcgBpAGMAaQB0AHkAIAB3AGEAcwAgAHAAdQByAGMAaABhAHMAZQBkACAAZgByAG8AbQ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QA1AF8AMQAyAF8AMQBfADIAXwBfADEAXwBVAHAAcwB0AHIAZQBhAG0AUAB1AHIAYwBoAGEAcwBlAGQARQBsAGUAYwB0AHIAaQBjAGkAdAB5AE0AYQByAGsAZQB0AEIAYQBzAGUAZABcAG4AUwBjAG8AcABlACAAMwAgAGUAbQBpAHMAcwBpAG8AbgBzACAAZgByAG8AbQAgAHAAdQByAGMAaABhAHMAZQBkACAAZQBsAGUAYwB0AHIAaQBjAGkAdAB5ACAAbQBhAHIAawBlAHQAIABiAGEAcwBlAGQAXABuAEUAXwAzAGUAbABlAGMAXABuAHQAIABDAE8AMgBlAFwAbgBFAF8AewAzACwAZQBsAGUAYwB9AD0AXABcAGwAZQBmAHQAWwBRAF8AewBlAGwAZQBjAH0AXABcAHQAaQBtAGUAcwBcAFwAbABlAGYAdAAoADEALQAoAFIAUABQACsASgBSAFAAUAApAFwAXAByAGkAZwBoAHQAKQAtAFwAXABsAGUAZgB0ACgAUgBFAEMAXwB7AHMAdQByAHIAZQBuAGQAZQByAGUAZAB9AC0AUgBFAEMAXwB7AG8AbgBzAGkAdABlAH0AXABcAHIAaQBnAGgAdAApAFwAXAB0AGkAbQBlAHMAIAAxADAAXgB7AC0AMwB9AFwAXAByAGkAZwBoAHQAXQBcAFwAdABpAG0AZQBzACAARQBGAF8AewBSAE0ARgAzACwAZQBsAGUAYwB9AFwAXAB0AGkAbQBlAHMAIAAxADAAXgB7AC0AMwB9AFwAbgBRAF8AZQBsAGUAYwAgAD0AIABhAG0AbwB1AG4AdAAgAG8AZgAgAGUAbABlAGMAdAByAGkAYwBpAHQAeQAgAHAAdQByAGMAaABhAHMAZQBkACAAZgByAG8AbQAgAHQAaABlACAAZwByAGkAZABcAG4AUgBQAFAAIAA9ACAAcgBlAG4AZQB3AGEAYgBsAGUAIABwAG8AdwBlAHIAIABwAGUAcgBjAGUAbgB0AGEAZwBlACAAdQBuAGQAZQByACAATABSAEUAVAAgAGYAbwByACAAdABoAGUAIABhAHAAcABsAGkAYwBhAGIAbABlACAAcABlAHIAaQBvAGQAXABuAEoAUgBQAFAAIAA9ACAAagB1AHIAaQBzAGQAaQBjAHQAaQBvAG4AYQBsACAAcgBlAG4AZQB3AGEAYgBsAGUAIABwAG8AdwBlAHIAIABwAGUAcgBjAGUAbgB0AGEAZwBlACAAZgBvAHIAIAB0AGgAZQAgAGEAcABwAGwAaQBjAGEAYgBsAGUAIABwAGUAcgBpAG8AZABcAG4AUgBFAEMAXwBzAHUAcgByAGUAbgBkAGUAcgBlAGQAIAA9ACAAZQBsAGkAZwBpAGIAbABlACAAcgBlAG4AZQB3AGEAYgBsAGUAIABlAG4AZQByAGcAeQAgAGMAZQByAHQAaQBmAGkAYwBhAHQAZQBzACAAdgBvAGwAdQBuAHQAYQByAGkAbAB5ACAAcwB1AHIAcgBlAG4AZABlAHIAZQBkAFwAbgBSAEUAQwBfAG8AbgBzAGkAdABlACAAPQAgAGUAbABpAGcAaQBiAGwAZQAgAHIAZQBuAGUAdwBhAGIAbABlACAAZQBuAGUAcgBnAHkAIABjAGUAcgB0AGkAZgBpAGMAYQB0AGUAcwAgAGkAcwBzAHUAZQBkACAAZgBvAHIAIABvAG4AcwBpAHQAZQAgAGcAZQBuAGUAcgBhAHQAZQBkACAAZQBsAGUAYwB0AHIAaQBjAGkAdAB5AFwAbgBFAEYAXwBSAE0ARgAzAGUAbABlAGMAIAA9ACAAcwBjAG8AcABlACAAMwAgAHIAZQBzAGkAZAB1AGEAbAAgAG0AaQB4ACAAZQBtAGkAcwBzAGkAbwBuACAAZgBhAGMAdABvAHIAIABmAG8AcgAgAGUAbABlAGMAdAByAGkAYwBpAHQAeQBcAG4ALQAtAC0ALQAtAC0ALQAtAC0ALQAtAC0ALQAtAC0ALQAtAC0ALQAtAC0ALQAtAC0ALQAtAC0ALQAtAC0ALQAtAC0ALQAtAC0ALQAtAFwAbgAqAC8AXABuAFwAbgBWAEUARQBSAEcAXwAxADUAXwAxADIAXwAxAF8AMgBfAF8AMQBfAFUAcABzAHQAcgBlAGEAbQBQAHUAcgBjAGgAYQBzAGUAZABFAGwAZQBjAHQAcgBpAGMAaQB0AHkATQBhAHIAawBlAHQAQgBhAHMAZQBkAFwAbgAgACAAPQBMAEEATQBCAEQAQQAoAFwAbgAgACAAIAAgAFEAXwBlAGwAZQBjACwAIABSAFAAUAAsACAASgBSAFAAUAAsACAAUgBFAEMAXwBzAHUAcgByAGUAbgBkAGUAcgBlAGQALAAgAFIARQBDAF8AbwBuAHMAaQB0AGUALAAgAEUARgBfAFIATQBGADMAZQBsAGUAYwAsAFwAbgAgACAAIAAgACgAKABRAF8AZQBsAGUAYwAgACoAIAAoADEAIAAtACAAKABSAFAAUAAgACsAIABKAFIAUABQACkAKQApACAALQAgACgAKABSAEUAQwBfAHMAdQByAHIAZQBuAGQAZQByAGUAZAAgAC0AIABSAEUAQwBfAG8AbgBzAGkAdABlACkAIAAqACAAMQAwACAAXgAgAC0AMwApACkAIAAqACAARQBGAF8AUgBNAEYAMwBlAGwAZQBjACAAKgAgADEAMAAgAF4AIAAtADMAXABuACAAIAApADsAXABuAFwAbgBWAEUARQBSAEcAXwAxADUAXwAxADIAXwAxAF8AMgBfAF8AMQBfAFUAcABzAHQAcgBlAGEAbQBQAHUAcgBjAGgAYQBzAGUAZABFAGwAZQBjAHQAcgBpAGMAaQB0AHkATQBhAHIAawBlAHQAQgBhAHMAZQBkAFYAYQByAGkAYQB0AGkAbwBuAFwAbgAgACAAPQBMAEEATQBCAEQAQQAoAFwAbgAgACAAIAAgAFEAXwBlAGwAZQBjACwAIABSAFAAUAAsACAASgBSAFAAUAAsACAAUgBFAEMAXwBzAHUAcgByAGUAbgBkAGUAcgBlAGQALAAgAFIARQBDAF8AbwBuAHMAaQB0AGUALAAgAEUARgBfAFIATQBGADMAZQBsAGUAYwAsAFwAbgAgACAAIAAgACgAKABRAF8AZQBsAGUAYwAgACoAIAAoADEAIAAtACAAKABSAFAAUAAgACsAIABKAFIAUABQACkAKQApACAALQAgACgAKABSAEUAQwBfAHMAdQByAHIAZQBuAGQAZQByAGUAZAAgAC0AIABSAEUAQwBfAG8AbgBzAGkAdABlACkAIAAqACAAMQAwACAAXgAgADMAKQApACAAKgAgAEUARgBfAFIATQBGADMAZQBsAGUAYwAgACoAIAAxADAAIABeACAALQAzAFwAbgAgACAAKQA7AFwAbgBcAG4AVgBFAEUAUgBHAF8AMQA1AF8AMQAyAF8AMQBfADIAXwBfADEAXwBVAHAAcwB0AHIAZQBhAG0AUAB1AHIAYwBoAGEAcwBlAGQARQBsAGUAYwB0AHIAaQBjAGkAdAB5AE0AYQByAGsAZQB0AEIAYQBzAGUAZABfAFQAaQB0AGwAZQBcAG4AIAAgAD0ATABBAE0AQgBEAEEAKABcACIAUwBjAG8AcABlACAAMwAgAGUAbQBpAHMAcwBpAG8AbgBzACAAZgByAG8AbQAgAHAAdQByAGMAaABhAHMAZQBkACAAZQBsAGUAYwB0AHIAaQBjAGkAdAB5ACAAbQBhAHIAawBlAHQAIABiAGEAcwBlAGQAXAAiACkAOwBcAG4AXABuAFYARQBFAFIARwBfADEANQBfADEAMgBfADEAXwAyAF8AXwAxAF8AVQBwAHMAdAByAGUAYQBtAFAAdQByAGMAaABhAHMAZQBkAEUAbABlAGMAdAByAGkAYwBpAHQAeQBNAGEAcgBrAGUAdABCAGEAcwBlAGQAXwBWAGEAcgBpAGEAYgBsAGUAXABuACAAIAA9AEwAQQBNAEIARABBACgAXAAiAEUAXwAzAGUAbABlAGMAXAAiACkAOwBcAG4AXABuAFYARQBFAFIARwBfADEANQBfADEAMgBfADEAXwAyAF8AXwAxAF8AVQBwAHMAdAByAGUAYQBtAFAAdQByAGMAaABhAHMAZQBkAEUAbABlAGMAdAByAGkAYwBpAHQAeQBNAGEAcgBrAGUAdABCAGEAcwBlAGQAXwBVAG4AaQB0AFwAbgAgACAAPQBMAEEATQBCAEQAQQAoAFwAIgB0ACAAQwBPADIAZQBcACIAKQA7AFwAbgBcAG4AVgBFAEUAUgBHAF8AMQA1AF8AMQAyAF8AMQBfADIAXwBfADEAXwBVAHAAcwB0AHIAZQBhAG0AUAB1AHIAYwBoAGEAcwBlAGQARQBsAGUAYwB0AHIAaQBjAGkAdAB5AE0AYQByAGsAZQB0AEIAYQBzAGUAZABfAFMAbwB1AHIAYwBlAFwAbgAgACAAPQBMAEEATQBCAEQAQQAoAFwAIgBWAEUARQBSAEcAIAAyADAAMgA2ADoAIAAxADUALgAxADIALgAxAC4AMgAsACAARQBxAHUAYQB0AGkAbwBuACAAKAAxACkAXAAiACkAOwBcAG4AXABuAFYARQBFAFIARwBfADEANQBfADEAMgBfADEAXwAyAF8AXwAxAF8AVQBwAHMAdAByAGUAYQBtAFAAdQByAGMAaABhAHMAZQBkAEUAbABlAGMAdAByAGkAYwBpAHQAeQBNAGEAcgBrAGUAdABCAGEAcwBlAGQAXwBOAEkAUgBSAGUAZgBlAHIAZQBuAGMAZQBcAG4AIAAgAD0ATABBAE0AQgBEAEEAKABcACIAXAAiACkAOwBcAG4AXABuAFYARQBFAFIARwBfADEANQBfADEAMgBfADEAXwAyAF8AXwAxAF8AVQBwAHMAdAByAGUAYQBtAFAAdQByAGMAaABhAHMAZQBkAEUAbABlAGMAdAByAGkAYwBpAHQAeQBNAGEAcgBrAGUAdABCAGEAcwBlAGQAXwBMAGEAdABlAHgARQBxAHUAYQB0AGkAbwBuAFwAbgAgACAAPQBMAEEATQBCAEQAQQAoAFwAIgBFAF8AewAzACwAZQBsAGUAYwB9AD0AIABbACAAUQBfAHsAZQBsAGUAYwB9AFwAXAB0AGkAbQBlAHMAXABcAGwAZQBmAHQAKAAxAC0AKABSAFAAUAArAEoAUgBQAFAAKQBcAFwAcgBpAGcAaAB0ACkALQBcAFwAbABlAGYAdABcAFwAbABlAGYAdAAoACgAUgBFAEMAXwB7AHMAdQByAHIAZQBuAGQAZQByAGUAZAB9AC0AUgBFAEMAXwB7AG8AbgBzAGkAdABlAH0AXABcAHIAaQBnAGgAdAApAFwAXAB0AGkAbQBlAHMAIAAxADAAXgB7AC0AMwB9AFwAXAByAGkAZwBoAHQAKQBcAFwAcgBpAGcAaAB0AF0AXABcAHQAaQBtAGUAcwAgAEUARgBfAHsAUgBNAEYAMwAsAGUAbABlAGMAfQBcAFwAdABpAG0AZQBzACAAMQAwAF4AewAtADMAfQBcACIAKQA7AFwAbgBcAG4AVgBFAEUAUgBHAF8AMQA1AF8AMQAyAF8AMQBfADIAXwBfADEAXwBVAHAAcwB0AHIAZQBhAG0AUAB1AHIAYwBoAGEAcwBlAGQARQBsAGUAYwB0AHIAaQBjAGkAdAB5AE0AYQByAGsAZQB0AEIAYQBzAGUAZABfAEwAYQB0AGUAeABFAHEAdQBhAHQAaQBvAG4AVgBhAHIAaQBhAHQAaQBvAG4AXABuACAAIAA9AEwAQQBNAEIARABBACgAXAAiAEUAXwB7ADMALABlAGwAZQBjAH0APQAgAFsAIABRAF8AewBlAGwAZQBjAH0AXABcAHQAaQBtAGUAcwBcAFwAbABlAGYAdAAoADEALQAoAFIAUABQACsASgBSAFAAUAApAFwAXAByAGkAZwBoAHQAKQAtAFwAXABsAGUAZgB0AFwAXABsAGUAZgB0ACgAKABSAEUAQwBfAHsAcwB1AHIAcgBlAG4AZABlAHIAZQBkAH0ALQBSAEUAQwBfAHsAbwBuAHMAaQB0AGUAfQBcAFwAcgBpAGcAaAB0ACkAXABcAHQAaQBtAGUAcwAgADEAMABeAHsAMwB9AFwAXAByAGkAZwBoAHQAKQBcAFwAcgBpAGcAaAB0AF0AXABcAHQAaQBtAGUAcwAgAEUARgBfAHsAUgBNAEYAMwAsAGUAbABlAGMAfQBcAFwAdABpAG0AZQBzACAAMQAwAF4AewAtADMAfQBcACIAKQA7AFwAbgBcAG4AVgBFAEUAUgBHAF8AMQA1AF8AMQAyAF8AMQBfADIAXwBfADEAXwBVAHAAcwB0AHIAZQBhAG0AUAB1AHIAYwBoAGEAcwBlAGQARQBsAGUAYwB0AHIAaQBjAGkAdAB5AE0AYQByAGsAZQB0AEIAYQBzAGUAZABfAEEAcgBnAHUAbQBlAG4AdABzAFwAbgAgACAAPQBMAEEATQBCAEQAQQAoAFwAbgAgACAAIAAgAE0AQQBLAEUAQQBSAFIAQQBZACgANwAsACAANAAsAFwAbgAgACAAIAAgACAAIABMAEEATQBCAEQAQQAoAHIALABjACwAXABuACAAIAAgACAAIAAgACAAIABJAE4ARABFAFgAKAB7AFwAbgAgACAAIAAgACAAIAAgACAAIAAgAFwAIgBRAF8AZQBsAGUAYwBcACIALAAgAFwAIgBhAG0AbwB1AG4AdAAgAG8AZgAgAGUAbABlAGMAdAByAGkAYwBpAHQAeQAgAHAAdQByAGMAaABhAHMAZQBkACAAZgByAG8AbQAgAHQAaABlACAAZwByAGkAZABcACIALAAgAFwAIgBrAFcAaABcACIALAAgAFwAIgBJAG4AcAB1AHQAXAAiADsAXABuACAAIAAgACAAIAAgACAAIAAgACAAXAAiAFIAUABQAFwAIgAsACAAXAAiAHIAZQBuAGUAdwBhAGIAbABlACAAcABvAHcAZQByACAAcABlAHIAYwBlAG4AdABhAGcAZQAgAHUAbgBkAGUAcgAgAEwAUgBFAFQAIABmAG8AcgAgAHQAaABlACAAYQBwAHAAbABpAGMAYQBiAGwAZQAgAHAAZQByAGkAbwBkAFwAIgAsACAAXAAiAGYAcgBhAGMAdABpAG8AbgBcACIALAAgAFwAIgBJAG4AcAB1AHQAXAAiADsAXABuACAAIAAgACAAIAAgACAAIAAgACAAXAAiAEoAUgBQAFAAXAAiACwAIABcACIAagB1AHIAaQBzAGQAaQBjAHQAaQBvAG4AYQBsACAAcgBlAG4AZQB3AGEAYgBsAGUAIABwAG8AdwBlAHIAIABwAGUAcgBjAGUAbgB0AGEAZwBlACAAZgBvAHIAIAB0AGgAZQAgAGEAcABwAGwAaQBjAGEAYgBsAGUAIABwAGUAcgBpAG8AZABcACIALAAgAFwAIgBmAHIAYQBjAHQAaQBvAG4AXAAiACwAIABcACIASQBuAHAAdQB0AFwAIgA7AFwAbgAgACAAIAAgACAAIAAgACAAIAAgAFwAIgBSAEUAQwBfAHMAdQByAHIAZQBuAGQAZQByAGUAZABcACIALAAgAFwAIgBlAGwAaQBnAGkAYgBsAGUAIAByAGUAbgBlAHcAYQBiAGwAZQAgAGUAbgBlAHIAZwB5ACAAYwBlAHIAdABpAGYAaQBjAGEAdABlAHMAIAB2AG8AbAB1AG4AdABhAHIAaQBsAHkAIABzAHUAcgByAGUAbgBkAGUAcgBlAGQAXAAiACwAIABcACIATQBXAGgAXAAiACwAIABcACIASQBuAHAAdQB0AFwAIgA7AFwAbgAgACAAIAAgACAAIAAgACAAIAAgAFwAIgBSAEUAQwBfAG8AbgBzAGkAdABlAFwAIgAsACAAXAAiAGUAbABpAGcAaQBiAGwAZQAgAHIAZQBuAGUAdwBhAGIAbABlACAAZQBuAGUAcgBnAHkAIABjAGUAcgB0AGkAZgBpAGMAYQB0AGUAcwAgAGkAcwBzAHUAZQBkACAAZgBvAHIAIABvAG4AcwBpAHQAZQAgAGcAZQBuAGUAcgBhAHQAZQBkACAAZQBsAGUAYwB0AHIAaQBjAGkAdAB5AFwAIgAsACAAXAAiAE0AVwBoAFwAIgAsACAAXAAiAEkAbgBwAHUAdABcACIAOwBcAG4AIAAgACAAIAAgACAAIAAgACAAIABcACIARQBGAF8AUgBNAEYAMwBlAGwAZQBjAFwAIgAsACAAXAAiAHMAYwBvAHAAZQAgADMAIAByAGUAcwBpAGQAdQBhAGwAIABtAGkAeAAgAGUAbQBpAHMAcwBpAG8AbgAgAGYAYQBjAHQAbwByACAAZgBvAHIAIABlAGwAZQBjAHQAcgBpAGMAaQB0AHkAXAAiACwAIABcACIAawBnACAAQwBPADIAZQAvAGsAVwBoAFwAIgAsACAAXAAiAEMAbwBuAHMAdABhAG4AdABcACIAOwBcAG4AIAAgACAAIAAgACAAIAAgACAAIABcACIAaQBcACIALAAgAFwAIgBzAHQAYQB0AGUAXAAiACwAIABcACIAXAAiACwAIABcACIASQBuAHAAdQB0AFwAIgBcAG4AIAAgACAAIAAgACAAIAAgAH0ALAAgAHIALAAgAGMAKQBcAG4AIAAgACAAIAAgACAAKQBcAG4AIAAgACAAIAApAFwAbgAgACAAKQA7AFwAbgBcAG4AVgBFAEUAUgBHAF8AMQA1AF8AMQAyAF8AMQBfADIAXwBfADEAXwBVAHAAcwB0AHIAZQBhAG0AUAB1AHIAYwBoAGEAcwBlAGQARQBsAGUAYwB0AHIAaQBjAGkAdAB5AE0AYQByAGsAZQB0AEIAYQBzAGUAZABfAFYAYQByAGkAYQB0AGkAbwBuAFwAbgAgACAAPQBMAEEATQBCAEQAQQAoAFwAIgBWAEEAUgBJAEEAVABJAE8ATgAgAE8ATgAgAFMATwBVAFIAQwBFADoAIABJAG4AIABvAHIAZABlAHIAIAB0AG8AIABjAG8AbgB2AGUAcgB0ACAAbQBlAGcAYQB3AGEAdAB0ACAAaABvAHUAcgBzACAAdABvACAAawBpAGwAbwB3AGEAdAB0ACAAaABvAHUAcgBzACwAIAB0AGgAZQAgAFIARQBDAF8AcwB1AHIAcgBlAG4AZABlAHIAZQBkACAAYQBuAGQAIABSAEUAQwBfAG8AbgBzAGkAdABlACAAdgBhAHIAaQBhAGIAbABlAHMAIABhAHIAZQAgAG0AdQBsAHQAaQBwAGwAaQBlAGQAIABiAHkAIAAxADAAXgAzACAAaQBuAHMAdABlAGEAZAAgAG8AZgAgADEAMABeAC0AMwAuAFwAIgApADsAXABuAFwAbgAvACoAXABuAC0ALQAtAC0ALQAtAC0ALQAtAC0ALQAtAC0ALQAtAC0ALQAtAC0ALQAtAC0ALQAtAC0ALQAtAC0ALQAtAC0ALQAtAC0ALQAtAC0ALQBcAG4AVgBFAEUAUgBHAF8AMQA1AF8AMQAzAF8AMQBfADEAXwBfADEAXwBFAG0AaQBzAHMAaQBvAG4AcwBGAHIAbwBtAE0AYQBuAHUAcgBlAFMAZQBuAHQATwBmAGYAUwBpAHQAZQBcAG4ARQBtAGkAcwBzAGkAbwBuAHMAIABmAHIAbwBtACAAbQBhAG4AdQByAGUAIABzAGUAbgB0ACAAbwBmAGYAIABzAGkAdABlACAAYQBwAHAAbABpAGUAZAAgAHQAbwAgAHMAbwBpAGwAcwAgAGkAbgAgAGEAbgBvAHQAaABlAHIAIABmAGEAcgBtAGkAbgBnACAAcwB5AHMAdABlAG0AIABvAHIAIABlAG4AdABlAHIAcAByAGkAcwBlAFwAbgBFAFwAbgB0ACAATgAyAE8AXABuAEUAPQBFAF8AewBOADIATwB9ACsARQBfAHsAYQBkAH0AKwBFAF8AewBsAGUAYQBjAGgAfQBcAG4ARQBfAE4AMgBPACAAPQAgAGQAaQByAGUAYwB0ACAAbgBpAHQAcgBvAHUAcwAgAG8AeABpAGQAZQAgAGUAbQBpAHMAcwBpAG8AbgBzACAAZgByAG8AbQAgAGEAcABwAGwAaQBjAGEAdABpAG8AbgAgAG8AZgAgAG0AYQBuAHUAcgBlACAAdABvACAAcwBvAGkAbABzACAAbwB1AHQAcwBpAGQAZQAgAG8AZgAgAHMAYwBvAHAAZQAgADEAIABiAG8AdQBuAGQAYQByAHkAXABuAEUAXwBhAGQAIAA9ACAAbgBpAHQAcgBvAHUAcwAgAG8AeABpAGQAZQAgAGUAbQBpAHMAcwBpAG8AbgBzACAAZgByAG8AbQAgAGEAdABtAG8AcwBwAGgAZQByAGkAYwAgAGQAZQBwAG8AcwBpAHQAaQBvAG4AIABvAGYAIABtAGEAbgB1AHIAZQAgAHQAbwAgAHMAbwBpAGwAcwBcAG4ARQBfAGwAZQBhAGMAaAAgAD0AIABuAGkAdAByAG8AdQBzACAAbwB4AGkAZABlACAAZQBtAGkAcwBzAGkAbwBuAHMAIABmAHIAbwBtACAAbgBpAHQAcgBvAGcAZQBuACAAbABlAGEAYwBoAGkAbgBnACAAYQBuAGQAIAByAHUAbgBvAGYAZgAgAG8AZgAgAG0AYQBuAHUAcgBlACAAdABvACAAcwBvAGkAbABzAFwAbgAtAC0ALQAtAC0ALQAtAC0ALQAtAC0ALQAtAC0ALQAtAC0ALQAtAC0ALQAtAC0ALQAtAC0ALQAtAC0ALQAtAC0ALQAtAC0ALQAtAC0AXABuACoALwBcAG4AXABuAFYARQBFAFIARwBfADEANQBfADEAMwBfADEAXwAxAF8AXwAxAF8ARQBtAGkAcwBzAGkAbwBuAHMARgByAG8AbQBNAGEAbgB1AHIAZQBTAGUAbgB0AE8AZgBmAFMAaQB0AGUAXABuACAAIAA9AEwAQQBNAEIARABBACgAXABuACAAIAAgACAARQBfAE4AMgBPACwAIABFAF8AYQBkACwAIABFAF8AbABlAGEAYwBoACwAXABuACAAIAAgACAARQBfAE4AMgBPACAAKwAgAEUAXwBhAGQAIAArACAARQBfAGwAZQBhAGMAaABcAG4AIAAgACkAOwBcAG4AXABuAFYARQBFAFIARwBfADEANQBfADEAMwBfADEAXwAxAF8AXwAxAF8ARQBtAGkAcwBzAGkAbwBuAHMARgByAG8AbQBNAGEAbgB1AHIAZQBTAGUAbgB0AE8AZgBmAFMAaQB0AGUAXwBUAGkAdABsAGUAXABuACAAIAA9AEwAQQBNAEIARABBACgAXAAiAEUAbQBpAHMAcwBpAG8AbgBzACAAZgByAG8AbQAgAG0AYQBuAHUAcgBlACAAcwBlAG4AdAAgAG8AZgBmACAAcwBpAHQAZQAgAGEAcABwAGwAaQBlAGQAIAB0AG8AIABzAG8AaQBsAHMAIABpAG4AIABhAG4AbwB0AGgAZQByACAAZgBhAHIAbQBpAG4AZwAgAHMAeQBzAHQAZQBtACAAbwByACAAZQBuAHQAZQByAHAAcgBpAHMAZQBcACIAKQA7AFwAbgBcAG4AVgBFAEUAUgBHAF8AMQA1AF8AMQAzAF8AMQBfADEAXwBfADEAXwBFAG0AaQBzAHMAaQBvAG4AcwBGAHIAbwBtAE0AYQBuAHUAcgBlAFMAZQBuAHQATwBmAGYAUwBpAHQAZQBfAFYAYQByAGkAYQBiAGwAZQBcAG4AIAAgAD0ATABBAE0AQgBEAEEAKABcACIARQBcACIAKQA7AFwAbgBcAG4AVgBFAEUAUgBHAF8AMQA1AF8AMQAzAF8AMQBfADEAXwBfADEAXwBFAG0AaQBzAHMAaQBvAG4AcwBGAHIAbwBtAE0AYQBuAHUAcgBlAFMAZQBuAHQATwBmAGYAUwBpAHQAZQBfAFUAbgBpAHQAXABuACAAIAA9AEwAQQBNAEIARABBACgAXAAiAHQAIABOADIATwBcACIAKQA7AFwAbgBcAG4AVgBFAEUAUgBHAF8AMQA1AF8AMQAzAF8AMQBfADEAXwBfADEAXwBFAG0AaQBzAHMAaQBvAG4AcwBGAHIAbwBtAE0AYQBuAHUAcgBlAFMAZQBuAHQATwBmAGYAUwBpAHQAZQBfAFMAbwB1AHIAYwBlAFwAbgAgACAAPQBMAEEATQBCAEQAQQAoAFwAIgBWAEUARQBSAEcAIAAyADAAMgA2ADoAIAAxADUALgAxADMALgAxAC4AMQAsACAARQBxAHUAYQB0AGkAbwBuACAAKAAxACkAXAAiACkAOwBcAG4AXABuAFYARQBFAFIARwBfADEANQBfADEAMwBfADEAXwAxAF8AXwAxAF8ARQBtAGkAcwBzAGkAbwBuAHMARgByAG8AbQBNAGEAbgB1AHIAZQBTAGUAbgB0AE8AZgBmAFMAaQB0AGUAXwBOAEkAUgBSAGUAZgBlAHIAZQBuAGMAZQBcAG4AIAAgAD0ATABBAE0AQgBEAEEAKABcACIAXAAiACkAOwBcAG4AXABuAFYARQBFAFIARwBfADEANQBfADEAMwBfADEAXwAxAF8AXwAxAF8ARQBtAGkAcwBzAGkAbwBuAHMARgByAG8AbQBNAGEAbgB1AHIAZQBTAGUAbgB0AE8AZgBmAFMAaQB0AGUAXwBMAGEAdABlAHgARQBxAHUAYQB0AGkAbwBuAFwAbgAgACAAPQBMAEEATQBCAEQAQQAoAFwAIgBFAD0ARQBfAHsATgAyAE8AfQArAEUAXwB7AGEAZAB9ACsARQBfAHsAbABlAGEAYwBoAH0AXAAiACkAOwBcAG4AXABuAFYARQBFAFIARwBfADEANQBfADEAMwBfADEAXwAxAF8AXwAxAF8ARQBtAGkAcwBzAGkAbwBuAHMARgByAG8AbQBNAGEAbgB1AHIAZQBTAGUAbgB0AE8AZgBmAFMAaQB0AGUAXwBBAHIAZwB1AG0AZQBuAHQAcwBcAG4AIAAgAD0ATABBAE0AQgBEAEEAKABcAG4AIAAgACAAIABNAEEASwBFAEEAUgBSAEEAWQAoADMALAAgADQALABcAG4AIAAgACAAIAAgACAATABBAE0AQgBEAEEAKAByACwAYwAsAFwAbgAgACAAIAAgACAAIAAgACAASQBOAEQARQBYACgAewBcAG4AIAAgACAAIAAgACAAIAAgACAAIABcACIARQBfAE4AMgBPAFwAIgAsACAAXAAiAGQAaQByAGUAYwB0ACAAbgBpAHQAcgBvAHUAcwAgAG8AeABpAGQAZQAgAGUAbQBpAHMAcwBpAG8AbgBzACAAZgByAG8AbQAgAGEAcABwAGwAaQBjAGEAdABpAG8AbgAgAG8AZgAgAG0AYQBuAHUAcgBlACAAdABvACAAcwBvAGkAbABzACAAbwB1AHQAcwBpAGQAZQAgAG8AZgAgAHMAYwBvAHAAZQAgADEAIABiAG8AdQBuAGQAYQByAHkAXAAiACwAIABcACIAdAAgAE4AMgBPAFwAIgAsACAAXAAiAEMAYQBsAGMAdQBsAGEAdABlAGQAXAAiADsAXABuACAAIAAgACAAIAAgACAAIAAgACAAXAAiAEUAXwBhAGQAXAAiACwAIABcACIAbgBpAHQAcgBvAHUAcwAgAG8AeABpAGQAZQAgAGUAbQBpAHMAcwBpAG8AbgBzACAAZgByAG8AbQAgAGEAdABtAG8AcwBwAGgAZQByAGkAYwAgAGQAZQBwAG8AcwBpAHQAaQBvAG4AIABvAGYAIABtAGEAbgB1AHIAZQAgAHQAbwAgAHMAbwBpAGwAcwBcACIALAAgAFwAIgB0ACAATgAyAE8AXAAiACwAIABcACIAQwBhAGwAYwB1AGwAYQB0AGUAZABcACIAOwBcAG4AIAAgACAAIAAgACAAIAAgACAAIABcACIARQBfAGwAZQBhAGMAaABcACIALAAgAFwAIgBuAGkAdAByAG8AdQBzACAAbwB4AGkAZABlACAAZQBtAGkAcwBzAGkAbwBuAHMAIABmAHIAbwBtACAAbgBpAHQAcgBvAGcAZQBuACAAbABlAGEAYwBoAGkAbgBnACAAYQBuAGQAIAByAHUAbgBvAGYAZgAgAG8AZgAgAG0AYQBuAHUAcgBlACAAdABvACAAcwBvAGkAbABzAFwAIgAsACAAXAAiAHQAIABOADIATwBcACIALAAgAFwAIgBDAGEAbABjAHUAbABhAHQAZQBkAFwAIgBcAG4AIAAgACAAIAAgACAAIAAgAH0ALAAgAHIALAAgAGMAKQBcAG4AIAAgACAAIAAgACAAKQBcAG4AIAAgACAAIAApAFwAbgAgACAAKQA7AFwAbgBcAG4AXABuAC8AKgBcAG4ALQAtAC0ALQAtAC0ALQAtAC0ALQAtAC0ALQAtAC0ALQAtAC0ALQAtAC0ALQAtAC0ALQAtAC0ALQAtAC0ALQAtAC0ALQAtAC0ALQAtAFwAbgBWAEUARQBSAEcAXwAxADUAXwAxADMAXwAxAF8AMwBfAF8AMQBfAEUAbQBpAHMAcwBpAG8AbgBzAEYAcgBvAG0AUwBvAGwAaQBkAFcAYQBzAHQAZQBUAHIAZQBhAHQAbQBlAG4AdABGAGEAYwBpAGwAaQB0AHkAXABuAC0ALQAtAC0ALQAtAC0ALQAtAC0ALQAtAC0ALQAtAC0ALQAtAC0ALQAtAC0ALQAtAC0ALQAtAC0ALQAtAC0ALQAtAC0ALQAtAC0ALQBcAG4AKgAvAFwAbgBcAG4AVgBFAEUAUgBHAF8AMQA1AF8AMQAzAF8AMQBfADMAXwBfADEAXwBFAG0AaQBzAHMAaQBvAG4AcwBGAHIAbwBtAFMAbwBsAGkAZABXAGEAcwB0AGUAVAByAGUAYQB0AG0AZQBuAHQARgBhAGMAaQBsAGkAdAB5AFwAbgAgACAAPQBMAEEATQBCAEQAQQAoAFwAbgAgACAAIAAgAEUAXwBOADIATwAsACAARQBfAGEAZAAsACAARQBfAGwAZQBhAGMAaAAsAFwAbgAgACAAIAAgAEUAXwBOADIATwAgACsAIABFAF8AYQBkACAAKwAgAEUAXwBsAGUAYQBjAGgAXABuACAAIAApADsAXABuAFwAbgBWAEUARQBSAEcAXwAxADUAXwAxADMAXwAxAF8AMwBfAF8AMQBfAEUAbQBpAHMAcwBpAG8AbgBzAEYAcgBvAG0AUwBvAGwAaQBkAFcAYQBzAHQAZQBUAHIAZQBhAHQAbQBlAG4AdABGAGEAYwBpAGwAaQB0AHkAXwBUAGkAdABsAGUAXABuACAAIAA9AEwAQQBNAEIARABBACgAXAAiAEUAbQBpAHMAcwBpAG8AbgBzACAAZgByAG8AbQAgAHMAbwBsAGkAZAAgAHcAYQBzAHQAZQAgAHMAZQBuAHQAIAB0AG8AIABhACAAdAByAGUAYQB0AG0AZQBuAHQAIABmAGEAYwBpAGwAaQB0AHkAXAAiACkAOwBcAG4AXABuAFYARQBFAFIARwBfADEANQBfADEAMwBfADEAXwAzAF8AXwAxAF8ARQBtAGkAcwBzAGkAbwBuAHMARgByAG8AbQBTAG8AbABpAGQAVwBhAHMAdABlAFQAcgBlAGEAdABtAGUAbgB0AEYAYQBjAGkAbABpAHQAeQBfAFYAYQByAGkAYQBiAGwAZQBcAG4AIAAgAD0ATABBAE0AQgBEAEEAKABcACIARQBcACIAKQA7AFwAbgBcAG4AVgBFAEUAUgBHAF8AMQA1AF8AMQAzAF8AMQBfADMAXwBfADEAXwBFAG0AaQBzAHMAaQBvAG4AcwBGAHIAbwBtAFMAbwBsAGkAZABXAGEAcwB0AGUAVAByAGUAYQB0AG0AZQBuAHQARgBhAGMAaQBsAGkAdAB5AF8AVQBuAGkAdABcAG4AIAAgAD0ATABBAE0AQgBEAEEAKABcACIAdAAgAEMATwAyAGUAXAAiACkAOwBcAG4AXABuAFYARQBFAFIARwBfADEANQBfADEAMwBfADEAXwAzAF8AXwAxAF8ARQBtAGkAcwBzAGkAbwBuAHMARgByAG8AbQBTAG8AbABpAGQAVwBhAHMAdABlAFQAcgBlAGEAdABtAGUAbgB0AEYAYQBjAGkAbABpAHQAeQBfAFMAbwB1AHIAYwBlAFwAbgAgACAAPQBMAEEATQBCAEQAQQAoAFwAIgBWAEUARQBSAEcAIAAyADAAMgA2ADoAIAAxADUALgAxADMALgAxAC4AMwBcACIAKQA7AFwAbgBcAG4AVgBFAEUAUgBHAF8AMQA1AF8AMQAzAF8AMQBfADMAXwBfADEAXwBFAG0AaQBzAHMAaQBvAG4AcwBGAHIAbwBtAFMAbwBsAGkAZABXAGEAcwB0AGUAVAByAGUAYQB0AG0AZQBuAHQARgBhAGMAaQBsAGkAdAB5AF8ATgBJAFIAUgBlAGYAZQByAGUAbgBjAGUAXABuACAAIAA9AEwAQQBNAEIARABBACgAXAAiAFwAIgApADsAXABuAFwAbgBWAEUARQBSAEcAXwAxADUAXwAxADMAXwAxAF8AMwBfAF8AMQBfAEUAbQBpAHMAcwBpAG8AbgBzAEYAcgBvAG0AUwBvAGwAaQBkAFcAYQBzAHQAZQBUAHIAZQBhAHQAbQBlAG4AdABGAGEAYwBpAGwAaQB0AHkAXwBMAGEAdABlAHgARQBxAHUAYQB0AGkAbwBuAFwAbgAgACAAPQBMAEEATQBCAEQAQQAoAFwAIgBcACIAKQA7AFwAbgBcAG4AVgBFAEUAUgBHAF8AMQA1AF8AMQAzAF8AMQBfADMAXwBfADEAXwBFAG0AaQBzAHMAaQBvAG4AcwBGAHIAbwBtAFMAbwBsAGkAZABXAGEAcwB0AGUAVAByAGUAYQB0AG0AZQBuAHQARgBhAGMAaQBsAGkAdAB5AF8AQQByAGcAdQBtAGUAbgB0AHMAXABuACAAIAA9AEwAQQBNAEIARABBACgAXAAiAFwAIgApADsAXABuAFwAbgBcAG4ALwAqAFwAbgAtAC0ALQAtAC0ALQAtAC0ALQAtAC0ALQAtAC0ALQAtAC0ALQAtAC0ALQAtAC0ALQAtAC0ALQAtAC0ALQAtAC0ALQAtAC0ALQAtAC0AXABuAFYARQBFAFIARwBfADEANQBfADEANABfADEAXwAxAF8AXwAxAF8ARQBtAGIAZQBkAGQAZQBkAEUAbQBpAHMAcwBpAG8AbgBzAEYAcgBvAG0AVQBwAHMAdAByAGUAYQBtAEYAcgBlAGkAZwBoAHQAXABuAEUAbQBiAGUAZABkAGUAZAAgAGUAbQBpAHMAcwBpAG8AbgBzACAAZgByAG8AbQAgAHUAcABzAHQAcgBlAGEAbQAgAGYAcgBlAGkAZwBoAHQAXABuAEUAXABuAHQAIABDAE8AMgBlAFwAbgBFAD0AXABcAHMAdQBtAFwAXABuAG8AbABpAG0AaQB0AHMAXwBmAFwAXABsAGUAZgB0ACgAKABXAF8AZgBcAFwAdABpAG0AZQBzACAARABfAGYAKQBcAFwAdABpAG0AZQBzACAARQBGAF8AZgBcAFwAcgBpAGcAaAB0ACkAXABuAFcAXwBmACAAPQAgAHQAbwB0AGEAbAAgAG0AYQBzAHMAIABvAGYAIABnAG8AbwBkAHMAIAB0AHIAYQBuAHMAcABvAHIAdABlAGQAIABwAGUAcgAgAGYAcgBlAGkAZwBoAHQAIAB0AHkAcABlACAAZgBcAG4ARABfAGYAIAA9ACAAdABvAHQAYQBsACAAZABpAHMAdABhAG4AYwBlACAAdAByAGEAbgBzAHAAbwByAHQAZQBkACAAcABlAHIAIABmAHIAZQBpAGcAaAB0ACAAdAB5AHAAZQAgAGYAXABuAEUARgBfAGYAIAA9ACAAZQBtAGkAcwBzAGkAbwBuACAAZgBhAGMAdABvAHIAIABmAG8AcgAgAGYAcgBlAGkAZwBoAHQAIAB0AHkAcABlACAAZgBcAG4ALQAtAC0ALQAtAC0ALQAtAC0ALQAtAC0ALQAtAC0ALQAtAC0ALQAtAC0ALQAtAC0ALQAtAC0ALQAtAC0ALQAtAC0ALQAtAC0ALQAtAFwAbgAqAC8AXABuAFwAbgBWAEUARQBSAEcAXwAxADUAXwAxADQAXwAxAF8AMQBfAF8AMQBfAEUAbQBiAGUAZABkAGUAZABFAG0AaQBzAHMAaQBvAG4AcwBGAHIAbwBtAFUAcABzAHQAcgBlAGEAbQBGAHIAZQBpAGcAaAB0AFwAbgAgACAAPQBMAEEATQBCAEQAQQAoAFwAbgAgACAAIAAgAFcAXwBmACwAIABEAF8AZgAsACAARQBGAF8AZgAsAFwAbgAgACAAIAAgACgAVwBfAGYAIAAqACAARABfAGYAKQAgACoAIABFAEYAXwBmAFwAbgAgACAAKQA7AFwAbgBcAG4AVgBFAEUAUgBHAF8AMQA1AF8AMQA0AF8AMQBfADEAXwBfADEAXwBFAG0AYgBlAGQAZABlAGQARQBtAGkAcwBzAGkAbwBuAHMARgByAG8AbQBVAHAAcwB0AHIAZQBhAG0ARgByAGUAaQBnAGgAdABfAFQAaQB0AGwAZQBcAG4AIAAgAD0ATABBAE0AQgBEAEEAKABcACIARQBtAGIAZQBkAGQAZQBkACAAZQBtAGkAcwBzAGkAbwBuAHMAIABmAHIAbwBtACAAdQBwAHMAdAByAGUAYQBtACAAZgByAGUAaQBnAGgAdABcACIAKQA7AFwAbgBcAG4AVgBFAEUAUgBHAF8AMQA1AF8AMQA0AF8AMQBfADEAXwBfADEAXwBFAG0AYgBlAGQAZABlAGQARQBtAGkAcwBzAGkAbwBuAHMARgByAG8AbQBVAHAAcwB0AHIAZQBhAG0ARgByAGUAaQBnAGgAdABfAFYAYQByAGkAYQBiAGwAZQBcAG4AIAAgAD0ATABBAE0AQgBEAEEAKABcACIARQBcACIAKQA7AFwAbgBcAG4AVgBFAEUAUgBHAF8AMQA1AF8AMQA0AF8AMQBfADEAXwBfADEAXwBFAG0AYgBlAGQAZABlAGQARQBtAGkAcwBzAGkAbwBuAHMARgByAG8AbQBVAHAAcwB0AHIAZQBhAG0ARgByAGUAaQBnAGgAdABfAFUAbgBpAHQAXABuACAAIAA9AEwAQQBNAEIARABBACgAXAAiAHQAIABDAE8AMgBlAFwAIgApADsAXABuAFwAbgBWAEUARQBSAEcAXwAxADUAXwAxADQAXwAxAF8AMQBfAF8AMQBfAEUAbQBiAGUAZABkAGUAZABFAG0AaQBzAHMAaQBvAG4AcwBGAHIAbwBtAFUAcABzAHQAcgBlAGEAbQBGAHIAZQBpAGcAaAB0AF8AUwBvAHUAcgBjAGUAXABuACAAIAA9AEwAQQBNAEIARABBACgAXAAiAFYARQBFAFIARwAgADIAMAAyADYAOgAgADEANQAuADEANAAuADEALgAxACwAIABFAHEAdQBhAHQAaQBvAG4AIAAoADEAKQBcACIAKQA7AFwAbgBcAG4AVgBFAEUAUgBHAF8AMQA1AF8AMQA0AF8AMQBfADEAXwBfADEAXwBFAG0AYgBlAGQAZABlAGQARQBtAGkAcwBzAGkAbwBuAHMARgByAG8AbQBVAHAAcwB0AHIAZQBhAG0ARgByAGUAaQBnAGgAdABfAE4ASQBSAFIAZQBmAGUAcgBlAG4AYwBlAFwAbgAgACAAPQBMAEEATQBCAEQAQQAoAFwAIgBcACIAKQA7AFwAbgBcAG4AVgBFAEUAUgBHAF8AMQA1AF8AMQA0AF8AMQBfADEAXwBfADEAXwBFAG0AYgBlAGQAZABlAGQARQBtAGkAcwBzAGkAbwBuAHMARgByAG8AbQBVAHAAcwB0AHIAZQBhAG0ARgByAGUAaQBnAGgAdABfAEwAYQB0AGUAeABFAHEAdQBhAHQAaQBvAG4AXABuACAAIAA9AEwAQQBNAEIARABBACgAXAAiAEUAPQBcAFwAcwB1AG0AXABcAG4AbwBsAGkAbQBpAHQAcwBfAGYAXABcAGwAZQBmAHQAKAAoAFcAXwBmAFwAXAB0AGkAbQBlAHMAIABEAF8AZgApAFwAXAB0AGkAbQBlAHMAIABFAEYAXwBmAFwAXAByAGkAZwBoAHQAKQBcACIAKQA7AFwAbgBcAG4AVgBFAEUAUgBHAF8AMQA1AF8AMQA0AF8AMQBfADEAXwBfADEAXwBFAG0AYgBlAGQAZABlAGQARQBtAGkAcwBzAGkAbwBuAHMARgByAG8AbQBVAHAAcwB0AHIAZQBhAG0ARgByAGUAaQBnAGgAdABfAEEAcgBnAHUAbQBlAG4AdABzAFwAbgAgACAAPQBMAEEATQBCAEQAQQAoAFwAbgAgACAAIAAgAE0AQQBLAEUAQQBSAFIAQQBZACgANAAsACAANAAsAFwAbgAgACAAIAAgACAAIABMAEEATQBCAEQAQQAoAHIALABjACwAXABuACAAIAAgACAAIAAgACAAIABJAE4ARABFAFgAKAB7AFwAbgAgACAAIAAgACAAIAAgACAAIAAgAFwAIgBXAF8AZgBcACIALAAgAFwAIgB0AG8AdABhAGwAIABtAGEAcwBzACAAbwBmACAAZwBvAG8AZABzACAAdAByAGEAbgBzAHAAbwByAHQAZQBkACAAcABlAHIAIABmAHIAZQBpAGcAaAB0ACAAdAB5AHAAZQAgAGYAXAAiACwAIABcACIAdABcACIALAAgAFwAIgBJAG4AcAB1AHQAXAAiADsAXABuACAAIAAgACAAIAAgACAAIAAgACAAXAAiAEQAXwBmAFwAIgAsACAAXAAiAHQAbwB0AGEAbAAgAGQAaQBzAHQAYQBuAGMAZQAgAHQAcgBhAG4AcwBwAG8AcgB0AGUAZAAgAHAAZQByACAAZgByAGUAaQBnAGgAdAAgAHQAeQBwAGUAIABmAFwAIgAsACAAXAAiAGsAbQBcACIALAAgAFwAIgBJAG4AcAB1AHQAXAAiADsAXABuACAAIAAgACAAIAAgACAAIAAgACAAXAAiAEUARgBfAGYAXAAiACwAIABcACIAZQBtAGkAcwBzAGkAbwBuACAAZgBhAGMAdABvAHIAIABmAG8AcgAgAGYAcgBlAGkAZwBoAHQAIAB0AHkAcABlACAAZgBcACIALAAgAFwAIgB0ACAAQwBPADIAZQAvACgAdAAgAGsAbQApAFwAIgAsACAAXAAiAEMAbwBuAHMAdABhAG4AdABcACIAOwBcAG4AIAAgACAAIAAgACAAIAAgACAAIABcACIAZgBcACIALAAgAFwAIgBmAHIAZQBpAGcAaAB0ACAAdAB5AHAAZQBcACIALAAgAFwAIgBcACIALAAgAFwAIgBJAG4AcAB1AHQAXAAiAFwAbgAgACAAIAAgACAAIAAgACAAfQAsACAAcgAsACAAYwApAFwAbgAgACAAIAAgACAAIAApAFwAbgAgACAAIAAgACkAXABuACAAIAApADsAXABuACIAfQAsAHsAIgBwAGEAdABoACIAOgAiAC8AcAByAG8AagBlAGMAdABzAC8AUwBjAG8AcABlADMAXwBJAG4AcAB1AHQARgB1AG4AYwB0AGkAbwBuAHMAIgAsACIAdABlAHgAdAAiADoAIgBcAG4ARwBlAHQATABpAHYAZQB3AGUAaQBnAGgAdABfAFAAYQBzAHQAdQByAGUAQgBlAGUAZgBcAG4APQBMAEEATQBCAEQAQQAoAFwAbgAgACAAUAB1AHIAYwBoAGEAcwBlAEQAYQB0AGUALAAgAEwAaQB2AGUAcwB0AG8AYwBrAEMAbABhAHMAcwAsACAAUwBvAHUAcgBjAGUAUgBlAGcAaQBvAG4ALABcAG4AIAAgAFMAbwB1AHIAYwBlAFIAZQBnAGkAbwBuAEwAZQBmAHQAQQByAHIAYQB5ACwAIABTAG8AdQByAGMAZQBSAGUAZwBpAG8AbgBSAGkAZwBoAHQAQQByAHIAYQB5ACwAIABTAGUAYQBzAG8AbgBBAHIAcgBhAHkALAAgAEwAaQB2AGUAcwB0AG8AYwBrAEMAbABhAHMAcwBBAHIAcgBhAHkALAAgAEwAaQB2AGUAdwBlAGkAZwBoAHQAQQByAHIAYQB5ACwAXABuACAAIABMAEUAVAAoAFwAbgAgACAAIAAgAFMAZQBhAHMAbwBuACwAIABJAEYAUwAoAFwAbgAgACAAIAAgACAAIABNAE8ATgBUAEgAKABQAHUAcgBjAGgAYQBzAGUARABhAHQAZQApACAAPAA9ACAAMgAsACAAIABcACIAUwB1AG0AbQBlAHIAXAAiACwAXABuACAAIAAgACAAIAAgAE0ATwBOAFQASAAoAFAAdQByAGMAaABhAHMAZQBEAGEAdABlACkAIAA8AD0AIAA1ACwAIAAgAFwAIgBBAHUAdAB1AG0AbgBcACIALABcAG4AIAAgACAAIAAgACAATQBPAE4AVABIACgAUAB1AHIAYwBoAGEAcwBlAEQAYQB0AGUAKQAgADwAPQAgADgALAAgACAAXAAiAFcAaQBuAHQAZQByAFwAIgAsAFwAbgAgACAAIAAgACAAIABNAE8ATgBUAEgAKABQAHUAcgBjAGgAYQBzAGUARABhAHQAZQApACAAPAA9ACAAMQAxACwAIABcACIAUwBwAHIAaQBuAGcAXAAiACwAXABuACAAIAAgACAAIAAgAE0ATwBOAFQASAAoAFAAdQByAGMAaABhAHMAZQBEAGEAdABlACkAIAA9ACAAMQAyACwAIAAgAFwAIgBTAHUAbQBtAGUAcgBcACIAXABuACAAIAAgACAAKQAsAFwAbgAgACAAIAAgAFMAbwB1AHIAYwBlAFIAZQBnAGkAbwBuAFIAaQBnAGgAdAAsACAASQBGACgASQBTAE4AVQBNAEIARQBSACgARgBJAE4ARAAoAFwAIgAgAC0AIABcACIALAAgAFMAbwB1AHIAYwBlAFIAZQBnAGkAbwBuACkAKQAsACAATQBJAEQAKABTAG8AdQByAGMAZQBSAGUAZwBpAG8AbgAsACAARgBJAE4ARAAoAFwAIgAgAC0AIABcACIALAAgAFMAbwB1AHIAYwBlAFIAZQBnAGkAbwBuACkAIAArACAAMwAsACAATABFAE4AKABTAG8AdQByAGMAZQBSAGUAZwBpAG8AbgApACkALAAgAFwAIgBuAC8AYQBcACIAKQAsAFwAbgAgACAAIAAgAFMAbwB1AHIAYwBlAFIAZQBnAGkAbwBuAEwAZQBmAHQALAAgACAASQBGACgASQBTAE4AVQBNAEIARQBSACgARgBJAE4ARAAoAFwAIgAgAC0AIABcACIALAAgAFMAbwB1AHIAYwBlAFIAZQBnAGkAbwBuACkAKQAsACAATABFAEYAVAAoAFMAbwB1AHIAYwBlAFIAZQBnAGkAbwBuACwAIABGAEkATgBEACgAXAAiACAALQAgAFwAIgAsACAAUwBvAHUAcgBjAGUAUgBlAGcAaQBvAG4AKQAgAC0AIAAxACkALAAgAFMAbwB1AHIAYwBlAFIAZQBnAGkAbwBuACkALABcAG4AIAAgACAAIABJAEYARQBSAFIATwBSACgAXABuACAAIAAgACAAIAAgAFgATABPAE8ASwBVAFAAKAAxACwAXABuACAAIAAgACAAIAAgACAAIAAoAFMAbwB1AHIAYwBlAFIAZQBnAGkAbwBuAEwAZQBmAHQAQQByAHIAYQB5ACAAPQAgAFMAbwB1AHIAYwBlAFIAZQBnAGkAbwBuAEwAZQBmAHQAKQAgACoAIAAoAFMAbwB1AHIAYwBlAFIAZQBnAGkAbwBuAFIAaQBnAGgAdABBAHIAcgBhAHkAIAA9ACAAUwBvAHUAcgBjAGUAUgBlAGcAaQBvAG4AUgBpAGcAaAB0ACkAIAAqACAAKABTAGUAYQBzAG8AbgBBAHIAcgBhAHkAIAA9ACAAUwBlAGEAcwBvAG4AKQAsAFwAbgAgACAAIAAgACAAIAAgACAAWABMAE8ATwBLAFUAUAAoAEwAaQB2AGUAcwB0AG8AYwBrAEMAbABhAHMAcwAsACAATABpAHYAZQBzAHQAbwBjAGsAQwBsAGEAcwBzAEEAcgByAGEAeQAsACAATABpAHYAZQB3AGUAaQBnAGgAdABBAHIAcgBhAHkALAAgADAAKQAsAFwAbgAgACAAIAAgACAAIAAwACkALABcAG4AIAAgACAAIAAwACkAXABuACAAIAApAFwAbgApADsAIgB9ACwAewAiAHAAYQB0AGgAIgA6ACIALwBwAHIAbwBqAGUAYwB0AHMALwBTAGMAbwBwAGUAMwBfAFMAbwB1AHIAYwBlAEQAYQB0AGEAIgAsACIAdABlAHgAdAAiADoAIgBcAG4ALwAqAFwAbgA9AD0APQA9AD0APQA9AD0APQA9AD0APQA9AD0APQA9AD0APQA9AD0APQA9AD0APQA9AD0APQA9AD0APQA9AD0APQA9AD0APQA9AD0APQA9AD0APQA9AD0APQA9AD0APQA9AD0APQA9AD0APQA9AD0APQA9AD0APQA9AD0APQA9AD0APQA9AD0APQA9AD0APQA9AD0APQA9AFwAbgBBAG4AaQBtAGEAbABzAFwAbgA9AD0APQA9AD0APQA9AD0APQA9AD0APQA9AD0APQA9AD0APQA9AD0APQA9AD0APQA9AD0APQA9AD0APQA9AD0APQA9AD0APQA9AD0APQA9AD0APQA9AD0APQA9AD0APQA9AD0APQA9AD0APQA9AD0APQA9AD0APQA9AD0APQA9AD0APQA9AD0APQA9AD0APQA9AD0APQA9AFwAbgAqAC8AXABuAFwAbgBTAGMAbwBwAGUAMwBfAEwAaQB2AGUAcwB0AG8AYwBrAF8AVABpAHQAbABlAFwAbgA9AEwAQQBNAEIARABBACgAKABcACIATABpAHYAZQBzAHQAbwBjAGsAIABzAGMAbwBwAGUAIAAzAFwAIgApACkAOwBcAG4AXABuAFMAYwBvAHAAZQAzAF8ATABpAHYAZQBzAHQAbwBjAGs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MAGkAdgBlAHMAdABvAGMAawBfAFYAYQByAGkAYQB0AGkAbwBuAFwAbgA9AEwAQQBNAEIARABBACgAKABcACIAXAAiACkAKQA7AFwAbgBcAG4AUwBjAG8AcABlADMAXwBMAGkAdgBlAHMAdABvAGMAawBfAEQAYQB0AGEAXABuAD0ATABBAE0AQgBEAEEAKABcAG4AIAAgAE0AQQBLAEUAQQBSAFIAQQBZACgANAAy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QQBuAGkAbQBhAGwAcwBcACIALAAgAFwAIgBCAGUAZQBmACAAYwBhAHQAdABsAGUAXAAiACwAIABcACIAQwBhAHQAdABsAGUALAAgAGYAbwByACAAbQBhAG4AdQBmAGEAYwB0AHUAcgBpAG4AZwAgAGIAZQBlAGYAXAAiACwAIABcACIAQQB1AHMAdAByAGEAbABpAGEAXAAiACwAIABcACIAawBnACAAbABpAHYAZQB3AGUAaQBnAGgAdABcACIALAAgADEAMQAsACAAXAAiAGEAdAAgAG0AYQByAGsAZQB0AFwAIgA7AFwAbgAgACAAIAAgACAAIAAgACAAXAAiAEEAbgBpAG0AYQBsAHMAXAAiACwAIABcACIAQgBlAGUAZgAgAGMAYQB0AHQAbABlAFwAIgAsACAAXAAiAEMAYQB0AHQAbABlACwAIABmAG8AcgAgAG0AYQBuAHUAZgBhAGMAdAB1AHIAaQBuAGcAIABiAGUAZQBmAFwAIgAsACAAXAAiAE4AUwBXAFwAIgAsACAAXAAiAGsAZwAgAGwAaQB2AGUAdwBlAGkAZwBoAHQAXAAiACwAIAA4AC4AMgAxACwAIABcACIAYQB0ACAAbQBhAHIAawBlAHQAXAAiADsAXABuACAAIAAgACAAIAAgACAAIABcACIAQQBuAGkAbQBhAGwAcwBcACIALAAgAFwAIgBCAGUAZQBmACAAYwBhAHQAdABsAGUAXAAiACwAIABcACIAQwBhAHQAdABsAGUALAAgAGYAbwByACAAbQBhAG4AdQBmAGEAYwB0AHUAcgBpAG4AZwAgAGIAZQBlAGYAXAAiACwAIABcACIATgBUAFwAIgAsACAAXAAiAGsAZwAgAGwAaQB2AGUAdwBlAGkAZwBoAHQAXAAiACwAIAAxADIALgAyACwAIABcACIAYQB0ACAAbQBhAHIAawBlAHQAXAAiADsAXABuACAAIAAgACAAIAAgACAAIABcACIAQQBuAGkAbQBhAGwAcwBcACIALAAgAFwAIgBCAGUAZQBmACAAYwBhAHQAdABsAGUAXAAiACwAIABcACIAQwBhAHQAdABsAGUALAAgAGYAbwByACAAbQBhAG4AdQBmAGEAYwB0AHUAcgBpAG4AZwAgAGIAZQBlAGYAXAAiACwAIABcACIAUQBMAEQAXAAiACwAIABcACIAawBnACAAbABpAHYAZQB3AGUAaQBnAGgAdABcACIALAAgADEAMAAuADkALAAgAFwAIgBhAHQAIABtAGEAcgBrAGUAdABcACIAOwBcAG4AIAAgACAAIAAgACAAIAAgAFwAIgBBAG4AaQBtAGEAbABzAFwAIgAsACAAXAAiAEIAZQBlAGYAIABjAGEAdAB0AGwAZQBcACIALAAgAFwAIgBDAGEAdAB0AGwAZQAsACAAZgBvAHIAIABtAGEAbgB1AGYAYQBjAHQAdQByAGkAbgBnACAAYgBlAGUAZgBcACIALAAgAFwAIgBTAEEAXAAiACwAIABcACIAawBnACAAbABpAHYAZQB3AGUAaQBnAGgAdABcACIALAAgADcALgA2ADMALAAgAFwAIgBhAHQAIABtAGEAcgBrAGUAdABcACIAOwBcAG4AIAAgACAAIAAgACAAIAAgAFwAIgBBAG4AaQBtAGEAbABzAFwAIgAsACAAXAAiAEIAZQBlAGYAIABjAGEAdAB0AGwAZQBcACIALAAgAFwAIgBDAGEAdAB0AGwAZQAsACAAZgBvAHIAIABtAGEAbgB1AGYAYQBjAHQAdQByAGkAbgBnACAAYgBlAGUAZgBcACIALAAgAFwAIgBUAEEAUwBcACIALAAgAFwAIgBrAGcAIABsAGkAdgBlAHcAZQBpAGcAaAB0AFwAIgAsACAAOAAuADcANQAsACAAXAAiAGEAdAAgAG0AYQByAGsAZQB0AFwAIgA7AFwAbgAgACAAIAAgACAAIAAgACAAXAAiAEEAbgBpAG0AYQBsAHMAXAAiACwAIABcACIAQgBlAGUAZgAgAGMAYQB0AHQAbABlAFwAIgAsACAAXAAiAEMAYQB0AHQAbABlACwAIABmAG8AcgAgAG0AYQBuAHUAZgBhAGMAdAB1AHIAaQBuAGcAIABiAGUAZQBmAFwAIgAsACAAXAAiAFYASQBDAFwAIgAsACAAXAAiAGsAZwAgAGwAaQB2AGUAdwBlAGkAZwBoAHQAXAAiACwAIAA4AC4AMQA3ACwAIABcACIAYQB0ACAAbQBhAHIAawBlAHQAXAAiADsAXABuACAAIAAgACAAIAAgACAAIABcACIAQQBuAGkAbQBhAGwAcwBcACIALAAgAFwAIgBCAGUAZQBmACAAYwBhAHQAdABsAGUAXAAiACwAIABcACIAQwBhAHQAdABsAGUALAAgAGYAbwByACAAbQBhAG4AdQBmAGEAYwB0AHUAcgBpAG4AZwAgAGIAZQBlAGYAXAAiACwAIABcACIAVwBBAFwAIgAsACAAXAAiAGsAZwAgAGwAaQB2AGUAdwBlAGkAZwBoAHQAXAAiACwAIAAxADMALgAxACwAIABcACIAYQB0ACAAbQBhAHIAawBlAHQAXAAiADsAXABuACAAIAAgACAAIAAgACAAIABcACIAQQBuAGkAbQBhAGwAcwBcACIALAAgAFwAIgBCAGUAZQBmACAAYwBhAHQAdABsAGUAXAAiACwAIABcACIAQwBhAHQAdABsAGUALAAgAGYAbwByACAAcAByAGkAbQBlACAAYgBlAGUAZgBcACIALAAgAFwAIgBBAHUAcwB0AHIAYQBsAGkAYQBcACIALAAgAFwAIgBrAGcAIABsAGkAdgBlAHcAZQBpAGcAaAB0AFwAIgAsACAAMQA0AC4ANQAsACAAXAAiAGEAdAAgAG0AYQByAGsAZQB0AFwAIgA7AFwAbgAgACAAIAAgACAAIAAgACAAXAAiAEEAbgBpAG0AYQBsAHMAXAAiACwAIABcACIAQgBlAGUAZgAgAGMAYQB0AHQAbABlAFwAIgAsACAAXAAiAEMAYQB0AHQAbABlACwAIABmAG8AcgAgAHAAcgBpAG0AZQAgAGIAZQBlAGYAXAAiACwAIABcACIATgBTAFcAXAAiACwAIABcACIAawBnACAAbABpAHYAZQB3AGUAaQBnAGgAdABcACIALAAgADEAMQAuADMALAAgAFwAIgBhAHQAIABtAGEAcgBrAGUAdABcACIAOwBcAG4AIAAgACAAIAAgACAAIAAgAFwAIgBBAG4AaQBtAGEAbABzAFwAIgAsACAAXAAiAEIAZQBlAGYAIABjAGEAdAB0AGwAZQBcACIALAAgAFwAIgBDAGEAdAB0AGwAZQAsACAAZgBvAHIAIABwAHIAaQBtAGUAIABiAGUAZQBmAFwAIgAsACAAXAAiAE4AVABcACIALAAgAFwAIgBrAGcAIABsAGkAdgBlAHcAZQBpAGcAaAB0AFwAIgAsACAAMQA4AC4AOQAsACAAXAAiAGEAdAAgAG0AYQByAGsAZQB0AFwAIgA7AFwAbgAgACAAIAAgACAAIAAgACAAXAAiAEEAbgBpAG0AYQBsAHMAXAAiACwAIABcACIAQgBlAGUAZgAgAGMAYQB0AHQAbABlAFwAIgAsACAAXAAiAEMAYQB0AHQAbABlACwAIABmAG8AcgAgAHAAcgBpAG0AZQAgAGIAZQBlAGYAXAAiACwAIABcACIAUQBMAEQAXAAiACwAIABcACIAawBnACAAbABpAHYAZQB3AGUAaQBnAGgAdABcACIALAAgADEAMwAuADkALAAgAFwAIgBhAHQAIABtAGEAcgBrAGUAdABcACIAOwBcAG4AIAAgACAAIAAgACAAIAAgAFwAIgBBAG4AaQBtAGEAbABzAFwAIgAsACAAXAAiAEIAZQBlAGYAIABjAGEAdAB0AGwAZQBcACIALAAgAFwAIgBDAGEAdAB0AGwAZQAsACAAZgBvAHIAIABwAHIAaQBtAGUAIABiAGUAZQBmAFwAIgAsACAAXAAiAFMAQQBcACIALAAgAFwAIgBrAGcAIABsAGkAdgBlAHcAZQBpAGcAaAB0AFwAIgAsACAAMQAyAC4AMwAsACAAXAAiAGEAdAAgAG0AYQByAGsAZQB0AFwAIgA7AFwAbgAgACAAIAAgACAAIAAgACAAXAAiAEEAbgBpAG0AYQBsAHMAXAAiACwAIABcACIAQgBlAGUAZgAgAGMAYQB0AHQAbABlAFwAIgAsACAAXAAiAEMAYQB0AHQAbABlACwAIABmAG8AcgAgAHAAcgBpAG0AZQAgAGIAZQBlAGYAXAAiACwAIABcACIAVABBAFMAXAAiACwAIABcACIAawBnACAAbABpAHYAZQB3AGUAaQBnAGgAdABcACIALAAgADEAMQAuADUALAAgAFwAIgBhAHQAIABtAGEAcgBrAGUAdABcACIAOwBcAG4AIAAgACAAIAAgACAAIAAgAFwAIgBBAG4AaQBtAGEAbABzAFwAIgAsACAAXAAiAEIAZQBlAGYAIABjAGEAdAB0AGwAZQBcACIALAAgAFwAIgBDAGEAdAB0AGwAZQAsACAAZgBvAHIAIABwAHIAaQBtAGUAIABiAGUAZQBmAFwAIgAsACAAXAAiAFYASQBDAFwAIgAsACAAXAAiAGsAZwAgAGwAaQB2AGUAdwBlAGkAZwBoAHQAXAAiACwAIAAxADEALgA1ACwAIABcACIAYQB0ACAAbQBhAHIAawBlAHQAXAAiADsAXABuACAAIAAgACAAIAAgACAAIABcACIAQQBuAGkAbQBhAGwAcwBcACIALAAgAFwAIgBCAGUAZQBmACAAYwBhAHQAdABsAGUAXAAiACwAIABcACIAQwBhAHQAdABsAGUALAAgAGYAbwByACAAcAByAGkAbQBlACAAYgBlAGUAZgBcACIALAAgAFwAIgBXAEEAXAAiACwAIABcACIAawBnACAAbABpAHYAZQB3AGUAaQBnAGgAdABcACIALAAgADIAMAAuADgALAAgAFwAIgBhAHQAIABtAGEAcgBrAGUAdABcACIAOwBcAG4AIAAgACAAIAAgACAAIAAgAFwAIgBBAG4AaQBtAGEAbABzAFwAIgAsACAAXAAiAEIAZQBlAGYAIABjAGEAdAB0AGwAZQBcACIALAAgAFwAIgBDAGEAdAB0AGwAZQAsACAAdwBlAGEAbgBlAHIAcwBcACIALAAgAFwAIgBBAHUAcwB0AHIAYQBsAGkAYQBcACIALAAgAFwAIgBrAGcAIABsAGkAdgBlAHcAZQBpAGcAaAB0AFwAIgAsACAAMQA1AC4ANQAsACAAXAAiAGEAdAAgAG0AYQByAGsAZQB0AFwAIgA7AFwAbgAgACAAIAAgACAAIAAgACAAXAAiAEEAbgBpAG0AYQBsAHMAXAAiACwAIABcACIAQgBlAGUAZgAgAGMAYQB0AHQAbABlAFwAIgAsACAAXAAiAEMAYQB0AHQAbABlACwAIAB3AGUAYQBuAGUAcgBzAFwAIgAsACAAXAAiAE4AUwBXAFwAIgAsACAAXAAiAGsAZwAgAGwAaQB2AGUAdwBlAGkAZwBoAHQAXAAiACwAIAAxADIALgA3ACwAIABcACIAYQB0ACAAbQBhAHIAawBlAHQAXAAiADsAXABuACAAIAAgACAAIAAgACAAIABcACIAQQBuAGkAbQBhAGwAcwBcACIALAAgAFwAIgBCAGUAZQBmACAAYwBhAHQAdABsAGUAXAAiACwAIABcACIAQwBhAHQAdABsAGUALAAgAHcAZQBhAG4AZQByAHMAXAAiACwAIABcACIATgBUAFwAIgAsACAAXAAiAGsAZwAgAGwAaQB2AGUAdwBlAGkAZwBoAHQAXAAiACwAIAAxADkALgAxACwAIABcACIAYQB0ACAAbQBhAHIAawBlAHQAXAAiADsAXABuACAAIAAgACAAIAAgACAAIABcACIAQQBuAGkAbQBhAGwAcwBcACIALAAgAFwAIgBCAGUAZQBmACAAYwBhAHQAdABsAGUAXAAiACwAIABcACIAQwBhAHQAdABsAGUALAAgAHcAZQBhAG4AZQByAHMAXAAiACwAIABcACIAUQBMAEQAXAAiACwAIABcACIAawBnACAAbABpAHYAZQB3AGUAaQBnAGgAdABcACIALAAgADIAMAAuADUALAAgAFwAIgBhAHQAIABtAGEAcgBrAGUAdABcACIAOwBcAG4AIAAgACAAIAAgACAAIAAgAFwAIgBBAG4AaQBtAGEAbABzAFwAIgAsACAAXAAiAEIAZQBlAGYAIABjAGEAdAB0AGwAZQBcACIALAAgAFwAIgBDAGEAdAB0AGwAZQAsACAAdwBlAGEAbgBlAHIAcwBcACIALAAgAFwAIgBTAEEAXAAiACwAIABcACIAawBnACAAbABpAHYAZQB3AGUAaQBnAGgAdABcACIALAAgADEAMAAuADgALAAgAFwAIgBhAHQAIABtAGEAcgBrAGUAdABcACIAOwBcAG4AIAAgACAAIAAgACAAIAAgAFwAIgBBAG4AaQBtAGEAbABzAFwAIgAsACAAXAAiAEIAZQBlAGYAIABjAGEAdAB0AGwAZQBcACIALAAgAFwAIgBDAGEAdAB0AGwAZQAsACAAdwBlAGEAbgBlAHIAcwBcACIALAAgAFwAIgBUAEEAUwBcACIALAAgAFwAIgBrAGcAIABsAGkAdgBlAHcAZQBpAGcAaAB0AFwAIgAsACAAMQAzAC4ANAAsACAAXAAiAGEAdAAgAG0AYQByAGsAZQB0AFwAIgA7AFwAbgAgACAAIAAgACAAIAAgACAAXAAiAEEAbgBpAG0AYQBsAHMAXAAiACwAIABcACIAQgBlAGUAZgAgAGMAYQB0AHQAbABlAFwAIgAsACAAXAAiAEMAYQB0AHQAbABlACwAIAB3AGUAYQBuAGUAcgBzAFwAIgAsACAAXAAiAFYASQBDAFwAIgAsACAAXAAiAGsAZwAgAGwAaQB2AGUAdwBlAGkAZwBoAHQAXAAiACwAIAAxADIALAAgAFwAIgBhAHQAIABtAGEAcgBrAGUAdABcACIAOwBcAG4AIAAgACAAIAAgACAAIAAgAFwAIgBBAG4AaQBtAGEAbABzAFwAIgAsACAAXAAiAEIAZQBlAGYAIABjAGEAdAB0AGwAZQBcACIALAAgAFwAIgBDAGEAdAB0AGwAZQAsACAAdwBlAGEAbgBlAHIAcwBcACIALAAgAFwAIgBXAEEAXAAiACwAIABcACIAawBnACAAbABpAHYAZQB3AGUAaQBnAGgAdABcACIALAAgADEAMgAuADQALAAgAFwAIgBhAHQAIABtAGEAcgBrAGUAdABcACIAOwBcAG4AIAAgACAAIAAgACAAIAAgAFwAIgBBAG4AaQBtAGEAbABzAFwAIgAsACAAXAAiAEMAaABpAGMAawBlAG4AcwBcACIALAAgAFwAIgBDAGgAaQBjAGsAZQBuAHMAXAAiACwAIABcACIAQQB1AHMAdAByAGEAbABpAGEAXAAiACwAIABcACIAawBnACAAbABpAHYAZQB3AGUAaQBnAGgAdABcACIALAAgADEALgAzADYALAAgAFwAIgBhAHQAIABtAGEAcgBrAGUAdABcACIAOwBcAG4AIAAgACAAIAAgACAAIAAgAFwAIgBBAG4AaQBtAGEAbABzAFwAIgAsACAAXAAiAEQAYQBpAHIAeQAgAGMAYQB0AHQAbABlAFwAIgAsACAAXAAiAEQAYQBpAHIAeQAgAGMAbwB3AHMAXAAiACwAIABcACIAVgBJAEMAXAAiACwAIABcACIAawBnACAAbABpAHYAZQB3AGUAaQBnAGgAdABcACIALAAgADQALgA0ADEALAAgAFwAIgBhAHQAIABtAGEAcgBrAGUAdABcACIAOwBcAG4AIAAgACAAIAAgACAAIAAgAFwAIgBBAG4AaQBtAGEAbABzAFwAIgAsACAAXAAiAFAAaQBnAHMAXAAiACwAIABcACIAUABpAGcAcwBcACIALAAgAFwAIgBBAHUAcwB0AHIAYQBsAGkAYQBcACIALAAgAFwAIgBrAGcAIABsAGkAdgBlAHcAZQBpAGcAaAB0AFwAIgAsACAAMwAuADMAOAAsACAAXAAiAGEAdAAgAG0AYQByAGsAZQB0AFwAIgA7AFwAbgAgACAAIAAgACAAIAAgACAAXAAiAEEAbgBpAG0AYQBsAHMAXAAiACwAIABcACIAUwBoAGUAZQBwAFwAIgAsACAAXAAiAFMAaABlAGUAcAAsACAAZgBvAHIAIABtAHUAdAB0AG8AbgBcACIALAAgAFwAIgBBAHUAcwB0AHIAYQBsAGkAYQBcACIALAAgAFwAIgBrAGcAIABsAGkAdgBlAHcAZQBpAGcAaAB0AFwAIgAsACAANgAuADgAMQAsACAAXAAiAGEAdAAgAG0AYQByAGsAZQB0AFwAIgA7AFwAbgAgACAAIAAgACAAIAAgACAAXAAiAEEAbgBpAG0AYQBsAHMAXAAiACwAIABcACIAUwBoAGUAZQBwAFwAIgAsACAAXAAiAFMAaABlAGUAcAAsACAAZgBvAHIAIABtAHUAdAB0AG8AbgBcACIALAAgAFwAIgBOAFMAVwBcACIALAAgAFwAIgBrAGcAIABsAGkAdgBlAHcAZQBpAGcAaAB0AFwAIgAsACAAMgAuADIANgAsACAAXAAiAGEAdAAgAG0AYQByAGsAZQB0AFwAIgA7AFwAbgAgACAAIAAgACAAIAAgACAAXAAiAEEAbgBpAG0AYQBsAHMAXAAiACwAIABcACIAUwBoAGUAZQBwAFwAIgAsACAAXAAiAFMAaABlAGUAcAAsACAAZgBvAHIAIABtAHUAdAB0AG8AbgBcACIALAAgAFwAIgBRAEwARABcACIALAAgAFwAIgBrAGcAIABsAGkAdgBlAHcAZQBpAGcAaAB0AFwAIgAsACAANgAuADMAMwAsACAAXAAiAGEAdAAgAG0AYQByAGsAZQB0AFwAIgA7AFwAbgAgACAAIAAgACAAIAAgACAAXAAiAEEAbgBpAG0AYQBsAHMAXAAiACwAIABcACIAUwBoAGUAZQBwAFwAIgAsACAAXAAiAFMAaABlAGUAcAAsACAAZgBvAHIAIABtAHUAdAB0AG8AbgBcACIALAAgAFwAIgBTAEEAXAAiACwAIABcACIAawBnACAAbABpAHYAZQB3AGUAaQBnAGgAdABcACIALAAgADYALgAxADgALAAgAFwAIgBhAHQAIABtAGEAcgBrAGUAdABcACIAOwBcAG4AIAAgACAAIAAgACAAIAAgAFwAIgBBAG4AaQBtAGEAbABzAFwAIgAsACAAXAAiAFMAaABlAGUAcABcACIALAAgAFwAIgBTAGgAZQBlAHAALAAgAGYAbwByACAAbQB1AHQAdABvAG4AXAAiACwAIABcACIAVABBAFMAXAAiACwAIABcACIAawBnACAAbABpAHYAZQB3AGUAaQBnAGgAdABcACIALAAgADcALgA1ACwAIABcACIAYQB0ACAAbQBhAHIAawBlAHQAXAAiADsAXABuACAAIAAgACAAIAAgACAAIABcACIAQQBuAGkAbQBhAGwAcwBcACIALAAgAFwAIgBTAGgAZQBlAHAAXAAiACwAIABcACIAUwBoAGUAZQBwACwAIABmAG8AcgAgAG0AdQB0AHQAbwBuAFwAIgAsACAAXAAiAFYASQBDAFwAIgAsACAAXAAiAGsAZwAgAGwAaQB2AGUAdwBlAGkAZwBoAHQAXAAiACwAIAA4AC4AMAA4ACwAIABcACIAYQB0ACAAbQBhAHIAawBlAHQAXAAiADsAXABuACAAIAAgACAAIAAgACAAIABcACIAQQBuAGkAbQBhAGwAcwBcACIALAAgAFwAIgBTAGgAZQBlAHAAXAAiACwAIABcACIAUwBoAGUAZQBwACwAIABmAG8AcgAgAG0AdQB0AHQAbwBuAFwAIgAsACAAXAAiAFcAQQBcACIALAAgAFwAIgBrAGcAIABsAGkAdgBlAHcAZQBpAGcAaAB0AFwAIgAsACAANQAuADQANQAsACAAXAAiAGEAdAAgAG0AYQByAGsAZQB0AFwAIgA7AFwAbgAgACAAIAAgACAAIAAgACAAXAAiAEEAbgBpAG0AYQBsAHMAXAAiACwAIABcACIAUwBoAGUAZQBwAFwAIgAsACAAXAAiAFMAaABlAGUAcAAsACAAZgBvAHIAIABwAHIAaQBtAGUAIABsAGEAbQBiAFwAIgAsACAAXAAiAEEAdQBzAHQAcgBhAGwAaQBhAFwAIgAsACAAXAAiAGsAZwAgAGwAaQB2AGUAdwBlAGkAZwBoAHQAXAAiACwAIAA3AC4AMQA1ACwAIABcACIAYQB0ACAAbQBhAHIAawBlAHQAXAAiADsAXABuACAAIAAgACAAIAAgACAAIABcACIAQQBuAGkAbQBhAGwAcwBcACIALAAgAFwAIgBTAGgAZQBlAHAAXAAiACwAIABcACIAUwBoAGUAZQBwACwAIABmAG8AcgAgAHAAcgBpAG0AZQAgAGwAYQBtAGIAXAAiACwAIABcACIATgBTAFcAXAAiACwAIABcACIAawBnACAAbABpAHYAZQB3AGUAaQBnAGgAdABcACIALAAgADgALgAyADkALAAgAFwAIgBhAHQAIABtAGEAcgBrAGUAdABcACIAOwBcAG4AIAAgACAAIAAgACAAIAAgAFwAIgBBAG4AaQBtAGEAbABzAFwAIgAsACAAXAAiAFMAaABlAGUAcABcACIALAAgAFwAIgBTAGgAZQBlAHAALAAgAGYAbwByACAAcAByAGkAbQBlACAAbABhAG0AYgBcACIALAAgAFwAIgBRAEwARABcACIALAAgAFwAIgBrAGcAIABsAGkAdgBlAHcAZQBpAGcAaAB0AFwAIgAsACAANgAuADMAOQAsACAAXAAiAGEAdAAgAG0AYQByAGsAZQB0AFwAIgA7AFwAbgAgACAAIAAgACAAIAAgACAAXAAiAEEAbgBpAG0AYQBsAHMAXAAiACwAIABcACIAUwBoAGUAZQBwAFwAIgAsACAAXAAiAFMAaABlAGUAcAAsACAAZgBvAHIAIABwAHIAaQBtAGUAIABsAGEAbQBiAFwAIgAsACAAXAAiAFMAQQBcACIALAAgAFwAIgBrAGcAIABsAGkAdgBlAHcAZQBpAGcAaAB0AFwAIgAsACAANgAuADgANwAsACAAXAAiAGEAdAAgAG0AYQByAGsAZQB0AFwAIgA7AFwAbgAgACAAIAAgACAAIAAgACAAXAAiAEEAbgBpAG0AYQBsAHMAXAAiACwAIABcACIAUwBoAGUAZQBwAFwAIgAsACAAXAAiAFMAaABlAGUAcAAsACAAZgBvAHIAIABwAHIAaQBtAGUAIABsAGEAbQBiAFwAIgAsACAAXAAiAFQAQQBTAFwAIgAsACAAXAAiAGsAZwAgAGwAaQB2AGUAdwBlAGkAZwBoAHQAXAAiACwAIAA4AC4ANgA2ACwAIABcACIAYQB0ACAAbQBhAHIAawBlAHQAXAAiADsAXABuACAAIAAgACAAIAAgACAAIABcACIAQQBuAGkAbQBhAGwAcwBcACIALAAgAFwAIgBTAGgAZQBlAHAAXAAiACwAIABcACIAUwBoAGUAZQBwACwAIABmAG8AcgAgAHAAcgBpAG0AZQAgAGwAYQBtAGIAXAAiACwAIABcACIAVgBJAEMAXAAiACwAIABcACIAawBnACAAbABpAHYAZQB3AGUAaQBnAGgAdABcACIALAAgADEAMAAsACAAXAAiAGEAdAAgAG0AYQByAGsAZQB0AFwAIgA7AFwAbgAgACAAIAAgACAAIAAgACAAXAAiAEEAbgBpAG0AYQBsAHMAXAAiACwAIABcACIAUwBoAGUAZQBwAFwAIgAsACAAXAAiAFMAaABlAGUAcAAsACAAZgBvAHIAIABwAHIAaQBtAGUAIABsAGEAbQBiAFwAIgAsACAAXAAiAFcAQQBcACIALAAgAFwAIgBrAGcAIABsAGkAdgBlAHcAZQBpAGcAaAB0AFwAIgAsACAANQAuADYANw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QwBoAGUAbQBpAGMAYQBsAHMAXABuAD0APQA9AD0APQA9AD0APQA9AD0APQA9AD0APQA9AD0APQA9AD0APQA9AD0APQA9AD0APQA9AD0APQA9AD0APQA9AD0APQA9AD0APQA9AD0APQA9AD0APQA9AD0APQA9AD0APQA9AD0APQA9AD0APQA9AD0APQA9AD0APQA9AD0APQA9AD0APQA9AD0APQA9AD0APQA9AD0AXABuACoALwBcAG4AXABuAFMAYwBvAHAAZQAzAF8AQwBoAGUAbQBpAGMAYQBsAHMAXwBUAGkAdABsAGUAXABuAD0ATABBAE0AQgBEAEEAKAAoAFwAIgBDAGgAZQBtAGkAYwBhAGwAcwAgAHMAYwBvAHAAZQAgADMAXAAiACkAKQA7AFwAbgBcAG4AUwBjAG8AcABlADMAXwBDAGgAZQBtAGkAYwBhAGwAc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MAaABlAG0AaQBjAGEAbABzAF8AVgBhAHIAaQBhAHQAaQBvAG4AXABuAD0ATABBAE0AQgBEAEEAKAAoAFwAIgBcACIAKQApADsAXABuAFwAbgBTAGMAbwBwAGUAMwBfAEMAaABlAG0AaQBjAGEAbABzAF8ARABhAHQAYQBcAG4APQBMAEEATQBCAEQAQQAoAFwAbgAgACAATQBBAEsARQBBAFIAUgBBAFkAKAA4ACwAIAA3ACwAXABuACAAIAAgACAATABBAE0AQgBEAEEAKAByACwAYwAsAFwAbgAgACAAIAAgACAAIABJAE4ARABFAFgAKAB7AFwAbgAgACAAIAAgACAAIAAgACAAXAAiAEMAYQB0AGUAZwBvAHIAeQBcACIALAAgAFwAIgBTAHUAYgAtAGMAYQB0AGUAZwBvAHIAeQBcACIALAAgAFwAIgBQAHIAbwBkAHUAYwB0ACAAbgBhAG0AZQBcACIALAAgAFwAIgBSAGUAZwBpAG8AbgAgAG8AZgAgAG8AcgBpAGcAaQBuAFwAIgAsACAAXAAiAFAAcgBvAGQAdQBjAHQAIABVAG4AaQB0AFwAIgAsACAAXAAiAEcASABHACAAZQBtAGkAcwBzAGkAbwBuACAAaQBuAHQAZQBuAHMAaQB0AHkAXAAiACwAIABcACIAUwB5AHMAdABlAG0AIABiAG8AdQBuAGQAYQByAHkAXAAiADsAXABuACAAIAAgACAAIAAgACAAIABcACIAQwBoAGUAbQBpAGMAYQBsAHMAXAAiACwAIABcACIAQwBsAGUAYQBuAGkAbgBnACAAYwBoAGUAbQBpAGMAYQBsAHMAXAAiACwAIABcACIAQQBsAGsAYQBsAGkAbgBlACAAYwBsAGUAYQBuAGUAcgBcACIALAAgAFwAIgBHAGwAbwBiAGEAbABcACIALAAgAFwAIgBrAGcAXAAiACwAIAAwAC4ANwAyADIALAAgAFwAIgBhAHQAIABtAGEAbgB1AGYAYQBjAHQAdQByAGUAcgBcACIAOwBcAG4AIAAgACAAIAAgACAAIAAgAFwAIgBDAGgAZQBtAGkAYwBhAGwAcwBcACIALAAgAFwAIgBDAGwAZQBhAG4AaQBuAGcAIABjAGgAZQBtAGkAYwBhAGwAcwBcACIALAAgAFwAIgBCAGwAZQBhAGMAaABcACIALAAgAFwAIgBHAGwAbwBiAGEAbABcACIALAAgAFwAIgBrAGcAXAAiACwAIAAwAC4AOAAwADQALAAgAFwAIgBhAHQAIABtAGEAbgB1AGYAYQBjAHQAdQByAGUAcgBcACIAOwBcAG4AIAAgACAAIAAgACAAIAAgAFwAIgBDAGgAZQBtAGkAYwBhAGwAcwBcACIALAAgAFwAIgBDAGwAZQBhAG4AaQBuAGcAIABjAGgAZQBtAGkAYwBhAGwAcwBcACIALAAgAFwAIgBQAGgAbwBzAHAAaABvAHIAaQBjACAAYQBjAGkAZABcACIALAAgAFwAIgBHAGwAbwBiAGEAbABcACIALAAgAFwAIgBrAGcAXAAiACwAIAAwAC4AOQAwADcALAAgAFwAIgBhAHQAIABtAGEAbgB1AGYAYQBjAHQAdQByAGUAcgBcACIAOwBcAG4AIAAgACAAIAAgACAAIAAgAFwAIgBDAGgAZQBtAGkAYwBhAGwAcwBcACIALAAgAFwAIgBQAGgAYQByAG0AYQBjAHkAIABjAGgAZQBtAGkAYwBhAGwAcwBcACIALAAgAFwAIgBQAGEAcgBhAHMAaQB0AGUAIABjAG8AbgB0AHIAbwBsACAAZgBvAHIAIABjAGEAdAB0AGwAZQAgACgAZQB4AHQAZQByAG4AYQBsACkALAAgAGQAaQBwAHAAaQBuAGcAXAAiACwAIABcACIARwBsAG8AYgBhAGwAXAAiACwAIABcACIAcAAgACgAaABlAGEAZAApAFwAIgAsACAAMAAuADAANQA0ADcALAAgAFwAIgBhAHQAIABtAGEAbgB1AGYAYQBjAHQAdQByAGUAcgBcACIAOwBcAG4AIAAgACAAIAAgACAAIAAgAFwAIgBDAGgAZQBtAGkAYwBhAGwAcwBcACIALAAgAFwAIgBQAGgAYQByAG0AYQBjAHkAIABjAGgAZQBtAGkAYwBhAGwAcwBcACIALAAgAFwAIgBQAGEAcgBhAHMAaQB0AGUAIABjAG8AbgB0AHIAbwBsACAAZgBvAHIAIABjAGEAdAB0AGwAZQAgACgAaQBuAHQAZQByAG4AYQBsACkAXAAiACwAIABcACIARwBsAG8AYgBhAGwAXAAiACwAIABcACIAcAAgACgAaABlAGEAZAApAFwAIgAsACAAMAAuADAAMQA0ADIALAAgAFwAIgBhAHQAIABtAGEAbgB1AGYAYQBjAHQAdQByAGUAcgBcACIAOwBcAG4AIAAgACAAIAAgACAAIAAgAFwAIgBDAGgAZQBtAGkAYwBhAGwAcwBcACIALAAgAFwAIgBQAGgAYQByAG0AYQBjAHkAIABjAGgAZQBtAGkAYwBhAGwAcwBcACIALAAgAFwAIgBQAGEAcgBhAHMAaQB0AGUAIABjAG8AbgB0AHIAbwBsACAAZgBvAHIAIABzAGgAZQBlAHAAIAAoAGUAeAB0AGUAcgBuAGEAbAApAFwAIgAsACAAXAAiAEcAbABvAGIAYQBsAFwAIgAsACAAXAAiAHAAIAAoAGgAZQBhAGQAKQBcACIALAAgADAALgAwADEANAAzACwAIABcACIAYQB0ACAAbQBhAG4AdQBmAGEAYwB0AHUAcgBlAHIAXAAiADsAXABuACAAIAAgACAAIAAgACAAIABcACIAQwBoAGUAbQBpAGMAYQBsAHMAXAAiACwAIABcACIAUABoAGEAcgBtAGEAYwB5ACAAYwBoAGUAbQBpAGMAYQBsAHMAXAAiACwAIABcACIAUABhAHIAYQBzAGkAdABlACAAYwBvAG4AdAByAG8AbAAgAGYAbwByACAAcwBoAGUAZQBwACAAKABpAG4AdABlAHIAbgBhAGwAKQBcACIALAAgAFwAIgBHAGwAbwBiAGEAbABcACIALAAgAFwAIgBwACAAKABoAGUAYQBkACkAXAAiACwAIAAwAC4AMAAwADQAMgA2ACwAIABcACIAYQB0ACAAbQBhAG4AdQBmAGEAYwB0AHUAcgBlAHI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GAGUAZQBkAFwAbgA9AD0APQA9AD0APQA9AD0APQA9AD0APQA9AD0APQA9AD0APQA9AD0APQA9AD0APQA9AD0APQA9AD0APQA9AD0APQA9AD0APQA9AD0APQA9AD0APQA9AD0APQA9AD0APQA9AD0APQA9AD0APQA9AD0APQA9AD0APQA9AD0APQA9AD0APQA9AD0APQA9AD0APQA9AD0APQA9AFwAbgAqAC8AXABuAFwAbgBTAGMAbwBwAGUAMwBfAEYAZQBlAGQAXwBUAGkAdABsAGUAXABuAD0ATABBAE0AQgBEAEEAKAAoAFwAIgBGAGUAZQBkACAAcwBjAG8AcABlACAAMwBcACIAKQApADsAXABuAFwAbgBTAGMAbwBwAGUAMwBfAEYAZQBlAGQAXwBTAG8AdQByAGMAZQBcAG4APQBMAEEATQBCAEQAQQAo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KQA7AFwAbgBcAG4AUwBjAG8AcABlADMAXwBGAGUAZQBkAF8AVgBhAHIAaQBhAHQAaQBvAG4AXABuAD0ATABBAE0AQgBEAEEAKAAoAFwAIgBcACIAKQApADsAXABuAFwAbgBTAGMAbwBwAGUAMwBfAEYAZQBlAGQAXwBEAGEAdABhAFwAbgA9AEwAQQBNAEIARABBACgAXABuACAAIABNAEEASwBFAEEAUgBSAEEAWQAoADcAOA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EYAZQBlAGQAXAAiACwAIABcACIAQQBxAHUAYQBjAHUAbAB0AHUAcgBlACAAZgBlAGUAZABcACIALAAgAFwAIgBTAGEAcgBkAGkAbgBlAHMAIAAoAHcAaABvAGwAZQApAFwAIgAsACAAXAAiAFMAQQBcACIALAAgAFwAIgBrAGcAXAAiACwAIAAwAC4AMwA3ADYALAAgAFwAIgBhAHQAIABtAGEAcgBrAGUAdABcACIAOwBcAG4AIAAgACAAIAAgACAAIAAgAFwAIgBGAGUAZQBkAFwAIgAsACAAXAAiAEcAcgBhAGkAbgBcACIALAAgAFwAIgBCAGEAcgBsAGUAeQAgAGcAcgBhAGkAbgBcACIALAAgAFwAIgBBAHUAcwB0AHIAYQBsAGkAYQBcACIALAAgAFwAIgBrAGcAXAAiACwAIAAwAC4AMgAzADkALAAgAFwAIgBhAHQAIABtAGEAcgBrAGUAdABcACIAOwBcAG4AIAAgACAAIAAgACAAIAAgAFwAIgBGAGUAZQBkAFwAIgAsACAAXAAiAEcAcgBhAGkAbgBcACIALAAgAFwAIgBCAGEAcgBsAGUAeQAgAGcAcgBhAGkAbgBcACIALAAgAFwAIgBOAFMAVwBcACIALAAgAFwAIgBrAGcAXAAiACwAIAAwAC4AMgA1ADYALAAgAFwAIgBhAHQAIABtAGEAcgBrAGUAdABcACIAOwBcAG4AIAAgACAAIAAgACAAIAAgAFwAIgBGAGUAZQBkAFwAIgAsACAAXAAiAEcAcgBhAGkAbgBcACIALAAgAFwAIgBCAGEAcgBsAGUAeQAgAGcAcgBhAGkAbgBcACIALAAgAFwAIgBOAFQAXAAiACwAIABcACIAawBnAFwAIgAsACAAMAAuADMAMwAyACwAIABcACIAYQB0ACAAbQBhAHIAawBlAHQAXAAiADsAXABuACAAIAAgACAAIAAgACAAIABcACIARgBlAGUAZABcACIALAAgAFwAIgBHAHIAYQBpAG4AXAAiACwAIABcACIAQgBhAHIAbABlAHkAIABnAHIAYQBpAG4AXAAiACwAIABcACIAUQBMAEQAXAAiACwAIABcACIAawBnAFwAIgAsACAAMAAuADIANgA5ACwAIABcACIAYQB0ACAAbQBhAHIAawBlAHQAXAAiADsAXABuACAAIAAgACAAIAAgACAAIABcACIARgBlAGUAZABcACIALAAgAFwAIgBHAHIAYQBpAG4AXAAiACwAIABcACIAQgBhAHIAbABlAHkAIABnAHIAYQBpAG4AXAAiACwAIABcACIAUwBBAFwAIgAsACAAXAAiAGsAZwBcACIALAAgADAALgAyADIAMwAsACAAXAAiAGEAdAAgAG0AYQByAGsAZQB0AFwAIgA7AFwAbgAgACAAIAAgACAAIAAgACAAXAAiAEYAZQBlAGQAXAAiACwAIABcACIARwByAGEAaQBuAFwAIgAsACAAXAAiAEIAYQByAGwAZQB5ACAAZwByAGEAaQBuAFwAIgAsACAAXAAiAFQAQQBTAFwAIgAsACAAXAAiAGsAZwBcACIALAAgADAALgAzADAANwAsACAAXAAiAGEAdAAgAG0AYQByAGsAZQB0AFwAIgA7AFwAbgAgACAAIAAgACAAIAAgACAAXAAiAEYAZQBlAGQAXAAiACwAIABcACIARwByAGEAaQBuAFwAIgAsACAAXAAiAEIAYQByAGwAZQB5ACAAZwByAGEAaQBuAFwAIgAsACAAXAAiAFYASQBDAFwAIgAsACAAXAAiAGsAZwBcACIALAAgADAALgAyADQAMQAsACAAXAAiAGEAdAAgAG0AYQByAGsAZQB0AFwAIgA7AFwAbgAgACAAIAAgACAAIAAgACAAXAAiAEYAZQBlAGQAXAAiACwAIABcACIARwByAGEAaQBuAFwAIgAsACAAXAAiAEIAYQByAGwAZQB5ACAAZwByAGEAaQBuAFwAIgAsACAAXAAiAFcAQQBcACIALAAgAFwAIgBrAGcAXAAiACwAIAAwAC4AMgAzADYALAAgAFwAIgBhAHQAIABtAGEAcgBrAGUAdABcACIAOwBcAG4AIAAgACAAIAAgACAAIAAgAFwAIgBGAGUAZQBkAFwAIgAsACAAXAAiAEcAcgBhAGkAbgBcACIALAAgAFwAIgBNAGEAaQB6AGUAIABnAHIAYQBpAG4AXAAiACwAIABcACIAQQB1AHMAdAByAGEAbABpAGEAXAAiACwAIABcACIAawBnAFwAIgAsACAAMAAuADEAOAAxACwAIABcACIAYQB0ACAAbQBhAHIAawBlAHQAXAAiADsAXABuACAAIAAgACAAIAAgACAAIABcACIARgBlAGUAZABcACIALAAgAFwAIgBHAHIAYQBpAG4AXAAiACwAIABcACIATQBhAGkAegBlACAAZwByAGEAaQBuAFwAIgAsACAAXAAiAE4AUwBXAFwAIgAsACAAXAAiAGsAZwBcACIALAAgADAALgAxADYAOQAsACAAXAAiAGEAdAAgAG0AYQByAGsAZQB0AFwAIgA7AFwAbgAgACAAIAAgACAAIAAgACAAXAAiAEYAZQBlAGQAXAAiACwAIABcACIARwByAGEAaQBuAFwAIgAsACAAXAAiAE0AYQBpAHoAZQAgAGcAcgBhAGkAbgBcACIALAAgAFwAIgBOAFQAXAAiACwAIABcACIAawBnAFwAIgAsACAAMAAuADIANQA2ACwAIABcACIAYQB0ACAAbQBhAHIAawBlAHQAXAAiADsAXABuACAAIAAgACAAIAAgACAAIABcACIARgBlAGUAZABcACIALAAgAFwAIgBHAHIAYQBpAG4AXAAiACwAIABcACIATQBhAGkAegBlACAAZwByAGEAaQBuAFwAIgAsACAAXAAiAFEATABEAFwAIgAsACAAXAAiAGsAZwBcACIALAAgADAALgAxADgANgAsACAAXAAiAGEAdAAgAG0AYQByAGsAZQB0AFwAIgA7AFwAbgAgACAAIAAgACAAIAAgACAAXAAiAEYAZQBlAGQAXAAiACwAIABcACIARwByAGEAaQBuAFwAIgAsACAAXAAiAE0AYQBpAHoAZQAgAGcAcgBhAGkAbgBcACIALAAgAFwAIgBTAEEAXAAiACwAIABcACIAawBnAFwAIgAsACAAMAAuADEANwA2ACwAIABcACIAYQB0ACAAbQBhAHIAawBlAHQAXAAiADsAXABuACAAIAAgACAAIAAgACAAIABcACIARgBlAGUAZABcACIALAAgAFwAIgBHAHIAYQBpAG4AXAAiACwAIABcACIATQBhAGkAegBlACAAZwByAGEAaQBuAFwAIgAsACAAXAAiAFYASQBDAFwAIgAsACAAXAAiAGsAZwBcACIALAAgADAALgAxADUAOQAsACAAXAAiAGEAdAAgAG0AYQByAGsAZQB0AFwAIgA7AFwAbgAgACAAIAAgACAAIAAgACAAXAAiAEYAZQBlAGQAXAAiACwAIABcACIARwByAGEAaQBuAFwAIgAsACAAXAAiAE0AYQBpAHoAZQAgAGcAcgBhAGkAbgBcACIALAAgAFwAIgBXAEEAXAAiACwAIABcACIAawBnAFwAIgAsACAAMAAuADIAOAA1ACwAIABcACIAYQB0ACAAbQBhAHIAawBlAHQAXAAiADsAXABuACAAIAAgACAAIAAgACAAIABcACIARgBlAGUAZABcACIALAAgAFwAIgBHAHIAYQBpAG4AXAAiACwAIABcACIAUwBvAHIAZwBoAHUAbQAgAGcAcgBhAGkAbgBcACIALAAgAFwAIgBBAHUAcwB0AHIAYQBsAGkAYQBcACIALAAgAFwAIgBrAGcAXAAiACwAIAAwAC4AMgAzADIALAAgAFwAIgBhAHQAIABtAGEAcgBrAGUAdABcACIAOwBcAG4AIAAgACAAIAAgACAAIAAgAFwAIgBGAGUAZQBkAFwAIgAsACAAXAAiAEcAcgBhAGkAbgBcACIALAAgAFwAIgBTAG8AcgBnAGgAdQBtACAAZwByAGEAaQBuAFwAIgAsACAAXAAiAE4AUwBXAFwAIgAsACAAXAAiAGsAZwBcACIALAAgADAALgAyADMAMgAsACAAXAAiAGEAdAAgAG0AYQByAGsAZQB0AFwAIgA7AFwAbgAgACAAIAAgACAAIAAgACAAXAAiAEYAZQBlAGQAXAAiACwAIABcACIARwByAGEAaQBuAFwAIgAsACAAXAAiAFMAbwByAGcAaAB1AG0AIABnAHIAYQBpAG4AXAAiACwAIABcACIAUQBMAEQAXAAiACwAIABcACIAawBnAFwAIgAsACAAMAAuADIAMwAxACwAIABcACIAYQB0ACAAbQBhAHIAawBlAHQAXAAiADsAXABuACAAIAAgACAAIAAgACAAIABcACIARgBlAGUAZABcACIALAAgAFwAIgBHAHIAYQBpAG4AXAAiACwAIABcACIAUwBvAHIAZwBoAHUAbQAgAGcAcgBhAGkAbgBcACIALAAgAFwAIgBTAEEAXAAiACwAIABcACIAawBnAFwAIgAsACAAMAAuADIAMQA4ACwAIABcACIAYQB0ACAAbQBhAHIAawBlAHQAXAAiADsAXABuACAAIAAgACAAIAAgACAAIABcACIARgBlAGUAZABcACIALAAgAFwAIgBHAHIAYQBpAG4AXAAiACwAIABcACIAUwBvAHIAZwBoAHUAbQAgAGcAcgBhAGkAbgBcACIALAAgAFwAIgBWAEkAQwBcACIALAAgAFwAIgBrAGcAXAAiACwAIAAwAC4AMgA0ADYALAAgAFwAIgBhAHQAIABtAGEAcgBrAGUAdABcACIAOwBcAG4AIAAgACAAIAAgACAAIAAgAFwAIgBGAGUAZQBkAFwAIgAsACAAXAAiAEcAcgBhAGkAbgBcACIALAAgAFwAIgBXAGgAZQBhAHQAIABnAHIAYQBpAG4AXAAiACwAIABcACIAQQB1AHMAdAByAGEAbABpAGEAXAAiACwAIABcACIAawBnAFwAIgAsACAAMAAuADIANgA4ACwAIABcACIAYQB0ACAAbQBhAHIAawBlAHQAXAAiADsAXABuACAAIAAgACAAIAAgACAAIABcACIARgBlAGUAZABcACIALAAgAFwAIgBHAHIAYQBpAG4AXAAiACwAIABcACIAVwBoAGUAYQB0ACAAZwByAGEAaQBuAFwAIgAsACAAXAAiAE4AUwBXAFwAIgAsACAAXAAiAGsAZwBcACIALAAgADAALgAyADgAMgAsACAAXAAiAGEAdAAgAG0AYQByAGsAZQB0AFwAIgA7AFwAbgAgACAAIAAgACAAIAAgACAAXAAiAEYAZQBlAGQAXAAiACwAIABcACIARwByAGEAaQBuAFwAIgAsACAAXAAiAFcAaABlAGEAdAAgAGcAcgBhAGkAbgBcACIALAAgAFwAIgBOAFQAXAAiACwAIABcACIAawBnAFwAIgAsACAAMAAuADMAOAA1ACwAIABcACIAYQB0ACAAbQBhAHIAawBlAHQAXAAiADsAXABuACAAIAAgACAAIAAgACAAIABcACIARgBlAGUAZABcACIALAAgAFwAIgBHAHIAYQBpAG4AXAAiACwAIABcACIAVwBoAGUAYQB0ACAAZwByAGEAaQBuAFwAIgAsACAAXAAiAFEATABEAFwAIgAsACAAXAAiAGsAZwBcACIALAAgADAALgAyADkANgAsACAAXAAiAGEAdAAgAG0AYQByAGsAZQB0AFwAIgA7AFwAbgAgACAAIAAgACAAIAAgACAAXAAiAEYAZQBlAGQAXAAiACwAIABcACIARwByAGEAaQBuAFwAIgAsACAAXAAiAFcAaABlAGEAdAAgAGcAcgBhAGkAbgBcACIALAAgAFwAIgBTAEEAXAAiACwAIABcACIAawBnAFwAIgAsACAAMAAuADIANAAxACwAIABcACIAYQB0ACAAbQBhAHIAawBlAHQAXAAiADsAXABuACAAIAAgACAAIAAgACAAIABcACIARgBlAGUAZABcACIALAAgAFwAIgBHAHIAYQBpAG4AXAAiACwAIABcACIAVwBoAGUAYQB0ACAAZwByAGEAaQBuAFwAIgAsACAAXAAiAFQAQQBTAFwAIgAsACAAXAAiAGsAZwBcACIALAAgADAALgAzADMAOAAsACAAXAAiAGEAdAAgAG0AYQByAGsAZQB0AFwAIgA7AFwAbgAgACAAIAAgACAAIAAgACAAXAAiAEYAZQBlAGQAXAAiACwAIABcACIARwByAGEAaQBuAFwAIgAsACAAXAAiAFcAaABlAGEAdAAgAGcAcgBhAGkAbgBcACIALAAgAFwAIgBWAEkAQwBcACIALAAgAFwAIgBrAGcAXAAiACwAIAAwAC4AMgA2ADYALAAgAFwAIgBhAHQAIABtAGEAcgBrAGUAdABcACIAOwBcAG4AIAAgACAAIAAgACAAIAAgAFwAIgBGAGUAZQBkAFwAIgAsACAAXAAiAEcAcgBhAGkAbgBcACIALAAgAFwAIgBXAGgAZQBhAHQAIABnAHIAYQBpAG4AXAAiACwAIABcACIAVwBBAFwAIgAsACAAXAAiAGsAZwBcACIALAAgADAALgAyADYAMQAsACAAXAAiAGEAdAAgAG0AYQByAGsAZQB0AFwAIgA7AFwAbgAgACAAIAAgACAAIAAgACAAXAAiAEYAZQBlAGQAXAAiACwAIABcACIASABhAHkAXAAiACwAIABcACIAQwBlAHIAZQBhAGwAIABoAGEAeQBcACIALAAgAFwAIgBBAHUAcwB0AHIAYQBsAGkAYQBcACIALAAgAFwAIgBrAGcAXAAiACwAIAAwAC4AMQAxADcALAAgAFwAIgBhAHQAIABtAGEAcgBrAGUAdABcACIAOwBcAG4AIAAgACAAIAAgACAAIAAgAFwAIgBGAGUAZQBkAFwAIgAsACAAXAAiAEgAYQB5AFwAIgAsACAAXAAiAEMAZQByAGUAYQBsACAAaABhAHkAXAAiACwAIABcACIATgBTAFcAXAAiACwAIABcACIAawBnAFwAIgAsACAAMAAuADEAMQA2ACwAIABcACIAYQB0ACAAbQBhAHIAawBlAHQAXAAiADsAXABuACAAIAAgACAAIAAgACAAIABcACIARgBlAGUAZABcACIALAAgAFwAIgBIAGEAeQBcACIALAAgAFwAIgBDAGUAcgBlAGEAbAAgAGgAYQB5AFwAIgAsACAAXAAiAFEATABEAFwAIgAsACAAXAAiAGsAZwBcACIALAAgADAALgAxADEAOAAsACAAXAAiAGEAdAAgAG0AYQByAGsAZQB0AFwAIgA7AFwAbgAgACAAIAAgACAAIAAgACAAXAAiAEYAZQBlAGQAXAAiACwAIABcACIASABhAHkAXAAiACwAIABcACIAQwBlAHIAZQBhAGwAIABoAGEAeQBcACIALAAgAFwAIgBTAEEAXAAiACwAIABcACIAawBnAFwAIgAsACAAMAAuADEAMQAxACwAIABcACIAYQB0ACAAbQBhAHIAawBlAHQAXAAiADsAXABuACAAIAAgACAAIAAgACAAIABcACIARgBlAGUAZABcACIALAAgAFwAIgBIAGEAeQBcACIALAAgAFwAIgBDAGUAcgBlAGEAbAAgAGgAYQB5AFwAIgAsACAAXAAiAFQAQQBTAFwAIgAsACAAXAAiAGsAZwBcACIALAAgADAALgAxADMAOQAsACAAXAAiAGEAdAAgAG0AYQByAGsAZQB0AFwAIgA7AFwAbgAgACAAIAAgACAAIAAgACAAXAAiAEYAZQBlAGQAXAAiACwAIABcACIASABhAHkAXAAiACwAIABcACIAQwBlAHIAZQBhAGwAIABoAGEAeQBcACIALAAgAFwAIgBWAEkAQwBcACIALAAgAFwAIgBrAGcAXAAiACwAIAAwAC4AMQAxADYALAAgAFwAIgBhAHQAIABtAGEAcgBrAGUAdABcACIAOwBcAG4AIAAgACAAIAAgACAAIAAgAFwAIgBGAGUAZQBkAFwAIgAsACAAXAAiAEgAYQB5AFwAIgAsACAAXAAiAEMAZQByAGUAYQBsACAAaABhAHkAXAAiACwAIABcACIAVwBBAFwAIgAsACAAXAAiAGsAZwBcACIALAAgADAALgAxADIAMgAsACAAXAAiAGEAdAAgAG0AYQByAGsAZQB0AFwAIgA7AFwAbgAgACAAIAAgACAAIAAgACAAXAAiAEYAZQBlAGQAXAAiACwAIABcACIASABhAHkAXAAiACwAIABcACIAQwBlAHIAZQBhAGwAIABzAGkAbABhAGcAZQBcACIALAAgAFwAIgBBAHUAcwB0AHIAYQBsAGkAYQBcACIALAAgAFwAIgBrAGcAXAAiACwAIAAwAC4AMAA3ADQANAAsACAAXAAiAGEAdAAgAG0AYQByAGsAZQB0AFwAIgA7AFwAbgAgACAAIAAgACAAIAAgACAAXAAiAEYAZQBlAGQAXAAiACwAIABcACIASABhAHkAXAAiACwAIABcACIAQwBlAHIAZQBhAGwAIABzAGkAbABhAGcAZQBcACIALAAgAFwAIgBOAFMAVwBcACIALAAgAFwAIgBrAGcAXAAiACwAIAAwAC4AMAA3ADMAOQAsACAAXAAiAGEAdAAgAG0AYQByAGsAZQB0AFwAIgA7AFwAbgAgACAAIAAgACAAIAAgACAAXAAiAEYAZQBlAGQAXAAiACwAIABcACIASABhAHkAXAAiACwAIABcACIAQwBlAHIAZQBhAGwAIABzAGkAbABhAGcAZQBcACIALAAgAFwAIgBRAEwARABcACIALAAgAFwAIgBrAGcAXAAiACwAIAAwAC4AMAA3ADkALAAgAFwAIgBhAHQAIABtAGEAcgBrAGUAdABcACIAOwBcAG4AIAAgACAAIAAgACAAIAAgAFwAIgBGAGUAZQBkAFwAIgAsACAAXAAiAEgAYQB5AFwAIgAsACAAXAAiAEMAZQByAGUAYQBsACAAcwBpAGwAYQBnAGUAXAAiACwAIABcACIAUwBBAFwAIgAsACAAXAAiAGsAZwBcACIALAAgADAALgAwADcAMAA2ACwAIABcACIAYQB0ACAAbQBhAHIAawBlAHQAXAAiADsAXABuACAAIAAgACAAIAAgACAAIABcACIARgBlAGUAZABcACIALAAgAFwAIgBIAGEAeQBcACIALAAgAFwAIgBDAGUAcgBlAGEAbAAgAHMAaQBsAGEAZwBlAFwAIgAsACAAXAAiAFQAQQBTAFwAIgAsACAAXAAiAGsAZwBcACIALAAgADAALgAwADgAMAA4ACwAIABcACIAYQB0ACAAbQBhAHIAawBlAHQAXAAiADsAXABuACAAIAAgACAAIAAgACAAIABcACIARgBlAGUAZABcACIALAAgAFwAIgBIAGEAeQBcACIALAAgAFwAIgBDAGUAcgBlAGEAbAAgAHMAaQBsAGEAZwBlAFwAIgAsACAAXAAiAFYASQBDAFwAIgAsACAAXAAiAGsAZwBcACIALAAgADAALgAwADcAMwA2ACwAIABcACIAYQB0ACAAbQBhAHIAawBlAHQAXAAiADsAXABuACAAIAAgACAAIAAgACAAIABcACIARgBlAGUAZABcACIALAAgAFwAIgBIAGEAeQBcACIALAAgAFwAIgBMAHUAYwBlAHIAbgBlACAAaABhAHkAXAAiACwAIABcACIAQQB1AHMAdAByAGEAbABpAGEAXAAiACwAIABcACIAawBnAFwAIgAsACAAMAAuADEAMQA3ACwAIABcACIAYQB0ACAAbQBhAHIAawBlAHQAXAAiADsAXABuACAAIAAgACAAIAAgACAAIABcACIARgBlAGUAZABcACIALAAgAFwAIgBIAGEAeQBcACIALAAgAFwAIgBMAHUAYwBlAHIAbgBlACAAaABhAHkAXAAiACwAIABcACIATgBTAFcAXAAiACwAIABcACIAawBnAFwAIgAsACAAMAAuADEAMQAzACwAIABcACIAYQB0ACAAbQBhAHIAawBlAHQAXAAiADsAXABuACAAIAAgACAAIAAgACAAIABcACIARgBlAGUAZABcACIALAAgAFwAIgBIAGEAeQBcACIALAAgAFwAIgBMAHUAYwBlAHIAbgBlACAAaABhAHkAXAAiACwAIABcACIAUQBMAEQAXAAiACwAIABcACIAawBnAFwAIgAsACAAMAAuADEANAAzACwAIABcACIAYQB0ACAAbQBhAHIAawBlAHQAXAAiADsAXABuACAAIAAgACAAIAAgACAAIABcACIARgBlAGUAZABcACIALAAgAFwAIgBIAGEAeQBcACIALAAgAFwAIgBMAHUAYwBlAHIAbgBlACAAaABhAHkAXAAiACwAIABcACIAUwBBAFwAIgAsACAAXAAiAGsAZwBcACIALAAgADAALgAxADAANgAsACAAXAAiAGEAdAAgAG0AYQByAGsAZQB0AFwAIgA7AFwAbgAgACAAIAAgACAAIAAgACAAXAAiAEYAZQBlAGQAXAAiACwAIABcACIASABhAHkAXAAiACwAIABcACIATAB1AGMAZQByAG4AZQAgAGgAYQB5AFwAIgAsACAAXAAiAFQAQQBTAFwAIgAsACAAXAAiAGsAZwBcACIALAAgADAALgAxADEAMwAsACAAXAAiAGEAdAAgAG0AYQByAGsAZQB0AFwAIgA7AFwAbgAgACAAIAAgACAAIAAgACAAXAAiAEYAZQBlAGQAXAAiACwAIABcACIASABhAHkAXAAiACwAIABcACIATAB1AGMAZQByAG4AZQAgAGgAYQB5AFwAIgAsACAAXAAiAFYASQBDAFwAIgAsACAAXAAiAGsAZwBcACIALAAgADAALgAxADAANgAsACAAXAAiAGEAdAAgAG0AYQByAGsAZQB0AFwAIgA7AFwAbgAgACAAIAAgACAAIAAgACAAXAAiAEYAZQBlAGQAXAAiACwAIABcACIASABhAHkAXAAiACwAIABcACIATQBhAGkAegBlACAAcwBpAGwAYQBnAGUAXAAiACwAIABcACIAVgBJAEMAXAAiACwAIABcACIAawBnAFwAIgAsACAAMAAuADEANgAzACwAIABcACIAYQB0ACAAbQBhAHIAawBlAHQAXAAiADsAXABuACAAIAAgACAAIAAgACAAIABcACIARgBlAGUAZABcACIALAAgAFwAIgBIAGEAeQBcACIALAAgAFwAIgBPAGEAdABlAG4AIABoAGEAeQBcACIALAAgAFwAIgBBAHUAcwB0AHIAYQBsAGkAYQBcACIALAAgAFwAIgBrAGcAXAAiACwAIAAwAC4AMQAyACwAIABcACIAYQB0ACAAbQBhAHIAawBlAHQAXAAiADsAXABuACAAIAAgACAAIAAgACAAIABcACIARgBlAGUAZABcACIALAAgAFwAIgBIAGEAeQBcACIALAAgAFwAIgBPAGEAdABlAG4AIABoAGEAeQBcACIALAAgAFwAIgBOAFMAVwBcACIALAAgAFwAIgBrAGcAXAAiACwAIAAwAC4AMQAxADkALAAgAFwAIgBhAHQAIABtAGEAcgBrAGUAdABcACIAOwBcAG4AIAAgACAAIAAgACAAIAAgAFwAIgBGAGUAZQBkAFwAIgAsACAAXAAiAEgAYQB5AFwAIgAsACAAXAAiAE8AYQB0AGUAbgAgAGgAYQB5AFwAIgAsACAAXAAiAFEATABEAFwAIgAsACAAXAAiAGsAZwBcACIALAAgADAALgAxADEANwAsACAAXAAiAGEAdAAgAG0AYQByAGsAZQB0AFwAIgA7AFwAbgAgACAAIAAgACAAIAAgACAAXAAiAEYAZQBlAGQAXAAiACwAIABcACIASABhAHkAXAAiACwAIABcACIATwBhAHQAZQBuACAAaABhAHkAXAAiACwAIABcACIAUwBBAFwAIgAsACAAXAAiAGsAZwBcACIALAAgADAALgAxADEANAAsACAAXAAiAGEAdAAgAG0AYQByAGsAZQB0AFwAIgA7AFwAbgAgACAAIAAgACAAIAAgACAAXAAiAEYAZQBlAGQAXAAiACwAIABcACIASABhAHkAXAAiACwAIABcACIATwBhAHQAZQBuACAAaABhAHkAXAAiACwAIABcACIAVgBJAEMAXAAiACwAIABcACIAawBnAFwAIgAsACAAMAAuADEAMQA4ACwAIABcACIAYQB0ACAAbQBhAHIAawBlAHQAXAAiADsAXABuACAAIAAgACAAIAAgACAAIABcACIARgBlAGUAZABcACIALAAgAFwAIgBIAGEAeQBcACIALAAgAFwAIgBPAGEAdABlAG4AIABoAGEAeQBcACIALAAgAFwAIgBXAEEAXAAiACwAIABcACIAawBnAFwAIgAsACAAMAAuADEAMgA0ACwAIABcACIAYQB0ACAAbQBhAHIAawBlAHQAXAAiADsAXABuACAAIAAgACAAIAAgACAAIABcACIARgBlAGUAZABcACIALAAgAFwAIgBIAGEAeQBcACIALAAgAFwAIgBQAGEAcwB0AHUAcgBlACAAaABhAHkAXAAiACwAIABcACIAQQB1AHMAdAByAGEAbABpAGEAXAAiACwAIABcACIAawBnAFwAIgAsACAAMAAuADMAMwA5ACwAIABcACIAYQB0ACAAbQBhAHIAawBlAHQAXAAiADsAXABuACAAIAAgACAAIAAgACAAIABcACIARgBlAGUAZABcACIALAAgAFwAIgBIAGEAeQBcACIALAAgAFwAIgBQAGEAcwB0AHUAcgBlACAAaABhAHkAXAAiACwAIABcACIATgBTAFcAXAAiACwAIABcACIAawBnAFwAIgAsACAAMAAuADMAMQAxACwAIABcACIAYQB0ACAAbQBhAHIAawBlAHQAXAAiADsAXABuACAAIAAgACAAIAAgACAAIABcACIARgBlAGUAZABcACIALAAgAFwAIgBIAGEAeQBcACIALAAgAFwAIgBQAGEAcwB0AHUAcgBlACAAaABhAHkAXAAiACwAIABcACIAUQBMAEQAXAAiACwAIABcACIAawBnAFwAIgAsACAAMAAuADIANQA0ACwAIABcACIAYQB0ACAAbQBhAHIAawBlAHQAXAAiADsAXABuACAAIAAgACAAIAAgACAAIABcACIARgBlAGUAZABcACIALAAgAFwAIgBIAGEAeQBcACIALAAgAFwAIgBQAGEAcwB0AHUAcgBlACAAaABhAHkAXAAiACwAIABcACIAUwBBAFwAIgAsACAAXAAiAGsAZwBcACIALAAgADAALgAzADEAMwAsACAAXAAiAGEAdAAgAG0AYQByAGsAZQB0AFwAIgA7AFwAbgAgACAAIAAgACAAIAAgACAAXAAiAEYAZQBlAGQAXAAiACwAIABcACIASABhAHkAXAAiACwAIABcACIAUABhAHMAdAB1AHIAZQAgAGgAYQB5AFwAIgAsACAAXAAiAFQAQQBTAFwAIgAsACAAXAAiAGsAZwBcACIALAAgADAALgAzADkAOAAsACAAXAAiAGEAdAAgAG0AYQByAGsAZQB0AFwAIgA7AFwAbgAgACAAIAAgACAAIAAgACAAXAAiAEYAZQBlAGQAXAAiACwAIABcACIASABhAHkAXAAiACwAIABcACIAUABhAHMAdAB1AHIAZQAgAGgAYQB5AFwAIgAsACAAXAAiAFYASQBDAFwAIgAsACAAXAAiAGsAZwBcACIALAAgADAALgAzADQANQAsACAAXAAiAGEAdAAgAG0AYQByAGsAZQB0AFwAIgA7AFwAbgAgACAAIAAgACAAIAAgACAAXAAiAEYAZQBlAGQAXAAiACwAIABcACIASABhAHkAXAAiACwAIABcACIAUABhAHMAdAB1AHIAZQAgAGgAYQB5AFwAIgAsACAAXAAiAFcAQQBcACIALAAgAFwAIgBrAGcAXAAiACwAIAAwAC4AMwA2ADgALAAgAFwAIgBhAHQAIABtAGEAcgBrAGUAdABcACIAOwBcAG4AIAAgACAAIAAgACAAIAAgAFwAIgBGAGUAZQBkAFwAIgAsACAAXAAiAE0AZQBhAGwAXAAiACwAIABcACIAQwBhAG4AbwBsAGEAIABtAGUAYQBsAFwAIgAsACAAXAAiAEEAdQBzAHQAcgBhAGwAaQBhAFwAIgAsACAAXAAiAGsAZwBcACIALAAgADAALgAyADQANAAsACAAXAAiAGEAdAAgAG0AYQByAGsAZQB0AFwAIgA7AFwAbgAgACAAIAAgACAAIAAgACAAXAAiAEYAZQBlAGQAXAAiACwAIABcACIATQBlAGEAbABcACIALAAgAFwAIgBNAGUAYQB0ACAAbQBlAGEAbABcACIALAAgAFwAIgBBAHUAcwB0AHIAYQBsAGkAYQBcACIALAAgAFwAIgBrAGcAXAAiACwAIAAwAC4ANAAwADgALAAgAFwAIgBhAHQAIABtAGEAcgBrAGUAdABcACIAOwBcAG4AIAAgACAAIAAgACAAIAAgAFwAIgBGAGUAZQBkAFwAIgAsACAAXAAiAE0AZQBhAGwAXAAiACwAIABcACIAUwBvAHkAYgBlAGEAbgAgAG0AZQBhAGwAXAAiACwAIABcACIAQgByAGEAegBpAGwAXAAiACwAIABcACIAawBnAFwAIgAsACAAMAAuADQAMgA2ACwAIABcACIAYQB0ACAAbQBhAHIAawBlAHQAXAAiADsAXABuACAAIAAgACAAIAAgACAAIABcACIARgBlAGUAZABcACIALAAgAFwAIgBNAGUAYQBsAFwAIgAsACAAXAAiAFcAaABlAGEAdAAgAGIAcgBhAG4AXAAiACwAIABcACIAQQB1AHMAdAByAGEAbABpAGEAXAAiACwAIABcACIAawBnAFwAIgAsACAAMAAuADEAOQA2ACwAIABcACIAYQB0ACAAbQBhAHIAawBlAHQAXAAiADsAXABuACAAIAAgACAAIAAgACAAIABcACIARgBlAGUAZABcACIALAAgAFwAIgBNAGkAeABlAGQAIAByAGEAdABpAG8AbgBzAFwAIgAsACAAXAAiAEYAZQBlAGQAIABmAG8AcgAgAGMAaABpAGMAawBlAG4AcwBcACIALAAgAFwAIgBBAHUAcwB0AHIAYQBsAGkAYQBcACIALAAgAFwAIgBrAGcAXAAiACwAIAAwAC4ANQA5ADQALAAgAFwAIgBhAHQAIABtAGEAcgBrAGUAdABcACIAOwBcAG4AIAAgACAAIAAgACAAIAAgAFwAIgBGAGUAZQBkAFwAIgAsACAAXAAiAE0AaQB4AGUAZAAgAHIAYQB0AGkAbwBuAHMAXAAiACwAIABcACIARgBlAGUAZAAgAGYAbwByACAAZABhAGkAcgB5ACAAYwBhAGwAdgBlAHMAXAAiACwAIABcACIAQQB1AHMAdAByAGEAbABpAGEAXAAiACwAIABcACIAawBnAFwAIgAsACAAMAAuADQAMQA5ACwAIABcACIAYQB0ACAAbQBhAHIAawBlAHQAXAAiADsAXABuACAAIAAgACAAIAAgACAAIABcACIARgBlAGUAZABcACIALAAgAFwAIgBNAGkAeABlAGQAIAByAGEAdABpAG8AbgBzAFwAIgAsACAAXAAiAEYAZQBlAGQAIABmAG8AcgAgAGQAYQBpAHIAeQAgAGMAbwB3AHMAXAAiACwAIABcACIAQQB1AHMAdAByAGEAbABpAGEAXAAiACwAIABcACIAawBnAFwAIgAsACAAMAAuADMAMwAzACwAIABcACIAYQB0ACAAbQBhAHIAawBlAHQAXAAiADsAXABuACAAIAAgACAAIAAgACAAIABcACIARgBlAGUAZABcACIALAAgAFwAIgBNAGkAeABlAGQAIAByAGEAdABpAG8AbgBzAFwAIgAsACAAXAAiAEYAZQBlAGQAIABmAG8AcgAgAHAAaQBnAHMAXAAiACwAIABcACIAQQB1AHMAdAByAGEAbABpAGEAXAAiACwAIABcACIAawBnAFwAIgAsACAAMAAuADQAMAAzACwAIABcACIAYQB0ACAAbQBhAHIAawBlAHQAXAAiADsAXABuACAAIAAgACAAIAAgACAAIABcACIARgBlAGUAZABcACIALAAgAFwAIgBPAHQAaABlAHIAXAAiACwAIABcACIAQgBlAG4AdABvAG4AaQB0AGUAXAAiACwAIABcACIAQQB1AHMAdAByAGEAbABpAGEAXAAiACwAIABcACIAawBnAFwAIgAsACAAMAAuADAANgA1ADIALAAgAFwAIgBhAHQAIABtAGEAcgBrAGUAdABcACIAOwBcAG4AIAAgACAAIAAgACAAIAAgAFwAIgBGAGUAZQBkAFwAIgAsACAAXAAiAE8AdABoAGUAcgBcACIALAAgAFwAIgBDAGEAbgBvAGwAYQAgAG8AaQBsAFwAIgAsACAAXAAiAEEAdQBzAHQAcgBhAGwAaQBhAFwAIgAsACAAXAAiAGsAZwBcACIALAAgADAALgA4ADcALAAgAFwAIgBhAHQAIABtAGEAcgBrAGUAdABcACIAOwBcAG4AIAAgACAAIAAgACAAIAAgAFwAIgBGAGUAZQBkAFwAIgAsACAAXAAiAE8AdABoAGUAcgBcACIALAAgAFwAIgBDAG8AdAB0AG8AbgAgAHMAZQBlAGQAXAAiACwAIABcACIAQQB1AHMAdAByAGEAbABpAGEAXAAiACwAIABcACIAawBnAFwAIgAsACAAMAAuADEAOQA3ACwAIABcACIAYQB0ACAAbQBhAHIAawBlAHQAXAAiADsAXABuACAAIAAgACAAIAAgACAAIABcACIARgBlAGUAZABcACIALAAgAFwAIgBPAHQAaABlAHIAXAAiACwAIABcACIATABpAGMAawAgAGIAbABvAGMAawAsACAAZAByAHkAIABzAGUAYQBzAG8AbgAgAG0AaQB4AFwAIgAsACAAXAAiAEEAdQBzAHQAcgBhAGwAaQBhAFwAIgAsACAAXAAiAGsAZwBcACIALAAgADAALgA4ADgAMQAsACAAXAAiAGEAdAAgAG0AYQByAGsAZQB0AFwAIgA7AFwAbgAgACAAIAAgACAAIAAgACAAXAAiAEYAZQBlAGQAXAAiACwAIABcACIATwB0AGgAZQByAFwAIgAsACAAXAAiAEwAaQBjAGsAIABiAGwAbwBjAGsALAAgAG0AaQBuAGUAcgBhAGwAXAAiACwAIABcACIAQQB1AHMAdAByAGEAbABpAGEAXAAiACwAIABcACIAawBnAFwAIgAsACAAMAAuADYANwA3ACwAIABcACIAYQB0ACAAbQBhAHIAawBlAHQAXAAiADsAXABuACAAIAAgACAAIAAgACAAIABcACIARgBlAGUAZABcACIALAAgAFwAIgBPAHQAaABlAHIAXAAiACwAIABcACIATABpAGMAawAgAGIAbABvAGMAawAsACAAdwBlAGEAbgBlAHIAXAAiACwAIABcACIAQQB1AHMAdAByAGEAbABpAGEAXAAiACwAIABcACIAawBnAFwAIgAsACAAMAAuADIAMwAxACwAIABcACIAYQB0ACAAbQBhAHIAawBlAHQAXAAiADsAXABuACAAIAAgACAAIAAgACAAIABcACIARgBlAGUAZABcACIALAAgAFwAIgBPAHQAaABlAHIAXAAiACwAIABcACIATQBvAGwAYQBzAHMAZQBzAFwAIgAsACAAXAAiAFEATABEAFwAIgAsACAAXAAiAGsAZwBcACIALAAgADAALgAxADgANA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SQBuAG8AcgBnAGEAbgBpAGMAIABmAGUAcgB0AGkAbABpAHMAZQByAHMAXABuAD0APQA9AD0APQA9AD0APQA9AD0APQA9AD0APQA9AD0APQA9AD0APQA9AD0APQA9AD0APQA9AD0APQA9AD0APQA9AD0APQA9AD0APQA9AD0APQA9AD0APQA9AD0APQA9AD0APQA9AD0APQA9AD0APQA9AD0APQA9AD0APQA9AD0APQA9AD0APQA9AD0APQA9AD0APQA9AD0AXABuACoALwBcAG4AXABuAFMAYwBvAHAAZQAzAF8ASQBuAG8AcgBnAGEAbgBpAGMARgBlAHIAdABpAGwAaQBzAGUAcgBzAF8AVABpAHQAbABlAFwAbgA9AEwAQQBNAEIARABBACgAKABcACIASQBuAG8AcgBnAGEAbgBpAGMAIABmAGUAcgB0AGkAbABpAHMAZQByACAAYwBoAGUAbQBpAGMAYQBsACAAYwBvAG0AcABvAHUAbgBkACAAcwBjAG8AcABlACAAMwBcACIAKQApADsAXABuAFwAbgBTAGMAbwBwAGUAMwBfAEkAbgBvAHIAZwBhAG4AaQBjAEYAZQByAHQAaQBsAGkAcwBlAHIAc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kAbgBvAHIAZwBhAG4AaQBjAEYAZQByAHQAaQBsAGkAcwBlAHIAcwBfAFYAYQByAGkAYQB0AGkAbwBuAFwAbgA9AEwAQQBNAEIARABBACgAKABcACIAXAAiACkAKQA7AFwAbgBcAG4AUwBjAG8AcABlADMAXwBJAG4AbwByAGcAYQBuAGkAYwBGAGUAcgB0AGkAbABpAHMAZQByAHMAXwBEAGEAdABhAFwAbgA9AEwAQQBNAEIARABBACgAXABuACAAIABNAEEASwBFAEEAUgBSAEEAWQAoADIANgAsACAANwAsAFwAbgAgACAAIAAgAEwAQQBNAEIARABBACgAcgAsAGMALABcAG4AIAAgACAAIAAgACAASQBOAEQARQBYACgAewBcAG4AIAAgACAAIAAgACAAIAAgAFwAIgBDAGEAdABlAGcAbwByAHkAXAAiACwAIABcACIAUwB1AGIALQBjAGEAdABlAGcAbwByAHkAXAAiACwAIABcACIAUAByAG8AZAB1AGMAdAAgAG4AYQBtAGUAXAAiACwAIABcACIAUgBlAGcAaQBvAG4AIABvAGYAIABvAHIAaQBnAGkAbgBcACIALAAgAFwAIgBQAHIAbwBkAHUAYwB0ACAAVQBuAGkAdABcACIALAAgAFwAIgBHAEgARwAgAGUAbQBpAHMAcwBpAG8AbgAgAGkAbgB0AGUAbgBzAGkAdAB5AFwAIgAsACAAXAAiAFMAeQBzAHQAZQBtACAAYgBvAHUAbgBkAGEAcgB5AFwAIgA7AFwAbgAgACAAIAAgACAAIAAgACAAXAAiAEYAZQByAHQAaQBsAGkAcwBlAHIAcwBcACIALAAgAFwAIgBJAG4AbwByAGcAYQBuAGkAYwAgAGYAZQByAHQAaQBsAGkAcwBlAHIAcwBcACIALAAgAFwAIgBBAG0AbQBvAG4AaQBhACwAIABBAFUAIABtAGEAcgBrAGUAdAAgAG0AaQB4AFwAIgAsACAAXAAiAEcAbABvAGIAYQBsAFwAIgAsACAAXAAiAGsAZwBcACIALAAgADIALgAzADIALAAgAFwAIgBhAHQAIABtAGEAcgBrAGUAdABcACIAOwBcAG4AIAAgACAAIAAgACAAIAAgAFwAIgBGAGUAcgB0AGkAbABpAHMAZQByAHMAXAAiACwAIABcACIASQBuAG8AcgBnAGEAbgBpAGMAIABmAGUAcgB0AGkAbABpAHMAZQByAHMAXAAiACwAIABcACIAQQBtAG0AbwBuAGkAYQAsACAAQwBhAG4AYQBkAGEAXAAiACwAIABcACIAQwBhAG4AYQBkAGEAXAAiACwAIABcACIAawBnAFwAIgAsACAAMgAuADEAMgAsACAAXAAiAGEAdAAgAG0AYQByAGsAZQB0AFwAIgA7AFwAbgAgACAAIAAgACAAIAAgACAAXAAiAEYAZQByAHQAaQBsAGkAcwBlAHIAcwBcACIALAAgAFwAIgBJAG4AbwByAGcAYQBuAGkAYwAgAGYAZQByAHQAaQBsAGkAcwBlAHIAcwBcACIALAAgAFwAIgBBAG0AbQBvAG4AaQBhACwAIABDAGgAaQBuAGEAXAAiACwAIABcACIAQwBoAGkAbgBhAFwAIgAsACAAXAAiAGsAZwBcACIALAAgADQALgAxADcALAAgAFwAIgBhAHQAIABtAGEAcgBrAGUAdABcACIAOwBcAG4AIAAgACAAIAAgACAAIAAgAFwAIgBGAGUAcgB0AGkAbABpAHMAZQByAHMAXAAiACwAIABcACIASQBuAG8AcgBnAGEAbgBpAGMAIABmAGUAcgB0AGkAbABpAHMAZQByAHMAXAAiACwAIABcACIAQQBtAG0AbwBuAGkAYQAsACAAWQBlAG0AZQBuAFwAIgAsACAAXAAiAFkAZQBtAGUAbgBcACIALAAgAFwAIgBrAGcAXAAiACwAIAAyAC4AMgA2ACwAIABcACIAYQB0ACAAbQBhAHIAawBlAHQAXAAiADsAXABuACAAIAAgACAAIAAgACAAIABcACIARgBlAHIAdABpAGwAaQBzAGUAcgBzAFwAIgAsACAAXAAiAEkAbgBvAHIAZwBhAG4AaQBjACAAZgBlAHIAdABpAGwAaQBzAGUAcgBzAFwAIgAsACAAXAAiAEEAbQBtAG8AbgBpAHUAbQAgAG4AaQB0AHIAYQB0AGUALAAgAEEAVQAgAG0AYQByAGsAZQB0ACAAbQBpAHgAXAAiACwAIABcACIARwBsAG8AYgBhAGwAXAAiACwAIABcACIAawBnAFwAIgAsACAAMgAuADIAMQAsACAAXAAiAGEAdAAgAG0AYQByAGsAZQB0AFwAIgA7AFwAbgAgACAAIAAgACAAIAAgACAAXAAiAEYAZQByAHQAaQBsAGkAcwBlAHIAcwBcACIALAAgAFwAIgBJAG4AbwByAGcAYQBuAGkAYwAgAGYAZQByAHQAaQBsAGkAcwBlAHIAcwBcACIALAAgAFwAIgBDAGEAbABjAGkAdQBtACAAYQBtAG0AbwBuAGkAdQBtACAAbgBpAHQAcgBhAHQAZQAsACAAQQBVACAAbQBhAHIAawBlAHQAIABtAGkAeABcACIALAAgAFwAIgBHAGwAbwBiAGEAbABcACIALAAgAFwAIgBrAGcAXAAiACwAIAAxAC4AMQA1ACwAIABcACIAYQB0ACAAbQBhAHIAawBlAHQAXAAiADsAXABuACAAIAAgACAAIAAgACAAIABcACIARgBlAHIAdABpAGwAaQBzAGUAcgBzAFwAIgAsACAAXAAiAEkAbgBvAHIAZwBhAG4AaQBjACAAZgBlAHIAdABpAGwAaQBzAGUAcgBzAFwAIgAsACAAXAAiAEMAYQBsAGMAaQB1AG0AIABuAGkAdAByAGEAdABlAFwAIgAsACAAXAAiAEcAbABvAGIAYQBsAFwAIgAsACAAXAAiAGsAZwBcACIALAAgADAALgA3ADUALAAgAFwAIgBhAHQAIABtAGEAcgBrAGUAdABcACIAOwBcAG4AIAAgACAAIAAgACAAIAAgAFwAIgBGAGUAcgB0AGkAbABpAHMAZQByAHMAXAAiACwAIABcACIASQBuAG8AcgBnAGEAbgBpAGMAIABmAGUAcgB0AGkAbABpAHMAZQByAHMAXAAiACwAIABcACIARABpAGEAbQBtAG8AbgBpAHUAbQAgAHAAaABvAHMAcABoAGEAdABlACwAIABBAFUAIABtAGEAcgBrAGUAdAAgAG0AaQB4AFwAIgAsACAAXAAiAEcAbABvAGIAYQBsAFwAIgAsACAAXAAiAGsAZwBcACIALAAgADEALgAzADQALAAgAFwAIgBhAHQAIABtAGEAcgBrAGUAdABcACIAOwBcAG4AIAAgACAAIAAgACAAIAAgAFwAIgBGAGUAcgB0AGkAbABpAHMAZQByAHMAXAAiACwAIABcACIASQBuAG8AcgBnAGEAbgBpAGMAIABmAGUAcgB0AGkAbABpAHMAZQByAHMAXAAiACwAIABcACIARABvAHUAYgBsAGUAIABzAHUAcABlAHIAcABoAG8AcwBwAGgAYQB0AGUALAAgAEEAVQAgAG0AYQByAGsAZQB0ACAAbQBpAHgAXAAiACwAIABcACIARwBsAG8AYgBhAGwAXAAiACwAIABcACIAawBnAFwAIgAsACAAMAAuADMAOQAyACwAIABcACIAYQB0ACAAbQBhAHIAawBlAHQAXAAiADsAXABuACAAIAAgACAAIAAgACAAIABcACIARgBlAHIAdABpAGwAaQBzAGUAcgBzAFwAIgAsACAAXAAiAEkAbgBvAHIAZwBhAG4AaQBjACAAZgBlAHIAdABpAGwAaQBzAGUAcgBzAFwAIgAsACAAXAAiAE0AbwBuAG8AYQBtAG0AbwBuAGkAdQBtACAAcABoAG8AcwBwAGgAYQB0AGUALAAgAEEAVQAgAG0AYQByAGsAZQB0ACAAbQBpAHgAXAAiACwAIABcACIARwBsAG8AYgBhAGwAXAAiACwAIABcACIAawBnAFwAIgAsACAAMAAuADgAMgA3ACwAIABcACIAYQB0ACAAbQBhAHIAawBlAHQAXAAiADsAXABuACAAIAAgACAAIAAgACAAIABcACIARgBlAHIAdABpAGwAaQBzAGUAcgBzAFwAIgAsACAAXAAiAEkAbgBvAHIAZwBhAG4AaQBjACAAZgBlAHIAdABpAGwAaQBzAGUAcgBzAFwAIgAsACAAXAAiAE0AdQByAGkAYQB0AGUAIABvAGYAIABwAG8AdABhAHMAaAAsACAAQQBVACAAbQBhAHIAawBlAHQAIABtAGkAeABcACIALAAgAFwAIgBHAGwAbwBiAGEAbABcACIALAAgAFwAIgBrAGcAXAAiACwAIAAwAC4ANQA0ADkALAAgAFwAIgBhAHQAIABtAGEAcgBrAGUAdABcACIAOwBcAG4AIAAgACAAIAAgACAAIAAgAFwAIgBGAGUAcgB0AGkAbABpAHMAZQByAHMAXAAiACwAIABcACIASQBuAG8AcgBnAGEAbgBpAGMAIABmAGUAcgB0AGkAbABpAHMAZQByAHMAXAAiACwAIABcACIATgBpAHQAcgBvAGcAZQBuACAAZgByAG8AbQAgAGEAbQBtAG8AbgBpAGEALAAgAEEAVQAgAG0AYQByAGsAZQB0ACAAbQBpAHgAXAAiACwAIABcACIARwBsAG8AYgBhAGwAXAAiACwAIABcACIAawBnACAATgBcACIALAAgADIALgA4ADMALAAgAFwAIgBhAHQAIABtAGEAcgBrAGUAdABcACIAOwBcAG4AIAAgACAAIAAgACAAIAAgAFwAIgBGAGUAcgB0AGkAbABpAHMAZQByAHMAXAAiACwAIABcACIASQBuAG8AcgBnAGEAbgBpAGMAIABmAGUAcgB0AGkAbABpAHMAZQByAHMAXAAiACwAIABcACIATgBpAHQAcgBvAGcAZQBuACAAZgByAG8AbQAgAGYAZQByAHQAaQBsAGkAegBlAHIALAAgAEEAVQAgAG0AYQByAGsAZQB0ACAAbQBpAHgAXAAiACwAIABcACIARwBsAG8AYgBhAGwAXAAiACwAIABcACIAawBnACAATgBcACIALAAgADQALgAyACwAIABcACIAYQB0ACAAbQBhAHIAawBlAHQAXAAiADsAXABuACAAIAAgACAAIAAgACAAIABcACIARgBlAHIAdABpAGwAaQBzAGUAcgBzAFwAIgAsACAAXAAiAEkAbgBvAHIAZwBhAG4AaQBjACAAZgBlAHIAdABpAGwAaQBzAGUAcgBzAFwAIgAsACAAXAAiAE4AaQB0AHIAbwBnAGUAbgAgAGYAcgBvAG0AIABuAGkAdAByAGEAdABlACAAZgBlAHIAdABpAGwAaQB6AGUAcgAsACAAQQBVACAAbQBhAHIAawBlAHQAIABtAGkAeABcACIALAAgAFwAIgBHAGwAbwBiAGEAbABcACIALAAgAFwAIgBrAGcAIABOAFwAIgAsACAANQAuADQANwAsACAAXAAiAGEAdAAgAG0AYQByAGsAZQB0AFwAIgA7AFwAbgAgACAAIAAgACAAIAAgACAAXAAiAEYAZQByAHQAaQBsAGkAcwBlAHIAcwBcACIALAAgAFwAIgBJAG4AbwByAGcAYQBuAGkAYwAgAGYAZQByAHQAaQBsAGkAcwBlAHIAcwBcACIALAAgAFwAIgBQAGgAbwBzAHAAaABvAHIAdQBzACAAZgByAG8AbQAgAGYAZQByAHQAaQBsAGkAegBlAHIALAAgAEEAVQAgAG0AYQByAGsAZQB0ACAAbQBpAHgAXAAiACwAIABcACIARwBsAG8AYgBhAGwAXAAiACwAIABcACIAawBnACAAUABcACIALAAgADMALgA5ADYALAAgAFwAIgBhAHQAIABtAGEAcgBrAGUAdABcACIAOwBcAG4AIAAgACAAIAAgACAAIAAgAFwAIgBGAGUAcgB0AGkAbABpAHMAZQByAHMAXAAiACwAIABcACIASQBuAG8AcgBnAGEAbgBpAGMAIABmAGUAcgB0AGkAbABpAHMAZQByAHMAXAAiACwAIABcACIAUABvAHQAYQBzAHMAaQB1AG0AIABmAHIAbwBtACAAZgBlAHIAdABpAGwAaQB6AGUAcgAsACAAQQBVACAAbQBhAHIAawBlAHQAIABtAGkAeABcACIALAAgAFwAIgBHAGwAbwBiAGEAbABcACIALAAgAFwAIgBrAGcAIABLAFwAIgAsACAAMAAuADkAMAA5ACwAIABcACIAYQB0ACAAbQBhAHIAawBlAHQAXAAiADsAXABuACAAIAAgACAAIAAgACAAIABcACIARgBlAHIAdABpAGwAaQBzAGUAcgBzAFwAIgAsACAAXAAiAEkAbgBvAHIAZwBhAG4AaQBjACAAZgBlAHIAdABpAGwAaQBzAGUAcgBzAFwAIgAsACAAXAAiAFMAaQBuAGcAbABlACAAcwB1AHAAZQByAHAAaABvAHMAcABoAGEAdABlACwAIABBAFUAIABtAGEAcgBrAGUAdAAgAG0AaQB4AFwAIgAsACAAXAAiAEcAbABvAGIAYQBsAFwAIgAsACAAXAAiAGsAZwBcACIALAAgADAALgAyADIANwAsACAAXAAiAGEAdAAgAG0AYQByAGsAZQB0AFwAIgA7AFwAbgAgACAAIAAgACAAIAAgACAAXAAiAEYAZQByAHQAaQBsAGkAcwBlAHIAcwBcACIALAAgAFwAIgBJAG4AbwByAGcAYQBuAGkAYwAgAGYAZQByAHQAaQBsAGkAcwBlAHIAcwBcACIALAAgAFwAIgBTAHUAbABmAHUAcgAgAGYAcgBvAG0AIABmAGUAcgB0AGkAbABpAHoAZQByACwAIABBAFUAIABtAGEAcgBrAGUAdAAgAG0AaQB4AFwAIgAsACAAXAAiAEcAbABvAGIAYQBsAFwAIgAsACAAXAAiAGsAZwAgAFMAXAAiACwAIAAyAC4ANQAsACAAXAAiAGEAdAAgAG0AYQByAGsAZQB0AFwAIgA7AFwAbgAgACAAIAAgACAAIAAgACAAXAAiAEYAZQByAHQAaQBsAGkAcwBlAHIAcwBcACIALAAgAFwAIgBJAG4AbwByAGcAYQBuAGkAYwAgAGYAZQByAHQAaQBsAGkAcwBlAHIAcwBcACIALAAgAFwAIgBBAG0AbQBvAG4AaQB1AG0AIABzAHUAbABwAGgAYQB0AGUALAAgAEEAVQAgAG0AYQByAGsAZQB0ACAAbQBpAHgAXAAiACwAIABcACIARwBsAG8AYgBhAGwAXAAiACwAIABcACIAawBnAFwAIgAsACAAMAAuADgANgA1ACwAIABcACIAYQB0ACAAbQBhAHIAawBlAHQAXAAiADsAXABuACAAIAAgACAAIAAgACAAIABcACIARgBlAHIAdABpAGwAaQBzAGUAcgBzAFwAIgAsACAAXAAiAEkAbgBvAHIAZwBhAG4AaQBjACAAZgBlAHIAdABpAGwAaQBzAGUAcgBzAFwAIgAsACAAXAAiAFUAcgBlAGEAIABhAG0AbQBvAG4AaQB1AG0AIABuAGkAdAByAGEAdABlACwAIABBAFUAIABtAGEAcgBrAGUAdAAgAG0AaQB4AFwAIgAsACAAXAAiAEcAbABvAGIAYQBsAFwAIgAsACAAXAAiAGsAZwBcACIALAAgADEALgA3ADUALAAgAFwAIgBhAHQAIABtAGEAcgBrAGUAdABcACIAOwBcAG4AIAAgACAAIAAgACAAIAAgAFwAIgBGAGUAcgB0AGkAbABpAHMAZQByAHMAXAAiACwAIABcACIASQBuAG8AcgBnAGEAbgBpAGMAIABmAGUAcgB0AGkAbABpAHMAZQByAHMAXAAiACwAIABcACIAVQByAGUAYQAsACAAQQBVACAAbQBhAHIAawBlAHQAIABtAGkAeABcACIALAAgAFwAIgBHAGwAbwBiAGEAbABcACIALAAgAFwAIgBrAGcAXAAiACwAIAAwAC4AOQA2ADgALAAgAFwAIgBhAHQAIABtAGEAcgBrAGUAdABcACIAOwBcAG4AIAAgACAAIAAgACAAIAAgAFwAIgBGAGUAcgB0AGkAbABpAHMAZQByAHMAXAAiACwAIABcACIASQBuAG8AcgBnAGEAbgBpAGMAIABmAGUAcgB0AGkAbABpAHMAZQByAHMAXAAiACwAIABcACIAVQByAGUAYQAsACAAQwBhAG4AYQBkAGEAXAAiACwAIABcACIAQwBhAG4AYQBkAGEAXAAiACwAIABcACIAawBnAFwAIgAsACAAMAAuADgAMgAzACwAIABcACIAYQB0ACAAbQBhAHIAawBlAHQAXAAiADsAXABuACAAIAAgACAAIAAgACAAIABcACIARgBlAHIAdABpAGwAaQBzAGUAcgBzAFwAIgAsACAAXAAiAEkAbgBvAHIAZwBhAG4AaQBjACAAZgBlAHIAdABpAGwAaQBzAGUAcgBzAFwAIgAsACAAXAAiAFUAcgBlAGEALAAgAEMAaABpAG4AYQBcACIALAAgAFwAIgBDAGgAaQBuAGEAXAAiACwAIABcACIAawBnAFwAIgAsACAAMgAuADAAOQAsACAAXAAiAGEAdAAgAG0AYQByAGsAZQB0AFwAIgA7AFwAbgAgACAAIAAgACAAIAAgACAAXAAiAEYAZQByAHQAaQBsAGkAcwBlAHIAcwBcACIALAAgAFwAIgBJAG4AbwByAGcAYQBuAGkAYwAgAGYAZQByAHQAaQBsAGkAcwBlAHIAcwBcACIALAAgAFwAIgBVAHIAZQBhACwAIABZAGUAbQBlAG4AXAAiACwAIABcACIAWQBlAG0AZQBuAFwAIgAsACAAXAAiAGsAZwBcACIALAAgADAALgA5ADYAMwAsACAAXAAiAGEAdAAgAG0AYQByAGsAZQB0AFwAIgA7AFwAbgAgACAAIAAgACAAIAAgACAAXAAiAEYAZQByAHQAaQBsAGkAcwBlAHIAcwBcACIALAAgAFwAIgBJAG4AbwByAGcAYQBuAGkAYwAgAGYAZQByAHQAaQBsAGkAcwBlAHIAcwBcACIALAAgAFwAIgBaAGkAbgBjACAAZgByAG8AbQAgAGYAZQByAHQAaQBsAGkAegBlAHIAXAAiACwAIABcACIARwBsAG8AYgBhAGwAXAAiACwAIABcACIAawBnACAAWgBuAFwAIgAsACAANAAuADgAMgAsACAAXAAiAGEAdAAgAG0AYQByAGsAZQB0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TwB0AGgAZQByACAAYQBnAHIAaQBjAHUAbAB0AHUAcgBhAGwAIABpAG4AcAB1AHQAcwBcAG4APQA9AD0APQA9AD0APQA9AD0APQA9AD0APQA9AD0APQA9AD0APQA9AD0APQA9AD0APQA9AD0APQA9AD0APQA9AD0APQA9AD0APQA9AD0APQA9AD0APQA9AD0APQA9AD0APQA9AD0APQA9AD0APQA9AD0APQA9AD0APQA9AD0APQA9AD0APQA9AD0APQA9AD0APQA9AD0APQBcAG4AKgAvAFwAbgBcAG4AUwBjAG8AcABlADMAXwBPAHQAaABlAHIAXwBUAGkAdABsAGUAXABuAD0ATABBAE0AQgBEAEEAKAAoAFwAIgBPAHQAaABlAHIAIABhAGcAcgBpAGMAdQBsAHQAdQByAGEAbAAgAGkAbgBwAHUAdABzACAAcwBjAG8AcABlACAAMwBcACIAKQApADsAXABuAFwAbgBTAGMAbwBwAGUAMwBfAE8AdABoAGUAcg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E8AdABoAGUAcgBfAFYAYQByAGkAYQB0AGkAbwBuAFwAbgA9AEwAQQBNAEIARABBACgAKABcACIAXAAiACkAKQA7AFwAbgBcAG4AUwBjAG8AcABlADMAXwBPAHQAaABlAHIAXwBEAGEAdABhAFwAbgA9AEwAQQBNAEIARABBACgAXABuACAAIABNAEEASwBFAEEAUgBSAEEAWQAoADk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PAHQAaABlAHIAXAAiACwAIABcACIATwB0AGgAZQByAFwAIgAsACAAXAAiAEEAbgBpAG0AYQBsACAAZQBhAHIAIAB0AGEAZwBzACAAKABsAGEAcgBnAGUAKQBcACIALAAgAFwAIgBBAHUAcwB0AHIAYQBsAGkAYQBcACIALAAgAFwAIgBwAFwAIgAsACAAMAAuADAANAAyADQALAAgAFwAIgBhAHQAIABtAGEAcgBrAGUAdABcACIAOwBcAG4AIAAgACAAIAAgACAAIAAgAFwAIgBPAHQAaABlAHIAXAAiACwAIABcACIATwB0AGgAZQByAFwAIgAsACAAXAAiAEEAbgBpAG0AYQBsACAAZQBhAHIAIAB0AGEAZwBzACAAKABzAG0AYQBsAGwAKQBcACIALAAgAFwAIgBBAHUAcwB0AHIAYQBsAGkAYQBcACIALAAgAFwAIgBwAFwAIgAsACAAMAAuADAAMgA5ADMALAAgAFwAIgBhAHQAIABtAGEAcgBrAGUAdABcACIAOwBcAG4AIAAgACAAIAAgACAAIAAgAFwAIgBPAHQAaABlAHIAXAAiACwAIABcACIATwB0AGgAZQByAFwAIgAsACAAXAAiAEIAYQByAGwAZQB5ACAAZwByAGEAaQBuACAAKABmAG8AcgAgAHMAZQBlAGQAKQBcACIALAAgAFwAIgBBAHUAcwB0AHIAYQBsAGkAYQBcACIALAAgAFwAIgBrAGcAXAAiACwAIAAwAC4AMgAzADkALAAgAFwAIgBhAHQAIABtAGEAcgBrAGUAdABcACIAOwBcAG4AIAAgACAAIAAgACAAIAAgAFwAIgBPAHQAaABlAHIAXAAiACwAIABcACIATwB0AGgAZQByAFwAIgAsACAAXAAiAE0AYQBpAHoAZQAgAGcAcgBhAGkAbgAgACgAZgBvAHIAIABzAGUAZQBkACkAXAAiACwAIABcACIAQQB1AHMAdAByAGEAbABpAGEAXAAiACwAIABcACIAawBnAFwAIgAsACAAMAAuADEAOAAxACwAIABcACIAYQB0ACAAbQBhAHIAawBlAHQAXAAiADsAXABuACAAIAAgACAAIAAgACAAIABcACIATwB0AGgAZQByAFwAIgAsACAAXAAiAE8AdABoAGUAcgBcACIALAAgAFwAIgBOAHkAbABvAG4AIABuAGUAdAB0AGkAbgBnAFwAIgAsACAAXAAiAEcAbABvAGIAYQBsAFwAIgAsACAAXAAiAGsAZwBcACIALAAgADkALgA4ADEALAAgAFwAIgBhAHQAIABtAGEAcgBrAGUAdABcACIAOwBcAG4AIAAgACAAIAAgACAAIAAgAFwAIgBPAHQAaABlAHIAXAAiACwAIABcACIATwB0AGgAZQByAFwAIgAsACAAXAAiAE8AYQB0ACAAZwByAGEAaQBuACAAKABmAG8AcgAgAHMAZQBlAGQAKQBcACIALAAgAFwAIgBBAHUAcwB0AHIAYQBsAGkAYQBcACIALAAgAFwAIgBrAGcAXAAiACwAIAAwAC4AMgA3ACwAIABcACIAYQB0ACAAbQBhAHIAawBlAHQAXAAiADsAXABuACAAIAAgACAAIAAgACAAIABcACIATwB0AGgAZQByAFwAIgAsACAAXAAiAE8AdABoAGUAcgBcACIALAAgAFwAIgBTAG8AcgBnAGgAdQBtACAAZwByAGEAaQBuACAAKABmAG8AcgAgAHMAZQBlAGQAKQBcACIALAAgAFwAIgBBAHUAcwB0AHIAYQBsAGkAYQBcACIALAAgAFwAIgBrAGcAXAAiACwAIAAwAC4AMgAzADIALAAgAFwAIgBhAHQAIABtAGEAcgBrAGUAdABcACIAOwBcAG4AIAAgACAAIAAgACAAIAAgAFwAIgBPAHQAaABlAHIAXAAiACwAIABcACIATwB0AGgAZQByAFwAIgAsACAAXAAiAFcAaABlAGEAdAAgAGcAcgBhAGkAbgAgACgAZgBvAHIAIABzAGUAZQBkACkAXAAiACwAIABcACIAQQB1AHMAdAByAGEAbABpAGEAXAAiACwAIABcACIAawBnAFwAIgAsACAAMAAuADIANgA4ACwAIABcACIAYQB0ACAAbQBhAHIAawBlAHQAXAAiAFwAbgAgACAAIAAgACAAIAB9ACwAIAByACwAIABjACkAXABuACkAKQApADsAXABuAFwAbgBcAG4ALwAqAFwAbgA9AD0APQA9AD0APQA9AD0APQA9AD0APQA9AD0APQA9AD0APQA9AD0APQA9AD0APQA9AD0APQA9AD0APQA9AD0APQA9AD0APQA9AD0APQA9AD0APQA9AD0APQA9AD0APQA9AD0APQA9AD0APQA9AD0APQA9AD0APQA9AD0APQA9AD0APQA9AD0APQA9AD0APQA9AD0APQA9AFwAbgBQAGEAYwBrAGEAZwBpAG4AZwBcAG4APQA9AD0APQA9AD0APQA9AD0APQA9AD0APQA9AD0APQA9AD0APQA9AD0APQA9AD0APQA9AD0APQA9AD0APQA9AD0APQA9AD0APQA9AD0APQA9AD0APQA9AD0APQA9AD0APQA9AD0APQA9AD0APQA9AD0APQA9AD0APQA9AD0APQA9AD0APQA9AD0APQA9AD0APQA9AD0APQBcAG4AKgAvAFwAbgBcAG4AUwBjAG8AcABlADMAXwBQAGEAYwBrAGEAZwBpAG4AZwBfAFQAaQB0AGwAZQBcAG4APQBMAEEATQBCAEQAQQAoACgAXAAiAFAAYQBjAGsAYQBnAGkAbgBnACAAcwBjAG8AcABlACAAMwBcACIAKQApADsAXABuAFwAbgBTAGMAbwBwAGUAMwBfAFAAYQBjAGsAYQBnAGkAbgBn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UABhAGMAawBhAGcAaQBuAGcAXwBWAGEAcgBpAGEAdABpAG8AbgBcAG4APQBMAEEATQBCAEQAQQAoACgAXAAiAFwAIgApACkAOwBcAG4AXABuAFMAYwBvAHAAZQAzAF8AUABhAGMAawBhAGcAaQBuAGcAXwBEAGEAdABhAFwAbgA9AEwAQQBNAEIARABBACgAXABuACAAIABNAEEASwBFAEEAUgBSAEEAWQAoADU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QAGEAYwBrAGEAZwBpAG4AZwBcACIALAAgAFwAIgBQAGEAYwBrAGEAZwBpAG4AZwBcACIALAAgAFwAIgBDAG8AcgByAHUAZwBhAHQAZQBkACAAYgBvAGEAcgBkAFwAIgAsACAAXAAiAEcAbABvAGIAYQBsAFwAIgAsACAAXAAiAGsAZwBcACIALAAgADEALgAwADUALAAgAFwAIgBhAHQAIABtAGEAbgB1AGYAYQBjAHQAdQByAGUAcgBcACIAOwBcAG4AIAAgACAAIAAgACAAIAAgAFwAIgBQAGEAYwBrAGEAZwBpAG4AZwBcACIALAAgAFwAIgBQAGEAYwBrAGEAZwBpAG4AZwBcACIALAAgAFwAIgBQAGwAYQBzAHQAaQBjACAAYwByAGEAdABlACAAcABvAGwAeQBwAHIAbwBwAHkAbABlAG4AZQBcACIALAAgAFwAIgBHAGwAbwBiAGEAbABcACIALAAgAFwAIgBwAFwAIgAsACAAMwAuADkAOQAsACAAXAAiAGEAdAAgAG0AYQBuAHUAZgBhAGMAdAB1AHIAZQByAFwAIgA7AFwAbgAgACAAIAAgACAAIAAgACAAXAAiAFAAYQBjAGsAYQBnAGkAbgBnAFwAIgAsACAAXAAiAFAAYQBjAGsAYQBnAGkAbgBnAFwAIgAsACAAXAAiAFAAbABhAHMAdABpAGMAIABmAGkAbABtACAATABEAFAARQBcACIALAAgAFwAIgBHAGwAbwBiAGEAbABcACIALAAgAFwAIgBrAGcAXAAiACwAIAAzAC4ANAA0ACwAIABcACIAYQB0ACAAbQBhAG4AdQBmAGEAYwB0AHUAcgBlAHIAXAAiADsAXABuACAAIAAgACAAIAAgACAAIABcACIAUABhAGMAawBhAGcAaQBuAGcAXAAiACwAIABcACIAUABhAGMAawBhAGcAaQBuAGcAXAAiACwAIABcACIAUABsAGEAcwB0AGkAYwAgAHMAaABlAGUAdAAgAEgARABQAEUAXAAiACwAIABcACIARwBsAG8AYgBhAGwAXAAiACwAIABcACIAawBnAFwAIgAsACAAMwAuADcAMgAsACAAXAAiAGEAdAAgAG0AYQBuAHUAZgBhAGMAdAB1AHIAZQByAFwAIgBcAG4AIAAgACAAIAAgACAAfQAsACAAcgAsACAAYwApAFwAbgApACkAKQA7AFwAbgBcAG4AXABuAC8AKgBcAG4APQA9AD0APQA9AD0APQA9AD0APQA9AD0APQA9AD0APQA9AD0APQA9AD0APQA9AD0APQA9AD0APQA9AD0APQA9AD0APQA9AD0APQA9AD0APQA9AD0APQA9AD0APQA9AD0APQA9AD0APQA9AD0APQA9AD0APQA9AD0APQA9AD0APQA9AD0APQA9AD0APQA9AD0APQA9AD0APQBcAG4AUABlAHMAdABpAGMAaQBkAGUAcwBcAG4APQA9AD0APQA9AD0APQA9AD0APQA9AD0APQA9AD0APQA9AD0APQA9AD0APQA9AD0APQA9AD0APQA9AD0APQA9AD0APQA9AD0APQA9AD0APQA9AD0APQA9AD0APQA9AD0APQA9AD0APQA9AD0APQA9AD0APQA9AD0APQA9AD0APQA9AD0APQA9AD0APQA9AD0APQA9AD0APQBcAG4AKgAvAFwAbgBcAG4AUwBjAG8AcABlADMAXwBQAGUAcwB0AGkAYwBpAGQAZQBzAF8AVABpAHQAbABlAFwAbgA9AEwAQQBNAEIARABBACgAKABcACIAUABlAHMAdABpAGMAaQBkAGUAcwAgAHMAYwBvAHAAZQAgADMAXAAiACkAKQA7AFwAbgBcAG4AUwBjAG8AcABlADMAXwBQAGUAcwB0AGkAYwBpAGQAZQBzAF8AUwBvAHUAcgBjAGUAXABuAD0ATABBAE0AQgBEAEEAKA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CkAOwBcAG4AXABuAFMAYwBvAHAAZQAzAF8AUABlAHMAdABpAGMAaQBkAGUAcwBfAFYAYQByAGkAYQB0AGkAbwBuAFwAbgA9AEwAQQBNAEIARABBACgAKABcACIAXAAiACkAKQA7AFwAbgBcAG4AUwBjAG8AcABlADMAXwBQAGUAcwB0AGkAYwBpAGQAZQBzAF8ARABhAHQAYQBcAG4APQBMAEEATQBCAEQAQQAoAFwAbgAgACAATQBBAEsARQBBAFIAUgBBAFkAKAAxADM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QAGUAcwB0AGkAYwBpAGQAZQBzAFwAIgAsACAAXAAiAFAAZQBzAHQAaQBjAGkAZABlAHMAXAAiACwAIABcACIAMgAsADQALQBEAFwAIgAsACAAXAAiAEcAbABvAGIAYQBsAFwAIgAsACAAXAAiAGsAZwAgAEEASQBcACIALAAgADUALgAyACwAIABcACIAYQB0ACAAbQBhAHIAawBlAHQAXAAiADsAXABuACAAIAAgACAAIAAgACAAIABcACIAUABlAHMAdABpAGMAaQBkAGUAcwBcACIALAAgAFwAIgBQAGUAcwB0AGkAYwBpAGQAZQBzAFwAIgAsACAAXAAiAEEAdAByAGEAegBpAG4AZQBcACIALAAgAFwAIgBHAGwAbwBiAGEAbABcACIALAAgAFwAIgBrAGcAIABBAEkAXAAiACwAIAA4AC4AMwA4ACwAIABcACIAYQB0ACAAbQBhAHIAawBlAHQAXAAiADsAXABuACAAIAAgACAAIAAgACAAIABcACIAUABlAHMAdABpAGMAaQBkAGUAcwBcACIALAAgAFwAIgBQAGUAcwB0AGkAYwBpAGQAZQBzAFwAIgAsACAAXAAiAEQAaQB1AHIAbwBuAFwAIgAsACAAXAAiAEcAbABvAGIAYQBsAFwAIgAsACAAXAAiAGsAZwAgAEEASQBcACIALAAgADgALgA4ACwAIABcACIAYQB0ACAAbQBhAHIAawBlAHQAXAAiADsAXABuACAAIAAgACAAIAAgACAAIABcACIAUABlAHMAdABpAGMAaQBkAGUAcwBcACIALAAgAFwAIgBQAGUAcwB0AGkAYwBpAGQAZQBzAFwAIgAsACAAXAAiAEcAbAB5AHAAaABvAHMAYQB0AGUAXAAiACwAIABcACIARwBsAG8AYgBhAGwAXAAiACwAIABcACIAawBnACAAQQBJAFwAIgAsACAAMQAwAC4AMwAsACAAXAAiAGEAdAAgAG0AYQByAGsAZQB0AFwAIgA7AFwAbgAgACAAIAAgACAAIAAgACAAXAAiAFAAZQBzAHQAaQBjAGkAZABlAHMAXAAiACwAIABcACIAUABlAHMAdABpAGMAaQBkAGUAcwBcACIALAAgAFwAIgBNAGEAbgBjAG8AegBlAGIAXAAiACwAIABcACIARwBsAG8AYgBhAGwAXAAiACwAIABcACIAawBnACAAQQBJAFwAIgAsACAANAAuADUANQAsACAAXAAiAGEAdAAgAG0AYQByAGsAZQB0AFwAIgA7AFwAbgAgACAAIAAgACAAIAAgACAAXAAiAFAAZQBzAHQAaQBjAGkAZABlAHMAXAAiACwAIABcACIAUABlAHMAdABpAGMAaQBkAGUAcwBcACIALAAgAFwAIgBNAEMAUABBAFwAIgAsACAAXAAiAEcAbABvAGIAYQBsAFwAIgAsACAAXAAiAGsAZwAgAEEASQBcACIALAAgADUALgA2ACwAIABcACIAYQB0ACAAbQBhAHIAawBlAHQAXAAiADsAXABuACAAIAAgACAAIAAgACAAIABcACIAUABlAHMAdABpAGMAaQBkAGUAcwBcACIALAAgAFwAIgBQAGUAcwB0AGkAYwBpAGQAZQBzAFwAIgAsACAAXAAiAE0AZQB0AG8AbABhAGMAaABsAG8AcgBcACIALAAgAFwAIgBHAGwAbwBiAGEAbABcACIALAAgAFwAIgBrAGcAIABBAEkAXAAiACwAIAA4AC4AMAA2ACwAIABcACIAYQB0ACAAbQBhAHIAawBlAHQAXAAiADsAXABuACAAIAAgACAAIAAgACAAIABcACIAUABlAHMAdABpAGMAaQBkAGUAcwBcACIALAAgAFwAIgBQAGUAcwB0AGkAYwBpAGQAZQBzAFwAIgAsACAAXAAiAE0AZQB0AHMAdQBsAGYAdQByAG8AbgAtAG0AZQB0AGgAeQBsAFwAIgAsACAAXAAiAEcAbABvAGIAYQBsAFwAIgAsACAAXAAiAGsAZwAgAEEASQBcACIALAAgADgALgA4ACwAIABcACIAYQB0ACAAbQBhAHIAawBlAHQAXAAiADsAXABuACAAIAAgACAAIAAgACAAIABcACIAUABlAHMAdABpAGMAaQBkAGUAcwBcACIALAAgAFwAIgBQAGUAcwB0AGkAYwBpAGQAZQBzAFwAIgAsACAAXAAiAFAAZQBzAHQAaQBjAGkAZABlAHMAIAAoAGcAZQBuAGUAcgBpAGMAKQBcACIALAAgAFwAIgBHAGwAbwBiAGEAbABcACIALAAgAFwAIgBrAGcAIABBAEkAXAAiACwAIAA5AC4AMQA2ACwAIABcACIAYQB0ACAAbQBhAHIAawBlAHQAXAAiADsAXABuACAAIAAgACAAIAAgACAAIABcACIAUABlAHMAdABpAGMAaQBkAGUAcwBcACIALAAgAFwAIgBQAGUAcwB0AGkAYwBpAGQAZQBzAFwAIgAsACAAXAAiAFQAcgBpAC0AYQBsAGwAYQB0AGUAXAAiACwAIABcACIARwBsAG8AYgBhAGwAXAAiACwAIABcACIAawBnACAAQQBJAFwAIgAsACAAOAAuADUANwAsACAAXAAiAGEAdAAgAG0AYQByAGsAZQB0AFwAIgA7AFwAbgAgACAAIAAgACAAIAAgACAAXAAiAFAAZQBzAHQAaQBjAGkAZABlAHMAXAAiACwAIABcACIAUABlAHMAdABpAGMAaQBkAGUAcwBcACIALAAgAFwAIgBUAHIAaQBiAGUAbgB1AHIAbwBuACAAbQBlAHQAaAB5AGwAXAAiACwAIABcACIARwBsAG8AYgBhAGwAXAAiACwAIABcACIAawBnACAAQQBJAFwAIgAsACAAOAAuADgALAAgAFwAIgBhAHQAIABtAGEAcgBrAGUAdABcACIAOwBcAG4AIAAgACAAIAAgACAAIAAgAFwAIgBQAGUAcwB0AGkAYwBpAGQAZQBzAFwAIgAsACAAXAAiAFAAZQBzAHQAaQBjAGkAZABlAHMAXAAiACwAIABcACIAVAByAGkAZgBsAHUAcgBhAGwAaQBuAFwAIgAsACAAXAAiAEcAbABvAGIAYQBsAFwAIgAsACAAXAAiAGsAZwAgAEEASQBcACIALAAgADYALgAxADYALAAgAFwAIgBhAHQAIABtAGEAcgBrAGUAdABcACIAXABuACAAIAAgACAAIAAgAH0ALAAgAHIALAAgAGMAKQBcAG4AKQApACkAOwBcAG4AXABuAFwAbgAvACoAXABuAD0APQA9AD0APQA9AD0APQA9AD0APQA9AD0APQA9AD0APQA9AD0APQA9AD0APQA9AD0APQA9AD0APQA9AD0APQA9AD0APQA9AD0APQA9AD0APQA9AD0APQA9AD0APQA9AD0APQA9AD0APQA9AD0APQA9AD0APQA9AD0APQA9AD0APQA9AD0APQA9AD0APQA9AD0APQA9AD0AXABuAFMAbwBpAGwAIABhAG0AZQBuAGQAbQBlAG4AdABzAFwAbgA9AD0APQA9AD0APQA9AD0APQA9AD0APQA9AD0APQA9AD0APQA9AD0APQA9AD0APQA9AD0APQA9AD0APQA9AD0APQA9AD0APQA9AD0APQA9AD0APQA9AD0APQA9AD0APQA9AD0APQA9AD0APQA9AD0APQA9AD0APQA9AD0APQA9AD0APQA9AD0APQA9AD0APQA9AD0APQA9AFwAbgAqAC8AXABuAFwAbgBTAGMAbwBwAGUAMwBfAFMAbwBpAGwAQQBtAGUAbgBkAG0AZQBuAHQAcwBfAFQAaQB0AGwAZQBcAG4APQBMAEEATQBCAEQAQQAoACgAXAAiAFMAbwBpAGwAIABhAG0AZQBuAGQAbQBlAG4AdABzACAAcwBjAG8AcABlACAAMwBcACIAKQApADsAXABuAFwAbgBTAGMAbwBwAGUAMwBfAFMAbwBpAGwAQQBtAGUAbgBkAG0AZQBuAHQAcwBfAFMAbwB1AHIAYwBlAFwAbgA9AEwAQQBNAEIARABBACg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pADsAXABuAFwAbgBTAGMAbwBwAGUAMwBfAFMAbwBpAGwAQQBtAGUAbgBkAG0AZQBuAHQAcwBfAFYAYQByAGkAYQB0AGkAbwBuAFwAbgA9AEwAQQBNAEIARABBACgAKABcACIAXAAiACkAKQA7AFwAbgBcAG4AUwBjAG8AcABlADMAXwBTAG8AaQBsAEEAbQBlAG4AZABtAGUAbgB0AHMAXwBEAGEAdABhAFwAbgA9AEwAQQBNAEIARABBACgAXABuACAAIABNAEEASwBFAEEAUgBSAEEAWQAoADQALAAgADcALABcAG4AIAAgACAAIABMAEEATQBCAEQAQQAoAHIALABjACwAXABuACAAIAAgACAAIAAgAEkATgBEAEUAWAAoAHsAXABuACAAIAAgACAAIAAgACAAIABcACIAQwBhAHQAZQBnAG8AcgB5AFwAIgAsACAAXAAiAFMAdQBiAC0AYwBhAHQAZQBnAG8AcgB5AFwAIgAsACAAXAAiAFAAcgBvAGQAdQBjAHQAIABuAGEAbQBlAFwAIgAsACAAXAAiAFIAZQBnAGkAbwBuACAAbwBmACAAbwByAGkAZwBpAG4AXAAiACwAIABcACIAUAByAG8AZAB1AGMAdAAgAFUAbgBpAHQAXAAiACwAIABcACIARwBIAEcAIABlAG0AaQBzAHMAaQBvAG4AIABpAG4AdABlAG4AcwBpAHQAeQBcACIALAAgAFwAIgBTAHkAcwB0AGUAbQAgAGIAbwB1AG4AZABhAHIAeQBcACIAOwBcAG4AIAAgACAAIAAgACAAIAAgAFwAIgBTAG8AaQBsACAAYQBtAGUAbABpAG8AcgBhAG4AdABzAFwAIgAsACAAXAAiAFMAbwBpAGwAIABhAG0AZQBsAGkAbwByAGEAbgB0AHMAXAAiACwAIABcACIARABvAGwAbwBtAGkAdABlAFwAIgAsACAAXAAiAEEAdQBzAHQAcgBhAGwAaQBhAFwAIgAsACAAXAAiAGsAZwBcACIALAAgADAALgAwADYANQAyACwAIABcACIAYQB0ACAAbQBhAHIAawBlAHQAXAAiADsAXABuACAAIAAgACAAIAAgACAAIABcACIAUwBvAGkAbAAgAGEAbQBlAGwAaQBvAHIAYQBuAHQAcwBcACIALAAgAFwAIgBTAG8AaQBsACAAYQBtAGUAbABpAG8AcgBhAG4AdABzAFwAIgAsACAAXAAiAEcAeQBwAHMAdQBtAFwAIgAsACAAXAAiAEEAdQBzAHQAcgBhAGwAaQBhAFwAIgAsACAAXAAiAGsAZwBcACIALAAgADAALgAwADYANQAyACwAIABcACIAYQB0ACAAbQBhAHIAawBlAHQAXAAiADsAXABuACAAIAAgACAAIAAgACAAIABcACIAUwBvAGkAbAAgAGEAbQBlAGwAaQBvAHIAYQBuAHQAcwBcACIALAAgAFwAIgBTAG8AaQBsACAAYQBtAGUAbABpAG8AcgBhAG4AdABzAFwAIgAsACAAXAAiAEwAaQBtAGUAcwB0AG8AbgBlACAAKABjAHIAdQBzAGgAZQBkACkAXAAiACwAIABcACIAQQB1AHMAdAByAGEAbABpAGEAXAAiACwAIABcACIAawBnAFwAIgAsACAAMAAuADAANAA4ADUALAAgAFwAIgBhAHQAIABtAGEAcgBrAGUAdABcACIAXABuACAAIAAgACAAIAAgAH0ALAAgAHIALAAgAGMAKQBcAG4AKQApACkAOwBcAG4AIgB9ACwAewAiAHAAYQB0AGgAIgA6ACIALwBwAHIAbwBqAGUAYwB0AHMALwBDAG8AbQBtAG8AbgBMAGkAdgBlAHMAdABvAGMAaw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sAGkAdgBlAHMAdABvAGMAawAgAHQAeQBwAGUAcwBcAG4ARQB4AGMAZQBsACAAbQBvAGQAdQBsAGUAIABuAGEAbQBlADoAIABTAG8AdQByAGMAZQBEAGEAdABhAF8ATABpAHYAZQBzAHQAbwBjAGsAXwBDAG8AbQBtAG8Abg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UwBvAHUAcgBjAGUARABhAHQAYQBfAEwAaQB2AGUAcwB0AG8AYwBrAF8AQwBvAG0AbQBvAG4AXwBGAHIAYQBjAFcARQBUAE0ATQBTAFwAbgBGAHIAYQBjAFcARQBUAE0ATQBTAGkAIAA9ACAARgByAGEAYwB0AGkAbwBuACAAbwBmACAATgAgAGEAdgBhAGkAbABhAGIAbABlACAAZgBvAHIAIABsAGUAYQBjAGgAaQBuAGcAIABhAG4AZAAgAHIAdQBuAG8AZgBmAFwAbgAoAFQAYQBiAGwAZQAgAEEANQAuADUALgAxADAALgAyACAAaQBzACAAcgBlAGYAZQByAGUAbgBjAGUAZAAgAGkAbgAgAE4ASQBSACAAYgB1AHQAIAAxACAAaQBzACAAdQBzAGUAZAApAFwAbgAtAC0ALQAtAC0ALQAtAC0ALQAtAC0ALQAtAC0ALQAtAC0ALQAtAC0ALQAtAC0ALQAtAC0ALQAtAC0ALQAtAC0ALQAtAC0ALQAtAC0AXABuACoALwBcAG4AXABuAFMAbwB1AHIAYwBlAEQAYQB0AGEAXwBMAGkAdgBlAHMAdABvAGMAawBfAEMAbwBtAG0AbwBuAF8ARgByAGEAYwBXAEUAVABNAE0AUwBfAFQAaQB0AGwAZQBcAG4AIAAgAD0ATABBAE0AQgBEAEEAKABcACIARgByAGEAYwB0AGkAbwBuACAAbwBmACAATgAgAGEAdgBhAGkAbABhAGIAbABlACAAZgBvAHIAIABsAGUAYQBjAGgAaQBuAGcAIABhAG4AZAAgAHIAdQBuAG8AZgBmAFwAIgApADsAXABuAFwAbgBTAG8AdQByAGMAZQBEAGEAdABhAF8ATABpAHYAZQBzAHQAbwBjAGsAXwBDAG8AbQBtAG8AbgBfAEYAcgBhAGMAVwBFAFQATQBNAFMAXwBVAG4AaQB0AFwAbgAgACAAPQBMAEEATQBCAEQAQQAoAFwAIgBGAHIAYQBjAHQAaQBvAG4AXAAiACkAOwBcAG4AXABuAFMAbwB1AHIAYwBlAEQAYQB0AGEAXwBMAGkAdgBlAHMAdABvAGMAawBfAEMAbwBtAG0AbwBuAF8ARgByAGEAYwBXAEUAVABNAE0AUwBfAFMAbwB1AHIAYwBlAFwAbgAgACAAPQBMAEEATQBCAEQAQQAoAFwAIgBOAGEAdABpAG8AbgBhAGwAIABJAG4AdgBlAG4AdABvAHIAeQAgAFIAZQBwAG8AcgB0ACAAMgAwADIAMwAgAFYAbwBsAHUAbQBlACAAMQA6ACAARQBxAHUAYQB0AGkAbwBuAHMAIAAzAC4AQgAuADUAYQBfADMALAAgADMALgBCAC4ANQBjAF8AMwAsACAAMwAuAEIALgA1AGQAXwAzAFwAIgApADsAXABuAFwAbgBTAG8AdQByAGMAZQBEAGEAdABhAF8ATABpAHYAZQBzAHQAbwBjAGsAXwBDAG8AbQBtAG8AbgBfAEYAcgBhAGMAVwBFAFQATQBNAFMAXwBEAGEAdABhAFwAbgAgACAAPQBMAEEATQBCAEQAQQAoADEAKQA7AFwAbgBcAG4ALwAqACAAXABuAC0ALQAtAC0ALQAtAC0ALQAtAC0ALQAtAC0ALQAtAC0ALQAtAC0ALQAtAC0ALQAtAC0ALQAtAC0ALQAtAC0ALQAtAC0ALQAtAC0ALQBcAG4AUwBvAHUAcgBjAGUARABhAHQAYQBfAEwAaQB2AGUAcwB0AG8AYwBrAF8AQwBvAG0AbQBvAG4AXwBGAHIAYQBjAEwARQBBAEMASABfAE0AUwBcAG4ARgByAGEAYwBMAEUAQQBDAEgAXwBNAFMAIAA9ACAAMAAuADAAMgAgACgARwBnACAATgAvAEcAZwAgAGEAcABwAGwAaQBlAGQAKQAgACgAQwBTACAARQBGACwAIABzAG8AdQByAGMAZQAgAEkAUABDAEMAIAAoADIAMAAxADkAKQApACAAXABuAGYAcgBhAGMAdABpAG8AbgAgAG8AZgAgAE4AIABsAG8AcwB0ACAAdABoAHIAbwB1AGcAaAAgAGwAZQBhAGMAaABpAG4AZwAgAGEAbgBkACAAcgB1AG4AbwBmAGYAXABuAC0ALQAtAC0ALQAtAC0ALQAtAC0ALQAtAC0ALQAtAC0ALQAtAC0ALQAtAC0ALQAtAC0ALQAtAC0ALQAtAC0ALQAtAC0ALQAtAC0ALQBcAG4AKgAvAFwAbgBcAG4AUwBvAHUAcgBjAGUARABhAHQAYQBfAEwAaQB2AGUAcwB0AG8AYwBrAF8AQwBvAG0AbQBvAG4AXwBGAHIAYQBjAEwARQBBAEMASABfAE0AUwBfAFQAaQB0AGwAZQBcAG4AIAAgAD0ATABBAE0AQgBEAEEAKABcACIARgByAGEAYwB0AGkAbwBuACAAbwBmACAATgAgAGwAbwBzAHQAIAB0AGgAcgBvAHUAZwBoACAAbABlAGEAYwBoAGkAbgBnACAAYQBuAGQAIAByAHUAbgBvAGYAZgBcACIAKQA7AFwAbgBcAG4AUwBvAHUAcgBjAGUARABhAHQAYQBfAEwAaQB2AGUAcwB0AG8AYwBrAF8AQwBvAG0AbQBvAG4AXwBGAHIAYQBjAEwARQBBAEMASABfAE0AUwBfAFUAbgBpAHQAXABuACAAIAA9AEwAQQBNAEIARABBACgAXAAiAEYAcgBhAGMAdABpAG8AbgBcACIAKQA7AFwAbgBcAG4AUwBvAHUAcgBjAGUARABhAHQAYQBfAEwAaQB2AGUAcwB0AG8AYwBrAF8AQwBvAG0AbQBvAG4AXwBGAHIAYQBjAEwARQBBAEMASABfAE0AUwBfAFMAbwB1AHIAYwBlAFwAbgAgACAAPQBMAEEATQBCAEQAQQAoAFwAIgBOAGEAdABpAG8AbgBhAGwAIABJAG4AdgBlAG4AdABvAHIAeQAgAFIAZQBwAG8AcgB0ACAAMgAwADIAMwAgAFYAbwBsAHUAbQBlACAAMQA6ACAARQBxAHUAYQB0AGkAbwBuAHMAIAAzAC4AQgAuADUAYQBfADMALAAgADMALgBCAC4ANQBjAF8AMwAsACAAMwAuAEIALgA1AGQAXwAzAFwAIgApADsAXABuAFwAbgBTAG8AdQByAGMAZQBEAGEAdABhAF8ATABpAHYAZQBzAHQAbwBjAGsAXwBDAG8AbQBtAG8AbgBfAEYAcgBhAGMATABFAEEAQwBIAF8ATQBTAF8ARABhAHQAYQBcAG4AIAAgAD0ATABBAE0AQgBEAEEAKABcAG4AIAAgACAAIABNAEEASwBFAEEAUgBSAEEAWQAoADgALAAgADIALAAgAFwAbgAgACAAIAAgACAAIABMAEEATQBCAEQAQQAoAHIALABjACwAIABcAG4AIAAgACAAIAAgACAAIAAgAEkATgBEAEUAWAAoAHsAXABuACAAIAAgACAAIAAgACAAIAAgACAAXAAiAFAAcgBvAGQAdQBjAHQAaQBvAG4AIABzAHkAcwB0AGUAbQBcACIALAAgAFwAIgBFAG0AaQBzAHMAaQBvAG4AIABmAGEAYwB0AG8AcgBcACIAOwBcAG4AIAAgACAAIAAgACAAIAAgACAAIAAgACAAXAAiAEkAcgByAGkAZwBhAHQAZQBkACAAcABhAHMAdAB1AHIAZQBcACIALAAgADAALgAwADAANQA5ADsAXABuACAAIAAgACAAIAAgACAAIAAgACAAIAAgAFwAIgBJAHIAcgBpAGcAYQB0AGUAZAAgAGMAcgBvAHAAXAAiACwAIAAwAC4AMAAwADcAOwBcAG4AIAAgACAAIAAgACAAIAAgACAAIAAgACAAXAAiAE4AbwBuAC0AaQByAHIAaQBnAGEAdABlAGQAIABwAGEAcwB0AHUAcgBlAFwAIgAsACAAMAAuADAAMAAxADgAOwBcAG4AIAAgACAAIAAgACAAIAAgACAAIAAgACAAXAAiAE4AbwBuAC0AaQByAHIAaQBnAGEAdABlAGQAIABjAHIAbwBwAFwAIgAsACAAMAAuADAAMAA0ADEAOwBcAG4AIAAgACAAIAAgACAAIAAgACAAIAAgACAAXAAiAFMAdQBnAGEAcgAgAGMAYQBuAGUAXAAiACwAIAAwAC4AMAAxADkAOQA7AFwAbgAgACAAIAAgACAAIAAgACAAIAAgACAAIABcACIAQwBvAHQAdABvAG4AXAAiACwAIAAwAC4AMAAwADUAMwA7AFwAbgAgACAAIAAgACAAIAAgACAAIAAgACAAIABcACIASABvAHIAdABpAGMAdQBsAHQAdQByAGUAXAAiACwAIAAwAC4AMAAwADYANA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EMAbwBtAG0AbwBuAF8AUwB5AG0AYgBvAGwAcwBNAE0AUwBcAG4AVABhAGIAbABlACAANQAuADEAMgAgAEEAZABkAGkAdABpAG8AbgBhAGwAIABzAHkAbQBiAG8AbABzACAAdQBzAGUAZAAgAGkAbgAgAGEAbABnAG8AcgBpAHQAaABtAHMAIABmAG8AcgAgAG0AYQBuAHUAcgBlACAAcgBlAGwAYQB0AGUAZAAgAGUAbQBpAHMAcwBpAG8AbgBzAFwAbgAtAC0ALQAtAC0ALQAtAC0ALQAtAC0ALQAtAC0ALQAtAC0ALQAtAC0ALQAtAC0ALQAtAC0ALQAtAC0ALQAtAC0ALQAtAC0ALQAtAC0AXABuACoALwBcAG4AXABuAFMAbwB1AHIAYwBlAEQAYQB0AGEAXwBMAGkAdgBlAHMAdABvAGMAawBfAEMAbwBtAG0AbwBuAF8AUwB5AG0AYgBvAGwAcwBNAE0AUwBfAFQAaQB0AGwAZQBcAG4AIAAgAD0ATABBAE0AQgBEAEEAKABcACIAVABhAGIAbABlACAANQAuADEAMgAgAEEAZABkAGkAdABpAG8AbgBhAGwAIABzAHkAbQBiAG8AbABzACAAdQBzAGUAZAAgAGkAbgAgAGEAbABnAG8AcgBpAHQAaABtAHMAIABmAG8AcgAgAG0AYQBuAHUAcgBlACAAcgBlAGwAYQB0AGUAZAAgAGUAbQBpAHMAcwBpAG8AbgBzAFwAIgApADsAXABuAFwAbgBTAG8AdQByAGMAZQBEAGEAdABhAF8ATABpAHYAZQBzAHQAbwBjAGsAXwBDAG8AbQBtAG8AbgBfAFMAeQBtAGIAbwBsAHMATQBNAFMAXwBWAGEAaQByAGEAYgBsAGUAXABuACAAIAA9AEwAQQBNAEIARABBACgAXAAiAE0ATQBTAFwAIgApADsAXABuAFwAbgBTAG8AdQByAGMAZQBEAGEAdABhAF8ATABpAHYAZQBzAHQAbwBjAGsAXwBDAG8AbQBtAG8AbgBfAFMAeQBtAGIAbwBsAHMATQBNAFMAXwBVAG4AaQB0AFwAbgAgACAAPQBMAEEATQBCAEQAQQAoAFwAIgBcACIAKQA7AFwAbgBcAG4AUwBvAHUAcgBjAGUARABhAHQAYQBfAEwAaQB2AGUAcwB0AG8AYwBrAF8AQwBvAG0AbQBvAG4AXwBTAHkAbQBiAG8AbABzAE0ATQBTAF8AUwBvAHUAcgBjAGUAXABuACAAIAA9AEwAQQBNAEIARABBACgAXAAiAE4AYQB0AGkAbwBuAGEAbAAgAEkAbgB2AGUAbgB0AG8AcgB5ACAAUgBlAHAAbwByAHQAIAAyADAAMgAzACAAVgBvAGwAdQBtAGUAIAAxADoAIABUAGEAYgBsAGUAIAA1AC4AMQAyAFwAIgApADsAXABuAFwAbgBTAG8AdQByAGMAZQBEAGEAdABhAF8ATABpAHYAZQBzAHQAbwBjAGsAXwBDAG8AbQBtAG8AbgBfAFMAeQBtAGIAbwBsAHMATQBNAFMAXwBEAGEAdABhAFwAbgAgACAAPQBMAEEATQBCAEQAQQAoAFwAbgAgACAAIAAgAE0AQQBLAEUAQQBSAFIAQQBZACgAMQA5ACwAIAAzACwAIABcAG4AIAAgACAAIAAgACAATABBAE0AQgBEAEEAKAByACwAYwAsACAAXABuACAAIAAgACAAIAAgACAAIABJAE4ARABFAFgAKAB7AFwAbgAgACAAIAAgACAAIAAgACAAIAAgAFwAIgBTAHkAbQBiAG8AbABcACIALAAgAFwAIgBNAGEAbgB1AHIAZQAgAG0AYQBuAGEAZwBlAG0AZQBuAHQAIABzAHkAcwB0AGUAbQBcACIALAAgAFwAIgBcACIAOwBcAG4AIAAgACAAIAAgACAAIAAgACAAIAAgACAAXAAiADEAXAAiACwAIABcACIAQQBuAGEAZQByAG8AYgBpAGMAIABsAGEAZwBvAG8AbgBcACIALAAgAFwAIgBBAG4AYQBlAHIAbwBiAGkAYwAgAGwAYQBnAG8AbwBuACAAKABtAD0AMQApAFwAIgA7AFwAbgAgACAAIAAgACAAIAAgACAAIAAgACAAIABcACIAMgBcACIALAAgAFwAIgBMAGkAcQB1AGkAZAAgAHMAeQBzAHQAZQBtAHMAXAAiACwAIABcACIATABpAHEAdQBpAGQAIABzAHkAcwB0AGUAbQBzACAAKABtAD0AMgApAFwAIgA7AFwAbgAgACAAIAAgACAAIAAgACAAIAAgACAAIABcACIAMwBcACIALAAgAFwAIgBEAGEAaQBsAHkAIABzAHAAcgBlAGEAZABcACIALAAgAFwAIgBEAGEAaQBsAHkAIABzAHAAcgBlAGEAZAAgACgAbQA9ADMAKQBcACIAOwBcAG4AIAAgACAAIAAgACAAIAAgACAAIAAgACAAXAAiADMAYQBcACIALAAgAFwAIgBTAHUAbQBwACAAYQBuAGQAIABkAGkAcwBwAGUAcgBzAGEAbAAgAHMAeQBzAHQAZQBtAFwAIgAsACAAXAAiAFMAdQBtAHAAIABhAG4AZAAgAGQAaQBzAHAAZQByAHMAYQBsACAAcwB5AHMAdABlAG0AIAAoAG0APQAzAGEAKQBcACIAOwBcAG4AIAAgACAAIAAgACAAIAAgACAAIAAgACAAXAAiADMAYgBcACIALAAgAFwAIgBEAHIAYQBpAG4AcwAgAHQAbwAgAHAAYQBkAGQAbwBjAGsAXAAiACwAIABcACIARAByAGEAaQBuAHMAIAB0AG8AIABwAGEAZABkAG8AYwBrACAAKABtAD0AMwBiACkAXAAiADsAXABuACAAIAAgACAAIAAgACAAIAAgACAAIAAgAFwAIgA0AFwAIgAsACAAXAAiAFMAbwBsAGkAZAAgAHMAdABvAHIAYQBnAGUAXAAiACwAIABcACIAUwBvAGwAaQBkACAAcwB0AG8AcgBhAGcAZQAgACgAbQA9ADQAKQBcACIAOwBcAG4AIAAgACAAIAAgACAAIAAgACAAIAAgACAAXAAiADUAXAAiACwAIABcACIARAByAHkAbABvAHQAIAAoAGYAZQBlAGQAIABwAGEAZAApAFwAIgAsACAAXAAiAEQAcgB5AGwAbwB0ACAAKABmAGUAZQBkACAAcABhAGQAKQAgACgAbQA9ADUAKQBcACIAOwBcAG4AIAAgACAAIAAgACAAIAAgACAAIAAgACAAXAAiADYAXAAiACwAIABcACIAQwBvAG0AcABvAHMAdABpAG4AZwAgACgAcABhAHMAcwBpAHYAZQAgAHcAaQBuAGQAcgBvAHcAKQBcACIALAAgAFwAIgBDAG8AbQBwAG8AcwB0AGkAbgBnACAAKABwAGEAcwBzAGkAdgBlACAAdwBpAG4AZAByAG8AdwApACAAKABtAD0ANgApAFwAIgA7AFwAbgAgACAAIAAgACAAIAAgACAAIAAgACAAIABcACIANwBcACIALAAgAFwAIgBEAGkAZwBlAHMAdABlAHIAIAAvACAAYwBvAHYAZQByAGUAZAAgAGwAYQBnAG8AbwBuAHMAXAAiACwAIABcACIARABpAGcAZQBzAHQAZQByACAALwAgAGMAbwB2AGUAcgBlAGQAIABsAGEAZwBvAG8AbgBzACAAKABtAD0ANwApAFwAIgA7AFwAbgAgACAAIAAgACAAIAAgACAAIAAgACAAIABcACIAOABcACIALAAgAFwAIgBEAGUAZQBwACAAbABpAHQAdABlAHIAXAAiACwAIABcACIARABlAGUAcAAgAGwAaQB0AHQAZQByACAAKABtAD0AOAApAFwAIgA7AFwAbgAgACAAIAAgACAAIAAgACAAIAAgACAAIABcACIAOQBcACIALAAgAFwAIgBQAGkAdAAgAHMAdABvAHIAYQBnAGUAXAAiACwAIABcACIAUABpAHQAIABzAHQAbwByAGEAZwBlACAAKABtAD0AOQApAFwAIgA7AFwAbgAgACAAIAAgACAAIAAgACAAIAAgACAAIABcACIAMQAwAFwAIgAsACAAXAAiAFAAbwB1AGwAdAByAHkAIABtAGEAbgB1AHIAZQAgAHcAaQB0AGgAIABiAGUAZABkAGkAbgBnAFwAIgAsACAAXAAiAFAAbwB1AGwAdAByAHkAIABtAGEAbgB1AHIAZQAgAHcAaQB0AGgAIABiAGUAZABkAGkAbgBnACAAKABtAD0AMQAwACkAXAAiADsAXABuACAAIAAgACAAIAAgACAAIAAgACAAIAAgAFwAIgAxADEAXAAiACwAIABcACIAUABvAHUAbAB0AHIAeQAgAG0AYQBuAHUAcgBlACAAdwBpAHQAaABvAHUAdAAgAGIAZQBkAGQAaQBuAGcAXAAiACwAIABcACIAUABvAHUAbAB0AHIAeQAgAG0AYQBuAHUAcgBlACAAdwBpAHQAaABvAHUAdAAgAGIAZQBkAGQAaQBuAGcAIAAoAG0APQAxADEAKQBcACIAOwBcAG4AIAAgACAAIAAgACAAIAAgACAAIAAgACAAXAAiADEAMQBhAFwAIgAsACAAXAAiAEIAZQBsAHQAIABtAGEAbgB1AHIAZQAgAHIAZQBtAG8AdgBhAGwAXAAiACwAIABcACIAQgBlAGwAdAAgAG0AYQBuAHUAcgBlACAAcgBlAG0AbwB2AGEAbAAgACgAbQA9ADEAMQBhACkAXAAiADsAXABuACAAIAAgACAAIAAgACAAIAAgACAAIAAgAFwAIgAxADEAYgBcACIALAAgAFwAIgBNAGEAbgB1AHIAZQAgAHMAdABvAHIAZQBkACAAaQBuACAAaABvAHUAcwBlAFwAIgAsACAAXAAiAE0AYQBuAHUAcgBlACAAcwB0AG8AcgBlAGQAIABpAG4AIABoAG8AdQBzAGUAIAAoAG0APQAxADEAYgApAFwAIgA7AFwAbgAgACAAIAAgACAAIAAgACAAIAAgACAAIABcACIAMQAyAFwAIgAsACAAXAAiAEQAaQByAGUAYwB0ACAAcAByAG8AYwBlAHMAcwBpAG4AZwBcACIALAAgAFwAIgBEAGkAcgBlAGMAdAAgAHAAcgBvAGMAZQBzAHMAaQBuAGcAIAAoAG0APQAxADIAKQBcACIAOwBcAG4AIAAgACAAIAAgACAAIAAgACAAIAAgACAAXAAiADEAMwBcACIALAAgAFwAIgBEAGkAcgBlAGMAdAAgAGEAcABwAGwAaQBjAGEAdABpAG8AbgBcACIALAAgAFwAIgBEAGkAcgBlAGMAdAAgAGEAcABwAGwAaQBjAGEAdABpAG8AbgAgACgAbQA9ADEAMwApAFwAIgA7AFwAbgAgACAAIAAgACAAIAAgACAAIAAgACAAIABcACIAMQA0AFwAIgAsACAAXAAiAFAAYQBzAHQAdQByAGUAIAByAGEAbgBnAGUAIABhAG4AZAAgAHAAYQBkAGQAbwBjAGsAXAAiACwAIABcACIAUABhAHMAdAB1AHIAZQAgAHIAYQBuAGcAZQAgAGEAbgBkACAAcABhAGQAZABvAGMAawAgACgAbQA9ADEANAAp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CAGUAZQBmAEMAYQB0AHQAbABlAFwAbgAtAC0ALQAtAC0ALQAtAC0ALQAtAC0ALQAtAC0ALQAtAC0ALQAtAC0ALQAtAC0ALQAtAC0ALQAtAC0ALQAtAC0ALQAtAC0ALQAtAC0AXABuACoALwBcAG4AXABuAFMAbwB1AHIAYwBlAEQAYQB0AGEAXwBMAGkAdgBlAHMAdABvAGMAawBfAFAAcgBvAGQAdQBjAHQAXwBCAGUAZQBmAEMAYQB0AHQAbABlAF8AVABpAHQAbABlAFwAbgAgACAAPQBMAEEATQBCAEQAQQAoAFwAIgBCAGUAZQBmACAAYwBhAHQAdABsAGUAIABwAHIAbwBkAHUAYwB0AHMAIABmAG8AcgAgAHMAYwBvAHAAZQAgADMAXAAiACkAOwBcAG4AXABuAFMAbwB1AHIAYwBlAEQAYQB0AGEAXwBMAGkAdgBlAHMAdABvAGMAawBfAFAAcgBvAGQAdQBjAHQAXwBCAGUAZQBmAEMAYQB0AHQAbABlAF8AVgBhAGkAcgBhAGIAbABlAFwAbgAgACAAPQBMAEEATQBCAEQAQQAoAFwAIgBcACIAKQA7AFwAbgBcAG4AUwBvAHUAcgBjAGUARABhAHQAYQBfAEwAaQB2AGUAcwB0AG8AYwBrAF8AUAByAG8AZAB1AGMAdABfAEIAZQBlAGYAQwBhAHQAdABsAGUAXwBVAG4AaQB0AFwAbgAgACAAPQBMAEEATQBCAEQAQQAoAFwAIgBcACIAKQA7AFwAbgBcAG4AUwBvAHUAcgBjAGUARABhAHQAYQBfAEwAaQB2AGUAcwB0AG8AYwBrAF8AUAByAG8AZAB1AGMAdABfAEIAZQBlAGYAQ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IAZQBlAGYAQwBhAHQAdABsAGUAXwBEAGEAdABhAFwAbgAgACAAPQBMAEEATQBCAEQAQQAoAFwAbgAgACAAIAAgAE0AQQBLAEUAQQBSAFIAQQBZACgAOQAsACAAMgAsACAAXABuACAAIAAgACAAIAAgAEwAQQBNAEIARABBACgAcgAsAGMALAAgAFwAbgAgACAAIAAgACAAIAAgACAASQBOAEQARQBYACgAewBcAG4AIAAgACAAIAAgACAAIAAgACAAIABcACIAUAByAG8AZAB1AGMAdABcACIALAAgAFwAIgBTAG8AdQByAGMAZQAgAHIAZQBnAGkAbwBuAFwAIgA7AFwAbgAgACAAIAAgACAAIAAgACAAIAAgACAAIABcACIAQwBhAHQAdABsAGUALAAgAGYAbwByACAAbQBhAG4AdQBmAGEAYwB0AHUAcgBpAG4AZwAgAGIAZQBlAGYAXAAiACwAIABcACIAQQB1AHMAdAByAGEAbABpAGEAXAAiADsAXABuACAAIAAgACAAIAAgACAAIAAgACAAIAAgAFwAIgBDAGEAdAB0AGwAZQAsACAAZgBvAHIAIABwAHIAaQBtAGUAIABiAGUAZQBmAFwAIgAsACAAXAAiAE4AUwBXAFwAIgA7AFwAbgAgACAAIAAgACAAIAAgACAAIAAgACAAIABcACIAQwBhAHQAdABsAGUALAAgAHcAZQBhAG4AZQByAHMAXAAiACwAIABcACIATgBU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LwAqACAAXABuAC0ALQAtAC0ALQAtAC0ALQAtAC0ALQAtAC0ALQAtAC0ALQAtAC0ALQAtAC0ALQAtAC0ALQAtAC0ALQAtAC0ALQAtAC0ALQAtAC0ALQBcAG4AUwBvAHUAcgBjAGUARABhAHQAYQBfAEwAaQB2AGUAcwB0AG8AYwBrAF8AUAByAG8AZAB1AGMAdABfAEMAaABpAGMAawBlAG4AcwBcAG4ALQAtAC0ALQAtAC0ALQAtAC0ALQAtAC0ALQAtAC0ALQAtAC0ALQAtAC0ALQAtAC0ALQAtAC0ALQAtAC0ALQAtAC0ALQAtAC0ALQAtAFwAbgAqAC8AXABuAFwAbgBTAG8AdQByAGMAZQBEAGEAdABhAF8ATABpAHYAZQBzAHQAbwBjAGsAXwBQAHIAbwBkAHUAYwB0AF8AQwBoAGkAYwBrAGUAbgBzAF8AVABpAHQAbABlAFwAbgAgACAAPQBMAEEATQBCAEQAQQAoAFwAIgBDAGgAaQBjAGsAZQBuAHMAIABwAHIAbwBkAHUAYwB0AHMAIABmAG8AcgAgAHMAYwBvAHAAZQAgADMAXAAiACkAOwBcAG4AXABuAFMAbwB1AHIAYwBlAEQAYQB0AGEAXwBMAGkAdgBlAHMAdABvAGMAawBfAFAAcgBvAGQAdQBjAHQAXwBDAGgAaQBjAGsAZQBuAHMAXwBWAGEAaQByAGEAYgBsAGUAXABuACAAIAA9AEwAQQBNAEIARABBACgAXAAiAFwAIgApADsAXABuAFwAbgBTAG8AdQByAGMAZQBEAGEAdABhAF8ATABpAHYAZQBzAHQAbwBjAGsAXwBQAHIAbwBkAHUAYwB0AF8AQwBoAGkAYwBrAGUAbgBzAF8AVQBuAGkAdABcAG4AIAAgAD0ATABBAE0AQgBEAEEAKABcACIAXAAiACkAOwBcAG4AXABuAFMAbwB1AHIAYwBlAEQAYQB0AGEAXwBMAGkAdgBlAHMAdABvAGMAawBfAFAAcgBvAGQAdQBjAHQAXwBDAGgAaQBjAGsAZQBuAHM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MAaABpAGMAawBlAG4Acw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DAGgAaQBjAGsAZQBuAHMAXAAiACwAIABcACIAQQB1AHMAdAByAGEAbABpAGEAXAAiAFwAbgAgACAAIAAgACAAIAAgACAAfQAsACAAcgAsACAAYwApAFwAbgAgACAAIAAgACAAIAApAFwAbgAgACAAIAAgACkAXABuACAAIAApADsAXABuAFwAbgBcAG4ALwAqACAAXABuAC0ALQAtAC0ALQAtAC0ALQAtAC0ALQAtAC0ALQAtAC0ALQAtAC0ALQAtAC0ALQAtAC0ALQAtAC0ALQAtAC0ALQAtAC0ALQAtAC0ALQBcAG4AUwBvAHUAcgBjAGUARABhAHQAYQBfAEwAaQB2AGUAcwB0AG8AYwBrAF8AUAByAG8AZAB1AGMAdABfAEQAYQBpAHIAeQBjAGEAdAB0AGwAZQBcAG4ALQAtAC0ALQAtAC0ALQAtAC0ALQAtAC0ALQAtAC0ALQAtAC0ALQAtAC0ALQAtAC0ALQAtAC0ALQAtAC0ALQAtAC0ALQAtAC0ALQAtAFwAbgAqAC8AXABuAFwAbgBTAG8AdQByAGMAZQBEAGEAdABhAF8ATABpAHYAZQBzAHQAbwBjAGsAXwBQAHIAbwBkAHUAYwB0AF8ARABhAGkAcgB5AGMAYQB0AHQAbABlAF8AVABpAHQAbABlAFwAbgAgACAAPQBMAEEATQBCAEQAQQAoAFwAIgBEAGEAaQByAHkAIABjAGEAdAB0AGwAZQAgAHAAcgBvAGQAdQBjAHQAcwAgAGYAbwByACAAcwBjAG8AcABlACAAMwBcACIAKQA7AFwAbgBcAG4AUwBvAHUAcgBjAGUARABhAHQAYQBfAEwAaQB2AGUAcwB0AG8AYwBrAF8AUAByAG8AZAB1AGMAdABfAEQAYQBpAHIAeQBjAGEAdAB0AGwAZQBfAFYAYQBpAHIAYQBiAGwAZQBcAG4AIAAgAD0ATABBAE0AQgBEAEEAKABcACIAXAAiACkAOwBcAG4AXABuAFMAbwB1AHIAYwBlAEQAYQB0AGEAXwBMAGkAdgBlAHMAdABvAGMAawBfAFAAcgBvAGQAdQBjAHQAXwBEAGEAaQByAHkAYwBhAHQAdABsAGUAXwBVAG4AaQB0AFwAbgAgACAAPQBMAEEATQBCAEQAQQAoAFwAIgBcACIAKQA7AFwAbgBcAG4AUwBvAHUAcgBjAGUARABhAHQAYQBfAEwAaQB2AGUAcwB0AG8AYwBrAF8AUAByAG8AZAB1AGMAdABfAEQAYQBpAHIAeQBjAGEAdAB0AGwAZQ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RABhAGkAcgB5AGMAYQB0AHQAbABl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EQAYQBpAHIAeQAgAGMAbwB3AHMAXAAiACwAIABcACIAVgBJAEMAXAAiAFwAbgAgACAAIAAgACAAIAAgACAAfQAsACAAcgAsACAAYwApAFwAbgAgACAAIAAgACAAIAApAFwAbgAgACAAIAAgACkAXABuACAAIAApADsAXABuAFwAbgBcAG4ALwAqACAAXABuAC0ALQAtAC0ALQAtAC0ALQAtAC0ALQAtAC0ALQAtAC0ALQAtAC0ALQAtAC0ALQAtAC0ALQAtAC0ALQAtAC0ALQAtAC0ALQAtAC0ALQBcAG4AUwBvAHUAcgBjAGUARABhAHQAYQBfAEwAaQB2AGUAcwB0AG8AYwBrAF8AUAByAG8AZAB1AGMAdABfAFAAaQBnAHMAXABuAC0ALQAtAC0ALQAtAC0ALQAtAC0ALQAtAC0ALQAtAC0ALQAtAC0ALQAtAC0ALQAtAC0ALQAtAC0ALQAtAC0ALQAtAC0ALQAtAC0ALQBcAG4AKgAvAFwAbgBcAG4AUwBvAHUAcgBjAGUARABhAHQAYQBfAEwAaQB2AGUAcwB0AG8AYwBrAF8AUAByAG8AZAB1AGMAdABfAFAAaQBnAHMAXwBUAGkAdABsAGUAXABuACAAIAA9AEwAQQBNAEIARABBACgAXAAiAFAAaQBnAHMAIABwAHIAbwBkAHUAYwB0AHMAIABmAG8AcgAgAHMAYwBvAHAAZQAgADMAXAAiACkAOwBcAG4AXABuAFMAbwB1AHIAYwBlAEQAYQB0AGEAXwBMAGkAdgBlAHMAdABvAGMAawBfAFAAcgBvAGQAdQBjAHQAXwBQAGkAZwBzAF8AVgBhAGkAcgBhAGIAbABlAFwAbgAgACAAPQBMAEEATQBCAEQAQQAoAFwAIgBcACIAKQA7AFwAbgBcAG4AUwBvAHUAcgBjAGUARABhAHQAYQBfAEwAaQB2AGUAcwB0AG8AYwBrAF8AUAByAG8AZAB1AGMAdABfAFAAaQBnAHMAXwBVAG4AaQB0AFwAbgAgACAAPQBMAEEATQBCAEQAQQAoAFwAIgBcACIAKQA7AFwAbgBcAG4AUwBvAHUAcgBjAGUARABhAHQAYQBfAEwAaQB2AGUAcwB0AG8AYwBrAF8AUAByAG8AZAB1AGMAdABfAFAAaQBnAHM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FAAaQBn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UABpAGcAcwBcACIALAAgAFwAIgBBAHUAcwB0AHIAYQBsAGkAY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TAGgAZQBlAHAAXABuAC0ALQAtAC0ALQAtAC0ALQAtAC0ALQAtAC0ALQAtAC0ALQAtAC0ALQAtAC0ALQAtAC0ALQAtAC0ALQAtAC0ALQAtAC0ALQAtAC0ALQBcAG4AKgAvAFwAbgBcAG4AUwBvAHUAcgBjAGUARABhAHQAYQBfAEwAaQB2AGUAcwB0AG8AYwBrAF8AUAByAG8AZAB1AGMAdABfAFMAaABlAGUAcABfAFQAaQB0AGwAZQBcAG4AIAAgAD0ATABBAE0AQgBEAEEAKABcACIAUwBoAGUAZQBwACAAcAByAG8AZAB1AGMAdABzACAAZgBvAHIAIABzAGMAbwBwAGUAIAAzAFwAIgApADsAXABuAFwAbgBTAG8AdQByAGMAZQBEAGEAdABhAF8ATABpAHYAZQBzAHQAbwBjAGsAXwBQAHIAbwBkAHUAYwB0AF8AUwBoAGUAZQBwAF8AVgBhAGkAcgBhAGIAbABlAFwAbgAgACAAPQBMAEEATQBCAEQAQQAoAFwAIgBcACIAKQA7AFwAbgBcAG4AUwBvAHUAcgBjAGUARABhAHQAYQBfAEwAaQB2AGUAcwB0AG8AYwBrAF8AUAByAG8AZAB1AGMAdABfAFMAaABlAGUAcABfAFUAbgBpAHQAXABuACAAIAA9AEwAQQBNAEIARABBACgAXAAiAFwAIgApADsAXABuAFwAbgBTAG8AdQByAGMAZQBEAGEAdABhAF8ATABpAHYAZQBzAHQAbwBjAGsAXwBQAHIAbwBkAHUAYwB0AF8AUwBoAGUAZQBw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TAGgAZQBlAHAAXwBEAGEAdABhAFwAbgAgACAAPQBMAEEATQBCAEQAQQAoAFwAbgAgACAAIAAgAE0AQQBLAEUAQQBSAFIAQQBZACgAOAAsACAAMgAsACAAXABuACAAIAAgACAAIAAgAEwAQQBNAEIARABBACgAcgAsAGMALAAgAFwAbgAgACAAIAAgACAAIAAgACAASQBOAEQARQBYACgAewBcAG4AIAAgACAAIAAgACAAIAAgACAAIABcACIAUAByAG8AZAB1AGMAdABcACIALAAgAFwAIgBTAG8AdQByAGMAZQAgAHIAZQBnAGkAbwBuAFwAIgA7AFwAbgAgACAAIAAgACAAIAAgACAAIAAgACAAIABcACIAUwBoAGUAZQBwACwAIABmAG8AcgAgAG0AdQB0AHQAbwBuAFwAIgAsACAAXAAiAEEAdQBzAHQAcgBhAGwAaQBhAFwAIgA7AFwAbgAgACAAIAAgACAAIAAgACAAIAAgACAAIABcACIAUwBoAGUAZQBwACwAIABmAG8AcgAgAHAAcgBpAG0AZQAgAGwAYQBtAGIAXAAiACwAIABcACIATgBTAFcAXAAiADsAXABuACAAIAAgACAAIAAgACAAIAAgACAAIAAgAFwAIgBcACIALAAgAFwAIgBRAEwARABcACIAOwBcAG4AIAAgACAAIAAgACAAIAAgACAAIAAgACAAXAAiAFwAIgAsACAAXAAiAFMAQQBcACIAOwBcAG4AIAAgACAAIAAgACAAIAAgACAAIAAgACAAXAAiAFwAIgAsACAAXAAiAFQAQQBTAFwAIgA7AFwAbgAgACAAIAAgACAAIAAgACAAIAAgACAAIABcACIAXAAiACwAIABcACIAVgBJAEMAXAAiADsAXABuACAAIAAgACAAIAAgACAAIAAgACAAIAAgAFwAIgBcACIALAAgAFwAIgBXAEEAXAAiAFwAbgAgACAAIAAgACAAIAAgACAAfQAsACAAcgAsACAAYwApAFwAbgAgACAAIAAgACAAIAApAFwAbgAgACAAIAAgACkAXABuACAAIAApADsAXABuAFwAbgAiAH0ALAB7ACIAcABhAHQAaAAiADoAIgAvAHAAcgBvAGoAZQBjAHQAcwAvAEMAbwBtAG0AbwBuAEMAcgBvAHAAcABpAG4AZwBfAEkAbgBwAHUAdABGAHUAbgBjAHQAaQBvAG4AcwAiACwAIgB0AGUAeAB0ACIAOgAi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PgAwACwAIAAxACwAIAAwACkAXABuACAAIAAgACAAKQApADsAXABuAFwAbgBcAG4AQwBvAG0AbQBvAG4AQwByAG8AcABwAGkAbgBnAF8AQwBhAGwAYwB1AGwAYQB0AGUASABhAHIAdgBlAHMAdABJAG4AZABlAHgAXABuAD0ATABBAE0AQgBEAEEAKABcAG4AIAAgACAAIABDAHIAbwBwAFQAeQBwAGUALAAgAEMAcgBvAHAAVAB5AHAAZQBBAHIAcgBhAHkALAAgAFIAZQBzAGkAZAB1AGUAQwByAG8AcABSAGEAdABpAG8AQQByAHIAYQB5ACwAXABuACAAIAAgACAAMQAvACgAMQArAEMAbwBtAG0AbwBuAF8ASQBuAHAAdQB0AEYAdQBuAGMAdABpAG8AbgBzAC4AVQB0AGkAbABpAHQAeQBfAEwAbwBvAGsAdQBwAFYAYQBsAHUAZQBJAG4AVABhAGIAbABlAE4AdQBtAGIAZQByACgAQwByAG8AcABUAHkAcABlACwAIABDAHIAbwBwAFQAeQBwAGUAQQByAHIAYQB5ACwAIABSAGUAcwBpAGQAdQBlAEMAcgBvAHAAUgBhAHQAaQBvAEEAcgByAGEAeQApACkAXABuACkAOwBcAG4AXABuAEMAbwBtAG0AbwBuAEMAcgBvAHAAcABpAG4AZwBfAEMAYQBsAGMAdQBsAGEAdABlAFIAZQBzAGkAZAB1AGUAQwByAG8AcABSAGEAdABpAG8AXABuAD0ATABBAE0AQgBEAEEAKABcAG4AIAAgACAAIABIAGEAcgB2AGUAcwB0AEkAbgBkAGUAeAAsAFwAbgAgACAAIAAgACgAMQAtAEgAYQByAHYAZQBzAHQASQBuAGQAZQB4ACkALwBIAGEAcgB2AGUAcwB0AEkAbgBkAGUAeABcAG4AKQA7AFwAbgBcAG4AXABuAEMAbwBtAG0AbwBuAEMAcgBvAHAAcABpAG4AZwBfAEMAYQBsAGMAdQBsAGEAdABlAEYAcgBhAGMAdABpAG8AbgBSAGUAcwBpAGQAdQBlAFIAZQBtAG8AdgBlAGQAXABuAD0ATABBAE0AQgBEAEEAKABcAG4AIAAgACAAIABUAG8AdABhAGwAUgBlAHMAaQBkAHUAZQAsACAAQQBtAG8AdQBuAHQAUgBlAG0AbwB2AGUAZAAsAFwAbgAgACAAIAAgACgAQQBtAG8AdQBuAHQAUgBlAG0AbwB2AGUAZAAqADEAMABeADMAKQAvACgAVABvAHQAYQBsAFIAZQBzAGkAZAB1AGUAKgAxADAAXgAzACkAXABuACkAIgB9AF0ALAAiAHAAcgBvAGoAZQBjAHQATgBhAG0AZQBzACIAOgBbACIAQwBvAG0AbQBvAG4AXwBFAHEAdQBhAHQAaQBvAG4AcwAuAEMAbwBtAG0AbwBuAF8AQwBvAG4AdgBlAHIAdABOADIATwBUAG8AQwBPADIAZQAiACwAIgBDAG8AbQBtAG8AbgBfAEUAcQB1AGEAdABpAG8AbgBzAC4AQwBvAG0AbQBvAG4AXwBDAG8AbgB2AGUAcgB0AE4AMgBPAFQAbwBDAE8AMgBlAF8AVABpAHQAbABlACIALAAiAEMAbwBtAG0AbwBuAF8ARQBxAHUAYQB0AGkAbwBuAHMALgBDAG8AbQBtAG8AbgBfAEMAbwBuAHYAZQByAHQATgAyAE8AVABvAEMATwAyAGUAXwBWAGEAcgBpAGEAYgBsAGUAIgAsACIAQwBvAG0AbQBvAG4AXwBFAHEAdQBhAHQAaQBvAG4AcwAuAEMAbwBtAG0AbwBuAF8AQwBvAG4AdgBlAHIAdABOADIATwBUAG8AQwBPADIAZQBfAFUAbgBpAHQAIgAsACIAQwBvAG0AbQBvAG4AXwBFAHEAdQBhAHQAaQBvAG4AcwAuAEMAbwBtAG0AbwBuAF8AQwBvAG4AdgBlAHIAdABOADIATwBUAG8AQwBPADIAZQBfAE4ASQBSAFIAZQBmAGUAcgBlAG4AYwBlACIALAAiAEMAbwBtAG0AbwBuAF8ARQBxAHUAYQB0AGkAbwBuAHMALgBDAG8AbQBtAG8AbgBfAEMAbwBuAHYAZQByAHQATgAyAE8AVABvAEMATwAyAGUAXwBMAGEAdABlAHgARQBxAHUAYQB0AGkAbwBuACIALAAiAEMAbwBtAG0AbwBuAF8ARQBxAHUAYQB0AGkAbwBuAHMALgBDAG8AbQBtAG8AbgBfAEMAbwBuAHYAZQByAHQATgAyAE8AVABvAEMATwAyAGUAXwBBAHIAZwB1AG0AZQBuAHQAcwAiACwAIgBDAG8AbQBtAG8AbgBfAEUAcQB1AGEAdABpAG8AbgBzAC4AQwBvAG0AbQBvAG4AXwBDAG8AbgB2AGUAcgB0AEMASAA0AFQAbwBDAE8AMgBlACIALAAiAEMAbwBtAG0AbwBuAF8ARQBxAHUAYQB0AGkAbwBuAHMALgBDAG8AbQBtAG8AbgBfAEMAbwBuAHYAZQByAHQAQwBIADQAVABvAEMATwAyAGUAXwBUAGkAdABsAGUAIgAsACIAQwBvAG0AbQBvAG4AXwBFAHEAdQBhAHQAaQBvAG4AcwAuAEMAbwBtAG0AbwBuAF8AQwBvAG4AdgBlAHIAdABDAEgANABUAG8AQwBPADIAZQBfAFYAYQByAGkAYQBiAGwAZQAiACwAIgBDAG8AbQBtAG8AbgBfAEUAcQB1AGEAdABpAG8AbgBzAC4AQwBvAG0AbQBvAG4AXwBDAG8AbgB2AGUAcgB0AEMASAA0AFQAbwBDAE8AMgBlAF8AVQBuAGkAdAAiACwAIgBDAG8AbQBtAG8AbgBfAEUAcQB1AGEAdABpAG8AbgBzAC4AQwBvAG0AbQBvAG4AXwBDAG8AbgB2AGUAcgB0AEMASAA0AFQAbwBDAE8AMgBlAF8ATgBJAFIAUgBlAGYAZQByAGUAbgBjAGUAIgAsACIAQwBvAG0AbQBvAG4AXwBFAHEAdQBhAHQAaQBvAG4AcwAuAEMAbwBtAG0AbwBuAF8AQwBvAG4AdgBlAHIAdABDAEgANABUAG8AQwBPADIAZQBfAEwAYQB0AGUAeABFAHEAdQBhAHQAaQBvAG4AIgAsACIAQwBvAG0AbQBvAG4AXwBFAHEAdQBhAHQAaQBvAG4AcwAuAEMAbwBtAG0AbwBuAF8AQwBvAG4AdgBlAHIAdABDAEgANABUAG8AQwBPADIAZQBfAEEAcgBnAHUAbQBlAG4AdABz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MAbwBtAG0AbwBuAF8ASQBuAHAAdQB0AEYAdQBuAGMAdABpAG8AbgBzAC4AVQB0AGkAbABpAHQAeQBfAFMAbwB1AHIAYwBlAEgAeQBwAGUAcgBsAGkAbgBrAEQAaQBmAGYAZQByAGUAbgB0AFMAaABlAGUAdAAiACwAIgBDAG8AbQBtAG8AbgBfAEkAbgBwAHUAdABGAHUAbgBjAHQAaQBvAG4AcwAuAFUAdABpAGwAaQB0AHkAXwBSAGUAcwB1AGwAdABzAEkAdABlAG0ARgByAG8AbQBFAHEAdQBhAHQAaQBvAG4AVABpAHQAbABlAEEAbgBkAFMAbwB1AHIAYwBlACIALAAiAEMAbwBtAG0AbwBuAF8AUwBvAHUAcgBjAGUARABhAHQAYQAuAEMAbwBtAG0AbwBuAF8AUwBvAHUAcgBjAGUARABhAHQAYQBfAEQAZQBuAHMAaQB0AHkATwBmAE0AZQB0AGgAYQBuAGUAXwBUAGkAdABsAGUAIgAsACIAQwBvAG0AbQBvAG4AXwBTAG8AdQByAGMAZQBEAGEAdABhAC4AQwBvAG0AbQBvAG4AXwBTAG8AdQByAGMAZQBEAGEAdABhAF8ARABlAG4AcwBpAHQAeQBPAGYATQBlAHQAaABhAG4AZQBfAFUAbgBpAHQAIgAsACIAQwBvAG0AbQBvAG4AXwBTAG8AdQByAGMAZQBEAGEAdABhAC4AQwBvAG0AbQBvAG4AXwBTAG8AdQByAGMAZQBEAGEAdABhAF8ARABlAG4AcwBpAHQAeQBPAGYATQBlAHQAaABhAG4AZQBfAFMAbwB1AHIAYwBlACIALAAiAEMAbwBtAG0AbwBuAF8AUwBvAHUAcgBjAGUARABhAHQAYQAuAEMAbwBtAG0AbwBuAF8AUwBvAHUAcgBjAGUARABhAHQAYQBfAEQAZQBuAHMAaQB0AHkATwBmAE0AZQB0AGgAYQBuAGUAXwBEAGEAdABhACIALAAiAEMAbwBtAG0AbwBuAF8AUwBvAHUAcgBjAGUARABhAHQAYQAuAEMAbwBtAG0AbwBuAF8AUwBvAHUAcgBjAGUARABhAHQAYQBfAEMAbwBuAHYAZQByAHQATgAyAG8ARQBsAGUAbQBlAG4AdABhAGwAVABvAE0AbwBsAGUAYwB1AGwAYQByAEMAZwBfAFQAaQB0AGwAZQAiACwAIgBDAG8AbQBtAG8AbgBfAFMAbwB1AHIAYwBlAEQAYQB0AGEALgBDAG8AbQBtAG8AbgBfAFMAbwB1AHIAYwBlAEQAYQB0AGEAXwBDAG8AbgB2AGUAcgB0AE4AMgBvAEUAbABlAG0AZQBuAHQAYQBsAFQAbwBNAG8AbABlAGMAdQBsAGEAcgBDAGcAXwBWAGEAcgBpAGEAYgBsAGUAIgAsACIAQwBvAG0AbQBvAG4AXwBTAG8AdQByAGMAZQBEAGEAdABhAC4AQwBvAG0AbQBvAG4AXwBTAG8AdQByAGMAZQBEAGEAdABhAF8AQwBvAG4AdgBlAHIAdABOADIAbwBFAGwAZQBtAGUAbgB0AGEAbABUAG8ATQBvAGwAZQBjAHUAbABhAHIAQwBnAF8AVQBuAGkAdAAiACwAIgBDAG8AbQBtAG8AbgBfAFMAbwB1AHIAYwBlAEQAYQB0AGEALgBDAG8AbQBtAG8AbgBfAFMAbwB1AHIAYwBlAEQAYQB0AGEAXwBDAG8AbgB2AGUAcgB0AE4AMgBvAEUAbABlAG0AZQBuAHQAYQBsAFQAbwBNAG8AbABlAGMAdQBsAGEAcgBDAGcAXwBTAG8AdQByAGMAZQAiACwAIgBDAG8AbQBtAG8AbgBfAFMAbwB1AHIAYwBlAEQAYQB0AGEALgBDAG8AbQBtAG8AbgBfAFMAbwB1AHIAYwBlAEQAYQB0AGEAXwBDAG8AbgB2AGUAcgB0AE4AMgBvAEUAbABlAG0AZQBuAHQAYQBsAFQAbwBNAG8AbABlAGMAdQBsAGEAcgBDAGcAXwBEAGEAdABhACIALAAiAEMAbwBtAG0AbwBuAF8AUwBvAHUAcgBjAGUARABhAHQAYQAuAEMAbwBtAG0AbwBuAF8AUwBvAHUAcgBjAGUARABhAHQAYQBfAEMAbwBuAHYAZQByAHQARwBhAHMARQBsAGUAbQBlAG4AdABhAGwAVABvAE0AbwBsAGUAYwB1AGwAYQByAF8AVABpAHQAbABlACIALAAiAEMAbwBtAG0AbwBuAF8AUwBvAHUAcgBjAGUARABhAHQAYQAuAEMAbwBtAG0AbwBuAF8AUwBvAHUAcgBjAGUARABhAHQAYQBfAEMAbwBuAHYAZQByAHQARwBhAHMARQBsAGUAbQBlAG4AdABhAGwAVABvAE0AbwBsAGUAYwB1AGwAYQByAF8AVgBhAHIAaQBhAGIAbABlACIALAAiAEMAbwBtAG0AbwBuAF8AUwBvAHUAcgBjAGUARABhAHQAYQAuAEMAbwBtAG0AbwBuAF8AUwBvAHUAcgBjAGUARABhAHQAYQBfAEMAbwBuAHYAZQByAHQARwBhAHMARQBsAGUAbQBlAG4AdABhAGwAVABvAE0AbwBsAGUAYwB1AGwAYQByAF8AVQBuAGkAdAAiACwAIgBDAG8AbQBtAG8AbgBfAFMAbwB1AHIAYwBlAEQAYQB0AGEALgBDAG8AbQBtAG8AbgBfAFMAbwB1AHIAYwBlAEQAYQB0AGEAXwBDAG8AbgB2AGUAcgB0AEcAYQBzAEUAbABlAG0AZQBuAHQAYQBsAFQAbwBNAG8AbABlAGMAdQBsAGEAcgBfAFMAbwB1AHIAYwBlACIALAAiAEMAbwBtAG0AbwBuAF8AUwBvAHUAcgBjAGUARABhAHQAYQAuAEMAbwBtAG0AbwBuAF8AUwBvAHUAcgBjAGUARABhAHQAYQBfAEMAbwBuAHYAZQByAHQARwBhAHMARQBsAGUAbQBlAG4AdABhAGwAVABvAE0AbwBsAGUAYwB1AGwAYQByAF8ARABhAHQAYQAiACwAIgBDAG8AbQBtAG8AbgBfAFMAbwB1AHIAYwBlAEQAYQB0AGEALgBDAG8AbQBtAG8AbgBfAFMAbwB1AHIAYwBlAEQAYQB0AGEAXwBHAFcAUABfAFQAaQB0AGwAZQAiACwAIgBDAG8AbQBtAG8AbgBfAFMAbwB1AHIAYwBlAEQAYQB0AGEALgBDAG8AbQBtAG8AbgBfAFMAbwB1AHIAYwBlAEQAYQB0AGEAXwBHAFcAUABfAFYAYQByAGkAYQBiAGwAZQAiACwAIgBDAG8AbQBtAG8AbgBfAFMAbwB1AHIAYwBlAEQAYQB0AGEALgBDAG8AbQBtAG8AbgBfAFMAbwB1AHIAYwBlAEQAYQB0AGEAXwBHAFcAUABfAFUAbgBpAHQAIgAsACIAQwBvAG0AbQBvAG4AXwBTAG8AdQByAGMAZQBEAGEAdABhAC4AQwBvAG0AbQBvAG4AXwBTAG8AdQByAGMAZQBEAGEAdABhAF8ARwBXAFAAXwBTAG8AdQByAGMAZQAiACwAIgBDAG8AbQBtAG8AbgBfAFMAbwB1AHIAYwBlAEQAYQB0AGEALgBDAG8AbQBtAG8AbgBfAFMAbwB1AHIAYwBlAEQAYQB0AGEAXwBHAFcAUABfAEQAYQB0AGEAIgAsACIAQwBvAG0AbQBvAG4AXwBTAG8AdQByAGMAZQBEAGEAdABhAC4AQwBvAG0AbQBvAG4AXwBTAG8AdQByAGMAZQBEAGEAdABhAF8AQQB1AHMAdAByAGEAbABpAGEAbgBTAHQAYQB0AGUAcwBUAGUAcgByAGkAdABvAHIAaQBlAHMAXwBUAGkAdABsAGUAIgAsACIAQwBvAG0AbQBvAG4AXwBTAG8AdQByAGMAZQBEAGEAdABhAC4AQwBvAG0AbQBvAG4AXwBTAG8AdQByAGMAZQBEAGEAdABhAF8AQQB1AHMAdAByAGEAbABpAGEAbgBTAHQAYQB0AGUAcwBUAGUAcgByAGkAdABvAHIAaQBlAHMAXwBWAGEAcgBpAGEAYgBsAGUAIgAsACIAQwBvAG0AbQBvAG4AXwBTAG8AdQByAGMAZQBEAGEAdABhAC4AQwBvAG0AbQBvAG4AXwBTAG8AdQByAGMAZQBEAGEAdABhAF8AQQB1AHMAdAByAGEAbABpAGEAbgBTAHQAYQB0AGUAcwBUAGUAcgByAGkAdABvAHIAaQBlAHMAXwBVAG4AaQB0ACIALAAiAEMAbwBtAG0AbwBuAF8AUwBvAHUAcgBjAGUARABhAHQAYQAuAEMAbwBtAG0AbwBuAF8AUwBvAHUAcgBjAGUARABhAHQAYQBfAEEAdQBzAHQAcgBhAGwAaQBhAG4AUwB0AGEAdABlAHMAVABlAHIAcgBpAHQAbwByAGkAZQBzAF8AUwBvAHUAcgBjAGUAIgAsACIAQwBvAG0AbQBvAG4AXwBTAG8AdQByAGMAZQBEAGEAdABhAC4AQwBvAG0AbQBvAG4AXwBTAG8AdQByAGMAZQBEAGEAdABhAF8AQQB1AHMAdAByAGEAbABpAGEAbgBTAHQAYQB0AGUAcwBUAGUAcgByAGkAdABvAHIAaQBlAHMAXwBEAGEAdABhACIALAAiAEMAbwBtAG0AbwBuAF8AUwBvAHUAcgBjAGUARABhAHQAYQAuAEMAbwBtAG0AbwBuAF8AUwBvAHUAcgBjAGUARABhAHQAYQBfAFcAQQBTAEEANABBAHIAZQBhAHMAXwBUAGkAdABsAGUAIgAsACIAQwBvAG0AbQBvAG4AXwBTAG8AdQByAGMAZQBEAGEAdABhAC4AQwBvAG0AbQBvAG4AXwBTAG8AdQByAGMAZQBEAGEAdABhAF8AVwBBAFMAQQA0AEEAcgBlAGEAcwBfAFYAYQByAGkAYQBiAGwAZQAiACwAIgBDAG8AbQBtAG8AbgBfAFMAbwB1AHIAYwBlAEQAYQB0AGEALgBDAG8AbQBtAG8AbgBfAFMAbwB1AHIAYwBlAEQAYQB0AGEAXwBXAEEAUwBBADQAQQByAGUAYQBzAF8AVQBuAGkAdAAiACwAIgBDAG8AbQBtAG8AbgBfAFMAbwB1AHIAYwBlAEQAYQB0AGEALgBDAG8AbQBtAG8AbgBfAFMAbwB1AHIAYwBlAEQAYQB0AGEAXwBXAEEAUwBBADQAQQByAGUAYQBzAF8AUwBvAHUAcgBjAGUAIgAsACIAQwBvAG0AbQBvAG4AXwBTAG8AdQByAGMAZQBEAGEAdABhAC4AQwBvAG0AbQBvAG4AXwBTAG8AdQByAGMAZQBEAGEAdABhAF8AVwBBAFMAQQA0AEEAcgBlAGEAcwBfAEQAYQB0AGEAIgAsACIAQwBvAG0AbQBvAG4AXwBTAG8AdQByAGMAZQBEAGEAdABhAC4AQwBvAG0AbQBvAG4AXwBTAG8AdQByAGMAZQBEAGEAdABhAF8AVwBlAHQAQQBuAGQARAByAHkAWgBvAG4AZQBzAF8AVABpAHQAbABlACIALAAiAEMAbwBtAG0AbwBuAF8AUwBvAHUAcgBjAGUARABhAHQAYQAuAEMAbwBtAG0AbwBuAF8AUwBvAHUAcgBjAGUARABhAHQAYQBfAFcAZQB0AEEAbgBkAEQAcgB5AFoAbwBuAGUAcwBfAFYAYQByAGkAYQBiAGwAZQAiACwAIgBDAG8AbQBtAG8AbgBfAFMAbwB1AHIAYwBlAEQAYQB0AGEALgBDAG8AbQBtAG8AbgBfAFMAbwB1AHIAYwBlAEQAYQB0AGEAXwBXAGUAdABBAG4AZABEAHIAeQBaAG8AbgBlAHMAXwBVAG4AaQB0ACIALAAiAEMAbwBtAG0AbwBuAF8AUwBvAHUAcgBjAGUARABhAHQAYQAuAEMAbwBtAG0AbwBuAF8AUwBvAHUAcgBjAGUARABhAHQAYQBfAFcAZQB0AEEAbgBkAEQAcgB5AFoAbwBuAGUAcwBfAFMAbwB1AHIAYwBlACIALAAiAEMAbwBtAG0AbwBuAF8AUwBvAHUAcgBjAGUARABhAHQAYQAuAEMAbwBtAG0AbwBuAF8AUwBvAHUAcgBjAGUARABhAHQAYQBfAFcAZQB0AEEAbgBkAEQAcgB5AFoAbwBuAGUAcwBfAFYAYQByAGkAYQB0AGkAbwBuACIALAAiAEMAbwBtAG0AbwBuAF8AUwBvAHUAcgBjAGUARABhAHQAYQAuAEMAbwBtAG0AbwBuAF8AUwBvAHUAcgBjAGUARABhAHQAYQBfAFcAZQB0AEEAbgBkAEQAcgB5AFoAbwBuAGUAcwBfAEQAYQB0AGEAIgAsACIAQwBvAG0AbQBvAG4AXwBTAG8AdQByAGMAZQBEAGEAdABhAC4AQwBvAG0AbQBvAG4AXwBTAG8AdQByAGMAZQBEAGEAdABhAF8AQwBsAGkAbQBhAHQAZQBaAG8AbgBlAHMAXwBUAGkAdABsAGUAIgAsACIAQwBvAG0AbQBvAG4AXwBTAG8AdQByAGMAZQBEAGEAdABhAC4AQwBvAG0AbQBvAG4AXwBTAG8AdQByAGMAZQBEAGEAdABhAF8AQwBsAGkAbQBhAHQAZQBaAG8AbgBlAHMAXwBWAGEAcgBpAGEAYgBsAGUAIgAsACIAQwBvAG0AbQBvAG4AXwBTAG8AdQByAGMAZQBEAGEAdABhAC4AQwBvAG0AbQBvAG4AXwBTAG8AdQByAGMAZQBEAGEAdABhAF8AQwBsAGkAbQBhAHQAZQBaAG8AbgBlAHMAXwBVAG4AaQB0ACIALAAiAEMAbwBtAG0AbwBuAF8AUwBvAHUAcgBjAGUARABhAHQAYQAuAEMAbwBtAG0AbwBuAF8AUwBvAHUAcgBjAGUARABhAHQAYQBfAEMAbABpAG0AYQB0AGUAWgBvAG4AZQBzAF8AUwBvAHUAcgBjAGUAIgAsACIAQwBvAG0AbQBvAG4AXwBTAG8AdQByAGMAZQBEAGEAdABhAC4AQwBvAG0AbQBvAG4AXwBTAG8AdQByAGMAZQBEAGEAdABhAF8AQwBsAGkAbQBhAHQAZQBaAG8AbgBlAHMAXwBWAGEAcgBpAGEAdABpAG8AbgAiACwAIgBDAG8AbQBtAG8AbgBfAFMAbwB1AHIAYwBlAEQAYQB0AGEALgBDAG8AbQBtAG8AbgBfAFMAbwB1AHIAYwBlAEQAYQB0AGEAXwBDAGwAaQBtAGEAdABlAFoAbwBuAGUAcwBfAEQAYQB0AGEAIgAsACIAQwBvAG0AbQBvAG4AXwBTAG8AdQByAGMAZQBEAGEAdABhAC4AQwBvAG0AbQBvAG4AXwBTAG8AdQByAGMAZQBEAGEAdABhAF8AQwBsAGkAbQBhAHQAZQBaAG8AbgBlAHMAXwBBAHAAcABlAG4AZABpAGMAZQBzACIALAAiAEMAbwBtAG0AbwBuAF8AUwBvAHUAcgBjAGUARABhAHQAYQAuAEMAbwBtAG0AbwBuAF8AUwBvAHUAcgBjAGUARABhAHQAYQBfAFQAZQBtAHAAZQByAGEAdAB1AHIAZQBaAG8AbgBlAHMAXwBUAGkAdABsAGUAIgAsACIAQwBvAG0AbQBvAG4AXwBTAG8AdQByAGMAZQBEAGEAdABhAC4AQwBvAG0AbQBvAG4AXwBTAG8AdQByAGMAZQBEAGEAdABhAF8AVABlAG0AcABlAHIAYQB0AHUAcgBlAFoAbwBuAGUAcwBfAFYAYQByAGkAYQBiAGwAZQAiACwAIgBDAG8AbQBtAG8AbgBfAFMAbwB1AHIAYwBlAEQAYQB0AGEALgBDAG8AbQBtAG8AbgBfAFMAbwB1AHIAYwBlAEQAYQB0AGEAXwBUAGUAbQBwAGUAcgBhAHQAdQByAGUAWgBvAG4AZQBzAF8AVQBuAGkAdAAiACwAIgBDAG8AbQBtAG8AbgBfAFMAbwB1AHIAYwBlAEQAYQB0AGEALgBDAG8AbQBtAG8AbgBfAFMAbwB1AHIAYwBlAEQAYQB0AGEAXwBUAGUAbQBwAGUAcgBhAHQAdQByAGUAWgBvAG4AZQBzAF8AUwBvAHUAcgBjAGUAIgAsACIAQwBvAG0AbQBvAG4AXwBTAG8AdQByAGMAZQBEAGEAdABhAC4AQwBvAG0AbQBvAG4AXwBTAG8AdQByAGMAZQBEAGEAdABhAF8AVABlAG0AcABlAHIAYQB0AHUAcgBlAFoAbwBuAGUAcwBfAFYAYQByAGkAYQB0AGkAbwBuACIALAAiAEMAbwBtAG0AbwBuAF8AUwBvAHUAcgBjAGUARABhAHQAYQAuAEMAbwBtAG0AbwBuAF8AUwBvAHUAcgBjAGUARABhAHQAYQBfAFQAZQBtAHAAZQByAGEAdAB1AHIAZQBaAG8AbgBlAHMAXwBEAGEAdABhACIALAAiAEMAbwBtAG0AbwBuAF8AUwBvAHUAcgBjAGUARABhAHQAYQAuAEMAbwBtAG0AbwBuAF8AUwBvAHUAcgBjAGUARABhAHQAYQBfAFIAYQBpAG4AZgBhAGwAbABaAG8AbgBlAHMAXwBUAGkAdABsAGUAIgAsACIAQwBvAG0AbQBvAG4AXwBTAG8AdQByAGMAZQBEAGEAdABhAC4AQwBvAG0AbQBvAG4AXwBTAG8AdQByAGMAZQBEAGEAdABhAF8AUgBhAGkAbgBmAGEAbABsAFoAbwBuAGUAcwBfAFYAYQByAGkAYQBiAGwAZQAiACwAIgBDAG8AbQBtAG8AbgBfAFMAbwB1AHIAYwBlAEQAYQB0AGEALgBDAG8AbQBtAG8AbgBfAFMAbwB1AHIAYwBlAEQAYQB0AGEAXwBSAGEAaQBuAGYAYQBsAGwAWgBvAG4AZQBzAF8AVQBuAGkAdAAiACwAIgBDAG8AbQBtAG8AbgBfAFMAbwB1AHIAYwBlAEQAYQB0AGEALgBDAG8AbQBtAG8AbgBfAFMAbwB1AHIAYwBlAEQAYQB0AGEAXwBSAGEAaQBuAGYAYQBsAGwAWgBvAG4AZQBzAF8AUwBvAHUAcgBjAGUAIgAsACIAQwBvAG0AbQBvAG4AXwBTAG8AdQByAGMAZQBEAGEAdABhAC4AQwBvAG0AbQBvAG4AXwBTAG8AdQByAGMAZQBEAGEAdABhAF8AUgBhAGkAbgBmAGEAbABsAFoAbwBuAGUAcwBfAFYAYQByAGkAYQB0AGkAbwBuACIALAAiAEMAbwBtAG0AbwBuAF8AUwBvAHUAcgBjAGUARABhAHQAYQAuAEMAbwBtAG0AbwBuAF8AUwBvAHUAcgBjAGUARABhAHQAYQBfAFIAYQBpAG4AZgBhAGwAbABaAG8AbgBlAHMAXwBEAGEAdABhACIALAAiAEMAbwBtAG0AbwBuAF8AUwBvAHUAcgBjAGUARABhAHQAYQAuAEMAbwBtAG0AbwBuAF8AUwBvAHUAcgBjAGUARABhAHQAYQBfAEwAZQBhAGMAaABpAG4AZwBaAG8AbgBlAHMAXwBUAGkAdABsAGUAIgAsACIAQwBvAG0AbQBvAG4AXwBTAG8AdQByAGMAZQBEAGEAdABhAC4AQwBvAG0AbQBvAG4AXwBTAG8AdQByAGMAZQBEAGEAdABhAF8ATABlAGEAYwBoAGkAbgBnAFoAbwBuAGUAcwBfAFYAYQByAGkAYQBiAGwAZQAiACwAIgBDAG8AbQBtAG8AbgBfAFMAbwB1AHIAYwBlAEQAYQB0AGEALgBDAG8AbQBtAG8AbgBfAFMAbwB1AHIAYwBlAEQAYQB0AGEAXwBMAGUAYQBjAGgAaQBuAGcAWgBvAG4AZQBzAF8AVQBuAGkAdAAiACwAIgBDAG8AbQBtAG8AbgBfAFMAbwB1AHIAYwBlAEQAYQB0AGEALgBDAG8AbQBtAG8AbgBfAFMAbwB1AHIAYwBlAEQAYQB0AGEAXwBMAGUAYQBjAGgAaQBuAGcAWgBvAG4AZQBzAF8AUwBvAHUAcgBjAGUAIgAsACIAQwBvAG0AbQBvAG4AXwBTAG8AdQByAGMAZQBEAGEAdABhAC4AQwBvAG0AbQBvAG4AXwBTAG8AdQByAGMAZQBEAGEAdABhAF8ATABlAGEAYwBoAGkAbgBnAFoAbwBuAGUAcwBfAFYAYQByAGkAYQB0AGkAbwBuACIALAAiAEMAbwBtAG0AbwBuAF8AUwBvAHUAcgBjAGUARABhAHQAYQAuAEMAbwBtAG0AbwBuAF8AUwBvAHUAcgBjAGUARABhAHQAYQBfAEwAZQBhAGMAaABpAG4AZwBaAG8AbgBlAHMAXwBEAGEAdABhACIALAAiAEMAbwBtAG0AbwBuAF8AUwBvAHUAcgBjAGUARABhAHQAYQAuAEMAbwBtAG0AbwBuAF8AUwBvAHUAcgBjAGUARABhAHQAYQBfAEYAcgBhAGMAVwBFAFQAXwBUAGkAdABsAGUAIgAsACIAQwBvAG0AbQBvAG4AXwBTAG8AdQByAGMAZQBEAGEAdABhAC4AQwBvAG0AbQBvAG4AXwBTAG8AdQByAGMAZQBEAGEAdABhAF8ARgByAGEAYwBXAEUAVABfAFUAbgBpAHQAIgAsACIAQwBvAG0AbQBvAG4AXwBTAG8AdQByAGMAZQBEAGEAdABhAC4AQwBvAG0AbQBvAG4AXwBTAG8AdQByAGMAZQBEAGEAdABhAF8ARgByAGEAYwBXAEUAVABfAFMAbwB1AHIAYwBlACIALAAiAEMAbwBtAG0AbwBuAF8AUwBvAHUAcgBjAGUARABhAHQAYQAuAEMAbwBtAG0AbwBuAF8AUwBvAHUAcgBjAGUARABhAHQAYQBfAEYAcgBhAGMAVwBFAFQAXwBOAEkAUgBSAGUAZgBlAHIAZQBuAGMAZQAiACwAIgBDAG8AbQBtAG8AbgBfAFMAbwB1AHIAYwBlAEQAYQB0AGEALgBDAG8AbQBtAG8AbgBfAFMAbwB1AHIAYwBlAEQAYQB0AGEAXwBGAHIAYQBjAFcARQBUAF8ARABhAHQAYQAiACwAIgBDAG8AbQBtAG8AbgBfAFMAbwB1AHIAYwBlAEQAYQB0AGEALgBDAG8AbQBtAG8AbgBfAFMAbwB1AHIAYwBlAEQAYQB0AGEAXwBGAHIAYQBjAFcARQBUAF8AVgBhAHIAaQBhAHQAaQBvAG4AIgAsACIAQwBvAG0AbQBvAG4AXwBTAG8AdQByAGMAZQBEAGEAdABhAC4AQwBvAG0AbQBvAG4AXwBTAG8AdQByAGMAZQBEAGEAdABhAF8ARABhAHQAYQBTAGMAbwByAGUAcwBfAFMAYwBvAHAAZQAzAF8AVABpAHQAbABlACIALAAiAEMAbwBtAG0AbwBuAF8AUwBvAHUAcgBjAGUARABhAHQAYQAuAEMAbwBtAG0AbwBuAF8AUwBvAHUAcgBjAGUARABhAHQAYQBfAEQAYQB0AGEAUwBjAG8AcgBlAHMAXwBTAGMAbwBwAGUAMwBfAFYAYQByAGkAYQBiAGwAZQAiACwAIgBDAG8AbQBtAG8AbgBfAFMAbwB1AHIAYwBlAEQAYQB0AGEALgBDAG8AbQBtAG8AbgBfAFMAbwB1AHIAYwBlAEQAYQB0AGEAXwBEAGEAdABhAFMAYwBvAHIAZQBzAF8AUwBjAG8AcABlADMAXwBVAG4AaQB0ACIALAAiAEMAbwBtAG0AbwBuAF8AUwBvAHUAcgBjAGUARABhAHQAYQAuAEMAbwBtAG0AbwBuAF8AUwBvAHUAcgBjAGUARABhAHQAYQBfAEQAYQB0AGEAUwBjAG8AcgBlAHMAXwBTAGMAbwBwAGUAMwBfAFMAbwB1AHIAYwBlACIALAAiAEMAbwBtAG0AbwBuAF8AUwBvAHUAcgBjAGUARABhAHQAYQAuAEMAbwBtAG0AbwBuAF8AUwBvAHUAcgBjAGUARABhAHQAYQBfAEQAYQB0AGEAUwBjAG8AcgBlAHMAXwBTAGMAbwBwAGUAMwBfAFYAYQByAGkAYQB0AGkAbwBuACIALAAiAEMAbwBtAG0AbwBuAF8AUwBvAHUAcgBjAGUARABhAHQAYQAuAEMAbwBtAG0AbwBuAF8AUwBvAHUAcgBjAGUARABhAHQAYQBfAEQAYQB0AGEAUwBjAG8AcgBlAHMAXwBTAGMAbwBwAGUAMwBfAEQAYQB0AGEAIgAsACIAQwBvAG0AbQBvAG4AXwBTAG8AdQByAGMAZQBEAGEAdABhAC4AQwBvAG0AbQBvAG4AXwBTAG8AdQByAGMAZQBEAGEAdABhAF8ARgByAGEAYwBMAEUAQQBDAEgAXwBUAGkAdABsAGUAIgAsACIAQwBvAG0AbQBvAG4AXwBTAG8AdQByAGMAZQBEAGEAdABhAC4AQwBvAG0AbQBvAG4AXwBTAG8AdQByAGMAZQBEAGEAdABhAF8ARgByAGEAYwBMAEUAQQBDAEgAXwBVAG4AaQB0ACIALAAiAEMAbwBtAG0AbwBuAF8AUwBvAHUAcgBjAGUARABhAHQAYQAuAEMAbwBtAG0AbwBuAF8AUwBvAHUAcgBjAGUARABhAHQAYQBfAEYAcgBhAGMATABFAEEAQwBIAF8AUwBvAHUAcgBjAGUAIgAsACIAQwBvAG0AbQBvAG4AXwBTAG8AdQByAGMAZQBEAGEAdABhAC4AQwBvAG0AbQBvAG4AXwBTAG8AdQByAGMAZQBEAGEAdABhAF8ARgByAGEAYwBMAEUAQQBDAEgAXwBOAEkAUgBSAGUAZgBlAHIAZQBuAGMAZQAiACwAIgBDAG8AbQBtAG8AbgBfAFMAbwB1AHIAYwBlAEQAYQB0AGEALgBDAG8AbQBtAG8AbgBfAFMAbwB1AHIAYwBlAEQAYQB0AGEAXwBGAHIAYQBjAEwARQBBAEMASABfAEQAYQB0AGEAIgAsACIAQwBvAG0AbQBvAG4AXwBTAG8AdQByAGMAZQBEAGEAdABhAC4AQwBvAG0AbQBvAG4AXwBTAG8AdQByAGMAZQBEAGEAdABhAF8ARgByAGEAYwBMAEUAQQBDAEgAXwBWAGEAcgBpAGEAdABpAG8AbgAiACwAIgBDAG8AbQBtAG8AbgBfAFMAbwB1AHIAYwBlAEQAYQB0AGEALgBDAG8AbQBtAG8AbgBfAFMAbwB1AHIAYwBlAEQAYQB0AGEAXwBFAEYAbABlAGEAYwBoAF8AVABpAHQAbABlACIALAAiAEMAbwBtAG0AbwBuAF8AUwBvAHUAcgBjAGUARABhAHQAYQAuAEMAbwBtAG0AbwBuAF8AUwBvAHUAcgBjAGUARABhAHQAYQBfAEUARgBsAGUAYQBjAGgAXwBVAG4AaQB0ACIALAAiAEMAbwBtAG0AbwBuAF8AUwBvAHUAcgBjAGUARABhAHQAYQAuAEMAbwBtAG0AbwBuAF8AUwBvAHUAcgBjAGUARABhAHQAYQBfAEUARgBsAGUAYQBjAGgAXwBTAG8AdQByAGMAZQAiACwAIgBDAG8AbQBtAG8AbgBfAFMAbwB1AHIAYwBlAEQAYQB0AGEALgBDAG8AbQBtAG8AbgBfAFMAbwB1AHIAYwBlAEQAYQB0AGEAXwBFAEYAbABlAGEAYwBoAF8ATgBJAFIAUgBlAGYAZQByAGUAbgBjAGUAIgAsACIAQwBvAG0AbQBvAG4AXwBTAG8AdQByAGMAZQBEAGEAdABhAC4AQwBvAG0AbQBvAG4AXwBTAG8AdQByAGMAZQBEAGEAdABhAF8ARQBGAGwAZQBhAGMAaABfAEQAYQB0AGEAIgAsACIAQwBvAG0AbQBvAG4AXwBTAG8AdQByAGMAZQBEAGEAdABhAC4AQwBvAG0AbQBvAG4AXwBTAG8AdQByAGMAZQBEAGEAdABhAF8ARQBGAGwAZQBhAGMAaABfAFYAYQByAGkAYQB0AGkAbwBuACIALAAiAEMAbwBtAG0AbwBuAF8AUwBvAHUAcgBjAGUARABhAHQAYQAuAEMAbwBtAG0AbwBuAF8AUwBvAHUAcgBjAGUARABhAHQAYQBfAEUARgBOADIATwBfAFQAaQB0AGwAZQAiACwAIgBDAG8AbQBtAG8AbgBfAFMAbwB1AHIAYwBlAEQAYQB0AGEALgBDAG8AbQBtAG8AbgBfAFMAbwB1AHIAYwBlAEQAYQB0AGEAXwBFAEYATgAyAE8AXwBVAG4AaQB0ACIALAAiAEMAbwBtAG0AbwBuAF8AUwBvAHUAcgBjAGUARABhAHQAYQAuAEMAbwBtAG0AbwBuAF8AUwBvAHUAcgBjAGUARABhAHQAYQBfAEUARgBOADIATwBfAFMAbwB1AHIAYwBlACIALAAiAEMAbwBtAG0AbwBuAF8AUwBvAHUAcgBjAGUARABhAHQAYQAuAEMAbwBtAG0AbwBuAF8AUwBvAHUAcgBjAGUARABhAHQAYQBfAEUARgBOADIATwBfAE4ASQBSAFIAZQBmAGUAcgBlAG4AYwBlACIALAAiAEMAbwBtAG0AbwBuAF8AUwBvAHUAcgBjAGUARABhAHQAYQAuAEMAbwBtAG0AbwBuAF8AUwBvAHUAcgBjAGUARABhAHQAYQBfAEUARgBOADIATwBfAEQAYQB0AGEAIgAsACIAQwBvAG0AbQBvAG4AXwBTAG8AdQByAGMAZQBEAGEAdABhAC4AQwBvAG0AbQBvAG4AXwBTAG8AdQByAGMAZQBEAGEAdABhAF8ARQBGAE4AMgBPAF8AVgBhAHIAaQBhAHQAaQBvAG4AIgAsACIAQwBvAG0AbQBvAG4AXwBTAG8AdQByAGMAZQBEAGEAdABhAC4AQwBvAG0AbQBvAG4AXwBTAG8AdQByAGMAZQBEAGEAdABhAF8ARgByAGEAYwBXAEUAVABJAHIAcgBpAGcAYQB0AGkAbwBuAF8AVABpAHQAbABlACIALAAiAEMAbwBtAG0AbwBuAF8AUwBvAHUAcgBjAGUARABhAHQAYQAuAEMAbwBtAG0AbwBuAF8AUwBvAHUAcgBjAGUARABhAHQAYQBfAEYAcgBhAGMAVwBFAFQASQByAHIAaQBnAGEAdABpAG8AbgBfAFUAbgBpAHQAIgAsACIAQwBvAG0AbQBvAG4AXwBTAG8AdQByAGMAZQBEAGEAdABhAC4AQwBvAG0AbQBvAG4AXwBTAG8AdQByAGMAZQBEAGEAdABhAF8ARgByAGEAYwBXAEUAVABJAHIAcgBpAGcAYQB0AGkAbwBuAF8AUwBvAHUAcgBjAGUAIgAsACIAQwBvAG0AbQBvAG4AXwBTAG8AdQByAGMAZQBEAGEAdABhAC4AQwBvAG0AbQBvAG4AXwBTAG8AdQByAGMAZQBEAGEAdABhAF8ARgByAGEAYwBXAEUAVABJAHIAcgBpAGcAYQB0AGkAbwBuAF8ATgBJAFIAUgBlAGYAZQByAGUAbgBjAGUAIgAsACIAQwBvAG0AbQBvAG4AXwBTAG8AdQByAGMAZQBEAGEAdABhAC4AQwBvAG0AbQBvAG4AXwBTAG8AdQByAGMAZQBEAGEAdABhAF8ARgByAGEAYwBXAEUAVABJAHIAcgBpAGcAYQB0AGkAbwBuAF8ARABhAHQAYQAiACwAIgBDAG8AbQBtAG8AbgBfAFMAbwB1AHIAYwBlAEQAYQB0AGEALgBDAG8AbQBtAG8AbgBfAFMAbwB1AHIAYwBlAEQAYQB0AGEAXwBGAHIAYQBjAFcARQBUAEkAcgByAGkAZwBhAHQAaQBvAG4AXwBWAGEAcgBpAGEAdABpAG8AbgAiACwAIgBDAG8AbQBtAG8AbgBfAFMAbwB1AHIAYwBlAEQAYQB0AGEALgBDAG8AbQBtAG8AbgBfAFMAbwB1AHIAYwBlAEQAYQB0AGEAXwBFAEYAUABhAHMAdAB1AHIAZQBSAGEAbgBnAGUAQQBuAGQAUABhAGQAZABvAGMAawBfAFQAaQB0AGwAZQAiACwAIgBDAG8AbQBtAG8AbgBfAFMAbwB1AHIAYwBlAEQAYQB0AGEALgBDAG8AbQBtAG8AbgBfAFMAbwB1AHIAYwBlAEQAYQB0AGEAXwBFAEYAUABhAHMAdAB1AHIAZQBSAGEAbgBnAGUAQQBuAGQAUABhAGQAZABvAGMAawBfAFUAbgBpAHQAIgAsACIAQwBvAG0AbQBvAG4AXwBTAG8AdQByAGMAZQBEAGEAdABhAC4AQwBvAG0AbQBvAG4AXwBTAG8AdQByAGMAZQBEAGEAdABhAF8ARQBGAFAAYQBzAHQAdQByAGUAUgBhAG4AZwBlAEEAbgBkAFAAYQBkAGQAbwBjAGsAXwBTAG8AdQByAGMAZQAiACwAIgBDAG8AbQBtAG8AbgBfAFMAbwB1AHIAYwBlAEQAYQB0AGEALgBDAG8AbQBtAG8AbgBfAFMAbwB1AHIAYwBlAEQAYQB0AGEAXwBFAEYAUABhAHMAdAB1AHIAZQBSAGEAbgBnAGUAQQBuAGQAUABhAGQAZABvAGMAawBfAE4ASQBSAFIAZQBmAGUAcgBlAG4AYwBlACIALAAiAEMAbwBtAG0AbwBuAF8AUwBvAHUAcgBjAGUARABhAHQAYQAuAEMAbwBtAG0AbwBuAF8AUwBvAHUAcgBjAGUARABhAHQAYQBfAEUARgBQAGEAcwB0AHUAcgBlAFIAYQBuAGcAZQBBAG4AZABQAGEAZABkAG8AYwBrAF8ARABhAHQAYQAiACwAIgBDAG8AbQBtAG8AbgBfAFMAbwB1AHIAYwBlAEQAYQB0AGEALgBDAG8AbQBtAG8AbgBfAFMAbwB1AHIAYwBlAEQAYQB0AGEAXwBFAEYAUABhAHMAdAB1AHIAZQBSAGEAbgBnAGUAQQBuAGQAUABhAGQAZABvAGMAawBfAFYAYQByAGkAYQB0AGkAbwBuACIALAAiAEMAbwBtAG0AbwBuAF8AUwBvAHUAcgBjAGUARABhAHQAYQAuAEMAbwBtAG0AbwBuAF8AUwBvAHUAcgBjAGUARABhAHQAYQBfAE0AbwBuAHQAaABzAFQAbwBTAGUAYQBzAG8AbgBzAF8AVABpAHQAbABlACIALAAiAEMAbwBtAG0AbwBuAF8AUwBvAHUAcgBjAGUARABhAHQAYQAuAEMAbwBtAG0AbwBuAF8AUwBvAHUAcgBjAGUARABhAHQAYQBfAE0AbwBuAHQAaABzAFQAbwBTAGUAYQBzAG8AbgBzAF8AVQBuAGkAdAAiACwAIgBDAG8AbQBtAG8AbgBfAFMAbwB1AHIAYwBlAEQAYQB0AGEALgBDAG8AbQBtAG8AbgBfAFMAbwB1AHIAYwBlAEQAYQB0AGEAXwBNAG8AbgB0AGgAcwBUAG8AUwBlAGEAcwBvAG4AcwBfAFMAbwB1AHIAYwBlACIALAAiAEMAbwBtAG0AbwBuAF8AUwBvAHUAcgBjAGUARABhAHQAYQAuAEMAbwBtAG0AbwBuAF8AUwBvAHUAcgBjAGUARABhAHQAYQBfAE0AbwBuAHQAaABzAFQAbwBTAGUAYQBzAG8AbgBzAF8ATgBJAFIAUgBlAGYAZQByAGUAbgBjAGUAIgAsACIAQwBvAG0AbQBvAG4AXwBTAG8AdQByAGMAZQBEAGEAdABhAC4AQwBvAG0AbQBvAG4AXwBTAG8AdQByAGMAZQBEAGEAdABhAF8ATQBvAG4AdABoAHMAVABvAFMAZQBhAHMAbwBuAHMAXwBEAGEAdABhACIALAAiAEMAbwBtAG0AbwBuAF8AUwBvAHUAcgBjAGUARABhAHQAYQAuAEMAbwBtAG0AbwBuAF8AUwBvAHUAcgBjAGUARABhAHQAYQBfAE0AbwBuAHQAaABzAFQAbwBTAGUAYQBzAG8AbgBzAF8AVgBhAHIAaQBhAHQAaQBvAG4A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EAE0AWQAiACwAIgBjAHUAcgByAGUAbgBjAHkAUwB5AG0AYgBvAGwAIgA6ACIAJA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1AHMAIgB9AH0A</AFEJSONBlob>
</file>

<file path=customXml/itemProps1.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37</vt:i4>
      </vt:variant>
      <vt:variant>
        <vt:lpstr>Named Ranges</vt:lpstr>
      </vt:variant>
      <vt:variant>
        <vt:i4>183</vt:i4>
      </vt:variant>
    </vt:vector>
  </HeadingPairs>
  <TitlesOfParts>
    <vt:vector size="220" baseType="lpstr">
      <vt:lpstr>Home</vt:lpstr>
      <vt:lpstr>Results - Activity period</vt:lpstr>
      <vt:lpstr>Results - Product EI</vt:lpstr>
      <vt:lpstr>Input - Enterprise</vt:lpstr>
      <vt:lpstr>Input - Site</vt:lpstr>
      <vt:lpstr>Input - Crop</vt:lpstr>
      <vt:lpstr>Input - Fert Prod System</vt:lpstr>
      <vt:lpstr>Input - Fertiliser</vt:lpstr>
      <vt:lpstr>Input - Fuel</vt:lpstr>
      <vt:lpstr>Input - Electricity</vt:lpstr>
      <vt:lpstr>Input - Common farm inputs</vt:lpstr>
      <vt:lpstr>Input - Crop pasture farm input</vt:lpstr>
      <vt:lpstr>Input - Freight</vt:lpstr>
      <vt:lpstr>Input - Solid waste</vt:lpstr>
      <vt:lpstr>5.1.1.1-2 Inorganic fert N2O</vt:lpstr>
      <vt:lpstr>5.1.1.3-4 Inorganic fert CO2</vt:lpstr>
      <vt:lpstr>5.2.1.1-2 Organic Fert N2O</vt:lpstr>
      <vt:lpstr>5.3.1.1-2 Lime CO2</vt:lpstr>
      <vt:lpstr>5.4.1.1-4 Atmos deposition</vt:lpstr>
      <vt:lpstr>5.5.1.1-2 Leaching and runoff</vt:lpstr>
      <vt:lpstr>6.1.1.1-2 Crop residue N2O</vt:lpstr>
      <vt:lpstr>6.3.1.1-2 Leach runoff crop</vt:lpstr>
      <vt:lpstr>6.4.1.1-2 Residue burning</vt:lpstr>
      <vt:lpstr>8.1.1.1-2 Transport fuel</vt:lpstr>
      <vt:lpstr>8.2.1.1-2 Stationary fuel</vt:lpstr>
      <vt:lpstr>10.1.1-2 Solid waste treatment</vt:lpstr>
      <vt:lpstr>14.1.1-2 Purchased electricity</vt:lpstr>
      <vt:lpstr>15 Scope 3</vt:lpstr>
      <vt:lpstr>Constants - Ag Residue</vt:lpstr>
      <vt:lpstr>Constants - Electricity</vt:lpstr>
      <vt:lpstr>Constants - Fertiliser</vt:lpstr>
      <vt:lpstr>Constants - Fuel</vt:lpstr>
      <vt:lpstr>Constants - Scope 3</vt:lpstr>
      <vt:lpstr>Constants - Solid Waste</vt:lpstr>
      <vt:lpstr>Constants - Common</vt:lpstr>
      <vt:lpstr>Input - Data quality</vt:lpstr>
      <vt:lpstr>Constants - Common Livestock</vt:lpstr>
      <vt:lpstr>'5.4.1.1-4 Atmos deposition'!_Toc225350871</vt:lpstr>
      <vt:lpstr>'5.5.1.1-2 Leaching and runoff'!_Toc225350871</vt:lpstr>
      <vt:lpstr>Common_SourceData_DensityOfMethane_Data</vt:lpstr>
      <vt:lpstr>Fertiliser_EFLeach_Data</vt:lpstr>
      <vt:lpstr>Fertiliser_EFUreaCO2_Data</vt:lpstr>
      <vt:lpstr>Fertiliser_FracGASMSoil_Data</vt:lpstr>
      <vt:lpstr>Fertiliser_FracLEACH_Data</vt:lpstr>
      <vt:lpstr>M1_Table_E_CO2</vt:lpstr>
      <vt:lpstr>M1_Table_E_N2O</vt:lpstr>
      <vt:lpstr>M2_Table_FertApplications</vt:lpstr>
      <vt:lpstr>Result_CarbonRemovalsFromPlantings</vt:lpstr>
      <vt:lpstr>Result_EmissionsForWholeProductionCycle_Gross_Method1</vt:lpstr>
      <vt:lpstr>Result_EmissionsForWholeProductionCycle_Gross_Method2</vt:lpstr>
      <vt:lpstr>Result_EmissionsForWholeProductionCycle_Method1</vt:lpstr>
      <vt:lpstr>Result_EmissionsForWholeProductionCycle_Method2</vt:lpstr>
      <vt:lpstr>Result_EmissionsForWholeProductionCycle_Net_Method1</vt:lpstr>
      <vt:lpstr>Result_EmissionsForWholeProductionCycle_Net_Method2</vt:lpstr>
      <vt:lpstr>Result_Enterprise_Gross_Method1</vt:lpstr>
      <vt:lpstr>Result_Enterprise_Gross_Method2</vt:lpstr>
      <vt:lpstr>Result_Enterprise_Net_Method1</vt:lpstr>
      <vt:lpstr>Result_Enterprise_Net_Method2</vt:lpstr>
      <vt:lpstr>Result_Enterprise_Removals</vt:lpstr>
      <vt:lpstr>Result_Enterprise_Scope1_Method1</vt:lpstr>
      <vt:lpstr>Result_Enterprise_Scope1_Method2</vt:lpstr>
      <vt:lpstr>Result_Enterprise_Scope2_Method1</vt:lpstr>
      <vt:lpstr>Result_Enterprise_Scope2_Method2</vt:lpstr>
      <vt:lpstr>Result_Enterprise_Scope3_Method1</vt:lpstr>
      <vt:lpstr>Result_Enterprise_Scope3_Method2</vt:lpstr>
      <vt:lpstr>Table_E_ad_inorganic</vt:lpstr>
      <vt:lpstr>Table_E_ad_organic</vt:lpstr>
      <vt:lpstr>Table_E_g</vt:lpstr>
      <vt:lpstr>Table_E_g_Consumer_1</vt:lpstr>
      <vt:lpstr>Table_E_g_offsite</vt:lpstr>
      <vt:lpstr>Table_E_g_onsite</vt:lpstr>
      <vt:lpstr>Table_E_lime</vt:lpstr>
      <vt:lpstr>Table_M_leach_inorganic_j</vt:lpstr>
      <vt:lpstr>Table_M_leach_organic_j</vt:lpstr>
      <vt:lpstr>Table_M_vol_inorganic_j_f</vt:lpstr>
      <vt:lpstr>Table_M_vol_organic_j_f</vt:lpstr>
      <vt:lpstr>Table_MN_j_f</vt:lpstr>
      <vt:lpstr>Table_MNSoil_j_f</vt:lpstr>
      <vt:lpstr>Table_MU_j_f</vt:lpstr>
      <vt:lpstr>Table_V_w_t_offsite</vt:lpstr>
      <vt:lpstr>Table_V_w_t_onsite</vt:lpstr>
      <vt:lpstr>VEERG_10_1_1_1__1_EmissionsFromWasteManagement_Scope1_Result_Method1</vt:lpstr>
      <vt:lpstr>VEERG_10_1_1_1__1_EmissionsFromWasteManagement_Scope3_Result_Method1</vt:lpstr>
      <vt:lpstr>VEERG_14_1_1__1_LocationBasedScopeElectricityEmissions_Result_Method1</vt:lpstr>
      <vt:lpstr>VEERG_14_1_2__1_MarketBasedScopeElectricityEmissionsVariation_Result_Method1</vt:lpstr>
      <vt:lpstr>VEERG_15_1_1_1__1_EmissionsFromPurchasedLivestock_BeefCattle_Result_Method1</vt:lpstr>
      <vt:lpstr>VEERG_15_1_1_1__1_EmissionsFromPurchasedLivestock_BeefCattle_Result_Method2</vt:lpstr>
      <vt:lpstr>VEERG_15_1_1_1__1_EmissionsFromPurchasedLivestock_DairyCattle_Result_Method1</vt:lpstr>
      <vt:lpstr>VEERG_15_1_1_1__1_EmissionsFromPurchasedLivestock_DairyCattle_Result_Method2</vt:lpstr>
      <vt:lpstr>VEERG_15_1_1_1__1_EmissionsFromPurchasedLivestock_Pigs_Result_Method1</vt:lpstr>
      <vt:lpstr>VEERG_15_1_1_1__1_EmissionsFromPurchasedLivestock_Pigs_Result_Method2</vt:lpstr>
      <vt:lpstr>VEERG_15_1_1_1__1_EmissionsFromPurchasedLivestock_Poultry_Result_Method1</vt:lpstr>
      <vt:lpstr>VEERG_15_1_1_1__1_EmissionsFromPurchasedLivestock_Poultry_Result_Method2</vt:lpstr>
      <vt:lpstr>VEERG_15_1_1_1__1_EmissionsFromPurchasedLivestock_Result_Method1</vt:lpstr>
      <vt:lpstr>VEERG_15_1_1_1__1_EmissionsFromPurchasedLivestock_Result_Method2</vt:lpstr>
      <vt:lpstr>VEERG_15_10_1_1__1_OtherPurchasedGoodsAndServices_CleaningChemicals_Result_Method1</vt:lpstr>
      <vt:lpstr>VEERG_15_10_1_1__1_OtherPurchasedGoodsAndServices_CleaningChemicals_Result_Method2</vt:lpstr>
      <vt:lpstr>VEERG_15_10_1_1__1_OtherPurchasedGoodsAndServices_Misc_Result_Method1</vt:lpstr>
      <vt:lpstr>VEERG_15_10_1_1__1_OtherPurchasedGoodsAndServices_Misc_Result_Method2</vt:lpstr>
      <vt:lpstr>VEERG_15_10_1_1__1_OtherPurchasedGoodsAndServices_PharmacyChemicals_Result_Method1</vt:lpstr>
      <vt:lpstr>VEERG_15_10_1_1__1_OtherPurchasedGoodsAndServices_PharmacyChemicals_Result_Method2</vt:lpstr>
      <vt:lpstr>VEERG_15_10_1_1__1_OtherPurchasedGoodsAndServices_Seed_Result_Method1</vt:lpstr>
      <vt:lpstr>VEERG_15_10_1_1__1_OtherPurchasedGoodsAndServices_Seed_Result_Method2</vt:lpstr>
      <vt:lpstr>VEERG_15_10_1_1__1_OtherPurchasedGoodsAndServices_Uncategorised_Result_Method1</vt:lpstr>
      <vt:lpstr>VEERG_15_10_1_1__1_OtherPurchasedGoodsAndServices_Uncategorised_Result_Method2</vt:lpstr>
      <vt:lpstr>VEERG_15_11_1_1__1_TotalUpstreamEmissionsFromFuel_Result</vt:lpstr>
      <vt:lpstr>VEERG_15_12_1_1__1_UpstreamPurchasedElectricityLocationBased_Result</vt:lpstr>
      <vt:lpstr>VEERG_15_12_1_2__1_UpstreamPurchasedElectricityMarketBasedVariation_Result</vt:lpstr>
      <vt:lpstr>VEERG_15_13_1_1__1_EmissionsFromManureSentOffSite_Result_Method1_CO2e</vt:lpstr>
      <vt:lpstr>VEERG_15_13_1_1__1_EmissionsFromManureSentOffSite_Result_Method2_CO2e</vt:lpstr>
      <vt:lpstr>VEERG_15_14_1_1__1_EmbeddedEmissionsFromUpstreamFreight_Incoming_Result_Method1</vt:lpstr>
      <vt:lpstr>VEERG_15_14_1_1__1_EmbeddedEmissionsFromUpstreamFreight_Incoming_Result_Method2</vt:lpstr>
      <vt:lpstr>VEERG_15_14_1_1__1_EmbeddedEmissionsFromUpstreamFreight_Outgoing_Result_Method1</vt:lpstr>
      <vt:lpstr>VEERG_15_14_1_1__1_EmbeddedEmissionsFromUpstreamFreight_Outgoing_Result_Method2</vt:lpstr>
      <vt:lpstr>VEERG_15_2_1_1__1_EmissionsFromPurchasedFeed_Result_Method1</vt:lpstr>
      <vt:lpstr>VEERG_15_2_1_1__1_EmissionsFromPurchasedFeed_Result_Method2</vt:lpstr>
      <vt:lpstr>VEERG_15_3_1_1__1_EmissionsFromPurchasedMineralSupplements_Result_Method1</vt:lpstr>
      <vt:lpstr>VEERG_15_3_1_1__1_EmissionsFromPurchasedMineralSupplements_Result_Method2</vt:lpstr>
      <vt:lpstr>VEERG_15_4_1_1__2_EmissionsFromPurchasedFertiliserComponentsVariation_Result_Method1</vt:lpstr>
      <vt:lpstr>VEERG_15_4_1_1__2_EmissionsFromPurchasedFertiliserComponentsVariation_Result_Method2</vt:lpstr>
      <vt:lpstr>VEERG_15_5_1_1__1_EmissionsFromPurchasedAgrichemicals_Result_Method1</vt:lpstr>
      <vt:lpstr>VEERG_15_5_1_1__1_EmissionsFromPurchasedAgrichemicals_Result_Method2</vt:lpstr>
      <vt:lpstr>VEERG_15_6_1_1__1_EmissionsFromPurchasedLime_Result_Method1</vt:lpstr>
      <vt:lpstr>VEERG_15_6_1_1__1_EmissionsFromPurchasedLime_Result_Method2</vt:lpstr>
      <vt:lpstr>VEERG_15_7_1_1__1_EmissionsFromPurchasedServices_Result_Method1</vt:lpstr>
      <vt:lpstr>VEERG_15_7_1_1__1_EmissionsFromPurchasedServices_Result_Method2</vt:lpstr>
      <vt:lpstr>VEERG_15_8_1_1__1_EmissionsFromPurchasedPackaging_Result_Method1</vt:lpstr>
      <vt:lpstr>VEERG_15_8_1_1__1_EmissionsFromPurchasedPackaging_Result_Method2</vt:lpstr>
      <vt:lpstr>VEERG_15_9_1_1__1_EmissionsFromPurchasedGrowMedia_Result_Method1</vt:lpstr>
      <vt:lpstr>VEERG_15_9_1_1__1_EmissionsFromPurchasedGrowMedia_Result_Method2</vt:lpstr>
      <vt:lpstr>VEERG_5_1_1_1__1_InorganicFertiliserApplicationN2OEmissions_Result_Method1</vt:lpstr>
      <vt:lpstr>VEERG_5_1_1_1__1_InorganicFertiliserApplicationN2OEmissions_Result_Method2</vt:lpstr>
      <vt:lpstr>VEERG_5_1_1_3__1_InorganicFertiliserApplicationCO2Emissions_Result_Method1</vt:lpstr>
      <vt:lpstr>VEERG_5_2_1_1__2_MassOfNitrogenInOrganicFertiliser_Result_Method1</vt:lpstr>
      <vt:lpstr>VEERG_5_3_1_1__1_LimeApplicationCO2Emissions_Result_Method1</vt:lpstr>
      <vt:lpstr>VEERG_5_4_1_1__1_InorganicFertiliserAtmosphericDepositionN2OEmissions_Result_Method1</vt:lpstr>
      <vt:lpstr>VEERG_5_4_1_3__1_OrganicFertiliserAtmosphericDepositionN2OEmissions_Result_Method1</vt:lpstr>
      <vt:lpstr>VEERG_5_5_1_1__1_FertiliserLeachingAndRunoffN2OEmissions_Result_Method1</vt:lpstr>
      <vt:lpstr>VEERG_6_1_1_1__1__NitrousOxideEmissionsFromCropResidues_Result_Method1</vt:lpstr>
      <vt:lpstr>VEERG_6_1_1_1__1__NitrousOxideEmissionsFromCropResidues_Result_Method2</vt:lpstr>
      <vt:lpstr>VEERG_6_1_1_1__2__MassOfNitrogenInCropResidues_Result_Method1</vt:lpstr>
      <vt:lpstr>VEERG_6_1_1_1__2__MassOfNitrogenInCropResidues_Result_Method2</vt:lpstr>
      <vt:lpstr>VEERG_6_1_1_2__1__FractionOfCropResidueRemovedBaled_Result</vt:lpstr>
      <vt:lpstr>VEERG_6_3_1_1__1__LeachingAndRunoffEmissionsCropAndPastureResidue_CropOnly_Result_Method1</vt:lpstr>
      <vt:lpstr>VEERG_6_3_1_1__1__LeachingAndRunoffEmissionsCropAndPastureResidue_CropOnly_Result_Method2</vt:lpstr>
      <vt:lpstr>VEERG_6_4_1_1__1__MethaneEmissionsFromBurningOfCropResidues_Result_Method1</vt:lpstr>
      <vt:lpstr>VEERG_6_4_1_1__2__NitrousOxideEmissionsFromBurningOfCropResidues_Result_Method1</vt:lpstr>
      <vt:lpstr>VEERG_8_1_1_1__1_FuelCombustionTransport_Result</vt:lpstr>
      <vt:lpstr>VEERG_8_1_1_1__1_FuelCombustionTransport_Result_CH4</vt:lpstr>
      <vt:lpstr>VEERG_8_1_1_1__1_FuelCombustionTransport_Result_CO2</vt:lpstr>
      <vt:lpstr>VEERG_8_1_1_1__1_FuelCombustionTransport_Result_N2O</vt:lpstr>
      <vt:lpstr>VEERG_8_1_1_1__1_FuelCombustionTransport_Result_Scope3</vt:lpstr>
      <vt:lpstr>VEERG_8_2_1_1__1_FuelCombustionStationary_Result</vt:lpstr>
      <vt:lpstr>VEERG_8_2_1_1__1_FuelCombustionStationary_Result_CH4</vt:lpstr>
      <vt:lpstr>VEERG_8_2_1_1__1_FuelCombustionStationary_Result_CO2</vt:lpstr>
      <vt:lpstr>VEERG_8_2_1_1__1_FuelCombustionStationary_Result_N2O</vt:lpstr>
      <vt:lpstr>VEERG_8_2_1_1__1_FuelCombustionStationary_Result_Scope3</vt:lpstr>
      <vt:lpstr>X_Cell_BaledHayYield</vt:lpstr>
      <vt:lpstr>X_Cell_Crop_AreaUnderCropping</vt:lpstr>
      <vt:lpstr>X_Cell_Crop_AverageWeightPerBale</vt:lpstr>
      <vt:lpstr>X_Cell_Crop_CropPurpose</vt:lpstr>
      <vt:lpstr>X_Cell_Crop_CropType</vt:lpstr>
      <vt:lpstr>X_Cell_Crop_IrrigationMethod</vt:lpstr>
      <vt:lpstr>X_Cell_Crop_NumberOfBales</vt:lpstr>
      <vt:lpstr>X_Cell_Crop_PercentResidueBaled</vt:lpstr>
      <vt:lpstr>X_Cell_Crop_PercentResidueBurned</vt:lpstr>
      <vt:lpstr>X_Cell_Crop_ResidueAfterHarvest</vt:lpstr>
      <vt:lpstr>X_Cell_Crop_ResidueToCropRatio</vt:lpstr>
      <vt:lpstr>X_Cell_Crop_TotalProductionOfCrop</vt:lpstr>
      <vt:lpstr>X_Cell_Crop_TotalResidueBaled</vt:lpstr>
      <vt:lpstr>X_Cell_Crop_TotalResidueBurned</vt:lpstr>
      <vt:lpstr>X_Cell_Crop_TotalResidueRemainingOnPaddocks</vt:lpstr>
      <vt:lpstr>X_Cell_Crop_YieldPerHectare</vt:lpstr>
      <vt:lpstr>X_Cell_Electricity_CalculationMethod</vt:lpstr>
      <vt:lpstr>X_Cell_Electricity_Location_AmountPurchasedInkWh</vt:lpstr>
      <vt:lpstr>X_Cell_Electricity_Location_GridElectricityPurchasedFrom</vt:lpstr>
      <vt:lpstr>X_Cell_Electricity_Market_AmountPurchasedExcludingGreenPower</vt:lpstr>
      <vt:lpstr>X_Cell_Electricity_Market_AmountPurchasedGreenPower</vt:lpstr>
      <vt:lpstr>X_Cell_Electricity_Market_JurisdictionalRenewablePowerPercentage</vt:lpstr>
      <vt:lpstr>X_Cell_Electricity_Market_RenewablePowerPercentage</vt:lpstr>
      <vt:lpstr>X_Cell_Enterprise_GrainYield</vt:lpstr>
      <vt:lpstr>X_Cell_Enterprise_PercentGrainSold</vt:lpstr>
      <vt:lpstr>X_Cell_Enterprise_PercentGrainUsedAsFeed</vt:lpstr>
      <vt:lpstr>X_Cell_Enterprise_PercentIncomeFromBaledHaySilage</vt:lpstr>
      <vt:lpstr>X_Cell_Enterprise_PercentIncomeFromGrain</vt:lpstr>
      <vt:lpstr>X_Cell_Enterprise_ProductionTimeframeEnd</vt:lpstr>
      <vt:lpstr>X_Cell_Enterprise_ProductionTimeframeStart</vt:lpstr>
      <vt:lpstr>X_Cell_FarmInputs_Seed_BarleyGrain</vt:lpstr>
      <vt:lpstr>X_Cell_FarmInputs_Seed_MaizeGrain</vt:lpstr>
      <vt:lpstr>X_Cell_FarmInputs_Seed_OatGrain</vt:lpstr>
      <vt:lpstr>X_Cell_FarmInputs_Seed_SorghumGrain</vt:lpstr>
      <vt:lpstr>X_Cell_FarmInputs_Seed_WheatGrain</vt:lpstr>
      <vt:lpstr>X_Cell_Fertiliser_AreaUnderCropping</vt:lpstr>
      <vt:lpstr>X_Cell_Fertiliser_CropType</vt:lpstr>
      <vt:lpstr>X_Cell_Fertiliser_IrrigationMethod</vt:lpstr>
      <vt:lpstr>X_Cell_Fertiliser_ProductionSystem</vt:lpstr>
      <vt:lpstr>X_Cell_Fuel_IsMetroLocation</vt:lpstr>
      <vt:lpstr>X_Cell_PercentBaledHaySold</vt:lpstr>
      <vt:lpstr>X_Cell_PercentBaledHayUsedOnFarm</vt:lpstr>
      <vt:lpstr>X_Cell_Site_AverageTemperature</vt:lpstr>
      <vt:lpstr>X_Cell_Site_ClimateZone</vt:lpstr>
      <vt:lpstr>X_Cell_Site_Elevation</vt:lpstr>
      <vt:lpstr>X_Cell_Site_EndDate</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lpstr>X_Cell_TotalElegibleRECsForElectricityProducedOnSite</vt:lpstr>
      <vt:lpstr>X_Cell_TotalElegibleVoluntarilySurrenderedRECs</vt:lpstr>
      <vt:lpstr>X_Table_Result_ActivityPeriodEmissions_RowsToCols</vt:lpstr>
      <vt:lpstr>X_Table_Result_CarbonRemovalsFromPlantings_RowsToCols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2026-09-04T04:37:13Z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y fmtid="{D5CDD505-2E9C-101B-9397-08002B2CF9AE}" pid="4" name="RestyleFontsApplied">
    <vt:lpwstr>applied 2026-09-02T18:44:15; rename=True resize=True rowheights=True scope=all</vt:lpwstr>
  </property>
</Properties>
</file>