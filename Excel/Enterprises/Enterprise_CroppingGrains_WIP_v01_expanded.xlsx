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32FAF62-9B48-46F6-8AC4-E867198FBEC7}" xr6:coauthVersionLast="47" xr6:coauthVersionMax="47" xr10:uidLastSave="{00000000-0000-0000-0000-000000000000}"/>
  <bookViews>
    <workbookView xWindow="3120" yWindow="3120" windowWidth="28800" windowHeight="15345" firstSheet="32" activeTab="36"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Crop" sheetId="99" r:id="rId6"/>
    <sheet name="Input - Fert Prod System" sheetId="76" r:id="rId7"/>
    <sheet name="Input - Fertiliser" sheetId="81" r:id="rId8"/>
    <sheet name="Input - Fuel" sheetId="92" r:id="rId9"/>
    <sheet name="Input - Electricity" sheetId="89" r:id="rId10"/>
    <sheet name="Input - Common farm inputs" sheetId="104" r:id="rId11"/>
    <sheet name="Input - Crop pasture farm input" sheetId="105" r:id="rId12"/>
    <sheet name="Input - Freight" sheetId="106" r:id="rId13"/>
    <sheet name="Input - Solid waste" sheetId="96" r:id="rId14"/>
    <sheet name="5.1.1.1-2 Inorganic fert N2O" sheetId="82" r:id="rId15"/>
    <sheet name="5.1.1.3-4 Inorganic fert CO2" sheetId="83" r:id="rId16"/>
    <sheet name="5.2.1.1-2 Organic Fert N2O" sheetId="84" r:id="rId17"/>
    <sheet name="5.3.1.1-2 Lime CO2" sheetId="85" r:id="rId18"/>
    <sheet name="5.4.1.1-4 Atmos deposition" sheetId="86" r:id="rId19"/>
    <sheet name="5.5.1.1-2 Leaching and runoff" sheetId="87" r:id="rId20"/>
    <sheet name="6.1.1.1-2 Crop residue N2O" sheetId="100" r:id="rId21"/>
    <sheet name="6.3.1.1-2 Leach runoff crop" sheetId="101" r:id="rId22"/>
    <sheet name="6.4.1.1-2 Residue burning" sheetId="102" r:id="rId23"/>
    <sheet name="8.1.1.1-2 Transport fuel" sheetId="93" r:id="rId24"/>
    <sheet name="8.2.1.1-2 Stationary fuel" sheetId="94" r:id="rId25"/>
    <sheet name="10.1.1-2 Solid waste treatment" sheetId="97" r:id="rId26"/>
    <sheet name="14.1.1-2 Purchased electricity" sheetId="90" r:id="rId27"/>
    <sheet name="15 Scope 3" sheetId="107" r:id="rId28"/>
    <sheet name="Constants - Ag Residue" sheetId="103" r:id="rId29"/>
    <sheet name="Constants - Electricity" sheetId="91" r:id="rId30"/>
    <sheet name="Constants - Fertiliser" sheetId="88" r:id="rId31"/>
    <sheet name="Constants - Fuel" sheetId="95" r:id="rId32"/>
    <sheet name="Constants - Scope 3" sheetId="108" r:id="rId33"/>
    <sheet name="Constants - Solid Waste" sheetId="98" r:id="rId34"/>
    <sheet name="Constants - Common" sheetId="79" r:id="rId35"/>
    <sheet name="Input - Data quality" sheetId="78" r:id="rId36"/>
    <sheet name="Constants - Common Livestock" sheetId="109" r:id="rId37"/>
  </sheets>
  <definedNames>
    <definedName name="_Toc225350871" localSheetId="18">'5.4.1.1-4 Atmos deposition'!$C$1</definedName>
    <definedName name="_Toc225350871" localSheetId="19">'5.5.1.1-2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BaledHayYield">'Input - Enterprise'!$E$27</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1" i="107" l="1"/>
  <c r="J650" i="107"/>
  <c r="J649" i="107"/>
  <c r="J648" i="107"/>
  <c r="J647" i="107"/>
  <c r="J646" i="107"/>
  <c r="J645" i="107"/>
  <c r="J644" i="107"/>
  <c r="J643" i="107"/>
  <c r="J642" i="107"/>
  <c r="J633" i="107"/>
  <c r="J632" i="107"/>
  <c r="J631" i="107"/>
  <c r="J630" i="107"/>
  <c r="J629" i="107"/>
  <c r="J628" i="107"/>
  <c r="J627" i="107"/>
  <c r="J626" i="107"/>
  <c r="J625" i="107"/>
  <c r="J624" i="107"/>
  <c r="M588" i="107"/>
  <c r="E588" i="107"/>
  <c r="K514" i="107"/>
  <c r="K513" i="107"/>
  <c r="K512" i="107"/>
  <c r="K511" i="107"/>
  <c r="K510" i="107"/>
  <c r="K509" i="107"/>
  <c r="K508" i="107"/>
  <c r="K507" i="107"/>
  <c r="K506" i="107"/>
  <c r="K505" i="107"/>
  <c r="I496" i="107"/>
  <c r="I494" i="107"/>
  <c r="I485" i="107"/>
  <c r="I483" i="107"/>
  <c r="I481" i="107"/>
  <c r="J468" i="107"/>
  <c r="J467" i="107"/>
  <c r="J466" i="107"/>
  <c r="J465" i="107"/>
  <c r="J464" i="107"/>
  <c r="J463" i="107"/>
  <c r="J450" i="107"/>
  <c r="J449" i="107"/>
  <c r="J448" i="107"/>
  <c r="J447" i="107"/>
  <c r="J446" i="107"/>
  <c r="J445" i="107"/>
  <c r="J423" i="107"/>
  <c r="J422" i="107"/>
  <c r="J421" i="107"/>
  <c r="J420" i="107"/>
  <c r="J419" i="107"/>
  <c r="J418" i="107"/>
  <c r="J417" i="107"/>
  <c r="J416" i="107"/>
  <c r="J415" i="107"/>
  <c r="J414" i="107"/>
  <c r="J382" i="107"/>
  <c r="K360" i="107"/>
  <c r="K359" i="107"/>
  <c r="K358" i="107"/>
  <c r="K357" i="107"/>
  <c r="K356" i="107"/>
  <c r="K355" i="107"/>
  <c r="K354" i="107"/>
  <c r="K353" i="107"/>
  <c r="K352" i="107"/>
  <c r="K351" i="107"/>
  <c r="J329" i="107"/>
  <c r="J328" i="107"/>
  <c r="J327" i="107"/>
  <c r="J326" i="107"/>
  <c r="J325" i="107"/>
  <c r="J324" i="107"/>
  <c r="J323" i="107"/>
  <c r="J322" i="107"/>
  <c r="J321" i="107"/>
  <c r="J320" i="107"/>
  <c r="J261" i="107"/>
  <c r="J260" i="107"/>
  <c r="J259" i="107"/>
  <c r="J258" i="107"/>
  <c r="J257" i="107"/>
  <c r="J256" i="107"/>
  <c r="J255" i="107"/>
  <c r="J254" i="107"/>
  <c r="J253" i="107"/>
  <c r="J252" i="107"/>
  <c r="I179" i="107"/>
  <c r="I178" i="107"/>
  <c r="I177" i="107"/>
  <c r="I148" i="107"/>
  <c r="I138" i="107"/>
  <c r="I137" i="107"/>
  <c r="I122" i="107"/>
  <c r="I121" i="107"/>
  <c r="I120" i="107"/>
  <c r="J79" i="107"/>
  <c r="J62" i="107"/>
  <c r="J61" i="107"/>
  <c r="J42" i="107"/>
  <c r="M24" i="107"/>
  <c r="M23" i="107"/>
  <c r="F107" i="86"/>
  <c r="I30" i="84"/>
  <c r="I29" i="84"/>
  <c r="I28" i="84"/>
  <c r="I27" i="84"/>
  <c r="I26" i="84"/>
  <c r="I25" i="84"/>
  <c r="I24" i="84"/>
  <c r="I23" i="84"/>
  <c r="I22" i="84"/>
  <c r="I21" i="84"/>
  <c r="I20" i="84"/>
  <c r="A59" i="109"/>
  <c r="A48" i="109"/>
  <c r="A47" i="109"/>
  <c r="A46" i="109"/>
  <c r="A45" i="109"/>
  <c r="A44" i="109"/>
  <c r="A43" i="109"/>
  <c r="A42" i="109"/>
  <c r="A41"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59" i="78"/>
  <c r="A48" i="78"/>
  <c r="A47" i="78"/>
  <c r="A46" i="78"/>
  <c r="A45" i="78"/>
  <c r="A44" i="78"/>
  <c r="A43" i="78"/>
  <c r="A42" i="78"/>
  <c r="A41"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269" i="79"/>
  <c r="A239" i="79"/>
  <c r="A209" i="79"/>
  <c r="A179" i="79"/>
  <c r="A149" i="79"/>
  <c r="A119" i="79"/>
  <c r="A89" i="79"/>
  <c r="A59" i="79"/>
  <c r="A48" i="79"/>
  <c r="A47" i="79"/>
  <c r="A46" i="79"/>
  <c r="A45" i="79"/>
  <c r="A44" i="79"/>
  <c r="A43" i="79"/>
  <c r="A42" i="79"/>
  <c r="A41"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59" i="98"/>
  <c r="A48" i="98"/>
  <c r="A47" i="98"/>
  <c r="A46" i="98"/>
  <c r="A45" i="98"/>
  <c r="A44" i="98"/>
  <c r="A43" i="98"/>
  <c r="A42" i="98"/>
  <c r="A41"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239" i="108"/>
  <c r="A209" i="108"/>
  <c r="A179" i="108"/>
  <c r="A149" i="108"/>
  <c r="A119" i="108"/>
  <c r="A89" i="108"/>
  <c r="A59" i="108"/>
  <c r="A48" i="108"/>
  <c r="A47" i="108"/>
  <c r="A46" i="108"/>
  <c r="A45" i="108"/>
  <c r="A44" i="108"/>
  <c r="A43" i="108"/>
  <c r="A42" i="108"/>
  <c r="A41"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149" i="95"/>
  <c r="A119" i="95"/>
  <c r="A89" i="95"/>
  <c r="A59" i="95"/>
  <c r="A48" i="95"/>
  <c r="A47" i="95"/>
  <c r="A46" i="95"/>
  <c r="A45" i="95"/>
  <c r="A44" i="95"/>
  <c r="A43" i="95"/>
  <c r="A42" i="95"/>
  <c r="A41"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209" i="88"/>
  <c r="A179" i="88"/>
  <c r="A149" i="88"/>
  <c r="A119" i="88"/>
  <c r="A89" i="88"/>
  <c r="A59" i="88"/>
  <c r="A48" i="88"/>
  <c r="A47" i="88"/>
  <c r="A46" i="88"/>
  <c r="A45" i="88"/>
  <c r="A44" i="88"/>
  <c r="A43" i="88"/>
  <c r="A42" i="88"/>
  <c r="A41"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48" i="91"/>
  <c r="A47" i="91"/>
  <c r="A46" i="91"/>
  <c r="A45" i="91"/>
  <c r="A44" i="91"/>
  <c r="A43" i="91"/>
  <c r="A42" i="91"/>
  <c r="A41"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209" i="103"/>
  <c r="A179" i="103"/>
  <c r="A149" i="103"/>
  <c r="A119" i="103"/>
  <c r="A89" i="103"/>
  <c r="A59" i="103"/>
  <c r="A48" i="103"/>
  <c r="A47" i="103"/>
  <c r="A46" i="103"/>
  <c r="A45" i="103"/>
  <c r="A44" i="103"/>
  <c r="A43" i="103"/>
  <c r="A42" i="103"/>
  <c r="A41"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629" i="107"/>
  <c r="A599" i="107"/>
  <c r="A569" i="107"/>
  <c r="A539" i="107"/>
  <c r="A509" i="107"/>
  <c r="A479" i="107"/>
  <c r="A449" i="107"/>
  <c r="A419" i="107"/>
  <c r="A389" i="107"/>
  <c r="A359" i="107"/>
  <c r="A329" i="107"/>
  <c r="A299" i="107"/>
  <c r="A269" i="107"/>
  <c r="A239" i="107"/>
  <c r="A209" i="107"/>
  <c r="A179" i="107"/>
  <c r="A149" i="107"/>
  <c r="A119" i="107"/>
  <c r="A89" i="107"/>
  <c r="A59" i="107"/>
  <c r="A48" i="107"/>
  <c r="A47" i="107"/>
  <c r="A46" i="107"/>
  <c r="A45" i="107"/>
  <c r="A44" i="107"/>
  <c r="A43" i="107"/>
  <c r="A42" i="107"/>
  <c r="A41"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48" i="90"/>
  <c r="A47" i="90"/>
  <c r="A46" i="90"/>
  <c r="A45" i="90"/>
  <c r="A44" i="90"/>
  <c r="A43" i="90"/>
  <c r="A42" i="90"/>
  <c r="A41"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179" i="97"/>
  <c r="A149" i="97"/>
  <c r="A119" i="97"/>
  <c r="A89" i="97"/>
  <c r="A59" i="97"/>
  <c r="A48" i="97"/>
  <c r="A47" i="97"/>
  <c r="A46" i="97"/>
  <c r="A45" i="97"/>
  <c r="A44" i="97"/>
  <c r="A43" i="97"/>
  <c r="A42" i="97"/>
  <c r="A41"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48" i="94"/>
  <c r="A47" i="94"/>
  <c r="A46" i="94"/>
  <c r="A45" i="94"/>
  <c r="A44" i="94"/>
  <c r="A43" i="94"/>
  <c r="A42" i="94"/>
  <c r="A41"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59" i="93"/>
  <c r="A48" i="93"/>
  <c r="A47" i="93"/>
  <c r="A46" i="93"/>
  <c r="A45" i="93"/>
  <c r="A44" i="93"/>
  <c r="A43" i="93"/>
  <c r="A42" i="93"/>
  <c r="A41"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59" i="102"/>
  <c r="A48" i="102"/>
  <c r="A47" i="102"/>
  <c r="A46" i="102"/>
  <c r="A45" i="102"/>
  <c r="A44" i="102"/>
  <c r="A43" i="102"/>
  <c r="A42" i="102"/>
  <c r="A41"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59" i="100"/>
  <c r="A48" i="100"/>
  <c r="A47" i="100"/>
  <c r="A46" i="100"/>
  <c r="A45" i="100"/>
  <c r="A44" i="100"/>
  <c r="A43" i="100"/>
  <c r="A42" i="100"/>
  <c r="A41"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89" i="87"/>
  <c r="A59" i="87"/>
  <c r="A48" i="87"/>
  <c r="A47" i="87"/>
  <c r="A46" i="87"/>
  <c r="A45" i="87"/>
  <c r="A44" i="87"/>
  <c r="A43" i="87"/>
  <c r="A42" i="87"/>
  <c r="A41"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149" i="86"/>
  <c r="A119" i="86"/>
  <c r="A89" i="86"/>
  <c r="A59" i="86"/>
  <c r="A48" i="86"/>
  <c r="A47" i="86"/>
  <c r="A46" i="86"/>
  <c r="A45" i="86"/>
  <c r="A44" i="86"/>
  <c r="A43" i="86"/>
  <c r="A42" i="86"/>
  <c r="A41"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48" i="85"/>
  <c r="A47" i="85"/>
  <c r="A46" i="85"/>
  <c r="A45" i="85"/>
  <c r="A44" i="85"/>
  <c r="A43" i="85"/>
  <c r="A42" i="85"/>
  <c r="A41"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48" i="84"/>
  <c r="A47" i="84"/>
  <c r="A46" i="84"/>
  <c r="A45" i="84"/>
  <c r="A44" i="84"/>
  <c r="A43" i="84"/>
  <c r="A42" i="84"/>
  <c r="A41"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59" i="83"/>
  <c r="A48" i="83"/>
  <c r="A47" i="83"/>
  <c r="A46" i="83"/>
  <c r="A45" i="83"/>
  <c r="A44" i="83"/>
  <c r="A43" i="83"/>
  <c r="A42" i="83"/>
  <c r="A41"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89" i="82"/>
  <c r="A59" i="82"/>
  <c r="A48" i="82"/>
  <c r="A47" i="82"/>
  <c r="A46" i="82"/>
  <c r="A45" i="82"/>
  <c r="A44" i="82"/>
  <c r="A43" i="82"/>
  <c r="A42" i="82"/>
  <c r="A41"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48" i="96"/>
  <c r="A47" i="96"/>
  <c r="A46" i="96"/>
  <c r="A45" i="96"/>
  <c r="A44" i="96"/>
  <c r="A43" i="96"/>
  <c r="A42" i="96"/>
  <c r="A41"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48" i="106"/>
  <c r="A47" i="106"/>
  <c r="A46" i="106"/>
  <c r="A45" i="106"/>
  <c r="A44" i="106"/>
  <c r="A43" i="106"/>
  <c r="A42" i="106"/>
  <c r="A41"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48" i="105"/>
  <c r="A47" i="105"/>
  <c r="A46" i="105"/>
  <c r="A45" i="105"/>
  <c r="A44" i="105"/>
  <c r="A43" i="105"/>
  <c r="A42" i="105"/>
  <c r="A41"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48" i="104"/>
  <c r="A47" i="104"/>
  <c r="A46" i="104"/>
  <c r="A45" i="104"/>
  <c r="A44" i="104"/>
  <c r="A43" i="104"/>
  <c r="A42" i="104"/>
  <c r="A41"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48" i="89"/>
  <c r="A47" i="89"/>
  <c r="A46" i="89"/>
  <c r="A45" i="89"/>
  <c r="A44" i="89"/>
  <c r="A43" i="89"/>
  <c r="A42" i="89"/>
  <c r="A41"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48" i="92"/>
  <c r="A47" i="92"/>
  <c r="A46" i="92"/>
  <c r="A45" i="92"/>
  <c r="A44" i="92"/>
  <c r="A43" i="92"/>
  <c r="A42" i="92"/>
  <c r="A41"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48" i="81"/>
  <c r="A47" i="81"/>
  <c r="A46" i="81"/>
  <c r="A45" i="81"/>
  <c r="A44" i="81"/>
  <c r="A43" i="81"/>
  <c r="A42" i="81"/>
  <c r="A41"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48" i="76"/>
  <c r="A47" i="76"/>
  <c r="A46" i="76"/>
  <c r="A45" i="76"/>
  <c r="A44" i="76"/>
  <c r="A43" i="76"/>
  <c r="A42" i="76"/>
  <c r="A41"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48" i="99"/>
  <c r="A47" i="99"/>
  <c r="A46" i="99"/>
  <c r="A45" i="99"/>
  <c r="A44" i="99"/>
  <c r="A43" i="99"/>
  <c r="A42" i="99"/>
  <c r="A41"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48" i="75"/>
  <c r="A47" i="75"/>
  <c r="A46" i="75"/>
  <c r="A45" i="75"/>
  <c r="A44" i="75"/>
  <c r="A43" i="75"/>
  <c r="A42" i="75"/>
  <c r="A41"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59" i="72"/>
  <c r="A48" i="72"/>
  <c r="A47" i="72"/>
  <c r="A46" i="72"/>
  <c r="A45" i="72"/>
  <c r="A44" i="72"/>
  <c r="A43" i="72"/>
  <c r="A42" i="72"/>
  <c r="A41"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48" i="80"/>
  <c r="A47" i="80"/>
  <c r="A46" i="80"/>
  <c r="A45" i="80"/>
  <c r="A44" i="80"/>
  <c r="A43" i="80"/>
  <c r="A42" i="80"/>
  <c r="A41"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59" i="13"/>
  <c r="A48" i="13"/>
  <c r="A47" i="13"/>
  <c r="A46" i="13"/>
  <c r="A45" i="13"/>
  <c r="A44" i="13"/>
  <c r="A43" i="13"/>
  <c r="A42" i="13"/>
  <c r="A41"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F642" i="107" a="1"/>
  <c r="F642" i="107" s="1"/>
  <c r="E642" i="107" a="1"/>
  <c r="E642" i="107" s="1"/>
  <c r="D642" i="107" a="1"/>
  <c r="D642" i="107" s="1"/>
  <c r="F624" i="107" a="1"/>
  <c r="F624" i="107" s="1"/>
  <c r="E624" i="107" a="1"/>
  <c r="E624" i="107" s="1"/>
  <c r="D624" i="107" a="1"/>
  <c r="D624" i="107" s="1"/>
  <c r="F505" i="107" a="1"/>
  <c r="F505" i="107" s="1"/>
  <c r="E505" i="107" a="1"/>
  <c r="E505" i="107" s="1"/>
  <c r="D505" i="107" a="1"/>
  <c r="D505" i="107" s="1"/>
  <c r="F463" i="107" a="1"/>
  <c r="F463" i="107" s="1"/>
  <c r="F445" i="107" a="1"/>
  <c r="F445" i="107" s="1"/>
  <c r="E445" i="107" a="1"/>
  <c r="E445" i="107" s="1"/>
  <c r="D445" i="107" a="1"/>
  <c r="D445" i="107" s="1"/>
  <c r="G351" i="107" a="1"/>
  <c r="G351" i="107" s="1"/>
  <c r="L351" i="107" s="1"/>
  <c r="F351" i="107" a="1"/>
  <c r="F351" i="107" s="1"/>
  <c r="E351" i="107" a="1"/>
  <c r="E351" i="107" s="1"/>
  <c r="D351" i="107" a="1"/>
  <c r="D351" i="107" s="1"/>
  <c r="D320" i="107" a="1"/>
  <c r="D320" i="107" s="1"/>
  <c r="AD252" i="107" a="1"/>
  <c r="AD252" i="107" s="1"/>
  <c r="AC252" i="107" a="1"/>
  <c r="AC252" i="107" s="1"/>
  <c r="Z252" i="107" a="1"/>
  <c r="Z252" i="107" s="1"/>
  <c r="Y252" i="107" a="1"/>
  <c r="Y252" i="107" s="1"/>
  <c r="V252" i="107" a="1"/>
  <c r="V252" i="107" s="1"/>
  <c r="U252" i="107" a="1"/>
  <c r="U252" i="107" s="1"/>
  <c r="R252" i="107" a="1"/>
  <c r="R252" i="107" s="1"/>
  <c r="Q252" i="107" a="1"/>
  <c r="Q252" i="107" s="1"/>
  <c r="P252" i="107" a="1"/>
  <c r="P252" i="107" s="1"/>
  <c r="O252" i="107" a="1"/>
  <c r="O252" i="107" s="1"/>
  <c r="D252" i="107" a="1"/>
  <c r="D252" i="107" s="1"/>
  <c r="D236" i="107" a="1"/>
  <c r="D236" i="107" s="1"/>
  <c r="D32" i="94"/>
  <c r="D25" i="94"/>
  <c r="M39" i="93" a="1"/>
  <c r="M39" i="93" s="1"/>
  <c r="F39" i="93"/>
  <c r="D37" i="93"/>
  <c r="D34" i="93"/>
  <c r="D33" i="93"/>
  <c r="D25" i="93"/>
  <c r="D75" i="87"/>
  <c r="D74" i="87"/>
  <c r="D73" i="87"/>
  <c r="D72" i="87"/>
  <c r="D71" i="87"/>
  <c r="D70" i="87"/>
  <c r="D69" i="87"/>
  <c r="D68" i="87"/>
  <c r="D134" i="86" a="1"/>
  <c r="D134" i="86" s="1"/>
  <c r="D102" i="86" a="1"/>
  <c r="D102" i="86" s="1"/>
  <c r="G25" i="85" a="1"/>
  <c r="G25" i="85" s="1"/>
  <c r="F25" i="85" a="1"/>
  <c r="F25" i="85" s="1"/>
  <c r="D25" i="85" a="1"/>
  <c r="D25" i="85" s="1"/>
  <c r="H20" i="84" a="1"/>
  <c r="H20" i="84" s="1"/>
  <c r="E20" i="84" a="1"/>
  <c r="E20" i="84" s="1"/>
  <c r="D20" i="84" a="1"/>
  <c r="D20" i="84" s="1"/>
  <c r="N21" i="82" a="1"/>
  <c r="N21" i="82" s="1"/>
  <c r="N11" i="82" a="1"/>
  <c r="N11" i="82" s="1"/>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M243" i="108"/>
  <c r="L243" i="108"/>
  <c r="M242" i="108"/>
  <c r="D27" i="105"/>
  <c r="D485" i="107" s="1"/>
  <c r="D26" i="105"/>
  <c r="D484" i="107" s="1"/>
  <c r="F484" i="107" s="1" a="1"/>
  <c r="F484" i="107" s="1"/>
  <c r="G484" i="107" s="1"/>
  <c r="D25" i="105"/>
  <c r="D483" i="107" s="1"/>
  <c r="D24" i="105"/>
  <c r="D482" i="107" s="1"/>
  <c r="D23" i="105"/>
  <c r="D481" i="107" s="1"/>
  <c r="F481" i="107" s="1" a="1"/>
  <c r="F481" i="107" s="1"/>
  <c r="G481" i="107" s="1"/>
  <c r="P158" i="108"/>
  <c r="O158" i="108"/>
  <c r="Q157" i="108" s="1"/>
  <c r="M157" i="108"/>
  <c r="L157" i="108"/>
  <c r="N156" i="108" s="1"/>
  <c r="P156" i="108"/>
  <c r="O156" i="108"/>
  <c r="Q155" i="108" s="1"/>
  <c r="M155" i="108"/>
  <c r="L155" i="108"/>
  <c r="N154" i="108" s="1"/>
  <c r="P154" i="108"/>
  <c r="O154" i="108"/>
  <c r="Q153" i="108" s="1"/>
  <c r="M153" i="108"/>
  <c r="L153" i="108"/>
  <c r="N152" i="108" s="1"/>
  <c r="P152" i="108"/>
  <c r="O152" i="108"/>
  <c r="Q151" i="108" s="1"/>
  <c r="M151" i="108"/>
  <c r="L151" i="108"/>
  <c r="N150" i="108" s="1"/>
  <c r="P150" i="108"/>
  <c r="O150" i="108"/>
  <c r="P149" i="108"/>
  <c r="O149" i="108"/>
  <c r="P148" i="108"/>
  <c r="O148" i="108"/>
  <c r="P147" i="108"/>
  <c r="O147" i="108"/>
  <c r="P146" i="108"/>
  <c r="O146" i="108"/>
  <c r="P145" i="108"/>
  <c r="O145" i="108"/>
  <c r="P144" i="108"/>
  <c r="O144" i="108"/>
  <c r="Q143" i="108" s="1"/>
  <c r="M143" i="108"/>
  <c r="L143" i="108"/>
  <c r="M142" i="108"/>
  <c r="L142" i="108"/>
  <c r="M141" i="108"/>
  <c r="L141" i="108"/>
  <c r="M140" i="108"/>
  <c r="L140" i="108"/>
  <c r="M139" i="108"/>
  <c r="L139" i="108"/>
  <c r="M138" i="108"/>
  <c r="L138" i="108"/>
  <c r="N137" i="108" s="1"/>
  <c r="P137" i="108"/>
  <c r="O137" i="108"/>
  <c r="P136" i="108"/>
  <c r="O136" i="108"/>
  <c r="P135" i="108"/>
  <c r="O135" i="108"/>
  <c r="P134" i="108"/>
  <c r="O134" i="108"/>
  <c r="P133" i="108"/>
  <c r="O133" i="108"/>
  <c r="P132" i="108"/>
  <c r="O132" i="108"/>
  <c r="P131" i="108"/>
  <c r="O131" i="108"/>
  <c r="Q130" i="108" s="1"/>
  <c r="M130" i="108"/>
  <c r="L130" i="108"/>
  <c r="M129" i="108"/>
  <c r="L129" i="108"/>
  <c r="M128" i="108"/>
  <c r="L128" i="108"/>
  <c r="M127" i="108"/>
  <c r="L127" i="108"/>
  <c r="M126" i="108"/>
  <c r="L126" i="108"/>
  <c r="M125" i="108"/>
  <c r="L125" i="108"/>
  <c r="N124" i="108" s="1"/>
  <c r="P124" i="108"/>
  <c r="O124" i="108"/>
  <c r="P123" i="108"/>
  <c r="O123" i="108"/>
  <c r="P122" i="108"/>
  <c r="O122" i="108"/>
  <c r="P121" i="108"/>
  <c r="O121" i="108"/>
  <c r="P120" i="108"/>
  <c r="O120" i="108"/>
  <c r="P119" i="108"/>
  <c r="O119" i="108"/>
  <c r="P118" i="108"/>
  <c r="O118" i="108"/>
  <c r="Q117" i="108" s="1"/>
  <c r="M117" i="108"/>
  <c r="L117" i="108"/>
  <c r="M116" i="108"/>
  <c r="L116" i="108"/>
  <c r="M115" i="108"/>
  <c r="L115" i="108"/>
  <c r="M114" i="108"/>
  <c r="L114" i="108"/>
  <c r="M113" i="108"/>
  <c r="L113" i="108"/>
  <c r="M112" i="108"/>
  <c r="L112" i="108"/>
  <c r="M111" i="108"/>
  <c r="L111" i="108"/>
  <c r="M110" i="108"/>
  <c r="L110" i="108"/>
  <c r="N109" i="108" s="1"/>
  <c r="P109" i="108"/>
  <c r="O109" i="108"/>
  <c r="P108" i="108"/>
  <c r="O108" i="108"/>
  <c r="P107" i="108"/>
  <c r="O107" i="108"/>
  <c r="P106" i="108"/>
  <c r="O106" i="108"/>
  <c r="P105" i="108"/>
  <c r="O105" i="108"/>
  <c r="Q104" i="108" s="1"/>
  <c r="M104" i="108"/>
  <c r="L104" i="108"/>
  <c r="M103" i="108"/>
  <c r="L103" i="108"/>
  <c r="M102" i="108"/>
  <c r="L102" i="108"/>
  <c r="M101" i="108"/>
  <c r="L101" i="108"/>
  <c r="M100" i="108"/>
  <c r="L100" i="108"/>
  <c r="M99" i="108"/>
  <c r="L99" i="108"/>
  <c r="M98" i="108"/>
  <c r="L98" i="108"/>
  <c r="N97" i="108" s="1"/>
  <c r="P97" i="108"/>
  <c r="O97" i="108"/>
  <c r="P96" i="108"/>
  <c r="O96" i="108"/>
  <c r="P95" i="108"/>
  <c r="O95" i="108"/>
  <c r="P94" i="108"/>
  <c r="O94" i="108"/>
  <c r="P93" i="108"/>
  <c r="O93" i="108"/>
  <c r="P92" i="108"/>
  <c r="O92" i="108"/>
  <c r="P91" i="108"/>
  <c r="O91" i="108"/>
  <c r="P90" i="108"/>
  <c r="F603" i="107"/>
  <c r="N593" i="107" a="1"/>
  <c r="N593" i="107" s="1"/>
  <c r="F593" i="107" a="1"/>
  <c r="F593" i="107" s="1"/>
  <c r="L590" i="107" a="1"/>
  <c r="L590" i="107" s="1"/>
  <c r="D590" i="107" a="1"/>
  <c r="D590" i="107" s="1"/>
  <c r="R586" i="107"/>
  <c r="J586" i="107"/>
  <c r="R585" i="107"/>
  <c r="J585" i="107"/>
  <c r="R584" i="107"/>
  <c r="J584" i="107"/>
  <c r="I568" i="107"/>
  <c r="I564" i="107"/>
  <c r="I563" i="107"/>
  <c r="I562" i="107"/>
  <c r="I546" i="107"/>
  <c r="I544" i="107"/>
  <c r="E496" i="107"/>
  <c r="E495" i="107"/>
  <c r="E494" i="107"/>
  <c r="E485" i="107"/>
  <c r="E484" i="107"/>
  <c r="E483" i="107"/>
  <c r="E482" i="107"/>
  <c r="E481" i="107"/>
  <c r="K423" i="107"/>
  <c r="K422" i="107"/>
  <c r="K421" i="107"/>
  <c r="K419" i="107"/>
  <c r="K418" i="107"/>
  <c r="K417" i="107"/>
  <c r="K416" i="107"/>
  <c r="K415" i="107"/>
  <c r="L360" i="107"/>
  <c r="L358" i="107"/>
  <c r="L357" i="107"/>
  <c r="L356" i="107"/>
  <c r="L355" i="107"/>
  <c r="L354" i="107"/>
  <c r="L353" i="107"/>
  <c r="L352" i="107"/>
  <c r="L359" i="107"/>
  <c r="G315" i="107"/>
  <c r="E179" i="107"/>
  <c r="E178" i="107"/>
  <c r="E177" i="107"/>
  <c r="F181" i="107"/>
  <c r="E153" i="107"/>
  <c r="E152" i="107"/>
  <c r="E151" i="107"/>
  <c r="E150" i="107"/>
  <c r="E149" i="107"/>
  <c r="E148" i="107"/>
  <c r="E140" i="107"/>
  <c r="E139" i="107"/>
  <c r="E138" i="107"/>
  <c r="E137" i="107"/>
  <c r="R19" i="105"/>
  <c r="H19" i="105"/>
  <c r="O19" i="105" s="1"/>
  <c r="R18" i="105"/>
  <c r="O18" i="105"/>
  <c r="H18" i="105"/>
  <c r="L18" i="105" s="1"/>
  <c r="H17" i="105"/>
  <c r="R17" i="105" s="1"/>
  <c r="L16" i="105"/>
  <c r="H16" i="105"/>
  <c r="R16" i="105" s="1"/>
  <c r="H15" i="105"/>
  <c r="R15" i="105" s="1"/>
  <c r="R14" i="105"/>
  <c r="O14" i="105"/>
  <c r="H14" i="105"/>
  <c r="L14" i="105" s="1"/>
  <c r="H13" i="105"/>
  <c r="R13" i="105" s="1"/>
  <c r="H12" i="105"/>
  <c r="R12" i="105" s="1"/>
  <c r="H11" i="105"/>
  <c r="R11" i="105" s="1"/>
  <c r="H10" i="105"/>
  <c r="R10" i="105" s="1"/>
  <c r="Q8" i="105" a="1"/>
  <c r="Q8" i="105" s="1"/>
  <c r="N8" i="105" a="1"/>
  <c r="N8" i="105" s="1"/>
  <c r="K8" i="105" a="1"/>
  <c r="K8" i="105" s="1"/>
  <c r="D91" i="103" a="1"/>
  <c r="D91" i="103" s="1"/>
  <c r="E18" i="99"/>
  <c r="E19" i="99" s="1"/>
  <c r="D17" i="103" a="1"/>
  <c r="D17" i="103" s="1"/>
  <c r="F67" i="102" a="1"/>
  <c r="F67" i="102" s="1"/>
  <c r="D64" i="102" a="1"/>
  <c r="D64" i="102" s="1"/>
  <c r="I60" i="102"/>
  <c r="F62" i="102"/>
  <c r="F44" i="102" a="1"/>
  <c r="F44" i="102" s="1"/>
  <c r="D41" i="102" a="1"/>
  <c r="D41" i="102" s="1"/>
  <c r="I37" i="102"/>
  <c r="I19" i="102"/>
  <c r="I18" i="102"/>
  <c r="P53" i="101" a="1"/>
  <c r="P53" i="101" s="1"/>
  <c r="F53" i="101" a="1"/>
  <c r="F53" i="101" s="1"/>
  <c r="N50" i="101" a="1"/>
  <c r="N50" i="101" s="1"/>
  <c r="D50" i="101" a="1"/>
  <c r="D50" i="101" s="1"/>
  <c r="N46" i="101"/>
  <c r="D46" i="101"/>
  <c r="J39" i="101"/>
  <c r="J36" i="101" a="1"/>
  <c r="J36" i="101" s="1"/>
  <c r="P48" i="101"/>
  <c r="G24" i="101"/>
  <c r="F24" i="101"/>
  <c r="J19" i="101" a="1"/>
  <c r="J19" i="101" s="1"/>
  <c r="J17" i="101"/>
  <c r="J16" i="101" a="1"/>
  <c r="J16" i="101" s="1"/>
  <c r="J14" i="101" a="1"/>
  <c r="J14" i="101" s="1"/>
  <c r="J13" i="101" a="1"/>
  <c r="J13" i="101" s="1"/>
  <c r="O66" i="100" a="1"/>
  <c r="O66" i="100" s="1"/>
  <c r="M63" i="100" a="1"/>
  <c r="M63" i="100" s="1"/>
  <c r="R58" i="100"/>
  <c r="F47" i="100" a="1"/>
  <c r="F47" i="100" s="1"/>
  <c r="D44" i="100" a="1"/>
  <c r="D44" i="100" s="1"/>
  <c r="I39" i="100"/>
  <c r="F42" i="100"/>
  <c r="I21" i="100"/>
  <c r="Q18" i="100"/>
  <c r="I16" i="100"/>
  <c r="Q15" i="100"/>
  <c r="E22" i="99"/>
  <c r="I13" i="102" s="1"/>
  <c r="O21" i="98"/>
  <c r="O20" i="98"/>
  <c r="O19" i="98"/>
  <c r="O18" i="98"/>
  <c r="O17" i="98"/>
  <c r="M21" i="98"/>
  <c r="M20" i="98"/>
  <c r="M19" i="98"/>
  <c r="M18" i="98"/>
  <c r="M17" i="98"/>
  <c r="K26" i="98"/>
  <c r="K25" i="98"/>
  <c r="K24" i="98"/>
  <c r="K23" i="98"/>
  <c r="K22" i="98"/>
  <c r="K21" i="98"/>
  <c r="K20" i="98"/>
  <c r="K19" i="98"/>
  <c r="K18" i="98"/>
  <c r="K17" i="98"/>
  <c r="I27" i="98"/>
  <c r="I26" i="98"/>
  <c r="I25" i="98"/>
  <c r="I24" i="98"/>
  <c r="I23" i="98"/>
  <c r="I22" i="98"/>
  <c r="I21" i="98"/>
  <c r="I20" i="98"/>
  <c r="I19" i="98"/>
  <c r="I18" i="98"/>
  <c r="H185" i="97"/>
  <c r="H179" i="97"/>
  <c r="H168" i="97"/>
  <c r="H144" i="97"/>
  <c r="H138" i="97"/>
  <c r="H127" i="97"/>
  <c r="J16" i="97" a="1"/>
  <c r="J16" i="97" s="1"/>
  <c r="I16" i="97" a="1"/>
  <c r="I16" i="97" s="1"/>
  <c r="J15" i="97" a="1"/>
  <c r="J15" i="97" s="1"/>
  <c r="I15" i="97" a="1"/>
  <c r="I15" i="97" s="1"/>
  <c r="J14" i="97" a="1"/>
  <c r="J14" i="97" s="1"/>
  <c r="I14" i="97" a="1"/>
  <c r="I14" i="97" s="1"/>
  <c r="J13" i="97" a="1"/>
  <c r="J13" i="97" s="1"/>
  <c r="I13" i="97" a="1"/>
  <c r="I13" i="97" s="1"/>
  <c r="E139" i="95"/>
  <c r="F40" i="94" s="1"/>
  <c r="G138" i="95"/>
  <c r="F32" i="93" s="1"/>
  <c r="E138" i="95"/>
  <c r="F39" i="94" s="1"/>
  <c r="G137" i="95"/>
  <c r="F31" i="93" s="1"/>
  <c r="E137" i="95"/>
  <c r="F38" i="94" s="1"/>
  <c r="D137" i="95"/>
  <c r="F31" i="94" s="1"/>
  <c r="G136" i="95"/>
  <c r="F30" i="93" s="1"/>
  <c r="E136" i="95"/>
  <c r="F37" i="94" s="1"/>
  <c r="D136" i="95"/>
  <c r="F30" i="94" s="1"/>
  <c r="G135" i="95"/>
  <c r="F29" i="93" s="1"/>
  <c r="E135" i="95"/>
  <c r="F36" i="94" s="1"/>
  <c r="D135" i="95"/>
  <c r="F29" i="94" s="1"/>
  <c r="G134" i="95"/>
  <c r="F28" i="93" s="1"/>
  <c r="E134" i="95"/>
  <c r="F35" i="94" s="1"/>
  <c r="D134" i="95"/>
  <c r="F28" i="94" s="1"/>
  <c r="G133" i="95"/>
  <c r="F27" i="93" s="1"/>
  <c r="F133" i="95"/>
  <c r="F36" i="93" s="1"/>
  <c r="E133" i="95"/>
  <c r="F34" i="94" s="1"/>
  <c r="D133" i="95"/>
  <c r="F27" i="94" s="1"/>
  <c r="I132" i="95"/>
  <c r="F38" i="93" s="1"/>
  <c r="G132" i="95"/>
  <c r="F26" i="93" s="1"/>
  <c r="F132" i="95"/>
  <c r="F35" i="93" s="1"/>
  <c r="E132" i="95"/>
  <c r="F33" i="94" s="1"/>
  <c r="D132" i="95"/>
  <c r="F26" i="94" s="1"/>
  <c r="I131" i="95"/>
  <c r="F37" i="93" s="1"/>
  <c r="H131" i="95"/>
  <c r="F33" i="93" s="1"/>
  <c r="G131" i="95"/>
  <c r="F25" i="93" s="1"/>
  <c r="F131" i="95"/>
  <c r="F34" i="93" s="1"/>
  <c r="E131" i="95"/>
  <c r="F32" i="94" s="1"/>
  <c r="D131" i="95"/>
  <c r="F25" i="94" s="1"/>
  <c r="D110" i="95" a="1"/>
  <c r="D110" i="95" s="1"/>
  <c r="E40" i="94"/>
  <c r="E39" i="94"/>
  <c r="D84" i="95" a="1"/>
  <c r="D84" i="95" s="1"/>
  <c r="D52" i="95" a="1"/>
  <c r="D52" i="95" s="1"/>
  <c r="E39" i="93"/>
  <c r="E36" i="93"/>
  <c r="E35" i="93"/>
  <c r="E34" i="93"/>
  <c r="E32" i="93"/>
  <c r="E31" i="93"/>
  <c r="E30" i="93"/>
  <c r="E29" i="93"/>
  <c r="E28" i="93"/>
  <c r="E27" i="93"/>
  <c r="D8" i="95" a="1"/>
  <c r="D8" i="95" s="1"/>
  <c r="D34" i="94"/>
  <c r="D36" i="94"/>
  <c r="D27" i="94"/>
  <c r="D29" i="94"/>
  <c r="P18" i="94"/>
  <c r="P17" i="94"/>
  <c r="P16" i="94" a="1"/>
  <c r="P16" i="94" s="1"/>
  <c r="I16" i="94" a="1"/>
  <c r="I16" i="94" s="1"/>
  <c r="P15" i="94" a="1"/>
  <c r="P15" i="94" s="1"/>
  <c r="I15" i="94" a="1"/>
  <c r="I15" i="94" s="1"/>
  <c r="P14" i="94" a="1"/>
  <c r="P14" i="94" s="1"/>
  <c r="I14" i="94" a="1"/>
  <c r="I14" i="94" s="1"/>
  <c r="D38" i="93"/>
  <c r="D60" i="93"/>
  <c r="D36" i="93"/>
  <c r="D35" i="93"/>
  <c r="D54" i="93"/>
  <c r="D48" i="93"/>
  <c r="D31" i="93"/>
  <c r="D30" i="93"/>
  <c r="D29" i="93"/>
  <c r="D28" i="93"/>
  <c r="D27" i="93"/>
  <c r="D26" i="93"/>
  <c r="D42" i="93"/>
  <c r="P16" i="93" a="1"/>
  <c r="P16" i="93" s="1"/>
  <c r="I16" i="93" a="1"/>
  <c r="I16" i="93" s="1"/>
  <c r="P15" i="93" a="1"/>
  <c r="P15" i="93" s="1"/>
  <c r="I15" i="93" a="1"/>
  <c r="I15" i="93" s="1"/>
  <c r="P14" i="93" a="1"/>
  <c r="P14" i="93" s="1"/>
  <c r="I14" i="93" a="1"/>
  <c r="I14" i="93" s="1"/>
  <c r="H21" i="92"/>
  <c r="H20" i="92"/>
  <c r="H19" i="92"/>
  <c r="H18" i="92"/>
  <c r="H17" i="92"/>
  <c r="I567" i="107" a="1"/>
  <c r="I567" i="107" s="1"/>
  <c r="E570" i="107" s="1"/>
  <c r="J36" i="90" a="1"/>
  <c r="J36" i="90" s="1"/>
  <c r="E39" i="90" s="1"/>
  <c r="D7" i="91" a="1"/>
  <c r="D7" i="91" s="1"/>
  <c r="J37" i="90"/>
  <c r="J33" i="90" s="1"/>
  <c r="J32" i="90"/>
  <c r="J31" i="90"/>
  <c r="F39" i="90"/>
  <c r="I16" i="90"/>
  <c r="I14" i="90"/>
  <c r="F18" i="90"/>
  <c r="H48" i="89"/>
  <c r="E48" i="89"/>
  <c r="H47" i="89"/>
  <c r="E47" i="89"/>
  <c r="H46" i="89"/>
  <c r="E46" i="89"/>
  <c r="H39" i="89"/>
  <c r="H38" i="89"/>
  <c r="H37" i="89"/>
  <c r="E29" i="89"/>
  <c r="E16" i="89"/>
  <c r="E22" i="89" s="1"/>
  <c r="E6" i="89"/>
  <c r="L17" i="81" a="1"/>
  <c r="L17" i="81" s="1"/>
  <c r="J91" i="87"/>
  <c r="I57" i="87"/>
  <c r="I97" i="86"/>
  <c r="F105" i="86" s="1"/>
  <c r="I19" i="85"/>
  <c r="I18" i="85"/>
  <c r="I16" i="85"/>
  <c r="I15" i="85"/>
  <c r="I50" i="83"/>
  <c r="G180" i="108"/>
  <c r="G190" i="108"/>
  <c r="G182" i="108"/>
  <c r="G184" i="108"/>
  <c r="G198" i="108"/>
  <c r="G191" i="108"/>
  <c r="G189" i="108"/>
  <c r="G188" i="108"/>
  <c r="G186" i="108"/>
  <c r="G187" i="108"/>
  <c r="G185" i="108"/>
  <c r="G179" i="108"/>
  <c r="G178" i="108"/>
  <c r="G193" i="108"/>
  <c r="G192" i="108"/>
  <c r="G181" i="108"/>
  <c r="F99" i="87" a="1"/>
  <c r="F99" i="87" s="1"/>
  <c r="D96" i="87" a="1"/>
  <c r="D96" i="87" s="1"/>
  <c r="F94" i="87"/>
  <c r="D67" i="87"/>
  <c r="D66" i="87"/>
  <c r="D65" i="87"/>
  <c r="I59" i="87"/>
  <c r="I58" i="87"/>
  <c r="I55" i="87" a="1"/>
  <c r="I55" i="87" s="1"/>
  <c r="F77" i="87"/>
  <c r="I17" i="87"/>
  <c r="I16" i="87"/>
  <c r="I13" i="87" a="1"/>
  <c r="I13" i="87" s="1"/>
  <c r="F43" i="87"/>
  <c r="F151" i="86" a="1"/>
  <c r="F151" i="86" s="1"/>
  <c r="D148" i="86" a="1"/>
  <c r="D148" i="86" s="1"/>
  <c r="I127" i="86"/>
  <c r="I124" i="86" a="1"/>
  <c r="I124" i="86" s="1"/>
  <c r="F146" i="86"/>
  <c r="I96" i="86" a="1"/>
  <c r="I96" i="86" s="1"/>
  <c r="G102" i="86"/>
  <c r="F84" i="86" a="1"/>
  <c r="F84" i="86" s="1"/>
  <c r="D81" i="86" a="1"/>
  <c r="D81" i="86" s="1"/>
  <c r="J52" i="86"/>
  <c r="J49" i="86" a="1"/>
  <c r="J49" i="86" s="1"/>
  <c r="I14" i="86" a="1"/>
  <c r="I14" i="86" s="1"/>
  <c r="I13" i="86" a="1"/>
  <c r="I13" i="86" s="1"/>
  <c r="I17" i="85" a="1"/>
  <c r="I17" i="85" s="1"/>
  <c r="I14" i="85" a="1"/>
  <c r="I14" i="85" s="1"/>
  <c r="I13" i="85" a="1"/>
  <c r="I13" i="85" s="1"/>
  <c r="F55" i="84" a="1"/>
  <c r="F55" i="84" s="1"/>
  <c r="D52" i="84" a="1"/>
  <c r="D52" i="84" s="1"/>
  <c r="K47" i="84"/>
  <c r="F50" i="84"/>
  <c r="I15" i="84" a="1"/>
  <c r="I15" i="84" s="1"/>
  <c r="I14" i="84" a="1"/>
  <c r="I14" i="84" s="1"/>
  <c r="I13" i="84" a="1"/>
  <c r="I13" i="84" s="1"/>
  <c r="F32" i="84"/>
  <c r="I53" i="83" a="1"/>
  <c r="I53" i="83" s="1"/>
  <c r="I52" i="83"/>
  <c r="I49" i="83" a="1"/>
  <c r="I49" i="83" s="1"/>
  <c r="I14" i="83" a="1"/>
  <c r="I14" i="83" s="1"/>
  <c r="I13" i="83" a="1"/>
  <c r="I13" i="83" s="1"/>
  <c r="O115" i="82" a="1"/>
  <c r="O115" i="82" s="1"/>
  <c r="M112" i="82" a="1"/>
  <c r="M112" i="82" s="1"/>
  <c r="S95" i="82"/>
  <c r="F85" i="82" a="1"/>
  <c r="F85" i="82" s="1"/>
  <c r="D82" i="82" a="1"/>
  <c r="D82" i="82" s="1"/>
  <c r="O79" i="82"/>
  <c r="O63" i="82"/>
  <c r="I53" i="82"/>
  <c r="I52" i="82"/>
  <c r="I49" i="82" a="1"/>
  <c r="I49" i="82" s="1"/>
  <c r="O49" i="82"/>
  <c r="I14" i="82" a="1"/>
  <c r="I14" i="82" s="1"/>
  <c r="I13" i="82" a="1"/>
  <c r="I13" i="82" s="1"/>
  <c r="G56" i="81"/>
  <c r="G55" i="81"/>
  <c r="G54" i="81"/>
  <c r="K44" i="81"/>
  <c r="K43" i="81"/>
  <c r="K42" i="81"/>
  <c r="D33" i="78"/>
  <c r="D8" i="78"/>
  <c r="F82" i="72"/>
  <c r="F81" i="72"/>
  <c r="F80" i="72"/>
  <c r="E82" i="72"/>
  <c r="E81" i="72"/>
  <c r="E80" i="72"/>
  <c r="I484" i="107" l="1"/>
  <c r="F106" i="86"/>
  <c r="F108" i="86"/>
  <c r="F109" i="86"/>
  <c r="F111" i="86"/>
  <c r="F110" i="86"/>
  <c r="F112" i="86"/>
  <c r="F102" i="86"/>
  <c r="F103" i="86"/>
  <c r="F104" i="86"/>
  <c r="E37" i="94"/>
  <c r="E30" i="94"/>
  <c r="J39" i="94"/>
  <c r="I39" i="94"/>
  <c r="H39" i="94"/>
  <c r="G39" i="94"/>
  <c r="L36" i="93" a="1"/>
  <c r="L36" i="93" s="1"/>
  <c r="M36" i="93" a="1"/>
  <c r="M36" i="93" s="1"/>
  <c r="M39" i="94" a="1"/>
  <c r="M39" i="94" s="1"/>
  <c r="I13" i="100"/>
  <c r="I17" i="102" a="1"/>
  <c r="I17" i="102" s="1"/>
  <c r="F482" i="107" a="1"/>
  <c r="F482" i="107" s="1"/>
  <c r="F483" i="107" a="1"/>
  <c r="F483" i="107" s="1"/>
  <c r="G483" i="107" s="1"/>
  <c r="T12" i="81" a="1"/>
  <c r="T12" i="81" s="1"/>
  <c r="I15" i="90" a="1"/>
  <c r="I15" i="90" s="1"/>
  <c r="E18" i="90" s="1"/>
  <c r="M25" i="94" a="1"/>
  <c r="M25" i="94" s="1"/>
  <c r="L25" i="94" a="1"/>
  <c r="L25" i="94" s="1"/>
  <c r="L27" i="93" a="1"/>
  <c r="L27" i="93" s="1"/>
  <c r="M27" i="93" a="1"/>
  <c r="M27" i="93" s="1"/>
  <c r="M32" i="93" a="1"/>
  <c r="M32" i="93" s="1"/>
  <c r="F140" i="107" a="1"/>
  <c r="F140" i="107" s="1"/>
  <c r="F139" i="107" a="1"/>
  <c r="F139" i="107" s="1"/>
  <c r="F138" i="107" a="1"/>
  <c r="F138" i="107" s="1"/>
  <c r="G138" i="107" s="1"/>
  <c r="F137" i="107" a="1"/>
  <c r="F137" i="107" s="1"/>
  <c r="G137" i="107" s="1"/>
  <c r="H13" i="81"/>
  <c r="R19" i="81" a="1"/>
  <c r="R19" i="81" s="1"/>
  <c r="E26" i="94"/>
  <c r="E33" i="94"/>
  <c r="E38" i="94"/>
  <c r="E31" i="94"/>
  <c r="M32" i="94" a="1"/>
  <c r="M32" i="94" s="1"/>
  <c r="L32" i="94" a="1"/>
  <c r="L32" i="94" s="1"/>
  <c r="M28" i="94" a="1"/>
  <c r="M28" i="94" s="1"/>
  <c r="M40" i="94" a="1"/>
  <c r="M40" i="94" s="1"/>
  <c r="M13" i="81" a="1"/>
  <c r="M13" i="81" s="1"/>
  <c r="N20" i="81" a="1"/>
  <c r="N20" i="81" s="1"/>
  <c r="G445" i="107" a="1"/>
  <c r="G445" i="107" s="1"/>
  <c r="H445" i="107" s="1"/>
  <c r="E38" i="93"/>
  <c r="E26" i="93"/>
  <c r="E33" i="93"/>
  <c r="M34" i="93" a="1"/>
  <c r="M34" i="93" s="1"/>
  <c r="L34" i="93" a="1"/>
  <c r="L34" i="93" s="1"/>
  <c r="M35" i="94" a="1"/>
  <c r="M35" i="94" s="1"/>
  <c r="L35" i="94" a="1"/>
  <c r="L35" i="94" s="1"/>
  <c r="F496" i="107" a="1"/>
  <c r="F496" i="107" s="1"/>
  <c r="G496" i="107" s="1"/>
  <c r="F495" i="107" a="1"/>
  <c r="F495" i="107" s="1"/>
  <c r="F494" i="107" a="1"/>
  <c r="F494" i="107" s="1"/>
  <c r="G494" i="107" s="1"/>
  <c r="N13" i="81" a="1"/>
  <c r="N13" i="81" s="1"/>
  <c r="J21" i="81" a="1"/>
  <c r="J21" i="81" s="1"/>
  <c r="E32" i="94"/>
  <c r="E25" i="94"/>
  <c r="M25" i="93" a="1"/>
  <c r="M25" i="93" s="1"/>
  <c r="L25" i="93" a="1"/>
  <c r="L25" i="93" s="1"/>
  <c r="M28" i="93" a="1"/>
  <c r="M28" i="93" s="1"/>
  <c r="L28" i="93" a="1"/>
  <c r="L28" i="93" s="1"/>
  <c r="I57" i="102" a="1"/>
  <c r="I57" i="102" s="1"/>
  <c r="L242" i="108"/>
  <c r="N241" i="108" s="1"/>
  <c r="F153" i="107" a="1"/>
  <c r="F153" i="107" s="1"/>
  <c r="F152" i="107" a="1"/>
  <c r="F152" i="107" s="1"/>
  <c r="F151" i="107" a="1"/>
  <c r="F151" i="107" s="1"/>
  <c r="F150" i="107" a="1"/>
  <c r="F150" i="107" s="1"/>
  <c r="F149" i="107" a="1"/>
  <c r="F149" i="107" s="1"/>
  <c r="F148" i="107" a="1"/>
  <c r="F148" i="107" s="1"/>
  <c r="G148" i="107" s="1"/>
  <c r="W13" i="81" a="1"/>
  <c r="W13" i="81" s="1"/>
  <c r="M33" i="93" a="1"/>
  <c r="M33" i="93" s="1"/>
  <c r="M29" i="94" a="1"/>
  <c r="M29" i="94" s="1"/>
  <c r="L29" i="94" a="1"/>
  <c r="L29" i="94" s="1"/>
  <c r="H14" i="81"/>
  <c r="E27" i="94"/>
  <c r="E34" i="94"/>
  <c r="E29" i="94"/>
  <c r="E36" i="94"/>
  <c r="M37" i="93" a="1"/>
  <c r="M37" i="93" s="1"/>
  <c r="L37" i="93" a="1"/>
  <c r="L37" i="93" s="1"/>
  <c r="M36" i="94" a="1"/>
  <c r="M36" i="94" s="1"/>
  <c r="L36" i="94" a="1"/>
  <c r="L36" i="94" s="1"/>
  <c r="Q16" i="100"/>
  <c r="G451" i="107" a="1"/>
  <c r="G451" i="107" s="1"/>
  <c r="G450" i="107" a="1"/>
  <c r="G450" i="107" s="1"/>
  <c r="H450" i="107" s="1"/>
  <c r="G448" i="107" a="1"/>
  <c r="G448" i="107" s="1"/>
  <c r="H448" i="107" s="1"/>
  <c r="G389" i="107" a="1"/>
  <c r="G389" i="107" s="1"/>
  <c r="G388" i="107" a="1"/>
  <c r="G388" i="107" s="1"/>
  <c r="G387" i="107" a="1"/>
  <c r="G387" i="107" s="1"/>
  <c r="G386" i="107" a="1"/>
  <c r="G386" i="107" s="1"/>
  <c r="G385" i="107" a="1"/>
  <c r="G385" i="107" s="1"/>
  <c r="G384" i="107" a="1"/>
  <c r="G384" i="107" s="1"/>
  <c r="G383" i="107" a="1"/>
  <c r="G383" i="107" s="1"/>
  <c r="G382" i="107" a="1"/>
  <c r="G382" i="107" s="1"/>
  <c r="H382" i="107" s="1"/>
  <c r="G391" i="107" a="1"/>
  <c r="G391" i="107" s="1"/>
  <c r="G390" i="107" a="1"/>
  <c r="G390" i="107" s="1"/>
  <c r="J14" i="81" a="1"/>
  <c r="J14" i="81" s="1"/>
  <c r="G40" i="94"/>
  <c r="J40" i="94"/>
  <c r="I40" i="94"/>
  <c r="H40" i="94"/>
  <c r="M26" i="94" a="1"/>
  <c r="M26" i="94" s="1"/>
  <c r="M29" i="93" a="1"/>
  <c r="M29" i="93" s="1"/>
  <c r="L29" i="93" a="1"/>
  <c r="L29" i="93" s="1"/>
  <c r="D116" i="97" a="1"/>
  <c r="D116" i="97" s="1"/>
  <c r="D21" i="97" a="1"/>
  <c r="D157" i="97" a="1"/>
  <c r="D157" i="97" s="1"/>
  <c r="D59" i="97" a="1"/>
  <c r="Q17" i="100"/>
  <c r="I14" i="100"/>
  <c r="I14" i="102"/>
  <c r="S14" i="81" a="1"/>
  <c r="S14" i="81" s="1"/>
  <c r="E72" i="87"/>
  <c r="E109" i="86"/>
  <c r="I174" i="108"/>
  <c r="H194" i="108"/>
  <c r="G38" i="93" a="1"/>
  <c r="G38" i="93" s="1"/>
  <c r="G35" i="93" a="1"/>
  <c r="G35" i="93" s="1"/>
  <c r="H32" i="93" a="1"/>
  <c r="H32" i="93" s="1"/>
  <c r="H29" i="93" a="1"/>
  <c r="H29" i="93" s="1"/>
  <c r="G26" i="93" a="1"/>
  <c r="G26" i="93" s="1"/>
  <c r="K39" i="93" a="1"/>
  <c r="K39" i="93" s="1"/>
  <c r="K36" i="93" a="1"/>
  <c r="K36" i="93" s="1"/>
  <c r="K33" i="93" a="1"/>
  <c r="K33" i="93" s="1"/>
  <c r="G32" i="93" a="1"/>
  <c r="G32" i="93" s="1"/>
  <c r="G29" i="93" a="1"/>
  <c r="G29" i="93" s="1"/>
  <c r="K27" i="93" a="1"/>
  <c r="K27" i="93" s="1"/>
  <c r="J39" i="93" a="1"/>
  <c r="J39" i="93" s="1"/>
  <c r="J36" i="93" a="1"/>
  <c r="J36" i="93" s="1"/>
  <c r="J33" i="93" a="1"/>
  <c r="J33" i="93" s="1"/>
  <c r="K30" i="93" a="1"/>
  <c r="K30" i="93" s="1"/>
  <c r="J27" i="93" a="1"/>
  <c r="J27" i="93" s="1"/>
  <c r="I39" i="93" a="1"/>
  <c r="I39" i="93" s="1"/>
  <c r="I36" i="93" a="1"/>
  <c r="I36" i="93" s="1"/>
  <c r="I33" i="93" a="1"/>
  <c r="I33" i="93" s="1"/>
  <c r="J30" i="93" a="1"/>
  <c r="J30" i="93" s="1"/>
  <c r="I27" i="93" a="1"/>
  <c r="I27" i="93" s="1"/>
  <c r="H39" i="93" a="1"/>
  <c r="H39" i="93" s="1"/>
  <c r="H36" i="93" a="1"/>
  <c r="H36" i="93" s="1"/>
  <c r="H33" i="93" a="1"/>
  <c r="H33" i="93" s="1"/>
  <c r="I30" i="93" a="1"/>
  <c r="I30" i="93" s="1"/>
  <c r="H27" i="93" a="1"/>
  <c r="H27" i="93" s="1"/>
  <c r="G39" i="93" a="1"/>
  <c r="G39" i="93" s="1"/>
  <c r="G36" i="93" a="1"/>
  <c r="G36" i="93" s="1"/>
  <c r="K34" i="93" a="1"/>
  <c r="K34" i="93" s="1"/>
  <c r="G33" i="93" a="1"/>
  <c r="G33" i="93" s="1"/>
  <c r="H30" i="93" a="1"/>
  <c r="H30" i="93" s="1"/>
  <c r="G27" i="93" a="1"/>
  <c r="G27" i="93" s="1"/>
  <c r="J34" i="93" a="1"/>
  <c r="J34" i="93" s="1"/>
  <c r="G30" i="93" a="1"/>
  <c r="G30" i="93" s="1"/>
  <c r="K28" i="93" a="1"/>
  <c r="K28" i="93" s="1"/>
  <c r="I37" i="93" a="1"/>
  <c r="I37" i="93" s="1"/>
  <c r="I34" i="93" a="1"/>
  <c r="I34" i="93" s="1"/>
  <c r="K31" i="93" a="1"/>
  <c r="K31" i="93" s="1"/>
  <c r="J28" i="93" a="1"/>
  <c r="J28" i="93" s="1"/>
  <c r="H34" i="93" a="1"/>
  <c r="H34" i="93" s="1"/>
  <c r="J31" i="93" a="1"/>
  <c r="J31" i="93" s="1"/>
  <c r="I28" i="93" a="1"/>
  <c r="I28" i="93" s="1"/>
  <c r="G34" i="93" a="1"/>
  <c r="G34" i="93" s="1"/>
  <c r="I31" i="93" a="1"/>
  <c r="I31" i="93" s="1"/>
  <c r="H28" i="93" a="1"/>
  <c r="H28" i="93" s="1"/>
  <c r="K38" i="93" a="1"/>
  <c r="K38" i="93" s="1"/>
  <c r="K35" i="93" a="1"/>
  <c r="K35" i="93" s="1"/>
  <c r="H31" i="93" a="1"/>
  <c r="H31" i="93" s="1"/>
  <c r="G28" i="93" a="1"/>
  <c r="G28" i="93" s="1"/>
  <c r="K26" i="93" a="1"/>
  <c r="K26" i="93" s="1"/>
  <c r="J38" i="93" a="1"/>
  <c r="J38" i="93" s="1"/>
  <c r="E37" i="93"/>
  <c r="J37" i="93" s="1" a="1"/>
  <c r="J37" i="93" s="1"/>
  <c r="J35" i="93" a="1"/>
  <c r="J35" i="93" s="1"/>
  <c r="K32" i="93" a="1"/>
  <c r="K32" i="93" s="1"/>
  <c r="G31" i="93" a="1"/>
  <c r="G31" i="93" s="1"/>
  <c r="K29" i="93" a="1"/>
  <c r="K29" i="93" s="1"/>
  <c r="J26" i="93" a="1"/>
  <c r="J26" i="93" s="1"/>
  <c r="E25" i="93"/>
  <c r="J25" i="93" s="1" a="1"/>
  <c r="J25" i="93" s="1"/>
  <c r="I38" i="93" a="1"/>
  <c r="I38" i="93" s="1"/>
  <c r="I35" i="93" a="1"/>
  <c r="I35" i="93" s="1"/>
  <c r="J32" i="93" a="1"/>
  <c r="J32" i="93" s="1"/>
  <c r="J29" i="93" a="1"/>
  <c r="J29" i="93" s="1"/>
  <c r="I26" i="93" a="1"/>
  <c r="I26" i="93" s="1"/>
  <c r="H38" i="93" a="1"/>
  <c r="H38" i="93" s="1"/>
  <c r="H35" i="93" a="1"/>
  <c r="H35" i="93" s="1"/>
  <c r="I32" i="93" a="1"/>
  <c r="I32" i="93" s="1"/>
  <c r="I29" i="93" a="1"/>
  <c r="I29" i="93" s="1"/>
  <c r="H26" i="93" a="1"/>
  <c r="H26" i="93" s="1"/>
  <c r="M33" i="94" a="1"/>
  <c r="M33" i="94" s="1"/>
  <c r="M30" i="94" a="1"/>
  <c r="M30" i="94" s="1"/>
  <c r="I17" i="98"/>
  <c r="E116" i="97" a="1"/>
  <c r="E116" i="97" s="1"/>
  <c r="E21" i="97" a="1"/>
  <c r="E157" i="97" a="1"/>
  <c r="E157" i="97" s="1"/>
  <c r="E59" i="97" a="1"/>
  <c r="I20" i="100" a="1"/>
  <c r="I20" i="100" s="1"/>
  <c r="I34" i="102" a="1"/>
  <c r="I34" i="102" s="1"/>
  <c r="D30" i="99"/>
  <c r="D25" i="99"/>
  <c r="F17" i="99"/>
  <c r="D17" i="99"/>
  <c r="L10" i="105"/>
  <c r="L17" i="105"/>
  <c r="I545" i="107" a="1"/>
  <c r="I545" i="107" s="1"/>
  <c r="E548" i="107" s="1"/>
  <c r="F22" i="99"/>
  <c r="W14" i="81" a="1"/>
  <c r="W14" i="81" s="1"/>
  <c r="AE252" i="107" a="1"/>
  <c r="AE252" i="107" s="1"/>
  <c r="K252" i="107" s="1"/>
  <c r="M35" i="93" a="1"/>
  <c r="M35" i="93" s="1"/>
  <c r="L35" i="93" a="1"/>
  <c r="L35" i="93" s="1"/>
  <c r="M37" i="94" a="1"/>
  <c r="M37" i="94" s="1"/>
  <c r="L37" i="94" a="1"/>
  <c r="L37" i="94" s="1"/>
  <c r="O17" i="105"/>
  <c r="D24" i="99"/>
  <c r="Y14" i="81"/>
  <c r="G197" i="108"/>
  <c r="G196" i="108"/>
  <c r="G195" i="108"/>
  <c r="G194" i="108"/>
  <c r="S261" i="107" s="1" a="1"/>
  <c r="S261" i="107" s="1"/>
  <c r="E112" i="86"/>
  <c r="E75" i="87"/>
  <c r="M26" i="93" a="1"/>
  <c r="M26" i="93" s="1"/>
  <c r="M30" i="93" a="1"/>
  <c r="M30" i="93" s="1"/>
  <c r="L30" i="93" a="1"/>
  <c r="L30" i="93" s="1"/>
  <c r="L11" i="105"/>
  <c r="I31" i="107" a="1"/>
  <c r="I31" i="107" s="1"/>
  <c r="I30" i="107" a="1"/>
  <c r="I30" i="107" s="1"/>
  <c r="I29" i="107" a="1"/>
  <c r="I29" i="107" s="1"/>
  <c r="I28" i="107" a="1"/>
  <c r="I28" i="107" s="1"/>
  <c r="I27" i="107" a="1"/>
  <c r="I27" i="107" s="1"/>
  <c r="I26" i="107" a="1"/>
  <c r="I26" i="107" s="1"/>
  <c r="I25" i="107" a="1"/>
  <c r="I25" i="107" s="1"/>
  <c r="I24" i="107" a="1"/>
  <c r="I24" i="107" s="1"/>
  <c r="J24" i="107" s="1"/>
  <c r="I23" i="107" a="1"/>
  <c r="I23" i="107" s="1"/>
  <c r="J23" i="107" s="1"/>
  <c r="E76" i="107" a="1"/>
  <c r="E76" i="107" s="1"/>
  <c r="E58" i="107" a="1"/>
  <c r="E58" i="107" s="1"/>
  <c r="E39" i="107" a="1"/>
  <c r="E39" i="107" s="1"/>
  <c r="I32" i="107" a="1"/>
  <c r="I32" i="107" s="1"/>
  <c r="O90" i="108"/>
  <c r="Q89" i="108" s="1"/>
  <c r="T129" i="107" a="1"/>
  <c r="T129" i="107" s="1"/>
  <c r="AB125" i="107" a="1"/>
  <c r="AB125" i="107" s="1"/>
  <c r="T122" i="107" a="1"/>
  <c r="T122" i="107" s="1"/>
  <c r="P129" i="107" a="1"/>
  <c r="P129" i="107" s="1"/>
  <c r="X125" i="107" a="1"/>
  <c r="X125" i="107" s="1"/>
  <c r="P122" i="107" a="1"/>
  <c r="P122" i="107" s="1"/>
  <c r="AB128" i="107" a="1"/>
  <c r="AB128" i="107" s="1"/>
  <c r="T125" i="107" a="1"/>
  <c r="T125" i="107" s="1"/>
  <c r="AB121" i="107" a="1"/>
  <c r="AB121" i="107" s="1"/>
  <c r="X128" i="107" a="1"/>
  <c r="X128" i="107" s="1"/>
  <c r="P125" i="107" a="1"/>
  <c r="P125" i="107" s="1"/>
  <c r="X121" i="107" a="1"/>
  <c r="X121" i="107" s="1"/>
  <c r="T128" i="107" a="1"/>
  <c r="T128" i="107" s="1"/>
  <c r="AB124" i="107" a="1"/>
  <c r="AB124" i="107" s="1"/>
  <c r="T121" i="107" a="1"/>
  <c r="T121" i="107" s="1"/>
  <c r="P128" i="107" a="1"/>
  <c r="P128" i="107" s="1"/>
  <c r="X124" i="107" a="1"/>
  <c r="X124" i="107" s="1"/>
  <c r="P121" i="107" a="1"/>
  <c r="P121" i="107" s="1"/>
  <c r="AB127" i="107" a="1"/>
  <c r="AB127" i="107" s="1"/>
  <c r="T124" i="107" a="1"/>
  <c r="T124" i="107" s="1"/>
  <c r="AB120" i="107" a="1"/>
  <c r="AB120" i="107" s="1"/>
  <c r="X127" i="107" a="1"/>
  <c r="X127" i="107" s="1"/>
  <c r="P124" i="107" a="1"/>
  <c r="P124" i="107" s="1"/>
  <c r="X120" i="107" a="1"/>
  <c r="X120" i="107" s="1"/>
  <c r="T127" i="107" a="1"/>
  <c r="T127" i="107" s="1"/>
  <c r="AB123" i="107" a="1"/>
  <c r="AB123" i="107" s="1"/>
  <c r="T120" i="107" a="1"/>
  <c r="T120" i="107" s="1"/>
  <c r="P127" i="107" a="1"/>
  <c r="P127" i="107" s="1"/>
  <c r="X123" i="107" a="1"/>
  <c r="X123" i="107" s="1"/>
  <c r="P120" i="107" a="1"/>
  <c r="P120" i="107" s="1"/>
  <c r="AB126" i="107" a="1"/>
  <c r="AB126" i="107" s="1"/>
  <c r="T123" i="107" a="1"/>
  <c r="T123" i="107" s="1"/>
  <c r="X126" i="107" a="1"/>
  <c r="X126" i="107" s="1"/>
  <c r="P123" i="107" a="1"/>
  <c r="P123" i="107" s="1"/>
  <c r="AB129" i="107" a="1"/>
  <c r="AB129" i="107" s="1"/>
  <c r="T126" i="107" a="1"/>
  <c r="T126" i="107" s="1"/>
  <c r="AB122" i="107" a="1"/>
  <c r="AB122" i="107" s="1"/>
  <c r="X129" i="107" a="1"/>
  <c r="X129" i="107" s="1"/>
  <c r="P126" i="107" a="1"/>
  <c r="P126" i="107" s="1"/>
  <c r="X122" i="107" a="1"/>
  <c r="X122" i="107" s="1"/>
  <c r="D285" i="107" a="1"/>
  <c r="E316" i="107" a="1"/>
  <c r="E316" i="107" s="1"/>
  <c r="E315" i="107" a="1"/>
  <c r="E315" i="107" s="1"/>
  <c r="E317" i="107" a="1"/>
  <c r="E317" i="107" s="1"/>
  <c r="D26" i="99"/>
  <c r="T15" i="81" a="1"/>
  <c r="T15" i="81" s="1"/>
  <c r="H196" i="108"/>
  <c r="I176" i="108"/>
  <c r="E69" i="87"/>
  <c r="E106" i="86"/>
  <c r="E138" i="86" s="1"/>
  <c r="I175" i="108"/>
  <c r="H195" i="108"/>
  <c r="E70" i="87"/>
  <c r="E107" i="86"/>
  <c r="E71" i="87"/>
  <c r="E108" i="86"/>
  <c r="E140" i="86" s="1"/>
  <c r="E110" i="86"/>
  <c r="E73" i="87"/>
  <c r="E111" i="86"/>
  <c r="E143" i="86" s="1"/>
  <c r="E74" i="87"/>
  <c r="P26" i="81"/>
  <c r="P25" i="81"/>
  <c r="D19" i="82" a="1"/>
  <c r="D19" i="83" a="1"/>
  <c r="G183" i="108"/>
  <c r="P34" i="81"/>
  <c r="D60" i="82" a="1"/>
  <c r="D60" i="82" s="1"/>
  <c r="P33" i="81"/>
  <c r="P32" i="81"/>
  <c r="D19" i="86" a="1"/>
  <c r="D58" i="83" a="1"/>
  <c r="D58" i="83" s="1"/>
  <c r="P31" i="81"/>
  <c r="P30" i="81"/>
  <c r="D23" i="87" a="1"/>
  <c r="D23" i="87" s="1"/>
  <c r="D59" i="86" a="1"/>
  <c r="D59" i="86" s="1"/>
  <c r="P29" i="81"/>
  <c r="P28" i="81"/>
  <c r="P27" i="81"/>
  <c r="K40" i="94" a="1"/>
  <c r="K40" i="94" s="1"/>
  <c r="M38" i="93" a="1"/>
  <c r="M38" i="93" s="1"/>
  <c r="L38" i="93" a="1"/>
  <c r="L38" i="93" s="1"/>
  <c r="M31" i="94" a="1"/>
  <c r="M31" i="94" s="1"/>
  <c r="L31" i="94" a="1"/>
  <c r="L31" i="94" s="1"/>
  <c r="O11" i="105"/>
  <c r="F178" i="107" a="1"/>
  <c r="F178" i="107" s="1"/>
  <c r="G178" i="107" s="1"/>
  <c r="F177" i="107" a="1"/>
  <c r="F177" i="107" s="1"/>
  <c r="G177" i="107" s="1"/>
  <c r="F179" i="107" a="1"/>
  <c r="F179" i="107" s="1"/>
  <c r="G179" i="107" s="1"/>
  <c r="M12" i="81" a="1"/>
  <c r="M12" i="81" s="1"/>
  <c r="P16" i="81" a="1"/>
  <c r="P16" i="81" s="1"/>
  <c r="H197" i="108"/>
  <c r="I177" i="108"/>
  <c r="K39" i="94" a="1"/>
  <c r="K39" i="94" s="1"/>
  <c r="E35" i="94"/>
  <c r="E28" i="94"/>
  <c r="L27" i="94" a="1"/>
  <c r="L27" i="94" s="1"/>
  <c r="M27" i="94" a="1"/>
  <c r="M27" i="94" s="1"/>
  <c r="M38" i="94" a="1"/>
  <c r="M38" i="94" s="1"/>
  <c r="G472" i="107" a="1"/>
  <c r="G472" i="107" s="1"/>
  <c r="G471" i="107" a="1"/>
  <c r="G471" i="107" s="1"/>
  <c r="G470" i="107" a="1"/>
  <c r="G470" i="107" s="1"/>
  <c r="G469" i="107" a="1"/>
  <c r="G469" i="107" s="1"/>
  <c r="G468" i="107" a="1"/>
  <c r="G468" i="107" s="1"/>
  <c r="H468" i="107" s="1"/>
  <c r="G467" i="107" a="1"/>
  <c r="G467" i="107" s="1"/>
  <c r="H467" i="107" s="1"/>
  <c r="G466" i="107" a="1"/>
  <c r="G466" i="107" s="1"/>
  <c r="H466" i="107" s="1"/>
  <c r="G465" i="107" a="1"/>
  <c r="G465" i="107" s="1"/>
  <c r="H465" i="107" s="1"/>
  <c r="G464" i="107" a="1"/>
  <c r="G464" i="107" s="1"/>
  <c r="H464" i="107" s="1"/>
  <c r="G463" i="107" a="1"/>
  <c r="G463" i="107" s="1"/>
  <c r="H463" i="107" s="1"/>
  <c r="Q12" i="81" a="1"/>
  <c r="Q12" i="81" s="1"/>
  <c r="E68" i="87"/>
  <c r="E105" i="86"/>
  <c r="E137" i="86" s="1"/>
  <c r="G176" i="108"/>
  <c r="G175" i="108"/>
  <c r="G174" i="108"/>
  <c r="G177" i="108"/>
  <c r="W258" i="107" s="1" a="1"/>
  <c r="W258" i="107" s="1"/>
  <c r="M21" i="81" a="1"/>
  <c r="M21" i="81" s="1"/>
  <c r="Q20" i="81" a="1"/>
  <c r="Q20" i="81" s="1"/>
  <c r="U19" i="81" a="1"/>
  <c r="U19" i="81" s="1"/>
  <c r="Z18" i="81"/>
  <c r="K18" i="81" a="1"/>
  <c r="K18" i="81" s="1"/>
  <c r="O17" i="81" a="1"/>
  <c r="O17" i="81" s="1"/>
  <c r="S16" i="81" a="1"/>
  <c r="S16" i="81" s="1"/>
  <c r="W15" i="81" a="1"/>
  <c r="W15" i="81" s="1"/>
  <c r="H15" i="81"/>
  <c r="M14" i="81" a="1"/>
  <c r="M14" i="81" s="1"/>
  <c r="Q13" i="81" a="1"/>
  <c r="Q13" i="81" s="1"/>
  <c r="U12" i="81" a="1"/>
  <c r="U12" i="81" s="1"/>
  <c r="L21" i="81" a="1"/>
  <c r="L21" i="81" s="1"/>
  <c r="P20" i="81" a="1"/>
  <c r="P20" i="81" s="1"/>
  <c r="T19" i="81" a="1"/>
  <c r="T19" i="81" s="1"/>
  <c r="Y18" i="81"/>
  <c r="J18" i="81" a="1"/>
  <c r="J18" i="81" s="1"/>
  <c r="N17" i="81" a="1"/>
  <c r="N17" i="81" s="1"/>
  <c r="R16" i="81" a="1"/>
  <c r="R16" i="81" s="1"/>
  <c r="F15" i="81"/>
  <c r="L14" i="81" a="1"/>
  <c r="L14" i="81" s="1"/>
  <c r="P13" i="81" a="1"/>
  <c r="P13" i="81" s="1"/>
  <c r="Z21" i="81"/>
  <c r="K21" i="81" a="1"/>
  <c r="K21" i="81" s="1"/>
  <c r="O20" i="81" a="1"/>
  <c r="O20" i="81" s="1"/>
  <c r="S19" i="81" a="1"/>
  <c r="S19" i="81" s="1"/>
  <c r="W18" i="81" a="1"/>
  <c r="W18" i="81" s="1"/>
  <c r="H18" i="81"/>
  <c r="M17" i="81" a="1"/>
  <c r="M17" i="81" s="1"/>
  <c r="Q16" i="81" a="1"/>
  <c r="Q16" i="81" s="1"/>
  <c r="U15" i="81" a="1"/>
  <c r="U15" i="81" s="1"/>
  <c r="Z14" i="81"/>
  <c r="K14" i="81" a="1"/>
  <c r="K14" i="81" s="1"/>
  <c r="O13" i="81" a="1"/>
  <c r="O13" i="81" s="1"/>
  <c r="S12" i="81" a="1"/>
  <c r="S12" i="81" s="1"/>
  <c r="Y21" i="81"/>
  <c r="W21" i="81" a="1"/>
  <c r="W21" i="81" s="1"/>
  <c r="H21" i="81"/>
  <c r="M20" i="81" a="1"/>
  <c r="M20" i="81" s="1"/>
  <c r="Q19" i="81" a="1"/>
  <c r="Q19" i="81" s="1"/>
  <c r="U18" i="81" a="1"/>
  <c r="U18" i="81" s="1"/>
  <c r="Z17" i="81"/>
  <c r="K17" i="81" a="1"/>
  <c r="K17" i="81" s="1"/>
  <c r="O16" i="81" a="1"/>
  <c r="O16" i="81" s="1"/>
  <c r="S15" i="81" a="1"/>
  <c r="S15" i="81" s="1"/>
  <c r="F21" i="81"/>
  <c r="L20" i="81" a="1"/>
  <c r="L20" i="81" s="1"/>
  <c r="P19" i="81" a="1"/>
  <c r="P19" i="81" s="1"/>
  <c r="T18" i="81" a="1"/>
  <c r="T18" i="81" s="1"/>
  <c r="Y17" i="81"/>
  <c r="J17" i="81" a="1"/>
  <c r="J17" i="81" s="1"/>
  <c r="N16" i="81" a="1"/>
  <c r="N16" i="81" s="1"/>
  <c r="R15" i="81" a="1"/>
  <c r="R15" i="81" s="1"/>
  <c r="F14" i="81"/>
  <c r="L13" i="81" a="1"/>
  <c r="L13" i="81" s="1"/>
  <c r="P12" i="81" a="1"/>
  <c r="P12" i="81" s="1"/>
  <c r="U21" i="81" a="1"/>
  <c r="U21" i="81" s="1"/>
  <c r="Z20" i="81"/>
  <c r="K20" i="81" a="1"/>
  <c r="K20" i="81" s="1"/>
  <c r="O19" i="81" a="1"/>
  <c r="O19" i="81" s="1"/>
  <c r="S18" i="81" a="1"/>
  <c r="S18" i="81" s="1"/>
  <c r="W17" i="81" a="1"/>
  <c r="W17" i="81" s="1"/>
  <c r="H17" i="81"/>
  <c r="M16" i="81" a="1"/>
  <c r="M16" i="81" s="1"/>
  <c r="Q15" i="81" a="1"/>
  <c r="Q15" i="81" s="1"/>
  <c r="U14" i="81" a="1"/>
  <c r="U14" i="81" s="1"/>
  <c r="Z13" i="81"/>
  <c r="K13" i="81" a="1"/>
  <c r="K13" i="81" s="1"/>
  <c r="O12" i="81" a="1"/>
  <c r="O12" i="81" s="1"/>
  <c r="T21" i="81" a="1"/>
  <c r="T21" i="81" s="1"/>
  <c r="Y20" i="81"/>
  <c r="J20" i="81" a="1"/>
  <c r="J20" i="81" s="1"/>
  <c r="N19" i="81" a="1"/>
  <c r="N19" i="81" s="1"/>
  <c r="R18" i="81" a="1"/>
  <c r="R18" i="81" s="1"/>
  <c r="F17" i="81"/>
  <c r="L16" i="81" a="1"/>
  <c r="L16" i="81" s="1"/>
  <c r="P15" i="81" a="1"/>
  <c r="P15" i="81" s="1"/>
  <c r="T14" i="81" a="1"/>
  <c r="T14" i="81" s="1"/>
  <c r="Y13" i="81"/>
  <c r="J13" i="81" a="1"/>
  <c r="J13" i="81" s="1"/>
  <c r="N12" i="81" a="1"/>
  <c r="N12" i="81" s="1"/>
  <c r="S21" i="81" a="1"/>
  <c r="S21" i="81" s="1"/>
  <c r="W20" i="81" a="1"/>
  <c r="W20" i="81" s="1"/>
  <c r="H20" i="81"/>
  <c r="M19" i="81" a="1"/>
  <c r="M19" i="81" s="1"/>
  <c r="Q18" i="81" a="1"/>
  <c r="Q18" i="81" s="1"/>
  <c r="U17" i="81" a="1"/>
  <c r="U17" i="81" s="1"/>
  <c r="Z16" i="81"/>
  <c r="K16" i="81" a="1"/>
  <c r="K16" i="81" s="1"/>
  <c r="O15" i="81" a="1"/>
  <c r="O15" i="81" s="1"/>
  <c r="R21" i="81" a="1"/>
  <c r="R21" i="81" s="1"/>
  <c r="F20" i="81"/>
  <c r="L19" i="81" a="1"/>
  <c r="L19" i="81" s="1"/>
  <c r="P18" i="81" a="1"/>
  <c r="P18" i="81" s="1"/>
  <c r="T17" i="81" a="1"/>
  <c r="T17" i="81" s="1"/>
  <c r="Y16" i="81"/>
  <c r="J16" i="81" a="1"/>
  <c r="J16" i="81" s="1"/>
  <c r="N15" i="81" a="1"/>
  <c r="N15" i="81" s="1"/>
  <c r="R14" i="81" a="1"/>
  <c r="R14" i="81" s="1"/>
  <c r="F13" i="81"/>
  <c r="L12" i="81" a="1"/>
  <c r="L12" i="81" s="1"/>
  <c r="Q21" i="81" a="1"/>
  <c r="Q21" i="81" s="1"/>
  <c r="U20" i="81" a="1"/>
  <c r="U20" i="81" s="1"/>
  <c r="Z19" i="81"/>
  <c r="K19" i="81" a="1"/>
  <c r="K19" i="81" s="1"/>
  <c r="O18" i="81" a="1"/>
  <c r="O18" i="81" s="1"/>
  <c r="S17" i="81" a="1"/>
  <c r="S17" i="81" s="1"/>
  <c r="W16" i="81" a="1"/>
  <c r="W16" i="81" s="1"/>
  <c r="H16" i="81"/>
  <c r="M15" i="81" a="1"/>
  <c r="M15" i="81" s="1"/>
  <c r="Q14" i="81" a="1"/>
  <c r="Q14" i="81" s="1"/>
  <c r="U13" i="81" a="1"/>
  <c r="U13" i="81" s="1"/>
  <c r="Z12" i="81"/>
  <c r="K12" i="81" a="1"/>
  <c r="K12" i="81" s="1"/>
  <c r="P21" i="81" a="1"/>
  <c r="P21" i="81" s="1"/>
  <c r="T20" i="81" a="1"/>
  <c r="T20" i="81" s="1"/>
  <c r="Y19" i="81"/>
  <c r="J19" i="81" a="1"/>
  <c r="J19" i="81" s="1"/>
  <c r="N18" i="81" a="1"/>
  <c r="N18" i="81" s="1"/>
  <c r="R17" i="81" a="1"/>
  <c r="R17" i="81" s="1"/>
  <c r="F16" i="81"/>
  <c r="L15" i="81" a="1"/>
  <c r="L15" i="81" s="1"/>
  <c r="P14" i="81" a="1"/>
  <c r="P14" i="81" s="1"/>
  <c r="T13" i="81" a="1"/>
  <c r="T13" i="81" s="1"/>
  <c r="Y12" i="81"/>
  <c r="J12" i="81" a="1"/>
  <c r="J12" i="81" s="1"/>
  <c r="O21" i="81" a="1"/>
  <c r="O21" i="81" s="1"/>
  <c r="S20" i="81" a="1"/>
  <c r="S20" i="81" s="1"/>
  <c r="W19" i="81" a="1"/>
  <c r="W19" i="81" s="1"/>
  <c r="H19" i="81"/>
  <c r="M18" i="81" a="1"/>
  <c r="M18" i="81" s="1"/>
  <c r="Q17" i="81" a="1"/>
  <c r="Q17" i="81" s="1"/>
  <c r="U16" i="81" a="1"/>
  <c r="U16" i="81" s="1"/>
  <c r="Z15" i="81"/>
  <c r="K15" i="81" a="1"/>
  <c r="K15" i="81" s="1"/>
  <c r="O14" i="81" a="1"/>
  <c r="O14" i="81" s="1"/>
  <c r="S13" i="81" a="1"/>
  <c r="S13" i="81" s="1"/>
  <c r="W12" i="81" a="1"/>
  <c r="W12" i="81" s="1"/>
  <c r="H12" i="81"/>
  <c r="N21" i="81" a="1"/>
  <c r="N21" i="81" s="1"/>
  <c r="R20" i="81" a="1"/>
  <c r="R20" i="81" s="1"/>
  <c r="F19" i="81"/>
  <c r="L18" i="81" a="1"/>
  <c r="L18" i="81" s="1"/>
  <c r="P17" i="81" a="1"/>
  <c r="P17" i="81" s="1"/>
  <c r="T16" i="81" a="1"/>
  <c r="T16" i="81" s="1"/>
  <c r="Y15" i="81"/>
  <c r="J15" i="81" a="1"/>
  <c r="J15" i="81" s="1"/>
  <c r="N14" i="81" a="1"/>
  <c r="N14" i="81" s="1"/>
  <c r="R13" i="81" a="1"/>
  <c r="R13" i="81" s="1"/>
  <c r="F12" i="81"/>
  <c r="M34" i="94" a="1"/>
  <c r="M34" i="94" s="1"/>
  <c r="L34" i="94" a="1"/>
  <c r="L34" i="94" s="1"/>
  <c r="M31" i="93" a="1"/>
  <c r="M31" i="93" s="1"/>
  <c r="L31" i="93" a="1"/>
  <c r="L31" i="93" s="1"/>
  <c r="I58" i="102" a="1"/>
  <c r="I58" i="102" s="1"/>
  <c r="I35" i="102" a="1"/>
  <c r="I35" i="102" s="1"/>
  <c r="F485" i="107" a="1"/>
  <c r="F485" i="107" s="1"/>
  <c r="G485" i="107" s="1"/>
  <c r="R12" i="81" a="1"/>
  <c r="R12" i="81" s="1"/>
  <c r="F18" i="81"/>
  <c r="AE254" i="107" a="1"/>
  <c r="AE254" i="107" s="1"/>
  <c r="G454" i="107" a="1"/>
  <c r="G454" i="107" s="1"/>
  <c r="I21" i="92"/>
  <c r="G446" i="107" a="1"/>
  <c r="G446" i="107" s="1"/>
  <c r="H446" i="107" s="1"/>
  <c r="G447" i="107" a="1"/>
  <c r="G447" i="107" s="1"/>
  <c r="H447" i="107" s="1"/>
  <c r="G449" i="107" a="1"/>
  <c r="G449" i="107" s="1"/>
  <c r="H449" i="107" s="1"/>
  <c r="S254" i="107" a="1"/>
  <c r="S254" i="107" s="1"/>
  <c r="I19" i="92"/>
  <c r="L26" i="93" s="1" a="1"/>
  <c r="L26" i="93" s="1"/>
  <c r="G452" i="107" a="1"/>
  <c r="G452" i="107" s="1"/>
  <c r="G453" i="107" a="1"/>
  <c r="G453" i="107" s="1"/>
  <c r="I15" i="102" a="1"/>
  <c r="I15" i="102" s="1"/>
  <c r="I16" i="102" a="1"/>
  <c r="I16" i="102" s="1"/>
  <c r="I15" i="100" a="1"/>
  <c r="I15" i="100" s="1"/>
  <c r="I18" i="100" a="1"/>
  <c r="I18" i="100" s="1"/>
  <c r="I19" i="100" a="1"/>
  <c r="I19" i="100" s="1"/>
  <c r="G590" i="107"/>
  <c r="O590" i="107"/>
  <c r="F657" i="107"/>
  <c r="F656" i="107"/>
  <c r="F654" i="107"/>
  <c r="F636" i="107"/>
  <c r="F653" i="107"/>
  <c r="F635" i="107"/>
  <c r="F159" i="107"/>
  <c r="F142" i="107"/>
  <c r="F131" i="107"/>
  <c r="F160" i="107"/>
  <c r="F156" i="107"/>
  <c r="F155" i="107"/>
  <c r="F143" i="107"/>
  <c r="F132" i="107"/>
  <c r="F94" i="107"/>
  <c r="F54" i="107"/>
  <c r="F93" i="107"/>
  <c r="F53" i="107"/>
  <c r="F91" i="107"/>
  <c r="F90" i="107"/>
  <c r="F35" i="107"/>
  <c r="F73" i="107"/>
  <c r="F34" i="107"/>
  <c r="F72" i="107"/>
  <c r="N588" i="107"/>
  <c r="F588" i="107"/>
  <c r="F499" i="107"/>
  <c r="F488" i="107"/>
  <c r="F516" i="107"/>
  <c r="F498" i="107"/>
  <c r="F487" i="107"/>
  <c r="F475" i="107"/>
  <c r="F457" i="107"/>
  <c r="F426" i="107"/>
  <c r="F548" i="107"/>
  <c r="F298" i="107"/>
  <c r="F267" i="107"/>
  <c r="F332" i="107"/>
  <c r="F299" i="107"/>
  <c r="F570" i="107"/>
  <c r="F394" i="107"/>
  <c r="F393" i="107"/>
  <c r="F263" i="107"/>
  <c r="F456" i="107"/>
  <c r="F362" i="107"/>
  <c r="F533" i="107"/>
  <c r="F517" i="107"/>
  <c r="F474" i="107"/>
  <c r="F182" i="107"/>
  <c r="F331" i="107"/>
  <c r="F425" i="107"/>
  <c r="E182" i="107"/>
  <c r="F264" i="107"/>
  <c r="F363" i="107"/>
  <c r="F266" i="107"/>
  <c r="K420" i="107"/>
  <c r="K414" i="107"/>
  <c r="E636" i="107"/>
  <c r="O12" i="105"/>
  <c r="L15" i="105"/>
  <c r="L12" i="105"/>
  <c r="O15" i="105"/>
  <c r="O10" i="105"/>
  <c r="L13" i="105"/>
  <c r="O13" i="105"/>
  <c r="O16" i="105"/>
  <c r="L19" i="105"/>
  <c r="F48" i="101"/>
  <c r="O61" i="100"/>
  <c r="F24" i="100"/>
  <c r="O43" i="100"/>
  <c r="E30" i="99"/>
  <c r="E20" i="99"/>
  <c r="F192" i="97"/>
  <c r="F151" i="97"/>
  <c r="F58" i="94"/>
  <c r="F49" i="94"/>
  <c r="F57" i="94"/>
  <c r="F46" i="94"/>
  <c r="F56" i="94"/>
  <c r="F45" i="94"/>
  <c r="F55" i="94"/>
  <c r="F44" i="94"/>
  <c r="F52" i="94"/>
  <c r="F43" i="94"/>
  <c r="F51" i="94"/>
  <c r="F50" i="94"/>
  <c r="D39" i="94"/>
  <c r="L39" i="94" s="1" a="1"/>
  <c r="L39" i="94" s="1"/>
  <c r="D42" i="94"/>
  <c r="D30" i="94"/>
  <c r="L30" i="94" s="1" a="1"/>
  <c r="L30" i="94" s="1"/>
  <c r="D37" i="94"/>
  <c r="D28" i="94"/>
  <c r="L28" i="94" s="1" a="1"/>
  <c r="L28" i="94" s="1"/>
  <c r="D35" i="94"/>
  <c r="D26" i="94"/>
  <c r="L26" i="94" s="1" a="1"/>
  <c r="L26" i="94" s="1"/>
  <c r="D33" i="94"/>
  <c r="L33" i="94" s="1" a="1"/>
  <c r="L33" i="94" s="1"/>
  <c r="D40" i="94"/>
  <c r="L40" i="94" s="1" a="1"/>
  <c r="L40" i="94" s="1"/>
  <c r="D31" i="94"/>
  <c r="D38" i="94"/>
  <c r="L38" i="94" s="1" a="1"/>
  <c r="L38" i="94" s="1"/>
  <c r="D48" i="94"/>
  <c r="F70" i="93"/>
  <c r="F61" i="93"/>
  <c r="F51" i="93"/>
  <c r="F69" i="93"/>
  <c r="F50" i="93"/>
  <c r="F58" i="93"/>
  <c r="F68" i="93"/>
  <c r="F49" i="93"/>
  <c r="F57" i="93"/>
  <c r="F67" i="93"/>
  <c r="F56" i="93"/>
  <c r="F46" i="93"/>
  <c r="F64" i="93"/>
  <c r="F55" i="93"/>
  <c r="F45" i="93"/>
  <c r="F63" i="93"/>
  <c r="F44" i="93"/>
  <c r="F62" i="93"/>
  <c r="F52" i="93"/>
  <c r="F43" i="93"/>
  <c r="D39" i="93"/>
  <c r="L39" i="93" s="1" a="1"/>
  <c r="L39" i="93" s="1"/>
  <c r="D32" i="93"/>
  <c r="L32" i="93" s="1" a="1"/>
  <c r="L32" i="93" s="1"/>
  <c r="I17" i="92"/>
  <c r="I20" i="92"/>
  <c r="L33" i="93" s="1" a="1"/>
  <c r="L33" i="93" s="1"/>
  <c r="I18" i="92"/>
  <c r="I15" i="87"/>
  <c r="E139" i="86"/>
  <c r="E144" i="86"/>
  <c r="E141" i="86"/>
  <c r="E142" i="86"/>
  <c r="F79" i="86"/>
  <c r="G59" i="86"/>
  <c r="F78" i="83"/>
  <c r="F58" i="83"/>
  <c r="O110" i="82"/>
  <c r="F80" i="82"/>
  <c r="F60" i="82"/>
  <c r="D40" i="81"/>
  <c r="D32" i="78"/>
  <c r="D30" i="78"/>
  <c r="D13" i="78"/>
  <c r="D12" i="78"/>
  <c r="D10" i="78"/>
  <c r="D11" i="78"/>
  <c r="D9" i="78"/>
  <c r="J157" i="97" l="1" a="1"/>
  <c r="J157" i="97" s="1"/>
  <c r="J116" i="97" a="1"/>
  <c r="J116" i="97" s="1"/>
  <c r="J173" i="97" a="1"/>
  <c r="J173" i="97" s="1"/>
  <c r="J124" i="97" a="1"/>
  <c r="J124" i="97" s="1"/>
  <c r="J132" i="97" a="1"/>
  <c r="J132" i="97" s="1"/>
  <c r="J125" i="97" a="1"/>
  <c r="J125" i="97" s="1"/>
  <c r="J136" i="97" a="1"/>
  <c r="J136" i="97" s="1"/>
  <c r="J120" i="97" a="1"/>
  <c r="J120" i="97" s="1"/>
  <c r="G153" i="107"/>
  <c r="I153" i="107"/>
  <c r="G151" i="107"/>
  <c r="I151" i="107"/>
  <c r="G150" i="107"/>
  <c r="I150" i="107"/>
  <c r="G152" i="107"/>
  <c r="I152" i="107"/>
  <c r="I149" i="107"/>
  <c r="G149" i="107"/>
  <c r="I329" i="107"/>
  <c r="I322" i="107"/>
  <c r="I326" i="107"/>
  <c r="I324" i="107"/>
  <c r="I328" i="107"/>
  <c r="I321" i="107"/>
  <c r="I327" i="107"/>
  <c r="I320" i="107"/>
  <c r="I323" i="107"/>
  <c r="I325" i="107"/>
  <c r="H383" i="107"/>
  <c r="J383" i="107"/>
  <c r="J391" i="107"/>
  <c r="H391" i="107"/>
  <c r="H385" i="107"/>
  <c r="J385" i="107"/>
  <c r="H384" i="107"/>
  <c r="J384" i="107"/>
  <c r="J386" i="107"/>
  <c r="H386" i="107"/>
  <c r="H387" i="107"/>
  <c r="J387" i="107"/>
  <c r="H388" i="107"/>
  <c r="J388" i="107"/>
  <c r="H389" i="107"/>
  <c r="J389" i="107"/>
  <c r="H390" i="107"/>
  <c r="J390" i="107"/>
  <c r="I495" i="107"/>
  <c r="E499" i="107" s="1"/>
  <c r="G495" i="107"/>
  <c r="G482" i="107"/>
  <c r="I482" i="107"/>
  <c r="E488" i="107" s="1"/>
  <c r="I140" i="107"/>
  <c r="G140" i="107"/>
  <c r="I139" i="107"/>
  <c r="E143" i="107" s="1"/>
  <c r="G139" i="107"/>
  <c r="F122" i="107"/>
  <c r="G122" i="107" s="1"/>
  <c r="F123" i="107"/>
  <c r="I123" i="107" s="1"/>
  <c r="F121" i="107"/>
  <c r="G121" i="107" s="1"/>
  <c r="H469" i="107"/>
  <c r="J469" i="107"/>
  <c r="H470" i="107"/>
  <c r="J470" i="107"/>
  <c r="H472" i="107"/>
  <c r="J472" i="107"/>
  <c r="H471" i="107"/>
  <c r="J471" i="107"/>
  <c r="H454" i="107"/>
  <c r="J454" i="107"/>
  <c r="J452" i="107"/>
  <c r="H452" i="107"/>
  <c r="H453" i="107"/>
  <c r="J453" i="107"/>
  <c r="J451" i="107"/>
  <c r="H451" i="107"/>
  <c r="M26" i="107"/>
  <c r="J26" i="107"/>
  <c r="M28" i="107"/>
  <c r="J28" i="107"/>
  <c r="M29" i="107"/>
  <c r="J29" i="107"/>
  <c r="M30" i="107"/>
  <c r="J30" i="107"/>
  <c r="M31" i="107"/>
  <c r="J31" i="107"/>
  <c r="M25" i="107"/>
  <c r="J25" i="107"/>
  <c r="M27" i="107"/>
  <c r="J27" i="107"/>
  <c r="J32" i="107"/>
  <c r="M32" i="107"/>
  <c r="G49" i="107"/>
  <c r="G48" i="107"/>
  <c r="J43" i="107"/>
  <c r="J51" i="107"/>
  <c r="G47" i="107"/>
  <c r="J44" i="107"/>
  <c r="J50" i="107"/>
  <c r="G46" i="107"/>
  <c r="G51" i="107"/>
  <c r="J49" i="107"/>
  <c r="G45" i="107"/>
  <c r="G50" i="107"/>
  <c r="J48" i="107"/>
  <c r="G44" i="107"/>
  <c r="J47" i="107"/>
  <c r="G43" i="107"/>
  <c r="J46" i="107"/>
  <c r="G42" i="107"/>
  <c r="J45" i="107"/>
  <c r="J66" i="107"/>
  <c r="G62" i="107"/>
  <c r="G64" i="107"/>
  <c r="J65" i="107"/>
  <c r="G61" i="107"/>
  <c r="G67" i="107"/>
  <c r="G63" i="107"/>
  <c r="J64" i="107"/>
  <c r="J63" i="107"/>
  <c r="J70" i="107"/>
  <c r="J69" i="107"/>
  <c r="G65" i="107"/>
  <c r="G66" i="107"/>
  <c r="J67" i="107"/>
  <c r="G70" i="107"/>
  <c r="G69" i="107"/>
  <c r="G68" i="107"/>
  <c r="J68" i="107"/>
  <c r="G88" i="107"/>
  <c r="G79" i="107"/>
  <c r="G87" i="107"/>
  <c r="J82" i="107"/>
  <c r="G86" i="107"/>
  <c r="J83" i="107"/>
  <c r="G85" i="107"/>
  <c r="J80" i="107"/>
  <c r="J88" i="107"/>
  <c r="G84" i="107"/>
  <c r="J87" i="107"/>
  <c r="G83" i="107"/>
  <c r="J86" i="107"/>
  <c r="G82" i="107"/>
  <c r="J81" i="107"/>
  <c r="J85" i="107"/>
  <c r="G81" i="107"/>
  <c r="J84" i="107"/>
  <c r="G80" i="107"/>
  <c r="N39" i="94"/>
  <c r="P39" i="94"/>
  <c r="Q39" i="94"/>
  <c r="O39" i="94"/>
  <c r="Q40" i="94"/>
  <c r="P40" i="94"/>
  <c r="O40" i="94"/>
  <c r="N40" i="94"/>
  <c r="H37" i="93" a="1"/>
  <c r="H37" i="93" s="1"/>
  <c r="K37" i="93" a="1"/>
  <c r="K37" i="93" s="1"/>
  <c r="G25" i="93" a="1"/>
  <c r="G25" i="93" s="1"/>
  <c r="P25" i="93" s="1"/>
  <c r="K25" i="93" a="1"/>
  <c r="K25" i="93" s="1"/>
  <c r="G37" i="93" a="1"/>
  <c r="G37" i="93" s="1"/>
  <c r="P37" i="93" s="1"/>
  <c r="H25" i="93" a="1"/>
  <c r="H25" i="93" s="1"/>
  <c r="Q28" i="93"/>
  <c r="P28" i="93"/>
  <c r="O28" i="93"/>
  <c r="N28" i="93"/>
  <c r="P39" i="93"/>
  <c r="O39" i="93"/>
  <c r="N39" i="93"/>
  <c r="Q39" i="93"/>
  <c r="N36" i="93"/>
  <c r="Q36" i="93"/>
  <c r="P36" i="93"/>
  <c r="O36" i="93"/>
  <c r="P32" i="93"/>
  <c r="O32" i="93"/>
  <c r="N32" i="93"/>
  <c r="Q32" i="93"/>
  <c r="N38" i="93"/>
  <c r="Q38" i="93"/>
  <c r="P38" i="93"/>
  <c r="O38" i="93"/>
  <c r="N29" i="93"/>
  <c r="Q29" i="93"/>
  <c r="P29" i="93"/>
  <c r="O29" i="93"/>
  <c r="P34" i="93"/>
  <c r="Q34" i="93"/>
  <c r="O34" i="93"/>
  <c r="N34" i="93"/>
  <c r="O30" i="93"/>
  <c r="Q30" i="93"/>
  <c r="P30" i="93"/>
  <c r="N30" i="93"/>
  <c r="Q31" i="93"/>
  <c r="N31" i="93"/>
  <c r="P31" i="93"/>
  <c r="O31" i="93"/>
  <c r="Q27" i="93"/>
  <c r="P27" i="93"/>
  <c r="O27" i="93"/>
  <c r="N27" i="93"/>
  <c r="Q26" i="93"/>
  <c r="P26" i="93"/>
  <c r="O26" i="93"/>
  <c r="N26" i="93"/>
  <c r="Q33" i="93"/>
  <c r="E52" i="93" s="1"/>
  <c r="P33" i="93"/>
  <c r="E51" i="93" s="1"/>
  <c r="O33" i="93"/>
  <c r="E50" i="93" s="1"/>
  <c r="N33" i="93"/>
  <c r="E49" i="93" s="1"/>
  <c r="Q35" i="93"/>
  <c r="P35" i="93"/>
  <c r="O35" i="93"/>
  <c r="N35" i="93"/>
  <c r="X13" i="81"/>
  <c r="X12" i="81"/>
  <c r="V13" i="81"/>
  <c r="AD236" i="107" a="1"/>
  <c r="AD236" i="107" s="1"/>
  <c r="AE261" i="107" a="1"/>
  <c r="AE261" i="107" s="1"/>
  <c r="W254" i="107" a="1"/>
  <c r="W254" i="107" s="1"/>
  <c r="AA256" i="107" a="1"/>
  <c r="AA256" i="107" s="1"/>
  <c r="W256" i="107" a="1"/>
  <c r="W256" i="107" s="1"/>
  <c r="AA252" i="107" a="1"/>
  <c r="AA252" i="107" s="1"/>
  <c r="AE255" i="107" a="1"/>
  <c r="AE255" i="107" s="1"/>
  <c r="S253" i="107" a="1"/>
  <c r="S253" i="107" s="1"/>
  <c r="AE257" i="107" a="1"/>
  <c r="AE257" i="107" s="1"/>
  <c r="S259" i="107" a="1"/>
  <c r="S259" i="107" s="1"/>
  <c r="AA259" i="107" a="1"/>
  <c r="AA259" i="107" s="1"/>
  <c r="S256" i="107" a="1"/>
  <c r="S256" i="107" s="1"/>
  <c r="AA260" i="107" a="1"/>
  <c r="AA260" i="107" s="1"/>
  <c r="W253" i="107" a="1"/>
  <c r="W253" i="107" s="1"/>
  <c r="S260" i="107" a="1"/>
  <c r="S260" i="107" s="1"/>
  <c r="E21" i="102"/>
  <c r="I56" i="102" s="1"/>
  <c r="J179" i="97" a="1"/>
  <c r="J179" i="97" s="1"/>
  <c r="AG236" i="107" a="1"/>
  <c r="E21" i="97"/>
  <c r="H21" i="97" s="1" a="1"/>
  <c r="H21" i="97" s="1"/>
  <c r="H54" i="97" a="1"/>
  <c r="H54" i="97" s="1"/>
  <c r="H46" i="97" a="1"/>
  <c r="H46" i="97" s="1"/>
  <c r="H38" i="97" a="1"/>
  <c r="H38" i="97" s="1"/>
  <c r="H30" i="97" a="1"/>
  <c r="H30" i="97" s="1"/>
  <c r="H23" i="97" a="1"/>
  <c r="H23" i="97" s="1"/>
  <c r="H53" i="97" a="1"/>
  <c r="H53" i="97" s="1"/>
  <c r="H45" i="97" a="1"/>
  <c r="H45" i="97" s="1"/>
  <c r="H37" i="97" a="1"/>
  <c r="H37" i="97" s="1"/>
  <c r="H29" i="97" a="1"/>
  <c r="H29" i="97" s="1"/>
  <c r="H22" i="97" a="1"/>
  <c r="H22" i="97" s="1"/>
  <c r="H52" i="97" a="1"/>
  <c r="H52" i="97" s="1"/>
  <c r="H44" i="97" a="1"/>
  <c r="H44" i="97" s="1"/>
  <c r="H36" i="97" a="1"/>
  <c r="H36" i="97" s="1"/>
  <c r="H28" i="97" a="1"/>
  <c r="H28" i="97" s="1"/>
  <c r="H51" i="97" a="1"/>
  <c r="H51" i="97" s="1"/>
  <c r="H42" i="97" a="1"/>
  <c r="H42" i="97" s="1"/>
  <c r="H35" i="97" a="1"/>
  <c r="H35" i="97" s="1"/>
  <c r="H27" i="97" a="1"/>
  <c r="H27" i="97" s="1"/>
  <c r="H50" i="97" a="1"/>
  <c r="H50" i="97" s="1"/>
  <c r="H41" i="97" a="1"/>
  <c r="H41" i="97" s="1"/>
  <c r="H34" i="97" a="1"/>
  <c r="H34" i="97" s="1"/>
  <c r="H26" i="97" a="1"/>
  <c r="H26" i="97" s="1"/>
  <c r="H48" i="97" a="1"/>
  <c r="H48" i="97" s="1"/>
  <c r="H40" i="97" a="1"/>
  <c r="H40" i="97" s="1"/>
  <c r="H33" i="97" a="1"/>
  <c r="H33" i="97" s="1"/>
  <c r="H25" i="97" a="1"/>
  <c r="H25" i="97" s="1"/>
  <c r="H47" i="97" a="1"/>
  <c r="H47" i="97" s="1"/>
  <c r="H39" i="97" a="1"/>
  <c r="H39" i="97" s="1"/>
  <c r="H31" i="97" a="1"/>
  <c r="H31" i="97" s="1"/>
  <c r="H24" i="97" a="1"/>
  <c r="H24" i="97" s="1"/>
  <c r="Q236" i="107" a="1"/>
  <c r="V12" i="81"/>
  <c r="AC236" i="107" a="1"/>
  <c r="J177" i="97" a="1"/>
  <c r="J177" i="97" s="1"/>
  <c r="J138" i="97" a="1"/>
  <c r="J138" i="97" s="1"/>
  <c r="J159" i="97" a="1"/>
  <c r="J159" i="97" s="1"/>
  <c r="K25" i="94"/>
  <c r="J25" i="94"/>
  <c r="I25" i="94"/>
  <c r="H25" i="94"/>
  <c r="G25" i="94"/>
  <c r="D19" i="83"/>
  <c r="F19" i="83" s="1" a="1"/>
  <c r="F19" i="83" s="1"/>
  <c r="F34" i="83" a="1"/>
  <c r="F34" i="83" s="1"/>
  <c r="F21" i="83" a="1"/>
  <c r="F21" i="83" s="1"/>
  <c r="F33" i="83" a="1"/>
  <c r="F33" i="83" s="1"/>
  <c r="F20" i="83" a="1"/>
  <c r="F20" i="83" s="1"/>
  <c r="F32" i="83" a="1"/>
  <c r="F32" i="83" s="1"/>
  <c r="F31" i="83" a="1"/>
  <c r="F31" i="83" s="1"/>
  <c r="F30" i="83" a="1"/>
  <c r="F30" i="83" s="1"/>
  <c r="F29" i="83" a="1"/>
  <c r="F29" i="83" s="1"/>
  <c r="F28" i="83" a="1"/>
  <c r="F28" i="83" s="1"/>
  <c r="F27" i="83" a="1"/>
  <c r="F27" i="83" s="1"/>
  <c r="F26" i="83" a="1"/>
  <c r="F26" i="83" s="1"/>
  <c r="F25" i="83" a="1"/>
  <c r="F25" i="83" s="1"/>
  <c r="F37" i="83" a="1"/>
  <c r="F37" i="83" s="1"/>
  <c r="F24" i="83" a="1"/>
  <c r="F24" i="83" s="1"/>
  <c r="F36" i="83" a="1"/>
  <c r="F36" i="83" s="1"/>
  <c r="F23" i="83" a="1"/>
  <c r="F23" i="83" s="1"/>
  <c r="F35" i="83" a="1"/>
  <c r="F35" i="83" s="1"/>
  <c r="F22" i="83" a="1"/>
  <c r="F22" i="83" s="1"/>
  <c r="K31" i="94"/>
  <c r="J31" i="94"/>
  <c r="I31" i="94"/>
  <c r="H31" i="94"/>
  <c r="G31" i="94"/>
  <c r="D19" i="82"/>
  <c r="F19" i="82" s="1" a="1"/>
  <c r="F19" i="82" s="1"/>
  <c r="F32" i="82" a="1"/>
  <c r="F32" i="82" s="1"/>
  <c r="F20" i="82" a="1"/>
  <c r="F20" i="82" s="1"/>
  <c r="F31" i="82" a="1"/>
  <c r="F31" i="82" s="1"/>
  <c r="F30" i="82" a="1"/>
  <c r="F30" i="82" s="1"/>
  <c r="F29" i="82" a="1"/>
  <c r="F29" i="82" s="1"/>
  <c r="F28" i="82" a="1"/>
  <c r="F28" i="82" s="1"/>
  <c r="F27" i="82" a="1"/>
  <c r="F27" i="82" s="1"/>
  <c r="F26" i="82" a="1"/>
  <c r="F26" i="82" s="1"/>
  <c r="F25" i="82" a="1"/>
  <c r="F25" i="82" s="1"/>
  <c r="F24" i="82" a="1"/>
  <c r="F24" i="82" s="1"/>
  <c r="F37" i="82" a="1"/>
  <c r="F37" i="82" s="1"/>
  <c r="F23" i="82" a="1"/>
  <c r="F23" i="82" s="1"/>
  <c r="F36" i="82" a="1"/>
  <c r="F36" i="82" s="1"/>
  <c r="F22" i="82" a="1"/>
  <c r="F22" i="82" s="1"/>
  <c r="F35" i="82" a="1"/>
  <c r="F35" i="82" s="1"/>
  <c r="F34" i="82" a="1"/>
  <c r="F34" i="82" s="1"/>
  <c r="F33" i="82" a="1"/>
  <c r="F33" i="82" s="1"/>
  <c r="F21" i="82" a="1"/>
  <c r="F21" i="82" s="1"/>
  <c r="J38" i="94"/>
  <c r="I38" i="94"/>
  <c r="H38" i="94"/>
  <c r="G38" i="94"/>
  <c r="K38" i="94"/>
  <c r="S258" i="107" a="1"/>
  <c r="S258" i="107" s="1"/>
  <c r="W260" i="107" a="1"/>
  <c r="W260" i="107" s="1"/>
  <c r="AA255" i="107" a="1"/>
  <c r="AA255" i="107" s="1"/>
  <c r="AA254" i="107" a="1"/>
  <c r="AA254" i="107" s="1"/>
  <c r="AE256" i="107" a="1"/>
  <c r="AE256" i="107" s="1"/>
  <c r="AE258" i="107" a="1"/>
  <c r="AE258" i="107" s="1"/>
  <c r="O236" i="107" a="1"/>
  <c r="O236" i="107" s="1"/>
  <c r="V16" i="81"/>
  <c r="X16" i="81" s="1"/>
  <c r="Z236" i="107" a="1"/>
  <c r="Z236" i="107" s="1"/>
  <c r="AE260" i="107" a="1"/>
  <c r="AE260" i="107" s="1"/>
  <c r="W257" i="107" a="1"/>
  <c r="W257" i="107" s="1"/>
  <c r="AE253" i="107" a="1"/>
  <c r="AE253" i="107" s="1"/>
  <c r="W259" i="107" a="1"/>
  <c r="W259" i="107" s="1"/>
  <c r="W255" i="107" a="1"/>
  <c r="W255" i="107" s="1"/>
  <c r="S255" i="107" a="1"/>
  <c r="S255" i="107" s="1"/>
  <c r="J119" i="97" a="1"/>
  <c r="J119" i="97" s="1"/>
  <c r="J166" i="97" a="1"/>
  <c r="J166" i="97" s="1"/>
  <c r="V14" i="81"/>
  <c r="H32" i="94"/>
  <c r="G32" i="94"/>
  <c r="K32" i="94"/>
  <c r="J32" i="94"/>
  <c r="I32" i="94"/>
  <c r="V21" i="81"/>
  <c r="X21" i="81" s="1"/>
  <c r="AL236" i="107" a="1"/>
  <c r="AL236" i="107" s="1"/>
  <c r="J126" i="97" a="1"/>
  <c r="J126" i="97" s="1"/>
  <c r="J175" i="97" a="1"/>
  <c r="J175" i="97" s="1"/>
  <c r="W261" i="107" a="1"/>
  <c r="W261" i="107" s="1"/>
  <c r="AA258" i="107" a="1"/>
  <c r="AA258" i="107" s="1"/>
  <c r="Y236" i="107" a="1"/>
  <c r="D19" i="86"/>
  <c r="F19" i="86" s="1" a="1"/>
  <c r="F19" i="86" s="1"/>
  <c r="G19" i="86" s="1" a="1"/>
  <c r="G19" i="86" s="1"/>
  <c r="F37" i="86" a="1"/>
  <c r="F37" i="86" s="1"/>
  <c r="G37" i="86" s="1" a="1"/>
  <c r="G37" i="86" s="1"/>
  <c r="F30" i="86" a="1"/>
  <c r="F30" i="86" s="1"/>
  <c r="G30" i="86" s="1" a="1"/>
  <c r="G30" i="86" s="1"/>
  <c r="F23" i="86" a="1"/>
  <c r="F23" i="86" s="1"/>
  <c r="G23" i="86" s="1" a="1"/>
  <c r="G23" i="86" s="1"/>
  <c r="F36" i="86" a="1"/>
  <c r="F36" i="86" s="1"/>
  <c r="G36" i="86" s="1" a="1"/>
  <c r="G36" i="86" s="1"/>
  <c r="F29" i="86" a="1"/>
  <c r="F29" i="86" s="1"/>
  <c r="G29" i="86" s="1" a="1"/>
  <c r="G29" i="86" s="1"/>
  <c r="F22" i="86" a="1"/>
  <c r="F22" i="86" s="1"/>
  <c r="G22" i="86" s="1" a="1"/>
  <c r="G22" i="86" s="1"/>
  <c r="F35" i="86" a="1"/>
  <c r="F35" i="86" s="1"/>
  <c r="G35" i="86" s="1" a="1"/>
  <c r="G35" i="86" s="1"/>
  <c r="F28" i="86" a="1"/>
  <c r="F28" i="86" s="1"/>
  <c r="G28" i="86" s="1" a="1"/>
  <c r="G28" i="86" s="1"/>
  <c r="F21" i="86" a="1"/>
  <c r="F21" i="86" s="1"/>
  <c r="G21" i="86" s="1" a="1"/>
  <c r="G21" i="86" s="1"/>
  <c r="F34" i="86" a="1"/>
  <c r="F34" i="86" s="1"/>
  <c r="G34" i="86" s="1" a="1"/>
  <c r="G34" i="86" s="1"/>
  <c r="F27" i="86" a="1"/>
  <c r="F27" i="86" s="1"/>
  <c r="G27" i="86" s="1" a="1"/>
  <c r="G27" i="86" s="1"/>
  <c r="F20" i="86" a="1"/>
  <c r="F20" i="86" s="1"/>
  <c r="G20" i="86" s="1" a="1"/>
  <c r="G20" i="86" s="1"/>
  <c r="F33" i="86" a="1"/>
  <c r="F33" i="86" s="1"/>
  <c r="G33" i="86" s="1" a="1"/>
  <c r="G33" i="86" s="1"/>
  <c r="F26" i="86" a="1"/>
  <c r="F26" i="86" s="1"/>
  <c r="G26" i="86" s="1" a="1"/>
  <c r="G26" i="86" s="1"/>
  <c r="F32" i="86" a="1"/>
  <c r="F32" i="86" s="1"/>
  <c r="G32" i="86" s="1" a="1"/>
  <c r="G32" i="86" s="1"/>
  <c r="F25" i="86" a="1"/>
  <c r="F25" i="86" s="1"/>
  <c r="G25" i="86" s="1" a="1"/>
  <c r="G25" i="86" s="1"/>
  <c r="F31" i="86" a="1"/>
  <c r="F31" i="86" s="1"/>
  <c r="G31" i="86" s="1" a="1"/>
  <c r="G31" i="86" s="1"/>
  <c r="F24" i="86" a="1"/>
  <c r="F24" i="86" s="1"/>
  <c r="G24" i="86" s="1" a="1"/>
  <c r="G24" i="86" s="1"/>
  <c r="J127" i="97" a="1"/>
  <c r="J127" i="97" s="1"/>
  <c r="J164" i="97" a="1"/>
  <c r="J164" i="97" s="1"/>
  <c r="J117" i="97" a="1"/>
  <c r="J117" i="97" s="1"/>
  <c r="V17" i="81"/>
  <c r="X17" i="81" s="1"/>
  <c r="D285" i="107"/>
  <c r="F290" i="107" a="1"/>
  <c r="F290" i="107" s="1"/>
  <c r="E290" i="107"/>
  <c r="F296" i="107" a="1"/>
  <c r="F296" i="107" s="1"/>
  <c r="F289" i="107" a="1"/>
  <c r="F289" i="107" s="1"/>
  <c r="E296" i="107"/>
  <c r="E289" i="107"/>
  <c r="F295" i="107" a="1"/>
  <c r="F295" i="107" s="1"/>
  <c r="F288" i="107" a="1"/>
  <c r="F288" i="107" s="1"/>
  <c r="E295" i="107"/>
  <c r="E288" i="107"/>
  <c r="F294" i="107" a="1"/>
  <c r="F294" i="107" s="1"/>
  <c r="F287" i="107" a="1"/>
  <c r="F287" i="107" s="1"/>
  <c r="E294" i="107"/>
  <c r="E287" i="107"/>
  <c r="F293" i="107" a="1"/>
  <c r="F293" i="107" s="1"/>
  <c r="F286" i="107" a="1"/>
  <c r="F286" i="107" s="1"/>
  <c r="E293" i="107"/>
  <c r="E286" i="107"/>
  <c r="F292" i="107" a="1"/>
  <c r="F292" i="107" s="1"/>
  <c r="E292" i="107"/>
  <c r="F291" i="107" a="1"/>
  <c r="F291" i="107" s="1"/>
  <c r="E291" i="107"/>
  <c r="J134" i="97" a="1"/>
  <c r="J134" i="97" s="1"/>
  <c r="J162" i="97" a="1"/>
  <c r="J162" i="97" s="1"/>
  <c r="J122" i="97" a="1"/>
  <c r="J122" i="97" s="1"/>
  <c r="J144" i="97" a="1"/>
  <c r="J144" i="97" s="1"/>
  <c r="D59" i="97"/>
  <c r="G88" i="97" a="1"/>
  <c r="G88" i="97" s="1"/>
  <c r="G79" i="97" a="1"/>
  <c r="G79" i="97" s="1"/>
  <c r="G72" i="97" a="1"/>
  <c r="G72" i="97" s="1"/>
  <c r="G64" i="97" a="1"/>
  <c r="G64" i="97" s="1"/>
  <c r="G86" i="97" a="1"/>
  <c r="G86" i="97" s="1"/>
  <c r="G78" i="97" a="1"/>
  <c r="G78" i="97" s="1"/>
  <c r="G71" i="97" a="1"/>
  <c r="G71" i="97" s="1"/>
  <c r="G63" i="97" a="1"/>
  <c r="G63" i="97" s="1"/>
  <c r="G85" i="97" a="1"/>
  <c r="G85" i="97" s="1"/>
  <c r="G77" i="97" a="1"/>
  <c r="G77" i="97" s="1"/>
  <c r="G69" i="97" a="1"/>
  <c r="G69" i="97" s="1"/>
  <c r="G62" i="97" a="1"/>
  <c r="G62" i="97" s="1"/>
  <c r="G92" i="97" a="1"/>
  <c r="G92" i="97" s="1"/>
  <c r="G84" i="97" a="1"/>
  <c r="G84" i="97" s="1"/>
  <c r="G76" i="97" a="1"/>
  <c r="G76" i="97" s="1"/>
  <c r="G68" i="97" a="1"/>
  <c r="G68" i="97" s="1"/>
  <c r="G61" i="97" a="1"/>
  <c r="G61" i="97" s="1"/>
  <c r="G91" i="97" a="1"/>
  <c r="G91" i="97" s="1"/>
  <c r="G83" i="97" a="1"/>
  <c r="G83" i="97" s="1"/>
  <c r="G75" i="97" a="1"/>
  <c r="G75" i="97" s="1"/>
  <c r="G67" i="97" a="1"/>
  <c r="G67" i="97" s="1"/>
  <c r="G60" i="97" a="1"/>
  <c r="G60" i="97" s="1"/>
  <c r="G90" i="97" a="1"/>
  <c r="G90" i="97" s="1"/>
  <c r="G82" i="97" a="1"/>
  <c r="G82" i="97" s="1"/>
  <c r="G74" i="97" a="1"/>
  <c r="G74" i="97" s="1"/>
  <c r="G66" i="97" a="1"/>
  <c r="G66" i="97" s="1"/>
  <c r="G89" i="97" a="1"/>
  <c r="G89" i="97" s="1"/>
  <c r="G80" i="97" a="1"/>
  <c r="G80" i="97" s="1"/>
  <c r="G73" i="97" a="1"/>
  <c r="G73" i="97" s="1"/>
  <c r="G65" i="97" a="1"/>
  <c r="G65" i="97" s="1"/>
  <c r="J160" i="97" a="1"/>
  <c r="J160" i="97" s="1"/>
  <c r="J178" i="97" a="1"/>
  <c r="J178" i="97" s="1"/>
  <c r="K36" i="94"/>
  <c r="J36" i="94"/>
  <c r="I36" i="94"/>
  <c r="H36" i="94"/>
  <c r="G36" i="94"/>
  <c r="V15" i="81"/>
  <c r="X15" i="81" s="1"/>
  <c r="AH236" i="107" a="1"/>
  <c r="AH236" i="107" s="1"/>
  <c r="K28" i="94"/>
  <c r="J28" i="94"/>
  <c r="I28" i="94"/>
  <c r="H28" i="94"/>
  <c r="G28" i="94"/>
  <c r="J176" i="97" a="1"/>
  <c r="J176" i="97" s="1"/>
  <c r="J158" i="97" a="1"/>
  <c r="J158" i="97" s="1"/>
  <c r="H29" i="94"/>
  <c r="G29" i="94"/>
  <c r="K29" i="94"/>
  <c r="J29" i="94"/>
  <c r="I29" i="94"/>
  <c r="AA257" i="107" a="1"/>
  <c r="AA257" i="107" s="1"/>
  <c r="AE259" i="107" a="1"/>
  <c r="AE259" i="107" s="1"/>
  <c r="W252" i="107" a="1"/>
  <c r="W252" i="107" s="1"/>
  <c r="V19" i="81"/>
  <c r="X19" i="81" s="1"/>
  <c r="I35" i="94"/>
  <c r="H35" i="94"/>
  <c r="G35" i="94"/>
  <c r="K35" i="94"/>
  <c r="J35" i="94"/>
  <c r="E59" i="97"/>
  <c r="H59" i="97" s="1" a="1"/>
  <c r="H59" i="97" s="1"/>
  <c r="H88" i="97" a="1"/>
  <c r="H88" i="97" s="1"/>
  <c r="H79" i="97" a="1"/>
  <c r="H79" i="97" s="1"/>
  <c r="H72" i="97" a="1"/>
  <c r="H72" i="97" s="1"/>
  <c r="H64" i="97" a="1"/>
  <c r="H64" i="97" s="1"/>
  <c r="H86" i="97" a="1"/>
  <c r="H86" i="97" s="1"/>
  <c r="H78" i="97" a="1"/>
  <c r="H78" i="97" s="1"/>
  <c r="H71" i="97" a="1"/>
  <c r="H71" i="97" s="1"/>
  <c r="H63" i="97" a="1"/>
  <c r="H63" i="97" s="1"/>
  <c r="H85" i="97" a="1"/>
  <c r="H85" i="97" s="1"/>
  <c r="H77" i="97" a="1"/>
  <c r="H77" i="97" s="1"/>
  <c r="H69" i="97" a="1"/>
  <c r="H69" i="97" s="1"/>
  <c r="H62" i="97" a="1"/>
  <c r="H62" i="97" s="1"/>
  <c r="H92" i="97" a="1"/>
  <c r="H92" i="97" s="1"/>
  <c r="H84" i="97" a="1"/>
  <c r="H84" i="97" s="1"/>
  <c r="H76" i="97" a="1"/>
  <c r="H76" i="97" s="1"/>
  <c r="H68" i="97" a="1"/>
  <c r="H68" i="97" s="1"/>
  <c r="H61" i="97" a="1"/>
  <c r="H61" i="97" s="1"/>
  <c r="H91" i="97" a="1"/>
  <c r="H91" i="97" s="1"/>
  <c r="H83" i="97" a="1"/>
  <c r="H83" i="97" s="1"/>
  <c r="H75" i="97" a="1"/>
  <c r="H75" i="97" s="1"/>
  <c r="H67" i="97" a="1"/>
  <c r="H67" i="97" s="1"/>
  <c r="H60" i="97" a="1"/>
  <c r="H60" i="97" s="1"/>
  <c r="H90" i="97" a="1"/>
  <c r="H90" i="97" s="1"/>
  <c r="H82" i="97" a="1"/>
  <c r="H82" i="97" s="1"/>
  <c r="H74" i="97" a="1"/>
  <c r="H74" i="97" s="1"/>
  <c r="H66" i="97" a="1"/>
  <c r="H66" i="97" s="1"/>
  <c r="H89" i="97" a="1"/>
  <c r="H89" i="97" s="1"/>
  <c r="H80" i="97" a="1"/>
  <c r="H80" i="97" s="1"/>
  <c r="H73" i="97" a="1"/>
  <c r="H73" i="97" s="1"/>
  <c r="H65" i="97" a="1"/>
  <c r="H65" i="97" s="1"/>
  <c r="I25" i="93" a="1"/>
  <c r="I25" i="93" s="1"/>
  <c r="J118" i="97" a="1"/>
  <c r="J118" i="97" s="1"/>
  <c r="J165" i="97" a="1"/>
  <c r="J165" i="97" s="1"/>
  <c r="K34" i="94"/>
  <c r="J34" i="94"/>
  <c r="I34" i="94"/>
  <c r="H34" i="94"/>
  <c r="G34" i="94"/>
  <c r="D21" i="97"/>
  <c r="G187" i="97" a="1"/>
  <c r="G187" i="97" s="1"/>
  <c r="G176" i="97" a="1"/>
  <c r="G176" i="97" s="1"/>
  <c r="G160" i="97" a="1"/>
  <c r="G160" i="97" s="1"/>
  <c r="G134" i="97" a="1"/>
  <c r="G134" i="97" s="1"/>
  <c r="G186" i="97" a="1"/>
  <c r="G186" i="97" s="1"/>
  <c r="G143" i="97" a="1"/>
  <c r="G143" i="97" s="1"/>
  <c r="G124" i="97" a="1"/>
  <c r="G124" i="97" s="1"/>
  <c r="G117" i="97" a="1"/>
  <c r="G117" i="97" s="1"/>
  <c r="G54" i="97" a="1"/>
  <c r="G54" i="97" s="1"/>
  <c r="G46" i="97" a="1"/>
  <c r="G46" i="97" s="1"/>
  <c r="G38" i="97" a="1"/>
  <c r="G38" i="97" s="1"/>
  <c r="G30" i="97" a="1"/>
  <c r="G30" i="97" s="1"/>
  <c r="G23" i="97" a="1"/>
  <c r="G23" i="97" s="1"/>
  <c r="G175" i="97" a="1"/>
  <c r="G175" i="97" s="1"/>
  <c r="G166" i="97" a="1"/>
  <c r="G166" i="97" s="1"/>
  <c r="G159" i="97" a="1"/>
  <c r="G159" i="97" s="1"/>
  <c r="G142" i="97" a="1"/>
  <c r="G142" i="97" s="1"/>
  <c r="G133" i="97" a="1"/>
  <c r="G133" i="97" s="1"/>
  <c r="G184" i="97" a="1"/>
  <c r="G184" i="97" s="1"/>
  <c r="G141" i="97" a="1"/>
  <c r="G141" i="97" s="1"/>
  <c r="G123" i="97" a="1"/>
  <c r="G123" i="97" s="1"/>
  <c r="G53" i="97" a="1"/>
  <c r="G53" i="97" s="1"/>
  <c r="G45" i="97" a="1"/>
  <c r="G45" i="97" s="1"/>
  <c r="I45" i="97" s="1"/>
  <c r="H140" i="97" s="1"/>
  <c r="G37" i="97" a="1"/>
  <c r="G37" i="97" s="1"/>
  <c r="I37" i="97" s="1"/>
  <c r="H132" i="97" s="1"/>
  <c r="G29" i="97" a="1"/>
  <c r="G29" i="97" s="1"/>
  <c r="G22" i="97" a="1"/>
  <c r="G22" i="97" s="1"/>
  <c r="G183" i="97" a="1"/>
  <c r="G183" i="97" s="1"/>
  <c r="G174" i="97" a="1"/>
  <c r="G174" i="97" s="1"/>
  <c r="G165" i="97" a="1"/>
  <c r="G165" i="97" s="1"/>
  <c r="G158" i="97" a="1"/>
  <c r="G158" i="97" s="1"/>
  <c r="G140" i="97" a="1"/>
  <c r="G140" i="97" s="1"/>
  <c r="G132" i="97" a="1"/>
  <c r="G132" i="97" s="1"/>
  <c r="G182" i="97" a="1"/>
  <c r="G182" i="97" s="1"/>
  <c r="G139" i="97" a="1"/>
  <c r="G139" i="97" s="1"/>
  <c r="G131" i="97" a="1"/>
  <c r="G131" i="97" s="1"/>
  <c r="G122" i="97" a="1"/>
  <c r="G122" i="97" s="1"/>
  <c r="G52" i="97" a="1"/>
  <c r="G52" i="97" s="1"/>
  <c r="G44" i="97" a="1"/>
  <c r="G44" i="97" s="1"/>
  <c r="G36" i="97" a="1"/>
  <c r="G36" i="97" s="1"/>
  <c r="G28" i="97" a="1"/>
  <c r="G28" i="97" s="1"/>
  <c r="G181" i="97" a="1"/>
  <c r="G181" i="97" s="1"/>
  <c r="G173" i="97" a="1"/>
  <c r="G173" i="97" s="1"/>
  <c r="G164" i="97" a="1"/>
  <c r="G164" i="97" s="1"/>
  <c r="G130" i="97" a="1"/>
  <c r="G130" i="97" s="1"/>
  <c r="G180" i="97" a="1"/>
  <c r="G180" i="97" s="1"/>
  <c r="G172" i="97" a="1"/>
  <c r="G172" i="97" s="1"/>
  <c r="G129" i="97" a="1"/>
  <c r="G129" i="97" s="1"/>
  <c r="G121" i="97" a="1"/>
  <c r="G121" i="97" s="1"/>
  <c r="G51" i="97" a="1"/>
  <c r="G51" i="97" s="1"/>
  <c r="G42" i="97" a="1"/>
  <c r="G42" i="97" s="1"/>
  <c r="G35" i="97" a="1"/>
  <c r="G35" i="97" s="1"/>
  <c r="G27" i="97" a="1"/>
  <c r="G27" i="97" s="1"/>
  <c r="G171" i="97" a="1"/>
  <c r="G171" i="97" s="1"/>
  <c r="G163" i="97" a="1"/>
  <c r="G163" i="97" s="1"/>
  <c r="G137" i="97" a="1"/>
  <c r="G137" i="97" s="1"/>
  <c r="G128" i="97" a="1"/>
  <c r="G128" i="97" s="1"/>
  <c r="G170" i="97" a="1"/>
  <c r="G170" i="97" s="1"/>
  <c r="G149" i="97" a="1"/>
  <c r="G149" i="97" s="1"/>
  <c r="G120" i="97" a="1"/>
  <c r="G120" i="97" s="1"/>
  <c r="G50" i="97" a="1"/>
  <c r="G50" i="97" s="1"/>
  <c r="G41" i="97" a="1"/>
  <c r="G41" i="97" s="1"/>
  <c r="G34" i="97" a="1"/>
  <c r="G34" i="97" s="1"/>
  <c r="G26" i="97" a="1"/>
  <c r="G26" i="97" s="1"/>
  <c r="G190" i="97" a="1"/>
  <c r="G190" i="97" s="1"/>
  <c r="G178" i="97" a="1"/>
  <c r="G178" i="97" s="1"/>
  <c r="G169" i="97" a="1"/>
  <c r="G169" i="97" s="1"/>
  <c r="G162" i="97" a="1"/>
  <c r="G162" i="97" s="1"/>
  <c r="G148" i="97" a="1"/>
  <c r="G148" i="97" s="1"/>
  <c r="G136" i="97" a="1"/>
  <c r="G136" i="97" s="1"/>
  <c r="G189" i="97" a="1"/>
  <c r="G189" i="97" s="1"/>
  <c r="G147" i="97" a="1"/>
  <c r="G147" i="97" s="1"/>
  <c r="G126" i="97" a="1"/>
  <c r="G126" i="97" s="1"/>
  <c r="G119" i="97" a="1"/>
  <c r="G119" i="97" s="1"/>
  <c r="G48" i="97" a="1"/>
  <c r="G48" i="97" s="1"/>
  <c r="G40" i="97" a="1"/>
  <c r="G40" i="97" s="1"/>
  <c r="G33" i="97" a="1"/>
  <c r="G33" i="97" s="1"/>
  <c r="G25" i="97" a="1"/>
  <c r="G25" i="97" s="1"/>
  <c r="G188" i="97" a="1"/>
  <c r="G188" i="97" s="1"/>
  <c r="G177" i="97" a="1"/>
  <c r="G177" i="97" s="1"/>
  <c r="G161" i="97" a="1"/>
  <c r="G161" i="97" s="1"/>
  <c r="G146" i="97" a="1"/>
  <c r="G146" i="97" s="1"/>
  <c r="G135" i="97" a="1"/>
  <c r="G135" i="97" s="1"/>
  <c r="G167" i="97" a="1"/>
  <c r="G167" i="97" s="1"/>
  <c r="G145" i="97" a="1"/>
  <c r="G145" i="97" s="1"/>
  <c r="G125" i="97" a="1"/>
  <c r="G125" i="97" s="1"/>
  <c r="G118" i="97" a="1"/>
  <c r="G118" i="97" s="1"/>
  <c r="G47" i="97" a="1"/>
  <c r="G47" i="97" s="1"/>
  <c r="G39" i="97" a="1"/>
  <c r="G39" i="97" s="1"/>
  <c r="G31" i="97" a="1"/>
  <c r="G31" i="97" s="1"/>
  <c r="G24" i="97" a="1"/>
  <c r="G24" i="97" s="1"/>
  <c r="K33" i="94"/>
  <c r="J33" i="94"/>
  <c r="I33" i="94"/>
  <c r="H33" i="94"/>
  <c r="G33" i="94"/>
  <c r="J174" i="97" a="1"/>
  <c r="J174" i="97" s="1"/>
  <c r="K27" i="94"/>
  <c r="J27" i="94"/>
  <c r="I27" i="94"/>
  <c r="H27" i="94"/>
  <c r="G27" i="94"/>
  <c r="J167" i="97" a="1"/>
  <c r="J167" i="97" s="1"/>
  <c r="G26" i="94"/>
  <c r="K26" i="94"/>
  <c r="J26" i="94"/>
  <c r="I26" i="94"/>
  <c r="H26" i="94"/>
  <c r="K30" i="94"/>
  <c r="J30" i="94"/>
  <c r="I30" i="94"/>
  <c r="H30" i="94"/>
  <c r="G30" i="94"/>
  <c r="U236" i="107" a="1"/>
  <c r="V18" i="81"/>
  <c r="X18" i="81" s="1"/>
  <c r="O21" i="82" a="1"/>
  <c r="X14" i="81"/>
  <c r="J135" i="97" a="1"/>
  <c r="J135" i="97" s="1"/>
  <c r="J137" i="97" a="1"/>
  <c r="J137" i="97" s="1"/>
  <c r="J123" i="97" a="1"/>
  <c r="J123" i="97" s="1"/>
  <c r="S257" i="107" a="1"/>
  <c r="S257" i="107" s="1"/>
  <c r="R236" i="107" a="1"/>
  <c r="R236" i="107" s="1"/>
  <c r="V20" i="81"/>
  <c r="X20" i="81" s="1"/>
  <c r="J161" i="97" a="1"/>
  <c r="J161" i="97" s="1"/>
  <c r="J163" i="97" a="1"/>
  <c r="J163" i="97" s="1"/>
  <c r="J185" i="97" a="1"/>
  <c r="J185" i="97" s="1"/>
  <c r="AA261" i="107" a="1"/>
  <c r="AA261" i="107" s="1"/>
  <c r="AA253" i="107" a="1"/>
  <c r="AA253" i="107" s="1"/>
  <c r="P236" i="107" a="1"/>
  <c r="P236" i="107" s="1"/>
  <c r="V236" i="107" a="1"/>
  <c r="V236" i="107" s="1"/>
  <c r="J168" i="97" a="1"/>
  <c r="J168" i="97" s="1"/>
  <c r="J121" i="97" a="1"/>
  <c r="J121" i="97" s="1"/>
  <c r="J133" i="97" a="1"/>
  <c r="J133" i="97" s="1"/>
  <c r="S252" i="107" a="1"/>
  <c r="S252" i="107" s="1"/>
  <c r="AK236" i="107" a="1"/>
  <c r="K37" i="94"/>
  <c r="J37" i="94"/>
  <c r="I37" i="94"/>
  <c r="H37" i="94"/>
  <c r="G37" i="94"/>
  <c r="E654" i="107"/>
  <c r="E657" i="107" s="1"/>
  <c r="E498" i="107"/>
  <c r="E487" i="107"/>
  <c r="E181" i="107"/>
  <c r="F127" i="107"/>
  <c r="F125" i="107"/>
  <c r="E517" i="107"/>
  <c r="F128" i="107"/>
  <c r="F124" i="107"/>
  <c r="E363" i="107"/>
  <c r="F120" i="107"/>
  <c r="G120" i="107" s="1"/>
  <c r="E426" i="107"/>
  <c r="E142" i="107"/>
  <c r="F129" i="107"/>
  <c r="F126" i="107"/>
  <c r="I33" i="102"/>
  <c r="E40" i="99"/>
  <c r="E36" i="99"/>
  <c r="E35" i="99" s="1"/>
  <c r="Q14" i="100" s="1"/>
  <c r="G56" i="80"/>
  <c r="G57" i="80" s="1"/>
  <c r="G53" i="80"/>
  <c r="G54" i="80" s="1"/>
  <c r="I26" i="97" l="1"/>
  <c r="H121" i="97" s="1"/>
  <c r="I53" i="97"/>
  <c r="H148" i="97" s="1"/>
  <c r="I41" i="97"/>
  <c r="H136" i="97" s="1"/>
  <c r="I136" i="97" s="1"/>
  <c r="K136" i="97" s="1"/>
  <c r="I34" i="97"/>
  <c r="H129" i="97" s="1"/>
  <c r="I121" i="97"/>
  <c r="K121" i="97" s="1"/>
  <c r="I39" i="97"/>
  <c r="H134" i="97" s="1"/>
  <c r="I134" i="97" s="1"/>
  <c r="K134" i="97" s="1"/>
  <c r="I29" i="97"/>
  <c r="H124" i="97" s="1"/>
  <c r="I124" i="97" s="1"/>
  <c r="K124" i="97" s="1"/>
  <c r="I22" i="97"/>
  <c r="H117" i="97" s="1"/>
  <c r="I117" i="97" s="1"/>
  <c r="K117" i="97" s="1"/>
  <c r="I31" i="97"/>
  <c r="H126" i="97" s="1"/>
  <c r="I126" i="97" s="1"/>
  <c r="K126" i="97" s="1"/>
  <c r="I54" i="97"/>
  <c r="H149" i="97" s="1"/>
  <c r="I27" i="97"/>
  <c r="H122" i="97" s="1"/>
  <c r="I122" i="97" s="1"/>
  <c r="K122" i="97" s="1"/>
  <c r="I50" i="97"/>
  <c r="H145" i="97" s="1"/>
  <c r="I35" i="97"/>
  <c r="H130" i="97" s="1"/>
  <c r="I47" i="97"/>
  <c r="H142" i="97" s="1"/>
  <c r="I80" i="97"/>
  <c r="H178" i="97" s="1"/>
  <c r="I178" i="97" s="1"/>
  <c r="K178" i="97" s="1"/>
  <c r="I84" i="97"/>
  <c r="H182" i="97" s="1"/>
  <c r="I89" i="97"/>
  <c r="H187" i="97" s="1"/>
  <c r="I83" i="97"/>
  <c r="H181" i="97" s="1"/>
  <c r="I86" i="97"/>
  <c r="H184" i="97" s="1"/>
  <c r="I24" i="97"/>
  <c r="H119" i="97" s="1"/>
  <c r="I119" i="97" s="1"/>
  <c r="K119" i="97" s="1"/>
  <c r="I65" i="97"/>
  <c r="H163" i="97" s="1"/>
  <c r="I163" i="97" s="1"/>
  <c r="K163" i="97" s="1"/>
  <c r="I68" i="97"/>
  <c r="H166" i="97" s="1"/>
  <c r="I166" i="97" s="1"/>
  <c r="K166" i="97" s="1"/>
  <c r="I79" i="97"/>
  <c r="H177" i="97" s="1"/>
  <c r="I177" i="97" s="1"/>
  <c r="K177" i="97" s="1"/>
  <c r="I73" i="97"/>
  <c r="H171" i="97" s="1"/>
  <c r="I76" i="97"/>
  <c r="H174" i="97" s="1"/>
  <c r="I174" i="97" s="1"/>
  <c r="K174" i="97" s="1"/>
  <c r="I88" i="97"/>
  <c r="H186" i="97" s="1"/>
  <c r="I92" i="97"/>
  <c r="H190" i="97" s="1"/>
  <c r="I66" i="97"/>
  <c r="H164" i="97" s="1"/>
  <c r="I164" i="97" s="1"/>
  <c r="K164" i="97" s="1"/>
  <c r="I62" i="97"/>
  <c r="H160" i="97" s="1"/>
  <c r="I160" i="97" s="1"/>
  <c r="K160" i="97" s="1"/>
  <c r="I63" i="97"/>
  <c r="H161" i="97" s="1"/>
  <c r="I161" i="97" s="1"/>
  <c r="K161" i="97" s="1"/>
  <c r="I42" i="97"/>
  <c r="H137" i="97" s="1"/>
  <c r="I137" i="97" s="1"/>
  <c r="K137" i="97" s="1"/>
  <c r="I67" i="97"/>
  <c r="H165" i="97" s="1"/>
  <c r="I165" i="97" s="1"/>
  <c r="K165" i="97" s="1"/>
  <c r="I71" i="97"/>
  <c r="H169" i="97" s="1"/>
  <c r="I78" i="97"/>
  <c r="H176" i="97" s="1"/>
  <c r="I176" i="97" s="1"/>
  <c r="K176" i="97" s="1"/>
  <c r="I91" i="97"/>
  <c r="H189" i="97" s="1"/>
  <c r="I64" i="97"/>
  <c r="H162" i="97" s="1"/>
  <c r="I162" i="97" s="1"/>
  <c r="K162" i="97" s="1"/>
  <c r="I23" i="97"/>
  <c r="H118" i="97" s="1"/>
  <c r="I118" i="97" s="1"/>
  <c r="K118" i="97" s="1"/>
  <c r="I30" i="97"/>
  <c r="H125" i="97" s="1"/>
  <c r="I125" i="97" s="1"/>
  <c r="K125" i="97" s="1"/>
  <c r="I28" i="97"/>
  <c r="H123" i="97" s="1"/>
  <c r="I123" i="97" s="1"/>
  <c r="K123" i="97" s="1"/>
  <c r="I36" i="97"/>
  <c r="H131" i="97" s="1"/>
  <c r="I38" i="97"/>
  <c r="H133" i="97" s="1"/>
  <c r="I133" i="97" s="1"/>
  <c r="K133" i="97" s="1"/>
  <c r="I48" i="97"/>
  <c r="H143" i="97" s="1"/>
  <c r="I132" i="97"/>
  <c r="K132" i="97" s="1"/>
  <c r="I44" i="97"/>
  <c r="H139" i="97" s="1"/>
  <c r="I46" i="97"/>
  <c r="H141" i="97" s="1"/>
  <c r="I61" i="97"/>
  <c r="H159" i="97" s="1"/>
  <c r="I159" i="97" s="1"/>
  <c r="K159" i="97" s="1"/>
  <c r="I52" i="97"/>
  <c r="H147" i="97" s="1"/>
  <c r="I74" i="97"/>
  <c r="H172" i="97" s="1"/>
  <c r="I69" i="97"/>
  <c r="H167" i="97" s="1"/>
  <c r="I167" i="97" s="1"/>
  <c r="K167" i="97" s="1"/>
  <c r="I75" i="97"/>
  <c r="H173" i="97" s="1"/>
  <c r="I173" i="97" s="1"/>
  <c r="K173" i="97" s="1"/>
  <c r="I72" i="97"/>
  <c r="H170" i="97" s="1"/>
  <c r="I82" i="97"/>
  <c r="H180" i="97" s="1"/>
  <c r="I77" i="97"/>
  <c r="H175" i="97" s="1"/>
  <c r="I175" i="97" s="1"/>
  <c r="K175" i="97" s="1"/>
  <c r="I90" i="97"/>
  <c r="H188" i="97" s="1"/>
  <c r="I85" i="97"/>
  <c r="H183" i="97" s="1"/>
  <c r="I33" i="97"/>
  <c r="H128" i="97" s="1"/>
  <c r="I60" i="97"/>
  <c r="H158" i="97" s="1"/>
  <c r="I158" i="97" s="1"/>
  <c r="K158" i="97" s="1"/>
  <c r="I25" i="97"/>
  <c r="H120" i="97" s="1"/>
  <c r="I120" i="97" s="1"/>
  <c r="K120" i="97" s="1"/>
  <c r="I51" i="97"/>
  <c r="H146" i="97" s="1"/>
  <c r="I40" i="97"/>
  <c r="H135" i="97" s="1"/>
  <c r="I135" i="97" s="1"/>
  <c r="K135" i="97" s="1"/>
  <c r="E156" i="107"/>
  <c r="E155" i="107"/>
  <c r="G293" i="107"/>
  <c r="I293" i="107"/>
  <c r="G290" i="107"/>
  <c r="I290" i="107"/>
  <c r="G294" i="107"/>
  <c r="I294" i="107"/>
  <c r="I287" i="107"/>
  <c r="G287" i="107"/>
  <c r="I288" i="107"/>
  <c r="G288" i="107"/>
  <c r="G295" i="107"/>
  <c r="I295" i="107"/>
  <c r="G291" i="107"/>
  <c r="I291" i="107"/>
  <c r="G292" i="107"/>
  <c r="I292" i="107"/>
  <c r="G289" i="107"/>
  <c r="I289" i="107"/>
  <c r="G296" i="107"/>
  <c r="I296" i="107"/>
  <c r="G286" i="107"/>
  <c r="I286" i="107"/>
  <c r="E394" i="107"/>
  <c r="G123" i="107"/>
  <c r="I124" i="107"/>
  <c r="G124" i="107"/>
  <c r="G128" i="107"/>
  <c r="I128" i="107"/>
  <c r="I125" i="107"/>
  <c r="G125" i="107"/>
  <c r="I127" i="107"/>
  <c r="G127" i="107"/>
  <c r="I126" i="107"/>
  <c r="G126" i="107"/>
  <c r="G129" i="107"/>
  <c r="I129" i="107"/>
  <c r="E90" i="107"/>
  <c r="E54" i="107"/>
  <c r="E91" i="107"/>
  <c r="E72" i="107"/>
  <c r="E35" i="107"/>
  <c r="E53" i="107"/>
  <c r="E73" i="107"/>
  <c r="Q27" i="94"/>
  <c r="P27" i="94"/>
  <c r="O27" i="94"/>
  <c r="N27" i="94"/>
  <c r="Q30" i="94"/>
  <c r="P30" i="94"/>
  <c r="O30" i="94"/>
  <c r="N30" i="94"/>
  <c r="Q35" i="94"/>
  <c r="P35" i="94"/>
  <c r="O35" i="94"/>
  <c r="N35" i="94"/>
  <c r="Q28" i="94"/>
  <c r="P28" i="94"/>
  <c r="O28" i="94"/>
  <c r="N28" i="94"/>
  <c r="O38" i="94"/>
  <c r="N38" i="94"/>
  <c r="Q38" i="94"/>
  <c r="P38" i="94"/>
  <c r="O33" i="94"/>
  <c r="Q33" i="94"/>
  <c r="P33" i="94"/>
  <c r="N33" i="94"/>
  <c r="O26" i="94"/>
  <c r="Q26" i="94"/>
  <c r="P26" i="94"/>
  <c r="N26" i="94"/>
  <c r="Q37" i="94"/>
  <c r="P37" i="94"/>
  <c r="O37" i="94"/>
  <c r="N37" i="94"/>
  <c r="Q34" i="94"/>
  <c r="P34" i="94"/>
  <c r="O34" i="94"/>
  <c r="N34" i="94"/>
  <c r="Q25" i="94"/>
  <c r="P25" i="94"/>
  <c r="O25" i="94"/>
  <c r="N25" i="94"/>
  <c r="Q36" i="94"/>
  <c r="P36" i="94"/>
  <c r="O36" i="94"/>
  <c r="N36" i="94"/>
  <c r="Q32" i="94"/>
  <c r="P32" i="94"/>
  <c r="O32" i="94"/>
  <c r="N32" i="94"/>
  <c r="O31" i="94"/>
  <c r="N31" i="94"/>
  <c r="Q31" i="94"/>
  <c r="P31" i="94"/>
  <c r="Q29" i="94"/>
  <c r="P29" i="94"/>
  <c r="O29" i="94"/>
  <c r="N29" i="94"/>
  <c r="O25" i="93"/>
  <c r="E44" i="93" s="1"/>
  <c r="Q25" i="93"/>
  <c r="E46" i="93" s="1"/>
  <c r="E57" i="93"/>
  <c r="E55" i="93"/>
  <c r="N37" i="93"/>
  <c r="E61" i="93" s="1"/>
  <c r="E58" i="93"/>
  <c r="N25" i="93"/>
  <c r="E43" i="93" s="1"/>
  <c r="Q37" i="93"/>
  <c r="E64" i="93" s="1"/>
  <c r="O37" i="93"/>
  <c r="E62" i="93" s="1"/>
  <c r="E56" i="93"/>
  <c r="K254" i="107"/>
  <c r="H261" i="107"/>
  <c r="F254" i="107"/>
  <c r="G254" i="107" s="1"/>
  <c r="H254" i="107"/>
  <c r="H257" i="107"/>
  <c r="K257" i="107"/>
  <c r="F257" i="107"/>
  <c r="G257" i="107" s="1"/>
  <c r="H259" i="107"/>
  <c r="F259" i="107"/>
  <c r="G259" i="107" s="1"/>
  <c r="K259" i="107"/>
  <c r="F261" i="107"/>
  <c r="G261" i="107" s="1"/>
  <c r="K261" i="107"/>
  <c r="H258" i="107"/>
  <c r="F258" i="107"/>
  <c r="G258" i="107" s="1"/>
  <c r="K258" i="107"/>
  <c r="F256" i="107"/>
  <c r="G256" i="107" s="1"/>
  <c r="K256" i="107"/>
  <c r="H256" i="107"/>
  <c r="K253" i="107"/>
  <c r="H253" i="107"/>
  <c r="F253" i="107"/>
  <c r="G253" i="107" s="1"/>
  <c r="O11" i="82" a="1"/>
  <c r="O11" i="82" s="1"/>
  <c r="H255" i="107"/>
  <c r="K255" i="107"/>
  <c r="F255" i="107"/>
  <c r="G255" i="107" s="1"/>
  <c r="H252" i="107"/>
  <c r="F252" i="107"/>
  <c r="G252" i="107" s="1"/>
  <c r="H260" i="107"/>
  <c r="F260" i="107"/>
  <c r="G260" i="107" s="1"/>
  <c r="K260" i="107"/>
  <c r="N20" i="100"/>
  <c r="R36" i="100" s="1"/>
  <c r="N43" i="100" s="1"/>
  <c r="AK236" i="107"/>
  <c r="AM236" i="107" s="1" a="1"/>
  <c r="AM236" i="107" s="1"/>
  <c r="AM244" i="107" a="1"/>
  <c r="AM244" i="107" s="1"/>
  <c r="AM237" i="107" a="1"/>
  <c r="AM237" i="107" s="1"/>
  <c r="AM239" i="107" a="1"/>
  <c r="AM239" i="107" s="1"/>
  <c r="AM241" i="107" a="1"/>
  <c r="AM241" i="107" s="1"/>
  <c r="AM243" i="107" a="1"/>
  <c r="AM243" i="107" s="1"/>
  <c r="AM245" i="107" a="1"/>
  <c r="AM245" i="107" s="1"/>
  <c r="AM238" i="107" a="1"/>
  <c r="AM238" i="107" s="1"/>
  <c r="AM240" i="107" a="1"/>
  <c r="AM240" i="107" s="1"/>
  <c r="AM242" i="107" a="1"/>
  <c r="AM242" i="107" s="1"/>
  <c r="U236" i="107"/>
  <c r="W236" i="107" s="1" a="1"/>
  <c r="W236" i="107" s="1"/>
  <c r="W240" i="107" a="1"/>
  <c r="W240" i="107" s="1"/>
  <c r="W242" i="107" a="1"/>
  <c r="W242" i="107" s="1"/>
  <c r="W244" i="107" a="1"/>
  <c r="W244" i="107" s="1"/>
  <c r="W237" i="107" a="1"/>
  <c r="W237" i="107" s="1"/>
  <c r="W239" i="107" a="1"/>
  <c r="W239" i="107" s="1"/>
  <c r="W241" i="107" a="1"/>
  <c r="W241" i="107" s="1"/>
  <c r="W243" i="107" a="1"/>
  <c r="W243" i="107" s="1"/>
  <c r="W245" i="107" a="1"/>
  <c r="W245" i="107" s="1"/>
  <c r="W238" i="107" a="1"/>
  <c r="W238" i="107" s="1"/>
  <c r="Q236" i="107"/>
  <c r="S236" i="107" s="1" a="1"/>
  <c r="S236" i="107" s="1"/>
  <c r="S240" i="107" a="1"/>
  <c r="S240" i="107" s="1"/>
  <c r="S242" i="107" a="1"/>
  <c r="S242" i="107" s="1"/>
  <c r="S244" i="107" a="1"/>
  <c r="S244" i="107" s="1"/>
  <c r="S237" i="107" a="1"/>
  <c r="S237" i="107" s="1"/>
  <c r="S239" i="107" a="1"/>
  <c r="S239" i="107" s="1"/>
  <c r="S241" i="107" a="1"/>
  <c r="S241" i="107" s="1"/>
  <c r="S243" i="107" a="1"/>
  <c r="S243" i="107" s="1"/>
  <c r="S245" i="107" a="1"/>
  <c r="S245" i="107" s="1"/>
  <c r="S238" i="107" a="1"/>
  <c r="S238" i="107" s="1"/>
  <c r="G116" i="97" a="1"/>
  <c r="G116" i="97" s="1"/>
  <c r="G21" i="97" a="1"/>
  <c r="G21" i="97" s="1"/>
  <c r="G157" i="97" a="1"/>
  <c r="G157" i="97" s="1"/>
  <c r="AG236" i="107"/>
  <c r="AI236" i="107" s="1" a="1"/>
  <c r="AI236" i="107" s="1"/>
  <c r="AI244" i="107" a="1"/>
  <c r="AI244" i="107" s="1"/>
  <c r="AI237" i="107" a="1"/>
  <c r="AI237" i="107" s="1"/>
  <c r="AI239" i="107" a="1"/>
  <c r="AI239" i="107" s="1"/>
  <c r="AI241" i="107" a="1"/>
  <c r="AI241" i="107" s="1"/>
  <c r="AI243" i="107" a="1"/>
  <c r="AI243" i="107" s="1"/>
  <c r="AI245" i="107" a="1"/>
  <c r="AI245" i="107" s="1"/>
  <c r="AI238" i="107" a="1"/>
  <c r="AI238" i="107" s="1"/>
  <c r="AI240" i="107" a="1"/>
  <c r="AI240" i="107" s="1"/>
  <c r="AI242" i="107" a="1"/>
  <c r="AI242" i="107" s="1"/>
  <c r="Y236" i="107"/>
  <c r="AA236" i="107" s="1" a="1"/>
  <c r="AA236" i="107" s="1"/>
  <c r="AA242" i="107" a="1"/>
  <c r="AA242" i="107" s="1"/>
  <c r="AA244" i="107" a="1"/>
  <c r="AA244" i="107" s="1"/>
  <c r="AA237" i="107" a="1"/>
  <c r="AA237" i="107" s="1"/>
  <c r="AA239" i="107" a="1"/>
  <c r="AA239" i="107" s="1"/>
  <c r="AA241" i="107" a="1"/>
  <c r="AA241" i="107" s="1"/>
  <c r="AA243" i="107" a="1"/>
  <c r="AA243" i="107" s="1"/>
  <c r="AA245" i="107" a="1"/>
  <c r="AA245" i="107" s="1"/>
  <c r="AA238" i="107" a="1"/>
  <c r="AA238" i="107" s="1"/>
  <c r="AA240" i="107" a="1"/>
  <c r="AA240" i="107" s="1"/>
  <c r="F285" i="107" a="1"/>
  <c r="F285" i="107" s="1"/>
  <c r="E285" i="107"/>
  <c r="G59" i="97" a="1"/>
  <c r="G59" i="97" s="1"/>
  <c r="O21" i="82"/>
  <c r="AC236" i="107"/>
  <c r="AE236" i="107" s="1" a="1"/>
  <c r="AE236" i="107" s="1"/>
  <c r="AE242" i="107" a="1"/>
  <c r="AE242" i="107" s="1"/>
  <c r="AE244" i="107" a="1"/>
  <c r="AE244" i="107" s="1"/>
  <c r="AE237" i="107" a="1"/>
  <c r="AE237" i="107" s="1"/>
  <c r="AE239" i="107" a="1"/>
  <c r="AE239" i="107" s="1"/>
  <c r="AE241" i="107" a="1"/>
  <c r="AE241" i="107" s="1"/>
  <c r="AE243" i="107" a="1"/>
  <c r="AE243" i="107" s="1"/>
  <c r="AE245" i="107" a="1"/>
  <c r="AE245" i="107" s="1"/>
  <c r="AE238" i="107" a="1"/>
  <c r="AE238" i="107" s="1"/>
  <c r="AE240" i="107" a="1"/>
  <c r="AE240" i="107" s="1"/>
  <c r="E456" i="107"/>
  <c r="E44" i="13" s="1" a="1"/>
  <c r="E44" i="13" s="1"/>
  <c r="H44" i="13" s="1"/>
  <c r="E393" i="107"/>
  <c r="E474" i="107"/>
  <c r="E457" i="107"/>
  <c r="F44" i="13" s="1" a="1"/>
  <c r="F44" i="13" s="1"/>
  <c r="I44" i="13" s="1"/>
  <c r="E475" i="107"/>
  <c r="E34" i="107"/>
  <c r="E42" i="99"/>
  <c r="E63" i="93"/>
  <c r="E45" i="93"/>
  <c r="D39" i="80"/>
  <c r="D32" i="80"/>
  <c r="D78" i="72" a="1"/>
  <c r="F58" i="72"/>
  <c r="E58" i="72"/>
  <c r="F57" i="72"/>
  <c r="E57" i="72"/>
  <c r="F56" i="72"/>
  <c r="E56" i="72"/>
  <c r="D75" i="72"/>
  <c r="F50" i="13" a="1"/>
  <c r="F50" i="13" s="1"/>
  <c r="I50" i="13" s="1"/>
  <c r="E50" i="13" a="1"/>
  <c r="E50" i="13" s="1"/>
  <c r="H50" i="13" s="1"/>
  <c r="F48" i="13" a="1"/>
  <c r="F48" i="13" s="1"/>
  <c r="I48" i="13" s="1"/>
  <c r="E48" i="13" a="1"/>
  <c r="E48" i="13" s="1"/>
  <c r="H48" i="13" s="1"/>
  <c r="E47" i="13" a="1"/>
  <c r="E47" i="13" s="1"/>
  <c r="F45" i="13" a="1"/>
  <c r="F45" i="13" s="1"/>
  <c r="I45" i="13" s="1"/>
  <c r="E45" i="13" a="1"/>
  <c r="E45" i="13" s="1"/>
  <c r="H45" i="13" s="1"/>
  <c r="F43" i="13" a="1"/>
  <c r="F43" i="13" s="1"/>
  <c r="I43" i="13" s="1"/>
  <c r="E43" i="13" a="1"/>
  <c r="E43" i="13" s="1"/>
  <c r="H43" i="13" s="1"/>
  <c r="I144" i="97" l="1"/>
  <c r="K144" i="97" s="1"/>
  <c r="I127" i="97"/>
  <c r="K127" i="97" s="1"/>
  <c r="I138" i="97"/>
  <c r="K138" i="97" s="1"/>
  <c r="I179" i="97"/>
  <c r="K179" i="97" s="1"/>
  <c r="I59" i="97"/>
  <c r="H157" i="97" s="1"/>
  <c r="I157" i="97" s="1"/>
  <c r="K157" i="97" s="1"/>
  <c r="I168" i="97"/>
  <c r="K168" i="97" s="1"/>
  <c r="I21" i="97"/>
  <c r="H116" i="97" s="1"/>
  <c r="I116" i="97" s="1"/>
  <c r="G285" i="107"/>
  <c r="E298" i="107" s="1"/>
  <c r="E41" i="13" s="1" a="1"/>
  <c r="E41" i="13" s="1"/>
  <c r="H41" i="13" s="1"/>
  <c r="I285" i="107"/>
  <c r="E299" i="107" s="1"/>
  <c r="F41" i="13" s="1" a="1"/>
  <c r="F41" i="13" s="1"/>
  <c r="I41" i="13" s="1"/>
  <c r="E94" i="107"/>
  <c r="E93" i="107"/>
  <c r="E52" i="94"/>
  <c r="E44" i="94"/>
  <c r="E43" i="94"/>
  <c r="E50" i="94"/>
  <c r="E45" i="94"/>
  <c r="E49" i="94"/>
  <c r="E46" i="94"/>
  <c r="E51" i="94"/>
  <c r="F242" i="107"/>
  <c r="F240" i="107"/>
  <c r="F236" i="107"/>
  <c r="F238" i="107"/>
  <c r="F245" i="107"/>
  <c r="F243" i="107"/>
  <c r="F241" i="107"/>
  <c r="F239" i="107"/>
  <c r="F237" i="107"/>
  <c r="F244" i="107"/>
  <c r="O24" i="101"/>
  <c r="R55" i="100"/>
  <c r="I185" i="97"/>
  <c r="E132" i="107"/>
  <c r="E160" i="107" s="1"/>
  <c r="E131" i="107"/>
  <c r="E159" i="107" s="1"/>
  <c r="E67" i="93"/>
  <c r="E70" i="93"/>
  <c r="I530" i="107" s="1"/>
  <c r="E69" i="93"/>
  <c r="E68" i="93"/>
  <c r="E79" i="72"/>
  <c r="F79" i="72"/>
  <c r="D78" i="72"/>
  <c r="F47" i="13"/>
  <c r="I47" i="13" s="1"/>
  <c r="H47" i="13"/>
  <c r="K116" i="97" l="1"/>
  <c r="E151" i="97" s="1"/>
  <c r="K185" i="97"/>
  <c r="E192" i="97" s="1"/>
  <c r="E58" i="94"/>
  <c r="I531" i="107" s="1"/>
  <c r="E533" i="107" s="1"/>
  <c r="E46" i="13" s="1" a="1"/>
  <c r="E46" i="13" s="1"/>
  <c r="F46" i="13" s="1"/>
  <c r="I46" i="13" s="1"/>
  <c r="E55" i="94"/>
  <c r="E56" i="94"/>
  <c r="E57" i="94"/>
  <c r="D47" i="13" a="1"/>
  <c r="D47" i="13" s="1"/>
  <c r="E33" i="13" a="1"/>
  <c r="E33" i="13" s="1"/>
  <c r="D33" i="13" a="1"/>
  <c r="D33" i="13" s="1"/>
  <c r="E71" i="72"/>
  <c r="E70" i="72"/>
  <c r="D67" i="72" a="1"/>
  <c r="D67" i="72" s="1"/>
  <c r="E67" i="72" s="1"/>
  <c r="D64" i="72"/>
  <c r="D54" i="72" a="1"/>
  <c r="D50" i="72" a="1"/>
  <c r="D50" i="72" s="1"/>
  <c r="D48" i="72"/>
  <c r="G42" i="72"/>
  <c r="E56" i="13" s="1"/>
  <c r="J61" i="78"/>
  <c r="J60" i="78"/>
  <c r="J59" i="78"/>
  <c r="J58" i="78"/>
  <c r="J51" i="78"/>
  <c r="J50" i="78"/>
  <c r="J49" i="78"/>
  <c r="J53" i="78" s="1"/>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D117" i="79" a="1"/>
  <c r="D117" i="79" s="1"/>
  <c r="D107" i="79" a="1"/>
  <c r="D107" i="79" s="1"/>
  <c r="D83" i="79" a="1"/>
  <c r="D83" i="79" s="1"/>
  <c r="D59" i="79" a="1"/>
  <c r="D59" i="79" s="1"/>
  <c r="E49" i="13" l="1" a="1"/>
  <c r="E49" i="13" s="1"/>
  <c r="F49" i="13" s="1"/>
  <c r="I49" i="13" s="1"/>
  <c r="E603" i="107"/>
  <c r="J37" i="101"/>
  <c r="G45" i="100"/>
  <c r="H42" i="102"/>
  <c r="G53" i="84"/>
  <c r="P113" i="82"/>
  <c r="G97" i="87"/>
  <c r="E99" i="87" s="1" a="1"/>
  <c r="E99" i="87" s="1"/>
  <c r="G83" i="82"/>
  <c r="Q51" i="101"/>
  <c r="G51" i="101"/>
  <c r="G82" i="86"/>
  <c r="O591" i="107"/>
  <c r="M593" i="107" s="1" a="1"/>
  <c r="M593" i="107" s="1"/>
  <c r="G591" i="107"/>
  <c r="E593" i="107" s="1" a="1"/>
  <c r="E593" i="107" s="1"/>
  <c r="P64" i="100"/>
  <c r="G149" i="86"/>
  <c r="E151" i="86" s="1" a="1"/>
  <c r="E151" i="86" s="1"/>
  <c r="H65" i="102"/>
  <c r="I126" i="86"/>
  <c r="I38" i="100"/>
  <c r="I36" i="102"/>
  <c r="S94" i="82"/>
  <c r="J92" i="87"/>
  <c r="I51" i="82"/>
  <c r="J38" i="101"/>
  <c r="H24" i="101"/>
  <c r="I22" i="100"/>
  <c r="I17" i="100" s="1" a="1"/>
  <c r="I17" i="100" s="1"/>
  <c r="E24" i="100" s="1"/>
  <c r="J15" i="101"/>
  <c r="H46" i="13"/>
  <c r="E55" i="72"/>
  <c r="F55" i="72"/>
  <c r="F33" i="13"/>
  <c r="I33" i="13" s="1"/>
  <c r="I34" i="13" s="1"/>
  <c r="H33" i="13"/>
  <c r="H34" i="13" s="1"/>
  <c r="J63" i="78"/>
  <c r="J35" i="78"/>
  <c r="J15" i="78"/>
  <c r="J26" i="78"/>
  <c r="J44" i="78"/>
  <c r="D54" i="72"/>
  <c r="E68" i="72"/>
  <c r="E69" i="72"/>
  <c r="H48" i="79"/>
  <c r="I20" i="85" s="1"/>
  <c r="E22" i="75"/>
  <c r="H51" i="79"/>
  <c r="E19" i="75"/>
  <c r="H53" i="79"/>
  <c r="H50" i="79"/>
  <c r="R57" i="100" s="1"/>
  <c r="H54" i="79"/>
  <c r="H52" i="79"/>
  <c r="H49" i="79"/>
  <c r="I59" i="102" s="1"/>
  <c r="E8" i="76" a="1"/>
  <c r="E8" i="76" s="1"/>
  <c r="S96" i="82" s="1"/>
  <c r="E10" i="76" a="1"/>
  <c r="E10" i="76" s="1"/>
  <c r="E9" i="76" a="1"/>
  <c r="E9" i="76" s="1"/>
  <c r="S24" i="101" l="1"/>
  <c r="E62" i="102"/>
  <c r="H64" i="102" s="1"/>
  <c r="E67" i="102" s="1" a="1"/>
  <c r="E67" i="102" s="1"/>
  <c r="E39" i="102"/>
  <c r="H41" i="102" s="1"/>
  <c r="E44" i="102" s="1" a="1"/>
  <c r="E44" i="102" s="1"/>
  <c r="H29" i="85"/>
  <c r="H25" i="85"/>
  <c r="H27" i="85"/>
  <c r="H26" i="85"/>
  <c r="H28" i="85"/>
  <c r="H49" i="13"/>
  <c r="N107" i="82"/>
  <c r="J51" i="86"/>
  <c r="I128" i="86"/>
  <c r="I125" i="86" s="1"/>
  <c r="F137" i="86" s="1"/>
  <c r="I18" i="87"/>
  <c r="I14" i="87" s="1"/>
  <c r="I54" i="82"/>
  <c r="I50" i="82" s="1"/>
  <c r="I60" i="87"/>
  <c r="I56" i="87" s="1"/>
  <c r="J53" i="86"/>
  <c r="J50" i="86" s="1"/>
  <c r="S98" i="82"/>
  <c r="O108" i="82" s="1" a="1"/>
  <c r="O108" i="82" s="1"/>
  <c r="I55" i="82"/>
  <c r="J54" i="86"/>
  <c r="S99" i="82"/>
  <c r="I129" i="86"/>
  <c r="I51" i="83"/>
  <c r="E72" i="72"/>
  <c r="G19" i="81"/>
  <c r="I19" i="81" s="1"/>
  <c r="F26" i="81"/>
  <c r="G26" i="81" s="1"/>
  <c r="F43" i="81"/>
  <c r="G43" i="81" s="1"/>
  <c r="G20" i="81"/>
  <c r="I20" i="81" s="1"/>
  <c r="F42" i="81"/>
  <c r="G42" i="81" s="1"/>
  <c r="G18" i="81"/>
  <c r="I18" i="81" s="1"/>
  <c r="G14" i="81"/>
  <c r="I14" i="81" s="1"/>
  <c r="F34" i="81"/>
  <c r="G34" i="81" s="1"/>
  <c r="G17" i="81"/>
  <c r="I17" i="81" s="1"/>
  <c r="F33" i="81"/>
  <c r="G33" i="81" s="1"/>
  <c r="H56" i="81"/>
  <c r="F32" i="81"/>
  <c r="G32" i="81" s="1"/>
  <c r="G15" i="81"/>
  <c r="I15" i="81" s="1"/>
  <c r="F31" i="81"/>
  <c r="G31" i="81" s="1"/>
  <c r="F29" i="81"/>
  <c r="G29" i="81" s="1"/>
  <c r="G12" i="81"/>
  <c r="H54" i="81"/>
  <c r="F28" i="81"/>
  <c r="G28" i="81" s="1"/>
  <c r="F44" i="81"/>
  <c r="G44" i="81" s="1"/>
  <c r="F25" i="81"/>
  <c r="G16" i="81"/>
  <c r="I16" i="81" s="1"/>
  <c r="F27" i="81"/>
  <c r="G27" i="81" s="1"/>
  <c r="G21" i="81"/>
  <c r="I21" i="81" s="1"/>
  <c r="H55" i="81"/>
  <c r="F30" i="81"/>
  <c r="G30" i="81" s="1"/>
  <c r="G13" i="81"/>
  <c r="I13" i="81" s="1"/>
  <c r="K46" i="84"/>
  <c r="N45" i="101"/>
  <c r="I36" i="100"/>
  <c r="E24" i="101"/>
  <c r="E65" i="78"/>
  <c r="E18" i="13" a="1"/>
  <c r="E18" i="13" s="1"/>
  <c r="H18" i="13" s="1" a="1"/>
  <c r="H18" i="13" s="1"/>
  <c r="F68" i="87" l="1"/>
  <c r="F74" i="87"/>
  <c r="F75" i="87"/>
  <c r="F65" i="87"/>
  <c r="F66" i="87"/>
  <c r="F67" i="87"/>
  <c r="F70" i="87"/>
  <c r="F72" i="87"/>
  <c r="F73" i="87"/>
  <c r="F69" i="87"/>
  <c r="F71" i="87"/>
  <c r="F138" i="86"/>
  <c r="F140" i="86"/>
  <c r="F143" i="86"/>
  <c r="F141" i="86"/>
  <c r="F139" i="86"/>
  <c r="F144" i="86"/>
  <c r="F142" i="86"/>
  <c r="E17" i="13" a="1"/>
  <c r="E17" i="13" s="1"/>
  <c r="F17" i="13" s="1"/>
  <c r="I17" i="13" s="1" a="1"/>
  <c r="I17" i="13" s="1"/>
  <c r="I24" i="101"/>
  <c r="D45" i="101" s="1"/>
  <c r="O45" i="101"/>
  <c r="O48" i="101" s="1"/>
  <c r="N105" i="82"/>
  <c r="I54" i="81"/>
  <c r="G20" i="84" a="1"/>
  <c r="F20" i="84" a="1"/>
  <c r="F20" i="84" s="1"/>
  <c r="J54" i="81"/>
  <c r="N106" i="82"/>
  <c r="E320" i="107" a="1"/>
  <c r="E320" i="107" s="1"/>
  <c r="E25" i="85" a="1"/>
  <c r="I56" i="81"/>
  <c r="J56" i="81"/>
  <c r="G25" i="81"/>
  <c r="P21" i="82" a="1"/>
  <c r="P11" i="82" a="1"/>
  <c r="I12" i="81"/>
  <c r="J55" i="81"/>
  <c r="I55" i="81"/>
  <c r="E252" i="107" a="1"/>
  <c r="H17" i="13" a="1"/>
  <c r="H17" i="13" s="1"/>
  <c r="F18" i="13"/>
  <c r="I18" i="13" s="1" a="1"/>
  <c r="I18" i="13" s="1"/>
  <c r="Q50" i="101" l="1"/>
  <c r="O53" i="101" s="1" a="1"/>
  <c r="O53" i="101" s="1"/>
  <c r="F16" i="13" a="1"/>
  <c r="F16" i="13" s="1"/>
  <c r="I16" i="13" s="1" a="1"/>
  <c r="I16" i="13" s="1"/>
  <c r="E45" i="101"/>
  <c r="E48" i="101" s="1"/>
  <c r="Q28" i="82"/>
  <c r="P21" i="82"/>
  <c r="Q21" i="82" s="1"/>
  <c r="Q29" i="82"/>
  <c r="Q22" i="82"/>
  <c r="Q26" i="82"/>
  <c r="Q24" i="82"/>
  <c r="Q27" i="82"/>
  <c r="Q30" i="82"/>
  <c r="Q23" i="82"/>
  <c r="Q25" i="82"/>
  <c r="G20" i="84"/>
  <c r="H320" i="107" a="1"/>
  <c r="H320" i="107" s="1"/>
  <c r="F320" i="107" a="1"/>
  <c r="G320" i="107" a="1"/>
  <c r="G320" i="107" s="1"/>
  <c r="E25" i="85"/>
  <c r="E31" i="85" s="1"/>
  <c r="N108" i="82"/>
  <c r="S93" i="82" s="1"/>
  <c r="E252" i="107"/>
  <c r="P11" i="82"/>
  <c r="Q15" i="82"/>
  <c r="Q19" i="82"/>
  <c r="Q12" i="82"/>
  <c r="Q13" i="82"/>
  <c r="Q14" i="82"/>
  <c r="Q18" i="82"/>
  <c r="Q16" i="82"/>
  <c r="Q17" i="82"/>
  <c r="Q20" i="82"/>
  <c r="E34" i="82" a="1"/>
  <c r="E34" i="82" s="1"/>
  <c r="G34" i="82" s="1"/>
  <c r="E75" i="82" s="1"/>
  <c r="E26" i="82" a="1"/>
  <c r="E26" i="82" s="1"/>
  <c r="G26" i="82" s="1"/>
  <c r="E67" i="82" s="1"/>
  <c r="E21" i="82" a="1"/>
  <c r="E21" i="82" s="1"/>
  <c r="G21" i="82" s="1"/>
  <c r="E62" i="82" s="1"/>
  <c r="E25" i="83" a="1"/>
  <c r="E25" i="83" s="1"/>
  <c r="G25" i="83" s="1"/>
  <c r="E64" i="83" s="1"/>
  <c r="E29" i="83" a="1"/>
  <c r="E29" i="83" s="1"/>
  <c r="G29" i="83" s="1"/>
  <c r="E68" i="83" s="1"/>
  <c r="E34" i="83" a="1"/>
  <c r="E34" i="83" s="1"/>
  <c r="G34" i="83" s="1"/>
  <c r="E73" i="83" s="1"/>
  <c r="E33" i="82" a="1"/>
  <c r="E33" i="82" s="1"/>
  <c r="G33" i="82" s="1"/>
  <c r="E74" i="82" s="1"/>
  <c r="E27" i="82" a="1"/>
  <c r="E27" i="82" s="1"/>
  <c r="G27" i="82" s="1"/>
  <c r="E68" i="82" s="1"/>
  <c r="E22" i="83" a="1"/>
  <c r="E22" i="83" s="1"/>
  <c r="G22" i="83" s="1"/>
  <c r="E61" i="83" s="1"/>
  <c r="E32" i="83" a="1"/>
  <c r="E32" i="83" s="1"/>
  <c r="G32" i="83" s="1"/>
  <c r="E71" i="83" s="1"/>
  <c r="E37" i="83" a="1"/>
  <c r="E37" i="83" s="1"/>
  <c r="G37" i="83" s="1"/>
  <c r="E76" i="83" s="1"/>
  <c r="E31" i="82" a="1"/>
  <c r="E31" i="82" s="1"/>
  <c r="G31" i="82" s="1"/>
  <c r="E72" i="82" s="1"/>
  <c r="E24" i="83" a="1"/>
  <c r="E24" i="83" s="1"/>
  <c r="G24" i="83" s="1"/>
  <c r="E63" i="83" s="1"/>
  <c r="E31" i="83" a="1"/>
  <c r="E31" i="83" s="1"/>
  <c r="G31" i="83" s="1"/>
  <c r="E70" i="83" s="1"/>
  <c r="E24" i="82" a="1"/>
  <c r="E24" i="82" s="1"/>
  <c r="G24" i="82" s="1"/>
  <c r="E65" i="82" s="1"/>
  <c r="E32" i="82" a="1"/>
  <c r="E32" i="82" s="1"/>
  <c r="G32" i="82" s="1"/>
  <c r="E73" i="82" s="1"/>
  <c r="E36" i="82" a="1"/>
  <c r="E36" i="82" s="1"/>
  <c r="G36" i="82" s="1"/>
  <c r="E77" i="82" s="1"/>
  <c r="E22" i="82" a="1"/>
  <c r="E22" i="82" s="1"/>
  <c r="G22" i="82" s="1"/>
  <c r="E63" i="82" s="1"/>
  <c r="E35" i="82" a="1"/>
  <c r="E35" i="82" s="1"/>
  <c r="G35" i="82" s="1"/>
  <c r="E76" i="82" s="1"/>
  <c r="E20" i="82" a="1"/>
  <c r="E20" i="82" s="1"/>
  <c r="G20" i="82" s="1"/>
  <c r="E61" i="82" s="1"/>
  <c r="E26" i="83" a="1"/>
  <c r="E26" i="83" s="1"/>
  <c r="G26" i="83" s="1"/>
  <c r="E65" i="83" s="1"/>
  <c r="E37" i="82" a="1"/>
  <c r="E37" i="82" s="1"/>
  <c r="G37" i="82" s="1"/>
  <c r="E78" i="82" s="1"/>
  <c r="E30" i="83" a="1"/>
  <c r="E30" i="83" s="1"/>
  <c r="G30" i="83" s="1"/>
  <c r="E69" i="83" s="1"/>
  <c r="E236" i="107" a="1"/>
  <c r="E27" i="83" a="1"/>
  <c r="E27" i="83" s="1"/>
  <c r="G27" i="83" s="1"/>
  <c r="E66" i="83" s="1"/>
  <c r="E23" i="83" a="1"/>
  <c r="E23" i="83" s="1"/>
  <c r="G23" i="83" s="1"/>
  <c r="E62" i="83" s="1"/>
  <c r="E35" i="83" a="1"/>
  <c r="E35" i="83" s="1"/>
  <c r="G35" i="83" s="1"/>
  <c r="E74" i="83" s="1"/>
  <c r="E20" i="83" a="1"/>
  <c r="E20" i="83" s="1"/>
  <c r="G20" i="83" s="1"/>
  <c r="E59" i="83" s="1"/>
  <c r="E21" i="83" a="1"/>
  <c r="E21" i="83" s="1"/>
  <c r="G21" i="83" s="1"/>
  <c r="E60" i="83" s="1"/>
  <c r="E25" i="82" a="1"/>
  <c r="E25" i="82" s="1"/>
  <c r="G25" i="82" s="1"/>
  <c r="E66" i="82" s="1"/>
  <c r="E28" i="83" a="1"/>
  <c r="E28" i="83" s="1"/>
  <c r="G28" i="83" s="1"/>
  <c r="E67" i="83" s="1"/>
  <c r="E29" i="82" a="1"/>
  <c r="E29" i="82" s="1"/>
  <c r="G29" i="82" s="1"/>
  <c r="E70" i="82" s="1"/>
  <c r="E19" i="82" a="1"/>
  <c r="E19" i="82" s="1"/>
  <c r="G19" i="82" s="1"/>
  <c r="E60" i="82" s="1"/>
  <c r="E30" i="82" a="1"/>
  <c r="E30" i="82" s="1"/>
  <c r="G30" i="82" s="1"/>
  <c r="E71" i="82" s="1"/>
  <c r="E33" i="83" a="1"/>
  <c r="E33" i="83" s="1"/>
  <c r="G33" i="83" s="1"/>
  <c r="E72" i="83" s="1"/>
  <c r="E19" i="83" a="1"/>
  <c r="E19" i="83" s="1"/>
  <c r="G19" i="83" s="1"/>
  <c r="E58" i="83" s="1"/>
  <c r="E23" i="82" a="1"/>
  <c r="E23" i="82" s="1"/>
  <c r="G23" i="82" s="1"/>
  <c r="E64" i="82" s="1"/>
  <c r="E28" i="82" a="1"/>
  <c r="E28" i="82" s="1"/>
  <c r="G28" i="82" s="1"/>
  <c r="E69" i="82" s="1"/>
  <c r="E36" i="83" a="1"/>
  <c r="E36" i="83" s="1"/>
  <c r="G36" i="83" s="1"/>
  <c r="E75" i="83" s="1"/>
  <c r="E30" i="72"/>
  <c r="E25" i="72"/>
  <c r="J245" i="107" l="1"/>
  <c r="J244" i="107"/>
  <c r="J243" i="107"/>
  <c r="J242" i="107"/>
  <c r="J241" i="107"/>
  <c r="J240" i="107"/>
  <c r="J239" i="107"/>
  <c r="J238" i="107"/>
  <c r="J237" i="107"/>
  <c r="H242" i="107"/>
  <c r="K243" i="107"/>
  <c r="H244" i="107"/>
  <c r="H243" i="107"/>
  <c r="H240" i="107"/>
  <c r="H241" i="107"/>
  <c r="K242" i="107"/>
  <c r="K241" i="107"/>
  <c r="H239" i="107"/>
  <c r="H238" i="107"/>
  <c r="H237" i="107"/>
  <c r="K244" i="107"/>
  <c r="K239" i="107"/>
  <c r="K237" i="107"/>
  <c r="H245" i="107"/>
  <c r="K240" i="107"/>
  <c r="K238" i="107"/>
  <c r="K245" i="107"/>
  <c r="G241" i="107"/>
  <c r="G237" i="107"/>
  <c r="G239" i="107"/>
  <c r="G240" i="107"/>
  <c r="G244" i="107"/>
  <c r="G243" i="107"/>
  <c r="G242" i="107"/>
  <c r="G245" i="107"/>
  <c r="G238" i="107"/>
  <c r="G50" i="101"/>
  <c r="E53" i="101" s="1" a="1"/>
  <c r="E53" i="101" s="1"/>
  <c r="E16" i="13" a="1"/>
  <c r="E16" i="13" s="1"/>
  <c r="H16" i="13" s="1" a="1"/>
  <c r="H16" i="13" s="1"/>
  <c r="E23" i="87"/>
  <c r="F23" i="87" s="1"/>
  <c r="E19" i="86"/>
  <c r="E25" i="86"/>
  <c r="E29" i="87"/>
  <c r="F29" i="87" s="1"/>
  <c r="E36" i="87"/>
  <c r="F36" i="87" s="1"/>
  <c r="E32" i="86"/>
  <c r="E26" i="86"/>
  <c r="E30" i="87"/>
  <c r="F30" i="87" s="1"/>
  <c r="E28" i="87"/>
  <c r="F28" i="87" s="1"/>
  <c r="E24" i="86"/>
  <c r="E38" i="87"/>
  <c r="F38" i="87" s="1"/>
  <c r="E34" i="86"/>
  <c r="E104" i="86"/>
  <c r="E136" i="86" s="1"/>
  <c r="F136" i="86" s="1"/>
  <c r="E67" i="87"/>
  <c r="E32" i="84"/>
  <c r="K44" i="84" s="1"/>
  <c r="E102" i="86"/>
  <c r="E134" i="86" s="1"/>
  <c r="F134" i="86" s="1"/>
  <c r="E65" i="87"/>
  <c r="E66" i="87"/>
  <c r="E103" i="86"/>
  <c r="E135" i="86" s="1"/>
  <c r="F135" i="86" s="1"/>
  <c r="E35" i="87"/>
  <c r="F35" i="87" s="1"/>
  <c r="E31" i="86"/>
  <c r="E32" i="87"/>
  <c r="F32" i="87" s="1"/>
  <c r="E28" i="86"/>
  <c r="E236" i="107"/>
  <c r="E78" i="83"/>
  <c r="E27" i="86"/>
  <c r="E31" i="87"/>
  <c r="F31" i="87" s="1"/>
  <c r="E33" i="86"/>
  <c r="E37" i="87"/>
  <c r="F37" i="87" s="1"/>
  <c r="E41" i="87"/>
  <c r="F41" i="87" s="1"/>
  <c r="E37" i="86"/>
  <c r="E30" i="86"/>
  <c r="E34" i="87"/>
  <c r="F34" i="87" s="1"/>
  <c r="E20" i="86"/>
  <c r="E24" i="87"/>
  <c r="F24" i="87" s="1"/>
  <c r="E39" i="87"/>
  <c r="F39" i="87" s="1"/>
  <c r="E35" i="86"/>
  <c r="E33" i="87"/>
  <c r="F33" i="87" s="1"/>
  <c r="E29" i="86"/>
  <c r="E26" i="87"/>
  <c r="F26" i="87" s="1"/>
  <c r="E22" i="86"/>
  <c r="N34" i="82"/>
  <c r="Q11" i="82"/>
  <c r="N33" i="82" s="1"/>
  <c r="S92" i="82" s="1"/>
  <c r="N110" i="82" s="1"/>
  <c r="P112" i="82" s="1"/>
  <c r="N115" i="82" s="1" a="1"/>
  <c r="N115" i="82" s="1"/>
  <c r="E23" i="86"/>
  <c r="E27" i="87"/>
  <c r="F27" i="87" s="1"/>
  <c r="E36" i="86"/>
  <c r="E40" i="87"/>
  <c r="F40" i="87" s="1"/>
  <c r="E21" i="86"/>
  <c r="E25" i="87"/>
  <c r="F25" i="87" s="1"/>
  <c r="F320" i="107"/>
  <c r="E27" i="72" a="1"/>
  <c r="E27" i="72" s="1"/>
  <c r="E22" i="72" a="1"/>
  <c r="E22" i="72" s="1"/>
  <c r="J236" i="107" l="1"/>
  <c r="E264" i="107" s="1"/>
  <c r="K236" i="107"/>
  <c r="E267" i="107" s="1"/>
  <c r="F40" i="13" s="1" a="1"/>
  <c r="F40" i="13" s="1"/>
  <c r="I40" i="13" s="1"/>
  <c r="H236" i="107"/>
  <c r="E266" i="107" s="1"/>
  <c r="E40" i="13" s="1" a="1"/>
  <c r="E40" i="13" s="1"/>
  <c r="H40" i="13" s="1"/>
  <c r="G236" i="107"/>
  <c r="E263" i="107" s="1"/>
  <c r="H35" i="86"/>
  <c r="E75" i="86" s="1"/>
  <c r="F75" i="86" s="1"/>
  <c r="H29" i="86"/>
  <c r="E69" i="86" s="1"/>
  <c r="F69" i="86" s="1"/>
  <c r="H34" i="86"/>
  <c r="E74" i="86" s="1"/>
  <c r="F74" i="86" s="1"/>
  <c r="H28" i="86"/>
  <c r="E68" i="86" s="1"/>
  <c r="F68" i="86" s="1"/>
  <c r="H24" i="86"/>
  <c r="E64" i="86" s="1"/>
  <c r="F64" i="86" s="1"/>
  <c r="H26" i="86"/>
  <c r="E66" i="86" s="1"/>
  <c r="F66" i="86" s="1"/>
  <c r="H31" i="86"/>
  <c r="E71" i="86" s="1"/>
  <c r="F71" i="86" s="1"/>
  <c r="H20" i="86"/>
  <c r="E60" i="86" s="1"/>
  <c r="F60" i="86" s="1"/>
  <c r="H25" i="86"/>
  <c r="E65" i="86" s="1"/>
  <c r="F65" i="86" s="1"/>
  <c r="H30" i="86"/>
  <c r="E70" i="86" s="1"/>
  <c r="F70" i="86" s="1"/>
  <c r="H19" i="86"/>
  <c r="E59" i="86" s="1"/>
  <c r="F59" i="86" s="1"/>
  <c r="H21" i="86"/>
  <c r="E61" i="86" s="1"/>
  <c r="F61" i="86" s="1"/>
  <c r="H32" i="86"/>
  <c r="E72" i="86" s="1"/>
  <c r="F72" i="86" s="1"/>
  <c r="H23" i="86"/>
  <c r="E63" i="86" s="1"/>
  <c r="F63" i="86" s="1"/>
  <c r="N35" i="82"/>
  <c r="R46" i="82" s="1"/>
  <c r="H22" i="86"/>
  <c r="E62" i="86" s="1"/>
  <c r="F62" i="86" s="1"/>
  <c r="H36" i="86"/>
  <c r="E76" i="86" s="1"/>
  <c r="F76" i="86" s="1"/>
  <c r="H37" i="86"/>
  <c r="E77" i="86" s="1"/>
  <c r="F77" i="86" s="1"/>
  <c r="H33" i="86"/>
  <c r="E73" i="86" s="1"/>
  <c r="F73" i="86" s="1"/>
  <c r="H27" i="86"/>
  <c r="E67" i="86" s="1"/>
  <c r="F67" i="86" s="1"/>
  <c r="E332" i="107"/>
  <c r="F42" i="13" s="1" a="1"/>
  <c r="F42" i="13" s="1"/>
  <c r="I42" i="13" s="1"/>
  <c r="E331" i="107"/>
  <c r="E42" i="13" s="1" a="1"/>
  <c r="E42" i="13" s="1"/>
  <c r="H42" i="13" s="1"/>
  <c r="E77" i="87"/>
  <c r="J90" i="87" s="1"/>
  <c r="E146" i="86"/>
  <c r="E80" i="82"/>
  <c r="G82" i="82" s="1"/>
  <c r="E85" i="82" s="1" a="1"/>
  <c r="E85" i="82" s="1"/>
  <c r="E43" i="87"/>
  <c r="J89" i="87" s="1"/>
  <c r="F55" i="80"/>
  <c r="F53" i="80"/>
  <c r="F54" i="80" s="1"/>
  <c r="F46" i="80"/>
  <c r="F44" i="80"/>
  <c r="F58" i="80"/>
  <c r="F56" i="80"/>
  <c r="F57" i="80" s="1"/>
  <c r="F49" i="80"/>
  <c r="F47" i="80"/>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H14" i="13" a="1"/>
  <c r="H14" i="13" s="1"/>
  <c r="H13" i="13" a="1"/>
  <c r="H13" i="13" s="1"/>
  <c r="E12" i="13" a="1"/>
  <c r="E12" i="13" s="1"/>
  <c r="E10" i="13" a="1"/>
  <c r="E10" i="13" s="1"/>
  <c r="F10" i="13" s="1"/>
  <c r="I10" i="13" s="1"/>
  <c r="F9" i="13" a="1"/>
  <c r="F9" i="13" s="1"/>
  <c r="I9" i="13" s="1" a="1"/>
  <c r="I9" i="13" s="1"/>
  <c r="E13" i="72"/>
  <c r="E18" i="75"/>
  <c r="E20" i="75" s="1"/>
  <c r="E21" i="75" s="1"/>
  <c r="E20" i="72"/>
  <c r="E94" i="87" l="1"/>
  <c r="R76" i="82"/>
  <c r="N79" i="82" s="1"/>
  <c r="O107" i="82" s="1"/>
  <c r="E79" i="86"/>
  <c r="G81" i="86" s="1"/>
  <c r="E84" i="86" s="1" a="1"/>
  <c r="E84" i="86" s="1"/>
  <c r="N49" i="82"/>
  <c r="O105" i="82" s="1"/>
  <c r="R60" i="82"/>
  <c r="E9" i="13" a="1"/>
  <c r="E9" i="13" s="1"/>
  <c r="H9" i="13" s="1" a="1"/>
  <c r="H9" i="13" s="1"/>
  <c r="K48" i="84"/>
  <c r="K45" i="84" s="1"/>
  <c r="E50" i="84" s="1"/>
  <c r="I40" i="100"/>
  <c r="I37" i="100" s="1" a="1"/>
  <c r="I37" i="100" s="1"/>
  <c r="E42" i="100" s="1"/>
  <c r="R59" i="100"/>
  <c r="R56" i="100" s="1" a="1"/>
  <c r="R56" i="100" s="1"/>
  <c r="N61" i="100" s="1"/>
  <c r="I51" i="13"/>
  <c r="D4" i="13"/>
  <c r="E30" i="89"/>
  <c r="D59" i="13"/>
  <c r="D54" i="13"/>
  <c r="D39" i="72"/>
  <c r="H51" i="13"/>
  <c r="F48" i="80"/>
  <c r="G47" i="80"/>
  <c r="G48" i="80" s="1"/>
  <c r="F45" i="80"/>
  <c r="G44" i="80"/>
  <c r="G45" i="80" s="1"/>
  <c r="F21" i="13"/>
  <c r="I21" i="13" s="1" a="1"/>
  <c r="I21" i="13" s="1"/>
  <c r="H21" i="13" a="1"/>
  <c r="H21" i="13" s="1"/>
  <c r="F23" i="13"/>
  <c r="I23" i="13" s="1" a="1"/>
  <c r="I23" i="13" s="1"/>
  <c r="H23" i="13" a="1"/>
  <c r="H23" i="13" s="1"/>
  <c r="F19" i="13"/>
  <c r="I19" i="13" s="1"/>
  <c r="F25" i="13"/>
  <c r="I25" i="13" s="1"/>
  <c r="F20" i="13"/>
  <c r="I20" i="13" s="1" a="1"/>
  <c r="I20" i="13" s="1"/>
  <c r="F13" i="13"/>
  <c r="I13" i="13" s="1" a="1"/>
  <c r="I13" i="13" s="1"/>
  <c r="F12" i="13"/>
  <c r="I12" i="13" s="1"/>
  <c r="H12" i="13"/>
  <c r="F14" i="13"/>
  <c r="I14" i="13" s="1" a="1"/>
  <c r="I14" i="13" s="1"/>
  <c r="H10" i="13"/>
  <c r="F22" i="13"/>
  <c r="I22" i="13" s="1"/>
  <c r="F24" i="13"/>
  <c r="I24" i="13" s="1" a="1"/>
  <c r="I24" i="13" s="1"/>
  <c r="N63" i="82" l="1"/>
  <c r="O106" i="82" s="1"/>
  <c r="G44" i="100"/>
  <c r="E47" i="100" s="1" a="1"/>
  <c r="E47" i="100" s="1"/>
  <c r="E15" i="13" a="1"/>
  <c r="E15" i="13" s="1"/>
  <c r="H15" i="13" s="1" a="1"/>
  <c r="H15" i="13" s="1"/>
  <c r="I37" i="89"/>
  <c r="I48" i="89"/>
  <c r="I38" i="89"/>
  <c r="I46" i="89"/>
  <c r="I47" i="89"/>
  <c r="I39" i="89"/>
  <c r="P63" i="100"/>
  <c r="N66" i="100" s="1" a="1"/>
  <c r="N66" i="100" s="1"/>
  <c r="F15" i="13" a="1"/>
  <c r="F15" i="13" s="1"/>
  <c r="I15" i="13" s="1" a="1"/>
  <c r="I15" i="13" s="1"/>
  <c r="G52" i="84"/>
  <c r="E55" i="84" s="1" a="1"/>
  <c r="E55" i="84" s="1"/>
  <c r="E11" i="13" a="1"/>
  <c r="E11" i="13" s="1"/>
  <c r="H11" i="13" l="1" a="1"/>
  <c r="H11" i="13" s="1"/>
  <c r="F11" i="13"/>
  <c r="I11" i="13" s="1" a="1"/>
  <c r="I11" i="13" s="1"/>
  <c r="E41" i="89"/>
  <c r="E50" i="89"/>
  <c r="J35" i="90" l="1"/>
  <c r="I566" i="107"/>
  <c r="J34" i="90"/>
  <c r="E26" i="13" s="1" a="1"/>
  <c r="E26" i="13" s="1"/>
  <c r="I565" i="107"/>
  <c r="H26" i="13" l="1"/>
  <c r="H27" i="13" s="1"/>
  <c r="E62" i="13" s="1"/>
  <c r="F26" i="13"/>
  <c r="I26" i="13" s="1"/>
  <c r="I27" i="13" s="1"/>
  <c r="F62" i="13" s="1"/>
  <c r="F63" i="13" l="1"/>
  <c r="F54" i="72"/>
  <c r="E63" i="13"/>
  <c r="E54" i="72"/>
  <c r="F59" i="72" l="1"/>
  <c r="F36" i="80" s="1"/>
  <c r="F78" i="72"/>
  <c r="F83" i="72" s="1"/>
  <c r="F37" i="80" s="1"/>
  <c r="E59" i="72"/>
  <c r="E36" i="80" s="1"/>
  <c r="E78" i="72"/>
  <c r="E83" i="72" s="1"/>
  <c r="E37" i="80" s="1"/>
  <c r="I53" i="80" l="1"/>
  <c r="I44" i="80"/>
  <c r="I56" i="80"/>
  <c r="I47" i="80"/>
  <c r="H53" i="80"/>
  <c r="H47" i="80"/>
  <c r="H44" i="80"/>
  <c r="H56" i="80"/>
  <c r="I54" i="80"/>
  <c r="I57" i="80"/>
  <c r="I48" i="80"/>
  <c r="I45" i="80"/>
  <c r="H45" i="80"/>
  <c r="H48" i="80"/>
  <c r="H57" i="80"/>
  <c r="H54"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<sst xmlns="http://schemas.openxmlformats.org/spreadsheetml/2006/main" count="6998" uniqueCount="2189">
  <si>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</si>
  <si>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</si>
  <si>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</si>
  <si>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</si>
  <si>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</si>
  <si>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</si>
  <si>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</si>
  <si>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</si>
  <si>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</si>
  <si>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</si>
  <si>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</si>
  <si>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</si>
  <si>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</si>
  <si>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</si>
  <si>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</si>
  <si>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</si>
  <si>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</si>
  <si>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</si>
  <si>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</si>
  <si>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</si>
  <si>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</si>
  <si>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</si>
  <si>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</si>
  <si>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</si>
  <si>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</si>
  <si>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</si>
  <si>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</si>
  <si>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</si>
  <si>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</si>
  <si>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</si>
  <si>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</si>
  <si>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</si>
  <si>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</si>
  <si>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</si>
  <si>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</si>
  <si>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</si>
  <si>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</si>
  <si>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</si>
  <si>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</si>
  <si>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</si>
  <si>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</si>
  <si>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</si>
  <si>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</si>
  <si>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</si>
  <si>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</si>
  <si>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</si>
  <si>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</si>
  <si>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</si>
  <si>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</si>
  <si>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</si>
  <si>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</si>
  <si>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</si>
  <si>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</si>
  <si>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</si>
  <si>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</si>
  <si>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</si>
  <si>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</si>
  <si>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</si>
  <si>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</si>
  <si>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</si>
  <si>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</si>
  <si>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</si>
  <si>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</si>
  <si>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</si>
  <si>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</si>
  <si>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</si>
  <si>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</si>
  <si>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</si>
  <si>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</si>
  <si>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</si>
  <si>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</si>
  <si>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</si>
  <si>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</si>
  <si>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</si>
  <si>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</si>
  <si>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</si>
  <si>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</si>
  <si>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</si>
  <si>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</si>
  <si>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</si>
  <si>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</si>
  <si>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</si>
  <si>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</si>
  <si>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</si>
  <si>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</si>
  <si>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</si>
  <si>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</si>
  <si>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</si>
  <si>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</si>
  <si>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</si>
  <si>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</si>
  <si>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</si>
  <si>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</si>
  <si>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</si>
  <si>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</si>
  <si>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</si>
  <si>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</si>
  <si>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</si>
  <si>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</si>
  <si>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</si>
  <si>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</si>
  <si>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</si>
  <si>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</si>
  <si>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</si>
  <si>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</si>
  <si>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</si>
  <si>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</si>
  <si>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</si>
  <si>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</si>
  <si>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</si>
  <si>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</si>
  <si>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</si>
  <si>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</si>
  <si>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</si>
  <si>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</si>
  <si>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</si>
  <si>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</si>
  <si>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</si>
  <si>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</si>
  <si>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</si>
  <si>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</si>
  <si>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</si>
  <si>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</si>
  <si>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</si>
  <si>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</si>
  <si>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</si>
  <si>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</si>
  <si>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</si>
  <si>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</si>
  <si>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</si>
  <si>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</si>
  <si>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</si>
  <si>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</si>
  <si>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</si>
  <si>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</si>
  <si>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</si>
  <si>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</si>
  <si>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</si>
  <si>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</si>
  <si>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</si>
  <si>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</si>
  <si>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</si>
  <si>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</si>
  <si>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</si>
  <si>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</si>
  <si>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</si>
  <si>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</si>
  <si>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</si>
  <si>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</si>
  <si>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</si>
  <si>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</si>
  <si>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</si>
  <si>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</si>
  <si>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</si>
  <si>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</si>
  <si>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</si>
  <si>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</si>
  <si>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</si>
  <si>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</si>
  <si>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</si>
  <si>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</si>
  <si>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</si>
  <si>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</si>
  <si>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</si>
  <si>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</si>
  <si>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</si>
  <si>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</si>
  <si>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</si>
  <si>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</si>
  <si>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</si>
  <si>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</si>
  <si>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</si>
  <si>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</si>
  <si>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</si>
  <si>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</si>
  <si>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</si>
  <si>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</si>
  <si>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</si>
  <si>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</si>
  <si>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</si>
  <si>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</si>
  <si>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</si>
  <si>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</si>
  <si>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</si>
  <si>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</si>
  <si>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</si>
  <si>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</si>
  <si>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</si>
  <si>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</si>
  <si>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</si>
  <si>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</si>
  <si>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</si>
  <si>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</si>
  <si>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</si>
  <si>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</si>
  <si>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</si>
  <si>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</si>
  <si>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</si>
  <si>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</si>
  <si>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</si>
  <si>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</si>
  <si>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</si>
  <si>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</si>
  <si>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</si>
  <si>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</si>
  <si>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</si>
  <si>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</si>
  <si>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</si>
  <si>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</si>
  <si>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</si>
  <si>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</si>
  <si>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</si>
  <si>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</si>
  <si>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</si>
  <si>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</si>
  <si>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</si>
  <si>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</si>
  <si>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</si>
  <si>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</si>
  <si>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</si>
  <si>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</si>
  <si>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</si>
  <si>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</si>
  <si>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</si>
  <si>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</si>
  <si>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</si>
  <si>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</si>
  <si>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</si>
  <si>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</si>
  <si>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</si>
  <si>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</si>
  <si>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</si>
  <si>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</si>
  <si>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</si>
  <si>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</si>
  <si>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</si>
  <si>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</si>
  <si>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</si>
  <si>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</si>
  <si>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</si>
  <si>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</si>
  <si>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</si>
  <si>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</si>
  <si>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</si>
  <si>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</si>
  <si>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</si>
  <si>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</si>
  <si>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</si>
  <si>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</si>
  <si>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</si>
  <si>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</si>
  <si>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</si>
  <si>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</si>
  <si>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</si>
  <si>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</si>
  <si>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</si>
  <si>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</si>
  <si>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</si>
  <si>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</si>
  <si>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</si>
  <si>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</si>
  <si>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</si>
  <si>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</si>
  <si>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</si>
  <si>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</si>
  <si>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</si>
  <si>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</si>
  <si>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</si>
  <si>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</si>
  <si>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</si>
  <si>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</si>
  <si>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</si>
  <si>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</si>
  <si>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</si>
  <si>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</si>
  <si>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</si>
  <si>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</si>
  <si>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</si>
  <si>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</si>
  <si>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</si>
  <si>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</si>
  <si>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</si>
  <si>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</si>
  <si>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</si>
  <si>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</si>
  <si>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</si>
  <si>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</si>
  <si>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</si>
  <si>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</si>
  <si>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</si>
  <si>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</si>
  <si>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</si>
  <si>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</si>
  <si>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</si>
  <si>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</si>
  <si>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</si>
  <si>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</si>
  <si>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</si>
  <si>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</si>
  <si>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</si>
  <si>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</si>
  <si>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</si>
  <si>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</si>
  <si>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</si>
  <si>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</si>
  <si>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</si>
  <si>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</si>
  <si>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</si>
  <si>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</si>
  <si>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</si>
  <si>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</si>
  <si>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</si>
  <si>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</si>
  <si>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</si>
  <si>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</si>
  <si>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</si>
  <si>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</si>
  <si>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</si>
  <si>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</si>
  <si>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</si>
  <si>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</si>
  <si>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</si>
  <si>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</si>
  <si>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</si>
  <si>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</si>
  <si>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</si>
  <si>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</si>
  <si>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</si>
  <si>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</si>
  <si>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</si>
  <si>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</si>
  <si>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</si>
  <si>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</si>
  <si>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</si>
  <si>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</si>
  <si>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</si>
  <si>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</si>
  <si>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</si>
  <si>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</si>
  <si>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</si>
  <si>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</si>
  <si>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</si>
  <si>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</si>
  <si>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</si>
  <si>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</si>
  <si>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</si>
  <si>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</si>
  <si>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</si>
  <si>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</si>
  <si>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</si>
  <si>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</si>
  <si>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</si>
  <si>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</si>
  <si>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</si>
  <si>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</si>
  <si>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</si>
  <si>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</si>
  <si>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</si>
  <si>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</si>
  <si>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</si>
  <si>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</si>
  <si>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</si>
  <si>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</si>
  <si>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</si>
  <si>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</si>
  <si>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</si>
  <si>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</si>
  <si>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</si>
  <si>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</si>
  <si>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</si>
  <si>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</si>
  <si>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Variable</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</si>
  <si>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</si>
  <si>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</si>
  <si>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</si>
  <si>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</si>
  <si>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</si>
  <si>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</si>
  <si>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</si>
  <si>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</si>
  <si>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</si>
  <si>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</si>
  <si>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</si>
  <si>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</si>
  <si>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</si>
  <si>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</si>
  <si>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</si>
  <si>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</si>
  <si>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</si>
  <si>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</si>
  <si>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</si>
  <si>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</si>
  <si>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</si>
  <si>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</si>
  <si>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</si>
  <si>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r>
      <t>E</t>
    </r>
    <r>
      <rPr>
        <vertAlign val="subscript"/>
        <sz val="10"/>
        <color theme="1" tint="0.24994659260841701"/>
        <rFont val="Arial"/>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</si>
  <si>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</si>
  <si>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</si>
  <si>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</si>
  <si>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</si>
  <si>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</si>
  <si>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</si>
  <si>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</si>
  <si>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</si>
  <si>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</si>
  <si>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</si>
  <si>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</si>
  <si>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</si>
  <si>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</si>
  <si>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</si>
  <si>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</si>
  <si>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</si>
  <si>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</si>
  <si>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</si>
  <si>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</si>
  <si>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</si>
  <si>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</si>
  <si>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</si>
  <si>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</si>
  <si>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</si>
  <si>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</si>
  <si>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</si>
  <si>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</si>
  <si>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</si>
  <si>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</si>
  <si>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</si>
  <si>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</si>
  <si>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</si>
  <si>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</si>
  <si>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</si>
  <si>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</si>
  <si>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</si>
  <si>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</si>
  <si>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</si>
  <si>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</si>
  <si>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</si>
  <si>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</si>
  <si>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</si>
  <si>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</si>
  <si>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</si>
  <si>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</si>
  <si>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</si>
  <si>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</si>
  <si>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</si>
  <si>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</si>
  <si>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</si>
  <si>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</si>
  <si>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</si>
  <si>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</si>
  <si>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</si>
  <si>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</si>
  <si>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</si>
  <si>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</si>
  <si>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</si>
  <si>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</si>
  <si>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</si>
  <si>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</si>
  <si>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</si>
  <si>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</si>
  <si>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</si>
  <si>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</si>
  <si>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</si>
  <si>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</si>
  <si>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</si>
  <si>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</si>
  <si>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</si>
  <si>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</si>
  <si>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</si>
  <si>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</si>
  <si>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</si>
  <si>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</si>
  <si>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</si>
  <si>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</si>
  <si>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</si>
  <si>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</si>
  <si>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</si>
  <si>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</si>
  <si>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</si>
  <si>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</si>
  <si>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</si>
  <si>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</si>
  <si>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</si>
  <si>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</si>
  <si>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</si>
  <si>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</si>
  <si>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</si>
  <si>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</si>
  <si>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</si>
  <si>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</si>
  <si>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</si>
  <si>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</si>
  <si>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</si>
  <si>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</si>
  <si>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</si>
  <si>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</si>
  <si>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</si>
  <si>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</si>
  <si>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</si>
  <si>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</si>
  <si>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</si>
  <si>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</si>
  <si>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</si>
  <si>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</si>
  <si>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</si>
  <si>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</si>
  <si>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</si>
  <si>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</si>
  <si>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</si>
  <si>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</si>
  <si>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</si>
  <si>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</si>
  <si>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</si>
  <si>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</si>
  <si>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</si>
  <si>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</si>
  <si>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</si>
  <si>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</si>
  <si>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</si>
  <si>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</si>
  <si>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</si>
  <si>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</si>
  <si>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</si>
  <si>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</si>
  <si>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</si>
  <si>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</si>
  <si>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</si>
  <si>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</si>
  <si>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</si>
  <si>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</si>
  <si>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</si>
  <si>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</si>
  <si>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</si>
  <si>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</si>
  <si>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</si>
  <si>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</si>
  <si>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</si>
  <si>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</si>
  <si>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</si>
  <si>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</si>
  <si>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</si>
  <si>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</si>
  <si>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</si>
  <si>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</si>
  <si>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</si>
  <si>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</si>
  <si>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</si>
  <si>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</si>
  <si>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</si>
  <si>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</si>
  <si>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</si>
  <si>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</si>
  <si>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</si>
  <si>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</si>
  <si>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</si>
  <si>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</si>
  <si>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</si>
  <si>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</si>
  <si>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</si>
  <si>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</si>
  <si>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</si>
  <si>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</si>
  <si>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</si>
  <si>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</si>
  <si>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</si>
  <si>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</si>
  <si>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</si>
  <si>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</si>
  <si>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</si>
  <si>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</si>
  <si>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</si>
  <si>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</si>
  <si>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</si>
  <si>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</si>
  <si>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</si>
  <si>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</si>
  <si>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</si>
  <si>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</si>
  <si>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</si>
  <si>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</si>
  <si>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</si>
  <si>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</si>
  <si>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</si>
  <si>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</si>
  <si>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</si>
  <si>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</si>
  <si>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</si>
  <si>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</si>
  <si>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</si>
  <si>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</si>
  <si>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</si>
  <si>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</si>
  <si>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</si>
  <si>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</si>
  <si>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</si>
  <si>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</si>
  <si>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</si>
  <si>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</si>
  <si>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</si>
  <si>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</si>
  <si>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</si>
  <si>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</si>
  <si>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</si>
  <si>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</si>
  <si>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</si>
  <si>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</si>
  <si>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</si>
  <si>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</si>
  <si>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</si>
  <si>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</si>
  <si>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</si>
  <si>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</si>
  <si>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</si>
  <si>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</si>
  <si>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</si>
  <si>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</si>
  <si>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</si>
  <si>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</si>
  <si>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</si>
  <si>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</si>
  <si>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</si>
  <si>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</si>
  <si>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</si>
  <si>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</si>
  <si>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</si>
  <si>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</si>
  <si>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</si>
  <si>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</si>
  <si>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</si>
  <si>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</si>
  <si>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</si>
  <si>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</si>
  <si>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</si>
  <si>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</si>
  <si>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</si>
  <si>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</si>
  <si>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</si>
  <si>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</si>
  <si>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</si>
  <si>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</si>
  <si>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</si>
  <si>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</si>
  <si>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</si>
  <si>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</si>
  <si>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</si>
  <si>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</si>
  <si>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</si>
  <si>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</si>
  <si>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</si>
  <si>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</si>
  <si>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</si>
  <si>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</si>
  <si>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</si>
  <si>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</si>
  <si>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</si>
  <si>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</si>
  <si>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</si>
  <si>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</si>
  <si>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</si>
  <si>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</si>
  <si>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</si>
  <si>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</si>
  <si>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</si>
  <si>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</si>
  <si>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</si>
  <si>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</si>
  <si>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</si>
  <si>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</si>
  <si>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</si>
  <si>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</si>
  <si>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</si>
  <si>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</si>
  <si>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</si>
  <si>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</si>
  <si>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</si>
  <si>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</si>
  <si>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</si>
  <si>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</si>
  <si>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</si>
  <si>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</si>
  <si>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</si>
  <si>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</si>
  <si>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</si>
  <si>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</si>
  <si>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</si>
  <si>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</si>
  <si>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</si>
  <si>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</si>
  <si>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</si>
  <si>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</si>
  <si>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</si>
  <si>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</si>
  <si>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</si>
  <si>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</si>
  <si>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</si>
  <si>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</si>
  <si>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</si>
  <si>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</si>
  <si>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</si>
  <si>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</si>
  <si>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</si>
  <si>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</si>
  <si>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</si>
  <si>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</si>
  <si>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</si>
  <si>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</si>
  <si>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</si>
  <si>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</si>
  <si>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</si>
  <si>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</si>
  <si>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</si>
  <si>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</si>
  <si>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0"/>
        <color theme="1" tint="0.34998626667073579"/>
        <rFont val="Arial"/>
        <family val="1"/>
      </rPr>
      <t>←</t>
    </r>
    <r>
      <rPr>
        <i/>
        <sz val="10"/>
        <color theme="1" tint="0.34998626667073579"/>
        <rFont val="Arial"/>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</si>
  <si>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</si>
  <si>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</si>
  <si>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</si>
  <si>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</si>
  <si>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</si>
  <si>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</si>
  <si>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</si>
  <si>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</si>
  <si>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</si>
  <si>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</si>
  <si>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</si>
  <si>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</si>
  <si>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</si>
  <si>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</si>
  <si>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</si>
  <si>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</si>
  <si>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</si>
  <si>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</si>
  <si>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</si>
  <si>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</si>
  <si>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</si>
  <si>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</si>
  <si>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</si>
  <si>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</si>
  <si>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0"/>
        <color theme="1" tint="0.24994659260841701"/>
        <rFont val="Arial"/>
        <family val="1"/>
      </rPr>
      <t>c</t>
    </r>
  </si>
  <si>
    <r>
      <t>M</t>
    </r>
    <r>
      <rPr>
        <b/>
        <vertAlign val="subscript"/>
        <sz val="10"/>
        <color theme="1" tint="0.24994659260841701"/>
        <rFont val="Arial"/>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</si>
  <si>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</si>
  <si>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</si>
  <si>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</si>
  <si>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</si>
  <si>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</si>
  <si>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</si>
  <si>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</si>
  <si>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</si>
  <si>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</si>
  <si>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</si>
  <si>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</si>
  <si>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</si>
  <si>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</si>
  <si>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6.4.1.1-2 Field burning of crop residues</t>
  </si>
  <si>
    <r>
      <rPr>
        <b/>
        <sz val="10"/>
        <color theme="1" tint="0.24994659260841701"/>
        <rFont val="Arial"/>
        <family val="1"/>
      </rPr>
      <t>M</t>
    </r>
    <r>
      <rPr>
        <b/>
        <vertAlign val="subscript"/>
        <sz val="10"/>
        <color theme="1" tint="0.24994659260841701"/>
        <rFont val="Arial"/>
        <family val="1"/>
      </rPr>
      <t>burn,c</t>
    </r>
  </si>
  <si>
    <r>
      <t>E</t>
    </r>
    <r>
      <rPr>
        <b/>
        <vertAlign val="subscript"/>
        <sz val="14"/>
        <color theme="1" tint="0.24994659260841701"/>
        <rFont val="Arial"/>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</si>
  <si>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</si>
  <si>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</si>
  <si>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</si>
  <si>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</si>
  <si>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</si>
  <si>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</si>
  <si>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</si>
  <si>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</si>
  <si>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</si>
  <si>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</si>
  <si>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</si>
  <si>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</si>
  <si>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</si>
  <si>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</si>
  <si>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</si>
  <si>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</si>
  <si>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</si>
  <si>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</si>
  <si>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</si>
  <si>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</si>
  <si>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</si>
  <si>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</si>
  <si>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</si>
  <si>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</si>
  <si>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</si>
  <si>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</si>
  <si>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</si>
  <si>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</si>
  <si>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</si>
  <si>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</si>
  <si>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</si>
  <si>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</si>
  <si>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</si>
  <si>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</si>
  <si>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</si>
  <si>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</si>
  <si>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</si>
  <si>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</si>
  <si>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</si>
  <si>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</si>
  <si>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</si>
  <si>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</si>
  <si>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</si>
  <si>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</si>
  <si>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</si>
  <si>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</si>
  <si>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</si>
  <si>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</si>
  <si>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</si>
  <si>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</si>
  <si>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</si>
  <si>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</si>
  <si>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</si>
  <si>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</si>
  <si>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</si>
  <si>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</si>
  <si>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</si>
  <si>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</si>
  <si>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</si>
  <si>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</si>
  <si>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</si>
  <si>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</si>
  <si>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</si>
  <si>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</si>
  <si>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</si>
  <si>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</si>
  <si>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</si>
  <si>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</si>
  <si>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</si>
  <si>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</si>
  <si>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</si>
  <si>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</si>
  <si>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</si>
  <si>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</si>
  <si>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</si>
  <si>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</si>
  <si>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</si>
  <si>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</si>
  <si>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</si>
  <si>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</si>
  <si>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</si>
  <si>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</si>
  <si>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</si>
  <si>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</si>
  <si>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</si>
  <si>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</si>
  <si>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</si>
  <si>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</si>
  <si>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</si>
  <si>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</si>
  <si>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</si>
  <si>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</si>
  <si>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</si>
  <si>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</si>
  <si>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</si>
  <si>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</si>
  <si>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</si>
  <si>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</si>
  <si>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</si>
  <si>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</si>
  <si>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</si>
  <si>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</si>
  <si>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</si>
  <si>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</si>
  <si>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</si>
  <si>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</si>
  <si>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</si>
  <si>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</si>
  <si>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</si>
  <si>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</si>
  <si>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</si>
  <si>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</si>
  <si>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</si>
  <si>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</si>
  <si>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</si>
  <si>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</si>
  <si>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</si>
  <si>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</si>
  <si>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</si>
  <si>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</si>
  <si>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</si>
  <si>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</si>
  <si>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</si>
  <si>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</si>
  <si>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</si>
  <si>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</si>
  <si>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</si>
  <si>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</si>
  <si>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</si>
  <si>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</si>
  <si>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</si>
  <si>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</si>
  <si>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</si>
  <si>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</si>
  <si>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</si>
  <si>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</si>
  <si>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</si>
  <si>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</si>
  <si>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</si>
  <si>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</si>
  <si>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</si>
  <si>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</si>
  <si>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</si>
  <si>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</si>
  <si>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</si>
  <si>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</si>
  <si>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</si>
  <si>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</si>
  <si>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</si>
  <si>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</si>
  <si>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</si>
  <si>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</si>
  <si>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</si>
  <si>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</si>
  <si>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</si>
  <si>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</si>
  <si>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</si>
  <si>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</si>
  <si>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</si>
  <si>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</si>
  <si>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</si>
  <si>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</si>
  <si>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</si>
  <si>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</si>
  <si>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</si>
  <si>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</si>
  <si>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</si>
  <si>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</si>
  <si>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</si>
  <si>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</si>
  <si>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</si>
  <si>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</si>
  <si>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</si>
  <si>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</si>
  <si>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</si>
  <si>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</si>
  <si>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</si>
  <si>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</si>
  <si>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</si>
  <si>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</si>
  <si>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</si>
  <si>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</si>
  <si>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</si>
  <si>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</si>
  <si>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</si>
  <si>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</si>
  <si>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</si>
  <si>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</si>
  <si>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</si>
  <si>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</si>
  <si>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</si>
  <si>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</si>
  <si>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</si>
  <si>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</si>
  <si>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</si>
  <si>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</si>
  <si>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</si>
  <si>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</si>
  <si>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</si>
  <si>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</si>
  <si>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</si>
  <si>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</si>
  <si>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</si>
  <si>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</si>
  <si>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</si>
  <si>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</si>
  <si>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</si>
  <si>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</si>
  <si>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</si>
  <si>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</si>
  <si>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</si>
  <si>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</si>
  <si>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</si>
  <si>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</si>
  <si>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</si>
  <si>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</si>
  <si>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</si>
  <si>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</si>
  <si>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</si>
  <si>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</si>
  <si>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</si>
  <si>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</si>
  <si>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</si>
  <si>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Animals</t>
  </si>
  <si>
    <t>Table_ProductRegions_Beefcattle</t>
  </si>
  <si>
    <t>Category</t>
  </si>
  <si>
    <t>Region of origin</t>
  </si>
  <si>
    <t>Quantity Unit</t>
  </si>
  <si>
    <t>Emissions intensity</t>
  </si>
  <si>
    <t>System boundary</t>
  </si>
  <si>
    <t>Region</t>
  </si>
  <si>
    <t>Scope3 region</t>
  </si>
  <si>
    <t>GHGEI-MIAFF</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</si>
  <si>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</si>
  <si>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</si>
  <si>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</si>
  <si>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</si>
  <si>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</si>
  <si>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</si>
  <si>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</si>
  <si>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</si>
  <si>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</si>
  <si>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</si>
  <si>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</si>
  <si>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</si>
  <si>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</si>
  <si>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</si>
  <si>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</si>
  <si>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</si>
  <si>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</si>
  <si>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</si>
  <si>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</si>
  <si>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</si>
  <si>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</si>
  <si>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</si>
  <si>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</si>
  <si>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</si>
  <si>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</si>
  <si>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</si>
  <si>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Fish feed and bait</t>
  </si>
  <si>
    <t>VEERG</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</si>
  <si>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</si>
  <si>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</si>
  <si>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</si>
  <si>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</si>
  <si>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</si>
  <si>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</si>
  <si>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</si>
  <si>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</si>
  <si>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</si>
  <si>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</si>
  <si>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=Fertiliser_Equations_LeachingAndRunoff.VEERG_5_5_1_1__1_FertiliserLeachingAndRunoffN2OEmissions</t>
  </si>
  <si>
    <t>Mass of nitrogen in inorganic fertiliser applied to production system</t>
  </si>
  <si>
    <t>VEERG 2026: 5.1.1.1, Equation (2)</t>
  </si>
  <si>
    <t>MN_jf</t>
  </si>
  <si>
    <t>kg N</t>
  </si>
  <si>
    <t>TM_jf</t>
  </si>
  <si>
    <t>total mass of inorganic fertiliser type f applied to production system j</t>
  </si>
  <si>
    <t>FN_inorganicf</t>
  </si>
  <si>
    <t xml:space="preserve">fraction of nitrogen in inorganic fertiliser type f </t>
  </si>
  <si>
    <t>Input</t>
  </si>
  <si>
    <t>kg N/kg</t>
  </si>
  <si>
    <t>Constant</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</si>
  <si>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</si>
  <si>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</si>
  <si>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</si>
  <si>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</si>
  <si>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</si>
  <si>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</si>
  <si>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</si>
  <si>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</si>
  <si>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f</t>
  </si>
  <si>
    <t>Inorganic fertiliser type</t>
  </si>
  <si>
    <t>kg N/ha</t>
  </si>
  <si>
    <t>mass of nitrogen in inorganic fertiliser type f applied to production system j</t>
  </si>
  <si>
    <t>EF_jN2O</t>
  </si>
  <si>
    <t>emission factor for nitrous oxide for inorganic fertilisers</t>
  </si>
  <si>
    <t>C_N2O</t>
  </si>
  <si>
    <t>factor to convert elemental mass of nitrous oxide to molecular mass</t>
  </si>
  <si>
    <t>j</t>
  </si>
  <si>
    <t>ir</t>
  </si>
  <si>
    <t>irrigation method</t>
  </si>
  <si>
    <t>z</t>
  </si>
  <si>
    <t>rainfall zone</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</si>
  <si>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</si>
  <si>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</si>
  <si>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</si>
  <si>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</si>
  <si>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</si>
  <si>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</si>
  <si>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</si>
  <si>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</si>
  <si>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</si>
  <si>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</si>
  <si>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</si>
  <si>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t>
  </si>
  <si>
    <t>Calculated from 5.1.1.2 (1)(2)(3)</t>
  </si>
  <si>
    <t>Mass of urea applied to production system</t>
  </si>
  <si>
    <t>VEERG 2026: 5.1.1.3, Equation (2)</t>
  </si>
  <si>
    <t>MU_jf</t>
  </si>
  <si>
    <t>kg urea</t>
  </si>
  <si>
    <t>FU_f</t>
  </si>
  <si>
    <t>fraction of urea in fertiliser type f</t>
  </si>
  <si>
    <t>kg urea/kg</t>
  </si>
  <si>
    <t>Lookup</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</si>
  <si>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</si>
  <si>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</si>
  <si>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</si>
  <si>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</si>
  <si>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</si>
  <si>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</si>
  <si>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</si>
  <si>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</si>
  <si>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Calculated</t>
  </si>
  <si>
    <t>kg C/kg urea</t>
  </si>
  <si>
    <t>Mass of nitrogen in purchased organic fertilisers applied to production system</t>
  </si>
  <si>
    <t>VEERG 2026: 5.2.1.1, Equation (2)</t>
  </si>
  <si>
    <t>MNSoil_jf</t>
  </si>
  <si>
    <t>M_organicjf</t>
  </si>
  <si>
    <t>mass of organic fertiliser type f applied to production system j</t>
  </si>
  <si>
    <t>FN_organicf</t>
  </si>
  <si>
    <t>nitrogen fraction of organic fertiliser type f</t>
  </si>
  <si>
    <t>Nitrous oxide emissions from the application of all organic fertiliser types f to all production systems j</t>
  </si>
  <si>
    <t>VEERG 2026: 5.2.1.1, Equation (1)</t>
  </si>
  <si>
    <t>mass of nitrogen in organic fertiliser type f applied to production system j</t>
  </si>
  <si>
    <t>EF_N2Oi</t>
  </si>
  <si>
    <t>emission factor for direct nitrous oxide emissions from organic fertiliser applied to soils and aquatic systems in climate zone i</t>
  </si>
  <si>
    <t>i</t>
  </si>
  <si>
    <t>Calculated from 5.2.1.1 (2)</t>
  </si>
  <si>
    <t>kg N2O-N/kg N</t>
  </si>
  <si>
    <t>Emissions from the application of lime and dolomite to production systems</t>
  </si>
  <si>
    <t>VEERG 2026: 5.3.1.1, Equation (1)</t>
  </si>
  <si>
    <t>E_lime</t>
  </si>
  <si>
    <t>M_lime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</si>
  <si>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</si>
  <si>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</si>
  <si>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</si>
  <si>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</si>
  <si>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</si>
  <si>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</si>
  <si>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</si>
  <si>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</si>
  <si>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</si>
  <si>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</si>
  <si>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</si>
  <si>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</si>
  <si>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fraction</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</si>
  <si>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</si>
  <si>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</si>
  <si>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</si>
  <si>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</si>
  <si>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</si>
  <si>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</si>
  <si>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</si>
  <si>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(kg NH3-N + NOx-N)/kg N</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</si>
  <si>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</si>
  <si>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</si>
  <si>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</si>
  <si>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</si>
  <si>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EF_N2Oj</t>
  </si>
  <si>
    <t>emission factor for atmospheric deposition</t>
  </si>
  <si>
    <t>r</t>
  </si>
  <si>
    <t>rainfall region</t>
  </si>
  <si>
    <t>Calculated from 5.4.1.1 (2)</t>
  </si>
  <si>
    <t>Mass of nitrogen volatilised from organic fertiliser applied to production system</t>
  </si>
  <si>
    <t>VEERG 2026: 5.4.1.3, Equation (2)</t>
  </si>
  <si>
    <t>M_volorganicjf</t>
  </si>
  <si>
    <t>FracGASM_soil</t>
  </si>
  <si>
    <t>fraction of organic fertiliser N that volatilises</t>
  </si>
  <si>
    <t>Nitrous oxide emissions from atmospheric deposition of all organic fertiliser types f and all production systems j</t>
  </si>
  <si>
    <t>VEERG 2026: 5.4.1.3, Equation (1)</t>
  </si>
  <si>
    <t>E_adorganic</t>
  </si>
  <si>
    <t>mass of nitrogen volatilised from organic fertiliser applied to production system</t>
  </si>
  <si>
    <t>emission factor for atmospheric deposition in production system j</t>
  </si>
  <si>
    <t>Calculated from 5.4.1.3 (2)</t>
  </si>
  <si>
    <t>Mass of nitrogen lost through leaching and runoff from inorganic fertiliser application in production system j</t>
  </si>
  <si>
    <t>VEERG 2026: 5.5, Equation (2)</t>
  </si>
  <si>
    <t>M_leachinorganicj</t>
  </si>
  <si>
    <t>mass of nitrogen in inorganic fertiliser</t>
  </si>
  <si>
    <t>FracWETj</t>
  </si>
  <si>
    <t>fraction of N available for leaching and runoff</t>
  </si>
  <si>
    <t>FracLEACH</t>
  </si>
  <si>
    <t>fraction of N that is lost through leaching and runoff</t>
  </si>
  <si>
    <t>location in leaching zone</t>
  </si>
  <si>
    <t>production system</t>
  </si>
  <si>
    <t>Mass of nitrogen lost through leaching and runoff from organic fertiliser application in production system j</t>
  </si>
  <si>
    <t>VEERG 2026: 5.5, Equation (3)</t>
  </si>
  <si>
    <t>M_leachorganicj</t>
  </si>
  <si>
    <t>mass of nitrogen in organic fertiliser</t>
  </si>
  <si>
    <t>Nitrous oxide emissions from nitrogen leaching and runoff from the application of all fertilisers across all production systems j</t>
  </si>
  <si>
    <t>VEERG 2026: 5.5, Equation (1)</t>
  </si>
  <si>
    <t>E_fertleach</t>
  </si>
  <si>
    <t>mass of nitrogen lost through leaching and runoff from inorganic fertiliser application in production system j</t>
  </si>
  <si>
    <t>mass of nitrogen lost through leaching and runoff from organic fertiliser application</t>
  </si>
  <si>
    <t>EF_leach</t>
  </si>
  <si>
    <t>emission factor for nitrogen leaching and runoff</t>
  </si>
  <si>
    <t>Calculated from 5.5.1.1 (2)</t>
  </si>
  <si>
    <t>Calculated from 5.5.1.1 (3)</t>
  </si>
  <si>
    <t>Mass of nitrogen in crop residues returned to the soil</t>
  </si>
  <si>
    <t>VEERG 2026: 6.1.1.1, Equation (2)</t>
  </si>
  <si>
    <t>Fraction of crop residue that is removed for crop c, calculated where residues are baled</t>
  </si>
  <si>
    <t>VEERG 2026: 6.1.1.2, Equation (1)</t>
  </si>
  <si>
    <t>M_c</t>
  </si>
  <si>
    <t>FFOD_c</t>
  </si>
  <si>
    <t>P_c</t>
  </si>
  <si>
    <t>annual production of crop c</t>
  </si>
  <si>
    <t>R_AGc</t>
  </si>
  <si>
    <t>residue to crop ratio for crop c</t>
  </si>
  <si>
    <t>R_BGc</t>
  </si>
  <si>
    <t>below ground-residue to above ground residue ratio for crop c</t>
  </si>
  <si>
    <t>F_c</t>
  </si>
  <si>
    <t>fraction of crop residue that is burnt for crop c</t>
  </si>
  <si>
    <t>fraction of the crop residue that is removed for crop c</t>
  </si>
  <si>
    <t>DM_c</t>
  </si>
  <si>
    <t>dry matter content of crop c</t>
  </si>
  <si>
    <t>NC_AGc</t>
  </si>
  <si>
    <t>nitrogen content of above-ground crop residue of crop c</t>
  </si>
  <si>
    <t>NC_BGc</t>
  </si>
  <si>
    <t>nitrogen content of below-ground crop residue of crop c</t>
  </si>
  <si>
    <t>kg dry weight/kg crop residue</t>
  </si>
  <si>
    <t>kg N/kg DM</t>
  </si>
  <si>
    <t>B</t>
  </si>
  <si>
    <t>number of bales generated</t>
  </si>
  <si>
    <t>M_B</t>
  </si>
  <si>
    <t>mass of each bale</t>
  </si>
  <si>
    <t>Nitrous oxide emissions from the return of crop residues across all crops c to the soil</t>
  </si>
  <si>
    <t>VEERG 2026: 6.1.1.1, Equation (1)</t>
  </si>
  <si>
    <t>Calculated from 6.1.1.2 (1)</t>
  </si>
  <si>
    <t>mass of nitrogen in crop c residues returned to the soil</t>
  </si>
  <si>
    <t>EF_Ni</t>
  </si>
  <si>
    <t>emission factor for crop residues returned to the soil</t>
  </si>
  <si>
    <t>Calculated from 6.1.1.1 (2)</t>
  </si>
  <si>
    <t>dimensionless</t>
  </si>
  <si>
    <t>Mass of nitrogen lost through leaching and runoff</t>
  </si>
  <si>
    <t>VEERG 2026: 6.3.1.1, Equation (2)</t>
  </si>
  <si>
    <t>mass of nitrogen in crop residues c or pasture residues p applied to soils</t>
  </si>
  <si>
    <t>fraction of N that is available for leaching and runoff from the leaching zone z and irrigation type ir</t>
  </si>
  <si>
    <t>Location in leaching zone</t>
  </si>
  <si>
    <t>Crop residue type</t>
  </si>
  <si>
    <t>p</t>
  </si>
  <si>
    <t>Pasture residue type</t>
  </si>
  <si>
    <t>Irrigation type</t>
  </si>
  <si>
    <t>Calc from 6.1.1.1 (2) and 6.2.1.1 (2)</t>
  </si>
  <si>
    <t>Nitrous oxide leaching and runoff emissions from crop and pasture residues returned to the soil</t>
  </si>
  <si>
    <t>VEERG 2026: 6.3.1.1, Equation (1)</t>
  </si>
  <si>
    <t>EN2O</t>
  </si>
  <si>
    <t>mass of nitrogen lost through leaching and runoff from the crop residue c or pasture residue p</t>
  </si>
  <si>
    <t>emission factor for leaching and runoff</t>
  </si>
  <si>
    <t>Calculated from 6.3.1.1 (2)</t>
  </si>
  <si>
    <t>Mass of residue of crop c burnt</t>
  </si>
  <si>
    <t>VEERG 2026: 6.4.1.1, Equation (3)</t>
  </si>
  <si>
    <t>M_burnc</t>
  </si>
  <si>
    <t>annual production of crop type c</t>
  </si>
  <si>
    <t>residue to crop ratio of crop type c</t>
  </si>
  <si>
    <t>S_c</t>
  </si>
  <si>
    <t>fraction of residues of crop type c remaining at burning</t>
  </si>
  <si>
    <t>dry matter content of crop type c</t>
  </si>
  <si>
    <t>Z_c</t>
  </si>
  <si>
    <t>burning efficiency (ratio of fuel burnt to fuel load) of crop type c</t>
  </si>
  <si>
    <t>fraction of the annual production of crop type c that is burnt</t>
  </si>
  <si>
    <t>kg crop residue/kg crop</t>
  </si>
  <si>
    <t>Nitrous oxide emissions from the burning of crop residues</t>
  </si>
  <si>
    <t>VEERG 2026: 6.4.1.1, Equation (2)</t>
  </si>
  <si>
    <t>mass of residue burnt for crop type c</t>
  </si>
  <si>
    <t>nitrogen content in the above-ground residue of crop type c</t>
  </si>
  <si>
    <t>EF_N2O</t>
  </si>
  <si>
    <t>emission factor for nitrous oxide from burning of crop residues</t>
  </si>
  <si>
    <t>Calculated from 6.4.1.1 (3)</t>
  </si>
  <si>
    <t>kg N2O/kg N2O burnt</t>
  </si>
  <si>
    <t>Methane emissions from the burning of crop residues</t>
  </si>
  <si>
    <t>VEERG 2026: 6.4.1.1, Equation (1)</t>
  </si>
  <si>
    <t>ECH4</t>
  </si>
  <si>
    <t>CC_c</t>
  </si>
  <si>
    <t>carbon mass fraction in the residues of crop type c</t>
  </si>
  <si>
    <t>EF_CH4</t>
  </si>
  <si>
    <t>emission factor for methane from burning of crop residues</t>
  </si>
  <si>
    <t>C_CH4</t>
  </si>
  <si>
    <t>factor to convert elemental mass of methane to molecular mass</t>
  </si>
  <si>
    <t>kg CH4 / kg CH4 burnt</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</si>
  <si>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</si>
  <si>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</si>
  <si>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</si>
  <si>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</si>
  <si>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</si>
  <si>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</si>
  <si>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</si>
  <si>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</si>
  <si>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</si>
  <si>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</si>
  <si>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</si>
  <si>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</si>
  <si>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</si>
  <si>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</si>
  <si>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</si>
  <si>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</si>
  <si>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</si>
  <si>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</si>
  <si>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</si>
  <si>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</si>
  <si>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</si>
  <si>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</si>
  <si>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</si>
  <si>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</si>
  <si>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</si>
  <si>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</si>
  <si>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</si>
  <si>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</si>
  <si>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</si>
  <si>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</si>
  <si>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</si>
  <si>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</si>
  <si>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</si>
  <si>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</si>
  <si>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</si>
  <si>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</si>
  <si>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</si>
  <si>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</si>
  <si>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</si>
  <si>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</si>
  <si>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</si>
  <si>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</si>
  <si>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</si>
  <si>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</si>
  <si>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</si>
  <si>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state</t>
  </si>
  <si>
    <t>m</t>
  </si>
  <si>
    <t>metropolitan/non-metropolitan location</t>
  </si>
  <si>
    <t>GJ/kL</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</si>
  <si>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</si>
  <si>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</si>
  <si>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</si>
  <si>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</si>
  <si>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</si>
  <si>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</si>
  <si>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</si>
  <si>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</si>
  <si>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</si>
  <si>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</si>
  <si>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</si>
  <si>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</si>
  <si>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</si>
  <si>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</si>
  <si>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</si>
  <si>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</si>
  <si>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</si>
  <si>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</si>
  <si>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</si>
  <si>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</si>
  <si>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</si>
  <si>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</si>
  <si>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</si>
  <si>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</si>
  <si>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</si>
  <si>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</si>
  <si>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</si>
  <si>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</si>
  <si>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</si>
  <si>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</si>
  <si>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</si>
  <si>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</si>
  <si>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</si>
  <si>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</si>
  <si>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</si>
  <si>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</si>
  <si>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</si>
  <si>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</si>
  <si>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</si>
  <si>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</si>
  <si>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</si>
  <si>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</si>
  <si>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</si>
  <si>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</si>
  <si>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</si>
  <si>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</si>
  <si>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</si>
  <si>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</si>
  <si>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</si>
  <si>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</si>
  <si>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per cent</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</si>
  <si>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</si>
  <si>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</si>
  <si>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</si>
  <si>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</si>
  <si>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</si>
  <si>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</si>
  <si>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</si>
  <si>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</si>
  <si>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livestock type</t>
  </si>
  <si>
    <t>o</t>
  </si>
  <si>
    <t>origin</t>
  </si>
  <si>
    <t>head</t>
  </si>
  <si>
    <t>kg/head</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</si>
  <si>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</si>
  <si>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</si>
  <si>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</si>
  <si>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</si>
  <si>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</si>
  <si>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</si>
  <si>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</si>
  <si>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</si>
  <si>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feed type</t>
  </si>
  <si>
    <t>Total emissions from purchased mineral supplements</t>
  </si>
  <si>
    <t>VEERG 2026: 15.3.1.1, Equation (1)</t>
  </si>
  <si>
    <t>Q_m</t>
  </si>
  <si>
    <t>total quantity of mineral supplement type m used</t>
  </si>
  <si>
    <t>EF_m</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</si>
  <si>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</si>
  <si>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</si>
  <si>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</si>
  <si>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</si>
  <si>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</si>
  <si>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</si>
  <si>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</si>
  <si>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</si>
  <si>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</si>
  <si>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</si>
  <si>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</si>
  <si>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</si>
  <si>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inorganic fertiliser type</t>
  </si>
  <si>
    <t>wt%</t>
  </si>
  <si>
    <t>kg CO2e/kg component</t>
  </si>
  <si>
    <t>Emissions from purchased fertiliser</t>
  </si>
  <si>
    <t>VEERG 2026: 15.4.1.1, Equation (1)</t>
  </si>
  <si>
    <t>quantity of inorganic fertiliser type f purchased and applied to production system j</t>
  </si>
  <si>
    <t>emission factor of purchased inorganic fertiliser</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</si>
  <si>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</si>
  <si>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</si>
  <si>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</si>
  <si>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</si>
  <si>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</si>
  <si>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</si>
  <si>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</si>
  <si>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</si>
  <si>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</si>
  <si>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</si>
  <si>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</si>
  <si>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</si>
  <si>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</si>
  <si>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</si>
  <si>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</si>
  <si>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total quantity of lime applied to soils</t>
  </si>
  <si>
    <t>EF_l</t>
  </si>
  <si>
    <t>emission factor for purchased lime</t>
  </si>
  <si>
    <t>Emissions of purchased services and contractor operations</t>
  </si>
  <si>
    <t>VEERG 2026: 15.7.1.1, Equation (1)</t>
  </si>
  <si>
    <t>A_p</t>
  </si>
  <si>
    <t>activity data of the service that was purchased</t>
  </si>
  <si>
    <t>EF_p</t>
  </si>
  <si>
    <t>life cycle emission factor for the purchased service</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</si>
  <si>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</si>
  <si>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</si>
  <si>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</si>
  <si>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</si>
  <si>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</si>
  <si>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</si>
  <si>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</si>
  <si>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</si>
  <si>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</si>
  <si>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</si>
  <si>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</si>
  <si>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</si>
  <si>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</si>
  <si>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</si>
  <si>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</si>
  <si>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</si>
  <si>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</si>
  <si>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</si>
  <si>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</si>
  <si>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</si>
  <si>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</si>
  <si>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</si>
  <si>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</si>
  <si>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</si>
  <si>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</si>
  <si>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</si>
  <si>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</si>
  <si>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</si>
  <si>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</si>
  <si>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</si>
  <si>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</si>
  <si>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</si>
  <si>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</si>
  <si>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</si>
  <si>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</si>
  <si>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</si>
  <si>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</si>
  <si>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</si>
  <si>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</si>
  <si>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</si>
  <si>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</si>
  <si>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</si>
  <si>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</si>
  <si>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</si>
  <si>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</si>
  <si>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</si>
  <si>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</si>
  <si>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</si>
  <si>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</si>
  <si>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</si>
  <si>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</si>
  <si>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</si>
  <si>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</si>
  <si>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</si>
  <si>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</si>
  <si>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</si>
  <si>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</si>
  <si>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</si>
  <si>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</si>
  <si>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</si>
  <si>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</si>
  <si>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</si>
  <si>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</si>
  <si>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</si>
  <si>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</si>
  <si>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</si>
  <si>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</si>
  <si>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</si>
  <si>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Crop purpose and yield</t>
  </si>
  <si>
    <t>grain</t>
  </si>
  <si>
    <t>yield</t>
  </si>
  <si>
    <t>harvest</t>
  </si>
  <si>
    <t>Yield is the grain harvested from the plant</t>
  </si>
  <si>
    <t>Residue to crop ratio is provided from default values</t>
  </si>
  <si>
    <t>Total production is the total grain harvested</t>
  </si>
  <si>
    <t>Cash crop for hay/silage</t>
  </si>
  <si>
    <t>above ground biomass</t>
  </si>
  <si>
    <t>plant biomass</t>
  </si>
  <si>
    <t>Yield is the whole plant harvested for hay/silage</t>
  </si>
  <si>
    <t>Residue to crop ratio is 0 assuming the whole plant is harvested for hay/silage</t>
  </si>
  <si>
    <t>Total production is the total whole plant biomass harvested as hay/silage</t>
  </si>
  <si>
    <t>Cover crop</t>
  </si>
  <si>
    <t>mass</t>
  </si>
  <si>
    <t>end of crop cycle</t>
  </si>
  <si>
    <t>Yield is the whole plant kept as cover crop</t>
  </si>
  <si>
    <t>Residue to crop ratio is 1 assuming the whole plant is kept as cover crop</t>
  </si>
  <si>
    <t>Total production is the total whole plant biomass kept as cover crop</t>
  </si>
  <si>
    <t>Table A.2.1.1: Crop attributes</t>
  </si>
  <si>
    <t>VEERG 2026: Table A.2.1.1: Crop attributes</t>
  </si>
  <si>
    <t>Barley</t>
  </si>
  <si>
    <t>Oats</t>
  </si>
  <si>
    <t>Rice</t>
  </si>
  <si>
    <t>Sorghum</t>
  </si>
  <si>
    <t>Triticale</t>
  </si>
  <si>
    <t>Other cereals</t>
  </si>
  <si>
    <t>Pulses</t>
  </si>
  <si>
    <t>Tubers and roots</t>
  </si>
  <si>
    <t>n/a</t>
  </si>
  <si>
    <t>Peanuts</t>
  </si>
  <si>
    <t>Sugar cane</t>
  </si>
  <si>
    <t>Hops</t>
  </si>
  <si>
    <t>Oilseeds</t>
  </si>
  <si>
    <t>Forage crops</t>
  </si>
  <si>
    <t>Other annual crops</t>
  </si>
  <si>
    <t>Other perennial crops</t>
  </si>
  <si>
    <t>Emission factor for organic fertiliser and crop residues returned to the soil</t>
  </si>
  <si>
    <t>VEERG 2026: Table A.2.1.4</t>
  </si>
  <si>
    <t>Wet climate zone</t>
  </si>
  <si>
    <t>Dry climate zone</t>
  </si>
  <si>
    <t>Table A.2.1.3 Pasture attributes</t>
  </si>
  <si>
    <t>VEERG 2026: Table A.2.1.3: Pasture attributes</t>
  </si>
  <si>
    <t>Annual grass</t>
  </si>
  <si>
    <t>Grass clover mixture</t>
  </si>
  <si>
    <t>Lucerne</t>
  </si>
  <si>
    <t>Other legume</t>
  </si>
  <si>
    <t>Perennial pasture</t>
  </si>
  <si>
    <t>Table 5.31 Burning of agricultural residues - EFs</t>
  </si>
  <si>
    <t>National Inventory Report 2023 volume 2: Table 5.31: Burning of agricultural residues - EFs</t>
  </si>
  <si>
    <t>16/12</t>
  </si>
  <si>
    <t>44/28</t>
  </si>
  <si>
    <t>NOx</t>
  </si>
  <si>
    <t>46/14</t>
  </si>
  <si>
    <t>CO</t>
  </si>
  <si>
    <t>28/12</t>
  </si>
  <si>
    <t>NMVOC</t>
  </si>
  <si>
    <t>14/12</t>
  </si>
  <si>
    <t>Table A.2.1.2: Crop attributes - Fraction removed (FFODc)</t>
  </si>
  <si>
    <t>VEERG 2026: Table A.2.1.2: Crop attributes - Fraction removed (FFODc)</t>
  </si>
  <si>
    <t>All states</t>
  </si>
  <si>
    <t>Sugar Cane</t>
  </si>
  <si>
    <t>All other crop types</t>
  </si>
  <si>
    <t>Electricity scope 2 and scope 3 location-based emission factors</t>
  </si>
  <si>
    <t>Australian National Greenhouse Accounts Factors 2025 - Table 1</t>
  </si>
  <si>
    <t>New South Wales</t>
  </si>
  <si>
    <t>Victoria</t>
  </si>
  <si>
    <t>Queensland</t>
  </si>
  <si>
    <t>South Australia</t>
  </si>
  <si>
    <t>Western Australia - South West Interconnected System (SWIS)</t>
  </si>
  <si>
    <t>Tasmania</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</si>
  <si>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</si>
  <si>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</si>
  <si>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</si>
  <si>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</si>
  <si>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</si>
  <si>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</si>
  <si>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</si>
  <si>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</si>
  <si>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</si>
  <si>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</si>
  <si>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</si>
  <si>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</si>
  <si>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</si>
  <si>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</si>
  <si>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</si>
  <si>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</si>
  <si>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</si>
  <si>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</si>
  <si>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</si>
  <si>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</si>
  <si>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</si>
  <si>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</si>
  <si>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</si>
  <si>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Lifecycles. (2026). Greenhouse Gas Emission Intensities for Material Inputs to Australian Agriculture, Fisheries and Forestry. Version 48. doi 10.5281/zenodo.19656580</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</si>
  <si>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</si>
  <si>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</si>
  <si>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</si>
  <si>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</si>
  <si>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</si>
  <si>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</si>
  <si>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</si>
  <si>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</si>
  <si>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</si>
  <si>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</si>
  <si>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</si>
  <si>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</si>
  <si>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</si>
  <si>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</si>
  <si>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</si>
  <si>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</si>
  <si>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</si>
  <si>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</si>
  <si>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</si>
  <si>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</si>
  <si>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</si>
  <si>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</si>
  <si>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</si>
  <si>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</si>
  <si>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</si>
  <si>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</si>
  <si>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</si>
  <si>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</si>
  <si>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</si>
  <si>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</si>
  <si>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</si>
  <si>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</si>
  <si>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</si>
  <si>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</si>
  <si>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</si>
  <si>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</si>
  <si>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</si>
  <si>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</si>
  <si>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</si>
  <si>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</si>
  <si>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</si>
  <si>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</si>
  <si>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</si>
  <si>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FracGASMsoil</t>
  </si>
  <si>
    <t>Fraction of nitrogen that is lost through leaching and runoff</t>
  </si>
  <si>
    <t>VEERG 2026: 5.5.2.3 Constant Parameters</t>
  </si>
  <si>
    <t>Emission factor for nitrogen leaching and runoff</t>
  </si>
  <si>
    <t>EFLeach</t>
  </si>
  <si>
    <t>kg N2O-N / kg N</t>
  </si>
  <si>
    <t>Campbells fertilisers Australia</t>
  </si>
  <si>
    <t>Aqua Finish</t>
  </si>
  <si>
    <t>Aqua Grow</t>
  </si>
  <si>
    <t>Aqua Nitro AN</t>
  </si>
  <si>
    <t>Aqua NitroCal</t>
  </si>
  <si>
    <t>Calcium</t>
  </si>
  <si>
    <t>Aqua NitroCal (VI)</t>
  </si>
  <si>
    <t>Aqua NitroCal Ultimate</t>
  </si>
  <si>
    <t>Aqua Start</t>
  </si>
  <si>
    <t>Aqua Thio-Complete</t>
  </si>
  <si>
    <t>Aqua Thio-Emerge</t>
  </si>
  <si>
    <t>Aqua Thio-Flourish</t>
  </si>
  <si>
    <t>Magnesium</t>
  </si>
  <si>
    <t>Zinc</t>
  </si>
  <si>
    <t>Manganese</t>
  </si>
  <si>
    <t>Iron</t>
  </si>
  <si>
    <t>Copper</t>
  </si>
  <si>
    <t>Boron</t>
  </si>
  <si>
    <t>Bronze</t>
  </si>
  <si>
    <t>Calbit C</t>
  </si>
  <si>
    <t>Compass</t>
  </si>
  <si>
    <t>CoRoN 12-0-10</t>
  </si>
  <si>
    <t>Maximum Quick-N</t>
  </si>
  <si>
    <t>SL Tec</t>
  </si>
  <si>
    <t>Crop Booster PLUS</t>
  </si>
  <si>
    <t>Risso-Chemical</t>
  </si>
  <si>
    <t>Ammonium Bicarbonate</t>
  </si>
  <si>
    <t>Ravensdown</t>
  </si>
  <si>
    <t>Ammonium Sulphate - Granular</t>
  </si>
  <si>
    <t>Impact Fertilisers</t>
  </si>
  <si>
    <t>Di-Ammonium Phosphate (DAP)</t>
  </si>
  <si>
    <t>Incitec Pivot Fertilisers</t>
  </si>
  <si>
    <t>Basalt BooSSta</t>
  </si>
  <si>
    <t>Fluoride</t>
  </si>
  <si>
    <t>Summit Fertilizers</t>
  </si>
  <si>
    <t>DAPSZC</t>
  </si>
  <si>
    <t>Easy N</t>
  </si>
  <si>
    <t>Biuret</t>
  </si>
  <si>
    <t>Calcium Ammonium nitrate</t>
  </si>
  <si>
    <t>CellCAL Plus</t>
  </si>
  <si>
    <t>CK55</t>
  </si>
  <si>
    <t>Switch Ag</t>
  </si>
  <si>
    <t>Crop K</t>
  </si>
  <si>
    <t>Crop Starter</t>
  </si>
  <si>
    <t>Gran-Am</t>
  </si>
  <si>
    <t>Encal</t>
  </si>
  <si>
    <t>Granulock SS</t>
  </si>
  <si>
    <t>Granulock Z</t>
  </si>
  <si>
    <t>Farm Ag Leichhardt</t>
  </si>
  <si>
    <t>Flexi-N NBPT</t>
  </si>
  <si>
    <t>Yes</t>
  </si>
  <si>
    <t>Gold Premium</t>
  </si>
  <si>
    <t>High NS</t>
  </si>
  <si>
    <t>Impact SSP</t>
  </si>
  <si>
    <t>In Crop</t>
  </si>
  <si>
    <t>K20</t>
  </si>
  <si>
    <t>Loveland Agriproducts</t>
  </si>
  <si>
    <t>Maximum N-Pact</t>
  </si>
  <si>
    <t>Nitro Combi TE</t>
  </si>
  <si>
    <t>Fulvic acid (organic)</t>
  </si>
  <si>
    <t>Molybdenum</t>
  </si>
  <si>
    <t>PastureMAXX</t>
  </si>
  <si>
    <t>Platinum Nergetic</t>
  </si>
  <si>
    <t>Potassium sulphate</t>
  </si>
  <si>
    <t>Glaze Extend G3 Flexi</t>
  </si>
  <si>
    <t>Mono-Ammonium Phosphate (MAP)</t>
  </si>
  <si>
    <t>Koch Fertiliser Australia</t>
  </si>
  <si>
    <t>Urea Ammonium nitrate (UAN 32-0-0)</t>
  </si>
  <si>
    <t>Polypeptide Urea</t>
  </si>
  <si>
    <t>Polypeptide (amino acids)</t>
  </si>
  <si>
    <t>Yara Australia</t>
  </si>
  <si>
    <t>YaraTera CALCINIT</t>
  </si>
  <si>
    <t>YaraLiva NITRABOR</t>
  </si>
  <si>
    <t>YaraMila COMPLEX</t>
  </si>
  <si>
    <t>YaraRega 9-0-30 (14)</t>
  </si>
  <si>
    <t>YaraRega 13-2-21</t>
  </si>
  <si>
    <t>YaraRega 15-7-13 (7S)</t>
  </si>
  <si>
    <t>YaraTera CALCINIT B</t>
  </si>
  <si>
    <t>YaraTera KRISTA MAP</t>
  </si>
  <si>
    <t>YaraTera KRISTALON RED</t>
  </si>
  <si>
    <t>YaraTera KRISTALON SPECIAL</t>
  </si>
  <si>
    <t>YaraMila 21-7-3(4)</t>
  </si>
  <si>
    <t>YaraTera KRISTALON SCARLET</t>
  </si>
  <si>
    <t>Solu-MAP</t>
  </si>
  <si>
    <t>Solu-Sam</t>
  </si>
  <si>
    <t>Rustica Plus</t>
  </si>
  <si>
    <t>Platinum Plus</t>
  </si>
  <si>
    <t>Tropika</t>
  </si>
  <si>
    <t>Rustica Nergetic</t>
  </si>
  <si>
    <t>Quick-N Nergetic</t>
  </si>
  <si>
    <t>FertPro Manufacturing Pty. Ltd.</t>
  </si>
  <si>
    <t>(SSP) Single Super Fertiliser</t>
  </si>
  <si>
    <t>ZincStar</t>
  </si>
  <si>
    <t>Baileys (Simplot) [listed as Impact]</t>
  </si>
  <si>
    <t>Apex GaIXe Low P 21-1-6</t>
  </si>
  <si>
    <t>SuPerfect</t>
  </si>
  <si>
    <t>Incitec Pivot Fertilisers [listed as Summit]</t>
  </si>
  <si>
    <t>Big N</t>
  </si>
  <si>
    <t>Entec Urea</t>
  </si>
  <si>
    <t>Incitec Pivot Fertilisers (or Ravensdown - see note)</t>
  </si>
  <si>
    <t>Flexi-N NI only</t>
  </si>
  <si>
    <t>Urease/nitrification inhibitor</t>
  </si>
  <si>
    <t>Nutri-Tech Solutions (NTS)</t>
  </si>
  <si>
    <t>Muriate Of Potash MOP</t>
  </si>
  <si>
    <t>Nuturf</t>
  </si>
  <si>
    <t>MAP NUTURF</t>
  </si>
  <si>
    <t>Quick-N</t>
  </si>
  <si>
    <t>SLTEC Fertilizers</t>
  </si>
  <si>
    <t>UAS</t>
  </si>
  <si>
    <t>Triazone Urea</t>
  </si>
  <si>
    <t>Marnco [listed as SLTEC]</t>
  </si>
  <si>
    <t>Ammo 36N</t>
  </si>
  <si>
    <t>Risso Liquid NPK (200-200-200)</t>
  </si>
  <si>
    <t>Turf Group Australia (Simplot)</t>
  </si>
  <si>
    <t>Super Cal 15-0-12</t>
  </si>
  <si>
    <t>CK 88</t>
  </si>
  <si>
    <t>CropLift 15</t>
  </si>
  <si>
    <t>NPKS 19-13-0-9</t>
  </si>
  <si>
    <t>PastureBoosta</t>
  </si>
  <si>
    <t>Greentop K</t>
  </si>
  <si>
    <t>HayBoosta</t>
  </si>
  <si>
    <t>Impact Super Potash 1&amp;1</t>
  </si>
  <si>
    <t>Impact Super Potash 2&amp;1</t>
  </si>
  <si>
    <t>Impact Super Potash 3&amp;1</t>
  </si>
  <si>
    <t>Impact Super Potash 4&amp;1</t>
  </si>
  <si>
    <t>Impact Super Potash 5&amp;1</t>
  </si>
  <si>
    <t>Pacific Fertiliser / Incitec Pivot Fertilisers</t>
  </si>
  <si>
    <t>Cal-Gran</t>
  </si>
  <si>
    <t>Cal-Gran 50/50 (S)</t>
  </si>
  <si>
    <t>Cal-Gran 130</t>
  </si>
  <si>
    <t>Cal-Gran 150</t>
  </si>
  <si>
    <t>Cal-Gran Extra K</t>
  </si>
  <si>
    <t>Dairy Pro</t>
  </si>
  <si>
    <t>YaraMila ACTYVA S</t>
  </si>
  <si>
    <t>CSBP</t>
  </si>
  <si>
    <t>Agflow Extra</t>
  </si>
  <si>
    <t>Super &amp; Potash 3:1</t>
  </si>
  <si>
    <t>Yara</t>
  </si>
  <si>
    <t>YaraBela CAN-27</t>
  </si>
  <si>
    <t>Cal-Gran Aftergraze</t>
  </si>
  <si>
    <t>Cal-Gran Prodress</t>
  </si>
  <si>
    <t>Wengfu Australia</t>
  </si>
  <si>
    <t>Wengfu PrimeZinc 10</t>
  </si>
  <si>
    <t>Wengfu Pasture King</t>
  </si>
  <si>
    <t>Wengfu SuStain</t>
  </si>
  <si>
    <t>Wengfu Slam</t>
  </si>
  <si>
    <t>Wengfu Prime MSZ</t>
  </si>
  <si>
    <t>Wengfu 9-20-0-10 MAP SuStain</t>
  </si>
  <si>
    <t>Wengfu 15-17-0-15 DAP SuStain</t>
  </si>
  <si>
    <t>Wengfu 16-18-0-10 DAP SuStain</t>
  </si>
  <si>
    <t>Wengfu 5-15-0-6 Fast Start Legume</t>
  </si>
  <si>
    <t>Wengfu 9-20-0-10 PrimeZinc</t>
  </si>
  <si>
    <t>Wengfu 12-18-0-6 PrimeZinc</t>
  </si>
  <si>
    <t>Wengfu 14-13-0-11 PrimeZinc</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</si>
  <si>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</si>
  <si>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</si>
  <si>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</si>
  <si>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</si>
  <si>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</si>
  <si>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</si>
  <si>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</si>
  <si>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</si>
  <si>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</si>
  <si>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</si>
  <si>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K-Till Extra</t>
  </si>
  <si>
    <t>Agras Extra</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</si>
  <si>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</si>
  <si>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</si>
  <si>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</si>
  <si>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</si>
  <si>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</si>
  <si>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</si>
  <si>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</si>
  <si>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</si>
  <si>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</si>
  <si>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NE</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</si>
  <si>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</si>
  <si>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</si>
  <si>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</si>
  <si>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</si>
  <si>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</si>
  <si>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</si>
  <si>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</si>
  <si>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</si>
  <si>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</si>
  <si>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</si>
  <si>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</si>
  <si>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</si>
  <si>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</si>
  <si>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</si>
  <si>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</si>
  <si>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</si>
  <si>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</si>
  <si>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</si>
  <si>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</si>
  <si>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</si>
  <si>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</si>
  <si>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</si>
  <si>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</si>
  <si>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</si>
  <si>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</si>
  <si>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</si>
  <si>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</si>
  <si>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</si>
  <si>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</si>
  <si>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</si>
  <si>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</si>
  <si>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</si>
  <si>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</si>
  <si>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</si>
  <si>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</si>
  <si>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</si>
  <si>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</si>
  <si>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</si>
  <si>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</si>
  <si>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</si>
  <si>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</si>
  <si>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</si>
  <si>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</si>
  <si>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</si>
  <si>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</si>
  <si>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</si>
  <si>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</si>
  <si>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</si>
  <si>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</si>
  <si>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</si>
  <si>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</si>
  <si>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</si>
  <si>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</si>
  <si>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</si>
  <si>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</si>
  <si>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</si>
  <si>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</si>
  <si>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</si>
  <si>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</si>
  <si>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</si>
  <si>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</si>
  <si>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</si>
  <si>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</si>
  <si>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</si>
  <si>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</si>
  <si>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</si>
  <si>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</si>
  <si>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</si>
  <si>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</si>
  <si>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</si>
  <si>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</si>
  <si>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Northern Territory</t>
  </si>
  <si>
    <t>Cattle, for manufacturing beef</t>
  </si>
  <si>
    <t>kg liveweight</t>
  </si>
  <si>
    <t>at market</t>
  </si>
  <si>
    <t>Cattle, for prime beef</t>
  </si>
  <si>
    <t>Cattle, weaners</t>
  </si>
  <si>
    <t>Chickens</t>
  </si>
  <si>
    <t>Dairy cows</t>
  </si>
  <si>
    <t>Sheep</t>
  </si>
  <si>
    <t>Sheep, for mutton</t>
  </si>
  <si>
    <t>Sheep, for prime lamb</t>
  </si>
  <si>
    <t>at manufacturer</t>
  </si>
  <si>
    <t>Pharmacy chemicals</t>
  </si>
  <si>
    <t>Parasite control for cattle (external), dipping</t>
  </si>
  <si>
    <t>p (head)</t>
  </si>
  <si>
    <t>Parasite control for cattle (internal)</t>
  </si>
  <si>
    <t>Parasite control for sheep (external)</t>
  </si>
  <si>
    <t>Parasite control for sheep (internal)</t>
  </si>
  <si>
    <t>Grain</t>
  </si>
  <si>
    <t>Barley grain</t>
  </si>
  <si>
    <t>Maize grain</t>
  </si>
  <si>
    <t>Sorghum grain</t>
  </si>
  <si>
    <t>Wheat grain</t>
  </si>
  <si>
    <t>Hay</t>
  </si>
  <si>
    <t>Cereal hay</t>
  </si>
  <si>
    <t>Cereal silage</t>
  </si>
  <si>
    <t>Lucerne hay</t>
  </si>
  <si>
    <t>Maize silage</t>
  </si>
  <si>
    <t>Oaten hay</t>
  </si>
  <si>
    <t>Pasture hay</t>
  </si>
  <si>
    <t>Meal</t>
  </si>
  <si>
    <t>Canola meal</t>
  </si>
  <si>
    <t>Meat meal</t>
  </si>
  <si>
    <t>Soybean meal</t>
  </si>
  <si>
    <t>Brazil</t>
  </si>
  <si>
    <t>Wheat bran</t>
  </si>
  <si>
    <t>Other</t>
  </si>
  <si>
    <t>Bentonite</t>
  </si>
  <si>
    <t>Canola oil</t>
  </si>
  <si>
    <t>Cotton seed</t>
  </si>
  <si>
    <t>Molasses</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</si>
  <si>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</si>
  <si>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</si>
  <si>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</si>
  <si>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</si>
  <si>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</si>
  <si>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</si>
  <si>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</si>
  <si>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</si>
  <si>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</si>
  <si>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</si>
  <si>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</si>
  <si>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</si>
  <si>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</si>
  <si>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</si>
  <si>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</si>
  <si>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</si>
  <si>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</si>
  <si>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</si>
  <si>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</si>
  <si>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</si>
  <si>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</si>
  <si>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</si>
  <si>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</si>
  <si>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</si>
  <si>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</si>
  <si>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</si>
  <si>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</si>
  <si>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</si>
  <si>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</si>
  <si>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</si>
  <si>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</si>
  <si>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</si>
  <si>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</si>
  <si>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</si>
  <si>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</si>
  <si>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</si>
  <si>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</si>
  <si>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</si>
  <si>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</si>
  <si>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</si>
  <si>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</si>
  <si>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</si>
  <si>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</si>
  <si>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</si>
  <si>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</si>
  <si>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</si>
  <si>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</si>
  <si>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</si>
  <si>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kg AI</t>
  </si>
  <si>
    <t>Atrazine</t>
  </si>
  <si>
    <t>Diuron</t>
  </si>
  <si>
    <t>Mancozeb</t>
  </si>
  <si>
    <t>MCPA</t>
  </si>
  <si>
    <t>Metsulfuron-methyl</t>
  </si>
  <si>
    <t>Tri-allate</t>
  </si>
  <si>
    <t>Dolomite</t>
  </si>
  <si>
    <t>Limestone (crushed)</t>
  </si>
  <si>
    <t>Aquaculture feed</t>
  </si>
  <si>
    <t>Sardines (whole)</t>
  </si>
  <si>
    <t>Not specified</t>
  </si>
  <si>
    <t>Low Animal Protein Formulated Feed</t>
  </si>
  <si>
    <t>Squid</t>
  </si>
  <si>
    <t>Whole fish</t>
  </si>
  <si>
    <t>Custom Bait</t>
  </si>
  <si>
    <t>Emission factors for wastes disposed of at different treatment facilities</t>
  </si>
  <si>
    <t>VEERG 2026: Table A.4.1.1</t>
  </si>
  <si>
    <t>VARIATION ON SOURCE:</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</si>
  <si>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</si>
  <si>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</si>
  <si>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</si>
  <si>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</si>
  <si>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</si>
  <si>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</si>
  <si>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</si>
  <si>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</si>
  <si>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</si>
  <si>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</si>
  <si>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</si>
  <si>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</si>
  <si>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</si>
  <si>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</si>
  <si>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</si>
  <si>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</si>
  <si>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</si>
  <si>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</si>
  <si>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</si>
  <si>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</si>
  <si>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</si>
  <si>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</si>
  <si>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</si>
  <si>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</si>
  <si>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</si>
  <si>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</si>
  <si>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</si>
  <si>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</si>
  <si>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</si>
  <si>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</si>
  <si>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</si>
  <si>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</si>
  <si>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</si>
  <si>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</si>
  <si>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</si>
  <si>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</si>
  <si>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</si>
  <si>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</si>
  <si>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</si>
  <si>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</si>
  <si>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</si>
  <si>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</si>
  <si>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</si>
  <si>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</si>
  <si>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</si>
  <si>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Nox</t>
  </si>
  <si>
    <t>CO2 Lime</t>
  </si>
  <si>
    <t>VEERG Australian wet and dry zones</t>
  </si>
  <si>
    <t>VEERG 2026: Table 1.2: Translating climate zones to wet and dry zones</t>
  </si>
  <si>
    <t>Tropical montane</t>
  </si>
  <si>
    <t>Tropical wet</t>
  </si>
  <si>
    <t>Tropical moist</t>
  </si>
  <si>
    <t>Tropical dry</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</si>
  <si>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</si>
  <si>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</si>
  <si>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</si>
  <si>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</si>
  <si>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</si>
  <si>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</si>
  <si>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</si>
  <si>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</si>
  <si>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</si>
  <si>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</si>
  <si>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</si>
  <si>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</si>
  <si>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</si>
  <si>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</si>
  <si>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</si>
  <si>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</si>
  <si>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</si>
  <si>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</si>
  <si>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</si>
  <si>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</si>
  <si>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</si>
  <si>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</si>
  <si>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</si>
  <si>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</si>
  <si>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</si>
  <si>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</si>
  <si>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</si>
  <si>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</si>
  <si>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</si>
  <si>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</si>
  <si>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</si>
  <si>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</si>
  <si>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</si>
  <si>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</si>
  <si>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</si>
  <si>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</si>
  <si>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</si>
  <si>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</si>
  <si>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</si>
  <si>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</si>
  <si>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</si>
  <si>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</si>
  <si>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</si>
  <si>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</si>
  <si>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</si>
  <si>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</si>
  <si>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</si>
  <si>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</si>
  <si>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</si>
  <si>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</si>
  <si>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</si>
  <si>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</si>
  <si>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</si>
  <si>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</si>
  <si>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</si>
  <si>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</si>
  <si>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</si>
  <si>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</si>
  <si>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</si>
  <si>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</si>
  <si>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</si>
  <si>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</si>
  <si>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</si>
  <si>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kg/m3</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</si>
  <si>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</si>
  <si>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</si>
  <si>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</si>
  <si>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</si>
  <si>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</si>
  <si>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</si>
  <si>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</si>
  <si>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</si>
  <si>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</si>
  <si>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</si>
  <si>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</si>
  <si>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</si>
  <si>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</si>
  <si>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</si>
  <si>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</si>
  <si>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</si>
  <si>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</si>
  <si>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</si>
  <si>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</si>
  <si>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</si>
  <si>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</si>
  <si>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</si>
  <si>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</si>
  <si>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</si>
  <si>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</si>
  <si>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</si>
  <si>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</si>
  <si>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Summer</t>
  </si>
  <si>
    <t>February</t>
  </si>
  <si>
    <t>March</t>
  </si>
  <si>
    <t>Autumn</t>
  </si>
  <si>
    <t>April</t>
  </si>
  <si>
    <t>May</t>
  </si>
  <si>
    <t>June</t>
  </si>
  <si>
    <t>Winter</t>
  </si>
  <si>
    <t>July</t>
  </si>
  <si>
    <t>August</t>
  </si>
  <si>
    <t>September</t>
  </si>
  <si>
    <t>Spring</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</si>
  <si>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</si>
  <si>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</si>
  <si>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</si>
  <si>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</si>
  <si>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</si>
  <si>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</si>
  <si>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</si>
  <si>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</si>
  <si>
    <t>Table 5.12 Additional symbols used in algorithms for manure related emissions</t>
  </si>
  <si>
    <t>MMS</t>
  </si>
  <si>
    <t>National Inventory Report 2023 Volume 1: Table 5.12</t>
  </si>
  <si>
    <t>Anaerobic lagoon (m=1)</t>
  </si>
  <si>
    <t>Liquid systems (m=2)</t>
  </si>
  <si>
    <t>Daily spread (m=3)</t>
  </si>
  <si>
    <t>3a</t>
  </si>
  <si>
    <t>Sump and dispersal system</t>
  </si>
  <si>
    <t>Sump and dispersal system (m=3a)</t>
  </si>
  <si>
    <t>3b</t>
  </si>
  <si>
    <t>Drains to paddock</t>
  </si>
  <si>
    <t>Drains to paddock (m=3b)</t>
  </si>
  <si>
    <t>Solid storage (m=4)</t>
  </si>
  <si>
    <t>Drylot (feed pad)</t>
  </si>
  <si>
    <t>Drylot (feed pad) (m=5)</t>
  </si>
  <si>
    <t>Composting (passive windrow) (m=6)</t>
  </si>
  <si>
    <t>Digester / covered lagoons (m=7)</t>
  </si>
  <si>
    <t>Deep litter (m=8)</t>
  </si>
  <si>
    <t>Pit storage (m=9)</t>
  </si>
  <si>
    <t>Poultry manure with bedding (m=10)</t>
  </si>
  <si>
    <t>Poultry manure without bedding (m=11)</t>
  </si>
  <si>
    <t>11a</t>
  </si>
  <si>
    <t>Belt manure removal</t>
  </si>
  <si>
    <t>Belt manure removal (m=11a)</t>
  </si>
  <si>
    <t>11b</t>
  </si>
  <si>
    <t>Manure stored in house</t>
  </si>
  <si>
    <t>Manure stored in house (m=11b)</t>
  </si>
  <si>
    <t>Direct processing (m=12)</t>
  </si>
  <si>
    <t>Direct application (m=13)</t>
  </si>
  <si>
    <t>Pasture range and paddock (m=14)</t>
  </si>
  <si>
    <t>Beef cattle products for scope 3</t>
  </si>
  <si>
    <t>Sheep products for scope 3</t>
  </si>
  <si>
    <t>Chickens products for scope 3</t>
  </si>
  <si>
    <t>Dairy cattle products for scope 3</t>
  </si>
  <si>
    <t>Pigs products for scope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</si>
</sst>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0.000000E+00"/>
    <numFmt numFmtId="172" formatCode="[$-C09]d\ mmmm\ yyyy;@"/>
    <numFmt numFmtId="173" formatCode="0.000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b/>
      <vertAlign val="subscript"/>
      <sz val="10"/>
      <color rgb="FF183C1B"/>
      <name val="Arial"/>
      <family val="1"/>
    </font>
    <font>
      <b/>
      <vertAlign val="subscript"/>
      <sz val="10"/>
      <color theme="1" tint="0.24994659260841701"/>
      <name val="Arial"/>
      <family val="1"/>
    </font>
    <font>
      <b/>
      <vertAlign val="subscript"/>
      <sz val="14"/>
      <color theme="1" tint="0.24994659260841701"/>
      <name val="Arial"/>
      <family val="1"/>
    </font>
    <font>
      <vertAlign val="subscript"/>
      <sz val="10"/>
      <color theme="1" tint="0.24994659260841701"/>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0"/>
      <color theme="1"/>
      <name val="Arial"/>
      <family val="2"/>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2" fillId="0" borderId="0"/>
    <xf numFmtId="0" fontId="73" fillId="4" borderId="0">
      <alignment horizontal="left" vertical="center"/>
    </xf>
    <xf numFmtId="0" fontId="38" fillId="16" borderId="2">
      <alignment horizontal="center" vertical="center"/>
    </xf>
  </cellStyleXfs>
  <cellXfs count="246">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0" fontId="30"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20"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5"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5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6" fillId="12" borderId="2" xfId="15" applyFont="1">
      <alignment horizontal="center" vertical="center"/>
    </xf>
    <xf numFmtId="9" fontId="0" fillId="0" borderId="18"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19" xfId="39" applyBorder="1">
      <alignment horizontal="left" vertical="center"/>
    </xf>
    <xf numFmtId="0" fontId="30" fillId="13" borderId="0" xfId="39" applyBorder="1">
      <alignment horizontal="left" vertical="center"/>
    </xf>
    <xf numFmtId="0" fontId="30" fillId="13" borderId="20"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15" fillId="4" borderId="0" xfId="24">
      <alignment horizontal="left" vertical="center"/>
    </xf>
    <xf numFmtId="0" fontId="32" fillId="4" borderId="0" xfId="57">
      <alignment horizontal="left" vertical="center"/>
    </xf>
    <xf numFmtId="0" fontId="33" fillId="4" borderId="0" xfId="58">
      <alignment horizontal="left" vertical="center"/>
    </xf>
    <xf numFmtId="0" fontId="6" fillId="4" borderId="0" xfId="12" applyAlignment="1">
      <alignment horizontal="center" vertical="center"/>
    </xf>
    <xf numFmtId="0" fontId="5" fillId="2" borderId="0" xfId="9">
      <alignment horizontal="center" vertical="center"/>
    </xf>
    <xf numFmtId="0" fontId="23" fillId="4" borderId="2" xfId="52" applyAlignment="1">
      <alignment horizontal="left" vertical="center"/>
    </xf>
    <xf numFmtId="0" fontId="23" fillId="4" borderId="21" xfId="52" applyBorder="1" applyAlignment="1">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23" fillId="4" borderId="22" xfId="52" applyBorder="1" applyAlignment="1">
      <alignment horizontal="left" vertical="center"/>
    </xf>
    <xf numFmtId="0" fontId="23" fillId="4" borderId="23" xfId="52" applyBorder="1" applyAlignment="1">
      <alignment horizontal="left" vertical="center"/>
    </xf>
    <xf numFmtId="0" fontId="23" fillId="4" borderId="21" xfId="63" applyBorder="1">
      <alignment horizontal="left" vertical="center"/>
    </xf>
    <xf numFmtId="0" fontId="23" fillId="4" borderId="22" xfId="52" applyBorder="1">
      <alignment horizontal="center" vertical="center"/>
    </xf>
    <xf numFmtId="0" fontId="23" fillId="4" borderId="23" xfId="52" applyBorder="1">
      <alignment horizontal="center" vertical="center"/>
    </xf>
    <xf numFmtId="0" fontId="23" fillId="4" borderId="2" xfId="63">
      <alignment horizontal="left" vertical="center"/>
    </xf>
    <xf numFmtId="171"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3" fillId="4" borderId="0" xfId="0" applyFont="1" applyFill="1"/>
    <xf numFmtId="0" fontId="6" fillId="4" borderId="1" xfId="12" applyBorder="1">
      <alignment horizontal="left" vertical="center" indent="1"/>
    </xf>
    <xf numFmtId="0" fontId="27" fillId="4" borderId="24" xfId="8" applyBorder="1">
      <alignment horizontal="left" vertical="center"/>
    </xf>
    <xf numFmtId="0" fontId="23" fillId="4" borderId="23" xfId="63" applyBorder="1">
      <alignment horizontal="left" vertical="center"/>
    </xf>
    <xf numFmtId="0" fontId="23" fillId="4" borderId="22" xfId="63" applyBorder="1">
      <alignment horizontal="left" vertical="center"/>
    </xf>
    <xf numFmtId="3" fontId="23" fillId="4" borderId="2" xfId="52" applyNumberFormat="1">
      <alignment horizontal="center" vertical="center"/>
    </xf>
    <xf numFmtId="4" fontId="23" fillId="4" borderId="2" xfId="46">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2"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3" fontId="65"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5"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3" fontId="65" fillId="4" borderId="28" xfId="52" applyNumberFormat="1" applyFont="1" applyBorder="1">
      <alignment horizontal="center" vertical="center"/>
    </xf>
    <xf numFmtId="173" fontId="65" fillId="4" borderId="26" xfId="52" applyNumberFormat="1" applyFont="1" applyBorder="1">
      <alignment horizontal="center" vertical="center"/>
    </xf>
    <xf numFmtId="0" fontId="23" fillId="4" borderId="28" xfId="52" applyBorder="1">
      <alignment horizontal="center" vertical="center"/>
    </xf>
    <xf numFmtId="0" fontId="65" fillId="4" borderId="28" xfId="52" applyFont="1" applyBorder="1">
      <alignment horizontal="center" vertical="center"/>
    </xf>
    <xf numFmtId="0" fontId="3" fillId="4" borderId="25" xfId="7" applyBorder="1">
      <alignment horizontal="left" vertical="center"/>
    </xf>
    <xf numFmtId="165" fontId="63" fillId="4" borderId="25" xfId="0" applyNumberFormat="1" applyFont="1" applyFill="1" applyBorder="1"/>
    <xf numFmtId="0" fontId="6" fillId="4" borderId="25" xfId="12" applyBorder="1">
      <alignment horizontal="left" vertical="center" indent="1"/>
    </xf>
    <xf numFmtId="168" fontId="63" fillId="4" borderId="0" xfId="0" applyNumberFormat="1" applyFont="1" applyFill="1" applyAlignment="1">
      <alignment vertical="center"/>
    </xf>
    <xf numFmtId="165" fontId="63" fillId="4" borderId="25" xfId="0" applyNumberFormat="1" applyFont="1" applyFill="1" applyBorder="1" applyAlignment="1">
      <alignment vertical="center"/>
    </xf>
    <xf numFmtId="0" fontId="63" fillId="4" borderId="0" xfId="0" applyFont="1" applyFill="1" applyAlignment="1">
      <alignment vertical="center"/>
    </xf>
    <xf numFmtId="165" fontId="66" fillId="4" borderId="25" xfId="0" applyNumberFormat="1" applyFont="1" applyFill="1" applyBorder="1" applyAlignment="1">
      <alignment vertical="center"/>
    </xf>
    <xf numFmtId="168" fontId="65" fillId="4" borderId="2" xfId="46" applyNumberFormat="1" applyFont="1">
      <alignment horizontal="center" vertical="center"/>
    </xf>
    <xf numFmtId="168" fontId="65" fillId="4" borderId="17" xfId="46" applyNumberFormat="1" applyFont="1" applyBorder="1">
      <alignment horizontal="center" vertical="center"/>
    </xf>
    <xf numFmtId="168" fontId="65" fillId="4" borderId="28" xfId="46" applyNumberFormat="1" applyFont="1" applyBorder="1">
      <alignment horizontal="center" vertical="center"/>
    </xf>
    <xf numFmtId="0" fontId="64" fillId="0" borderId="0" xfId="0" applyFont="1" applyAlignment="1">
      <alignment vertical="center" wrapText="1"/>
    </xf>
    <xf numFmtId="0" fontId="64" fillId="0" borderId="0" xfId="0" applyFont="1" applyAlignment="1">
      <alignment horizontal="left" vertical="center"/>
    </xf>
    <xf numFmtId="0" fontId="64"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4" fillId="4" borderId="0" xfId="0" applyFont="1" applyFill="1" applyAlignment="1">
      <alignment horizontal="left" vertical="center"/>
    </xf>
    <xf numFmtId="0" fontId="40" fillId="4" borderId="0" xfId="8" applyFont="1" applyAlignment="1">
      <alignment horizontal="right" vertical="center"/>
    </xf>
    <xf numFmtId="0" fontId="67" fillId="4" borderId="0" xfId="0" applyFont="1" applyFill="1"/>
    <xf numFmtId="0" fontId="64" fillId="0" borderId="0" xfId="0" applyFont="1"/>
    <xf numFmtId="0" fontId="64" fillId="0" borderId="0" xfId="7" applyFont="1" applyFill="1">
      <alignment horizontal="left" vertical="center"/>
    </xf>
    <xf numFmtId="0" fontId="64" fillId="4" borderId="0" xfId="0" applyFont="1" applyFill="1"/>
    <xf numFmtId="0" fontId="64" fillId="4" borderId="0" xfId="7" applyFont="1">
      <alignment horizontal="left" vertical="center"/>
    </xf>
    <xf numFmtId="0" fontId="68" fillId="2" borderId="0" xfId="8" applyFont="1" applyFill="1">
      <alignment horizontal="left" vertical="center"/>
    </xf>
    <xf numFmtId="0" fontId="68" fillId="0" borderId="0" xfId="8" applyFont="1" applyFill="1">
      <alignment horizontal="left" vertical="center"/>
    </xf>
    <xf numFmtId="3" fontId="23" fillId="4" borderId="2" xfId="40">
      <alignment horizontal="center" vertical="center"/>
    </xf>
    <xf numFmtId="3" fontId="23"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27" fillId="4" borderId="0" xfId="8" applyAlignment="1">
      <alignment horizontal="center" vertical="center"/>
    </xf>
    <xf numFmtId="0" fontId="0" fillId="4" borderId="0" xfId="0" quotePrefix="1" applyFill="1"/>
    <xf numFmtId="0" fontId="69" fillId="4" borderId="1" xfId="0" applyFont="1" applyFill="1" applyBorder="1"/>
    <xf numFmtId="0" fontId="71" fillId="4" borderId="1" xfId="0" applyFont="1" applyFill="1" applyBorder="1"/>
    <xf numFmtId="0" fontId="45" fillId="0" borderId="0" xfId="0" applyFont="1"/>
    <xf numFmtId="0" fontId="72" fillId="0" borderId="0" xfId="69"/>
    <xf numFmtId="0" fontId="72" fillId="4" borderId="0" xfId="69" applyFill="1"/>
    <xf numFmtId="0" fontId="2" fillId="0" borderId="17" xfId="56" applyBorder="1">
      <alignment horizontal="center" vertical="center"/>
    </xf>
    <xf numFmtId="0" fontId="0" fillId="0" borderId="0" xfId="29" applyFont="1" applyFill="1" applyProtection="1">
      <alignment horizontal="center" vertical="center"/>
    </xf>
    <xf numFmtId="0" fontId="73" fillId="4" borderId="0" xfId="70">
      <alignment horizontal="left" vertical="center"/>
    </xf>
    <xf numFmtId="0" fontId="30" fillId="13" borderId="29" xfId="39" applyBorder="1">
      <alignment horizontal="left" vertical="center"/>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8" fillId="16" borderId="2" xfId="71">
      <alignment horizontal="center" vertical="center"/>
    </xf>
    <xf numFmtId="0" fontId="68" fillId="6" borderId="0" xfId="8" applyFont="1" applyFill="1">
      <alignment horizontal="left" vertical="center"/>
    </xf>
    <xf numFmtId="0" fontId="65" fillId="4" borderId="2" xfId="52" applyFont="1">
      <alignment horizontal="center" vertical="center"/>
    </xf>
    <xf numFmtId="49" fontId="23" fillId="4" borderId="2" xfId="52" applyNumberFormat="1">
      <alignment horizontal="center" vertical="center"/>
    </xf>
    <xf numFmtId="0" fontId="76"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xf numFmtId="11" fontId="0" fillId="0" borderId="0" xfId="0" applyNumberFormat="1" applyAlignment="1">
      <alignmen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57B5F0B3-75FD-4130-BE16-3F40DA75BFA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B48E9E70-841B-47AA-AB60-285D30ACDF0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D9092CD-79D8-4619-A71F-AAE904A7B34A}"/>
    <cellStyle name="Variable type other" xfId="64" xr:uid="{105BD9DE-B567-4DA0-87E6-C60A0ECC1C65}"/>
  </cellStyles>
  <dxfs count="439">
    <dxf>
      <alignment horizontal="right" vertical="center" textRotation="0" wrapText="0" indent="0" justifyLastLine="0" shrinkToFit="0" readingOrder="0"/>
    </dxf>
    <dxf>
      <fill>
        <patternFill>
          <fgColor indexed="64"/>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38"/>
      <tableStyleElement type="headerRow" dxfId="437"/>
      <tableStyleElement type="totalRow" dxfId="436"/>
      <tableStyleElement type="firstColumn" dxfId="435"/>
      <tableStyleElement type="firstRowStripe" dxfId="434"/>
      <tableStyleElement type="secondRowStripe" dxfId="433"/>
    </tableStyle>
    <tableStyle name="Equation table" pivot="0" count="6" xr9:uid="{B247698E-E41D-4CCD-AA0A-C14817E9DE65}">
      <tableStyleElement type="wholeTable" dxfId="432"/>
      <tableStyleElement type="headerRow" dxfId="431"/>
      <tableStyleElement type="totalRow" dxfId="430"/>
      <tableStyleElement type="firstColumn" dxfId="429"/>
      <tableStyleElement type="firstRowStripe" dxfId="428"/>
      <tableStyleElement type="secondRowStripe" dxfId="42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532.93487500000003</c:v>
                </c:pt>
                <c:pt idx="1">
                  <c:v>184.92752666666664</c:v>
                </c:pt>
                <c:pt idx="2">
                  <c:v>14.783214285714285</c:v>
                </c:pt>
                <c:pt idx="3">
                  <c:v>758.08333333333326</c:v>
                </c:pt>
                <c:pt idx="4">
                  <c:v>0.43462650000000003</c:v>
                </c:pt>
                <c:pt idx="5">
                  <c:v>0</c:v>
                </c:pt>
                <c:pt idx="6">
                  <c:v>176.99880000000002</c:v>
                </c:pt>
                <c:pt idx="7">
                  <c:v>93.455366400000003</c:v>
                </c:pt>
                <c:pt idx="8">
                  <c:v>33.838652571428568</c:v>
                </c:pt>
                <c:pt idx="9">
                  <c:v>93.139200000000002</c:v>
                </c:pt>
                <c:pt idx="10">
                  <c:v>83.182000000000002</c:v>
                </c:pt>
                <c:pt idx="11">
                  <c:v>5.5736800000000004</c:v>
                </c:pt>
                <c:pt idx="12">
                  <c:v>154.89250000000001</c:v>
                </c:pt>
                <c:pt idx="13">
                  <c:v>29.070800000000002</c:v>
                </c:pt>
                <c:pt idx="14">
                  <c:v>2.0272000000000001</c:v>
                </c:pt>
                <c:pt idx="15">
                  <c:v>18.921000000000003</c:v>
                </c:pt>
                <c:pt idx="16">
                  <c:v>16.8</c:v>
                </c:pt>
                <c:pt idx="17">
                  <c:v>9.7200000000000006</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15.12.1.1 Purchased electricity (Location-based)</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599.726</c:v>
                </c:pt>
                <c:pt idx="1">
                  <c:v>7.4959999999999996</c:v>
                </c:pt>
                <c:pt idx="2">
                  <c:v>0.14399999999999999</c:v>
                </c:pt>
                <c:pt idx="3">
                  <c:v>42</c:v>
                </c:pt>
                <c:pt idx="4">
                  <c:v>2.73</c:v>
                </c:pt>
                <c:pt idx="5">
                  <c:v>4000</c:v>
                </c:pt>
                <c:pt idx="6">
                  <c:v>26.794</c:v>
                </c:pt>
                <c:pt idx="7">
                  <c:v>2.7</c:v>
                </c:pt>
                <c:pt idx="8">
                  <c:v>5146700</c:v>
                </c:pt>
                <c:pt idx="9">
                  <c:v>441.15000000000003</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2.423473231</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4200.517536</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2.578575518</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4469.350658</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2.423473231</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4200.517536</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2.578575518</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4469.350658</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2.423473231</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4200.517536</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7.813865205</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13543.48684</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2.42347323103</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4200.51753592087</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7.813865205</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13543.48684</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87D1826-19F8-4D86-914D-E6E009B17B7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987D1826-19F8-4D86-914D-E6E009B17B7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6FCE770-54E7-481D-A5E9-4EE494C7DF83}"/>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6FCE770-54E7-481D-A5E9-4EE494C7DF83}"/>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75592E2-30F4-4EF3-BBBF-2CB1E2B44858}"/>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75592E2-30F4-4EF3-BBBF-2CB1E2B44858}"/>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9BC1250-AA2D-43CF-B99B-B1EBEE66E56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9BC1250-AA2D-43CF-B99B-B1EBEE66E56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AC2EBFD-D316-4292-9D70-9E07D04A55FB}"/>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6AC2EBFD-D316-4292-9D70-9E07D04A55FB}"/>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007BF10-774A-41E5-A03A-7F48E74F5A2F}"/>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007BF10-774A-41E5-A03A-7F48E74F5A2F}"/>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0296F2F-F57A-445D-87BC-8A8EAADA8EF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0296F2F-F57A-445D-87BC-8A8EAADA8EF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F82181-9D9F-42F9-8E52-705E1D70662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AF82181-9D9F-42F9-8E52-705E1D70662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7F5C1B-F97C-4ADB-9280-3583F0E077B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57F5C1B-F97C-4ADB-9280-3583F0E077B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3ABE79-D9B8-4A13-8414-FEF5E04DE4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73ABE79-D9B8-4A13-8414-FEF5E04DE4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35B484C-A5A3-4C92-9427-63A6FC9D96C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35B484C-A5A3-4C92-9427-63A6FC9D96C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2E458DA-97B6-407F-B66E-F81F260F451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2E458DA-97B6-407F-B66E-F81F260F451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2262F5-0085-4375-887F-B140FD56A11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32262F5-0085-4375-887F-B140FD56A11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03DA31-97D8-471E-8A90-0817D5E6B7D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903DA31-97D8-471E-8A90-0817D5E6B7D0}"/>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5EE5C6-F016-43D3-AFEB-B2541A716EB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7E5EE5C6-F016-43D3-AFEB-B2541A716EB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38A50FC-C142-44B2-AA79-A27B863E26C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038A50FC-C142-44B2-AA79-A27B863E26C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434EFE-3B7D-4A7D-A622-6528C977638B}"/>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6434EFE-3B7D-4A7D-A622-6528C977638B}"/>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A42B635-6640-4AC3-8EFB-98EEF938A86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8A42B635-6640-4AC3-8EFB-98EEF938A86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F1487B-F5A9-43AF-8EA0-A086B43D86E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2F1487B-F5A9-43AF-8EA0-A086B43D86E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9ED135-C84F-4584-8503-277942BE958F}"/>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r>
                          <a:rPr lang="en-AU" sz="1000" b="0" i="1">
                            <a:latin typeface="Cambria Math" panose="02040503050406030204" pitchFamily="18" charset="0"/>
                          </a:rPr>
                          <m:t>,</m:t>
                        </m:r>
                        <m:r>
                          <m:rPr>
                            <m:sty m:val="p"/>
                          </m:rPr>
                          <a:rPr lang="en-AU" sz="1000" b="0" i="1">
                            <a:latin typeface="Cambria Math" panose="02040503050406030204" pitchFamily="18" charset="0"/>
                          </a:rPr>
                          <m:t>baled</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𝐵</m:t>
                        </m:r>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𝐵</m:t>
                            </m:r>
                          </m:sub>
                        </m:sSub>
                      </m:num>
                      <m:den>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m:t>
                            </m:r>
                            <m:r>
                              <a:rPr lang="en-AU" sz="1000" i="1">
                                <a:latin typeface="Cambria Math" panose="02040503050406030204" pitchFamily="18" charset="0"/>
                              </a:rPr>
                              <m:t>,</m:t>
                            </m:r>
                            <m:r>
                              <a:rPr lang="en-AU" sz="1000" i="1">
                                <a:latin typeface="Cambria Math" panose="02040503050406030204" pitchFamily="18" charset="0"/>
                              </a:rPr>
                              <m:t>𝑐</m:t>
                            </m:r>
                          </m:sub>
                        </m:sSub>
                      </m:den>
                    </m:f>
                    <m:r>
                      <a:rPr lang="en-AU" sz="1000" i="1">
                        <a:latin typeface="Cambria Math" panose="02040503050406030204" pitchFamily="18" charset="0"/>
                      </a:rPr>
                      <m:t> </m:t>
                    </m:r>
                  </m:oMath>
                </m:oMathPara>
              </a14:m>
              <a:endParaRPr lang="en-AU" sz="1000"/>
            </a:p>
          </xdr:txBody>
        </xdr:sp>
      </mc:Choice>
      <mc:Fallback xmlns="">
        <xdr:sp macro="" textlink="">
          <xdr:nvSpPr>
            <xdr:cNvPr id="3" name="TextBox 2">
              <a:extLst>
                <a:ext uri="{FF2B5EF4-FFF2-40B4-BE49-F238E27FC236}">
                  <a16:creationId xmlns:a16="http://schemas.microsoft.com/office/drawing/2014/main" id="{0F9ED135-C84F-4584-8503-277942BE958F}"/>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𝐹𝐹𝑂𝐷_(𝑐</a:t>
              </a:r>
              <a:r>
                <a:rPr lang="en-AU" sz="1000" b="0" i="0">
                  <a:latin typeface="Cambria Math" panose="02040503050406030204" pitchFamily="18" charset="0"/>
                </a:rPr>
                <a:t>,baled)</a:t>
              </a:r>
              <a:r>
                <a:rPr lang="en-AU" sz="1000" i="0">
                  <a:latin typeface="Cambria Math" panose="02040503050406030204" pitchFamily="18" charset="0"/>
                </a:rPr>
                <a:t>=(𝐵× 𝑀_𝐵)/(𝑃_𝑐× 𝑅_(𝐴𝐺,𝑐) ) </a:t>
              </a:r>
              <a:endParaRPr lang="en-AU" sz="10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2C79E67-836A-40B8-8826-20BB594A1D68}"/>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22C79E67-836A-40B8-8826-20BB594A1D68}"/>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9393A18-BD2F-4735-B952-F9AC2F888926}"/>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e>
                        </m:d>
                      </m:e>
                    </m:nary>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49393A18-BD2F-4735-B952-F9AC2F888926}"/>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𝐸=∑2_𝑐▒(𝑀_𝑐×𝐸𝐹_𝑁 ) ×𝐶_(𝑔,𝑁2𝑂)×10^(−3)</a:t>
              </a:r>
              <a:endParaRPr lang="en-AU" sz="10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48B6808-745E-4BED-903F-A4D35778F0C8}"/>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148B6808-745E-4BED-903F-A4D35778F0C8}"/>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008854E-0A14-4CC3-BF94-412D31A2C8BB}"/>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4008854E-0A14-4CC3-BF94-412D31A2C8BB}"/>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𝐸=∑_𝑐▒〖𝑀_𝑐×𝐸𝐹_𝑁×𝐶_(𝑔,𝑁2𝑂)×10^(−3)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A04CDF-8F12-4435-932D-A8DB0D8FE48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51A04CDF-8F12-4435-932D-A8DB0D8FE48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71C530C-4A7B-46CD-B742-B6A67096DC3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71C530C-4A7B-46CD-B742-B6A67096DC3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C2ED8BB-BB91-44C5-899C-B4ACD9A0DF9C}"/>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C2ED8BB-BB91-44C5-899C-B4ACD9A0DF9C}"/>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𝑀_(𝑏𝑢𝑟𝑛,𝑐)=𝑃_𝑐×𝑅_𝐴𝐺𝑐×𝑆_𝑐×𝐷𝑀_𝑐×𝑍_𝑐×𝐹_𝑐</a:t>
              </a:r>
              <a:endParaRPr lang="en-AU" sz="10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1FBE54A-7FA7-4FBA-AD05-E7AEF781DE88}"/>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81FBE54A-7FA7-4FBA-AD05-E7AEF781DE88}"/>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𝐸_𝑁2𝑂=∑2_𝑐▒(𝑀_(𝑏𝑢𝑟𝑛,𝑐)×𝑁𝐶_𝐴𝐺𝑐 ) ×𝐸𝐹_𝑁2𝑂×𝐶_𝑁2𝑂×10^(−3)</a:t>
              </a:r>
              <a:endParaRPr lang="en-AU" sz="10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80A325-EFC7-40E4-86D7-BE054713E39E}"/>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780A325-EFC7-40E4-86D7-BE054713E39E}"/>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𝐸_𝐶𝐻4=∑2_𝑐▒(𝑀_(𝑏𝑢𝑟𝑛,𝑐)×𝐶𝐶_𝑐 ) ×𝐸𝐹_𝐶𝐻4×𝐶_𝐶𝐻4×10^(−3)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D3E13-0DB0-4C3D-9593-0E3807329E9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ED4D3E13-0DB0-4C3D-9593-0E3807329E9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3019AA-D401-4E6E-9114-DAB097C477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93019AA-D401-4E6E-9114-DAB097C477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8B9EE-1D14-438F-B8E3-260C25E99BF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B28B9EE-1D14-438F-B8E3-260C25E99BF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377369-0D56-4456-96AB-18EB9771044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C377369-0D56-4456-96AB-18EB9771044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1901A5-FC73-42E9-93D3-8616155F14E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11901A5-FC73-42E9-93D3-8616155F14E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73C1E4-97D2-4432-B0E5-76A6BD363CB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073C1E4-97D2-4432-B0E5-76A6BD363CB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387742F-DF07-47BA-83BB-09A4396AB9D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387742F-DF07-47BA-83BB-09A4396AB9D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1B54F82-2E16-4FD5-9858-0317E2554DB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1B54F82-2E16-4FD5-9858-0317E2554DB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54FAFC-2306-4755-B9F1-F75A1FB0CC8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454FAFC-2306-4755-B9F1-F75A1FB0CC8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DFA783-8F18-4CB3-BEBE-A40506CE071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7DFA783-8F18-4CB3-BEBE-A40506CE0717}"/>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C9A72D-921C-419C-8780-F85386C0367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BFC9A72D-921C-419C-8780-F85386C0367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AEB864-0EC1-4F50-A739-937CF4CB1E80}"/>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4EAEB864-0EC1-4F50-A739-937CF4CB1E80}"/>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C3618E-7837-4E9B-8A9C-787B8159BD0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EC3618E-7837-4E9B-8A9C-787B8159BD0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8B939AD-711F-4D7C-9D7C-7CBED92CB14C}"/>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8B939AD-711F-4D7C-9D7C-7CBED92CB14C}"/>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B4C4273-361C-4175-A2D6-80BF45F40CF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B4C4273-361C-4175-A2D6-80BF45F40CF6}"/>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1BFD1D7-4E57-4B52-9FC7-D50FC256DA9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61BFD1D7-4E57-4B52-9FC7-D50FC256DA9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AB08AD4-3607-4B18-B502-1FF21E4D7205}"/>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0AB08AD4-3607-4B18-B502-1FF21E4D7205}"/>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7C20D08-661A-4531-9DCF-796464F58A99}"/>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87C20D08-661A-4531-9DCF-796464F58A99}"/>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CE66E91-584A-40FB-9A9B-66B5F40B60DC}"/>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2CE66E91-584A-40FB-9A9B-66B5F40B60DC}"/>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708A034-B85C-49F2-A64C-F8659581ECC8}"/>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2708A034-B85C-49F2-A64C-F8659581ECC8}"/>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4DB0E2C-263D-4619-ACB1-EE7B436A3824}"/>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4DB0E2C-263D-4619-ACB1-EE7B436A3824}"/>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37EE2A1-23AD-45F5-BAEA-FAA0B423662F}"/>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C37EE2A1-23AD-45F5-BAEA-FAA0B423662F}"/>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E55568E-BDF9-4E55-B0AE-DE118A34EC1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E55568E-BDF9-4E55-B0AE-DE118A34EC18}"/>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529E801-31FD-4B96-ABDD-E7AD6915388B}"/>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0529E801-31FD-4B96-ABDD-E7AD6915388B}"/>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F7587350-AE61-4825-913C-6220DB7925C9}"/>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F7587350-AE61-4825-913C-6220DB7925C9}"/>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C641DFA-A4FB-46F8-9801-C927DCFB75BC}"/>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4C641DFA-A4FB-46F8-9801-C927DCFB75BC}"/>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CA8D104A-C999-41AE-86CF-3F86D907582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CA8D104A-C999-41AE-86CF-3F86D907582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2E0AD5F7-7102-41AB-B10D-04AF71F1F38F}"/>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2E0AD5F7-7102-41AB-B10D-04AF71F1F38F}"/>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BC806A6-A46D-41D8-B084-070228F509A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4BC806A6-A46D-41D8-B084-070228F509A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AC73BCB-9FBF-422B-A983-5B2669EFC65B}"/>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1AC73BCB-9FBF-422B-A983-5B2669EFC65B}"/>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8AA11493-9007-47D0-BDBD-37B7733F6FB6}"/>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8AA11493-9007-47D0-BDBD-37B7733F6FB6}"/>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41C1497-BBF9-430A-8387-59EE6C1DF78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A41C1497-BBF9-430A-8387-59EE6C1DF78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5692EE8A-07D5-4EDC-B9FA-0CF69439642D}"/>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5692EE8A-07D5-4EDC-B9FA-0CF69439642D}"/>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9B23AA-EFDD-4C51-830A-B48EC99619C6}" name="Table_Input_InorganicFertiliser_Brands" displayName="Table_Input_InorganicFertiliser_Brands" ref="D11:Z21" headerRowDxfId="413" dataDxfId="412" totalsRowDxfId="41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F102F740-8D2E-403B-975A-F1EC347F230B}" name="Product (select)" dataDxfId="410" totalsRowDxfId="409" dataCellStyle="Input select"/>
    <tableColumn id="23" xr3:uid="{BA1AC392-089A-481C-8734-C69AE8680F3C}" name="Amount applied per hectare" totalsRowFunction="custom" dataDxfId="408" totalsRowDxfId="407">
      <totalsRowFormula>SUM(Table_Input_InorganicFertiliser_Brands[[#Headers],[#Data],[Amount applied per hectare]])</totalsRowFormula>
    </tableColumn>
    <tableColumn id="12" xr3:uid="{D9A0F152-B6E2-4CD8-95C6-90AD50324E60}" name="Application unit" dataDxfId="406" totalsRowDxfId="405" dataCellStyle="Input number 2 decimal places"/>
    <tableColumn id="6" xr3:uid="{FCC3925F-87D8-4C6F-9AE3-8FC3564C3FDF}" name="Application area (ha)" dataDxfId="404" totalsRowDxfId="403">
      <calculatedColumnFormula>X_Cell_Fertiliser_AreaUnderCropping</calculatedColumnFormula>
    </tableColumn>
    <tableColumn id="9" xr3:uid="{669FCE8E-88F4-4B0E-B6CA-5B7C7E045E7F}" name="Density" dataDxfId="402" totalsRowDxfId="401" dataCellStyle="Input number general calculated"/>
    <tableColumn id="1" xr3:uid="{703AE414-5563-44C2-A15C-B0A7FB5281D4}" name="Total applied (kg)" dataDxfId="400" totalsRowDxfId="39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AA2D650-3A7D-4CD3-BD07-8401CDFC2182}" name="Ingredient 1" dataDxfId="398" totalsRowDxfId="397" dataCellStyle="Input number general calculated"/>
    <tableColumn id="4" xr3:uid="{CF4F8EC1-8C1D-4E47-A538-8A7AAA84428E}" name="Ingredient 1 percent" dataDxfId="396" dataCellStyle="Input number general calculated"/>
    <tableColumn id="7" xr3:uid="{F98EAD36-A7EF-4D6D-8135-DC0F300CECD9}" name="Ingredient 2" dataDxfId="395" dataCellStyle="Input number general calculated"/>
    <tableColumn id="8" xr3:uid="{5359D9D4-C639-433E-8A78-4DA3FF8FAF64}" name="Ingredient 2 percent" dataDxfId="394" totalsRowDxfId="393" dataCellStyle="Input number general calculated"/>
    <tableColumn id="10" xr3:uid="{719E6A55-5082-43B1-A289-98DF98E4E06F}" name="Ingredient 3" dataDxfId="392" totalsRowDxfId="391" dataCellStyle="Input number general calculated"/>
    <tableColumn id="11" xr3:uid="{913243EC-56DA-4BB3-AAAF-61A9F4810458}" name="Ingredient 3 percent" dataDxfId="390" totalsRowDxfId="389" dataCellStyle="Input number general calculated"/>
    <tableColumn id="13" xr3:uid="{72592878-344E-4F2F-8721-CE992D377C11}" name="Ingredient 4" dataDxfId="388" totalsRowDxfId="387" dataCellStyle="Input number general calculated"/>
    <tableColumn id="14" xr3:uid="{D6DFD814-947D-404C-BCB5-6B1387880D5F}" name="Ingredient 4 percent" dataDxfId="386" dataCellStyle="Input number general calculated"/>
    <tableColumn id="16" xr3:uid="{027273B7-1091-4C4D-A6AD-7AADECB0AE81}" name="Ingredient 5" dataDxfId="385" dataCellStyle="Input number general calculated"/>
    <tableColumn id="17" xr3:uid="{591D3E8C-4669-48EF-8D1A-6B241E395AE6}" name="Ingredient 5 percent" dataDxfId="384" dataCellStyle="Input number general calculated"/>
    <tableColumn id="19" xr3:uid="{39AE6A92-3F98-4962-897E-E73EEDC20B72}" name="Ingredient 6" dataDxfId="383" dataCellStyle="Input number general calculated"/>
    <tableColumn id="20" xr3:uid="{94174694-0ED3-4F38-AB2C-05837EAC5D5C}" name="Ingredient 6 percent" dataDxfId="382" dataCellStyle="Input number general calculated"/>
    <tableColumn id="21" xr3:uid="{B829A337-AD1D-405D-8799-74C8C2FF8021}" name="% N (Ingredients)" dataDxfId="381" dataCellStyle="Input number general calculated"/>
    <tableColumn id="22" xr3:uid="{4059F032-02BC-4812-B1BF-4FE877878CE0}" name="% N (declared)" dataDxfId="380" dataCellStyle="Content normal"/>
    <tableColumn id="5" xr3:uid="{4092E10F-E8CC-455D-8140-FB23083629DB}" name="N application rate (kg/ha)" dataDxfId="379" totalsRowDxfId="37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5A16B06-01D4-43E1-A4C1-66E209C15C9C}" name="Urea source" dataDxfId="377" totalsRowDxfId="376" dataCellStyle="Input number general calculated"/>
    <tableColumn id="18" xr3:uid="{561E7504-A320-4F38-9BAE-B9FA2227325F}" name="Ammonia source" dataDxfId="375" totalsRowDxfId="374"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1D0DF91-4D45-4529-A82B-2B7025894CCE}" name="Table_Input_InorganicFertiliser_Custom" displayName="Table_Input_InorganicFertiliser_Custom" ref="D24:R34" totalsRowShown="0" headerRowDxfId="373" dataDxfId="37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8A46578-03EE-43EE-8843-DFCB3B99800D}" name="Custom blend name" dataCellStyle="Input text"/>
    <tableColumn id="2" xr3:uid="{61F638C2-29A1-43FF-9B24-6E9AD8D45A57}" name="Amount applied (kg / ha)" dataDxfId="371"/>
    <tableColumn id="3" xr3:uid="{0E6F5F43-78F4-4D9F-90AE-8A5E387522D7}" name="Application area (ha)" dataDxfId="370" dataCellStyle="Input number 2 decimal places">
      <calculatedColumnFormula>X_Cell_Fertiliser_AreaUnderCropping</calculatedColumnFormula>
    </tableColumn>
    <tableColumn id="4" xr3:uid="{3F2316FD-3CF3-4546-9AFE-B247B542843B}" name="Total applied (kg)" dataDxfId="369" dataCellStyle="Input number general calculated">
      <calculatedColumnFormula>Table_Input_InorganicFertiliser_Custom[[#This Row],[Amount applied (kg / ha)]]*Table_Input_InorganicFertiliser_Custom[[#This Row],[Application area (ha)]]</calculatedColumnFormula>
    </tableColumn>
    <tableColumn id="5" xr3:uid="{60F7A21D-89A7-4404-8B2C-C005A1176E34}" name="Ingredient 1 (select)" dataDxfId="368" dataCellStyle="Input select"/>
    <tableColumn id="6" xr3:uid="{9638048D-6180-4952-B443-AAE488EAC4E0}" name="Ingredient 1 percent" dataDxfId="367"/>
    <tableColumn id="8" xr3:uid="{C4B18E89-C54B-4B95-B37E-724A60D5A317}" name="Ingredient 2" dataDxfId="366" dataCellStyle="Input select"/>
    <tableColumn id="9" xr3:uid="{1F31FD15-6206-4E21-B630-6012EC8B1913}" name="Ingredient 2 percent" dataDxfId="365"/>
    <tableColumn id="11" xr3:uid="{E607D7DD-511A-448D-AC87-2EBBE47C627D}" name="Ingredient 3" dataDxfId="364" dataCellStyle="Input select"/>
    <tableColumn id="12" xr3:uid="{E7F92740-6A5F-48C0-B403-9B6A19F7243A}" name="Ingredient 3 percent" dataDxfId="363"/>
    <tableColumn id="14" xr3:uid="{F5EA0BDA-AB25-48E1-90DB-E277203FEC8B}" name="Ingredient 4" dataDxfId="362" dataCellStyle="Input select"/>
    <tableColumn id="15" xr3:uid="{8051814F-8728-4702-AA31-B7342926800C}" name="Ingredient 4 percent" dataCellStyle="Input percent"/>
    <tableColumn id="7" xr3:uid="{CB864848-DFE1-4A6A-9950-26C1188ACFEC}" name="N application rate (kg/ha)" dataDxfId="361" dataCellStyle="Input number general calculated"/>
    <tableColumn id="10" xr3:uid="{15D0E397-A1C0-4635-9112-BAC8A8623D72}" name="Urea source (Select)" dataCellStyle="Input select"/>
    <tableColumn id="13" xr3:uid="{DAE82384-A1DF-46D9-9265-DECE36EADE21}"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19E3F87-8A9C-4B23-807D-6368902F5C8F}" name="Table_Input_Lime" displayName="Table_Input_Lime" ref="D41:K44" totalsRowShown="0" headerRowDxfId="360" dataDxfId="35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3ECE189-B578-452F-A248-7AB990828A29}" name="Product" dataDxfId="358"/>
    <tableColumn id="2" xr3:uid="{9D8322C1-7A16-4260-B76B-CD6C4BD21D5D}" name="Amount applied (t/hectare)" dataDxfId="357"/>
    <tableColumn id="4" xr3:uid="{7FB7EC25-55D5-458D-B98D-70002F36D40C}" name="Application area (ha)" dataDxfId="356" dataCellStyle="Input number 2 decimal places">
      <calculatedColumnFormula>X_Cell_Fertiliser_AreaUnderCropping</calculatedColumnFormula>
    </tableColumn>
    <tableColumn id="3" xr3:uid="{A7CF61A2-0CFC-4798-BF23-07D49BF5C8A9}" name="Total amount applied (t)" dataDxfId="355" dataCellStyle="Input number general calculated">
      <calculatedColumnFormula>IFERROR(Table_Input_Lime[[#This Row],[Amount applied (t/hectare)]]*Table_Input_Lime[[#This Row],[Application area (ha)]], 0)</calculatedColumnFormula>
    </tableColumn>
    <tableColumn id="6" xr3:uid="{770FC6BE-4A1E-4B11-AF75-A6847E15A55E}" name="Percent Lime CaCO3" dataDxfId="354"/>
    <tableColumn id="8" xr3:uid="{2CC68F1A-0C09-43C6-80E5-9E0FAC220A8A}" name="Percent Dolomite CaMg(CO3)2" dataDxfId="353"/>
    <tableColumn id="7" xr3:uid="{D738B775-865D-4A48-AA27-D8F9E1FA4D1B}" name="Percent Gypsum" dataDxfId="352"/>
    <tableColumn id="10" xr3:uid="{96F05A60-4F7D-404C-ADD8-F9BE7A633354}" name="Total" dataDxfId="35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2A133AC-8F4B-49F5-85C4-BBE5DEE49D85}" name="Table_Input_OrganicFertiliser" displayName="Table_Input_OrganicFertiliser" ref="D53:J56" totalsRowShown="0" headerRowDxfId="350" dataDxfId="34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A91E71D-D209-4FF0-B788-7F4BEA4F64D1}" name="Organic fertiliser type (select)" dataDxfId="348" dataCellStyle="Input select"/>
    <tableColumn id="5" xr3:uid="{724F2F67-820C-4926-B1C7-ECF0BB541D63}" name="Percentage of N in fertiliser" dataDxfId="347"/>
    <tableColumn id="2" xr3:uid="{B1A57EFC-205D-4B2D-B892-2A3B64801FDC}" name="Amount applied (kg/hectare)" dataDxfId="346"/>
    <tableColumn id="11" xr3:uid="{41BC506B-792A-41B4-8C8D-EFA696BABE4D}" name="Amount N applied (kg/hectare)" dataDxfId="345" dataCellStyle="Input number general calculated">
      <calculatedColumnFormula>Table_Input_OrganicFertiliser[[#This Row],[Amount applied (kg/hectare)]]*Table_Input_OrganicFertiliser[[#This Row],[Percentage of N in fertiliser]]</calculatedColumnFormula>
    </tableColumn>
    <tableColumn id="4" xr3:uid="{5AD52C16-B03D-4671-9321-818873E61BFE}" name="Application area (ha)" dataDxfId="344" dataCellStyle="Input number 2 decimal places">
      <calculatedColumnFormula>X_Cell_Fertiliser_AreaUnderCropping</calculatedColumnFormula>
    </tableColumn>
    <tableColumn id="7" xr3:uid="{0C3AD68C-FB98-4293-84E9-DDFA646BB512}" name="Total organic fertliser applied" dataDxfId="343" dataCellStyle="Input number general calculated">
      <calculatedColumnFormula>Table_Input_OrganicFertiliser[[#This Row],[Amount applied (kg/hectare)]]*Table_Input_OrganicFertiliser[[#This Row],[Application area (ha)]]</calculatedColumnFormula>
    </tableColumn>
    <tableColumn id="3" xr3:uid="{E40EDA2C-06CD-4B06-A9CC-6404F810A28A}" name="Total nitrogen applied (kg)" dataDxfId="34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E6ED978-3F21-4230-8698-2347D8770451}" name="Table_Input_Fuel" displayName="Table_Input_Fuel" ref="D16:J21" totalsRowDxfId="34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308A009-B77C-4556-9CC6-FB813CB5121B}" name="Fuel use (select)" totalsRowFunction="average" totalsRowDxfId="340" dataCellStyle="Input select" totalsRowCellStyle="Input select"/>
    <tableColumn id="3" xr3:uid="{0A5FC69B-FB17-455D-816D-24D87EA461B4}" name="Fuel type (select)" totalsRowDxfId="339" dataCellStyle="Input select" totalsRowCellStyle="Input select"/>
    <tableColumn id="4" xr3:uid="{54A5C87D-DBA0-498B-A14C-0537145E1F41}" name="Amount purchased" totalsRowDxfId="338" totalsRowCellStyle="Content bold"/>
    <tableColumn id="6" xr3:uid="{523EF945-7DA3-424C-87B4-C68AAF5319D9}" name="Amount unit" totalsRowDxfId="337" dataCellStyle="Input number general calculated" totalsRowCellStyle="Input text calculated"/>
    <tableColumn id="5" xr3:uid="{54228D40-648C-499E-B5C3-80A0D62743C0}" name="Percent consumed" totalsRowDxfId="336" totalsRowCellStyle="Input percent">
      <calculatedColumnFormula>1</calculatedColumnFormula>
    </tableColumn>
    <tableColumn id="1" xr3:uid="{2BA69E3A-B659-406F-B334-E1367027CB77}" name="Amount consumed" totalsRowFunction="custom" totalsRowDxfId="33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A8E918E-89C8-4E0E-B120-AF9E2DF8353E}" name="Amount consumed unit" totalsRowDxfId="334" dataCellStyle="Input number general calculated"/>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0814F0A-09E3-4216-98F8-35B6E20F39F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66A80F6-A133-421C-8611-EC770612BA8B}" name="Description"/>
    <tableColumn id="5" xr3:uid="{71FEEFDD-E69A-455A-B071-97C4A14B61DF}" name="Source (select)" dataCellStyle="Input select"/>
    <tableColumn id="2" xr3:uid="{A29EF1C1-635C-4412-961C-39A234B835B6}" name="Generation date" dataDxfId="333"/>
    <tableColumn id="3" xr3:uid="{22FC3E36-205A-49FB-9EAC-21D8EECE62FF}" name="Number of certificates"/>
    <tableColumn id="4" xr3:uid="{B2F731CB-1B40-4DFA-893E-39267D000355}" name="MWh" dataCellStyle="Input number general calculated">
      <calculatedColumnFormula>Table_Input_RECSurrendered[[#This Row],[Number of certificates]]</calculatedColumnFormula>
    </tableColumn>
    <tableColumn id="7" xr3:uid="{935DD8DB-16A8-4F98-97FD-6181756DB89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1F7878C-2557-4FE8-A57D-53ED8BEEF70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C9824C0-5204-4C49-B7B0-5281A20F1727}" name="Description"/>
    <tableColumn id="5" xr3:uid="{7A83ABD5-1AF1-4B80-978C-126A6B7E0BC2}" name="Source" dataCellStyle="Input text calculated">
      <calculatedColumnFormula>"Issued for generated electricity"</calculatedColumnFormula>
    </tableColumn>
    <tableColumn id="2" xr3:uid="{BEE39C04-7389-452B-B282-9FACD4FCA910}" name="Generation date" dataDxfId="332"/>
    <tableColumn id="3" xr3:uid="{F031DFA7-28F7-4429-8DBC-AA9FB439F290}" name="Number of certificates"/>
    <tableColumn id="4" xr3:uid="{08A9D8CD-9A30-4A25-962E-331CAB96E7FD}" name="MWh" dataCellStyle="Input number general calculated">
      <calculatedColumnFormula>Table_Input_RECConsumedByEntity[[#This Row],[Number of certificates]]</calculatedColumnFormula>
    </tableColumn>
    <tableColumn id="7" xr3:uid="{3B9409D3-7CC8-4814-9DF3-8A31EED3E87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432AAEB-DCF4-41B0-B43A-E4CABF02F264}"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85C8AEA-F785-4962-94C3-0568B6E65812}" name="Product name" dataCellStyle="Input text"/>
    <tableColumn id="1" xr3:uid="{EB02D847-80B0-4FCB-AE20-5EB5B29AEA25}" name="Type (select)" dataCellStyle="Input select"/>
    <tableColumn id="2" xr3:uid="{E594E50B-7E6D-4671-9BED-AFA0D8DC0AD6}" name="Quantity purchased (kg)"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2069EA82-BA18-404D-B2F4-316A06527DA6}"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07BF51FF-65A1-4FA3-8E1A-EE5DA9C918AC}" name="Product / service name" dataCellStyle="Input text"/>
    <tableColumn id="2" xr3:uid="{20460442-394F-4CC7-A045-9F472026C976}" name="Amount" dataCellStyle="Input number general"/>
    <tableColumn id="3" xr3:uid="{529A6EB7-A568-48DF-B91B-0FD7B9CBD0E9}"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8A05F80C-8281-41C4-A482-0F8A2D1B5E1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8ACE336A-1C27-472A-B730-B62D8003E065}" name="Service provider / contractor" dataCellStyle="Input text"/>
    <tableColumn id="4" xr3:uid="{0CC9BCD3-352F-464E-9E97-C17D321A6FEC}" name="Activity" dataCellStyle="Input text"/>
    <tableColumn id="2" xr3:uid="{87E8E712-2863-4CD9-8BED-232276A2E084}" name="Total amount" dataCellStyle="Input number general"/>
    <tableColumn id="3" xr3:uid="{77737104-9B93-4FBC-95BB-60DF909A1407}"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92A1DF7-B04A-4727-B825-41AD90508106}" name="Table_Input_Pesticides" displayName="Table_Input_Pesticides" ref="D9:R19" totalsRowShown="0" headerRowDxfId="331">
  <autoFilter ref="D9:R19" xr:uid="{BA52E4BB-C3D1-441A-A568-0AD50449E880}"/>
  <tableColumns count="15">
    <tableColumn id="1" xr3:uid="{D5334FBC-5AE2-462A-8DA5-4EF3235BC06F}" name="Product name"/>
    <tableColumn id="2" xr3:uid="{62269F37-4D1E-457D-8083-6B6F20493A2E}" name="Amount applied per ha"/>
    <tableColumn id="7" xr3:uid="{602E3C9C-7A23-465D-A322-4E8944DC04EC}" name="Application unit (select)" dataCellStyle="Input select"/>
    <tableColumn id="6" xr3:uid="{4E345282-BE49-4B90-A21D-8D776798ABCF}" name="Application area (ha)" dataCellStyle="Input number general"/>
    <tableColumn id="3" xr3:uid="{AC6C2D77-1146-46F0-922D-DB4618B74B72}" name="Total applied" dataCellStyle="Input number general calculated">
      <calculatedColumnFormula>Table_Input_Pesticides[[#This Row],[Amount applied per ha]]*Table_Input_Pesticides[[#This Row],[Application area (ha)]]</calculatedColumnFormula>
    </tableColumn>
    <tableColumn id="5" xr3:uid="{105CCC90-CA95-463A-90D3-A18018C86784}" name="Constituent unit (select)" dataCellStyle="Input select"/>
    <tableColumn id="4" xr3:uid="{D3EEDE66-9662-4620-9C27-E4F7860A0C45}" name="Active ingredient 1 (select)" dataCellStyle="Input select"/>
    <tableColumn id="8" xr3:uid="{EE587041-430F-42AD-9811-AA4F3F22C5DB}" name="Active ingredient 1 amount" dataCellStyle="Input number general"/>
    <tableColumn id="16" xr3:uid="{C67789AD-3300-4BD1-BE41-DC90F00BA98E}"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12A42A-FFCE-43EF-978A-09DA32056A84}" name="Active ingredient 2 (select)" dataCellStyle="Input select"/>
    <tableColumn id="11" xr3:uid="{E5143C12-AF1A-44BC-89E8-C79EEF48F284}" name="Active ingredient 2 amount" dataCellStyle="Input number general"/>
    <tableColumn id="17" xr3:uid="{5C0B1CBA-1582-426F-8208-0DEF5D1270B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62FBF2F4-29B0-46F4-9215-A01377A56D09}" name="Active ingredient 3 (select)" dataCellStyle="Input select"/>
    <tableColumn id="14" xr3:uid="{FFC9D8DB-13EF-4C37-9B24-F41AFE4FF56F}" name="Active ingredient 3 amount" dataCellStyle="Input number general"/>
    <tableColumn id="18" xr3:uid="{D80070E2-A861-46CE-8E4B-B2C7634BDAF0}"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093FA3C-6E54-48EF-BA11-2EB79EA06CA4}"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C64C227F-1214-4B95-AF3D-58A995515076}" name="Route name" dataCellStyle="Input text"/>
    <tableColumn id="2" xr3:uid="{DF746A6C-EFF3-40DD-9602-47AAE1D9BCAF}" name="Freight type (select)" dataCellStyle="Input select"/>
    <tableColumn id="3" xr3:uid="{B4D9452E-50D8-4401-A756-B6009D699C1C}" name="Route distance (km)"/>
    <tableColumn id="4" xr3:uid="{27EF299B-2342-43B9-85C8-E8EB0E7D916F}" name="Average weight of freight per trip (t)"/>
    <tableColumn id="5" xr3:uid="{02B46668-8882-4F3D-92E8-1AE72B437942}"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3CB8AFD-E93C-4E8C-B28A-B0079524ACDE}"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A1D5518E-5E57-4AE8-8CEF-E4B6443993A7}" name="Route name" dataCellStyle="Input text"/>
    <tableColumn id="2" xr3:uid="{487C9363-3BAC-4016-9589-301A0771801B}" name="Freight type (select)" dataCellStyle="Input select"/>
    <tableColumn id="3" xr3:uid="{D2145B06-AAC4-429F-9900-7EE5AB2FE3FB}" name="Route distance (km)"/>
    <tableColumn id="4" xr3:uid="{A23CD243-15AA-4AB5-85E3-40D3A52F77C9}" name="Average weight of freight per trip (t)"/>
    <tableColumn id="5" xr3:uid="{165AB2D4-5B7A-4158-AB38-324DEA520971}" name="Number of trips take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634079A-695A-4D18-A7AD-E7A6BB2EAFE2}"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87154AF-E9F4-4FB5-A2B7-DB6F1C456527}" name="Description" dataCellStyle="Input text"/>
    <tableColumn id="5" xr3:uid="{AEA0B2DF-8EC9-4BC2-93BA-A8BB0693B77A}" name="Treatment type (select)" dataCellStyle="Input select"/>
    <tableColumn id="2" xr3:uid="{E159AD85-AFE7-4A3E-9816-B49BB6841F07}" name="Waste type (select)" dataCellStyle="Input select"/>
    <tableColumn id="3" xr3:uid="{3EAEA4D4-BEBC-4E4F-BAAF-2BE79454ADE7}" name="Treatment location (select)" dataCellStyle="Input select"/>
    <tableColumn id="4" xr3:uid="{BF23D518-27D3-4A2A-9734-C15A8D38B258}" name="Amount" dataCellStyle="Input number general"/>
    <tableColumn id="7" xr3:uid="{B285CE0E-2AA6-4FFA-9C77-7BDFA8C88D1A}" name="Amount unit (selec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C524496-1C9B-4221-8993-D538367A5FA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8BB80B9-CB81-4B07-9D71-9B42324E96CA}" name="Crop type">
      <calculatedColumnFormula array="1">Common_InputFunctions.Utility_DisplayArrayInTable(Agresidue_SourceData.CropAttributes_Data(),Table_SourceData_CropAttributes[[#Headers],[Crop type]], -1)</calculatedColumnFormula>
    </tableColumn>
    <tableColumn id="2" xr3:uid="{C5A1831A-9C9C-4885-9FDF-FBFC36C9F4AB}" name="Residue: Crop ratio">
      <calculatedColumnFormula array="1">Common_InputFunctions.Utility_DisplayArrayInTable(Agresidue_SourceData.CropAttributes_Data(),Table_SourceData_CropAttributes[[#Headers],[Crop type]], -1)</calculatedColumnFormula>
    </tableColumn>
    <tableColumn id="3" xr3:uid="{12389B3A-B3E3-4D1B-8FD6-9F29E5A96463}" name="Below-ground: above-ground residue ratio">
      <calculatedColumnFormula array="1">Common_InputFunctions.Utility_DisplayArrayInTable(Agresidue_SourceData.CropAttributes_Data(),Table_SourceData_CropAttributes[[#Headers],[Crop type]], -1)</calculatedColumnFormula>
    </tableColumn>
    <tableColumn id="4" xr3:uid="{545833EC-6E8D-45AC-95BB-E4F8246C97F7}" name="Dry matter content">
      <calculatedColumnFormula array="1">Common_InputFunctions.Utility_DisplayArrayInTable(Agresidue_SourceData.CropAttributes_Data(),Table_SourceData_CropAttributes[[#Headers],[Crop type]], -1)</calculatedColumnFormula>
    </tableColumn>
    <tableColumn id="5" xr3:uid="{6D0099B7-87CE-4D5E-A6A4-78E9C9F535E9}" name="Carbon fraction in dry matter">
      <calculatedColumnFormula array="1">Common_InputFunctions.Utility_DisplayArrayInTable(Agresidue_SourceData.CropAttributes_Data(),Table_SourceData_CropAttributes[[#Headers],[Crop type]], -1)</calculatedColumnFormula>
    </tableColumn>
    <tableColumn id="6" xr3:uid="{2F5E6BDB-15D8-4BB1-A69F-5C71C83BD0B6}" name="N content above-ground">
      <calculatedColumnFormula array="1">Common_InputFunctions.Utility_DisplayArrayInTable(Agresidue_SourceData.CropAttributes_Data(),Table_SourceData_CropAttributes[[#Headers],[Crop type]], -1)</calculatedColumnFormula>
    </tableColumn>
    <tableColumn id="7" xr3:uid="{BCD6A173-54DE-4E41-93E7-0CF589AAC908}" name="N content below-ground">
      <calculatedColumnFormula array="1">Common_InputFunctions.Utility_DisplayArrayInTable(Agresidue_SourceData.CropAttributes_Data(),Table_SourceData_CropAttributes[[#Headers],[Crop type]], -1)</calculatedColumnFormula>
    </tableColumn>
    <tableColumn id="8" xr3:uid="{B25CF572-59D4-4E0B-8114-9F20F33B655D}"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2CE49013-67C1-4206-916A-3AB59A39D9A5}"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8B61997D-C3D7-4064-ACEA-D6EA8EB5BE62}" name="Table76" displayName="Table76" ref="D73:F89" totalsRowShown="0">
  <autoFilter ref="D73:F89" xr:uid="{7CD0B032-9881-4EF1-81E3-483C7C16D9D0}">
    <filterColumn colId="0" hiddenButton="1"/>
    <filterColumn colId="1" hiddenButton="1"/>
    <filterColumn colId="2" hiddenButton="1"/>
  </autoFilter>
  <tableColumns count="3">
    <tableColumn id="1" xr3:uid="{2EF81292-16A4-4D17-8F86-F13A945E0466}" name="Crop type c">
      <calculatedColumnFormula array="1">Common_InputFunctions.Utility_DisplayArrayInTable(Agresidue_SourceData.CropFractionRemoved_Data(), Table76[[#Headers],[Crop type c]], 0)</calculatedColumnFormula>
    </tableColumn>
    <tableColumn id="2" xr3:uid="{09077B45-FF5B-4ECA-BA09-D1446F57A241}" name="State" dataDxfId="330">
      <calculatedColumnFormula array="1">Common_InputFunctions.Utility_DisplayArrayInTable(Agresidue_SourceData.CropFractionRemoved_Data(), Table76[[#Headers],[Crop type c]], 0)</calculatedColumnFormula>
    </tableColumn>
    <tableColumn id="3" xr3:uid="{F6D1531E-D43A-439F-B8D5-00140B4373F1}" name="Fraction removed" dataDxfId="32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1E31378-9F3B-4DF1-B848-B288A2157D7A}" name="Table77" displayName="Table77" ref="D92:F235" totalsRowShown="0">
  <autoFilter ref="D92:F235" xr:uid="{1FA7CC86-1C1E-41FA-9AA1-AAD48AA2EEF0}">
    <filterColumn colId="0" hiddenButton="1"/>
    <filterColumn colId="1" hiddenButton="1"/>
    <filterColumn colId="2" hiddenButton="1"/>
  </autoFilter>
  <tableColumns count="3">
    <tableColumn id="1" xr3:uid="{FADD17FA-9289-4808-8A74-2C2CA5101072}" name="Crop type c">
      <calculatedColumnFormula array="1">Common_InputFunctions.Utility_DisplayArrayInTable(Agresidue_SourceData.CropFractionRemoved_CustomisedData(), Table77[[#Headers],[Crop type c]], 0)</calculatedColumnFormula>
    </tableColumn>
    <tableColumn id="2" xr3:uid="{474826B7-4025-4A6B-9052-F150C7B0186F}" name="State" dataDxfId="328">
      <calculatedColumnFormula array="1">Common_InputFunctions.Utility_DisplayArrayInTable(Agresidue_SourceData.CropFractionRemoved_CustomisedData(), Table77[[#Headers],[Crop type c]], 0)</calculatedColumnFormula>
    </tableColumn>
    <tableColumn id="3" xr3:uid="{2922CE98-0BDF-476C-A206-E47F4203A4AE}" name="Fraction removed" dataDxfId="32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4BDDDB16-CB1F-4859-9A27-E44EE5136E93}" name="Table_SourceData_N2OEFOrganicFert" displayName="Table_SourceData_N2OEFOrganicFert" ref="D43:E45" totalsRowShown="0" dataDxfId="326" dataCellStyle="Content bold">
  <autoFilter ref="D43:E45" xr:uid="{2270AB6D-D03A-4D71-95C0-00BA6BB02732}">
    <filterColumn colId="0" hiddenButton="1"/>
    <filterColumn colId="1" hiddenButton="1"/>
  </autoFilter>
  <tableColumns count="2">
    <tableColumn id="1" xr3:uid="{77D595FB-752B-482F-BB75-D5D6FFF1070E}" name="Climate zone type i" dataDxfId="325" dataCellStyle="Content bold">
      <calculatedColumnFormula array="1">Common_InputFunctions.Utility_DisplayArrayInTable(Agresidue_SourceData.N2OEFOrganicFertiliser_Data(), Table_SourceData_N2OEFOrganicFert[[#Headers],[Climate zone type i]], 0)</calculatedColumnFormula>
    </tableColumn>
    <tableColumn id="2" xr3:uid="{B79CD9AE-DF96-46E5-BCAD-94F51CFEEF2B}" name="EF i N2O" dataDxfId="32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B34A6D28-CD82-4E81-ACE2-32584FF1C4F6}" name="Table_SourceData_PastureAttributes" displayName="Table_SourceData_PastureAttributes" ref="D51:I56" totalsRowShown="0" dataDxfId="32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D3CFF500-788F-443C-B693-5805E4C946A9}" name="Pasture type" dataDxfId="322" dataCellStyle="Content normal">
      <calculatedColumnFormula array="1">Common_InputFunctions.Utility_DisplayArrayInTable(Agresidue_SourceData.PastureAttributes_Data(), Table_SourceData_PastureAttributes[[#Headers],[Pasture type]], 0)</calculatedColumnFormula>
    </tableColumn>
    <tableColumn id="2" xr3:uid="{2B816A3C-954C-49F4-ADA5-13746D8B4D35}" name="Average Yield (t DM ha) Yp" dataDxfId="321" dataCellStyle="Content normal">
      <calculatedColumnFormula array="1">Common_InputFunctions.Utility_DisplayArrayInTable(Agresidue_SourceData.PastureAttributes_Data(), Table_SourceData_PastureAttributes[[#Headers],[Pasture type]], 0)</calculatedColumnFormula>
    </tableColumn>
    <tableColumn id="3" xr3:uid="{AABD6175-AE16-4735-B288-375288F63F95}" name="Below-ground: above-ground residue ratio RBGp" dataDxfId="320" dataCellStyle="Content normal">
      <calculatedColumnFormula array="1">Common_InputFunctions.Utility_DisplayArrayInTable(Agresidue_SourceData.PastureAttributes_Data(), Table_SourceData_PastureAttributes[[#Headers],[Pasture type]], 0)</calculatedColumnFormula>
    </tableColumn>
    <tableColumn id="4" xr3:uid="{FAE37715-25B5-4756-99E6-715E21006580}" name="N content Above-ground NCAGp" dataDxfId="319" dataCellStyle="Content normal">
      <calculatedColumnFormula array="1">Common_InputFunctions.Utility_DisplayArrayInTable(Agresidue_SourceData.PastureAttributes_Data(), Table_SourceData_PastureAttributes[[#Headers],[Pasture type]], 0)</calculatedColumnFormula>
    </tableColumn>
    <tableColumn id="5" xr3:uid="{5AB5048C-6F7A-45F3-8E65-5B72B2584C5C}" name="N content Below-ground NCBGp" dataDxfId="318" dataCellStyle="Content normal">
      <calculatedColumnFormula array="1">Common_InputFunctions.Utility_DisplayArrayInTable(Agresidue_SourceData.PastureAttributes_Data(), Table_SourceData_PastureAttributes[[#Headers],[Pasture type]], 0)</calculatedColumnFormula>
    </tableColumn>
    <tableColumn id="6" xr3:uid="{B236DC4A-E162-442D-8A61-C0A413EE28FC}" name="Fraction of pasture yield that is removed FFODp" dataDxfId="31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A4A2EBBC-C0CF-4869-92B6-D87492500AE5}"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0E80AD62-E17E-4D20-B4BA-5023A3FAABED}" name="Gas species">
      <calculatedColumnFormula array="1">Common_InputFunctions.Utility_DisplayArrayInTable(AgResidues_SourceData.BurningOfAgriculturalResiduesEFs_Data(), Table_SourceData_BurningResidueEFs[[#Headers],[Gas species]], 0)</calculatedColumnFormula>
    </tableColumn>
    <tableColumn id="2" xr3:uid="{9C8A0D93-0027-44DB-8349-E2CEEAE01C62}" name="Emission factor EFg (Gg element in species/ Gg element in fuel burnt)" dataDxfId="316" dataCellStyle="Content normal">
      <calculatedColumnFormula array="1">Common_InputFunctions.Utility_DisplayArrayInTable(AgResidues_SourceData.BurningOfAgriculturalResiduesEFs_Data(), Table_SourceData_BurningResidueEFs[[#Headers],[Gas species]], 0)</calculatedColumnFormula>
    </tableColumn>
    <tableColumn id="3" xr3:uid="{5593D64A-36D7-4E00-A9FA-B592391B75C0}" name="Elemental to molecular mass conversion factor (Cg)" dataDxfId="31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D67C064-9B26-4082-A5E9-87FB11EC9FDE}" name="Table_SourceData_CropPurposeAndYields" displayName="Table_SourceData_CropPurposeAndYields" ref="D7:K10" totalsRowShown="0" headerRowDxfId="31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B0A48D8-08C0-49AE-9047-6967A5DA2B6E}" name="Purpose">
      <calculatedColumnFormula array="1">Common_InputFunctions.Utility_DisplayArrayInTable(Agresidue_SourceData.CropPurposeAndYield_Data(), Table_SourceData_CropPurposeAndYields[[#Headers],[Purpose]], 0)</calculatedColumnFormula>
    </tableColumn>
    <tableColumn id="2" xr3:uid="{F4D0086D-9E1B-48F0-89B8-65EAE6B11D50}" name="Per hectare unit">
      <calculatedColumnFormula array="1">Common_InputFunctions.Utility_DisplayArrayInTable(Agresidue_SourceData.CropPurposeAndYield_Data(), Table_SourceData_CropPurposeAndYields[[#Headers],[Purpose]], 0)</calculatedColumnFormula>
    </tableColumn>
    <tableColumn id="3" xr3:uid="{A6F0A10F-ED09-479A-BC6E-794C228F8753}" name="harvest term">
      <calculatedColumnFormula array="1">Common_InputFunctions.Utility_DisplayArrayInTable(Agresidue_SourceData.CropPurposeAndYield_Data(), Table_SourceData_CropPurposeAndYields[[#Headers],[Purpose]], 0)</calculatedColumnFormula>
    </tableColumn>
    <tableColumn id="4" xr3:uid="{07B477E9-AB98-49D5-9284-0D6CF1283792}" name="harvest endpoint">
      <calculatedColumnFormula array="1">Common_InputFunctions.Utility_DisplayArrayInTable(Agresidue_SourceData.CropPurposeAndYield_Data(), Table_SourceData_CropPurposeAndYields[[#Headers],[Purpose]], 0)</calculatedColumnFormula>
    </tableColumn>
    <tableColumn id="5" xr3:uid="{0A57B307-FF6F-4FB7-8C8A-39E8FC1026C5}" name="Harvest uit">
      <calculatedColumnFormula array="1">Common_InputFunctions.Utility_DisplayArrayInTable(Agresidue_SourceData.CropPurposeAndYield_Data(), Table_SourceData_CropPurposeAndYields[[#Headers],[Purpose]], 0)</calculatedColumnFormula>
    </tableColumn>
    <tableColumn id="6" xr3:uid="{8CDB4C8F-CEFD-479A-9BA6-0626A4CD7637}" name="Yield note">
      <calculatedColumnFormula array="1">Common_InputFunctions.Utility_DisplayArrayInTable(Agresidue_SourceData.CropPurposeAndYield_Data(), Table_SourceData_CropPurposeAndYields[[#Headers],[Purpose]], 0)</calculatedColumnFormula>
    </tableColumn>
    <tableColumn id="8" xr3:uid="{AC2A5B0C-103B-44E2-9301-EE4DF24AEC9E}" name="Residue crop ratio note">
      <calculatedColumnFormula array="1">Common_InputFunctions.Utility_DisplayArrayInTable(Agresidue_SourceData.CropPurposeAndYield_Data(), Table_SourceData_CropPurposeAndYields[[#Headers],[Purpose]], 0)</calculatedColumnFormula>
    </tableColumn>
    <tableColumn id="9" xr3:uid="{CB29996E-A1F6-4081-881F-20CFA6A42F7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ECDA690-E00A-498C-B113-7AB69E709028}" name="Table_SourceData_Fertiliser_IrrigationMethods71" displayName="Table_SourceData_Fertiliser_IrrigationMethods71" ref="N21:N26" totalsRowShown="0">
  <autoFilter ref="N21:N26" xr:uid="{1AC5909E-E06C-4A79-81E9-C25A0B6D9E90}">
    <filterColumn colId="0" hiddenButton="1"/>
  </autoFilter>
  <tableColumns count="1">
    <tableColumn id="1" xr3:uid="{46108496-45C7-45C2-A86E-0FA40F70DF00}"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235CDE6-3ED9-4C74-811E-F91717BB3B79}" name="Table_SourceData_ElectricityEFs" displayName="Table_SourceData_ElectricityEFs" ref="D9:F19" totalsRowShown="0" headerRowDxfId="313">
  <autoFilter ref="D9:F19" xr:uid="{3144A982-7A4D-4CF2-8790-1A30DAE3E0A4}">
    <filterColumn colId="0" hiddenButton="1"/>
    <filterColumn colId="1" hiddenButton="1"/>
    <filterColumn colId="2" hiddenButton="1"/>
  </autoFilter>
  <tableColumns count="3">
    <tableColumn id="1" xr3:uid="{C323D573-9304-49DE-B3A0-DD18780C5DE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B431762-06C9-49B4-A9BE-5A9ABD5CBCBA}"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D2A1ABA7-CA45-4D3D-9196-C75440376FF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246D466-BFDD-4462-907D-DBA6214CFF5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C52275E-1761-4C9E-A6AE-EA3437176365}" name="State, Territory or grid description"/>
    <tableColumn id="2" xr3:uid="{54664A75-7120-4CEA-90F3-E17737BDE431}" name="Scope 2 EF (kg CO2-e/kWh)"/>
    <tableColumn id="3" xr3:uid="{F5107777-AA97-461F-9F72-DA71DBC27A47}" name="Scope 2 EF (kg CO2-e/GJ)"/>
    <tableColumn id="4" xr3:uid="{87B09AB9-E20E-47D5-BFB6-B42BED3C9B4B}" name="Scope 3 EF (kg CO2-e/kWh)"/>
    <tableColumn id="5" xr3:uid="{09B467F3-A426-4BCB-820E-072811D3C610}" name="Scope 3 EF (kg CO2-e/GJ)"/>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10F8BC-385D-4ECD-AAC0-AFFB00BD6F6E}"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5BBA91B-CF59-40D9-AF24-EEC87CCC3FD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A8C5C5F-85CA-4DEC-8150-B4D92E3E11EA}" name="FNinorganic f">
      <calculatedColumnFormula array="1">Common_InputFunctions.Utility_DisplayArrayInTable(Fertiliser_SourceData.Fertiliser_ChemicalCompoundElements_Data(),Table_Fertiliser_ChemicalCompounds[[#Headers],[Fertiliser type f]], 0)</calculatedColumnFormula>
    </tableColumn>
    <tableColumn id="3" xr3:uid="{12B6B78E-9848-4C6C-9F86-F8E476C31CE4}" name="FU f">
      <calculatedColumnFormula array="1">Common_InputFunctions.Utility_DisplayArrayInTable(Fertiliser_SourceData.Fertiliser_ChemicalCompoundElements_Data(),Table_Fertiliser_ChemicalCompounds[[#Headers],[Fertiliser type f]], 0)</calculatedColumnFormula>
    </tableColumn>
    <tableColumn id="4" xr3:uid="{0C3098C4-DFD6-46ED-B321-ED6A869F9AD8}" name="Basis">
      <calculatedColumnFormula array="1">Common_InputFunctions.Utility_DisplayArrayInTable(Fertiliser_SourceData.Fertiliser_ChemicalCompoundElements_Data(),Table_Fertiliser_ChemicalCompounds[[#Headers],[Fertiliser type f]], 0)</calculatedColumnFormula>
    </tableColumn>
    <tableColumn id="5" xr3:uid="{78E64427-4172-4EF2-8FDB-DA6A8E4F36F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C890827-CEEA-46A6-89F8-CEA72BD1748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289490-389C-464B-B1E7-8579846B8B79}"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504585F0-5803-4283-8B51-FBB316057BCA}" name="Company" totalsRowFunction="custom" totalsRowDxfId="312">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E313DFC-4BB4-45EC-9F6E-61275179FAE4}"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80AD1FF-2FB2-4E43-ACEA-1460F37DE36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F0A3D1D-0388-401C-945A-B2D4E35A9B9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BC9B569-9057-4656-93B6-A2D3563E09E3}"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53868623-D167-42D5-82CE-CD1630167ED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FA4A1247-45ED-40CD-90BF-F5935FCBEA05}"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5738734-2C6D-4AA2-B9F3-E34395CC7536}"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AF316262-CFDB-4DB7-BDF8-DC9EF506980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72C309C4-0506-40D5-A5D8-BC4A140F3615}"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E7D248D-B40D-46A2-ABBC-16318197335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09B3588-3423-4F40-8B9F-463B9C94C248}"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6156193-B418-42D2-AC15-8E342CA7345A}"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DFF317DD-E874-4780-808E-03544D6DA218}"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6AC84B7C-1B97-43BF-BEEF-40711C95156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A87FE6A4-84B0-45FF-A0F8-A76EA9A2FF40}"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7516889F-527F-4A63-9EAB-44D2A2209E0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B920F362-C018-46C1-B45B-914F6F93950A}"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314623A6-9C32-4B03-BB01-84F3D1077A45}"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3E5ADEA2-7DE8-4F81-9FEA-6FF5ED90DCAD}"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6BFD28BA-C4D8-472E-BE41-00838A4434C4}"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562532D-97C8-48E0-AFC9-1CBEAF36D47F}"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6136067-AE80-4A49-9961-628CC3F1CA09}"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67346D6F-CCC1-4149-BC85-CAECAAB54E44}"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3798BE42-A137-49D0-8BC8-A6B84BEC1926}"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5730925B-8AF3-4ADB-A60E-E651EE70AB1A}"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FAF077A1-2A2A-4988-A82D-082A5E16BAF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5AE4046C-48DB-4DA6-B338-FABA9EAA939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80F2ABDE-11D9-42E8-B281-FD6584331B7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ABB21126-719C-4CE9-AD36-13ABE8BA9E57}"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40B51115-D1A6-4E06-8FE6-5E5B834BEE5B}" name="Ingredient 10 percent" totalsRow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AE58024-E2A6-4173-A535-3ECC3E0D205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2F8688C-99B9-43C1-9D37-BB3FDB40EFDF}" name="Fertiliser type f">
      <calculatedColumnFormula array="1">Common_InputFunctions.Utility_DisplayArrayInTable(Fertiliser_SourceData.Fertiliser_FracGASF_Data(), Table_SourceData_Fertiliser_FracGASF[[#Headers],[Fertiliser type f]], 0)</calculatedColumnFormula>
    </tableColumn>
    <tableColumn id="2" xr3:uid="{A7231FBF-EC36-4941-9E9F-B5D7A59F16B9}" name="FracGASF f" dataDxfId="31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28BF38-F1CB-465B-8ABF-A0F68CC04DD6}" name="Table_SourceData_Fertiliser_CropProdSystems" displayName="Table_SourceData_Fertiliser_CropProdSystems" ref="D41:D43" totalsRowShown="0">
  <autoFilter ref="D41:D43" xr:uid="{24F3A11E-40F5-4BB9-BFF4-A71FA2ADA0EF}">
    <filterColumn colId="0" hiddenButton="1"/>
  </autoFilter>
  <tableColumns count="1">
    <tableColumn id="1" xr3:uid="{52A5730F-89B8-466E-B9F6-21764D60C84F}" name="Production system">
      <calculatedColumnFormula>#REF!</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02EB9D-2FCB-49B7-B6EF-BD7B9F5FB26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EE84921-4F0B-459B-8ED5-F09CB9845111}" name="Irrigation method"/>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3EA3DAD-BB41-4449-A0D2-3343558E7E85}" name="Table_SourceData_Fertiliser_CropTypes" displayName="Table_SourceData_Fertiliser_CropTypes" ref="F41:F45" totalsRowShown="0">
  <autoFilter ref="F41:F45" xr:uid="{CB5044B5-FA3C-4AA2-B1AB-72F7E61D072F}">
    <filterColumn colId="0" hiddenButton="1"/>
  </autoFilter>
  <tableColumns count="1">
    <tableColumn id="1" xr3:uid="{62400D21-FF47-4D82-8D0B-6D9BB91B4432}" name="Production system"/>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97333-F511-426B-826A-542595EAA406}" name="Table_SourceData_OrganicFertiliserTypes" displayName="Table_SourceData_OrganicFertiliserTypes" ref="J41:J46" totalsRowShown="0">
  <autoFilter ref="J41:J46" xr:uid="{B44627B1-537E-4ABC-92C3-57282CEE5B40}">
    <filterColumn colId="0" hiddenButton="1"/>
  </autoFilter>
  <tableColumns count="1">
    <tableColumn id="1" xr3:uid="{A2786F41-59D4-445C-9160-0B63C9B5E2AE}" name="Organic fertiliser typ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2975BE2-03A7-45A9-A390-8CD08A48EAC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8DBCEC2-1FF7-4A5C-8C1D-96F2B73FC6C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54E22EC-912F-4338-A230-E1FDC9E0CC13}" name="P" dataDxfId="31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B1482DE5-B7B3-4260-8EAD-50577E6FF2CB}" name="EF" dataDxfId="3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60D1536-84D8-4297-B587-AA3090639A2C}" name="Table2" displayName="Table2" ref="K19:L28" totalsRowShown="0" dataDxfId="308" dataCellStyle="Content normal">
  <autoFilter ref="K19:L28" xr:uid="{27B93029-EB1F-4C4A-A946-CD673A8A6C46}">
    <filterColumn colId="0" hiddenButton="1"/>
    <filterColumn colId="1" hiddenButton="1"/>
  </autoFilter>
  <tableColumns count="2">
    <tableColumn id="1" xr3:uid="{98C577F1-9F31-42F3-9ACA-BA18831E34C9}" name="Fertiliser type f" dataDxfId="307" dataCellStyle="Content normal">
      <calculatedColumnFormula array="1">Common_InputFunctions.Utility_DisplayArrayInTable(Fertiliser_SourceData.Fertiliser_FractionNCommonFertilisers_Data(), Table2[[#Headers],[Fertiliser type f]], 0)</calculatedColumnFormula>
    </tableColumn>
    <tableColumn id="2" xr3:uid="{8489D38C-96EA-44C5-A184-024FDE8F1AA1}" name="FNinorganic f" dataDxfId="30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ECE16BA-2EC7-4F1F-8D22-7B697139EF1D}" name="Table28" displayName="Table28" ref="Q19:R28" totalsRowShown="0" dataDxfId="305" dataCellStyle="Content normal">
  <autoFilter ref="Q19:R28" xr:uid="{791CEA59-796C-47AB-86BC-41E8F699030C}">
    <filterColumn colId="0" hiddenButton="1"/>
    <filterColumn colId="1" hiddenButton="1"/>
  </autoFilter>
  <tableColumns count="2">
    <tableColumn id="1" xr3:uid="{733043F4-32FB-4D3A-AC8C-6899CEFEAF3C}" name="Fertiliser type f" dataDxfId="304" dataCellStyle="Content normal">
      <calculatedColumnFormula array="1">Common_InputFunctions.Utility_DisplayArrayInTable(Fertiliser_SourceData.Fertiliser_FractionUreaCommonFertilisers_Data(), Table28[[#Headers],[Fertiliser type f]], 0)</calculatedColumnFormula>
    </tableColumn>
    <tableColumn id="2" xr3:uid="{C2E0CDA0-3124-4B97-B6F1-605C63EBBC40}" name="FNinorganic f" dataDxfId="30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657CB46-9EED-4D87-8F62-EACC7D80514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89ACE1E-0860-47E5-A27E-83C109F520D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B43EDDC-6333-447A-BD24-AEC10C1DBCA2}" name="Table_Fuel_EFs_StationaryLiquid" displayName="Table_Fuel_EFs_StationaryLiquid" ref="D53:K77" totalsRowShown="0" headerRowDxfId="302" dataDxfId="30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81A70CF-9523-4B43-B580-7127494F52C7}" name="Fuel combusted" dataDxfId="300">
      <calculatedColumnFormula array="1">Common_InputFunctions.Utility_DisplayArrayInTable(Fuel_SourceData.Fuel_Scope1Scope3EmissionFactorsStationaryLiquid_Data(), Table_Fuel_EFs_StationaryLiquid[[#Headers],[Fuel combusted]],0)</calculatedColumnFormula>
    </tableColumn>
    <tableColumn id="2" xr3:uid="{DB739980-DC50-47BB-8E99-2CCF5525DA2A}" name="Energy Content Factor (GJ per unit of fuel)" dataDxfId="299">
      <calculatedColumnFormula array="1">Common_InputFunctions.Utility_DisplayArrayInTable(Fuel_SourceData.Fuel_Scope1Scope3EmissionFactorsStationaryLiquid_Data(), Table_Fuel_EFs_StationaryLiquid[[#Headers],[Fuel combusted]],0)</calculatedColumnFormula>
    </tableColumn>
    <tableColumn id="3" xr3:uid="{AEDAE574-92DE-4F91-88E6-CDFEE5B6E1F0}" name="Fuel unit" dataDxfId="298">
      <calculatedColumnFormula array="1">Common_InputFunctions.Utility_DisplayArrayInTable(Fuel_SourceData.Fuel_Scope1Scope3EmissionFactorsStationaryLiquid_Data(), Table_Fuel_EFs_StationaryLiquid[[#Headers],[Fuel combusted]],0)</calculatedColumnFormula>
    </tableColumn>
    <tableColumn id="4" xr3:uid="{5A58C4D9-B645-4073-8DDD-A09A2F9FA520}" name="Scope 1 Emission Factor (kg CO2 - e / GJ) CO2" dataDxfId="297">
      <calculatedColumnFormula array="1">Common_InputFunctions.Utility_DisplayArrayInTable(Fuel_SourceData.Fuel_Scope1Scope3EmissionFactorsStationaryLiquid_Data(), Table_Fuel_EFs_StationaryLiquid[[#Headers],[Fuel combusted]],0)</calculatedColumnFormula>
    </tableColumn>
    <tableColumn id="5" xr3:uid="{1455FB32-47CA-4FD5-B3F9-87694EA88E74}" name="Scope 1 Emission Factor (kg CO2 - e / GJ) CH4" dataDxfId="296">
      <calculatedColumnFormula array="1">Common_InputFunctions.Utility_DisplayArrayInTable(Fuel_SourceData.Fuel_Scope1Scope3EmissionFactorsStationaryLiquid_Data(), Table_Fuel_EFs_StationaryLiquid[[#Headers],[Fuel combusted]],0)</calculatedColumnFormula>
    </tableColumn>
    <tableColumn id="6" xr3:uid="{04C90879-1A2E-4B49-80B8-8B5A40B0CEC6}" name="Scope 1 Emission Factor (kg CO2 - e / GJ) N2O" dataDxfId="295">
      <calculatedColumnFormula array="1">Common_InputFunctions.Utility_DisplayArrayInTable(Fuel_SourceData.Fuel_Scope1Scope3EmissionFactorsStationaryLiquid_Data(), Table_Fuel_EFs_StationaryLiquid[[#Headers],[Fuel combusted]],0)</calculatedColumnFormula>
    </tableColumn>
    <tableColumn id="7" xr3:uid="{4D68898D-3FA2-49E6-9597-2D608D281028}" name="Scope 1 Emission Factor (kg CO2 - e / GJ) Combined gases" dataDxfId="294">
      <calculatedColumnFormula array="1">Common_InputFunctions.Utility_DisplayArrayInTable(Fuel_SourceData.Fuel_Scope1Scope3EmissionFactorsStationaryLiquid_Data(), Table_Fuel_EFs_StationaryLiquid[[#Headers],[Fuel combusted]],0)</calculatedColumnFormula>
    </tableColumn>
    <tableColumn id="8" xr3:uid="{10479E85-3700-4C6D-8316-99A7527540FC}" name="Scope 3 Emission Factor (kg CO2 - e / GJ)" dataDxfId="29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81DD69A-6A66-4D0C-94D1-E9E8448A4115}" name="Table_Fuel_EFs_Transport" displayName="Table_Fuel_EFs_Transport" ref="D9:L34" totalsRowShown="0" headerRowDxfId="292" dataDxfId="29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354BC55-D352-4562-B53A-D65BD10E43B8}" name="Transport type" dataDxfId="290">
      <calculatedColumnFormula array="1">Common_InputFunctions.Utility_DisplayArrayInTable(Fuel_SourceData.Fuel_Scope1Scope3EmissionFactorsTransport_Data(), Table_Fuel_EFs_Transport[[#Headers],[Transport type]], 0)</calculatedColumnFormula>
    </tableColumn>
    <tableColumn id="2" xr3:uid="{F89A1B0B-2FC7-4223-A431-2DC7161E1D45}" name="Fuel combusted" dataDxfId="289">
      <calculatedColumnFormula array="1">Common_InputFunctions.Utility_DisplayArrayInTable(Fuel_SourceData.Fuel_Scope1Scope3EmissionFactorsTransport_Data(), Table_Fuel_EFs_Transport[[#Headers],[Transport type]], 0)</calculatedColumnFormula>
    </tableColumn>
    <tableColumn id="3" xr3:uid="{D937A44C-23DC-4138-9DC2-9D44DC4F5CF0}" name="Energy Content Factor (GJ per unit of fuel)" dataDxfId="288">
      <calculatedColumnFormula array="1">Common_InputFunctions.Utility_DisplayArrayInTable(Fuel_SourceData.Fuel_Scope1Scope3EmissionFactorsTransport_Data(), Table_Fuel_EFs_Transport[[#Headers],[Transport type]], 0)</calculatedColumnFormula>
    </tableColumn>
    <tableColumn id="4" xr3:uid="{9C33A113-5B42-42A2-9EC7-DA62706925D0}" name="Fuel unit" dataDxfId="287">
      <calculatedColumnFormula array="1">Common_InputFunctions.Utility_DisplayArrayInTable(Fuel_SourceData.Fuel_Scope1Scope3EmissionFactorsTransport_Data(), Table_Fuel_EFs_Transport[[#Headers],[Transport type]], 0)</calculatedColumnFormula>
    </tableColumn>
    <tableColumn id="8" xr3:uid="{34034140-AB0C-4890-9053-324588ABBFFB}" name="Scope 1 Emission Factor (kg CO2 - e / GJ) CO2" dataDxfId="286">
      <calculatedColumnFormula array="1">Common_InputFunctions.Utility_DisplayArrayInTable(Fuel_SourceData.Fuel_Scope1Scope3EmissionFactorsTransport_Data(), Table_Fuel_EFs_Transport[[#Headers],[Transport type]], 0)</calculatedColumnFormula>
    </tableColumn>
    <tableColumn id="9" xr3:uid="{6AE053A4-0CEA-4ED2-B9E7-0EAE53F084FA}" name="Scope 1 Emission Factor (kg CO2 - e / GJ) CH4" dataDxfId="285">
      <calculatedColumnFormula array="1">Common_InputFunctions.Utility_DisplayArrayInTable(Fuel_SourceData.Fuel_Scope1Scope3EmissionFactorsTransport_Data(), Table_Fuel_EFs_Transport[[#Headers],[Transport type]], 0)</calculatedColumnFormula>
    </tableColumn>
    <tableColumn id="10" xr3:uid="{F65888A5-1594-472E-9F0D-8849E7EDBE2B}" name="Scope 1 Emission Factor (kg CO2 - e / GJ) N2O" dataDxfId="284">
      <calculatedColumnFormula array="1">Common_InputFunctions.Utility_DisplayArrayInTable(Fuel_SourceData.Fuel_Scope1Scope3EmissionFactorsTransport_Data(), Table_Fuel_EFs_Transport[[#Headers],[Transport type]], 0)</calculatedColumnFormula>
    </tableColumn>
    <tableColumn id="11" xr3:uid="{8378C33D-8A30-4FBA-BA0C-711F29EC8D17}" name="Scope 1 Emission Factor (kg CO2 - e / GJ) Combined gases" dataDxfId="283">
      <calculatedColumnFormula array="1">Common_InputFunctions.Utility_DisplayArrayInTable(Fuel_SourceData.Fuel_Scope1Scope3EmissionFactorsTransport_Data(), Table_Fuel_EFs_Transport[[#Headers],[Transport type]], 0)</calculatedColumnFormula>
    </tableColumn>
    <tableColumn id="12" xr3:uid="{F1BEE79F-A25B-462E-A1ED-0D3726395755}" name="Scope 3 Emission Factor (kg CO2 - e / GJ)" dataDxfId="28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37A4E45-4436-4714-BBB0-C41DAC492BF4}" name="Table_FuelTypesPerUse" displayName="Table_FuelTypesPerUse" ref="D130:I139" totalsRowShown="0" headerRowDxfId="281" dataDxfId="28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3A38208A-EFB8-4AF2-AC5E-EFCBD60C5AB7}" name="Generators" dataDxfId="279"/>
    <tableColumn id="2" xr3:uid="{2249235E-3B35-4586-97BE-0633E342C748}" name="Power standalone machinery or heating" dataDxfId="278"/>
    <tableColumn id="3" xr3:uid="{DB3DBE40-C22D-4E08-8D4E-A8A48C043294}" name="Aviation" dataDxfId="277"/>
    <tableColumn id="5" xr3:uid="{14888817-91EB-453F-8A9D-4BA722562B39}" name="Cars and light commercial vehicles" dataDxfId="276"/>
    <tableColumn id="7" xr3:uid="{FF4F3C2A-2A83-4549-8508-CEA3EB0D4F10}" name="Off-road Agriculture and forestry equipment" dataDxfId="275" dataCellStyle="Content bold"/>
    <tableColumn id="8" xr3:uid="{20F56E33-1FF4-4DC4-8556-D255441C9188}" name="Vessels" dataDxfId="274" dataCellStyle="Content bol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7DE027E-A2A2-4D89-9C83-165FD10E2D46}" name="Table_Fuel_EFs_StationaryGaseous" displayName="Table_Fuel_EFs_StationaryGaseous" ref="D86:J104" totalsRowShown="0" headerRowDxfId="273" dataDxfId="27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13F5C5C-30E5-4BB2-AA5E-BD35CC71F267}" name="Fuel combusted" dataDxfId="271">
      <calculatedColumnFormula array="1">Common_InputFunctions.Utility_DisplayArrayInTable(Fuel_SourceData.Fuel_Scope1EmissionFactorsStationaryGaseous_Data(), Table_Fuel_EFs_StationaryGaseous[[#Headers],[Fuel combusted]],0)</calculatedColumnFormula>
    </tableColumn>
    <tableColumn id="2" xr3:uid="{EA2B9E34-13EF-484E-AF8E-4BC015E55FF5}" name="Energy Content Factor (GJ per unit of fuel)" dataDxfId="270">
      <calculatedColumnFormula array="1">Common_InputFunctions.Utility_DisplayArrayInTable(Fuel_SourceData.Fuel_Scope1EmissionFactorsStationaryGaseous_Data(), Table_Fuel_EFs_StationaryGaseous[[#Headers],[Fuel combusted]],0)</calculatedColumnFormula>
    </tableColumn>
    <tableColumn id="3" xr3:uid="{36FBCC95-9571-4354-9D8D-C0C108BC83B8}" name="Fuel unit" dataDxfId="269">
      <calculatedColumnFormula array="1">Common_InputFunctions.Utility_DisplayArrayInTable(Fuel_SourceData.Fuel_Scope1EmissionFactorsStationaryGaseous_Data(), Table_Fuel_EFs_StationaryGaseous[[#Headers],[Fuel combusted]],0)</calculatedColumnFormula>
    </tableColumn>
    <tableColumn id="4" xr3:uid="{BEA97539-56B0-40B9-960E-6B591B9E3E46}" name="Scope 1 Emission Factor (kg CO2 - e / GJ) CO2" dataDxfId="268">
      <calculatedColumnFormula array="1">Common_InputFunctions.Utility_DisplayArrayInTable(Fuel_SourceData.Fuel_Scope1EmissionFactorsStationaryGaseous_Data(), Table_Fuel_EFs_StationaryGaseous[[#Headers],[Fuel combusted]],0)</calculatedColumnFormula>
    </tableColumn>
    <tableColumn id="5" xr3:uid="{47A810BC-3F55-422D-9F28-12869DD5894D}" name="Scope 1 Emission Factor (kg CO2 - e / GJ) CH4" dataDxfId="267">
      <calculatedColumnFormula array="1">Common_InputFunctions.Utility_DisplayArrayInTable(Fuel_SourceData.Fuel_Scope1EmissionFactorsStationaryGaseous_Data(), Table_Fuel_EFs_StationaryGaseous[[#Headers],[Fuel combusted]],0)</calculatedColumnFormula>
    </tableColumn>
    <tableColumn id="6" xr3:uid="{F71DDADA-F0D5-43FC-A8F1-E05C60F9F854}" name="Scope 1 Emission Factor (kg CO2 - e / GJ) N2O" dataDxfId="266">
      <calculatedColumnFormula array="1">Common_InputFunctions.Utility_DisplayArrayInTable(Fuel_SourceData.Fuel_Scope1EmissionFactorsStationaryGaseous_Data(), Table_Fuel_EFs_StationaryGaseous[[#Headers],[Fuel combusted]],0)</calculatedColumnFormula>
    </tableColumn>
    <tableColumn id="7" xr3:uid="{35AF5F0F-3B16-4A46-B8A2-E48592ADF8A8}" name="Scope 1 Emission Factor (kg CO2 - e / GJ) Combined gases" dataDxfId="26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5C79D8B-0254-4308-BD58-75ECEE6C990E}" name="Table_Fuel_EFs_StationaryGaseous34" displayName="Table_Fuel_EFs_StationaryGaseous34" ref="D112:G120" headerRowDxfId="264" totalsRowDxfId="263">
  <autoFilter ref="D112:G120" xr:uid="{7D6CE29D-2354-4FAC-9965-9A66FFA42416}">
    <filterColumn colId="0" hiddenButton="1"/>
    <filterColumn colId="1" hiddenButton="1"/>
    <filterColumn colId="2" hiddenButton="1"/>
    <filterColumn colId="3" hiddenButton="1"/>
  </autoFilter>
  <tableColumns count="4">
    <tableColumn id="1" xr3:uid="{F79C38B5-1A90-4731-9A24-A71F4D843545}" name="State or territory" totalsRowDxfId="262">
      <calculatedColumnFormula array="1">Common_InputFunctions.Utility_DisplayArrayInTable(Fuel_SourceData.Fuel_Scope3EmissionFactorsStationaryGaseous_Data(), Table_Fuel_EFs_StationaryGaseous34[[#Headers],[State or territory]],0)</calculatedColumnFormula>
    </tableColumn>
    <tableColumn id="2" xr3:uid="{9F418C04-6979-4241-BDEE-DA02D847E880}" name="Metro" totalsRowDxfId="261">
      <calculatedColumnFormula array="1">Common_InputFunctions.Utility_DisplayArrayInTable(Fuel_SourceData.Fuel_Scope3EmissionFactorsStationaryGaseous_Data(), Table_Fuel_EFs_StationaryGaseous34[[#Headers],[State or territory]],0)</calculatedColumnFormula>
    </tableColumn>
    <tableColumn id="3" xr3:uid="{F35B0A24-3633-41CD-8B35-71B16A20D16A}" name="Non-metro" totalsRowDxfId="260">
      <calculatedColumnFormula array="1">Common_InputFunctions.Utility_DisplayArrayInTable(Fuel_SourceData.Fuel_Scope3EmissionFactorsStationaryGaseous_Data(), Table_Fuel_EFs_StationaryGaseous34[[#Headers],[State or territory]],0)</calculatedColumnFormula>
    </tableColumn>
    <tableColumn id="4" xr3:uid="{49F48E83-82F2-4336-BA83-EC2CEAE2AF8B}" name="Column1" dataDxfId="0" totalsRowDxfId="1" dataCellStyle="Content normal"/>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EAA2DD0-AE6F-4939-BDB5-8641A0764B9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AF93E1C-C9A4-4309-AD76-B1D3A2F4B8DB}" name="Fuel type"/>
    <tableColumn id="2" xr3:uid="{D9AA7C34-0A42-4106-B180-AA39993AF1D6}" name="Unit"/>
    <tableColumn id="3" xr3:uid="{DCA1C5A4-1176-49CF-B6AE-4695559C851E}" name="Input Unit" dataDxfId="259"/>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7683D15E-14AD-4374-A4E6-112AF414049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41AB7B-ECC9-42C3-AD4E-C8D731506F7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A74F960E-11F7-4918-9CA4-EF4AD6421647}" name="Fuel type q" dataDxfId="2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F114B44-8672-4AED-BA3A-EDD91E829750}" name="ECTrans,q (GJ/kL)" dataDxfId="2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B03C82A4-C2E1-4C65-9C4A-3653E4A001A7}" name="Scope 1 CO2 EFTran,1,tqg (kg CO2-e/GJ)" dataDxfId="2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954CF6D7-6BB0-479C-A0DA-3D29CDF3FA25}" name="Scope 1 CH4 EFTran,1,tgg (kg CO2-e/GJ)" dataDxfId="2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EB6BCB2-0D1A-46F2-B7D9-8CCF38C3F47F}" name="Scope 1 N2O EFTran,1,tgg (kg CO2-e/GJ)" dataDxfId="2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E50EED6-3B17-4611-B145-07F61A2E7EB5}" name="Scope 3 EFTrans,3,q (kg CO2-e/GJ)" dataDxfId="2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1DF7DF4-8A38-4729-AD82-E18407030B1F}"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D55BCFF-8A38-4E2F-BA0D-26B7DBE2B42D}" name="Category" dataDxfId="252" dataCellStyle="Content normal">
      <calculatedColumnFormula array="1">Common_InputFunctions.Utility_DisplayArrayInTable(Scope3_SourceData.Scope3_Livestock_Data(), Table_SourceData_Scope3_Animals[[#Headers],[Category]], 0, 2)</calculatedColumnFormula>
    </tableColumn>
    <tableColumn id="2" xr3:uid="{CD8C6EB0-2926-446A-98D3-F7451C214B71}" name="Product" dataDxfId="251" dataCellStyle="Content normal">
      <calculatedColumnFormula array="1">Common_InputFunctions.Utility_DisplayArrayInTable(Scope3_SourceData.Scope3_Livestock_Data(), Table_SourceData_Scope3_Animals[[#Headers],[Category]], 0, 2)</calculatedColumnFormula>
    </tableColumn>
    <tableColumn id="3" xr3:uid="{8535EB00-AFC6-4AEC-BBBD-849CBD7EEAE2}" name="Region of origin" dataDxfId="250" dataCellStyle="Content normal">
      <calculatedColumnFormula array="1">Common_InputFunctions.Utility_DisplayArrayInTable(Scope3_SourceData.Scope3_Livestock_Data(), Table_SourceData_Scope3_Animals[[#Headers],[Category]], 0, 2)</calculatedColumnFormula>
    </tableColumn>
    <tableColumn id="8" xr3:uid="{565F4902-06BC-4305-A39E-81CF723AC507}" name="Quantity Unit" dataDxfId="249" dataCellStyle="Content normal">
      <calculatedColumnFormula array="1">Common_InputFunctions.Utility_DisplayArrayInTable(Scope3_SourceData.Scope3_Livestock_Data(), Table_SourceData_Scope3_Animals[[#Headers],[Category]], 0, 2)</calculatedColumnFormula>
    </tableColumn>
    <tableColumn id="9" xr3:uid="{4B50D129-FF82-48F2-A93C-14A4EB7E8BD8}" name="Emissions intensity" dataDxfId="248" dataCellStyle="Content normal">
      <calculatedColumnFormula array="1">Common_InputFunctions.Utility_DisplayArrayInTable(Scope3_SourceData.Scope3_Livestock_Data(), Table_SourceData_Scope3_Animals[[#Headers],[Category]], 0, 2)</calculatedColumnFormula>
    </tableColumn>
    <tableColumn id="10" xr3:uid="{090086D8-0515-48FB-9C70-39CF7EC9C1CD}" name="System boundary" dataDxfId="247" dataCellStyle="Content normal">
      <calculatedColumnFormula array="1">Common_InputFunctions.Utility_DisplayArrayInTable(Scope3_SourceData.Scope3_Livestock_Data(), Table_SourceData_Scope3_Animals[[#Headers],[Category]], 0, 2)</calculatedColumnFormula>
    </tableColumn>
    <tableColumn id="4" xr3:uid="{0974F6D5-EA8E-4DED-8C0E-94ADDE1818BC}" name="Source" dataDxfId="246" dataCellStyle="Content normal"/>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B5A717C-6AA9-4F94-9D3E-8DFBD2A2B138}"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4BCF73-1710-4DF2-B916-5E91A55677D8}" name="Category" dataDxfId="245" dataCellStyle="Content normal">
      <calculatedColumnFormula array="1">Common_InputFunctions.Utility_DisplayArrayInTable(Scope3_SourceData.Scope3_Chemicals_Data(), Table_SourceData_Scope3_ChemicalsCleaning[[#Headers],[Category]], 0, 2)</calculatedColumnFormula>
    </tableColumn>
    <tableColumn id="2" xr3:uid="{161E2999-FD65-41A9-86FE-D2250FEF63DA}" name="Product" dataDxfId="244" dataCellStyle="Content normal">
      <calculatedColumnFormula array="1">Common_InputFunctions.Utility_DisplayArrayInTable(Scope3_SourceData.Scope3_Chemicals_Data(), Table_SourceData_Scope3_ChemicalsCleaning[[#Headers],[Category]], 0, 2)</calculatedColumnFormula>
    </tableColumn>
    <tableColumn id="3" xr3:uid="{583DC267-3BC1-4371-9BAA-926B2790FB2D}" name="Region of origin" dataDxfId="243" dataCellStyle="Content normal">
      <calculatedColumnFormula array="1">Common_InputFunctions.Utility_DisplayArrayInTable(Scope3_SourceData.Scope3_Chemicals_Data(), Table_SourceData_Scope3_ChemicalsCleaning[[#Headers],[Category]], 0, 2)</calculatedColumnFormula>
    </tableColumn>
    <tableColumn id="8" xr3:uid="{71A8B798-9B91-4937-A577-A4BACBD40882}" name="Quantity Unit" dataDxfId="242" dataCellStyle="Content normal">
      <calculatedColumnFormula array="1">Common_InputFunctions.Utility_DisplayArrayInTable(Scope3_SourceData.Scope3_Chemicals_Data(), Table_SourceData_Scope3_ChemicalsCleaning[[#Headers],[Category]], 0, 2)</calculatedColumnFormula>
    </tableColumn>
    <tableColumn id="9" xr3:uid="{CDFB46B1-F01D-4C17-A3FC-8A7498AE68BA}" name="Emissions intensity" dataDxfId="241" dataCellStyle="Content normal">
      <calculatedColumnFormula array="1">Common_InputFunctions.Utility_DisplayArrayInTable(Scope3_SourceData.Scope3_Chemicals_Data(), Table_SourceData_Scope3_ChemicalsCleaning[[#Headers],[Category]], 0, 2)</calculatedColumnFormula>
    </tableColumn>
    <tableColumn id="10" xr3:uid="{DEFF9C04-D8FD-4779-B122-C20E34133AC7}" name="System boundary" dataDxfId="240" dataCellStyle="Content normal">
      <calculatedColumnFormula array="1">Common_InputFunctions.Utility_DisplayArrayInTable(Scope3_SourceData.Scope3_Chemicals_Data(), Table_SourceData_Scope3_ChemicalsCleaning[[#Headers],[Category]], 0, 2)</calculatedColumnFormula>
    </tableColumn>
    <tableColumn id="4" xr3:uid="{79A69A05-67BF-44A2-8D4C-C42D1E5FC3F8}" name="Source" dataDxfId="239" dataCellStyle="Content normal"/>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EEDF027-0EFC-4454-9A9B-C5CCC8D88EC1}" name="Table_SourceData_Scope3_Feed" displayName="Table_SourceData_Scope3_Feed" ref="D89:J158" dataDxfId="238"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742C096-0D23-4046-8F9C-27B87771142F}" name="Category" totalsRowFunction="custom" dataDxfId="237" totalsRowDxfId="23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8A34820A-F418-462E-B32B-453D78ADF976}" name="Product" totalsRowFunction="custom" dataDxfId="235" totalsRowDxfId="23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2FA5FCBE-591D-43B7-B61B-3A3A3A8D31D8}" name="Region of origin" totalsRowFunction="custom" dataDxfId="233" totalsRowDxfId="23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297BEA55-0DD6-49E6-A065-62FC8E1E374C}" name="Quantity Unit" totalsRowFunction="custom" dataDxfId="231" totalsRowDxfId="23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D48E0EF2-2578-4790-85CF-6BD9D50470EC}" name="Emissions intensity" totalsRowFunction="custom" dataDxfId="229" totalsRowDxfId="22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EED82CF8-4968-4E01-AB1B-3546B8BD014F}" name="System boundary" totalsRowFunction="custom" dataDxfId="227" totalsRowDxfId="22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8C489CB9-9A06-4CE4-B61E-2DE3BDB7F441}" name="Source" totalsRowLabel="GHGEI-MIAFF" dataDxfId="225" totalsRowDxfId="224" data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EDECF021-847D-4466-9B9E-99B696C9A0B7}"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1C1E2A8-DC9E-42CB-AA4E-7F038DC0E61E}" name="Category">
      <calculatedColumnFormula array="1">Common_InputFunctions.Utility_DisplayArrayInTable(Scope3_SourceData.Scope3_InorganicFertilisers_Data(), Table_SourceData_Scope3_InorganicFertiliser[[#Headers],[Category]], 0, 2)</calculatedColumnFormula>
    </tableColumn>
    <tableColumn id="2" xr3:uid="{F5AC8096-7D58-4A40-BCAF-E7AA72B88B74}" name="Product">
      <calculatedColumnFormula array="1">Common_InputFunctions.Utility_DisplayArrayInTable(Scope3_SourceData.Scope3_InorganicFertilisers_Data(), Table_SourceData_Scope3_InorganicFertiliser[[#Headers],[Category]], 0, 2)</calculatedColumnFormula>
    </tableColumn>
    <tableColumn id="3" xr3:uid="{1D19E464-8CD5-4634-AD7D-4AC6FEA97487}" name="Region of origin">
      <calculatedColumnFormula array="1">Common_InputFunctions.Utility_DisplayArrayInTable(Scope3_SourceData.Scope3_InorganicFertilisers_Data(), Table_SourceData_Scope3_InorganicFertiliser[[#Headers],[Category]], 0, 2)</calculatedColumnFormula>
    </tableColumn>
    <tableColumn id="4" xr3:uid="{AE86449D-EC8E-4763-A9DA-6877D2C2782B}" name="Chemical compound"/>
    <tableColumn id="5" xr3:uid="{807F7672-F02B-473B-A492-9E576B9B5EA7}" name="Urea source"/>
    <tableColumn id="6" xr3:uid="{B166F88C-212C-469B-A378-32CA1735AF14}" name="Ammonia source"/>
    <tableColumn id="7" xr3:uid="{E0B1CFDB-D484-474C-9C5A-8A49A28D7907}" name="Quantity"/>
    <tableColumn id="8" xr3:uid="{64DB61A7-7668-41B5-BFED-52C9CB508600}" name="Quantity Unit">
      <calculatedColumnFormula array="1">Common_InputFunctions.Utility_DisplayArrayInTable(Scope3_SourceData.Scope3_InorganicFertilisers_Data(), Table_SourceData_Scope3_InorganicFertiliser[[#Headers],[Category]], 0, -2)</calculatedColumnFormula>
    </tableColumn>
    <tableColumn id="9" xr3:uid="{6B284EB5-97AF-46A6-A102-CBD57CDB20B2}" name="Emissions intensity">
      <calculatedColumnFormula array="1">Common_InputFunctions.Utility_DisplayArrayInTable(Scope3_SourceData.Scope3_InorganicFertilisers_Data(), Table_SourceData_Scope3_InorganicFertiliser[[#Headers],[Category]], 0, -2)</calculatedColumnFormula>
    </tableColumn>
    <tableColumn id="10" xr3:uid="{1A0584D6-3320-4400-A7ED-C7F980E59092}" name="System boundary" dataDxfId="223" dataCellStyle="Content normal">
      <calculatedColumnFormula array="1">Common_InputFunctions.Utility_DisplayArrayInTable(Scope3_SourceData.Scope3_InorganicFertilisers_Data(), Table_SourceData_Scope3_InorganicFertiliser[[#Headers],[Category]], 0, -2)</calculatedColumnFormula>
    </tableColumn>
    <tableColumn id="11" xr3:uid="{F0B32693-1273-4AA4-A8F2-E75AD35C15B5}" name="Source" dataDxfId="222" dataCellStyle="Content normal"/>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8514601-AA40-49D2-87FA-77082AEC7D58}" name="Table_SourceData_Scope3_Other" displayName="Table_SourceData_Scope3_Other" ref="D201:J209" totalsRowShown="0" dataDxfId="221"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703DD2E-CBAC-4AAF-8F15-208962B3EE11}" name="Category" dataDxfId="220" dataCellStyle="Content normal">
      <calculatedColumnFormula array="1">Common_InputFunctions.Utility_DisplayArrayInTable(Scope3_SourceData.Scope3_Other_Data(), Table_SourceData_Scope3_Other[[#Headers],[Category]], 0, 2)</calculatedColumnFormula>
    </tableColumn>
    <tableColumn id="2" xr3:uid="{C9EA9232-6FE1-45EA-ADEC-B2C1EE8A9D2B}" name="Product" dataDxfId="219" dataCellStyle="Content normal">
      <calculatedColumnFormula array="1">Common_InputFunctions.Utility_DisplayArrayInTable(Scope3_SourceData.Scope3_Other_Data(), Table_SourceData_Scope3_Other[[#Headers],[Category]], 0, 2)</calculatedColumnFormula>
    </tableColumn>
    <tableColumn id="3" xr3:uid="{03174DC5-1F88-4E13-B222-4017BDE19FDE}" name="Region of origin" dataDxfId="218" dataCellStyle="Content normal">
      <calculatedColumnFormula array="1">Common_InputFunctions.Utility_DisplayArrayInTable(Scope3_SourceData.Scope3_Other_Data(), Table_SourceData_Scope3_Other[[#Headers],[Category]], 0, 2)</calculatedColumnFormula>
    </tableColumn>
    <tableColumn id="8" xr3:uid="{8C9EAC94-EDF1-4BD6-93A2-02CE039A8C8B}" name="Quantity Unit" dataDxfId="217" dataCellStyle="Content normal">
      <calculatedColumnFormula array="1">Common_InputFunctions.Utility_DisplayArrayInTable(Scope3_SourceData.Scope3_Other_Data(), Table_SourceData_Scope3_Other[[#Headers],[Category]], 0, 2)</calculatedColumnFormula>
    </tableColumn>
    <tableColumn id="9" xr3:uid="{D737155C-2876-47F0-AE44-C8BCD04A06A3}" name="Emissions intensity" dataDxfId="216" dataCellStyle="Content normal">
      <calculatedColumnFormula array="1">Common_InputFunctions.Utility_DisplayArrayInTable(Scope3_SourceData.Scope3_Other_Data(), Table_SourceData_Scope3_Other[[#Headers],[Category]], 0, 2)</calculatedColumnFormula>
    </tableColumn>
    <tableColumn id="10" xr3:uid="{48B8D819-194D-42DE-88BF-343DFE1BB0A8}" name="System boundary" dataDxfId="215" dataCellStyle="Content normal">
      <calculatedColumnFormula array="1">Common_InputFunctions.Utility_DisplayArrayInTable(Scope3_SourceData.Scope3_Other_Data(), Table_SourceData_Scope3_Other[[#Headers],[Category]], 0, 2)</calculatedColumnFormula>
    </tableColumn>
    <tableColumn id="4" xr3:uid="{F2C434A4-BF61-4787-BFE2-473D6847EE24}" name="Source" dataDxfId="214" data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A866F7CA-9479-4EA8-AE3A-8E2C9DBBE487}" name="Table_SourceData_Scope3_Packaging" displayName="Table_SourceData_Scope3_Packaging" ref="D212:J216" totalsRowShown="0" dataDxfId="213"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353B57-C1BA-492E-9B52-BCD287D5CD30}" name="Category" dataDxfId="212" dataCellStyle="Content normal">
      <calculatedColumnFormula array="1">Common_InputFunctions.Utility_DisplayArrayInTable(Scope3_SourceData.Scope3_Packaging_Data(), Table_SourceData_Scope3_Packaging[[#Headers],[Category]], 0, 2)</calculatedColumnFormula>
    </tableColumn>
    <tableColumn id="2" xr3:uid="{E739B4A8-55EB-4FCB-B83C-EA2A542C9D4D}" name="Product" dataDxfId="211" dataCellStyle="Content normal">
      <calculatedColumnFormula array="1">Common_InputFunctions.Utility_DisplayArrayInTable(Scope3_SourceData.Scope3_Packaging_Data(), Table_SourceData_Scope3_Packaging[[#Headers],[Category]], 0, 2)</calculatedColumnFormula>
    </tableColumn>
    <tableColumn id="3" xr3:uid="{4B6D421C-38A4-48C9-B244-8D82E7204FE2}" name="Region of origin" dataDxfId="210" dataCellStyle="Content normal">
      <calculatedColumnFormula array="1">Common_InputFunctions.Utility_DisplayArrayInTable(Scope3_SourceData.Scope3_Packaging_Data(), Table_SourceData_Scope3_Packaging[[#Headers],[Category]], 0, 2)</calculatedColumnFormula>
    </tableColumn>
    <tableColumn id="8" xr3:uid="{C38A826B-4823-4409-B425-548603881838}" name="Quantity Unit" dataDxfId="209" dataCellStyle="Content normal">
      <calculatedColumnFormula array="1">Common_InputFunctions.Utility_DisplayArrayInTable(Scope3_SourceData.Scope3_Packaging_Data(), Table_SourceData_Scope3_Packaging[[#Headers],[Category]], 0, 2)</calculatedColumnFormula>
    </tableColumn>
    <tableColumn id="9" xr3:uid="{E8AF5E84-737F-476D-B4CD-E38ABB70457A}" name="Emissions intensity" dataDxfId="208" dataCellStyle="Content normal">
      <calculatedColumnFormula array="1">Common_InputFunctions.Utility_DisplayArrayInTable(Scope3_SourceData.Scope3_Packaging_Data(), Table_SourceData_Scope3_Packaging[[#Headers],[Category]], 0, 2)</calculatedColumnFormula>
    </tableColumn>
    <tableColumn id="10" xr3:uid="{D0E3FC50-BB20-4244-A1C1-4D2BE7FF651B}" name="System boundary" dataDxfId="207" dataCellStyle="Content normal">
      <calculatedColumnFormula array="1">Common_InputFunctions.Utility_DisplayArrayInTable(Scope3_SourceData.Scope3_Packaging_Data(), Table_SourceData_Scope3_Packaging[[#Headers],[Category]], 0, 2)</calculatedColumnFormula>
    </tableColumn>
    <tableColumn id="4" xr3:uid="{7E867981-B2FF-4788-997F-94BB31F8694C}" name="Source" dataDxfId="206" dataCellStyle="Content normal"/>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947BDB1-E2E9-4FF4-8AE3-071AC10D01CD}" name="Table_SourceData_Scope3_Pesticides" displayName="Table_SourceData_Scope3_Pesticides" ref="D219:J231" totalsRowShown="0" dataDxfId="205"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155601-AF58-4758-80E7-ED9743E1C59D}" name="Category" dataDxfId="204" dataCellStyle="Content normal">
      <calculatedColumnFormula array="1">Common_InputFunctions.Utility_DisplayArrayInTable(Scope3_SourceData.Scope3_Pesticides_Data(), Table_SourceData_Scope3_Pesticides[[#Headers],[Category]], 0, 2)</calculatedColumnFormula>
    </tableColumn>
    <tableColumn id="2" xr3:uid="{6B3D20AC-6B56-4542-A871-B9963DACAFCF}" name="Product" dataDxfId="203" dataCellStyle="Content normal">
      <calculatedColumnFormula array="1">Common_InputFunctions.Utility_DisplayArrayInTable(Scope3_SourceData.Scope3_Pesticides_Data(), Table_SourceData_Scope3_Pesticides[[#Headers],[Category]], 0, 2)</calculatedColumnFormula>
    </tableColumn>
    <tableColumn id="3" xr3:uid="{8006D80A-3827-411D-AE4F-A8A99FC6ABB5}" name="Region of origin" dataDxfId="202" dataCellStyle="Content normal">
      <calculatedColumnFormula array="1">Common_InputFunctions.Utility_DisplayArrayInTable(Scope3_SourceData.Scope3_Pesticides_Data(), Table_SourceData_Scope3_Pesticides[[#Headers],[Category]], 0, 2)</calculatedColumnFormula>
    </tableColumn>
    <tableColumn id="8" xr3:uid="{1A8FDA0C-73DA-484F-A3F9-A3527CB6A09D}" name="Quantity Unit" dataDxfId="201" dataCellStyle="Content normal">
      <calculatedColumnFormula array="1">Common_InputFunctions.Utility_DisplayArrayInTable(Scope3_SourceData.Scope3_Pesticides_Data(), Table_SourceData_Scope3_Pesticides[[#Headers],[Category]], 0, 2)</calculatedColumnFormula>
    </tableColumn>
    <tableColumn id="9" xr3:uid="{6E48D33D-2F9B-40E0-AAF6-25C192C37B67}" name="Emissions intensity" dataDxfId="200" dataCellStyle="Content normal">
      <calculatedColumnFormula array="1">Common_InputFunctions.Utility_DisplayArrayInTable(Scope3_SourceData.Scope3_Pesticides_Data(), Table_SourceData_Scope3_Pesticides[[#Headers],[Category]], 0, 2)</calculatedColumnFormula>
    </tableColumn>
    <tableColumn id="10" xr3:uid="{907D3607-B3FD-4026-AB61-DEB227BA130F}" name="System boundary" dataDxfId="199" dataCellStyle="Content normal">
      <calculatedColumnFormula array="1">Common_InputFunctions.Utility_DisplayArrayInTable(Scope3_SourceData.Scope3_Pesticides_Data(), Table_SourceData_Scope3_Pesticides[[#Headers],[Category]], 0, 2)</calculatedColumnFormula>
    </tableColumn>
    <tableColumn id="4" xr3:uid="{B697B47B-F375-4A84-AE4B-33E7529C30DD}" name="Source" dataDxfId="198" dataCellStyle="Content normal"/>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DDA33C6-8B17-443A-8A31-4F2802B4D876}" name="Table_SourceData_Scope3_SoilAmeliorants" displayName="Table_SourceData_Scope3_SoilAmeliorants" ref="D234:J237" totalsRowShown="0" dataDxfId="197"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B06788D-C07C-43AA-9CC7-4FD507CA8EF5}" name="Category" dataDxfId="196" dataCellStyle="Content normal">
      <calculatedColumnFormula array="1">Common_InputFunctions.Utility_DisplayArrayInTable(Scope3_SourceData.Scope3_SoilAmendments_Data(), Table_SourceData_Scope3_SoilAmeliorants[[#Headers],[Category]], 0, 2)</calculatedColumnFormula>
    </tableColumn>
    <tableColumn id="2" xr3:uid="{87F2808F-C961-4B4F-8CC1-98C13817A2EA}" name="Product" dataDxfId="195" dataCellStyle="Content normal">
      <calculatedColumnFormula array="1">Common_InputFunctions.Utility_DisplayArrayInTable(Scope3_SourceData.Scope3_SoilAmendments_Data(), Table_SourceData_Scope3_SoilAmeliorants[[#Headers],[Category]], 0, 2)</calculatedColumnFormula>
    </tableColumn>
    <tableColumn id="3" xr3:uid="{C8F6C573-A96B-4B40-9C9C-D4C5FCFCFB36}" name="Region of origin" dataDxfId="194" dataCellStyle="Content normal">
      <calculatedColumnFormula array="1">Common_InputFunctions.Utility_DisplayArrayInTable(Scope3_SourceData.Scope3_SoilAmendments_Data(), Table_SourceData_Scope3_SoilAmeliorants[[#Headers],[Category]], 0, 2)</calculatedColumnFormula>
    </tableColumn>
    <tableColumn id="8" xr3:uid="{896D9AD4-995E-4E4D-9545-7ABB68144016}" name="Quantity Unit" dataDxfId="193" dataCellStyle="Content normal">
      <calculatedColumnFormula array="1">Common_InputFunctions.Utility_DisplayArrayInTable(Scope3_SourceData.Scope3_SoilAmendments_Data(), Table_SourceData_Scope3_SoilAmeliorants[[#Headers],[Category]], 0, 2)</calculatedColumnFormula>
    </tableColumn>
    <tableColumn id="9" xr3:uid="{BCC37461-BC96-4B76-9819-FFFAAB6F4F36}" name="Emissions intensity" dataDxfId="192" dataCellStyle="Content normal">
      <calculatedColumnFormula array="1">Common_InputFunctions.Utility_DisplayArrayInTable(Scope3_SourceData.Scope3_SoilAmendments_Data(), Table_SourceData_Scope3_SoilAmeliorants[[#Headers],[Category]], 0, 2)</calculatedColumnFormula>
    </tableColumn>
    <tableColumn id="10" xr3:uid="{ECF59C0A-BCDD-4490-BD4D-8853C1A75010}" name="System boundary" dataDxfId="191" dataCellStyle="Content normal">
      <calculatedColumnFormula array="1">Common_InputFunctions.Utility_DisplayArrayInTable(Scope3_SourceData.Scope3_SoilAmendments_Data(), Table_SourceData_Scope3_SoilAmeliorants[[#Headers],[Category]], 0, 2)</calculatedColumnFormula>
    </tableColumn>
    <tableColumn id="4" xr3:uid="{FC145486-8F0F-4A0C-AD85-41E9808A2D61}" name="Source" dataDxfId="190"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DEBEC80-D537-465A-BA3C-7A12A34813EC}" name="Table_SourceData_Scope3_ChemicalsPharmacy" displayName="Table_SourceData_Scope3_ChemicalsPharmacy" ref="D82:J86" totalsRowShown="0" dataDxfId="189"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6E18434-1FF5-4166-AFD2-1A246F9B0C83}" name="Category" dataDxfId="188" dataCellStyle="Content normal">
      <calculatedColumnFormula array="1">Common_InputFunctions.Utility_DisplayArrayInTable(Scope3_SourceData.Scope3_Chemicals_Data(), Table_SourceData_Scope3_ChemicalsPharmacy[[#Headers],[Category]], -3, 2)</calculatedColumnFormula>
    </tableColumn>
    <tableColumn id="2" xr3:uid="{EA073607-C902-4EB2-8019-3C3B65656A42}" name="Product" dataDxfId="187" dataCellStyle="Content normal">
      <calculatedColumnFormula array="1">Common_InputFunctions.Utility_DisplayArrayInTable(Scope3_SourceData.Scope3_Chemicals_Data(), Table_SourceData_Scope3_ChemicalsPharmacy[[#Headers],[Category]], -3, 2)</calculatedColumnFormula>
    </tableColumn>
    <tableColumn id="3" xr3:uid="{49ED03BE-763F-4A6C-98FB-B30DEC1E48D4}" name="Region of origin" dataDxfId="186" dataCellStyle="Content normal">
      <calculatedColumnFormula array="1">Common_InputFunctions.Utility_DisplayArrayInTable(Scope3_SourceData.Scope3_Chemicals_Data(), Table_SourceData_Scope3_ChemicalsPharmacy[[#Headers],[Category]], -3, 2)</calculatedColumnFormula>
    </tableColumn>
    <tableColumn id="8" xr3:uid="{62FB5ADC-31C8-42A9-A627-C503E15403D1}" name="Quantity Unit" dataDxfId="185" dataCellStyle="Content normal">
      <calculatedColumnFormula array="1">Common_InputFunctions.Utility_DisplayArrayInTable(Scope3_SourceData.Scope3_Chemicals_Data(), Table_SourceData_Scope3_ChemicalsPharmacy[[#Headers],[Category]], -3, 2)</calculatedColumnFormula>
    </tableColumn>
    <tableColumn id="9" xr3:uid="{BA5192C4-3E54-45D1-BE69-058EF77590AE}" name="Emissions intensity" dataDxfId="184" dataCellStyle="Content normal">
      <calculatedColumnFormula array="1">Common_InputFunctions.Utility_DisplayArrayInTable(Scope3_SourceData.Scope3_Chemicals_Data(), Table_SourceData_Scope3_ChemicalsPharmacy[[#Headers],[Category]], -3, 2)</calculatedColumnFormula>
    </tableColumn>
    <tableColumn id="10" xr3:uid="{94B0C701-BDD1-4BAA-A6DC-B6D75793A407}" name="System boundary" dataDxfId="183" dataCellStyle="Content normal">
      <calculatedColumnFormula array="1">Common_InputFunctions.Utility_DisplayArrayInTable(Scope3_SourceData.Scope3_Chemicals_Data(), Table_SourceData_Scope3_ChemicalsPharmacy[[#Headers],[Category]], -3, 2)</calculatedColumnFormula>
    </tableColumn>
    <tableColumn id="4" xr3:uid="{E22E18F8-06AA-42E8-A61D-4410CB71FAB3}" name="Source" dataDxfId="182"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3863E849-F2A5-4D74-A8E5-3BCC789BDB7A}" name="Table_SourceData_Scope3_LickBlocks" displayName="Table_SourceData_Scope3_LickBlocks" ref="D167:J170" totalsRowShown="0" headerRowDxfId="181"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2F2FC0-670F-4EB3-AEBE-04A8A98FDA72}" name="Category" dataDxfId="180" dataCellStyle="Content normal">
      <calculatedColumnFormula array="1">Common_InputFunctions.Utility_DisplayArrayInTable(Scope3_SourceData.Scope3_Feed_Data(), Table_SourceData_Scope3_LickBlocks[[#Headers],[Category]], -73, 2)</calculatedColumnFormula>
    </tableColumn>
    <tableColumn id="2" xr3:uid="{DC52F767-AF68-409C-88B2-A3DD02AAA0C8}" name="Product" dataDxfId="179" dataCellStyle="Content normal">
      <calculatedColumnFormula array="1">Common_InputFunctions.Utility_DisplayArrayInTable(Scope3_SourceData.Scope3_Feed_Data(), Table_SourceData_Scope3_LickBlocks[[#Headers],[Category]], -73, 2)</calculatedColumnFormula>
    </tableColumn>
    <tableColumn id="3" xr3:uid="{AB4C0361-F9E4-4ABB-8A3C-872E397ACFBA}" name="Region of origin" dataDxfId="178" dataCellStyle="Content normal">
      <calculatedColumnFormula array="1">Common_InputFunctions.Utility_DisplayArrayInTable(Scope3_SourceData.Scope3_Feed_Data(), Table_SourceData_Scope3_LickBlocks[[#Headers],[Category]], -73, 2)</calculatedColumnFormula>
    </tableColumn>
    <tableColumn id="4" xr3:uid="{EA0112CA-C54F-4881-94C5-8E7A90C9FADB}" name="Quantity Unit" dataDxfId="177" dataCellStyle="Content normal">
      <calculatedColumnFormula array="1">Common_InputFunctions.Utility_DisplayArrayInTable(Scope3_SourceData.Scope3_Feed_Data(), Table_SourceData_Scope3_LickBlocks[[#Headers],[Category]], -73, 2)</calculatedColumnFormula>
    </tableColumn>
    <tableColumn id="5" xr3:uid="{211B16AB-9F6C-4C38-8AFD-5AD29F2C0823}" name="Emissions intensity" dataDxfId="176" dataCellStyle="Content normal">
      <calculatedColumnFormula array="1">Common_InputFunctions.Utility_DisplayArrayInTable(Scope3_SourceData.Scope3_Feed_Data(), Table_SourceData_Scope3_LickBlocks[[#Headers],[Category]], -73, 2)</calculatedColumnFormula>
    </tableColumn>
    <tableColumn id="6" xr3:uid="{1EDE08D0-29B2-4FCF-9038-7DE4864BB579}" name="System boundary" dataDxfId="175" dataCellStyle="Content normal">
      <calculatedColumnFormula array="1">Common_InputFunctions.Utility_DisplayArrayInTable(Scope3_SourceData.Scope3_Feed_Data(), Table_SourceData_Scope3_LickBlocks[[#Headers],[Category]], -73, 2)</calculatedColumnFormula>
    </tableColumn>
    <tableColumn id="7" xr3:uid="{DF867325-1F74-4AD0-A433-9F9D0E658210}" name="Source" dataDxfId="174"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4DC196D-A127-49D6-9B93-B2C5801B45C6}" name="Table_SourceData_Scope3_MixedRations" displayName="Table_SourceData_Scope3_MixedRations" ref="D161:J165" totalsRowShown="0" headerRowDxfId="173"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13E51D4-E8E0-4168-96DF-717A2B9B0560}" name="Category" dataDxfId="172" dataCellStyle="Content normal">
      <calculatedColumnFormula array="1">Common_InputFunctions.Utility_DisplayArrayInTable(Scope3_SourceData.Scope3_Feed_Data(), Table_SourceData_Scope3_MixedRations[[#Headers],[Category]], -66, 2)</calculatedColumnFormula>
    </tableColumn>
    <tableColumn id="2" xr3:uid="{7763168D-FBBD-4245-B02E-331BC948399D}" name="Product" dataDxfId="171" dataCellStyle="Content normal">
      <calculatedColumnFormula array="1">Common_InputFunctions.Utility_DisplayArrayInTable(Scope3_SourceData.Scope3_Feed_Data(), Table_SourceData_Scope3_MixedRations[[#Headers],[Category]], -66, 2)</calculatedColumnFormula>
    </tableColumn>
    <tableColumn id="3" xr3:uid="{FC566535-82F9-438C-AAB0-85301ACE12D7}" name="Region of origin" dataDxfId="170" dataCellStyle="Content normal">
      <calculatedColumnFormula array="1">Common_InputFunctions.Utility_DisplayArrayInTable(Scope3_SourceData.Scope3_Feed_Data(), Table_SourceData_Scope3_MixedRations[[#Headers],[Category]], -66, 2)</calculatedColumnFormula>
    </tableColumn>
    <tableColumn id="4" xr3:uid="{B2B083D9-E2EA-4FD4-8ECE-0C5E67C17466}" name="Quantity Unit" dataDxfId="169" dataCellStyle="Content normal">
      <calculatedColumnFormula array="1">Common_InputFunctions.Utility_DisplayArrayInTable(Scope3_SourceData.Scope3_Feed_Data(), Table_SourceData_Scope3_MixedRations[[#Headers],[Category]], -66, 2)</calculatedColumnFormula>
    </tableColumn>
    <tableColumn id="5" xr3:uid="{3F57B985-8B0F-4F11-97BC-E3F1CAF6CFCE}" name="Emissions intensity" dataDxfId="168" dataCellStyle="Content normal">
      <calculatedColumnFormula array="1">Common_InputFunctions.Utility_DisplayArrayInTable(Scope3_SourceData.Scope3_Feed_Data(), Table_SourceData_Scope3_MixedRations[[#Headers],[Category]], -66, 2)</calculatedColumnFormula>
    </tableColumn>
    <tableColumn id="6" xr3:uid="{D787AB73-3198-4F32-9653-FAFF791B9C0E}" name="System boundary" dataDxfId="167" dataCellStyle="Content normal">
      <calculatedColumnFormula array="1">Common_InputFunctions.Utility_DisplayArrayInTable(Scope3_SourceData.Scope3_Feed_Data(), Table_SourceData_Scope3_MixedRations[[#Headers],[Category]], -66, 2)</calculatedColumnFormula>
    </tableColumn>
    <tableColumn id="7" xr3:uid="{0F939604-B8B9-4BA5-9362-C2C77B4F9BF6}" name="Source" dataDxfId="166"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B635E63A-34C9-4151-8B5A-071796FD3B4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A6552B75-5642-4CC7-9FB2-B2F6C34886FB}" name="Product">
      <calculatedColumnFormula>Table_SourceData_Scope3_FishFeedAndBait[[#This Row],[Product]]</calculatedColumnFormula>
    </tableColumn>
    <tableColumn id="2" xr3:uid="{9700DB11-C3A1-4553-8C5F-DDB283B31E8E}"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74837C04-3DF3-4D42-95A9-FF471CB2F95B}"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8DF600B-AC47-4954-9B82-46B83D7F6F9D}" name="Product">
      <calculatedColumnFormula>Table_SourceData_Scope3_Feed[[#This Row],[Product]]</calculatedColumnFormula>
    </tableColumn>
    <tableColumn id="2" xr3:uid="{1A851E3A-B3FF-4E17-8BB9-6B79A81B61D6}" name="Region">
      <calculatedColumnFormula>Table_SourceData_Scope3_Feed[[#This Row],[Region of origin]]</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E0238796-A1E3-4D03-87C3-30C88D34903D}" name="Table_ProductRegions_Maizegrain" displayName="Table_ProductRegions_Maizegrain" ref="L97:M104" totalsRowShown="0" headerRowDxfId="165" headerRowCellStyle="Content normal">
  <autoFilter ref="L97:M104" xr:uid="{70F320A7-5DBE-4A83-91E4-C9B3BDA564BD}">
    <filterColumn colId="0" hiddenButton="1"/>
    <filterColumn colId="1" hiddenButton="1"/>
  </autoFilter>
  <tableColumns count="2">
    <tableColumn id="1" xr3:uid="{7ED609CB-1C4D-46EB-9D73-C35D7FA50663}" name="Product">
      <calculatedColumnFormula>Table_SourceData_Scope3_Feed[[#This Row],[Product]]</calculatedColumnFormula>
    </tableColumn>
    <tableColumn id="2" xr3:uid="{2A9821E1-2A88-4CED-9A28-6D50EE4EF06B}" name="Region">
      <calculatedColumnFormula>Table_SourceData_Scope3_Feed[[#This Row],[Region of origin]]</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D322E0B1-B66E-499F-8980-01796CC7B36D}" name="Table_ProductRegions_Sorghumgrain" displayName="Table_ProductRegions_Sorghumgrain" ref="O104:P109" totalsRowShown="0" headerRowDxfId="164" headerRowCellStyle="Content normal">
  <autoFilter ref="O104:P109" xr:uid="{90205417-8A77-41A3-A4E2-624BD92B7269}">
    <filterColumn colId="0" hiddenButton="1"/>
    <filterColumn colId="1" hiddenButton="1"/>
  </autoFilter>
  <tableColumns count="2">
    <tableColumn id="1" xr3:uid="{DC6DCE80-D5F1-41A4-817E-C54D90321270}" name="Product">
      <calculatedColumnFormula>Table_SourceData_Scope3_Feed[[#This Row],[Product]]</calculatedColumnFormula>
    </tableColumn>
    <tableColumn id="2" xr3:uid="{672B6290-2583-4153-9947-B8268F874E6B}" name="Region">
      <calculatedColumnFormula>Table_SourceData_Scope3_Feed[[#This Row],[Region of origin]]</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E2D6FF68-40AF-4DF8-B161-55D5F20360FD}" name="Table_ProductRegions_Wheatgrain" displayName="Table_ProductRegions_Wheatgrain" ref="L109:M117" totalsRowShown="0" headerRowDxfId="163" headerRowCellStyle="Content normal">
  <autoFilter ref="L109:M117" xr:uid="{9DD7D3AD-59A1-48FC-B80D-99C25A2A79F5}">
    <filterColumn colId="0" hiddenButton="1"/>
    <filterColumn colId="1" hiddenButton="1"/>
  </autoFilter>
  <tableColumns count="2">
    <tableColumn id="1" xr3:uid="{B820CF66-4168-4CD5-BBCF-38B136EA8904}" name="Product">
      <calculatedColumnFormula>Table_SourceData_Scope3_Feed[[#This Row],[Product]]</calculatedColumnFormula>
    </tableColumn>
    <tableColumn id="2" xr3:uid="{9E076534-7D41-48D4-B1AD-48E86028B85E}"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E07AADA-4BE8-4929-BA8C-260786D05350}"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1D8A9069-0B09-43C6-9E46-8B50C08187B7}" name="Product">
      <calculatedColumnFormula>Table_SourceData_Scope3_Feed[[#This Row],[Product]]</calculatedColumnFormula>
    </tableColumn>
    <tableColumn id="2" xr3:uid="{AA9517DA-B568-46F0-B02C-4CE9A5DCA939}"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72F1C70-161B-428D-89BC-F43EC914F654}"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E064F75-BD55-476E-B95D-80A67874E961}" name="Product">
      <calculatedColumnFormula>Table_SourceData_Scope3_Feed[[#This Row],[Product]]</calculatedColumnFormula>
    </tableColumn>
    <tableColumn id="2" xr3:uid="{7EBFE2E7-A819-4E34-B671-5EC93E5C7E3F}"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A9BB58-CA17-484C-8A58-5C1086E34CAC}"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678A079F-A334-44C2-B981-7AA253842CD2}" name="Product">
      <calculatedColumnFormula>Table_SourceData_Scope3_Feed[[#This Row],[Product]]</calculatedColumnFormula>
    </tableColumn>
    <tableColumn id="2" xr3:uid="{216E1790-D80B-4B37-8C9D-44FBC5937C24}"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B0F6963-0479-4457-A35F-FB7D1E9C22FB}"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9BC9DCB3-2044-42F9-B171-0D5AB900AA8F}" name="Product">
      <calculatedColumnFormula>Table_SourceData_Scope3_Feed[[#This Row],[Product]]</calculatedColumnFormula>
    </tableColumn>
    <tableColumn id="2" xr3:uid="{7984BECF-700A-4DC0-89B7-AC261CA82D99}"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DDA015F-1B5E-4148-BCED-B6A6E4ED126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DCBF95ED-421D-49BE-A491-88EC36D04BE6}" name="Product">
      <calculatedColumnFormula>Table_SourceData_Scope3_Feed[[#This Row],[Product]]</calculatedColumnFormula>
    </tableColumn>
    <tableColumn id="2" xr3:uid="{463E9024-BBAE-4DBD-9F54-9E9A37BA4607}"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E3E2474-8CFF-4BF5-AE09-39C1CDEDD177}" name="Table_ProductRegions_Canolameal" displayName="Table_ProductRegions_Canolameal" ref="L150:M151" totalsRowShown="0" headerRowDxfId="162" headerRowCellStyle="Content normal" dataCellStyle="Content normal">
  <autoFilter ref="L150:M151" xr:uid="{58F78B6F-294E-4D4E-8E3B-BFE4FA85583E}">
    <filterColumn colId="0" hiddenButton="1"/>
    <filterColumn colId="1" hiddenButton="1"/>
  </autoFilter>
  <tableColumns count="2">
    <tableColumn id="1" xr3:uid="{7948B34D-8EE4-453A-ACD4-153BD3678534}" name="Product" dataCellStyle="Content normal">
      <calculatedColumnFormula>Table_SourceData_Scope3_Feed[[#This Row],[Product]]</calculatedColumnFormula>
    </tableColumn>
    <tableColumn id="2" xr3:uid="{716F9AA2-8292-44A3-B1A2-810ADA0342CC}"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923D2A-0675-4CA1-A70C-3E787F7F9DD1}"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056CA542-AD8A-43AE-8EF6-3B347AB1291E}" name="Product">
      <calculatedColumnFormula>Table_SourceData_Scope3_Feed[[#This Row],[Product]]</calculatedColumnFormula>
    </tableColumn>
    <tableColumn id="2" xr3:uid="{4619BB39-EA26-49AD-8797-A61BAA1B0962}"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B6A8EC9-6560-4731-8717-586AD3AEA268}"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EE458279-AB8E-4867-9527-3EAA9644DE25}" name="Product">
      <calculatedColumnFormula>Table_SourceData_Scope3_Feed[[#This Row],[Product]]</calculatedColumnFormula>
    </tableColumn>
    <tableColumn id="2" xr3:uid="{4CAD4842-7CD2-4D8B-AE28-DEB3526A02A9}"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06FE3D9-028A-4F1E-B326-22B15AC3CB51}"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1437C0D6-81AE-4BC0-8C16-D320AE86B28F}" name="Product">
      <calculatedColumnFormula>Table_SourceData_Scope3_Feed[[#This Row],[Product]]</calculatedColumnFormula>
    </tableColumn>
    <tableColumn id="2" xr3:uid="{400E355C-1142-476F-A023-7ECE568F33CE}"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89B1530-FB03-4B83-AC92-8A683106D486}"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938BF681-D91F-4933-87B3-E56FFFA93BA4}" name="Product">
      <calculatedColumnFormula>Table_SourceData_Scope3_Feed[[#This Row],[Product]]</calculatedColumnFormula>
    </tableColumn>
    <tableColumn id="2" xr3:uid="{B5FBD91B-248A-4A45-8602-68E94D726642}"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61B1AD8-F742-4E27-BF2A-F5C028976753}"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319F8474-0C49-40B1-9D1C-9BBAED3D23F5}" name="Product">
      <calculatedColumnFormula>Table_SourceData_Scope3_Feed[[#This Row],[Product]]</calculatedColumnFormula>
    </tableColumn>
    <tableColumn id="2" xr3:uid="{051472C3-32C0-48A0-843E-9D0C72F78A7A}"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EC21DF44-06B8-40A2-8F0A-DDD5E4C4CB91}"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2AF58595-ADD6-4B4A-A3A3-55C1F39411A8}" name="Product">
      <calculatedColumnFormula>Table_SourceData_Scope3_Feed[[#This Row],[Product]]</calculatedColumnFormula>
    </tableColumn>
    <tableColumn id="2" xr3:uid="{65F994E2-AF44-4084-AB6D-3411FB0CF1EA}"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3E14D5E5-AD96-48C5-B255-511822546963}"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97F6BA7F-24D2-494F-A033-51A817DF1D84}" name="Product">
      <calculatedColumnFormula>Table_SourceData_Scope3_Feed[[#This Row],[Product]]</calculatedColumnFormula>
    </tableColumn>
    <tableColumn id="2" xr3:uid="{54B24062-84CF-44AD-8664-3D88CEE0C0F3}"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7666754-A103-426D-9960-235F171F1946}"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BE0B57F3-DFE4-4B1A-8C50-BD3C748189DB}" name="Region"/>
    <tableColumn id="2" xr3:uid="{B9D512F7-593E-4DD9-BAF4-3DE8774D64C9}" name="Scope3 regio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7F6EA584-8308-4A7C-85E8-79F9EAF2146E}" name="Table_SourceData_Scope3_FishFeedAndBait" displayName="Table_SourceData_Scope3_FishFeedAndBait" ref="D241:J247" totalsRowShown="0" dataDxfId="161"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63C45966-4161-46E2-BA85-A58AA530E821}" name="Category" dataDxfId="160" dataCellStyle="Content normal">
      <calculatedColumnFormula array="1">Common_InputFunctions.Utility_DisplayArrayInTable(Scope3_SourceData.Scope3_FishFeedAndBait_Data(), Table_SourceData_Scope3_FishFeedAndBait[[#Headers],[Category]], 0, 1)</calculatedColumnFormula>
    </tableColumn>
    <tableColumn id="1" xr3:uid="{B168FEF2-2E65-4D0E-BF7B-23ACD2ADC4F2}" name="Product" dataDxfId="159" dataCellStyle="Content normal">
      <calculatedColumnFormula array="1">Common_InputFunctions.Utility_DisplayArrayInTable(Scope3_SourceData.Scope3_FishFeedAndBait_Data(), Table_SourceData_Scope3_FishFeedAndBait[[#Headers],[Category]], 0, 1)</calculatedColumnFormula>
    </tableColumn>
    <tableColumn id="2" xr3:uid="{0B9ADAE1-7900-41B4-B3BA-2F57BB0611FF}" name="Region of origin" dataDxfId="158" dataCellStyle="Content normal">
      <calculatedColumnFormula array="1">Common_InputFunctions.Utility_DisplayArrayInTable(Scope3_SourceData.Scope3_FishFeedAndBait_Data(), Table_SourceData_Scope3_FishFeedAndBait[[#Headers],[Category]], 0, 1)</calculatedColumnFormula>
    </tableColumn>
    <tableColumn id="3" xr3:uid="{684DF93A-FF68-491D-BAA0-88BEF3272B25}" name="Quantity Unit" dataDxfId="157" dataCellStyle="Content normal">
      <calculatedColumnFormula array="1">Common_InputFunctions.Utility_DisplayArrayInTable(Scope3_SourceData.Scope3_FishFeedAndBait_Data(), Table_SourceData_Scope3_FishFeedAndBait[[#Headers],[Category]], 0, 1)</calculatedColumnFormula>
    </tableColumn>
    <tableColumn id="4" xr3:uid="{55C81BF1-EC75-4EE9-880B-DE033F2FB923}" name="Emissions intensity" dataDxfId="156" dataCellStyle="Content normal">
      <calculatedColumnFormula array="1">Common_InputFunctions.Utility_DisplayArrayInTable(Scope3_SourceData.Scope3_FishFeedAndBait_Data(), Table_SourceData_Scope3_FishFeedAndBait[[#Headers],[Category]], 0, 1)</calculatedColumnFormula>
    </tableColumn>
    <tableColumn id="5" xr3:uid="{D56F7BC1-7429-4058-88B9-6BB09FA139EE}" name="System boundary" dataDxfId="155" dataCellStyle="Content normal">
      <calculatedColumnFormula array="1">Common_InputFunctions.Utility_DisplayArrayInTable(Scope3_SourceData.Scope3_FishFeedAndBait_Data(), Table_SourceData_Scope3_FishFeedAndBait[[#Headers],[Category]], 0, 1)</calculatedColumnFormula>
    </tableColumn>
    <tableColumn id="8" xr3:uid="{0E838B1B-2E4C-4D4A-B5E7-D372115F27FB}" name="Source" dataDxfId="154"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E3AADED-E3B6-406A-B8D7-8400801E74A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86AB7522-FD69-43D5-BA26-E894CE665E64}"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054B8876-91CA-46E8-BC6F-D245B6142EA4}" name="Waste type w" dataDxfId="15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53AAE80-968A-4236-8518-8FA59BCFD3FC}" name="EFwt" dataDxfId="15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A9E8410-4172-404A-B96A-AAAF1809752F}" name="EF source" dataDxfId="15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0478400-C97A-4271-8492-AC26CDEE6E73}"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B09CCC9-17A0-4DE8-9B61-A0E8243D3615}"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C42A87A-862D-46D6-94B7-78A9C62BF02C}" name="VTMw" dataDxfId="15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2924F916-3944-43FC-9CBF-D4F770C7AD91}" name="Table_WasteTypes_Landfill" displayName="Table_WasteTypes_Landfill" ref="I16:I27" totalsRowShown="0">
  <autoFilter ref="I16:I27" xr:uid="{99B942E3-1D24-4166-921C-DCC10960718D}">
    <filterColumn colId="0" hiddenButton="1"/>
  </autoFilter>
  <tableColumns count="1">
    <tableColumn id="1" xr3:uid="{542B68BF-435F-4207-A68A-A24A065A167F}"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EE0F404-B040-4865-A97F-31C3A04A285E}" name="Table_WasteTypes_Incineration" displayName="Table_WasteTypes_Incineration" ref="K16:K26" totalsRowShown="0" headerRowDxfId="149" headerRowCellStyle="Content normal" dataCellStyle="Content normal">
  <autoFilter ref="K16:K26" xr:uid="{9A900595-7035-4239-9059-ACC16835BF72}">
    <filterColumn colId="0" hiddenButton="1"/>
  </autoFilter>
  <tableColumns count="1">
    <tableColumn id="1" xr3:uid="{546CFCE8-750D-4EB9-B9D1-8736609A2E2D}" name="Waste type w" dataCellStyle="Content normal">
      <calculatedColumnFormula>E29</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7F45351-BA3A-4D3A-BA50-6D19B8C88D36}" name="Table_WasteTypes_Composting" displayName="Table_WasteTypes_Composting" ref="M16:M21" totalsRowShown="0" headerRowDxfId="148" headerRowCellStyle="Content normal" dataCellStyle="Content normal">
  <autoFilter ref="M16:M21" xr:uid="{5C8D39D3-1330-49EB-B431-1B2B8C8238DC}">
    <filterColumn colId="0" hiddenButton="1"/>
  </autoFilter>
  <tableColumns count="1">
    <tableColumn id="1" xr3:uid="{6FBD7598-611F-4794-B162-7ED39D4F6F8B}" name="Waste type w" totalsRowDxfId="147" dataCellStyle="Content normal">
      <calculatedColumnFormula>E40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DF2620D-13F1-4BB9-B343-1D3FE9698C74}" name="Table_WasteTypes_Anaerobicdigestion" displayName="Table_WasteTypes_Anaerobicdigestion" ref="O16:O21" totalsRowShown="0" headerRowDxfId="146" headerRowCellStyle="Content normal" dataCellStyle="Content normal">
  <autoFilter ref="O16:O21" xr:uid="{331EC43E-DF68-429F-A2A4-58BFE6216EC3}">
    <filterColumn colId="0" hiddenButton="1"/>
  </autoFilter>
  <tableColumns count="1">
    <tableColumn id="1" xr3:uid="{0A320BE6-9C4A-409C-BCC9-9991E7D2F935}" name="Waste type w" totalsRowDxfId="145" dataCellStyle="Content normal">
      <calculatedColumnFormula>E46</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2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2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2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2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2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0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08" dataCellStyle="Content normal"/>
    <tableColumn id="2" xr3:uid="{A467D3D2-FAE8-4B4F-AD2F-273B449008EF}" name="Description" dataDxfId="107"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06"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05"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04"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103"/>
    <tableColumn id="6" xr3:uid="{1219F6AC-7C79-4EDD-8C55-F7A78277AE3F}" name="Evidence files" dataDxfId="102"/>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101"/>
    <tableColumn id="6" xr3:uid="{73F97399-8A3B-4EFB-9481-CBD7CB1C44EB}" name="Evidence files" dataDxfId="100"/>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99"/>
    <tableColumn id="6" xr3:uid="{865FA280-4A36-4101-BD09-20356916B4D5}" name="Evidence files" dataDxfId="98"/>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97"/>
    <tableColumn id="6" xr3:uid="{410620E5-5948-4B74-B5C6-B017CD8C09FE}" name="Evidence files" dataDxfId="96"/>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95"/>
    <tableColumn id="6" xr3:uid="{690D112F-6792-478E-99EE-B77B520B2164}" name="Evidence files" dataDxfId="94"/>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93"/>
    <tableColumn id="6" xr3:uid="{16D79CDB-80AA-4F28-B5E0-282205F97C41}" name="Evidence files" dataDxfId="92"/>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B84A5AD-E416-4B08-A219-B52D7C6B7D1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6C777252-01DC-4461-B36C-37110D683F65}" name="Symbol">
      <calculatedColumnFormula array="1">Common_InputFunctions.Utility_DisplayArrayInTable(CommonLivestock_SourceData.SourceData_Livestock_Common_SymbolsMMS_Data(), Table_Data_MMSSymbols[[#Headers],[Symbol]], 0)</calculatedColumnFormula>
    </tableColumn>
    <tableColumn id="2" xr3:uid="{C8220CFE-C7A5-453B-8D5B-EEE3A98F5389}" name="Manure management system">
      <calculatedColumnFormula array="1">Common_InputFunctions.Utility_DisplayArrayInTable(CommonLivestock_SourceData.SourceData_Livestock_Common_SymbolsMMS_Data(), Table_Data_MMSSymbols[[#Headers],[Symbol]], 0)</calculatedColumnFormula>
    </tableColumn>
    <tableColumn id="3" xr3:uid="{5DC1924C-B8AE-483D-89FA-806D06C4AE20}"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0E92E2-9FCA-4A93-9BD7-243B692DFA22}" name="Table_SourceData_LivestockProduct_Beefcattle" displayName="Table_SourceData_LivestockProduct_Beefcattle" ref="D31:E39" totalsRowShown="0">
  <autoFilter ref="D31:E39" xr:uid="{953E8E36-CE90-4001-9CFA-9307A0C836A9}"/>
  <tableColumns count="2">
    <tableColumn id="1" xr3:uid="{D0CDFD9F-63E9-498A-ADF7-0854CEA7C316}" name="Product">
      <calculatedColumnFormula array="1">Common_InputFunctions.Utility_DisplayArrayInTable(CommonLivestock_SourceData.SourceData_Livestock_Product_BeefCattle_Data(),Table_SourceData_LivestockProduct_Beefcattle[[#Headers],[Product]],0)</calculatedColumnFormula>
    </tableColumn>
    <tableColumn id="2" xr3:uid="{EAAE3497-07EE-414A-A704-E8C42549F403}" name="Source region" dataDxfId="42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8350AC41-916D-452E-9B53-E4001EC02EF8}" name="Table_SourceData_LivestockProduct_Sheep" displayName="Table_SourceData_LivestockProduct_Sheep" ref="D43:E50" totalsRowShown="0" dataDxfId="425" dataCellStyle="Content normal">
  <autoFilter ref="D43:E50" xr:uid="{995536B5-6CA5-4D7D-A704-9B6B595C2491}"/>
  <tableColumns count="2">
    <tableColumn id="1" xr3:uid="{A2F676D3-6C8A-498B-A9F9-9FD7867436D7}" name="Product" dataDxfId="42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EF0E5566-9BE3-4653-9E38-D089D968CCDD}" name="Source region" dataDxfId="42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9A7D41F-4F48-4E51-B0B1-15E1A3607100}" name="Table_SourceData_LivestockProduct_Chickens" displayName="Table_SourceData_LivestockProduct_Chickens" ref="D54:E55" totalsRowShown="0" dataDxfId="422" dataCellStyle="Content normal">
  <autoFilter ref="D54:E55" xr:uid="{257D8456-031C-4EEF-A8C4-474F215C3208}"/>
  <tableColumns count="2">
    <tableColumn id="1" xr3:uid="{B0B9CF43-7BE5-420B-BDF9-2C16347F16EC}" name="Product" dataDxfId="421" dataCellStyle="Content normal"/>
    <tableColumn id="2" xr3:uid="{88D6B36A-2E36-4D5E-9278-2B915C233B48}" name="Source region" dataDxfId="420" dataCellStyle="Content normal"/>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C8D31AF-8553-4A58-8D00-56866E30D99D}" name="Table_SourceData_LivestockProduct_Dairycattle" displayName="Table_SourceData_LivestockProduct_Dairycattle" ref="D59:E60" totalsRowShown="0" dataDxfId="419" dataCellStyle="Content normal">
  <autoFilter ref="D59:E60" xr:uid="{71833C62-BA2B-4519-92E0-B189E393D12F}"/>
  <tableColumns count="2">
    <tableColumn id="1" xr3:uid="{A88BE542-298E-41E6-89B1-F163555AE520}" name="Product" dataDxfId="418" dataCellStyle="Content normal"/>
    <tableColumn id="2" xr3:uid="{56FBB714-7FEA-49D4-8A7C-8228E270E602}" name="Source region" dataDxfId="417" dataCellStyle="Content normal"/>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7F930F17-5DDD-409D-AB4B-9823404E7F07}" name="Table_SourceData_LivestockProduct_Pigs" displayName="Table_SourceData_LivestockProduct_Pigs" ref="D64:E65" totalsRowShown="0" dataDxfId="416" dataCellStyle="Content normal">
  <autoFilter ref="D64:E65" xr:uid="{65FF5EF6-2A75-4137-9345-8328E2DA8F9C}"/>
  <tableColumns count="2">
    <tableColumn id="1" xr3:uid="{9FAB2FF3-C65D-4BC7-95A1-E97CF92E43B0}" name="Product" dataDxfId="415" dataCellStyle="Content normal"/>
    <tableColumn id="2" xr3:uid="{68CC738A-D3A5-4B5C-AA94-73B333B5B367}" name="Source region" dataDxfId="414" dataCellStyle="Content normal"/>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 Id="rId5" Type="http://schemas.openxmlformats.org/officeDocument/2006/relationships/table" Target="../tables/table5.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22.xml"/><Relationship Id="rId3" Type="http://schemas.openxmlformats.org/officeDocument/2006/relationships/table" Target="../tables/table17.xml"/><Relationship Id="rId7" Type="http://schemas.openxmlformats.org/officeDocument/2006/relationships/table" Target="../tables/table21.xml"/><Relationship Id="rId2" Type="http://schemas.openxmlformats.org/officeDocument/2006/relationships/table" Target="../tables/table16.xml"/><Relationship Id="rId1" Type="http://schemas.openxmlformats.org/officeDocument/2006/relationships/printerSettings" Target="../printerSettings/printerSettings21.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 Id="rId9" Type="http://schemas.openxmlformats.org/officeDocument/2006/relationships/table" Target="../tables/table2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39.xml"/><Relationship Id="rId7" Type="http://schemas.openxmlformats.org/officeDocument/2006/relationships/table" Target="../tables/table43.xml"/><Relationship Id="rId2" Type="http://schemas.openxmlformats.org/officeDocument/2006/relationships/table" Target="../tables/table38.xml"/><Relationship Id="rId1" Type="http://schemas.openxmlformats.org/officeDocument/2006/relationships/table" Target="../tables/table37.xml"/><Relationship Id="rId6" Type="http://schemas.openxmlformats.org/officeDocument/2006/relationships/table" Target="../tables/table42.xml"/><Relationship Id="rId5" Type="http://schemas.openxmlformats.org/officeDocument/2006/relationships/table" Target="../tables/table41.xml"/><Relationship Id="rId4" Type="http://schemas.openxmlformats.org/officeDocument/2006/relationships/table" Target="../tables/table40.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1.xml"/><Relationship Id="rId13" Type="http://schemas.openxmlformats.org/officeDocument/2006/relationships/table" Target="../tables/table56.xml"/><Relationship Id="rId18" Type="http://schemas.openxmlformats.org/officeDocument/2006/relationships/table" Target="../tables/table61.xml"/><Relationship Id="rId26" Type="http://schemas.openxmlformats.org/officeDocument/2006/relationships/table" Target="../tables/table69.xml"/><Relationship Id="rId3" Type="http://schemas.openxmlformats.org/officeDocument/2006/relationships/table" Target="../tables/table46.xml"/><Relationship Id="rId21" Type="http://schemas.openxmlformats.org/officeDocument/2006/relationships/table" Target="../tables/table64.xml"/><Relationship Id="rId7" Type="http://schemas.openxmlformats.org/officeDocument/2006/relationships/table" Target="../tables/table50.xml"/><Relationship Id="rId12" Type="http://schemas.openxmlformats.org/officeDocument/2006/relationships/table" Target="../tables/table55.xml"/><Relationship Id="rId17" Type="http://schemas.openxmlformats.org/officeDocument/2006/relationships/table" Target="../tables/table60.xml"/><Relationship Id="rId25" Type="http://schemas.openxmlformats.org/officeDocument/2006/relationships/table" Target="../tables/table68.xml"/><Relationship Id="rId2" Type="http://schemas.openxmlformats.org/officeDocument/2006/relationships/table" Target="../tables/table45.xml"/><Relationship Id="rId16" Type="http://schemas.openxmlformats.org/officeDocument/2006/relationships/table" Target="../tables/table59.xml"/><Relationship Id="rId20" Type="http://schemas.openxmlformats.org/officeDocument/2006/relationships/table" Target="../tables/table63.xml"/><Relationship Id="rId29" Type="http://schemas.openxmlformats.org/officeDocument/2006/relationships/table" Target="../tables/table72.xml"/><Relationship Id="rId1" Type="http://schemas.openxmlformats.org/officeDocument/2006/relationships/table" Target="../tables/table44.xml"/><Relationship Id="rId6" Type="http://schemas.openxmlformats.org/officeDocument/2006/relationships/table" Target="../tables/table49.xml"/><Relationship Id="rId11" Type="http://schemas.openxmlformats.org/officeDocument/2006/relationships/table" Target="../tables/table54.xml"/><Relationship Id="rId24" Type="http://schemas.openxmlformats.org/officeDocument/2006/relationships/table" Target="../tables/table67.xml"/><Relationship Id="rId5" Type="http://schemas.openxmlformats.org/officeDocument/2006/relationships/table" Target="../tables/table48.xml"/><Relationship Id="rId15" Type="http://schemas.openxmlformats.org/officeDocument/2006/relationships/table" Target="../tables/table58.xml"/><Relationship Id="rId23" Type="http://schemas.openxmlformats.org/officeDocument/2006/relationships/table" Target="../tables/table66.xml"/><Relationship Id="rId28" Type="http://schemas.openxmlformats.org/officeDocument/2006/relationships/table" Target="../tables/table71.xml"/><Relationship Id="rId10" Type="http://schemas.openxmlformats.org/officeDocument/2006/relationships/table" Target="../tables/table53.xml"/><Relationship Id="rId19" Type="http://schemas.openxmlformats.org/officeDocument/2006/relationships/table" Target="../tables/table62.xml"/><Relationship Id="rId31" Type="http://schemas.openxmlformats.org/officeDocument/2006/relationships/table" Target="../tables/table74.xml"/><Relationship Id="rId4" Type="http://schemas.openxmlformats.org/officeDocument/2006/relationships/table" Target="../tables/table47.xml"/><Relationship Id="rId9" Type="http://schemas.openxmlformats.org/officeDocument/2006/relationships/table" Target="../tables/table52.xml"/><Relationship Id="rId14" Type="http://schemas.openxmlformats.org/officeDocument/2006/relationships/table" Target="../tables/table57.xml"/><Relationship Id="rId22" Type="http://schemas.openxmlformats.org/officeDocument/2006/relationships/table" Target="../tables/table65.xml"/><Relationship Id="rId27" Type="http://schemas.openxmlformats.org/officeDocument/2006/relationships/table" Target="../tables/table70.xml"/><Relationship Id="rId30" Type="http://schemas.openxmlformats.org/officeDocument/2006/relationships/table" Target="../tables/table73.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printerSettings" Target="../printerSettings/printerSettings23.bin"/><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18" Type="http://schemas.openxmlformats.org/officeDocument/2006/relationships/table" Target="../tables/table97.xml"/><Relationship Id="rId3" Type="http://schemas.openxmlformats.org/officeDocument/2006/relationships/table" Target="../tables/table82.xml"/><Relationship Id="rId21" Type="http://schemas.openxmlformats.org/officeDocument/2006/relationships/table" Target="../tables/table100.xml"/><Relationship Id="rId7" Type="http://schemas.openxmlformats.org/officeDocument/2006/relationships/table" Target="../tables/table86.xml"/><Relationship Id="rId12" Type="http://schemas.openxmlformats.org/officeDocument/2006/relationships/table" Target="../tables/table91.xml"/><Relationship Id="rId17" Type="http://schemas.openxmlformats.org/officeDocument/2006/relationships/table" Target="../tables/table96.xml"/><Relationship Id="rId2" Type="http://schemas.openxmlformats.org/officeDocument/2006/relationships/table" Target="../tables/table81.xml"/><Relationship Id="rId16" Type="http://schemas.openxmlformats.org/officeDocument/2006/relationships/table" Target="../tables/table95.xml"/><Relationship Id="rId20" Type="http://schemas.openxmlformats.org/officeDocument/2006/relationships/table" Target="../tables/table99.xml"/><Relationship Id="rId1" Type="http://schemas.openxmlformats.org/officeDocument/2006/relationships/printerSettings" Target="../printerSettings/printerSettings24.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5" Type="http://schemas.openxmlformats.org/officeDocument/2006/relationships/table" Target="../tables/table94.xml"/><Relationship Id="rId10" Type="http://schemas.openxmlformats.org/officeDocument/2006/relationships/table" Target="../tables/table89.xml"/><Relationship Id="rId19" Type="http://schemas.openxmlformats.org/officeDocument/2006/relationships/table" Target="../tables/table98.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 Id="rId22" Type="http://schemas.openxmlformats.org/officeDocument/2006/relationships/table" Target="../tables/table101.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104.xml"/><Relationship Id="rId2" Type="http://schemas.openxmlformats.org/officeDocument/2006/relationships/table" Target="../tables/table103.xml"/><Relationship Id="rId1" Type="http://schemas.openxmlformats.org/officeDocument/2006/relationships/table" Target="../tables/table102.xml"/><Relationship Id="rId6" Type="http://schemas.openxmlformats.org/officeDocument/2006/relationships/table" Target="../tables/table107.xml"/><Relationship Id="rId5" Type="http://schemas.openxmlformats.org/officeDocument/2006/relationships/table" Target="../tables/table106.xml"/><Relationship Id="rId4" Type="http://schemas.openxmlformats.org/officeDocument/2006/relationships/table" Target="../tables/table105.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09.xml"/><Relationship Id="rId7" Type="http://schemas.openxmlformats.org/officeDocument/2006/relationships/table" Target="../tables/table113.xml"/><Relationship Id="rId2" Type="http://schemas.openxmlformats.org/officeDocument/2006/relationships/table" Target="../tables/table108.xml"/><Relationship Id="rId1" Type="http://schemas.openxmlformats.org/officeDocument/2006/relationships/printerSettings" Target="../printerSettings/printerSettings25.bin"/><Relationship Id="rId6" Type="http://schemas.openxmlformats.org/officeDocument/2006/relationships/table" Target="../tables/table112.xml"/><Relationship Id="rId5" Type="http://schemas.openxmlformats.org/officeDocument/2006/relationships/table" Target="../tables/table111.xml"/><Relationship Id="rId4" Type="http://schemas.openxmlformats.org/officeDocument/2006/relationships/table" Target="../tables/table1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48"/>
  <sheetViews>
    <sheetView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4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EI")</f>
        <v>Results - Product EI</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Crop'!A1", "Crop")</f>
        <v>Crop</v>
      </c>
    </row>
    <row r="12" spans="1:1" ht="20.100000000000001" customHeight="1" x14ac:dyDescent="0.2">
      <c r="A12" s="5" t="str">
        <f>HYPERLINK("#'Input - Fert Prod System'!A1", "Fert Prod System")</f>
        <v>Fert Prod System</v>
      </c>
    </row>
    <row r="13" spans="1:1" ht="20.100000000000001" customHeight="1" x14ac:dyDescent="0.2">
      <c r="A13" s="5" t="str">
        <f>HYPERLINK("#'Input - Fertiliser'!A1", "Fertiliser")</f>
        <v>Fertiliser</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Crop pasture farm input'!A1", "Crop pasture farm input")</f>
        <v>Crop pasture farm input</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Data quality'!A1", "Data quality")</f>
        <v>Data quality</v>
      </c>
    </row>
    <row r="23" spans="1:1" ht="20.100000000000001" customHeight="1" x14ac:dyDescent="0.2">
      <c r="A23" s="6" t="s">
        <v>2</v>
      </c>
    </row>
    <row r="24" spans="1:1" ht="20.100000000000001" customHeight="1" x14ac:dyDescent="0.2">
      <c r="A24" s="5" t="str">
        <f>HYPERLINK("#'5.1.1.1-2 Inorganic fert N2O'!A1", "5.1.1.1-2 Inorganic fert N2O")</f>
        <v>5.1.1.1-2 Inorganic fert N2O</v>
      </c>
    </row>
    <row r="25" spans="1:1" ht="20.100000000000001" customHeight="1" x14ac:dyDescent="0.2">
      <c r="A25" s="5" t="str">
        <f>HYPERLINK("#'5.1.1.3-4 Inorganic fert CO2'!A1", "5.1.1.3-4 Inorganic fert CO2")</f>
        <v>5.1.1.3-4 Inorganic fert CO2</v>
      </c>
    </row>
    <row r="26" spans="1:1" ht="20.100000000000001" customHeight="1" x14ac:dyDescent="0.2">
      <c r="A26" s="5" t="str">
        <f>HYPERLINK("#'5.2.1.1-2 Organic Fert N2O'!A1", "5.2.1.1-2 Organic fert N2O")</f>
        <v>5.2.1.1-2 Organic fert N2O</v>
      </c>
    </row>
    <row r="27" spans="1:1" ht="20.100000000000001" customHeight="1" x14ac:dyDescent="0.2">
      <c r="A27" s="5" t="str">
        <f>HYPERLINK("#'5.3.1.1-2 Lime CO2'!A1", "5.3.1.1-2 Lime CO2")</f>
        <v>5.3.1.1-2 Lime CO2</v>
      </c>
    </row>
    <row r="28" spans="1:1" ht="20.100000000000001" customHeight="1" x14ac:dyDescent="0.2">
      <c r="A28" s="5" t="str">
        <f>HYPERLINK("#'5.4.1.1-4 Atmos deposition'!A1", "5.4.1.1-4 Atmos. deposition")</f>
        <v>5.4.1.1-4 Atmos. deposition</v>
      </c>
    </row>
    <row r="29" spans="1:1" ht="20.100000000000001" customHeight="1" x14ac:dyDescent="0.2">
      <c r="A29" s="5" t="str">
        <f>HYPERLINK("#'5.5.1.1-2 Leaching and runoff'!A1", "5.5.1.1-2 Leaching &amp; runoff")</f>
        <v>5.5.1.1-2 Leaching &amp; runoff</v>
      </c>
    </row>
    <row r="30" spans="1:1" ht="20.100000000000001" customHeight="1" x14ac:dyDescent="0.2">
      <c r="A30" s="5" t="str">
        <f>HYPERLINK("#'6.1.1.1-2 Crop residue N2O'!A1", "6.1.1.1-2 Crop residue N2O")</f>
        <v>6.1.1.1-2 Crop residue N2O</v>
      </c>
    </row>
    <row r="31" spans="1:1" ht="20.100000000000001" customHeight="1" x14ac:dyDescent="0.2">
      <c r="A31" s="5" t="str">
        <f>HYPERLINK("#'6.3.1.1-2 Leach runoff crop'!A1", "6.3.1.1-2 Leach &amp; runoff (crop)")</f>
        <v>6.3.1.1-2 Leach &amp; runoff (crop)</v>
      </c>
    </row>
    <row r="32" spans="1:1"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63"/>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2" t="s">
        <v>295</v>
      </c>
      <c r="D1" s="92"/>
      <c r="E1" s="92"/>
      <c r="F1" s="92"/>
      <c r="G1" s="92"/>
      <c r="H1" s="92"/>
      <c r="I1" s="92"/>
      <c r="J1" s="92"/>
      <c r="K1" s="92"/>
    </row>
    <row r="2" spans="1:11" ht="20.100000000000001" customHeight="1" x14ac:dyDescent="0.2">
      <c r="C2" s="3"/>
      <c r="D2" s="3"/>
      <c r="E2" s="3"/>
      <c r="F2" s="3"/>
      <c r="G2" s="3"/>
      <c r="H2" s="3"/>
      <c r="I2" s="3"/>
      <c r="J2" s="3"/>
      <c r="K2" s="3"/>
    </row>
    <row r="3" spans="1:11" ht="20.100000000000001" customHeight="1" x14ac:dyDescent="0.2">
      <c r="A3" s="5" t="str">
        <f>HYPERLINK("#'Home'!A1", "Home")</f>
        <v>Home</v>
      </c>
      <c r="C3" s="93"/>
      <c r="D3" s="93"/>
      <c r="E3" s="93"/>
      <c r="F3" s="93"/>
      <c r="G3" s="93"/>
      <c r="H3" s="93"/>
      <c r="I3" s="93"/>
      <c r="J3" s="93"/>
      <c r="K3" s="93"/>
    </row>
    <row r="4" spans="1:11" ht="20.100000000000001" customHeight="1" x14ac:dyDescent="0.2">
      <c r="A4" s="244"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EI")</f>
        <v>Results - Product EI</v>
      </c>
    </row>
    <row r="6" spans="1:11" ht="20.100000000000001" customHeight="1" x14ac:dyDescent="0.2">
      <c r="D6" s="79" t="s">
        <v>271</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133</v>
      </c>
      <c r="E9" s="1" cm="1">
        <f t="array" ref="E9">VEERG_5_1_1_1__1_InorganicFertiliserApplicationN2OEmissions_Result_Method1</f>
        <v>2.0110749340000003</v>
      </c>
      <c r="F9" s="1" cm="1">
        <f t="array" ref="F9">VEERG_5_1_1_1__1_InorganicFertiliserApplicationN2OEmissions_Result_Method2</f>
        <v>2.0110749999999999</v>
      </c>
      <c r="G9" s="9" t="s">
        <v>12</v>
      </c>
      <c r="H9" s="1" cm="1">
        <f t="array" ref="H9">Common_Equations.Common_ConvertN2OToCO2e(E9,_xlfn.XLOOKUP("N2O", Table_GWPData[Gas],Table_GWPData[CO2-e factor]))</f>
        <v>532.93485751000003</v>
      </c>
      <c r="I9" s="1" cm="1">
        <f t="array" ref="I9">Common_Equations.Common_ConvertN2OToCO2e(F9,_xlfn.XLOOKUP("N2O", Table_GWPData[Gas],Table_GWPData[CO2-e factor]))</f>
        <v>532.93487500000003</v>
      </c>
      <c r="J9" s="9" t="s">
        <v>7</v>
      </c>
    </row>
    <row r="10" spans="1:11" ht="20.100000000000001" customHeight="1" x14ac:dyDescent="0.2">
      <c r="A10" s="5" t="str">
        <f>HYPERLINK("#'Input - Site'!A1", "Site")</f>
        <v>Site</v>
      </c>
      <c r="D10" s="1" t="s">
        <v>134</v>
      </c>
      <c r="E10" s="1" cm="1">
        <f t="array" ref="E10">VEERG_5_1_1_3__1_InorganicFertiliserApplicationCO2Emissions_Result_Method1</f>
        <v>184.92752666666664</v>
      </c>
      <c r="F10" s="1">
        <f>E10</f>
        <v>184.92752666666664</v>
      </c>
      <c r="G10" s="9" t="s">
        <v>127</v>
      </c>
      <c r="H10" s="1">
        <f>E10</f>
        <v>184.92752666666664</v>
      </c>
      <c r="I10" s="1">
        <f>F10</f>
        <v>184.92752666666664</v>
      </c>
      <c r="J10" s="9" t="s">
        <v>7</v>
      </c>
    </row>
    <row r="11" spans="1:11" ht="20.100000000000001" customHeight="1" x14ac:dyDescent="0.2">
      <c r="A11" s="5" t="str">
        <f>HYPERLINK("#'Input - Crop'!A1", "Crop")</f>
        <v>Crop</v>
      </c>
      <c r="D11" s="1" t="s">
        <v>135</v>
      </c>
      <c r="E11" s="1" cm="1">
        <f t="array" ref="E11">VEERG_5_2_1_1__2_MassOfNitrogenInOrganicFertiliser_Result_Method1</f>
        <v>5.5785714285714286E-2</v>
      </c>
      <c r="F11" s="1">
        <f>E11</f>
        <v>5.5785714285714286E-2</v>
      </c>
      <c r="G11" s="9" t="s">
        <v>12</v>
      </c>
      <c r="H11" s="1" cm="1">
        <f t="array" ref="H11">Common_Equations.Common_ConvertN2OToCO2e(E11,_xlfn.XLOOKUP("N2O", Table_GWPData[Gas],Table_GWPData[CO2-e factor]))</f>
        <v>14.783214285714285</v>
      </c>
      <c r="I11" s="1" cm="1">
        <f t="array" ref="I11">Common_Equations.Common_ConvertN2OToCO2e(F11,_xlfn.XLOOKUP("N2O", Table_GWPData[Gas],Table_GWPData[CO2-e factor]))</f>
        <v>14.783214285714285</v>
      </c>
      <c r="J11" s="9" t="s">
        <v>7</v>
      </c>
    </row>
    <row r="12" spans="1:11" ht="20.100000000000001" customHeight="1" x14ac:dyDescent="0.2">
      <c r="A12" s="5" t="str">
        <f>HYPERLINK("#'Input - Fert Prod System'!A1", "Fert Prod System")</f>
        <v>Fert Prod System</v>
      </c>
      <c r="D12" s="1" t="s">
        <v>136</v>
      </c>
      <c r="E12" s="1" cm="1">
        <f t="array" ref="E12">VEERG_5_3_1_1__1_LimeApplicationCO2Emissions_Result_Method1</f>
        <v>758.08333333333326</v>
      </c>
      <c r="F12" s="1">
        <f>E12</f>
        <v>758.08333333333326</v>
      </c>
      <c r="G12" s="9" t="s">
        <v>127</v>
      </c>
      <c r="H12" s="1">
        <f>E12</f>
        <v>758.08333333333326</v>
      </c>
      <c r="I12" s="1">
        <f>F12</f>
        <v>758.08333333333326</v>
      </c>
      <c r="J12" s="9" t="s">
        <v>7</v>
      </c>
    </row>
    <row r="13" spans="1:11" ht="20.100000000000001" customHeight="1" x14ac:dyDescent="0.2">
      <c r="A13" s="5" t="str">
        <f>HYPERLINK("#'Input - Fertiliser'!A1", "Fertiliser")</f>
        <v>Fertiliser</v>
      </c>
      <c r="D13" s="1" t="s">
        <v>137</v>
      </c>
      <c r="E13" s="1">
        <v>1.6401E-3</v>
      </c>
      <c r="F13" s="1">
        <f>E13</f>
        <v>1.6401E-3</v>
      </c>
      <c r="G13" s="9" t="s">
        <v>12</v>
      </c>
      <c r="H13" s="1" cm="1">
        <f t="array" ref="H13">Common_Equations.Common_ConvertN2OToCO2e(E13,_xlfn.XLOOKUP("N2O", Table_GWPData[Gas],Table_GWPData[CO2-e factor]))</f>
        <v>0.43462650000000003</v>
      </c>
      <c r="I13" s="1" cm="1">
        <f t="array" ref="I13">Common_Equations.Common_ConvertN2OToCO2e(F13,_xlfn.XLOOKUP("N2O", Table_GWPData[Gas],Table_GWPData[CO2-e factor]))</f>
        <v>0.43462650000000003</v>
      </c>
      <c r="J13" s="9" t="s">
        <v>7</v>
      </c>
    </row>
    <row r="14" spans="1:11" ht="20.100000000000001" customHeight="1" x14ac:dyDescent="0.2">
      <c r="A14" s="5" t="str">
        <f>HYPERLINK("#'Input - Fuel'!A1", "Fuel")</f>
        <v>Fuel</v>
      </c>
      <c r="D14" s="1" t="s">
        <v>138</v>
      </c>
      <c r="E14" s="1">
        <v>0</v>
      </c>
      <c r="F14" s="1">
        <f>E14</f>
        <v>0</v>
      </c>
      <c r="G14" s="9" t="s">
        <v>12</v>
      </c>
      <c r="H14" s="1" cm="1">
        <f t="array" ref="H14">Common_Equations.Common_ConvertN2OToCO2e(E14,_xlfn.XLOOKUP("N2O", Table_GWPData[Gas],Table_GWPData[CO2-e factor]))</f>
        <v>0</v>
      </c>
      <c r="I14" s="1" cm="1">
        <f t="array" ref="I14">Common_Equations.Common_ConvertN2OToCO2e(F14,_xlfn.XLOOKUP("N2O", Table_GWPData[Gas],Table_GWPData[CO2-e factor]))</f>
        <v>0</v>
      </c>
      <c r="J14" s="9" t="s">
        <v>7</v>
      </c>
    </row>
    <row r="15" spans="1:11" ht="20.100000000000001" customHeight="1" x14ac:dyDescent="0.2">
      <c r="A15" s="5" t="str">
        <f>HYPERLINK("#'Input - Electricity'!A1", "Electricity")</f>
        <v>Electricity</v>
      </c>
      <c r="D15" s="1" t="s">
        <v>173</v>
      </c>
      <c r="E15" s="1" cm="1">
        <f t="array" ref="E15">VEERG_6_1_1_1__1__NitrousOxideEmissionsFromCropResidues_Result_Method1</f>
        <v>0.66792000000000007</v>
      </c>
      <c r="F15" s="1" cm="1">
        <f t="array" ref="F15">VEERG_6_1_1_1__1__NitrousOxideEmissionsFromCropResidues_Result_Method2</f>
        <v>0.66792000000000007</v>
      </c>
      <c r="G15" s="9" t="s">
        <v>12</v>
      </c>
      <c r="H15" s="1" cm="1">
        <f t="array" ref="H15">Common_Equations.Common_ConvertN2OToCO2e(E15,_xlfn.XLOOKUP("N2O", Table_GWPData[Gas],Table_GWPData[CO2-e factor]))</f>
        <v>176.99880000000002</v>
      </c>
      <c r="I15" s="1" cm="1">
        <f t="array" ref="I15">Common_Equations.Common_ConvertN2OToCO2e(F15,_xlfn.XLOOKUP("N2O", Table_GWPData[Gas],Table_GWPData[CO2-e factor]))</f>
        <v>176.99880000000002</v>
      </c>
      <c r="J15" s="9" t="s">
        <v>7</v>
      </c>
    </row>
    <row r="16" spans="1:11" ht="20.100000000000001" customHeight="1" x14ac:dyDescent="0.2">
      <c r="A16" s="5" t="str">
        <f>HYPERLINK("#'Input - Common farm inputs'!A1", "Common farm inputs")</f>
        <v>Common farm inputs</v>
      </c>
      <c r="D16" s="1" t="s">
        <v>172</v>
      </c>
      <c r="E16" s="1" cm="1">
        <f t="array" ref="E16">VEERG_6_3_1_1__1__LeachingAndRunoffEmissionsCropAndPastureResidue_CropOnly_Result_Method1</f>
        <v>0.35266175999999999</v>
      </c>
      <c r="F16" s="1" cm="1">
        <f t="array" ref="F16">VEERG_6_3_1_1__1__LeachingAndRunoffEmissionsCropAndPastureResidue_CropOnly_Result_Method2</f>
        <v>0.35266175999999999</v>
      </c>
      <c r="G16" s="9" t="s">
        <v>12</v>
      </c>
      <c r="H16" s="1" cm="1">
        <f t="array" ref="H16">Common_Equations.Common_ConvertN2OToCO2e(E16,_xlfn.XLOOKUP("N2O", Table_GWPData[Gas],Table_GWPData[CO2-e factor]))</f>
        <v>93.455366400000003</v>
      </c>
      <c r="I16" s="1" cm="1">
        <f t="array" ref="I16">Common_Equations.Common_ConvertN2OToCO2e(F16,_xlfn.XLOOKUP("N2O", Table_GWPData[Gas],Table_GWPData[CO2-e factor]))</f>
        <v>93.455366400000003</v>
      </c>
      <c r="J16" s="9" t="s">
        <v>7</v>
      </c>
    </row>
    <row r="17" spans="1:10" ht="20.100000000000001" customHeight="1" x14ac:dyDescent="0.2">
      <c r="A17" s="5" t="str">
        <f>HYPERLINK("#'Input - Crop pasture farm input'!A1", "Crop pasture farm input")</f>
        <v>Crop pasture farm input</v>
      </c>
      <c r="D17" s="1" t="s">
        <v>175</v>
      </c>
      <c r="E17" s="1" cm="1">
        <f t="array" ref="E17">VEERG_6_4_1_1__2__NitrousOxideEmissionsFromBurningOfCropResidues_Result_Method1</f>
        <v>0.12769302857142856</v>
      </c>
      <c r="F17" s="1">
        <f t="shared" ref="F17:F22" si="0">E17</f>
        <v>0.12769302857142856</v>
      </c>
      <c r="G17" s="9" t="s">
        <v>12</v>
      </c>
      <c r="H17" s="1" cm="1">
        <f t="array" ref="H17">Common_Equations.Common_ConvertN2OToCO2e(E17,_xlfn.XLOOKUP("N2O", Table_GWPData[Gas],Table_GWPData[CO2-e factor]))</f>
        <v>33.838652571428568</v>
      </c>
      <c r="I17" s="1" cm="1">
        <f t="array" ref="I17">Common_Equations.Common_ConvertN2OToCO2e(F17,_xlfn.XLOOKUP("N2O", Table_GWPData[Gas],Table_GWPData[CO2-e factor]))</f>
        <v>33.838652571428568</v>
      </c>
      <c r="J17" s="9" t="s">
        <v>7</v>
      </c>
    </row>
    <row r="18" spans="1:10" ht="20.100000000000001" customHeight="1" x14ac:dyDescent="0.2">
      <c r="A18" s="5" t="str">
        <f>HYPERLINK("#'Input - Freight'!A1", "Freight")</f>
        <v>Freight</v>
      </c>
      <c r="D18" s="1" t="s">
        <v>174</v>
      </c>
      <c r="E18" s="1" cm="1">
        <f t="array" ref="E18">VEERG_6_4_1_1__1__MethaneEmissionsFromBurningOfCropResidues_Result_Method1</f>
        <v>3.3264</v>
      </c>
      <c r="F18" s="1">
        <f t="shared" si="0"/>
        <v>3.3264</v>
      </c>
      <c r="G18" s="9" t="s">
        <v>6</v>
      </c>
      <c r="H18" s="1" cm="1">
        <f t="array" ref="H18">Common_Equations.Common_ConvertCH4ToCO2e(E18,_xlfn.XLOOKUP("CH4", Table_GWPData[Gas],Table_GWPData[CO2-e factor]))</f>
        <v>93.139200000000002</v>
      </c>
      <c r="I18" s="1" cm="1">
        <f t="array" ref="I18">Common_Equations.Common_ConvertCH4ToCO2e(F18,_xlfn.XLOOKUP("CH4", Table_GWPData[Gas],Table_GWPData[CO2-e factor]))</f>
        <v>93.139200000000002</v>
      </c>
      <c r="J18" s="9" t="s">
        <v>7</v>
      </c>
    </row>
    <row r="19" spans="1:10" ht="20.100000000000001" customHeight="1" x14ac:dyDescent="0.2">
      <c r="A19" s="5" t="str">
        <f>HYPERLINK("#'Input - Solid waste'!A1", "Solid waste")</f>
        <v>Solid waste</v>
      </c>
      <c r="D19" s="1" t="s">
        <v>139</v>
      </c>
      <c r="E19" s="1" cm="1">
        <f t="array" ref="E19">VEERG_8_1_1_1__1_FuelCombustionTransport_Result_CO2</f>
        <v>83.182000000000002</v>
      </c>
      <c r="F19" s="1">
        <f t="shared" si="0"/>
        <v>83.182000000000002</v>
      </c>
      <c r="G19" s="9" t="s">
        <v>127</v>
      </c>
      <c r="H19" s="1">
        <f>E19</f>
        <v>83.182000000000002</v>
      </c>
      <c r="I19" s="1">
        <f>F19</f>
        <v>83.182000000000002</v>
      </c>
      <c r="J19" s="9" t="s">
        <v>7</v>
      </c>
    </row>
    <row r="20" spans="1:10" ht="20.100000000000001" customHeight="1" x14ac:dyDescent="0.2">
      <c r="A20" s="5" t="str">
        <f>HYPERLINK("#'Input - Data quality'!A1", "Data quality")</f>
        <v>Data quality</v>
      </c>
      <c r="D20" s="1" t="s">
        <v>141</v>
      </c>
      <c r="E20" s="1" cm="1">
        <f t="array" ref="E20">VEERG_8_1_1_1__1_FuelCombustionTransport_Result_CH4</f>
        <v>0.19906000000000001</v>
      </c>
      <c r="F20" s="1">
        <f t="shared" si="0"/>
        <v>0.19906000000000001</v>
      </c>
      <c r="G20" s="9" t="s">
        <v>6</v>
      </c>
      <c r="H20" s="1" cm="1">
        <f t="array" ref="H20">Common_Equations.Common_ConvertCH4ToCO2e(E20,_xlfn.XLOOKUP("CH4", Table_GWPData[Gas],Table_GWPData[CO2-e factor]))</f>
        <v>5.5736800000000004</v>
      </c>
      <c r="I20" s="1" cm="1">
        <f t="array" ref="I20">Common_Equations.Common_ConvertCH4ToCO2e(F20,_xlfn.XLOOKUP("CH4", Table_GWPData[Gas],Table_GWPData[CO2-e factor]))</f>
        <v>5.5736800000000004</v>
      </c>
      <c r="J20" s="9" t="s">
        <v>7</v>
      </c>
    </row>
    <row r="21" spans="1:10" ht="20.100000000000001" customHeight="1" x14ac:dyDescent="0.2">
      <c r="D21" s="1" t="s">
        <v>140</v>
      </c>
      <c r="E21" s="1" cm="1">
        <f t="array" ref="E21">VEERG_8_1_1_1__1_FuelCombustionTransport_Result_N2O</f>
        <v>0.58450000000000002</v>
      </c>
      <c r="F21" s="1">
        <f t="shared" si="0"/>
        <v>0.58450000000000002</v>
      </c>
      <c r="G21" s="9" t="s">
        <v>12</v>
      </c>
      <c r="H21" s="1" cm="1">
        <f t="array" ref="H21">Common_Equations.Common_ConvertN2OToCO2e(E21,_xlfn.XLOOKUP("N2O", Table_GWPData[Gas],Table_GWPData[CO2-e factor]))</f>
        <v>154.89250000000001</v>
      </c>
      <c r="I21" s="1" cm="1">
        <f t="array" ref="I21">Common_Equations.Common_ConvertN2OToCO2e(F21,_xlfn.XLOOKUP("N2O", Table_GWPData[Gas],Table_GWPData[CO2-e factor]))</f>
        <v>154.89250000000001</v>
      </c>
      <c r="J21" s="9" t="s">
        <v>7</v>
      </c>
    </row>
    <row r="22" spans="1:10" ht="20.100000000000001" customHeight="1" x14ac:dyDescent="0.2">
      <c r="D22" s="1" t="s">
        <v>142</v>
      </c>
      <c r="E22" s="1" cm="1">
        <f t="array" ref="E22">VEERG_8_2_1_1__1_FuelCombustionStationary_Result_CO2</f>
        <v>29.070800000000002</v>
      </c>
      <c r="F22" s="1">
        <f t="shared" si="0"/>
        <v>29.070800000000002</v>
      </c>
      <c r="G22" s="9" t="s">
        <v>127</v>
      </c>
      <c r="H22" s="1">
        <f>E22</f>
        <v>29.070800000000002</v>
      </c>
      <c r="I22" s="1">
        <f>F22</f>
        <v>29.070800000000002</v>
      </c>
      <c r="J22" s="9" t="s">
        <v>7</v>
      </c>
    </row>
    <row r="23" spans="1:10" ht="20.100000000000001" customHeight="1" x14ac:dyDescent="0.2">
      <c r="A23" s="6" t="s">
        <v>2</v>
      </c>
      <c r="D23" s="1" t="s">
        <v>143</v>
      </c>
      <c r="E23" s="1" cm="1">
        <f t="array" ref="E23">VEERG_8_2_1_1__1_FuelCombustionStationary_Result_CH4</f>
        <v>7.2400000000000006E-2</v>
      </c>
      <c r="F23" s="1">
        <f t="shared" ref="F23:F26" si="1">E23</f>
        <v>7.2400000000000006E-2</v>
      </c>
      <c r="G23" s="9" t="s">
        <v>6</v>
      </c>
      <c r="H23" s="1" cm="1">
        <f t="array" ref="H23">Common_Equations.Common_ConvertCH4ToCO2e(E23,_xlfn.XLOOKUP("CH4", Table_GWPData[Gas],Table_GWPData[CO2-e factor]))</f>
        <v>2.0272000000000001</v>
      </c>
      <c r="I23" s="1" cm="1">
        <f t="array" ref="I23">Common_Equations.Common_ConvertCH4ToCO2e(F23,_xlfn.XLOOKUP("CH4", Table_GWPData[Gas],Table_GWPData[CO2-e factor]))</f>
        <v>2.0272000000000001</v>
      </c>
      <c r="J23" s="9" t="s">
        <v>7</v>
      </c>
    </row>
    <row r="24" spans="1:10" ht="20.100000000000001" customHeight="1" x14ac:dyDescent="0.2">
      <c r="A24" s="5" t="str">
        <f>HYPERLINK("#'5.1.1.1-2 Inorganic fert N2O'!A1", "5.1.1.1-2 Inorganic fert N2O")</f>
        <v>5.1.1.1-2 Inorganic fert N2O</v>
      </c>
      <c r="D24" s="1" t="s">
        <v>144</v>
      </c>
      <c r="E24" s="1" cm="1">
        <f t="array" ref="E24">VEERG_8_2_1_1__1_FuelCombustionStationary_Result_N2O</f>
        <v>7.1400000000000005E-2</v>
      </c>
      <c r="F24" s="1">
        <f t="shared" si="1"/>
        <v>7.1400000000000005E-2</v>
      </c>
      <c r="G24" s="9" t="s">
        <v>12</v>
      </c>
      <c r="H24" s="1" cm="1">
        <f t="array" ref="H24">Common_Equations.Common_ConvertN2OToCO2e(E24,_xlfn.XLOOKUP("N2O", Table_GWPData[Gas],Table_GWPData[CO2-e factor]))</f>
        <v>18.921000000000003</v>
      </c>
      <c r="I24" s="1" cm="1">
        <f t="array" ref="I24">Common_Equations.Common_ConvertN2OToCO2e(F24,_xlfn.XLOOKUP("N2O", Table_GWPData[Gas],Table_GWPData[CO2-e factor]))</f>
        <v>18.921000000000003</v>
      </c>
      <c r="J24" s="9" t="s">
        <v>7</v>
      </c>
    </row>
    <row r="25" spans="1:10" ht="20.100000000000001" customHeight="1" x14ac:dyDescent="0.2">
      <c r="A25" s="5" t="str">
        <f>HYPERLINK("#'5.1.1.3-4 Inorganic fert CO2'!A1", "5.1.1.3-4 Inorganic fert CO2")</f>
        <v>5.1.1.3-4 Inorganic fert CO2</v>
      </c>
      <c r="D25" s="1" t="s">
        <v>145</v>
      </c>
      <c r="E25" s="1" cm="1">
        <f t="array" ref="E25">VEERG_14_1_1__1_LocationBasedScopeElectricityEmissions_Result_Method1</f>
        <v>16.8</v>
      </c>
      <c r="F25" s="1">
        <f t="shared" si="1"/>
        <v>16.8</v>
      </c>
      <c r="G25" s="9" t="s">
        <v>7</v>
      </c>
      <c r="H25" s="1">
        <f>E25</f>
        <v>16.8</v>
      </c>
      <c r="I25" s="1">
        <f>F25</f>
        <v>16.8</v>
      </c>
      <c r="J25" s="9" t="s">
        <v>7</v>
      </c>
    </row>
    <row r="26" spans="1:10" ht="20.100000000000001" customHeight="1" x14ac:dyDescent="0.2">
      <c r="A26" s="5" t="str">
        <f>HYPERLINK("#'5.2.1.1-2 Organic Fert N2O'!A1", "5.2.1.1-2 Organic fert N2O")</f>
        <v>5.2.1.1-2 Organic fert N2O</v>
      </c>
      <c r="D26" s="1" t="s">
        <v>146</v>
      </c>
      <c r="E26" s="1" cm="1">
        <f t="array" ref="E26">VEERG_14_1_2__1_MarketBasedScopeElectricityEmissionsVariation_Result_Method1</f>
        <v>9.7200000000000006</v>
      </c>
      <c r="F26" s="1">
        <f t="shared" si="1"/>
        <v>9.7200000000000006</v>
      </c>
      <c r="G26" s="9" t="s">
        <v>7</v>
      </c>
      <c r="H26" s="1">
        <f>E26</f>
        <v>9.7200000000000006</v>
      </c>
      <c r="I26" s="1">
        <f>F26</f>
        <v>9.7200000000000006</v>
      </c>
      <c r="J26" s="9" t="s">
        <v>7</v>
      </c>
    </row>
    <row r="27" spans="1:10" ht="20.100000000000001" customHeight="1" x14ac:dyDescent="0.2">
      <c r="A27" s="5" t="str">
        <f>HYPERLINK("#'5.3.1.1-2 Lime CO2'!A1", "5.3.1.1-2 Lime CO2")</f>
        <v>5.3.1.1-2 Lime CO2</v>
      </c>
      <c r="D27" s="87" t="s">
        <v>4</v>
      </c>
      <c r="E27" s="88"/>
      <c r="F27" s="88"/>
      <c r="G27" s="88"/>
      <c r="H27" s="87">
        <f>SUM(H9:H26)</f>
        <v>2208.7827572671426</v>
      </c>
      <c r="I27" s="87">
        <f>SUM(I9:I26)</f>
        <v>2208.7827747571428</v>
      </c>
      <c r="J27" s="97" t="s">
        <v>7</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c r="D30" s="79" t="s">
        <v>272</v>
      </c>
    </row>
    <row r="31" spans="1:10" ht="20.100000000000001" customHeight="1" x14ac:dyDescent="0.2">
      <c r="A31" s="5" t="str">
        <f>HYPERLINK("#'6.3.1.1-2 Leach runoff crop'!A1", "6.3.1.1-2 Leach &amp; runoff (crop)")</f>
        <v>6.3.1.1-2 Leach &amp; runoff (crop)</v>
      </c>
    </row>
    <row r="32" spans="1:10" ht="20.100000000000001" customHeight="1" x14ac:dyDescent="0.2">
      <c r="A32" s="5" t="str">
        <f>HYPERLINK("#'6.4.1.1-2 Residue burning'!A1", "6.4.1.1-2 Residue burning")</f>
        <v>6.4.1.1-2 Residue burning</v>
      </c>
      <c r="D32" s="11" t="s">
        <v>273</v>
      </c>
      <c r="E32" s="11" t="s">
        <v>8</v>
      </c>
      <c r="F32" s="11" t="s">
        <v>9</v>
      </c>
      <c r="G32" s="11" t="s">
        <v>5</v>
      </c>
      <c r="H32" s="11" t="s">
        <v>10</v>
      </c>
      <c r="I32" s="11" t="s">
        <v>11</v>
      </c>
      <c r="J32" s="11"/>
    </row>
    <row r="33" spans="1:10" ht="20.100000000000001" customHeight="1" x14ac:dyDescent="0.2">
      <c r="A33" s="5" t="str">
        <f>HYPERLINK("#'8.1.1.1-2 Transport fuel'!A1", "8.1.1.1-2 Transport fuel")</f>
        <v>8.1.1.1-2 Transport fuel</v>
      </c>
      <c r="D33" s="1" t="str" cm="1">
        <f t="array" ref="D33">"14.1.1-2 Purchased electricity " &amp; IF(X_Cell_Electricity_CalculationMethod="Location-based (simpler)", "(Location-based)", "(Market-based)")</f>
        <v>14.1.1-2 Purchased electricity (Location-based)</v>
      </c>
      <c r="E33" s="1" cm="1">
        <f t="array" ref="E33">IF(X_Cell_Electricity_CalculationMethod="Location-based (simpler)", VEERG_14_1_1__1_LocationBasedScopeElectricityEmissions_Result_Method1, VEERG_14_1_2__1_MarketBasedScopeElectricityEmissionsVariation_Result_Method1)</f>
        <v>16.8</v>
      </c>
      <c r="F33" s="1">
        <f>E33</f>
        <v>16.8</v>
      </c>
      <c r="G33" s="9" t="s">
        <v>7</v>
      </c>
      <c r="H33" s="1">
        <f>E33</f>
        <v>16.8</v>
      </c>
      <c r="I33" s="1">
        <f>F33</f>
        <v>16.8</v>
      </c>
      <c r="J33" s="9" t="s">
        <v>7</v>
      </c>
    </row>
    <row r="34" spans="1:10" ht="20.100000000000001" customHeight="1" x14ac:dyDescent="0.2">
      <c r="A34" s="5" t="str">
        <f>HYPERLINK("#'8.2.1.1-2 Stationary fuel'!A1", "8.2.1.1-2 Stationary fuel")</f>
        <v>8.2.1.1-2 Stationary fuel</v>
      </c>
      <c r="D34" s="87" t="s">
        <v>274</v>
      </c>
      <c r="E34" s="88"/>
      <c r="F34" s="88"/>
      <c r="G34" s="88"/>
      <c r="H34" s="87">
        <f>SUM(H33:H33)</f>
        <v>16.8</v>
      </c>
      <c r="I34" s="87">
        <f>SUM(I33:I33)</f>
        <v>16.8</v>
      </c>
      <c r="J34" s="97" t="s">
        <v>7</v>
      </c>
    </row>
    <row r="35" spans="1:10" ht="20.100000000000001" customHeight="1" x14ac:dyDescent="0.2">
      <c r="A35" s="5" t="str">
        <f>HYPERLINK("#'10.1.1-2 Solid waste treatment'!A1", "10.1.1.1-2 Solid waste")</f>
        <v>10.1.1.1-2 Solid waste</v>
      </c>
    </row>
    <row r="36" spans="1:10" ht="20.100000000000001" customHeight="1" x14ac:dyDescent="0.2">
      <c r="A36" s="5" t="str">
        <f>HYPERLINK("#'14.1.1-2 Purchased electricity'!A1", "14.1.1-2 Purchased electricity")</f>
        <v>14.1.1-2 Purchased electricity</v>
      </c>
    </row>
    <row r="37" spans="1:10" ht="20.100000000000001" customHeight="1" x14ac:dyDescent="0.2">
      <c r="A37" s="5" t="str">
        <f>HYPERLINK("#'15 Scope 3'!A1", "15 Scope 3")</f>
        <v>15 Scope 3</v>
      </c>
      <c r="D37" s="79" t="s">
        <v>275</v>
      </c>
    </row>
    <row r="39" spans="1:10" ht="20.100000000000001" customHeight="1" x14ac:dyDescent="0.2">
      <c r="D39" s="11" t="s">
        <v>276</v>
      </c>
      <c r="E39" s="11" t="s">
        <v>8</v>
      </c>
      <c r="F39" s="11" t="s">
        <v>9</v>
      </c>
      <c r="G39" s="11" t="s">
        <v>5</v>
      </c>
      <c r="H39" s="11" t="s">
        <v>10</v>
      </c>
      <c r="I39" s="11" t="s">
        <v>11</v>
      </c>
      <c r="J39" s="11"/>
    </row>
    <row r="40" spans="1:10" ht="20.100000000000001" customHeight="1" x14ac:dyDescent="0.2">
      <c r="A40" s="82" t="s">
        <v>1</v>
      </c>
      <c r="D40" s="1" t="s">
        <v>277</v>
      </c>
      <c r="E40" s="1" cm="1">
        <f t="array" ref="E40">VEERG_15_4_1_1__2_EmissionsFromPurchasedFertiliserComponentsVariation_Result_Method1</f>
        <v>518.80600000000004</v>
      </c>
      <c r="F40" s="1" cm="1">
        <f t="array" ref="F40">VEERG_15_4_1_1__2_EmissionsFromPurchasedFertiliserComponentsVariation_Result_Method2</f>
        <v>599.726</v>
      </c>
      <c r="G40" s="9" t="s">
        <v>7</v>
      </c>
      <c r="H40" s="1">
        <f t="shared" ref="H40:H47" si="2">E40</f>
        <v>518.80600000000004</v>
      </c>
      <c r="I40" s="1">
        <f t="shared" ref="I40:I50" si="3">F40</f>
        <v>599.726</v>
      </c>
      <c r="J40" s="9" t="s">
        <v>7</v>
      </c>
    </row>
    <row r="41" spans="1:10" ht="20.100000000000001" customHeight="1" x14ac:dyDescent="0.2">
      <c r="A41" s="5" t="str">
        <f>HYPERLINK("#'Constants - Ag Residue'!A1", "Constants - Ag residue")</f>
        <v>Constants - Ag residue</v>
      </c>
      <c r="D41" s="1" t="s">
        <v>278</v>
      </c>
      <c r="E41" s="1" cm="1">
        <f t="array" ref="E41">VEERG_15_5_1_1__1_EmissionsFromPurchasedAgrichemicals_Result_Method1</f>
        <v>7.5159999999999991</v>
      </c>
      <c r="F41" s="1" cm="1">
        <f t="array" ref="F41">VEERG_15_5_1_1__1_EmissionsFromPurchasedAgrichemicals_Result_Method2</f>
        <v>7.4959999999999996</v>
      </c>
      <c r="G41" s="9" t="s">
        <v>7</v>
      </c>
      <c r="H41" s="1">
        <f t="shared" si="2"/>
        <v>7.5159999999999991</v>
      </c>
      <c r="I41" s="1">
        <f t="shared" si="3"/>
        <v>7.4959999999999996</v>
      </c>
      <c r="J41" s="9" t="s">
        <v>7</v>
      </c>
    </row>
    <row r="42" spans="1:10" ht="20.100000000000001" customHeight="1" x14ac:dyDescent="0.2">
      <c r="A42" s="5" t="str">
        <f>HYPERLINK("#'Constants - Electricity'!A1", "Constants - Electricity")</f>
        <v>Constants - Electricity</v>
      </c>
      <c r="D42" s="1" t="s">
        <v>279</v>
      </c>
      <c r="E42" s="1" cm="1">
        <f t="array" ref="E42">VEERG_15_6_1_1__1_EmissionsFromPurchasedLime_Result_Method1</f>
        <v>0.16553999999999999</v>
      </c>
      <c r="F42" s="1" cm="1">
        <f t="array" ref="F42">VEERG_15_6_1_1__1_EmissionsFromPurchasedLime_Result_Method2</f>
        <v>0.14399999999999999</v>
      </c>
      <c r="G42" s="9" t="s">
        <v>7</v>
      </c>
      <c r="H42" s="1">
        <f t="shared" si="2"/>
        <v>0.16553999999999999</v>
      </c>
      <c r="I42" s="1">
        <f t="shared" si="3"/>
        <v>0.14399999999999999</v>
      </c>
      <c r="J42" s="9" t="s">
        <v>7</v>
      </c>
    </row>
    <row r="43" spans="1:10" ht="20.100000000000001" customHeight="1" x14ac:dyDescent="0.2">
      <c r="A43" s="5" t="str">
        <f>HYPERLINK("#'Constants - Fertiliser'!A1", "Constants - Fertiliser")</f>
        <v>Constants - Fertiliser</v>
      </c>
      <c r="D43" s="1" t="s">
        <v>280</v>
      </c>
      <c r="E43" s="1" t="str" cm="1">
        <f t="array" ref="E43">VEERG_15_7_1_1__1_EmissionsFromPurchasedServices_Result_Method1</f>
        <v>No data</v>
      </c>
      <c r="F43" s="1" cm="1">
        <f t="array" ref="F43">VEERG_15_7_1_1__1_EmissionsFromPurchasedServices_Result_Method2</f>
        <v>42</v>
      </c>
      <c r="G43" s="9" t="s">
        <v>7</v>
      </c>
      <c r="H43" s="1" t="str">
        <f t="shared" si="2"/>
        <v>No data</v>
      </c>
      <c r="I43" s="1">
        <f t="shared" si="3"/>
        <v>42</v>
      </c>
      <c r="J43" s="9" t="s">
        <v>7</v>
      </c>
    </row>
    <row r="44" spans="1:10" ht="20.100000000000001" customHeight="1" x14ac:dyDescent="0.2">
      <c r="A44" s="5" t="str">
        <f>HYPERLINK("#'Constants - Fuel'!A1", "Constants - Fuel")</f>
        <v>Constants - Fuel</v>
      </c>
      <c r="D44" s="1" t="s">
        <v>281</v>
      </c>
      <c r="E44" s="1" cm="1">
        <f t="array" ref="E44">VEERG_15_10_1_1__1_OtherPurchasedGoodsAndServices_CleaningChemicals_Result_Method1</f>
        <v>0.50509999999999999</v>
      </c>
      <c r="F44" s="1" cm="1">
        <f t="array" ref="F44">VEERG_15_10_1_1__1_OtherPurchasedGoodsAndServices_CleaningChemicals_Result_Method2</f>
        <v>2.73</v>
      </c>
      <c r="G44" s="9" t="s">
        <v>7</v>
      </c>
      <c r="H44" s="1">
        <f t="shared" si="2"/>
        <v>0.50509999999999999</v>
      </c>
      <c r="I44" s="1">
        <f t="shared" si="3"/>
        <v>2.73</v>
      </c>
      <c r="J44" s="9" t="s">
        <v>7</v>
      </c>
    </row>
    <row r="45" spans="1:10" ht="20.100000000000001" customHeight="1" x14ac:dyDescent="0.2">
      <c r="A45" s="5" t="str">
        <f>HYPERLINK("#'Constants - Scope 3'!A1", "Constants - Scope 3")</f>
        <v>Constants - Scope 3</v>
      </c>
      <c r="D45" s="1" t="s">
        <v>282</v>
      </c>
      <c r="E45" s="1" t="str" cm="1">
        <f t="array" ref="E45">VEERG_15_10_1_1__1_OtherPurchasedGoodsAndServices_Uncategorised_Result_Method1</f>
        <v>No data</v>
      </c>
      <c r="F45" s="1" cm="1">
        <f t="array" ref="F45">VEERG_15_10_1_1__1_OtherPurchasedGoodsAndServices_Uncategorised_Result_Method2</f>
        <v>4000</v>
      </c>
      <c r="G45" s="9" t="s">
        <v>7</v>
      </c>
      <c r="H45" s="1" t="str">
        <f t="shared" si="2"/>
        <v>No data</v>
      </c>
      <c r="I45" s="1">
        <f t="shared" si="3"/>
        <v>4000</v>
      </c>
      <c r="J45" s="9" t="s">
        <v>7</v>
      </c>
    </row>
    <row r="46" spans="1:10" ht="20.100000000000001" customHeight="1" x14ac:dyDescent="0.2">
      <c r="A46" s="5" t="str">
        <f>HYPERLINK("#'Constants - Solid Waste'!A1", "Constants - Solid Waste")</f>
        <v>Constants - Solid Waste</v>
      </c>
      <c r="D46" s="1" t="s">
        <v>283</v>
      </c>
      <c r="E46" s="1" cm="1">
        <f t="array" ref="E46">VEERG_15_11_1_1__1_TotalUpstreamEmissionsFromFuel_Result</f>
        <v>26.794</v>
      </c>
      <c r="F46" s="1">
        <f>E46</f>
        <v>26.794</v>
      </c>
      <c r="G46" s="9" t="s">
        <v>7</v>
      </c>
      <c r="H46" s="1">
        <f t="shared" si="2"/>
        <v>26.794</v>
      </c>
      <c r="I46" s="1">
        <f t="shared" si="3"/>
        <v>26.794</v>
      </c>
      <c r="J46" s="9" t="s">
        <v>7</v>
      </c>
    </row>
    <row r="47" spans="1:10" ht="20.100000000000001" customHeight="1" x14ac:dyDescent="0.2">
      <c r="A47" s="5" t="str">
        <f>HYPERLINK("#'Constants - Common'!A1", "Constants - Common")</f>
        <v>Constants - Common</v>
      </c>
      <c r="D47" s="1" t="str" cm="1">
        <f t="array" ref="D47">"15.12.1.1 Purchased electricity " &amp; IF(X_Cell_Electricity_CalculationMethod="Location-based (simpler)", "(Location-based)", "(Market-based)")</f>
        <v>15.12.1.1 Purchased electricity (Location-based)</v>
      </c>
      <c r="E47" s="1" cm="1">
        <f t="array" ref="E47">IF(X_Cell_Electricity_CalculationMethod="Location-based (simpler)", VEERG_15_12_1_1__1_UpstreamPurchasedElectricityLocationBased_Result, VEERG_15_12_1_1__1_UpstreamPurchasedElectricityMarketBased_Result)</f>
        <v>2.7</v>
      </c>
      <c r="F47" s="1">
        <f>E47</f>
        <v>2.7</v>
      </c>
      <c r="G47" s="9" t="s">
        <v>7</v>
      </c>
      <c r="H47" s="1">
        <f t="shared" si="2"/>
        <v>2.7</v>
      </c>
      <c r="I47" s="1">
        <f t="shared" si="3"/>
        <v>2.7</v>
      </c>
      <c r="J47" s="9" t="s">
        <v>7</v>
      </c>
    </row>
    <row r="48" spans="1:10" ht="20.100000000000001" customHeight="1" x14ac:dyDescent="0.2">
      <c r="A48" s="5" t="str">
        <f>HYPERLINK("#'Constants - Common Livestock'!A1", "Constants - Common Livestock")</f>
        <v>Constants - Common Livestock</v>
      </c>
      <c r="D48" s="1" t="s">
        <v>284</v>
      </c>
      <c r="E48" s="1" t="str" cm="1">
        <f t="array" ref="E48">VEERG_15_14_1_1__1_EmbeddedEmissionsFromUpstreamFreight_Incoming_Result_Method1</f>
        <v>No data</v>
      </c>
      <c r="F48" s="1" cm="1">
        <f t="array" ref="F48">VEERG_15_14_1_1__1_EmbeddedEmissionsFromUpstreamFreight_Incoming_Result_Method2</f>
        <v>5146700</v>
      </c>
      <c r="G48" s="9" t="s">
        <v>7</v>
      </c>
      <c r="H48" s="1" t="str">
        <f>E48</f>
        <v>No data</v>
      </c>
      <c r="I48" s="1">
        <f t="shared" si="3"/>
        <v>5146700</v>
      </c>
      <c r="J48" s="9" t="s">
        <v>7</v>
      </c>
    </row>
    <row r="49" spans="1:10" ht="20.100000000000001" customHeight="1" x14ac:dyDescent="0.2">
      <c r="D49" s="1" t="s">
        <v>285</v>
      </c>
      <c r="E49" s="1" cm="1">
        <f t="array" ref="E49">VEERG_10_1_1_1__1_EmissionsFromWasteManagement_Scope3_Result_Method1</f>
        <v>441.15000000000003</v>
      </c>
      <c r="F49" s="1">
        <f>E49</f>
        <v>441.15000000000003</v>
      </c>
      <c r="G49" s="9" t="s">
        <v>7</v>
      </c>
      <c r="H49" s="1">
        <f t="shared" ref="H49:H50" si="4">E49</f>
        <v>441.15000000000003</v>
      </c>
      <c r="I49" s="1">
        <f t="shared" si="3"/>
        <v>441.15000000000003</v>
      </c>
      <c r="J49" s="9" t="s">
        <v>7</v>
      </c>
    </row>
    <row r="50" spans="1:10" ht="20.100000000000001" customHeight="1" x14ac:dyDescent="0.2">
      <c r="D50" s="1" t="s">
        <v>286</v>
      </c>
      <c r="E50" s="1" t="str" cm="1">
        <f t="array" ref="E50">VEERG_15_14_1_1__1_EmbeddedEmissionsFromUpstreamFreight_Outgoing_Result_Method1</f>
        <v>No data</v>
      </c>
      <c r="F50" s="1" cm="1">
        <f t="array" ref="F50">VEERG_15_14_1_1__1_EmbeddedEmissionsFromUpstreamFreight_Outgoing_Result_Method2</f>
        <v>432640</v>
      </c>
      <c r="G50" s="9" t="s">
        <v>7</v>
      </c>
      <c r="H50" s="1" t="str">
        <f t="shared" si="4"/>
        <v>No data</v>
      </c>
      <c r="I50" s="1">
        <f t="shared" si="3"/>
        <v>432640</v>
      </c>
      <c r="J50" s="9" t="s">
        <v>7</v>
      </c>
    </row>
    <row r="51" spans="1:10" ht="20.100000000000001" customHeight="1" x14ac:dyDescent="0.2">
      <c r="D51" s="87" t="s">
        <v>287</v>
      </c>
      <c r="E51" s="88"/>
      <c r="F51" s="88"/>
      <c r="G51" s="88"/>
      <c r="H51" s="87">
        <f>SUM(H40:H50)</f>
        <v>997.63663999999994</v>
      </c>
      <c r="I51" s="87">
        <f>SUM(I40:I50)</f>
        <v>5584462.7400000002</v>
      </c>
      <c r="J51" s="97" t="s">
        <v>7</v>
      </c>
    </row>
    <row r="54" spans="1:10" ht="20.100000000000001" customHeight="1" x14ac:dyDescent="0.2">
      <c r="D54" s="79" t="str">
        <f>"Carbon removals from plantings for the activity period " &amp; TEXT(X_Cell_Site_StartDate, "d mmmm yyyy") &amp; " and " &amp; TEXT(X_Cell_Site_EndDate, "d mmmm yyyy")</f>
        <v>Carbon removals from plantings for the activity period 1 January 2025 and 31 December 2025</v>
      </c>
    </row>
    <row r="56" spans="1:10" ht="20.100000000000001" customHeight="1" x14ac:dyDescent="0.2">
      <c r="D56" s="87" t="s">
        <v>288</v>
      </c>
      <c r="E56" s="88">
        <f>SUM(Table_Input_Enterprise_PlantingRemovals[Removal allocated to this enterprise])</f>
        <v>0</v>
      </c>
      <c r="F56" s="97" t="s">
        <v>127</v>
      </c>
    </row>
    <row r="59" spans="1:10" ht="20.100000000000001" customHeight="1" x14ac:dyDescent="0.2">
      <c r="A59" s="81" t="str">
        <f>HYPERLINK("#A1", "▲ Back to top")</f>
        <v>▲ Back to top</v>
      </c>
      <c r="D59" s="79" t="str">
        <f>"Net emissions for the activity period " &amp; TEXT(X_Cell_Site_StartDate, "d mmmm yyyy") &amp; " and " &amp; TEXT(X_Cell_Site_EndDate, "d mmmm yyyy")</f>
        <v>Net emissions for the activity period 1 January 2025 and 31 December 2025</v>
      </c>
    </row>
    <row r="61" spans="1:10" ht="20.100000000000001" customHeight="1" x14ac:dyDescent="0.2">
      <c r="D61" s="11"/>
      <c r="E61" s="11" t="s">
        <v>130</v>
      </c>
      <c r="F61" s="11" t="s">
        <v>131</v>
      </c>
      <c r="G61" s="11"/>
    </row>
    <row r="62" spans="1:10" ht="20.100000000000001" customHeight="1" x14ac:dyDescent="0.2">
      <c r="D62" s="96" t="s">
        <v>289</v>
      </c>
      <c r="E62" s="94">
        <f>Result_Enterprise_Scope1_Method1+Result_Enterprise_Scope2_Method1+Result_Enterprise_Scope3_Method1</f>
        <v>3223.219397267143</v>
      </c>
      <c r="F62" s="94">
        <f>Result_Enterprise_Scope1_Method2+Result_Enterprise_Scope2_Method2+Result_Enterprise_Scope3_Method2</f>
        <v>5586688.3227747576</v>
      </c>
      <c r="G62" s="95" t="s">
        <v>290</v>
      </c>
    </row>
    <row r="63" spans="1:10" ht="20.100000000000001" customHeight="1" x14ac:dyDescent="0.2">
      <c r="D63" s="96" t="s">
        <v>291</v>
      </c>
      <c r="E63" s="94">
        <f>Result_Enterprise_Gross_Method1-Result_Enterprise_Removals</f>
        <v>3223.219397267143</v>
      </c>
      <c r="F63" s="94">
        <f>Result_Enterprise_Gross_Method2-Result_Enterprise_Removals</f>
        <v>5586688.3227747576</v>
      </c>
      <c r="G63" s="95" t="s">
        <v>290</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4" width="9.140625" style="1"/>
  </cols>
  <sheetData>
    <row r="1" spans="1:14" s="92" customFormat="1" ht="30" customHeight="1" x14ac:dyDescent="0.35">
      <c r="A1" s="10" t="e" vm="1">
        <v>#VALUE!</v>
      </c>
      <c r="C1" s="92" t="s">
        <v>294</v>
      </c>
    </row>
    <row r="2" spans="1:14" s="3" customFormat="1" ht="20.100000000000001" customHeight="1" x14ac:dyDescent="0.2">
      <c r="A2"/>
    </row>
    <row r="3" spans="1:14" ht="20.100000000000001" customHeight="1" x14ac:dyDescent="0.2">
      <c r="A3" s="5" t="str">
        <f>HYPERLINK("#'Home'!A1", "Home")</f>
        <v>Home</v>
      </c>
      <c r="C3" s="93"/>
      <c r="D3" s="93"/>
      <c r="E3" s="93"/>
      <c r="F3" s="93"/>
      <c r="G3" s="93"/>
      <c r="H3" s="93"/>
      <c r="I3" s="93"/>
      <c r="J3" s="93"/>
      <c r="K3" s="93"/>
      <c r="L3" s="93"/>
      <c r="M3" s="93"/>
      <c r="N3" s="93"/>
    </row>
    <row r="4" spans="1:14" ht="20.100000000000001" customHeight="1" x14ac:dyDescent="0.2">
      <c r="A4" s="5" t="str">
        <f>HYPERLINK("#'Results - Activity period'!A1", "Results - Activity period")</f>
        <v>Results - Activity period</v>
      </c>
    </row>
    <row r="5" spans="1:14" ht="20.100000000000001" customHeight="1" x14ac:dyDescent="0.2">
      <c r="A5" s="244" t="str">
        <f>HYPERLINK("#'Results - Product EI'!A1", "Results - Product EI")</f>
        <v>Results - Product EI</v>
      </c>
    </row>
    <row r="8" spans="1:14" ht="20.100000000000001" customHeight="1" x14ac:dyDescent="0.2">
      <c r="A8" s="7" t="s">
        <v>0</v>
      </c>
    </row>
    <row r="9" spans="1:14" ht="20.100000000000001" customHeight="1" x14ac:dyDescent="0.2">
      <c r="A9" s="5" t="str">
        <f>HYPERLINK("#'Input - Enterprise'!A1", "Enterprise")</f>
        <v>Enterprise</v>
      </c>
    </row>
    <row r="10" spans="1:14" ht="20.100000000000001" customHeight="1" x14ac:dyDescent="0.2">
      <c r="A10" s="5" t="str">
        <f>HYPERLINK("#'Input - Site'!A1", "Site")</f>
        <v>Site</v>
      </c>
    </row>
    <row r="11" spans="1:14" ht="20.100000000000001" customHeight="1" x14ac:dyDescent="0.2">
      <c r="A11" s="5" t="str">
        <f>HYPERLINK("#'Input - Crop'!A1", "Crop")</f>
        <v>Crop</v>
      </c>
    </row>
    <row r="12" spans="1:14" ht="20.100000000000001" customHeight="1" x14ac:dyDescent="0.2">
      <c r="A12" s="5" t="str">
        <f>HYPERLINK("#'Input - Fert Prod System'!A1", "Fert Prod System")</f>
        <v>Fert Prod System</v>
      </c>
    </row>
    <row r="13" spans="1:14" ht="20.100000000000001" customHeight="1" x14ac:dyDescent="0.2">
      <c r="A13" s="5" t="str">
        <f>HYPERLINK("#'Input - Fertiliser'!A1", "Fertiliser")</f>
        <v>Fertiliser</v>
      </c>
    </row>
    <row r="14" spans="1:14" ht="20.100000000000001" customHeight="1" x14ac:dyDescent="0.2">
      <c r="A14" s="5" t="str">
        <f>HYPERLINK("#'Input - Fuel'!A1", "Fuel")</f>
        <v>Fuel</v>
      </c>
    </row>
    <row r="15" spans="1:14" ht="20.100000000000001" customHeight="1" x14ac:dyDescent="0.2">
      <c r="A15" s="5" t="str">
        <f>HYPERLINK("#'Input - Electricity'!A1", "Electricity")</f>
        <v>Electricity</v>
      </c>
    </row>
    <row r="16" spans="1:14" ht="20.100000000000001" customHeight="1" x14ac:dyDescent="0.2">
      <c r="A16" s="5" t="str">
        <f>HYPERLINK("#'Input - Common farm inputs'!A1", "Common farm inputs")</f>
        <v>Common farm inputs</v>
      </c>
    </row>
    <row r="17" spans="1:4" ht="20.100000000000001" customHeight="1" x14ac:dyDescent="0.2">
      <c r="A17" s="5" t="str">
        <f>HYPERLINK("#'Input - Crop pasture farm input'!A1", "Crop pasture farm input")</f>
        <v>Crop pasture farm input</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Data quality'!A1", "Data quality")</f>
        <v>Data quality</v>
      </c>
    </row>
    <row r="23" spans="1:4" ht="20.100000000000001" customHeight="1" x14ac:dyDescent="0.2">
      <c r="A23" s="6" t="s">
        <v>2</v>
      </c>
    </row>
    <row r="24" spans="1:4" ht="20.100000000000001" customHeight="1" x14ac:dyDescent="0.2">
      <c r="A24" s="5" t="str">
        <f>HYPERLINK("#'5.1.1.1-2 Inorganic fert N2O'!A1", "5.1.1.1-2 Inorganic fert N2O")</f>
        <v>5.1.1.1-2 Inorganic fert N2O</v>
      </c>
    </row>
    <row r="25" spans="1:4" ht="20.100000000000001" customHeight="1" x14ac:dyDescent="0.2">
      <c r="A25" s="5" t="str">
        <f>HYPERLINK("#'5.1.1.3-4 Inorganic fert CO2'!A1", "5.1.1.3-4 Inorganic fert CO2")</f>
        <v>5.1.1.3-4 Inorganic fert CO2</v>
      </c>
    </row>
    <row r="26" spans="1:4" ht="20.100000000000001" customHeight="1" x14ac:dyDescent="0.2">
      <c r="A26" s="5" t="str">
        <f>HYPERLINK("#'5.2.1.1-2 Organic Fert N2O'!A1", "5.2.1.1-2 Organic fert N2O")</f>
        <v>5.2.1.1-2 Organic fert N2O</v>
      </c>
    </row>
    <row r="27" spans="1:4" ht="20.100000000000001" customHeight="1" x14ac:dyDescent="0.2">
      <c r="A27" s="5" t="str">
        <f>HYPERLINK("#'5.3.1.1-2 Lime CO2'!A1", "5.3.1.1-2 Lime CO2")</f>
        <v>5.3.1.1-2 Lime CO2</v>
      </c>
    </row>
    <row r="28" spans="1:4" ht="20.100000000000001" customHeight="1" x14ac:dyDescent="0.2">
      <c r="A28" s="5" t="str">
        <f>HYPERLINK("#'5.4.1.1-4 Atmos deposition'!A1", "5.4.1.1-4 Atmos. deposition")</f>
        <v>5.4.1.1-4 Atmos. deposition</v>
      </c>
    </row>
    <row r="29" spans="1:4" ht="20.100000000000001" customHeight="1" x14ac:dyDescent="0.2">
      <c r="A29" s="5" t="str">
        <f>HYPERLINK("#'5.5.1.1-2 Leaching and runoff'!A1", "5.5.1.1-2 Leaching &amp; runoff")</f>
        <v>5.5.1.1-2 Leaching &amp; runoff</v>
      </c>
    </row>
    <row r="30" spans="1:4" ht="20.100000000000001" customHeight="1" x14ac:dyDescent="0.2">
      <c r="A30" s="5" t="str">
        <f>HYPERLINK("#'6.1.1.1-2 Crop residue N2O'!A1", "6.1.1.1-2 Crop residue N2O")</f>
        <v>6.1.1.1-2 Crop residue N2O</v>
      </c>
    </row>
    <row r="31" spans="1:4" ht="20.100000000000001" customHeight="1" x14ac:dyDescent="0.2">
      <c r="A31" s="5" t="str">
        <f>HYPERLINK("#'6.3.1.1-2 Leach runoff crop'!A1", "6.3.1.1-2 Leach &amp; runoff (crop)")</f>
        <v>6.3.1.1-2 Leach &amp; runoff (crop)</v>
      </c>
    </row>
    <row r="32" spans="1:4" ht="20.100000000000001" customHeight="1" x14ac:dyDescent="0.2">
      <c r="A32" s="5" t="str">
        <f>HYPERLINK("#'6.4.1.1-2 Residue burning'!A1", "6.4.1.1-2 Residue burning")</f>
        <v>6.4.1.1-2 Residue burning</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HYPERLINK("#'8.1.1.1-2 Transport fuel'!A1", "8.1.1.1-2 Transport fuel")</f>
        <v>8.1.1.1-2 Transport fuel</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D35" s="11"/>
      <c r="E35" s="11" t="s">
        <v>130</v>
      </c>
      <c r="F35" s="11" t="s">
        <v>131</v>
      </c>
      <c r="G35" s="11"/>
    </row>
    <row r="36" spans="1:10" ht="20.100000000000001" customHeight="1" x14ac:dyDescent="0.2">
      <c r="A36" s="5" t="str">
        <f>HYPERLINK("#'14.1.1-2 Purchased electricity'!A1", "14.1.1-2 Purchased electricity")</f>
        <v>14.1.1-2 Purchased electricity</v>
      </c>
      <c r="D36" s="77" t="s">
        <v>292</v>
      </c>
      <c r="E36" s="1">
        <f>Result_EmissionsForWholeProductionCycle_Gross_Method1</f>
        <v>3223.219397267143</v>
      </c>
      <c r="F36" s="1">
        <f>Result_EmissionsForWholeProductionCycle_Gross_Method2</f>
        <v>5586688.3227747576</v>
      </c>
      <c r="G36" s="9" t="s">
        <v>7</v>
      </c>
    </row>
    <row r="37" spans="1:10" ht="20.100000000000001" customHeight="1" x14ac:dyDescent="0.2">
      <c r="A37" s="5" t="str">
        <f>HYPERLINK("#'15 Scope 3'!A1", "15 Scope 3")</f>
        <v>15 Scope 3</v>
      </c>
      <c r="D37" s="77" t="s">
        <v>293</v>
      </c>
      <c r="E37" s="1">
        <f>Result_EmissionsForWholeProductionCycle_Net_Method1</f>
        <v>3223.219397267143</v>
      </c>
      <c r="F37" s="1">
        <f>Result_EmissionsForWholeProductionCycle_Net_Method2</f>
        <v>5586688.3227747576</v>
      </c>
      <c r="G37" s="9" t="s">
        <v>7</v>
      </c>
    </row>
    <row r="39" spans="1:10" ht="20.100000000000001" customHeight="1" x14ac:dyDescent="0.2">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82" t="s">
        <v>1</v>
      </c>
    </row>
    <row r="41" spans="1:10" ht="20.100000000000001" customHeight="1" x14ac:dyDescent="0.2">
      <c r="A41" s="5" t="str">
        <f>HYPERLINK("#'Constants - Ag Residue'!A1", "Constants - Ag residue")</f>
        <v>Constants - Ag residue</v>
      </c>
    </row>
    <row r="42" spans="1:10" ht="20.100000000000001" customHeight="1" x14ac:dyDescent="0.2">
      <c r="A42" s="5" t="str">
        <f>HYPERLINK("#'Constants - Electricity'!A1", "Constants - Electricity")</f>
        <v>Constants - Electricity</v>
      </c>
      <c r="D42" s="1" t="s">
        <v>166</v>
      </c>
    </row>
    <row r="43" spans="1:10" ht="20.100000000000001" customHeight="1" x14ac:dyDescent="0.2">
      <c r="A43" s="5" t="str">
        <f>HYPERLINK("#'Constants - Fertiliser'!A1", "Constants - Fertiliser")</f>
        <v>Constants - Fertiliser</v>
      </c>
      <c r="D43" s="11" t="s">
        <v>132</v>
      </c>
      <c r="E43" s="11" t="s">
        <v>121</v>
      </c>
      <c r="F43" s="11" t="s">
        <v>117</v>
      </c>
      <c r="G43" s="11" t="s">
        <v>163</v>
      </c>
      <c r="H43" s="11" t="s">
        <v>119</v>
      </c>
      <c r="I43" s="11" t="s">
        <v>120</v>
      </c>
      <c r="J43" s="11" t="s">
        <v>118</v>
      </c>
    </row>
    <row r="44" spans="1:10" ht="20.100000000000001" customHeight="1" x14ac:dyDescent="0.2">
      <c r="A44" s="5" t="str">
        <f>HYPERLINK("#'Constants - Fuel'!A1", "Constants - Fuel")</f>
        <v>Constants - Fuel</v>
      </c>
      <c r="D44" s="1" t="s">
        <v>168</v>
      </c>
      <c r="E44" s="1" t="s">
        <v>122</v>
      </c>
      <c r="F44" s="1">
        <f>X_Cell_Enterprise_GrainYield*X_Cell_Enterprise_PercentGrainSold</f>
        <v>1000</v>
      </c>
      <c r="G44" s="1">
        <f>F44/(F44+F47)</f>
        <v>0.75187969924812026</v>
      </c>
      <c r="H44" s="1">
        <f>(E36/F44)*G44</f>
        <v>2.423473231027927</v>
      </c>
      <c r="I44" s="1">
        <f>(F36/F44)*G44</f>
        <v>4200.5175359208697</v>
      </c>
      <c r="J44" s="9" t="s">
        <v>160</v>
      </c>
    </row>
    <row r="45" spans="1:10" ht="20.100000000000001" customHeight="1" x14ac:dyDescent="0.2">
      <c r="A45" s="5" t="str">
        <f>HYPERLINK("#'Constants - Scope 3'!A1", "Constants - Scope 3")</f>
        <v>Constants - Scope 3</v>
      </c>
      <c r="D45" s="1" t="s">
        <v>169</v>
      </c>
      <c r="E45" s="1" t="s">
        <v>122</v>
      </c>
      <c r="F45" s="1">
        <f>F44</f>
        <v>1000</v>
      </c>
      <c r="G45" s="1">
        <f>G44</f>
        <v>0.75187969924812026</v>
      </c>
      <c r="H45" s="1">
        <f>(E37/F45)*G45</f>
        <v>2.423473231027927</v>
      </c>
      <c r="I45" s="1">
        <f>(F37/F45)*G45</f>
        <v>4200.5175359208697</v>
      </c>
      <c r="J45" s="9" t="s">
        <v>160</v>
      </c>
    </row>
    <row r="46" spans="1:10" ht="20.100000000000001" customHeight="1" x14ac:dyDescent="0.2">
      <c r="A46" s="5" t="str">
        <f>HYPERLINK("#'Constants - Solid Waste'!A1", "Constants - Solid Waste")</f>
        <v>Constants - Solid Waste</v>
      </c>
      <c r="D46" s="1" t="s">
        <v>158</v>
      </c>
      <c r="E46" s="1" t="s">
        <v>125</v>
      </c>
      <c r="F46" s="1">
        <f>X_Cell_Enterprise_GrainYield*X_Cell_Enterprise_PercentGrainUsedAsFeed</f>
        <v>1000</v>
      </c>
      <c r="G46" s="1" t="s">
        <v>124</v>
      </c>
      <c r="H46" s="1" t="s">
        <v>124</v>
      </c>
      <c r="I46" s="1" t="s">
        <v>124</v>
      </c>
      <c r="J46" s="9"/>
    </row>
    <row r="47" spans="1:10" ht="20.100000000000001" customHeight="1" x14ac:dyDescent="0.2">
      <c r="A47" s="5" t="str">
        <f>HYPERLINK("#'Constants - Common'!A1", "Constants - Common")</f>
        <v>Constants - Common</v>
      </c>
      <c r="D47" s="1" t="s">
        <v>170</v>
      </c>
      <c r="E47" s="1" t="s">
        <v>123</v>
      </c>
      <c r="F47" s="1">
        <f>X_Cell_BaledHayYield*X_Cell_PercentBaledHaySold</f>
        <v>330</v>
      </c>
      <c r="G47" s="1">
        <f>F47/(F44+F47)</f>
        <v>0.24812030075187969</v>
      </c>
      <c r="H47" s="1">
        <f>(E36/F47)*G47</f>
        <v>2.423473231027927</v>
      </c>
      <c r="I47" s="1">
        <f>(F36/F47)*G47</f>
        <v>4200.5175359208697</v>
      </c>
      <c r="J47" s="9" t="s">
        <v>161</v>
      </c>
    </row>
    <row r="48" spans="1:10" ht="20.100000000000001" customHeight="1" x14ac:dyDescent="0.2">
      <c r="A48" s="5" t="str">
        <f>HYPERLINK("#'Constants - Common Livestock'!A1", "Constants - Common Livestock")</f>
        <v>Constants - Common Livestock</v>
      </c>
      <c r="D48" s="1" t="s">
        <v>171</v>
      </c>
      <c r="E48" s="1" t="s">
        <v>123</v>
      </c>
      <c r="F48" s="1">
        <f>F47</f>
        <v>330</v>
      </c>
      <c r="G48" s="1">
        <f>G47</f>
        <v>0.24812030075187969</v>
      </c>
      <c r="H48" s="98">
        <f>(E37/F48)*G48</f>
        <v>2.423473231027927</v>
      </c>
      <c r="I48" s="98">
        <f>(F37/F48)*G48</f>
        <v>4200.5175359208697</v>
      </c>
      <c r="J48" s="9" t="s">
        <v>161</v>
      </c>
    </row>
    <row r="49" spans="4:10" ht="20.100000000000001" customHeight="1" x14ac:dyDescent="0.2">
      <c r="D49" s="1" t="s">
        <v>159</v>
      </c>
      <c r="E49" s="1" t="s">
        <v>125</v>
      </c>
      <c r="F49" s="1">
        <f>X_Cell_BaledHayYield*X_Cell_PercentBaledHayUsedOnFarm</f>
        <v>165</v>
      </c>
      <c r="G49" s="1" t="s">
        <v>124</v>
      </c>
      <c r="H49" s="1" t="s">
        <v>124</v>
      </c>
      <c r="I49" s="1" t="s">
        <v>124</v>
      </c>
      <c r="J49" s="9"/>
    </row>
    <row r="51" spans="4:10" ht="20.100000000000001" customHeight="1" x14ac:dyDescent="0.2">
      <c r="D51" s="1" t="s">
        <v>167</v>
      </c>
    </row>
    <row r="52" spans="4:10" ht="20.100000000000001" customHeight="1" x14ac:dyDescent="0.2">
      <c r="D52" s="11" t="s">
        <v>132</v>
      </c>
      <c r="E52" s="11" t="s">
        <v>121</v>
      </c>
      <c r="F52" s="11" t="s">
        <v>117</v>
      </c>
      <c r="G52" s="11" t="s">
        <v>162</v>
      </c>
      <c r="H52" s="11" t="s">
        <v>164</v>
      </c>
      <c r="I52" s="11" t="s">
        <v>165</v>
      </c>
      <c r="J52" s="11" t="s">
        <v>118</v>
      </c>
    </row>
    <row r="53" spans="4:10" ht="20.100000000000001" customHeight="1" x14ac:dyDescent="0.2">
      <c r="D53" s="1" t="s">
        <v>168</v>
      </c>
      <c r="E53" s="1" t="s">
        <v>122</v>
      </c>
      <c r="F53" s="1">
        <f>X_Cell_Enterprise_GrainYield*X_Cell_Enterprise_PercentGrainSold</f>
        <v>1000</v>
      </c>
      <c r="G53" s="1">
        <f>X_Cell_Enterprise_PercentIncomeFromGrain</f>
        <v>0.8</v>
      </c>
      <c r="H53" s="1">
        <f>E36*G53/F53</f>
        <v>2.5785755178137149</v>
      </c>
      <c r="I53" s="1">
        <f>F36*G53/F53</f>
        <v>4469.3506582198061</v>
      </c>
      <c r="J53" s="9" t="s">
        <v>160</v>
      </c>
    </row>
    <row r="54" spans="4:10" ht="20.100000000000001" customHeight="1" x14ac:dyDescent="0.2">
      <c r="D54" s="1" t="s">
        <v>169</v>
      </c>
      <c r="E54" s="1" t="s">
        <v>122</v>
      </c>
      <c r="F54" s="1">
        <f>F53</f>
        <v>1000</v>
      </c>
      <c r="G54" s="1">
        <f>G53</f>
        <v>0.8</v>
      </c>
      <c r="H54" s="1">
        <f>E37*G54/F54</f>
        <v>2.5785755178137149</v>
      </c>
      <c r="I54" s="1">
        <f>F37*G54/F54</f>
        <v>4469.3506582198061</v>
      </c>
      <c r="J54" s="9" t="s">
        <v>160</v>
      </c>
    </row>
    <row r="55" spans="4:10" ht="20.100000000000001" customHeight="1" x14ac:dyDescent="0.2">
      <c r="D55" s="1" t="s">
        <v>158</v>
      </c>
      <c r="E55" s="1" t="s">
        <v>125</v>
      </c>
      <c r="F55" s="1">
        <f>X_Cell_Enterprise_GrainYield*X_Cell_Enterprise_PercentGrainUsedAsFeed</f>
        <v>1000</v>
      </c>
      <c r="G55" s="1" t="s">
        <v>124</v>
      </c>
      <c r="H55" s="1" t="s">
        <v>124</v>
      </c>
      <c r="I55" s="1" t="s">
        <v>124</v>
      </c>
      <c r="J55" s="9"/>
    </row>
    <row r="56" spans="4:10" ht="20.100000000000001" customHeight="1" x14ac:dyDescent="0.2">
      <c r="D56" s="1" t="s">
        <v>170</v>
      </c>
      <c r="E56" s="1" t="s">
        <v>123</v>
      </c>
      <c r="F56" s="1">
        <f>X_Cell_BaledHayYield*X_Cell_PercentBaledHaySold</f>
        <v>330</v>
      </c>
      <c r="G56" s="1">
        <f>X_Cell_Enterprise_PercentIncomeFromGrain</f>
        <v>0.8</v>
      </c>
      <c r="H56" s="1">
        <f>E36*G56/F56</f>
        <v>7.8138652054961053</v>
      </c>
      <c r="I56" s="1">
        <f>F36*G56/F56</f>
        <v>13543.486843090321</v>
      </c>
      <c r="J56" s="9" t="s">
        <v>161</v>
      </c>
    </row>
    <row r="57" spans="4:10" ht="20.100000000000001" customHeight="1" x14ac:dyDescent="0.2">
      <c r="D57" s="1" t="s">
        <v>171</v>
      </c>
      <c r="E57" s="1" t="s">
        <v>123</v>
      </c>
      <c r="F57" s="1">
        <f>F56</f>
        <v>330</v>
      </c>
      <c r="G57" s="1">
        <f>G56</f>
        <v>0.8</v>
      </c>
      <c r="H57" s="1">
        <f>E37*G57/F57</f>
        <v>7.8138652054961053</v>
      </c>
      <c r="I57" s="1">
        <f>F37*G57/F57</f>
        <v>13543.486843090321</v>
      </c>
      <c r="J57" s="9" t="s">
        <v>161</v>
      </c>
    </row>
    <row r="58" spans="4:10" ht="20.100000000000001" customHeight="1" x14ac:dyDescent="0.2">
      <c r="D58" s="1" t="s">
        <v>159</v>
      </c>
      <c r="E58" s="1" t="s">
        <v>125</v>
      </c>
      <c r="F58" s="1">
        <f>X_Cell_BaledHayYield*X_Cell_PercentBaledHayUsedOnFarm</f>
        <v>165</v>
      </c>
      <c r="G58" s="1" t="s">
        <v>124</v>
      </c>
      <c r="H58" s="1" t="s">
        <v>124</v>
      </c>
      <c r="I58" s="1" t="s">
        <v>124</v>
      </c>
      <c r="J58"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3"/>
  <sheetViews>
    <sheetView showGridLines="0" zoomScaleNormal="100" workbookViewId="0">
      <pane xSplit="1" topLeftCell="B1" activePane="topRight" state="frozenSplit"/>
      <selection pane="topRight" activeCell="A47" sqref="A4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8" t="s">
        <v>147</v>
      </c>
      <c r="D1" s="22"/>
      <c r="E1" s="22"/>
      <c r="F1" s="22"/>
      <c r="G1" s="22"/>
      <c r="H1" s="22"/>
      <c r="I1" s="22"/>
      <c r="J1" s="22"/>
    </row>
    <row r="2" spans="1:10" ht="20.100000000000001" customHeight="1" x14ac:dyDescent="0.2">
      <c r="C2" s="3"/>
      <c r="D2" s="3"/>
      <c r="E2" s="3"/>
      <c r="F2" s="3"/>
      <c r="G2" s="3"/>
      <c r="H2" s="3"/>
      <c r="I2" s="3"/>
      <c r="J2" s="3"/>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2" t="s">
        <v>87</v>
      </c>
      <c r="E5" s="25"/>
      <c r="F5" s="25"/>
      <c r="G5" s="25"/>
    </row>
    <row r="6" spans="1:10" ht="20.100000000000001" customHeight="1" x14ac:dyDescent="0.2">
      <c r="D6" s="32"/>
      <c r="E6" s="25"/>
      <c r="F6" s="25"/>
      <c r="G6" s="25"/>
    </row>
    <row r="7" spans="1:10" ht="20.100000000000001" customHeight="1" x14ac:dyDescent="0.2">
      <c r="D7" s="1" t="s">
        <v>88</v>
      </c>
      <c r="E7" s="34" t="s">
        <v>89</v>
      </c>
      <c r="F7" s="16"/>
      <c r="G7" s="25"/>
    </row>
    <row r="8" spans="1:10" ht="20.100000000000001" customHeight="1" x14ac:dyDescent="0.2">
      <c r="A8" s="7" t="s">
        <v>0</v>
      </c>
      <c r="D8" s="12" t="s">
        <v>90</v>
      </c>
      <c r="E8" s="34" t="s">
        <v>91</v>
      </c>
      <c r="F8" s="25"/>
      <c r="G8" s="25"/>
    </row>
    <row r="9" spans="1:10" ht="20.100000000000001" customHeight="1" x14ac:dyDescent="0.2">
      <c r="A9" s="102" t="str">
        <f>HYPERLINK("#'Input - Enterprise'!A1", "Enterprise")</f>
        <v>Enterprise</v>
      </c>
      <c r="D9" s="25"/>
      <c r="E9" s="25"/>
      <c r="F9" s="25"/>
      <c r="G9" s="25"/>
    </row>
    <row r="10" spans="1:10" ht="20.100000000000001" customHeight="1" x14ac:dyDescent="0.2">
      <c r="A10" s="5" t="str">
        <f>HYPERLINK("#'Input - Site'!A1", "Site")</f>
        <v>Site</v>
      </c>
      <c r="D10" s="36" t="s">
        <v>92</v>
      </c>
      <c r="E10" s="37"/>
      <c r="F10" s="38"/>
      <c r="G10" s="39"/>
    </row>
    <row r="11" spans="1:10" ht="20.100000000000001" customHeight="1" x14ac:dyDescent="0.2">
      <c r="A11" s="5" t="str">
        <f>HYPERLINK("#'Input - Crop'!A1", "Crop")</f>
        <v>Crop</v>
      </c>
      <c r="D11" s="25"/>
      <c r="E11" s="25"/>
      <c r="F11" s="25"/>
      <c r="G11" s="25"/>
    </row>
    <row r="12" spans="1:10" ht="20.100000000000001" customHeight="1" x14ac:dyDescent="0.2">
      <c r="A12" s="5" t="str">
        <f>HYPERLINK("#'Input - Fert Prod System'!A1", "Fert Prod System")</f>
        <v>Fert Prod System</v>
      </c>
      <c r="D12" s="12" t="s">
        <v>16</v>
      </c>
      <c r="E12" s="14">
        <v>45658</v>
      </c>
      <c r="F12" s="16" t="s">
        <v>93</v>
      </c>
      <c r="G12" s="25"/>
    </row>
    <row r="13" spans="1:10" ht="20.100000000000001" customHeight="1" x14ac:dyDescent="0.2">
      <c r="A13" s="5" t="str">
        <f>HYPERLINK("#'Input - Fertiliser'!A1", "Fertiliser")</f>
        <v>Fertiliser</v>
      </c>
      <c r="D13" s="12" t="s">
        <v>17</v>
      </c>
      <c r="E13" s="41">
        <f>DATE(YEAR(E12)+1,MONTH(E12),DAY(E12))-1</f>
        <v>46022</v>
      </c>
      <c r="F13" s="16" t="s">
        <v>94</v>
      </c>
      <c r="G13" s="25"/>
    </row>
    <row r="14" spans="1:10" ht="20.100000000000001" customHeight="1" x14ac:dyDescent="0.2">
      <c r="A14" s="5" t="str">
        <f>HYPERLINK("#'Input - Fuel'!A1", "Fuel")</f>
        <v>Fuel</v>
      </c>
      <c r="F14" s="25"/>
      <c r="G14" s="25"/>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Crop pasture farm input'!A1", "Crop pasture farm input")</f>
        <v>Crop pasture farm input</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Data quality'!A1", "Data quality")</f>
        <v>Data quality</v>
      </c>
      <c r="D20" s="1" t="s">
        <v>15</v>
      </c>
      <c r="E20" s="15">
        <f>DATEDIF(E18,E19+1,"m")</f>
        <v>5</v>
      </c>
      <c r="F20" s="16" t="s">
        <v>116</v>
      </c>
    </row>
    <row r="22" spans="1:6" ht="20.100000000000001" customHeight="1" x14ac:dyDescent="0.2">
      <c r="D22" s="1" t="s">
        <v>149</v>
      </c>
      <c r="E22" s="78" cm="1">
        <f t="array" ref="E22">IF(X_Cell_Crop_CropPurpose = "Cash grain crop", X_Cell_Crop_TotalProductionOfCrop, 0)</f>
        <v>10000</v>
      </c>
      <c r="F22" s="16" t="s">
        <v>19</v>
      </c>
    </row>
    <row r="23" spans="1:6" ht="20.100000000000001" customHeight="1" x14ac:dyDescent="0.2">
      <c r="A23" s="6" t="s">
        <v>2</v>
      </c>
      <c r="D23" s="1" t="s">
        <v>153</v>
      </c>
      <c r="E23" s="18">
        <v>0.1</v>
      </c>
      <c r="F23" s="16" t="s">
        <v>148</v>
      </c>
    </row>
    <row r="24" spans="1:6" ht="20.100000000000001" customHeight="1" x14ac:dyDescent="0.2">
      <c r="A24" s="5" t="str">
        <f>HYPERLINK("#'5.1.1.1-2 Inorganic fert N2O'!A1", "5.1.1.1-2 Inorganic fert N2O")</f>
        <v>5.1.1.1-2 Inorganic fert N2O</v>
      </c>
      <c r="D24" s="1" t="s">
        <v>154</v>
      </c>
      <c r="E24" s="18">
        <v>0.1</v>
      </c>
      <c r="F24" s="16" t="s">
        <v>148</v>
      </c>
    </row>
    <row r="25" spans="1:6" ht="20.100000000000001" customHeight="1" x14ac:dyDescent="0.2">
      <c r="A25" s="5" t="str">
        <f>HYPERLINK("#'5.1.1.3-4 Inorganic fert CO2'!A1", "5.1.1.3-4 Inorganic fert CO2")</f>
        <v>5.1.1.3-4 Inorganic fert CO2</v>
      </c>
      <c r="D25" s="1" t="s">
        <v>155</v>
      </c>
      <c r="E25" s="19">
        <f>100%-E23-E24</f>
        <v>0.8</v>
      </c>
      <c r="F25" s="16" t="s">
        <v>148</v>
      </c>
    </row>
    <row r="26" spans="1:6" ht="20.100000000000001" customHeight="1" x14ac:dyDescent="0.2">
      <c r="A26" s="5" t="str">
        <f>HYPERLINK("#'5.2.1.1-2 Organic Fert N2O'!A1", "5.2.1.1-2 Organic fert N2O")</f>
        <v>5.2.1.1-2 Organic fert N2O</v>
      </c>
    </row>
    <row r="27" spans="1:6" ht="20.100000000000001" customHeight="1" x14ac:dyDescent="0.2">
      <c r="A27" s="5" t="str">
        <f>HYPERLINK("#'5.3.1.1-2 Lime CO2'!A1", "5.3.1.1-2 Lime CO2")</f>
        <v>5.3.1.1-2 Lime CO2</v>
      </c>
      <c r="D27" s="1" t="s">
        <v>151</v>
      </c>
      <c r="E27" s="78" cm="1">
        <f t="array" ref="E27">X_Cell_Crop_TotalResidueBaled</f>
        <v>1650</v>
      </c>
      <c r="F27" s="16" t="s">
        <v>19</v>
      </c>
    </row>
    <row r="28" spans="1:6" ht="20.100000000000001" customHeight="1" x14ac:dyDescent="0.2">
      <c r="A28" s="5" t="str">
        <f>HYPERLINK("#'5.4.1.1-4 Atmos deposition'!A1", "5.4.1.1-4 Atmos. deposition")</f>
        <v>5.4.1.1-4 Atmos. deposition</v>
      </c>
      <c r="D28" s="1" t="s">
        <v>156</v>
      </c>
      <c r="E28" s="18">
        <v>0.2</v>
      </c>
      <c r="F28" s="16" t="s">
        <v>148</v>
      </c>
    </row>
    <row r="29" spans="1:6" ht="20.100000000000001" customHeight="1" x14ac:dyDescent="0.2">
      <c r="A29" s="5" t="str">
        <f>HYPERLINK("#'5.5.1.1-2 Leaching and runoff'!A1", "5.5.1.1-2 Leaching &amp; runoff")</f>
        <v>5.5.1.1-2 Leaching &amp; runoff</v>
      </c>
      <c r="D29" s="1" t="s">
        <v>157</v>
      </c>
      <c r="E29" s="18">
        <v>0.1</v>
      </c>
      <c r="F29" s="16" t="s">
        <v>148</v>
      </c>
    </row>
    <row r="30" spans="1:6" ht="20.100000000000001" customHeight="1" x14ac:dyDescent="0.2">
      <c r="A30" s="5" t="str">
        <f>HYPERLINK("#'6.1.1.1-2 Crop residue N2O'!A1", "6.1.1.1-2 Crop residue N2O")</f>
        <v>6.1.1.1-2 Crop residue N2O</v>
      </c>
      <c r="D30" s="1" t="s">
        <v>155</v>
      </c>
      <c r="E30" s="19">
        <f>100%-E28-E29</f>
        <v>0.70000000000000007</v>
      </c>
      <c r="F30" s="16" t="s">
        <v>148</v>
      </c>
    </row>
    <row r="31" spans="1:6" ht="20.100000000000001" customHeight="1" x14ac:dyDescent="0.2">
      <c r="A31" s="5" t="str">
        <f>HYPERLINK("#'6.3.1.1-2 Leach runoff crop'!A1", "6.3.1.1-2 Leach &amp; runoff (crop)")</f>
        <v>6.3.1.1-2 Leach &amp; runoff (crop)</v>
      </c>
    </row>
    <row r="32" spans="1:6" ht="20.100000000000001" customHeight="1" x14ac:dyDescent="0.2">
      <c r="A32" s="5" t="str">
        <f>HYPERLINK("#'6.4.1.1-2 Residue burning'!A1", "6.4.1.1-2 Residue burning")</f>
        <v>6.4.1.1-2 Residue burning</v>
      </c>
      <c r="D32" s="1" t="s">
        <v>150</v>
      </c>
      <c r="E32" s="18">
        <v>0.8</v>
      </c>
      <c r="F32" s="16" t="s">
        <v>148</v>
      </c>
    </row>
    <row r="33" spans="1:7" ht="20.100000000000001" customHeight="1" x14ac:dyDescent="0.2">
      <c r="A33" s="5" t="str">
        <f>HYPERLINK("#'8.1.1.1-2 Transport fuel'!A1", "8.1.1.1-2 Transport fuel")</f>
        <v>8.1.1.1-2 Transport fuel</v>
      </c>
      <c r="D33" s="1" t="s">
        <v>152</v>
      </c>
      <c r="E33" s="18">
        <v>0.2</v>
      </c>
      <c r="F33" s="16" t="s">
        <v>148</v>
      </c>
    </row>
    <row r="34" spans="1:7" ht="20.100000000000001" customHeight="1" x14ac:dyDescent="0.2">
      <c r="A34" s="5" t="str">
        <f>HYPERLINK("#'8.2.1.1-2 Stationary fuel'!A1", "8.2.1.1-2 Stationary fuel")</f>
        <v>8.2.1.1-2 Stationary fuel</v>
      </c>
    </row>
    <row r="35" spans="1:7" ht="20.100000000000001" customHeight="1" x14ac:dyDescent="0.2">
      <c r="A35" s="5" t="str">
        <f>HYPERLINK("#'10.1.1-2 Solid waste treatment'!A1", "10.1.1.1-2 Solid waste")</f>
        <v>10.1.1.1-2 Solid waste</v>
      </c>
    </row>
    <row r="36" spans="1:7" ht="20.100000000000001" customHeight="1" x14ac:dyDescent="0.2">
      <c r="A36" s="5" t="str">
        <f>HYPERLINK("#'14.1.1-2 Purchased electricity'!A1", "14.1.1-2 Purchased electricity")</f>
        <v>14.1.1-2 Purchased electricity</v>
      </c>
      <c r="D36" s="2" t="s">
        <v>264</v>
      </c>
    </row>
    <row r="37" spans="1:7" ht="20.100000000000001" customHeight="1" x14ac:dyDescent="0.2">
      <c r="A37" s="5" t="str">
        <f>HYPERLINK("#'15 Scope 3'!A1", "15 Scope 3")</f>
        <v>15 Scope 3</v>
      </c>
    </row>
    <row r="39" spans="1:7" ht="20.100000000000001" customHeight="1" x14ac:dyDescent="0.2">
      <c r="D39" s="79" t="str">
        <f>"Carbon captured from " &amp; TEXT(X_Cell_Site_StartDate, "d mmmm yyyy") &amp; " to " &amp; TEXT(X_Cell_Site_EndDate, "d, mmmm, yyyy") &amp; " from environmental plantings"</f>
        <v>Carbon captured from 1 January 2025 to 31, December, 2025 from environmental plantings</v>
      </c>
    </row>
    <row r="40" spans="1:7" ht="20.100000000000001" customHeight="1" x14ac:dyDescent="0.2">
      <c r="A40" s="82" t="s">
        <v>1</v>
      </c>
    </row>
    <row r="41" spans="1:7" ht="20.100000000000001" customHeight="1" x14ac:dyDescent="0.2">
      <c r="A41" s="5" t="str">
        <f>HYPERLINK("#'Constants - Ag Residue'!A1", "Constants - Ag residue")</f>
        <v>Constants - Ag residue</v>
      </c>
      <c r="D41" s="20" t="s">
        <v>265</v>
      </c>
      <c r="E41" s="20" t="s">
        <v>266</v>
      </c>
      <c r="F41" s="20" t="s">
        <v>267</v>
      </c>
      <c r="G41" s="80" t="s">
        <v>268</v>
      </c>
    </row>
    <row r="42" spans="1:7" ht="20.100000000000001" customHeight="1" x14ac:dyDescent="0.2">
      <c r="A42" s="5" t="str">
        <f>HYPERLINK("#'Constants - Electricity'!A1", "Constants - Electricity")</f>
        <v>Constants - Electricity</v>
      </c>
      <c r="D42" s="34"/>
      <c r="E42" s="76"/>
      <c r="F42" s="18"/>
      <c r="G42" s="1">
        <f>Table_Input_Enterprise_PlantingRemovals[[#This Row],[Total removed CO2]]*Table_Input_Enterprise_PlantingRemovals[[#This Row],[Percent allocated to this enterprise]]</f>
        <v>0</v>
      </c>
    </row>
    <row r="43" spans="1:7" ht="20.100000000000001" customHeight="1" x14ac:dyDescent="0.2">
      <c r="A43" s="5" t="str">
        <f>HYPERLINK("#'Constants - Fertiliser'!A1", "Constants - Fertiliser")</f>
        <v>Constants - Fertiliser</v>
      </c>
    </row>
    <row r="44" spans="1:7" ht="20.100000000000001" customHeight="1" x14ac:dyDescent="0.2">
      <c r="A44" s="5" t="str">
        <f>HYPERLINK("#'Constants - Fuel'!A1", "Constants - Fuel")</f>
        <v>Constants - Fuel</v>
      </c>
    </row>
    <row r="45" spans="1:7" ht="20.100000000000001" customHeight="1" x14ac:dyDescent="0.2">
      <c r="A45" s="5" t="str">
        <f>HYPERLINK("#'Constants - Scope 3'!A1", "Constants - Scope 3")</f>
        <v>Constants - Scope 3</v>
      </c>
    </row>
    <row r="46" spans="1:7" ht="20.100000000000001" customHeight="1" x14ac:dyDescent="0.2">
      <c r="A46" s="5" t="str">
        <f>HYPERLINK("#'Constants - Solid Waste'!A1", "Constants - Solid Waste")</f>
        <v>Constants - Solid Waste</v>
      </c>
      <c r="D46" s="2" t="s">
        <v>269</v>
      </c>
    </row>
    <row r="47" spans="1:7" ht="20.100000000000001" customHeight="1" x14ac:dyDescent="0.2">
      <c r="A47" s="5" t="str">
        <f>HYPERLINK("#'Constants - Common'!A1", "Constants - Common")</f>
        <v>Constants - Common</v>
      </c>
    </row>
    <row r="48" spans="1:7" ht="20.100000000000001" customHeight="1" x14ac:dyDescent="0.2">
      <c r="A48" s="5" t="str">
        <f>HYPERLINK("#'Constants - Common Livestock'!A1", "Constants - Common Livestock")</f>
        <v>Constants - Common Livestock</v>
      </c>
      <c r="D48"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1:7" ht="20.100000000000001" customHeight="1" x14ac:dyDescent="0.2">
      <c r="D50" s="89"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1:7" ht="20.100000000000001" customHeight="1" x14ac:dyDescent="0.2">
      <c r="D51" s="1" t="s">
        <v>270</v>
      </c>
    </row>
    <row r="53" spans="1:7" ht="20.100000000000001" customHeight="1" x14ac:dyDescent="0.2">
      <c r="D53" s="80" t="s">
        <v>115</v>
      </c>
      <c r="E53" s="80" t="s">
        <v>10</v>
      </c>
      <c r="F53" s="80" t="s">
        <v>11</v>
      </c>
    </row>
    <row r="54" spans="1:7" ht="20.100000000000001" customHeight="1" x14ac:dyDescent="0.2">
      <c r="D54" s="1" t="str" cm="1">
        <f t="array" ref="D54:D55">Common_InputFunctions.getOverlappingReportingPeriods(X_Cell_Enterprise_ProductionTimeframeStart,X_Cell_Enterprise_ProductionTimeframeEnd,X_Cell_Site_StartDate)</f>
        <v>01 Jan 2025 to 31 Dec 2025 (This reporting cycle)</v>
      </c>
      <c r="E54" s="76">
        <f>IF(ISBLANK($D54), 0, IF(ISNUMBER(SEARCH("reporting", $D54)), Result_Enterprise_Gross_Method1, "Enter value"))</f>
        <v>3223.219397267143</v>
      </c>
      <c r="F54" s="76">
        <f>IF(ISBLANK($D54), 0, IF(ISNUMBER(SEARCH("reporting", $D54)), Result_Enterprise_Gross_Method2, "Enter value"))</f>
        <v>5586688.3227747576</v>
      </c>
      <c r="G54" s="9" t="s">
        <v>7</v>
      </c>
    </row>
    <row r="55" spans="1:7" ht="20.100000000000001" customHeight="1" x14ac:dyDescent="0.2">
      <c r="D55" s="1" t="str">
        <v>01 Jan 2026 to 31 Dec 2026</v>
      </c>
      <c r="E55" s="76" t="str">
        <f>IF(ISBLANK($D55), 0, IF(ISNUMBER(SEARCH("reporting", $D55)), Result_Enterprise_Gross_Method1, "Enter value"))</f>
        <v>Enter value</v>
      </c>
      <c r="F55" s="76" t="str">
        <f>IF(ISBLANK($D55), 0, IF(ISNUMBER(SEARCH("reporting", $D55)), Result_Enterprise_Gross_Method2, "Enter value"))</f>
        <v>Enter value</v>
      </c>
      <c r="G55" s="9" t="s">
        <v>7</v>
      </c>
    </row>
    <row r="56" spans="1:7" ht="20.100000000000001" customHeight="1" x14ac:dyDescent="0.2">
      <c r="E56" s="76">
        <f>IF(ISBLANK($D56), 0, IF(ISNUMBER(SEARCH("reporting", $D56)), Result_Enterprise_Gross_Method1, "Enter value"))</f>
        <v>0</v>
      </c>
      <c r="F56" s="76">
        <f>IF(ISBLANK($D56), 0, IF(ISNUMBER(SEARCH("reporting", $D56)), Result_Enterprise_Gross_Method2, "Enter value"))</f>
        <v>0</v>
      </c>
      <c r="G56" s="9" t="s">
        <v>7</v>
      </c>
    </row>
    <row r="57" spans="1:7" ht="20.100000000000001" customHeight="1" x14ac:dyDescent="0.2">
      <c r="E57" s="76">
        <f>IF(ISBLANK($D57), 0, IF(ISNUMBER(SEARCH("reporting", $D57)), Result_Enterprise_Gross_Method1, "Enter value"))</f>
        <v>0</v>
      </c>
      <c r="F57" s="76">
        <f>IF(ISBLANK($D57), 0, IF(ISNUMBER(SEARCH("reporting", $D57)), Result_Enterprise_Gross_Method2, "Enter value"))</f>
        <v>0</v>
      </c>
      <c r="G57" s="9" t="s">
        <v>7</v>
      </c>
    </row>
    <row r="58" spans="1:7" ht="20.100000000000001" customHeight="1" x14ac:dyDescent="0.2">
      <c r="E58" s="76">
        <f>IF(ISBLANK($D58), 0, IF(ISNUMBER(SEARCH("reporting", $D58)), Result_Enterprise_Gross_Method1, "Enter value"))</f>
        <v>0</v>
      </c>
      <c r="F58" s="76">
        <f>IF(ISBLANK($D58), 0, IF(ISNUMBER(SEARCH("reporting", $D58)), Result_Enterprise_Gross_Method2, "Enter value"))</f>
        <v>0</v>
      </c>
      <c r="G58" s="9" t="s">
        <v>7</v>
      </c>
    </row>
    <row r="59" spans="1:7" ht="20.100000000000001" customHeight="1" x14ac:dyDescent="0.2">
      <c r="A59" s="81" t="str">
        <f>HYPERLINK("#A1", "▲ Back to top")</f>
        <v>▲ Back to top</v>
      </c>
      <c r="D59" s="90" t="s">
        <v>128</v>
      </c>
      <c r="E59" s="85">
        <f>SUM(E54:E58)</f>
        <v>3223.219397267143</v>
      </c>
      <c r="F59" s="85">
        <f>SUM(F54:F58)</f>
        <v>5586688.3227747576</v>
      </c>
      <c r="G59" s="91" t="s">
        <v>7</v>
      </c>
    </row>
    <row r="64" spans="1:7" ht="20.100000000000001" customHeight="1" x14ac:dyDescent="0.2">
      <c r="D64"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ht="20.100000000000001" customHeight="1" x14ac:dyDescent="0.2">
      <c r="D66" s="80" t="s">
        <v>115</v>
      </c>
      <c r="E66" s="80" t="s">
        <v>126</v>
      </c>
      <c r="F66" s="80"/>
    </row>
    <row r="67" spans="4:7" ht="20.100000000000001" customHeight="1" x14ac:dyDescent="0.2">
      <c r="D67" s="1" t="str" cm="1">
        <f t="array" ref="D67:D68">Common_InputFunctions.getOverlappingReportingPeriods(X_Cell_Enterprise_ProductionTimeframeStart,X_Cell_Enterprise_ProductionTimeframeEnd,X_Cell_Site_StartDate)</f>
        <v>01 Jan 2025 to 31 Dec 2025 (This reporting cycle)</v>
      </c>
      <c r="E67" s="76">
        <f>IF(ISBLANK($D67), 0, IF(ISNUMBER(SEARCH("reporting", $D67)), SUM(Table_Input_Enterprise_PlantingRemovals[Removal allocated to this enterprise]), "Enter value"))</f>
        <v>0</v>
      </c>
      <c r="F67" s="9" t="s">
        <v>127</v>
      </c>
    </row>
    <row r="68" spans="4:7" ht="20.100000000000001" customHeight="1" x14ac:dyDescent="0.2">
      <c r="D68" s="1" t="str">
        <v>01 Jan 2026 to 31 Dec 2026</v>
      </c>
      <c r="E68" s="76" t="str">
        <f>IF(ISBLANK($D68), 0, IF(ISNUMBER(SEARCH("reporting", $D68)), SUM(Table_Input_Enterprise_PlantingRemovals[Removal allocated to this enterprise]), "Enter value"))</f>
        <v>Enter value</v>
      </c>
      <c r="F68" s="9" t="s">
        <v>127</v>
      </c>
    </row>
    <row r="69" spans="4:7" ht="20.100000000000001" customHeight="1" x14ac:dyDescent="0.2">
      <c r="E69" s="76">
        <f>IF(ISBLANK($D69), 0, IF(ISNUMBER(SEARCH("reporting", $D69)), SUM(Table_Input_Enterprise_PlantingRemovals[Removal allocated to this enterprise]), "Enter value"))</f>
        <v>0</v>
      </c>
      <c r="F69" s="9" t="s">
        <v>127</v>
      </c>
    </row>
    <row r="70" spans="4:7" ht="20.100000000000001" customHeight="1" x14ac:dyDescent="0.2">
      <c r="E70" s="76">
        <f>IF(ISBLANK($D70), 0, IF(ISNUMBER(SEARCH("reporting", $D70)), SUM(Table_Input_Enterprise_PlantingRemovals[Removal allocated to this enterprise]), "Enter value"))</f>
        <v>0</v>
      </c>
      <c r="F70" s="9" t="s">
        <v>127</v>
      </c>
    </row>
    <row r="71" spans="4:7" ht="20.100000000000001" customHeight="1" x14ac:dyDescent="0.2">
      <c r="E71" s="76">
        <f>IF(ISBLANK($D71), 0, IF(ISNUMBER(SEARCH("reporting", $D71)), SUM(Table_Input_Enterprise_PlantingRemovals[Removal allocated to this enterprise]), "Enter value"))</f>
        <v>0</v>
      </c>
      <c r="F71" s="9" t="s">
        <v>127</v>
      </c>
    </row>
    <row r="72" spans="4:7" ht="20.100000000000001" customHeight="1" x14ac:dyDescent="0.2">
      <c r="D72" s="90" t="s">
        <v>129</v>
      </c>
      <c r="E72" s="85">
        <f>SUM(E67:E71)</f>
        <v>0</v>
      </c>
      <c r="F72" s="91" t="s">
        <v>127</v>
      </c>
    </row>
    <row r="75" spans="4:7" ht="20.100000000000001" customHeight="1" x14ac:dyDescent="0.2">
      <c r="D75"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ht="20.100000000000001" customHeight="1" x14ac:dyDescent="0.2">
      <c r="D77" s="80" t="s">
        <v>115</v>
      </c>
      <c r="E77" s="80" t="s">
        <v>10</v>
      </c>
      <c r="F77" s="80" t="s">
        <v>11</v>
      </c>
    </row>
    <row r="78" spans="4:7" ht="20.100000000000001" customHeight="1" x14ac:dyDescent="0.2">
      <c r="D78" s="1" t="str" cm="1">
        <f t="array" ref="D78:D79">Common_InputFunctions.getOverlappingReportingPeriods(X_Cell_Enterprise_ProductionTimeframeStart,X_Cell_Enterprise_ProductionTimeframeEnd,X_Cell_Site_StartDate)</f>
        <v>01 Jan 2025 to 31 Dec 2025 (This reporting cycle)</v>
      </c>
      <c r="E78" s="76">
        <f>IF(ISBLANK($D78), 0, IF(ISNUMBER(SEARCH("reporting", $D78)), E54-$E$67, "Enter value"))</f>
        <v>3223.219397267143</v>
      </c>
      <c r="F78" s="76">
        <f>IF(ISBLANK($D78), 0, IF(ISNUMBER(SEARCH("reporting", $D78)), F54-$E$67, "Enter value"))</f>
        <v>5586688.3227747576</v>
      </c>
      <c r="G78" s="9" t="s">
        <v>7</v>
      </c>
    </row>
    <row r="79" spans="4:7" ht="20.100000000000001" customHeight="1" x14ac:dyDescent="0.2">
      <c r="D79" s="1" t="str">
        <v>01 Jan 2026 to 31 Dec 2026</v>
      </c>
      <c r="E79" s="76" t="str">
        <f>IF(ISBLANK($D79), 0, IF(ISNUMBER(SEARCH("reporting", $D79)), E55-$E$68, "Enter value"))</f>
        <v>Enter value</v>
      </c>
      <c r="F79" s="76" t="str">
        <f>IF(ISBLANK($D79), 0, IF(ISNUMBER(SEARCH("reporting", $D79)), F55-$E$68, "Enter value"))</f>
        <v>Enter value</v>
      </c>
      <c r="G79" s="9" t="s">
        <v>7</v>
      </c>
    </row>
    <row r="80" spans="4:7" ht="20.100000000000001" customHeight="1" x14ac:dyDescent="0.2">
      <c r="E80" s="76">
        <f>IF(ISBLANK($D80), 0, IF(ISNUMBER(SEARCH("reporting", $D80)), E56-$E$69, "Enter value"))</f>
        <v>0</v>
      </c>
      <c r="F80" s="76">
        <f>IF(ISBLANK($D80), 0, IF(ISNUMBER(SEARCH("reporting", $D80)), F56-$E$69, "Enter value"))</f>
        <v>0</v>
      </c>
      <c r="G80" s="9" t="s">
        <v>7</v>
      </c>
    </row>
    <row r="81" spans="4:7" ht="20.100000000000001" customHeight="1" x14ac:dyDescent="0.2">
      <c r="E81" s="76">
        <f>IF(ISBLANK($D81), 0, IF(ISNUMBER(SEARCH("reporting", $D81)), E57-$E$70, "Enter value"))</f>
        <v>0</v>
      </c>
      <c r="F81" s="76">
        <f>IF(ISBLANK($D81), 0, IF(ISNUMBER(SEARCH("reporting", $D81)), F57-$E$70, "Enter value"))</f>
        <v>0</v>
      </c>
      <c r="G81" s="9" t="s">
        <v>7</v>
      </c>
    </row>
    <row r="82" spans="4:7" ht="20.100000000000001" customHeight="1" x14ac:dyDescent="0.2">
      <c r="E82" s="76">
        <f>IF(ISBLANK($D82), 0, IF(ISNUMBER(SEARCH("reporting", $D82)), E58-$E$71, "Enter value"))</f>
        <v>0</v>
      </c>
      <c r="F82" s="76">
        <f>IF(ISBLANK($D82), 0, IF(ISNUMBER(SEARCH("reporting", $D82)), F58-$E$71, "Enter value"))</f>
        <v>0</v>
      </c>
      <c r="G82" s="9" t="s">
        <v>7</v>
      </c>
    </row>
    <row r="83" spans="4:7" ht="20.100000000000001" customHeight="1" x14ac:dyDescent="0.2">
      <c r="D83" s="90" t="s">
        <v>128</v>
      </c>
      <c r="E83" s="85">
        <f>SUM(E78:E82)</f>
        <v>3223.219397267143</v>
      </c>
      <c r="F83" s="85">
        <f>SUM(F78:F82)</f>
        <v>5586688.3227747576</v>
      </c>
      <c r="G83" s="91"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47" sqref="A47"/>
    </sheetView>
  </sheetViews>
  <sheetFormatPr defaultColWidth="9.140625" defaultRowHeight="20.100000000000001" customHeight="1" x14ac:dyDescent="0.2"/>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86</v>
      </c>
    </row>
    <row r="2" spans="1:24" s="22" customFormat="1" ht="20.100000000000001" customHeight="1" x14ac:dyDescent="0.2">
      <c r="A2"/>
      <c r="C2" s="3"/>
      <c r="D2" s="3"/>
      <c r="E2" s="3"/>
      <c r="F2" s="3"/>
      <c r="G2" s="3"/>
      <c r="H2" s="3"/>
      <c r="I2" s="3"/>
      <c r="J2" s="3"/>
    </row>
    <row r="3" spans="1:24" ht="20.100000000000001" customHeight="1" x14ac:dyDescent="0.2">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
      <c r="A4" s="5" t="str">
        <f>HYPERLINK("#'Results - Activity period'!A1", "Results - Activity period")</f>
        <v>Results - Activity period</v>
      </c>
      <c r="C4" s="30"/>
      <c r="D4" s="30"/>
      <c r="E4" s="30"/>
      <c r="F4" s="30"/>
      <c r="G4" s="30"/>
      <c r="H4" s="30"/>
      <c r="I4" s="30"/>
      <c r="J4" s="30"/>
      <c r="K4" s="30"/>
    </row>
    <row r="5" spans="1:24" ht="20.100000000000001" customHeight="1" x14ac:dyDescent="0.2">
      <c r="A5" s="5" t="str">
        <f>HYPERLINK("#'Results - Product EI'!A1", "Results - Product EI")</f>
        <v>Results - Product EI</v>
      </c>
      <c r="D5" s="2" t="s">
        <v>95</v>
      </c>
      <c r="N5" s="31"/>
    </row>
    <row r="6" spans="1:24" ht="20.100000000000001" customHeight="1" x14ac:dyDescent="0.2">
      <c r="A6"/>
      <c r="N6" s="33"/>
    </row>
    <row r="7" spans="1:24" ht="20.100000000000001" customHeight="1" x14ac:dyDescent="0.2">
      <c r="A7"/>
      <c r="D7" s="43" t="s">
        <v>96</v>
      </c>
      <c r="E7" s="44"/>
      <c r="F7" s="44"/>
      <c r="G7" s="45"/>
    </row>
    <row r="8" spans="1:24" ht="20.100000000000001" customHeight="1" x14ac:dyDescent="0.2">
      <c r="A8" s="7" t="s">
        <v>0</v>
      </c>
      <c r="D8" s="46" t="s">
        <v>97</v>
      </c>
      <c r="E8" s="47"/>
      <c r="F8" s="47"/>
      <c r="G8" s="48"/>
    </row>
    <row r="9" spans="1:24" ht="20.100000000000001" customHeight="1" x14ac:dyDescent="0.2">
      <c r="A9" s="5" t="str">
        <f>HYPERLINK("#'Input - Enterprise'!A1", "Enterprise")</f>
        <v>Enterprise</v>
      </c>
      <c r="D9" s="1"/>
      <c r="E9" s="49"/>
      <c r="F9" s="16"/>
      <c r="N9" s="35"/>
    </row>
    <row r="10" spans="1:24" ht="20.100000000000001" customHeight="1" x14ac:dyDescent="0.2">
      <c r="A10" s="102" t="str">
        <f>HYPERLINK("#'Input - Site'!A1", "Site")</f>
        <v>Site</v>
      </c>
      <c r="D10" s="1" t="s">
        <v>98</v>
      </c>
      <c r="E10" s="13" t="s">
        <v>99</v>
      </c>
      <c r="F10" s="16" t="s">
        <v>100</v>
      </c>
      <c r="N10" s="35"/>
    </row>
    <row r="11" spans="1:24" ht="20.100000000000001" customHeight="1" x14ac:dyDescent="0.2">
      <c r="A11" s="5" t="str">
        <f>HYPERLINK("#'Input - Crop'!A1", "Crop")</f>
        <v>Crop</v>
      </c>
      <c r="D11" s="1" t="s">
        <v>101</v>
      </c>
      <c r="E11" s="13" t="s">
        <v>102</v>
      </c>
      <c r="F11" s="16" t="s">
        <v>100</v>
      </c>
      <c r="G11" s="1"/>
      <c r="N11" s="40"/>
    </row>
    <row r="12" spans="1:24" ht="20.100000000000001" customHeight="1" x14ac:dyDescent="0.2">
      <c r="A12" s="5" t="str">
        <f>HYPERLINK("#'Input - Fert Prod System'!A1", "Fert Prod System")</f>
        <v>Fert Prod System</v>
      </c>
      <c r="D12" s="1" t="s">
        <v>103</v>
      </c>
      <c r="E12" s="13" t="s">
        <v>104</v>
      </c>
      <c r="F12" s="16" t="s">
        <v>100</v>
      </c>
    </row>
    <row r="13" spans="1:24" ht="20.100000000000001" customHeight="1" x14ac:dyDescent="0.2">
      <c r="A13" s="5" t="str">
        <f>HYPERLINK("#'Input - Fertiliser'!A1", "Fertiliser")</f>
        <v>Fertiliser</v>
      </c>
      <c r="D13" s="1" t="s">
        <v>36</v>
      </c>
      <c r="E13" s="34">
        <v>307.7</v>
      </c>
      <c r="F13" s="16" t="s">
        <v>105</v>
      </c>
      <c r="N13" s="42"/>
      <c r="O13" s="42"/>
    </row>
    <row r="14" spans="1:24" ht="20.100000000000001" customHeight="1" x14ac:dyDescent="0.2">
      <c r="A14" s="5" t="str">
        <f>HYPERLINK("#'Input - Fuel'!A1", "Fuel")</f>
        <v>Fuel</v>
      </c>
      <c r="D14" s="1" t="s">
        <v>106</v>
      </c>
      <c r="E14" s="34">
        <v>18</v>
      </c>
      <c r="F14" s="16" t="s">
        <v>107</v>
      </c>
      <c r="N14" s="42"/>
      <c r="O14" s="42"/>
    </row>
    <row r="15" spans="1:24" ht="20.100000000000001" customHeight="1" x14ac:dyDescent="0.2">
      <c r="A15" s="5" t="str">
        <f>HYPERLINK("#'Input - Electricity'!A1", "Electricity")</f>
        <v>Electricity</v>
      </c>
      <c r="D15" s="1" t="s">
        <v>108</v>
      </c>
      <c r="E15" s="34">
        <v>601</v>
      </c>
      <c r="F15" s="16" t="s">
        <v>109</v>
      </c>
      <c r="N15" s="42"/>
      <c r="O15" s="42"/>
    </row>
    <row r="16" spans="1:24" ht="20.100000000000001" customHeight="1" x14ac:dyDescent="0.2">
      <c r="A16" s="5" t="str">
        <f>HYPERLINK("#'Input - Common farm inputs'!A1", "Common farm inputs")</f>
        <v>Common farm inputs</v>
      </c>
      <c r="D16" s="12" t="s">
        <v>110</v>
      </c>
      <c r="E16" s="34">
        <v>1326</v>
      </c>
      <c r="F16" s="16" t="s">
        <v>109</v>
      </c>
      <c r="N16" s="42"/>
      <c r="O16" s="42"/>
    </row>
    <row r="17" spans="1:25" ht="20.100000000000001" customHeight="1" x14ac:dyDescent="0.2">
      <c r="A17" s="5" t="str">
        <f>HYPERLINK("#'Input - Crop pasture farm input'!A1", "Crop pasture farm input")</f>
        <v>Crop pasture farm input</v>
      </c>
      <c r="D17" s="1" t="s">
        <v>111</v>
      </c>
      <c r="E17" s="34">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
      <c r="A20" s="5" t="str">
        <f>HYPERLINK("#'Input - Data quality'!A1", "Data quality")</f>
        <v>Data quality</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
      <c r="A21"/>
      <c r="D21" s="1" t="s">
        <v>114</v>
      </c>
      <c r="E21" s="15" t="str">
        <f>Common_InputFunctions.Utility_LookupValueInTable($E$20,Table_SourceData_WetDryZones[Climate zone],Table_SourceData_WetDryZones[Wet or Dry Zone])</f>
        <v>Dry climate zone</v>
      </c>
      <c r="F21" s="1"/>
      <c r="G21" s="49"/>
    </row>
    <row r="22" spans="1:25" ht="20.100000000000001" customHeight="1" x14ac:dyDescent="0.2">
      <c r="A22"/>
      <c r="D22" s="1" t="s">
        <v>68</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
      <c r="A23" s="6" t="s">
        <v>2</v>
      </c>
    </row>
    <row r="24" spans="1:25" ht="20.100000000000001" customHeight="1" x14ac:dyDescent="0.2">
      <c r="A24" s="5" t="str">
        <f>HYPERLINK("#'5.1.1.1-2 Inorganic fert N2O'!A1", "5.1.1.1-2 Inorganic fert N2O")</f>
        <v>5.1.1.1-2 Inorganic fert N2O</v>
      </c>
    </row>
    <row r="25" spans="1:25" ht="20.100000000000001" customHeight="1" x14ac:dyDescent="0.2">
      <c r="A25" s="5" t="str">
        <f>HYPERLINK("#'5.1.1.3-4 Inorganic fert CO2'!A1", "5.1.1.3-4 Inorganic fert CO2")</f>
        <v>5.1.1.3-4 Inorganic fert CO2</v>
      </c>
      <c r="N25" s="33"/>
    </row>
    <row r="26" spans="1:25" ht="20.100000000000001" customHeight="1" x14ac:dyDescent="0.2">
      <c r="A26" s="5" t="str">
        <f>HYPERLINK("#'5.2.1.1-2 Organic Fert N2O'!A1", "5.2.1.1-2 Organic fert N2O")</f>
        <v>5.2.1.1-2 Organic fert N2O</v>
      </c>
    </row>
    <row r="27" spans="1:25" ht="20.100000000000001" customHeight="1" x14ac:dyDescent="0.2">
      <c r="A27" s="5" t="str">
        <f>HYPERLINK("#'5.3.1.1-2 Lime CO2'!A1", "5.3.1.1-2 Lime CO2")</f>
        <v>5.3.1.1-2 Lime CO2</v>
      </c>
    </row>
    <row r="28" spans="1:25" ht="20.100000000000001" customHeight="1" x14ac:dyDescent="0.2">
      <c r="A28" s="5" t="str">
        <f>HYPERLINK("#'5.4.1.1-4 Atmos deposition'!A1", "5.4.1.1-4 Atmos. deposition")</f>
        <v>5.4.1.1-4 Atmos. deposition</v>
      </c>
    </row>
    <row r="29" spans="1:25" ht="20.100000000000001" customHeight="1" x14ac:dyDescent="0.2">
      <c r="A29" s="5" t="str">
        <f>HYPERLINK("#'5.5.1.1-2 Leaching and runoff'!A1", "5.5.1.1-2 Leaching &amp; runoff")</f>
        <v>5.5.1.1-2 Leaching &amp; runoff</v>
      </c>
    </row>
    <row r="30" spans="1:25" ht="20.100000000000001" customHeight="1" x14ac:dyDescent="0.2">
      <c r="A30" s="5" t="str">
        <f>HYPERLINK("#'6.1.1.1-2 Crop residue N2O'!A1", "6.1.1.1-2 Crop residue N2O")</f>
        <v>6.1.1.1-2 Crop residue N2O</v>
      </c>
      <c r="L30" s="51"/>
      <c r="M30" s="51"/>
      <c r="N30" s="51"/>
      <c r="O30" s="51"/>
      <c r="P30" s="51"/>
      <c r="Q30" s="51"/>
      <c r="R30" s="51"/>
      <c r="S30" s="51"/>
      <c r="T30" s="51"/>
      <c r="U30" s="51"/>
      <c r="V30" s="51"/>
      <c r="W30" s="51"/>
      <c r="X30" s="51"/>
      <c r="Y30" s="51"/>
    </row>
    <row r="31" spans="1:25" ht="20.100000000000001" customHeight="1" x14ac:dyDescent="0.2">
      <c r="A31" s="5" t="str">
        <f>HYPERLINK("#'6.3.1.1-2 Leach runoff crop'!A1", "6.3.1.1-2 Leach &amp; runoff (crop)")</f>
        <v>6.3.1.1-2 Leach &amp; runoff (crop)</v>
      </c>
      <c r="L31" s="52"/>
      <c r="M31" s="52"/>
      <c r="N31" s="52"/>
      <c r="O31" s="52"/>
      <c r="P31" s="52"/>
      <c r="Q31" s="52"/>
      <c r="R31" s="52"/>
      <c r="S31" s="52"/>
      <c r="T31" s="52"/>
      <c r="U31" s="52"/>
      <c r="V31" s="52"/>
      <c r="W31" s="52"/>
      <c r="X31" s="52"/>
      <c r="Y31" s="52"/>
    </row>
    <row r="32" spans="1:25" ht="20.100000000000001" customHeight="1" x14ac:dyDescent="0.2">
      <c r="A32" s="5" t="str">
        <f>HYPERLINK("#'6.4.1.1-2 Residue burning'!A1", "6.4.1.1-2 Residue burning")</f>
        <v>6.4.1.1-2 Residue burning</v>
      </c>
      <c r="L32" s="52"/>
      <c r="M32" s="52"/>
      <c r="N32" s="52"/>
      <c r="O32" s="52"/>
      <c r="P32" s="52"/>
      <c r="Q32" s="52"/>
      <c r="R32" s="52"/>
      <c r="S32" s="52"/>
      <c r="T32" s="52"/>
      <c r="U32" s="52"/>
      <c r="V32" s="52"/>
      <c r="W32" s="52"/>
      <c r="X32" s="52"/>
      <c r="Y32" s="52"/>
    </row>
    <row r="33" spans="1:25" ht="20.100000000000001" customHeight="1" x14ac:dyDescent="0.2">
      <c r="A33" s="5" t="str">
        <f>HYPERLINK("#'8.1.1.1-2 Transport fuel'!A1", "8.1.1.1-2 Transport fuel")</f>
        <v>8.1.1.1-2 Transport fuel</v>
      </c>
      <c r="L33" s="52"/>
      <c r="M33" s="52"/>
      <c r="N33" s="52"/>
      <c r="O33" s="52"/>
      <c r="P33" s="52"/>
      <c r="Q33" s="52"/>
      <c r="R33" s="52"/>
      <c r="S33" s="52"/>
      <c r="T33" s="52"/>
      <c r="U33" s="52"/>
      <c r="V33" s="52"/>
      <c r="W33" s="52"/>
      <c r="X33" s="52"/>
      <c r="Y33" s="52"/>
    </row>
    <row r="34" spans="1:25" ht="20.100000000000001" customHeight="1" x14ac:dyDescent="0.2">
      <c r="A34" s="5" t="str">
        <f>HYPERLINK("#'8.2.1.1-2 Stationary fuel'!A1", "8.2.1.1-2 Stationary fuel")</f>
        <v>8.2.1.1-2 Stationary fuel</v>
      </c>
      <c r="J34" s="54"/>
      <c r="K34" s="55"/>
      <c r="L34" s="52"/>
      <c r="M34" s="52"/>
      <c r="N34" s="52"/>
      <c r="O34" s="52"/>
      <c r="P34" s="52"/>
      <c r="Q34" s="52"/>
      <c r="R34" s="52"/>
      <c r="S34" s="52"/>
      <c r="T34" s="52"/>
      <c r="U34" s="52"/>
      <c r="V34" s="52"/>
      <c r="W34" s="52"/>
      <c r="X34" s="52"/>
      <c r="Y34" s="52"/>
    </row>
    <row r="35" spans="1:25" ht="20.100000000000001" customHeight="1" x14ac:dyDescent="0.2">
      <c r="A35" s="5" t="str">
        <f>HYPERLINK("#'10.1.1-2 Solid waste treatment'!A1", "10.1.1.1-2 Solid waste")</f>
        <v>10.1.1.1-2 Solid waste</v>
      </c>
      <c r="J35" s="54"/>
      <c r="K35" s="55"/>
      <c r="L35" s="52"/>
      <c r="M35" s="52"/>
      <c r="N35" s="52"/>
      <c r="O35" s="52"/>
      <c r="P35" s="52"/>
      <c r="Q35" s="52"/>
      <c r="R35" s="52"/>
      <c r="S35" s="52"/>
      <c r="T35" s="52"/>
      <c r="U35" s="52"/>
      <c r="V35" s="52"/>
      <c r="W35" s="52"/>
      <c r="X35" s="52"/>
      <c r="Y35" s="52"/>
    </row>
    <row r="36" spans="1:25" ht="20.100000000000001" customHeight="1" x14ac:dyDescent="0.2">
      <c r="A36" s="5" t="str">
        <f>HYPERLINK("#'14.1.1-2 Purchased electricity'!A1", "14.1.1-2 Purchased electricity")</f>
        <v>14.1.1-2 Purchased electricity</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
      <c r="A37" s="5" t="str">
        <f>HYPERLINK("#'15 Scope 3'!A1", "15 Scope 3")</f>
        <v>15 Scope 3</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
      <c r="A40" s="82" t="s">
        <v>1</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
      <c r="A41" s="5" t="str">
        <f>HYPERLINK("#'Constants - Ag Residue'!A1", "Constants - Ag residue")</f>
        <v>Constants - Ag residue</v>
      </c>
    </row>
    <row r="42" spans="1:25" ht="20.100000000000001" customHeight="1" x14ac:dyDescent="0.2">
      <c r="A42" s="5" t="str">
        <f>HYPERLINK("#'Constants - Electricity'!A1", "Constants - Electricity")</f>
        <v>Constants - Electricity</v>
      </c>
    </row>
    <row r="43" spans="1:25" ht="20.100000000000001" customHeight="1" x14ac:dyDescent="0.2">
      <c r="A43" s="5" t="str">
        <f>HYPERLINK("#'Constants - Fertiliser'!A1", "Constants - Fertiliser")</f>
        <v>Constants - Fertiliser</v>
      </c>
    </row>
    <row r="44" spans="1:25" ht="20.100000000000001" customHeight="1" x14ac:dyDescent="0.2">
      <c r="A44" s="5" t="str">
        <f>HYPERLINK("#'Constants - Fuel'!A1", "Constants - Fuel")</f>
        <v>Constants - Fuel</v>
      </c>
    </row>
    <row r="45" spans="1:25" ht="20.100000000000001" customHeight="1" x14ac:dyDescent="0.2">
      <c r="A45" s="5" t="str">
        <f>HYPERLINK("#'Constants - Scope 3'!A1", "Constants - Scope 3")</f>
        <v>Constants - Scope 3</v>
      </c>
      <c r="D45" s="2"/>
    </row>
    <row r="46" spans="1:25" ht="20.100000000000001" customHeight="1" x14ac:dyDescent="0.2">
      <c r="A46" s="5" t="str">
        <f>HYPERLINK("#'Constants - Solid Waste'!A1", "Constants - Solid Waste")</f>
        <v>Constants - Solid Waste</v>
      </c>
      <c r="D46" s="2"/>
    </row>
    <row r="47" spans="1:25" ht="20.100000000000001" customHeight="1" x14ac:dyDescent="0.2">
      <c r="A47" s="5" t="str">
        <f>HYPERLINK("#'Constants - Common'!A1", "Constants - Common")</f>
        <v>Constants - Common</v>
      </c>
      <c r="D47" s="63"/>
      <c r="E47" s="63"/>
      <c r="F47" s="63"/>
      <c r="G47" s="63"/>
      <c r="H47" s="63"/>
    </row>
    <row r="48" spans="1:25" ht="20.100000000000001" customHeight="1" x14ac:dyDescent="0.2">
      <c r="A48" s="5" t="str">
        <f>HYPERLINK("#'Constants - Common Livestock'!A1", "Constants - Common Livestock")</f>
        <v>Constants - Common Livestock</v>
      </c>
      <c r="D48" s="64"/>
      <c r="E48" s="64"/>
      <c r="F48" s="65"/>
      <c r="G48" s="65"/>
      <c r="H48" s="64"/>
    </row>
    <row r="49" spans="1:8" ht="20.100000000000001" customHeight="1" x14ac:dyDescent="0.2">
      <c r="A49"/>
      <c r="D49" s="64"/>
      <c r="E49" s="64"/>
      <c r="F49" s="65"/>
      <c r="G49" s="65"/>
      <c r="H49" s="64"/>
    </row>
    <row r="50" spans="1:8" ht="20.100000000000001" customHeight="1" x14ac:dyDescent="0.2">
      <c r="A50"/>
      <c r="D50" s="64"/>
      <c r="E50" s="64"/>
      <c r="F50" s="65"/>
      <c r="G50" s="65"/>
      <c r="H50" s="64"/>
    </row>
    <row r="51" spans="1:8" ht="20.100000000000001" customHeight="1" x14ac:dyDescent="0.2">
      <c r="A51"/>
      <c r="D51" s="66"/>
      <c r="E51" s="67"/>
      <c r="F51" s="67"/>
      <c r="G51" s="67"/>
      <c r="H51" s="68"/>
    </row>
    <row r="52" spans="1:8" ht="20.100000000000001" customHeight="1" x14ac:dyDescent="0.2">
      <c r="A52"/>
    </row>
    <row r="53" spans="1:8" ht="20.100000000000001" customHeight="1" x14ac:dyDescent="0.2">
      <c r="A53"/>
    </row>
    <row r="54" spans="1:8" ht="20.100000000000001" customHeight="1" x14ac:dyDescent="0.2">
      <c r="A54"/>
      <c r="G54" s="69"/>
    </row>
    <row r="55" spans="1:8" ht="20.100000000000001" customHeight="1" x14ac:dyDescent="0.2">
      <c r="A55"/>
      <c r="D55" s="2"/>
    </row>
    <row r="56" spans="1:8" ht="20.100000000000001" customHeight="1" x14ac:dyDescent="0.2">
      <c r="A56"/>
    </row>
    <row r="57" spans="1:8" ht="20.100000000000001" customHeight="1" x14ac:dyDescent="0.2">
      <c r="A57"/>
      <c r="D57" s="70"/>
      <c r="F57" s="71"/>
    </row>
    <row r="58" spans="1:8" ht="20.100000000000001" customHeight="1" x14ac:dyDescent="0.2">
      <c r="A58"/>
      <c r="D58" s="1"/>
      <c r="E58" s="72"/>
    </row>
    <row r="59" spans="1:8" ht="20.100000000000001" customHeight="1" x14ac:dyDescent="0.2">
      <c r="A59"/>
      <c r="D59" s="1"/>
      <c r="E59" s="72"/>
    </row>
    <row r="60" spans="1:8" ht="20.100000000000001" customHeight="1" x14ac:dyDescent="0.2">
      <c r="A60"/>
      <c r="D60" s="1"/>
      <c r="E60" s="73"/>
    </row>
    <row r="61" spans="1:8" ht="20.100000000000001" customHeight="1" x14ac:dyDescent="0.2">
      <c r="A61"/>
      <c r="D61" s="1"/>
    </row>
    <row r="62" spans="1:8" ht="20.100000000000001" customHeight="1" x14ac:dyDescent="0.2">
      <c r="A62"/>
    </row>
    <row r="63" spans="1:8" ht="20.100000000000001" customHeight="1" x14ac:dyDescent="0.2">
      <c r="A63"/>
      <c r="D63" s="70"/>
    </row>
    <row r="64" spans="1:8" ht="20.100000000000001" customHeight="1" x14ac:dyDescent="0.2">
      <c r="A64"/>
      <c r="D64" s="1"/>
      <c r="E64" s="72"/>
    </row>
    <row r="65" spans="1:9" ht="20.100000000000001" customHeight="1" x14ac:dyDescent="0.2">
      <c r="A65"/>
      <c r="D65" s="1"/>
      <c r="E65" s="72"/>
    </row>
    <row r="66" spans="1:9" ht="20.100000000000001" customHeight="1" x14ac:dyDescent="0.2">
      <c r="A66"/>
      <c r="D66" s="1"/>
      <c r="E66" s="73"/>
    </row>
    <row r="67" spans="1:9" ht="20.100000000000001" customHeight="1" x14ac:dyDescent="0.2">
      <c r="A67"/>
    </row>
    <row r="68" spans="1:9" ht="20.100000000000001" customHeight="1" x14ac:dyDescent="0.2">
      <c r="A68"/>
    </row>
    <row r="69" spans="1:9" ht="20.100000000000001" customHeight="1" x14ac:dyDescent="0.2">
      <c r="A69"/>
      <c r="D69" s="74"/>
      <c r="E69" s="74"/>
      <c r="F69" s="74"/>
      <c r="G69" s="74"/>
      <c r="H69" s="74"/>
      <c r="I69" s="74"/>
    </row>
    <row r="70" spans="1:9" ht="20.100000000000001" customHeight="1" x14ac:dyDescent="0.2">
      <c r="A70"/>
      <c r="D70" s="74"/>
      <c r="E70" s="74"/>
      <c r="F70" s="74"/>
      <c r="G70" s="74"/>
      <c r="H70" s="74"/>
      <c r="I70" s="74"/>
    </row>
    <row r="71" spans="1:9" ht="20.100000000000001" customHeight="1" x14ac:dyDescent="0.2">
      <c r="A71"/>
      <c r="D71" s="74"/>
      <c r="E71" s="74"/>
      <c r="F71" s="74"/>
      <c r="G71" s="74"/>
      <c r="H71" s="74"/>
      <c r="I71" s="74"/>
    </row>
    <row r="72" spans="1:9" ht="20.100000000000001" customHeight="1" x14ac:dyDescent="0.2">
      <c r="A72"/>
      <c r="D72" s="74"/>
      <c r="E72" s="74"/>
      <c r="F72" s="74"/>
      <c r="G72" s="74"/>
      <c r="H72" s="74"/>
      <c r="I72" s="74"/>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5"/>
    </row>
    <row r="79" spans="1:9" ht="20.100000000000001" customHeight="1" x14ac:dyDescent="0.2">
      <c r="A79"/>
      <c r="D79" s="75"/>
    </row>
    <row r="80" spans="1:9" ht="20.100000000000001" customHeight="1" x14ac:dyDescent="0.2">
      <c r="A80"/>
      <c r="D80" s="75"/>
    </row>
    <row r="81" spans="1:4" ht="20.100000000000001" customHeight="1" x14ac:dyDescent="0.2">
      <c r="A81"/>
      <c r="D81" s="75"/>
    </row>
    <row r="82" spans="1:4" ht="20.100000000000001" customHeight="1" x14ac:dyDescent="0.2">
      <c r="A82"/>
      <c r="D82" s="75"/>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264F2-96BC-437B-A17B-D0AB7D0C6F42}">
  <sheetPr>
    <tabColor theme="5" tint="-0.249977111117893"/>
  </sheetPr>
  <dimension ref="A1:H36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0" customFormat="1" ht="30" customHeight="1" x14ac:dyDescent="0.35">
      <c r="A1" s="10" t="e" vm="1">
        <v>#VALUE!</v>
      </c>
      <c r="C1" s="10" t="s">
        <v>707</v>
      </c>
    </row>
    <row r="2" spans="1:8" s="3" customFormat="1" ht="20.100000000000001" customHeight="1" x14ac:dyDescent="0.2">
      <c r="A2"/>
    </row>
    <row r="3" spans="1:8" ht="20.100000000000001" customHeight="1" x14ac:dyDescent="0.2">
      <c r="A3" s="5" t="str">
        <f>HYPERLINK("#'Home'!A1", "Home")</f>
        <v>Home</v>
      </c>
      <c r="C3" s="29"/>
      <c r="D3" s="29"/>
      <c r="E3" s="29"/>
      <c r="F3" s="29"/>
      <c r="G3" s="29"/>
      <c r="H3" s="29"/>
    </row>
    <row r="4" spans="1:8" ht="20.100000000000001" customHeight="1" x14ac:dyDescent="0.2">
      <c r="A4" s="5" t="str">
        <f>HYPERLINK("#'Results - Activity period'!A1", "Results - Activity period")</f>
        <v>Results - Activity period</v>
      </c>
    </row>
    <row r="5" spans="1:8" ht="20.100000000000001" customHeight="1" x14ac:dyDescent="0.2">
      <c r="A5" s="5" t="str">
        <f>HYPERLINK("#'Results - Product EI'!A1", "Results - Product EI")</f>
        <v>Results - Product EI</v>
      </c>
      <c r="D5" s="2" t="s">
        <v>708</v>
      </c>
    </row>
    <row r="7" spans="1:8" ht="20.100000000000001" customHeight="1" x14ac:dyDescent="0.2">
      <c r="D7" s="36" t="s">
        <v>709</v>
      </c>
      <c r="E7" s="38"/>
      <c r="F7" s="38"/>
      <c r="G7" s="39"/>
    </row>
    <row r="8" spans="1:8" ht="20.100000000000001" customHeight="1" x14ac:dyDescent="0.2">
      <c r="A8" s="7" t="s">
        <v>0</v>
      </c>
    </row>
    <row r="9" spans="1:8" ht="20.100000000000001" customHeight="1" x14ac:dyDescent="0.2">
      <c r="A9" s="5" t="str">
        <f>HYPERLINK("#'Input - Enterprise'!A1", "Enterprise")</f>
        <v>Enterprise</v>
      </c>
      <c r="D9" s="1" t="s">
        <v>179</v>
      </c>
      <c r="E9" s="13" t="s">
        <v>710</v>
      </c>
      <c r="F9" s="16" t="s">
        <v>711</v>
      </c>
    </row>
    <row r="10" spans="1:8" ht="20.100000000000001" customHeight="1" x14ac:dyDescent="0.2">
      <c r="A10" s="5" t="str">
        <f>HYPERLINK("#'Input - Site'!A1", "Site")</f>
        <v>Site</v>
      </c>
      <c r="D10" s="1" t="s">
        <v>712</v>
      </c>
      <c r="E10" s="13" t="s">
        <v>713</v>
      </c>
      <c r="F10" s="16" t="s">
        <v>711</v>
      </c>
    </row>
    <row r="11" spans="1:8" ht="20.100000000000001" customHeight="1" x14ac:dyDescent="0.2">
      <c r="A11" s="102" t="str">
        <f>HYPERLINK("#'Input - Crop'!A1", "Crop")</f>
        <v>Crop</v>
      </c>
      <c r="D11" s="12" t="s">
        <v>63</v>
      </c>
      <c r="E11" s="13" t="s">
        <v>475</v>
      </c>
      <c r="F11" s="16" t="s">
        <v>711</v>
      </c>
    </row>
    <row r="12" spans="1:8" ht="20.100000000000001" customHeight="1" x14ac:dyDescent="0.2">
      <c r="A12" s="5" t="str">
        <f>HYPERLINK("#'Input - Fert Prod System'!A1", "Fert Prod System")</f>
        <v>Fert Prod System</v>
      </c>
    </row>
    <row r="13" spans="1:8" ht="20.100000000000001" customHeight="1" x14ac:dyDescent="0.2">
      <c r="A13" s="5" t="str">
        <f>HYPERLINK("#'Input - Fertiliser'!A1", "Fertiliser")</f>
        <v>Fertiliser</v>
      </c>
      <c r="D13" s="1" t="s">
        <v>180</v>
      </c>
      <c r="E13" s="168">
        <v>1000</v>
      </c>
      <c r="F13" s="16" t="s">
        <v>714</v>
      </c>
    </row>
    <row r="14" spans="1:8" ht="20.100000000000001" customHeight="1" x14ac:dyDescent="0.2">
      <c r="A14" s="5" t="str">
        <f>HYPERLINK("#'Input - Fuel'!A1", "Fuel")</f>
        <v>Fuel</v>
      </c>
    </row>
    <row r="15" spans="1:8" ht="20.100000000000001" customHeight="1" x14ac:dyDescent="0.2">
      <c r="A15" s="5" t="str">
        <f>HYPERLINK("#'Input - Electricity'!A1", "Electricity")</f>
        <v>Electricity</v>
      </c>
      <c r="D15" s="2" t="s">
        <v>715</v>
      </c>
    </row>
    <row r="16" spans="1:8" ht="20.100000000000001" customHeight="1" x14ac:dyDescent="0.2">
      <c r="A16" s="5" t="str">
        <f>HYPERLINK("#'Input - Common farm inputs'!A1", "Common farm inputs")</f>
        <v>Common farm inputs</v>
      </c>
    </row>
    <row r="17" spans="1:6" ht="20.100000000000001" customHeight="1" x14ac:dyDescent="0.2">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76">
        <v>10</v>
      </c>
      <c r="F17" s="16" t="str">
        <f>"Tonnes " &amp; _xlfn.XLOOKUP(X_Cell_Crop_CropPurpose, Table_SourceData_CropPurposeAndYields[Purpose], Table_SourceData_CropPurposeAndYields[Per hectare unit], FALSE) &amp; " per hectare"</f>
        <v>Tonnes grain per hectare</v>
      </c>
    </row>
    <row r="18" spans="1:6" ht="20.100000000000001" customHeight="1" x14ac:dyDescent="0.2">
      <c r="A18" s="5" t="str">
        <f>HYPERLINK("#'Input - Freight'!A1", "Freight")</f>
        <v>Freight</v>
      </c>
      <c r="D18" s="1" t="s">
        <v>716</v>
      </c>
      <c r="E18" s="1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
      <c r="A19" s="5" t="str">
        <f>HYPERLINK("#'Input - Solid waste'!A1", "Solid waste")</f>
        <v>Solid waste</v>
      </c>
      <c r="D19" s="1" t="s">
        <v>717</v>
      </c>
      <c r="E19" s="15">
        <f>X_Cell_Crop_YieldPerHectare*E18</f>
        <v>15</v>
      </c>
      <c r="F19" s="16" t="s">
        <v>718</v>
      </c>
    </row>
    <row r="20" spans="1:6" ht="20.100000000000001" customHeight="1" x14ac:dyDescent="0.2">
      <c r="A20" s="5" t="str">
        <f>HYPERLINK("#'Input - Data quality'!A1", "Data quality")</f>
        <v>Data quality</v>
      </c>
      <c r="D20" s="1" t="s">
        <v>719</v>
      </c>
      <c r="E20" s="15">
        <f>X_Cell_Crop_YieldPerHectare+E19</f>
        <v>25</v>
      </c>
      <c r="F20" s="16" t="s">
        <v>718</v>
      </c>
    </row>
    <row r="22" spans="1:6" ht="20.100000000000001" customHeight="1" x14ac:dyDescent="0.2">
      <c r="D22" s="77" t="s">
        <v>720</v>
      </c>
      <c r="E22" s="15">
        <f>X_Cell_Crop_YieldPerHectare*X_Cell_Crop_AreaUnderCropping</f>
        <v>10000</v>
      </c>
      <c r="F22" s="16" t="str">
        <f>"Tonnes " &amp; _xlfn.XLOOKUP(X_Cell_Crop_CropPurpose, Table_SourceData_CropPurposeAndYields[Purpose], Table_SourceData_CropPurposeAndYields[Harvest uit], FALSE)</f>
        <v>Tonnes grain</v>
      </c>
    </row>
    <row r="23" spans="1:6" ht="20.100000000000001" customHeight="1" x14ac:dyDescent="0.2">
      <c r="A23" s="6" t="s">
        <v>2</v>
      </c>
    </row>
    <row r="24" spans="1:6" ht="20.100000000000001" customHeight="1" x14ac:dyDescent="0.2">
      <c r="A24" s="5" t="str">
        <f>HYPERLINK("#'5.1.1.1-2 Inorganic fert N2O'!A1", "5.1.1.1-2 Inorganic fert N2O")</f>
        <v>5.1.1.1-2 Inorganic fert N2O</v>
      </c>
      <c r="D24" s="89" t="str">
        <f>"¹ " &amp; _xlfn.XLOOKUP(X_Cell_Crop_CropPurpose, Table_SourceData_CropPurposeAndYields[Purpose],Table_SourceData_CropPurposeAndYields[Yield note])</f>
        <v>¹ Yield is the grain harvested from the plant</v>
      </c>
    </row>
    <row r="25" spans="1:6" ht="20.100000000000001" customHeight="1" x14ac:dyDescent="0.2">
      <c r="A25" s="5" t="str">
        <f>HYPERLINK("#'5.1.1.3-4 Inorganic fert CO2'!A1", "5.1.1.3-4 Inorganic fert CO2")</f>
        <v>5.1.1.3-4 Inorganic fert CO2</v>
      </c>
      <c r="D25" s="89"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
      <c r="A26" s="5" t="str">
        <f>HYPERLINK("#'5.2.1.1-2 Organic Fert N2O'!A1", "5.2.1.1-2 Organic fert N2O")</f>
        <v>5.2.1.1-2 Organic fert N2O</v>
      </c>
      <c r="D26" s="89" t="str">
        <f>"³ " &amp; _xlfn.XLOOKUP(X_Cell_Crop_CropPurpose,Table_SourceData_CropPurposeAndYields[Purpose],Table_SourceData_CropPurposeAndYields[Total production note])</f>
        <v>³ Total production is the total grain harvested</v>
      </c>
    </row>
    <row r="27" spans="1:6" ht="20.100000000000001" customHeight="1" x14ac:dyDescent="0.2">
      <c r="A27" s="5" t="str">
        <f>HYPERLINK("#'5.3.1.1-2 Lime CO2'!A1", "5.3.1.1-2 Lime CO2")</f>
        <v>5.3.1.1-2 Lime CO2</v>
      </c>
    </row>
    <row r="28" spans="1:6" ht="20.100000000000001" customHeight="1" x14ac:dyDescent="0.2">
      <c r="A28" s="5" t="str">
        <f>HYPERLINK("#'5.4.1.1-4 Atmos deposition'!A1", "5.4.1.1-4 Atmos. deposition")</f>
        <v>5.4.1.1-4 Atmos. deposition</v>
      </c>
      <c r="D28" s="2" t="s">
        <v>721</v>
      </c>
    </row>
    <row r="29" spans="1:6" ht="20.100000000000001" customHeight="1" x14ac:dyDescent="0.2">
      <c r="A29" s="5" t="str">
        <f>HYPERLINK("#'5.5.1.1-2 Leaching and runoff'!A1", "5.5.1.1-2 Leaching &amp; runoff")</f>
        <v>5.5.1.1-2 Leaching &amp; runoff</v>
      </c>
    </row>
    <row r="30" spans="1:6" ht="20.100000000000001" customHeight="1" x14ac:dyDescent="0.2">
      <c r="A30" s="5" t="str">
        <f>HYPERLINK("#'6.1.1.1-2 Crop residue N2O'!A1", "6.1.1.1-2 Crop residue N2O")</f>
        <v>6.1.1.1-2 Crop residue N2O</v>
      </c>
      <c r="D30" s="1" t="str">
        <f>"Residue after " &amp; VLOOKUP(X_Cell_Crop_CropPurpose,'Constants - Ag Residue'!D8:G10, 4, FALSE)</f>
        <v>Residue after harvest</v>
      </c>
      <c r="E30" s="15">
        <f>E19*X_Cell_Crop_AreaUnderCropping</f>
        <v>15000</v>
      </c>
      <c r="F30" s="16" t="s">
        <v>722</v>
      </c>
    </row>
    <row r="31" spans="1:6" ht="20.100000000000001" customHeight="1" x14ac:dyDescent="0.2">
      <c r="A31" s="5" t="str">
        <f>HYPERLINK("#'6.3.1.1-2 Leach runoff crop'!A1", "6.3.1.1-2 Leach &amp; runoff (crop)")</f>
        <v>6.3.1.1-2 Leach &amp; runoff (crop)</v>
      </c>
    </row>
    <row r="32" spans="1:6" ht="20.100000000000001" customHeight="1" x14ac:dyDescent="0.2">
      <c r="A32" s="5" t="str">
        <f>HYPERLINK("#'6.4.1.1-2 Residue burning'!A1", "6.4.1.1-2 Residue burning")</f>
        <v>6.4.1.1-2 Residue burning</v>
      </c>
      <c r="D32" s="79" t="s">
        <v>723</v>
      </c>
    </row>
    <row r="33" spans="1:8" ht="20.100000000000001" customHeight="1" x14ac:dyDescent="0.2">
      <c r="A33" s="5" t="str">
        <f>HYPERLINK("#'8.1.1.1-2 Transport fuel'!A1", "8.1.1.1-2 Transport fuel")</f>
        <v>8.1.1.1-2 Transport fuel</v>
      </c>
      <c r="D33" s="1" t="s">
        <v>724</v>
      </c>
      <c r="E33" s="18">
        <v>0.11</v>
      </c>
      <c r="F33" s="16" t="s">
        <v>725</v>
      </c>
    </row>
    <row r="34" spans="1:8" ht="20.100000000000001" customHeight="1" x14ac:dyDescent="0.2">
      <c r="A34" s="5" t="str">
        <f>HYPERLINK("#'8.2.1.1-2 Stationary fuel'!A1", "8.2.1.1-2 Stationary fuel")</f>
        <v>8.2.1.1-2 Stationary fuel</v>
      </c>
      <c r="D34" s="1" t="s">
        <v>726</v>
      </c>
      <c r="E34" s="76">
        <v>60</v>
      </c>
      <c r="F34" s="16" t="s">
        <v>727</v>
      </c>
    </row>
    <row r="35" spans="1:8" ht="20.100000000000001" customHeight="1" x14ac:dyDescent="0.2">
      <c r="A35" s="5" t="str">
        <f>HYPERLINK("#'10.1.1-2 Solid waste treatment'!A1", "10.1.1.1-2 Solid waste")</f>
        <v>10.1.1.1-2 Solid waste</v>
      </c>
      <c r="D35" s="77" t="s">
        <v>728</v>
      </c>
      <c r="E35" s="220">
        <f>IFERROR((X_Cell_Crop_TotalResidueBaled*10^3)/X_Cell_Crop_AverageWeightPerBale, 0)</f>
        <v>27500</v>
      </c>
      <c r="F35" s="16" t="s">
        <v>729</v>
      </c>
    </row>
    <row r="36" spans="1:8" ht="20.100000000000001" customHeight="1" x14ac:dyDescent="0.2">
      <c r="A36" s="5" t="str">
        <f>HYPERLINK("#'14.1.1-2 Purchased electricity'!A1", "14.1.1-2 Purchased electricity")</f>
        <v>14.1.1-2 Purchased electricity</v>
      </c>
      <c r="D36" s="77" t="s">
        <v>730</v>
      </c>
      <c r="E36" s="15">
        <f>E30*X_Cell_Crop_PercentResidueBaled</f>
        <v>1650</v>
      </c>
      <c r="F36" s="16" t="s">
        <v>722</v>
      </c>
    </row>
    <row r="37" spans="1:8" ht="20.100000000000001" customHeight="1" x14ac:dyDescent="0.2">
      <c r="A37" s="5" t="str">
        <f>HYPERLINK("#'15 Scope 3'!A1", "15 Scope 3")</f>
        <v>15 Scope 3</v>
      </c>
      <c r="C37" s="116"/>
    </row>
    <row r="38" spans="1:8" ht="20.100000000000001" customHeight="1" x14ac:dyDescent="0.2">
      <c r="C38" s="116"/>
      <c r="D38" s="79" t="s">
        <v>731</v>
      </c>
    </row>
    <row r="39" spans="1:8" ht="20.100000000000001" customHeight="1" x14ac:dyDescent="0.2">
      <c r="D39" s="1" t="s">
        <v>732</v>
      </c>
      <c r="E39" s="18">
        <v>0.3</v>
      </c>
      <c r="F39" s="16" t="s">
        <v>725</v>
      </c>
    </row>
    <row r="40" spans="1:8" s="128" customFormat="1" ht="20.100000000000001" customHeight="1" x14ac:dyDescent="0.2">
      <c r="A40" s="82" t="s">
        <v>1</v>
      </c>
      <c r="C40" s="1"/>
      <c r="D40" s="1" t="s">
        <v>733</v>
      </c>
      <c r="E40" s="15">
        <f>E30*X_Cell_Crop_PercentResidueBurned</f>
        <v>4500</v>
      </c>
      <c r="F40" s="16" t="s">
        <v>722</v>
      </c>
      <c r="G40" s="1"/>
      <c r="H40" s="1"/>
    </row>
    <row r="41" spans="1:8" s="128" customFormat="1" ht="20.100000000000001" customHeight="1" x14ac:dyDescent="0.2">
      <c r="A41" s="5" t="str">
        <f>HYPERLINK("#'Constants - Ag Residue'!A1", "Constants - Ag residue")</f>
        <v>Constants - Ag residue</v>
      </c>
      <c r="C41" s="1"/>
      <c r="D41" s="1"/>
      <c r="E41" s="1"/>
      <c r="F41" s="1"/>
      <c r="G41" s="1"/>
      <c r="H41" s="1"/>
    </row>
    <row r="42" spans="1:8" ht="20.100000000000001" customHeight="1" x14ac:dyDescent="0.2">
      <c r="A42" s="5" t="str">
        <f>HYPERLINK("#'Constants - Electricity'!A1", "Constants - Electricity")</f>
        <v>Constants - Electricity</v>
      </c>
      <c r="D42" s="1" t="s">
        <v>734</v>
      </c>
      <c r="E42" s="15">
        <f>E30-X_Cell_Crop_TotalResidueBaled-E40</f>
        <v>8850</v>
      </c>
      <c r="F42" s="16" t="s">
        <v>722</v>
      </c>
    </row>
    <row r="43" spans="1:8" ht="20.100000000000001" customHeight="1" x14ac:dyDescent="0.2">
      <c r="A43" s="5" t="str">
        <f>HYPERLINK("#'Constants - Fertiliser'!A1", "Constants - Fertiliser")</f>
        <v>Constants - Fertiliser</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row>
    <row r="46" spans="1:8" ht="20.100000000000001" customHeight="1" x14ac:dyDescent="0.2">
      <c r="A46" s="5" t="str">
        <f>HYPERLINK("#'Constants - Solid Waste'!A1", "Constants - Solid Waste")</f>
        <v>Constants - Solid Waste</v>
      </c>
    </row>
    <row r="47" spans="1:8" ht="20.100000000000001" customHeight="1" x14ac:dyDescent="0.2">
      <c r="A47" s="5" t="str">
        <f>HYPERLINK("#'Constants - Common'!A1", "Constants - Common")</f>
        <v>Constants - Common</v>
      </c>
    </row>
    <row r="48" spans="1:8" ht="20.100000000000001" customHeight="1" x14ac:dyDescent="0.2">
      <c r="A48" s="5" t="str">
        <f>HYPERLINK("#'Constants - Common Livestock'!A1", "Constants - Common Livestock")</f>
        <v>Constants - Common Livestock</v>
      </c>
      <c r="D48" s="2"/>
    </row>
    <row r="50" spans="4:6" ht="20.100000000000001" customHeight="1" x14ac:dyDescent="0.2">
      <c r="D50" s="12"/>
      <c r="F50" s="16"/>
    </row>
    <row r="361" spans="4:4" ht="20.100000000000001" customHeight="1" x14ac:dyDescent="0.2">
      <c r="D361" s="89"/>
    </row>
  </sheetData>
  <conditionalFormatting sqref="E210:G210">
    <cfRule type="cellIs" dxfId="91" priority="6" operator="lessThan">
      <formula>0</formula>
    </cfRule>
  </conditionalFormatting>
  <conditionalFormatting sqref="F42">
    <cfRule type="cellIs" dxfId="90" priority="5" operator="lessThan">
      <formula>0</formula>
    </cfRule>
  </conditionalFormatting>
  <conditionalFormatting sqref="F126:F127">
    <cfRule type="cellIs" dxfId="89" priority="4" operator="lessThan">
      <formula>0</formula>
    </cfRule>
  </conditionalFormatting>
  <conditionalFormatting sqref="F138:F139">
    <cfRule type="cellIs" dxfId="88" priority="3" operator="lessThan">
      <formula>0</formula>
    </cfRule>
  </conditionalFormatting>
  <conditionalFormatting sqref="F150:F151">
    <cfRule type="cellIs" dxfId="87" priority="2" operator="lessThan">
      <formula>0</formula>
    </cfRule>
  </conditionalFormatting>
  <conditionalFormatting sqref="F162:F163">
    <cfRule type="cellIs" dxfId="86" priority="1" operator="lessThan">
      <formula>0</formula>
    </cfRule>
  </conditionalFormatting>
  <conditionalFormatting sqref="F250:F251">
    <cfRule type="cellIs" dxfId="85" priority="12" operator="lessThan">
      <formula>0</formula>
    </cfRule>
  </conditionalFormatting>
  <conditionalFormatting sqref="F255:F256">
    <cfRule type="cellIs" dxfId="84" priority="11" operator="lessThan">
      <formula>0</formula>
    </cfRule>
  </conditionalFormatting>
  <conditionalFormatting sqref="F260:F261">
    <cfRule type="cellIs" dxfId="83" priority="10" operator="lessThan">
      <formula>0</formula>
    </cfRule>
  </conditionalFormatting>
  <conditionalFormatting sqref="F284:F285">
    <cfRule type="cellIs" dxfId="82" priority="9" operator="lessThan">
      <formula>0</formula>
    </cfRule>
  </conditionalFormatting>
  <conditionalFormatting sqref="F289:F290">
    <cfRule type="cellIs" dxfId="81" priority="8" operator="lessThan">
      <formula>0</formula>
    </cfRule>
  </conditionalFormatting>
  <conditionalFormatting sqref="F294:F295">
    <cfRule type="cellIs" dxfId="80" priority="7" operator="lessThan">
      <formula>0</formula>
    </cfRule>
  </conditionalFormatting>
  <dataValidations count="8">
    <dataValidation type="list" allowBlank="1" showInputMessage="1" showErrorMessage="1" sqref="E11" xr:uid="{89CDC471-4D92-48D0-B01D-C4DA76FC5270}">
      <formula1>INDIRECT("Table_SourceData_Fertiliser_IrrigationMethods[Irrigation method]")</formula1>
    </dataValidation>
    <dataValidation type="list" allowBlank="1" showInputMessage="1" showErrorMessage="1" sqref="E9" xr:uid="{2E4BE3AC-7371-482E-B287-66B7FCB6351E}">
      <formula1>INDIRECT("Table_SourceData_CropAttributes[Crop type]")</formula1>
    </dataValidation>
    <dataValidation type="list" allowBlank="1" showInputMessage="1" showErrorMessage="1" sqref="E10" xr:uid="{16B57C2D-24A1-4117-B272-F1BDA51F37F8}">
      <formula1>INDIRECT("Table_SourceData_CropPurposeAndYields[Purpose]")</formula1>
    </dataValidation>
    <dataValidation type="list" allowBlank="1" showInputMessage="1" showErrorMessage="1" sqref="E64" xr:uid="{2B91F999-FFF1-486F-927B-E9C20C83DCEC}">
      <formula1>INDIRECT("Table_SourceData_Swine_CropProdSystems[Production system]")</formula1>
    </dataValidation>
    <dataValidation type="list" allowBlank="1" showInputMessage="1" showErrorMessage="1" sqref="E65" xr:uid="{259641F5-4C69-472A-938B-249172866C9C}">
      <formula1>INDIRECT("Table_SourceData_Swine_IrrigationMethods[Irrigation method]")</formula1>
    </dataValidation>
    <dataValidation type="list" allowBlank="1" showInputMessage="1" showErrorMessage="1" sqref="E249 E254 E259 E293 E288 E283 E161 E149 E125 E137" xr:uid="{F09DFD43-F21C-47D1-94D9-6D456573DDFB}">
      <formula1>"Yes, No"</formula1>
    </dataValidation>
    <dataValidation type="list" allowBlank="1" showInputMessage="1" showErrorMessage="1" sqref="E225" xr:uid="{779CD34B-25F8-4FB0-9C46-527DEF968CCD}">
      <formula1>INDIRECT("Table_SourceData_Dairy_ProductionSystemTemplates[Area]")</formula1>
    </dataValidation>
    <dataValidation type="list" allowBlank="1" showInputMessage="1" showErrorMessage="1" sqref="D277" xr:uid="{FE7D0AFA-C66C-4C36-A201-C7DB2C2F8056}">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48"/>
  <sheetViews>
    <sheetView showGridLines="0" zoomScaleNormal="100" workbookViewId="0">
      <pane xSplit="1" topLeftCell="B1" activePane="topRight" state="frozenSplit"/>
      <selection pane="topRight" activeCell="A47" sqref="A4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176</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70" t="s">
        <v>181</v>
      </c>
      <c r="E5" s="70"/>
      <c r="F5" s="70"/>
      <c r="G5" s="70"/>
    </row>
    <row r="6" spans="1:11" ht="20.100000000000001" customHeight="1" x14ac:dyDescent="0.2">
      <c r="F6" s="16"/>
    </row>
    <row r="7" spans="1:11" ht="20.100000000000001" customHeight="1" x14ac:dyDescent="0.2">
      <c r="D7" s="1" t="s">
        <v>177</v>
      </c>
      <c r="E7" s="15" t="s">
        <v>178</v>
      </c>
      <c r="F7" s="16"/>
    </row>
    <row r="8" spans="1:11" ht="20.100000000000001" customHeight="1" x14ac:dyDescent="0.2">
      <c r="A8" s="7" t="s">
        <v>0</v>
      </c>
      <c r="D8" s="1" t="s">
        <v>179</v>
      </c>
      <c r="E8" s="15" t="str" cm="1">
        <f t="array" ref="E8">_xlfn.IFS(X_Cell_Crop_CropType="Maize", "Maize", X_Cell_Crop_CropType="Cotton", "Cotton", TRUE, "Grains")</f>
        <v>Grains</v>
      </c>
      <c r="F8" s="16"/>
    </row>
    <row r="9" spans="1:11" ht="20.100000000000001" customHeight="1" x14ac:dyDescent="0.2">
      <c r="A9" s="5" t="str">
        <f>HYPERLINK("#'Input - Enterprise'!A1", "Enterprise")</f>
        <v>Enterprise</v>
      </c>
      <c r="D9" s="1" t="s">
        <v>63</v>
      </c>
      <c r="E9" s="15" t="str" cm="1">
        <f t="array" ref="E9">X_Cell_Crop_IrrigationMethod</f>
        <v>Sprinkler irrigation</v>
      </c>
    </row>
    <row r="10" spans="1:11" ht="20.100000000000001" customHeight="1" x14ac:dyDescent="0.2">
      <c r="A10" s="5" t="str">
        <f>HYPERLINK("#'Input - Site'!A1", "Site")</f>
        <v>Site</v>
      </c>
      <c r="D10" s="1" t="s">
        <v>180</v>
      </c>
      <c r="E10" s="15" cm="1">
        <f t="array" ref="E10">X_Cell_Crop_AreaUnderCropping</f>
        <v>1000</v>
      </c>
    </row>
    <row r="11" spans="1:11" ht="20.100000000000001" customHeight="1" x14ac:dyDescent="0.2">
      <c r="A11" s="5" t="str">
        <f>HYPERLINK("#'Input - Crop'!A1", "Crop")</f>
        <v>Crop</v>
      </c>
    </row>
    <row r="12" spans="1:11" ht="20.100000000000001" customHeight="1" x14ac:dyDescent="0.2">
      <c r="A12" s="102" t="str">
        <f>HYPERLINK("#'Input - Fert Prod System'!A1", "Fert Prod System")</f>
        <v>Fert Prod System</v>
      </c>
    </row>
    <row r="13" spans="1:11" ht="20.100000000000001" customHeight="1" x14ac:dyDescent="0.2">
      <c r="A13" s="5" t="str">
        <f>HYPERLINK("#'Input - Fertiliser'!A1", "Fertiliser")</f>
        <v>Fertiliser</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Crop pasture farm input'!A1", "Crop pasture farm input")</f>
        <v>Crop pasture farm input</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Data quality'!A1", "Data quality")</f>
        <v>Data quality</v>
      </c>
    </row>
    <row r="23" spans="1:1" ht="20.100000000000001" customHeight="1" x14ac:dyDescent="0.2">
      <c r="A23" s="6" t="s">
        <v>2</v>
      </c>
    </row>
    <row r="24" spans="1:1" ht="20.100000000000001" customHeight="1" x14ac:dyDescent="0.2">
      <c r="A24" s="5" t="str">
        <f>HYPERLINK("#'5.1.1.1-2 Inorganic fert N2O'!A1", "5.1.1.1-2 Inorganic fert N2O")</f>
        <v>5.1.1.1-2 Inorganic fert N2O</v>
      </c>
    </row>
    <row r="25" spans="1:1" ht="20.100000000000001" customHeight="1" x14ac:dyDescent="0.2">
      <c r="A25" s="5" t="str">
        <f>HYPERLINK("#'5.1.1.3-4 Inorganic fert CO2'!A1", "5.1.1.3-4 Inorganic fert CO2")</f>
        <v>5.1.1.3-4 Inorganic fert CO2</v>
      </c>
    </row>
    <row r="26" spans="1:1" ht="20.100000000000001" customHeight="1" x14ac:dyDescent="0.2">
      <c r="A26" s="5" t="str">
        <f>HYPERLINK("#'5.2.1.1-2 Organic Fert N2O'!A1", "5.2.1.1-2 Organic fert N2O")</f>
        <v>5.2.1.1-2 Organic fert N2O</v>
      </c>
    </row>
    <row r="27" spans="1:1" ht="20.100000000000001" customHeight="1" x14ac:dyDescent="0.2">
      <c r="A27" s="5" t="str">
        <f>HYPERLINK("#'5.3.1.1-2 Lime CO2'!A1", "5.3.1.1-2 Lime CO2")</f>
        <v>5.3.1.1-2 Lime CO2</v>
      </c>
    </row>
    <row r="28" spans="1:1" ht="20.100000000000001" customHeight="1" x14ac:dyDescent="0.2">
      <c r="A28" s="5" t="str">
        <f>HYPERLINK("#'5.4.1.1-4 Atmos deposition'!A1", "5.4.1.1-4 Atmos. deposition")</f>
        <v>5.4.1.1-4 Atmos. deposition</v>
      </c>
    </row>
    <row r="29" spans="1:1" ht="20.100000000000001" customHeight="1" x14ac:dyDescent="0.2">
      <c r="A29" s="5" t="str">
        <f>HYPERLINK("#'5.5.1.1-2 Leaching and runoff'!A1", "5.5.1.1-2 Leaching &amp; runoff")</f>
        <v>5.5.1.1-2 Leaching &amp; runoff</v>
      </c>
    </row>
    <row r="30" spans="1:1" ht="20.100000000000001" customHeight="1" x14ac:dyDescent="0.2">
      <c r="A30" s="5" t="str">
        <f>HYPERLINK("#'6.1.1.1-2 Crop residue N2O'!A1", "6.1.1.1-2 Crop residue N2O")</f>
        <v>6.1.1.1-2 Crop residue N2O</v>
      </c>
    </row>
    <row r="31" spans="1:1" ht="20.100000000000001" customHeight="1" x14ac:dyDescent="0.2">
      <c r="A31" s="5" t="str">
        <f>HYPERLINK("#'6.3.1.1-2 Leach runoff crop'!A1", "6.3.1.1-2 Leach &amp; runoff (crop)")</f>
        <v>6.3.1.1-2 Leach &amp; runoff (crop)</v>
      </c>
    </row>
    <row r="32" spans="1:1"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70600-91BF-412D-8A12-C170FA186E74}">
  <sheetPr>
    <tabColor theme="5" tint="-0.249977111117893"/>
  </sheetPr>
  <dimension ref="A1:AA37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297</v>
      </c>
    </row>
    <row r="2" spans="1:27" s="3" customFormat="1" ht="20.100000000000001" customHeight="1" x14ac:dyDescent="0.2">
      <c r="A2"/>
    </row>
    <row r="3" spans="1:27" ht="20.100000000000001" customHeight="1" x14ac:dyDescent="0.2">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EI")</f>
        <v>Results - Product EI</v>
      </c>
      <c r="D5" s="2" t="s">
        <v>298</v>
      </c>
      <c r="E5" s="25"/>
      <c r="F5" s="25"/>
      <c r="G5" s="25"/>
      <c r="H5" s="25"/>
      <c r="I5" s="25"/>
      <c r="J5" s="25"/>
      <c r="K5" s="25"/>
      <c r="L5" s="25"/>
      <c r="M5" s="25"/>
    </row>
    <row r="6" spans="1:27" ht="20.100000000000001" customHeight="1" x14ac:dyDescent="0.2">
      <c r="D6" s="8"/>
      <c r="E6" s="8"/>
      <c r="F6" s="8"/>
      <c r="G6" s="8"/>
      <c r="H6" s="8"/>
      <c r="I6" s="8"/>
      <c r="J6" s="8"/>
      <c r="K6" s="8"/>
      <c r="L6" s="8"/>
      <c r="M6" s="8"/>
    </row>
    <row r="7" spans="1:27" ht="20.100000000000001" customHeight="1" x14ac:dyDescent="0.2">
      <c r="D7" s="99" t="s">
        <v>299</v>
      </c>
      <c r="E7" s="44"/>
      <c r="F7" s="44"/>
      <c r="G7" s="44"/>
      <c r="H7" s="45"/>
      <c r="I7" s="100"/>
      <c r="J7" s="101"/>
      <c r="K7" s="101"/>
      <c r="L7" s="101"/>
      <c r="M7" s="101"/>
    </row>
    <row r="8" spans="1:27" ht="20.100000000000001" customHeight="1" x14ac:dyDescent="0.2">
      <c r="A8" s="7" t="s">
        <v>0</v>
      </c>
      <c r="D8" s="46" t="s">
        <v>300</v>
      </c>
      <c r="E8" s="47"/>
      <c r="F8" s="47"/>
      <c r="G8" s="47"/>
      <c r="H8" s="48"/>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9" t="s">
        <v>301</v>
      </c>
      <c r="E10" s="8"/>
      <c r="F10" s="8"/>
      <c r="G10" s="8"/>
      <c r="H10" s="8"/>
      <c r="I10" s="8"/>
      <c r="J10" s="8"/>
      <c r="K10" s="8"/>
      <c r="L10" s="8"/>
      <c r="M10" s="8"/>
    </row>
    <row r="11" spans="1:27" ht="20.100000000000001" customHeight="1" x14ac:dyDescent="0.2">
      <c r="A11" s="5" t="str">
        <f>HYPERLINK("#'Input - Crop'!A1", "Crop")</f>
        <v>Crop</v>
      </c>
      <c r="D11" s="103" t="s">
        <v>302</v>
      </c>
      <c r="E11" s="104" t="s">
        <v>303</v>
      </c>
      <c r="F11" s="105" t="s">
        <v>304</v>
      </c>
      <c r="G11" s="104" t="s">
        <v>305</v>
      </c>
      <c r="H11" s="105" t="s">
        <v>306</v>
      </c>
      <c r="I11" s="104" t="s">
        <v>307</v>
      </c>
      <c r="J11" s="103" t="s">
        <v>308</v>
      </c>
      <c r="K11" s="103" t="s">
        <v>309</v>
      </c>
      <c r="L11" s="103" t="s">
        <v>310</v>
      </c>
      <c r="M11" s="103" t="s">
        <v>311</v>
      </c>
      <c r="N11" s="103" t="s">
        <v>312</v>
      </c>
      <c r="O11" s="103" t="s">
        <v>313</v>
      </c>
      <c r="P11" s="103" t="s">
        <v>314</v>
      </c>
      <c r="Q11" s="103" t="s">
        <v>315</v>
      </c>
      <c r="R11" s="103" t="s">
        <v>316</v>
      </c>
      <c r="S11" s="103" t="s">
        <v>317</v>
      </c>
      <c r="T11" s="103" t="s">
        <v>318</v>
      </c>
      <c r="U11" s="103" t="s">
        <v>319</v>
      </c>
      <c r="V11" s="103" t="s">
        <v>320</v>
      </c>
      <c r="W11" s="103" t="s">
        <v>321</v>
      </c>
      <c r="X11" s="103" t="s">
        <v>322</v>
      </c>
      <c r="Y11" s="103" t="s">
        <v>323</v>
      </c>
      <c r="Z11" s="103" t="s">
        <v>324</v>
      </c>
    </row>
    <row r="12" spans="1:27" ht="20.100000000000001" customHeight="1" x14ac:dyDescent="0.2">
      <c r="A12" s="5" t="str">
        <f>HYPERLINK("#'Input - Fert Prod System'!A1", "Fert Prod System")</f>
        <v>Fert Prod System</v>
      </c>
      <c r="D12" s="106" t="s">
        <v>325</v>
      </c>
      <c r="E12" s="107">
        <v>100</v>
      </c>
      <c r="F12" s="15" t="str">
        <f>IFERROR(_xlfn.XLOOKUP(Table_Input_InorganicFertiliser_Brands[[#This Row],[Product (select)]],FertiliserProducts[Product],FertiliserProducts[Unit]), "kg")</f>
        <v>kg</v>
      </c>
      <c r="G12" s="107">
        <f t="shared" ref="G12" si="0">X_Cell_Fertiliser_AreaUnderCropping</f>
        <v>1000</v>
      </c>
      <c r="H12" s="108">
        <f>IFERROR(_xlfn.XLOOKUP(Table_Input_InorganicFertiliser_Brands[[#This Row],[Product (select)]],FertiliserProducts[Product],FertiliserProducts[Density]), 1)</f>
        <v>1</v>
      </c>
      <c r="I12" s="109">
        <f>(Table_Input_InorganicFertiliser_Brands[[#This Row],[Amount applied per hectare]]*Table_Input_InorganicFertiliser_Brands[[#This Row],[Density]])*Table_Input_InorganicFertiliser_Brands[[#This Row],[Application area (ha)]]</f>
        <v>100000</v>
      </c>
      <c r="J12" s="10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9" cm="1">
        <f t="array" ref="L12">Fertiliser_InputFunctions.Fertiliser_FertiliserProductLookup(Table_Input_InorganicFertiliser_Brands[[#This Row],[Product (select)]], Table_Input_InorganicFertiliser_Brands[[#Headers],[Ingredient 2]], FertiliserProducts[#Data], FertiliserProducts[Product], FertiliserProducts[#Headers])</f>
        <v>0</v>
      </c>
      <c r="M12" s="109"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0</v>
      </c>
      <c r="N12" s="109" cm="1">
        <f t="array" ref="N12">Fertiliser_InputFunctions.Fertiliser_FertiliserProductLookup(Table_Input_InorganicFertiliser_Brands[[#This Row],[Product (select)]], Table_Input_InorganicFertiliser_Brands[[#Headers],[Ingredient 3]], FertiliserProducts[#Data], FertiliserProducts[Product], FertiliserProducts[#Headers])</f>
        <v>0</v>
      </c>
      <c r="O12" s="109"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0</v>
      </c>
      <c r="P12" s="109" cm="1">
        <f t="array" ref="P12">Fertiliser_InputFunctions.Fertiliser_FertiliserProductLookup(Table_Input_InorganicFertiliser_Brands[[#This Row],[Product (select)]], Table_Input_InorganicFertiliser_Brands[[#Headers],[Ingredient 4]], FertiliserProducts[#Data], FertiliserProducts[Product], FertiliserProducts[#Headers])</f>
        <v>0</v>
      </c>
      <c r="Q12" s="109"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0</v>
      </c>
      <c r="R12" s="109" cm="1">
        <f t="array" ref="R12">Fertiliser_InputFunctions.Fertiliser_FertiliserProductLookup(Table_Input_InorganicFertiliser_Brands[[#This Row],[Product (select)]], Table_Input_InorganicFertiliser_Brands[[#Headers],[Ingredient 5]], FertiliserProducts[#Data], FertiliserProducts[Product], FertiliserProducts[#Headers])</f>
        <v>0</v>
      </c>
      <c r="S12" s="109"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0</v>
      </c>
      <c r="T12" s="109" cm="1">
        <f t="array" ref="T12">Fertiliser_InputFunctions.Fertiliser_FertiliserProductLookup(Table_Input_InorganicFertiliser_Brands[[#This Row],[Product (select)]], Table_Input_InorganicFertiliser_Brands[[#Headers],[Ingredient 6]], FertiliserProducts[#Data], FertiliserProducts[Product], FertiliserProducts[#Headers])</f>
        <v>0</v>
      </c>
      <c r="U12" s="109"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0</v>
      </c>
      <c r="V12"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9" cm="1">
        <f t="array" ref="W12">IFERROR(Fertiliser_InputFunctions.Fertiliser_FertiliserProductLookup(Table_Input_InorganicFertiliser_Brands[[#This Row],[Product (select)]], "N declared", FertiliserProducts[#Data], FertiliserProducts[Product], FertiliserProducts[#Headers])*0.01, 0)</f>
        <v>0.46</v>
      </c>
      <c r="X12"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9">
        <f>IFERROR(_xlfn.XLOOKUP(Table_Input_InorganicFertiliser_Brands[[#This Row],[Product (select)]],FertiliserProducts[Product],FertiliserProducts[Urea source]), "")</f>
        <v>0</v>
      </c>
      <c r="Z12" s="109">
        <f>IFERROR(_xlfn.XLOOKUP(Table_Input_InorganicFertiliser_Brands[[#This Row],[Product (select)]],FertiliserProducts[Product],FertiliserProducts[Ammonia source]), "")</f>
        <v>0</v>
      </c>
    </row>
    <row r="13" spans="1:27" ht="20.100000000000001" customHeight="1" x14ac:dyDescent="0.2">
      <c r="A13" s="102" t="str">
        <f>HYPERLINK("#'Input - Fertiliser'!A1", "Fertiliser")</f>
        <v>Fertiliser</v>
      </c>
      <c r="D13" s="106" t="s">
        <v>326</v>
      </c>
      <c r="E13" s="107">
        <v>100</v>
      </c>
      <c r="F13" s="15" t="str">
        <f>IFERROR(_xlfn.XLOOKUP(Table_Input_InorganicFertiliser_Brands[[#This Row],[Product (select)]],FertiliserProducts[Product],FertiliserProducts[Unit]), "kg")</f>
        <v>kg</v>
      </c>
      <c r="G13" s="107">
        <f t="shared" ref="G13" si="1">X_Cell_Fertiliser_AreaUnderCropping</f>
        <v>1000</v>
      </c>
      <c r="H13" s="108">
        <f>IFERROR(_xlfn.XLOOKUP(Table_Input_InorganicFertiliser_Brands[[#This Row],[Product (select)]],FertiliserProducts[Product],FertiliserProducts[Density]), 1)</f>
        <v>1</v>
      </c>
      <c r="I13" s="109">
        <f>(Table_Input_InorganicFertiliser_Brands[[#This Row],[Amount applied per hectare]]*Table_Input_InorganicFertiliser_Brands[[#This Row],[Density]])*Table_Input_InorganicFertiliser_Brands[[#This Row],[Application area (ha)]]</f>
        <v>100000</v>
      </c>
      <c r="J13" s="10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10" cm="1">
        <f t="array" ref="W13">IFERROR(Fertiliser_InputFunctions.Fertiliser_FertiliserProductLookup(Table_Input_InorganicFertiliser_Brands[[#This Row],[Product (select)]], "N declared", FertiliserProducts[#Data], FertiliserProducts[Product], FertiliserProducts[#Headers])*0.01, 0)</f>
        <v>0.24</v>
      </c>
      <c r="X13"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9">
        <f>IFERROR(_xlfn.XLOOKUP(Table_Input_InorganicFertiliser_Brands[[#This Row],[Product (select)]],FertiliserProducts[Product],FertiliserProducts[Urea source]), "")</f>
        <v>0</v>
      </c>
      <c r="Z13" s="109">
        <f>IFERROR(_xlfn.XLOOKUP(Table_Input_InorganicFertiliser_Brands[[#This Row],[Product (select)]],FertiliserProducts[Product],FertiliserProducts[Ammonia source]), "")</f>
        <v>0</v>
      </c>
    </row>
    <row r="14" spans="1:27" ht="20.100000000000001" customHeight="1" x14ac:dyDescent="0.2">
      <c r="A14" s="5" t="str">
        <f>HYPERLINK("#'Input - Fuel'!A1", "Fuel")</f>
        <v>Fuel</v>
      </c>
      <c r="D14" s="106" t="s">
        <v>327</v>
      </c>
      <c r="E14" s="107">
        <v>100</v>
      </c>
      <c r="F14" s="15" t="str">
        <f>IFERROR(_xlfn.XLOOKUP(Table_Input_InorganicFertiliser_Brands[[#This Row],[Product (select)]],FertiliserProducts[Product],FertiliserProducts[Unit]), "kg")</f>
        <v>kg</v>
      </c>
      <c r="G14" s="107">
        <f t="shared" ref="G14" si="2">X_Cell_Fertiliser_AreaUnderCropping</f>
        <v>1000</v>
      </c>
      <c r="H14" s="108">
        <f>IFERROR(_xlfn.XLOOKUP(Table_Input_InorganicFertiliser_Brands[[#This Row],[Product (select)]],FertiliserProducts[Product],FertiliserProducts[Density]), 1)</f>
        <v>1</v>
      </c>
      <c r="I14" s="109">
        <f>(Table_Input_InorganicFertiliser_Brands[[#This Row],[Amount applied per hectare]]*Table_Input_InorganicFertiliser_Brands[[#This Row],[Density]])*Table_Input_InorganicFertiliser_Brands[[#This Row],[Application area (ha)]]</f>
        <v>100000</v>
      </c>
      <c r="J14" s="10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9" cm="1">
        <f t="array" ref="T14">Fertiliser_InputFunctions.Fertiliser_FertiliserProductLookup(Table_Input_InorganicFertiliser_Brands[[#This Row],[Product (select)]], Table_Input_InorganicFertiliser_Brands[[#Headers],[Ingredient 6]], FertiliserProducts[#Data], FertiliserProducts[Product], FertiliserProducts[#Headers])</f>
        <v>0</v>
      </c>
      <c r="U14" s="109"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0</v>
      </c>
      <c r="V14"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10" cm="1">
        <f t="array" ref="W14">IFERROR(Fertiliser_InputFunctions.Fertiliser_FertiliserProductLookup(Table_Input_InorganicFertiliser_Brands[[#This Row],[Product (select)]], "N declared", FertiliserProducts[#Data], FertiliserProducts[Product], FertiliserProducts[#Headers])*0.01, 0)</f>
        <v>0.17899999999999999</v>
      </c>
      <c r="X14"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9">
        <f>IFERROR(_xlfn.XLOOKUP(Table_Input_InorganicFertiliser_Brands[[#This Row],[Product (select)]],FertiliserProducts[Product],FertiliserProducts[Urea source]), "")</f>
        <v>0</v>
      </c>
      <c r="Z14" s="109">
        <f>IFERROR(_xlfn.XLOOKUP(Table_Input_InorganicFertiliser_Brands[[#This Row],[Product (select)]],FertiliserProducts[Product],FertiliserProducts[Ammonia source]), "")</f>
        <v>0</v>
      </c>
    </row>
    <row r="15" spans="1:27" ht="20.100000000000001" customHeight="1" x14ac:dyDescent="0.2">
      <c r="A15" s="5" t="str">
        <f>HYPERLINK("#'Input - Electricity'!A1", "Electricity")</f>
        <v>Electricity</v>
      </c>
      <c r="D15" s="106"/>
      <c r="E15" s="107"/>
      <c r="F15" s="15" t="str">
        <f>IFERROR(_xlfn.XLOOKUP(Table_Input_InorganicFertiliser_Brands[[#This Row],[Product (select)]],FertiliserProducts[Product],FertiliserProducts[Unit]), "kg")</f>
        <v>kg</v>
      </c>
      <c r="G15" s="107">
        <f t="shared" ref="G15" si="3">X_Cell_Fertiliser_AreaUnderCropping</f>
        <v>1000</v>
      </c>
      <c r="H15" s="108">
        <f>IFERROR(_xlfn.XLOOKUP(Table_Input_InorganicFertiliser_Brands[[#This Row],[Product (select)]],FertiliserProducts[Product],FertiliserProducts[Density]), 1)</f>
        <v>1</v>
      </c>
      <c r="I15" s="109">
        <f>(Table_Input_InorganicFertiliser_Brands[[#This Row],[Amount applied per hectare]]*Table_Input_InorganicFertiliser_Brands[[#This Row],[Density]])*Table_Input_InorganicFertiliser_Brands[[#This Row],[Application area (ha)]]</f>
        <v>0</v>
      </c>
      <c r="J15" s="10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10" cm="1">
        <f t="array" ref="W15">IFERROR(Fertiliser_InputFunctions.Fertiliser_FertiliserProductLookup(Table_Input_InorganicFertiliser_Brands[[#This Row],[Product (select)]], "N declared", FertiliserProducts[#Data], FertiliserProducts[Product], FertiliserProducts[#Headers])*0.01, 0)</f>
        <v>0</v>
      </c>
      <c r="X15"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9" t="str">
        <f>IFERROR(_xlfn.XLOOKUP(Table_Input_InorganicFertiliser_Brands[[#This Row],[Product (select)]],FertiliserProducts[Product],FertiliserProducts[Urea source]), "")</f>
        <v/>
      </c>
      <c r="Z15" s="109"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06"/>
      <c r="E16" s="107"/>
      <c r="F16" s="15" t="str">
        <f>IFERROR(_xlfn.XLOOKUP(Table_Input_InorganicFertiliser_Brands[[#This Row],[Product (select)]],FertiliserProducts[Product],FertiliserProducts[Unit]), "kg")</f>
        <v>kg</v>
      </c>
      <c r="G16" s="107">
        <f t="shared" ref="G16" si="4">X_Cell_Fertiliser_AreaUnderCropping</f>
        <v>1000</v>
      </c>
      <c r="H16" s="108">
        <f>IFERROR(_xlfn.XLOOKUP(Table_Input_InorganicFertiliser_Brands[[#This Row],[Product (select)]],FertiliserProducts[Product],FertiliserProducts[Density]), 1)</f>
        <v>1</v>
      </c>
      <c r="I16" s="109">
        <f>(Table_Input_InorganicFertiliser_Brands[[#This Row],[Amount applied per hectare]]*Table_Input_InorganicFertiliser_Brands[[#This Row],[Density]])*Table_Input_InorganicFertiliser_Brands[[#This Row],[Application area (ha)]]</f>
        <v>0</v>
      </c>
      <c r="J16" s="10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10" cm="1">
        <f t="array" ref="W16">IFERROR(Fertiliser_InputFunctions.Fertiliser_FertiliserProductLookup(Table_Input_InorganicFertiliser_Brands[[#This Row],[Product (select)]], "N declared", FertiliserProducts[#Data], FertiliserProducts[Product], FertiliserProducts[#Headers])*0.01, 0)</f>
        <v>0</v>
      </c>
      <c r="X16"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9" t="str">
        <f>IFERROR(_xlfn.XLOOKUP(Table_Input_InorganicFertiliser_Brands[[#This Row],[Product (select)]],FertiliserProducts[Product],FertiliserProducts[Urea source]), "")</f>
        <v/>
      </c>
      <c r="Z16" s="109" t="str">
        <f>IFERROR(_xlfn.XLOOKUP(Table_Input_InorganicFertiliser_Brands[[#This Row],[Product (select)]],FertiliserProducts[Product],FertiliserProducts[Ammonia source]), "")</f>
        <v/>
      </c>
    </row>
    <row r="17" spans="1:26" ht="20.100000000000001" customHeight="1" x14ac:dyDescent="0.2">
      <c r="A17" s="5" t="str">
        <f>HYPERLINK("#'Input - Crop pasture farm input'!A1", "Crop pasture farm input")</f>
        <v>Crop pasture farm input</v>
      </c>
      <c r="D17" s="106"/>
      <c r="E17" s="107"/>
      <c r="F17" s="15" t="str">
        <f>IFERROR(_xlfn.XLOOKUP(Table_Input_InorganicFertiliser_Brands[[#This Row],[Product (select)]],FertiliserProducts[Product],FertiliserProducts[Unit]), "kg")</f>
        <v>kg</v>
      </c>
      <c r="G17" s="107">
        <f t="shared" ref="G17" si="5">X_Cell_Fertiliser_AreaUnderCropping</f>
        <v>1000</v>
      </c>
      <c r="H17" s="108">
        <f>IFERROR(_xlfn.XLOOKUP(Table_Input_InorganicFertiliser_Brands[[#This Row],[Product (select)]],FertiliserProducts[Product],FertiliserProducts[Density]), 1)</f>
        <v>1</v>
      </c>
      <c r="I17" s="109">
        <f>(Table_Input_InorganicFertiliser_Brands[[#This Row],[Amount applied per hectare]]*Table_Input_InorganicFertiliser_Brands[[#This Row],[Density]])*Table_Input_InorganicFertiliser_Brands[[#This Row],[Application area (ha)]]</f>
        <v>0</v>
      </c>
      <c r="J17" s="10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10" cm="1">
        <f t="array" ref="W17">IFERROR(Fertiliser_InputFunctions.Fertiliser_FertiliserProductLookup(Table_Input_InorganicFertiliser_Brands[[#This Row],[Product (select)]], "N declared", FertiliserProducts[#Data], FertiliserProducts[Product], FertiliserProducts[#Headers])*0.01, 0)</f>
        <v>0</v>
      </c>
      <c r="X17"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9" t="str">
        <f>IFERROR(_xlfn.XLOOKUP(Table_Input_InorganicFertiliser_Brands[[#This Row],[Product (select)]],FertiliserProducts[Product],FertiliserProducts[Urea source]), "")</f>
        <v/>
      </c>
      <c r="Z17" s="109"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06"/>
      <c r="E18" s="107"/>
      <c r="F18" s="15" t="str">
        <f>IFERROR(_xlfn.XLOOKUP(Table_Input_InorganicFertiliser_Brands[[#This Row],[Product (select)]],FertiliserProducts[Product],FertiliserProducts[Unit]), "kg")</f>
        <v>kg</v>
      </c>
      <c r="G18" s="107">
        <f t="shared" ref="G18" si="6">X_Cell_Fertiliser_AreaUnderCropping</f>
        <v>1000</v>
      </c>
      <c r="H18" s="108">
        <f>IFERROR(_xlfn.XLOOKUP(Table_Input_InorganicFertiliser_Brands[[#This Row],[Product (select)]],FertiliserProducts[Product],FertiliserProducts[Density]), 1)</f>
        <v>1</v>
      </c>
      <c r="I18" s="109">
        <f>(Table_Input_InorganicFertiliser_Brands[[#This Row],[Amount applied per hectare]]*Table_Input_InorganicFertiliser_Brands[[#This Row],[Density]])*Table_Input_InorganicFertiliser_Brands[[#This Row],[Application area (ha)]]</f>
        <v>0</v>
      </c>
      <c r="J18" s="10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10" cm="1">
        <f t="array" ref="W18">IFERROR(Fertiliser_InputFunctions.Fertiliser_FertiliserProductLookup(Table_Input_InorganicFertiliser_Brands[[#This Row],[Product (select)]], "N declared", FertiliserProducts[#Data], FertiliserProducts[Product], FertiliserProducts[#Headers])*0.01, 0)</f>
        <v>0</v>
      </c>
      <c r="X18"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9" t="str">
        <f>IFERROR(_xlfn.XLOOKUP(Table_Input_InorganicFertiliser_Brands[[#This Row],[Product (select)]],FertiliserProducts[Product],FertiliserProducts[Urea source]), "")</f>
        <v/>
      </c>
      <c r="Z18" s="109"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06"/>
      <c r="E19" s="107"/>
      <c r="F19" s="15" t="str">
        <f>IFERROR(_xlfn.XLOOKUP(Table_Input_InorganicFertiliser_Brands[[#This Row],[Product (select)]],FertiliserProducts[Product],FertiliserProducts[Unit]), "kg")</f>
        <v>kg</v>
      </c>
      <c r="G19" s="107">
        <f t="shared" ref="G19" si="7">X_Cell_Fertiliser_AreaUnderCropping</f>
        <v>1000</v>
      </c>
      <c r="H19" s="108">
        <f>IFERROR(_xlfn.XLOOKUP(Table_Input_InorganicFertiliser_Brands[[#This Row],[Product (select)]],FertiliserProducts[Product],FertiliserProducts[Density]), 1)</f>
        <v>1</v>
      </c>
      <c r="I19" s="109">
        <f>(Table_Input_InorganicFertiliser_Brands[[#This Row],[Amount applied per hectare]]*Table_Input_InorganicFertiliser_Brands[[#This Row],[Density]])*Table_Input_InorganicFertiliser_Brands[[#This Row],[Application area (ha)]]</f>
        <v>0</v>
      </c>
      <c r="J19" s="10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10" cm="1">
        <f t="array" ref="W19">IFERROR(Fertiliser_InputFunctions.Fertiliser_FertiliserProductLookup(Table_Input_InorganicFertiliser_Brands[[#This Row],[Product (select)]], "N declared", FertiliserProducts[#Data], FertiliserProducts[Product], FertiliserProducts[#Headers])*0.01, 0)</f>
        <v>0</v>
      </c>
      <c r="X19"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9" t="str">
        <f>IFERROR(_xlfn.XLOOKUP(Table_Input_InorganicFertiliser_Brands[[#This Row],[Product (select)]],FertiliserProducts[Product],FertiliserProducts[Urea source]), "")</f>
        <v/>
      </c>
      <c r="Z19" s="109" t="str">
        <f>IFERROR(_xlfn.XLOOKUP(Table_Input_InorganicFertiliser_Brands[[#This Row],[Product (select)]],FertiliserProducts[Product],FertiliserProducts[Ammonia source]), "")</f>
        <v/>
      </c>
    </row>
    <row r="20" spans="1:26" ht="20.100000000000001" customHeight="1" x14ac:dyDescent="0.2">
      <c r="A20" s="5" t="str">
        <f>HYPERLINK("#'Input - Data quality'!A1", "Data quality")</f>
        <v>Data quality</v>
      </c>
      <c r="D20" s="106"/>
      <c r="E20" s="107"/>
      <c r="F20" s="15" t="str">
        <f>IFERROR(_xlfn.XLOOKUP(Table_Input_InorganicFertiliser_Brands[[#This Row],[Product (select)]],FertiliserProducts[Product],FertiliserProducts[Unit]), "kg")</f>
        <v>kg</v>
      </c>
      <c r="G20" s="107">
        <f t="shared" ref="G20" si="8">X_Cell_Fertiliser_AreaUnderCropping</f>
        <v>1000</v>
      </c>
      <c r="H20" s="108">
        <f>IFERROR(_xlfn.XLOOKUP(Table_Input_InorganicFertiliser_Brands[[#This Row],[Product (select)]],FertiliserProducts[Product],FertiliserProducts[Density]), 1)</f>
        <v>1</v>
      </c>
      <c r="I20" s="109">
        <f>(Table_Input_InorganicFertiliser_Brands[[#This Row],[Amount applied per hectare]]*Table_Input_InorganicFertiliser_Brands[[#This Row],[Density]])*Table_Input_InorganicFertiliser_Brands[[#This Row],[Application area (ha)]]</f>
        <v>0</v>
      </c>
      <c r="J20" s="10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10" cm="1">
        <f t="array" ref="W20">IFERROR(Fertiliser_InputFunctions.Fertiliser_FertiliserProductLookup(Table_Input_InorganicFertiliser_Brands[[#This Row],[Product (select)]], "N declared", FertiliserProducts[#Data], FertiliserProducts[Product], FertiliserProducts[#Headers])*0.01, 0)</f>
        <v>0</v>
      </c>
      <c r="X20"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9" t="str">
        <f>IFERROR(_xlfn.XLOOKUP(Table_Input_InorganicFertiliser_Brands[[#This Row],[Product (select)]],FertiliserProducts[Product],FertiliserProducts[Urea source]), "")</f>
        <v/>
      </c>
      <c r="Z20" s="109" t="str">
        <f>IFERROR(_xlfn.XLOOKUP(Table_Input_InorganicFertiliser_Brands[[#This Row],[Product (select)]],FertiliserProducts[Product],FertiliserProducts[Ammonia source]), "")</f>
        <v/>
      </c>
    </row>
    <row r="21" spans="1:26" ht="20.100000000000001" customHeight="1" x14ac:dyDescent="0.2">
      <c r="D21" s="106"/>
      <c r="E21" s="107"/>
      <c r="F21" s="15" t="str">
        <f>IFERROR(_xlfn.XLOOKUP(Table_Input_InorganicFertiliser_Brands[[#This Row],[Product (select)]],FertiliserProducts[Product],FertiliserProducts[Unit]), "kg")</f>
        <v>kg</v>
      </c>
      <c r="G21" s="107">
        <f t="shared" ref="G21" si="9">X_Cell_Fertiliser_AreaUnderCropping</f>
        <v>1000</v>
      </c>
      <c r="H21" s="108">
        <f>IFERROR(_xlfn.XLOOKUP(Table_Input_InorganicFertiliser_Brands[[#This Row],[Product (select)]],FertiliserProducts[Product],FertiliserProducts[Density]), 1)</f>
        <v>1</v>
      </c>
      <c r="I21" s="109">
        <f>(Table_Input_InorganicFertiliser_Brands[[#This Row],[Amount applied per hectare]]*Table_Input_InorganicFertiliser_Brands[[#This Row],[Density]])*Table_Input_InorganicFertiliser_Brands[[#This Row],[Application area (ha)]]</f>
        <v>0</v>
      </c>
      <c r="J21" s="10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10" cm="1">
        <f t="array" ref="W21">IFERROR(Fertiliser_InputFunctions.Fertiliser_FertiliserProductLookup(Table_Input_InorganicFertiliser_Brands[[#This Row],[Product (select)]], "N declared", FertiliserProducts[#Data], FertiliserProducts[Product], FertiliserProducts[#Headers])*0.01, 0)</f>
        <v>0</v>
      </c>
      <c r="X21"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9" t="str">
        <f>IFERROR(_xlfn.XLOOKUP(Table_Input_InorganicFertiliser_Brands[[#This Row],[Product (select)]],FertiliserProducts[Product],FertiliserProducts[Urea source]), "")</f>
        <v/>
      </c>
      <c r="Z21" s="109" t="str">
        <f>IFERROR(_xlfn.XLOOKUP(Table_Input_InorganicFertiliser_Brands[[#This Row],[Product (select)]],FertiliserProducts[Product],FertiliserProducts[Ammonia source]), "")</f>
        <v/>
      </c>
    </row>
    <row r="22" spans="1:26" ht="20.100000000000001" customHeight="1" x14ac:dyDescent="0.2">
      <c r="D22" s="111"/>
      <c r="E22" s="112"/>
      <c r="F22" s="113"/>
      <c r="G22" s="113"/>
      <c r="H22" s="113"/>
      <c r="I22" s="113"/>
      <c r="J22" s="114"/>
      <c r="K22" s="114"/>
      <c r="L22" s="115"/>
      <c r="M22" s="115"/>
      <c r="N22" s="116"/>
      <c r="O22" s="116"/>
      <c r="P22" s="116"/>
      <c r="Q22" s="116"/>
      <c r="R22" s="116"/>
      <c r="S22" s="116"/>
      <c r="T22" s="116"/>
      <c r="U22" s="116"/>
      <c r="V22" s="116"/>
      <c r="W22" s="116"/>
      <c r="X22" s="116"/>
    </row>
    <row r="23" spans="1:26" ht="20.100000000000001" customHeight="1" x14ac:dyDescent="0.2">
      <c r="A23" s="6" t="s">
        <v>2</v>
      </c>
      <c r="D23" s="117" t="s">
        <v>328</v>
      </c>
      <c r="E23" s="118"/>
      <c r="F23" s="118"/>
      <c r="G23" s="118"/>
      <c r="H23" s="118"/>
      <c r="I23" s="118"/>
      <c r="J23" s="118"/>
      <c r="K23" s="118"/>
      <c r="L23" s="118"/>
      <c r="M23" s="118"/>
      <c r="N23" s="116"/>
      <c r="O23" s="116"/>
      <c r="P23" s="116"/>
      <c r="Q23" s="116"/>
      <c r="R23" s="116"/>
      <c r="S23" s="116"/>
      <c r="T23" s="116"/>
      <c r="V23" s="116"/>
      <c r="W23" s="116"/>
      <c r="X23" s="116"/>
    </row>
    <row r="24" spans="1:26" ht="20.100000000000001" customHeight="1" x14ac:dyDescent="0.2">
      <c r="A24" s="5" t="str">
        <f>HYPERLINK("#'5.1.1.1-2 Inorganic fert N2O'!A1", "5.1.1.1-2 Inorganic fert N2O")</f>
        <v>5.1.1.1-2 Inorganic fert N2O</v>
      </c>
      <c r="D24" s="104" t="s">
        <v>329</v>
      </c>
      <c r="E24" s="104" t="s">
        <v>330</v>
      </c>
      <c r="F24" s="104" t="s">
        <v>305</v>
      </c>
      <c r="G24" s="104" t="s">
        <v>307</v>
      </c>
      <c r="H24" s="104" t="s">
        <v>331</v>
      </c>
      <c r="I24" s="104" t="s">
        <v>309</v>
      </c>
      <c r="J24" s="104" t="s">
        <v>310</v>
      </c>
      <c r="K24" s="104" t="s">
        <v>311</v>
      </c>
      <c r="L24" s="104" t="s">
        <v>312</v>
      </c>
      <c r="M24" s="104" t="s">
        <v>313</v>
      </c>
      <c r="N24" s="104" t="s">
        <v>314</v>
      </c>
      <c r="O24" s="104" t="s">
        <v>315</v>
      </c>
      <c r="P24" s="104" t="s">
        <v>322</v>
      </c>
      <c r="Q24" s="119" t="s">
        <v>332</v>
      </c>
      <c r="R24" s="119" t="s">
        <v>333</v>
      </c>
      <c r="S24" s="116"/>
      <c r="T24" s="116"/>
      <c r="V24" s="116"/>
      <c r="W24" s="116"/>
      <c r="X24" s="116"/>
    </row>
    <row r="25" spans="1:26" ht="20.100000000000001" customHeight="1" x14ac:dyDescent="0.2">
      <c r="A25" s="5" t="str">
        <f>HYPERLINK("#'5.1.1.3-4 Inorganic fert CO2'!A1", "5.1.1.3-4 Inorganic fert CO2")</f>
        <v>5.1.1.3-4 Inorganic fert CO2</v>
      </c>
      <c r="D25" s="34" t="s">
        <v>334</v>
      </c>
      <c r="E25" s="104">
        <v>100</v>
      </c>
      <c r="F25" s="107">
        <f t="shared" ref="F25:F34" si="10">X_Cell_Fertiliser_AreaUnderCropping</f>
        <v>1000</v>
      </c>
      <c r="G25" s="109">
        <f>Table_Input_InorganicFertiliser_Custom[[#This Row],[Amount applied (kg / ha)]]*Table_Input_InorganicFertiliser_Custom[[#This Row],[Application area (ha)]]</f>
        <v>100000</v>
      </c>
      <c r="H25" s="120" t="s">
        <v>335</v>
      </c>
      <c r="I25" s="121">
        <v>0.5</v>
      </c>
      <c r="J25" s="120" t="s">
        <v>336</v>
      </c>
      <c r="K25" s="121">
        <v>0.2</v>
      </c>
      <c r="L25" s="120" t="s">
        <v>337</v>
      </c>
      <c r="M25" s="121">
        <v>0.2</v>
      </c>
      <c r="N25" s="122" t="s">
        <v>338</v>
      </c>
      <c r="O25" s="18">
        <v>0.1</v>
      </c>
      <c r="P25"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16"/>
    </row>
    <row r="26" spans="1:26" ht="20.100000000000001" customHeight="1" x14ac:dyDescent="0.2">
      <c r="A26" s="5" t="str">
        <f>HYPERLINK("#'5.2.1.1-2 Organic Fert N2O'!A1", "5.2.1.1-2 Organic fert N2O")</f>
        <v>5.2.1.1-2 Organic fert N2O</v>
      </c>
      <c r="D26" s="34" t="s">
        <v>339</v>
      </c>
      <c r="E26" s="104">
        <v>100</v>
      </c>
      <c r="F26" s="107">
        <f t="shared" si="10"/>
        <v>1000</v>
      </c>
      <c r="G26" s="109">
        <f>Table_Input_InorganicFertiliser_Custom[[#This Row],[Amount applied (kg / ha)]]*Table_Input_InorganicFertiliser_Custom[[#This Row],[Application area (ha)]]</f>
        <v>100000</v>
      </c>
      <c r="H26" s="120" t="s">
        <v>325</v>
      </c>
      <c r="I26" s="123">
        <v>1</v>
      </c>
      <c r="J26" s="120"/>
      <c r="K26" s="123"/>
      <c r="L26" s="120"/>
      <c r="M26" s="123"/>
      <c r="N26" s="122"/>
      <c r="O26" s="18"/>
      <c r="P26"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16"/>
      <c r="W26" s="77"/>
    </row>
    <row r="27" spans="1:26" ht="20.100000000000001" customHeight="1" x14ac:dyDescent="0.2">
      <c r="A27" s="5" t="str">
        <f>HYPERLINK("#'5.3.1.1-2 Lime CO2'!A1", "5.3.1.1-2 Lime CO2")</f>
        <v>5.3.1.1-2 Lime CO2</v>
      </c>
      <c r="D27" s="34" t="s">
        <v>340</v>
      </c>
      <c r="E27" s="104">
        <v>100</v>
      </c>
      <c r="F27" s="107">
        <f t="shared" si="10"/>
        <v>1000</v>
      </c>
      <c r="G27" s="109">
        <f>Table_Input_InorganicFertiliser_Custom[[#This Row],[Amount applied (kg / ha)]]*Table_Input_InorganicFertiliser_Custom[[#This Row],[Application area (ha)]]</f>
        <v>100000</v>
      </c>
      <c r="H27" s="120" t="s">
        <v>341</v>
      </c>
      <c r="I27" s="123">
        <v>0.5</v>
      </c>
      <c r="J27" s="120"/>
      <c r="K27" s="123"/>
      <c r="L27" s="120"/>
      <c r="M27" s="123"/>
      <c r="N27" s="122"/>
      <c r="O27" s="18"/>
      <c r="P27"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16"/>
    </row>
    <row r="28" spans="1:26" ht="20.100000000000001" customHeight="1" x14ac:dyDescent="0.2">
      <c r="A28" s="5" t="str">
        <f>HYPERLINK("#'5.4.1.1-4 Atmos deposition'!A1", "5.4.1.1-4 Atmos. deposition")</f>
        <v>5.4.1.1-4 Atmos. deposition</v>
      </c>
      <c r="D28" s="34"/>
      <c r="E28" s="104"/>
      <c r="F28" s="124">
        <f t="shared" si="10"/>
        <v>1000</v>
      </c>
      <c r="G28" s="109">
        <f>Table_Input_InorganicFertiliser_Custom[[#This Row],[Amount applied (kg / ha)]]*Table_Input_InorganicFertiliser_Custom[[#This Row],[Application area (ha)]]</f>
        <v>0</v>
      </c>
      <c r="H28" s="120"/>
      <c r="I28" s="123"/>
      <c r="J28" s="120"/>
      <c r="K28" s="123"/>
      <c r="L28" s="120"/>
      <c r="M28" s="123"/>
      <c r="N28" s="122"/>
      <c r="O28" s="18"/>
      <c r="P28"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
      <c r="A29" s="5" t="str">
        <f>HYPERLINK("#'5.5.1.1-2 Leaching and runoff'!A1", "5.5.1.1-2 Leaching &amp; runoff")</f>
        <v>5.5.1.1-2 Leaching &amp; runoff</v>
      </c>
      <c r="D29" s="34"/>
      <c r="E29" s="104"/>
      <c r="F29" s="124">
        <f t="shared" si="10"/>
        <v>1000</v>
      </c>
      <c r="G29" s="109">
        <f>Table_Input_InorganicFertiliser_Custom[[#This Row],[Amount applied (kg / ha)]]*Table_Input_InorganicFertiliser_Custom[[#This Row],[Application area (ha)]]</f>
        <v>0</v>
      </c>
      <c r="H29" s="120"/>
      <c r="I29" s="123"/>
      <c r="J29" s="120"/>
      <c r="K29" s="123"/>
      <c r="L29" s="120"/>
      <c r="M29" s="123"/>
      <c r="N29" s="122"/>
      <c r="O29" s="18"/>
      <c r="P29"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HYPERLINK("#'6.1.1.1-2 Crop residue N2O'!A1", "6.1.1.1-2 Crop residue N2O")</f>
        <v>6.1.1.1-2 Crop residue N2O</v>
      </c>
      <c r="D30" s="34"/>
      <c r="E30" s="104"/>
      <c r="F30" s="124">
        <f t="shared" si="10"/>
        <v>1000</v>
      </c>
      <c r="G30" s="109">
        <f>Table_Input_InorganicFertiliser_Custom[[#This Row],[Amount applied (kg / ha)]]*Table_Input_InorganicFertiliser_Custom[[#This Row],[Application area (ha)]]</f>
        <v>0</v>
      </c>
      <c r="H30" s="120"/>
      <c r="I30" s="123"/>
      <c r="J30" s="120"/>
      <c r="K30" s="123"/>
      <c r="L30" s="120"/>
      <c r="M30" s="123"/>
      <c r="N30" s="122"/>
      <c r="O30" s="18"/>
      <c r="P30"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HYPERLINK("#'6.3.1.1-2 Leach runoff crop'!A1", "6.3.1.1-2 Leach &amp; runoff (crop)")</f>
        <v>6.3.1.1-2 Leach &amp; runoff (crop)</v>
      </c>
      <c r="D31" s="34"/>
      <c r="E31" s="104"/>
      <c r="F31" s="124">
        <f t="shared" si="10"/>
        <v>1000</v>
      </c>
      <c r="G31" s="109">
        <f>Table_Input_InorganicFertiliser_Custom[[#This Row],[Amount applied (kg / ha)]]*Table_Input_InorganicFertiliser_Custom[[#This Row],[Application area (ha)]]</f>
        <v>0</v>
      </c>
      <c r="H31" s="120"/>
      <c r="I31" s="123"/>
      <c r="J31" s="120"/>
      <c r="K31" s="123"/>
      <c r="L31" s="120"/>
      <c r="M31" s="123"/>
      <c r="N31" s="122"/>
      <c r="O31" s="18"/>
      <c r="P31"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HYPERLINK("#'6.4.1.1-2 Residue burning'!A1", "6.4.1.1-2 Residue burning")</f>
        <v>6.4.1.1-2 Residue burning</v>
      </c>
      <c r="D32" s="34"/>
      <c r="E32" s="104"/>
      <c r="F32" s="124">
        <f t="shared" si="10"/>
        <v>1000</v>
      </c>
      <c r="G32" s="109">
        <f>Table_Input_InorganicFertiliser_Custom[[#This Row],[Amount applied (kg / ha)]]*Table_Input_InorganicFertiliser_Custom[[#This Row],[Application area (ha)]]</f>
        <v>0</v>
      </c>
      <c r="H32" s="120"/>
      <c r="I32" s="123"/>
      <c r="J32" s="120"/>
      <c r="K32" s="123"/>
      <c r="L32" s="120"/>
      <c r="M32" s="123"/>
      <c r="N32" s="122"/>
      <c r="O32" s="18"/>
      <c r="P32"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HYPERLINK("#'8.1.1.1-2 Transport fuel'!A1", "8.1.1.1-2 Transport fuel")</f>
        <v>8.1.1.1-2 Transport fuel</v>
      </c>
      <c r="D33" s="34"/>
      <c r="E33" s="104"/>
      <c r="F33" s="124">
        <f t="shared" si="10"/>
        <v>1000</v>
      </c>
      <c r="G33" s="109">
        <f>Table_Input_InorganicFertiliser_Custom[[#This Row],[Amount applied (kg / ha)]]*Table_Input_InorganicFertiliser_Custom[[#This Row],[Application area (ha)]]</f>
        <v>0</v>
      </c>
      <c r="H33" s="120"/>
      <c r="I33" s="123"/>
      <c r="J33" s="120"/>
      <c r="K33" s="123"/>
      <c r="L33" s="120"/>
      <c r="M33" s="123"/>
      <c r="N33" s="122"/>
      <c r="O33" s="18"/>
      <c r="P33"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HYPERLINK("#'8.2.1.1-2 Stationary fuel'!A1", "8.2.1.1-2 Stationary fuel")</f>
        <v>8.2.1.1-2 Stationary fuel</v>
      </c>
      <c r="D34" s="34"/>
      <c r="E34" s="104"/>
      <c r="F34" s="124">
        <f t="shared" si="10"/>
        <v>1000</v>
      </c>
      <c r="G34" s="109">
        <f>Table_Input_InorganicFertiliser_Custom[[#This Row],[Amount applied (kg / ha)]]*Table_Input_InorganicFertiliser_Custom[[#This Row],[Application area (ha)]]</f>
        <v>0</v>
      </c>
      <c r="H34" s="120"/>
      <c r="I34" s="123"/>
      <c r="J34" s="120"/>
      <c r="K34" s="123"/>
      <c r="L34" s="120"/>
      <c r="M34" s="123"/>
      <c r="N34" s="122"/>
      <c r="O34" s="18"/>
      <c r="P34"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HYPERLINK("#'10.1.1-2 Solid waste treatment'!A1", "10.1.1.1-2 Solid waste")</f>
        <v>10.1.1.1-2 Solid waste</v>
      </c>
    </row>
    <row r="36" spans="1:27" ht="20.100000000000001" customHeight="1" x14ac:dyDescent="0.2">
      <c r="A36" s="5" t="str">
        <f>HYPERLINK("#'14.1.1-2 Purchased electricity'!A1", "14.1.1-2 Purchased electricity")</f>
        <v>14.1.1-2 Purchased electricity</v>
      </c>
      <c r="D36" s="2" t="s">
        <v>342</v>
      </c>
      <c r="E36" s="25"/>
      <c r="F36" s="25"/>
      <c r="G36" s="25"/>
      <c r="H36" s="25"/>
      <c r="I36" s="25"/>
      <c r="J36" s="25"/>
      <c r="K36" s="8"/>
      <c r="L36" s="8"/>
      <c r="M36" s="8"/>
    </row>
    <row r="37" spans="1:27" ht="20.100000000000001" customHeight="1" x14ac:dyDescent="0.2">
      <c r="A37" s="5" t="str">
        <f>HYPERLINK("#'15 Scope 3'!A1", "15 Scope 3")</f>
        <v>15 Scope 3</v>
      </c>
      <c r="D37" s="99" t="s">
        <v>343</v>
      </c>
      <c r="E37" s="44"/>
      <c r="F37" s="45"/>
      <c r="G37" s="99"/>
      <c r="H37" s="45"/>
      <c r="I37" s="25"/>
      <c r="J37" s="25"/>
      <c r="K37" s="8"/>
      <c r="L37" s="8"/>
      <c r="M37" s="25"/>
    </row>
    <row r="38" spans="1:27" ht="20.100000000000001" customHeight="1" x14ac:dyDescent="0.2">
      <c r="C38" s="116"/>
      <c r="D38" s="125" t="s">
        <v>344</v>
      </c>
      <c r="E38" s="126"/>
      <c r="F38" s="127"/>
      <c r="G38" s="125"/>
      <c r="H38" s="127"/>
      <c r="I38" s="8"/>
      <c r="J38" s="8"/>
      <c r="K38" s="8"/>
      <c r="L38" s="8"/>
      <c r="M38" s="8"/>
    </row>
    <row r="39" spans="1:27" ht="20.100000000000001" customHeight="1" x14ac:dyDescent="0.2">
      <c r="C39" s="116"/>
      <c r="D39" s="46" t="s">
        <v>300</v>
      </c>
      <c r="E39" s="47"/>
      <c r="F39" s="47"/>
      <c r="G39" s="47"/>
      <c r="H39" s="48"/>
      <c r="I39" s="8"/>
      <c r="J39" s="8"/>
      <c r="K39" s="8"/>
      <c r="L39" s="8"/>
      <c r="M39" s="25"/>
    </row>
    <row r="40" spans="1:27" s="128" customFormat="1" ht="20.100000000000001" customHeight="1" x14ac:dyDescent="0.2">
      <c r="A40" s="82" t="s">
        <v>1</v>
      </c>
      <c r="C40" s="1"/>
      <c r="D40" s="89"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28" customFormat="1" ht="20.100000000000001" customHeight="1" x14ac:dyDescent="0.2">
      <c r="A41" s="5" t="str">
        <f>HYPERLINK("#'Constants - Ag Residue'!A1", "Constants - Ag residue")</f>
        <v>Constants - Ag residue</v>
      </c>
      <c r="C41" s="1"/>
      <c r="D41" s="129" t="s">
        <v>132</v>
      </c>
      <c r="E41" s="129" t="s">
        <v>345</v>
      </c>
      <c r="F41" s="129" t="s">
        <v>305</v>
      </c>
      <c r="G41" s="129" t="s">
        <v>346</v>
      </c>
      <c r="H41" s="129" t="s">
        <v>347</v>
      </c>
      <c r="I41" s="129" t="s">
        <v>348</v>
      </c>
      <c r="J41" s="129" t="s">
        <v>349</v>
      </c>
      <c r="K41" s="129" t="s">
        <v>4</v>
      </c>
      <c r="L41" s="1"/>
      <c r="M41" s="1"/>
      <c r="N41" s="1"/>
      <c r="O41" s="1"/>
      <c r="P41" s="1"/>
      <c r="Q41" s="1"/>
      <c r="R41" s="1"/>
      <c r="S41" s="116"/>
      <c r="T41" s="1"/>
      <c r="U41" s="1"/>
      <c r="V41" s="1"/>
      <c r="W41" s="1"/>
      <c r="X41" s="1"/>
      <c r="Y41" s="1"/>
      <c r="Z41" s="1"/>
      <c r="AA41" s="1"/>
    </row>
    <row r="42" spans="1:27" ht="20.100000000000001" customHeight="1" x14ac:dyDescent="0.2">
      <c r="A42" s="5" t="str">
        <f>HYPERLINK("#'Constants - Electricity'!A1", "Constants - Electricity")</f>
        <v>Constants - Electricity</v>
      </c>
      <c r="D42" s="130" t="s">
        <v>350</v>
      </c>
      <c r="E42" s="107">
        <v>1</v>
      </c>
      <c r="F42" s="107">
        <f>X_Cell_Fertiliser_AreaUnderCropping</f>
        <v>1000</v>
      </c>
      <c r="G42" s="109">
        <f>IFERROR(Table_Input_Lime[[#This Row],[Amount applied (t/hectare)]]*Table_Input_Lime[[#This Row],[Application area (ha)]], 0)</f>
        <v>1000</v>
      </c>
      <c r="H42" s="131">
        <v>0.8</v>
      </c>
      <c r="I42" s="131">
        <v>0.1</v>
      </c>
      <c r="J42" s="131">
        <v>0.1</v>
      </c>
      <c r="K42" s="132">
        <f>SUM(Table_Input_Lime[[#This Row],[Percent Lime CaCO3]:[Percent Gypsum]])</f>
        <v>1</v>
      </c>
      <c r="S42" s="116"/>
    </row>
    <row r="43" spans="1:27" ht="20.100000000000001" customHeight="1" x14ac:dyDescent="0.2">
      <c r="A43" s="5" t="str">
        <f>HYPERLINK("#'Constants - Fertiliser'!A1", "Constants - Fertiliser")</f>
        <v>Constants - Fertiliser</v>
      </c>
      <c r="D43" s="130" t="s">
        <v>351</v>
      </c>
      <c r="E43" s="107">
        <v>1</v>
      </c>
      <c r="F43" s="107">
        <f>X_Cell_Fertiliser_AreaUnderCropping</f>
        <v>1000</v>
      </c>
      <c r="G43" s="109">
        <f>IFERROR(Table_Input_Lime[[#This Row],[Amount applied (t/hectare)]]*Table_Input_Lime[[#This Row],[Application area (ha)]], 0)</f>
        <v>1000</v>
      </c>
      <c r="H43" s="131">
        <v>1</v>
      </c>
      <c r="I43" s="131"/>
      <c r="J43" s="131"/>
      <c r="K43" s="132">
        <f>SUM(Table_Input_Lime[[#This Row],[Percent Lime CaCO3]:[Percent Gypsum]])</f>
        <v>1</v>
      </c>
    </row>
    <row r="44" spans="1:27" ht="20.100000000000001" customHeight="1" x14ac:dyDescent="0.2">
      <c r="A44" s="5" t="str">
        <f>HYPERLINK("#'Constants - Fuel'!A1", "Constants - Fuel")</f>
        <v>Constants - Fuel</v>
      </c>
      <c r="D44" s="130" t="s">
        <v>352</v>
      </c>
      <c r="E44" s="107">
        <v>1</v>
      </c>
      <c r="F44" s="107">
        <f>X_Cell_Fertiliser_AreaUnderCropping</f>
        <v>1000</v>
      </c>
      <c r="G44" s="109">
        <f>IFERROR(Table_Input_Lime[[#This Row],[Amount applied (t/hectare)]]*Table_Input_Lime[[#This Row],[Application area (ha)]], 0)</f>
        <v>1000</v>
      </c>
      <c r="H44" s="131">
        <v>0</v>
      </c>
      <c r="I44" s="131"/>
      <c r="J44" s="131">
        <v>1</v>
      </c>
      <c r="K44" s="132">
        <f>SUM(Table_Input_Lime[[#This Row],[Percent Lime CaCO3]:[Percent Gypsum]])</f>
        <v>1</v>
      </c>
      <c r="L44" s="25"/>
    </row>
    <row r="45" spans="1:27" ht="20.100000000000001" customHeight="1" x14ac:dyDescent="0.2">
      <c r="A45" s="5" t="str">
        <f>HYPERLINK("#'Constants - Scope 3'!A1", "Constants - Scope 3")</f>
        <v>Constants - Scope 3</v>
      </c>
      <c r="L45" s="25"/>
      <c r="M45" s="25"/>
    </row>
    <row r="46" spans="1:27" ht="20.100000000000001" customHeight="1" x14ac:dyDescent="0.2">
      <c r="A46" s="5" t="str">
        <f>HYPERLINK("#'Constants - Solid Waste'!A1", "Constants - Solid Waste")</f>
        <v>Constants - Solid Waste</v>
      </c>
      <c r="D46" s="8"/>
      <c r="E46" s="8"/>
      <c r="F46" s="8"/>
      <c r="G46" s="8"/>
      <c r="H46" s="8"/>
      <c r="I46" s="8"/>
      <c r="J46" s="8"/>
      <c r="L46" s="8"/>
      <c r="M46" s="25"/>
    </row>
    <row r="47" spans="1:27" ht="20.100000000000001" customHeight="1" x14ac:dyDescent="0.2">
      <c r="A47" s="5" t="str">
        <f>HYPERLINK("#'Constants - Common'!A1", "Constants - Common")</f>
        <v>Constants - Common</v>
      </c>
      <c r="D47" s="8"/>
      <c r="E47" s="8"/>
      <c r="F47" s="8"/>
      <c r="G47" s="8"/>
      <c r="H47" s="8"/>
      <c r="I47" s="8"/>
      <c r="J47" s="133"/>
      <c r="K47" s="25"/>
      <c r="L47" s="8"/>
      <c r="M47" s="8"/>
    </row>
    <row r="48" spans="1:27" ht="20.100000000000001" customHeight="1" x14ac:dyDescent="0.2">
      <c r="A48" s="5" t="str">
        <f>HYPERLINK("#'Constants - Common Livestock'!A1", "Constants - Common Livestock")</f>
        <v>Constants - Common Livestock</v>
      </c>
      <c r="D48" s="2" t="s">
        <v>353</v>
      </c>
      <c r="E48" s="25"/>
      <c r="F48" s="25"/>
      <c r="G48" s="25"/>
      <c r="H48" s="8"/>
      <c r="I48" s="8"/>
      <c r="J48" s="8"/>
      <c r="K48" s="8"/>
      <c r="L48" s="8"/>
      <c r="M48" s="8"/>
    </row>
    <row r="49" spans="4:18" ht="20.100000000000001" customHeight="1" x14ac:dyDescent="0.2">
      <c r="D49" s="8"/>
      <c r="E49" s="8"/>
      <c r="F49" s="8"/>
      <c r="G49" s="8"/>
      <c r="H49" s="8"/>
      <c r="I49" s="8"/>
      <c r="J49" s="8"/>
      <c r="K49" s="8"/>
      <c r="L49" s="8"/>
      <c r="M49" s="8"/>
      <c r="Q49" s="116"/>
      <c r="R49" s="116"/>
    </row>
    <row r="50" spans="4:18" ht="20.100000000000001" customHeight="1" x14ac:dyDescent="0.2">
      <c r="D50" s="99" t="s">
        <v>343</v>
      </c>
      <c r="E50" s="44"/>
      <c r="F50" s="44"/>
      <c r="G50" s="44"/>
      <c r="H50" s="45"/>
      <c r="I50" s="8"/>
      <c r="J50" s="8"/>
      <c r="K50" s="8"/>
      <c r="L50" s="8"/>
      <c r="M50" s="8"/>
      <c r="O50" s="116"/>
      <c r="P50" s="116"/>
      <c r="Q50" s="116"/>
      <c r="R50" s="116"/>
    </row>
    <row r="51" spans="4:18" ht="20.100000000000001" customHeight="1" x14ac:dyDescent="0.2">
      <c r="D51" s="46" t="s">
        <v>300</v>
      </c>
      <c r="E51" s="47"/>
      <c r="F51" s="47"/>
      <c r="G51" s="47"/>
      <c r="H51" s="48"/>
      <c r="I51" s="8"/>
      <c r="J51" s="8"/>
      <c r="K51" s="8"/>
      <c r="L51" s="118"/>
      <c r="M51" s="116"/>
      <c r="N51" s="116"/>
      <c r="O51" s="116"/>
      <c r="P51" s="116"/>
    </row>
    <row r="52" spans="4:18" ht="20.100000000000001" customHeight="1" x14ac:dyDescent="0.2">
      <c r="D52" s="8"/>
      <c r="E52" s="8"/>
      <c r="F52" s="8"/>
      <c r="G52" s="8"/>
      <c r="H52" s="8"/>
      <c r="I52" s="8"/>
      <c r="J52" s="8"/>
      <c r="K52" s="8"/>
      <c r="L52" s="118"/>
      <c r="M52" s="116"/>
      <c r="N52" s="116"/>
    </row>
    <row r="53" spans="4:18" ht="20.100000000000001" customHeight="1" x14ac:dyDescent="0.2">
      <c r="D53" s="129" t="s">
        <v>354</v>
      </c>
      <c r="E53" s="129" t="s">
        <v>355</v>
      </c>
      <c r="F53" s="129" t="s">
        <v>356</v>
      </c>
      <c r="G53" s="129" t="s">
        <v>357</v>
      </c>
      <c r="H53" s="129" t="s">
        <v>305</v>
      </c>
      <c r="I53" s="129" t="s">
        <v>358</v>
      </c>
      <c r="J53" s="129" t="s">
        <v>359</v>
      </c>
      <c r="K53" s="118"/>
    </row>
    <row r="54" spans="4:18" ht="20.100000000000001" customHeight="1" x14ac:dyDescent="0.2">
      <c r="D54" s="106" t="s">
        <v>360</v>
      </c>
      <c r="E54" s="131">
        <v>0.3</v>
      </c>
      <c r="F54" s="107">
        <v>10</v>
      </c>
      <c r="G54" s="109">
        <f>Table_Input_OrganicFertiliser[[#This Row],[Amount applied (kg/hectare)]]*Table_Input_OrganicFertiliser[[#This Row],[Percentage of N in fertiliser]]</f>
        <v>3</v>
      </c>
      <c r="H54" s="107">
        <f>X_Cell_Fertiliser_AreaUnderCropping</f>
        <v>1000</v>
      </c>
      <c r="I54" s="109">
        <f>Table_Input_OrganicFertiliser[[#This Row],[Amount applied (kg/hectare)]]*Table_Input_OrganicFertiliser[[#This Row],[Application area (ha)]]</f>
        <v>10000</v>
      </c>
      <c r="J54" s="109">
        <f>IFERROR(Table_Input_OrganicFertiliser[[#This Row],[Amount N applied (kg/hectare)]]*Table_Input_OrganicFertiliser[[#This Row],[Application area (ha)]], 0)</f>
        <v>3000</v>
      </c>
      <c r="K54" s="118"/>
    </row>
    <row r="55" spans="4:18" ht="20.100000000000001" customHeight="1" x14ac:dyDescent="0.2">
      <c r="D55" s="106" t="s">
        <v>361</v>
      </c>
      <c r="E55" s="131">
        <v>0.25</v>
      </c>
      <c r="F55" s="107">
        <v>10</v>
      </c>
      <c r="G55" s="109">
        <f>Table_Input_OrganicFertiliser[[#This Row],[Amount applied (kg/hectare)]]*Table_Input_OrganicFertiliser[[#This Row],[Percentage of N in fertiliser]]</f>
        <v>2.5</v>
      </c>
      <c r="H55" s="107">
        <f>X_Cell_Fertiliser_AreaUnderCropping</f>
        <v>1000</v>
      </c>
      <c r="I55" s="109">
        <f>Table_Input_OrganicFertiliser[[#This Row],[Amount applied (kg/hectare)]]*Table_Input_OrganicFertiliser[[#This Row],[Application area (ha)]]</f>
        <v>10000</v>
      </c>
      <c r="J55" s="109">
        <f>IFERROR(Table_Input_OrganicFertiliser[[#This Row],[Amount N applied (kg/hectare)]]*Table_Input_OrganicFertiliser[[#This Row],[Application area (ha)]], 0)</f>
        <v>2500</v>
      </c>
    </row>
    <row r="56" spans="4:18" ht="20.100000000000001" customHeight="1" x14ac:dyDescent="0.2">
      <c r="D56" s="106" t="s">
        <v>362</v>
      </c>
      <c r="E56" s="131">
        <v>0.16</v>
      </c>
      <c r="F56" s="107">
        <v>10</v>
      </c>
      <c r="G56" s="109">
        <f>Table_Input_OrganicFertiliser[[#This Row],[Amount applied (kg/hectare)]]*Table_Input_OrganicFertiliser[[#This Row],[Percentage of N in fertiliser]]</f>
        <v>1.6</v>
      </c>
      <c r="H56" s="107">
        <f>X_Cell_Fertiliser_AreaUnderCropping</f>
        <v>1000</v>
      </c>
      <c r="I56" s="109">
        <f>Table_Input_OrganicFertiliser[[#This Row],[Amount applied (kg/hectare)]]*Table_Input_OrganicFertiliser[[#This Row],[Application area (ha)]]</f>
        <v>10000</v>
      </c>
      <c r="J56" s="109">
        <f>IFERROR(Table_Input_OrganicFertiliser[[#This Row],[Amount N applied (kg/hectare)]]*Table_Input_OrganicFertiliser[[#This Row],[Application area (ha)]], 0)</f>
        <v>1600</v>
      </c>
    </row>
    <row r="126" spans="13:13" ht="20.100000000000001" customHeight="1" x14ac:dyDescent="0.2">
      <c r="M126" s="25"/>
    </row>
    <row r="127" spans="13:13" ht="20.100000000000001" customHeight="1" x14ac:dyDescent="0.2">
      <c r="M127" s="25"/>
    </row>
    <row r="128" spans="13:13" ht="20.100000000000001" customHeight="1" x14ac:dyDescent="0.2">
      <c r="M128" s="25"/>
    </row>
    <row r="129" spans="13:13" ht="20.100000000000001" customHeight="1" x14ac:dyDescent="0.2">
      <c r="M129" s="25"/>
    </row>
    <row r="130" spans="13:13" ht="20.100000000000001" customHeight="1" x14ac:dyDescent="0.2">
      <c r="M130" s="25"/>
    </row>
    <row r="131" spans="13:13" ht="20.100000000000001" customHeight="1" x14ac:dyDescent="0.2">
      <c r="M131" s="25"/>
    </row>
    <row r="132" spans="13:13" ht="20.100000000000001" customHeight="1" x14ac:dyDescent="0.2">
      <c r="M132" s="25"/>
    </row>
    <row r="133" spans="13:13" ht="20.100000000000001" customHeight="1" x14ac:dyDescent="0.2">
      <c r="M133" s="25"/>
    </row>
    <row r="134" spans="13:13" ht="20.100000000000001" customHeight="1" x14ac:dyDescent="0.2">
      <c r="M134" s="25"/>
    </row>
    <row r="135" spans="13:13" ht="20.100000000000001" customHeight="1" x14ac:dyDescent="0.2">
      <c r="M135" s="25"/>
    </row>
    <row r="136" spans="13:13" ht="20.100000000000001" customHeight="1" x14ac:dyDescent="0.2">
      <c r="M136" s="25"/>
    </row>
    <row r="137" spans="13:13" ht="20.100000000000001" customHeight="1" x14ac:dyDescent="0.2">
      <c r="M137" s="25"/>
    </row>
    <row r="138" spans="13:13" ht="20.100000000000001" customHeight="1" x14ac:dyDescent="0.2">
      <c r="M138" s="25"/>
    </row>
    <row r="139" spans="13:13" ht="20.100000000000001" customHeight="1" x14ac:dyDescent="0.2">
      <c r="M139" s="25"/>
    </row>
    <row r="140" spans="13:13" ht="20.100000000000001" customHeight="1" x14ac:dyDescent="0.2">
      <c r="M140" s="25"/>
    </row>
    <row r="141" spans="13:13" ht="20.100000000000001" customHeight="1" x14ac:dyDescent="0.2">
      <c r="M141" s="25"/>
    </row>
    <row r="142" spans="13:13" ht="20.100000000000001" customHeight="1" x14ac:dyDescent="0.2">
      <c r="M142" s="25"/>
    </row>
    <row r="143" spans="13:13" ht="20.100000000000001" customHeight="1" x14ac:dyDescent="0.2">
      <c r="M143" s="25"/>
    </row>
    <row r="144" spans="13:13" ht="20.100000000000001" customHeight="1" x14ac:dyDescent="0.2">
      <c r="M144" s="25"/>
    </row>
    <row r="145" spans="13:13" ht="20.100000000000001" customHeight="1" x14ac:dyDescent="0.2">
      <c r="M145" s="25"/>
    </row>
    <row r="146" spans="13:13" ht="20.100000000000001" customHeight="1" x14ac:dyDescent="0.2">
      <c r="M146" s="25"/>
    </row>
    <row r="147" spans="13:13" ht="20.100000000000001" customHeight="1" x14ac:dyDescent="0.2">
      <c r="M147" s="25"/>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9"/>
    </row>
  </sheetData>
  <conditionalFormatting sqref="F155:F156">
    <cfRule type="cellIs" dxfId="79" priority="15" operator="lessThan">
      <formula>0</formula>
    </cfRule>
  </conditionalFormatting>
  <conditionalFormatting sqref="F167:F168">
    <cfRule type="cellIs" dxfId="78" priority="14" operator="lessThan">
      <formula>0</formula>
    </cfRule>
  </conditionalFormatting>
  <conditionalFormatting sqref="F179:F180">
    <cfRule type="cellIs" dxfId="77" priority="13" operator="lessThan">
      <formula>0</formula>
    </cfRule>
  </conditionalFormatting>
  <conditionalFormatting sqref="F267:F268">
    <cfRule type="cellIs" dxfId="76" priority="26" operator="lessThan">
      <formula>0</formula>
    </cfRule>
  </conditionalFormatting>
  <conditionalFormatting sqref="F272:F273">
    <cfRule type="cellIs" dxfId="75" priority="25" operator="lessThan">
      <formula>0</formula>
    </cfRule>
  </conditionalFormatting>
  <conditionalFormatting sqref="F277:F278">
    <cfRule type="cellIs" dxfId="74" priority="24" operator="lessThan">
      <formula>0</formula>
    </cfRule>
  </conditionalFormatting>
  <conditionalFormatting sqref="F301:F302">
    <cfRule type="cellIs" dxfId="73" priority="23" operator="lessThan">
      <formula>0</formula>
    </cfRule>
  </conditionalFormatting>
  <conditionalFormatting sqref="F306:F307">
    <cfRule type="cellIs" dxfId="72" priority="22" operator="lessThan">
      <formula>0</formula>
    </cfRule>
  </conditionalFormatting>
  <conditionalFormatting sqref="F311:F312">
    <cfRule type="cellIs" dxfId="71" priority="21" operator="lessThan">
      <formula>0</formula>
    </cfRule>
  </conditionalFormatting>
  <conditionalFormatting sqref="H53 F143:F144">
    <cfRule type="cellIs" dxfId="7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9" priority="20" operator="lessThan">
      <formula>0</formula>
    </cfRule>
  </conditionalFormatting>
  <conditionalFormatting sqref="I41:I44 I46:I47 F58 I75:I78 L198 K200 L202:L203 K204:K205 L206:L207 K208:K209 L212:L213 K214:K215 L216:L217 K218:K219 L223:L228 K225">
    <cfRule type="cellIs" dxfId="68" priority="18" operator="lessThan">
      <formula>0</formula>
    </cfRule>
  </conditionalFormatting>
  <conditionalFormatting sqref="I82 M119 I141:J141">
    <cfRule type="cellIs" dxfId="67" priority="19" operator="lessThan">
      <formula>0</formula>
    </cfRule>
  </conditionalFormatting>
  <conditionalFormatting sqref="I93:I95">
    <cfRule type="cellIs" dxfId="66" priority="3" operator="lessThan">
      <formula>0</formula>
    </cfRule>
  </conditionalFormatting>
  <conditionalFormatting sqref="I99:I102">
    <cfRule type="cellIs" dxfId="65" priority="2" operator="lessThan">
      <formula>0</formula>
    </cfRule>
  </conditionalFormatting>
  <conditionalFormatting sqref="I106:I110">
    <cfRule type="cellIs" dxfId="64" priority="1" operator="lessThan">
      <formula>0</formula>
    </cfRule>
  </conditionalFormatting>
  <conditionalFormatting sqref="J169">
    <cfRule type="cellIs" dxfId="63" priority="17" operator="lessThan">
      <formula>0</formula>
    </cfRule>
  </conditionalFormatting>
  <conditionalFormatting sqref="L131:L134">
    <cfRule type="cellIs" dxfId="62" priority="7" operator="lessThan">
      <formula>0</formula>
    </cfRule>
  </conditionalFormatting>
  <conditionalFormatting sqref="L137">
    <cfRule type="cellIs" dxfId="61" priority="12" operator="lessThan">
      <formula>0</formula>
    </cfRule>
  </conditionalFormatting>
  <conditionalFormatting sqref="L143:L146">
    <cfRule type="cellIs" dxfId="60" priority="6" operator="lessThan">
      <formula>0</formula>
    </cfRule>
  </conditionalFormatting>
  <conditionalFormatting sqref="L149">
    <cfRule type="cellIs" dxfId="59" priority="11" operator="lessThan">
      <formula>0</formula>
    </cfRule>
  </conditionalFormatting>
  <conditionalFormatting sqref="L155:L158">
    <cfRule type="cellIs" dxfId="58" priority="5" operator="lessThan">
      <formula>0</formula>
    </cfRule>
  </conditionalFormatting>
  <conditionalFormatting sqref="L161">
    <cfRule type="cellIs" dxfId="57" priority="10" operator="lessThan">
      <formula>0</formula>
    </cfRule>
  </conditionalFormatting>
  <conditionalFormatting sqref="L167:L170">
    <cfRule type="cellIs" dxfId="56" priority="4" operator="lessThan">
      <formula>0</formula>
    </cfRule>
  </conditionalFormatting>
  <conditionalFormatting sqref="L173">
    <cfRule type="cellIs" dxfId="55" priority="9" operator="lessThan">
      <formula>0</formula>
    </cfRule>
  </conditionalFormatting>
  <conditionalFormatting sqref="L177:L178">
    <cfRule type="cellIs" dxfId="54" priority="8" operator="lessThan">
      <formula>0</formula>
    </cfRule>
  </conditionalFormatting>
  <conditionalFormatting sqref="L230 L232:L235 L237 J245:J247 J250:J252">
    <cfRule type="cellIs" dxfId="53" priority="27" operator="lessThan">
      <formula>0</formula>
    </cfRule>
  </conditionalFormatting>
  <dataValidations count="9">
    <dataValidation type="list" allowBlank="1" showInputMessage="1" showErrorMessage="1" sqref="D12:D21" xr:uid="{101AF889-BF70-4E1D-B6D4-8EC95E3EB4D3}">
      <formula1>INDIRECT("FertiliserProducts[Product]")</formula1>
    </dataValidation>
    <dataValidation type="list" allowBlank="1" showInputMessage="1" showErrorMessage="1" sqref="Q25:R34" xr:uid="{8F7C9889-9372-4D5E-B8EC-C59729AD762F}">
      <formula1>INDIRECT("Table_SourceData_Fertiliser_UreaAmmoniaSources[Source]")</formula1>
    </dataValidation>
    <dataValidation type="list" allowBlank="1" showInputMessage="1" showErrorMessage="1" sqref="D54:D56" xr:uid="{08CBDCD1-196C-4176-9061-AE069CC62B9F}">
      <formula1>INDIRECT("Table_SourceData_OrganicFertiliserTypes[Organic fertiliser type]")</formula1>
    </dataValidation>
    <dataValidation type="list" allowBlank="1" showInputMessage="1" showErrorMessage="1" sqref="H25:H34 J25:J34 L25:L34 N25:N34" xr:uid="{8C57356F-230C-44D5-9515-769656B10EC4}">
      <formula1>INDIRECT("Table_Fertiliser_ChemicalCompounds[Fertiliser type f]")</formula1>
    </dataValidation>
    <dataValidation type="list" allowBlank="1" showInputMessage="1" showErrorMessage="1" sqref="E81" xr:uid="{30BE9FF9-1DFE-459B-9340-F6D066F0F474}">
      <formula1>INDIRECT("Table_SourceData_Swine_CropProdSystems[Production system]")</formula1>
    </dataValidation>
    <dataValidation type="list" allowBlank="1" showInputMessage="1" showErrorMessage="1" sqref="E82" xr:uid="{9BEC2A8B-859D-4F3F-B855-C77CC5424564}">
      <formula1>INDIRECT("Table_SourceData_Swine_IrrigationMethods[Irrigation method]")</formula1>
    </dataValidation>
    <dataValidation type="list" allowBlank="1" showInputMessage="1" showErrorMessage="1" sqref="E266 E271 E276 E310 E305 E300 E178 E166 E142 E154" xr:uid="{1F1738F3-FC74-476B-A89D-50BD3675724D}">
      <formula1>"Yes, No"</formula1>
    </dataValidation>
    <dataValidation type="list" allowBlank="1" showInputMessage="1" showErrorMessage="1" sqref="E242" xr:uid="{3A2641D4-D1F2-4776-AD6D-C8CC9C8BF5FD}">
      <formula1>INDIRECT("Table_SourceData_Dairy_ProductionSystemTemplates[Area]")</formula1>
    </dataValidation>
    <dataValidation type="list" allowBlank="1" showInputMessage="1" showErrorMessage="1" sqref="D294" xr:uid="{0956D3AA-D233-4342-BC02-A1B3C92E284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FBA6C-DDFF-47A2-9EAD-4C3382DFFE65}">
  <sheetPr>
    <tabColor theme="5" tint="-0.249977111117893"/>
  </sheetPr>
  <dimension ref="A1:K346"/>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542</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2" t="s">
        <v>543</v>
      </c>
      <c r="E5" s="25"/>
      <c r="F5" s="25"/>
      <c r="G5" s="25"/>
      <c r="H5" s="25"/>
    </row>
    <row r="6" spans="1:11" ht="20.100000000000001" customHeight="1" x14ac:dyDescent="0.2">
      <c r="D6" s="8"/>
      <c r="E6" s="8"/>
      <c r="F6" s="8"/>
      <c r="G6" s="8"/>
      <c r="H6" s="8"/>
      <c r="I6" s="8"/>
      <c r="J6" s="8"/>
    </row>
    <row r="7" spans="1:11" ht="20.100000000000001" customHeight="1" x14ac:dyDescent="0.2">
      <c r="D7" s="1" t="s">
        <v>544</v>
      </c>
    </row>
    <row r="8" spans="1:11" ht="20.100000000000001" customHeight="1" x14ac:dyDescent="0.2">
      <c r="A8" s="7" t="s">
        <v>0</v>
      </c>
      <c r="D8" s="1" t="s">
        <v>545</v>
      </c>
    </row>
    <row r="9" spans="1:11" ht="20.100000000000001" customHeight="1" x14ac:dyDescent="0.2">
      <c r="A9" s="5" t="str">
        <f>HYPERLINK("#'Input - Enterprise'!A1", "Enterprise")</f>
        <v>Enterprise</v>
      </c>
      <c r="D9" s="1" t="s">
        <v>546</v>
      </c>
    </row>
    <row r="10" spans="1:11" ht="20.100000000000001" customHeight="1" x14ac:dyDescent="0.2">
      <c r="A10" s="5" t="str">
        <f>HYPERLINK("#'Input - Site'!A1", "Site")</f>
        <v>Site</v>
      </c>
    </row>
    <row r="11" spans="1:11" ht="20.100000000000001" customHeight="1" x14ac:dyDescent="0.2">
      <c r="A11" s="5" t="str">
        <f>HYPERLINK("#'Input - Crop'!A1", "Crop")</f>
        <v>Crop</v>
      </c>
      <c r="D11" s="1" t="s">
        <v>547</v>
      </c>
      <c r="E11" s="13" t="s">
        <v>548</v>
      </c>
      <c r="F11" s="16" t="s">
        <v>100</v>
      </c>
    </row>
    <row r="12" spans="1:11" ht="20.100000000000001" customHeight="1" x14ac:dyDescent="0.2">
      <c r="A12" s="5" t="str">
        <f>HYPERLINK("#'Input - Fert Prod System'!A1", "Fert Prod System")</f>
        <v>Fert Prod System</v>
      </c>
    </row>
    <row r="13" spans="1:11" ht="20.100000000000001" customHeight="1" x14ac:dyDescent="0.2">
      <c r="A13" s="5" t="str">
        <f>HYPERLINK("#'Input - Fertiliser'!A1", "Fertiliser")</f>
        <v>Fertiliser</v>
      </c>
      <c r="D13" s="99" t="s">
        <v>515</v>
      </c>
      <c r="E13" s="44"/>
      <c r="F13" s="44"/>
      <c r="G13" s="44"/>
      <c r="H13" s="45"/>
    </row>
    <row r="14" spans="1:11" ht="20.100000000000001" customHeight="1" x14ac:dyDescent="0.2">
      <c r="A14" s="102" t="str">
        <f>HYPERLINK("#'Input - Fuel'!A1", "Fuel")</f>
        <v>Fuel</v>
      </c>
      <c r="D14" s="46" t="s">
        <v>549</v>
      </c>
      <c r="E14" s="47"/>
      <c r="F14" s="47"/>
      <c r="G14" s="47"/>
      <c r="H14" s="48"/>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80" t="s">
        <v>550</v>
      </c>
      <c r="E16" s="80" t="s">
        <v>551</v>
      </c>
      <c r="F16" s="80" t="s">
        <v>552</v>
      </c>
      <c r="G16" s="80" t="s">
        <v>553</v>
      </c>
      <c r="H16" s="80" t="s">
        <v>554</v>
      </c>
      <c r="I16" s="80" t="s">
        <v>555</v>
      </c>
      <c r="J16" s="80" t="s">
        <v>556</v>
      </c>
    </row>
    <row r="17" spans="1:10" ht="20.100000000000001" customHeight="1" x14ac:dyDescent="0.2">
      <c r="A17" s="5" t="str">
        <f>HYPERLINK("#'Input - Crop pasture farm input'!A1", "Crop pasture farm input")</f>
        <v>Crop pasture farm input</v>
      </c>
      <c r="D17" s="13" t="s">
        <v>557</v>
      </c>
      <c r="E17" s="13" t="s">
        <v>558</v>
      </c>
      <c r="F17" s="176">
        <v>100</v>
      </c>
      <c r="G17" s="15" t="str" cm="1">
        <f t="array" ref="G17">Common_InputFunctions.Utility_LookupValueInTable(Table_Input_Fuel[[#This Row],[Fuel type (select)]],Table_FuelTypes_Units[Fuel type], Table_FuelTypes_Units[Input Unit])</f>
        <v>GJ</v>
      </c>
      <c r="H17" s="17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557</v>
      </c>
      <c r="E18" s="13" t="s">
        <v>559</v>
      </c>
      <c r="F18" s="176">
        <v>10000</v>
      </c>
      <c r="G18" s="15" t="str" cm="1">
        <f t="array" ref="G18">Common_InputFunctions.Utility_LookupValueInTable(Table_Input_Fuel[[#This Row],[Fuel type (select)]],Table_FuelTypes_Units[Fuel type], Table_FuelTypes_Units[Input Unit])</f>
        <v>L</v>
      </c>
      <c r="H18" s="17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560</v>
      </c>
      <c r="E19" s="13" t="s">
        <v>561</v>
      </c>
      <c r="F19" s="176">
        <v>10000</v>
      </c>
      <c r="G19" s="15" t="str" cm="1">
        <f t="array" ref="G19">Common_InputFunctions.Utility_LookupValueInTable(Table_Input_Fuel[[#This Row],[Fuel type (select)]],Table_FuelTypes_Units[Fuel type], Table_FuelTypes_Units[Input Unit])</f>
        <v>L</v>
      </c>
      <c r="H19" s="17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Data quality'!A1", "Data quality")</f>
        <v>Data quality</v>
      </c>
      <c r="D20" s="13" t="s">
        <v>562</v>
      </c>
      <c r="E20" s="13" t="s">
        <v>561</v>
      </c>
      <c r="F20" s="176">
        <v>10000</v>
      </c>
      <c r="G20" s="15" t="str" cm="1">
        <f t="array" ref="G20">Common_InputFunctions.Utility_LookupValueInTable(Table_Input_Fuel[[#This Row],[Fuel type (select)]],Table_FuelTypes_Units[Fuel type], Table_FuelTypes_Units[Input Unit])</f>
        <v>L</v>
      </c>
      <c r="H20" s="17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D21" s="86" t="s">
        <v>563</v>
      </c>
      <c r="E21" s="86" t="s">
        <v>564</v>
      </c>
      <c r="F21" s="176">
        <v>10000</v>
      </c>
      <c r="G21" s="179" t="str" cm="1">
        <f t="array" ref="G21">Common_InputFunctions.Utility_LookupValueInTable(Table_Input_Fuel[[#This Row],[Fuel type (select)]],Table_FuelTypes_Units[Fuel type], Table_FuelTypes_Units[Input Unit])</f>
        <v>L</v>
      </c>
      <c r="H21" s="180">
        <f>1</f>
        <v>1</v>
      </c>
      <c r="I21" s="17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3" spans="1:10" ht="20.100000000000001" customHeight="1" x14ac:dyDescent="0.2">
      <c r="A23" s="6" t="s">
        <v>2</v>
      </c>
    </row>
    <row r="24" spans="1:10" ht="20.100000000000001" customHeight="1" x14ac:dyDescent="0.2">
      <c r="A24" s="5" t="str">
        <f>HYPERLINK("#'5.1.1.1-2 Inorganic fert N2O'!A1", "5.1.1.1-2 Inorganic fert N2O")</f>
        <v>5.1.1.1-2 Inorganic fert N2O</v>
      </c>
    </row>
    <row r="25" spans="1:10" ht="20.100000000000001" customHeight="1" x14ac:dyDescent="0.2">
      <c r="A25" s="5" t="str">
        <f>HYPERLINK("#'5.1.1.3-4 Inorganic fert CO2'!A1", "5.1.1.3-4 Inorganic fert CO2")</f>
        <v>5.1.1.3-4 Inorganic fert CO2</v>
      </c>
    </row>
    <row r="26" spans="1:10" ht="20.100000000000001" customHeight="1" x14ac:dyDescent="0.2">
      <c r="A26" s="5" t="str">
        <f>HYPERLINK("#'5.2.1.1-2 Organic Fert N2O'!A1", "5.2.1.1-2 Organic fert N2O")</f>
        <v>5.2.1.1-2 Organic fert N2O</v>
      </c>
    </row>
    <row r="27" spans="1:10" ht="20.100000000000001" customHeight="1" x14ac:dyDescent="0.2">
      <c r="A27" s="5" t="str">
        <f>HYPERLINK("#'5.3.1.1-2 Lime CO2'!A1", "5.3.1.1-2 Lime CO2")</f>
        <v>5.3.1.1-2 Lime CO2</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row>
    <row r="31" spans="1:10" ht="20.100000000000001" customHeight="1" x14ac:dyDescent="0.2">
      <c r="A31" s="5" t="str">
        <f>HYPERLINK("#'6.3.1.1-2 Leach runoff crop'!A1", "6.3.1.1-2 Leach &amp; runoff (crop)")</f>
        <v>6.3.1.1-2 Leach &amp; runoff (crop)</v>
      </c>
    </row>
    <row r="32" spans="1:10" ht="20.100000000000001" customHeight="1" x14ac:dyDescent="0.2">
      <c r="A32" s="5" t="str">
        <f>HYPERLINK("#'6.4.1.1-2 Residue burning'!A1", "6.4.1.1-2 Residue burning")</f>
        <v>6.4.1.1-2 Residue burning</v>
      </c>
    </row>
    <row r="33" spans="1:11" ht="20.100000000000001" customHeight="1" x14ac:dyDescent="0.2">
      <c r="A33" s="5" t="str">
        <f>HYPERLINK("#'8.1.1.1-2 Transport fuel'!A1", "8.1.1.1-2 Transport fuel")</f>
        <v>8.1.1.1-2 Transport fuel</v>
      </c>
    </row>
    <row r="34" spans="1:11" ht="20.100000000000001" customHeight="1" x14ac:dyDescent="0.2">
      <c r="A34" s="5" t="str">
        <f>HYPERLINK("#'8.2.1.1-2 Stationary fuel'!A1", "8.2.1.1-2 Stationary fuel")</f>
        <v>8.2.1.1-2 Stationary fuel</v>
      </c>
    </row>
    <row r="35" spans="1:11" ht="20.100000000000001" customHeight="1" x14ac:dyDescent="0.2">
      <c r="A35" s="5" t="str">
        <f>HYPERLINK("#'10.1.1-2 Solid waste treatment'!A1", "10.1.1.1-2 Solid waste")</f>
        <v>10.1.1.1-2 Solid waste</v>
      </c>
    </row>
    <row r="36" spans="1:11" ht="20.100000000000001" customHeight="1" x14ac:dyDescent="0.2">
      <c r="A36" s="5" t="str">
        <f>HYPERLINK("#'14.1.1-2 Purchased electricity'!A1", "14.1.1-2 Purchased electricity")</f>
        <v>14.1.1-2 Purchased electricity</v>
      </c>
    </row>
    <row r="37" spans="1:11" ht="20.100000000000001" customHeight="1" x14ac:dyDescent="0.2">
      <c r="A37" s="5" t="str">
        <f>HYPERLINK("#'15 Scope 3'!A1", "15 Scope 3")</f>
        <v>15 Scope 3</v>
      </c>
    </row>
    <row r="38" spans="1:11" ht="20.100000000000001" customHeight="1" x14ac:dyDescent="0.2">
      <c r="C38" s="116"/>
      <c r="K38" s="116"/>
    </row>
    <row r="39" spans="1:11" ht="20.100000000000001" customHeight="1" x14ac:dyDescent="0.2">
      <c r="C39" s="116"/>
      <c r="K39" s="116"/>
    </row>
    <row r="40" spans="1:11" s="128" customFormat="1" ht="20.100000000000001" customHeight="1" x14ac:dyDescent="0.2">
      <c r="A40" s="82" t="s">
        <v>1</v>
      </c>
      <c r="C40" s="1"/>
      <c r="D40" s="1"/>
      <c r="E40" s="1"/>
      <c r="F40" s="1"/>
      <c r="G40" s="1"/>
      <c r="H40" s="1"/>
      <c r="I40" s="1"/>
      <c r="J40" s="1"/>
      <c r="K40" s="1"/>
    </row>
    <row r="41" spans="1:11" s="128" customFormat="1" ht="20.100000000000001" customHeight="1" x14ac:dyDescent="0.2">
      <c r="A41" s="5" t="str">
        <f>HYPERLINK("#'Constants - Ag Residue'!A1", "Constants - Ag residue")</f>
        <v>Constants - Ag residue</v>
      </c>
      <c r="C41" s="1"/>
      <c r="D41" s="1"/>
      <c r="E41" s="1"/>
      <c r="F41" s="1"/>
      <c r="G41" s="1"/>
      <c r="H41" s="1"/>
      <c r="I41" s="1"/>
      <c r="J41" s="1"/>
      <c r="K41" s="1"/>
    </row>
    <row r="42" spans="1:11" ht="20.100000000000001" customHeight="1" x14ac:dyDescent="0.2">
      <c r="A42" s="5" t="str">
        <f>HYPERLINK("#'Constants - Electricity'!A1", "Constants - Electricity")</f>
        <v>Constants - Electricity</v>
      </c>
    </row>
    <row r="43" spans="1:11" ht="20.100000000000001" customHeight="1" x14ac:dyDescent="0.2">
      <c r="A43" s="5" t="str">
        <f>HYPERLINK("#'Constants - Fertiliser'!A1", "Constants - Fertiliser")</f>
        <v>Constants - Fertiliser</v>
      </c>
    </row>
    <row r="44" spans="1:11" ht="20.100000000000001" customHeight="1" x14ac:dyDescent="0.2">
      <c r="A44" s="5" t="str">
        <f>HYPERLINK("#'Constants - Fuel'!A1", "Constants - Fuel")</f>
        <v>Constants - Fuel</v>
      </c>
    </row>
    <row r="45" spans="1:11" ht="20.100000000000001" customHeight="1" x14ac:dyDescent="0.2">
      <c r="A45" s="5" t="str">
        <f>HYPERLINK("#'Constants - Scope 3'!A1", "Constants - Scope 3")</f>
        <v>Constants - Scope 3</v>
      </c>
    </row>
    <row r="46" spans="1:11" ht="20.100000000000001" customHeight="1" x14ac:dyDescent="0.2">
      <c r="A46" s="5" t="str">
        <f>HYPERLINK("#'Constants - Solid Waste'!A1", "Constants - Solid Waste")</f>
        <v>Constants - Solid Waste</v>
      </c>
    </row>
    <row r="47" spans="1:11" ht="20.100000000000001" customHeight="1" x14ac:dyDescent="0.2">
      <c r="A47" s="5" t="str">
        <f>HYPERLINK("#'Constants - Common'!A1", "Constants - Common")</f>
        <v>Constants - Common</v>
      </c>
    </row>
    <row r="48" spans="1:11" ht="20.100000000000001" customHeight="1" x14ac:dyDescent="0.2">
      <c r="A48" s="5" t="str">
        <f>HYPERLINK("#'Constants - Common Livestock'!A1", "Constants - Common Livestock")</f>
        <v>Constants - Common Livestock</v>
      </c>
    </row>
    <row r="346" spans="4:4" ht="20.100000000000001" customHeight="1" x14ac:dyDescent="0.2">
      <c r="D346" s="89"/>
    </row>
  </sheetData>
  <conditionalFormatting sqref="F32">
    <cfRule type="cellIs" dxfId="52" priority="9" operator="lessThan">
      <formula>0</formula>
    </cfRule>
  </conditionalFormatting>
  <conditionalFormatting sqref="F111:F112">
    <cfRule type="cellIs" dxfId="51" priority="8" operator="lessThan">
      <formula>0</formula>
    </cfRule>
  </conditionalFormatting>
  <conditionalFormatting sqref="F123:F124">
    <cfRule type="cellIs" dxfId="50" priority="7" operator="lessThan">
      <formula>0</formula>
    </cfRule>
  </conditionalFormatting>
  <conditionalFormatting sqref="F135:F136">
    <cfRule type="cellIs" dxfId="49" priority="6" operator="lessThan">
      <formula>0</formula>
    </cfRule>
  </conditionalFormatting>
  <conditionalFormatting sqref="F147:F148">
    <cfRule type="cellIs" dxfId="48" priority="5" operator="lessThan">
      <formula>0</formula>
    </cfRule>
  </conditionalFormatting>
  <conditionalFormatting sqref="F235:F236">
    <cfRule type="cellIs" dxfId="47" priority="17" operator="lessThan">
      <formula>0</formula>
    </cfRule>
  </conditionalFormatting>
  <conditionalFormatting sqref="F240:F241">
    <cfRule type="cellIs" dxfId="46" priority="16" operator="lessThan">
      <formula>0</formula>
    </cfRule>
  </conditionalFormatting>
  <conditionalFormatting sqref="F245:F246">
    <cfRule type="cellIs" dxfId="45" priority="15" operator="lessThan">
      <formula>0</formula>
    </cfRule>
  </conditionalFormatting>
  <conditionalFormatting sqref="F269:F270">
    <cfRule type="cellIs" dxfId="44" priority="14" operator="lessThan">
      <formula>0</formula>
    </cfRule>
  </conditionalFormatting>
  <conditionalFormatting sqref="F274:F275">
    <cfRule type="cellIs" dxfId="43" priority="13" operator="lessThan">
      <formula>0</formula>
    </cfRule>
  </conditionalFormatting>
  <conditionalFormatting sqref="F279:F280">
    <cfRule type="cellIs" dxfId="42" priority="12" operator="lessThan">
      <formula>0</formula>
    </cfRule>
  </conditionalFormatting>
  <conditionalFormatting sqref="I26:J27 H28:H30 I31:J31 I33:J35 I37:J38 I189:J189 E195:G195 I195:J195">
    <cfRule type="cellIs" dxfId="41" priority="11" operator="lessThan">
      <formula>0</formula>
    </cfRule>
  </conditionalFormatting>
  <conditionalFormatting sqref="I42:J46">
    <cfRule type="cellIs" dxfId="40" priority="4" operator="lessThan">
      <formula>0</formula>
    </cfRule>
  </conditionalFormatting>
  <conditionalFormatting sqref="I50:J50 I109:J109">
    <cfRule type="cellIs" dxfId="39" priority="10" operator="lessThan">
      <formula>0</formula>
    </cfRule>
  </conditionalFormatting>
  <conditionalFormatting sqref="I61:J63">
    <cfRule type="cellIs" dxfId="38" priority="3" operator="lessThan">
      <formula>0</formula>
    </cfRule>
  </conditionalFormatting>
  <conditionalFormatting sqref="I67:J70">
    <cfRule type="cellIs" dxfId="37" priority="2" operator="lessThan">
      <formula>0</formula>
    </cfRule>
  </conditionalFormatting>
  <conditionalFormatting sqref="I74:J78">
    <cfRule type="cellIs" dxfId="36" priority="1" operator="lessThan">
      <formula>0</formula>
    </cfRule>
  </conditionalFormatting>
  <dataValidations count="9">
    <dataValidation type="list" allowBlank="1" showInputMessage="1" showErrorMessage="1" sqref="E17:E21" xr:uid="{C266C0C4-607E-4AE4-9D52-EB4E48A7560B}">
      <formula1>_xlfn.TRIMRANGE(INDIRECT("Table_FuelTypesPerUse["&amp;D17&amp;"]"))</formula1>
    </dataValidation>
    <dataValidation type="list" allowBlank="1" showInputMessage="1" showErrorMessage="1" sqref="D17:D21" xr:uid="{80770C9B-57DD-4729-8705-B3151A7D0411}">
      <formula1>INDIRECT("Table_FuelTypesPerUse[#Headers]")</formula1>
    </dataValidation>
    <dataValidation type="list" allowBlank="1" showInputMessage="1" showErrorMessage="1" sqref="E11" xr:uid="{EAA19620-716E-44C6-8BC2-0F188DB0AE3E}">
      <formula1>"Metro, Non-metro"</formula1>
    </dataValidation>
    <dataValidation type="list" allowBlank="1" showInputMessage="1" showErrorMessage="1" sqref="D29:D30" xr:uid="{9CF9813F-19AE-4729-BE94-BA271AC8991B}">
      <formula1>INDIRECT("Table_SourceData_OrganicFertiliserTypes[Organic fertiliser type]")</formula1>
    </dataValidation>
    <dataValidation type="list" allowBlank="1" showInputMessage="1" showErrorMessage="1" sqref="E49" xr:uid="{AB9EB0AF-7750-43CD-99F3-CC9A555238AF}">
      <formula1>INDIRECT("Table_SourceData_Swine_CropProdSystems[Production system]")</formula1>
    </dataValidation>
    <dataValidation type="list" allowBlank="1" showInputMessage="1" showErrorMessage="1" sqref="E50" xr:uid="{91AE8A8E-6CE2-4939-9E1B-E7503CE83CBA}">
      <formula1>INDIRECT("Table_SourceData_Swine_IrrigationMethods[Irrigation method]")</formula1>
    </dataValidation>
    <dataValidation type="list" allowBlank="1" showInputMessage="1" showErrorMessage="1" sqref="E234 E239 E244 E278 E273 E268 E146 E134 E110 E122" xr:uid="{1F614017-B2B9-4846-96C4-121F1103249E}">
      <formula1>"Yes, No"</formula1>
    </dataValidation>
    <dataValidation type="list" allowBlank="1" showInputMessage="1" showErrorMessage="1" sqref="E210" xr:uid="{BE167D43-F6CF-445D-AEA8-D2D932D3A4BF}">
      <formula1>INDIRECT("Table_SourceData_Dairy_ProductionSystemTemplates[Area]")</formula1>
    </dataValidation>
    <dataValidation type="list" allowBlank="1" showInputMessage="1" showErrorMessage="1" sqref="D262" xr:uid="{61628582-999C-4ABE-A92E-0F95C1F4162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66A8F-99CA-40EA-BC64-015E486BEA04}">
  <sheetPr>
    <tabColor theme="5" tint="-0.249977111117893"/>
  </sheetPr>
  <dimension ref="A1:L36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496</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1" t="s">
        <v>497</v>
      </c>
      <c r="E5" s="13" t="s">
        <v>498</v>
      </c>
      <c r="F5" s="16" t="s">
        <v>100</v>
      </c>
    </row>
    <row r="6" spans="1:10" ht="20.100000000000001" customHeight="1" x14ac:dyDescent="0.2">
      <c r="E6" s="8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5"/>
      <c r="D8" s="85"/>
      <c r="E8" s="85"/>
      <c r="F8" s="85"/>
      <c r="G8" s="85"/>
      <c r="H8" s="85"/>
      <c r="I8" s="85"/>
      <c r="J8" s="85"/>
    </row>
    <row r="9" spans="1:10" ht="20.100000000000001" customHeight="1" x14ac:dyDescent="0.2">
      <c r="A9" s="5" t="str">
        <f>HYPERLINK("#'Input - Enterprise'!A1", "Enterprise")</f>
        <v>Enterprise</v>
      </c>
      <c r="D9" s="2" t="s">
        <v>499</v>
      </c>
    </row>
    <row r="10" spans="1:10" ht="20.100000000000001" customHeight="1" x14ac:dyDescent="0.2">
      <c r="A10" s="5" t="str">
        <f>HYPERLINK("#'Input - Site'!A1", "Site")</f>
        <v>Site</v>
      </c>
    </row>
    <row r="11" spans="1:10" ht="20.100000000000001" customHeight="1" x14ac:dyDescent="0.2">
      <c r="A11" s="5" t="str">
        <f>HYPERLINK("#'Input - Crop'!A1", "Crop")</f>
        <v>Crop</v>
      </c>
      <c r="D11" s="79" t="s">
        <v>500</v>
      </c>
    </row>
    <row r="12" spans="1:10" ht="20.100000000000001" customHeight="1" x14ac:dyDescent="0.2">
      <c r="A12" s="5" t="str">
        <f>HYPERLINK("#'Input - Fert Prod System'!A1", "Fert Prod System")</f>
        <v>Fert Prod System</v>
      </c>
    </row>
    <row r="13" spans="1:10" ht="20.100000000000001" customHeight="1" x14ac:dyDescent="0.2">
      <c r="A13" s="5" t="str">
        <f>HYPERLINK("#'Input - Fertiliser'!A1", "Fertiliser")</f>
        <v>Fertiliser</v>
      </c>
      <c r="D13" s="36" t="s">
        <v>501</v>
      </c>
      <c r="E13" s="39"/>
      <c r="F13" s="8"/>
    </row>
    <row r="14" spans="1:10" ht="20.100000000000001" customHeight="1" x14ac:dyDescent="0.2">
      <c r="A14" s="5" t="str">
        <f>HYPERLINK("#'Input - Fuel'!A1", "Fuel")</f>
        <v>Fuel</v>
      </c>
      <c r="D14" s="8"/>
      <c r="E14" s="8"/>
      <c r="F14" s="8"/>
    </row>
    <row r="15" spans="1:10" ht="20.100000000000001" customHeight="1" x14ac:dyDescent="0.2">
      <c r="A15" s="102" t="str">
        <f>HYPERLINK("#'Input - Electricity'!A1", "Electricity")</f>
        <v>Electricity</v>
      </c>
      <c r="D15" s="1" t="s">
        <v>502</v>
      </c>
      <c r="E15" s="168">
        <v>30000</v>
      </c>
      <c r="F15" s="16" t="s">
        <v>503</v>
      </c>
    </row>
    <row r="16" spans="1:10" ht="20.100000000000001" customHeight="1" x14ac:dyDescent="0.2">
      <c r="A16" s="5" t="str">
        <f>HYPERLINK("#'Input - Common farm inputs'!A1", "Common farm inputs")</f>
        <v>Common farm inputs</v>
      </c>
      <c r="D16" s="1" t="s">
        <v>504</v>
      </c>
      <c r="E16" s="15" t="str">
        <f>IF(X_Cell_Site_State="Western Australia", X_Cell_Site_Region, X_Cell_Site_State)</f>
        <v>Western Australia - Outback (South)</v>
      </c>
      <c r="F16" s="8"/>
    </row>
    <row r="17" spans="1:11" ht="20.100000000000001" customHeight="1" x14ac:dyDescent="0.2">
      <c r="A17" s="5" t="str">
        <f>HYPERLINK("#'Input - Crop pasture farm input'!A1", "Crop pasture farm input")</f>
        <v>Crop pasture farm input</v>
      </c>
      <c r="D17" s="1" t="s">
        <v>505</v>
      </c>
      <c r="E17" s="13" t="s">
        <v>506</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Data quality'!A1", "Data quality")</f>
        <v>Data quality</v>
      </c>
      <c r="C20" s="85"/>
      <c r="D20" s="85"/>
      <c r="E20" s="85"/>
      <c r="F20" s="85"/>
      <c r="G20" s="85"/>
      <c r="H20" s="85"/>
      <c r="I20" s="85"/>
      <c r="J20" s="85"/>
    </row>
    <row r="21" spans="1:11" ht="20.100000000000001" customHeight="1" x14ac:dyDescent="0.2">
      <c r="D21" s="2" t="s">
        <v>507</v>
      </c>
    </row>
    <row r="22" spans="1:11" ht="20.100000000000001" customHeight="1" x14ac:dyDescent="0.2">
      <c r="E22" s="89" t="str">
        <f>IF(E16="ACT", "", "ALERT: Your farm is not in the ACT, so the JRPP is not applicable")</f>
        <v>ALERT: Your farm is not in the ACT, so the JRPP is not applicable</v>
      </c>
    </row>
    <row r="23" spans="1:11" ht="20.100000000000001" customHeight="1" x14ac:dyDescent="0.2">
      <c r="A23" s="6" t="s">
        <v>2</v>
      </c>
      <c r="D23" s="1" t="s">
        <v>508</v>
      </c>
      <c r="E23" s="168">
        <v>30000</v>
      </c>
      <c r="F23" s="16" t="s">
        <v>503</v>
      </c>
    </row>
    <row r="24" spans="1:11" ht="20.100000000000001" customHeight="1" x14ac:dyDescent="0.2">
      <c r="A24" s="5" t="str">
        <f>HYPERLINK("#'5.1.1.1-2 Inorganic fert N2O'!A1", "5.1.1.1-2 Inorganic fert N2O")</f>
        <v>5.1.1.1-2 Inorganic fert N2O</v>
      </c>
      <c r="D24" s="1" t="s">
        <v>509</v>
      </c>
      <c r="E24" s="18">
        <v>0.1</v>
      </c>
      <c r="F24" s="16" t="s">
        <v>148</v>
      </c>
    </row>
    <row r="25" spans="1:11" ht="20.100000000000001" customHeight="1" x14ac:dyDescent="0.2">
      <c r="A25" s="5" t="str">
        <f>HYPERLINK("#'5.1.1.3-4 Inorganic fert CO2'!A1", "5.1.1.3-4 Inorganic fert CO2")</f>
        <v>5.1.1.3-4 Inorganic fert CO2</v>
      </c>
      <c r="D25" s="1" t="s">
        <v>510</v>
      </c>
      <c r="E25" s="18">
        <v>0.1</v>
      </c>
      <c r="F25" s="16" t="s">
        <v>148</v>
      </c>
    </row>
    <row r="26" spans="1:11" ht="20.100000000000001" customHeight="1" x14ac:dyDescent="0.2">
      <c r="A26" s="5" t="str">
        <f>HYPERLINK("#'5.2.1.1-2 Organic Fert N2O'!A1", "5.2.1.1-2 Organic fert N2O")</f>
        <v>5.2.1.1-2 Organic fert N2O</v>
      </c>
    </row>
    <row r="27" spans="1:11" ht="20.100000000000001" customHeight="1" x14ac:dyDescent="0.2">
      <c r="A27" s="5" t="str">
        <f>HYPERLINK("#'5.3.1.1-2 Lime CO2'!A1", "5.3.1.1-2 Lime CO2")</f>
        <v>5.3.1.1-2 Lime CO2</v>
      </c>
      <c r="D27" s="1" t="s">
        <v>511</v>
      </c>
      <c r="E27" s="168">
        <v>10000</v>
      </c>
      <c r="F27" s="16" t="s">
        <v>503</v>
      </c>
    </row>
    <row r="28" spans="1:11" ht="20.100000000000001" customHeight="1" x14ac:dyDescent="0.2">
      <c r="A28" s="5" t="str">
        <f>HYPERLINK("#'5.4.1.1-4 Atmos deposition'!A1", "5.4.1.1-4 Atmos. deposition")</f>
        <v>5.4.1.1-4 Atmos. deposition</v>
      </c>
    </row>
    <row r="29" spans="1:11" ht="20.100000000000001" customHeight="1" x14ac:dyDescent="0.2">
      <c r="A29" s="5" t="str">
        <f>HYPERLINK("#'5.5.1.1-2 Leaching and runoff'!A1", "5.5.1.1-2 Leaching &amp; runoff")</f>
        <v>5.5.1.1-2 Leaching &amp; runoff</v>
      </c>
      <c r="D29" s="1" t="s">
        <v>512</v>
      </c>
      <c r="E29" s="169" t="str">
        <f>TEXT(X_Cell_Site_StartDate, "dd mmm yyyy")</f>
        <v>01 Jan 2025</v>
      </c>
      <c r="K29" s="128"/>
    </row>
    <row r="30" spans="1:11" ht="20.100000000000001" customHeight="1" x14ac:dyDescent="0.2">
      <c r="A30" s="5" t="str">
        <f>HYPERLINK("#'6.1.1.1-2 Crop residue N2O'!A1", "6.1.1.1-2 Crop residue N2O")</f>
        <v>6.1.1.1-2 Crop residue N2O</v>
      </c>
      <c r="D30" s="1" t="s">
        <v>513</v>
      </c>
      <c r="E30" s="169" t="str">
        <f>TEXT(X_Cell_Site_EndDate, "dd mmm yyyy")</f>
        <v>31 Dec 2025</v>
      </c>
      <c r="K30" s="128"/>
    </row>
    <row r="31" spans="1:11" ht="20.100000000000001" customHeight="1" x14ac:dyDescent="0.2">
      <c r="A31" s="5" t="str">
        <f>HYPERLINK("#'6.3.1.1-2 Leach runoff crop'!A1", "6.3.1.1-2 Leach &amp; runoff (crop)")</f>
        <v>6.3.1.1-2 Leach &amp; runoff (crop)</v>
      </c>
      <c r="K31" s="128"/>
    </row>
    <row r="32" spans="1:11" ht="20.100000000000001" customHeight="1" x14ac:dyDescent="0.2">
      <c r="A32" s="5" t="str">
        <f>HYPERLINK("#'6.4.1.1-2 Residue burning'!A1", "6.4.1.1-2 Residue burning")</f>
        <v>6.4.1.1-2 Residue burning</v>
      </c>
      <c r="D32" s="79" t="s">
        <v>514</v>
      </c>
      <c r="K32" s="128"/>
    </row>
    <row r="33" spans="1:12" ht="20.100000000000001" customHeight="1" x14ac:dyDescent="0.2">
      <c r="A33" s="5" t="str">
        <f>HYPERLINK("#'8.1.1.1-2 Transport fuel'!A1", "8.1.1.1-2 Transport fuel")</f>
        <v>8.1.1.1-2 Transport fuel</v>
      </c>
      <c r="K33" s="128"/>
    </row>
    <row r="34" spans="1:12" ht="20.100000000000001" customHeight="1" x14ac:dyDescent="0.2">
      <c r="A34" s="5" t="str">
        <f>HYPERLINK("#'8.2.1.1-2 Stationary fuel'!A1", "8.2.1.1-2 Stationary fuel")</f>
        <v>8.2.1.1-2 Stationary fuel</v>
      </c>
      <c r="D34" s="36" t="s">
        <v>515</v>
      </c>
      <c r="E34" s="39"/>
      <c r="K34" s="128"/>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D36" s="80" t="s">
        <v>191</v>
      </c>
      <c r="E36" s="80" t="s">
        <v>516</v>
      </c>
      <c r="F36" s="80" t="s">
        <v>517</v>
      </c>
      <c r="G36" s="80" t="s">
        <v>518</v>
      </c>
      <c r="H36" s="80" t="s">
        <v>519</v>
      </c>
      <c r="I36" s="80" t="s">
        <v>520</v>
      </c>
      <c r="L36" s="128"/>
    </row>
    <row r="37" spans="1:12" ht="20.100000000000001" customHeight="1" x14ac:dyDescent="0.2">
      <c r="A37" s="5" t="str">
        <f>HYPERLINK("#'15 Scope 3'!A1", "15 Scope 3")</f>
        <v>15 Scope 3</v>
      </c>
      <c r="D37" s="20" t="s">
        <v>521</v>
      </c>
      <c r="E37" s="13" t="s">
        <v>522</v>
      </c>
      <c r="F37" s="170">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28"/>
    </row>
    <row r="38" spans="1:12" ht="20.100000000000001" customHeight="1" x14ac:dyDescent="0.2">
      <c r="D38" s="20" t="s">
        <v>523</v>
      </c>
      <c r="E38" s="13" t="s">
        <v>524</v>
      </c>
      <c r="F38" s="170">
        <v>44575</v>
      </c>
      <c r="G38" s="20">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
      <c r="D39" s="20" t="s">
        <v>525</v>
      </c>
      <c r="E39" s="13" t="s">
        <v>522</v>
      </c>
      <c r="F39" s="170">
        <v>45438</v>
      </c>
      <c r="G39" s="20">
        <v>5</v>
      </c>
      <c r="H39" s="15">
        <f>Table_Input_RECSurrendered[[#This Row],[Number of certificates]]</f>
        <v>5</v>
      </c>
      <c r="I39" s="15" t="str">
        <f>IF(DATEDIF(Table_Input_RECSurrendered[[#This Row],[Generation date]],DATEVALUE($E$30),"M")&gt;36,"Ineligible - older than 36 months","Elegible")</f>
        <v>Elegible</v>
      </c>
    </row>
    <row r="40" spans="1:12" s="128" customFormat="1" ht="20.100000000000001" customHeight="1" x14ac:dyDescent="0.2">
      <c r="A40" s="82" t="s">
        <v>1</v>
      </c>
      <c r="C40" s="1"/>
      <c r="D40" s="1"/>
      <c r="E40" s="1"/>
      <c r="F40" s="1"/>
      <c r="G40" s="1"/>
      <c r="H40" s="1"/>
      <c r="I40" s="1"/>
      <c r="J40" s="1"/>
    </row>
    <row r="41" spans="1:12" s="128" customFormat="1" ht="20.100000000000001" customHeight="1" x14ac:dyDescent="0.2">
      <c r="A41" s="5" t="str">
        <f>HYPERLINK("#'Constants - Ag Residue'!A1", "Constants - Ag residue")</f>
        <v>Constants - Ag residue</v>
      </c>
      <c r="C41" s="1"/>
      <c r="D41" s="1" t="s">
        <v>526</v>
      </c>
      <c r="E41" s="15">
        <f>SUMIF(Table_Input_RECSurrendered[Elegibility], "Elegible", Table_Input_RECSurrendered[MWh])</f>
        <v>5</v>
      </c>
      <c r="F41" s="16" t="s">
        <v>519</v>
      </c>
      <c r="G41" s="1"/>
      <c r="H41" s="1"/>
      <c r="I41" s="1"/>
      <c r="J41" s="1"/>
      <c r="L41" s="128" t="s">
        <v>527</v>
      </c>
    </row>
    <row r="42" spans="1:12" ht="20.100000000000001" customHeight="1" x14ac:dyDescent="0.2">
      <c r="A42" s="5" t="str">
        <f>HYPERLINK("#'Constants - Electricity'!A1", "Constants - Electricity")</f>
        <v>Constants - Electricity</v>
      </c>
      <c r="C42" s="116"/>
    </row>
    <row r="43" spans="1:12" ht="20.100000000000001" customHeight="1" x14ac:dyDescent="0.2">
      <c r="A43" s="5" t="str">
        <f>HYPERLINK("#'Constants - Fertiliser'!A1", "Constants - Fertiliser")</f>
        <v>Constants - Fertiliser</v>
      </c>
      <c r="C43" s="116"/>
      <c r="D43" s="79" t="s">
        <v>528</v>
      </c>
      <c r="J43" s="116"/>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c r="D45" s="80" t="s">
        <v>191</v>
      </c>
      <c r="E45" s="80" t="s">
        <v>463</v>
      </c>
      <c r="F45" s="80" t="s">
        <v>517</v>
      </c>
      <c r="G45" s="80" t="s">
        <v>518</v>
      </c>
      <c r="H45" s="80" t="s">
        <v>519</v>
      </c>
      <c r="I45" s="80" t="s">
        <v>520</v>
      </c>
    </row>
    <row r="46" spans="1:12" ht="20.100000000000001" customHeight="1" x14ac:dyDescent="0.2">
      <c r="A46" s="5" t="str">
        <f>HYPERLINK("#'Constants - Solid Waste'!A1", "Constants - Solid Waste")</f>
        <v>Constants - Solid Waste</v>
      </c>
      <c r="D46" s="20" t="s">
        <v>529</v>
      </c>
      <c r="E46" s="171" t="str">
        <f>"Issued for generated electricity"</f>
        <v>Issued for generated electricity</v>
      </c>
      <c r="F46" s="170">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HYPERLINK("#'Constants - Common'!A1", "Constants - Common")</f>
        <v>Constants - Common</v>
      </c>
      <c r="D47" s="20" t="s">
        <v>530</v>
      </c>
      <c r="E47" s="171" t="str">
        <f>"Issued for generated electricity"</f>
        <v>Issued for generated electricity</v>
      </c>
      <c r="F47" s="170">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
      <c r="A48" s="5" t="str">
        <f>HYPERLINK("#'Constants - Common Livestock'!A1", "Constants - Common Livestock")</f>
        <v>Constants - Common Livestock</v>
      </c>
      <c r="D48" s="172">
        <v>45597</v>
      </c>
      <c r="E48" s="171" t="str">
        <f>"Issued for generated electricity"</f>
        <v>Issued for generated electricity</v>
      </c>
      <c r="F48" s="170">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50" spans="4:6" ht="20.100000000000001" customHeight="1" x14ac:dyDescent="0.2">
      <c r="D50" s="1" t="s">
        <v>531</v>
      </c>
      <c r="E50" s="15">
        <f>SUMIF(Table_Input_RECConsumedByEntity[Elegibility], "Elegible", Table_Input_RECConsumedByEntity[Number of certificates])</f>
        <v>0</v>
      </c>
      <c r="F50" s="16" t="s">
        <v>519</v>
      </c>
    </row>
    <row r="55" spans="4:6" ht="20.100000000000001" customHeight="1" x14ac:dyDescent="0.2">
      <c r="D55" s="173"/>
    </row>
    <row r="56" spans="4:6" ht="20.100000000000001" customHeight="1" x14ac:dyDescent="0.2">
      <c r="D56" s="173"/>
    </row>
    <row r="365" spans="4:4" ht="20.100000000000001" customHeight="1" x14ac:dyDescent="0.2">
      <c r="D365" s="89"/>
    </row>
  </sheetData>
  <conditionalFormatting sqref="F130:F131">
    <cfRule type="cellIs" dxfId="35" priority="8" operator="lessThan">
      <formula>0</formula>
    </cfRule>
  </conditionalFormatting>
  <conditionalFormatting sqref="F142:F143">
    <cfRule type="cellIs" dxfId="34" priority="7" operator="lessThan">
      <formula>0</formula>
    </cfRule>
  </conditionalFormatting>
  <conditionalFormatting sqref="F154:F155">
    <cfRule type="cellIs" dxfId="33" priority="6" operator="lessThan">
      <formula>0</formula>
    </cfRule>
  </conditionalFormatting>
  <conditionalFormatting sqref="F166:F167">
    <cfRule type="cellIs" dxfId="32" priority="5" operator="lessThan">
      <formula>0</formula>
    </cfRule>
  </conditionalFormatting>
  <conditionalFormatting sqref="F254:F255">
    <cfRule type="cellIs" dxfId="31" priority="17" operator="lessThan">
      <formula>0</formula>
    </cfRule>
  </conditionalFormatting>
  <conditionalFormatting sqref="F259:F260">
    <cfRule type="cellIs" dxfId="30" priority="16" operator="lessThan">
      <formula>0</formula>
    </cfRule>
  </conditionalFormatting>
  <conditionalFormatting sqref="F264:F265">
    <cfRule type="cellIs" dxfId="29" priority="15" operator="lessThan">
      <formula>0</formula>
    </cfRule>
  </conditionalFormatting>
  <conditionalFormatting sqref="F288:F289">
    <cfRule type="cellIs" dxfId="28" priority="14" operator="lessThan">
      <formula>0</formula>
    </cfRule>
  </conditionalFormatting>
  <conditionalFormatting sqref="F293:F294">
    <cfRule type="cellIs" dxfId="27" priority="13" operator="lessThan">
      <formula>0</formula>
    </cfRule>
  </conditionalFormatting>
  <conditionalFormatting sqref="F298:F299">
    <cfRule type="cellIs" dxfId="26" priority="12" operator="lessThan">
      <formula>0</formula>
    </cfRule>
  </conditionalFormatting>
  <conditionalFormatting sqref="I59:I63">
    <cfRule type="cellIs" dxfId="25" priority="4" operator="lessThan">
      <formula>0</formula>
    </cfRule>
  </conditionalFormatting>
  <conditionalFormatting sqref="I67 I126">
    <cfRule type="cellIs" dxfId="24" priority="10" operator="lessThan">
      <formula>0</formula>
    </cfRule>
  </conditionalFormatting>
  <conditionalFormatting sqref="I78:I80">
    <cfRule type="cellIs" dxfId="23" priority="3" operator="lessThan">
      <formula>0</formula>
    </cfRule>
  </conditionalFormatting>
  <conditionalFormatting sqref="I84:I87">
    <cfRule type="cellIs" dxfId="22" priority="2" operator="lessThan">
      <formula>0</formula>
    </cfRule>
  </conditionalFormatting>
  <conditionalFormatting sqref="I91:I95">
    <cfRule type="cellIs" dxfId="21" priority="1" operator="lessThan">
      <formula>0</formula>
    </cfRule>
  </conditionalFormatting>
  <conditionalFormatting sqref="J35 I49:I50 H51:H53 I52 I54:I55 I206 I212 E214:G214">
    <cfRule type="cellIs" dxfId="20" priority="11" operator="lessThan">
      <formula>0</formula>
    </cfRule>
  </conditionalFormatting>
  <conditionalFormatting sqref="J39 I40 J41 I43">
    <cfRule type="cellIs" dxfId="19" priority="9" operator="lessThan">
      <formula>0</formula>
    </cfRule>
  </conditionalFormatting>
  <dataValidations count="7">
    <dataValidation type="list" allowBlank="1" showInputMessage="1" showErrorMessage="1" sqref="E5" xr:uid="{09F02339-7AA5-4EB6-92FD-3622906230FA}">
      <formula1>"Location-based (simpler), Market-based (more complex)"</formula1>
    </dataValidation>
    <dataValidation type="list" allowBlank="1" showInputMessage="1" showErrorMessage="1" sqref="E37:E39" xr:uid="{9723ED0B-2375-4DBD-90DC-86C42A6399B2}">
      <formula1>"Purchased certificate, Issued for generated electricity"</formula1>
    </dataValidation>
    <dataValidation type="list" allowBlank="1" showInputMessage="1" showErrorMessage="1" sqref="E17" xr:uid="{864FCE75-1144-4F2C-B068-4F9C9A2E49DA}">
      <formula1>INDIRECT("Table_SourceData_ElectricityEFs[State, Territory or grid description]")</formula1>
    </dataValidation>
    <dataValidation type="list" allowBlank="1" showInputMessage="1" showErrorMessage="1" sqref="E69" xr:uid="{21A2C3EA-FBD9-410E-A1EF-5D7406C323F7}">
      <formula1>INDIRECT("Table_SourceData_Swine_IrrigationMethods[Irrigation method]")</formula1>
    </dataValidation>
    <dataValidation type="list" allowBlank="1" showInputMessage="1" showErrorMessage="1" sqref="E253 E258 E263 E297 E292 E287 E165 E153 E129 E141" xr:uid="{03A2F5E0-987F-4388-9141-943F02446B67}">
      <formula1>"Yes, No"</formula1>
    </dataValidation>
    <dataValidation type="list" allowBlank="1" showInputMessage="1" showErrorMessage="1" sqref="E229" xr:uid="{11A8E740-9F59-4FEE-AD12-3C6D2C15B29E}">
      <formula1>INDIRECT("Table_SourceData_Dairy_ProductionSystemTemplates[Area]")</formula1>
    </dataValidation>
    <dataValidation type="list" allowBlank="1" showInputMessage="1" showErrorMessage="1" sqref="D281" xr:uid="{1D3C6F9D-7A6D-4544-A9E4-191B8D9DFD01}">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CE414-B9FC-4C5C-A57A-15F9E7FE5C90}">
  <sheetPr>
    <tabColor theme="5" tint="-0.249977111117893"/>
  </sheetPr>
  <dimension ref="A1:S195"/>
  <sheetViews>
    <sheetView showGridLines="0" zoomScaleNormal="100" workbookViewId="0">
      <pane xSplit="1" topLeftCell="B1" activePane="topRight" state="frozenSplit"/>
      <selection pane="topRight" activeCell="A47" sqref="A47"/>
    </sheetView>
  </sheetViews>
  <sheetFormatPr defaultColWidth="9" defaultRowHeight="20.100000000000001" customHeight="1" x14ac:dyDescent="0.2"/>
  <cols>
    <col min="1" max="1" width="36.7109375" style="229" customWidth="1"/>
    <col min="2" max="2" width="4.140625" style="229" customWidth="1"/>
    <col min="3" max="3" width="4.140625" style="230" customWidth="1"/>
    <col min="4" max="4" width="41.28515625" style="230" customWidth="1"/>
    <col min="5" max="10" width="26.85546875" style="230" customWidth="1"/>
    <col min="11" max="18" width="30.5703125" style="1" customWidth="1"/>
    <col min="19" max="19" width="4.5703125" style="1" customWidth="1"/>
    <col min="20" max="16384" width="9" style="229"/>
  </cols>
  <sheetData>
    <row r="1" spans="1:19" ht="30" customHeight="1" x14ac:dyDescent="0.35">
      <c r="A1" s="10" t="e" vm="1">
        <v>#VALUE!</v>
      </c>
      <c r="C1" s="28" t="s">
        <v>784</v>
      </c>
      <c r="D1" s="22"/>
      <c r="E1" s="22"/>
      <c r="F1" s="22"/>
      <c r="G1" s="22"/>
      <c r="H1" s="22"/>
      <c r="I1" s="22"/>
      <c r="J1" s="22"/>
      <c r="K1" s="22"/>
      <c r="L1" s="22"/>
      <c r="M1" s="22"/>
      <c r="N1" s="22"/>
      <c r="O1" s="22"/>
      <c r="P1" s="22"/>
      <c r="Q1" s="22"/>
      <c r="R1" s="22"/>
      <c r="S1" s="22"/>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c r="C4" s="25"/>
      <c r="D4" s="25"/>
      <c r="E4" s="25"/>
      <c r="F4" s="25"/>
      <c r="G4" s="25"/>
      <c r="H4" s="25"/>
      <c r="I4" s="25"/>
      <c r="J4" s="25"/>
    </row>
    <row r="5" spans="1:19" ht="20.100000000000001" customHeight="1" x14ac:dyDescent="0.2">
      <c r="A5" s="5" t="str">
        <f>HYPERLINK("#'Results - Product EI'!A1", "Results - Product EI")</f>
        <v>Results - Product EI</v>
      </c>
      <c r="C5" s="1"/>
      <c r="D5" s="2" t="s">
        <v>785</v>
      </c>
      <c r="E5" s="25"/>
      <c r="F5" s="25"/>
      <c r="G5" s="25"/>
      <c r="H5" s="25"/>
      <c r="I5" s="25"/>
      <c r="J5" s="25"/>
    </row>
    <row r="6" spans="1:19" ht="20.100000000000001" customHeight="1" x14ac:dyDescent="0.2">
      <c r="A6"/>
      <c r="C6" s="1"/>
    </row>
    <row r="7" spans="1:19" ht="20.100000000000001" customHeight="1" x14ac:dyDescent="0.2">
      <c r="A7"/>
      <c r="C7" s="1"/>
      <c r="D7" s="80" t="s">
        <v>786</v>
      </c>
      <c r="E7" s="80" t="s">
        <v>787</v>
      </c>
      <c r="F7" s="80" t="s">
        <v>788</v>
      </c>
    </row>
    <row r="8" spans="1:19" ht="20.100000000000001" customHeight="1" x14ac:dyDescent="0.2">
      <c r="A8" s="7" t="s">
        <v>0</v>
      </c>
      <c r="C8" s="1"/>
      <c r="D8" s="34" t="s">
        <v>789</v>
      </c>
      <c r="E8" s="13" t="s">
        <v>790</v>
      </c>
      <c r="F8" s="76">
        <v>100</v>
      </c>
    </row>
    <row r="9" spans="1:19" ht="20.100000000000001" customHeight="1" x14ac:dyDescent="0.2">
      <c r="A9" s="5" t="str">
        <f>HYPERLINK("#'Input - Enterprise'!A1", "Enterprise")</f>
        <v>Enterprise</v>
      </c>
      <c r="C9" s="1"/>
      <c r="D9" s="34" t="s">
        <v>791</v>
      </c>
      <c r="E9" s="86" t="s">
        <v>792</v>
      </c>
      <c r="F9" s="231">
        <v>100</v>
      </c>
    </row>
    <row r="10" spans="1:19" ht="20.100000000000001" customHeight="1" x14ac:dyDescent="0.2">
      <c r="A10" s="5" t="str">
        <f>HYPERLINK("#'Input - Site'!A1", "Site")</f>
        <v>Site</v>
      </c>
      <c r="D10" s="34" t="s">
        <v>793</v>
      </c>
      <c r="E10" s="86" t="s">
        <v>794</v>
      </c>
      <c r="F10" s="231">
        <v>100</v>
      </c>
    </row>
    <row r="11" spans="1:19" ht="20.100000000000001" customHeight="1" x14ac:dyDescent="0.2">
      <c r="A11" s="5" t="str">
        <f>HYPERLINK("#'Input - Crop'!A1", "Crop")</f>
        <v>Crop</v>
      </c>
      <c r="D11" s="34" t="s">
        <v>793</v>
      </c>
      <c r="E11" s="86" t="s">
        <v>794</v>
      </c>
      <c r="F11" s="231">
        <v>100</v>
      </c>
    </row>
    <row r="12" spans="1:19" ht="20.100000000000001" customHeight="1" x14ac:dyDescent="0.2">
      <c r="A12" s="5" t="str">
        <f>HYPERLINK("#'Input - Fert Prod System'!A1", "Fert Prod System")</f>
        <v>Fert Prod System</v>
      </c>
      <c r="C12" s="1"/>
      <c r="D12" s="34" t="s">
        <v>789</v>
      </c>
      <c r="E12" s="86" t="s">
        <v>790</v>
      </c>
      <c r="F12" s="231">
        <v>100</v>
      </c>
    </row>
    <row r="13" spans="1:19" ht="20.100000000000001" customHeight="1" x14ac:dyDescent="0.2">
      <c r="A13" s="5" t="str">
        <f>HYPERLINK("#'Input - Fertiliser'!A1", "Fertiliser")</f>
        <v>Fertiliser</v>
      </c>
      <c r="C13" s="1"/>
      <c r="D13" s="34" t="s">
        <v>789</v>
      </c>
      <c r="E13" s="86" t="s">
        <v>790</v>
      </c>
      <c r="F13" s="231">
        <v>100</v>
      </c>
    </row>
    <row r="14" spans="1:19" ht="20.100000000000001" customHeight="1" x14ac:dyDescent="0.2">
      <c r="A14" s="5" t="str">
        <f>HYPERLINK("#'Input - Fuel'!A1", "Fuel")</f>
        <v>Fuel</v>
      </c>
      <c r="D14" s="34"/>
      <c r="E14" s="13"/>
      <c r="F14" s="76"/>
    </row>
    <row r="15" spans="1:19" ht="20.100000000000001" customHeight="1" x14ac:dyDescent="0.2">
      <c r="A15" s="5" t="str">
        <f>HYPERLINK("#'Input - Electricity'!A1", "Electricity")</f>
        <v>Electricity</v>
      </c>
      <c r="D15" s="34"/>
      <c r="E15" s="13"/>
      <c r="F15" s="76"/>
    </row>
    <row r="16" spans="1:19" ht="20.100000000000001" customHeight="1" x14ac:dyDescent="0.2">
      <c r="A16" s="102" t="str">
        <f>HYPERLINK("#'Input - Common farm inputs'!A1", "Common farm inputs")</f>
        <v>Common farm inputs</v>
      </c>
      <c r="D16" s="34"/>
      <c r="E16" s="13"/>
      <c r="F16" s="76"/>
    </row>
    <row r="17" spans="1:10" ht="20.100000000000001" customHeight="1" x14ac:dyDescent="0.2">
      <c r="A17" s="5" t="str">
        <f>HYPERLINK("#'Input - Crop pasture farm input'!A1", "Crop pasture farm input")</f>
        <v>Crop pasture farm input</v>
      </c>
      <c r="C17" s="1"/>
      <c r="D17" s="34"/>
      <c r="E17" s="13"/>
      <c r="F17" s="76"/>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Data quality'!A1", "Data quality")</f>
        <v>Data quality</v>
      </c>
      <c r="D20" s="2" t="s">
        <v>795</v>
      </c>
    </row>
    <row r="21" spans="1:10" ht="20.100000000000001" customHeight="1" x14ac:dyDescent="0.2">
      <c r="A21"/>
      <c r="D21" s="26"/>
      <c r="I21" s="25"/>
      <c r="J21" s="25"/>
    </row>
    <row r="22" spans="1:10" ht="20.100000000000001" customHeight="1" x14ac:dyDescent="0.2">
      <c r="A22"/>
      <c r="D22" s="232" t="s">
        <v>796</v>
      </c>
      <c r="E22" s="232" t="s">
        <v>797</v>
      </c>
      <c r="F22" s="232" t="s">
        <v>798</v>
      </c>
      <c r="G22" s="232" t="s">
        <v>553</v>
      </c>
    </row>
    <row r="23" spans="1:10" ht="20.100000000000001" customHeight="1" x14ac:dyDescent="0.2">
      <c r="A23" s="6" t="s">
        <v>2</v>
      </c>
      <c r="D23" s="34" t="s">
        <v>799</v>
      </c>
      <c r="E23" s="34" t="s">
        <v>800</v>
      </c>
      <c r="F23" s="76">
        <v>10000</v>
      </c>
      <c r="G23" s="13" t="s">
        <v>801</v>
      </c>
    </row>
    <row r="24" spans="1:10" ht="20.100000000000001" customHeight="1" x14ac:dyDescent="0.2">
      <c r="A24" s="5" t="str">
        <f>HYPERLINK("#'5.1.1.1-2 Inorganic fert N2O'!A1", "5.1.1.1-2 Inorganic fert N2O")</f>
        <v>5.1.1.1-2 Inorganic fert N2O</v>
      </c>
      <c r="D24" s="34" t="s">
        <v>802</v>
      </c>
      <c r="E24" s="34" t="s">
        <v>803</v>
      </c>
      <c r="F24" s="76">
        <v>1000</v>
      </c>
      <c r="G24" s="13" t="s">
        <v>804</v>
      </c>
    </row>
    <row r="25" spans="1:10" ht="20.100000000000001" customHeight="1" x14ac:dyDescent="0.2">
      <c r="A25" s="5" t="str">
        <f>HYPERLINK("#'5.1.1.3-4 Inorganic fert CO2'!A1", "5.1.1.3-4 Inorganic fert CO2")</f>
        <v>5.1.1.3-4 Inorganic fert CO2</v>
      </c>
      <c r="C25" s="1"/>
      <c r="D25" s="34"/>
      <c r="E25" s="34"/>
      <c r="F25" s="76"/>
      <c r="G25" s="13"/>
    </row>
    <row r="26" spans="1:10" ht="20.100000000000001" customHeight="1" x14ac:dyDescent="0.2">
      <c r="A26" s="5" t="str">
        <f>HYPERLINK("#'5.2.1.1-2 Organic Fert N2O'!A1", "5.2.1.1-2 Organic fert N2O")</f>
        <v>5.2.1.1-2 Organic fert N2O</v>
      </c>
      <c r="C26" s="1"/>
      <c r="D26" s="34"/>
      <c r="E26" s="34"/>
      <c r="F26" s="76"/>
      <c r="G26" s="13"/>
    </row>
    <row r="27" spans="1:10" ht="20.100000000000001" customHeight="1" x14ac:dyDescent="0.2">
      <c r="A27" s="5" t="str">
        <f>HYPERLINK("#'5.3.1.1-2 Lime CO2'!A1", "5.3.1.1-2 Lime CO2")</f>
        <v>5.3.1.1-2 Lime CO2</v>
      </c>
      <c r="C27" s="1"/>
      <c r="D27" s="34"/>
      <c r="E27" s="34"/>
      <c r="F27" s="76"/>
      <c r="G27" s="13"/>
    </row>
    <row r="28" spans="1:10" ht="20.100000000000001" customHeight="1" x14ac:dyDescent="0.2">
      <c r="A28" s="5" t="str">
        <f>HYPERLINK("#'5.4.1.1-4 Atmos deposition'!A1", "5.4.1.1-4 Atmos. deposition")</f>
        <v>5.4.1.1-4 Atmos. deposition</v>
      </c>
      <c r="D28" s="34"/>
      <c r="E28" s="34"/>
      <c r="F28" s="76"/>
      <c r="G28" s="13"/>
    </row>
    <row r="29" spans="1:10" ht="20.100000000000001" customHeight="1" x14ac:dyDescent="0.2">
      <c r="A29" s="5" t="str">
        <f>HYPERLINK("#'5.5.1.1-2 Leaching and runoff'!A1", "5.5.1.1-2 Leaching &amp; runoff")</f>
        <v>5.5.1.1-2 Leaching &amp; runoff</v>
      </c>
      <c r="D29" s="34"/>
      <c r="E29" s="34"/>
      <c r="F29" s="76"/>
      <c r="G29" s="13"/>
    </row>
    <row r="30" spans="1:10" ht="20.100000000000001" customHeight="1" x14ac:dyDescent="0.2">
      <c r="A30" s="5" t="str">
        <f>HYPERLINK("#'6.1.1.1-2 Crop residue N2O'!A1", "6.1.1.1-2 Crop residue N2O")</f>
        <v>6.1.1.1-2 Crop residue N2O</v>
      </c>
      <c r="D30" s="34"/>
      <c r="E30" s="34"/>
      <c r="F30" s="76"/>
      <c r="G30" s="13"/>
    </row>
    <row r="31" spans="1:10" ht="20.100000000000001" customHeight="1" x14ac:dyDescent="0.2">
      <c r="A31" s="5" t="str">
        <f>HYPERLINK("#'6.3.1.1-2 Leach runoff crop'!A1", "6.3.1.1-2 Leach &amp; runoff (crop)")</f>
        <v>6.3.1.1-2 Leach &amp; runoff (crop)</v>
      </c>
      <c r="D31" s="34"/>
      <c r="E31" s="34"/>
      <c r="F31" s="76"/>
      <c r="G31" s="13"/>
    </row>
    <row r="32" spans="1:10" ht="20.100000000000001" customHeight="1" x14ac:dyDescent="0.2">
      <c r="A32" s="5" t="str">
        <f>HYPERLINK("#'6.4.1.1-2 Residue burning'!A1", "6.4.1.1-2 Residue burning")</f>
        <v>6.4.1.1-2 Residue burning</v>
      </c>
      <c r="D32" s="34"/>
      <c r="E32" s="34"/>
      <c r="F32" s="76"/>
      <c r="G32" s="13"/>
    </row>
    <row r="33" spans="1:6" ht="20.100000000000001" customHeight="1" x14ac:dyDescent="0.2">
      <c r="A33" s="5" t="str">
        <f>HYPERLINK("#'8.1.1.1-2 Transport fuel'!A1", "8.1.1.1-2 Transport fuel")</f>
        <v>8.1.1.1-2 Transport fuel</v>
      </c>
    </row>
    <row r="34" spans="1:6" ht="20.100000000000001" customHeight="1" x14ac:dyDescent="0.2">
      <c r="A34" s="5" t="str">
        <f>HYPERLINK("#'8.2.1.1-2 Stationary fuel'!A1", "8.2.1.1-2 Stationary fuel")</f>
        <v>8.2.1.1-2 Stationary fuel</v>
      </c>
    </row>
    <row r="35" spans="1:6" ht="20.100000000000001" customHeight="1" x14ac:dyDescent="0.2">
      <c r="A35" s="5" t="str">
        <f>HYPERLINK("#'10.1.1-2 Solid waste treatment'!A1", "10.1.1.1-2 Solid waste")</f>
        <v>10.1.1.1-2 Solid waste</v>
      </c>
      <c r="D35" s="2" t="s">
        <v>805</v>
      </c>
    </row>
    <row r="36" spans="1:6" ht="20.100000000000001" customHeight="1" x14ac:dyDescent="0.2">
      <c r="A36" s="5" t="str">
        <f>HYPERLINK("#'14.1.1-2 Purchased electricity'!A1", "14.1.1-2 Purchased electricity")</f>
        <v>14.1.1-2 Purchased electricity</v>
      </c>
      <c r="D36" s="26"/>
    </row>
    <row r="37" spans="1:6" ht="20.100000000000001" customHeight="1" x14ac:dyDescent="0.2">
      <c r="A37" s="5" t="str">
        <f>HYPERLINK("#'15 Scope 3'!A1", "15 Scope 3")</f>
        <v>15 Scope 3</v>
      </c>
      <c r="D37" s="80" t="s">
        <v>806</v>
      </c>
      <c r="E37" s="80" t="s">
        <v>644</v>
      </c>
      <c r="F37" s="80" t="s">
        <v>553</v>
      </c>
    </row>
    <row r="38" spans="1:6" ht="20.100000000000001" customHeight="1" x14ac:dyDescent="0.2">
      <c r="A38"/>
      <c r="D38" s="34" t="s">
        <v>807</v>
      </c>
      <c r="E38" s="76">
        <v>1000</v>
      </c>
      <c r="F38" s="34" t="s">
        <v>370</v>
      </c>
    </row>
    <row r="39" spans="1:6" ht="20.100000000000001" customHeight="1" x14ac:dyDescent="0.2">
      <c r="A39"/>
      <c r="D39" s="34"/>
      <c r="E39" s="76"/>
      <c r="F39" s="34"/>
    </row>
    <row r="40" spans="1:6" ht="20.100000000000001" customHeight="1" x14ac:dyDescent="0.2">
      <c r="A40" s="82" t="s">
        <v>1</v>
      </c>
      <c r="D40" s="34"/>
      <c r="E40" s="76"/>
      <c r="F40" s="34"/>
    </row>
    <row r="41" spans="1:6" ht="20.100000000000001" customHeight="1" x14ac:dyDescent="0.2">
      <c r="A41" s="5" t="str">
        <f>HYPERLINK("#'Constants - Ag Residue'!A1", "Constants - Ag residue")</f>
        <v>Constants - Ag residue</v>
      </c>
      <c r="D41" s="34"/>
      <c r="E41" s="76"/>
      <c r="F41" s="34"/>
    </row>
    <row r="42" spans="1:6" ht="20.100000000000001" customHeight="1" x14ac:dyDescent="0.2">
      <c r="A42" s="5" t="str">
        <f>HYPERLINK("#'Constants - Electricity'!A1", "Constants - Electricity")</f>
        <v>Constants - Electricity</v>
      </c>
      <c r="D42" s="34"/>
      <c r="E42" s="76"/>
      <c r="F42" s="34"/>
    </row>
    <row r="43" spans="1:6" ht="20.100000000000001" customHeight="1" x14ac:dyDescent="0.2">
      <c r="A43" s="5" t="str">
        <f>HYPERLINK("#'Constants - Fertiliser'!A1", "Constants - Fertiliser")</f>
        <v>Constants - Fertiliser</v>
      </c>
      <c r="D43" s="34"/>
      <c r="E43" s="76"/>
      <c r="F43" s="34"/>
    </row>
    <row r="44" spans="1:6" ht="20.100000000000001" customHeight="1" x14ac:dyDescent="0.2">
      <c r="A44" s="5" t="str">
        <f>HYPERLINK("#'Constants - Fuel'!A1", "Constants - Fuel")</f>
        <v>Constants - Fuel</v>
      </c>
      <c r="C44" s="1"/>
      <c r="D44" s="34"/>
      <c r="E44" s="76"/>
      <c r="F44" s="34"/>
    </row>
    <row r="45" spans="1:6" ht="20.100000000000001" customHeight="1" x14ac:dyDescent="0.2">
      <c r="A45" s="5" t="str">
        <f>HYPERLINK("#'Constants - Scope 3'!A1", "Constants - Scope 3")</f>
        <v>Constants - Scope 3</v>
      </c>
      <c r="C45" s="1"/>
      <c r="D45" s="34"/>
      <c r="E45" s="76"/>
      <c r="F45" s="34"/>
    </row>
    <row r="46" spans="1:6" ht="20.100000000000001" customHeight="1" x14ac:dyDescent="0.2">
      <c r="A46" s="5" t="str">
        <f>HYPERLINK("#'Constants - Solid Waste'!A1", "Constants - Solid Waste")</f>
        <v>Constants - Solid Waste</v>
      </c>
      <c r="C46" s="1"/>
      <c r="D46" s="34"/>
      <c r="E46" s="76"/>
      <c r="F46" s="34"/>
    </row>
    <row r="47" spans="1:6" ht="20.100000000000001" customHeight="1" x14ac:dyDescent="0.2">
      <c r="A47" s="5" t="str">
        <f>HYPERLINK("#'Constants - Common'!A1", "Constants - Common")</f>
        <v>Constants - Common</v>
      </c>
      <c r="C47" s="1"/>
      <c r="D47" s="34"/>
      <c r="E47" s="76"/>
      <c r="F47" s="34"/>
    </row>
    <row r="48" spans="1:6" ht="20.100000000000001" customHeight="1" x14ac:dyDescent="0.2">
      <c r="A48" s="5" t="str">
        <f>HYPERLINK("#'Constants - Common Livestock'!A1", "Constants - Common Livestock")</f>
        <v>Constants - Common Livestock</v>
      </c>
      <c r="C48" s="1"/>
    </row>
    <row r="49" spans="1:3" ht="20.100000000000001" customHeight="1" x14ac:dyDescent="0.2">
      <c r="A49"/>
      <c r="C49" s="1"/>
    </row>
    <row r="50" spans="1:3" ht="20.100000000000001" customHeight="1" x14ac:dyDescent="0.2">
      <c r="A50"/>
    </row>
    <row r="51" spans="1:3" ht="20.100000000000001" customHeight="1" x14ac:dyDescent="0.2">
      <c r="A51"/>
    </row>
    <row r="52" spans="1:3" ht="20.100000000000001" customHeight="1" x14ac:dyDescent="0.2">
      <c r="A52"/>
    </row>
    <row r="53" spans="1:3" ht="20.100000000000001" customHeight="1" x14ac:dyDescent="0.2">
      <c r="A53"/>
    </row>
    <row r="54" spans="1:3" ht="20.100000000000001" customHeight="1" x14ac:dyDescent="0.2">
      <c r="A54"/>
    </row>
    <row r="55" spans="1:3" ht="20.100000000000001" customHeight="1" x14ac:dyDescent="0.2">
      <c r="A55"/>
    </row>
    <row r="56" spans="1:3" ht="20.100000000000001" customHeight="1" x14ac:dyDescent="0.2">
      <c r="A56"/>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0"/>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5"/>
    </row>
    <row r="93" spans="1:10" ht="20.100000000000001" customHeight="1" x14ac:dyDescent="0.2">
      <c r="A93"/>
      <c r="J93" s="25"/>
    </row>
    <row r="94" spans="1:10" ht="20.100000000000001" customHeight="1" x14ac:dyDescent="0.2">
      <c r="A94"/>
      <c r="J94" s="25"/>
    </row>
    <row r="95" spans="1:10" ht="20.100000000000001" customHeight="1" x14ac:dyDescent="0.2">
      <c r="A95"/>
      <c r="J95" s="25"/>
    </row>
    <row r="96" spans="1:10" ht="20.100000000000001" customHeight="1" x14ac:dyDescent="0.2">
      <c r="A96"/>
      <c r="J96" s="25"/>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5"/>
      <c r="M113" s="25"/>
      <c r="N113" s="25"/>
      <c r="O113" s="25"/>
      <c r="P113" s="25"/>
    </row>
    <row r="114" spans="1:16" ht="20.100000000000001" customHeight="1" x14ac:dyDescent="0.2">
      <c r="A114"/>
      <c r="J114" s="1"/>
      <c r="L114" s="25"/>
      <c r="M114" s="25"/>
      <c r="N114" s="25"/>
      <c r="O114" s="25"/>
      <c r="P114" s="25"/>
    </row>
    <row r="115" spans="1:16" ht="20.100000000000001" customHeight="1" x14ac:dyDescent="0.2">
      <c r="A115"/>
      <c r="J115" s="1"/>
      <c r="L115" s="25"/>
      <c r="M115" s="25"/>
      <c r="N115" s="25"/>
      <c r="O115" s="25"/>
      <c r="P115" s="25"/>
    </row>
    <row r="116" spans="1:16" ht="20.100000000000001" customHeight="1" x14ac:dyDescent="0.2">
      <c r="A116"/>
      <c r="I116" s="25"/>
      <c r="J116" s="1"/>
      <c r="N116" s="25"/>
      <c r="O116" s="25"/>
      <c r="P116" s="25"/>
    </row>
    <row r="117" spans="1:16" ht="20.100000000000001" customHeight="1" x14ac:dyDescent="0.2">
      <c r="A117"/>
      <c r="I117" s="25"/>
      <c r="J117" s="1"/>
      <c r="N117" s="25"/>
      <c r="O117" s="25"/>
      <c r="P117" s="25"/>
    </row>
    <row r="118" spans="1:16" ht="20.100000000000001" customHeight="1" x14ac:dyDescent="0.2">
      <c r="A118"/>
      <c r="J118" s="25"/>
      <c r="N118" s="2"/>
      <c r="O118" s="2"/>
      <c r="P118" s="25"/>
    </row>
    <row r="119" spans="1:16" ht="20.100000000000001" customHeight="1" x14ac:dyDescent="0.2">
      <c r="A119"/>
      <c r="J119" s="25"/>
      <c r="P119" s="8"/>
    </row>
    <row r="120" spans="1:16" ht="20.100000000000001" customHeight="1" x14ac:dyDescent="0.2">
      <c r="A120"/>
      <c r="J120" s="25"/>
      <c r="P120" s="8"/>
    </row>
    <row r="121" spans="1:16" ht="20.100000000000001" customHeight="1" x14ac:dyDescent="0.2">
      <c r="A121"/>
      <c r="J121" s="2"/>
      <c r="P121" s="8"/>
    </row>
    <row r="122" spans="1:16" ht="20.100000000000001" customHeight="1" x14ac:dyDescent="0.2">
      <c r="A122"/>
      <c r="G122" s="25"/>
      <c r="H122" s="1"/>
      <c r="J122" s="1"/>
      <c r="P122" s="8"/>
    </row>
    <row r="123" spans="1:16" ht="20.100000000000001" customHeight="1" x14ac:dyDescent="0.2">
      <c r="A123"/>
      <c r="G123" s="25"/>
      <c r="H123" s="1"/>
      <c r="J123" s="1"/>
      <c r="P123" s="8"/>
    </row>
    <row r="124" spans="1:16" ht="20.100000000000001" customHeight="1" x14ac:dyDescent="0.2">
      <c r="A124"/>
      <c r="G124" s="25"/>
      <c r="H124" s="25"/>
      <c r="J124" s="1"/>
      <c r="N124" s="25"/>
      <c r="O124" s="25"/>
      <c r="P124" s="25"/>
    </row>
    <row r="125" spans="1:16" ht="20.100000000000001" customHeight="1" x14ac:dyDescent="0.2">
      <c r="A125"/>
      <c r="G125" s="25"/>
      <c r="H125" s="25"/>
      <c r="I125" s="25"/>
      <c r="J125" s="1"/>
      <c r="N125" s="25"/>
      <c r="O125" s="25"/>
      <c r="P125" s="25"/>
    </row>
    <row r="126" spans="1:16" ht="20.100000000000001" customHeight="1" x14ac:dyDescent="0.2">
      <c r="A126"/>
      <c r="G126" s="25"/>
      <c r="I126" s="25"/>
      <c r="J126" s="1"/>
    </row>
    <row r="127" spans="1:16" ht="20.100000000000001" customHeight="1" x14ac:dyDescent="0.2">
      <c r="A127"/>
      <c r="I127" s="25"/>
      <c r="J127" s="25"/>
    </row>
    <row r="128" spans="1:16" ht="20.100000000000001" customHeight="1" x14ac:dyDescent="0.2">
      <c r="A128"/>
      <c r="I128" s="25"/>
      <c r="J128" s="25"/>
    </row>
    <row r="129" spans="1:13" ht="20.100000000000001" customHeight="1" x14ac:dyDescent="0.2">
      <c r="A129"/>
      <c r="I129" s="25"/>
      <c r="L129" s="25"/>
      <c r="M129" s="25"/>
    </row>
    <row r="130" spans="1:13" ht="20.100000000000001" customHeight="1" x14ac:dyDescent="0.2">
      <c r="A130"/>
      <c r="I130" s="25"/>
      <c r="L130" s="25"/>
      <c r="M130" s="25"/>
    </row>
    <row r="131" spans="1:13" ht="20.100000000000001" customHeight="1" x14ac:dyDescent="0.2">
      <c r="A131"/>
      <c r="G131" s="1"/>
      <c r="I131" s="1"/>
      <c r="L131" s="2"/>
      <c r="M131" s="2"/>
    </row>
    <row r="132" spans="1:13" ht="20.100000000000001" customHeight="1" x14ac:dyDescent="0.2">
      <c r="A132"/>
      <c r="G132" s="25"/>
      <c r="I132" s="1"/>
    </row>
    <row r="133" spans="1:13" ht="20.100000000000001" customHeight="1" x14ac:dyDescent="0.2">
      <c r="A133"/>
      <c r="G133" s="25"/>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5"/>
    </row>
    <row r="137" spans="1:13" ht="20.100000000000001" customHeight="1" x14ac:dyDescent="0.2">
      <c r="A137"/>
      <c r="I137" s="25"/>
      <c r="L137" s="25"/>
      <c r="M137" s="25"/>
    </row>
    <row r="138" spans="1:13" ht="20.100000000000001" customHeight="1" x14ac:dyDescent="0.2">
      <c r="A138"/>
      <c r="L138" s="25"/>
      <c r="M138" s="25"/>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29"/>
    </row>
    <row r="166" spans="1:19" ht="20.100000000000001" customHeight="1" x14ac:dyDescent="0.2">
      <c r="A166"/>
      <c r="S166" s="229"/>
    </row>
    <row r="167" spans="1:19" ht="20.100000000000001" customHeight="1" x14ac:dyDescent="0.2">
      <c r="A167"/>
      <c r="S167" s="229"/>
    </row>
    <row r="168" spans="1:19" ht="20.100000000000001" customHeight="1" x14ac:dyDescent="0.2">
      <c r="A168"/>
      <c r="S168" s="229"/>
    </row>
    <row r="169" spans="1:19" ht="20.100000000000001" customHeight="1" x14ac:dyDescent="0.2">
      <c r="A169"/>
      <c r="S169" s="229"/>
    </row>
    <row r="170" spans="1:19" ht="20.100000000000001" customHeight="1" x14ac:dyDescent="0.2">
      <c r="A170"/>
      <c r="S170" s="229"/>
    </row>
    <row r="171" spans="1:19" ht="20.100000000000001" customHeight="1" x14ac:dyDescent="0.2">
      <c r="A171"/>
      <c r="S171" s="229"/>
    </row>
    <row r="172" spans="1:19" ht="20.100000000000001" customHeight="1" x14ac:dyDescent="0.2">
      <c r="A172"/>
      <c r="S172" s="229"/>
    </row>
    <row r="173" spans="1:19" ht="20.100000000000001" customHeight="1" x14ac:dyDescent="0.2">
      <c r="A173"/>
      <c r="S173" s="229"/>
    </row>
    <row r="174" spans="1:19" ht="20.100000000000001" customHeight="1" x14ac:dyDescent="0.2">
      <c r="A174"/>
      <c r="S174" s="229"/>
    </row>
    <row r="175" spans="1:19" ht="20.100000000000001" customHeight="1" x14ac:dyDescent="0.2">
      <c r="A175"/>
      <c r="S175" s="229"/>
    </row>
    <row r="176" spans="1:19" ht="20.100000000000001" customHeight="1" x14ac:dyDescent="0.2">
      <c r="A176"/>
      <c r="K176" s="25"/>
    </row>
    <row r="177" spans="1:19" ht="20.100000000000001" customHeight="1" x14ac:dyDescent="0.2">
      <c r="A177"/>
      <c r="K177" s="25"/>
    </row>
    <row r="178" spans="1:19" ht="20.100000000000001" customHeight="1" x14ac:dyDescent="0.2">
      <c r="A178"/>
    </row>
    <row r="179" spans="1:19" ht="20.100000000000001" customHeight="1" x14ac:dyDescent="0.2">
      <c r="A179"/>
    </row>
    <row r="180" spans="1:19" ht="20.100000000000001" customHeight="1" x14ac:dyDescent="0.2">
      <c r="A180"/>
      <c r="S180" s="229"/>
    </row>
    <row r="181" spans="1:19" ht="20.100000000000001" customHeight="1" x14ac:dyDescent="0.2">
      <c r="A181"/>
      <c r="S181" s="229"/>
    </row>
    <row r="182" spans="1:19" ht="20.100000000000001" customHeight="1" x14ac:dyDescent="0.2">
      <c r="A182"/>
      <c r="S182" s="229"/>
    </row>
    <row r="183" spans="1:19" ht="20.100000000000001" customHeight="1" x14ac:dyDescent="0.2">
      <c r="A183"/>
      <c r="S183" s="229"/>
    </row>
    <row r="184" spans="1:19" ht="20.100000000000001" customHeight="1" x14ac:dyDescent="0.2">
      <c r="A184"/>
      <c r="S184" s="229"/>
    </row>
    <row r="185" spans="1:19" ht="20.100000000000001" customHeight="1" x14ac:dyDescent="0.2">
      <c r="A185"/>
      <c r="S185" s="229"/>
    </row>
    <row r="186" spans="1:19" ht="20.100000000000001" customHeight="1" x14ac:dyDescent="0.2">
      <c r="A186"/>
      <c r="S186" s="229"/>
    </row>
    <row r="187" spans="1:19" ht="20.100000000000001" customHeight="1" x14ac:dyDescent="0.2">
      <c r="A187"/>
      <c r="S187" s="229"/>
    </row>
    <row r="188" spans="1:19" ht="20.100000000000001" customHeight="1" x14ac:dyDescent="0.2">
      <c r="A188"/>
      <c r="S188" s="229"/>
    </row>
    <row r="189" spans="1:19" ht="20.100000000000001" customHeight="1" x14ac:dyDescent="0.2">
      <c r="A189"/>
      <c r="S189" s="229"/>
    </row>
    <row r="190" spans="1:19" ht="20.100000000000001" customHeight="1" x14ac:dyDescent="0.2">
      <c r="A190"/>
      <c r="S190" s="22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6D6C3DFB-0F38-4F8D-94DB-84D0B6CD8764}">
      <formula1>INDIRECT("Table_Scope3_AquacultureFeedBait[Feed / Bait ingredient]")</formula1>
    </dataValidation>
    <dataValidation type="list" allowBlank="1" showInputMessage="1" showErrorMessage="1" sqref="G23:G32" xr:uid="{12F3A89A-D308-4D71-B081-93D7A4976C18}">
      <formula1>"Hour, Hectare"</formula1>
    </dataValidation>
    <dataValidation type="list" allowBlank="1" showInputMessage="1" showErrorMessage="1" sqref="E8:E17" xr:uid="{06273E95-C399-4123-9A61-32A73A5E7AB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185EF-3BA3-4389-9A29-D4D205B971A8}">
  <sheetPr>
    <tabColor theme="5" tint="-0.249977111117893"/>
  </sheetPr>
  <dimension ref="A1:S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808</v>
      </c>
    </row>
    <row r="2" spans="1:19" s="3" customFormat="1" ht="20.100000000000001" customHeight="1" x14ac:dyDescent="0.2">
      <c r="A2"/>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EI")</f>
        <v>Results - Product EI</v>
      </c>
      <c r="D5" s="233" t="s">
        <v>809</v>
      </c>
      <c r="E5" s="8"/>
      <c r="F5" s="8"/>
      <c r="G5" s="8"/>
      <c r="H5" s="8"/>
      <c r="I5" s="8"/>
      <c r="J5" s="8"/>
    </row>
    <row r="6" spans="1:19" ht="20.100000000000001" customHeight="1" x14ac:dyDescent="0.2">
      <c r="D6" s="234" t="s">
        <v>810</v>
      </c>
      <c r="E6" s="234"/>
      <c r="F6" s="99"/>
      <c r="G6" s="45"/>
      <c r="H6" s="25"/>
      <c r="I6" s="25"/>
      <c r="J6" s="25"/>
    </row>
    <row r="7" spans="1:19" ht="20.100000000000001" customHeight="1" x14ac:dyDescent="0.2">
      <c r="D7" s="46" t="s">
        <v>811</v>
      </c>
      <c r="E7" s="47"/>
      <c r="F7" s="47"/>
      <c r="G7" s="48"/>
      <c r="H7" s="25"/>
      <c r="I7" s="25"/>
      <c r="J7" s="25"/>
    </row>
    <row r="8" spans="1:19" ht="20.100000000000001" customHeight="1" x14ac:dyDescent="0.2">
      <c r="A8" s="7" t="s">
        <v>0</v>
      </c>
      <c r="D8" s="8"/>
      <c r="E8" s="8"/>
      <c r="F8" s="8"/>
      <c r="G8" s="8"/>
      <c r="H8" s="8"/>
      <c r="I8" s="8"/>
      <c r="J8" s="8"/>
      <c r="K8" s="8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5" t="str">
        <f>HYPERLINK("#'Input - Enterprise'!A1", "Enterprise")</f>
        <v>Enterprise</v>
      </c>
      <c r="D9" s="104" t="s">
        <v>786</v>
      </c>
      <c r="E9" s="104" t="s">
        <v>812</v>
      </c>
      <c r="F9" s="104" t="s">
        <v>813</v>
      </c>
      <c r="G9" s="104" t="s">
        <v>305</v>
      </c>
      <c r="H9" s="104" t="s">
        <v>814</v>
      </c>
      <c r="I9" s="104" t="s">
        <v>815</v>
      </c>
      <c r="J9" s="104" t="s">
        <v>816</v>
      </c>
      <c r="K9" s="235" t="s">
        <v>817</v>
      </c>
      <c r="L9" s="235" t="s">
        <v>818</v>
      </c>
      <c r="M9" s="235" t="s">
        <v>819</v>
      </c>
      <c r="N9" s="235" t="s">
        <v>820</v>
      </c>
      <c r="O9" s="235" t="s">
        <v>821</v>
      </c>
      <c r="P9" s="235" t="s">
        <v>822</v>
      </c>
      <c r="Q9" s="235" t="s">
        <v>823</v>
      </c>
      <c r="R9" s="235" t="s">
        <v>824</v>
      </c>
    </row>
    <row r="10" spans="1:19" ht="20.100000000000001" customHeight="1" x14ac:dyDescent="0.2">
      <c r="A10" s="5" t="str">
        <f>HYPERLINK("#'Input - Site'!A1", "Site")</f>
        <v>Site</v>
      </c>
      <c r="D10" s="236" t="s">
        <v>825</v>
      </c>
      <c r="E10" s="237">
        <v>10</v>
      </c>
      <c r="F10" s="13" t="s">
        <v>368</v>
      </c>
      <c r="G10" s="76">
        <v>100</v>
      </c>
      <c r="H10" s="15">
        <f>Table_Input_Pesticides[[#This Row],[Amount applied per ha]]*Table_Input_Pesticides[[#This Row],[Application area (ha)]]</f>
        <v>1000</v>
      </c>
      <c r="I10" s="13" t="s">
        <v>826</v>
      </c>
      <c r="J10" s="13" t="s">
        <v>827</v>
      </c>
      <c r="K10" s="76">
        <v>100</v>
      </c>
      <c r="L10" s="15">
        <f>Table_Input_Pesticides[[#This Row],[Total applied]]*Table_Input_Pesticides[[#This Row],[Active ingredient 1 amount]]*IF(Table_Input_Pesticides[[#This Row],[Constituent unit (select)]]="fraction of product", 1, 10^-3)</f>
        <v>100</v>
      </c>
      <c r="M10" s="13" t="s">
        <v>827</v>
      </c>
      <c r="N10" s="76">
        <v>100</v>
      </c>
      <c r="O10" s="15">
        <f>Table_Input_Pesticides[[#This Row],[Total applied]]*Table_Input_Pesticides[[#This Row],[Active ingredient 2 amount]]*IF(Table_Input_Pesticides[[#This Row],[Constituent unit (select)]]="fraction of product", 1, 10^-3)</f>
        <v>100</v>
      </c>
      <c r="P10" s="13" t="s">
        <v>828</v>
      </c>
      <c r="Q10" s="76">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Crop'!A1", "Crop")</f>
        <v>Crop</v>
      </c>
      <c r="D11" s="236" t="s">
        <v>829</v>
      </c>
      <c r="E11" s="237">
        <v>10</v>
      </c>
      <c r="F11" s="13" t="s">
        <v>830</v>
      </c>
      <c r="G11" s="76">
        <v>100</v>
      </c>
      <c r="H11" s="15">
        <f>Table_Input_Pesticides[[#This Row],[Amount applied per ha]]*Table_Input_Pesticides[[#This Row],[Application area (ha)]]</f>
        <v>1000</v>
      </c>
      <c r="I11" s="13" t="s">
        <v>826</v>
      </c>
      <c r="J11" s="13" t="s">
        <v>827</v>
      </c>
      <c r="K11" s="76">
        <v>100</v>
      </c>
      <c r="L11" s="15">
        <f>Table_Input_Pesticides[[#This Row],[Total applied]]*Table_Input_Pesticides[[#This Row],[Active ingredient 1 amount]]*IF(Table_Input_Pesticides[[#This Row],[Constituent unit (select)]]="fraction of product", 1, 10^-3)</f>
        <v>100</v>
      </c>
      <c r="M11" s="13" t="s">
        <v>831</v>
      </c>
      <c r="N11" s="76">
        <v>100</v>
      </c>
      <c r="O11" s="15">
        <f>Table_Input_Pesticides[[#This Row],[Total applied]]*Table_Input_Pesticides[[#This Row],[Active ingredient 2 amount]]*IF(Table_Input_Pesticides[[#This Row],[Constituent unit (select)]]="fraction of product", 1, 10^-3)</f>
        <v>100</v>
      </c>
      <c r="P11" s="13" t="s">
        <v>832</v>
      </c>
      <c r="Q11" s="76">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Fert Prod System'!A1", "Fert Prod System")</f>
        <v>Fert Prod System</v>
      </c>
      <c r="D12" s="236" t="s">
        <v>833</v>
      </c>
      <c r="E12" s="237">
        <v>10</v>
      </c>
      <c r="F12" s="13" t="s">
        <v>368</v>
      </c>
      <c r="G12" s="76">
        <v>100</v>
      </c>
      <c r="H12" s="15">
        <f>Table_Input_Pesticides[[#This Row],[Amount applied per ha]]*Table_Input_Pesticides[[#This Row],[Application area (ha)]]</f>
        <v>1000</v>
      </c>
      <c r="I12" s="13" t="s">
        <v>826</v>
      </c>
      <c r="J12" s="13" t="s">
        <v>827</v>
      </c>
      <c r="K12" s="76">
        <v>100</v>
      </c>
      <c r="L12" s="15">
        <f>Table_Input_Pesticides[[#This Row],[Total applied]]*Table_Input_Pesticides[[#This Row],[Active ingredient 1 amount]]*IF(Table_Input_Pesticides[[#This Row],[Constituent unit (select)]]="fraction of product", 1, 10^-3)</f>
        <v>100</v>
      </c>
      <c r="M12" s="13" t="s">
        <v>834</v>
      </c>
      <c r="N12" s="76">
        <v>100</v>
      </c>
      <c r="O12" s="15">
        <f>Table_Input_Pesticides[[#This Row],[Total applied]]*Table_Input_Pesticides[[#This Row],[Active ingredient 2 amount]]*IF(Table_Input_Pesticides[[#This Row],[Constituent unit (select)]]="fraction of product", 1, 10^-3)</f>
        <v>100</v>
      </c>
      <c r="P12" s="13" t="s">
        <v>835</v>
      </c>
      <c r="Q12" s="76">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Fertiliser'!A1", "Fertiliser")</f>
        <v>Fertiliser</v>
      </c>
      <c r="D13" s="236"/>
      <c r="E13" s="237"/>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Fuel'!A1", "Fuel")</f>
        <v>Fuel</v>
      </c>
      <c r="D14" s="236"/>
      <c r="E14" s="237"/>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Electricity'!A1", "Electricity")</f>
        <v>Electricity</v>
      </c>
      <c r="D15" s="236"/>
      <c r="E15" s="237"/>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Common farm inputs'!A1", "Common farm inputs")</f>
        <v>Common farm inputs</v>
      </c>
      <c r="D16" s="236"/>
      <c r="E16" s="237"/>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102" t="str">
        <f>HYPERLINK("#'Input - Crop pasture farm input'!A1", "Crop pasture farm input")</f>
        <v>Crop pasture farm input</v>
      </c>
      <c r="D17" s="236"/>
      <c r="E17" s="237"/>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Freight'!A1", "Freight")</f>
        <v>Freight</v>
      </c>
      <c r="D18" s="236"/>
      <c r="E18" s="237"/>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Solid waste'!A1", "Solid waste")</f>
        <v>Solid waste</v>
      </c>
      <c r="D19" s="236"/>
      <c r="E19" s="237"/>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Data quality'!A1", "Data quality")</f>
        <v>Data quality</v>
      </c>
    </row>
    <row r="22" spans="1:18" ht="20.100000000000001" customHeight="1" x14ac:dyDescent="0.2">
      <c r="D22" s="2" t="s">
        <v>836</v>
      </c>
      <c r="E22" s="230"/>
      <c r="F22" s="230"/>
    </row>
    <row r="23" spans="1:18" ht="20.100000000000001" customHeight="1" x14ac:dyDescent="0.2">
      <c r="A23" s="6" t="s">
        <v>2</v>
      </c>
      <c r="D23" s="1" t="str">
        <f>'Constants - Scope 3'!E204</f>
        <v>Barley grain (for seed)</v>
      </c>
      <c r="E23" s="76">
        <v>500</v>
      </c>
      <c r="F23" s="16" t="s">
        <v>370</v>
      </c>
    </row>
    <row r="24" spans="1:18" ht="20.100000000000001" customHeight="1" x14ac:dyDescent="0.2">
      <c r="A24" s="5" t="str">
        <f>HYPERLINK("#'5.1.1.1-2 Inorganic fert N2O'!A1", "5.1.1.1-2 Inorganic fert N2O")</f>
        <v>5.1.1.1-2 Inorganic fert N2O</v>
      </c>
      <c r="D24" s="1" t="str">
        <f>'Constants - Scope 3'!E205</f>
        <v>Maize grain (for seed)</v>
      </c>
      <c r="E24" s="76">
        <v>600</v>
      </c>
      <c r="F24" s="16" t="s">
        <v>370</v>
      </c>
    </row>
    <row r="25" spans="1:18" ht="20.100000000000001" customHeight="1" x14ac:dyDescent="0.2">
      <c r="A25" s="5" t="str">
        <f>HYPERLINK("#'5.1.1.3-4 Inorganic fert CO2'!A1", "5.1.1.3-4 Inorganic fert CO2")</f>
        <v>5.1.1.3-4 Inorganic fert CO2</v>
      </c>
      <c r="D25" s="1" t="str">
        <f>'Constants - Scope 3'!E207</f>
        <v>Oat grain (for seed)</v>
      </c>
      <c r="E25" s="76">
        <v>700</v>
      </c>
      <c r="F25" s="16" t="s">
        <v>370</v>
      </c>
    </row>
    <row r="26" spans="1:18" ht="20.100000000000001" customHeight="1" x14ac:dyDescent="0.2">
      <c r="A26" s="5" t="str">
        <f>HYPERLINK("#'5.2.1.1-2 Organic Fert N2O'!A1", "5.2.1.1-2 Organic fert N2O")</f>
        <v>5.2.1.1-2 Organic fert N2O</v>
      </c>
      <c r="D26" s="1" t="str">
        <f>'Constants - Scope 3'!E208</f>
        <v>Sorghum grain (for seed)</v>
      </c>
      <c r="E26" s="76">
        <v>800</v>
      </c>
      <c r="F26" s="16" t="s">
        <v>370</v>
      </c>
    </row>
    <row r="27" spans="1:18" ht="20.100000000000001" customHeight="1" x14ac:dyDescent="0.2">
      <c r="A27" s="5" t="str">
        <f>HYPERLINK("#'5.3.1.1-2 Lime CO2'!A1", "5.3.1.1-2 Lime CO2")</f>
        <v>5.3.1.1-2 Lime CO2</v>
      </c>
      <c r="D27" s="1" t="str">
        <f>'Constants - Scope 3'!E209</f>
        <v>Wheat grain (for seed)</v>
      </c>
      <c r="E27" s="76">
        <v>900</v>
      </c>
      <c r="F27" s="16" t="s">
        <v>370</v>
      </c>
    </row>
    <row r="28" spans="1:18" ht="20.100000000000001" customHeight="1" x14ac:dyDescent="0.2">
      <c r="A28" s="5" t="str">
        <f>HYPERLINK("#'5.4.1.1-4 Atmos deposition'!A1", "5.4.1.1-4 Atmos. deposition")</f>
        <v>5.4.1.1-4 Atmos. deposition</v>
      </c>
    </row>
    <row r="29" spans="1:18" ht="20.100000000000001" customHeight="1" x14ac:dyDescent="0.2">
      <c r="A29" s="5" t="str">
        <f>HYPERLINK("#'5.5.1.1-2 Leaching and runoff'!A1", "5.5.1.1-2 Leaching &amp; runoff")</f>
        <v>5.5.1.1-2 Leaching &amp; runoff</v>
      </c>
    </row>
    <row r="30" spans="1:18" ht="20.100000000000001" customHeight="1" x14ac:dyDescent="0.2">
      <c r="A30" s="5" t="str">
        <f>HYPERLINK("#'6.1.1.1-2 Crop residue N2O'!A1", "6.1.1.1-2 Crop residue N2O")</f>
        <v>6.1.1.1-2 Crop residue N2O</v>
      </c>
    </row>
    <row r="31" spans="1:18" ht="20.100000000000001" customHeight="1" x14ac:dyDescent="0.2">
      <c r="A31" s="5" t="str">
        <f>HYPERLINK("#'6.3.1.1-2 Leach runoff crop'!A1", "6.3.1.1-2 Leach &amp; runoff (crop)")</f>
        <v>6.3.1.1-2 Leach &amp; runoff (crop)</v>
      </c>
    </row>
    <row r="32" spans="1:18"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dataValidations count="3">
    <dataValidation type="list" allowBlank="1" showInputMessage="1" showErrorMessage="1" sqref="J10:J19 M10:M19 P10:P19" xr:uid="{421A5E54-1A55-4016-8973-5457166ECCB9}">
      <formula1>INDIRECT("Table_SourceData_Scope3_Pesticides[Product]")</formula1>
    </dataValidation>
    <dataValidation type="list" allowBlank="1" showInputMessage="1" showErrorMessage="1" sqref="I10:I19" xr:uid="{90F70E40-60D0-4A65-9C8A-B46452F16341}">
      <formula1>"grams/litre or grams/kg, fraction of product"</formula1>
    </dataValidation>
    <dataValidation type="list" allowBlank="1" showInputMessage="1" showErrorMessage="1" sqref="F10:F19" xr:uid="{002E6820-F5A1-4C3F-AC98-2798448B7654}">
      <formula1>"kg / hectare, litre / hectare"</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024F5-D5A2-4136-90CF-813321F4A18E}">
  <sheetPr>
    <tabColor theme="5" tint="-0.249977111117893"/>
  </sheetPr>
  <dimension ref="A1:J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837</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row>
    <row r="6" spans="1:10" ht="20.100000000000001" customHeight="1" x14ac:dyDescent="0.2">
      <c r="D6" s="2" t="s">
        <v>838</v>
      </c>
    </row>
    <row r="8" spans="1:10" ht="20.100000000000001" customHeight="1" x14ac:dyDescent="0.2">
      <c r="A8" s="7" t="s">
        <v>0</v>
      </c>
      <c r="D8" s="20" t="s">
        <v>839</v>
      </c>
      <c r="E8" s="20" t="s">
        <v>840</v>
      </c>
      <c r="F8" s="20" t="s">
        <v>841</v>
      </c>
      <c r="G8" s="20" t="s">
        <v>842</v>
      </c>
      <c r="H8" s="20" t="s">
        <v>843</v>
      </c>
    </row>
    <row r="9" spans="1:10" ht="20.100000000000001" customHeight="1" x14ac:dyDescent="0.2">
      <c r="A9" s="5" t="str">
        <f>HYPERLINK("#'Input - Enterprise'!A1", "Enterprise")</f>
        <v>Enterprise</v>
      </c>
      <c r="D9" s="34" t="s">
        <v>844</v>
      </c>
      <c r="E9" s="13" t="s">
        <v>845</v>
      </c>
      <c r="F9" s="20">
        <v>986</v>
      </c>
      <c r="G9" s="20">
        <v>10</v>
      </c>
      <c r="H9" s="20">
        <v>52</v>
      </c>
    </row>
    <row r="10" spans="1:10" ht="20.100000000000001" customHeight="1" x14ac:dyDescent="0.2">
      <c r="A10" s="5" t="str">
        <f>HYPERLINK("#'Input - Site'!A1", "Site")</f>
        <v>Site</v>
      </c>
      <c r="D10" s="34" t="s">
        <v>846</v>
      </c>
      <c r="E10" s="13" t="s">
        <v>847</v>
      </c>
      <c r="F10" s="20">
        <v>65</v>
      </c>
      <c r="G10" s="20">
        <v>10</v>
      </c>
      <c r="H10" s="20">
        <v>6</v>
      </c>
    </row>
    <row r="11" spans="1:10" ht="20.100000000000001" customHeight="1" x14ac:dyDescent="0.2">
      <c r="A11" s="5" t="str">
        <f>HYPERLINK("#'Input - Crop'!A1", "Crop")</f>
        <v>Crop</v>
      </c>
      <c r="D11" s="34"/>
      <c r="E11" s="13"/>
      <c r="F11" s="20"/>
      <c r="G11" s="20"/>
      <c r="H11" s="20"/>
    </row>
    <row r="12" spans="1:10" ht="20.100000000000001" customHeight="1" x14ac:dyDescent="0.2">
      <c r="A12" s="5" t="str">
        <f>HYPERLINK("#'Input - Fert Prod System'!A1", "Fert Prod System")</f>
        <v>Fert Prod System</v>
      </c>
      <c r="D12" s="34"/>
      <c r="E12" s="13"/>
      <c r="F12" s="20"/>
      <c r="G12" s="20"/>
      <c r="H12" s="20"/>
    </row>
    <row r="13" spans="1:10" ht="20.100000000000001" customHeight="1" x14ac:dyDescent="0.2">
      <c r="A13" s="5" t="str">
        <f>HYPERLINK("#'Input - Fertiliser'!A1", "Fertiliser")</f>
        <v>Fertiliser</v>
      </c>
      <c r="D13" s="34"/>
      <c r="E13" s="13"/>
      <c r="F13" s="20"/>
      <c r="G13" s="20"/>
      <c r="H13" s="20"/>
    </row>
    <row r="14" spans="1:10" ht="20.100000000000001" customHeight="1" x14ac:dyDescent="0.2">
      <c r="A14" s="5" t="str">
        <f>HYPERLINK("#'Input - Fuel'!A1", "Fuel")</f>
        <v>Fuel</v>
      </c>
      <c r="D14" s="34"/>
      <c r="E14" s="13"/>
      <c r="F14" s="20"/>
      <c r="G14" s="20"/>
      <c r="H14" s="20"/>
    </row>
    <row r="15" spans="1:10" ht="20.100000000000001" customHeight="1" x14ac:dyDescent="0.2">
      <c r="A15" s="5" t="str">
        <f>HYPERLINK("#'Input - Electricity'!A1", "Electricity")</f>
        <v>Electricity</v>
      </c>
      <c r="D15" s="34"/>
      <c r="E15" s="13"/>
      <c r="F15" s="20"/>
      <c r="G15" s="20"/>
      <c r="H15" s="20"/>
    </row>
    <row r="16" spans="1:10" ht="20.100000000000001" customHeight="1" x14ac:dyDescent="0.2">
      <c r="A16" s="5" t="str">
        <f>HYPERLINK("#'Input - Common farm inputs'!A1", "Common farm inputs")</f>
        <v>Common farm inputs</v>
      </c>
      <c r="D16" s="34"/>
      <c r="E16" s="13"/>
      <c r="F16" s="20"/>
      <c r="G16" s="20"/>
      <c r="H16" s="20"/>
    </row>
    <row r="17" spans="1:8" ht="20.100000000000001" customHeight="1" x14ac:dyDescent="0.2">
      <c r="A17" s="5" t="str">
        <f>HYPERLINK("#'Input - Crop pasture farm input'!A1", "Crop pasture farm input")</f>
        <v>Crop pasture farm input</v>
      </c>
      <c r="D17" s="34"/>
      <c r="E17" s="13"/>
      <c r="F17" s="20"/>
      <c r="G17" s="20"/>
      <c r="H17" s="20"/>
    </row>
    <row r="18" spans="1:8" ht="20.100000000000001" customHeight="1" x14ac:dyDescent="0.2">
      <c r="A18" s="102" t="str">
        <f>HYPERLINK("#'Input - Freight'!A1", "Freight")</f>
        <v>Freight</v>
      </c>
      <c r="D18" s="34"/>
      <c r="E18" s="13"/>
      <c r="F18" s="20"/>
      <c r="G18" s="20"/>
      <c r="H18" s="20"/>
    </row>
    <row r="19" spans="1:8" ht="20.100000000000001" customHeight="1" x14ac:dyDescent="0.2">
      <c r="A19" s="5" t="str">
        <f>HYPERLINK("#'Input - Solid waste'!A1", "Solid waste")</f>
        <v>Solid waste</v>
      </c>
    </row>
    <row r="20" spans="1:8" ht="20.100000000000001" customHeight="1" x14ac:dyDescent="0.2">
      <c r="A20" s="5" t="str">
        <f>HYPERLINK("#'Input - Data quality'!A1", "Data quality")</f>
        <v>Data quality</v>
      </c>
    </row>
    <row r="22" spans="1:8" ht="20.100000000000001" customHeight="1" x14ac:dyDescent="0.2">
      <c r="D22" s="2" t="s">
        <v>848</v>
      </c>
    </row>
    <row r="23" spans="1:8" ht="20.100000000000001" customHeight="1" x14ac:dyDescent="0.2">
      <c r="A23" s="6" t="s">
        <v>2</v>
      </c>
    </row>
    <row r="24" spans="1:8" ht="20.100000000000001" customHeight="1" x14ac:dyDescent="0.2">
      <c r="A24" s="5" t="str">
        <f>HYPERLINK("#'5.1.1.1-2 Inorganic fert N2O'!A1", "5.1.1.1-2 Inorganic fert N2O")</f>
        <v>5.1.1.1-2 Inorganic fert N2O</v>
      </c>
      <c r="D24" s="20" t="s">
        <v>839</v>
      </c>
      <c r="E24" s="20" t="s">
        <v>840</v>
      </c>
      <c r="F24" s="20" t="s">
        <v>841</v>
      </c>
      <c r="G24" s="20" t="s">
        <v>842</v>
      </c>
      <c r="H24" s="20" t="s">
        <v>843</v>
      </c>
    </row>
    <row r="25" spans="1:8" ht="20.100000000000001" customHeight="1" x14ac:dyDescent="0.2">
      <c r="A25" s="5" t="str">
        <f>HYPERLINK("#'5.1.1.3-4 Inorganic fert CO2'!A1", "5.1.1.3-4 Inorganic fert CO2")</f>
        <v>5.1.1.3-4 Inorganic fert CO2</v>
      </c>
      <c r="D25" s="34" t="s">
        <v>849</v>
      </c>
      <c r="E25" s="13" t="s">
        <v>845</v>
      </c>
      <c r="F25" s="20">
        <v>65</v>
      </c>
      <c r="G25" s="20">
        <v>20</v>
      </c>
      <c r="H25" s="20">
        <v>52</v>
      </c>
    </row>
    <row r="26" spans="1:8" ht="20.100000000000001" customHeight="1" x14ac:dyDescent="0.2">
      <c r="A26" s="5" t="str">
        <f>HYPERLINK("#'5.2.1.1-2 Organic Fert N2O'!A1", "5.2.1.1-2 Organic fert N2O")</f>
        <v>5.2.1.1-2 Organic fert N2O</v>
      </c>
      <c r="D26" s="34"/>
      <c r="E26" s="13"/>
      <c r="F26" s="20"/>
      <c r="G26" s="20"/>
      <c r="H26" s="20"/>
    </row>
    <row r="27" spans="1:8" ht="20.100000000000001" customHeight="1" x14ac:dyDescent="0.2">
      <c r="A27" s="5" t="str">
        <f>HYPERLINK("#'5.3.1.1-2 Lime CO2'!A1", "5.3.1.1-2 Lime CO2")</f>
        <v>5.3.1.1-2 Lime CO2</v>
      </c>
      <c r="D27" s="34"/>
      <c r="E27" s="13"/>
      <c r="F27" s="20"/>
      <c r="G27" s="20"/>
      <c r="H27" s="20"/>
    </row>
    <row r="28" spans="1:8" ht="20.100000000000001" customHeight="1" x14ac:dyDescent="0.2">
      <c r="A28" s="5" t="str">
        <f>HYPERLINK("#'5.4.1.1-4 Atmos deposition'!A1", "5.4.1.1-4 Atmos. deposition")</f>
        <v>5.4.1.1-4 Atmos. deposition</v>
      </c>
      <c r="D28" s="34"/>
      <c r="E28" s="13"/>
      <c r="F28" s="20"/>
      <c r="G28" s="20"/>
      <c r="H28" s="20"/>
    </row>
    <row r="29" spans="1:8" ht="20.100000000000001" customHeight="1" x14ac:dyDescent="0.2">
      <c r="A29" s="5" t="str">
        <f>HYPERLINK("#'5.5.1.1-2 Leaching and runoff'!A1", "5.5.1.1-2 Leaching &amp; runoff")</f>
        <v>5.5.1.1-2 Leaching &amp; runoff</v>
      </c>
      <c r="D29" s="34"/>
      <c r="E29" s="13"/>
      <c r="F29" s="20"/>
      <c r="G29" s="20"/>
      <c r="H29" s="20"/>
    </row>
    <row r="30" spans="1:8" ht="20.100000000000001" customHeight="1" x14ac:dyDescent="0.2">
      <c r="A30" s="5" t="str">
        <f>HYPERLINK("#'6.1.1.1-2 Crop residue N2O'!A1", "6.1.1.1-2 Crop residue N2O")</f>
        <v>6.1.1.1-2 Crop residue N2O</v>
      </c>
      <c r="D30" s="34"/>
      <c r="E30" s="13"/>
      <c r="F30" s="20"/>
      <c r="G30" s="20"/>
      <c r="H30" s="20"/>
    </row>
    <row r="31" spans="1:8" ht="20.100000000000001" customHeight="1" x14ac:dyDescent="0.2">
      <c r="A31" s="5" t="str">
        <f>HYPERLINK("#'6.3.1.1-2 Leach runoff crop'!A1", "6.3.1.1-2 Leach &amp; runoff (crop)")</f>
        <v>6.3.1.1-2 Leach &amp; runoff (crop)</v>
      </c>
      <c r="D31" s="34"/>
      <c r="E31" s="13"/>
      <c r="F31" s="20"/>
      <c r="G31" s="20"/>
      <c r="H31" s="20"/>
    </row>
    <row r="32" spans="1:8" ht="20.100000000000001" customHeight="1" x14ac:dyDescent="0.2">
      <c r="A32" s="5" t="str">
        <f>HYPERLINK("#'6.4.1.1-2 Residue burning'!A1", "6.4.1.1-2 Residue burning")</f>
        <v>6.4.1.1-2 Residue burning</v>
      </c>
      <c r="D32" s="34"/>
      <c r="E32" s="13"/>
      <c r="F32" s="20"/>
      <c r="G32" s="20"/>
      <c r="H32" s="20"/>
    </row>
    <row r="33" spans="1:8" ht="20.100000000000001" customHeight="1" x14ac:dyDescent="0.2">
      <c r="A33" s="5" t="str">
        <f>HYPERLINK("#'8.1.1.1-2 Transport fuel'!A1", "8.1.1.1-2 Transport fuel")</f>
        <v>8.1.1.1-2 Transport fuel</v>
      </c>
      <c r="D33" s="34"/>
      <c r="E33" s="13"/>
      <c r="F33" s="20"/>
      <c r="G33" s="20"/>
      <c r="H33" s="20"/>
    </row>
    <row r="34" spans="1:8" ht="20.100000000000001" customHeight="1" x14ac:dyDescent="0.2">
      <c r="A34" s="5" t="str">
        <f>HYPERLINK("#'8.2.1.1-2 Stationary fuel'!A1", "8.2.1.1-2 Stationary fuel")</f>
        <v>8.2.1.1-2 Stationary fuel</v>
      </c>
      <c r="D34" s="34"/>
      <c r="E34" s="13"/>
      <c r="F34" s="20"/>
      <c r="G34" s="20"/>
      <c r="H34" s="20"/>
    </row>
    <row r="35" spans="1:8" ht="20.100000000000001" customHeight="1" x14ac:dyDescent="0.2">
      <c r="A35" s="5" t="str">
        <f>HYPERLINK("#'10.1.1-2 Solid waste treatment'!A1", "10.1.1.1-2 Solid waste")</f>
        <v>10.1.1.1-2 Solid waste</v>
      </c>
    </row>
    <row r="36" spans="1:8" ht="20.100000000000001" customHeight="1" x14ac:dyDescent="0.2">
      <c r="A36" s="5" t="str">
        <f>HYPERLINK("#'14.1.1-2 Purchased electricity'!A1", "14.1.1-2 Purchased electricity")</f>
        <v>14.1.1-2 Purchased electricity</v>
      </c>
    </row>
    <row r="37" spans="1:8" ht="20.100000000000001" customHeight="1" x14ac:dyDescent="0.2">
      <c r="A37" s="5" t="str">
        <f>HYPERLINK("#'15 Scope 3'!A1", "15 Scope 3")</f>
        <v>15 Scope 3</v>
      </c>
    </row>
    <row r="40" spans="1:8" ht="20.100000000000001" customHeight="1" x14ac:dyDescent="0.2">
      <c r="A40" s="82" t="s">
        <v>1</v>
      </c>
    </row>
    <row r="41" spans="1:8" ht="20.100000000000001" customHeight="1" x14ac:dyDescent="0.2">
      <c r="A41" s="5" t="str">
        <f>HYPERLINK("#'Constants - Ag Residue'!A1", "Constants - Ag residue")</f>
        <v>Constants - Ag residue</v>
      </c>
    </row>
    <row r="42" spans="1:8" ht="20.100000000000001" customHeight="1" x14ac:dyDescent="0.2">
      <c r="A42" s="5" t="str">
        <f>HYPERLINK("#'Constants - Electricity'!A1", "Constants - Electricity")</f>
        <v>Constants - Electricity</v>
      </c>
    </row>
    <row r="43" spans="1:8" ht="20.100000000000001" customHeight="1" x14ac:dyDescent="0.2">
      <c r="A43" s="5" t="str">
        <f>HYPERLINK("#'Constants - Fertiliser'!A1", "Constants - Fertiliser")</f>
        <v>Constants - Fertiliser</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row>
    <row r="46" spans="1:8" ht="20.100000000000001" customHeight="1" x14ac:dyDescent="0.2">
      <c r="A46" s="5" t="str">
        <f>HYPERLINK("#'Constants - Solid Waste'!A1", "Constants - Solid Waste")</f>
        <v>Constants - Solid Waste</v>
      </c>
    </row>
    <row r="47" spans="1:8" ht="20.100000000000001" customHeight="1" x14ac:dyDescent="0.2">
      <c r="A47" s="5" t="str">
        <f>HYPERLINK("#'Constants - Common'!A1", "Constants - Common")</f>
        <v>Constants - Common</v>
      </c>
    </row>
    <row r="48" spans="1:8" ht="20.100000000000001" customHeight="1" x14ac:dyDescent="0.2">
      <c r="A48" s="5" t="str">
        <f>HYPERLINK("#'Constants - Common Livestock'!A1", "Constants - Common Livestock")</f>
        <v>Constants - Common Livestock</v>
      </c>
    </row>
  </sheetData>
  <dataValidations count="1">
    <dataValidation type="list" allowBlank="1" showInputMessage="1" showErrorMessage="1" sqref="E9:E18 E25:E34" xr:uid="{ACA44A0B-AD3E-4AC4-B858-87A9FE5B699C}">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3E508-97E0-48A3-B8D4-D40611672D60}">
  <sheetPr>
    <tabColor theme="5" tint="-0.249977111117893"/>
  </sheetPr>
  <dimension ref="A1:L38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639</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EI")</f>
        <v>Results - Product EI</v>
      </c>
      <c r="D5" s="2" t="s">
        <v>640</v>
      </c>
    </row>
    <row r="7" spans="1:10" ht="20.100000000000001" customHeight="1" x14ac:dyDescent="0.2">
      <c r="D7" s="36" t="s">
        <v>515</v>
      </c>
      <c r="E7" s="39"/>
    </row>
    <row r="8" spans="1:10" ht="20.100000000000001" customHeight="1" x14ac:dyDescent="0.2">
      <c r="A8" s="7" t="s">
        <v>0</v>
      </c>
    </row>
    <row r="9" spans="1:10" ht="20.100000000000001" customHeight="1" x14ac:dyDescent="0.2">
      <c r="A9" s="5" t="str">
        <f>HYPERLINK("#'Input - Enterprise'!A1", "Enterprise")</f>
        <v>Enterprise</v>
      </c>
      <c r="D9" s="80" t="s">
        <v>191</v>
      </c>
      <c r="E9" s="80" t="s">
        <v>641</v>
      </c>
      <c r="F9" s="80" t="s">
        <v>642</v>
      </c>
      <c r="G9" s="80" t="s">
        <v>643</v>
      </c>
      <c r="H9" s="80" t="s">
        <v>644</v>
      </c>
      <c r="I9" s="80" t="s">
        <v>645</v>
      </c>
    </row>
    <row r="10" spans="1:10" ht="20.100000000000001" customHeight="1" x14ac:dyDescent="0.2">
      <c r="A10" s="5" t="str">
        <f>HYPERLINK("#'Input - Site'!A1", "Site")</f>
        <v>Site</v>
      </c>
      <c r="D10" s="34" t="s">
        <v>646</v>
      </c>
      <c r="E10" s="13" t="s">
        <v>647</v>
      </c>
      <c r="F10" s="13" t="s">
        <v>648</v>
      </c>
      <c r="G10" s="13" t="s">
        <v>649</v>
      </c>
      <c r="H10" s="76">
        <v>50</v>
      </c>
      <c r="I10" s="13" t="s">
        <v>19</v>
      </c>
    </row>
    <row r="11" spans="1:10" ht="20.100000000000001" customHeight="1" x14ac:dyDescent="0.2">
      <c r="A11" s="5" t="str">
        <f>HYPERLINK("#'Input - Crop'!A1", "Crop")</f>
        <v>Crop</v>
      </c>
      <c r="D11" s="34" t="s">
        <v>650</v>
      </c>
      <c r="E11" s="13" t="s">
        <v>647</v>
      </c>
      <c r="F11" s="13" t="s">
        <v>648</v>
      </c>
      <c r="G11" s="13" t="s">
        <v>651</v>
      </c>
      <c r="H11" s="76">
        <v>50</v>
      </c>
      <c r="I11" s="13" t="s">
        <v>652</v>
      </c>
    </row>
    <row r="12" spans="1:10" ht="20.100000000000001" customHeight="1" x14ac:dyDescent="0.2">
      <c r="A12" s="5" t="str">
        <f>HYPERLINK("#'Input - Fert Prod System'!A1", "Fert Prod System")</f>
        <v>Fert Prod System</v>
      </c>
      <c r="D12" s="34" t="s">
        <v>653</v>
      </c>
      <c r="E12" s="13" t="s">
        <v>647</v>
      </c>
      <c r="F12" s="13" t="s">
        <v>654</v>
      </c>
      <c r="G12" s="13" t="s">
        <v>649</v>
      </c>
      <c r="H12" s="76">
        <v>50</v>
      </c>
      <c r="I12" s="13" t="s">
        <v>19</v>
      </c>
    </row>
    <row r="13" spans="1:10" ht="20.100000000000001" customHeight="1" x14ac:dyDescent="0.2">
      <c r="A13" s="5" t="str">
        <f>HYPERLINK("#'Input - Fertiliser'!A1", "Fertiliser")</f>
        <v>Fertiliser</v>
      </c>
      <c r="D13" s="34" t="s">
        <v>655</v>
      </c>
      <c r="E13" s="13" t="s">
        <v>647</v>
      </c>
      <c r="F13" s="13" t="s">
        <v>654</v>
      </c>
      <c r="G13" s="13" t="s">
        <v>651</v>
      </c>
      <c r="H13" s="76">
        <v>50</v>
      </c>
      <c r="I13" s="13" t="s">
        <v>652</v>
      </c>
    </row>
    <row r="14" spans="1:10" ht="20.100000000000001" customHeight="1" x14ac:dyDescent="0.2">
      <c r="A14" s="5" t="str">
        <f>HYPERLINK("#'Input - Fuel'!A1", "Fuel")</f>
        <v>Fuel</v>
      </c>
      <c r="D14" s="34" t="s">
        <v>656</v>
      </c>
      <c r="E14" s="13" t="s">
        <v>657</v>
      </c>
      <c r="F14" s="13" t="s">
        <v>654</v>
      </c>
      <c r="G14" s="13" t="s">
        <v>649</v>
      </c>
      <c r="H14" s="76">
        <v>50</v>
      </c>
      <c r="I14" s="13" t="s">
        <v>19</v>
      </c>
    </row>
    <row r="15" spans="1:10" ht="20.100000000000001" customHeight="1" x14ac:dyDescent="0.2">
      <c r="A15" s="5" t="str">
        <f>HYPERLINK("#'Input - Electricity'!A1", "Electricity")</f>
        <v>Electricity</v>
      </c>
      <c r="D15" s="34" t="s">
        <v>658</v>
      </c>
      <c r="E15" s="13" t="s">
        <v>657</v>
      </c>
      <c r="F15" s="13" t="s">
        <v>654</v>
      </c>
      <c r="G15" s="13" t="s">
        <v>649</v>
      </c>
      <c r="H15" s="76">
        <v>50</v>
      </c>
      <c r="I15" s="13" t="s">
        <v>652</v>
      </c>
    </row>
    <row r="16" spans="1:10" ht="20.100000000000001" customHeight="1" x14ac:dyDescent="0.2">
      <c r="A16" s="5" t="str">
        <f>HYPERLINK("#'Input - Common farm inputs'!A1", "Common farm inputs")</f>
        <v>Common farm inputs</v>
      </c>
      <c r="D16" s="34" t="s">
        <v>659</v>
      </c>
      <c r="E16" s="13" t="s">
        <v>657</v>
      </c>
      <c r="F16" s="13" t="s">
        <v>654</v>
      </c>
      <c r="G16" s="13" t="s">
        <v>651</v>
      </c>
      <c r="H16" s="76">
        <v>50</v>
      </c>
      <c r="I16" s="13" t="s">
        <v>19</v>
      </c>
    </row>
    <row r="17" spans="1:11" ht="20.100000000000001" customHeight="1" x14ac:dyDescent="0.2">
      <c r="A17" s="5" t="str">
        <f>HYPERLINK("#'Input - Crop pasture farm input'!A1", "Crop pasture farm input")</f>
        <v>Crop pasture farm input</v>
      </c>
      <c r="D17" s="34" t="s">
        <v>660</v>
      </c>
      <c r="E17" s="13" t="s">
        <v>657</v>
      </c>
      <c r="F17" s="13" t="s">
        <v>654</v>
      </c>
      <c r="G17" s="13" t="s">
        <v>651</v>
      </c>
      <c r="H17" s="76">
        <v>50</v>
      </c>
      <c r="I17" s="13" t="s">
        <v>652</v>
      </c>
    </row>
    <row r="18" spans="1:11" ht="20.100000000000001" customHeight="1" x14ac:dyDescent="0.2">
      <c r="A18" s="5" t="str">
        <f>HYPERLINK("#'Input - Freight'!A1", "Freight")</f>
        <v>Freight</v>
      </c>
      <c r="D18" s="34" t="s">
        <v>661</v>
      </c>
      <c r="E18" s="13" t="s">
        <v>657</v>
      </c>
      <c r="F18" s="13" t="s">
        <v>648</v>
      </c>
      <c r="G18" s="13" t="s">
        <v>649</v>
      </c>
      <c r="H18" s="76">
        <v>50</v>
      </c>
      <c r="I18" s="13" t="s">
        <v>19</v>
      </c>
    </row>
    <row r="19" spans="1:11" ht="20.100000000000001" customHeight="1" x14ac:dyDescent="0.2">
      <c r="A19" s="102" t="str">
        <f>HYPERLINK("#'Input - Solid waste'!A1", "Solid waste")</f>
        <v>Solid waste</v>
      </c>
      <c r="D19" s="34" t="s">
        <v>662</v>
      </c>
      <c r="E19" s="13" t="s">
        <v>657</v>
      </c>
      <c r="F19" s="13" t="s">
        <v>648</v>
      </c>
      <c r="G19" s="13" t="s">
        <v>649</v>
      </c>
      <c r="H19" s="76">
        <v>50</v>
      </c>
      <c r="I19" s="13" t="s">
        <v>652</v>
      </c>
    </row>
    <row r="20" spans="1:11" ht="20.100000000000001" customHeight="1" x14ac:dyDescent="0.2">
      <c r="A20" s="5" t="str">
        <f>HYPERLINK("#'Input - Data quality'!A1", "Data quality")</f>
        <v>Data quality</v>
      </c>
      <c r="D20" s="34" t="s">
        <v>663</v>
      </c>
      <c r="E20" s="13" t="s">
        <v>657</v>
      </c>
      <c r="F20" s="13" t="s">
        <v>648</v>
      </c>
      <c r="G20" s="13" t="s">
        <v>651</v>
      </c>
      <c r="H20" s="76">
        <v>50</v>
      </c>
      <c r="I20" s="13" t="s">
        <v>19</v>
      </c>
    </row>
    <row r="21" spans="1:11" ht="20.100000000000001" customHeight="1" x14ac:dyDescent="0.2">
      <c r="D21" s="34" t="s">
        <v>664</v>
      </c>
      <c r="E21" s="13" t="s">
        <v>657</v>
      </c>
      <c r="F21" s="13" t="s">
        <v>648</v>
      </c>
      <c r="G21" s="13" t="s">
        <v>651</v>
      </c>
      <c r="H21" s="76">
        <v>50</v>
      </c>
      <c r="I21" s="13" t="s">
        <v>652</v>
      </c>
    </row>
    <row r="22" spans="1:11" ht="20.100000000000001" customHeight="1" x14ac:dyDescent="0.2">
      <c r="D22" s="34" t="s">
        <v>665</v>
      </c>
      <c r="E22" s="13" t="s">
        <v>657</v>
      </c>
      <c r="F22" s="13" t="s">
        <v>666</v>
      </c>
      <c r="G22" s="13" t="s">
        <v>649</v>
      </c>
      <c r="H22" s="76">
        <v>50</v>
      </c>
      <c r="I22" s="13" t="s">
        <v>19</v>
      </c>
    </row>
    <row r="23" spans="1:11" ht="20.100000000000001" customHeight="1" x14ac:dyDescent="0.2">
      <c r="A23" s="6" t="s">
        <v>2</v>
      </c>
      <c r="D23" s="34" t="s">
        <v>667</v>
      </c>
      <c r="E23" s="13" t="s">
        <v>657</v>
      </c>
      <c r="F23" s="13" t="s">
        <v>666</v>
      </c>
      <c r="G23" s="13" t="s">
        <v>649</v>
      </c>
      <c r="H23" s="76">
        <v>50</v>
      </c>
      <c r="I23" s="13" t="s">
        <v>652</v>
      </c>
    </row>
    <row r="24" spans="1:11" ht="20.100000000000001" customHeight="1" x14ac:dyDescent="0.2">
      <c r="A24" s="5" t="str">
        <f>HYPERLINK("#'5.1.1.1-2 Inorganic fert N2O'!A1", "5.1.1.1-2 Inorganic fert N2O")</f>
        <v>5.1.1.1-2 Inorganic fert N2O</v>
      </c>
      <c r="D24" s="34" t="s">
        <v>668</v>
      </c>
      <c r="E24" s="13" t="s">
        <v>657</v>
      </c>
      <c r="F24" s="13" t="s">
        <v>666</v>
      </c>
      <c r="G24" s="13" t="s">
        <v>651</v>
      </c>
      <c r="H24" s="76">
        <v>50</v>
      </c>
      <c r="I24" s="13" t="s">
        <v>19</v>
      </c>
    </row>
    <row r="25" spans="1:11" ht="20.100000000000001" customHeight="1" x14ac:dyDescent="0.2">
      <c r="A25" s="5" t="str">
        <f>HYPERLINK("#'5.1.1.3-4 Inorganic fert CO2'!A1", "5.1.1.3-4 Inorganic fert CO2")</f>
        <v>5.1.1.3-4 Inorganic fert CO2</v>
      </c>
      <c r="D25" s="34" t="s">
        <v>669</v>
      </c>
      <c r="E25" s="13" t="s">
        <v>657</v>
      </c>
      <c r="F25" s="13" t="s">
        <v>666</v>
      </c>
      <c r="G25" s="13" t="s">
        <v>651</v>
      </c>
      <c r="H25" s="76">
        <v>50</v>
      </c>
      <c r="I25" s="13" t="s">
        <v>652</v>
      </c>
    </row>
    <row r="26" spans="1:11" ht="20.100000000000001" customHeight="1" x14ac:dyDescent="0.2">
      <c r="A26" s="5" t="str">
        <f>HYPERLINK("#'5.2.1.1-2 Organic Fert N2O'!A1", "5.2.1.1-2 Organic fert N2O")</f>
        <v>5.2.1.1-2 Organic fert N2O</v>
      </c>
      <c r="D26" s="34" t="s">
        <v>670</v>
      </c>
      <c r="E26" s="13" t="s">
        <v>671</v>
      </c>
      <c r="F26" s="13" t="s">
        <v>648</v>
      </c>
      <c r="G26" s="13" t="s">
        <v>651</v>
      </c>
      <c r="H26" s="76">
        <v>50</v>
      </c>
      <c r="I26" s="13" t="s">
        <v>19</v>
      </c>
    </row>
    <row r="27" spans="1:11" ht="20.100000000000001" customHeight="1" x14ac:dyDescent="0.2">
      <c r="A27" s="5" t="str">
        <f>HYPERLINK("#'5.3.1.1-2 Lime CO2'!A1", "5.3.1.1-2 Lime CO2")</f>
        <v>5.3.1.1-2 Lime CO2</v>
      </c>
      <c r="D27" s="34" t="s">
        <v>672</v>
      </c>
      <c r="E27" s="13" t="s">
        <v>671</v>
      </c>
      <c r="F27" s="13" t="s">
        <v>648</v>
      </c>
      <c r="G27" s="13" t="s">
        <v>651</v>
      </c>
      <c r="H27" s="76">
        <v>50</v>
      </c>
      <c r="I27" s="13" t="s">
        <v>652</v>
      </c>
    </row>
    <row r="28" spans="1:11" ht="20.100000000000001" customHeight="1" x14ac:dyDescent="0.2">
      <c r="A28" s="5" t="str">
        <f>HYPERLINK("#'5.4.1.1-4 Atmos deposition'!A1", "5.4.1.1-4 Atmos. deposition")</f>
        <v>5.4.1.1-4 Atmos. deposition</v>
      </c>
      <c r="D28" s="34" t="s">
        <v>673</v>
      </c>
      <c r="E28" s="13" t="s">
        <v>671</v>
      </c>
      <c r="F28" s="13" t="s">
        <v>666</v>
      </c>
      <c r="G28" s="13" t="s">
        <v>651</v>
      </c>
      <c r="H28" s="76">
        <v>50</v>
      </c>
      <c r="I28" s="13" t="s">
        <v>19</v>
      </c>
    </row>
    <row r="29" spans="1:11" ht="20.100000000000001" customHeight="1" x14ac:dyDescent="0.2">
      <c r="A29" s="5" t="str">
        <f>HYPERLINK("#'5.5.1.1-2 Leaching and runoff'!A1", "5.5.1.1-2 Leaching &amp; runoff")</f>
        <v>5.5.1.1-2 Leaching &amp; runoff</v>
      </c>
      <c r="D29" s="34" t="s">
        <v>674</v>
      </c>
      <c r="E29" s="13" t="s">
        <v>671</v>
      </c>
      <c r="F29" s="13" t="s">
        <v>666</v>
      </c>
      <c r="G29" s="13" t="s">
        <v>651</v>
      </c>
      <c r="H29" s="76">
        <v>50</v>
      </c>
      <c r="I29" s="13" t="s">
        <v>652</v>
      </c>
      <c r="K29" s="128"/>
    </row>
    <row r="30" spans="1:11" ht="20.100000000000001" customHeight="1" x14ac:dyDescent="0.2">
      <c r="A30" s="5" t="str">
        <f>HYPERLINK("#'6.1.1.1-2 Crop residue N2O'!A1", "6.1.1.1-2 Crop residue N2O")</f>
        <v>6.1.1.1-2 Crop residue N2O</v>
      </c>
      <c r="D30" s="34" t="s">
        <v>675</v>
      </c>
      <c r="E30" s="13" t="s">
        <v>671</v>
      </c>
      <c r="F30" s="13" t="s">
        <v>666</v>
      </c>
      <c r="G30" s="13" t="s">
        <v>649</v>
      </c>
      <c r="H30" s="76">
        <v>50</v>
      </c>
      <c r="I30" s="13" t="s">
        <v>19</v>
      </c>
      <c r="K30" s="128"/>
    </row>
    <row r="31" spans="1:11" ht="20.100000000000001" customHeight="1" x14ac:dyDescent="0.2">
      <c r="A31" s="5" t="str">
        <f>HYPERLINK("#'6.3.1.1-2 Leach runoff crop'!A1", "6.3.1.1-2 Leach &amp; runoff (crop)")</f>
        <v>6.3.1.1-2 Leach &amp; runoff (crop)</v>
      </c>
      <c r="D31" s="34" t="s">
        <v>676</v>
      </c>
      <c r="E31" s="13" t="s">
        <v>671</v>
      </c>
      <c r="F31" s="13" t="s">
        <v>666</v>
      </c>
      <c r="G31" s="13" t="s">
        <v>649</v>
      </c>
      <c r="H31" s="76">
        <v>50</v>
      </c>
      <c r="I31" s="13" t="s">
        <v>652</v>
      </c>
      <c r="K31" s="128"/>
    </row>
    <row r="32" spans="1:11" ht="20.100000000000001" customHeight="1" x14ac:dyDescent="0.2">
      <c r="A32" s="5" t="str">
        <f>HYPERLINK("#'6.4.1.1-2 Residue burning'!A1", "6.4.1.1-2 Residue burning")</f>
        <v>6.4.1.1-2 Residue burning</v>
      </c>
      <c r="D32" s="34" t="s">
        <v>674</v>
      </c>
      <c r="E32" s="13" t="s">
        <v>671</v>
      </c>
      <c r="F32" s="13" t="s">
        <v>666</v>
      </c>
      <c r="G32" s="13" t="s">
        <v>651</v>
      </c>
      <c r="H32" s="76">
        <v>50</v>
      </c>
      <c r="I32" s="13" t="s">
        <v>652</v>
      </c>
      <c r="K32" s="128"/>
    </row>
    <row r="33" spans="1:12" ht="20.100000000000001" customHeight="1" x14ac:dyDescent="0.2">
      <c r="A33" s="5" t="str">
        <f>HYPERLINK("#'8.1.1.1-2 Transport fuel'!A1", "8.1.1.1-2 Transport fuel")</f>
        <v>8.1.1.1-2 Transport fuel</v>
      </c>
      <c r="K33" s="128"/>
    </row>
    <row r="34" spans="1:12" ht="20.100000000000001" customHeight="1" x14ac:dyDescent="0.2">
      <c r="A34" s="5" t="str">
        <f>HYPERLINK("#'8.2.1.1-2 Stationary fuel'!A1", "8.2.1.1-2 Stationary fuel")</f>
        <v>8.2.1.1-2 Stationary fuel</v>
      </c>
      <c r="K34" s="128"/>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L36" s="128"/>
    </row>
    <row r="37" spans="1:12" ht="20.100000000000001" customHeight="1" x14ac:dyDescent="0.2">
      <c r="A37" s="5" t="str">
        <f>HYPERLINK("#'15 Scope 3'!A1", "15 Scope 3")</f>
        <v>15 Scope 3</v>
      </c>
      <c r="L37" s="128"/>
    </row>
    <row r="38" spans="1:12" ht="20.100000000000001" customHeight="1" x14ac:dyDescent="0.2">
      <c r="C38" s="116"/>
    </row>
    <row r="39" spans="1:12" ht="20.100000000000001" customHeight="1" x14ac:dyDescent="0.2">
      <c r="C39" s="116"/>
      <c r="J39" s="116"/>
    </row>
    <row r="40" spans="1:12" s="128" customFormat="1" ht="20.100000000000001" customHeight="1" x14ac:dyDescent="0.2">
      <c r="A40" s="82" t="s">
        <v>1</v>
      </c>
      <c r="C40" s="1"/>
      <c r="D40" s="1"/>
      <c r="E40" s="1"/>
      <c r="F40" s="1"/>
      <c r="G40" s="1"/>
      <c r="H40" s="1"/>
      <c r="I40" s="1"/>
      <c r="J40" s="1"/>
    </row>
    <row r="41" spans="1:12" s="128" customFormat="1" ht="20.100000000000001" customHeight="1" x14ac:dyDescent="0.2">
      <c r="A41" s="5" t="str">
        <f>HYPERLINK("#'Constants - Ag Residue'!A1", "Constants - Ag residue")</f>
        <v>Constants - Ag residue</v>
      </c>
      <c r="C41" s="1"/>
      <c r="D41" s="1"/>
      <c r="E41" s="1"/>
      <c r="F41" s="1"/>
      <c r="G41" s="1"/>
      <c r="H41" s="1"/>
      <c r="I41" s="1"/>
      <c r="J41" s="1"/>
      <c r="L41" s="128" t="s">
        <v>527</v>
      </c>
    </row>
    <row r="42" spans="1:12" ht="20.100000000000001" customHeight="1" x14ac:dyDescent="0.2">
      <c r="A42" s="5" t="str">
        <f>HYPERLINK("#'Constants - Electricity'!A1", "Constants - Electricity")</f>
        <v>Constants - Electricity</v>
      </c>
    </row>
    <row r="43" spans="1:12" ht="20.100000000000001" customHeight="1" x14ac:dyDescent="0.2">
      <c r="A43" s="5" t="str">
        <f>HYPERLINK("#'Constants - Fertiliser'!A1", "Constants - Fertiliser")</f>
        <v>Constants - Fertiliser</v>
      </c>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row>
    <row r="47" spans="1:12" ht="20.100000000000001" customHeight="1" x14ac:dyDescent="0.2">
      <c r="A47" s="5" t="str">
        <f>HYPERLINK("#'Constants - Common'!A1", "Constants - Common")</f>
        <v>Constants - Common</v>
      </c>
    </row>
    <row r="48" spans="1:12" ht="20.100000000000001" customHeight="1" x14ac:dyDescent="0.2">
      <c r="A48" s="5" t="str">
        <f>HYPERLINK("#'Constants - Common Livestock'!A1", "Constants - Common Livestock")</f>
        <v>Constants - Common Livestock</v>
      </c>
    </row>
    <row r="73" spans="4:4" ht="20.100000000000001" customHeight="1" x14ac:dyDescent="0.2">
      <c r="D73" s="173"/>
    </row>
    <row r="75" spans="4:4" ht="20.100000000000001" customHeight="1" x14ac:dyDescent="0.2">
      <c r="D75" s="173"/>
    </row>
    <row r="76" spans="4:4" ht="20.100000000000001" customHeight="1" x14ac:dyDescent="0.2">
      <c r="D76" s="173"/>
    </row>
    <row r="385" spans="4:4" ht="20.100000000000001" customHeight="1" x14ac:dyDescent="0.2">
      <c r="D385" s="89"/>
    </row>
  </sheetData>
  <conditionalFormatting sqref="F162:F163">
    <cfRule type="cellIs" dxfId="18" priority="7" operator="lessThan">
      <formula>0</formula>
    </cfRule>
  </conditionalFormatting>
  <conditionalFormatting sqref="F174:F175">
    <cfRule type="cellIs" dxfId="17" priority="6" operator="lessThan">
      <formula>0</formula>
    </cfRule>
  </conditionalFormatting>
  <conditionalFormatting sqref="F186:F187">
    <cfRule type="cellIs" dxfId="16" priority="5" operator="lessThan">
      <formula>0</formula>
    </cfRule>
  </conditionalFormatting>
  <conditionalFormatting sqref="F274:F275">
    <cfRule type="cellIs" dxfId="15" priority="17" operator="lessThan">
      <formula>0</formula>
    </cfRule>
  </conditionalFormatting>
  <conditionalFormatting sqref="F279:F280">
    <cfRule type="cellIs" dxfId="14" priority="16" operator="lessThan">
      <formula>0</formula>
    </cfRule>
  </conditionalFormatting>
  <conditionalFormatting sqref="F284:F285">
    <cfRule type="cellIs" dxfId="13" priority="15" operator="lessThan">
      <formula>0</formula>
    </cfRule>
  </conditionalFormatting>
  <conditionalFormatting sqref="F308:F309">
    <cfRule type="cellIs" dxfId="12" priority="14" operator="lessThan">
      <formula>0</formula>
    </cfRule>
  </conditionalFormatting>
  <conditionalFormatting sqref="F313:F314">
    <cfRule type="cellIs" dxfId="11" priority="13" operator="lessThan">
      <formula>0</formula>
    </cfRule>
  </conditionalFormatting>
  <conditionalFormatting sqref="F318:F319">
    <cfRule type="cellIs" dxfId="10" priority="12" operator="lessThan">
      <formula>0</formula>
    </cfRule>
  </conditionalFormatting>
  <conditionalFormatting sqref="I33 F71">
    <cfRule type="cellIs" dxfId="9" priority="9" operator="lessThan">
      <formula>0</formula>
    </cfRule>
  </conditionalFormatting>
  <conditionalFormatting sqref="I79:I83">
    <cfRule type="cellIs" dxfId="8" priority="4" operator="lessThan">
      <formula>0</formula>
    </cfRule>
  </conditionalFormatting>
  <conditionalFormatting sqref="I87 I146">
    <cfRule type="cellIs" dxfId="7" priority="10" operator="lessThan">
      <formula>0</formula>
    </cfRule>
  </conditionalFormatting>
  <conditionalFormatting sqref="I98:I100">
    <cfRule type="cellIs" dxfId="6" priority="3" operator="lessThan">
      <formula>0</formula>
    </cfRule>
  </conditionalFormatting>
  <conditionalFormatting sqref="I104:I107">
    <cfRule type="cellIs" dxfId="5" priority="2" operator="lessThan">
      <formula>0</formula>
    </cfRule>
  </conditionalFormatting>
  <conditionalFormatting sqref="I111:I115">
    <cfRule type="cellIs" dxfId="4" priority="1" operator="lessThan">
      <formula>0</formula>
    </cfRule>
  </conditionalFormatting>
  <conditionalFormatting sqref="J8 I65:I66 H67:H69 I68 I70:I72 I74:I75 I226 I232 E234:G234">
    <cfRule type="cellIs" dxfId="3" priority="11" operator="lessThan">
      <formula>0</formula>
    </cfRule>
  </conditionalFormatting>
  <conditionalFormatting sqref="J37 I59 F150:F151">
    <cfRule type="cellIs" dxfId="2" priority="8" operator="lessThan">
      <formula>0</formula>
    </cfRule>
  </conditionalFormatting>
  <dataValidations count="9">
    <dataValidation type="list" allowBlank="1" showInputMessage="1" showErrorMessage="1" sqref="F10:F32" xr:uid="{38265BE7-1987-4A9A-A697-27DD585B2D57}">
      <formula1>INDIRECT("Table_WasteTypes_" &amp; SUBSTITUTE(E10, " ", "") &amp; "[Waste type w]")</formula1>
    </dataValidation>
    <dataValidation type="list" allowBlank="1" showInputMessage="1" showErrorMessage="1" sqref="I10:I32" xr:uid="{6AA77139-8727-41FB-A593-23F6DAAFDE67}">
      <formula1>"tonnes, cubic metres m3"</formula1>
    </dataValidation>
    <dataValidation type="list" allowBlank="1" showInputMessage="1" showErrorMessage="1" sqref="G10:G32" xr:uid="{781B89FC-2DE9-41EA-803B-AC3410D21274}">
      <formula1>"Treated on-site, Removed and treated off-site"</formula1>
    </dataValidation>
    <dataValidation type="list" allowBlank="1" showInputMessage="1" showErrorMessage="1" sqref="E10:E32" xr:uid="{22DDB3CF-1E06-406F-B20A-DAFC2EDF1447}">
      <formula1>INDIRECT(_xlfn.UNIQUE("Table_SourceData_WasteSolid_WasteTreatmentEFs[Treatment type t]"))</formula1>
    </dataValidation>
    <dataValidation type="list" allowBlank="1" showInputMessage="1" showErrorMessage="1" sqref="E35" xr:uid="{668477AD-8D8A-4678-B9FC-7DBEB5F9892A}">
      <formula1>INDIRECT("Table_SourceData_ElectricityEFs[State, Territory or grid description]")</formula1>
    </dataValidation>
    <dataValidation type="list" allowBlank="1" showInputMessage="1" showErrorMessage="1" sqref="E89" xr:uid="{BF276A02-0AF0-481D-8B29-4FAAF5D83FAE}">
      <formula1>INDIRECT("Table_SourceData_Swine_IrrigationMethods[Irrigation method]")</formula1>
    </dataValidation>
    <dataValidation type="list" allowBlank="1" showInputMessage="1" showErrorMessage="1" sqref="E273 E278 E283 E317 E312 E307 E185 E173 E149 E161" xr:uid="{99989394-66B8-41AB-849B-0FC23BCEA2BD}">
      <formula1>"Yes, No"</formula1>
    </dataValidation>
    <dataValidation type="list" allowBlank="1" showInputMessage="1" showErrorMessage="1" sqref="E249" xr:uid="{24B48AC0-98B7-415F-8F78-70D682303949}">
      <formula1>INDIRECT("Table_SourceData_Dairy_ProductionSystemTemplates[Area]")</formula1>
    </dataValidation>
    <dataValidation type="list" allowBlank="1" showInputMessage="1" showErrorMessage="1" sqref="D301" xr:uid="{E58D1005-2EAC-4F03-A072-11C9300A463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C4A80-4932-4AEC-AB2B-75A1251AC72C}">
  <sheetPr>
    <tabColor rgb="FF008000"/>
  </sheetPr>
  <dimension ref="A1:X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363</v>
      </c>
      <c r="K1"/>
    </row>
    <row r="2" spans="1:24" s="3" customFormat="1" ht="20.100000000000001" customHeight="1" x14ac:dyDescent="0.2">
      <c r="A2"/>
      <c r="K2"/>
    </row>
    <row r="3" spans="1:24"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EI")</f>
        <v>Results - Product EI</v>
      </c>
      <c r="D5" s="2" t="s">
        <v>1026</v>
      </c>
      <c r="M5" s="89" t="s">
        <v>364</v>
      </c>
    </row>
    <row r="6" spans="1:24" ht="20.100000000000001" customHeight="1" x14ac:dyDescent="0.2">
      <c r="D6" s="17" t="s">
        <v>1027</v>
      </c>
      <c r="M6" s="70" t="s">
        <v>365</v>
      </c>
      <c r="N6" s="70"/>
      <c r="O6" s="70"/>
      <c r="P6" s="70"/>
      <c r="Q6" s="70"/>
      <c r="R6" s="70"/>
      <c r="S6" s="70"/>
    </row>
    <row r="7" spans="1:24" ht="20.100000000000001" customHeight="1" x14ac:dyDescent="0.2">
      <c r="D7" s="134"/>
      <c r="E7" s="134"/>
      <c r="M7" s="135" t="s">
        <v>366</v>
      </c>
    </row>
    <row r="8" spans="1:24" ht="20.100000000000001" customHeight="1" x14ac:dyDescent="0.2">
      <c r="A8" s="7" t="s">
        <v>0</v>
      </c>
      <c r="M8" s="136" t="s">
        <v>367</v>
      </c>
    </row>
    <row r="9" spans="1:24" ht="20.100000000000001" customHeight="1" x14ac:dyDescent="0.2">
      <c r="A9" s="5" t="str">
        <f>HYPERLINK("#'Input - Enterprise'!A1", "Enterprise")</f>
        <v>Enterprise</v>
      </c>
      <c r="O9" s="137" t="s">
        <v>368</v>
      </c>
      <c r="P9" s="137" t="s">
        <v>369</v>
      </c>
      <c r="Q9" s="137" t="s">
        <v>370</v>
      </c>
    </row>
    <row r="10" spans="1:24" ht="20.100000000000001" customHeight="1" x14ac:dyDescent="0.2">
      <c r="A10" s="5" t="str">
        <f>HYPERLINK("#'Input - Site'!A1", "Site")</f>
        <v>Site</v>
      </c>
      <c r="D10" s="77" t="s">
        <v>371</v>
      </c>
      <c r="E10" s="1" t="s">
        <v>1028</v>
      </c>
      <c r="M10" s="138" t="s">
        <v>372</v>
      </c>
      <c r="N10" s="80" t="s">
        <v>372</v>
      </c>
      <c r="O10" s="80" t="s">
        <v>373</v>
      </c>
      <c r="P10" s="80" t="s">
        <v>374</v>
      </c>
      <c r="Q10" s="138" t="s">
        <v>375</v>
      </c>
    </row>
    <row r="11" spans="1:24" ht="20.100000000000001" customHeight="1" x14ac:dyDescent="0.2">
      <c r="A11" s="5" t="str">
        <f>HYPERLINK("#'Input - Crop'!A1", "Crop")</f>
        <v>Crop</v>
      </c>
      <c r="D11" s="77" t="s">
        <v>118</v>
      </c>
      <c r="E11" s="9" t="s">
        <v>1029</v>
      </c>
      <c r="M11" s="15" t="s">
        <v>376</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
      <c r="A12" s="5" t="str">
        <f>HYPERLINK("#'Input - Fert Prod System'!A1", "Fert Prod System")</f>
        <v>Fert Prod System</v>
      </c>
      <c r="M12" s="15" t="s">
        <v>376</v>
      </c>
      <c r="N12" s="15" t="str">
        <v>Boost-It</v>
      </c>
      <c r="O12" s="15">
        <v>24</v>
      </c>
      <c r="P12" s="15">
        <v>1000</v>
      </c>
      <c r="Q12" s="15">
        <f>O12*P12</f>
        <v>24000</v>
      </c>
    </row>
    <row r="13" spans="1:24" ht="20.100000000000001" customHeight="1" x14ac:dyDescent="0.2">
      <c r="A13" s="5" t="str">
        <f>HYPERLINK("#'Input - Fertiliser'!A1", "Fertiliser")</f>
        <v>Fertiliser</v>
      </c>
      <c r="D13" s="139" t="s">
        <v>1030</v>
      </c>
      <c r="E13" s="139" t="s">
        <v>1031</v>
      </c>
      <c r="F13" s="139"/>
      <c r="G13" s="139" t="s">
        <v>370</v>
      </c>
      <c r="H13" s="141" t="s">
        <v>1034</v>
      </c>
      <c r="I13" s="143" t="str" cm="1">
        <f t="array" aca="1" ref="I13" ca="1">HYPERLINK(Common_InputFunctions.Utility_SourceHyperlink($D$16), $D$16)</f>
        <v>Table_MN_j_f</v>
      </c>
      <c r="M13" s="15" t="s">
        <v>376</v>
      </c>
      <c r="N13" s="15" t="str">
        <v>Cal-Gran 50/50</v>
      </c>
      <c r="O13" s="15">
        <v>17.899999999999999</v>
      </c>
      <c r="P13" s="15">
        <v>1000</v>
      </c>
      <c r="Q13" s="15">
        <f t="shared" ref="Q13:Q20" si="0">O13*P13</f>
        <v>17900</v>
      </c>
    </row>
    <row r="14" spans="1:24" ht="20.100000000000001" customHeight="1" x14ac:dyDescent="0.2">
      <c r="A14" s="5" t="str">
        <f>HYPERLINK("#'Input - Fuel'!A1", "Fuel")</f>
        <v>Fuel</v>
      </c>
      <c r="D14" s="139" t="s">
        <v>1032</v>
      </c>
      <c r="E14" s="140" t="s">
        <v>1033</v>
      </c>
      <c r="F14" s="145"/>
      <c r="G14" s="139" t="s">
        <v>1035</v>
      </c>
      <c r="H14" s="142" t="s">
        <v>1036</v>
      </c>
      <c r="I14" s="143" t="str" cm="1">
        <f t="array" aca="1" ref="I14" ca="1">HYPERLINK(Common_InputFunctions.Utility_SourceHyperlink($D$16), $D$16)</f>
        <v>Table_MN_j_f</v>
      </c>
      <c r="M14" s="15" t="s">
        <v>376</v>
      </c>
      <c r="N14" s="15">
        <v>0</v>
      </c>
      <c r="O14" s="15">
        <v>0</v>
      </c>
      <c r="P14" s="15">
        <v>0</v>
      </c>
      <c r="Q14" s="15">
        <f t="shared" si="0"/>
        <v>0</v>
      </c>
    </row>
    <row r="15" spans="1:24" ht="20.100000000000001" customHeight="1" x14ac:dyDescent="0.2">
      <c r="A15" s="5" t="str">
        <f>HYPERLINK("#'Input - Electricity'!A1", "Electricity")</f>
        <v>Electricity</v>
      </c>
      <c r="M15" s="15" t="s">
        <v>376</v>
      </c>
      <c r="N15" s="15">
        <v>0</v>
      </c>
      <c r="O15" s="15">
        <v>0</v>
      </c>
      <c r="P15" s="15">
        <v>0</v>
      </c>
      <c r="Q15" s="15">
        <f t="shared" si="0"/>
        <v>0</v>
      </c>
    </row>
    <row r="16" spans="1:24" ht="20.100000000000001" customHeight="1" x14ac:dyDescent="0.2">
      <c r="A16" s="5" t="str">
        <f>HYPERLINK("#'Input - Common farm inputs'!A1", "Common farm inputs")</f>
        <v>Common farm inputs</v>
      </c>
      <c r="D16" s="135" t="s">
        <v>377</v>
      </c>
      <c r="M16" s="15" t="s">
        <v>376</v>
      </c>
      <c r="N16" s="15">
        <v>0</v>
      </c>
      <c r="O16" s="15">
        <v>0</v>
      </c>
      <c r="P16" s="15">
        <v>0</v>
      </c>
      <c r="Q16" s="15">
        <f t="shared" si="0"/>
        <v>0</v>
      </c>
    </row>
    <row r="17" spans="1:17" ht="20.100000000000001" customHeight="1" x14ac:dyDescent="0.2">
      <c r="A17" s="5" t="str">
        <f>HYPERLINK("#'Input - Crop pasture farm input'!A1", "Crop pasture farm input")</f>
        <v>Crop pasture farm input</v>
      </c>
      <c r="D17" s="136" t="s">
        <v>378</v>
      </c>
      <c r="M17" s="15" t="s">
        <v>376</v>
      </c>
      <c r="N17" s="15">
        <v>0</v>
      </c>
      <c r="O17" s="15">
        <v>0</v>
      </c>
      <c r="P17" s="15">
        <v>0</v>
      </c>
      <c r="Q17" s="15">
        <f t="shared" si="0"/>
        <v>0</v>
      </c>
    </row>
    <row r="18" spans="1:17" ht="20.100000000000001" customHeight="1" x14ac:dyDescent="0.2">
      <c r="A18" s="5" t="str">
        <f>HYPERLINK("#'Input - Freight'!A1", "Freight")</f>
        <v>Freight</v>
      </c>
      <c r="D18" s="138" t="s">
        <v>379</v>
      </c>
      <c r="E18" s="80" t="s">
        <v>380</v>
      </c>
      <c r="F18" s="138" t="s">
        <v>381</v>
      </c>
      <c r="G18" s="138" t="s">
        <v>382</v>
      </c>
      <c r="M18" s="15" t="s">
        <v>376</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(E19 * F19)</f>
        <v>0</v>
      </c>
      <c r="M19" s="15" t="s">
        <v>376</v>
      </c>
      <c r="N19" s="15">
        <v>0</v>
      </c>
      <c r="O19" s="15">
        <v>0</v>
      </c>
      <c r="P19" s="15">
        <v>0</v>
      </c>
      <c r="Q19" s="15">
        <f t="shared" si="0"/>
        <v>0</v>
      </c>
    </row>
    <row r="20" spans="1:17" ht="20.100000000000001" customHeight="1" x14ac:dyDescent="0.2">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(E20 * F20)</f>
        <v>0</v>
      </c>
      <c r="M20" s="15" t="s">
        <v>376</v>
      </c>
      <c r="N20" s="15">
        <v>0</v>
      </c>
      <c r="O20" s="15">
        <v>0</v>
      </c>
      <c r="P20" s="15">
        <v>0</v>
      </c>
      <c r="Q20" s="15">
        <f t="shared" si="0"/>
        <v>0</v>
      </c>
    </row>
    <row r="21" spans="1:17" ht="20.100000000000001" customHeight="1" x14ac:dyDescent="0.2">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f>(E21 * F21)</f>
        <v>115999.99400000001</v>
      </c>
      <c r="M21" s="15" t="s">
        <v>383</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(E22 * F22)</f>
        <v>0</v>
      </c>
      <c r="M22" s="15" t="s">
        <v>383</v>
      </c>
      <c r="N22" s="15" t="str">
        <v>My second custom blend</v>
      </c>
      <c r="O22" s="15">
        <v>46</v>
      </c>
      <c r="P22" s="15">
        <v>1000</v>
      </c>
      <c r="Q22" s="15">
        <f>O22*P22</f>
        <v>46000</v>
      </c>
    </row>
    <row r="23" spans="1:17" ht="20.100000000000001" customHeight="1" x14ac:dyDescent="0.2">
      <c r="A23" s="6" t="s">
        <v>2</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(E23 * F23)</f>
        <v>0</v>
      </c>
      <c r="M23" s="15" t="s">
        <v>383</v>
      </c>
      <c r="N23" s="15" t="str">
        <v>My third custom blend</v>
      </c>
      <c r="O23" s="15">
        <v>41.174999999999997</v>
      </c>
      <c r="P23" s="15">
        <v>1000</v>
      </c>
      <c r="Q23" s="15">
        <f>O23*P23</f>
        <v>41175</v>
      </c>
    </row>
    <row r="24" spans="1:17" ht="20.100000000000001" customHeight="1" x14ac:dyDescent="0.2">
      <c r="A24" s="144"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(E24 * F24)</f>
        <v>0</v>
      </c>
      <c r="J24" s="16"/>
      <c r="M24" s="15" t="s">
        <v>383</v>
      </c>
      <c r="N24" s="15">
        <v>0</v>
      </c>
      <c r="O24" s="15">
        <v>0</v>
      </c>
      <c r="P24" s="15">
        <v>0</v>
      </c>
      <c r="Q24" s="15">
        <f>O24*P24</f>
        <v>0</v>
      </c>
    </row>
    <row r="25" spans="1:17" ht="20.100000000000001" customHeight="1" x14ac:dyDescent="0.2">
      <c r="A25" s="5"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(E25 * F25)</f>
        <v>0</v>
      </c>
      <c r="J25" s="16"/>
      <c r="M25" s="15" t="s">
        <v>383</v>
      </c>
      <c r="N25" s="15">
        <v>0</v>
      </c>
      <c r="O25" s="15">
        <v>0</v>
      </c>
      <c r="P25" s="15">
        <v>0</v>
      </c>
      <c r="Q25" s="15">
        <f>O25*P25</f>
        <v>0</v>
      </c>
    </row>
    <row r="26" spans="1:17" ht="20.100000000000001" customHeight="1" x14ac:dyDescent="0.2">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f>(E26 * F26)</f>
        <v>12400</v>
      </c>
      <c r="M26" s="15" t="s">
        <v>383</v>
      </c>
      <c r="N26" s="15">
        <v>0</v>
      </c>
      <c r="O26" s="15">
        <v>0</v>
      </c>
      <c r="P26" s="15">
        <v>0</v>
      </c>
      <c r="Q26" s="15">
        <f t="shared" ref="Q26:Q30" si="1">O26*P26</f>
        <v>0</v>
      </c>
    </row>
    <row r="27" spans="1:17" ht="20.100000000000001" customHeight="1" x14ac:dyDescent="0.2">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f>(E27 * F27)</f>
        <v>5500</v>
      </c>
      <c r="M27" s="15" t="s">
        <v>383</v>
      </c>
      <c r="N27" s="15">
        <v>0</v>
      </c>
      <c r="O27" s="15">
        <v>0</v>
      </c>
      <c r="P27" s="15">
        <v>0</v>
      </c>
      <c r="Q27" s="15">
        <f t="shared" si="1"/>
        <v>0</v>
      </c>
    </row>
    <row r="28" spans="1:17" ht="20.100000000000001" customHeight="1" x14ac:dyDescent="0.2">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(E28 * F28)</f>
        <v>0</v>
      </c>
      <c r="M28" s="15" t="s">
        <v>383</v>
      </c>
      <c r="N28" s="15">
        <v>0</v>
      </c>
      <c r="O28" s="15">
        <v>0</v>
      </c>
      <c r="P28" s="15">
        <v>0</v>
      </c>
      <c r="Q28" s="15">
        <f t="shared" si="1"/>
        <v>0</v>
      </c>
    </row>
    <row r="29" spans="1:17" ht="20.100000000000001" customHeight="1" x14ac:dyDescent="0.2">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f>(E29 * F29)</f>
        <v>0</v>
      </c>
      <c r="M29" s="15" t="s">
        <v>383</v>
      </c>
      <c r="N29" s="15">
        <v>0</v>
      </c>
      <c r="O29" s="15">
        <v>0</v>
      </c>
      <c r="P29" s="15">
        <v>0</v>
      </c>
      <c r="Q29" s="15">
        <f t="shared" si="1"/>
        <v>0</v>
      </c>
    </row>
    <row r="30" spans="1:17" ht="20.100000000000001" customHeight="1" x14ac:dyDescent="0.2">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f>(E30 * F30)</f>
        <v>0</v>
      </c>
      <c r="M30" s="15" t="s">
        <v>383</v>
      </c>
      <c r="N30" s="15">
        <v>0</v>
      </c>
      <c r="O30" s="15">
        <v>0</v>
      </c>
      <c r="P30" s="15">
        <v>0</v>
      </c>
      <c r="Q30" s="15">
        <f t="shared" si="1"/>
        <v>0</v>
      </c>
    </row>
    <row r="31" spans="1:17" ht="20.100000000000001" customHeight="1" x14ac:dyDescent="0.2">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f>(E31 * F31)</f>
        <v>0</v>
      </c>
    </row>
    <row r="32" spans="1:17" ht="20.100000000000001" customHeight="1" x14ac:dyDescent="0.2">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f>(E32 * F32)</f>
        <v>0</v>
      </c>
    </row>
    <row r="33" spans="1:24"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(E33 * F33)</f>
        <v>0</v>
      </c>
      <c r="M33" s="90" t="s">
        <v>384</v>
      </c>
      <c r="N33" s="85">
        <f>SUM(Q11:Q30)</f>
        <v>182825</v>
      </c>
    </row>
    <row r="34" spans="1:24"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(E34 * F34)</f>
        <v>0</v>
      </c>
      <c r="M34" s="77" t="s">
        <v>385</v>
      </c>
      <c r="N34" s="1">
        <f>MAX(P11:P30)</f>
        <v>1000</v>
      </c>
    </row>
    <row r="35" spans="1:24"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(E35 * F35)</f>
        <v>0</v>
      </c>
      <c r="M35" s="77" t="s">
        <v>386</v>
      </c>
      <c r="N35" s="1">
        <f>N33/N34</f>
        <v>182.82499999999999</v>
      </c>
    </row>
    <row r="36" spans="1:24"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f>(E36 * F36)</f>
        <v>41175</v>
      </c>
    </row>
    <row r="37" spans="1:24"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f>(E37 * F37)</f>
        <v>7750</v>
      </c>
      <c r="L37" s="85"/>
      <c r="M37" s="85"/>
      <c r="N37" s="85"/>
      <c r="O37" s="85"/>
      <c r="P37" s="85"/>
      <c r="Q37" s="85"/>
      <c r="R37" s="85"/>
      <c r="S37" s="85"/>
      <c r="T37" s="85"/>
      <c r="U37" s="85"/>
      <c r="V37" s="85"/>
      <c r="W37" s="85"/>
      <c r="X37" s="85"/>
    </row>
    <row r="39" spans="1:24" ht="20.100000000000001" customHeight="1" x14ac:dyDescent="0.2">
      <c r="C39" s="85"/>
      <c r="D39" s="85"/>
      <c r="E39" s="85"/>
      <c r="F39" s="85"/>
      <c r="G39" s="85"/>
      <c r="H39" s="85"/>
      <c r="I39" s="85"/>
      <c r="J39" s="85"/>
      <c r="M39" s="2" t="s">
        <v>1037</v>
      </c>
    </row>
    <row r="40" spans="1:24" ht="20.100000000000001" customHeight="1" x14ac:dyDescent="0.2">
      <c r="A40" s="82" t="s">
        <v>1</v>
      </c>
      <c r="D40" s="2" t="s">
        <v>1039</v>
      </c>
      <c r="M40" s="17" t="s">
        <v>1038</v>
      </c>
    </row>
    <row r="41" spans="1:24" ht="20.100000000000001" customHeight="1" x14ac:dyDescent="0.2">
      <c r="A41" s="5" t="str">
        <f>HYPERLINK("#'Constants - Ag Residue'!A1", "Constants - Ag residue")</f>
        <v>Constants - Ag residue</v>
      </c>
      <c r="D41" s="17" t="s">
        <v>1040</v>
      </c>
    </row>
    <row r="42" spans="1:24" ht="20.100000000000001" customHeight="1" x14ac:dyDescent="0.2">
      <c r="A42" s="5" t="str">
        <f>HYPERLINK("#'Constants - Electricity'!A1", "Constants - Electricity")</f>
        <v>Constants - Electricity</v>
      </c>
      <c r="D42" s="134"/>
      <c r="E42" s="134"/>
      <c r="F42" s="16"/>
    </row>
    <row r="43" spans="1:24" ht="20.100000000000001" customHeight="1" x14ac:dyDescent="0.2">
      <c r="A43" s="5" t="str">
        <f>HYPERLINK("#'Constants - Fertiliser'!A1", "Constants - Fertiliser")</f>
        <v>Constants - Fertiliser</v>
      </c>
      <c r="F43" s="16"/>
      <c r="M43" s="77" t="s">
        <v>371</v>
      </c>
      <c r="N43" s="1" t="s">
        <v>1041</v>
      </c>
    </row>
    <row r="44" spans="1:24" ht="20.100000000000001" customHeight="1" x14ac:dyDescent="0.2">
      <c r="A44" s="5" t="str">
        <f>HYPERLINK("#'Constants - Fuel'!A1", "Constants - Fuel")</f>
        <v>Constants - Fuel</v>
      </c>
      <c r="F44" s="16"/>
      <c r="M44" s="77" t="s">
        <v>118</v>
      </c>
      <c r="N44" s="9" t="s">
        <v>1042</v>
      </c>
    </row>
    <row r="45" spans="1:24" ht="20.100000000000001" customHeight="1" x14ac:dyDescent="0.2">
      <c r="A45" s="5" t="str">
        <f>HYPERLINK("#'Constants - Scope 3'!A1", "Constants - Scope 3")</f>
        <v>Constants - Scope 3</v>
      </c>
      <c r="F45" s="16"/>
    </row>
    <row r="46" spans="1:24" ht="20.100000000000001" customHeight="1" x14ac:dyDescent="0.2">
      <c r="A46" s="5" t="str">
        <f>HYPERLINK("#'Constants - Solid Waste'!A1", "Constants - Solid Waste")</f>
        <v>Constants - Solid Waste</v>
      </c>
      <c r="D46" s="77" t="s">
        <v>371</v>
      </c>
      <c r="E46" s="1" t="s">
        <v>749</v>
      </c>
      <c r="F46" s="16"/>
      <c r="M46" s="139" t="s">
        <v>1043</v>
      </c>
      <c r="N46" s="140" t="s">
        <v>1044</v>
      </c>
      <c r="O46" s="146"/>
      <c r="P46" s="139" t="s">
        <v>1047</v>
      </c>
      <c r="Q46" s="141" t="s">
        <v>1034</v>
      </c>
      <c r="R46" s="147">
        <f>$N$35</f>
        <v>182.82499999999999</v>
      </c>
      <c r="S46" s="148"/>
    </row>
    <row r="47" spans="1:24" ht="20.100000000000001" customHeight="1" x14ac:dyDescent="0.2">
      <c r="A47" s="5" t="str">
        <f>HYPERLINK("#'Constants - Common'!A1", "Constants - Common")</f>
        <v>Constants - Common</v>
      </c>
      <c r="D47" s="77" t="s">
        <v>118</v>
      </c>
      <c r="E47" s="9" t="s">
        <v>12</v>
      </c>
      <c r="F47" s="16"/>
      <c r="M47" s="139" t="s">
        <v>1045</v>
      </c>
      <c r="N47" s="140" t="s">
        <v>1046</v>
      </c>
      <c r="O47" s="146"/>
      <c r="P47" s="139"/>
      <c r="Q47" s="142" t="s">
        <v>1036</v>
      </c>
      <c r="R47" s="140" t="s">
        <v>387</v>
      </c>
      <c r="S47" s="148"/>
    </row>
    <row r="48" spans="1:24" ht="20.100000000000001" customHeight="1" x14ac:dyDescent="0.2">
      <c r="A48" s="5" t="str">
        <f>HYPERLINK("#'Constants - Common Livestock'!A1", "Constants - Common Livestock")</f>
        <v>Constants - Common Livestock</v>
      </c>
      <c r="F48" s="16"/>
    </row>
    <row r="49" spans="1:19" ht="20.100000000000001" customHeight="1" x14ac:dyDescent="0.2">
      <c r="D49" s="139" t="s">
        <v>1028</v>
      </c>
      <c r="E49" s="140" t="s">
        <v>1048</v>
      </c>
      <c r="F49" s="146"/>
      <c r="G49" s="139" t="s">
        <v>1029</v>
      </c>
      <c r="H49" s="142" t="s">
        <v>1058</v>
      </c>
      <c r="I49" s="143" t="str" cm="1">
        <f t="array" aca="1" ref="I49" ca="1">HYPERLINK(Common_InputFunctions.Utility_SourceHyperlink(D16), D16)</f>
        <v>Table_MN_j_f</v>
      </c>
      <c r="M49" s="1" t="s">
        <v>388</v>
      </c>
      <c r="N49" s="1">
        <f>((-0.1474 + (0.0061 * R46)) * 10 ^ -2)</f>
        <v>9.6783250000000015E-3</v>
      </c>
      <c r="O49" s="9" t="str">
        <f>N44</f>
        <v>kg N2O-N/kg N applied</v>
      </c>
    </row>
    <row r="50" spans="1:19" ht="20.100000000000001" customHeight="1" x14ac:dyDescent="0.2">
      <c r="D50" s="139" t="s">
        <v>1049</v>
      </c>
      <c r="E50" s="140" t="s">
        <v>1050</v>
      </c>
      <c r="F50" s="146"/>
      <c r="G50" s="139" t="s">
        <v>1042</v>
      </c>
      <c r="H50" s="142" t="s">
        <v>1036</v>
      </c>
      <c r="I50" s="139">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D51" s="139" t="s">
        <v>1051</v>
      </c>
      <c r="E51" s="140" t="s">
        <v>1052</v>
      </c>
      <c r="F51" s="146"/>
      <c r="G51" s="139"/>
      <c r="H51" s="142" t="s">
        <v>1036</v>
      </c>
      <c r="I51" s="139">
        <f>Common_InputFunctions.Utility_LookupValueInTableNumber("N2O",Table_GasToMolecularConversionFactor[Gas],Table_GasToMolecularConversionFactor[Conversion factor combined])</f>
        <v>1.5714285714285714</v>
      </c>
    </row>
    <row r="52" spans="1:19" ht="20.100000000000001" customHeight="1" x14ac:dyDescent="0.2">
      <c r="D52" s="139" t="s">
        <v>1053</v>
      </c>
      <c r="E52" s="140" t="s">
        <v>177</v>
      </c>
      <c r="F52" s="146"/>
      <c r="G52" s="139"/>
      <c r="H52" s="141" t="s">
        <v>1034</v>
      </c>
      <c r="I52" s="139" t="str">
        <f>X_Cell_Fertiliser_ProductionSystem</f>
        <v>Crop</v>
      </c>
    </row>
    <row r="53" spans="1:19" ht="20.100000000000001" customHeight="1" x14ac:dyDescent="0.2">
      <c r="D53" s="139" t="s">
        <v>1045</v>
      </c>
      <c r="E53" s="140" t="s">
        <v>1046</v>
      </c>
      <c r="F53" s="146"/>
      <c r="G53" s="139"/>
      <c r="H53" s="142" t="s">
        <v>1036</v>
      </c>
      <c r="I53" s="139" t="str">
        <f>"See " &amp; D57</f>
        <v>See M1_Table_E_N2O</v>
      </c>
      <c r="M53" s="2" t="s">
        <v>1059</v>
      </c>
    </row>
    <row r="54" spans="1:19" ht="20.100000000000001" customHeight="1" x14ac:dyDescent="0.2">
      <c r="D54" s="139" t="s">
        <v>1054</v>
      </c>
      <c r="E54" s="140" t="s">
        <v>1055</v>
      </c>
      <c r="F54" s="146"/>
      <c r="G54" s="139"/>
      <c r="H54" s="141" t="s">
        <v>1034</v>
      </c>
      <c r="I54" s="139" t="str">
        <f>X_Cell_Fertiliser_IrrigationMethod</f>
        <v>Sprinkler irrigation</v>
      </c>
      <c r="M54" s="17" t="s">
        <v>1060</v>
      </c>
    </row>
    <row r="55" spans="1:19" ht="20.100000000000001" customHeight="1" x14ac:dyDescent="0.2">
      <c r="D55" s="139" t="s">
        <v>1056</v>
      </c>
      <c r="E55" s="140" t="s">
        <v>1057</v>
      </c>
      <c r="F55" s="146"/>
      <c r="G55" s="139"/>
      <c r="H55" s="141" t="s">
        <v>1034</v>
      </c>
      <c r="I55" s="139" t="str">
        <f>X_Cell_Site_RainfallZone</f>
        <v>High rainfall</v>
      </c>
    </row>
    <row r="56" spans="1:19" ht="20.100000000000001" customHeight="1" x14ac:dyDescent="0.2">
      <c r="F56" s="16"/>
    </row>
    <row r="57" spans="1:19" ht="20.100000000000001" customHeight="1" x14ac:dyDescent="0.2">
      <c r="D57" s="135" t="s">
        <v>389</v>
      </c>
      <c r="F57" s="16"/>
      <c r="M57" s="77" t="s">
        <v>371</v>
      </c>
      <c r="N57" s="1" t="s">
        <v>1061</v>
      </c>
    </row>
    <row r="58" spans="1:19" ht="20.100000000000001" customHeight="1" x14ac:dyDescent="0.2">
      <c r="D58" s="136" t="s">
        <v>390</v>
      </c>
      <c r="F58" s="16"/>
      <c r="M58" s="77" t="s">
        <v>118</v>
      </c>
      <c r="N58" s="9" t="s">
        <v>1042</v>
      </c>
    </row>
    <row r="59" spans="1:19" ht="20.100000000000001" customHeight="1" x14ac:dyDescent="0.2">
      <c r="A59" s="81" t="str">
        <f>HYPERLINK("#A1", "▲ Back to top")</f>
        <v>▲ Back to top</v>
      </c>
      <c r="D59" s="138" t="s">
        <v>379</v>
      </c>
      <c r="E59" s="138" t="s">
        <v>391</v>
      </c>
    </row>
    <row r="60" spans="1:19" ht="20.100000000000001" customHeight="1" x14ac:dyDescent="0.2">
      <c r="D60" s="15" t="str" cm="1">
        <f t="array" ref="D60:D78">Table_Fertiliser_ChemicalCompounds[Fertiliser type f]</f>
        <v>Monoammonium phosphate (MAP)</v>
      </c>
      <c r="E60" s="15">
        <f>((G19 * $I$50 * $I$51) * 10 ^ -3)</f>
        <v>0</v>
      </c>
      <c r="F60" s="16" t="str">
        <f>E47</f>
        <v>t N2O</v>
      </c>
      <c r="M60" s="139" t="s">
        <v>1062</v>
      </c>
      <c r="N60" s="140" t="s">
        <v>1063</v>
      </c>
      <c r="O60" s="146"/>
      <c r="P60" s="139" t="s">
        <v>1047</v>
      </c>
      <c r="Q60" s="141" t="s">
        <v>1034</v>
      </c>
      <c r="R60" s="147">
        <f>$N$35</f>
        <v>182.82499999999999</v>
      </c>
      <c r="S60" s="148"/>
    </row>
    <row r="61" spans="1:19" ht="20.100000000000001" customHeight="1" x14ac:dyDescent="0.2">
      <c r="D61" s="15" t="str">
        <v>Diammonium phosphate (DAP)</v>
      </c>
      <c r="E61" s="15">
        <f>((G20 * $I$50 * $I$51) * 10 ^ -3)</f>
        <v>0</v>
      </c>
      <c r="M61" s="139" t="s">
        <v>1045</v>
      </c>
      <c r="N61" s="140" t="s">
        <v>1046</v>
      </c>
      <c r="O61" s="146"/>
      <c r="P61" s="139"/>
      <c r="Q61" s="142" t="s">
        <v>1036</v>
      </c>
      <c r="R61" s="140" t="s">
        <v>387</v>
      </c>
      <c r="S61" s="145"/>
    </row>
    <row r="62" spans="1:19" ht="20.100000000000001" customHeight="1" x14ac:dyDescent="0.2">
      <c r="D62" s="15" t="str">
        <v>Urea</v>
      </c>
      <c r="E62" s="15">
        <f>((G21 * $I$50 * $I$51) * 10 ^ -3)</f>
        <v>1.2759999340000001</v>
      </c>
    </row>
    <row r="63" spans="1:19" ht="20.100000000000001" customHeight="1" x14ac:dyDescent="0.2">
      <c r="D63" s="15" t="str">
        <v>Sulphate of ammonia (SOA)</v>
      </c>
      <c r="E63" s="15">
        <f>((G22 * $I$50 * $I$51) * 10 ^ -3)</f>
        <v>0</v>
      </c>
      <c r="M63" s="77" t="s">
        <v>392</v>
      </c>
      <c r="N63" s="1">
        <f>((0.0781 + (0.0075 * R60)) * 10 ^ -2)</f>
        <v>1.4492874999999999E-2</v>
      </c>
      <c r="O63" s="9" t="str">
        <f>N58</f>
        <v>kg N2O-N/kg N applied</v>
      </c>
    </row>
    <row r="64" spans="1:19" ht="20.100000000000001" customHeight="1" x14ac:dyDescent="0.2">
      <c r="D64" s="15" t="str">
        <v>Urea-ammonium nitrate (UAN)</v>
      </c>
      <c r="E64" s="15">
        <f>((G23 * $I$50 * $I$51) * 10 ^ -3)</f>
        <v>0</v>
      </c>
    </row>
    <row r="65" spans="4:20" ht="20.100000000000001" customHeight="1" x14ac:dyDescent="0.2">
      <c r="D65" s="15" t="str">
        <v>Ammonium nitrate (AN)</v>
      </c>
      <c r="E65" s="15">
        <f>((G24 * $I$50 * $I$51) * 10 ^ -3)</f>
        <v>0</v>
      </c>
    </row>
    <row r="66" spans="4:20" ht="20.100000000000001" customHeight="1" x14ac:dyDescent="0.2">
      <c r="D66" s="15" t="str">
        <v>Calcium ammonium nitrate (CAN)</v>
      </c>
      <c r="E66" s="15">
        <f>((G25 * $I$50 * $I$51) * 10 ^ -3)</f>
        <v>0</v>
      </c>
      <c r="M66" s="2" t="s">
        <v>1064</v>
      </c>
    </row>
    <row r="67" spans="4:20" ht="20.100000000000001" customHeight="1" x14ac:dyDescent="0.2">
      <c r="D67" s="15" t="str">
        <v>Nitrogen - Ammoniacal</v>
      </c>
      <c r="E67" s="15">
        <f>((G26 * $I$50 * $I$51) * 10 ^ -3)</f>
        <v>0.13640000000000002</v>
      </c>
      <c r="M67" s="17" t="s">
        <v>1065</v>
      </c>
    </row>
    <row r="68" spans="4:20" ht="20.100000000000001" customHeight="1" x14ac:dyDescent="0.2">
      <c r="D68" s="15" t="str">
        <v>Nitrogen - Nitrate</v>
      </c>
      <c r="E68" s="15">
        <f>((G27 * $I$50 * $I$51) * 10 ^ -3)</f>
        <v>6.0499999999999998E-2</v>
      </c>
    </row>
    <row r="69" spans="4:20" ht="20.100000000000001" customHeight="1" x14ac:dyDescent="0.2">
      <c r="D69" s="15" t="str">
        <v>Nitrogen - Generic</v>
      </c>
      <c r="E69" s="15">
        <f>((G28 * $I$50 * $I$51) * 10 ^ -3)</f>
        <v>0</v>
      </c>
    </row>
    <row r="70" spans="4:20" ht="20.100000000000001" customHeight="1" x14ac:dyDescent="0.2">
      <c r="D70" s="15" t="str">
        <v>Phosphorus - Generic</v>
      </c>
      <c r="E70" s="15">
        <f>((G29 * $I$50 * $I$51) * 10 ^ -3)</f>
        <v>0</v>
      </c>
    </row>
    <row r="71" spans="4:20" ht="20.100000000000001" customHeight="1" x14ac:dyDescent="0.2">
      <c r="D71" s="15" t="str">
        <v>Potassium - Generic</v>
      </c>
      <c r="E71" s="15">
        <f>((G30 * $I$50 * $I$51) * 10 ^ -3)</f>
        <v>0</v>
      </c>
      <c r="M71" s="77" t="s">
        <v>371</v>
      </c>
      <c r="N71" s="1" t="s">
        <v>1066</v>
      </c>
    </row>
    <row r="72" spans="4:20" ht="20.100000000000001" customHeight="1" x14ac:dyDescent="0.2">
      <c r="D72" s="15" t="str">
        <v>Sulfur - Generic</v>
      </c>
      <c r="E72" s="15">
        <f>((G31 * $I$50 * $I$51) * 10 ^ -3)</f>
        <v>0</v>
      </c>
      <c r="M72" s="77" t="s">
        <v>118</v>
      </c>
      <c r="N72" s="9" t="s">
        <v>1042</v>
      </c>
    </row>
    <row r="73" spans="4:20" ht="20.100000000000001" customHeight="1" x14ac:dyDescent="0.2">
      <c r="D73" s="15" t="str">
        <v>Zinc - Generic</v>
      </c>
      <c r="E73" s="15">
        <f>((G32 * $I$50 * $I$51) * 10 ^ -3)</f>
        <v>0</v>
      </c>
    </row>
    <row r="74" spans="4:20" ht="20.100000000000001" customHeight="1" x14ac:dyDescent="0.2">
      <c r="D74" s="15" t="str">
        <v>Muriate of potash (MOP)</v>
      </c>
      <c r="E74" s="15">
        <f>((G33 * $I$50 * $I$51) * 10 ^ -3)</f>
        <v>0</v>
      </c>
      <c r="M74" s="70" t="s">
        <v>393</v>
      </c>
      <c r="N74" s="70"/>
      <c r="O74" s="70"/>
      <c r="P74" s="70"/>
      <c r="Q74" s="70"/>
      <c r="R74" s="70"/>
      <c r="S74" s="70"/>
      <c r="T74" s="70"/>
    </row>
    <row r="75" spans="4:20" ht="20.100000000000001" customHeight="1" x14ac:dyDescent="0.2">
      <c r="D75" s="15" t="str">
        <v>Double superphosphate</v>
      </c>
      <c r="E75" s="15">
        <f>((G34 * $I$50 * $I$51) * 10 ^ -3)</f>
        <v>0</v>
      </c>
    </row>
    <row r="76" spans="4:20" ht="20.100000000000001" customHeight="1" x14ac:dyDescent="0.2">
      <c r="D76" s="15" t="str">
        <v>Single superphosphate (SSP)</v>
      </c>
      <c r="E76" s="15">
        <f>((G35 * $I$50 * $I$51) * 10 ^ -3)</f>
        <v>0</v>
      </c>
      <c r="M76" s="139" t="s">
        <v>1067</v>
      </c>
      <c r="N76" s="140" t="s">
        <v>1068</v>
      </c>
      <c r="O76" s="146"/>
      <c r="P76" s="140" t="s">
        <v>1047</v>
      </c>
      <c r="Q76" s="141" t="s">
        <v>1034</v>
      </c>
      <c r="R76" s="147">
        <f>MIN(300, $N$35)</f>
        <v>182.82499999999999</v>
      </c>
      <c r="S76" s="148"/>
    </row>
    <row r="77" spans="4:20" ht="20.100000000000001" customHeight="1" x14ac:dyDescent="0.2">
      <c r="D77" s="15" t="str">
        <v>Ammonia</v>
      </c>
      <c r="E77" s="15">
        <f>((G36 * $I$50 * $I$51) * 10 ^ -3)</f>
        <v>0.45292500000000002</v>
      </c>
      <c r="M77" s="139" t="s">
        <v>1045</v>
      </c>
      <c r="N77" s="140" t="s">
        <v>1046</v>
      </c>
      <c r="O77" s="146"/>
      <c r="P77" s="140"/>
      <c r="Q77" s="142" t="s">
        <v>1036</v>
      </c>
      <c r="R77" s="140" t="s">
        <v>387</v>
      </c>
      <c r="S77" s="145"/>
    </row>
    <row r="78" spans="4:20" ht="20.100000000000001" customHeight="1" x14ac:dyDescent="0.2">
      <c r="D78" s="15" t="str">
        <v>Calcium nitrate</v>
      </c>
      <c r="E78" s="15">
        <f>((G37 * $I$50 * $I$51) * 10 ^ -3)</f>
        <v>8.5250000000000006E-2</v>
      </c>
    </row>
    <row r="79" spans="4:20" ht="20.100000000000001" customHeight="1" x14ac:dyDescent="0.2">
      <c r="M79" s="77" t="s">
        <v>392</v>
      </c>
      <c r="N79" s="1">
        <f>((0.01 * (0.29 + ((0.007 * (EXP(0.037 * R76) - 1)) / R76))) * 10 ^ -2)</f>
        <v>3.231403335233797E-5</v>
      </c>
      <c r="O79" s="9" t="str">
        <f>N72</f>
        <v>kg N2O-N/kg N applied</v>
      </c>
    </row>
    <row r="80" spans="4:20" ht="20.100000000000001" customHeight="1" x14ac:dyDescent="0.2">
      <c r="D80" s="87" t="s">
        <v>394</v>
      </c>
      <c r="E80" s="88">
        <f>SUM(E60:E78)</f>
        <v>2.0110749340000003</v>
      </c>
      <c r="F80" s="97" t="str">
        <f>$E$47</f>
        <v>t N2O</v>
      </c>
    </row>
    <row r="82" spans="1:24" ht="20.100000000000001" customHeight="1" x14ac:dyDescent="0.2">
      <c r="D82" s="139" t="str" cm="1">
        <f t="array" ref="D82:E83">Common_Equations.Common_ConvertN2OToCO2e_Arguments()</f>
        <v>EN2O</v>
      </c>
      <c r="E82" s="140" t="str">
        <v>Nitrous oxide emissions (t N2O)</v>
      </c>
      <c r="F82" s="149"/>
      <c r="G82" s="15">
        <f>VEERG_5_1_1_1__1_InorganicFertiliserApplicationN2OEmissions_Result_Method1</f>
        <v>2.0110749340000003</v>
      </c>
      <c r="L82" s="85"/>
      <c r="M82" s="85"/>
      <c r="N82" s="85"/>
      <c r="O82" s="85"/>
      <c r="P82" s="85"/>
      <c r="Q82" s="85"/>
      <c r="R82" s="85"/>
      <c r="S82" s="85"/>
      <c r="T82" s="85"/>
      <c r="U82" s="85"/>
      <c r="V82" s="85"/>
      <c r="W82" s="85"/>
      <c r="X82" s="85"/>
    </row>
    <row r="83" spans="1:24" ht="20.100000000000001" customHeight="1" x14ac:dyDescent="0.2">
      <c r="D83" s="139" t="str">
        <v>GWPN2O</v>
      </c>
      <c r="E83" s="140" t="str">
        <v>Global warming potential for nitrous oxide (t CO2-e / t N2O)</v>
      </c>
      <c r="F83" s="149"/>
      <c r="G83" s="15">
        <f>Common_InputFunctions.Utility_LookupValueInTableNumber("N2O",Table_GWPData[Gas],Table_GWPData[CO2-e factor])</f>
        <v>265</v>
      </c>
      <c r="M83" s="2" t="s">
        <v>1039</v>
      </c>
    </row>
    <row r="84" spans="1:24" ht="20.100000000000001" customHeight="1" x14ac:dyDescent="0.2">
      <c r="M84" s="17" t="s">
        <v>1040</v>
      </c>
    </row>
    <row r="85" spans="1:24" ht="20.100000000000001" customHeight="1" x14ac:dyDescent="0.2">
      <c r="D85" s="85" t="s">
        <v>395</v>
      </c>
      <c r="E85" s="85" cm="1">
        <f t="array" ref="E85">Common_Equations.Common_ConvertN2OToCO2e(G82,G83)</f>
        <v>532.93485751000003</v>
      </c>
      <c r="F85" s="91" t="str" cm="1">
        <f t="array" ref="F85">Common_Equations.Common_ConvertN2OToCO2e_Unit()</f>
        <v>t CO2e</v>
      </c>
      <c r="M85" s="134"/>
      <c r="N85" s="134"/>
    </row>
    <row r="89" spans="1:24" ht="20.100000000000001" customHeight="1" x14ac:dyDescent="0.2">
      <c r="A89" s="81" t="str">
        <f>HYPERLINK("#A1", "▲ Back to top")</f>
        <v>▲ Back to top</v>
      </c>
      <c r="M89" s="77" t="s">
        <v>371</v>
      </c>
      <c r="N89" s="1" t="s">
        <v>749</v>
      </c>
    </row>
    <row r="90" spans="1:24" ht="20.100000000000001" customHeight="1" x14ac:dyDescent="0.2">
      <c r="M90" s="77" t="s">
        <v>118</v>
      </c>
      <c r="N90" s="9" t="s">
        <v>12</v>
      </c>
    </row>
    <row r="92" spans="1:24" ht="20.100000000000001" customHeight="1" x14ac:dyDescent="0.2">
      <c r="M92" s="139" t="s">
        <v>1028</v>
      </c>
      <c r="N92" s="140" t="s">
        <v>1048</v>
      </c>
      <c r="O92" s="146"/>
      <c r="P92" s="145"/>
      <c r="Q92" s="139" t="s">
        <v>1029</v>
      </c>
      <c r="R92" s="142" t="s">
        <v>1058</v>
      </c>
      <c r="S92" s="150">
        <f>N33</f>
        <v>182825</v>
      </c>
    </row>
    <row r="93" spans="1:24" ht="20.100000000000001" customHeight="1" x14ac:dyDescent="0.2">
      <c r="M93" s="139" t="s">
        <v>1049</v>
      </c>
      <c r="N93" s="140" t="s">
        <v>1050</v>
      </c>
      <c r="O93" s="146"/>
      <c r="P93" s="145"/>
      <c r="Q93" s="139" t="s">
        <v>1042</v>
      </c>
      <c r="R93" s="142" t="s">
        <v>1070</v>
      </c>
      <c r="S93" s="150">
        <f>_xlfn.XLOOKUP(TRUE,N105:N108,O105:O108)</f>
        <v>7.0000000000000001E-3</v>
      </c>
    </row>
    <row r="94" spans="1:24" ht="20.100000000000001" customHeight="1" x14ac:dyDescent="0.2">
      <c r="M94" s="139" t="s">
        <v>1051</v>
      </c>
      <c r="N94" s="140" t="s">
        <v>1052</v>
      </c>
      <c r="O94" s="146"/>
      <c r="P94" s="145"/>
      <c r="Q94" s="139"/>
      <c r="R94" s="142" t="s">
        <v>1036</v>
      </c>
      <c r="S94" s="139">
        <f>Common_InputFunctions.Utility_LookupValueInTableNumber("N2O",Table_GasToMolecularConversionFactor[Gas],Table_GasToMolecularConversionFactor[Conversion factor combined])</f>
        <v>1.5714285714285714</v>
      </c>
    </row>
    <row r="95" spans="1:24" ht="20.100000000000001" customHeight="1" x14ac:dyDescent="0.2">
      <c r="M95" s="139" t="s">
        <v>1053</v>
      </c>
      <c r="N95" s="140" t="s">
        <v>177</v>
      </c>
      <c r="O95" s="146"/>
      <c r="P95" s="145"/>
      <c r="Q95" s="139"/>
      <c r="R95" s="141" t="s">
        <v>1034</v>
      </c>
      <c r="S95" s="139" t="str">
        <f>X_Cell_Fertiliser_ProductionSystem</f>
        <v>Crop</v>
      </c>
    </row>
    <row r="96" spans="1:24" ht="20.100000000000001" customHeight="1" x14ac:dyDescent="0.2">
      <c r="M96" s="139" t="s">
        <v>1069</v>
      </c>
      <c r="N96" s="140" t="s">
        <v>179</v>
      </c>
      <c r="O96" s="146"/>
      <c r="P96" s="145"/>
      <c r="Q96" s="139"/>
      <c r="R96" s="141" t="s">
        <v>1034</v>
      </c>
      <c r="S96" s="139" t="str">
        <f>X_Cell_Fertiliser_CropType</f>
        <v>Grains</v>
      </c>
    </row>
    <row r="97" spans="13:19" ht="20.100000000000001" customHeight="1" x14ac:dyDescent="0.2">
      <c r="M97" s="139" t="s">
        <v>1045</v>
      </c>
      <c r="N97" s="140" t="s">
        <v>1046</v>
      </c>
      <c r="O97" s="146"/>
      <c r="P97" s="145"/>
      <c r="Q97" s="139"/>
      <c r="R97" s="142" t="s">
        <v>1036</v>
      </c>
      <c r="S97" s="139" t="s">
        <v>396</v>
      </c>
    </row>
    <row r="98" spans="13:19" ht="20.100000000000001" customHeight="1" x14ac:dyDescent="0.2">
      <c r="M98" s="139" t="s">
        <v>1054</v>
      </c>
      <c r="N98" s="140" t="s">
        <v>1055</v>
      </c>
      <c r="O98" s="146"/>
      <c r="P98" s="145"/>
      <c r="Q98" s="139"/>
      <c r="R98" s="141" t="s">
        <v>1034</v>
      </c>
      <c r="S98" s="139" t="str">
        <f>X_Cell_Fertiliser_IrrigationMethod</f>
        <v>Sprinkler irrigation</v>
      </c>
    </row>
    <row r="99" spans="13:19" ht="20.100000000000001" customHeight="1" x14ac:dyDescent="0.2">
      <c r="M99" s="140" t="s">
        <v>1056</v>
      </c>
      <c r="N99" s="140" t="s">
        <v>1057</v>
      </c>
      <c r="O99" s="146"/>
      <c r="P99" s="146"/>
      <c r="Q99" s="139"/>
      <c r="R99" s="141" t="s">
        <v>1034</v>
      </c>
      <c r="S99" s="139" t="str">
        <f>X_Cell_Site_RainfallZone</f>
        <v>High rainfall</v>
      </c>
    </row>
    <row r="102" spans="13:19" ht="20.100000000000001" customHeight="1" x14ac:dyDescent="0.2">
      <c r="M102" s="135" t="s">
        <v>397</v>
      </c>
    </row>
    <row r="103" spans="13:19" ht="20.100000000000001" customHeight="1" x14ac:dyDescent="0.2">
      <c r="M103" s="136" t="s">
        <v>398</v>
      </c>
    </row>
    <row r="104" spans="13:19" ht="20.100000000000001" customHeight="1" x14ac:dyDescent="0.2">
      <c r="M104" s="138" t="s">
        <v>177</v>
      </c>
      <c r="N104" s="138" t="s">
        <v>399</v>
      </c>
      <c r="O104" s="138" t="s">
        <v>400</v>
      </c>
    </row>
    <row r="105" spans="13:19" ht="20.100000000000001" customHeight="1" x14ac:dyDescent="0.2">
      <c r="M105" s="15" t="s">
        <v>401</v>
      </c>
      <c r="N105" s="15" t="b">
        <f>IF(AND(S96="Maize", NOT(S98="Not irrigated")), TRUE)</f>
        <v>0</v>
      </c>
      <c r="O105" s="15">
        <f>N49</f>
        <v>9.6783250000000015E-3</v>
      </c>
    </row>
    <row r="106" spans="13:19" ht="20.100000000000001" customHeight="1" x14ac:dyDescent="0.2">
      <c r="M106" s="15" t="s">
        <v>402</v>
      </c>
      <c r="N106" s="15" t="b">
        <f>IF(AND(S96="Grains", S98="Not irrigated", S99="High rainfall"), TRUE)</f>
        <v>0</v>
      </c>
      <c r="O106" s="15">
        <f>N63</f>
        <v>1.4492874999999999E-2</v>
      </c>
    </row>
    <row r="107" spans="13:19" ht="20.100000000000001" customHeight="1" x14ac:dyDescent="0.2">
      <c r="M107" s="15" t="s">
        <v>403</v>
      </c>
      <c r="N107" s="15" t="b">
        <f>IF(S96="Cotton", TRUE)</f>
        <v>0</v>
      </c>
      <c r="O107" s="151">
        <f>N79</f>
        <v>3.231403335233797E-5</v>
      </c>
    </row>
    <row r="108" spans="13:19" ht="20.100000000000001" customHeight="1" x14ac:dyDescent="0.2">
      <c r="M108" s="15" t="s">
        <v>404</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3:19" ht="20.100000000000001" customHeight="1" x14ac:dyDescent="0.2">
      <c r="M110" s="87" t="s">
        <v>394</v>
      </c>
      <c r="N110" s="88">
        <f>((S92 * S93 * $S$94) * 10 ^ -3)</f>
        <v>2.0110749999999999</v>
      </c>
      <c r="O110" s="97" t="str">
        <f>$E$47</f>
        <v>t N2O</v>
      </c>
    </row>
    <row r="112" spans="13:19" ht="20.100000000000001" customHeight="1" x14ac:dyDescent="0.2">
      <c r="M112" s="139" t="str" cm="1">
        <f t="array" ref="M112:N113">Common_Equations.Common_ConvertN2OToCO2e_Arguments()</f>
        <v>EN2O</v>
      </c>
      <c r="N112" s="140" t="str">
        <v>Nitrous oxide emissions (t N2O)</v>
      </c>
      <c r="O112" s="149"/>
      <c r="P112" s="15">
        <f>VEERG_5_1_1_1__1_InorganicFertiliserApplicationN2OEmissions_Result_Method2</f>
        <v>2.0110749999999999</v>
      </c>
    </row>
    <row r="113" spans="13:16" ht="20.100000000000001" customHeight="1" x14ac:dyDescent="0.2">
      <c r="M113" s="139" t="str">
        <v>GWPN2O</v>
      </c>
      <c r="N113" s="140" t="str">
        <v>Global warming potential for nitrous oxide (t CO2-e / t N2O)</v>
      </c>
      <c r="O113" s="149"/>
      <c r="P113" s="15">
        <f>Common_InputFunctions.Utility_LookupValueInTableNumber("N2O",Table_GWPData[Gas],Table_GWPData[CO2-e factor])</f>
        <v>265</v>
      </c>
    </row>
    <row r="115" spans="13:16" ht="20.100000000000001" customHeight="1" x14ac:dyDescent="0.2">
      <c r="M115" s="85" t="s">
        <v>395</v>
      </c>
      <c r="N115" s="85" cm="1">
        <f t="array" ref="N115">Common_Equations.Common_ConvertN2OToCO2e(P112,P113)</f>
        <v>532.93487500000003</v>
      </c>
      <c r="O115" s="91"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CEE11D0B-CA2C-4D12-81D7-081A23B0B16D}"/>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55F45-70F0-4343-B9E1-8763FE8CADBC}">
  <sheetPr>
    <tabColor rgb="FF008000"/>
  </sheetPr>
  <dimension ref="A1:U7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405</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
        <v>1071</v>
      </c>
    </row>
    <row r="6" spans="1:21" ht="20.100000000000001" customHeight="1" x14ac:dyDescent="0.2">
      <c r="D6" s="17" t="s">
        <v>1072</v>
      </c>
    </row>
    <row r="7" spans="1:21" ht="20.100000000000001" customHeight="1" x14ac:dyDescent="0.2">
      <c r="D7" s="134"/>
      <c r="E7" s="13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371</v>
      </c>
      <c r="E10" s="1" t="s">
        <v>1073</v>
      </c>
    </row>
    <row r="11" spans="1:21" ht="20.100000000000001" customHeight="1" x14ac:dyDescent="0.2">
      <c r="A11" s="5" t="str">
        <f>HYPERLINK("#'Input - Crop'!A1", "Crop")</f>
        <v>Crop</v>
      </c>
      <c r="D11" s="77" t="s">
        <v>118</v>
      </c>
      <c r="E11" s="9" t="s">
        <v>1074</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39" t="s">
        <v>1030</v>
      </c>
      <c r="E13" s="140" t="s">
        <v>1031</v>
      </c>
      <c r="F13" s="145"/>
      <c r="G13" s="139" t="s">
        <v>370</v>
      </c>
      <c r="H13" s="141" t="s">
        <v>1034</v>
      </c>
      <c r="I13" s="143" t="str" cm="1">
        <f t="array" aca="1" ref="I13" ca="1">HYPERLINK(Common_InputFunctions.Utility_SourceHyperlink($D$16), $D$16)</f>
        <v>Table_MU_j_f</v>
      </c>
    </row>
    <row r="14" spans="1:21" ht="20.100000000000001" customHeight="1" x14ac:dyDescent="0.2">
      <c r="A14" s="5" t="str">
        <f>HYPERLINK("#'Input - Fuel'!A1", "Fuel")</f>
        <v>Fuel</v>
      </c>
      <c r="D14" s="139" t="s">
        <v>1075</v>
      </c>
      <c r="E14" s="140" t="s">
        <v>1076</v>
      </c>
      <c r="F14" s="145"/>
      <c r="G14" s="139" t="s">
        <v>1077</v>
      </c>
      <c r="H14" s="142" t="s">
        <v>1078</v>
      </c>
      <c r="I14" s="143"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5" t="s">
        <v>406</v>
      </c>
    </row>
    <row r="17" spans="1:7" ht="20.100000000000001" customHeight="1" x14ac:dyDescent="0.2">
      <c r="A17" s="5" t="str">
        <f>HYPERLINK("#'Input - Crop pasture farm input'!A1", "Crop pasture farm input")</f>
        <v>Crop pasture farm input</v>
      </c>
      <c r="D17" s="136" t="s">
        <v>407</v>
      </c>
    </row>
    <row r="18" spans="1:7" ht="20.100000000000001" customHeight="1" x14ac:dyDescent="0.2">
      <c r="A18" s="5" t="str">
        <f>HYPERLINK("#'Input - Freight'!A1", "Freight")</f>
        <v>Freight</v>
      </c>
      <c r="D18" s="138" t="s">
        <v>379</v>
      </c>
      <c r="E18" s="80" t="s">
        <v>380</v>
      </c>
      <c r="F18" s="138" t="s">
        <v>408</v>
      </c>
      <c r="G18" s="138" t="s">
        <v>409</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(E19 * F19)</f>
        <v>0</v>
      </c>
    </row>
    <row r="20" spans="1:7" ht="20.100000000000001" customHeight="1" x14ac:dyDescent="0.2">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(E20 * F20)</f>
        <v>0</v>
      </c>
    </row>
    <row r="21" spans="1:7" ht="20.100000000000001" customHeight="1" x14ac:dyDescent="0.2">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f>(E21 * F21)</f>
        <v>252173.9</v>
      </c>
    </row>
    <row r="22" spans="1:7" ht="20.100000000000001" customHeight="1" x14ac:dyDescent="0.2">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(E22 * F22)</f>
        <v>0</v>
      </c>
    </row>
    <row r="23" spans="1:7" ht="20.100000000000001" customHeight="1" x14ac:dyDescent="0.2">
      <c r="A23" s="6" t="s">
        <v>2</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(E23 * F23)</f>
        <v>0</v>
      </c>
    </row>
    <row r="24" spans="1:7" ht="20.100000000000001" customHeight="1" x14ac:dyDescent="0.2">
      <c r="A24" s="5"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(E24 * F24)</f>
        <v>0</v>
      </c>
    </row>
    <row r="25" spans="1:7" ht="20.100000000000001" customHeight="1" x14ac:dyDescent="0.2">
      <c r="A25" s="144"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(E25 * F25)</f>
        <v>0</v>
      </c>
    </row>
    <row r="26" spans="1:7" ht="20.100000000000001" customHeight="1" x14ac:dyDescent="0.2">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f>(E26 * F26)</f>
        <v>0</v>
      </c>
    </row>
    <row r="27" spans="1:7" ht="20.100000000000001" customHeight="1" x14ac:dyDescent="0.2">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f>(E27 * F27)</f>
        <v>0</v>
      </c>
    </row>
    <row r="28" spans="1:7" ht="20.100000000000001" customHeight="1" x14ac:dyDescent="0.2">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(E28 * F28)</f>
        <v>0</v>
      </c>
    </row>
    <row r="29" spans="1:7" ht="20.100000000000001" customHeight="1" x14ac:dyDescent="0.2">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f>(E29 * F29)</f>
        <v>0</v>
      </c>
    </row>
    <row r="30" spans="1:7" ht="20.100000000000001" customHeight="1" x14ac:dyDescent="0.2">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f>(E30 * F30)</f>
        <v>0</v>
      </c>
    </row>
    <row r="31" spans="1:7" ht="20.100000000000001" customHeight="1" x14ac:dyDescent="0.2">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f>(E31 * F31)</f>
        <v>0</v>
      </c>
    </row>
    <row r="32" spans="1:7" ht="20.100000000000001" customHeight="1" x14ac:dyDescent="0.2">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f>(E32 * F32)</f>
        <v>0</v>
      </c>
    </row>
    <row r="33" spans="1:12"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(E33 * F33)</f>
        <v>0</v>
      </c>
    </row>
    <row r="34" spans="1:12"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(E34 * F34)</f>
        <v>0</v>
      </c>
    </row>
    <row r="35" spans="1:12"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(E35 * F35)</f>
        <v>0</v>
      </c>
    </row>
    <row r="36" spans="1:12"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f>(E36 * F36)</f>
        <v>0</v>
      </c>
    </row>
    <row r="37" spans="1:12"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f>(E37 * F37)</f>
        <v>0</v>
      </c>
    </row>
    <row r="40" spans="1:12" ht="20.100000000000001" customHeight="1" x14ac:dyDescent="0.2">
      <c r="A40" s="82" t="s">
        <v>1</v>
      </c>
      <c r="C40" s="85"/>
      <c r="D40" s="85"/>
      <c r="E40" s="85"/>
      <c r="F40" s="85"/>
      <c r="G40" s="85"/>
      <c r="H40" s="85"/>
      <c r="I40" s="85"/>
      <c r="J40" s="85"/>
      <c r="K40" s="85"/>
      <c r="L40" s="85"/>
    </row>
    <row r="41" spans="1:12" ht="20.100000000000001" customHeight="1" x14ac:dyDescent="0.2">
      <c r="A41" s="5" t="str">
        <f>HYPERLINK("#'Constants - Ag Residue'!A1", "Constants - Ag residue")</f>
        <v>Constants - Ag residue</v>
      </c>
      <c r="D41" s="2" t="s">
        <v>1079</v>
      </c>
    </row>
    <row r="42" spans="1:12" ht="20.100000000000001" customHeight="1" x14ac:dyDescent="0.2">
      <c r="A42" s="5" t="str">
        <f>HYPERLINK("#'Constants - Electricity'!A1", "Constants - Electricity")</f>
        <v>Constants - Electricity</v>
      </c>
      <c r="D42" s="17" t="s">
        <v>1080</v>
      </c>
    </row>
    <row r="43" spans="1:12" ht="20.100000000000001" customHeight="1" x14ac:dyDescent="0.2">
      <c r="A43" s="5" t="str">
        <f>HYPERLINK("#'Constants - Fertiliser'!A1", "Constants - Fertiliser")</f>
        <v>Constants - Fertiliser</v>
      </c>
      <c r="D43" s="134"/>
      <c r="E43" s="134"/>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c r="D46" s="77" t="s">
        <v>371</v>
      </c>
      <c r="E46" s="1" t="s">
        <v>1081</v>
      </c>
    </row>
    <row r="47" spans="1:12" ht="20.100000000000001" customHeight="1" x14ac:dyDescent="0.2">
      <c r="A47" s="5" t="str">
        <f>HYPERLINK("#'Constants - Common'!A1", "Constants - Common")</f>
        <v>Constants - Common</v>
      </c>
      <c r="D47" s="77" t="s">
        <v>118</v>
      </c>
      <c r="E47" s="9" t="s">
        <v>127</v>
      </c>
    </row>
    <row r="48" spans="1:12" ht="20.100000000000001" customHeight="1" x14ac:dyDescent="0.2">
      <c r="A48" s="5" t="str">
        <f>HYPERLINK("#'Constants - Common Livestock'!A1", "Constants - Common Livestock")</f>
        <v>Constants - Common Livestock</v>
      </c>
    </row>
    <row r="49" spans="1:9" ht="20.100000000000001" customHeight="1" x14ac:dyDescent="0.2">
      <c r="D49" s="139" t="s">
        <v>1073</v>
      </c>
      <c r="E49" s="140" t="s">
        <v>1082</v>
      </c>
      <c r="F49" s="145"/>
      <c r="G49" s="139" t="s">
        <v>1074</v>
      </c>
      <c r="H49" s="142" t="s">
        <v>1087</v>
      </c>
      <c r="I49" s="143" t="str" cm="1">
        <f t="array" aca="1" ref="I49" ca="1">HYPERLINK(Common_InputFunctions.Utility_SourceHyperlink($D$16), $D$16)</f>
        <v>Table_MU_j_f</v>
      </c>
    </row>
    <row r="50" spans="1:9" ht="20.100000000000001" customHeight="1" x14ac:dyDescent="0.2">
      <c r="D50" s="139" t="s">
        <v>1083</v>
      </c>
      <c r="E50" s="140" t="s">
        <v>1084</v>
      </c>
      <c r="F50" s="145"/>
      <c r="G50" s="139" t="s">
        <v>1088</v>
      </c>
      <c r="H50" s="142" t="s">
        <v>1036</v>
      </c>
      <c r="I50" s="139">
        <f>Fertiliser_EFUreaCO2_Data</f>
        <v>0.2</v>
      </c>
    </row>
    <row r="51" spans="1:9" ht="20.100000000000001" customHeight="1" x14ac:dyDescent="0.2">
      <c r="D51" s="139" t="s">
        <v>1085</v>
      </c>
      <c r="E51" s="140" t="s">
        <v>1086</v>
      </c>
      <c r="F51" s="145"/>
      <c r="G51" s="139"/>
      <c r="H51" s="142" t="s">
        <v>1036</v>
      </c>
      <c r="I51" s="139">
        <f>Common_InputFunctions.Utility_LookupValueInTableNumber("CO2",Table_GasToMolecularConversionFactor[Gas], Table_GasToMolecularConversionFactor[Conversion factor combined])</f>
        <v>3.6666666666666665</v>
      </c>
    </row>
    <row r="52" spans="1:9" ht="20.100000000000001" customHeight="1" x14ac:dyDescent="0.2">
      <c r="D52" s="139" t="s">
        <v>1053</v>
      </c>
      <c r="E52" s="140" t="s">
        <v>177</v>
      </c>
      <c r="F52" s="145"/>
      <c r="G52" s="139"/>
      <c r="H52" s="141" t="s">
        <v>1034</v>
      </c>
      <c r="I52" s="139" t="str">
        <f>X_Cell_Fertiliser_ProductionSystem</f>
        <v>Crop</v>
      </c>
    </row>
    <row r="53" spans="1:9" ht="20.100000000000001" customHeight="1" x14ac:dyDescent="0.2">
      <c r="D53" s="139" t="s">
        <v>1045</v>
      </c>
      <c r="E53" s="140" t="s">
        <v>1046</v>
      </c>
      <c r="F53" s="145"/>
      <c r="G53" s="139"/>
      <c r="H53" s="142" t="s">
        <v>1078</v>
      </c>
      <c r="I53" s="143" t="str" cm="1">
        <f t="array" aca="1" ref="I53" ca="1">HYPERLINK(Common_InputFunctions.Utility_SourceHyperlink($D$16), $D$16)</f>
        <v>Table_MU_j_f</v>
      </c>
    </row>
    <row r="55" spans="1:9" ht="20.100000000000001" customHeight="1" x14ac:dyDescent="0.2">
      <c r="D55" s="135" t="s">
        <v>410</v>
      </c>
    </row>
    <row r="56" spans="1:9" ht="20.100000000000001" customHeight="1" x14ac:dyDescent="0.2">
      <c r="D56" s="136" t="s">
        <v>411</v>
      </c>
    </row>
    <row r="57" spans="1:9" ht="20.100000000000001" customHeight="1" x14ac:dyDescent="0.2">
      <c r="D57" s="138" t="s">
        <v>379</v>
      </c>
      <c r="E57" s="138" t="s">
        <v>391</v>
      </c>
    </row>
    <row r="58" spans="1:9" ht="20.100000000000001" customHeight="1" x14ac:dyDescent="0.2">
      <c r="D58" s="15" t="str" cm="1">
        <f t="array" ref="D58:D76">Table_Fertiliser_ChemicalCompounds[Fertiliser type f]</f>
        <v>Monoammonium phosphate (MAP)</v>
      </c>
      <c r="E58" s="15">
        <f>((G19 * $I$50 * $I$51) * 10 ^ -3)</f>
        <v>0</v>
      </c>
      <c r="F58" s="16" t="str">
        <f>$E$47</f>
        <v>t CO2</v>
      </c>
    </row>
    <row r="59" spans="1:9" ht="20.100000000000001" customHeight="1" x14ac:dyDescent="0.2">
      <c r="A59" s="81" t="str">
        <f>HYPERLINK("#A1", "▲ Back to top")</f>
        <v>▲ Back to top</v>
      </c>
      <c r="D59" s="15" t="str">
        <v>Diammonium phosphate (DAP)</v>
      </c>
      <c r="E59" s="15">
        <f>((G20 * $I$50 * $I$51) * 10 ^ -3)</f>
        <v>0</v>
      </c>
    </row>
    <row r="60" spans="1:9" ht="20.100000000000001" customHeight="1" x14ac:dyDescent="0.2">
      <c r="D60" s="15" t="str">
        <v>Urea</v>
      </c>
      <c r="E60" s="15">
        <f>((G21 * $I$50 * $I$51) * 10 ^ -3)</f>
        <v>184.92752666666664</v>
      </c>
    </row>
    <row r="61" spans="1:9" ht="20.100000000000001" customHeight="1" x14ac:dyDescent="0.2">
      <c r="D61" s="15" t="str">
        <v>Sulphate of ammonia (SOA)</v>
      </c>
      <c r="E61" s="15">
        <f>((G22 * $I$50 * $I$51) * 10 ^ -3)</f>
        <v>0</v>
      </c>
    </row>
    <row r="62" spans="1:9" ht="20.100000000000001" customHeight="1" x14ac:dyDescent="0.2">
      <c r="D62" s="15" t="str">
        <v>Urea-ammonium nitrate (UAN)</v>
      </c>
      <c r="E62" s="15">
        <f>((G23 * $I$50 * $I$51) * 10 ^ -3)</f>
        <v>0</v>
      </c>
    </row>
    <row r="63" spans="1:9" ht="20.100000000000001" customHeight="1" x14ac:dyDescent="0.2">
      <c r="D63" s="15" t="str">
        <v>Ammonium nitrate (AN)</v>
      </c>
      <c r="E63" s="15">
        <f>((G24 * $I$50 * $I$51) * 10 ^ -3)</f>
        <v>0</v>
      </c>
    </row>
    <row r="64" spans="1:9" ht="20.100000000000001" customHeight="1" x14ac:dyDescent="0.2">
      <c r="D64" s="15" t="str">
        <v>Calcium ammonium nitrate (CAN)</v>
      </c>
      <c r="E64" s="15">
        <f>((G25 * $I$50 * $I$51) * 10 ^ -3)</f>
        <v>0</v>
      </c>
    </row>
    <row r="65" spans="4:6" ht="20.100000000000001" customHeight="1" x14ac:dyDescent="0.2">
      <c r="D65" s="15" t="str">
        <v>Nitrogen - Ammoniacal</v>
      </c>
      <c r="E65" s="15">
        <f>((G26 * $I$50 * $I$51) * 10 ^ -3)</f>
        <v>0</v>
      </c>
    </row>
    <row r="66" spans="4:6" ht="20.100000000000001" customHeight="1" x14ac:dyDescent="0.2">
      <c r="D66" s="15" t="str">
        <v>Nitrogen - Nitrate</v>
      </c>
      <c r="E66" s="15">
        <f>((G27 * $I$50 * $I$51) * 10 ^ -3)</f>
        <v>0</v>
      </c>
    </row>
    <row r="67" spans="4:6" ht="20.100000000000001" customHeight="1" x14ac:dyDescent="0.2">
      <c r="D67" s="15" t="str">
        <v>Nitrogen - Generic</v>
      </c>
      <c r="E67" s="15">
        <f>((G28 * $I$50 * $I$51) * 10 ^ -3)</f>
        <v>0</v>
      </c>
    </row>
    <row r="68" spans="4:6" ht="20.100000000000001" customHeight="1" x14ac:dyDescent="0.2">
      <c r="D68" s="15" t="str">
        <v>Phosphorus - Generic</v>
      </c>
      <c r="E68" s="15">
        <f>((G29 * $I$50 * $I$51) * 10 ^ -3)</f>
        <v>0</v>
      </c>
    </row>
    <row r="69" spans="4:6" ht="20.100000000000001" customHeight="1" x14ac:dyDescent="0.2">
      <c r="D69" s="15" t="str">
        <v>Potassium - Generic</v>
      </c>
      <c r="E69" s="15">
        <f>((G30 * $I$50 * $I$51) * 10 ^ -3)</f>
        <v>0</v>
      </c>
    </row>
    <row r="70" spans="4:6" ht="20.100000000000001" customHeight="1" x14ac:dyDescent="0.2">
      <c r="D70" s="15" t="str">
        <v>Sulfur - Generic</v>
      </c>
      <c r="E70" s="15">
        <f>((G31 * $I$50 * $I$51) * 10 ^ -3)</f>
        <v>0</v>
      </c>
    </row>
    <row r="71" spans="4:6" ht="20.100000000000001" customHeight="1" x14ac:dyDescent="0.2">
      <c r="D71" s="15" t="str">
        <v>Zinc - Generic</v>
      </c>
      <c r="E71" s="15">
        <f>((G32 * $I$50 * $I$51) * 10 ^ -3)</f>
        <v>0</v>
      </c>
    </row>
    <row r="72" spans="4:6" ht="20.100000000000001" customHeight="1" x14ac:dyDescent="0.2">
      <c r="D72" s="15" t="str">
        <v>Muriate of potash (MOP)</v>
      </c>
      <c r="E72" s="15">
        <f>((G33 * $I$50 * $I$51) * 10 ^ -3)</f>
        <v>0</v>
      </c>
    </row>
    <row r="73" spans="4:6" ht="20.100000000000001" customHeight="1" x14ac:dyDescent="0.2">
      <c r="D73" s="15" t="str">
        <v>Double superphosphate</v>
      </c>
      <c r="E73" s="15">
        <f>((G34 * $I$50 * $I$51) * 10 ^ -3)</f>
        <v>0</v>
      </c>
    </row>
    <row r="74" spans="4:6" ht="20.100000000000001" customHeight="1" x14ac:dyDescent="0.2">
      <c r="D74" s="15" t="str">
        <v>Single superphosphate (SSP)</v>
      </c>
      <c r="E74" s="15">
        <f>((G35 * $I$50 * $I$51) * 10 ^ -3)</f>
        <v>0</v>
      </c>
    </row>
    <row r="75" spans="4:6" ht="20.100000000000001" customHeight="1" x14ac:dyDescent="0.2">
      <c r="D75" s="15" t="str">
        <v>Ammonia</v>
      </c>
      <c r="E75" s="15">
        <f>((G36 * $I$50 * $I$51) * 10 ^ -3)</f>
        <v>0</v>
      </c>
    </row>
    <row r="76" spans="4:6" ht="20.100000000000001" customHeight="1" x14ac:dyDescent="0.2">
      <c r="D76" s="15" t="str">
        <v>Calcium nitrate</v>
      </c>
      <c r="E76" s="15">
        <f>((G37 * $I$50 * $I$51) * 10 ^ -3)</f>
        <v>0</v>
      </c>
    </row>
    <row r="78" spans="4:6" ht="20.100000000000001" customHeight="1" x14ac:dyDescent="0.2">
      <c r="D78" s="87" t="s">
        <v>412</v>
      </c>
      <c r="E78" s="88">
        <f>SUM(E58:E76)</f>
        <v>184.92752666666664</v>
      </c>
      <c r="F78" s="97" t="str">
        <f>$E$47</f>
        <v>t CO2</v>
      </c>
    </row>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C3929-2398-425C-B76B-AE68DC59A23E}">
  <sheetPr>
    <tabColor rgb="FF008000"/>
  </sheetPr>
  <dimension ref="A1:U5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413</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
        <v>1089</v>
      </c>
    </row>
    <row r="6" spans="1:21" ht="20.100000000000001" customHeight="1" x14ac:dyDescent="0.2">
      <c r="D6" s="17" t="s">
        <v>1090</v>
      </c>
    </row>
    <row r="7" spans="1:21" ht="20.100000000000001" customHeight="1" x14ac:dyDescent="0.2">
      <c r="D7" s="134"/>
      <c r="E7" s="13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371</v>
      </c>
      <c r="E10" s="1" t="s">
        <v>1091</v>
      </c>
    </row>
    <row r="11" spans="1:21" ht="20.100000000000001" customHeight="1" x14ac:dyDescent="0.2">
      <c r="A11" s="5" t="str">
        <f>HYPERLINK("#'Input - Crop'!A1", "Crop")</f>
        <v>Crop</v>
      </c>
      <c r="D11" s="77" t="s">
        <v>118</v>
      </c>
      <c r="E11" s="9" t="s">
        <v>1029</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39" t="s">
        <v>1092</v>
      </c>
      <c r="E13" s="140" t="s">
        <v>1093</v>
      </c>
      <c r="F13" s="145"/>
      <c r="G13" s="150" t="s">
        <v>370</v>
      </c>
      <c r="H13" s="141" t="s">
        <v>1034</v>
      </c>
      <c r="I13" s="143" t="str" cm="1">
        <f t="array" aca="1" ref="I13" ca="1">HYPERLINK(Common_InputFunctions.Utility_SourceHyperlink($D$17), $D$17)</f>
        <v>Table_MNSoil_j_f</v>
      </c>
    </row>
    <row r="14" spans="1:21" ht="20.100000000000001" customHeight="1" x14ac:dyDescent="0.2">
      <c r="A14" s="5" t="str">
        <f>HYPERLINK("#'Input - Fuel'!A1", "Fuel")</f>
        <v>Fuel</v>
      </c>
      <c r="D14" s="139" t="s">
        <v>1094</v>
      </c>
      <c r="E14" s="140" t="s">
        <v>1095</v>
      </c>
      <c r="F14" s="145"/>
      <c r="G14" s="150" t="s">
        <v>1035</v>
      </c>
      <c r="H14" s="141" t="s">
        <v>1034</v>
      </c>
      <c r="I14" s="143" t="str" cm="1">
        <f t="array" aca="1" ref="I14" ca="1">HYPERLINK(Common_InputFunctions.Utility_SourceHyperlink($D$17), $D$17)</f>
        <v>Table_MNSoil_j_f</v>
      </c>
    </row>
    <row r="15" spans="1:21" ht="20.100000000000001" customHeight="1" x14ac:dyDescent="0.2">
      <c r="A15" s="5" t="str">
        <f>HYPERLINK("#'Input - Electricity'!A1", "Electricity")</f>
        <v>Electricity</v>
      </c>
      <c r="D15" s="139" t="s">
        <v>1045</v>
      </c>
      <c r="E15" s="140" t="s">
        <v>468</v>
      </c>
      <c r="F15" s="145"/>
      <c r="G15" s="150"/>
      <c r="H15" s="141" t="s">
        <v>1034</v>
      </c>
      <c r="I15" s="143"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Crop pasture farm input'!A1", "Crop pasture farm input")</f>
        <v>Crop pasture farm input</v>
      </c>
      <c r="D17" s="135" t="s">
        <v>414</v>
      </c>
    </row>
    <row r="18" spans="1:10" ht="20.100000000000001" customHeight="1" x14ac:dyDescent="0.2">
      <c r="A18" s="5" t="str">
        <f>HYPERLINK("#'Input - Freight'!A1", "Freight")</f>
        <v>Freight</v>
      </c>
      <c r="D18" s="136" t="s">
        <v>415</v>
      </c>
    </row>
    <row r="19" spans="1:10" ht="20.100000000000001" customHeight="1" x14ac:dyDescent="0.2">
      <c r="A19" s="5" t="str">
        <f>HYPERLINK("#'Input - Solid waste'!A1", "Solid waste")</f>
        <v>Solid waste</v>
      </c>
      <c r="D19" s="80" t="s">
        <v>416</v>
      </c>
      <c r="E19" s="80" t="s">
        <v>417</v>
      </c>
      <c r="F19" s="80" t="s">
        <v>305</v>
      </c>
      <c r="G19" s="152" t="s">
        <v>418</v>
      </c>
      <c r="H19" s="80" t="s">
        <v>419</v>
      </c>
      <c r="I19" s="152" t="s">
        <v>420</v>
      </c>
    </row>
    <row r="20" spans="1:10" ht="20.100000000000001" customHeight="1" x14ac:dyDescent="0.2">
      <c r="A20" s="5" t="str">
        <f>HYPERLINK("#'Input - Data quality'!A1", "Data quality")</f>
        <v>Data quality</v>
      </c>
      <c r="D20" s="15" t="str" cm="1">
        <f t="array" ref="D20:D22">Table_Input_OrganicFertiliser[Organic fertiliser type (select)]</f>
        <v>Manure - Other</v>
      </c>
      <c r="E20" s="153" cm="1">
        <f t="array" ref="E20:E22">Table_Input_OrganicFertiliser[Amount applied (kg/hectare)]</f>
        <v>10</v>
      </c>
      <c r="F20" s="153" cm="1">
        <f t="array" ref="F20:F22">Table_Input_OrganicFertiliser[Application area (ha)]</f>
        <v>1000</v>
      </c>
      <c r="G20" s="15" cm="1">
        <f t="array" ref="G20:G22">Table_Input_OrganicFertiliser[Amount applied (kg/hectare)]*Table_Input_OrganicFertiliser[Application area (ha)]</f>
        <v>10000</v>
      </c>
      <c r="H20" s="154" cm="1">
        <f t="array" ref="H20:H22">Table_Input_OrganicFertiliser[Percentage of N in fertiliser]</f>
        <v>0.3</v>
      </c>
      <c r="I20" s="15">
        <f>(G20 * H20)</f>
        <v>3000</v>
      </c>
    </row>
    <row r="21" spans="1:10" ht="20.100000000000001" customHeight="1" x14ac:dyDescent="0.2">
      <c r="D21" s="15" t="str">
        <v>Manure - Poultry</v>
      </c>
      <c r="E21" s="15">
        <v>10</v>
      </c>
      <c r="F21" s="15">
        <v>1000</v>
      </c>
      <c r="G21" s="15">
        <v>10000</v>
      </c>
      <c r="H21" s="15">
        <v>0.25</v>
      </c>
      <c r="I21" s="15">
        <f>(G21 * H21)</f>
        <v>2500</v>
      </c>
    </row>
    <row r="22" spans="1:10" ht="20.100000000000001" customHeight="1" x14ac:dyDescent="0.2">
      <c r="D22" s="15" t="str">
        <v>Other organic fertiliser</v>
      </c>
      <c r="E22" s="15">
        <v>10</v>
      </c>
      <c r="F22" s="15">
        <v>1000</v>
      </c>
      <c r="G22" s="15">
        <v>10000</v>
      </c>
      <c r="H22" s="15">
        <v>0.16</v>
      </c>
      <c r="I22" s="15">
        <f>(G22 * H22)</f>
        <v>1600</v>
      </c>
    </row>
    <row r="23" spans="1:10" ht="20.100000000000001" customHeight="1" x14ac:dyDescent="0.2">
      <c r="A23" s="6" t="s">
        <v>2</v>
      </c>
      <c r="D23" s="15"/>
      <c r="E23" s="15"/>
      <c r="F23" s="15"/>
      <c r="G23" s="15"/>
      <c r="H23" s="15"/>
      <c r="I23" s="15">
        <f>(G23 * H23)</f>
        <v>0</v>
      </c>
    </row>
    <row r="24" spans="1:10" ht="20.100000000000001" customHeight="1" x14ac:dyDescent="0.2">
      <c r="A24" s="5" t="str">
        <f>HYPERLINK("#'5.1.1.1-2 Inorganic fert N2O'!A1", "5.1.1.1-2 Inorganic fert N2O")</f>
        <v>5.1.1.1-2 Inorganic fert N2O</v>
      </c>
      <c r="D24" s="15"/>
      <c r="E24" s="15"/>
      <c r="F24" s="15"/>
      <c r="G24" s="15"/>
      <c r="H24" s="15"/>
      <c r="I24" s="15">
        <f>(G24 * H24)</f>
        <v>0</v>
      </c>
    </row>
    <row r="25" spans="1:10" ht="20.100000000000001" customHeight="1" x14ac:dyDescent="0.2">
      <c r="A25" s="5" t="str">
        <f>HYPERLINK("#'5.1.1.3-4 Inorganic fert CO2'!A1", "5.1.1.3-4 Inorganic fert CO2")</f>
        <v>5.1.1.3-4 Inorganic fert CO2</v>
      </c>
      <c r="D25" s="15"/>
      <c r="E25" s="15"/>
      <c r="F25" s="15"/>
      <c r="G25" s="15"/>
      <c r="H25" s="15"/>
      <c r="I25" s="15">
        <f>(G25 * H25)</f>
        <v>0</v>
      </c>
    </row>
    <row r="26" spans="1:10" ht="20.100000000000001" customHeight="1" x14ac:dyDescent="0.2">
      <c r="A26" s="144" t="str">
        <f>HYPERLINK("#'5.2.1.1-2 Organic Fert N2O'!A1", "5.2.1.1-2 Organic fert N2O")</f>
        <v>5.2.1.1-2 Organic fert N2O</v>
      </c>
      <c r="D26" s="15"/>
      <c r="E26" s="15"/>
      <c r="F26" s="15"/>
      <c r="G26" s="15"/>
      <c r="H26" s="15"/>
      <c r="I26" s="15">
        <f>(G26 * H26)</f>
        <v>0</v>
      </c>
    </row>
    <row r="27" spans="1:10" ht="20.100000000000001" customHeight="1" x14ac:dyDescent="0.2">
      <c r="A27" s="5" t="str">
        <f>HYPERLINK("#'5.3.1.1-2 Lime CO2'!A1", "5.3.1.1-2 Lime CO2")</f>
        <v>5.3.1.1-2 Lime CO2</v>
      </c>
      <c r="D27" s="15"/>
      <c r="E27" s="15"/>
      <c r="F27" s="15"/>
      <c r="G27" s="15"/>
      <c r="H27" s="15"/>
      <c r="I27" s="15">
        <f>(G27 * H27)</f>
        <v>0</v>
      </c>
    </row>
    <row r="28" spans="1:10" ht="20.100000000000001" customHeight="1" x14ac:dyDescent="0.2">
      <c r="A28" s="5" t="str">
        <f>HYPERLINK("#'5.4.1.1-4 Atmos deposition'!A1", "5.4.1.1-4 Atmos. deposition")</f>
        <v>5.4.1.1-4 Atmos. deposition</v>
      </c>
      <c r="D28" s="15"/>
      <c r="E28" s="15"/>
      <c r="F28" s="15"/>
      <c r="G28" s="15"/>
      <c r="H28" s="15"/>
      <c r="I28" s="15">
        <f>(G28 * H28)</f>
        <v>0</v>
      </c>
    </row>
    <row r="29" spans="1:10" ht="20.100000000000001" customHeight="1" x14ac:dyDescent="0.2">
      <c r="A29" s="5" t="str">
        <f>HYPERLINK("#'5.5.1.1-2 Leaching and runoff'!A1", "5.5.1.1-2 Leaching &amp; runoff")</f>
        <v>5.5.1.1-2 Leaching &amp; runoff</v>
      </c>
      <c r="D29" s="15"/>
      <c r="E29" s="15"/>
      <c r="F29" s="15"/>
      <c r="G29" s="15"/>
      <c r="H29" s="15"/>
      <c r="I29" s="15">
        <f>(G29 * H29)</f>
        <v>0</v>
      </c>
    </row>
    <row r="30" spans="1:10" ht="20.100000000000001" customHeight="1" x14ac:dyDescent="0.2">
      <c r="A30" s="5" t="str">
        <f>HYPERLINK("#'6.1.1.1-2 Crop residue N2O'!A1", "6.1.1.1-2 Crop residue N2O")</f>
        <v>6.1.1.1-2 Crop residue N2O</v>
      </c>
      <c r="D30" s="15"/>
      <c r="E30" s="15"/>
      <c r="F30" s="15"/>
      <c r="G30" s="15"/>
      <c r="H30" s="15"/>
      <c r="I30" s="15">
        <f>(G30 * H30)</f>
        <v>0</v>
      </c>
    </row>
    <row r="31" spans="1:10" ht="20.100000000000001" customHeight="1" x14ac:dyDescent="0.2">
      <c r="A31" s="5" t="str">
        <f>HYPERLINK("#'6.3.1.1-2 Leach runoff crop'!A1", "6.3.1.1-2 Leach &amp; runoff (crop)")</f>
        <v>6.3.1.1-2 Leach &amp; runoff (crop)</v>
      </c>
      <c r="D31" s="155"/>
      <c r="E31" s="155"/>
      <c r="F31" s="155"/>
      <c r="G31" s="155"/>
      <c r="H31" s="155"/>
      <c r="I31" s="155"/>
      <c r="J31" s="155"/>
    </row>
    <row r="32" spans="1:10" ht="20.100000000000001" customHeight="1" x14ac:dyDescent="0.2">
      <c r="A32" s="5" t="str">
        <f>HYPERLINK("#'6.4.1.1-2 Residue burning'!A1", "6.4.1.1-2 Residue burning")</f>
        <v>6.4.1.1-2 Residue burning</v>
      </c>
      <c r="D32" s="90" t="s">
        <v>421</v>
      </c>
      <c r="E32" s="90">
        <f>SUM(I20:I30)</f>
        <v>7100</v>
      </c>
      <c r="F32" s="156" t="str">
        <f>$E$11</f>
        <v>kg N</v>
      </c>
      <c r="G32" s="155"/>
      <c r="H32" s="155"/>
      <c r="I32" s="155"/>
      <c r="J32" s="155"/>
    </row>
    <row r="33" spans="1:12" ht="20.100000000000001" customHeight="1" x14ac:dyDescent="0.2">
      <c r="A33" s="5" t="str">
        <f>HYPERLINK("#'8.1.1.1-2 Transport fuel'!A1", "8.1.1.1-2 Transport fuel")</f>
        <v>8.1.1.1-2 Transport fuel</v>
      </c>
    </row>
    <row r="34" spans="1:12" ht="20.100000000000001" customHeight="1" x14ac:dyDescent="0.2">
      <c r="A34" s="5" t="str">
        <f>HYPERLINK("#'8.2.1.1-2 Stationary fuel'!A1", "8.2.1.1-2 Stationary fuel")</f>
        <v>8.2.1.1-2 Stationary fuel</v>
      </c>
    </row>
    <row r="35" spans="1:12" ht="20.100000000000001" customHeight="1" x14ac:dyDescent="0.2">
      <c r="A35" s="5" t="str">
        <f>HYPERLINK("#'10.1.1-2 Solid waste treatment'!A1", "10.1.1.1-2 Solid waste")</f>
        <v>10.1.1.1-2 Solid waste</v>
      </c>
      <c r="C35" s="157"/>
      <c r="D35" s="157"/>
      <c r="E35" s="157"/>
      <c r="F35" s="157"/>
      <c r="G35" s="157"/>
      <c r="H35" s="157"/>
      <c r="I35" s="157"/>
      <c r="J35" s="157"/>
      <c r="K35" s="157"/>
      <c r="L35" s="157"/>
    </row>
    <row r="36" spans="1:12" ht="20.100000000000001" customHeight="1" x14ac:dyDescent="0.2">
      <c r="A36" s="5" t="str">
        <f>HYPERLINK("#'14.1.1-2 Purchased electricity'!A1", "14.1.1-2 Purchased electricity")</f>
        <v>14.1.1-2 Purchased electricity</v>
      </c>
      <c r="D36" s="2" t="s">
        <v>1096</v>
      </c>
    </row>
    <row r="37" spans="1:12" ht="20.100000000000001" customHeight="1" x14ac:dyDescent="0.2">
      <c r="A37" s="5" t="str">
        <f>HYPERLINK("#'15 Scope 3'!A1", "15 Scope 3")</f>
        <v>15 Scope 3</v>
      </c>
      <c r="D37" s="17" t="s">
        <v>1097</v>
      </c>
    </row>
    <row r="38" spans="1:12" ht="20.100000000000001" customHeight="1" x14ac:dyDescent="0.2">
      <c r="D38" s="134"/>
      <c r="E38" s="134"/>
    </row>
    <row r="40" spans="1:12" ht="20.100000000000001" customHeight="1" x14ac:dyDescent="0.2">
      <c r="A40" s="82" t="s">
        <v>1</v>
      </c>
    </row>
    <row r="41" spans="1:12" ht="20.100000000000001" customHeight="1" x14ac:dyDescent="0.2">
      <c r="A41" s="5" t="str">
        <f>HYPERLINK("#'Constants - Ag Residue'!A1", "Constants - Ag residue")</f>
        <v>Constants - Ag residue</v>
      </c>
      <c r="D41" s="77" t="s">
        <v>371</v>
      </c>
      <c r="E41" s="1" t="s">
        <v>749</v>
      </c>
    </row>
    <row r="42" spans="1:12" ht="20.100000000000001" customHeight="1" x14ac:dyDescent="0.2">
      <c r="A42" s="5" t="str">
        <f>HYPERLINK("#'Constants - Electricity'!A1", "Constants - Electricity")</f>
        <v>Constants - Electricity</v>
      </c>
      <c r="D42" s="77" t="s">
        <v>118</v>
      </c>
      <c r="E42" s="9" t="s">
        <v>12</v>
      </c>
    </row>
    <row r="43" spans="1:12" ht="20.100000000000001" customHeight="1" x14ac:dyDescent="0.2">
      <c r="A43" s="5" t="str">
        <f>HYPERLINK("#'Constants - Fertiliser'!A1", "Constants - Fertiliser")</f>
        <v>Constants - Fertiliser</v>
      </c>
    </row>
    <row r="44" spans="1:12" ht="20.100000000000001" customHeight="1" x14ac:dyDescent="0.2">
      <c r="A44" s="5" t="str">
        <f>HYPERLINK("#'Constants - Fuel'!A1", "Constants - Fuel")</f>
        <v>Constants - Fuel</v>
      </c>
      <c r="D44" s="150" t="s">
        <v>1091</v>
      </c>
      <c r="E44" s="147" t="s">
        <v>1098</v>
      </c>
      <c r="F44" s="158"/>
      <c r="G44" s="158"/>
      <c r="H44" s="159"/>
      <c r="I44" s="150" t="s">
        <v>1029</v>
      </c>
      <c r="J44" s="142" t="s">
        <v>1102</v>
      </c>
      <c r="K44" s="150">
        <f>$E$32</f>
        <v>7100</v>
      </c>
    </row>
    <row r="45" spans="1:12" ht="20.100000000000001" customHeight="1" x14ac:dyDescent="0.2">
      <c r="A45" s="5" t="str">
        <f>HYPERLINK("#'Constants - Scope 3'!A1", "Constants - Scope 3")</f>
        <v>Constants - Scope 3</v>
      </c>
      <c r="D45" s="150" t="s">
        <v>1099</v>
      </c>
      <c r="E45" s="147" t="s">
        <v>1100</v>
      </c>
      <c r="F45" s="158"/>
      <c r="G45" s="158"/>
      <c r="H45" s="159"/>
      <c r="I45" s="150" t="s">
        <v>1103</v>
      </c>
      <c r="J45" s="142" t="s">
        <v>1078</v>
      </c>
      <c r="K45" s="15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HYPERLINK("#'Constants - Solid Waste'!A1", "Constants - Solid Waste")</f>
        <v>Constants - Solid Waste</v>
      </c>
      <c r="D46" s="150" t="s">
        <v>1051</v>
      </c>
      <c r="E46" s="147" t="s">
        <v>1052</v>
      </c>
      <c r="F46" s="158"/>
      <c r="G46" s="158"/>
      <c r="H46" s="159"/>
      <c r="I46" s="150"/>
      <c r="J46" s="142" t="s">
        <v>1036</v>
      </c>
      <c r="K46" s="139">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HYPERLINK("#'Constants - Common'!A1", "Constants - Common")</f>
        <v>Constants - Common</v>
      </c>
      <c r="D47" s="150" t="s">
        <v>1053</v>
      </c>
      <c r="E47" s="147" t="s">
        <v>177</v>
      </c>
      <c r="F47" s="158"/>
      <c r="G47" s="158"/>
      <c r="H47" s="159"/>
      <c r="I47" s="150"/>
      <c r="J47" s="141" t="s">
        <v>1034</v>
      </c>
      <c r="K47" s="150" t="str">
        <f>X_Cell_Fertiliser_ProductionSystem</f>
        <v>Crop</v>
      </c>
    </row>
    <row r="48" spans="1:12" ht="20.100000000000001" customHeight="1" x14ac:dyDescent="0.2">
      <c r="A48" s="5" t="str">
        <f>HYPERLINK("#'Constants - Common Livestock'!A1", "Constants - Common Livestock")</f>
        <v>Constants - Common Livestock</v>
      </c>
      <c r="D48" s="150" t="s">
        <v>1101</v>
      </c>
      <c r="E48" s="147" t="s">
        <v>114</v>
      </c>
      <c r="F48" s="158"/>
      <c r="G48" s="158"/>
      <c r="H48" s="159"/>
      <c r="I48" s="150"/>
      <c r="J48" s="141" t="s">
        <v>1034</v>
      </c>
      <c r="K48" s="150" t="str">
        <f>X_Cell_Site_WetOrDryClimateZone</f>
        <v>Dry climate zone</v>
      </c>
    </row>
    <row r="50" spans="4:7" ht="20.100000000000001" customHeight="1" x14ac:dyDescent="0.2">
      <c r="D50" s="87" t="s">
        <v>394</v>
      </c>
      <c r="E50" s="88">
        <f>((K44 * K45 * K46) * 10 ^ -3)</f>
        <v>5.5785714285714286E-2</v>
      </c>
      <c r="F50" s="97" t="str">
        <f>$E$42</f>
        <v>t N2O</v>
      </c>
    </row>
    <row r="52" spans="4:7" ht="20.100000000000001" customHeight="1" x14ac:dyDescent="0.2">
      <c r="D52" s="139" t="str" cm="1">
        <f t="array" ref="D52:E53">Common_Equations.Common_ConvertN2OToCO2e_Arguments()</f>
        <v>EN2O</v>
      </c>
      <c r="E52" s="140" t="str">
        <v>Nitrous oxide emissions (t N2O)</v>
      </c>
      <c r="F52" s="149"/>
      <c r="G52" s="15">
        <f>VEERG_5_2_1_1__2_MassOfNitrogenInOrganicFertiliser_Result_Method1</f>
        <v>5.5785714285714286E-2</v>
      </c>
    </row>
    <row r="53" spans="4:7" ht="20.100000000000001" customHeight="1" x14ac:dyDescent="0.2">
      <c r="D53" s="139" t="str">
        <v>GWPN2O</v>
      </c>
      <c r="E53" s="140" t="str">
        <v>Global warming potential for nitrous oxide (t CO2-e / t N2O)</v>
      </c>
      <c r="F53" s="149"/>
      <c r="G53" s="15">
        <f>Common_InputFunctions.Utility_LookupValueInTableNumber("N2O",Table_GWPData[Gas],Table_GWPData[CO2-e factor])</f>
        <v>265</v>
      </c>
    </row>
    <row r="55" spans="4:7" ht="20.100000000000001" customHeight="1" x14ac:dyDescent="0.2">
      <c r="D55" s="85" t="s">
        <v>395</v>
      </c>
      <c r="E55" s="85" cm="1">
        <f t="array" ref="E55">Common_Equations.Common_ConvertN2OToCO2e(G52,G53)</f>
        <v>14.783214285714285</v>
      </c>
      <c r="F55" s="91" t="str" cm="1">
        <f t="array" ref="F55">Common_Equations.Common_ConvertN2OToCO2e_Unit()</f>
        <v>t CO2e</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67AE1-463E-4EEB-98D3-C12703D287BE}">
  <sheetPr>
    <tabColor rgb="FF008000"/>
  </sheetPr>
  <dimension ref="A1:U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422</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
        <v>1104</v>
      </c>
    </row>
    <row r="6" spans="1:21" ht="20.100000000000001" customHeight="1" x14ac:dyDescent="0.2">
      <c r="D6" s="17" t="s">
        <v>1105</v>
      </c>
    </row>
    <row r="7" spans="1:21" ht="20.100000000000001" customHeight="1" x14ac:dyDescent="0.2">
      <c r="D7" s="134"/>
      <c r="E7" s="13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371</v>
      </c>
      <c r="E10" s="1" t="s">
        <v>1106</v>
      </c>
    </row>
    <row r="11" spans="1:21" ht="20.100000000000001" customHeight="1" x14ac:dyDescent="0.2">
      <c r="A11" s="5" t="str">
        <f>HYPERLINK("#'Input - Crop'!A1", "Crop")</f>
        <v>Crop</v>
      </c>
      <c r="D11" s="77" t="s">
        <v>118</v>
      </c>
      <c r="E11" s="9" t="s">
        <v>127</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50" t="s">
        <v>1107</v>
      </c>
      <c r="E13" s="147" t="s">
        <v>1108</v>
      </c>
      <c r="F13" s="159"/>
      <c r="G13" s="150" t="s">
        <v>370</v>
      </c>
      <c r="H13" s="141" t="s">
        <v>1034</v>
      </c>
      <c r="I13" s="143" t="str" cm="1">
        <f t="array" aca="1" ref="I13" ca="1">HYPERLINK(Common_InputFunctions.Utility_SourceHyperlink($D$22), $D$22)</f>
        <v>Table_E_lime</v>
      </c>
    </row>
    <row r="14" spans="1:21" ht="20.100000000000001" customHeight="1" x14ac:dyDescent="0.2">
      <c r="A14" s="5" t="str">
        <f>HYPERLINK("#'Input - Fuel'!A1", "Fuel")</f>
        <v>Fuel</v>
      </c>
      <c r="D14" s="150" t="s">
        <v>426</v>
      </c>
      <c r="E14" s="147" t="s">
        <v>1109</v>
      </c>
      <c r="F14" s="159"/>
      <c r="G14" s="150" t="s">
        <v>1120</v>
      </c>
      <c r="H14" s="141" t="s">
        <v>1034</v>
      </c>
      <c r="I14" s="143" t="str" cm="1">
        <f t="array" aca="1" ref="I14" ca="1">HYPERLINK(Common_InputFunctions.Utility_SourceHyperlink($D$22), $D$22)</f>
        <v>Table_E_lime</v>
      </c>
    </row>
    <row r="15" spans="1:21" ht="20.100000000000001" customHeight="1" x14ac:dyDescent="0.2">
      <c r="A15" s="5" t="str">
        <f>HYPERLINK("#'Input - Electricity'!A1", "Electricity")</f>
        <v>Electricity</v>
      </c>
      <c r="D15" s="150" t="s">
        <v>1110</v>
      </c>
      <c r="E15" s="147" t="s">
        <v>1111</v>
      </c>
      <c r="F15" s="159"/>
      <c r="G15" s="150" t="s">
        <v>1120</v>
      </c>
      <c r="H15" s="142" t="s">
        <v>1036</v>
      </c>
      <c r="I15" s="150">
        <f>'Constants - Fertiliser'!$E$66</f>
        <v>0.9</v>
      </c>
    </row>
    <row r="16" spans="1:21" ht="20.100000000000001" customHeight="1" x14ac:dyDescent="0.2">
      <c r="A16" s="5" t="str">
        <f>HYPERLINK("#'Input - Common farm inputs'!A1", "Common farm inputs")</f>
        <v>Common farm inputs</v>
      </c>
      <c r="D16" s="150" t="s">
        <v>1112</v>
      </c>
      <c r="E16" s="147" t="s">
        <v>1113</v>
      </c>
      <c r="F16" s="159"/>
      <c r="G16" s="150" t="s">
        <v>1121</v>
      </c>
      <c r="H16" s="142" t="s">
        <v>1036</v>
      </c>
      <c r="I16" s="150">
        <f>'Constants - Fertiliser'!$F$66</f>
        <v>0.12</v>
      </c>
    </row>
    <row r="17" spans="1:9" ht="20.100000000000001" customHeight="1" x14ac:dyDescent="0.2">
      <c r="A17" s="5" t="str">
        <f>HYPERLINK("#'Input - Crop pasture farm input'!A1", "Crop pasture farm input")</f>
        <v>Crop pasture farm input</v>
      </c>
      <c r="D17" s="150" t="s">
        <v>427</v>
      </c>
      <c r="E17" s="147" t="s">
        <v>1114</v>
      </c>
      <c r="F17" s="159"/>
      <c r="G17" s="150" t="s">
        <v>1120</v>
      </c>
      <c r="H17" s="141" t="s">
        <v>1034</v>
      </c>
      <c r="I17" s="143" t="str" cm="1">
        <f t="array" aca="1" ref="I17" ca="1">HYPERLINK(Common_InputFunctions.Utility_SourceHyperlink($D$22), $D$22)</f>
        <v>Table_E_lime</v>
      </c>
    </row>
    <row r="18" spans="1:9" ht="20.100000000000001" customHeight="1" x14ac:dyDescent="0.2">
      <c r="A18" s="5" t="str">
        <f>HYPERLINK("#'Input - Freight'!A1", "Freight")</f>
        <v>Freight</v>
      </c>
      <c r="D18" s="150" t="s">
        <v>1115</v>
      </c>
      <c r="E18" s="147" t="s">
        <v>1116</v>
      </c>
      <c r="F18" s="159"/>
      <c r="G18" s="150" t="s">
        <v>1120</v>
      </c>
      <c r="H18" s="142" t="s">
        <v>1036</v>
      </c>
      <c r="I18" s="150">
        <f>'Constants - Fertiliser'!$E$67</f>
        <v>0.95</v>
      </c>
    </row>
    <row r="19" spans="1:9" ht="20.100000000000001" customHeight="1" x14ac:dyDescent="0.2">
      <c r="A19" s="5" t="str">
        <f>HYPERLINK("#'Input - Solid waste'!A1", "Solid waste")</f>
        <v>Solid waste</v>
      </c>
      <c r="D19" s="150" t="s">
        <v>1117</v>
      </c>
      <c r="E19" s="147" t="s">
        <v>1118</v>
      </c>
      <c r="F19" s="159"/>
      <c r="G19" s="150" t="s">
        <v>1121</v>
      </c>
      <c r="H19" s="142" t="s">
        <v>1036</v>
      </c>
      <c r="I19" s="150">
        <f>'Constants - Fertiliser'!$F$67</f>
        <v>0.13</v>
      </c>
    </row>
    <row r="20" spans="1:9" ht="20.100000000000001" customHeight="1" x14ac:dyDescent="0.2">
      <c r="A20" s="5" t="str">
        <f>HYPERLINK("#'Input - Data quality'!A1", "Data quality")</f>
        <v>Data quality</v>
      </c>
      <c r="D20" s="150" t="s">
        <v>1085</v>
      </c>
      <c r="E20" s="147" t="s">
        <v>1119</v>
      </c>
      <c r="F20" s="159"/>
      <c r="G20" s="150"/>
      <c r="H20" s="142" t="s">
        <v>1036</v>
      </c>
      <c r="I20" s="139">
        <f>Common_InputFunctions.Utility_LookupValueInTableNumber("CO2",Table_GasToMolecularConversionFactor[Gas], Table_GasToMolecularConversionFactor[Conversion factor combined])</f>
        <v>3.6666666666666665</v>
      </c>
    </row>
    <row r="22" spans="1:9" ht="20.100000000000001" customHeight="1" x14ac:dyDescent="0.2">
      <c r="D22" s="135" t="s">
        <v>423</v>
      </c>
    </row>
    <row r="23" spans="1:9" ht="20.100000000000001" customHeight="1" x14ac:dyDescent="0.2">
      <c r="A23" s="6" t="s">
        <v>2</v>
      </c>
      <c r="D23" s="136" t="s">
        <v>342</v>
      </c>
    </row>
    <row r="24" spans="1:9" ht="20.100000000000001" customHeight="1" x14ac:dyDescent="0.2">
      <c r="A24" s="5" t="str">
        <f>HYPERLINK("#'5.1.1.1-2 Inorganic fert N2O'!A1", "5.1.1.1-2 Inorganic fert N2O")</f>
        <v>5.1.1.1-2 Inorganic fert N2O</v>
      </c>
      <c r="D24" s="80" t="s">
        <v>424</v>
      </c>
      <c r="E24" s="80" t="s">
        <v>425</v>
      </c>
      <c r="F24" s="80" t="s">
        <v>426</v>
      </c>
      <c r="G24" s="80" t="s">
        <v>427</v>
      </c>
      <c r="H24" s="138" t="s">
        <v>428</v>
      </c>
    </row>
    <row r="25" spans="1:9" ht="20.100000000000001" customHeight="1" x14ac:dyDescent="0.2">
      <c r="A25" s="5" t="str">
        <f>HYPERLINK("#'5.1.1.3-4 Inorganic fert CO2'!A1", "5.1.1.3-4 Inorganic fert CO2")</f>
        <v>5.1.1.3-4 Inorganic fert CO2</v>
      </c>
      <c r="D25" s="15" t="str" cm="1">
        <f t="array" ref="D25:D27">Table_Input_Lime[Product]</f>
        <v>Lime product 1</v>
      </c>
      <c r="E25" s="160" cm="1">
        <f t="array" ref="E25:E27">Table_Input_Lime[Total amount applied (t)]*10^3</f>
        <v>1000000</v>
      </c>
      <c r="F25" s="161" cm="1">
        <f t="array" ref="F25:F27">Table_Input_Lime[Percent Lime CaCO3]</f>
        <v>0.8</v>
      </c>
      <c r="G25" s="161" cm="1">
        <f t="array" ref="G25:G27">Table_Input_Lime[Percent Dolomite CaMg(CO3)2]</f>
        <v>0.1</v>
      </c>
      <c r="H25" s="15">
        <f>(((E25 * F25 * $I$15 * $I$16) + (E25 * G25 * $I$18 * $I$19)) * $I$20 * 10 ^ -3)</f>
        <v>362.08333333333331</v>
      </c>
    </row>
    <row r="26" spans="1:9" ht="20.100000000000001" customHeight="1" x14ac:dyDescent="0.2">
      <c r="A26" s="5" t="str">
        <f>HYPERLINK("#'5.2.1.1-2 Organic Fert N2O'!A1", "5.2.1.1-2 Organic fert N2O")</f>
        <v>5.2.1.1-2 Organic fert N2O</v>
      </c>
      <c r="D26" s="15" t="str">
        <v>Lime product 2</v>
      </c>
      <c r="E26" s="15">
        <v>1000000</v>
      </c>
      <c r="F26" s="15">
        <v>1</v>
      </c>
      <c r="G26" s="15">
        <v>0</v>
      </c>
      <c r="H26" s="15">
        <f>(((E26 * F26 * $I$15 * $I$16) + (E26 * G26 * $I$18 * $I$19)) * $I$20 * 10 ^ -3)</f>
        <v>396</v>
      </c>
    </row>
    <row r="27" spans="1:9" ht="20.100000000000001" customHeight="1" x14ac:dyDescent="0.2">
      <c r="A27" s="144" t="str">
        <f>HYPERLINK("#'5.3.1.1-2 Lime CO2'!A1", "5.3.1.1-2 Lime CO2")</f>
        <v>5.3.1.1-2 Lime CO2</v>
      </c>
      <c r="D27" s="15" t="str">
        <v>Lime product 3</v>
      </c>
      <c r="E27" s="15">
        <v>1000000</v>
      </c>
      <c r="F27" s="15">
        <v>0</v>
      </c>
      <c r="G27" s="15">
        <v>0</v>
      </c>
      <c r="H27" s="15">
        <f>(((E27 * F27 * $I$15 * $I$16) + (E27 * G27 * $I$18 * $I$19)) * $I$20 * 10 ^ -3)</f>
        <v>0</v>
      </c>
    </row>
    <row r="28" spans="1:9" ht="20.100000000000001" customHeight="1" x14ac:dyDescent="0.2">
      <c r="A28" s="5" t="str">
        <f>HYPERLINK("#'5.4.1.1-4 Atmos deposition'!A1", "5.4.1.1-4 Atmos. deposition")</f>
        <v>5.4.1.1-4 Atmos. deposition</v>
      </c>
      <c r="D28" s="15"/>
      <c r="E28" s="15"/>
      <c r="F28" s="15"/>
      <c r="G28" s="15"/>
      <c r="H28" s="15">
        <f>(((E28 * F28 * $I$15 * $I$16) + (E28 * G28 * $I$18 * $I$19)) * $I$20 * 10 ^ -3)</f>
        <v>0</v>
      </c>
    </row>
    <row r="29" spans="1:9" ht="20.100000000000001" customHeight="1" x14ac:dyDescent="0.2">
      <c r="A29" s="5" t="str">
        <f>HYPERLINK("#'5.5.1.1-2 Leaching and runoff'!A1", "5.5.1.1-2 Leaching &amp; runoff")</f>
        <v>5.5.1.1-2 Leaching &amp; runoff</v>
      </c>
      <c r="D29" s="15"/>
      <c r="E29" s="15"/>
      <c r="F29" s="15"/>
      <c r="G29" s="15"/>
      <c r="H29" s="15">
        <f>(((E29 * F29 * $I$15 * $I$16) + (E29 * G29 * $I$18 * $I$19)) * $I$20 * 10 ^ -3)</f>
        <v>0</v>
      </c>
    </row>
    <row r="30" spans="1:9" ht="20.100000000000001" customHeight="1" x14ac:dyDescent="0.2">
      <c r="A30" s="5" t="str">
        <f>HYPERLINK("#'6.1.1.1-2 Crop residue N2O'!A1", "6.1.1.1-2 Crop residue N2O")</f>
        <v>6.1.1.1-2 Crop residue N2O</v>
      </c>
    </row>
    <row r="31" spans="1:9" ht="20.100000000000001" customHeight="1" x14ac:dyDescent="0.2">
      <c r="A31" s="5" t="str">
        <f>HYPERLINK("#'6.3.1.1-2 Leach runoff crop'!A1", "6.3.1.1-2 Leach &amp; runoff (crop)")</f>
        <v>6.3.1.1-2 Leach &amp; runoff (crop)</v>
      </c>
      <c r="D31" s="87" t="s">
        <v>429</v>
      </c>
      <c r="E31" s="88">
        <f>SUM(H25:H29)</f>
        <v>758.08333333333326</v>
      </c>
      <c r="F31" s="162" t="s">
        <v>127</v>
      </c>
    </row>
    <row r="32" spans="1:9"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5"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73A85-2737-4DE1-A107-D3F2E6445003}">
  <sheetPr>
    <tabColor rgb="FF008000"/>
  </sheetPr>
  <dimension ref="A1:U15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430</v>
      </c>
    </row>
    <row r="2" spans="1:21" s="3" customFormat="1" ht="20.100000000000001" customHeight="1" x14ac:dyDescent="0.2">
      <c r="A2"/>
    </row>
    <row r="3" spans="1:21" ht="20.100000000000001" customHeight="1" x14ac:dyDescent="0.2">
      <c r="A3" s="5" t="str">
        <f>HYPERLINK("#'Home'!A1", "Home")</f>
        <v>Home</v>
      </c>
      <c r="C3" s="23"/>
      <c r="D3" s="23" t="s">
        <v>130</v>
      </c>
      <c r="E3" s="23"/>
      <c r="F3" s="23"/>
      <c r="G3" s="23"/>
      <c r="H3" s="23"/>
      <c r="I3" s="23"/>
      <c r="J3" s="23"/>
      <c r="K3" s="23"/>
      <c r="L3" s="23"/>
      <c r="N3" s="23"/>
      <c r="O3" s="23" t="s">
        <v>131</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EI")</f>
        <v>Results - Product EI</v>
      </c>
      <c r="D5" s="2" t="s">
        <v>1122</v>
      </c>
    </row>
    <row r="6" spans="1:21" ht="20.100000000000001" customHeight="1" x14ac:dyDescent="0.2">
      <c r="D6" s="17" t="s">
        <v>1123</v>
      </c>
    </row>
    <row r="7" spans="1:21" ht="20.100000000000001" customHeight="1" x14ac:dyDescent="0.2">
      <c r="D7" s="134"/>
      <c r="E7" s="13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371</v>
      </c>
      <c r="E10" s="1" t="s">
        <v>1124</v>
      </c>
    </row>
    <row r="11" spans="1:21" ht="20.100000000000001" customHeight="1" x14ac:dyDescent="0.2">
      <c r="A11" s="5" t="str">
        <f>HYPERLINK("#'Input - Crop'!A1", "Crop")</f>
        <v>Crop</v>
      </c>
      <c r="D11" s="77" t="s">
        <v>118</v>
      </c>
      <c r="E11" s="9" t="s">
        <v>1029</v>
      </c>
    </row>
    <row r="12" spans="1:21" ht="20.100000000000001" customHeight="1" x14ac:dyDescent="0.2">
      <c r="A12" s="5" t="str">
        <f>HYPERLINK("#'Input - Fert Prod System'!A1", "Fert Prod System")</f>
        <v>Fert Prod System</v>
      </c>
    </row>
    <row r="13" spans="1:21" ht="20.100000000000001" customHeight="1" x14ac:dyDescent="0.2">
      <c r="A13" s="5" t="str">
        <f>HYPERLINK("#'Input - Fertiliser'!A1", "Fertiliser")</f>
        <v>Fertiliser</v>
      </c>
      <c r="D13" s="150" t="s">
        <v>1028</v>
      </c>
      <c r="E13" s="147" t="s">
        <v>1125</v>
      </c>
      <c r="F13" s="159"/>
      <c r="G13" s="150" t="s">
        <v>1029</v>
      </c>
      <c r="H13" s="142" t="s">
        <v>1058</v>
      </c>
      <c r="I13" s="143" t="str" cm="1">
        <f t="array" aca="1" ref="I13" ca="1">HYPERLINK(Common_InputFunctions.Utility_SourceHyperlink($D$16),$D$16)</f>
        <v>Table_M_vol_inorganic_j_f</v>
      </c>
    </row>
    <row r="14" spans="1:21" ht="20.100000000000001" customHeight="1" x14ac:dyDescent="0.2">
      <c r="A14" s="5" t="str">
        <f>HYPERLINK("#'Input - Fuel'!A1", "Fuel")</f>
        <v>Fuel</v>
      </c>
      <c r="D14" s="150" t="s">
        <v>1126</v>
      </c>
      <c r="E14" s="147" t="s">
        <v>1127</v>
      </c>
      <c r="F14" s="159"/>
      <c r="G14" s="150" t="s">
        <v>1128</v>
      </c>
      <c r="H14" s="142" t="s">
        <v>1036</v>
      </c>
      <c r="I14" s="143"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5" t="s">
        <v>431</v>
      </c>
    </row>
    <row r="17" spans="1:8" ht="20.100000000000001" customHeight="1" x14ac:dyDescent="0.2">
      <c r="A17" s="5" t="str">
        <f>HYPERLINK("#'Input - Crop pasture farm input'!A1", "Crop pasture farm input")</f>
        <v>Crop pasture farm input</v>
      </c>
      <c r="D17" s="136" t="s">
        <v>432</v>
      </c>
    </row>
    <row r="18" spans="1:8" ht="20.100000000000001" customHeight="1" x14ac:dyDescent="0.2">
      <c r="A18" s="5" t="str">
        <f>HYPERLINK("#'Input - Freight'!A1", "Freight")</f>
        <v>Freight</v>
      </c>
      <c r="D18" s="138" t="s">
        <v>433</v>
      </c>
      <c r="E18" s="138" t="s">
        <v>434</v>
      </c>
      <c r="F18" s="138" t="s">
        <v>435</v>
      </c>
      <c r="G18" s="163" t="s">
        <v>436</v>
      </c>
      <c r="H18" s="163" t="s">
        <v>437</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(E19 * G19)</f>
        <v>0</v>
      </c>
    </row>
    <row r="20" spans="1:8" ht="20.100000000000001" customHeight="1" x14ac:dyDescent="0.2">
      <c r="A20" s="5" t="str">
        <f>HYPERLINK("#'Input - Data quality'!A1", "Data quality")</f>
        <v>Data quality</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(E20 * G20)</f>
        <v>0</v>
      </c>
    </row>
    <row r="21" spans="1:8" ht="20.100000000000001" customHeight="1" x14ac:dyDescent="0.2">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(E21 * G21)</f>
        <v>17399.999100000001</v>
      </c>
    </row>
    <row r="22" spans="1:8" ht="20.100000000000001" customHeight="1" x14ac:dyDescent="0.2">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(E22 * G22)</f>
        <v>0</v>
      </c>
    </row>
    <row r="23" spans="1:8" ht="20.100000000000001" customHeight="1" x14ac:dyDescent="0.2">
      <c r="A23" s="6" t="s">
        <v>2</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(E23 * G23)</f>
        <v>0</v>
      </c>
    </row>
    <row r="24" spans="1:8" ht="20.100000000000001" customHeight="1" x14ac:dyDescent="0.2">
      <c r="A24" s="5" t="str">
        <f>HYPERLINK("#'5.1.1.1-2 Inorganic fert N2O'!A1", "5.1.1.1-2 Inorganic fert N2O")</f>
        <v>5.1.1.1-2 Inorganic fert N2O</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(E24 * G24)</f>
        <v>0</v>
      </c>
    </row>
    <row r="25" spans="1:8" ht="20.100000000000001" customHeight="1" x14ac:dyDescent="0.2">
      <c r="A25" s="5" t="str">
        <f>HYPERLINK("#'5.1.1.3-4 Inorganic fert CO2'!A1", "5.1.1.3-4 Inorganic fert CO2")</f>
        <v>5.1.1.3-4 Inorganic fert CO2</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(E25 * G25)</f>
        <v>0</v>
      </c>
    </row>
    <row r="26" spans="1:8" ht="20.100000000000001" customHeight="1" x14ac:dyDescent="0.2">
      <c r="A26" s="5" t="str">
        <f>HYPERLINK("#'5.2.1.1-2 Organic Fert N2O'!A1", "5.2.1.1-2 Organic fert N2O")</f>
        <v>5.2.1.1-2 Organic fert N2O</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(E26 * G26)</f>
        <v>992</v>
      </c>
    </row>
    <row r="27" spans="1:8" ht="20.100000000000001" customHeight="1" x14ac:dyDescent="0.2">
      <c r="A27" s="5" t="str">
        <f>HYPERLINK("#'5.3.1.1-2 Lime CO2'!A1", "5.3.1.1-2 Lime CO2")</f>
        <v>5.3.1.1-2 Lime CO2</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(E27 * G27)</f>
        <v>55</v>
      </c>
    </row>
    <row r="28" spans="1:8" ht="20.100000000000001" customHeight="1" x14ac:dyDescent="0.2">
      <c r="A28" s="144" t="str">
        <f>HYPERLINK("#'5.4.1.1-4 Atmos deposition'!A1", "5.4.1.1-4 Atmos. deposition")</f>
        <v>5.4.1.1-4 Atmos. deposition</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(E28 * G28)</f>
        <v>0</v>
      </c>
    </row>
    <row r="29" spans="1:8" ht="20.100000000000001" customHeight="1" x14ac:dyDescent="0.2">
      <c r="A29" s="5" t="str">
        <f>HYPERLINK("#'5.5.1.1-2 Leaching and runoff'!A1", "5.5.1.1-2 Leaching &amp; runoff")</f>
        <v>5.5.1.1-2 Leaching &amp; runoff</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(E29 * G29)</f>
        <v>0</v>
      </c>
    </row>
    <row r="30" spans="1:8" ht="20.100000000000001" customHeight="1" x14ac:dyDescent="0.2">
      <c r="A30" s="5" t="str">
        <f>HYPERLINK("#'6.1.1.1-2 Crop residue N2O'!A1", "6.1.1.1-2 Crop residue N2O")</f>
        <v>6.1.1.1-2 Crop residue N2O</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(E30 * G30)</f>
        <v>0</v>
      </c>
    </row>
    <row r="31" spans="1:8" ht="20.100000000000001" customHeight="1" x14ac:dyDescent="0.2">
      <c r="A31" s="5" t="str">
        <f>HYPERLINK("#'6.3.1.1-2 Leach runoff crop'!A1", "6.3.1.1-2 Leach &amp; runoff (crop)")</f>
        <v>6.3.1.1-2 Leach &amp; runoff (crop)</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(E31 * G31)</f>
        <v>0</v>
      </c>
    </row>
    <row r="32" spans="1:8" ht="20.100000000000001" customHeight="1" x14ac:dyDescent="0.2">
      <c r="A32" s="5" t="str">
        <f>HYPERLINK("#'6.4.1.1-2 Residue burning'!A1", "6.4.1.1-2 Residue burning")</f>
        <v>6.4.1.1-2 Residue burning</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(E32 * G32)</f>
        <v>0</v>
      </c>
    </row>
    <row r="33" spans="1:12" ht="20.100000000000001" customHeight="1" x14ac:dyDescent="0.2">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(E33 * G33)</f>
        <v>0</v>
      </c>
    </row>
    <row r="34" spans="1:12" ht="20.100000000000001" customHeight="1" x14ac:dyDescent="0.2">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(E34 * G34)</f>
        <v>0</v>
      </c>
    </row>
    <row r="35" spans="1:12" ht="20.100000000000001" customHeight="1" x14ac:dyDescent="0.2">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(E35 * G35)</f>
        <v>0</v>
      </c>
    </row>
    <row r="36" spans="1:12" ht="20.100000000000001" customHeight="1" x14ac:dyDescent="0.2">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(E36 * G36)</f>
        <v>3294</v>
      </c>
    </row>
    <row r="37" spans="1:12" ht="20.100000000000001" customHeight="1" x14ac:dyDescent="0.2">
      <c r="A37" s="5" t="str">
        <f>HYPERLINK("#'15 Scope 3'!A1", "15 Scope 3")</f>
        <v>15 Scope 3</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(E37 * G37)</f>
        <v>77.5</v>
      </c>
    </row>
    <row r="40" spans="1:12" ht="20.100000000000001" customHeight="1" x14ac:dyDescent="0.2">
      <c r="A40" s="82" t="s">
        <v>1</v>
      </c>
      <c r="C40" s="157"/>
      <c r="D40" s="157"/>
      <c r="E40" s="157"/>
      <c r="F40" s="157"/>
      <c r="G40" s="157"/>
      <c r="H40" s="157"/>
      <c r="I40" s="157"/>
      <c r="J40" s="157"/>
      <c r="K40" s="157"/>
      <c r="L40" s="157"/>
    </row>
    <row r="41" spans="1:12" ht="20.100000000000001" customHeight="1" x14ac:dyDescent="0.2">
      <c r="A41" s="5" t="str">
        <f>HYPERLINK("#'Constants - Ag Residue'!A1", "Constants - Ag residue")</f>
        <v>Constants - Ag residue</v>
      </c>
      <c r="D41" s="2" t="s">
        <v>1129</v>
      </c>
    </row>
    <row r="42" spans="1:12" ht="20.100000000000001" customHeight="1" x14ac:dyDescent="0.2">
      <c r="A42" s="5" t="str">
        <f>HYPERLINK("#'Constants - Electricity'!A1", "Constants - Electricity")</f>
        <v>Constants - Electricity</v>
      </c>
      <c r="D42" s="17" t="s">
        <v>1130</v>
      </c>
    </row>
    <row r="43" spans="1:12" ht="20.100000000000001" customHeight="1" x14ac:dyDescent="0.2">
      <c r="A43" s="5" t="str">
        <f>HYPERLINK("#'Constants - Fertiliser'!A1", "Constants - Fertiliser")</f>
        <v>Constants - Fertiliser</v>
      </c>
      <c r="D43" s="134"/>
      <c r="E43" s="134"/>
    </row>
    <row r="44" spans="1:12" ht="20.100000000000001" customHeight="1" x14ac:dyDescent="0.2">
      <c r="A44" s="5"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c r="D46" s="77" t="s">
        <v>371</v>
      </c>
      <c r="E46" s="1" t="s">
        <v>1131</v>
      </c>
    </row>
    <row r="47" spans="1:12" ht="20.100000000000001" customHeight="1" x14ac:dyDescent="0.2">
      <c r="A47" s="5" t="str">
        <f>HYPERLINK("#'Constants - Common'!A1", "Constants - Common")</f>
        <v>Constants - Common</v>
      </c>
      <c r="D47" s="77" t="s">
        <v>118</v>
      </c>
      <c r="E47" s="9" t="s">
        <v>12</v>
      </c>
    </row>
    <row r="48" spans="1:12" ht="20.100000000000001" customHeight="1" x14ac:dyDescent="0.2">
      <c r="A48" s="5" t="str">
        <f>HYPERLINK("#'Constants - Common Livestock'!A1", "Constants - Common Livestock")</f>
        <v>Constants - Common Livestock</v>
      </c>
    </row>
    <row r="49" spans="1:10" ht="20.100000000000001" customHeight="1" x14ac:dyDescent="0.2">
      <c r="D49" s="150" t="s">
        <v>1124</v>
      </c>
      <c r="E49" s="147" t="s">
        <v>1132</v>
      </c>
      <c r="F49" s="158"/>
      <c r="G49" s="159"/>
      <c r="H49" s="150" t="s">
        <v>1029</v>
      </c>
      <c r="I49" s="142" t="s">
        <v>1137</v>
      </c>
      <c r="J49" s="143" t="str" cm="1">
        <f t="array" aca="1" ref="J49" ca="1">HYPERLINK(Common_InputFunctions.Utility_SourceHyperlink($D$16),$D$16)</f>
        <v>Table_M_vol_inorganic_j_f</v>
      </c>
    </row>
    <row r="50" spans="1:10" ht="20.100000000000001" customHeight="1" x14ac:dyDescent="0.2">
      <c r="D50" s="150" t="s">
        <v>1133</v>
      </c>
      <c r="E50" s="147" t="s">
        <v>1134</v>
      </c>
      <c r="F50" s="158"/>
      <c r="G50" s="159"/>
      <c r="H50" s="150" t="s">
        <v>1103</v>
      </c>
      <c r="I50" s="142" t="s">
        <v>1036</v>
      </c>
      <c r="J50" s="15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D51" s="150" t="s">
        <v>1051</v>
      </c>
      <c r="E51" s="147" t="s">
        <v>1052</v>
      </c>
      <c r="F51" s="158"/>
      <c r="G51" s="159"/>
      <c r="H51" s="150"/>
      <c r="I51" s="142" t="s">
        <v>1036</v>
      </c>
      <c r="J51" s="139">
        <f>Common_InputFunctions.Utility_LookupValueInTableNumber("N2O",Table_GasToMolecularConversionFactor[Gas],Table_GasToMolecularConversionFactor[Conversion factor combined])</f>
        <v>1.5714285714285714</v>
      </c>
    </row>
    <row r="52" spans="1:10" ht="20.100000000000001" customHeight="1" x14ac:dyDescent="0.2">
      <c r="D52" s="150" t="s">
        <v>1053</v>
      </c>
      <c r="E52" s="147" t="s">
        <v>177</v>
      </c>
      <c r="F52" s="158"/>
      <c r="G52" s="159"/>
      <c r="H52" s="150"/>
      <c r="I52" s="141" t="s">
        <v>1034</v>
      </c>
      <c r="J52" s="150" t="str">
        <f>X_Cell_Fertiliser_ProductionSystem</f>
        <v>Crop</v>
      </c>
    </row>
    <row r="53" spans="1:10" ht="20.100000000000001" customHeight="1" x14ac:dyDescent="0.2">
      <c r="D53" s="150" t="s">
        <v>1054</v>
      </c>
      <c r="E53" s="147" t="s">
        <v>1055</v>
      </c>
      <c r="F53" s="158"/>
      <c r="G53" s="159"/>
      <c r="H53" s="150"/>
      <c r="I53" s="141" t="s">
        <v>1034</v>
      </c>
      <c r="J53" s="150" t="str">
        <f>X_Cell_Fertiliser_IrrigationMethod</f>
        <v>Sprinkler irrigation</v>
      </c>
    </row>
    <row r="54" spans="1:10" ht="20.100000000000001" customHeight="1" x14ac:dyDescent="0.2">
      <c r="D54" s="150" t="s">
        <v>1135</v>
      </c>
      <c r="E54" s="147" t="s">
        <v>1136</v>
      </c>
      <c r="F54" s="158"/>
      <c r="G54" s="159"/>
      <c r="H54" s="150"/>
      <c r="I54" s="141" t="s">
        <v>1034</v>
      </c>
      <c r="J54" s="150" t="str">
        <f>X_Cell_Site_RainfallZone</f>
        <v>High rainfall</v>
      </c>
    </row>
    <row r="56" spans="1:10" ht="20.100000000000001" customHeight="1" x14ac:dyDescent="0.2">
      <c r="D56" s="135" t="s">
        <v>438</v>
      </c>
    </row>
    <row r="57" spans="1:10" ht="20.100000000000001" customHeight="1" x14ac:dyDescent="0.2">
      <c r="D57" s="136" t="s">
        <v>439</v>
      </c>
    </row>
    <row r="58" spans="1:10" ht="20.100000000000001" customHeight="1" x14ac:dyDescent="0.2">
      <c r="D58" s="138" t="s">
        <v>433</v>
      </c>
      <c r="E58" s="163" t="s">
        <v>437</v>
      </c>
      <c r="F58" s="163" t="s">
        <v>440</v>
      </c>
    </row>
    <row r="59" spans="1:10" ht="20.100000000000001" customHeight="1" x14ac:dyDescent="0.2">
      <c r="A59" s="81" t="str">
        <f>HYPERLINK("#A1", "▲ Back to top")</f>
        <v>▲ Back to top</v>
      </c>
      <c r="D59" s="15" t="str" cm="1">
        <f t="array" ref="D59:D77">Table_Fertiliser_ChemicalCompounds[Fertiliser type f]</f>
        <v>Monoammonium phosphate (MAP)</v>
      </c>
      <c r="E59" s="15">
        <f t="shared" ref="E59:E77" si="0">H19</f>
        <v>0</v>
      </c>
      <c r="F59" s="15">
        <f>((E59 * $J$50) * $J$51 * 10 ^ -3)</f>
        <v>0</v>
      </c>
      <c r="G59" s="16" t="str">
        <f>E47</f>
        <v>t N2O</v>
      </c>
    </row>
    <row r="60" spans="1:10" ht="20.100000000000001" customHeight="1" x14ac:dyDescent="0.2">
      <c r="D60" s="15" t="str">
        <v>Diammonium phosphate (DAP)</v>
      </c>
      <c r="E60" s="15">
        <f t="shared" si="0"/>
        <v>0</v>
      </c>
      <c r="F60" s="15">
        <f>((E60 * $J$50) * $J$51 * 10 ^ -3)</f>
        <v>0</v>
      </c>
    </row>
    <row r="61" spans="1:10" ht="20.100000000000001" customHeight="1" x14ac:dyDescent="0.2">
      <c r="D61" s="15" t="str">
        <v>Urea</v>
      </c>
      <c r="E61" s="15">
        <f t="shared" si="0"/>
        <v>17399.999100000001</v>
      </c>
      <c r="F61" s="15">
        <f>((E61 * $J$50) * $J$51 * 10 ^ -3)</f>
        <v>0.19139999010000003</v>
      </c>
    </row>
    <row r="62" spans="1:10" ht="20.100000000000001" customHeight="1" x14ac:dyDescent="0.2">
      <c r="D62" s="15" t="str">
        <v>Sulphate of ammonia (SOA)</v>
      </c>
      <c r="E62" s="15">
        <f t="shared" si="0"/>
        <v>0</v>
      </c>
      <c r="F62" s="15">
        <f>((E62 * $J$50) * $J$51 * 10 ^ -3)</f>
        <v>0</v>
      </c>
    </row>
    <row r="63" spans="1:10" ht="20.100000000000001" customHeight="1" x14ac:dyDescent="0.2">
      <c r="D63" s="15" t="str">
        <v>Urea-ammonium nitrate (UAN)</v>
      </c>
      <c r="E63" s="15">
        <f t="shared" si="0"/>
        <v>0</v>
      </c>
      <c r="F63" s="15">
        <f>((E63 * $J$50) * $J$51 * 10 ^ -3)</f>
        <v>0</v>
      </c>
    </row>
    <row r="64" spans="1:10" ht="20.100000000000001" customHeight="1" x14ac:dyDescent="0.2">
      <c r="D64" s="15" t="str">
        <v>Ammonium nitrate (AN)</v>
      </c>
      <c r="E64" s="15">
        <f t="shared" si="0"/>
        <v>0</v>
      </c>
      <c r="F64" s="15">
        <f>((E64 * $J$50) * $J$51 * 10 ^ -3)</f>
        <v>0</v>
      </c>
    </row>
    <row r="65" spans="4:6" ht="20.100000000000001" customHeight="1" x14ac:dyDescent="0.2">
      <c r="D65" s="15" t="str">
        <v>Calcium ammonium nitrate (CAN)</v>
      </c>
      <c r="E65" s="15">
        <f t="shared" si="0"/>
        <v>0</v>
      </c>
      <c r="F65" s="15">
        <f>((E65 * $J$50) * $J$51 * 10 ^ -3)</f>
        <v>0</v>
      </c>
    </row>
    <row r="66" spans="4:6" ht="20.100000000000001" customHeight="1" x14ac:dyDescent="0.2">
      <c r="D66" s="15" t="str">
        <v>Nitrogen - Ammoniacal</v>
      </c>
      <c r="E66" s="15">
        <f t="shared" si="0"/>
        <v>992</v>
      </c>
      <c r="F66" s="15">
        <f>((E66 * $J$50) * $J$51 * 10 ^ -3)</f>
        <v>1.0912E-2</v>
      </c>
    </row>
    <row r="67" spans="4:6" ht="20.100000000000001" customHeight="1" x14ac:dyDescent="0.2">
      <c r="D67" s="15" t="str">
        <v>Nitrogen - Nitrate</v>
      </c>
      <c r="E67" s="15">
        <f t="shared" si="0"/>
        <v>55</v>
      </c>
      <c r="F67" s="15">
        <f>((E67 * $J$50) * $J$51 * 10 ^ -3)</f>
        <v>6.0499999999999996E-4</v>
      </c>
    </row>
    <row r="68" spans="4:6" ht="20.100000000000001" customHeight="1" x14ac:dyDescent="0.2">
      <c r="D68" s="15" t="str">
        <v>Nitrogen - Generic</v>
      </c>
      <c r="E68" s="15">
        <f t="shared" si="0"/>
        <v>0</v>
      </c>
      <c r="F68" s="15">
        <f>((E68 * $J$50) * $J$51 * 10 ^ -3)</f>
        <v>0</v>
      </c>
    </row>
    <row r="69" spans="4:6" ht="20.100000000000001" customHeight="1" x14ac:dyDescent="0.2">
      <c r="D69" s="15" t="str">
        <v>Phosphorus - Generic</v>
      </c>
      <c r="E69" s="15">
        <f t="shared" si="0"/>
        <v>0</v>
      </c>
      <c r="F69" s="15">
        <f>((E69 * $J$50) * $J$51 * 10 ^ -3)</f>
        <v>0</v>
      </c>
    </row>
    <row r="70" spans="4:6" ht="20.100000000000001" customHeight="1" x14ac:dyDescent="0.2">
      <c r="D70" s="15" t="str">
        <v>Potassium - Generic</v>
      </c>
      <c r="E70" s="15">
        <f t="shared" si="0"/>
        <v>0</v>
      </c>
      <c r="F70" s="15">
        <f>((E70 * $J$50) * $J$51 * 10 ^ -3)</f>
        <v>0</v>
      </c>
    </row>
    <row r="71" spans="4:6" ht="20.100000000000001" customHeight="1" x14ac:dyDescent="0.2">
      <c r="D71" s="15" t="str">
        <v>Sulfur - Generic</v>
      </c>
      <c r="E71" s="15">
        <f t="shared" si="0"/>
        <v>0</v>
      </c>
      <c r="F71" s="15">
        <f>((E71 * $J$50) * $J$51 * 10 ^ -3)</f>
        <v>0</v>
      </c>
    </row>
    <row r="72" spans="4:6" ht="20.100000000000001" customHeight="1" x14ac:dyDescent="0.2">
      <c r="D72" s="15" t="str">
        <v>Zinc - Generic</v>
      </c>
      <c r="E72" s="15">
        <f t="shared" si="0"/>
        <v>0</v>
      </c>
      <c r="F72" s="15">
        <f>((E72 * $J$50) * $J$51 * 10 ^ -3)</f>
        <v>0</v>
      </c>
    </row>
    <row r="73" spans="4:6" ht="20.100000000000001" customHeight="1" x14ac:dyDescent="0.2">
      <c r="D73" s="15" t="str">
        <v>Muriate of potash (MOP)</v>
      </c>
      <c r="E73" s="15">
        <f t="shared" si="0"/>
        <v>0</v>
      </c>
      <c r="F73" s="15">
        <f>((E73 * $J$50) * $J$51 * 10 ^ -3)</f>
        <v>0</v>
      </c>
    </row>
    <row r="74" spans="4:6" ht="20.100000000000001" customHeight="1" x14ac:dyDescent="0.2">
      <c r="D74" s="15" t="str">
        <v>Double superphosphate</v>
      </c>
      <c r="E74" s="15">
        <f t="shared" si="0"/>
        <v>0</v>
      </c>
      <c r="F74" s="15">
        <f>((E74 * $J$50) * $J$51 * 10 ^ -3)</f>
        <v>0</v>
      </c>
    </row>
    <row r="75" spans="4:6" ht="20.100000000000001" customHeight="1" x14ac:dyDescent="0.2">
      <c r="D75" s="15" t="str">
        <v>Single superphosphate (SSP)</v>
      </c>
      <c r="E75" s="15">
        <f t="shared" si="0"/>
        <v>0</v>
      </c>
      <c r="F75" s="15">
        <f>((E75 * $J$50) * $J$51 * 10 ^ -3)</f>
        <v>0</v>
      </c>
    </row>
    <row r="76" spans="4:6" ht="20.100000000000001" customHeight="1" x14ac:dyDescent="0.2">
      <c r="D76" s="15" t="str">
        <v>Ammonia</v>
      </c>
      <c r="E76" s="15">
        <f t="shared" si="0"/>
        <v>3294</v>
      </c>
      <c r="F76" s="15">
        <f>((E76 * $J$50) * $J$51 * 10 ^ -3)</f>
        <v>3.6234000000000002E-2</v>
      </c>
    </row>
    <row r="77" spans="4:6" ht="20.100000000000001" customHeight="1" x14ac:dyDescent="0.2">
      <c r="D77" s="15" t="str">
        <v>Calcium nitrate</v>
      </c>
      <c r="E77" s="15">
        <f t="shared" si="0"/>
        <v>77.5</v>
      </c>
      <c r="F77" s="15">
        <f>((E77 * $J$50) * $J$51 * 10 ^ -3)</f>
        <v>8.5249999999999996E-4</v>
      </c>
    </row>
    <row r="79" spans="4:6" ht="20.100000000000001" customHeight="1" x14ac:dyDescent="0.2">
      <c r="D79" s="87" t="s">
        <v>441</v>
      </c>
      <c r="E79" s="88">
        <f>SUM(F59:F77)</f>
        <v>0.24000349010000002</v>
      </c>
      <c r="F79" s="97" t="str">
        <f>$E$47</f>
        <v>t N2O</v>
      </c>
    </row>
    <row r="81" spans="1:12" ht="20.100000000000001" customHeight="1" x14ac:dyDescent="0.2">
      <c r="D81" s="139" t="str" cm="1">
        <f t="array" ref="D81:E82">Common_Equations.Common_ConvertN2OToCO2e_Arguments()</f>
        <v>EN2O</v>
      </c>
      <c r="E81" s="140" t="str">
        <v>Nitrous oxide emissions (t N2O)</v>
      </c>
      <c r="F81" s="149"/>
      <c r="G81" s="15">
        <f>VEERG_5_4_1_1__1_InorganicFertiliserAtmosphericDepositionN2OEmissions_Result_Method1</f>
        <v>0.24000349010000002</v>
      </c>
    </row>
    <row r="82" spans="1:12" ht="20.100000000000001" customHeight="1" x14ac:dyDescent="0.2">
      <c r="D82" s="139" t="str">
        <v>GWPN2O</v>
      </c>
      <c r="E82" s="140" t="str">
        <v>Global warming potential for nitrous oxide (t CO2-e / t N2O)</v>
      </c>
      <c r="F82" s="149"/>
      <c r="G82" s="15">
        <f>Common_InputFunctions.Utility_LookupValueInTableNumber("N2O",Table_GWPData[Gas],Table_GWPData[CO2-e factor])</f>
        <v>265</v>
      </c>
    </row>
    <row r="84" spans="1:12" ht="20.100000000000001" customHeight="1" x14ac:dyDescent="0.2">
      <c r="D84" s="85" t="s">
        <v>395</v>
      </c>
      <c r="E84" s="85" cm="1">
        <f t="array" ref="E84">Common_Equations.Common_ConvertN2OToCO2e(G81,G82)</f>
        <v>63.600924876500002</v>
      </c>
      <c r="F84" s="91" t="str" cm="1">
        <f t="array" ref="F84">Common_Equations.Common_ConvertN2OToCO2e_Unit()</f>
        <v>t CO2e</v>
      </c>
    </row>
    <row r="87" spans="1:12" ht="20.100000000000001" customHeight="1" x14ac:dyDescent="0.2">
      <c r="C87" s="157"/>
      <c r="D87" s="157"/>
      <c r="E87" s="157"/>
      <c r="F87" s="157"/>
      <c r="G87" s="157"/>
      <c r="H87" s="157"/>
      <c r="I87" s="157"/>
      <c r="J87" s="157"/>
      <c r="K87" s="157"/>
      <c r="L87" s="157"/>
    </row>
    <row r="88" spans="1:12" ht="20.100000000000001" customHeight="1" x14ac:dyDescent="0.2">
      <c r="D88" s="2" t="s">
        <v>1138</v>
      </c>
    </row>
    <row r="89" spans="1:12" ht="20.100000000000001" customHeight="1" x14ac:dyDescent="0.2">
      <c r="A89" s="81" t="str">
        <f>HYPERLINK("#A1", "▲ Back to top")</f>
        <v>▲ Back to top</v>
      </c>
      <c r="D89" s="17" t="s">
        <v>1139</v>
      </c>
    </row>
    <row r="90" spans="1:12" ht="20.100000000000001" customHeight="1" x14ac:dyDescent="0.2">
      <c r="D90" s="134"/>
      <c r="E90" s="134"/>
    </row>
    <row r="93" spans="1:12" ht="20.100000000000001" customHeight="1" x14ac:dyDescent="0.2">
      <c r="D93" s="77" t="s">
        <v>371</v>
      </c>
      <c r="E93" s="1" t="s">
        <v>1140</v>
      </c>
    </row>
    <row r="94" spans="1:12" ht="20.100000000000001" customHeight="1" x14ac:dyDescent="0.2">
      <c r="D94" s="77" t="s">
        <v>118</v>
      </c>
      <c r="E94" s="9" t="s">
        <v>1029</v>
      </c>
    </row>
    <row r="96" spans="1:12" ht="20.100000000000001" customHeight="1" x14ac:dyDescent="0.2">
      <c r="D96" s="150" t="s">
        <v>1091</v>
      </c>
      <c r="E96" s="150" t="s">
        <v>1098</v>
      </c>
      <c r="F96" s="150"/>
      <c r="G96" s="150" t="s">
        <v>1029</v>
      </c>
      <c r="H96" s="142" t="s">
        <v>1102</v>
      </c>
      <c r="I96" s="143" t="str" cm="1">
        <f t="array" aca="1" ref="I96" ca="1">HYPERLINK(Common_InputFunctions.Utility_SourceHyperlink($D$99), $D$99)</f>
        <v>Table_M_vol_organic_j_f</v>
      </c>
    </row>
    <row r="97" spans="4:9" ht="20.100000000000001" customHeight="1" x14ac:dyDescent="0.2">
      <c r="D97" s="150" t="s">
        <v>1141</v>
      </c>
      <c r="E97" s="150" t="s">
        <v>1142</v>
      </c>
      <c r="F97" s="150"/>
      <c r="G97" s="150" t="s">
        <v>1128</v>
      </c>
      <c r="H97" s="142" t="s">
        <v>1036</v>
      </c>
      <c r="I97" s="150">
        <f>Fertiliser_FracGASMSoil_Data</f>
        <v>0.21</v>
      </c>
    </row>
    <row r="99" spans="4:9" ht="20.100000000000001" customHeight="1" x14ac:dyDescent="0.2">
      <c r="D99" s="135" t="s">
        <v>442</v>
      </c>
    </row>
    <row r="100" spans="4:9" ht="20.100000000000001" customHeight="1" x14ac:dyDescent="0.2">
      <c r="D100" s="136" t="s">
        <v>443</v>
      </c>
    </row>
    <row r="101" spans="4:9" ht="20.100000000000001" customHeight="1" x14ac:dyDescent="0.2">
      <c r="D101" s="80" t="s">
        <v>416</v>
      </c>
      <c r="E101" s="152" t="s">
        <v>420</v>
      </c>
      <c r="F101" s="152" t="s">
        <v>444</v>
      </c>
    </row>
    <row r="102" spans="4:9" ht="20.100000000000001" customHeight="1" x14ac:dyDescent="0.2">
      <c r="D102" s="15" t="str" cm="1">
        <f t="array" ref="D102:D104">Table_Input_OrganicFertiliser[Organic fertiliser type (select)]</f>
        <v>Manure - Other</v>
      </c>
      <c r="E102" s="15">
        <f>INDEX(Table_MNSoil_j_f,2,6)</f>
        <v>3000</v>
      </c>
      <c r="F102" s="15">
        <f>(E102 * $I$97)</f>
        <v>630</v>
      </c>
      <c r="G102" s="16" t="str">
        <f>$E$94</f>
        <v>kg N</v>
      </c>
    </row>
    <row r="103" spans="4:9" ht="20.100000000000001" customHeight="1" x14ac:dyDescent="0.2">
      <c r="D103" s="15" t="str">
        <v>Manure - Poultry</v>
      </c>
      <c r="E103" s="15">
        <f>INDEX(Table_MNSoil_j_f,3,6)</f>
        <v>2500</v>
      </c>
      <c r="F103" s="15">
        <f>(E103 * $I$97)</f>
        <v>525</v>
      </c>
    </row>
    <row r="104" spans="4:9" ht="20.100000000000001" customHeight="1" x14ac:dyDescent="0.2">
      <c r="D104" s="15" t="str">
        <v>Other organic fertiliser</v>
      </c>
      <c r="E104" s="15">
        <f>INDEX(Table_MNSoil_j_f,4,6)</f>
        <v>1600</v>
      </c>
      <c r="F104" s="15">
        <f>(E104 * $I$97)</f>
        <v>336</v>
      </c>
    </row>
    <row r="105" spans="4:9" ht="20.100000000000001" customHeight="1" x14ac:dyDescent="0.2">
      <c r="D105" s="15"/>
      <c r="E105" s="15">
        <f>'5.2.1.1-2 Organic Fert N2O'!I23</f>
        <v>0</v>
      </c>
      <c r="F105" s="15">
        <f>(E105 * $I$97)</f>
        <v>0</v>
      </c>
    </row>
    <row r="106" spans="4:9" ht="20.100000000000001" customHeight="1" x14ac:dyDescent="0.2">
      <c r="D106" s="15"/>
      <c r="E106" s="15">
        <f>'5.2.1.1-2 Organic Fert N2O'!I24</f>
        <v>0</v>
      </c>
      <c r="F106" s="15">
        <f>(E106 * $I$97)</f>
        <v>0</v>
      </c>
    </row>
    <row r="107" spans="4:9" ht="20.100000000000001" customHeight="1" x14ac:dyDescent="0.2">
      <c r="D107" s="15"/>
      <c r="E107" s="15">
        <f>'5.2.1.1-2 Organic Fert N2O'!I25</f>
        <v>0</v>
      </c>
      <c r="F107" s="15">
        <f>(E107 * $I$97)</f>
        <v>0</v>
      </c>
    </row>
    <row r="108" spans="4:9" ht="20.100000000000001" customHeight="1" x14ac:dyDescent="0.2">
      <c r="D108" s="15"/>
      <c r="E108" s="15">
        <f>'5.2.1.1-2 Organic Fert N2O'!I26</f>
        <v>0</v>
      </c>
      <c r="F108" s="15">
        <f>(E108 * $I$97)</f>
        <v>0</v>
      </c>
    </row>
    <row r="109" spans="4:9" ht="20.100000000000001" customHeight="1" x14ac:dyDescent="0.2">
      <c r="D109" s="15"/>
      <c r="E109" s="15">
        <f>'5.2.1.1-2 Organic Fert N2O'!I27</f>
        <v>0</v>
      </c>
      <c r="F109" s="15">
        <f>(E109 * $I$97)</f>
        <v>0</v>
      </c>
    </row>
    <row r="110" spans="4:9" ht="20.100000000000001" customHeight="1" x14ac:dyDescent="0.2">
      <c r="D110" s="15"/>
      <c r="E110" s="15">
        <f>'5.2.1.1-2 Organic Fert N2O'!I28</f>
        <v>0</v>
      </c>
      <c r="F110" s="15">
        <f>(E110 * $I$97)</f>
        <v>0</v>
      </c>
    </row>
    <row r="111" spans="4:9" ht="20.100000000000001" customHeight="1" x14ac:dyDescent="0.2">
      <c r="D111" s="15"/>
      <c r="E111" s="15">
        <f>'5.2.1.1-2 Organic Fert N2O'!I29</f>
        <v>0</v>
      </c>
      <c r="F111" s="15">
        <f>(E111 * $I$97)</f>
        <v>0</v>
      </c>
    </row>
    <row r="112" spans="4:9" ht="20.100000000000001" customHeight="1" x14ac:dyDescent="0.2">
      <c r="D112" s="15"/>
      <c r="E112" s="15">
        <f>'5.2.1.1-2 Organic Fert N2O'!I30</f>
        <v>0</v>
      </c>
      <c r="F112" s="15">
        <f>(E112 * $I$97)</f>
        <v>0</v>
      </c>
    </row>
    <row r="115" spans="1:12" ht="20.100000000000001" customHeight="1" x14ac:dyDescent="0.2">
      <c r="C115" s="157"/>
      <c r="D115" s="157"/>
      <c r="E115" s="157"/>
      <c r="F115" s="157"/>
      <c r="G115" s="157"/>
      <c r="H115" s="157"/>
      <c r="I115" s="157"/>
      <c r="J115" s="157"/>
      <c r="K115" s="157"/>
      <c r="L115" s="157"/>
    </row>
    <row r="116" spans="1:12" ht="20.100000000000001" customHeight="1" x14ac:dyDescent="0.2">
      <c r="D116" s="2" t="s">
        <v>1143</v>
      </c>
    </row>
    <row r="117" spans="1:12" ht="20.100000000000001" customHeight="1" x14ac:dyDescent="0.2">
      <c r="D117" s="17" t="s">
        <v>1144</v>
      </c>
    </row>
    <row r="118" spans="1:12" ht="20.100000000000001" customHeight="1" x14ac:dyDescent="0.2">
      <c r="D118" s="134"/>
      <c r="E118" s="134"/>
    </row>
    <row r="119" spans="1:12" ht="20.100000000000001" customHeight="1" x14ac:dyDescent="0.2">
      <c r="A119" s="81" t="str">
        <f>HYPERLINK("#A1", "▲ Back to top")</f>
        <v>▲ Back to top</v>
      </c>
    </row>
    <row r="121" spans="1:12" ht="20.100000000000001" customHeight="1" x14ac:dyDescent="0.2">
      <c r="D121" s="77" t="s">
        <v>371</v>
      </c>
      <c r="E121" s="1" t="s">
        <v>1145</v>
      </c>
    </row>
    <row r="122" spans="1:12" ht="20.100000000000001" customHeight="1" x14ac:dyDescent="0.2">
      <c r="D122" s="77" t="s">
        <v>118</v>
      </c>
      <c r="E122" s="9" t="s">
        <v>12</v>
      </c>
    </row>
    <row r="124" spans="1:12" ht="20.100000000000001" customHeight="1" x14ac:dyDescent="0.2">
      <c r="D124" s="150" t="s">
        <v>1140</v>
      </c>
      <c r="E124" s="147" t="s">
        <v>1146</v>
      </c>
      <c r="F124" s="159"/>
      <c r="G124" s="150" t="s">
        <v>1029</v>
      </c>
      <c r="H124" s="142" t="s">
        <v>1148</v>
      </c>
      <c r="I124" s="143" t="str" cm="1">
        <f t="array" aca="1" ref="I124" ca="1">HYPERLINK(Common_InputFunctions.Utility_SourceHyperlink($D$99), $D$99)</f>
        <v>Table_M_vol_organic_j_f</v>
      </c>
    </row>
    <row r="125" spans="1:12" ht="20.100000000000001" customHeight="1" x14ac:dyDescent="0.2">
      <c r="D125" s="150" t="s">
        <v>1133</v>
      </c>
      <c r="E125" s="147" t="s">
        <v>1147</v>
      </c>
      <c r="F125" s="159"/>
      <c r="G125" s="150" t="s">
        <v>1103</v>
      </c>
      <c r="H125" s="142" t="s">
        <v>1036</v>
      </c>
      <c r="I125" s="15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D126" s="150" t="s">
        <v>1051</v>
      </c>
      <c r="E126" s="147" t="s">
        <v>1052</v>
      </c>
      <c r="F126" s="159"/>
      <c r="G126" s="150"/>
      <c r="H126" s="142" t="s">
        <v>1036</v>
      </c>
      <c r="I126" s="139">
        <f>Common_InputFunctions.Utility_LookupValueInTableNumber("N2O",Table_GasToMolecularConversionFactor[Gas],Table_GasToMolecularConversionFactor[Conversion factor combined])</f>
        <v>1.5714285714285714</v>
      </c>
    </row>
    <row r="127" spans="1:12" ht="20.100000000000001" customHeight="1" x14ac:dyDescent="0.2">
      <c r="D127" s="150" t="s">
        <v>1053</v>
      </c>
      <c r="E127" s="147" t="s">
        <v>177</v>
      </c>
      <c r="F127" s="159"/>
      <c r="G127" s="150"/>
      <c r="H127" s="141" t="s">
        <v>1034</v>
      </c>
      <c r="I127" s="150" t="str">
        <f>X_Cell_Fertiliser_ProductionSystem</f>
        <v>Crop</v>
      </c>
    </row>
    <row r="128" spans="1:12" ht="20.100000000000001" customHeight="1" x14ac:dyDescent="0.2">
      <c r="D128" s="150" t="s">
        <v>1054</v>
      </c>
      <c r="E128" s="147" t="s">
        <v>1055</v>
      </c>
      <c r="F128" s="159"/>
      <c r="G128" s="150"/>
      <c r="H128" s="141" t="s">
        <v>1034</v>
      </c>
      <c r="I128" s="150" t="str">
        <f>X_Cell_Fertiliser_IrrigationMethod</f>
        <v>Sprinkler irrigation</v>
      </c>
    </row>
    <row r="129" spans="4:9" ht="20.100000000000001" customHeight="1" x14ac:dyDescent="0.2">
      <c r="D129" s="150" t="s">
        <v>1135</v>
      </c>
      <c r="E129" s="147" t="s">
        <v>1136</v>
      </c>
      <c r="F129" s="159"/>
      <c r="G129" s="150"/>
      <c r="H129" s="141" t="s">
        <v>1034</v>
      </c>
      <c r="I129" s="150" t="str">
        <f>X_Cell_Site_RainfallZone</f>
        <v>High rainfall</v>
      </c>
    </row>
    <row r="131" spans="4:9" ht="20.100000000000001" customHeight="1" x14ac:dyDescent="0.2">
      <c r="D131" s="135" t="s">
        <v>445</v>
      </c>
    </row>
    <row r="132" spans="4:9" ht="20.100000000000001" customHeight="1" x14ac:dyDescent="0.2">
      <c r="D132" s="136" t="s">
        <v>446</v>
      </c>
    </row>
    <row r="133" spans="4:9" ht="20.100000000000001" customHeight="1" x14ac:dyDescent="0.2">
      <c r="D133" s="80" t="s">
        <v>416</v>
      </c>
      <c r="E133" s="152" t="s">
        <v>444</v>
      </c>
      <c r="F133" s="152" t="s">
        <v>447</v>
      </c>
    </row>
    <row r="134" spans="4:9" ht="20.100000000000001" customHeight="1" x14ac:dyDescent="0.2">
      <c r="D134" s="15" t="str" cm="1">
        <f t="array" ref="D134:D136">Table_Input_OrganicFertiliser[Organic fertiliser type (select)]</f>
        <v>Manure - Other</v>
      </c>
      <c r="E134" s="15">
        <f>F102</f>
        <v>630</v>
      </c>
      <c r="F134" s="15">
        <f>((E134 * $I$125) * $I$126 * 10 ^ -3)</f>
        <v>6.9299999999999995E-3</v>
      </c>
    </row>
    <row r="135" spans="4:9" ht="20.100000000000001" customHeight="1" x14ac:dyDescent="0.2">
      <c r="D135" s="15" t="str">
        <v>Manure - Poultry</v>
      </c>
      <c r="E135" s="15">
        <f t="shared" ref="E135:E144" si="1">F103</f>
        <v>525</v>
      </c>
      <c r="F135" s="15">
        <f>((E135 * $I$125) * $I$126 * 10 ^ -3)</f>
        <v>5.7750000000000006E-3</v>
      </c>
    </row>
    <row r="136" spans="4:9" ht="20.100000000000001" customHeight="1" x14ac:dyDescent="0.2">
      <c r="D136" s="15" t="str">
        <v>Other organic fertiliser</v>
      </c>
      <c r="E136" s="15">
        <f t="shared" si="1"/>
        <v>336</v>
      </c>
      <c r="F136" s="15">
        <f>((E136 * $I$125) * $I$126 * 10 ^ -3)</f>
        <v>3.6959999999999996E-3</v>
      </c>
    </row>
    <row r="137" spans="4:9" ht="20.100000000000001" customHeight="1" x14ac:dyDescent="0.2">
      <c r="D137" s="15"/>
      <c r="E137" s="15">
        <f t="shared" si="1"/>
        <v>0</v>
      </c>
      <c r="F137" s="15">
        <f>((E137 * $I$125) * $I$126 * 10 ^ -3)</f>
        <v>0</v>
      </c>
    </row>
    <row r="138" spans="4:9" ht="20.100000000000001" customHeight="1" x14ac:dyDescent="0.2">
      <c r="D138" s="15"/>
      <c r="E138" s="15">
        <f t="shared" si="1"/>
        <v>0</v>
      </c>
      <c r="F138" s="15">
        <f>((E138 * $I$125) * $I$126 * 10 ^ -3)</f>
        <v>0</v>
      </c>
    </row>
    <row r="139" spans="4:9" ht="20.100000000000001" customHeight="1" x14ac:dyDescent="0.2">
      <c r="D139" s="15"/>
      <c r="E139" s="15">
        <f t="shared" si="1"/>
        <v>0</v>
      </c>
      <c r="F139" s="15">
        <f>((E139 * $I$125) * $I$126 * 10 ^ -3)</f>
        <v>0</v>
      </c>
    </row>
    <row r="140" spans="4:9" ht="20.100000000000001" customHeight="1" x14ac:dyDescent="0.2">
      <c r="D140" s="15"/>
      <c r="E140" s="15">
        <f t="shared" si="1"/>
        <v>0</v>
      </c>
      <c r="F140" s="15">
        <f>((E140 * $I$125) * $I$126 * 10 ^ -3)</f>
        <v>0</v>
      </c>
    </row>
    <row r="141" spans="4:9" ht="20.100000000000001" customHeight="1" x14ac:dyDescent="0.2">
      <c r="D141" s="15"/>
      <c r="E141" s="15">
        <f t="shared" si="1"/>
        <v>0</v>
      </c>
      <c r="F141" s="15">
        <f>((E141 * $I$125) * $I$126 * 10 ^ -3)</f>
        <v>0</v>
      </c>
    </row>
    <row r="142" spans="4:9" ht="20.100000000000001" customHeight="1" x14ac:dyDescent="0.2">
      <c r="D142" s="15"/>
      <c r="E142" s="15">
        <f t="shared" si="1"/>
        <v>0</v>
      </c>
      <c r="F142" s="15">
        <f>((E142 * $I$125) * $I$126 * 10 ^ -3)</f>
        <v>0</v>
      </c>
    </row>
    <row r="143" spans="4:9" ht="20.100000000000001" customHeight="1" x14ac:dyDescent="0.2">
      <c r="D143" s="15"/>
      <c r="E143" s="15">
        <f t="shared" si="1"/>
        <v>0</v>
      </c>
      <c r="F143" s="15">
        <f>((E143 * $I$125) * $I$126 * 10 ^ -3)</f>
        <v>0</v>
      </c>
    </row>
    <row r="144" spans="4:9" ht="20.100000000000001" customHeight="1" x14ac:dyDescent="0.2">
      <c r="D144" s="15"/>
      <c r="E144" s="15">
        <f t="shared" si="1"/>
        <v>0</v>
      </c>
      <c r="F144" s="15">
        <f>((E144 * $I$125) * $I$126 * 10 ^ -3)</f>
        <v>0</v>
      </c>
    </row>
    <row r="146" spans="1:7" ht="20.100000000000001" customHeight="1" x14ac:dyDescent="0.2">
      <c r="D146" s="87" t="s">
        <v>448</v>
      </c>
      <c r="E146" s="88">
        <f>SUM(F134:F144)</f>
        <v>1.6400999999999999E-2</v>
      </c>
      <c r="F146" s="97" t="str">
        <f>$E$122</f>
        <v>t N2O</v>
      </c>
    </row>
    <row r="148" spans="1:7" ht="20.100000000000001" customHeight="1" x14ac:dyDescent="0.2">
      <c r="D148" s="139" t="str" cm="1">
        <f t="array" ref="D148:E149">Common_Equations.Common_ConvertN2OToCO2e_Arguments()</f>
        <v>EN2O</v>
      </c>
      <c r="E148" s="140" t="str">
        <v>Nitrous oxide emissions (t N2O)</v>
      </c>
      <c r="F148" s="149"/>
      <c r="G148" s="15">
        <v>1.6401E-3</v>
      </c>
    </row>
    <row r="149" spans="1:7" ht="20.100000000000001" customHeight="1" x14ac:dyDescent="0.2">
      <c r="A149" s="81" t="str">
        <f>HYPERLINK("#A1", "▲ Back to top")</f>
        <v>▲ Back to top</v>
      </c>
      <c r="D149" s="139" t="str">
        <v>GWPN2O</v>
      </c>
      <c r="E149" s="140" t="str">
        <v>Global warming potential for nitrous oxide (t CO2-e / t N2O)</v>
      </c>
      <c r="F149" s="149"/>
      <c r="G149" s="15">
        <f>Common_InputFunctions.Utility_LookupValueInTableNumber("N2O",Table_GWPData[Gas],Table_GWPData[CO2-e factor])</f>
        <v>265</v>
      </c>
    </row>
    <row r="151" spans="1:7" ht="20.100000000000001" customHeight="1" x14ac:dyDescent="0.2">
      <c r="D151" s="85" t="s">
        <v>395</v>
      </c>
      <c r="E151" s="85" cm="1">
        <f t="array" ref="E151">Common_Equations.Common_ConvertN2OToCO2e(G148,G149)</f>
        <v>0.43462650000000003</v>
      </c>
      <c r="F151" s="91" t="str" cm="1">
        <f t="array" ref="F151">Common_Equations.Common_ConvertN2OToCO2e_Unit()</f>
        <v>t CO2e</v>
      </c>
    </row>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76832-734B-40AB-8585-A7AC0E9F7D5D}">
  <sheetPr>
    <tabColor rgb="FF008000"/>
  </sheetPr>
  <dimension ref="A1:T99"/>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449</v>
      </c>
    </row>
    <row r="2" spans="1:20" s="3" customFormat="1" ht="20.100000000000001" customHeight="1" x14ac:dyDescent="0.2">
      <c r="A2"/>
    </row>
    <row r="3" spans="1:20" ht="20.100000000000001" customHeight="1" x14ac:dyDescent="0.2">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D5" s="2" t="s">
        <v>1149</v>
      </c>
    </row>
    <row r="6" spans="1:20" ht="20.100000000000001" customHeight="1" x14ac:dyDescent="0.2">
      <c r="D6" s="17" t="s">
        <v>1150</v>
      </c>
    </row>
    <row r="7" spans="1:20" ht="20.100000000000001" customHeight="1" x14ac:dyDescent="0.2">
      <c r="D7" s="134"/>
      <c r="E7" s="134"/>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7" t="s">
        <v>371</v>
      </c>
      <c r="E10" s="1" t="s">
        <v>1151</v>
      </c>
    </row>
    <row r="11" spans="1:20" ht="20.100000000000001" customHeight="1" x14ac:dyDescent="0.2">
      <c r="A11" s="5" t="str">
        <f>HYPERLINK("#'Input - Crop'!A1", "Crop")</f>
        <v>Crop</v>
      </c>
      <c r="D11" s="77" t="s">
        <v>118</v>
      </c>
      <c r="E11" s="9" t="s">
        <v>1029</v>
      </c>
    </row>
    <row r="12" spans="1:20" ht="20.100000000000001" customHeight="1" x14ac:dyDescent="0.2">
      <c r="A12" s="5" t="str">
        <f>HYPERLINK("#'Input - Fert Prod System'!A1", "Fert Prod System")</f>
        <v>Fert Prod System</v>
      </c>
    </row>
    <row r="13" spans="1:20" ht="20.100000000000001" customHeight="1" x14ac:dyDescent="0.2">
      <c r="A13" s="5" t="str">
        <f>HYPERLINK("#'Input - Fertiliser'!A1", "Fertiliser")</f>
        <v>Fertiliser</v>
      </c>
      <c r="D13" s="150" t="s">
        <v>1028</v>
      </c>
      <c r="E13" s="147" t="s">
        <v>1152</v>
      </c>
      <c r="F13" s="159"/>
      <c r="G13" s="150" t="s">
        <v>1029</v>
      </c>
      <c r="H13" s="142" t="s">
        <v>1058</v>
      </c>
      <c r="I13" s="143" t="str" cm="1">
        <f t="array" aca="1" ref="I13" ca="1">HYPERLINK(Common_InputFunctions.Utility_SourceHyperlink(D20), D20)</f>
        <v>Table_M_leach_inorganic_j</v>
      </c>
    </row>
    <row r="14" spans="1:20" ht="20.100000000000001" customHeight="1" x14ac:dyDescent="0.2">
      <c r="A14" s="5" t="str">
        <f>HYPERLINK("#'Input - Fuel'!A1", "Fuel")</f>
        <v>Fuel</v>
      </c>
      <c r="D14" s="150" t="s">
        <v>1153</v>
      </c>
      <c r="E14" s="147" t="s">
        <v>1154</v>
      </c>
      <c r="F14" s="159"/>
      <c r="G14" s="150" t="s">
        <v>1120</v>
      </c>
      <c r="H14" s="142" t="s">
        <v>1036</v>
      </c>
      <c r="I14" s="15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 t="str">
        <f>HYPERLINK("#'Input - Electricity'!A1", "Electricity")</f>
        <v>Electricity</v>
      </c>
      <c r="D15" s="150" t="s">
        <v>1155</v>
      </c>
      <c r="E15" s="147" t="s">
        <v>1156</v>
      </c>
      <c r="F15" s="159"/>
      <c r="G15" s="150" t="s">
        <v>1120</v>
      </c>
      <c r="H15" s="142" t="s">
        <v>1036</v>
      </c>
      <c r="I15" s="150">
        <f>Fertiliser_FracLEACH_Data</f>
        <v>0.24</v>
      </c>
    </row>
    <row r="16" spans="1:20" ht="20.100000000000001" customHeight="1" x14ac:dyDescent="0.2">
      <c r="A16" s="5" t="str">
        <f>HYPERLINK("#'Input - Common farm inputs'!A1", "Common farm inputs")</f>
        <v>Common farm inputs</v>
      </c>
      <c r="D16" s="150" t="s">
        <v>1056</v>
      </c>
      <c r="E16" s="147" t="s">
        <v>1157</v>
      </c>
      <c r="F16" s="159"/>
      <c r="G16" s="150"/>
      <c r="H16" s="141" t="s">
        <v>1034</v>
      </c>
      <c r="I16" s="150" t="str">
        <f>X_Cell_Site_LeachingZone</f>
        <v>NO - Not in leaching zone</v>
      </c>
    </row>
    <row r="17" spans="1:9" ht="20.100000000000001" customHeight="1" x14ac:dyDescent="0.2">
      <c r="A17" s="5" t="str">
        <f>HYPERLINK("#'Input - Crop pasture farm input'!A1", "Crop pasture farm input")</f>
        <v>Crop pasture farm input</v>
      </c>
      <c r="D17" s="150" t="s">
        <v>1053</v>
      </c>
      <c r="E17" s="147" t="s">
        <v>1158</v>
      </c>
      <c r="F17" s="159"/>
      <c r="G17" s="150"/>
      <c r="H17" s="141" t="s">
        <v>1034</v>
      </c>
      <c r="I17" s="150" t="str">
        <f>X_Cell_Fertiliser_ProductionSystem</f>
        <v>Crop</v>
      </c>
    </row>
    <row r="18" spans="1:9" ht="20.100000000000001" customHeight="1" x14ac:dyDescent="0.2">
      <c r="A18" s="5" t="str">
        <f>HYPERLINK("#'Input - Freight'!A1", "Freight")</f>
        <v>Freight</v>
      </c>
      <c r="D18" s="150" t="s">
        <v>1054</v>
      </c>
      <c r="E18" s="147" t="s">
        <v>1055</v>
      </c>
      <c r="F18" s="159"/>
      <c r="G18" s="150"/>
      <c r="H18" s="141" t="s">
        <v>1034</v>
      </c>
      <c r="I18" s="150" t="str">
        <f>X_Cell_Fertiliser_IrrigationMethod</f>
        <v>Sprinkler irrigation</v>
      </c>
    </row>
    <row r="19" spans="1:9" ht="20.100000000000001" customHeight="1" x14ac:dyDescent="0.2">
      <c r="A19" s="5" t="str">
        <f>HYPERLINK("#'Input - Solid waste'!A1", "Solid waste")</f>
        <v>Solid waste</v>
      </c>
    </row>
    <row r="20" spans="1:9" ht="20.100000000000001" customHeight="1" x14ac:dyDescent="0.2">
      <c r="A20" s="5" t="str">
        <f>HYPERLINK("#'Input - Data quality'!A1", "Data quality")</f>
        <v>Data quality</v>
      </c>
      <c r="D20" s="135" t="s">
        <v>450</v>
      </c>
    </row>
    <row r="21" spans="1:9" ht="20.100000000000001" customHeight="1" x14ac:dyDescent="0.2">
      <c r="D21" s="136" t="s">
        <v>451</v>
      </c>
    </row>
    <row r="22" spans="1:9" ht="20.100000000000001" customHeight="1" x14ac:dyDescent="0.2">
      <c r="D22" s="138" t="s">
        <v>379</v>
      </c>
      <c r="E22" s="138" t="s">
        <v>434</v>
      </c>
      <c r="F22" s="138" t="s">
        <v>452</v>
      </c>
    </row>
    <row r="23" spans="1:9" ht="20.100000000000001" customHeight="1" x14ac:dyDescent="0.2">
      <c r="A23" s="6" t="s">
        <v>2</v>
      </c>
      <c r="D23" s="15" t="str" cm="1">
        <f t="array" ref="D23:D41">Table_Fertiliser_ChemicalCompounds[Fertiliser type f]</f>
        <v>Monoammonium phosphate (MAP)</v>
      </c>
      <c r="E23" s="15">
        <f>INDEX(Table_MN_j_f,2,4)</f>
        <v>0</v>
      </c>
      <c r="F23" s="15">
        <f>(E23 * $I$14 * $I$15)</f>
        <v>0</v>
      </c>
    </row>
    <row r="24" spans="1:9" ht="20.100000000000001" customHeight="1" x14ac:dyDescent="0.2">
      <c r="A24" s="5" t="str">
        <f>HYPERLINK("#'5.1.1.1-2 Inorganic fert N2O'!A1", "5.1.1.1-2 Inorganic fert N2O")</f>
        <v>5.1.1.1-2 Inorganic fert N2O</v>
      </c>
      <c r="D24" s="15" t="str">
        <v>Diammonium phosphate (DAP)</v>
      </c>
      <c r="E24" s="15">
        <f>INDEX(Table_MN_j_f,3,4)</f>
        <v>0</v>
      </c>
      <c r="F24" s="15">
        <f>(E24 * $I$14 * $I$15)</f>
        <v>0</v>
      </c>
    </row>
    <row r="25" spans="1:9" ht="20.100000000000001" customHeight="1" x14ac:dyDescent="0.2">
      <c r="A25" s="5" t="str">
        <f>HYPERLINK("#'5.1.1.3-4 Inorganic fert CO2'!A1", "5.1.1.3-4 Inorganic fert CO2")</f>
        <v>5.1.1.3-4 Inorganic fert CO2</v>
      </c>
      <c r="D25" s="15" t="str">
        <v>Urea</v>
      </c>
      <c r="E25" s="15">
        <f>INDEX(Table_MN_j_f,4,4)</f>
        <v>115999.99400000001</v>
      </c>
      <c r="F25" s="15">
        <f>(E25 * $I$14 * $I$15)</f>
        <v>27839.99856</v>
      </c>
    </row>
    <row r="26" spans="1:9" ht="20.100000000000001" customHeight="1" x14ac:dyDescent="0.2">
      <c r="A26" s="5" t="str">
        <f>HYPERLINK("#'5.2.1.1-2 Organic Fert N2O'!A1", "5.2.1.1-2 Organic fert N2O")</f>
        <v>5.2.1.1-2 Organic fert N2O</v>
      </c>
      <c r="D26" s="15" t="str">
        <v>Sulphate of ammonia (SOA)</v>
      </c>
      <c r="E26" s="15">
        <f>INDEX(Table_MN_j_f,5,4)</f>
        <v>0</v>
      </c>
      <c r="F26" s="15">
        <f>(E26 * $I$14 * $I$15)</f>
        <v>0</v>
      </c>
    </row>
    <row r="27" spans="1:9" ht="20.100000000000001" customHeight="1" x14ac:dyDescent="0.2">
      <c r="A27" s="5" t="str">
        <f>HYPERLINK("#'5.3.1.1-2 Lime CO2'!A1", "5.3.1.1-2 Lime CO2")</f>
        <v>5.3.1.1-2 Lime CO2</v>
      </c>
      <c r="D27" s="15" t="str">
        <v>Urea-ammonium nitrate (UAN)</v>
      </c>
      <c r="E27" s="15">
        <f>INDEX(Table_MN_j_f,6,4)</f>
        <v>0</v>
      </c>
      <c r="F27" s="15">
        <f>(E27 * $I$14 * $I$15)</f>
        <v>0</v>
      </c>
    </row>
    <row r="28" spans="1:9" ht="20.100000000000001" customHeight="1" x14ac:dyDescent="0.2">
      <c r="A28" s="5" t="str">
        <f>HYPERLINK("#'5.4.1.1-4 Atmos deposition'!A1", "5.4.1.1-4 Atmos. deposition")</f>
        <v>5.4.1.1-4 Atmos. deposition</v>
      </c>
      <c r="D28" s="15" t="str">
        <v>Ammonium nitrate (AN)</v>
      </c>
      <c r="E28" s="15">
        <f>INDEX(Table_MN_j_f,7,4)</f>
        <v>0</v>
      </c>
      <c r="F28" s="15">
        <f>(E28 * $I$14 * $I$15)</f>
        <v>0</v>
      </c>
    </row>
    <row r="29" spans="1:9" ht="20.100000000000001" customHeight="1" x14ac:dyDescent="0.2">
      <c r="A29" s="144" t="str">
        <f>HYPERLINK("#'5.5.1.1-2 Leaching and runoff'!A1", "5.5.1.1-2 Leaching &amp; runoff")</f>
        <v>5.5.1.1-2 Leaching &amp; runoff</v>
      </c>
      <c r="D29" s="15" t="str">
        <v>Calcium ammonium nitrate (CAN)</v>
      </c>
      <c r="E29" s="15">
        <f>INDEX(Table_MN_j_f,8,4)</f>
        <v>0</v>
      </c>
      <c r="F29" s="15">
        <f>(E29 * $I$14 * $I$15)</f>
        <v>0</v>
      </c>
    </row>
    <row r="30" spans="1:9" ht="20.100000000000001" customHeight="1" x14ac:dyDescent="0.2">
      <c r="A30" s="5" t="str">
        <f>HYPERLINK("#'6.1.1.1-2 Crop residue N2O'!A1", "6.1.1.1-2 Crop residue N2O")</f>
        <v>6.1.1.1-2 Crop residue N2O</v>
      </c>
      <c r="D30" s="15" t="str">
        <v>Nitrogen - Ammoniacal</v>
      </c>
      <c r="E30" s="15">
        <f>INDEX(Table_MN_j_f,9,4)</f>
        <v>12400</v>
      </c>
      <c r="F30" s="15">
        <f>(E30 * $I$14 * $I$15)</f>
        <v>2976</v>
      </c>
    </row>
    <row r="31" spans="1:9" ht="20.100000000000001" customHeight="1" x14ac:dyDescent="0.2">
      <c r="A31" s="5" t="str">
        <f>HYPERLINK("#'6.3.1.1-2 Leach runoff crop'!A1", "6.3.1.1-2 Leach &amp; runoff (crop)")</f>
        <v>6.3.1.1-2 Leach &amp; runoff (crop)</v>
      </c>
      <c r="D31" s="15" t="str">
        <v>Nitrogen - Nitrate</v>
      </c>
      <c r="E31" s="15">
        <f>INDEX(Table_MN_j_f,10,4)</f>
        <v>5500</v>
      </c>
      <c r="F31" s="15">
        <f>(E31 * $I$14 * $I$15)</f>
        <v>1320</v>
      </c>
    </row>
    <row r="32" spans="1:9" ht="20.100000000000001" customHeight="1" x14ac:dyDescent="0.2">
      <c r="A32" s="5" t="str">
        <f>HYPERLINK("#'6.4.1.1-2 Residue burning'!A1", "6.4.1.1-2 Residue burning")</f>
        <v>6.4.1.1-2 Residue burning</v>
      </c>
      <c r="D32" s="15" t="str">
        <v>Nitrogen - Generic</v>
      </c>
      <c r="E32" s="15">
        <f>INDEX(Table_MN_j_f,11,4)</f>
        <v>0</v>
      </c>
      <c r="F32" s="15">
        <f>(E32 * $I$14 * $I$15)</f>
        <v>0</v>
      </c>
    </row>
    <row r="33" spans="1:11" ht="20.100000000000001" customHeight="1" x14ac:dyDescent="0.2">
      <c r="A33" s="5" t="str">
        <f>HYPERLINK("#'8.1.1.1-2 Transport fuel'!A1", "8.1.1.1-2 Transport fuel")</f>
        <v>8.1.1.1-2 Transport fuel</v>
      </c>
      <c r="D33" s="15" t="str">
        <v>Phosphorus - Generic</v>
      </c>
      <c r="E33" s="15">
        <f>INDEX(Table_MN_j_f,12,4)</f>
        <v>0</v>
      </c>
      <c r="F33" s="15">
        <f>(E33 * $I$14 * $I$15)</f>
        <v>0</v>
      </c>
    </row>
    <row r="34" spans="1:11" ht="20.100000000000001" customHeight="1" x14ac:dyDescent="0.2">
      <c r="A34" s="5" t="str">
        <f>HYPERLINK("#'8.2.1.1-2 Stationary fuel'!A1", "8.2.1.1-2 Stationary fuel")</f>
        <v>8.2.1.1-2 Stationary fuel</v>
      </c>
      <c r="D34" s="15" t="str">
        <v>Potassium - Generic</v>
      </c>
      <c r="E34" s="15">
        <f>INDEX(Table_MN_j_f,13,4)</f>
        <v>0</v>
      </c>
      <c r="F34" s="15">
        <f>(E34 * $I$14 * $I$15)</f>
        <v>0</v>
      </c>
    </row>
    <row r="35" spans="1:11" ht="20.100000000000001" customHeight="1" x14ac:dyDescent="0.2">
      <c r="A35" s="5" t="str">
        <f>HYPERLINK("#'10.1.1-2 Solid waste treatment'!A1", "10.1.1.1-2 Solid waste")</f>
        <v>10.1.1.1-2 Solid waste</v>
      </c>
      <c r="D35" s="15" t="str">
        <v>Sulfur - Generic</v>
      </c>
      <c r="E35" s="15">
        <f>INDEX(Table_MN_j_f,14,4)</f>
        <v>0</v>
      </c>
      <c r="F35" s="15">
        <f>(E35 * $I$14 * $I$15)</f>
        <v>0</v>
      </c>
    </row>
    <row r="36" spans="1:11" ht="20.100000000000001" customHeight="1" x14ac:dyDescent="0.2">
      <c r="A36" s="5" t="str">
        <f>HYPERLINK("#'14.1.1-2 Purchased electricity'!A1", "14.1.1-2 Purchased electricity")</f>
        <v>14.1.1-2 Purchased electricity</v>
      </c>
      <c r="D36" s="15" t="str">
        <v>Zinc - Generic</v>
      </c>
      <c r="E36" s="15">
        <f>INDEX(Table_MN_j_f,15,4)</f>
        <v>0</v>
      </c>
      <c r="F36" s="15">
        <f>(E36 * $I$14 * $I$15)</f>
        <v>0</v>
      </c>
    </row>
    <row r="37" spans="1:11" ht="20.100000000000001" customHeight="1" x14ac:dyDescent="0.2">
      <c r="A37" s="5" t="str">
        <f>HYPERLINK("#'15 Scope 3'!A1", "15 Scope 3")</f>
        <v>15 Scope 3</v>
      </c>
      <c r="D37" s="15" t="str">
        <v>Muriate of potash (MOP)</v>
      </c>
      <c r="E37" s="15">
        <f>INDEX(Table_MN_j_f,16,4)</f>
        <v>0</v>
      </c>
      <c r="F37" s="15">
        <f>(E37 * $I$14 * $I$15)</f>
        <v>0</v>
      </c>
    </row>
    <row r="38" spans="1:11" ht="20.100000000000001" customHeight="1" x14ac:dyDescent="0.2">
      <c r="D38" s="15" t="str">
        <v>Double superphosphate</v>
      </c>
      <c r="E38" s="15">
        <f>INDEX(Table_MN_j_f,17,4)</f>
        <v>0</v>
      </c>
      <c r="F38" s="15">
        <f>(E38 * $I$14 * $I$15)</f>
        <v>0</v>
      </c>
    </row>
    <row r="39" spans="1:11" ht="20.100000000000001" customHeight="1" x14ac:dyDescent="0.2">
      <c r="D39" s="15" t="str">
        <v>Single superphosphate (SSP)</v>
      </c>
      <c r="E39" s="15">
        <f>INDEX(Table_MN_j_f,18,4)</f>
        <v>0</v>
      </c>
      <c r="F39" s="15">
        <f>(E39 * $I$14 * $I$15)</f>
        <v>0</v>
      </c>
    </row>
    <row r="40" spans="1:11" ht="20.100000000000001" customHeight="1" x14ac:dyDescent="0.2">
      <c r="A40" s="82" t="s">
        <v>1</v>
      </c>
      <c r="D40" s="15" t="str">
        <v>Ammonia</v>
      </c>
      <c r="E40" s="15">
        <f>INDEX(Table_MN_j_f,19,4)</f>
        <v>41175</v>
      </c>
      <c r="F40" s="15">
        <f>(E40 * $I$14 * $I$15)</f>
        <v>9882</v>
      </c>
    </row>
    <row r="41" spans="1:11" ht="20.100000000000001" customHeight="1" x14ac:dyDescent="0.2">
      <c r="A41" s="5" t="str">
        <f>HYPERLINK("#'Constants - Ag Residue'!A1", "Constants - Ag residue")</f>
        <v>Constants - Ag residue</v>
      </c>
      <c r="D41" s="15" t="str">
        <v>Calcium nitrate</v>
      </c>
      <c r="E41" s="15">
        <f>INDEX(Table_MN_j_f,20,4)</f>
        <v>7750</v>
      </c>
      <c r="F41" s="15">
        <f>(E41 * $I$14 * $I$15)</f>
        <v>1860</v>
      </c>
    </row>
    <row r="42" spans="1:11" ht="20.100000000000001" customHeight="1" x14ac:dyDescent="0.2">
      <c r="A42" s="5" t="str">
        <f>HYPERLINK("#'Constants - Electricity'!A1", "Constants - Electricity")</f>
        <v>Constants - Electricity</v>
      </c>
    </row>
    <row r="43" spans="1:11" ht="20.100000000000001" customHeight="1" x14ac:dyDescent="0.2">
      <c r="A43" s="5" t="str">
        <f>HYPERLINK("#'Constants - Fertiliser'!A1", "Constants - Fertiliser")</f>
        <v>Constants - Fertiliser</v>
      </c>
      <c r="D43" s="90" t="s">
        <v>453</v>
      </c>
      <c r="E43" s="85">
        <f>SUM(F23:F41)</f>
        <v>43877.99856</v>
      </c>
      <c r="F43" s="91" t="str">
        <f>$E$11</f>
        <v>kg N</v>
      </c>
    </row>
    <row r="44" spans="1:11" ht="20.100000000000001" customHeight="1" x14ac:dyDescent="0.2">
      <c r="A44" s="5" t="str">
        <f>HYPERLINK("#'Constants - Fuel'!A1", "Constants - Fuel")</f>
        <v>Constants - Fuel</v>
      </c>
    </row>
    <row r="45" spans="1:11" ht="20.100000000000001" customHeight="1" x14ac:dyDescent="0.2">
      <c r="A45" s="5" t="str">
        <f>HYPERLINK("#'Constants - Scope 3'!A1", "Constants - Scope 3")</f>
        <v>Constants - Scope 3</v>
      </c>
      <c r="C45" s="164"/>
      <c r="D45" s="164"/>
      <c r="E45" s="164"/>
      <c r="F45" s="164"/>
      <c r="G45" s="164"/>
      <c r="H45" s="164"/>
      <c r="I45" s="164"/>
      <c r="J45" s="164"/>
      <c r="K45" s="164"/>
    </row>
    <row r="46" spans="1:11" ht="20.100000000000001" customHeight="1" x14ac:dyDescent="0.2">
      <c r="A46" s="5" t="str">
        <f>HYPERLINK("#'Constants - Solid Waste'!A1", "Constants - Solid Waste")</f>
        <v>Constants - Solid Waste</v>
      </c>
    </row>
    <row r="47" spans="1:11" ht="20.100000000000001" customHeight="1" x14ac:dyDescent="0.2">
      <c r="A47" s="5" t="str">
        <f>HYPERLINK("#'Constants - Common'!A1", "Constants - Common")</f>
        <v>Constants - Common</v>
      </c>
      <c r="D47" s="2" t="s">
        <v>1159</v>
      </c>
    </row>
    <row r="48" spans="1:11" ht="20.100000000000001" customHeight="1" x14ac:dyDescent="0.2">
      <c r="A48" s="5" t="str">
        <f>HYPERLINK("#'Constants - Common Livestock'!A1", "Constants - Common Livestock")</f>
        <v>Constants - Common Livestock</v>
      </c>
      <c r="D48" s="17" t="s">
        <v>1160</v>
      </c>
    </row>
    <row r="49" spans="1:9" ht="20.100000000000001" customHeight="1" x14ac:dyDescent="0.2">
      <c r="D49" s="134"/>
      <c r="E49" s="134"/>
    </row>
    <row r="52" spans="1:9" ht="20.100000000000001" customHeight="1" x14ac:dyDescent="0.2">
      <c r="D52" s="77" t="s">
        <v>371</v>
      </c>
      <c r="E52" s="1" t="s">
        <v>1161</v>
      </c>
    </row>
    <row r="53" spans="1:9" ht="20.100000000000001" customHeight="1" x14ac:dyDescent="0.2">
      <c r="D53" s="77" t="s">
        <v>118</v>
      </c>
      <c r="E53" s="9" t="s">
        <v>1029</v>
      </c>
    </row>
    <row r="55" spans="1:9" ht="20.100000000000001" customHeight="1" x14ac:dyDescent="0.2">
      <c r="D55" s="150" t="s">
        <v>1091</v>
      </c>
      <c r="E55" s="147" t="s">
        <v>1162</v>
      </c>
      <c r="F55" s="159"/>
      <c r="G55" s="150" t="s">
        <v>1029</v>
      </c>
      <c r="H55" s="142" t="s">
        <v>1102</v>
      </c>
      <c r="I55" s="143" t="str" cm="1">
        <f t="array" aca="1" ref="I55" ca="1">HYPERLINK(Common_InputFunctions.Utility_SourceHyperlink(D62), D62)</f>
        <v>Table_M_leach_organic_j</v>
      </c>
    </row>
    <row r="56" spans="1:9" ht="20.100000000000001" customHeight="1" x14ac:dyDescent="0.2">
      <c r="D56" s="150" t="s">
        <v>1153</v>
      </c>
      <c r="E56" s="147" t="s">
        <v>1154</v>
      </c>
      <c r="F56" s="159"/>
      <c r="G56" s="150" t="s">
        <v>1120</v>
      </c>
      <c r="H56" s="142" t="s">
        <v>1036</v>
      </c>
      <c r="I56" s="15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
      <c r="D57" s="150" t="s">
        <v>1155</v>
      </c>
      <c r="E57" s="147" t="s">
        <v>1156</v>
      </c>
      <c r="F57" s="159"/>
      <c r="G57" s="150" t="s">
        <v>1120</v>
      </c>
      <c r="H57" s="142" t="s">
        <v>1036</v>
      </c>
      <c r="I57" s="150">
        <f>Fertiliser_FracLEACH_Data</f>
        <v>0.24</v>
      </c>
    </row>
    <row r="58" spans="1:9" ht="20.100000000000001" customHeight="1" x14ac:dyDescent="0.2">
      <c r="D58" s="150" t="s">
        <v>1056</v>
      </c>
      <c r="E58" s="147" t="s">
        <v>1157</v>
      </c>
      <c r="F58" s="159"/>
      <c r="G58" s="150"/>
      <c r="H58" s="141" t="s">
        <v>1034</v>
      </c>
      <c r="I58" s="150" t="str">
        <f>X_Cell_Site_LeachingZone</f>
        <v>NO - Not in leaching zone</v>
      </c>
    </row>
    <row r="59" spans="1:9" ht="20.100000000000001" customHeight="1" x14ac:dyDescent="0.2">
      <c r="A59" s="81" t="str">
        <f>HYPERLINK("#A1", "▲ Back to top")</f>
        <v>▲ Back to top</v>
      </c>
      <c r="D59" s="150" t="s">
        <v>1053</v>
      </c>
      <c r="E59" s="147" t="s">
        <v>1158</v>
      </c>
      <c r="F59" s="159"/>
      <c r="G59" s="150"/>
      <c r="H59" s="141" t="s">
        <v>1034</v>
      </c>
      <c r="I59" s="150" t="str">
        <f>X_Cell_Fertiliser_ProductionSystem</f>
        <v>Crop</v>
      </c>
    </row>
    <row r="60" spans="1:9" ht="20.100000000000001" customHeight="1" x14ac:dyDescent="0.2">
      <c r="D60" s="150" t="s">
        <v>1054</v>
      </c>
      <c r="E60" s="147" t="s">
        <v>1055</v>
      </c>
      <c r="F60" s="159"/>
      <c r="G60" s="150"/>
      <c r="H60" s="141" t="s">
        <v>1034</v>
      </c>
      <c r="I60" s="150" t="str">
        <f>X_Cell_Fertiliser_IrrigationMethod</f>
        <v>Sprinkler irrigation</v>
      </c>
    </row>
    <row r="62" spans="1:9" ht="20.100000000000001" customHeight="1" x14ac:dyDescent="0.2">
      <c r="D62" s="135" t="s">
        <v>454</v>
      </c>
    </row>
    <row r="63" spans="1:9" ht="20.100000000000001" customHeight="1" x14ac:dyDescent="0.2">
      <c r="D63" s="136" t="s">
        <v>455</v>
      </c>
    </row>
    <row r="64" spans="1:9" ht="20.100000000000001" customHeight="1" x14ac:dyDescent="0.2">
      <c r="D64" s="80" t="s">
        <v>416</v>
      </c>
      <c r="E64" s="165" t="s">
        <v>420</v>
      </c>
      <c r="F64" s="138" t="s">
        <v>456</v>
      </c>
    </row>
    <row r="65" spans="3:11" ht="20.100000000000001" customHeight="1" x14ac:dyDescent="0.2">
      <c r="D65" s="15" t="str">
        <f>INDEX(Table_MNSoil_j_f,2,1)</f>
        <v>Manure - Other</v>
      </c>
      <c r="E65" s="15">
        <f>INDEX(Table_MNSoil_j_f,2,6)</f>
        <v>3000</v>
      </c>
      <c r="F65" s="15">
        <f>(E65 * $I$56 * $I$57)</f>
        <v>720</v>
      </c>
    </row>
    <row r="66" spans="3:11" ht="20.100000000000001" customHeight="1" x14ac:dyDescent="0.2">
      <c r="D66" s="15" t="str">
        <f>INDEX(Table_MNSoil_j_f,3,1)</f>
        <v>Manure - Poultry</v>
      </c>
      <c r="E66" s="15">
        <f>INDEX(Table_MNSoil_j_f,3,6)</f>
        <v>2500</v>
      </c>
      <c r="F66" s="15">
        <f>(E66 * $I$56 * $I$57)</f>
        <v>600</v>
      </c>
    </row>
    <row r="67" spans="3:11" ht="20.100000000000001" customHeight="1" x14ac:dyDescent="0.2">
      <c r="D67" s="15" t="str">
        <f>INDEX(Table_MNSoil_j_f,4,1)</f>
        <v>Other organic fertiliser</v>
      </c>
      <c r="E67" s="15">
        <f>INDEX(Table_MNSoil_j_f,4,6)</f>
        <v>1600</v>
      </c>
      <c r="F67" s="15">
        <f>(E67 * $I$56 * $I$57)</f>
        <v>384</v>
      </c>
    </row>
    <row r="68" spans="3:11" ht="20.100000000000001" customHeight="1" x14ac:dyDescent="0.2">
      <c r="D68" s="15">
        <f>'5.2.1.1-2 Organic Fert N2O'!D23</f>
        <v>0</v>
      </c>
      <c r="E68" s="15">
        <f>'5.2.1.1-2 Organic Fert N2O'!I23</f>
        <v>0</v>
      </c>
      <c r="F68" s="15">
        <f>(E68 * $I$56 * $I$57)</f>
        <v>0</v>
      </c>
    </row>
    <row r="69" spans="3:11" ht="20.100000000000001" customHeight="1" x14ac:dyDescent="0.2">
      <c r="D69" s="15">
        <f>'5.2.1.1-2 Organic Fert N2O'!D24</f>
        <v>0</v>
      </c>
      <c r="E69" s="15">
        <f>'5.2.1.1-2 Organic Fert N2O'!I24</f>
        <v>0</v>
      </c>
      <c r="F69" s="15">
        <f>(E69 * $I$56 * $I$57)</f>
        <v>0</v>
      </c>
    </row>
    <row r="70" spans="3:11" ht="20.100000000000001" customHeight="1" x14ac:dyDescent="0.2">
      <c r="D70" s="15">
        <f>'5.2.1.1-2 Organic Fert N2O'!D25</f>
        <v>0</v>
      </c>
      <c r="E70" s="15">
        <f>'5.2.1.1-2 Organic Fert N2O'!I25</f>
        <v>0</v>
      </c>
      <c r="F70" s="15">
        <f>(E70 * $I$56 * $I$57)</f>
        <v>0</v>
      </c>
    </row>
    <row r="71" spans="3:11" ht="20.100000000000001" customHeight="1" x14ac:dyDescent="0.2">
      <c r="D71" s="15">
        <f>'5.2.1.1-2 Organic Fert N2O'!D26</f>
        <v>0</v>
      </c>
      <c r="E71" s="15">
        <f>'5.2.1.1-2 Organic Fert N2O'!I26</f>
        <v>0</v>
      </c>
      <c r="F71" s="15">
        <f>(E71 * $I$56 * $I$57)</f>
        <v>0</v>
      </c>
    </row>
    <row r="72" spans="3:11" ht="20.100000000000001" customHeight="1" x14ac:dyDescent="0.2">
      <c r="D72" s="15">
        <f>'5.2.1.1-2 Organic Fert N2O'!D27</f>
        <v>0</v>
      </c>
      <c r="E72" s="15">
        <f>'5.2.1.1-2 Organic Fert N2O'!I27</f>
        <v>0</v>
      </c>
      <c r="F72" s="15">
        <f>(E72 * $I$56 * $I$57)</f>
        <v>0</v>
      </c>
    </row>
    <row r="73" spans="3:11" ht="20.100000000000001" customHeight="1" x14ac:dyDescent="0.2">
      <c r="D73" s="15">
        <f>'5.2.1.1-2 Organic Fert N2O'!D28</f>
        <v>0</v>
      </c>
      <c r="E73" s="15">
        <f>'5.2.1.1-2 Organic Fert N2O'!I28</f>
        <v>0</v>
      </c>
      <c r="F73" s="15">
        <f>(E73 * $I$56 * $I$57)</f>
        <v>0</v>
      </c>
    </row>
    <row r="74" spans="3:11" ht="20.100000000000001" customHeight="1" x14ac:dyDescent="0.2">
      <c r="D74" s="15">
        <f>'5.2.1.1-2 Organic Fert N2O'!D29</f>
        <v>0</v>
      </c>
      <c r="E74" s="15">
        <f>'5.2.1.1-2 Organic Fert N2O'!I29</f>
        <v>0</v>
      </c>
      <c r="F74" s="15">
        <f>(E74 * $I$56 * $I$57)</f>
        <v>0</v>
      </c>
    </row>
    <row r="75" spans="3:11" ht="20.100000000000001" customHeight="1" x14ac:dyDescent="0.2">
      <c r="D75" s="15">
        <f>'5.2.1.1-2 Organic Fert N2O'!D30</f>
        <v>0</v>
      </c>
      <c r="E75" s="15">
        <f>'5.2.1.1-2 Organic Fert N2O'!I30</f>
        <v>0</v>
      </c>
      <c r="F75" s="15">
        <f>(E75 * $I$56 * $I$57)</f>
        <v>0</v>
      </c>
    </row>
    <row r="77" spans="3:11" ht="20.100000000000001" customHeight="1" x14ac:dyDescent="0.2">
      <c r="D77" s="90" t="s">
        <v>457</v>
      </c>
      <c r="E77" s="85">
        <f>SUM(F65:F75)</f>
        <v>1704</v>
      </c>
      <c r="F77" s="91" t="str">
        <f>$E$53</f>
        <v>kg N</v>
      </c>
    </row>
    <row r="79" spans="3:11" ht="20.100000000000001" customHeight="1" x14ac:dyDescent="0.2">
      <c r="C79" s="164"/>
      <c r="D79" s="164"/>
      <c r="E79" s="164"/>
      <c r="F79" s="164"/>
      <c r="G79" s="164"/>
      <c r="H79" s="164"/>
      <c r="I79" s="164"/>
      <c r="J79" s="164"/>
      <c r="K79" s="164"/>
    </row>
    <row r="81" spans="1:10" ht="20.100000000000001" customHeight="1" x14ac:dyDescent="0.2">
      <c r="D81" s="2" t="s">
        <v>1163</v>
      </c>
    </row>
    <row r="82" spans="1:10" ht="20.100000000000001" customHeight="1" x14ac:dyDescent="0.2">
      <c r="D82" s="17" t="s">
        <v>1164</v>
      </c>
    </row>
    <row r="83" spans="1:10" ht="20.100000000000001" customHeight="1" x14ac:dyDescent="0.2">
      <c r="D83" s="134"/>
      <c r="E83" s="134" t="s">
        <v>1025</v>
      </c>
    </row>
    <row r="86" spans="1:10" ht="20.100000000000001" customHeight="1" x14ac:dyDescent="0.2">
      <c r="D86" s="77" t="s">
        <v>371</v>
      </c>
      <c r="E86" s="1" t="s">
        <v>1165</v>
      </c>
    </row>
    <row r="87" spans="1:10" ht="20.100000000000001" customHeight="1" x14ac:dyDescent="0.2">
      <c r="D87" s="77" t="s">
        <v>118</v>
      </c>
      <c r="E87" s="9" t="s">
        <v>12</v>
      </c>
    </row>
    <row r="89" spans="1:10" ht="20.100000000000001" customHeight="1" x14ac:dyDescent="0.2">
      <c r="A89" s="81" t="str">
        <f>HYPERLINK("#A1", "▲ Back to top")</f>
        <v>▲ Back to top</v>
      </c>
      <c r="D89" s="150" t="s">
        <v>1151</v>
      </c>
      <c r="E89" s="147" t="s">
        <v>1166</v>
      </c>
      <c r="F89" s="158"/>
      <c r="G89" s="159"/>
      <c r="H89" s="150" t="s">
        <v>1029</v>
      </c>
      <c r="I89" s="142" t="s">
        <v>1170</v>
      </c>
      <c r="J89" s="150">
        <f>$E$43</f>
        <v>43877.99856</v>
      </c>
    </row>
    <row r="90" spans="1:10" ht="20.100000000000001" customHeight="1" x14ac:dyDescent="0.2">
      <c r="D90" s="150" t="s">
        <v>1161</v>
      </c>
      <c r="E90" s="147" t="s">
        <v>1167</v>
      </c>
      <c r="F90" s="158"/>
      <c r="G90" s="159"/>
      <c r="H90" s="150" t="s">
        <v>1029</v>
      </c>
      <c r="I90" s="142" t="s">
        <v>1171</v>
      </c>
      <c r="J90" s="150">
        <f>$E$77</f>
        <v>1704</v>
      </c>
    </row>
    <row r="91" spans="1:10" ht="20.100000000000001" customHeight="1" x14ac:dyDescent="0.2">
      <c r="D91" s="150" t="s">
        <v>1168</v>
      </c>
      <c r="E91" s="147" t="s">
        <v>1169</v>
      </c>
      <c r="F91" s="158"/>
      <c r="G91" s="159"/>
      <c r="H91" s="150" t="s">
        <v>1103</v>
      </c>
      <c r="I91" s="142" t="s">
        <v>1036</v>
      </c>
      <c r="J91" s="150">
        <f>Fertiliser_EFLeach_Data</f>
        <v>1.0999999999999999E-2</v>
      </c>
    </row>
    <row r="92" spans="1:10" ht="20.100000000000001" customHeight="1" x14ac:dyDescent="0.2">
      <c r="D92" s="150" t="s">
        <v>1051</v>
      </c>
      <c r="E92" s="147" t="s">
        <v>1052</v>
      </c>
      <c r="F92" s="158"/>
      <c r="G92" s="159"/>
      <c r="H92" s="150"/>
      <c r="I92" s="142" t="s">
        <v>1036</v>
      </c>
      <c r="J92" s="139">
        <f>Common_InputFunctions.Utility_LookupValueInTableNumber("N2O",Table_GasToMolecularConversionFactor[Gas],Table_GasToMolecularConversionFactor[Conversion factor combined])</f>
        <v>1.5714285714285714</v>
      </c>
    </row>
    <row r="94" spans="1:10" ht="20.100000000000001" customHeight="1" x14ac:dyDescent="0.2">
      <c r="D94" s="87" t="s">
        <v>458</v>
      </c>
      <c r="E94" s="88">
        <f>((J89 + J90) * J91 * J92 * 10 ^ -3)</f>
        <v>0.78791740368000007</v>
      </c>
      <c r="F94" s="97" t="str">
        <f>$E$87</f>
        <v>t N2O</v>
      </c>
    </row>
    <row r="96" spans="1:10" ht="20.100000000000001" customHeight="1" x14ac:dyDescent="0.2">
      <c r="D96" s="139" t="str" cm="1">
        <f t="array" ref="D96:E97">Common_Equations.Common_ConvertN2OToCO2e_Arguments()</f>
        <v>EN2O</v>
      </c>
      <c r="E96" s="140" t="str">
        <v>Nitrous oxide emissions (t N2O)</v>
      </c>
      <c r="F96" s="149"/>
      <c r="G96" s="15">
        <v>0</v>
      </c>
    </row>
    <row r="97" spans="4:7" ht="20.100000000000001" customHeight="1" x14ac:dyDescent="0.2">
      <c r="D97" s="139" t="str">
        <v>GWPN2O</v>
      </c>
      <c r="E97" s="140" t="str">
        <v>Global warming potential for nitrous oxide (t CO2-e / t N2O)</v>
      </c>
      <c r="F97" s="149"/>
      <c r="G97" s="15">
        <f>Common_InputFunctions.Utility_LookupValueInTableNumber("N2O",Table_GWPData[Gas],Table_GWPData[CO2-e factor])</f>
        <v>265</v>
      </c>
    </row>
    <row r="99" spans="4:7" ht="20.100000000000001" customHeight="1" x14ac:dyDescent="0.2">
      <c r="D99" s="85" t="s">
        <v>395</v>
      </c>
      <c r="E99" s="85" cm="1">
        <f t="array" ref="E99">Common_Equations.Common_ConvertN2OToCO2e(G96,G97)</f>
        <v>0</v>
      </c>
      <c r="F99" s="91" t="str" cm="1">
        <f t="array" ref="F99">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8DC77-49FA-4DBC-A106-A8084EB37D18}">
  <sheetPr>
    <tabColor rgb="FF008000"/>
  </sheetPr>
  <dimension ref="A1:T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21" customFormat="1" ht="30" customHeight="1" x14ac:dyDescent="0.35">
      <c r="A1" s="10" t="e" vm="1">
        <v>#VALUE!</v>
      </c>
      <c r="C1" s="21" t="s">
        <v>735</v>
      </c>
      <c r="K1"/>
    </row>
    <row r="2" spans="1:20" s="3" customFormat="1" ht="20.100000000000001" customHeight="1" x14ac:dyDescent="0.2">
      <c r="A2"/>
      <c r="K2"/>
    </row>
    <row r="3" spans="1:20"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D5" s="2" t="s">
        <v>1172</v>
      </c>
      <c r="E5" s="8"/>
      <c r="F5" s="8"/>
      <c r="G5" s="8"/>
      <c r="H5" s="8"/>
      <c r="L5" s="8"/>
      <c r="M5" s="2" t="s">
        <v>1174</v>
      </c>
      <c r="N5" s="8"/>
      <c r="O5" s="8"/>
      <c r="P5" s="8"/>
      <c r="Q5" s="8"/>
    </row>
    <row r="6" spans="1:20" ht="20.100000000000001" customHeight="1" x14ac:dyDescent="0.2">
      <c r="D6" s="17" t="s">
        <v>1173</v>
      </c>
      <c r="E6" s="8"/>
      <c r="F6" s="8"/>
      <c r="G6" s="8"/>
      <c r="H6" s="8"/>
      <c r="J6" s="8"/>
      <c r="L6" s="8"/>
      <c r="M6" s="17" t="s">
        <v>1175</v>
      </c>
      <c r="N6" s="8"/>
      <c r="O6" s="8"/>
      <c r="P6" s="8"/>
      <c r="Q6" s="8"/>
    </row>
    <row r="7" spans="1:20" ht="20.100000000000001" customHeight="1" x14ac:dyDescent="0.2">
      <c r="D7" s="134"/>
      <c r="E7" s="134"/>
      <c r="F7" s="8"/>
      <c r="G7" s="8"/>
      <c r="H7" s="8"/>
      <c r="J7" s="8"/>
      <c r="L7" s="8"/>
      <c r="M7" s="134"/>
      <c r="N7" s="134"/>
      <c r="O7" s="8"/>
      <c r="P7" s="8"/>
      <c r="Q7" s="8"/>
    </row>
    <row r="8" spans="1:20" ht="20.100000000000001" customHeight="1" x14ac:dyDescent="0.2">
      <c r="A8" s="7" t="s">
        <v>0</v>
      </c>
      <c r="F8" s="8"/>
      <c r="G8" s="8"/>
      <c r="H8" s="8"/>
      <c r="J8" s="8"/>
      <c r="L8" s="8"/>
      <c r="M8" s="8"/>
      <c r="N8" s="8"/>
      <c r="O8" s="8"/>
      <c r="P8" s="8"/>
      <c r="Q8" s="8"/>
    </row>
    <row r="9" spans="1:20" ht="20.100000000000001" customHeight="1" x14ac:dyDescent="0.2">
      <c r="A9" s="5" t="str">
        <f>HYPERLINK("#'Input - Enterprise'!A1", "Enterprise")</f>
        <v>Enterprise</v>
      </c>
      <c r="D9" s="8"/>
      <c r="E9" s="8"/>
      <c r="F9" s="8"/>
      <c r="G9" s="8"/>
      <c r="H9" s="8"/>
      <c r="J9" s="8"/>
      <c r="L9" s="8"/>
      <c r="M9" s="8"/>
      <c r="N9" s="8"/>
      <c r="O9" s="8"/>
      <c r="P9" s="8"/>
      <c r="Q9" s="8"/>
    </row>
    <row r="10" spans="1:20" ht="20.100000000000001" customHeight="1" x14ac:dyDescent="0.2">
      <c r="A10" s="5" t="str">
        <f>HYPERLINK("#'Input - Site'!A1", "Site")</f>
        <v>Site</v>
      </c>
      <c r="D10" s="77" t="s">
        <v>371</v>
      </c>
      <c r="E10" s="1" t="s">
        <v>1176</v>
      </c>
      <c r="F10" s="8"/>
      <c r="G10" s="8"/>
      <c r="H10" s="8"/>
      <c r="J10" s="8"/>
      <c r="L10" s="8"/>
      <c r="M10" s="8"/>
      <c r="N10" s="8"/>
      <c r="O10" s="8"/>
      <c r="P10" s="8"/>
      <c r="Q10" s="8"/>
    </row>
    <row r="11" spans="1:20" ht="20.100000000000001" customHeight="1" x14ac:dyDescent="0.2">
      <c r="A11" s="5" t="str">
        <f>HYPERLINK("#'Input - Crop'!A1", "Crop")</f>
        <v>Crop</v>
      </c>
      <c r="D11" s="77" t="s">
        <v>118</v>
      </c>
      <c r="E11" s="9" t="s">
        <v>1029</v>
      </c>
      <c r="F11" s="8"/>
      <c r="G11" s="8"/>
      <c r="H11" s="8"/>
      <c r="J11" s="8"/>
      <c r="L11" s="8"/>
      <c r="M11" s="77" t="s">
        <v>371</v>
      </c>
      <c r="N11" s="1" t="s">
        <v>1177</v>
      </c>
      <c r="O11" s="8"/>
      <c r="P11" s="8"/>
      <c r="Q11" s="8"/>
    </row>
    <row r="12" spans="1:20" ht="20.100000000000001" customHeight="1" x14ac:dyDescent="0.2">
      <c r="A12" s="5" t="str">
        <f>HYPERLINK("#'Input - Fert Prod System'!A1", "Fert Prod System")</f>
        <v>Fert Prod System</v>
      </c>
      <c r="D12" s="8"/>
      <c r="E12" s="8"/>
      <c r="F12" s="8"/>
      <c r="G12" s="8"/>
      <c r="J12" s="8"/>
      <c r="L12" s="8"/>
      <c r="M12" s="77" t="s">
        <v>118</v>
      </c>
      <c r="N12" s="9" t="s">
        <v>1120</v>
      </c>
      <c r="O12" s="8"/>
      <c r="P12" s="8"/>
      <c r="Q12" s="8"/>
    </row>
    <row r="13" spans="1:20" ht="20.100000000000001" customHeight="1" x14ac:dyDescent="0.2">
      <c r="A13" s="5" t="str">
        <f>HYPERLINK("#'Input - Fertiliser'!A1", "Fertiliser")</f>
        <v>Fertiliser</v>
      </c>
      <c r="D13" s="150" t="s">
        <v>1178</v>
      </c>
      <c r="E13" s="147" t="s">
        <v>1179</v>
      </c>
      <c r="F13" s="159"/>
      <c r="G13" s="150" t="s">
        <v>370</v>
      </c>
      <c r="H13" s="141" t="s">
        <v>1034</v>
      </c>
      <c r="I13" s="150">
        <f>X_Cell_Crop_TotalProductionOfCrop*10^3</f>
        <v>10000000</v>
      </c>
      <c r="J13" s="8"/>
      <c r="L13" s="8"/>
      <c r="M13" s="8"/>
      <c r="N13" s="8"/>
      <c r="O13" s="8"/>
      <c r="P13" s="8"/>
    </row>
    <row r="14" spans="1:20" ht="20.100000000000001" customHeight="1" x14ac:dyDescent="0.2">
      <c r="A14" s="5" t="str">
        <f>HYPERLINK("#'Input - Fuel'!A1", "Fuel")</f>
        <v>Fuel</v>
      </c>
      <c r="D14" s="150" t="s">
        <v>1180</v>
      </c>
      <c r="E14" s="147" t="s">
        <v>1181</v>
      </c>
      <c r="F14" s="159"/>
      <c r="G14" s="150"/>
      <c r="H14" s="142" t="s">
        <v>1036</v>
      </c>
      <c r="I14" s="150">
        <f>'Input - Crop'!$E$18</f>
        <v>1.5</v>
      </c>
      <c r="J14" s="8"/>
      <c r="L14" s="8"/>
      <c r="M14" s="150" t="s">
        <v>1195</v>
      </c>
      <c r="N14" s="150" t="s">
        <v>1196</v>
      </c>
      <c r="O14" s="150"/>
      <c r="P14" s="141" t="s">
        <v>1034</v>
      </c>
      <c r="Q14" s="221">
        <f>X_Cell_Crop_NumberOfBales</f>
        <v>27500</v>
      </c>
    </row>
    <row r="15" spans="1:20" ht="20.100000000000001" customHeight="1" x14ac:dyDescent="0.2">
      <c r="A15" s="5" t="str">
        <f>HYPERLINK("#'Input - Electricity'!A1", "Electricity")</f>
        <v>Electricity</v>
      </c>
      <c r="D15" s="150" t="s">
        <v>1182</v>
      </c>
      <c r="E15" s="147" t="s">
        <v>1183</v>
      </c>
      <c r="F15" s="159"/>
      <c r="G15" s="150"/>
      <c r="H15" s="142" t="s">
        <v>1036</v>
      </c>
      <c r="I15" s="150" cm="1">
        <f t="array" ref="I15">Common_InputFunctions.Utility_LookupValueInTableNumber($I$21,Table_SourceData_CropAttributes[Crop type],Table_SourceData_CropAttributes[Below-ground: above-ground residue ratio])</f>
        <v>0.28999999999999998</v>
      </c>
      <c r="L15" s="8"/>
      <c r="M15" s="150" t="s">
        <v>1197</v>
      </c>
      <c r="N15" s="150" t="s">
        <v>1198</v>
      </c>
      <c r="O15" s="150" t="s">
        <v>370</v>
      </c>
      <c r="P15" s="141" t="s">
        <v>1034</v>
      </c>
      <c r="Q15" s="150">
        <f>X_Cell_Crop_AverageWeightPerBale</f>
        <v>60</v>
      </c>
    </row>
    <row r="16" spans="1:20" ht="20.100000000000001" customHeight="1" x14ac:dyDescent="0.2">
      <c r="A16" s="5" t="str">
        <f>HYPERLINK("#'Input - Common farm inputs'!A1", "Common farm inputs")</f>
        <v>Common farm inputs</v>
      </c>
      <c r="D16" s="150" t="s">
        <v>1184</v>
      </c>
      <c r="E16" s="147" t="s">
        <v>1185</v>
      </c>
      <c r="F16" s="159"/>
      <c r="G16" s="150" t="s">
        <v>1120</v>
      </c>
      <c r="H16" s="141" t="s">
        <v>1034</v>
      </c>
      <c r="I16" s="150">
        <f>X_Cell_Crop_PercentResidueBurned</f>
        <v>0.3</v>
      </c>
      <c r="L16" s="8"/>
      <c r="M16" s="150" t="s">
        <v>1178</v>
      </c>
      <c r="N16" s="150" t="s">
        <v>1179</v>
      </c>
      <c r="O16" s="150" t="s">
        <v>370</v>
      </c>
      <c r="P16" s="141" t="s">
        <v>1034</v>
      </c>
      <c r="Q16" s="150">
        <f>X_Cell_Crop_TotalProductionOfCrop*10^3</f>
        <v>10000000</v>
      </c>
    </row>
    <row r="17" spans="1:20" ht="20.100000000000001" customHeight="1" x14ac:dyDescent="0.2">
      <c r="A17" s="5" t="str">
        <f>HYPERLINK("#'Input - Crop pasture farm input'!A1", "Crop pasture farm input")</f>
        <v>Crop pasture farm input</v>
      </c>
      <c r="D17" s="150" t="s">
        <v>1177</v>
      </c>
      <c r="E17" s="147" t="s">
        <v>1186</v>
      </c>
      <c r="F17" s="159"/>
      <c r="G17" s="150" t="s">
        <v>1120</v>
      </c>
      <c r="H17" s="142" t="s">
        <v>1036</v>
      </c>
      <c r="I17" s="150" cm="1">
        <f t="array" ref="I17">IF(ISNUMBER(_xlfn.XLOOKUP(1, (Table77[Crop type c]=$I$21)*(Table77[State]=$I$22),Table77[Fraction removed])), _xlfn.XLOOKUP(1, (Table77[Crop type c]=$I$21)*(Table77[State]=$I$22),Table77[Fraction removed]), 0)</f>
        <v>0.11</v>
      </c>
      <c r="L17" s="8"/>
      <c r="M17" s="150" t="s">
        <v>1180</v>
      </c>
      <c r="N17" s="150" t="s">
        <v>1181</v>
      </c>
      <c r="O17" s="150"/>
      <c r="P17" s="142" t="s">
        <v>1036</v>
      </c>
      <c r="Q17" s="150">
        <f>'Input - Crop'!$E$18</f>
        <v>1.5</v>
      </c>
    </row>
    <row r="18" spans="1:20" ht="20.100000000000001" customHeight="1" x14ac:dyDescent="0.2">
      <c r="A18" s="5" t="str">
        <f>HYPERLINK("#'Input - Freight'!A1", "Freight")</f>
        <v>Freight</v>
      </c>
      <c r="D18" s="150" t="s">
        <v>1187</v>
      </c>
      <c r="E18" s="147" t="s">
        <v>1188</v>
      </c>
      <c r="F18" s="159"/>
      <c r="G18" s="150" t="s">
        <v>1193</v>
      </c>
      <c r="H18" s="142" t="s">
        <v>1036</v>
      </c>
      <c r="I18" s="150" cm="1">
        <f t="array" ref="I18">Common_InputFunctions.Utility_LookupValueInTableNumber($I$21,Table_SourceData_CropAttributes[Crop type],Table_SourceData_CropAttributes[Dry matter content])</f>
        <v>0.88</v>
      </c>
      <c r="L18" s="8"/>
      <c r="M18" s="150" t="s">
        <v>1069</v>
      </c>
      <c r="N18" s="150" t="s">
        <v>179</v>
      </c>
      <c r="O18" s="150"/>
      <c r="P18" s="141" t="s">
        <v>1034</v>
      </c>
      <c r="Q18" s="150" t="str">
        <f>X_Cell_Crop_CropType</f>
        <v>Wheat</v>
      </c>
    </row>
    <row r="19" spans="1:20" ht="20.100000000000001" customHeight="1" x14ac:dyDescent="0.2">
      <c r="A19" s="5" t="str">
        <f>HYPERLINK("#'Input - Solid waste'!A1", "Solid waste")</f>
        <v>Solid waste</v>
      </c>
      <c r="D19" s="150" t="s">
        <v>1189</v>
      </c>
      <c r="E19" s="147" t="s">
        <v>1190</v>
      </c>
      <c r="F19" s="159"/>
      <c r="G19" s="150" t="s">
        <v>1194</v>
      </c>
      <c r="H19" s="142" t="s">
        <v>1036</v>
      </c>
      <c r="I19" s="150" cm="1">
        <f t="array" ref="I19">Common_InputFunctions.Utility_LookupValueInTableNumber($I$21,Table_SourceData_CropAttributes[Crop type],Table_SourceData_CropAttributes[N content above-ground])</f>
        <v>6.0000000000000001E-3</v>
      </c>
      <c r="L19" s="8"/>
      <c r="M19" s="8"/>
      <c r="N19" s="8"/>
      <c r="O19" s="8"/>
      <c r="P19" s="8"/>
      <c r="Q19" s="8"/>
    </row>
    <row r="20" spans="1:20" ht="20.100000000000001" customHeight="1" x14ac:dyDescent="0.2">
      <c r="A20" s="5" t="str">
        <f>HYPERLINK("#'Input - Data quality'!A1", "Data quality")</f>
        <v>Data quality</v>
      </c>
      <c r="D20" s="150" t="s">
        <v>1191</v>
      </c>
      <c r="E20" s="147" t="s">
        <v>1192</v>
      </c>
      <c r="F20" s="159"/>
      <c r="G20" s="150" t="s">
        <v>1194</v>
      </c>
      <c r="H20" s="142" t="s">
        <v>1036</v>
      </c>
      <c r="I20" s="150" cm="1">
        <f t="array" ref="I20">Common_InputFunctions.Utility_LookupValueInTableNumber($I$21,Table_SourceData_CropAttributes[Crop type],Table_SourceData_CropAttributes[N content below-ground])</f>
        <v>0.01</v>
      </c>
      <c r="L20" s="8"/>
      <c r="M20" s="90" t="s">
        <v>736</v>
      </c>
      <c r="N20" s="85">
        <f>(IFERROR((Q14 * Q15) / (Q16 * Q17), 0))</f>
        <v>0.11</v>
      </c>
    </row>
    <row r="21" spans="1:20" ht="20.100000000000001" customHeight="1" x14ac:dyDescent="0.2">
      <c r="D21" s="150" t="s">
        <v>1069</v>
      </c>
      <c r="E21" s="147" t="s">
        <v>179</v>
      </c>
      <c r="F21" s="159"/>
      <c r="G21" s="150"/>
      <c r="H21" s="141" t="s">
        <v>1034</v>
      </c>
      <c r="I21" s="150" t="str">
        <f>X_Cell_Crop_CropType</f>
        <v>Wheat</v>
      </c>
      <c r="L21" s="8"/>
      <c r="M21" s="8"/>
      <c r="N21" s="8"/>
      <c r="O21" s="8"/>
      <c r="P21" s="8"/>
      <c r="Q21" s="8"/>
    </row>
    <row r="22" spans="1:20" ht="20.100000000000001" customHeight="1" x14ac:dyDescent="0.2">
      <c r="D22" s="150" t="s">
        <v>98</v>
      </c>
      <c r="E22" s="147" t="s">
        <v>613</v>
      </c>
      <c r="F22" s="159"/>
      <c r="G22" s="150"/>
      <c r="H22" s="141" t="s">
        <v>1034</v>
      </c>
      <c r="I22" s="150" t="str">
        <f>Common_InputFunctions.Utility_ConvertStateCommonNameToAbbreviation(X_Cell_Site_State,Table_AustralianStates[Common Name],Table_AustralianStates[Abbreviation])</f>
        <v>WA</v>
      </c>
      <c r="L22" s="8"/>
      <c r="M22" s="8"/>
      <c r="N22" s="8"/>
      <c r="O22" s="8"/>
      <c r="P22" s="8"/>
      <c r="Q22" s="8"/>
    </row>
    <row r="23" spans="1:20" ht="20.100000000000001" customHeight="1" x14ac:dyDescent="0.2">
      <c r="A23" s="6" t="s">
        <v>2</v>
      </c>
      <c r="D23" s="8"/>
      <c r="E23" s="8"/>
      <c r="F23" s="8"/>
      <c r="G23" s="8"/>
      <c r="H23" s="8"/>
      <c r="L23" s="85"/>
      <c r="M23" s="85"/>
      <c r="N23" s="85"/>
      <c r="O23" s="85"/>
      <c r="P23" s="85"/>
      <c r="Q23" s="85"/>
      <c r="R23" s="85"/>
      <c r="S23" s="85"/>
      <c r="T23" s="85"/>
    </row>
    <row r="24" spans="1:20" ht="20.100000000000001" customHeight="1" x14ac:dyDescent="0.2">
      <c r="A24" s="5" t="str">
        <f>HYPERLINK("#'5.1.1.1-2 Inorganic fert N2O'!A1", "5.1.1.1-2 Inorganic fert N2O")</f>
        <v>5.1.1.1-2 Inorganic fert N2O</v>
      </c>
      <c r="D24" s="90" t="s">
        <v>737</v>
      </c>
      <c r="E24" s="222">
        <f>((I13 * I14 * (1 - I16 - I17) * I18 * I19) + (I13 * I14 * I15 * I18 * I20))</f>
        <v>85008</v>
      </c>
      <c r="F24" s="156" t="str">
        <f>$E$11</f>
        <v>kg N</v>
      </c>
      <c r="M24" s="2" t="s">
        <v>1172</v>
      </c>
      <c r="N24" s="8"/>
      <c r="O24" s="8"/>
      <c r="P24" s="8"/>
      <c r="Q24" s="8"/>
    </row>
    <row r="25" spans="1:20" ht="20.100000000000001" customHeight="1" x14ac:dyDescent="0.2">
      <c r="A25" s="5" t="str">
        <f>HYPERLINK("#'5.1.1.3-4 Inorganic fert CO2'!A1", "5.1.1.3-4 Inorganic fert CO2")</f>
        <v>5.1.1.3-4 Inorganic fert CO2</v>
      </c>
      <c r="D25" s="77"/>
      <c r="E25" s="8"/>
      <c r="F25" s="8"/>
      <c r="G25" s="8"/>
      <c r="H25" s="8"/>
      <c r="L25" s="8"/>
      <c r="M25" s="17" t="s">
        <v>1173</v>
      </c>
      <c r="N25" s="8"/>
      <c r="O25" s="8"/>
      <c r="P25" s="8"/>
      <c r="Q25" s="8"/>
    </row>
    <row r="26" spans="1:20" ht="20.100000000000001" customHeight="1" x14ac:dyDescent="0.2">
      <c r="A26" s="5" t="str">
        <f>HYPERLINK("#'5.2.1.1-2 Organic Fert N2O'!A1", "5.2.1.1-2 Organic fert N2O")</f>
        <v>5.2.1.1-2 Organic fert N2O</v>
      </c>
      <c r="D26" s="8"/>
      <c r="E26" s="8"/>
      <c r="F26" s="8"/>
      <c r="G26" s="8"/>
      <c r="H26" s="8"/>
      <c r="L26" s="8"/>
      <c r="M26" s="134"/>
      <c r="N26" s="134"/>
      <c r="O26" s="8"/>
      <c r="P26" s="8"/>
      <c r="Q26" s="8"/>
    </row>
    <row r="27" spans="1:20" ht="20.100000000000001" customHeight="1" x14ac:dyDescent="0.2">
      <c r="A27" s="5" t="str">
        <f>HYPERLINK("#'5.3.1.1-2 Lime CO2'!A1", "5.3.1.1-2 Lime CO2")</f>
        <v>5.3.1.1-2 Lime CO2</v>
      </c>
      <c r="D27" s="223"/>
      <c r="E27" s="223"/>
      <c r="F27" s="223"/>
      <c r="G27" s="223"/>
      <c r="H27" s="223"/>
      <c r="I27" s="223"/>
      <c r="L27" s="8"/>
      <c r="O27" s="8"/>
      <c r="P27" s="8"/>
      <c r="Q27" s="8"/>
    </row>
    <row r="28" spans="1:20" ht="20.100000000000001" customHeight="1" x14ac:dyDescent="0.2">
      <c r="A28" s="5" t="str">
        <f>HYPERLINK("#'5.4.1.1-4 Atmos deposition'!A1", "5.4.1.1-4 Atmos. deposition")</f>
        <v>5.4.1.1-4 Atmos. deposition</v>
      </c>
      <c r="D28" s="2" t="s">
        <v>1199</v>
      </c>
      <c r="E28" s="8"/>
      <c r="F28" s="8"/>
      <c r="G28" s="8"/>
      <c r="H28" s="8"/>
      <c r="J28" s="8"/>
      <c r="L28" s="8"/>
      <c r="M28" s="8"/>
      <c r="N28" s="8"/>
      <c r="O28" s="8"/>
      <c r="P28" s="8"/>
      <c r="Q28" s="8"/>
    </row>
    <row r="29" spans="1:20" ht="20.100000000000001" customHeight="1" x14ac:dyDescent="0.2">
      <c r="A29" s="5" t="str">
        <f>HYPERLINK("#'5.5.1.1-2 Leaching and runoff'!A1", "5.5.1.1-2 Leaching &amp; runoff")</f>
        <v>5.5.1.1-2 Leaching &amp; runoff</v>
      </c>
      <c r="D29" s="17" t="s">
        <v>1200</v>
      </c>
      <c r="E29" s="8"/>
      <c r="F29" s="8"/>
      <c r="G29" s="8"/>
      <c r="H29" s="8"/>
      <c r="J29" s="8"/>
      <c r="L29" s="8"/>
      <c r="M29" s="77" t="s">
        <v>371</v>
      </c>
      <c r="N29" s="1" t="s">
        <v>1176</v>
      </c>
      <c r="O29" s="8"/>
      <c r="P29" s="8"/>
      <c r="Q29" s="8"/>
    </row>
    <row r="30" spans="1:20" ht="20.100000000000001" customHeight="1" x14ac:dyDescent="0.2">
      <c r="A30" s="144" t="str">
        <f>HYPERLINK("#'6.1.1.1-2 Crop residue N2O'!A1", "6.1.1.1-2 Crop residue N2O")</f>
        <v>6.1.1.1-2 Crop residue N2O</v>
      </c>
      <c r="D30" s="134"/>
      <c r="E30" s="134"/>
      <c r="F30" s="8"/>
      <c r="G30" s="8"/>
      <c r="H30" s="8"/>
      <c r="L30" s="8"/>
      <c r="M30" s="77" t="s">
        <v>118</v>
      </c>
      <c r="N30" s="9" t="s">
        <v>1029</v>
      </c>
      <c r="O30" s="8"/>
      <c r="P30" s="8"/>
      <c r="Q30" s="8"/>
    </row>
    <row r="31" spans="1:20" ht="20.100000000000001" customHeight="1" x14ac:dyDescent="0.2">
      <c r="A31" s="5" t="str">
        <f>HYPERLINK("#'6.3.1.1-2 Leach runoff crop'!A1", "6.3.1.1-2 Leach &amp; runoff (crop)")</f>
        <v>6.3.1.1-2 Leach &amp; runoff (crop)</v>
      </c>
      <c r="F31" s="8"/>
      <c r="G31" s="8"/>
      <c r="H31" s="8"/>
      <c r="J31" s="8"/>
      <c r="L31" s="8"/>
      <c r="M31" s="8"/>
      <c r="N31" s="8"/>
      <c r="O31" s="8"/>
      <c r="P31" s="8"/>
    </row>
    <row r="32" spans="1:20" ht="20.100000000000001" customHeight="1" x14ac:dyDescent="0.2">
      <c r="A32" s="5" t="str">
        <f>HYPERLINK("#'6.4.1.1-2 Residue burning'!A1", "6.4.1.1-2 Residue burning")</f>
        <v>6.4.1.1-2 Residue burning</v>
      </c>
      <c r="D32" s="8"/>
      <c r="E32" s="8"/>
      <c r="F32" s="8"/>
      <c r="G32" s="8"/>
      <c r="H32" s="8"/>
      <c r="J32" s="8"/>
      <c r="L32" s="8"/>
      <c r="M32" s="150" t="s">
        <v>1178</v>
      </c>
      <c r="N32" s="147" t="s">
        <v>1179</v>
      </c>
      <c r="O32" s="159"/>
      <c r="P32" s="150" t="s">
        <v>370</v>
      </c>
      <c r="Q32" s="141" t="s">
        <v>1034</v>
      </c>
      <c r="R32" s="150"/>
    </row>
    <row r="33" spans="1:20" ht="20.100000000000001" customHeight="1" x14ac:dyDescent="0.2">
      <c r="A33" s="5" t="str">
        <f>HYPERLINK("#'8.1.1.1-2 Transport fuel'!A1", "8.1.1.1-2 Transport fuel")</f>
        <v>8.1.1.1-2 Transport fuel</v>
      </c>
      <c r="D33" s="77" t="s">
        <v>371</v>
      </c>
      <c r="E33" s="1" t="s">
        <v>967</v>
      </c>
      <c r="F33" s="8"/>
      <c r="G33" s="8"/>
      <c r="H33" s="8"/>
      <c r="J33" s="8"/>
      <c r="M33" s="150" t="s">
        <v>1180</v>
      </c>
      <c r="N33" s="147" t="s">
        <v>1181</v>
      </c>
      <c r="O33" s="159"/>
      <c r="P33" s="150"/>
      <c r="Q33" s="142" t="s">
        <v>1036</v>
      </c>
      <c r="R33" s="150"/>
    </row>
    <row r="34" spans="1:20" ht="20.100000000000001" customHeight="1" x14ac:dyDescent="0.2">
      <c r="A34" s="5" t="str">
        <f>HYPERLINK("#'8.2.1.1-2 Stationary fuel'!A1", "8.2.1.1-2 Stationary fuel")</f>
        <v>8.2.1.1-2 Stationary fuel</v>
      </c>
      <c r="D34" s="77" t="s">
        <v>118</v>
      </c>
      <c r="E34" s="9" t="s">
        <v>12</v>
      </c>
      <c r="F34" s="8"/>
      <c r="G34" s="8"/>
      <c r="H34" s="8"/>
      <c r="J34" s="8"/>
      <c r="M34" s="150" t="s">
        <v>1182</v>
      </c>
      <c r="N34" s="147" t="s">
        <v>1183</v>
      </c>
      <c r="O34" s="159"/>
      <c r="P34" s="150"/>
      <c r="Q34" s="142" t="s">
        <v>1036</v>
      </c>
      <c r="R34" s="150"/>
    </row>
    <row r="35" spans="1:20" ht="20.100000000000001" customHeight="1" x14ac:dyDescent="0.2">
      <c r="A35" s="5" t="str">
        <f>HYPERLINK("#'10.1.1-2 Solid waste treatment'!A1", "10.1.1.1-2 Solid waste")</f>
        <v>10.1.1.1-2 Solid waste</v>
      </c>
      <c r="D35" s="8"/>
      <c r="E35" s="8"/>
      <c r="F35" s="8"/>
      <c r="G35" s="8"/>
      <c r="H35" s="8"/>
      <c r="J35" s="8"/>
      <c r="M35" s="150" t="s">
        <v>1184</v>
      </c>
      <c r="N35" s="147" t="s">
        <v>1185</v>
      </c>
      <c r="O35" s="159"/>
      <c r="P35" s="150" t="s">
        <v>1120</v>
      </c>
      <c r="Q35" s="141" t="s">
        <v>1034</v>
      </c>
      <c r="R35" s="150"/>
    </row>
    <row r="36" spans="1:20" ht="20.100000000000001" customHeight="1" x14ac:dyDescent="0.2">
      <c r="A36" s="5" t="str">
        <f>HYPERLINK("#'14.1.1-2 Purchased electricity'!A1", "14.1.1-2 Purchased electricity")</f>
        <v>14.1.1-2 Purchased electricity</v>
      </c>
      <c r="D36" s="150" t="s">
        <v>1176</v>
      </c>
      <c r="E36" s="147" t="s">
        <v>1202</v>
      </c>
      <c r="F36" s="159"/>
      <c r="G36" s="150" t="s">
        <v>1029</v>
      </c>
      <c r="H36" s="142" t="s">
        <v>1205</v>
      </c>
      <c r="I36" s="150">
        <f>VEERG_6_1_1_1__2__MassOfNitrogenInCropResidues_Result_Method1</f>
        <v>85008</v>
      </c>
      <c r="J36" s="8"/>
      <c r="M36" s="150" t="s">
        <v>1177</v>
      </c>
      <c r="N36" s="147" t="s">
        <v>1186</v>
      </c>
      <c r="O36" s="159"/>
      <c r="P36" s="150" t="s">
        <v>1120</v>
      </c>
      <c r="Q36" s="142" t="s">
        <v>1201</v>
      </c>
      <c r="R36" s="150">
        <f>VEERG_6_1_1_2__1__FractionOfCropResidueRemovedBaled_Result</f>
        <v>0.11</v>
      </c>
    </row>
    <row r="37" spans="1:20" ht="20.100000000000001" customHeight="1" x14ac:dyDescent="0.2">
      <c r="A37" s="5" t="str">
        <f>HYPERLINK("#'15 Scope 3'!A1", "15 Scope 3")</f>
        <v>15 Scope 3</v>
      </c>
      <c r="D37" s="150" t="s">
        <v>1203</v>
      </c>
      <c r="E37" s="147" t="s">
        <v>1204</v>
      </c>
      <c r="F37" s="159"/>
      <c r="G37" s="150" t="s">
        <v>1103</v>
      </c>
      <c r="H37" s="142" t="s">
        <v>1036</v>
      </c>
      <c r="I37" s="150" cm="1">
        <f t="array" ref="I37">Common_InputFunctions.Utility_LookupValueInTableNumber(I40,Table_SourceData_N2OEFOrganicFert[Climate zone type i],Table_SourceData_N2OEFOrganicFert[EF i N2O])</f>
        <v>5.0000000000000001E-3</v>
      </c>
      <c r="J37" s="8"/>
      <c r="M37" s="150" t="s">
        <v>1187</v>
      </c>
      <c r="N37" s="147" t="s">
        <v>1188</v>
      </c>
      <c r="O37" s="159"/>
      <c r="P37" s="150" t="s">
        <v>1193</v>
      </c>
      <c r="Q37" s="142" t="s">
        <v>1036</v>
      </c>
      <c r="R37" s="150"/>
    </row>
    <row r="38" spans="1:20" ht="20.100000000000001" customHeight="1" x14ac:dyDescent="0.2">
      <c r="D38" s="150" t="s">
        <v>1051</v>
      </c>
      <c r="E38" s="147" t="s">
        <v>1052</v>
      </c>
      <c r="F38" s="159"/>
      <c r="G38" s="150" t="s">
        <v>1206</v>
      </c>
      <c r="H38" s="142" t="s">
        <v>1036</v>
      </c>
      <c r="I38" s="150">
        <f>Common_InputFunctions.Utility_LookupValueInTableNumber("N2O",Table_GasToMolecularConversionFactor[Gas],Table_GasToMolecularConversionFactor[Conversion factor combined])</f>
        <v>1.5714285714285714</v>
      </c>
      <c r="J38" s="8"/>
      <c r="M38" s="150" t="s">
        <v>1189</v>
      </c>
      <c r="N38" s="147" t="s">
        <v>1190</v>
      </c>
      <c r="O38" s="159"/>
      <c r="P38" s="150" t="s">
        <v>1194</v>
      </c>
      <c r="Q38" s="142" t="s">
        <v>1036</v>
      </c>
      <c r="R38" s="150"/>
    </row>
    <row r="39" spans="1:20" ht="20.100000000000001" customHeight="1" x14ac:dyDescent="0.2">
      <c r="D39" s="150" t="s">
        <v>1069</v>
      </c>
      <c r="E39" s="147" t="s">
        <v>179</v>
      </c>
      <c r="F39" s="159"/>
      <c r="G39" s="150"/>
      <c r="H39" s="141" t="s">
        <v>1034</v>
      </c>
      <c r="I39" s="150" t="str">
        <f>X_Cell_Crop_CropType</f>
        <v>Wheat</v>
      </c>
      <c r="J39" s="8"/>
      <c r="M39" s="150" t="s">
        <v>1191</v>
      </c>
      <c r="N39" s="147" t="s">
        <v>1192</v>
      </c>
      <c r="O39" s="159"/>
      <c r="P39" s="150" t="s">
        <v>1194</v>
      </c>
      <c r="Q39" s="142" t="s">
        <v>1036</v>
      </c>
      <c r="R39" s="150"/>
    </row>
    <row r="40" spans="1:20" ht="20.100000000000001" customHeight="1" x14ac:dyDescent="0.2">
      <c r="A40" s="82" t="s">
        <v>1</v>
      </c>
      <c r="D40" s="150" t="s">
        <v>1101</v>
      </c>
      <c r="E40" s="147" t="s">
        <v>114</v>
      </c>
      <c r="F40" s="159"/>
      <c r="G40" s="150"/>
      <c r="H40" s="141" t="s">
        <v>1034</v>
      </c>
      <c r="I40" s="150" t="str">
        <f>X_Cell_Site_WetOrDryClimateZone</f>
        <v>Dry climate zone</v>
      </c>
      <c r="M40" s="150" t="s">
        <v>1069</v>
      </c>
      <c r="N40" s="147" t="s">
        <v>179</v>
      </c>
      <c r="O40" s="159"/>
      <c r="P40" s="150"/>
      <c r="Q40" s="141" t="s">
        <v>1034</v>
      </c>
      <c r="R40" s="150"/>
    </row>
    <row r="41" spans="1:20" ht="20.100000000000001" customHeight="1" x14ac:dyDescent="0.2">
      <c r="A41" s="5" t="str">
        <f>HYPERLINK("#'Constants - Ag Residue'!A1", "Constants - Ag residue")</f>
        <v>Constants - Ag residue</v>
      </c>
      <c r="D41" s="8"/>
      <c r="E41" s="8"/>
      <c r="F41" s="8"/>
      <c r="G41" s="8"/>
      <c r="H41" s="8"/>
      <c r="M41" s="150" t="s">
        <v>98</v>
      </c>
      <c r="N41" s="147" t="s">
        <v>613</v>
      </c>
      <c r="O41" s="159"/>
      <c r="P41" s="150"/>
      <c r="Q41" s="141" t="s">
        <v>1034</v>
      </c>
      <c r="R41" s="150"/>
    </row>
    <row r="42" spans="1:20" ht="20.100000000000001" customHeight="1" x14ac:dyDescent="0.2">
      <c r="A42" s="5" t="str">
        <f>HYPERLINK("#'Constants - Electricity'!A1", "Constants - Electricity")</f>
        <v>Constants - Electricity</v>
      </c>
      <c r="D42" s="87" t="s">
        <v>394</v>
      </c>
      <c r="E42" s="88">
        <f>(I36 * I37 * I38 * 10 ^ (-3))</f>
        <v>0.66792000000000007</v>
      </c>
      <c r="F42" s="97" t="str">
        <f>$E$34</f>
        <v>t N2O</v>
      </c>
      <c r="H42" s="8"/>
      <c r="M42" s="8"/>
      <c r="N42" s="8"/>
      <c r="O42" s="8"/>
      <c r="P42" s="8"/>
      <c r="Q42" s="8"/>
    </row>
    <row r="43" spans="1:20" ht="20.100000000000001" customHeight="1" x14ac:dyDescent="0.2">
      <c r="A43" s="5" t="str">
        <f>HYPERLINK("#'Constants - Fertiliser'!A1", "Constants - Fertiliser")</f>
        <v>Constants - Fertiliser</v>
      </c>
      <c r="H43" s="8"/>
      <c r="M43" s="90" t="s">
        <v>737</v>
      </c>
      <c r="N43" s="222">
        <f>((I13 * I14 * (1 - I16 - R36) * I18 * I19) + (I13 * I14 * I15 * I18 * I20))</f>
        <v>85008</v>
      </c>
      <c r="O43" s="156" t="str">
        <f>$E$11</f>
        <v>kg N</v>
      </c>
    </row>
    <row r="44" spans="1:20" ht="20.100000000000001" customHeight="1" x14ac:dyDescent="0.2">
      <c r="A44" s="5" t="str">
        <f>HYPERLINK("#'Constants - Fuel'!A1", "Constants - Fuel")</f>
        <v>Constants - Fuel</v>
      </c>
      <c r="D44" s="139" t="str" cm="1">
        <f t="array" ref="D44:E45">Common_Equations.Common_ConvertN2OToCO2e_Arguments()</f>
        <v>EN2O</v>
      </c>
      <c r="E44" s="140" t="str">
        <v>Nitrous oxide emissions (t N2O)</v>
      </c>
      <c r="F44" s="149"/>
      <c r="G44" s="15">
        <f>VEERG_6_1_1_1__1__NitrousOxideEmissionsFromCropResidues_Result_Method1</f>
        <v>0.66792000000000007</v>
      </c>
      <c r="M44" s="77"/>
      <c r="N44" s="8"/>
      <c r="O44" s="8"/>
      <c r="P44" s="8"/>
      <c r="Q44" s="8"/>
    </row>
    <row r="45" spans="1:20" ht="20.100000000000001" customHeight="1" x14ac:dyDescent="0.2">
      <c r="A45" s="5" t="str">
        <f>HYPERLINK("#'Constants - Scope 3'!A1", "Constants - Scope 3")</f>
        <v>Constants - Scope 3</v>
      </c>
      <c r="D45" s="139" t="str">
        <v>GWPN2O</v>
      </c>
      <c r="E45" s="140" t="str">
        <v>Global warming potential for nitrous oxide (t CO2-e / t N2O)</v>
      </c>
      <c r="F45" s="149"/>
      <c r="G45" s="15">
        <f>Common_InputFunctions.Utility_LookupValueInTableNumber("N2O",Table_GWPData[Gas],Table_GWPData[CO2-e factor])</f>
        <v>265</v>
      </c>
      <c r="J45" s="8"/>
      <c r="M45" s="8"/>
      <c r="N45" s="8"/>
      <c r="O45" s="8"/>
      <c r="P45" s="8"/>
      <c r="Q45" s="8"/>
    </row>
    <row r="46" spans="1:20" ht="20.100000000000001" customHeight="1" x14ac:dyDescent="0.2">
      <c r="A46" s="5" t="str">
        <f>HYPERLINK("#'Constants - Solid Waste'!A1", "Constants - Solid Waste")</f>
        <v>Constants - Solid Waste</v>
      </c>
      <c r="H46" s="8"/>
      <c r="J46" s="8"/>
      <c r="L46" s="223"/>
      <c r="M46" s="223"/>
      <c r="N46" s="223"/>
      <c r="O46" s="223"/>
      <c r="P46" s="223"/>
      <c r="Q46" s="223"/>
      <c r="R46" s="223"/>
      <c r="S46" s="223"/>
      <c r="T46" s="223"/>
    </row>
    <row r="47" spans="1:20" ht="20.100000000000001" customHeight="1" x14ac:dyDescent="0.2">
      <c r="A47" s="5" t="str">
        <f>HYPERLINK("#'Constants - Common'!A1", "Constants - Common")</f>
        <v>Constants - Common</v>
      </c>
      <c r="D47" s="85" t="s">
        <v>395</v>
      </c>
      <c r="E47" s="85" cm="1">
        <f t="array" ref="E47">Common_Equations.Common_ConvertN2OToCO2e(G44,G45)</f>
        <v>176.99880000000002</v>
      </c>
      <c r="F47" s="91" t="str" cm="1">
        <f t="array" ref="F47">Common_Equations.Common_ConvertN2OToCO2e_Unit()</f>
        <v>t CO2e</v>
      </c>
      <c r="H47" s="8"/>
      <c r="J47" s="8"/>
      <c r="L47" s="8"/>
      <c r="M47" s="2" t="s">
        <v>1199</v>
      </c>
      <c r="N47" s="8"/>
      <c r="O47" s="8"/>
      <c r="P47" s="8"/>
      <c r="Q47" s="8"/>
    </row>
    <row r="48" spans="1:20" ht="20.100000000000001" customHeight="1" x14ac:dyDescent="0.2">
      <c r="A48" s="5" t="str">
        <f>HYPERLINK("#'Constants - Common Livestock'!A1", "Constants - Common Livestock")</f>
        <v>Constants - Common Livestock</v>
      </c>
      <c r="D48" s="8"/>
      <c r="E48" s="8"/>
      <c r="F48" s="224"/>
      <c r="G48" s="8"/>
      <c r="H48" s="8"/>
      <c r="I48" s="8"/>
      <c r="J48" s="8"/>
      <c r="M48" s="17" t="s">
        <v>1200</v>
      </c>
      <c r="N48" s="8"/>
      <c r="O48" s="8"/>
      <c r="P48" s="8"/>
      <c r="Q48" s="8"/>
    </row>
    <row r="49" spans="1:18" ht="20.100000000000001" customHeight="1" x14ac:dyDescent="0.2">
      <c r="J49" s="8"/>
      <c r="L49" s="8"/>
      <c r="M49" s="134"/>
      <c r="N49" s="134"/>
      <c r="O49" s="8"/>
      <c r="P49" s="8"/>
      <c r="Q49" s="8"/>
    </row>
    <row r="50" spans="1:18" ht="20.100000000000001" customHeight="1" x14ac:dyDescent="0.2">
      <c r="J50" s="8"/>
      <c r="L50" s="8"/>
      <c r="O50" s="8"/>
      <c r="P50" s="8"/>
      <c r="Q50" s="8"/>
    </row>
    <row r="51" spans="1:18" ht="20.100000000000001" customHeight="1" x14ac:dyDescent="0.2">
      <c r="J51" s="8"/>
      <c r="L51" s="8"/>
      <c r="M51" s="8"/>
      <c r="N51" s="8"/>
      <c r="O51" s="8"/>
      <c r="P51" s="8"/>
      <c r="Q51" s="8"/>
    </row>
    <row r="52" spans="1:18" ht="20.100000000000001" customHeight="1" x14ac:dyDescent="0.2">
      <c r="J52" s="8"/>
      <c r="L52" s="8"/>
      <c r="M52" s="77" t="s">
        <v>371</v>
      </c>
      <c r="N52" s="1" t="s">
        <v>967</v>
      </c>
      <c r="O52" s="8"/>
      <c r="P52" s="8"/>
      <c r="Q52" s="8"/>
    </row>
    <row r="53" spans="1:18" ht="20.100000000000001" customHeight="1" x14ac:dyDescent="0.2">
      <c r="L53" s="8"/>
      <c r="M53" s="77" t="s">
        <v>118</v>
      </c>
      <c r="N53" s="9" t="s">
        <v>12</v>
      </c>
      <c r="O53" s="8"/>
      <c r="P53" s="8"/>
      <c r="Q53" s="8"/>
    </row>
    <row r="54" spans="1:18" ht="20.100000000000001" customHeight="1" x14ac:dyDescent="0.2">
      <c r="L54" s="8"/>
      <c r="M54" s="8"/>
      <c r="N54" s="8"/>
      <c r="O54" s="8"/>
      <c r="P54" s="8"/>
      <c r="Q54" s="8"/>
    </row>
    <row r="55" spans="1:18" ht="20.100000000000001" customHeight="1" x14ac:dyDescent="0.2">
      <c r="L55" s="8"/>
      <c r="M55" s="150" t="s">
        <v>1176</v>
      </c>
      <c r="N55" s="147" t="s">
        <v>1202</v>
      </c>
      <c r="O55" s="159"/>
      <c r="P55" s="150" t="s">
        <v>1029</v>
      </c>
      <c r="Q55" s="142" t="s">
        <v>1205</v>
      </c>
      <c r="R55" s="150">
        <f>VEERG_6_1_1_1__2__MassOfNitrogenInCropResidues_Result_Method2</f>
        <v>85008</v>
      </c>
    </row>
    <row r="56" spans="1:18" ht="20.100000000000001" customHeight="1" x14ac:dyDescent="0.2">
      <c r="L56" s="8"/>
      <c r="M56" s="150" t="s">
        <v>1203</v>
      </c>
      <c r="N56" s="147" t="s">
        <v>1204</v>
      </c>
      <c r="O56" s="159"/>
      <c r="P56" s="150" t="s">
        <v>1103</v>
      </c>
      <c r="Q56" s="142" t="s">
        <v>1036</v>
      </c>
      <c r="R56" s="150" cm="1">
        <f t="array" ref="R56">Common_InputFunctions.Utility_LookupValueInTableNumber(R59,Table_SourceData_N2OEFOrganicFert[Climate zone type i],Table_SourceData_N2OEFOrganicFert[EF i N2O])</f>
        <v>5.0000000000000001E-3</v>
      </c>
    </row>
    <row r="57" spans="1:18" ht="20.100000000000001" customHeight="1" x14ac:dyDescent="0.2">
      <c r="L57" s="8"/>
      <c r="M57" s="150" t="s">
        <v>1051</v>
      </c>
      <c r="N57" s="147" t="s">
        <v>1052</v>
      </c>
      <c r="O57" s="159"/>
      <c r="P57" s="150" t="s">
        <v>1206</v>
      </c>
      <c r="Q57" s="142" t="s">
        <v>1036</v>
      </c>
      <c r="R57" s="150">
        <f>Common_InputFunctions.Utility_LookupValueInTableNumber("N2O",Table_GasToMolecularConversionFactor[Gas],Table_GasToMolecularConversionFactor[Conversion factor combined])</f>
        <v>1.5714285714285714</v>
      </c>
    </row>
    <row r="58" spans="1:18" ht="20.100000000000001" customHeight="1" x14ac:dyDescent="0.2">
      <c r="L58" s="8"/>
      <c r="M58" s="150" t="s">
        <v>1069</v>
      </c>
      <c r="N58" s="147" t="s">
        <v>179</v>
      </c>
      <c r="O58" s="159"/>
      <c r="P58" s="150"/>
      <c r="Q58" s="141" t="s">
        <v>1034</v>
      </c>
      <c r="R58" s="150" t="str">
        <f>X_Cell_Crop_CropType</f>
        <v>Wheat</v>
      </c>
    </row>
    <row r="59" spans="1:18" ht="20.100000000000001" customHeight="1" x14ac:dyDescent="0.2">
      <c r="A59" s="81" t="str">
        <f>HYPERLINK("#A1", "▲ Back to top")</f>
        <v>▲ Back to top</v>
      </c>
      <c r="L59" s="8"/>
      <c r="M59" s="150" t="s">
        <v>1101</v>
      </c>
      <c r="N59" s="147" t="s">
        <v>114</v>
      </c>
      <c r="O59" s="159"/>
      <c r="P59" s="150"/>
      <c r="Q59" s="141" t="s">
        <v>1034</v>
      </c>
      <c r="R59" s="150" t="str">
        <f>X_Cell_Site_WetOrDryClimateZone</f>
        <v>Dry climate zone</v>
      </c>
    </row>
    <row r="60" spans="1:18" ht="20.100000000000001" customHeight="1" x14ac:dyDescent="0.2">
      <c r="L60" s="8"/>
      <c r="M60" s="8"/>
      <c r="N60" s="8"/>
      <c r="O60" s="8"/>
      <c r="P60" s="8"/>
      <c r="Q60" s="8"/>
    </row>
    <row r="61" spans="1:18" ht="20.100000000000001" customHeight="1" x14ac:dyDescent="0.2">
      <c r="L61" s="8"/>
      <c r="M61" s="87" t="s">
        <v>394</v>
      </c>
      <c r="N61" s="88">
        <f>(R55 * R56 * R57 * 10 ^ (-3))</f>
        <v>0.66792000000000007</v>
      </c>
      <c r="O61" s="97" t="str">
        <f>$E$34</f>
        <v>t N2O</v>
      </c>
      <c r="Q61" s="8"/>
    </row>
    <row r="62" spans="1:18" ht="20.100000000000001" customHeight="1" x14ac:dyDescent="0.2">
      <c r="L62" s="8"/>
      <c r="Q62" s="8"/>
    </row>
    <row r="63" spans="1:18" ht="20.100000000000001" customHeight="1" x14ac:dyDescent="0.2">
      <c r="L63" s="8"/>
      <c r="M63" s="139" t="str" cm="1">
        <f t="array" ref="M63:N64">Common_Equations.Common_ConvertN2OToCO2e_Arguments()</f>
        <v>EN2O</v>
      </c>
      <c r="N63" s="140" t="str">
        <v>Nitrous oxide emissions (t N2O)</v>
      </c>
      <c r="O63" s="149"/>
      <c r="P63" s="15">
        <f>VEERG_6_1_1_1__1__NitrousOxideEmissionsFromCropResidues_Result_Method2</f>
        <v>0.66792000000000007</v>
      </c>
    </row>
    <row r="64" spans="1:18" ht="20.100000000000001" customHeight="1" x14ac:dyDescent="0.2">
      <c r="L64" s="8"/>
      <c r="M64" s="139" t="str">
        <v>GWPN2O</v>
      </c>
      <c r="N64" s="140" t="str">
        <v>Global warming potential for nitrous oxide (t CO2-e / t N2O)</v>
      </c>
      <c r="O64" s="149"/>
      <c r="P64" s="15">
        <f>Common_InputFunctions.Utility_LookupValueInTableNumber("N2O",Table_GWPData[Gas],Table_GWPData[CO2-e factor])</f>
        <v>265</v>
      </c>
    </row>
    <row r="65" spans="12:18" ht="20.100000000000001" customHeight="1" x14ac:dyDescent="0.2">
      <c r="L65" s="8"/>
      <c r="Q65" s="8"/>
    </row>
    <row r="66" spans="12:18" ht="20.100000000000001" customHeight="1" x14ac:dyDescent="0.2">
      <c r="L66" s="8"/>
      <c r="M66" s="85" t="s">
        <v>395</v>
      </c>
      <c r="N66" s="85" cm="1">
        <f t="array" ref="N66">Common_Equations.Common_ConvertN2OToCO2e(P63,P64)</f>
        <v>176.99880000000002</v>
      </c>
      <c r="O66" s="91" t="str" cm="1">
        <f t="array" ref="O66">Common_Equations.Common_ConvertN2OToCO2e_Unit()</f>
        <v>t CO2e</v>
      </c>
      <c r="Q66" s="8"/>
    </row>
    <row r="67" spans="12:18" ht="20.100000000000001" customHeight="1" x14ac:dyDescent="0.2">
      <c r="L67" s="8"/>
      <c r="M67" s="8"/>
      <c r="N67" s="8"/>
      <c r="O67" s="224"/>
      <c r="P67" s="8"/>
      <c r="Q67" s="8"/>
      <c r="R67" s="8"/>
    </row>
    <row r="68" spans="12:18" ht="20.100000000000001" customHeight="1" x14ac:dyDescent="0.2">
      <c r="L68" s="8"/>
    </row>
    <row r="69" spans="12:18" ht="20.100000000000001" customHeight="1" x14ac:dyDescent="0.2">
      <c r="L69" s="8"/>
    </row>
    <row r="86" spans="12:12" ht="20.100000000000001" customHeight="1" x14ac:dyDescent="0.2">
      <c r="L86" s="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S172 O150:R150 E269 N166:S166 O143:S144 E228 O167:S167 G132 I129:I133 F134:I134 F129:F132 H128:H132 G129 F148:I148 I149 F150:I150 R149:S149" xr:uid="{5317FC67-4972-4831-B596-49DAD076747E}"/>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76D2D-D91E-4464-A0EE-12B7868F9DE2}">
  <sheetPr>
    <tabColor rgb="FF008000"/>
  </sheetPr>
  <dimension ref="A1:T6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738</v>
      </c>
    </row>
    <row r="2" spans="1:20" s="3" customFormat="1" ht="20.100000000000001" customHeight="1" x14ac:dyDescent="0.2">
      <c r="A2"/>
    </row>
    <row r="3" spans="1:20" ht="20.100000000000001" customHeight="1" x14ac:dyDescent="0.2">
      <c r="A3" s="5" t="str">
        <f>HYPERLINK("#'Home'!A1", "Home")</f>
        <v>Home</v>
      </c>
      <c r="C3" s="23"/>
      <c r="D3" s="23" t="s">
        <v>130</v>
      </c>
      <c r="E3" s="23"/>
      <c r="F3" s="23"/>
      <c r="G3" s="23"/>
      <c r="H3" s="23"/>
      <c r="I3" s="23"/>
      <c r="J3" s="23"/>
      <c r="K3" s="23"/>
      <c r="M3" s="23"/>
      <c r="N3" s="23" t="s">
        <v>131</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EI")</f>
        <v>Results - Product EI</v>
      </c>
      <c r="C5" s="8"/>
      <c r="D5" s="2" t="s">
        <v>1207</v>
      </c>
      <c r="E5" s="8"/>
      <c r="F5" s="8"/>
      <c r="G5" s="8"/>
      <c r="H5" s="8"/>
      <c r="I5" s="8"/>
      <c r="J5" s="8"/>
      <c r="K5" s="8"/>
    </row>
    <row r="6" spans="1:20" ht="20.100000000000001" customHeight="1" x14ac:dyDescent="0.2">
      <c r="C6" s="8"/>
      <c r="D6" s="17" t="s">
        <v>1208</v>
      </c>
      <c r="E6" s="8"/>
      <c r="F6" s="8"/>
      <c r="G6" s="8"/>
      <c r="H6" s="8"/>
      <c r="I6" s="8"/>
      <c r="J6" s="8"/>
      <c r="K6" s="8"/>
    </row>
    <row r="7" spans="1:20" ht="20.100000000000001" customHeight="1" x14ac:dyDescent="0.2">
      <c r="C7" s="8"/>
      <c r="D7" s="134"/>
      <c r="E7" s="134"/>
      <c r="F7" s="134"/>
      <c r="G7" s="8"/>
      <c r="H7" s="8"/>
      <c r="I7" s="8"/>
      <c r="J7" s="8"/>
      <c r="K7" s="8"/>
    </row>
    <row r="8" spans="1:20" ht="20.100000000000001" customHeight="1" x14ac:dyDescent="0.2">
      <c r="A8" s="7" t="s">
        <v>0</v>
      </c>
      <c r="C8" s="8"/>
      <c r="F8" s="8"/>
      <c r="G8" s="8"/>
      <c r="H8" s="8"/>
      <c r="I8" s="8"/>
      <c r="J8" s="8"/>
      <c r="K8" s="8"/>
    </row>
    <row r="9" spans="1:20" ht="20.100000000000001" customHeight="1" x14ac:dyDescent="0.2">
      <c r="A9" s="5" t="str">
        <f>HYPERLINK("#'Input - Enterprise'!A1", "Enterprise")</f>
        <v>Enterprise</v>
      </c>
      <c r="C9" s="8"/>
      <c r="D9" s="8"/>
      <c r="E9" s="8"/>
      <c r="F9" s="8"/>
      <c r="G9" s="8"/>
      <c r="H9" s="8"/>
      <c r="I9" s="8"/>
      <c r="J9" s="8"/>
      <c r="K9" s="8"/>
    </row>
    <row r="10" spans="1:20" ht="20.100000000000001" customHeight="1" x14ac:dyDescent="0.2">
      <c r="A10" s="5" t="str">
        <f>HYPERLINK("#'Input - Site'!A1", "Site")</f>
        <v>Site</v>
      </c>
      <c r="C10" s="8"/>
      <c r="D10" s="60" t="s">
        <v>371</v>
      </c>
      <c r="E10" s="8" t="s">
        <v>747</v>
      </c>
      <c r="F10" s="8"/>
      <c r="G10" s="17"/>
      <c r="H10" s="8"/>
      <c r="I10" s="8"/>
      <c r="J10" s="8"/>
      <c r="K10" s="8"/>
    </row>
    <row r="11" spans="1:20" ht="20.100000000000001" customHeight="1" x14ac:dyDescent="0.2">
      <c r="A11" s="5" t="str">
        <f>HYPERLINK("#'Input - Crop'!A1", "Crop")</f>
        <v>Crop</v>
      </c>
      <c r="C11" s="8"/>
      <c r="D11" s="60" t="s">
        <v>118</v>
      </c>
      <c r="E11" s="9" t="s">
        <v>1029</v>
      </c>
      <c r="F11" s="8"/>
      <c r="G11" s="8"/>
      <c r="H11" s="8"/>
      <c r="I11" s="8"/>
      <c r="J11" s="8"/>
      <c r="K11" s="8"/>
    </row>
    <row r="12" spans="1:20" ht="20.100000000000001" customHeight="1" x14ac:dyDescent="0.2">
      <c r="A12" s="5" t="str">
        <f>HYPERLINK("#'Input - Fert Prod System'!A1", "Fert Prod System")</f>
        <v>Fert Prod System</v>
      </c>
      <c r="C12" s="8"/>
      <c r="D12" s="8"/>
      <c r="E12" s="8"/>
      <c r="F12" s="8"/>
      <c r="G12" s="8"/>
      <c r="H12" s="8"/>
      <c r="I12" s="8"/>
      <c r="J12" s="8"/>
      <c r="K12" s="8"/>
    </row>
    <row r="13" spans="1:20" ht="20.100000000000001" customHeight="1" x14ac:dyDescent="0.2">
      <c r="A13" s="5" t="str">
        <f>HYPERLINK("#'Input - Fertiliser'!A1", "Fertiliser")</f>
        <v>Fertiliser</v>
      </c>
      <c r="C13" s="8"/>
      <c r="D13" s="150" t="s">
        <v>744</v>
      </c>
      <c r="E13" s="147" t="s">
        <v>1209</v>
      </c>
      <c r="F13" s="158"/>
      <c r="G13" s="159"/>
      <c r="H13" s="150" t="s">
        <v>1029</v>
      </c>
      <c r="I13" s="142" t="s">
        <v>1216</v>
      </c>
      <c r="J13" s="143" t="str" cm="1">
        <f t="array" aca="1" ref="J13" ca="1">HYPERLINK(Common_InputFunctions.Utility_SourceHyperlink($D$21), $D$21)</f>
        <v>M1_Table_M_leach_cp</v>
      </c>
      <c r="K13" s="8"/>
    </row>
    <row r="14" spans="1:20" ht="20.100000000000001" customHeight="1" x14ac:dyDescent="0.2">
      <c r="A14" s="5" t="str">
        <f>HYPERLINK("#'Input - Fuel'!A1", "Fuel")</f>
        <v>Fuel</v>
      </c>
      <c r="C14" s="8"/>
      <c r="D14" s="150" t="s">
        <v>746</v>
      </c>
      <c r="E14" s="147" t="s">
        <v>1210</v>
      </c>
      <c r="F14" s="158"/>
      <c r="G14" s="159"/>
      <c r="H14" s="150" t="s">
        <v>1120</v>
      </c>
      <c r="I14" s="142" t="s">
        <v>1036</v>
      </c>
      <c r="J14" s="143" t="str" cm="1">
        <f t="array" aca="1" ref="J14" ca="1">HYPERLINK(Common_InputFunctions.Utility_SourceHyperlink($D$21), $D$21)</f>
        <v>M1_Table_M_leach_cp</v>
      </c>
      <c r="K14" s="8"/>
    </row>
    <row r="15" spans="1:20" ht="20.100000000000001" customHeight="1" x14ac:dyDescent="0.2">
      <c r="A15" s="5" t="str">
        <f>HYPERLINK("#'Input - Electricity'!A1", "Electricity")</f>
        <v>Electricity</v>
      </c>
      <c r="C15" s="8"/>
      <c r="D15" s="150" t="s">
        <v>1155</v>
      </c>
      <c r="E15" s="147" t="s">
        <v>1156</v>
      </c>
      <c r="F15" s="158"/>
      <c r="G15" s="159"/>
      <c r="H15" s="150" t="s">
        <v>1120</v>
      </c>
      <c r="I15" s="142" t="s">
        <v>1036</v>
      </c>
      <c r="J15" s="150">
        <f>'Constants - Common'!$E$164</f>
        <v>0.24</v>
      </c>
      <c r="K15" s="8"/>
    </row>
    <row r="16" spans="1:20" ht="20.100000000000001" customHeight="1" x14ac:dyDescent="0.2">
      <c r="A16" s="5" t="str">
        <f>HYPERLINK("#'Input - Common farm inputs'!A1", "Common farm inputs")</f>
        <v>Common farm inputs</v>
      </c>
      <c r="C16" s="8"/>
      <c r="D16" s="150" t="s">
        <v>1056</v>
      </c>
      <c r="E16" s="147" t="s">
        <v>1211</v>
      </c>
      <c r="F16" s="158"/>
      <c r="G16" s="159"/>
      <c r="H16" s="150"/>
      <c r="I16" s="141" t="s">
        <v>1034</v>
      </c>
      <c r="J16" s="143" t="str" cm="1">
        <f t="array" aca="1" ref="J16" ca="1">HYPERLINK(Common_InputFunctions.Utility_SourceHyperlink($D$21), $D$21)</f>
        <v>M1_Table_M_leach_cp</v>
      </c>
      <c r="K16" s="8"/>
    </row>
    <row r="17" spans="1:20" ht="20.100000000000001" customHeight="1" x14ac:dyDescent="0.2">
      <c r="A17" s="5" t="str">
        <f>HYPERLINK("#'Input - Crop pasture farm input'!A1", "Crop pasture farm input")</f>
        <v>Crop pasture farm input</v>
      </c>
      <c r="C17" s="8"/>
      <c r="D17" s="150" t="s">
        <v>1069</v>
      </c>
      <c r="E17" s="147" t="s">
        <v>1212</v>
      </c>
      <c r="F17" s="158"/>
      <c r="G17" s="159"/>
      <c r="H17" s="150"/>
      <c r="I17" s="141" t="s">
        <v>1034</v>
      </c>
      <c r="J17" s="150" t="str">
        <f>X_Cell_Crop_CropType</f>
        <v>Wheat</v>
      </c>
      <c r="K17" s="8"/>
    </row>
    <row r="18" spans="1:20" ht="20.100000000000001" customHeight="1" x14ac:dyDescent="0.2">
      <c r="A18" s="5" t="str">
        <f>HYPERLINK("#'Input - Freight'!A1", "Freight")</f>
        <v>Freight</v>
      </c>
      <c r="C18" s="8"/>
      <c r="D18" s="150" t="s">
        <v>1213</v>
      </c>
      <c r="E18" s="147" t="s">
        <v>1214</v>
      </c>
      <c r="F18" s="158"/>
      <c r="G18" s="159"/>
      <c r="H18" s="150"/>
      <c r="I18" s="141" t="s">
        <v>1034</v>
      </c>
      <c r="J18" s="150" t="s">
        <v>124</v>
      </c>
      <c r="K18" s="8"/>
    </row>
    <row r="19" spans="1:20" ht="20.100000000000001" customHeight="1" x14ac:dyDescent="0.2">
      <c r="A19" s="5" t="str">
        <f>HYPERLINK("#'Input - Solid waste'!A1", "Solid waste")</f>
        <v>Solid waste</v>
      </c>
      <c r="C19" s="8"/>
      <c r="D19" s="150" t="s">
        <v>1054</v>
      </c>
      <c r="E19" s="147" t="s">
        <v>1215</v>
      </c>
      <c r="F19" s="158"/>
      <c r="G19" s="159"/>
      <c r="H19" s="150"/>
      <c r="I19" s="141" t="s">
        <v>1034</v>
      </c>
      <c r="J19" s="143" t="str" cm="1">
        <f t="array" aca="1" ref="J19" ca="1">HYPERLINK(Common_InputFunctions.Utility_SourceHyperlink($D$21), $D$21)</f>
        <v>M1_Table_M_leach_cp</v>
      </c>
      <c r="K19" s="8"/>
    </row>
    <row r="20" spans="1:20" ht="20.100000000000001" customHeight="1" x14ac:dyDescent="0.2">
      <c r="A20" s="5" t="str">
        <f>HYPERLINK("#'Input - Data quality'!A1", "Data quality")</f>
        <v>Data quality</v>
      </c>
      <c r="C20" s="8"/>
      <c r="D20" s="8"/>
      <c r="E20" s="8"/>
      <c r="F20" s="8"/>
      <c r="G20" s="8"/>
      <c r="H20" s="8"/>
      <c r="I20" s="8"/>
      <c r="J20" s="8"/>
      <c r="K20" s="8"/>
    </row>
    <row r="21" spans="1:20" ht="20.100000000000001" customHeight="1" x14ac:dyDescent="0.2">
      <c r="C21" s="8"/>
      <c r="D21" s="135" t="s">
        <v>739</v>
      </c>
      <c r="E21" s="8"/>
      <c r="F21" s="8"/>
      <c r="G21" s="8"/>
      <c r="H21" s="8"/>
      <c r="I21" s="8"/>
      <c r="J21" s="8"/>
      <c r="K21" s="8"/>
      <c r="N21" s="135" t="s">
        <v>740</v>
      </c>
      <c r="O21" s="8"/>
      <c r="P21" s="8"/>
      <c r="Q21" s="8"/>
      <c r="R21" s="8"/>
      <c r="S21" s="8"/>
    </row>
    <row r="22" spans="1:20" ht="20.100000000000001" customHeight="1" x14ac:dyDescent="0.2">
      <c r="C22" s="8"/>
      <c r="D22" s="136" t="s">
        <v>741</v>
      </c>
      <c r="E22" s="8"/>
      <c r="F22" s="8"/>
      <c r="G22" s="8"/>
      <c r="H22" s="8"/>
      <c r="I22" s="8"/>
      <c r="J22" s="8"/>
      <c r="K22" s="8"/>
      <c r="N22" s="136" t="s">
        <v>742</v>
      </c>
      <c r="O22" s="8"/>
      <c r="P22" s="8"/>
      <c r="Q22" s="8"/>
      <c r="R22" s="8"/>
      <c r="S22" s="8"/>
    </row>
    <row r="23" spans="1:20" ht="20.100000000000001" customHeight="1" x14ac:dyDescent="0.2">
      <c r="A23" s="6" t="s">
        <v>2</v>
      </c>
      <c r="C23" s="8"/>
      <c r="D23" s="80" t="s">
        <v>743</v>
      </c>
      <c r="E23" s="138" t="s">
        <v>744</v>
      </c>
      <c r="F23" s="80" t="s">
        <v>745</v>
      </c>
      <c r="G23" s="80" t="s">
        <v>103</v>
      </c>
      <c r="H23" s="138" t="s">
        <v>746</v>
      </c>
      <c r="I23" s="138" t="s">
        <v>747</v>
      </c>
      <c r="J23" s="8"/>
      <c r="K23" s="8"/>
      <c r="N23" s="80" t="s">
        <v>743</v>
      </c>
      <c r="O23" s="138" t="s">
        <v>744</v>
      </c>
      <c r="P23" s="80" t="s">
        <v>745</v>
      </c>
      <c r="Q23" s="80" t="s">
        <v>103</v>
      </c>
      <c r="R23" s="138" t="s">
        <v>746</v>
      </c>
      <c r="S23" s="138" t="s">
        <v>747</v>
      </c>
    </row>
    <row r="24" spans="1:20" ht="20.100000000000001" customHeight="1" x14ac:dyDescent="0.2">
      <c r="A24" s="5" t="str">
        <f>HYPERLINK("#'5.1.1.1-2 Inorganic fert N2O'!A1", "5.1.1.1-2 Inorganic fert N2O")</f>
        <v>5.1.1.1-2 Inorganic fert N2O</v>
      </c>
      <c r="D24" s="15" t="s">
        <v>178</v>
      </c>
      <c r="E24" s="15">
        <f>VEERG_6_1_1_1__2__MassOfNitrogenInCropResidues_Result_Method1</f>
        <v>85008</v>
      </c>
      <c r="F24" s="15" t="str">
        <f>X_Cell_Crop_IrrigationMethod</f>
        <v>Sprinkler irrigation</v>
      </c>
      <c r="G24" s="15" t="str">
        <f>X_Cell_Site_LeachingZone</f>
        <v>NO - Not in leaching zone</v>
      </c>
      <c r="H24" s="15">
        <f>CommonCropping_InputFunctions.CommonCropping_GetFracWET(G24,F24,Table_SourceData_FracWET[Is in leaching zone],Table_SourceData_FracWET[FracWET], Table_SourceData_FracWETIrrigation[Irrigation type i],Table_SourceData_FracWETIrrigation[FracWET])</f>
        <v>1</v>
      </c>
      <c r="I24" s="15">
        <f>(E24 * H24 * $J$15)</f>
        <v>20401.919999999998</v>
      </c>
      <c r="N24" s="15"/>
      <c r="O24" s="15">
        <f>VEERG_6_1_1_1__2__MassOfNitrogenInCropResidues_Result_Method2</f>
        <v>85008</v>
      </c>
      <c r="P24" s="15"/>
      <c r="Q24" s="15"/>
      <c r="R24" s="15"/>
      <c r="S24" s="15">
        <f>(O24 * H24 * $J$15)</f>
        <v>20401.919999999998</v>
      </c>
    </row>
    <row r="25" spans="1:20" ht="20.100000000000001" customHeight="1" x14ac:dyDescent="0.2">
      <c r="A25" s="5" t="str">
        <f>HYPERLINK("#'5.1.1.3-4 Inorganic fert CO2'!A1", "5.1.1.3-4 Inorganic fert CO2")</f>
        <v>5.1.1.3-4 Inorganic fert CO2</v>
      </c>
      <c r="D25" s="15" t="s">
        <v>469</v>
      </c>
      <c r="E25" s="15" t="s">
        <v>124</v>
      </c>
      <c r="F25" s="15" t="s">
        <v>124</v>
      </c>
      <c r="G25" s="15" t="s">
        <v>124</v>
      </c>
      <c r="H25" s="15" t="s">
        <v>124</v>
      </c>
      <c r="I25" s="15" t="s">
        <v>124</v>
      </c>
      <c r="N25" s="15"/>
      <c r="O25" s="15" t="s">
        <v>124</v>
      </c>
      <c r="P25" s="15"/>
      <c r="Q25" s="15"/>
      <c r="R25" s="15"/>
      <c r="S25" s="15" t="s">
        <v>124</v>
      </c>
    </row>
    <row r="26" spans="1:20" ht="20.100000000000001" customHeight="1" x14ac:dyDescent="0.2">
      <c r="A26" s="5" t="str">
        <f>HYPERLINK("#'5.2.1.1-2 Organic Fert N2O'!A1", "5.2.1.1-2 Organic fert N2O")</f>
        <v>5.2.1.1-2 Organic fert N2O</v>
      </c>
    </row>
    <row r="27" spans="1:20" ht="20.100000000000001" customHeight="1" x14ac:dyDescent="0.2">
      <c r="A27" s="5" t="str">
        <f>HYPERLINK("#'5.3.1.1-2 Lime CO2'!A1", "5.3.1.1-2 Lime CO2")</f>
        <v>5.3.1.1-2 Lime CO2</v>
      </c>
      <c r="C27" s="223"/>
      <c r="D27" s="223"/>
      <c r="E27" s="223"/>
      <c r="F27" s="223"/>
      <c r="G27" s="223"/>
      <c r="H27" s="223"/>
      <c r="I27" s="223"/>
      <c r="J27" s="223"/>
      <c r="K27" s="223"/>
      <c r="M27" s="223"/>
      <c r="N27" s="223"/>
      <c r="O27" s="223"/>
      <c r="P27" s="223"/>
      <c r="Q27" s="223"/>
      <c r="R27" s="223"/>
      <c r="S27" s="223"/>
      <c r="T27" s="223"/>
    </row>
    <row r="28" spans="1:20" ht="20.100000000000001" customHeight="1" x14ac:dyDescent="0.2">
      <c r="A28" s="5" t="str">
        <f>HYPERLINK("#'5.4.1.1-4 Atmos deposition'!A1", "5.4.1.1-4 Atmos. deposition")</f>
        <v>5.4.1.1-4 Atmos. deposition</v>
      </c>
      <c r="C28" s="8"/>
      <c r="D28" s="2" t="s">
        <v>1217</v>
      </c>
      <c r="E28" s="8"/>
      <c r="F28" s="225"/>
      <c r="G28" s="8"/>
      <c r="H28" s="8"/>
      <c r="I28" s="8"/>
      <c r="J28" s="8"/>
      <c r="K28" s="8"/>
    </row>
    <row r="29" spans="1:20" ht="20.100000000000001" customHeight="1" x14ac:dyDescent="0.2">
      <c r="A29" s="5" t="str">
        <f>HYPERLINK("#'5.5.1.1-2 Leaching and runoff'!A1", "5.5.1.1-2 Leaching &amp; runoff")</f>
        <v>5.5.1.1-2 Leaching &amp; runoff</v>
      </c>
      <c r="C29" s="8"/>
      <c r="D29" s="17" t="s">
        <v>1218</v>
      </c>
      <c r="E29" s="8"/>
      <c r="F29" s="8"/>
      <c r="G29" s="8"/>
      <c r="H29" s="8"/>
      <c r="I29" s="8"/>
      <c r="J29" s="8"/>
      <c r="K29" s="8"/>
    </row>
    <row r="30" spans="1:20" ht="20.100000000000001" customHeight="1" x14ac:dyDescent="0.2">
      <c r="A30" s="5" t="str">
        <f>HYPERLINK("#'6.1.1.1-2 Crop residue N2O'!A1", "6.1.1.1-2 Crop residue N2O")</f>
        <v>6.1.1.1-2 Crop residue N2O</v>
      </c>
      <c r="C30" s="8"/>
      <c r="D30" s="134"/>
      <c r="E30" s="134"/>
      <c r="F30" s="8"/>
      <c r="G30" s="8"/>
      <c r="H30" s="8"/>
      <c r="I30" s="8"/>
      <c r="J30" s="8"/>
      <c r="K30" s="8"/>
    </row>
    <row r="31" spans="1:20" ht="20.100000000000001" customHeight="1" x14ac:dyDescent="0.2">
      <c r="A31" s="144" t="str">
        <f>HYPERLINK("#'6.3.1.1-2 Leach runoff crop'!A1", "6.3.1.1-2 Leach &amp; runoff (crop)")</f>
        <v>6.3.1.1-2 Leach &amp; runoff (crop)</v>
      </c>
      <c r="C31" s="8"/>
      <c r="D31" s="8"/>
      <c r="E31" s="8"/>
      <c r="F31" s="8"/>
      <c r="G31" s="8"/>
      <c r="H31" s="8"/>
      <c r="I31" s="8"/>
      <c r="J31" s="8"/>
      <c r="K31" s="8"/>
    </row>
    <row r="32" spans="1:20" ht="20.100000000000001" customHeight="1" x14ac:dyDescent="0.2">
      <c r="A32" s="5" t="str">
        <f>HYPERLINK("#'6.4.1.1-2 Residue burning'!A1", "6.4.1.1-2 Residue burning")</f>
        <v>6.4.1.1-2 Residue burning</v>
      </c>
      <c r="C32" s="8"/>
      <c r="D32" s="8"/>
      <c r="E32" s="8"/>
      <c r="F32" s="17"/>
      <c r="G32" s="8"/>
      <c r="H32" s="8"/>
      <c r="I32" s="8"/>
      <c r="J32" s="8"/>
      <c r="K32" s="8"/>
    </row>
    <row r="33" spans="1:17" ht="20.100000000000001" customHeight="1" x14ac:dyDescent="0.2">
      <c r="A33" s="5" t="str">
        <f>HYPERLINK("#'8.1.1.1-2 Transport fuel'!A1", "8.1.1.1-2 Transport fuel")</f>
        <v>8.1.1.1-2 Transport fuel</v>
      </c>
      <c r="C33" s="8"/>
      <c r="D33" s="60" t="s">
        <v>371</v>
      </c>
      <c r="E33" s="8" t="s">
        <v>1219</v>
      </c>
      <c r="F33" s="8"/>
      <c r="G33" s="8"/>
      <c r="H33" s="8"/>
      <c r="I33" s="8"/>
      <c r="J33" s="8"/>
      <c r="K33" s="8"/>
    </row>
    <row r="34" spans="1:17" ht="20.100000000000001" customHeight="1" x14ac:dyDescent="0.2">
      <c r="A34" s="5" t="str">
        <f>HYPERLINK("#'8.2.1.1-2 Stationary fuel'!A1", "8.2.1.1-2 Stationary fuel")</f>
        <v>8.2.1.1-2 Stationary fuel</v>
      </c>
      <c r="C34" s="8"/>
      <c r="D34" s="60" t="s">
        <v>118</v>
      </c>
      <c r="E34" s="9" t="s">
        <v>12</v>
      </c>
      <c r="F34" s="8"/>
      <c r="G34" s="8"/>
      <c r="H34" s="8"/>
      <c r="I34" s="8"/>
      <c r="J34" s="8"/>
      <c r="K34" s="8"/>
    </row>
    <row r="35" spans="1:17" ht="20.100000000000001" customHeight="1" x14ac:dyDescent="0.2">
      <c r="A35" s="5" t="str">
        <f>HYPERLINK("#'10.1.1-2 Solid waste treatment'!A1", "10.1.1.1-2 Solid waste")</f>
        <v>10.1.1.1-2 Solid waste</v>
      </c>
      <c r="C35" s="8"/>
      <c r="D35" s="8"/>
      <c r="E35" s="8"/>
      <c r="F35" s="8"/>
      <c r="G35" s="8"/>
      <c r="H35" s="8"/>
      <c r="I35" s="8"/>
      <c r="J35" s="8"/>
      <c r="K35" s="8"/>
    </row>
    <row r="36" spans="1:17" ht="20.100000000000001" customHeight="1" x14ac:dyDescent="0.2">
      <c r="A36" s="5" t="str">
        <f>HYPERLINK("#'14.1.1-2 Purchased electricity'!A1", "14.1.1-2 Purchased electricity")</f>
        <v>14.1.1-2 Purchased electricity</v>
      </c>
      <c r="C36" s="8"/>
      <c r="D36" s="150" t="s">
        <v>747</v>
      </c>
      <c r="E36" s="147" t="s">
        <v>1220</v>
      </c>
      <c r="F36" s="158"/>
      <c r="G36" s="159"/>
      <c r="H36" s="150" t="s">
        <v>1029</v>
      </c>
      <c r="I36" s="142" t="s">
        <v>1222</v>
      </c>
      <c r="J36" s="150" t="str" cm="1">
        <f t="array" aca="1" ref="J36" ca="1">HYPERLINK(Common_InputFunctions.Utility_SourceHyperlink($D$21), $D$21)</f>
        <v>M1_Table_M_leach_cp</v>
      </c>
      <c r="K36" s="8"/>
    </row>
    <row r="37" spans="1:17" ht="20.100000000000001" customHeight="1" x14ac:dyDescent="0.2">
      <c r="A37" s="5" t="str">
        <f>HYPERLINK("#'15 Scope 3'!A1", "15 Scope 3")</f>
        <v>15 Scope 3</v>
      </c>
      <c r="C37" s="8"/>
      <c r="D37" s="150" t="s">
        <v>1168</v>
      </c>
      <c r="E37" s="147" t="s">
        <v>1221</v>
      </c>
      <c r="F37" s="158"/>
      <c r="G37" s="159"/>
      <c r="H37" s="150" t="s">
        <v>1103</v>
      </c>
      <c r="I37" s="142" t="s">
        <v>1036</v>
      </c>
      <c r="J37" s="150">
        <f>'Constants - Common'!$E$170</f>
        <v>1.0999999999999999E-2</v>
      </c>
      <c r="K37" s="8"/>
    </row>
    <row r="38" spans="1:17" ht="20.100000000000001" customHeight="1" x14ac:dyDescent="0.2">
      <c r="C38" s="8"/>
      <c r="D38" s="150" t="s">
        <v>1051</v>
      </c>
      <c r="E38" s="147" t="s">
        <v>1052</v>
      </c>
      <c r="F38" s="158"/>
      <c r="G38" s="159"/>
      <c r="H38" s="150" t="s">
        <v>1206</v>
      </c>
      <c r="I38" s="142" t="s">
        <v>1036</v>
      </c>
      <c r="J38" s="150">
        <f>Common_InputFunctions.Utility_LookupValueInTableNumber("N2O",Table_GasToMolecularConversionFactor[Gas],Table_GasToMolecularConversionFactor[Conversion factor combined])</f>
        <v>1.5714285714285714</v>
      </c>
      <c r="K38" s="8"/>
    </row>
    <row r="39" spans="1:17" ht="20.100000000000001" customHeight="1" x14ac:dyDescent="0.2">
      <c r="C39" s="8"/>
      <c r="D39" s="150" t="s">
        <v>1069</v>
      </c>
      <c r="E39" s="147" t="s">
        <v>1212</v>
      </c>
      <c r="F39" s="158"/>
      <c r="G39" s="159"/>
      <c r="H39" s="150"/>
      <c r="I39" s="141" t="s">
        <v>1034</v>
      </c>
      <c r="J39" s="150" t="str">
        <f>X_Cell_Crop_CropType</f>
        <v>Wheat</v>
      </c>
      <c r="K39" s="8"/>
    </row>
    <row r="40" spans="1:17" ht="20.100000000000001" customHeight="1" x14ac:dyDescent="0.2">
      <c r="A40" s="82" t="s">
        <v>1</v>
      </c>
      <c r="C40" s="8"/>
      <c r="D40" s="150" t="s">
        <v>1213</v>
      </c>
      <c r="E40" s="147" t="s">
        <v>1214</v>
      </c>
      <c r="F40" s="158"/>
      <c r="G40" s="159"/>
      <c r="H40" s="150"/>
      <c r="I40" s="141" t="s">
        <v>1034</v>
      </c>
      <c r="J40" s="150" t="s">
        <v>124</v>
      </c>
      <c r="K40" s="8"/>
    </row>
    <row r="41" spans="1:17" ht="20.100000000000001" customHeight="1" x14ac:dyDescent="0.2">
      <c r="A41" s="5" t="str">
        <f>HYPERLINK("#'Constants - Ag Residue'!A1", "Constants - Ag residue")</f>
        <v>Constants - Ag residue</v>
      </c>
      <c r="C41" s="8"/>
      <c r="D41" s="8"/>
      <c r="E41" s="8"/>
      <c r="F41" s="8"/>
      <c r="G41" s="8"/>
      <c r="H41" s="8"/>
      <c r="I41" s="8"/>
      <c r="J41" s="8"/>
      <c r="K41" s="8"/>
    </row>
    <row r="42" spans="1:17" ht="20.100000000000001" customHeight="1" x14ac:dyDescent="0.2">
      <c r="A42" s="5" t="str">
        <f>HYPERLINK("#'Constants - Electricity'!A1", "Constants - Electricity")</f>
        <v>Constants - Electricity</v>
      </c>
      <c r="C42" s="8"/>
      <c r="D42" s="135" t="s">
        <v>389</v>
      </c>
      <c r="E42" s="8"/>
      <c r="F42" s="8"/>
      <c r="G42" s="8"/>
      <c r="H42" s="8"/>
      <c r="I42" s="8"/>
      <c r="J42" s="8"/>
      <c r="K42" s="8"/>
      <c r="N42" s="135" t="s">
        <v>389</v>
      </c>
      <c r="O42" s="8"/>
      <c r="P42" s="8"/>
      <c r="Q42" s="8"/>
    </row>
    <row r="43" spans="1:17" ht="20.100000000000001" customHeight="1" x14ac:dyDescent="0.2">
      <c r="A43" s="5" t="str">
        <f>HYPERLINK("#'Constants - Fertiliser'!A1", "Constants - Fertiliser")</f>
        <v>Constants - Fertiliser</v>
      </c>
      <c r="C43" s="8"/>
      <c r="D43" s="136" t="s">
        <v>748</v>
      </c>
      <c r="E43" s="8"/>
      <c r="F43" s="8"/>
      <c r="G43" s="8"/>
      <c r="H43" s="8"/>
      <c r="I43" s="8"/>
      <c r="J43" s="8"/>
      <c r="K43" s="8"/>
      <c r="N43" s="136" t="s">
        <v>748</v>
      </c>
      <c r="O43" s="8"/>
      <c r="P43" s="8"/>
      <c r="Q43" s="8"/>
    </row>
    <row r="44" spans="1:17" ht="20.100000000000001" customHeight="1" x14ac:dyDescent="0.2">
      <c r="A44" s="5" t="str">
        <f>HYPERLINK("#'Constants - Fuel'!A1", "Constants - Fuel")</f>
        <v>Constants - Fuel</v>
      </c>
      <c r="C44" s="8"/>
      <c r="D44" s="138" t="s">
        <v>747</v>
      </c>
      <c r="E44" s="138" t="s">
        <v>749</v>
      </c>
      <c r="F44" s="8"/>
      <c r="G44" s="8"/>
      <c r="H44" s="8"/>
      <c r="I44" s="8"/>
      <c r="J44" s="8"/>
      <c r="K44" s="8"/>
      <c r="N44" s="138" t="s">
        <v>747</v>
      </c>
      <c r="O44" s="138" t="s">
        <v>749</v>
      </c>
      <c r="P44" s="8"/>
      <c r="Q44" s="8"/>
    </row>
    <row r="45" spans="1:17" ht="20.100000000000001" customHeight="1" x14ac:dyDescent="0.2">
      <c r="A45" s="5" t="str">
        <f>HYPERLINK("#'Constants - Scope 3'!A1", "Constants - Scope 3")</f>
        <v>Constants - Scope 3</v>
      </c>
      <c r="C45" s="8"/>
      <c r="D45" s="15">
        <f>I24</f>
        <v>20401.919999999998</v>
      </c>
      <c r="E45" s="15">
        <f>((D45 * $J$37) * $J$38 * 10 ^ (-3))</f>
        <v>0.35266175999999999</v>
      </c>
      <c r="F45" s="8"/>
      <c r="G45" s="8"/>
      <c r="H45" s="8"/>
      <c r="I45" s="8"/>
      <c r="J45" s="8"/>
      <c r="K45" s="8"/>
      <c r="N45" s="15">
        <f>S24</f>
        <v>20401.919999999998</v>
      </c>
      <c r="O45" s="15">
        <f>((N45 * $J$37) * $J$38 * 10 ^ (-3))</f>
        <v>0.35266175999999999</v>
      </c>
      <c r="P45" s="8"/>
      <c r="Q45" s="8"/>
    </row>
    <row r="46" spans="1:17" ht="20.100000000000001" customHeight="1" x14ac:dyDescent="0.2">
      <c r="A46" s="5" t="str">
        <f>HYPERLINK("#'Constants - Solid Waste'!A1", "Constants - Solid Waste")</f>
        <v>Constants - Solid Waste</v>
      </c>
      <c r="C46" s="8"/>
      <c r="D46" s="15" t="str">
        <f>I25</f>
        <v>N/A</v>
      </c>
      <c r="E46" s="15" t="s">
        <v>124</v>
      </c>
      <c r="F46" s="8"/>
      <c r="G46" s="8"/>
      <c r="H46" s="8"/>
      <c r="I46" s="8"/>
      <c r="J46" s="8"/>
      <c r="K46" s="8"/>
      <c r="N46" s="15" t="str">
        <f>S25</f>
        <v>N/A</v>
      </c>
      <c r="O46" s="15" t="s">
        <v>124</v>
      </c>
      <c r="P46" s="8"/>
      <c r="Q46" s="8"/>
    </row>
    <row r="47" spans="1:17" ht="20.100000000000001" customHeight="1" x14ac:dyDescent="0.2">
      <c r="A47" s="5" t="str">
        <f>HYPERLINK("#'Constants - Common'!A1", "Constants - Common")</f>
        <v>Constants - Common</v>
      </c>
      <c r="C47" s="8"/>
      <c r="F47" s="8"/>
      <c r="G47" s="8"/>
      <c r="H47" s="8"/>
      <c r="I47" s="8"/>
      <c r="J47" s="8"/>
      <c r="K47" s="8"/>
      <c r="P47" s="8"/>
      <c r="Q47" s="8"/>
    </row>
    <row r="48" spans="1:17" ht="20.100000000000001" customHeight="1" x14ac:dyDescent="0.35">
      <c r="A48" s="5" t="str">
        <f>HYPERLINK("#'Constants - Common Livestock'!A1", "Constants - Common Livestock")</f>
        <v>Constants - Common Livestock</v>
      </c>
      <c r="C48" s="8"/>
      <c r="D48" s="226" t="s">
        <v>750</v>
      </c>
      <c r="E48" s="227">
        <f>SUM(E45:E46)</f>
        <v>0.35266175999999999</v>
      </c>
      <c r="F48" s="97" t="str">
        <f>$E$34</f>
        <v>t N2O</v>
      </c>
      <c r="G48" s="8"/>
      <c r="H48" s="8"/>
      <c r="I48" s="8"/>
      <c r="J48" s="8"/>
      <c r="K48" s="8"/>
      <c r="N48" s="226" t="s">
        <v>750</v>
      </c>
      <c r="O48" s="227">
        <f>SUM(O45:O46)</f>
        <v>0.35266175999999999</v>
      </c>
      <c r="P48" s="97" t="str">
        <f>$E$34</f>
        <v>t N2O</v>
      </c>
      <c r="Q48" s="8"/>
    </row>
    <row r="49" spans="4:17" ht="20.100000000000001" customHeight="1" x14ac:dyDescent="0.2">
      <c r="D49" s="8"/>
      <c r="E49" s="8"/>
      <c r="F49" s="8"/>
      <c r="G49" s="8"/>
      <c r="N49" s="8"/>
      <c r="O49" s="8"/>
      <c r="P49" s="8"/>
      <c r="Q49" s="8"/>
    </row>
    <row r="50" spans="4:17" ht="20.100000000000001" customHeight="1" x14ac:dyDescent="0.2">
      <c r="D50" s="139" t="str" cm="1">
        <f t="array" ref="D50:E51">Common_Equations.Common_ConvertN2OToCO2e_Arguments()</f>
        <v>EN2O</v>
      </c>
      <c r="E50" s="140" t="str">
        <v>Nitrous oxide emissions (t N2O)</v>
      </c>
      <c r="F50" s="149"/>
      <c r="G50" s="15">
        <f>VEERG_6_3_1_1__1__LeachingAndRunoffEmissionsCropAndPastureResidue_CropOnly_Result_Method1</f>
        <v>0.35266175999999999</v>
      </c>
      <c r="N50" s="139" t="str" cm="1">
        <f t="array" ref="N50:O51">Common_Equations.Common_ConvertN2OToCO2e_Arguments()</f>
        <v>EN2O</v>
      </c>
      <c r="O50" s="140" t="str">
        <v>Nitrous oxide emissions (t N2O)</v>
      </c>
      <c r="P50" s="149"/>
      <c r="Q50" s="15">
        <f>VEERG_6_3_1_1__1__LeachingAndRunoffEmissionsCropAndPastureResidue_CropOnly_Result_Method2</f>
        <v>0.35266175999999999</v>
      </c>
    </row>
    <row r="51" spans="4:17" ht="20.100000000000001" customHeight="1" x14ac:dyDescent="0.2">
      <c r="D51" s="139" t="str">
        <v>GWPN2O</v>
      </c>
      <c r="E51" s="140" t="str">
        <v>Global warming potential for nitrous oxide (t CO2-e / t N2O)</v>
      </c>
      <c r="F51" s="149"/>
      <c r="G51" s="15">
        <f>Common_InputFunctions.Utility_LookupValueInTableNumber("N2O",Table_GWPData[Gas],Table_GWPData[CO2-e factor])</f>
        <v>265</v>
      </c>
      <c r="H51" s="8"/>
      <c r="I51" s="8"/>
      <c r="N51" s="139" t="str">
        <v>GWPN2O</v>
      </c>
      <c r="O51" s="140" t="str">
        <v>Global warming potential for nitrous oxide (t CO2-e / t N2O)</v>
      </c>
      <c r="P51" s="149"/>
      <c r="Q51" s="15">
        <f>Common_InputFunctions.Utility_LookupValueInTableNumber("N2O",Table_GWPData[Gas],Table_GWPData[CO2-e factor])</f>
        <v>265</v>
      </c>
    </row>
    <row r="52" spans="4:17" ht="20.100000000000001" customHeight="1" x14ac:dyDescent="0.2">
      <c r="H52" s="8"/>
      <c r="I52" s="8"/>
    </row>
    <row r="53" spans="4:17" ht="20.100000000000001" customHeight="1" x14ac:dyDescent="0.2">
      <c r="D53" s="85" t="s">
        <v>395</v>
      </c>
      <c r="E53" s="85" cm="1">
        <f t="array" ref="E53">Common_Equations.Common_ConvertN2OToCO2e(G50,G51)</f>
        <v>93.455366400000003</v>
      </c>
      <c r="F53" s="91" t="str" cm="1">
        <f t="array" ref="F53">Common_Equations.Common_ConvertN2OToCO2e_Unit()</f>
        <v>t CO2e</v>
      </c>
      <c r="I53" s="8"/>
      <c r="N53" s="85" t="s">
        <v>395</v>
      </c>
      <c r="O53" s="85" cm="1">
        <f t="array" ref="O53">Common_Equations.Common_ConvertN2OToCO2e(Q50,Q51)</f>
        <v>93.455366400000003</v>
      </c>
      <c r="P53" s="91" t="str" cm="1">
        <f t="array" ref="P53">Common_Equations.Common_ConvertN2OToCO2e_Unit()</f>
        <v>t CO2e</v>
      </c>
    </row>
    <row r="54" spans="4:17" ht="20.100000000000001" customHeight="1" x14ac:dyDescent="0.2">
      <c r="I54" s="8"/>
    </row>
    <row r="60" spans="4:17" ht="20.100000000000001" customHeight="1" x14ac:dyDescent="0.2">
      <c r="H60" s="8"/>
      <c r="I60" s="8"/>
    </row>
    <row r="61" spans="4:17" ht="20.100000000000001" customHeight="1" x14ac:dyDescent="0.2">
      <c r="H61" s="8"/>
      <c r="I61" s="8"/>
    </row>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6879-6C4F-4F2C-8148-AAD8E5AED207}">
  <sheetPr>
    <tabColor rgb="FF008000"/>
  </sheetPr>
  <dimension ref="A1:S67"/>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751</v>
      </c>
    </row>
    <row r="2" spans="1:19" s="3" customFormat="1" ht="20.100000000000001" customHeight="1" x14ac:dyDescent="0.2">
      <c r="A2"/>
    </row>
    <row r="3" spans="1:19" ht="20.100000000000001" customHeight="1" x14ac:dyDescent="0.2">
      <c r="A3" s="5" t="str">
        <f>HYPERLINK("#'Home'!A1", "Home")</f>
        <v>Home</v>
      </c>
      <c r="C3" s="23"/>
      <c r="D3" s="23" t="s">
        <v>130</v>
      </c>
      <c r="E3" s="23"/>
      <c r="F3" s="23"/>
      <c r="G3" s="23"/>
      <c r="H3" s="23"/>
      <c r="I3" s="23"/>
      <c r="J3" s="23"/>
      <c r="L3" s="23"/>
      <c r="M3" s="23" t="s">
        <v>131</v>
      </c>
      <c r="N3" s="23"/>
      <c r="O3" s="23"/>
      <c r="P3" s="23"/>
      <c r="Q3" s="23"/>
      <c r="R3" s="23"/>
      <c r="S3" s="23"/>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EI")</f>
        <v>Results - Product EI</v>
      </c>
      <c r="D5" s="2" t="s">
        <v>1223</v>
      </c>
    </row>
    <row r="6" spans="1:19" ht="20.100000000000001" customHeight="1" x14ac:dyDescent="0.2">
      <c r="D6" s="17" t="s">
        <v>1224</v>
      </c>
    </row>
    <row r="7" spans="1:19" ht="20.100000000000001" customHeight="1" x14ac:dyDescent="0.2">
      <c r="D7" s="134"/>
      <c r="E7" s="134"/>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7" t="s">
        <v>371</v>
      </c>
      <c r="E10" s="1" t="s">
        <v>1225</v>
      </c>
    </row>
    <row r="11" spans="1:19" ht="20.100000000000001" customHeight="1" x14ac:dyDescent="0.2">
      <c r="A11" s="5" t="str">
        <f>HYPERLINK("#'Input - Crop'!A1", "Crop")</f>
        <v>Crop</v>
      </c>
      <c r="D11" s="77" t="s">
        <v>118</v>
      </c>
      <c r="E11" s="9" t="s">
        <v>370</v>
      </c>
    </row>
    <row r="12" spans="1:19" ht="20.100000000000001" customHeight="1" x14ac:dyDescent="0.2">
      <c r="A12" s="5" t="str">
        <f>HYPERLINK("#'Input - Fert Prod System'!A1", "Fert Prod System")</f>
        <v>Fert Prod System</v>
      </c>
    </row>
    <row r="13" spans="1:19" ht="20.100000000000001" customHeight="1" x14ac:dyDescent="0.2">
      <c r="A13" s="5" t="str">
        <f>HYPERLINK("#'Input - Fertiliser'!A1", "Fertiliser")</f>
        <v>Fertiliser</v>
      </c>
      <c r="D13" s="150" t="s">
        <v>1178</v>
      </c>
      <c r="E13" s="147" t="s">
        <v>1226</v>
      </c>
      <c r="F13" s="159"/>
      <c r="G13" s="150" t="s">
        <v>370</v>
      </c>
      <c r="H13" s="141" t="s">
        <v>1034</v>
      </c>
      <c r="I13" s="150">
        <f>X_Cell_Crop_TotalProductionOfCrop*10^3</f>
        <v>10000000</v>
      </c>
    </row>
    <row r="14" spans="1:19" ht="20.100000000000001" customHeight="1" x14ac:dyDescent="0.2">
      <c r="A14" s="5" t="str">
        <f>HYPERLINK("#'Input - Fuel'!A1", "Fuel")</f>
        <v>Fuel</v>
      </c>
      <c r="D14" s="150" t="s">
        <v>1180</v>
      </c>
      <c r="E14" s="147" t="s">
        <v>1227</v>
      </c>
      <c r="F14" s="159"/>
      <c r="G14" s="150" t="s">
        <v>1234</v>
      </c>
      <c r="H14" s="142" t="s">
        <v>1036</v>
      </c>
      <c r="I14" s="150">
        <f>'Input - Crop'!$E$18</f>
        <v>1.5</v>
      </c>
    </row>
    <row r="15" spans="1:19" ht="20.100000000000001" customHeight="1" x14ac:dyDescent="0.2">
      <c r="A15" s="5" t="str">
        <f>HYPERLINK("#'Input - Electricity'!A1", "Electricity")</f>
        <v>Electricity</v>
      </c>
      <c r="D15" s="150" t="s">
        <v>1228</v>
      </c>
      <c r="E15" s="147" t="s">
        <v>1229</v>
      </c>
      <c r="F15" s="159"/>
      <c r="G15" s="150" t="s">
        <v>1120</v>
      </c>
      <c r="H15" s="142" t="s">
        <v>1036</v>
      </c>
      <c r="I15" s="150" cm="1">
        <f t="array" ref="I15">Common_InputFunctions.Utility_LookupValueInTableNumber($I$19,Table_SourceData_CropAttributes[Crop type],Table_SourceData_CropAttributes[Fraction of residue remaining at time of burning (b)])</f>
        <v>0.5</v>
      </c>
    </row>
    <row r="16" spans="1:19" ht="20.100000000000001" customHeight="1" x14ac:dyDescent="0.2">
      <c r="A16" s="5" t="str">
        <f>HYPERLINK("#'Input - Common farm inputs'!A1", "Common farm inputs")</f>
        <v>Common farm inputs</v>
      </c>
      <c r="D16" s="150" t="s">
        <v>1187</v>
      </c>
      <c r="E16" s="147" t="s">
        <v>1230</v>
      </c>
      <c r="F16" s="159"/>
      <c r="G16" s="150" t="s">
        <v>1193</v>
      </c>
      <c r="H16" s="142" t="s">
        <v>1036</v>
      </c>
      <c r="I16" s="150" cm="1">
        <f t="array" ref="I16">Common_InputFunctions.Utility_LookupValueInTableNumber($I$19,Table_SourceData_CropAttributes[Crop type],Table_SourceData_CropAttributes[Dry matter content])</f>
        <v>0.88</v>
      </c>
    </row>
    <row r="17" spans="1:10" ht="20.100000000000001" customHeight="1" x14ac:dyDescent="0.2">
      <c r="A17" s="5" t="str">
        <f>HYPERLINK("#'Input - Crop pasture farm input'!A1", "Crop pasture farm input")</f>
        <v>Crop pasture farm input</v>
      </c>
      <c r="D17" s="150" t="s">
        <v>1231</v>
      </c>
      <c r="E17" s="147" t="s">
        <v>1232</v>
      </c>
      <c r="F17" s="159"/>
      <c r="G17" s="150"/>
      <c r="H17" s="142" t="s">
        <v>1036</v>
      </c>
      <c r="I17" s="150" cm="1">
        <f t="array" ref="I17">Common_InputFunctions.Utility_LookupValueInTableNumber($I$19,Table_SourceData_CropAttributes[Crop type],Table_SourceData_CropAttributes[Fraction burnt])</f>
        <v>0.9</v>
      </c>
    </row>
    <row r="18" spans="1:10" ht="20.100000000000001" customHeight="1" x14ac:dyDescent="0.2">
      <c r="A18" s="5" t="str">
        <f>HYPERLINK("#'Input - Freight'!A1", "Freight")</f>
        <v>Freight</v>
      </c>
      <c r="D18" s="150" t="s">
        <v>1184</v>
      </c>
      <c r="E18" s="147" t="s">
        <v>1233</v>
      </c>
      <c r="F18" s="159"/>
      <c r="G18" s="150" t="s">
        <v>1120</v>
      </c>
      <c r="H18" s="142" t="s">
        <v>1036</v>
      </c>
      <c r="I18" s="150">
        <f>X_Cell_Crop_PercentResidueBurned</f>
        <v>0.3</v>
      </c>
    </row>
    <row r="19" spans="1:10" ht="20.100000000000001" customHeight="1" x14ac:dyDescent="0.2">
      <c r="A19" s="5" t="str">
        <f>HYPERLINK("#'Input - Solid waste'!A1", "Solid waste")</f>
        <v>Solid waste</v>
      </c>
      <c r="D19" s="150" t="s">
        <v>1069</v>
      </c>
      <c r="E19" s="147" t="s">
        <v>179</v>
      </c>
      <c r="F19" s="159"/>
      <c r="G19" s="150"/>
      <c r="H19" s="141" t="s">
        <v>1034</v>
      </c>
      <c r="I19" s="150" t="str">
        <f>X_Cell_Crop_CropType</f>
        <v>Wheat</v>
      </c>
    </row>
    <row r="20" spans="1:10" ht="20.100000000000001" customHeight="1" x14ac:dyDescent="0.2">
      <c r="A20" s="5" t="str">
        <f>HYPERLINK("#'Input - Data quality'!A1", "Data quality")</f>
        <v>Data quality</v>
      </c>
    </row>
    <row r="21" spans="1:10" ht="20.100000000000001" customHeight="1" x14ac:dyDescent="0.2">
      <c r="D21" s="90" t="s">
        <v>752</v>
      </c>
      <c r="E21" s="85">
        <f>(I13 * I14 * I15 * I16 * I17 * I18)</f>
        <v>1782000</v>
      </c>
      <c r="F21" s="91" t="s">
        <v>370</v>
      </c>
    </row>
    <row r="23" spans="1:10" ht="20.100000000000001" customHeight="1" x14ac:dyDescent="0.2">
      <c r="A23" s="6" t="s">
        <v>2</v>
      </c>
    </row>
    <row r="24" spans="1:10" ht="20.100000000000001" customHeight="1" x14ac:dyDescent="0.2">
      <c r="A24" s="5" t="str">
        <f>HYPERLINK("#'5.1.1.1-2 Inorganic fert N2O'!A1", "5.1.1.1-2 Inorganic fert N2O")</f>
        <v>5.1.1.1-2 Inorganic fert N2O</v>
      </c>
      <c r="C24" s="85"/>
      <c r="D24" s="85"/>
      <c r="E24" s="85"/>
      <c r="F24" s="85"/>
      <c r="G24" s="85"/>
      <c r="H24" s="85"/>
      <c r="I24" s="85"/>
      <c r="J24" s="85"/>
    </row>
    <row r="25" spans="1:10" ht="20.100000000000001" customHeight="1" x14ac:dyDescent="0.2">
      <c r="A25" s="5" t="str">
        <f>HYPERLINK("#'5.1.1.3-4 Inorganic fert CO2'!A1", "5.1.1.3-4 Inorganic fert CO2")</f>
        <v>5.1.1.3-4 Inorganic fert CO2</v>
      </c>
      <c r="D25" s="2" t="s">
        <v>1235</v>
      </c>
    </row>
    <row r="26" spans="1:10" ht="20.100000000000001" customHeight="1" x14ac:dyDescent="0.2">
      <c r="A26" s="5" t="str">
        <f>HYPERLINK("#'5.2.1.1-2 Organic Fert N2O'!A1", "5.2.1.1-2 Organic fert N2O")</f>
        <v>5.2.1.1-2 Organic fert N2O</v>
      </c>
      <c r="D26" s="17" t="s">
        <v>1236</v>
      </c>
    </row>
    <row r="27" spans="1:10" ht="20.100000000000001" customHeight="1" x14ac:dyDescent="0.2">
      <c r="A27" s="5" t="str">
        <f>HYPERLINK("#'5.3.1.1-2 Lime CO2'!A1", "5.3.1.1-2 Lime CO2")</f>
        <v>5.3.1.1-2 Lime CO2</v>
      </c>
      <c r="D27" s="134"/>
      <c r="E27" s="134"/>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row>
    <row r="30" spans="1:10" ht="20.100000000000001" customHeight="1" x14ac:dyDescent="0.2">
      <c r="A30" s="5" t="str">
        <f>HYPERLINK("#'6.1.1.1-2 Crop residue N2O'!A1", "6.1.1.1-2 Crop residue N2O")</f>
        <v>6.1.1.1-2 Crop residue N2O</v>
      </c>
      <c r="D30" s="77" t="s">
        <v>371</v>
      </c>
      <c r="E30" s="1" t="s">
        <v>1219</v>
      </c>
    </row>
    <row r="31" spans="1:10" ht="20.100000000000001" customHeight="1" x14ac:dyDescent="0.2">
      <c r="A31" s="5" t="str">
        <f>HYPERLINK("#'6.3.1.1-2 Leach runoff crop'!A1", "6.3.1.1-2 Leach &amp; runoff (crop)")</f>
        <v>6.3.1.1-2 Leach &amp; runoff (crop)</v>
      </c>
      <c r="D31" s="77" t="s">
        <v>118</v>
      </c>
      <c r="E31" s="9" t="s">
        <v>12</v>
      </c>
    </row>
    <row r="32" spans="1:10" ht="20.100000000000001" customHeight="1" x14ac:dyDescent="0.2">
      <c r="A32" s="144" t="str">
        <f>HYPERLINK("#'6.4.1.1-2 Residue burning'!A1", "6.4.1.1-2 Residue burning")</f>
        <v>6.4.1.1-2 Residue burning</v>
      </c>
    </row>
    <row r="33" spans="1:10" ht="20.100000000000001" customHeight="1" x14ac:dyDescent="0.2">
      <c r="A33" s="5" t="str">
        <f>HYPERLINK("#'8.1.1.1-2 Transport fuel'!A1", "8.1.1.1-2 Transport fuel")</f>
        <v>8.1.1.1-2 Transport fuel</v>
      </c>
      <c r="D33" s="150" t="s">
        <v>1225</v>
      </c>
      <c r="E33" s="147" t="s">
        <v>1237</v>
      </c>
      <c r="F33" s="159"/>
      <c r="G33" s="150" t="s">
        <v>370</v>
      </c>
      <c r="H33" s="142" t="s">
        <v>1241</v>
      </c>
      <c r="I33" s="150">
        <f>$E$21</f>
        <v>1782000</v>
      </c>
    </row>
    <row r="34" spans="1:10" ht="20.100000000000001" customHeight="1" x14ac:dyDescent="0.2">
      <c r="A34" s="5" t="str">
        <f>HYPERLINK("#'8.2.1.1-2 Stationary fuel'!A1", "8.2.1.1-2 Stationary fuel")</f>
        <v>8.2.1.1-2 Stationary fuel</v>
      </c>
      <c r="D34" s="150" t="s">
        <v>1189</v>
      </c>
      <c r="E34" s="147" t="s">
        <v>1238</v>
      </c>
      <c r="F34" s="159"/>
      <c r="G34" s="150" t="s">
        <v>1194</v>
      </c>
      <c r="H34" s="142" t="s">
        <v>1036</v>
      </c>
      <c r="I34" s="150" cm="1">
        <f t="array" ref="I34">Common_InputFunctions.Utility_LookupValueInTableNumber($I$37,Table_SourceData_CropAttributes[Crop type],Table_SourceData_CropAttributes[N content above-ground])</f>
        <v>6.0000000000000001E-3</v>
      </c>
    </row>
    <row r="35" spans="1:10" ht="20.100000000000001" customHeight="1" x14ac:dyDescent="0.2">
      <c r="A35" s="5" t="str">
        <f>HYPERLINK("#'10.1.1-2 Solid waste treatment'!A1", "10.1.1.1-2 Solid waste")</f>
        <v>10.1.1.1-2 Solid waste</v>
      </c>
      <c r="D35" s="150" t="s">
        <v>1239</v>
      </c>
      <c r="E35" s="147" t="s">
        <v>1240</v>
      </c>
      <c r="F35" s="159"/>
      <c r="G35" s="150" t="s">
        <v>1242</v>
      </c>
      <c r="H35" s="142" t="s">
        <v>1036</v>
      </c>
      <c r="I35" s="150"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
      <c r="A36" s="5" t="str">
        <f>HYPERLINK("#'14.1.1-2 Purchased electricity'!A1", "14.1.1-2 Purchased electricity")</f>
        <v>14.1.1-2 Purchased electricity</v>
      </c>
      <c r="D36" s="150" t="s">
        <v>1051</v>
      </c>
      <c r="E36" s="147" t="s">
        <v>1052</v>
      </c>
      <c r="F36" s="159"/>
      <c r="G36" s="150" t="s">
        <v>1206</v>
      </c>
      <c r="H36" s="142" t="s">
        <v>1036</v>
      </c>
      <c r="I36" s="150">
        <f>Common_InputFunctions.Utility_LookupValueInTableNumber("N2O",Table_GasToMolecularConversionFactor[Gas],Table_GasToMolecularConversionFactor[Conversion factor combined])</f>
        <v>1.5714285714285714</v>
      </c>
    </row>
    <row r="37" spans="1:10" ht="20.100000000000001" customHeight="1" x14ac:dyDescent="0.2">
      <c r="A37" s="5" t="str">
        <f>HYPERLINK("#'15 Scope 3'!A1", "15 Scope 3")</f>
        <v>15 Scope 3</v>
      </c>
      <c r="D37" s="150" t="s">
        <v>1069</v>
      </c>
      <c r="E37" s="147" t="s">
        <v>179</v>
      </c>
      <c r="F37" s="159"/>
      <c r="G37" s="150"/>
      <c r="H37" s="141" t="s">
        <v>1034</v>
      </c>
      <c r="I37" s="150" t="str">
        <f>X_Cell_Crop_CropType</f>
        <v>Wheat</v>
      </c>
    </row>
    <row r="39" spans="1:10" ht="20.100000000000001" customHeight="1" x14ac:dyDescent="0.2">
      <c r="D39" s="87" t="s">
        <v>394</v>
      </c>
      <c r="E39" s="88">
        <f>((I33 * I34) * I35 * I36 * 10 ^ (-3))</f>
        <v>0.12769302857142856</v>
      </c>
      <c r="F39" s="97" t="s">
        <v>12</v>
      </c>
    </row>
    <row r="40" spans="1:10" ht="20.100000000000001" customHeight="1" x14ac:dyDescent="0.2">
      <c r="A40" s="82" t="s">
        <v>1</v>
      </c>
    </row>
    <row r="41" spans="1:10" ht="20.100000000000001" customHeight="1" x14ac:dyDescent="0.2">
      <c r="A41" s="5" t="str">
        <f>HYPERLINK("#'Constants - Ag Residue'!A1", "Constants - Ag residue")</f>
        <v>Constants - Ag residue</v>
      </c>
      <c r="D41" s="139" t="str" cm="1">
        <f t="array" ref="D41:E42">Common_Equations.Common_ConvertN2OToCO2e_Arguments()</f>
        <v>EN2O</v>
      </c>
      <c r="E41" s="140" t="str">
        <v>Nitrous oxide emissions (t N2O)</v>
      </c>
      <c r="F41" s="149"/>
      <c r="G41" s="148"/>
      <c r="H41" s="15">
        <f>VEERG_6_4_1_1__2__NitrousOxideEmissionsFromBurningOfCropResidues_Result_Method1</f>
        <v>0.12769302857142856</v>
      </c>
    </row>
    <row r="42" spans="1:10" ht="20.100000000000001" customHeight="1" x14ac:dyDescent="0.2">
      <c r="A42" s="5" t="str">
        <f>HYPERLINK("#'Constants - Electricity'!A1", "Constants - Electricity")</f>
        <v>Constants - Electricity</v>
      </c>
      <c r="D42" s="139" t="str">
        <v>GWPN2O</v>
      </c>
      <c r="E42" s="140" t="str">
        <v>Global warming potential for nitrous oxide (t CO2-e / t N2O)</v>
      </c>
      <c r="F42" s="149"/>
      <c r="G42" s="148"/>
      <c r="H42" s="15">
        <f>Common_InputFunctions.Utility_LookupValueInTableNumber("N2O",Table_GWPData[Gas],Table_GWPData[CO2-e factor])</f>
        <v>265</v>
      </c>
    </row>
    <row r="43" spans="1:10" ht="20.100000000000001" customHeight="1" x14ac:dyDescent="0.2">
      <c r="A43" s="5" t="str">
        <f>HYPERLINK("#'Constants - Fertiliser'!A1", "Constants - Fertiliser")</f>
        <v>Constants - Fertiliser</v>
      </c>
      <c r="H43" s="8"/>
    </row>
    <row r="44" spans="1:10" ht="20.100000000000001" customHeight="1" x14ac:dyDescent="0.2">
      <c r="A44" s="5" t="str">
        <f>HYPERLINK("#'Constants - Fuel'!A1", "Constants - Fuel")</f>
        <v>Constants - Fuel</v>
      </c>
      <c r="D44" s="85" t="s">
        <v>395</v>
      </c>
      <c r="E44" s="85" cm="1">
        <f t="array" ref="E44">Common_Equations.Common_ConvertN2OToCO2e(H41,H42)</f>
        <v>33.838652571428568</v>
      </c>
      <c r="F44" s="91" t="str" cm="1">
        <f t="array" ref="F44">Common_Equations.Common_ConvertN2OToCO2e_Unit()</f>
        <v>t CO2e</v>
      </c>
      <c r="H44" s="8"/>
    </row>
    <row r="45" spans="1:10" ht="20.100000000000001" customHeight="1" x14ac:dyDescent="0.2">
      <c r="A45" s="5" t="str">
        <f>HYPERLINK("#'Constants - Scope 3'!A1", "Constants - Scope 3")</f>
        <v>Constants - Scope 3</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c r="C47" s="85"/>
      <c r="D47" s="85"/>
      <c r="E47" s="85"/>
      <c r="F47" s="85"/>
      <c r="G47" s="85"/>
      <c r="H47" s="85"/>
      <c r="I47" s="85"/>
      <c r="J47" s="85"/>
    </row>
    <row r="48" spans="1:10" ht="20.100000000000001" customHeight="1" x14ac:dyDescent="0.2">
      <c r="A48" s="5" t="str">
        <f>HYPERLINK("#'Constants - Common Livestock'!A1", "Constants - Common Livestock")</f>
        <v>Constants - Common Livestock</v>
      </c>
      <c r="D48" s="2" t="s">
        <v>1243</v>
      </c>
    </row>
    <row r="49" spans="1:9" ht="20.100000000000001" customHeight="1" x14ac:dyDescent="0.2">
      <c r="D49" s="17" t="s">
        <v>1244</v>
      </c>
    </row>
    <row r="50" spans="1:9" ht="20.100000000000001" customHeight="1" x14ac:dyDescent="0.2">
      <c r="D50" s="134"/>
      <c r="E50" s="134"/>
    </row>
    <row r="53" spans="1:9" ht="20.100000000000001" customHeight="1" x14ac:dyDescent="0.2">
      <c r="D53" s="77" t="s">
        <v>371</v>
      </c>
      <c r="E53" s="1" t="s">
        <v>1245</v>
      </c>
      <c r="F53" s="17"/>
    </row>
    <row r="54" spans="1:9" ht="20.100000000000001" customHeight="1" x14ac:dyDescent="0.2">
      <c r="D54" s="77" t="s">
        <v>118</v>
      </c>
      <c r="E54" s="9" t="s">
        <v>6</v>
      </c>
    </row>
    <row r="56" spans="1:9" ht="20.100000000000001" customHeight="1" x14ac:dyDescent="0.2">
      <c r="D56" s="150" t="s">
        <v>1225</v>
      </c>
      <c r="E56" s="147" t="s">
        <v>1237</v>
      </c>
      <c r="F56" s="159"/>
      <c r="G56" s="150" t="s">
        <v>370</v>
      </c>
      <c r="H56" s="142" t="s">
        <v>1241</v>
      </c>
      <c r="I56" s="150">
        <f>$E$21</f>
        <v>1782000</v>
      </c>
    </row>
    <row r="57" spans="1:9" ht="20.100000000000001" customHeight="1" x14ac:dyDescent="0.2">
      <c r="D57" s="150" t="s">
        <v>1246</v>
      </c>
      <c r="E57" s="147" t="s">
        <v>1247</v>
      </c>
      <c r="F57" s="159"/>
      <c r="G57" s="150" t="s">
        <v>1120</v>
      </c>
      <c r="H57" s="142" t="s">
        <v>1036</v>
      </c>
      <c r="I57" s="150" cm="1">
        <f t="array" ref="I57">Common_InputFunctions.Utility_LookupValueInTableNumber($I$60,Table_SourceData_CropAttributes[Crop type],Table_SourceData_CropAttributes[Carbon fraction in dry matter])</f>
        <v>0.4</v>
      </c>
    </row>
    <row r="58" spans="1:9" ht="20.100000000000001" customHeight="1" x14ac:dyDescent="0.2">
      <c r="D58" s="150" t="s">
        <v>1248</v>
      </c>
      <c r="E58" s="147" t="s">
        <v>1249</v>
      </c>
      <c r="F58" s="159"/>
      <c r="G58" s="150" t="s">
        <v>1252</v>
      </c>
      <c r="H58" s="142" t="s">
        <v>1036</v>
      </c>
      <c r="I58" s="150" cm="1">
        <f t="array" ref="I58">Common_InputFunctions.Utility_LookupValueInTableNumber("CH4", Table_SourceData_BurningResidueEFs[Gas species],Table_SourceData_BurningResidueEFs[Emission factor EFg (Gg element in species/ Gg element in fuel burnt)])</f>
        <v>3.5000000000000001E-3</v>
      </c>
    </row>
    <row r="59" spans="1:9" ht="20.100000000000001" customHeight="1" x14ac:dyDescent="0.2">
      <c r="A59" s="81" t="str">
        <f>HYPERLINK("#A1", "▲ Back to top")</f>
        <v>▲ Back to top</v>
      </c>
      <c r="D59" s="150" t="s">
        <v>1250</v>
      </c>
      <c r="E59" s="147" t="s">
        <v>1251</v>
      </c>
      <c r="F59" s="159"/>
      <c r="G59" s="150" t="s">
        <v>1206</v>
      </c>
      <c r="H59" s="142" t="s">
        <v>1036</v>
      </c>
      <c r="I59" s="150">
        <f>Common_InputFunctions.Utility_LookupValueInTableNumber("CH4",Table_GasToMolecularConversionFactor[Gas],Table_GasToMolecularConversionFactor[Conversion factor combined])</f>
        <v>1.3333333333333333</v>
      </c>
    </row>
    <row r="60" spans="1:9" ht="20.100000000000001" customHeight="1" x14ac:dyDescent="0.2">
      <c r="D60" s="150" t="s">
        <v>1069</v>
      </c>
      <c r="E60" s="147" t="s">
        <v>179</v>
      </c>
      <c r="F60" s="159"/>
      <c r="G60" s="150"/>
      <c r="H60" s="141" t="s">
        <v>1034</v>
      </c>
      <c r="I60" s="150" t="str">
        <f>X_Cell_Crop_CropType</f>
        <v>Wheat</v>
      </c>
    </row>
    <row r="62" spans="1:9" ht="20.100000000000001" customHeight="1" x14ac:dyDescent="0.2">
      <c r="D62" s="87" t="s">
        <v>753</v>
      </c>
      <c r="E62" s="88">
        <f>((I56 * I57) * I58 * I59 * 10 ^ (-3))</f>
        <v>3.3264</v>
      </c>
      <c r="F62" s="97" t="str">
        <f>E54</f>
        <v>t CH4</v>
      </c>
    </row>
    <row r="64" spans="1:9" ht="20.100000000000001" customHeight="1" x14ac:dyDescent="0.2">
      <c r="D64" s="139" t="str" cm="1">
        <f t="array" ref="D64:E65">Common_Equations.Common_ConvertCH4ToCO2e_Arguments()</f>
        <v>ECH4</v>
      </c>
      <c r="E64" s="140" t="str">
        <v>Methane emissions (t CH4)</v>
      </c>
      <c r="F64" s="149"/>
      <c r="G64" s="148"/>
      <c r="H64" s="15">
        <f>VEERG_6_4_1_1__1__MethaneEmissionsFromBurningOfCropResidues_Result_Method1</f>
        <v>3.3264</v>
      </c>
    </row>
    <row r="65" spans="4:8" ht="20.100000000000001" customHeight="1" x14ac:dyDescent="0.2">
      <c r="D65" s="139" t="str">
        <v>GWPCH4</v>
      </c>
      <c r="E65" s="140" t="str">
        <v>Global warming potential for methane (t CO2-e / t CH4)</v>
      </c>
      <c r="F65" s="149"/>
      <c r="G65" s="148"/>
      <c r="H65" s="15">
        <f>Common_InputFunctions.Utility_LookupValueInTableNumber("CH4",Table_GWPData[Gas],Table_GWPData[CO2-e factor])</f>
        <v>28</v>
      </c>
    </row>
    <row r="66" spans="4:8" ht="20.100000000000001" customHeight="1" x14ac:dyDescent="0.2">
      <c r="H66" s="8"/>
    </row>
    <row r="67" spans="4:8" ht="20.100000000000001" customHeight="1" x14ac:dyDescent="0.2">
      <c r="D67" s="85" t="s">
        <v>395</v>
      </c>
      <c r="E67" s="85" cm="1">
        <f t="array" ref="E67">Common_Equations.Common_ConvertCH4ToCO2e(H64,H65)</f>
        <v>93.139200000000002</v>
      </c>
      <c r="F67" s="91" t="str" cm="1">
        <f t="array" ref="F67">Common_Equations.Common_ConvertCH4ToCO2e_Unit()</f>
        <v>t CO2e</v>
      </c>
      <c r="H67" s="8"/>
    </row>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ED8F1-BCAC-4035-86EE-C45221DF9808}">
  <sheetPr>
    <tabColor rgb="FF008000"/>
  </sheetPr>
  <dimension ref="A1:R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565</v>
      </c>
    </row>
    <row r="2" spans="1:18" s="3" customFormat="1" ht="20.100000000000001" customHeight="1" x14ac:dyDescent="0.2">
      <c r="A2"/>
    </row>
    <row r="3" spans="1:18" ht="20.100000000000001" customHeight="1" x14ac:dyDescent="0.2">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EI")</f>
        <v>Results - Product EI</v>
      </c>
      <c r="D5" s="2" t="s">
        <v>1253</v>
      </c>
      <c r="K5" s="2" t="s">
        <v>1255</v>
      </c>
      <c r="O5" s="155"/>
      <c r="P5" s="155"/>
      <c r="Q5" s="155"/>
    </row>
    <row r="6" spans="1:18" ht="20.100000000000001" customHeight="1" x14ac:dyDescent="0.2">
      <c r="D6" s="17" t="s">
        <v>1254</v>
      </c>
      <c r="K6" s="17" t="s">
        <v>1256</v>
      </c>
      <c r="O6" s="155"/>
      <c r="P6" s="155"/>
      <c r="Q6" s="155"/>
    </row>
    <row r="7" spans="1:18" ht="20.100000000000001" customHeight="1" x14ac:dyDescent="0.2">
      <c r="D7" s="134"/>
      <c r="E7" s="134"/>
      <c r="K7" s="134"/>
      <c r="L7" s="134"/>
      <c r="O7" s="155"/>
      <c r="P7" s="155"/>
      <c r="Q7" s="155"/>
    </row>
    <row r="8" spans="1:18" ht="20.100000000000001" customHeight="1" x14ac:dyDescent="0.2">
      <c r="A8" s="7" t="s">
        <v>0</v>
      </c>
      <c r="E8" s="134"/>
      <c r="L8" s="134"/>
      <c r="O8" s="155"/>
      <c r="P8" s="155"/>
      <c r="Q8" s="155"/>
    </row>
    <row r="9" spans="1:18" ht="20.100000000000001" customHeight="1" x14ac:dyDescent="0.2">
      <c r="A9" s="5" t="str">
        <f>HYPERLINK("#'Input - Enterprise'!A1", "Enterprise")</f>
        <v>Enterprise</v>
      </c>
      <c r="G9" s="17"/>
      <c r="O9" s="155"/>
      <c r="P9" s="155"/>
      <c r="Q9" s="155"/>
    </row>
    <row r="10" spans="1:18" ht="20.100000000000001" customHeight="1" x14ac:dyDescent="0.2">
      <c r="A10" s="5" t="str">
        <f>HYPERLINK("#'Input - Site'!A1", "Site")</f>
        <v>Site</v>
      </c>
      <c r="O10" s="155"/>
      <c r="P10" s="155"/>
      <c r="Q10" s="155"/>
    </row>
    <row r="11" spans="1:18" ht="20.100000000000001" customHeight="1" x14ac:dyDescent="0.2">
      <c r="A11" s="5" t="str">
        <f>HYPERLINK("#'Input - Crop'!A1", "Crop")</f>
        <v>Crop</v>
      </c>
      <c r="D11" s="77" t="s">
        <v>371</v>
      </c>
      <c r="E11" s="1" t="s">
        <v>1257</v>
      </c>
      <c r="K11" s="77" t="s">
        <v>371</v>
      </c>
      <c r="L11" s="1" t="s">
        <v>1258</v>
      </c>
      <c r="O11" s="155"/>
      <c r="P11" s="155"/>
      <c r="Q11" s="155"/>
    </row>
    <row r="12" spans="1:18" ht="20.100000000000001" customHeight="1" x14ac:dyDescent="0.2">
      <c r="A12" s="5" t="str">
        <f>HYPERLINK("#'Input - Fert Prod System'!A1", "Fert Prod System")</f>
        <v>Fert Prod System</v>
      </c>
      <c r="D12" s="77" t="s">
        <v>118</v>
      </c>
      <c r="E12" s="9" t="s">
        <v>290</v>
      </c>
      <c r="K12" s="77" t="s">
        <v>118</v>
      </c>
      <c r="L12" s="9" t="s">
        <v>7</v>
      </c>
    </row>
    <row r="13" spans="1:18" ht="20.100000000000001" customHeight="1" x14ac:dyDescent="0.2">
      <c r="A13" s="5" t="str">
        <f>HYPERLINK("#'Input - Fertiliser'!A1", "Fertiliser")</f>
        <v>Fertiliser</v>
      </c>
    </row>
    <row r="14" spans="1:18" ht="20.100000000000001" customHeight="1" x14ac:dyDescent="0.2">
      <c r="A14" s="5" t="str">
        <f>HYPERLINK("#'Input - Fuel'!A1", "Fuel")</f>
        <v>Fuel</v>
      </c>
      <c r="D14" s="150" t="s">
        <v>1259</v>
      </c>
      <c r="E14" s="147" t="s">
        <v>1260</v>
      </c>
      <c r="F14" s="159"/>
      <c r="G14" s="150" t="s">
        <v>1270</v>
      </c>
      <c r="H14" s="141" t="s">
        <v>1034</v>
      </c>
      <c r="I14" s="143" t="str" cm="1">
        <f t="array" aca="1" ref="I14" ca="1">HYPERLINK(Common_InputFunctions.Utility_SourceHyperlink($D$22), $D$22)</f>
        <v>Table_E_g</v>
      </c>
      <c r="K14" s="150" t="s">
        <v>1273</v>
      </c>
      <c r="L14" s="150" t="s">
        <v>1274</v>
      </c>
      <c r="M14" s="150"/>
      <c r="N14" s="150" t="s">
        <v>620</v>
      </c>
      <c r="O14" s="141" t="s">
        <v>1034</v>
      </c>
      <c r="P14" s="143" t="str" cm="1">
        <f t="array" aca="1" ref="P14" ca="1">HYPERLINK(Common_InputFunctions.Utility_SourceHyperlink($D$22), $D$22)</f>
        <v>Table_E_g</v>
      </c>
      <c r="Q14" s="155"/>
    </row>
    <row r="15" spans="1:18" ht="20.100000000000001" customHeight="1" x14ac:dyDescent="0.2">
      <c r="A15" s="5" t="str">
        <f>HYPERLINK("#'Input - Electricity'!A1", "Electricity")</f>
        <v>Electricity</v>
      </c>
      <c r="D15" s="150" t="s">
        <v>1261</v>
      </c>
      <c r="E15" s="147" t="s">
        <v>1262</v>
      </c>
      <c r="F15" s="159"/>
      <c r="G15" s="150" t="s">
        <v>1271</v>
      </c>
      <c r="H15" s="142" t="s">
        <v>1036</v>
      </c>
      <c r="I15" s="143" t="str" cm="1">
        <f t="array" aca="1" ref="I15" ca="1">HYPERLINK(Common_InputFunctions.Utility_SourceHyperlink($D$22), $D$22)</f>
        <v>Table_E_g</v>
      </c>
      <c r="K15" s="150" t="s">
        <v>1261</v>
      </c>
      <c r="L15" s="150" t="s">
        <v>1275</v>
      </c>
      <c r="M15" s="150"/>
      <c r="N15" s="150" t="s">
        <v>1278</v>
      </c>
      <c r="O15" s="142" t="s">
        <v>1036</v>
      </c>
      <c r="P15" s="143" t="str" cm="1">
        <f t="array" aca="1" ref="P15" ca="1">HYPERLINK(Common_InputFunctions.Utility_SourceHyperlink($D$22), $D$22)</f>
        <v>Table_E_g</v>
      </c>
      <c r="Q15" s="155"/>
    </row>
    <row r="16" spans="1:18" ht="20.100000000000001" customHeight="1" x14ac:dyDescent="0.2">
      <c r="A16" s="5" t="str">
        <f>HYPERLINK("#'Input - Common farm inputs'!A1", "Common farm inputs")</f>
        <v>Common farm inputs</v>
      </c>
      <c r="D16" s="150" t="s">
        <v>1263</v>
      </c>
      <c r="E16" s="147" t="s">
        <v>1264</v>
      </c>
      <c r="F16" s="159"/>
      <c r="G16" s="150" t="s">
        <v>1272</v>
      </c>
      <c r="H16" s="142" t="s">
        <v>1036</v>
      </c>
      <c r="I16" s="143" t="str" cm="1">
        <f t="array" aca="1" ref="I16" ca="1">HYPERLINK(Common_InputFunctions.Utility_SourceHyperlink($D$22), $D$22)</f>
        <v>Table_E_g</v>
      </c>
      <c r="K16" s="150" t="s">
        <v>1276</v>
      </c>
      <c r="L16" s="150" t="s">
        <v>1277</v>
      </c>
      <c r="M16" s="150"/>
      <c r="N16" s="150" t="s">
        <v>1279</v>
      </c>
      <c r="O16" s="142" t="s">
        <v>1036</v>
      </c>
      <c r="P16" s="143" t="str" cm="1">
        <f t="array" aca="1" ref="P16" ca="1">HYPERLINK(Common_InputFunctions.Utility_SourceHyperlink($D$22), $D$22)</f>
        <v>Table_E_g</v>
      </c>
      <c r="Q16" s="155"/>
    </row>
    <row r="17" spans="1:17" ht="20.100000000000001" customHeight="1" x14ac:dyDescent="0.2">
      <c r="A17" s="5" t="str">
        <f>HYPERLINK("#'Input - Crop pasture farm input'!A1", "Crop pasture farm input")</f>
        <v>Crop pasture farm input</v>
      </c>
      <c r="D17" s="150" t="s">
        <v>1265</v>
      </c>
      <c r="E17" s="147" t="s">
        <v>618</v>
      </c>
      <c r="F17" s="159"/>
      <c r="G17" s="150"/>
      <c r="H17" s="142" t="s">
        <v>1036</v>
      </c>
      <c r="I17" s="143"/>
      <c r="J17" s="155"/>
      <c r="P17" s="155"/>
      <c r="Q17" s="155"/>
    </row>
    <row r="18" spans="1:17" ht="20.100000000000001" customHeight="1" x14ac:dyDescent="0.2">
      <c r="A18" s="5" t="str">
        <f>HYPERLINK("#'Input - Freight'!A1", "Freight")</f>
        <v>Freight</v>
      </c>
      <c r="D18" s="150" t="s">
        <v>1266</v>
      </c>
      <c r="E18" s="147" t="s">
        <v>1267</v>
      </c>
      <c r="F18" s="159"/>
      <c r="G18" s="150"/>
      <c r="H18" s="142" t="s">
        <v>1036</v>
      </c>
      <c r="I18" s="143"/>
      <c r="J18" s="155"/>
      <c r="L18" s="155"/>
      <c r="M18" s="155"/>
      <c r="N18" s="155"/>
      <c r="O18" s="155"/>
      <c r="P18" s="155"/>
      <c r="Q18" s="155"/>
    </row>
    <row r="19" spans="1:17" ht="20.100000000000001" customHeight="1" x14ac:dyDescent="0.2">
      <c r="A19" s="5" t="str">
        <f>HYPERLINK("#'Input - Solid waste'!A1", "Solid waste")</f>
        <v>Solid waste</v>
      </c>
      <c r="D19" s="150" t="s">
        <v>1268</v>
      </c>
      <c r="E19" s="147" t="s">
        <v>1269</v>
      </c>
      <c r="F19" s="159"/>
      <c r="G19" s="150"/>
      <c r="H19" s="142" t="s">
        <v>1036</v>
      </c>
      <c r="I19" s="143"/>
      <c r="J19" s="155"/>
      <c r="L19" s="155"/>
      <c r="M19" s="155"/>
      <c r="N19" s="155"/>
      <c r="O19" s="155"/>
      <c r="P19" s="155"/>
      <c r="Q19" s="155"/>
    </row>
    <row r="20" spans="1:17" ht="20.100000000000001" customHeight="1" x14ac:dyDescent="0.2">
      <c r="A20" s="5" t="str">
        <f>HYPERLINK("#'Input - Data quality'!A1", "Data quality")</f>
        <v>Data quality</v>
      </c>
      <c r="D20" s="150">
        <v>1</v>
      </c>
      <c r="E20" s="147" t="s">
        <v>271</v>
      </c>
      <c r="F20" s="159"/>
      <c r="G20" s="150"/>
      <c r="H20" s="142" t="s">
        <v>1036</v>
      </c>
      <c r="I20" s="143"/>
      <c r="J20" s="155"/>
      <c r="L20" s="155"/>
      <c r="M20" s="155"/>
      <c r="N20" s="155"/>
      <c r="O20" s="155"/>
      <c r="P20" s="155"/>
      <c r="Q20" s="155"/>
    </row>
    <row r="21" spans="1:17" ht="20.100000000000001" customHeight="1" x14ac:dyDescent="0.2">
      <c r="O21" s="155"/>
      <c r="P21" s="155"/>
      <c r="Q21" s="155"/>
    </row>
    <row r="22" spans="1:17" ht="20.100000000000001" customHeight="1" x14ac:dyDescent="0.2">
      <c r="D22" s="135" t="s">
        <v>566</v>
      </c>
    </row>
    <row r="23" spans="1:17" ht="20.100000000000001" customHeight="1" x14ac:dyDescent="0.2">
      <c r="A23" s="6" t="s">
        <v>2</v>
      </c>
      <c r="D23" s="136" t="s">
        <v>567</v>
      </c>
    </row>
    <row r="24" spans="1:17" ht="20.100000000000001" customHeight="1" x14ac:dyDescent="0.2">
      <c r="A24" s="5" t="str">
        <f>HYPERLINK("#'5.1.1.1-2 Inorganic fert N2O'!A1", "5.1.1.1-2 Inorganic fert N2O")</f>
        <v>5.1.1.1-2 Inorganic fert N2O</v>
      </c>
      <c r="D24" s="138" t="s">
        <v>568</v>
      </c>
      <c r="E24" s="138" t="s">
        <v>569</v>
      </c>
      <c r="F24" s="138" t="s">
        <v>570</v>
      </c>
      <c r="G24" s="138" t="s">
        <v>571</v>
      </c>
      <c r="H24" s="138" t="s">
        <v>572</v>
      </c>
      <c r="I24" s="138" t="s">
        <v>573</v>
      </c>
      <c r="J24" s="138" t="s">
        <v>574</v>
      </c>
      <c r="K24" s="138" t="s">
        <v>575</v>
      </c>
      <c r="L24" s="80" t="s">
        <v>576</v>
      </c>
      <c r="M24" s="138" t="s">
        <v>577</v>
      </c>
      <c r="N24" s="138" t="s">
        <v>578</v>
      </c>
      <c r="O24" s="138" t="s">
        <v>579</v>
      </c>
      <c r="P24" s="138" t="s">
        <v>580</v>
      </c>
      <c r="Q24" s="138" t="s">
        <v>581</v>
      </c>
    </row>
    <row r="25" spans="1:17" ht="20.100000000000001" customHeight="1" x14ac:dyDescent="0.2">
      <c r="A25" s="5" t="str">
        <f>HYPERLINK("#'5.1.1.3-4 Inorganic fert CO2'!A1", "5.1.1.3-4 Inorganic fert CO2")</f>
        <v>5.1.1.3-4 Inorganic fert CO2</v>
      </c>
      <c r="D25" s="25" t="str">
        <f>Table_FuelTypesPerUse[[#Headers],[Cars and light commercial vehicles]]</f>
        <v>Cars and light commercial vehicles</v>
      </c>
      <c r="E25" s="181" t="str">
        <f>'Constants - Fuel'!$E$10</f>
        <v>Gasoline</v>
      </c>
      <c r="F25" s="181"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182">
        <f>((($L25 * $G25 * $H25) * 10 ^ -3))</f>
        <v>0</v>
      </c>
      <c r="O25" s="182">
        <f>((($L25 * $G25 * $I25) * 10 ^ -3))</f>
        <v>0</v>
      </c>
      <c r="P25" s="182">
        <f>((($L25 * $G25 * $J25) * 10 ^ -3))</f>
        <v>0</v>
      </c>
      <c r="Q25" s="182">
        <f>((L25 * G25 * K25) * 10 ^ -3)</f>
        <v>0</v>
      </c>
    </row>
    <row r="26" spans="1:17" ht="20.100000000000001" customHeight="1" x14ac:dyDescent="0.2">
      <c r="A26" s="5" t="str">
        <f>HYPERLINK("#'5.2.1.1-2 Organic Fert N2O'!A1", "5.2.1.1-2 Organic fert N2O")</f>
        <v>5.2.1.1-2 Organic fert N2O</v>
      </c>
      <c r="D26" s="183" t="str">
        <f t="shared" ref="D26:D32" si="0">$D$25</f>
        <v>Cars and light commercial vehicles</v>
      </c>
      <c r="E26" s="181" t="str">
        <f>'Constants - Fuel'!$E$11</f>
        <v>Diesel oil</v>
      </c>
      <c r="F26" s="181"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1" cm="1">
        <f t="array" ref="L26">Fuel_InputFunctions.Fuel_TotalConsumption(Table_Input_Fuel[Amount consumed], Table_Input_Fuel[Fuel use (select)], D26, Table_Input_Fuel[Fuel type (select)],F26)</f>
        <v>10</v>
      </c>
      <c r="M26" s="161" t="str" cm="1">
        <f t="array" ref="M26">Common_InputFunctions.Utility_LookupValueInTable(F26,Table_FuelTypes_Units[Fuel type],Table_FuelTypes_Units[Unit])</f>
        <v>kL</v>
      </c>
      <c r="N26" s="182">
        <f>((($L26 * $G26 * $H26) * 10 ^ -3))</f>
        <v>26.981400000000001</v>
      </c>
      <c r="O26" s="182">
        <f>((($L26 * $G26 * $I26) * 10 ^ -3))</f>
        <v>3.8600000000000001E-3</v>
      </c>
      <c r="P26" s="182">
        <f>((($L26 * $G26 * $J26) * 10 ^ -3))</f>
        <v>0.193</v>
      </c>
      <c r="Q26" s="182">
        <f>((L26 * G26 * K26) * 10 ^ -3)</f>
        <v>6.6778000000000004</v>
      </c>
    </row>
    <row r="27" spans="1:17" ht="20.100000000000001" customHeight="1" x14ac:dyDescent="0.2">
      <c r="A27" s="5" t="str">
        <f>HYPERLINK("#'5.3.1.1-2 Lime CO2'!A1", "5.3.1.1-2 Lime CO2")</f>
        <v>5.3.1.1-2 Lime CO2</v>
      </c>
      <c r="D27" s="183" t="str">
        <f t="shared" si="0"/>
        <v>Cars and light commercial vehicles</v>
      </c>
      <c r="E27" s="181" t="str">
        <f>'Constants - Fuel'!$E$12</f>
        <v>Liquefied petroleum gas (LPG)</v>
      </c>
      <c r="F27" s="181"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182">
        <f>((($L27 * $G27 * $H27) * 10 ^ -3))</f>
        <v>0</v>
      </c>
      <c r="O27" s="182">
        <f>((($L27 * $G27 * $I27) * 10 ^ -3))</f>
        <v>0</v>
      </c>
      <c r="P27" s="182">
        <f>((($L27 * $G27 * $J27) * 10 ^ -3))</f>
        <v>0</v>
      </c>
      <c r="Q27" s="182">
        <f>((L27 * G27 * K27) * 10 ^ -3)</f>
        <v>0</v>
      </c>
    </row>
    <row r="28" spans="1:17" ht="20.100000000000001" customHeight="1" x14ac:dyDescent="0.2">
      <c r="A28" s="5" t="str">
        <f>HYPERLINK("#'5.4.1.1-4 Atmos deposition'!A1", "5.4.1.1-4 Atmos. deposition")</f>
        <v>5.4.1.1-4 Atmos. deposition</v>
      </c>
      <c r="D28" s="183" t="str">
        <f t="shared" si="0"/>
        <v>Cars and light commercial vehicles</v>
      </c>
      <c r="E28" s="181" t="str">
        <f>'Constants - Fuel'!$E$13</f>
        <v>Fuel oil</v>
      </c>
      <c r="F28" s="181"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182">
        <f>((($L28 * $G28 * $H28) * 10 ^ -3))</f>
        <v>0</v>
      </c>
      <c r="O28" s="182">
        <f>((($L28 * $G28 * $I28) * 10 ^ -3))</f>
        <v>0</v>
      </c>
      <c r="P28" s="182">
        <f>((($L28 * $G28 * $J28) * 10 ^ -3))</f>
        <v>0</v>
      </c>
      <c r="Q28" s="182">
        <f>((L28 * G28 * K28) * 10 ^ -3)</f>
        <v>0</v>
      </c>
    </row>
    <row r="29" spans="1:17" ht="20.100000000000001" customHeight="1" x14ac:dyDescent="0.2">
      <c r="A29" s="5" t="str">
        <f>HYPERLINK("#'5.5.1.1-2 Leaching and runoff'!A1", "5.5.1.1-2 Leaching &amp; runoff")</f>
        <v>5.5.1.1-2 Leaching &amp; runoff</v>
      </c>
      <c r="D29" s="183" t="str">
        <f t="shared" si="0"/>
        <v>Cars and light commercial vehicles</v>
      </c>
      <c r="E29" s="181" t="str">
        <f>'Constants - Fuel'!$E$14</f>
        <v>Ethanol</v>
      </c>
      <c r="F29" s="181"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182">
        <f>((($L29 * $G29 * $H29) * 10 ^ -3))</f>
        <v>0</v>
      </c>
      <c r="O29" s="182">
        <f>((($L29 * $G29 * $I29) * 10 ^ -3))</f>
        <v>0</v>
      </c>
      <c r="P29" s="182">
        <f>((($L29 * $G29 * $J29) * 10 ^ -3))</f>
        <v>0</v>
      </c>
      <c r="Q29" s="182">
        <f>((L29 * G29 * (IF(ISNUMBER(K29),K29,0))) * 10 ^ -3)</f>
        <v>0</v>
      </c>
    </row>
    <row r="30" spans="1:17" ht="20.100000000000001" customHeight="1" x14ac:dyDescent="0.2">
      <c r="A30" s="5" t="str">
        <f>HYPERLINK("#'6.1.1.1-2 Crop residue N2O'!A1", "6.1.1.1-2 Crop residue N2O")</f>
        <v>6.1.1.1-2 Crop residue N2O</v>
      </c>
      <c r="D30" s="183" t="str">
        <f t="shared" si="0"/>
        <v>Cars and light commercial vehicles</v>
      </c>
      <c r="E30" s="181" t="str">
        <f>'Constants - Fuel'!$E$15</f>
        <v>Biodiesel</v>
      </c>
      <c r="F30" s="181"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182">
        <f>((($L30 * $G30 * $H30) * 10 ^ -3))</f>
        <v>0</v>
      </c>
      <c r="O30" s="182">
        <f>((($L30 * $G30 * $I30) * 10 ^ -3))</f>
        <v>0</v>
      </c>
      <c r="P30" s="182">
        <f>((($L30 * $G30 * $J30) * 10 ^ -3))</f>
        <v>0</v>
      </c>
      <c r="Q30" s="182">
        <f>((L30 * G30 * (IF(ISNUMBER(K30),K30,0))) * 10 ^ -3)</f>
        <v>0</v>
      </c>
    </row>
    <row r="31" spans="1:17" ht="20.100000000000001" customHeight="1" x14ac:dyDescent="0.2">
      <c r="A31" s="5" t="str">
        <f>HYPERLINK("#'6.3.1.1-2 Leach runoff crop'!A1", "6.3.1.1-2 Leach &amp; runoff (crop)")</f>
        <v>6.3.1.1-2 Leach &amp; runoff (crop)</v>
      </c>
      <c r="D31" s="183" t="str">
        <f t="shared" si="0"/>
        <v>Cars and light commercial vehicles</v>
      </c>
      <c r="E31" s="181" t="str">
        <f>'Constants - Fuel'!$E$16</f>
        <v>Renewable diesel</v>
      </c>
      <c r="F31" s="181"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2">
        <f>((($L31 * $G31 * $H31) * 10 ^ -3))</f>
        <v>0</v>
      </c>
      <c r="O31" s="182">
        <f>((($L31 * $G31 * $I31) * 10 ^ -3))</f>
        <v>0</v>
      </c>
      <c r="P31" s="182">
        <f>((($L31 * $G31 * $J31) * 10 ^ -3))</f>
        <v>0</v>
      </c>
      <c r="Q31" s="182">
        <f>((L31 * G31 * (IF(ISNUMBER(K31),K31,0))) * 10 ^ -3)</f>
        <v>0</v>
      </c>
    </row>
    <row r="32" spans="1:17" ht="20.100000000000001" customHeight="1" x14ac:dyDescent="0.2">
      <c r="A32" s="5" t="str">
        <f>HYPERLINK("#'6.4.1.1-2 Residue burning'!A1", "6.4.1.1-2 Residue burning")</f>
        <v>6.4.1.1-2 Residue burning</v>
      </c>
      <c r="D32" s="183" t="str">
        <f t="shared" si="0"/>
        <v>Cars and light commercial vehicles</v>
      </c>
      <c r="E32" s="181" t="str">
        <f>'Constants - Fuel'!$E$17</f>
        <v>Other biofuels</v>
      </c>
      <c r="F32" s="181"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79" t="str" cm="1">
        <f t="array" ref="K32">IFERROR(_xlfn.XLOOKUP(1, (Table_Fuel_EFs_Transport[Fuel combusted]=$E32)*(Table_Fuel_EFs_Transport[Transport type]=$D$25), Table_Fuel_EFs_Transport[Scope 3 Emission Factor (kg CO2 - e / GJ)]), 0)</f>
        <v>NE</v>
      </c>
      <c r="L32" s="184" cm="1">
        <f t="array" ref="L32">Fuel_InputFunctions.Fuel_TotalConsumption(Table_Input_Fuel[Amount consumed], Table_Input_Fuel[Fuel use (select)], D32, Table_Input_Fuel[Fuel type (select)],F32)</f>
        <v>0</v>
      </c>
      <c r="M32" s="161" t="str" cm="1">
        <f t="array" ref="M32">Common_InputFunctions.Utility_LookupValueInTable(F32,Table_FuelTypes_Units[Fuel type],Table_FuelTypes_Units[Unit])</f>
        <v>kL</v>
      </c>
      <c r="N32" s="185">
        <f>((($L32 * $G32 * $H32) * 10 ^ -3))</f>
        <v>0</v>
      </c>
      <c r="O32" s="185">
        <f>((($L32 * $G32 * $I32) * 10 ^ -3))</f>
        <v>0</v>
      </c>
      <c r="P32" s="185">
        <f>((($L32 * $G32 * $J32) * 10 ^ -3))</f>
        <v>0</v>
      </c>
      <c r="Q32" s="182">
        <f>((L32 * G32 * (IF(ISNUMBER(K32),K32,0))) * 10 ^ -3)</f>
        <v>0</v>
      </c>
    </row>
    <row r="33" spans="1:17" ht="20.100000000000001" customHeight="1" x14ac:dyDescent="0.2">
      <c r="A33" s="144" t="str">
        <f>HYPERLINK("#'8.1.1.1-2 Transport fuel'!A1", "8.1.1.1-2 Transport fuel")</f>
        <v>8.1.1.1-2 Transport fuel</v>
      </c>
      <c r="D33" s="186" t="str">
        <f>Table_FuelTypesPerUse[[#Headers],[Off-road Agriculture and forestry equipment]]</f>
        <v>Off-road Agriculture and forestry equipment</v>
      </c>
      <c r="E33" s="187" t="str">
        <f>'Constants - Fuel'!$E$11</f>
        <v>Diesel oil</v>
      </c>
      <c r="F33" s="187" t="str">
        <f>'Constants - Fuel'!H131</f>
        <v>Diesel</v>
      </c>
      <c r="G33" s="188" cm="1">
        <f t="array" ref="G33">IFERROR(_xlfn.XLOOKUP(1, (Table_Fuel_EFs_Transport[Fuel combusted]=$E33)*(Table_Fuel_EFs_Transport[Transport type]=$D$33), Table_Fuel_EFs_Transport[Energy Content Factor (GJ per unit of fuel)]), 0)</f>
        <v>38.6</v>
      </c>
      <c r="H33" s="188" cm="1">
        <f t="array" ref="H33">IFERROR(_xlfn.XLOOKUP(1, (Table_Fuel_EFs_Transport[Fuel combusted]=$E33)*(Table_Fuel_EFs_Transport[Transport type]=$D$33), Table_Fuel_EFs_Transport[Scope 1 Emission Factor (kg CO2 - e / GJ) CO2]), 0)</f>
        <v>69.900000000000006</v>
      </c>
      <c r="I33" s="188" cm="1">
        <f t="array" ref="I33">IFERROR(_xlfn.XLOOKUP(1, (Table_Fuel_EFs_Transport[Fuel combusted]=$E33)*(Table_Fuel_EFs_Transport[Transport type]=$D$33), Table_Fuel_EFs_Transport[Scope 1 Emission Factor (kg CO2 - e / GJ) CH4]), 0)</f>
        <v>0.3</v>
      </c>
      <c r="J33" s="188" cm="1">
        <f t="array" ref="J33">IFERROR(_xlfn.XLOOKUP(1, (Table_Fuel_EFs_Transport[Fuel combusted]=$E33)*(Table_Fuel_EFs_Transport[Transport type]=$D$33), Table_Fuel_EFs_Transport[Scope 1 Emission Factor (kg CO2 - e / GJ) N2O]), 0)</f>
        <v>0.5</v>
      </c>
      <c r="K33" s="189" cm="1">
        <f t="array" ref="K33">IFERROR(_xlfn.XLOOKUP(1, (Table_Fuel_EFs_Transport[Fuel combusted]=$E33)*(Table_Fuel_EFs_Transport[Transport type]=$D$25), Table_Fuel_EFs_Transport[Scope 3 Emission Factor (kg CO2 - e / GJ)]), 0)</f>
        <v>17.3</v>
      </c>
      <c r="L33" s="190" cm="1">
        <f t="array" ref="L33">Fuel_InputFunctions.Fuel_TotalConsumption(Table_Input_Fuel[Amount consumed], Table_Input_Fuel[Fuel use (select)], D33, Table_Input_Fuel[Fuel type (select)],F33)</f>
        <v>10</v>
      </c>
      <c r="M33" s="191" t="str" cm="1">
        <f t="array" ref="M33">Common_InputFunctions.Utility_LookupValueInTable(F33,Table_FuelTypes_Units[Fuel type],Table_FuelTypes_Units[Unit])</f>
        <v>kL</v>
      </c>
      <c r="N33" s="192">
        <f>((($L33 * $G33 * $H33) * 10 ^ -3))</f>
        <v>26.981400000000001</v>
      </c>
      <c r="O33" s="192">
        <f>((($L33 * $G33 * $I33) * 10 ^ -3))</f>
        <v>0.1158</v>
      </c>
      <c r="P33" s="192">
        <f>((($L33 * $G33 * $J33) * 10 ^ -3))</f>
        <v>0.193</v>
      </c>
      <c r="Q33" s="193">
        <f>((L33 * G33 * K33) * 10 ^ -3)</f>
        <v>6.6778000000000004</v>
      </c>
    </row>
    <row r="34" spans="1:17" ht="20.100000000000001" customHeight="1" x14ac:dyDescent="0.2">
      <c r="A34" s="5" t="str">
        <f>HYPERLINK("#'8.2.1.1-2 Stationary fuel'!A1", "8.2.1.1-2 Stationary fuel")</f>
        <v>8.2.1.1-2 Stationary fuel</v>
      </c>
      <c r="D34" s="186" t="str">
        <f>Table_FuelTypesPerUse[[#Headers],[Aviation]]</f>
        <v>Aviation</v>
      </c>
      <c r="E34" s="187" t="str">
        <f>'Constants - Fuel'!$E$28</f>
        <v>Gasoline for use as fuel in an aircraft</v>
      </c>
      <c r="F34" s="187" t="str">
        <f>'Constants - Fuel'!$F$131</f>
        <v>Avgas</v>
      </c>
      <c r="G34" s="194" cm="1">
        <f t="array" ref="G34">IFERROR(_xlfn.XLOOKUP(1, (Table_Fuel_EFs_Transport[Fuel combusted]=$E34)*(Table_Fuel_EFs_Transport[Transport type]=$D$34), Table_Fuel_EFs_Transport[Energy Content Factor (GJ per unit of fuel)]), 0)</f>
        <v>33.1</v>
      </c>
      <c r="H34" s="194" cm="1">
        <f t="array" ref="H34">IFERROR(_xlfn.XLOOKUP(1, (Table_Fuel_EFs_Transport[Fuel combusted]=$E34)*(Table_Fuel_EFs_Transport[Transport type]=$D$34), Table_Fuel_EFs_Transport[Scope 1 Emission Factor (kg CO2 - e / GJ) CO2]), 0)</f>
        <v>67</v>
      </c>
      <c r="I34" s="194" cm="1">
        <f t="array" ref="I34">IFERROR(_xlfn.XLOOKUP(1, (Table_Fuel_EFs_Transport[Fuel combusted]=$E34)*(Table_Fuel_EFs_Transport[Transport type]=$D$34), Table_Fuel_EFs_Transport[Scope 1 Emission Factor (kg CO2 - e / GJ) CH4]), 0)</f>
        <v>0.06</v>
      </c>
      <c r="J34" s="194" cm="1">
        <f t="array" ref="J34">IFERROR(_xlfn.XLOOKUP(1, (Table_Fuel_EFs_Transport[Fuel combusted]=$E34)*(Table_Fuel_EFs_Transport[Transport type]=$D$34), Table_Fuel_EFs_Transport[Scope 1 Emission Factor (kg CO2 - e / GJ) N2O]), 0)</f>
        <v>0.6</v>
      </c>
      <c r="K34" s="194" cm="1">
        <f t="array" ref="K34">IFERROR(_xlfn.XLOOKUP(1, (Table_Fuel_EFs_Transport[Fuel combusted]=$E34)*(Table_Fuel_EFs_Transport[Transport type]=$D$25), Table_Fuel_EFs_Transport[Scope 3 Emission Factor (kg CO2 - e / GJ)]), 0)</f>
        <v>0</v>
      </c>
      <c r="L34" s="191" cm="1">
        <f t="array" ref="L34">Fuel_InputFunctions.Fuel_TotalConsumption(Table_Input_Fuel[Amount consumed], Table_Input_Fuel[Fuel use (select)], D34, Table_Input_Fuel[Fuel type (select)],F34)</f>
        <v>0</v>
      </c>
      <c r="M34" s="191" t="str" cm="1">
        <f t="array" ref="M34">Common_InputFunctions.Utility_LookupValueInTable(F34,Table_FuelTypes_Units[Fuel type],Table_FuelTypes_Units[Unit])</f>
        <v>kL</v>
      </c>
      <c r="N34" s="192">
        <f>((($L34 * $G34 * $H34) * 10 ^ -3))</f>
        <v>0</v>
      </c>
      <c r="O34" s="192">
        <f>((($L34 * $G34 * $I34) * 10 ^ -3))</f>
        <v>0</v>
      </c>
      <c r="P34" s="192">
        <f>((($L34 * $G34 * $J34) * 10 ^ -3))</f>
        <v>0</v>
      </c>
      <c r="Q34" s="192">
        <f>((L34 * G34 * K34) * 10 ^ -3)</f>
        <v>0</v>
      </c>
    </row>
    <row r="35" spans="1:17" ht="20.100000000000001" customHeight="1" x14ac:dyDescent="0.2">
      <c r="A35" s="5" t="str">
        <f>HYPERLINK("#'10.1.1-2 Solid waste treatment'!A1", "10.1.1.1-2 Solid waste")</f>
        <v>10.1.1.1-2 Solid waste</v>
      </c>
      <c r="D35" s="183" t="str">
        <f>$D$34</f>
        <v>Aviation</v>
      </c>
      <c r="E35" s="181" t="str">
        <f>'Constants - Fuel'!$E$29</f>
        <v>Kerosene for use as fuel in an aircraft</v>
      </c>
      <c r="F35" s="181"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1" cm="1">
        <f t="array" ref="L35">Fuel_InputFunctions.Fuel_TotalConsumption(Table_Input_Fuel[Amount consumed], Table_Input_Fuel[Fuel use (select)], D35, Table_Input_Fuel[Fuel type (select)],F35)</f>
        <v>0</v>
      </c>
      <c r="M35" s="161" t="str" cm="1">
        <f t="array" ref="M35">Common_InputFunctions.Utility_LookupValueInTable(F35,Table_FuelTypes_Units[Fuel type],Table_FuelTypes_Units[Unit])</f>
        <v>kL</v>
      </c>
      <c r="N35" s="182">
        <f>((($L35 * $G35 * $H35) * 10 ^ -3))</f>
        <v>0</v>
      </c>
      <c r="O35" s="182">
        <f>((($L35 * $G35 * $I35) * 10 ^ -3))</f>
        <v>0</v>
      </c>
      <c r="P35" s="182">
        <f>((($L35 * $G35 * $J35) * 10 ^ -3))</f>
        <v>0</v>
      </c>
      <c r="Q35" s="182">
        <f>((L35 * G35 * K35) * 10 ^ -3)</f>
        <v>0</v>
      </c>
    </row>
    <row r="36" spans="1:17" ht="20.100000000000001" customHeight="1" x14ac:dyDescent="0.2">
      <c r="A36" s="5" t="str">
        <f>HYPERLINK("#'14.1.1-2 Purchased electricity'!A1", "14.1.1-2 Purchased electricity")</f>
        <v>14.1.1-2 Purchased electricity</v>
      </c>
      <c r="D36" s="183" t="str">
        <f>$D$34</f>
        <v>Aviation</v>
      </c>
      <c r="E36" s="181" t="str">
        <f>'Constants - Fuel'!$E$30</f>
        <v>Renewable aviation kerosene</v>
      </c>
      <c r="F36" s="181" t="str">
        <f>'Constants - Fuel'!$F$133</f>
        <v>Renewable aviation kerosene</v>
      </c>
      <c r="G36" s="179" cm="1">
        <f t="array" ref="G36">IFERROR(_xlfn.XLOOKUP(1, (Table_Fuel_EFs_Transport[Fuel combusted]=$E36)*(Table_Fuel_EFs_Transport[Transport type]=$D$34), Table_Fuel_EFs_Transport[Energy Content Factor (GJ per unit of fuel)]), 0)</f>
        <v>36.799999999999997</v>
      </c>
      <c r="H36" s="179" cm="1">
        <f t="array" ref="H36">IFERROR(_xlfn.XLOOKUP(1, (Table_Fuel_EFs_Transport[Fuel combusted]=$E36)*(Table_Fuel_EFs_Transport[Transport type]=$D$34), Table_Fuel_EFs_Transport[Scope 1 Emission Factor (kg CO2 - e / GJ) CO2]), 0)</f>
        <v>0</v>
      </c>
      <c r="I36" s="179" cm="1">
        <f t="array" ref="I36">IFERROR(_xlfn.XLOOKUP(1, (Table_Fuel_EFs_Transport[Fuel combusted]=$E36)*(Table_Fuel_EFs_Transport[Transport type]=$D$34), Table_Fuel_EFs_Transport[Scope 1 Emission Factor (kg CO2 - e / GJ) CH4]), 0)</f>
        <v>0.01</v>
      </c>
      <c r="J36" s="179" cm="1">
        <f t="array" ref="J36">IFERROR(_xlfn.XLOOKUP(1, (Table_Fuel_EFs_Transport[Fuel combusted]=$E36)*(Table_Fuel_EFs_Transport[Transport type]=$D$34), Table_Fuel_EFs_Transport[Scope 1 Emission Factor (kg CO2 - e / GJ) N2O]), 0)</f>
        <v>0.6</v>
      </c>
      <c r="K36" s="179" cm="1">
        <f t="array" ref="K36">IFERROR(_xlfn.XLOOKUP(1, (Table_Fuel_EFs_Transport[Fuel combusted]=$E36)*(Table_Fuel_EFs_Transport[Transport type]=$D$25), Table_Fuel_EFs_Transport[Scope 3 Emission Factor (kg CO2 - e / GJ)]), 0)</f>
        <v>0</v>
      </c>
      <c r="L36" s="184" cm="1">
        <f t="array" ref="L36">Fuel_InputFunctions.Fuel_TotalConsumption(Table_Input_Fuel[Amount consumed], Table_Input_Fuel[Fuel use (select)], D36, Table_Input_Fuel[Fuel type (select)],F36)</f>
        <v>0</v>
      </c>
      <c r="M36" s="161" t="str" cm="1">
        <f t="array" ref="M36">Common_InputFunctions.Utility_LookupValueInTable(F36,Table_FuelTypes_Units[Fuel type],Table_FuelTypes_Units[Unit])</f>
        <v>kL</v>
      </c>
      <c r="N36" s="182">
        <f>((($L36 * $G36 * $H36) * 10 ^ -3))</f>
        <v>0</v>
      </c>
      <c r="O36" s="182">
        <f>((($L36 * $G36 * $I36) * 10 ^ -3))</f>
        <v>0</v>
      </c>
      <c r="P36" s="182">
        <f>((($L36 * $G36 * $J36) * 10 ^ -3))</f>
        <v>0</v>
      </c>
      <c r="Q36" s="185">
        <f>((L36 * G36 * K36) * 10 ^ -3)</f>
        <v>0</v>
      </c>
    </row>
    <row r="37" spans="1:17" ht="20.100000000000001" customHeight="1" x14ac:dyDescent="0.2">
      <c r="A37" s="5" t="str">
        <f>HYPERLINK("#'15 Scope 3'!A1", "15 Scope 3")</f>
        <v>15 Scope 3</v>
      </c>
      <c r="D37" s="186" t="str">
        <f>Table_FuelTypesPerUse[[#Headers],[Vessels]]</f>
        <v>Vessels</v>
      </c>
      <c r="E37" s="187" t="str">
        <f>'Constants - Fuel'!$E$10</f>
        <v>Gasoline</v>
      </c>
      <c r="F37" s="187" t="str">
        <f>'Constants - Fuel'!$I$131</f>
        <v>Petrol</v>
      </c>
      <c r="G37" s="194" cm="1">
        <f t="array" ref="G37">IFERROR(_xlfn.XLOOKUP(1, (Table_Fuel_EFs_Transport[Fuel combusted]=$E37)*(Table_Fuel_EFs_Transport[Transport type]=$D$37), Table_Fuel_EFs_Transport[Energy Content Factor (GJ per unit of fuel)]), 0)</f>
        <v>34.200000000000003</v>
      </c>
      <c r="H37" s="194" cm="1">
        <f t="array" ref="H37">IFERROR(_xlfn.XLOOKUP(1, (Table_Fuel_EFs_Transport[Fuel combusted]=$E37)*(Table_Fuel_EFs_Transport[Transport type]=$D$37), Table_Fuel_EFs_Transport[Scope 1 Emission Factor (kg CO2 - e / GJ) CO2]), 0)</f>
        <v>67.400000000000006</v>
      </c>
      <c r="I37" s="194" cm="1">
        <f t="array" ref="I37">IFERROR(_xlfn.XLOOKUP(1, (Table_Fuel_EFs_Transport[Fuel combusted]=$E37)*(Table_Fuel_EFs_Transport[Transport type]=$D$37), Table_Fuel_EFs_Transport[Scope 1 Emission Factor (kg CO2 - e / GJ) CH4]), 0)</f>
        <v>10.1</v>
      </c>
      <c r="J37" s="194" cm="1">
        <f t="array" ref="J37">IFERROR(_xlfn.XLOOKUP(1, (Table_Fuel_EFs_Transport[Fuel combusted]=$E37)*(Table_Fuel_EFs_Transport[Transport type]=$D$37), Table_Fuel_EFs_Transport[Scope 1 Emission Factor (kg CO2 - e / GJ) N2O]), 0)</f>
        <v>0.3</v>
      </c>
      <c r="K37" s="194" cm="1">
        <f t="array" ref="K37">IFERROR(_xlfn.XLOOKUP(1, (Table_Fuel_EFs_Transport[Fuel combusted]=$E37)*(Table_Fuel_EFs_Transport[Transport type]=$D$25), Table_Fuel_EFs_Transport[Scope 3 Emission Factor (kg CO2 - e / GJ)]), 0)</f>
        <v>17.2</v>
      </c>
      <c r="L37" s="191" cm="1">
        <f t="array" ref="L37">Fuel_InputFunctions.Fuel_TotalConsumption(Table_Input_Fuel[Amount consumed], Table_Input_Fuel[Fuel use (select)], D37, Table_Input_Fuel[Fuel type (select)],F37)</f>
        <v>0</v>
      </c>
      <c r="M37" s="195" t="str" cm="1">
        <f t="array" ref="M37">Common_InputFunctions.Utility_LookupValueInTable(F37,Table_FuelTypes_Units[Fuel type],Table_FuelTypes_Units[Unit])</f>
        <v>kL</v>
      </c>
      <c r="N37" s="192">
        <f>((($L37 * $G37 * $H37) * 10 ^ -3))</f>
        <v>0</v>
      </c>
      <c r="O37" s="192">
        <f>((($L37 * $G37 * $I37) * 10 ^ -3))</f>
        <v>0</v>
      </c>
      <c r="P37" s="192">
        <f>((($L37 * $G37 * $J37) * 10 ^ -3))</f>
        <v>0</v>
      </c>
      <c r="Q37" s="192">
        <f>((L37 * G37 * K37) * 10 ^ -3)</f>
        <v>0</v>
      </c>
    </row>
    <row r="38" spans="1:17" ht="20.100000000000001" customHeight="1" x14ac:dyDescent="0.2">
      <c r="D38" s="183" t="str">
        <f>$D$37</f>
        <v>Vessels</v>
      </c>
      <c r="E38" s="181" t="str">
        <f>'Constants - Fuel'!$E$11</f>
        <v>Diesel oil</v>
      </c>
      <c r="F38" s="181"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1" cm="1">
        <f t="array" ref="L38">Fuel_InputFunctions.Fuel_TotalConsumption(Table_Input_Fuel[Amount consumed], Table_Input_Fuel[Fuel use (select)], D38, Table_Input_Fuel[Fuel type (select)],F38)</f>
        <v>0</v>
      </c>
      <c r="M38" s="161" t="str" cm="1">
        <f t="array" ref="M38">Common_InputFunctions.Utility_LookupValueInTable(F38,Table_FuelTypes_Units[Fuel type],Table_FuelTypes_Units[Unit])</f>
        <v>kL</v>
      </c>
      <c r="N38" s="182">
        <f>((($L38 * $G38 * $H38) * 10 ^ -3))</f>
        <v>0</v>
      </c>
      <c r="O38" s="182">
        <f>((($L38 * $G38 * $I38) * 10 ^ -3))</f>
        <v>0</v>
      </c>
      <c r="P38" s="182">
        <f>((($L38 * $G38 * $J38) * 10 ^ -3))</f>
        <v>0</v>
      </c>
      <c r="Q38" s="182">
        <f>((L38 * G38 * K38) * 10 ^ -3)</f>
        <v>0</v>
      </c>
    </row>
    <row r="39" spans="1:17" ht="20.100000000000001" customHeight="1" x14ac:dyDescent="0.2">
      <c r="D39" s="183" t="str">
        <f>$D$37</f>
        <v>Vessels</v>
      </c>
      <c r="E39" s="181" t="str">
        <f>'Constants - Fuel'!E33</f>
        <v>Fuel Oil</v>
      </c>
      <c r="F39" s="181"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1" cm="1">
        <f t="array" ref="L39">Fuel_InputFunctions.Fuel_TotalConsumption(Table_Input_Fuel[Amount consumed], Table_Input_Fuel[Fuel use (select)], D39, Table_Input_Fuel[Fuel type (select)],F39)</f>
        <v>10</v>
      </c>
      <c r="M39" s="161" t="str" cm="1">
        <f t="array" ref="M39">Common_InputFunctions.Utility_LookupValueInTable(F39,Table_FuelTypes_Units[Fuel type],Table_FuelTypes_Units[Unit])</f>
        <v>kL</v>
      </c>
      <c r="N39" s="182">
        <f>((($L39 * $G39 * $H39) * 10 ^ -3))</f>
        <v>29.219199999999997</v>
      </c>
      <c r="O39" s="182">
        <f>((($L39 * $G39 * $I39) * 10 ^ -3))</f>
        <v>7.9400000000000012E-2</v>
      </c>
      <c r="P39" s="182">
        <f>((($L39 * $G39 * $J39) * 10 ^ -3))</f>
        <v>0.19850000000000001</v>
      </c>
      <c r="Q39" s="182">
        <f>((L39 * G39 * K39) * 10 ^ -3)</f>
        <v>7.1459999999999999</v>
      </c>
    </row>
    <row r="40" spans="1:17" ht="20.100000000000001" customHeight="1" x14ac:dyDescent="0.2">
      <c r="A40" s="82" t="s">
        <v>1</v>
      </c>
      <c r="H40" s="155"/>
      <c r="I40" s="155"/>
      <c r="J40" s="155"/>
      <c r="L40" s="155"/>
      <c r="M40" s="155"/>
      <c r="N40" s="155"/>
      <c r="O40" s="155"/>
      <c r="P40" s="155"/>
      <c r="Q40" s="155"/>
    </row>
    <row r="41" spans="1:17" ht="20.100000000000001" customHeight="1" x14ac:dyDescent="0.2">
      <c r="A41" s="5" t="str">
        <f>HYPERLINK("#'Constants - Ag Residue'!A1", "Constants - Ag residue")</f>
        <v>Constants - Ag residue</v>
      </c>
      <c r="H41" s="155"/>
      <c r="I41" s="155"/>
      <c r="J41" s="155"/>
      <c r="L41" s="155"/>
      <c r="M41" s="155"/>
      <c r="N41" s="155"/>
      <c r="O41" s="155"/>
      <c r="P41" s="155"/>
      <c r="Q41" s="155"/>
    </row>
    <row r="42" spans="1:17" ht="20.100000000000001" customHeight="1" x14ac:dyDescent="0.2">
      <c r="A42" s="5" t="str">
        <f>HYPERLINK("#'Constants - Electricity'!A1", "Constants - Electricity")</f>
        <v>Constants - Electricity</v>
      </c>
      <c r="D42" s="196" t="str">
        <f>"Total scope 1 - " &amp; D25</f>
        <v>Total scope 1 - Cars and light commercial vehicles</v>
      </c>
      <c r="E42" s="197"/>
      <c r="F42" s="198"/>
    </row>
    <row r="43" spans="1:17" ht="20.100000000000001" customHeight="1" x14ac:dyDescent="0.2">
      <c r="A43" s="5" t="str">
        <f>HYPERLINK("#'Constants - Fertiliser'!A1", "Constants - Fertiliser")</f>
        <v>Constants - Fertiliser</v>
      </c>
      <c r="D43" s="25" t="s">
        <v>582</v>
      </c>
      <c r="E43" s="199">
        <f>SUM(N25:N32)+N("Partial sum")</f>
        <v>26.981400000000001</v>
      </c>
      <c r="F43" s="16" t="str">
        <f>$E$12</f>
        <v>t CO2-e</v>
      </c>
    </row>
    <row r="44" spans="1:17" ht="20.100000000000001" customHeight="1" x14ac:dyDescent="0.2">
      <c r="A44" s="5" t="str">
        <f>HYPERLINK("#'Constants - Fuel'!A1", "Constants - Fuel")</f>
        <v>Constants - Fuel</v>
      </c>
      <c r="D44" s="25" t="s">
        <v>583</v>
      </c>
      <c r="E44" s="199">
        <f>SUM(O25:O32)+N("Partial sum")</f>
        <v>3.8600000000000001E-3</v>
      </c>
      <c r="F44" s="16" t="str">
        <f t="shared" ref="F44:F46" si="1">$E$12</f>
        <v>t CO2-e</v>
      </c>
    </row>
    <row r="45" spans="1:17" ht="20.100000000000001" customHeight="1" x14ac:dyDescent="0.2">
      <c r="A45" s="5" t="str">
        <f>HYPERLINK("#'Constants - Scope 3'!A1", "Constants - Scope 3")</f>
        <v>Constants - Scope 3</v>
      </c>
      <c r="D45" s="25" t="s">
        <v>584</v>
      </c>
      <c r="E45" s="199">
        <f>SUM(P25:P32)+N("Partial sum")</f>
        <v>0.193</v>
      </c>
      <c r="F45" s="16" t="str">
        <f t="shared" si="1"/>
        <v>t CO2-e</v>
      </c>
    </row>
    <row r="46" spans="1:17" ht="20.100000000000001" customHeight="1" x14ac:dyDescent="0.2">
      <c r="A46" s="5" t="str">
        <f>HYPERLINK("#'Constants - Solid Waste'!A1", "Constants - Solid Waste")</f>
        <v>Constants - Solid Waste</v>
      </c>
      <c r="D46" s="25" t="s">
        <v>275</v>
      </c>
      <c r="E46" s="199">
        <f>SUM(Q25:Q32)+N("Partial sum")</f>
        <v>6.6778000000000004</v>
      </c>
      <c r="F46" s="16" t="str">
        <f t="shared" si="1"/>
        <v>t CO2-e</v>
      </c>
    </row>
    <row r="47" spans="1:17" ht="20.100000000000001" customHeight="1" x14ac:dyDescent="0.2">
      <c r="A47" s="5" t="str">
        <f>HYPERLINK("#'Constants - Common'!A1", "Constants - Common")</f>
        <v>Constants - Common</v>
      </c>
      <c r="D47" s="155"/>
      <c r="E47" s="155"/>
      <c r="F47" s="155"/>
    </row>
    <row r="48" spans="1:17" ht="20.100000000000001" customHeight="1" x14ac:dyDescent="0.2">
      <c r="A48" s="5" t="str">
        <f>HYPERLINK("#'Constants - Common Livestock'!A1", "Constants - Common Livestock")</f>
        <v>Constants - Common Livestock</v>
      </c>
      <c r="D48" s="196" t="str">
        <f>"Total scope 1 - " &amp; D33</f>
        <v>Total scope 1 - Off-road Agriculture and forestry equipment</v>
      </c>
      <c r="E48" s="200"/>
      <c r="F48" s="198"/>
      <c r="H48" s="155"/>
      <c r="I48" s="155"/>
      <c r="J48" s="155"/>
      <c r="L48" s="155"/>
      <c r="M48" s="155"/>
      <c r="N48" s="155"/>
      <c r="O48" s="155"/>
      <c r="P48" s="155"/>
      <c r="Q48" s="155"/>
    </row>
    <row r="49" spans="1:17" ht="20.100000000000001" customHeight="1" x14ac:dyDescent="0.2">
      <c r="D49" s="25" t="s">
        <v>582</v>
      </c>
      <c r="E49" s="199">
        <f>SUM(N33:N33)+N("Partial sum")</f>
        <v>26.981400000000001</v>
      </c>
      <c r="F49" s="16" t="str">
        <f t="shared" ref="F49:F52" si="2">$E$12</f>
        <v>t CO2-e</v>
      </c>
      <c r="H49" s="155"/>
      <c r="I49" s="155"/>
      <c r="J49" s="155"/>
      <c r="L49" s="155"/>
      <c r="M49" s="155"/>
      <c r="N49" s="155"/>
      <c r="O49" s="155"/>
      <c r="P49" s="155"/>
      <c r="Q49" s="155"/>
    </row>
    <row r="50" spans="1:17" ht="20.100000000000001" customHeight="1" x14ac:dyDescent="0.2">
      <c r="D50" s="25" t="s">
        <v>583</v>
      </c>
      <c r="E50" s="199">
        <f>SUM(O33:O33)+N("Partial sum")</f>
        <v>0.1158</v>
      </c>
      <c r="F50" s="16" t="str">
        <f t="shared" si="2"/>
        <v>t CO2-e</v>
      </c>
      <c r="H50" s="155"/>
      <c r="I50" s="155"/>
      <c r="J50" s="155"/>
      <c r="L50" s="155"/>
      <c r="M50" s="155"/>
      <c r="N50" s="155"/>
      <c r="O50" s="155"/>
      <c r="P50" s="155"/>
      <c r="Q50" s="155"/>
    </row>
    <row r="51" spans="1:17" ht="20.100000000000001" customHeight="1" x14ac:dyDescent="0.2">
      <c r="D51" s="25" t="s">
        <v>584</v>
      </c>
      <c r="E51" s="199">
        <f>SUM(P33:P33)+N("Partial sum")</f>
        <v>0.193</v>
      </c>
      <c r="F51" s="16" t="str">
        <f t="shared" si="2"/>
        <v>t CO2-e</v>
      </c>
      <c r="H51" s="155"/>
      <c r="I51" s="155"/>
      <c r="J51" s="155"/>
      <c r="L51" s="155"/>
      <c r="M51" s="155"/>
      <c r="N51" s="155"/>
      <c r="O51" s="155"/>
      <c r="P51" s="155"/>
      <c r="Q51" s="155"/>
    </row>
    <row r="52" spans="1:17" ht="20.100000000000001" customHeight="1" x14ac:dyDescent="0.2">
      <c r="D52" s="25" t="s">
        <v>275</v>
      </c>
      <c r="E52" s="199">
        <f>SUM(Q33)+N("Partial sum")</f>
        <v>6.6778000000000004</v>
      </c>
      <c r="F52" s="16" t="str">
        <f t="shared" si="2"/>
        <v>t CO2-e</v>
      </c>
      <c r="H52" s="155"/>
      <c r="I52" s="155"/>
      <c r="J52" s="155"/>
      <c r="L52" s="155"/>
      <c r="M52" s="155"/>
      <c r="N52" s="155"/>
      <c r="O52" s="155"/>
      <c r="P52" s="155"/>
      <c r="Q52" s="155"/>
    </row>
    <row r="53" spans="1:17" ht="20.100000000000001" customHeight="1" x14ac:dyDescent="0.2">
      <c r="D53" s="155"/>
      <c r="E53" s="201"/>
      <c r="F53" s="155"/>
      <c r="G53" s="155"/>
      <c r="H53" s="155"/>
      <c r="I53" s="155"/>
      <c r="J53" s="155"/>
      <c r="L53" s="155"/>
      <c r="M53" s="155"/>
      <c r="N53" s="155"/>
      <c r="O53" s="155"/>
      <c r="P53" s="155"/>
      <c r="Q53" s="155"/>
    </row>
    <row r="54" spans="1:17" ht="20.100000000000001" customHeight="1" x14ac:dyDescent="0.2">
      <c r="D54" s="196" t="str">
        <f>"Total scope 1 - " &amp; D34</f>
        <v>Total scope 1 - Aviation</v>
      </c>
      <c r="E54" s="200"/>
      <c r="F54" s="198"/>
      <c r="G54" s="155"/>
      <c r="H54" s="155"/>
      <c r="I54" s="155"/>
      <c r="J54" s="155"/>
      <c r="L54" s="155"/>
      <c r="M54" s="155"/>
      <c r="N54" s="155"/>
      <c r="O54" s="155"/>
      <c r="P54" s="155"/>
      <c r="Q54" s="155"/>
    </row>
    <row r="55" spans="1:17" ht="20.100000000000001" customHeight="1" x14ac:dyDescent="0.2">
      <c r="D55" s="25" t="s">
        <v>582</v>
      </c>
      <c r="E55" s="199">
        <f>SUM(N34:N36)+N("Partial sum")</f>
        <v>0</v>
      </c>
      <c r="F55" s="16" t="str">
        <f t="shared" ref="F55:F58" si="3">$E$12</f>
        <v>t CO2-e</v>
      </c>
      <c r="G55" s="155"/>
      <c r="H55" s="155"/>
      <c r="I55" s="155"/>
      <c r="J55" s="155"/>
      <c r="L55" s="155"/>
      <c r="M55" s="155"/>
      <c r="N55" s="155"/>
      <c r="O55" s="155"/>
      <c r="P55" s="155"/>
      <c r="Q55" s="155"/>
    </row>
    <row r="56" spans="1:17" ht="20.100000000000001" customHeight="1" x14ac:dyDescent="0.2">
      <c r="D56" s="25" t="s">
        <v>583</v>
      </c>
      <c r="E56" s="199">
        <f>SUM(O34:O36)+N("Partial sum")</f>
        <v>0</v>
      </c>
      <c r="F56" s="16" t="str">
        <f t="shared" si="3"/>
        <v>t CO2-e</v>
      </c>
      <c r="G56" s="155"/>
      <c r="H56" s="155"/>
      <c r="I56" s="155"/>
      <c r="J56" s="155"/>
      <c r="L56" s="155"/>
      <c r="M56" s="155"/>
      <c r="N56" s="155"/>
      <c r="O56" s="155"/>
      <c r="P56" s="155"/>
      <c r="Q56" s="155"/>
    </row>
    <row r="57" spans="1:17" ht="20.100000000000001" customHeight="1" x14ac:dyDescent="0.2">
      <c r="D57" s="25" t="s">
        <v>584</v>
      </c>
      <c r="E57" s="199">
        <f>SUM(P34:P36)+N("Partial sum")</f>
        <v>0</v>
      </c>
      <c r="F57" s="16" t="str">
        <f t="shared" si="3"/>
        <v>t CO2-e</v>
      </c>
      <c r="G57" s="155"/>
      <c r="H57" s="155"/>
      <c r="I57" s="155"/>
      <c r="J57" s="155"/>
      <c r="L57" s="155"/>
      <c r="M57" s="155"/>
      <c r="N57" s="155"/>
      <c r="O57" s="155"/>
      <c r="P57" s="155"/>
      <c r="Q57" s="155"/>
    </row>
    <row r="58" spans="1:17" ht="20.100000000000001" customHeight="1" x14ac:dyDescent="0.2">
      <c r="D58" s="25" t="s">
        <v>275</v>
      </c>
      <c r="E58" s="199">
        <f>SUM(Q34:Q36)+N("Partial sum")</f>
        <v>0</v>
      </c>
      <c r="F58" s="16" t="str">
        <f t="shared" si="3"/>
        <v>t CO2-e</v>
      </c>
      <c r="G58" s="155"/>
      <c r="H58" s="155"/>
      <c r="I58" s="155"/>
      <c r="J58" s="155"/>
      <c r="L58" s="155"/>
      <c r="M58" s="155"/>
      <c r="N58" s="155"/>
      <c r="O58" s="155"/>
      <c r="P58" s="155"/>
      <c r="Q58" s="155"/>
    </row>
    <row r="59" spans="1:17" ht="20.100000000000001" customHeight="1" x14ac:dyDescent="0.2">
      <c r="A59" s="81" t="str">
        <f>HYPERLINK("#A1", "▲ Back to top")</f>
        <v>▲ Back to top</v>
      </c>
      <c r="D59" s="155"/>
      <c r="E59" s="201"/>
      <c r="F59" s="155"/>
      <c r="G59" s="155"/>
      <c r="H59" s="155"/>
      <c r="I59" s="155"/>
      <c r="J59" s="155"/>
      <c r="L59" s="155"/>
      <c r="M59" s="155"/>
      <c r="N59" s="155"/>
      <c r="O59" s="155"/>
      <c r="P59" s="155"/>
      <c r="Q59" s="155"/>
    </row>
    <row r="60" spans="1:17" ht="20.100000000000001" customHeight="1" x14ac:dyDescent="0.2">
      <c r="D60" s="196" t="str">
        <f>"Total scope 1 - " &amp; D37</f>
        <v>Total scope 1 - Vessels</v>
      </c>
      <c r="E60" s="200"/>
      <c r="F60" s="198"/>
      <c r="G60" s="155"/>
      <c r="H60" s="155"/>
      <c r="I60" s="155"/>
      <c r="J60" s="155"/>
      <c r="L60" s="155"/>
      <c r="M60" s="155"/>
      <c r="N60" s="155"/>
      <c r="O60" s="155"/>
      <c r="P60" s="155"/>
      <c r="Q60" s="155"/>
    </row>
    <row r="61" spans="1:17" ht="20.100000000000001" customHeight="1" x14ac:dyDescent="0.2">
      <c r="D61" s="25" t="s">
        <v>582</v>
      </c>
      <c r="E61" s="199">
        <f>SUM(N37:N39)+N("Partial sum")</f>
        <v>29.219199999999997</v>
      </c>
      <c r="F61" s="16" t="str">
        <f t="shared" ref="F61:F64" si="4">$E$12</f>
        <v>t CO2-e</v>
      </c>
      <c r="G61" s="155"/>
      <c r="H61" s="155"/>
      <c r="I61" s="155"/>
      <c r="J61" s="155"/>
      <c r="L61" s="155"/>
      <c r="M61" s="155"/>
      <c r="N61" s="155"/>
      <c r="O61" s="155"/>
      <c r="P61" s="155"/>
      <c r="Q61" s="155"/>
    </row>
    <row r="62" spans="1:17" ht="20.100000000000001" customHeight="1" x14ac:dyDescent="0.2">
      <c r="D62" s="25" t="s">
        <v>583</v>
      </c>
      <c r="E62" s="199">
        <f>SUM(O37:O39)+N("Partial sum")</f>
        <v>7.9400000000000012E-2</v>
      </c>
      <c r="F62" s="16" t="str">
        <f t="shared" si="4"/>
        <v>t CO2-e</v>
      </c>
      <c r="G62" s="155"/>
      <c r="H62" s="155"/>
      <c r="I62" s="155"/>
      <c r="J62" s="155"/>
      <c r="L62" s="155"/>
      <c r="M62" s="155"/>
      <c r="N62" s="155"/>
      <c r="O62" s="155"/>
      <c r="P62" s="155"/>
      <c r="Q62" s="155"/>
    </row>
    <row r="63" spans="1:17" ht="20.100000000000001" customHeight="1" x14ac:dyDescent="0.2">
      <c r="D63" s="25" t="s">
        <v>584</v>
      </c>
      <c r="E63" s="199">
        <f>SUM(P37:P39)+N("Partial sum")</f>
        <v>0.19850000000000001</v>
      </c>
      <c r="F63" s="16" t="str">
        <f t="shared" si="4"/>
        <v>t CO2-e</v>
      </c>
      <c r="G63" s="155"/>
      <c r="H63" s="155"/>
      <c r="I63" s="155"/>
      <c r="J63" s="155"/>
      <c r="L63" s="155"/>
      <c r="M63" s="155"/>
      <c r="N63" s="155"/>
      <c r="O63" s="155"/>
      <c r="P63" s="155"/>
      <c r="Q63" s="155"/>
    </row>
    <row r="64" spans="1:17" ht="20.100000000000001" customHeight="1" x14ac:dyDescent="0.2">
      <c r="D64" s="25" t="s">
        <v>275</v>
      </c>
      <c r="E64" s="199">
        <f>SUM(Q37:Q39)+N("Partial sum")</f>
        <v>7.1459999999999999</v>
      </c>
      <c r="F64" s="16" t="str">
        <f t="shared" si="4"/>
        <v>t CO2-e</v>
      </c>
      <c r="G64" s="155"/>
      <c r="H64" s="155"/>
      <c r="I64" s="155"/>
      <c r="J64" s="155"/>
      <c r="L64" s="155"/>
      <c r="M64" s="155"/>
      <c r="N64" s="155"/>
      <c r="O64" s="155"/>
      <c r="P64" s="155"/>
      <c r="Q64" s="155"/>
    </row>
    <row r="65" spans="4:17" ht="20.100000000000001" customHeight="1" x14ac:dyDescent="0.2">
      <c r="G65" s="155"/>
      <c r="H65" s="155"/>
      <c r="I65" s="155"/>
      <c r="J65" s="155"/>
      <c r="L65" s="155"/>
      <c r="M65" s="155"/>
      <c r="N65" s="155"/>
      <c r="O65" s="155"/>
      <c r="P65" s="155"/>
      <c r="Q65" s="155"/>
    </row>
    <row r="66" spans="4:17" ht="20.100000000000001" customHeight="1" x14ac:dyDescent="0.2">
      <c r="D66" s="196" t="s">
        <v>585</v>
      </c>
      <c r="E66" s="202"/>
      <c r="F66" s="198"/>
      <c r="G66" s="155"/>
      <c r="H66" s="155"/>
      <c r="I66" s="155"/>
      <c r="J66" s="155"/>
      <c r="L66" s="155"/>
      <c r="M66" s="155"/>
      <c r="N66" s="155"/>
      <c r="O66" s="155"/>
      <c r="P66" s="155"/>
      <c r="Q66" s="155"/>
    </row>
    <row r="67" spans="4:17" ht="20.100000000000001" customHeight="1" x14ac:dyDescent="0.2">
      <c r="D67" s="25" t="s">
        <v>582</v>
      </c>
      <c r="E67" s="199">
        <f>E43+E49+E55+E61</f>
        <v>83.182000000000002</v>
      </c>
      <c r="F67" s="16" t="str">
        <f t="shared" ref="F67:F70" si="5">$E$12</f>
        <v>t CO2-e</v>
      </c>
      <c r="G67" s="155"/>
    </row>
    <row r="68" spans="4:17" ht="20.100000000000001" customHeight="1" x14ac:dyDescent="0.2">
      <c r="D68" s="25" t="s">
        <v>583</v>
      </c>
      <c r="E68" s="199">
        <f t="shared" ref="E68:E70" si="6">E44+E50+E56+E62</f>
        <v>0.19906000000000001</v>
      </c>
      <c r="F68" s="16" t="str">
        <f t="shared" si="5"/>
        <v>t CO2-e</v>
      </c>
      <c r="G68" s="155"/>
    </row>
    <row r="69" spans="4:17" ht="20.100000000000001" customHeight="1" x14ac:dyDescent="0.2">
      <c r="D69" s="25" t="s">
        <v>584</v>
      </c>
      <c r="E69" s="199">
        <f t="shared" si="6"/>
        <v>0.58450000000000002</v>
      </c>
      <c r="F69" s="16" t="str">
        <f t="shared" si="5"/>
        <v>t CO2-e</v>
      </c>
      <c r="G69" s="155"/>
    </row>
    <row r="70" spans="4:17" ht="20.100000000000001" customHeight="1" x14ac:dyDescent="0.2">
      <c r="D70" s="25" t="s">
        <v>275</v>
      </c>
      <c r="E70" s="199">
        <f t="shared" si="6"/>
        <v>20.5016</v>
      </c>
      <c r="F70" s="16" t="str">
        <f t="shared" si="5"/>
        <v>t CO2-e</v>
      </c>
      <c r="G70" s="155"/>
    </row>
    <row r="71" spans="4:17" ht="20.100000000000001" customHeight="1" x14ac:dyDescent="0.2">
      <c r="G71" s="155"/>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ECACC432-06FF-40FD-8EA7-12490E5F8C1F}"/>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A1D18-74AE-478E-BC14-DAF3A9DCBA8F}">
  <sheetPr>
    <tabColor rgb="FF008000"/>
  </sheetPr>
  <dimension ref="A1:R71"/>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586</v>
      </c>
    </row>
    <row r="2" spans="1:18" s="3" customFormat="1" ht="20.100000000000001" customHeight="1" x14ac:dyDescent="0.2">
      <c r="A2"/>
    </row>
    <row r="3" spans="1:18" ht="20.100000000000001" customHeight="1" x14ac:dyDescent="0.2">
      <c r="A3" s="5" t="str">
        <f>HYPERLINK("#'Home'!A1", "Home")</f>
        <v>Home</v>
      </c>
      <c r="C3" s="23"/>
      <c r="D3" s="23" t="s">
        <v>130</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EI")</f>
        <v>Results - Product EI</v>
      </c>
      <c r="D5" s="2" t="s">
        <v>1280</v>
      </c>
      <c r="K5" s="2" t="s">
        <v>1282</v>
      </c>
      <c r="O5" s="155"/>
      <c r="P5" s="155"/>
      <c r="Q5" s="155"/>
      <c r="R5" s="155"/>
    </row>
    <row r="6" spans="1:18" ht="20.100000000000001" customHeight="1" x14ac:dyDescent="0.2">
      <c r="D6" s="17" t="s">
        <v>1281</v>
      </c>
      <c r="K6" s="17" t="s">
        <v>1283</v>
      </c>
      <c r="O6" s="155"/>
      <c r="P6" s="155"/>
      <c r="Q6" s="155"/>
      <c r="R6" s="155"/>
    </row>
    <row r="7" spans="1:18" ht="20.100000000000001" customHeight="1" x14ac:dyDescent="0.2">
      <c r="D7" s="134"/>
      <c r="E7" s="134"/>
      <c r="K7" s="26" t="s">
        <v>1284</v>
      </c>
      <c r="O7" s="155"/>
      <c r="P7" s="155"/>
      <c r="Q7" s="155"/>
      <c r="R7" s="155"/>
    </row>
    <row r="8" spans="1:18" ht="20.100000000000001" customHeight="1" x14ac:dyDescent="0.2">
      <c r="A8" s="7" t="s">
        <v>0</v>
      </c>
      <c r="K8" s="134"/>
      <c r="L8" s="134"/>
      <c r="O8" s="155"/>
      <c r="P8" s="155"/>
      <c r="Q8" s="155"/>
      <c r="R8" s="155"/>
    </row>
    <row r="9" spans="1:18" ht="20.100000000000001" customHeight="1" x14ac:dyDescent="0.2">
      <c r="A9" s="5" t="str">
        <f>HYPERLINK("#'Input - Enterprise'!A1", "Enterprise")</f>
        <v>Enterprise</v>
      </c>
      <c r="G9" s="17"/>
      <c r="O9" s="155"/>
      <c r="P9" s="155"/>
      <c r="Q9" s="155"/>
      <c r="R9" s="155"/>
    </row>
    <row r="10" spans="1:18" ht="20.100000000000001" customHeight="1" x14ac:dyDescent="0.2">
      <c r="A10" s="5" t="str">
        <f>HYPERLINK("#'Input - Site'!A1", "Site")</f>
        <v>Site</v>
      </c>
      <c r="O10" s="155"/>
      <c r="P10" s="155"/>
      <c r="Q10" s="155"/>
      <c r="R10" s="155"/>
    </row>
    <row r="11" spans="1:18" ht="20.100000000000001" customHeight="1" x14ac:dyDescent="0.2">
      <c r="A11" s="5" t="str">
        <f>HYPERLINK("#'Input - Crop'!A1", "Crop")</f>
        <v>Crop</v>
      </c>
      <c r="D11" s="77" t="s">
        <v>371</v>
      </c>
      <c r="E11" s="1" t="s">
        <v>1257</v>
      </c>
      <c r="K11" s="77" t="s">
        <v>371</v>
      </c>
      <c r="L11" s="1" t="s">
        <v>1285</v>
      </c>
      <c r="O11" s="155"/>
      <c r="P11" s="155"/>
      <c r="Q11" s="155"/>
      <c r="R11" s="155"/>
    </row>
    <row r="12" spans="1:18" ht="20.100000000000001" customHeight="1" x14ac:dyDescent="0.2">
      <c r="A12" s="5" t="str">
        <f>HYPERLINK("#'Input - Fert Prod System'!A1", "Fert Prod System")</f>
        <v>Fert Prod System</v>
      </c>
      <c r="D12" s="77" t="s">
        <v>118</v>
      </c>
      <c r="E12" s="9" t="s">
        <v>290</v>
      </c>
      <c r="K12" s="77" t="s">
        <v>118</v>
      </c>
      <c r="L12" s="9" t="s">
        <v>7</v>
      </c>
    </row>
    <row r="13" spans="1:18" ht="20.100000000000001" customHeight="1" x14ac:dyDescent="0.2">
      <c r="A13" s="5" t="str">
        <f>HYPERLINK("#'Input - Fertiliser'!A1", "Fertiliser")</f>
        <v>Fertiliser</v>
      </c>
    </row>
    <row r="14" spans="1:18" ht="20.100000000000001" customHeight="1" x14ac:dyDescent="0.2">
      <c r="A14" s="5" t="str">
        <f>HYPERLINK("#'Input - Fuel'!A1", "Fuel")</f>
        <v>Fuel</v>
      </c>
      <c r="D14" s="150" t="s">
        <v>1286</v>
      </c>
      <c r="E14" s="147" t="s">
        <v>1287</v>
      </c>
      <c r="F14" s="159"/>
      <c r="G14" s="150" t="s">
        <v>1270</v>
      </c>
      <c r="H14" s="141" t="s">
        <v>1034</v>
      </c>
      <c r="I14" s="143" t="str" cm="1">
        <f t="array" aca="1" ref="I14" ca="1">HYPERLINK(Common_InputFunctions.Utility_SourceHyperlink($D$22), $D$22)</f>
        <v>Table_E_g</v>
      </c>
      <c r="K14" s="150" t="s">
        <v>1286</v>
      </c>
      <c r="L14" s="150" t="s">
        <v>1294</v>
      </c>
      <c r="M14" s="150"/>
      <c r="N14" s="150" t="s">
        <v>620</v>
      </c>
      <c r="O14" s="141" t="s">
        <v>1034</v>
      </c>
      <c r="P14" s="143" t="str" cm="1">
        <f t="array" aca="1" ref="P14" ca="1">HYPERLINK(Common_InputFunctions.Utility_SourceHyperlink($D$22), $D$22)</f>
        <v>Table_E_g</v>
      </c>
      <c r="Q14" s="155"/>
    </row>
    <row r="15" spans="1:18" ht="20.100000000000001" customHeight="1" x14ac:dyDescent="0.2">
      <c r="A15" s="5" t="str">
        <f>HYPERLINK("#'Input - Electricity'!A1", "Electricity")</f>
        <v>Electricity</v>
      </c>
      <c r="D15" s="150" t="s">
        <v>1288</v>
      </c>
      <c r="E15" s="147" t="s">
        <v>1289</v>
      </c>
      <c r="F15" s="159"/>
      <c r="G15" s="150" t="s">
        <v>1271</v>
      </c>
      <c r="H15" s="142" t="s">
        <v>1036</v>
      </c>
      <c r="I15" s="143" t="str" cm="1">
        <f t="array" aca="1" ref="I15" ca="1">HYPERLINK(Common_InputFunctions.Utility_SourceHyperlink($D$22), $D$22)</f>
        <v>Table_E_g</v>
      </c>
      <c r="K15" s="150" t="s">
        <v>1288</v>
      </c>
      <c r="L15" s="150" t="s">
        <v>1295</v>
      </c>
      <c r="M15" s="150"/>
      <c r="N15" s="150" t="s">
        <v>1301</v>
      </c>
      <c r="O15" s="142" t="s">
        <v>1036</v>
      </c>
      <c r="P15" s="143" t="str" cm="1">
        <f t="array" aca="1" ref="P15" ca="1">HYPERLINK(Common_InputFunctions.Utility_SourceHyperlink($D$22), $D$22)</f>
        <v>Table_E_g</v>
      </c>
      <c r="Q15" s="155"/>
    </row>
    <row r="16" spans="1:18" ht="20.100000000000001" customHeight="1" x14ac:dyDescent="0.2">
      <c r="A16" s="5" t="str">
        <f>HYPERLINK("#'Input - Common farm inputs'!A1", "Common farm inputs")</f>
        <v>Common farm inputs</v>
      </c>
      <c r="D16" s="150" t="s">
        <v>1290</v>
      </c>
      <c r="E16" s="147" t="s">
        <v>1291</v>
      </c>
      <c r="F16" s="159"/>
      <c r="G16" s="150" t="s">
        <v>1272</v>
      </c>
      <c r="H16" s="142" t="s">
        <v>1036</v>
      </c>
      <c r="I16" s="143" t="str" cm="1">
        <f t="array" aca="1" ref="I16" ca="1">HYPERLINK(Common_InputFunctions.Utility_SourceHyperlink($D$22), $D$22)</f>
        <v>Table_E_g</v>
      </c>
      <c r="K16" s="150" t="s">
        <v>1296</v>
      </c>
      <c r="L16" s="150" t="s">
        <v>1297</v>
      </c>
      <c r="M16" s="150"/>
      <c r="N16" s="150" t="s">
        <v>1279</v>
      </c>
      <c r="O16" s="142" t="s">
        <v>1036</v>
      </c>
      <c r="P16" s="143" t="str" cm="1">
        <f t="array" aca="1" ref="P16" ca="1">HYPERLINK(Common_InputFunctions.Utility_SourceHyperlink($D$22), $D$22)</f>
        <v>Table_E_g</v>
      </c>
      <c r="Q16" s="155"/>
    </row>
    <row r="17" spans="1:17" ht="20.100000000000001" customHeight="1" x14ac:dyDescent="0.2">
      <c r="A17" s="5" t="str">
        <f>HYPERLINK("#'Input - Crop pasture farm input'!A1", "Crop pasture farm input")</f>
        <v>Crop pasture farm input</v>
      </c>
      <c r="D17" s="150" t="s">
        <v>1265</v>
      </c>
      <c r="E17" s="147" t="s">
        <v>618</v>
      </c>
      <c r="F17" s="159"/>
      <c r="G17" s="150"/>
      <c r="H17" s="142" t="s">
        <v>1036</v>
      </c>
      <c r="I17" s="143"/>
      <c r="J17" s="155"/>
      <c r="K17" s="150" t="s">
        <v>1101</v>
      </c>
      <c r="L17" s="147" t="s">
        <v>1298</v>
      </c>
      <c r="M17" s="159"/>
      <c r="N17" s="150"/>
      <c r="O17" s="141" t="s">
        <v>1034</v>
      </c>
      <c r="P17" s="150" t="str">
        <f>X_Cell_Site_State</f>
        <v>Western Australia</v>
      </c>
      <c r="Q17" s="155"/>
    </row>
    <row r="18" spans="1:17" ht="20.100000000000001" customHeight="1" x14ac:dyDescent="0.2">
      <c r="A18" s="5" t="str">
        <f>HYPERLINK("#'Input - Freight'!A1", "Freight")</f>
        <v>Freight</v>
      </c>
      <c r="D18" s="150" t="s">
        <v>1292</v>
      </c>
      <c r="E18" s="147" t="s">
        <v>1293</v>
      </c>
      <c r="F18" s="159"/>
      <c r="G18" s="150"/>
      <c r="H18" s="142" t="s">
        <v>1036</v>
      </c>
      <c r="I18" s="143"/>
      <c r="J18" s="155"/>
      <c r="K18" s="150" t="s">
        <v>1299</v>
      </c>
      <c r="L18" s="147" t="s">
        <v>1300</v>
      </c>
      <c r="M18" s="159"/>
      <c r="N18" s="150"/>
      <c r="O18" s="141" t="s">
        <v>1034</v>
      </c>
      <c r="P18" s="150" t="str">
        <f>X_Cell_Fuel_IsMetroLocation</f>
        <v>Metro</v>
      </c>
      <c r="Q18" s="155"/>
    </row>
    <row r="19" spans="1:17" ht="20.100000000000001" customHeight="1" x14ac:dyDescent="0.2">
      <c r="A19" s="5" t="str">
        <f>HYPERLINK("#'Input - Solid waste'!A1", "Solid waste")</f>
        <v>Solid waste</v>
      </c>
      <c r="D19" s="150" t="s">
        <v>1268</v>
      </c>
      <c r="E19" s="147" t="s">
        <v>1269</v>
      </c>
      <c r="F19" s="159"/>
      <c r="G19" s="150"/>
      <c r="H19" s="142" t="s">
        <v>1036</v>
      </c>
      <c r="I19" s="143"/>
      <c r="J19" s="155"/>
      <c r="L19" s="155"/>
      <c r="N19" s="155"/>
      <c r="O19" s="155"/>
      <c r="P19" s="155"/>
      <c r="Q19" s="155"/>
    </row>
    <row r="20" spans="1:17" ht="20.100000000000001" customHeight="1" x14ac:dyDescent="0.2">
      <c r="A20" s="5" t="str">
        <f>HYPERLINK("#'Input - Data quality'!A1", "Data quality")</f>
        <v>Data quality</v>
      </c>
      <c r="D20" s="150">
        <v>1</v>
      </c>
      <c r="E20" s="147" t="s">
        <v>271</v>
      </c>
      <c r="F20" s="159"/>
      <c r="G20" s="150"/>
      <c r="H20" s="142" t="s">
        <v>1036</v>
      </c>
      <c r="I20" s="143"/>
      <c r="J20" s="155"/>
      <c r="L20" s="155"/>
      <c r="N20" s="155"/>
      <c r="O20" s="155"/>
      <c r="P20" s="155"/>
      <c r="Q20" s="155"/>
    </row>
    <row r="21" spans="1:17" ht="20.100000000000001" customHeight="1" x14ac:dyDescent="0.2">
      <c r="O21" s="155"/>
      <c r="P21" s="155"/>
      <c r="Q21" s="155"/>
    </row>
    <row r="22" spans="1:17" ht="20.100000000000001" customHeight="1" x14ac:dyDescent="0.2">
      <c r="D22" s="135" t="s">
        <v>566</v>
      </c>
    </row>
    <row r="23" spans="1:17" ht="20.100000000000001" customHeight="1" x14ac:dyDescent="0.2">
      <c r="A23" s="6" t="s">
        <v>2</v>
      </c>
      <c r="D23" s="136" t="s">
        <v>587</v>
      </c>
    </row>
    <row r="24" spans="1:17" ht="20.100000000000001" customHeight="1" x14ac:dyDescent="0.2">
      <c r="A24" s="5" t="str">
        <f>HYPERLINK("#'5.1.1.1-2 Inorganic fert N2O'!A1", "5.1.1.1-2 Inorganic fert N2O")</f>
        <v>5.1.1.1-2 Inorganic fert N2O</v>
      </c>
      <c r="D24" s="138" t="s">
        <v>568</v>
      </c>
      <c r="E24" s="138" t="s">
        <v>569</v>
      </c>
      <c r="F24" s="138" t="s">
        <v>570</v>
      </c>
      <c r="G24" s="138" t="s">
        <v>588</v>
      </c>
      <c r="H24" s="138" t="s">
        <v>589</v>
      </c>
      <c r="I24" s="138" t="s">
        <v>590</v>
      </c>
      <c r="J24" s="138" t="s">
        <v>591</v>
      </c>
      <c r="K24" s="138" t="s">
        <v>592</v>
      </c>
      <c r="L24" s="80" t="s">
        <v>593</v>
      </c>
      <c r="M24" s="138" t="s">
        <v>577</v>
      </c>
      <c r="N24" s="138" t="s">
        <v>578</v>
      </c>
      <c r="O24" s="138" t="s">
        <v>579</v>
      </c>
      <c r="P24" s="138" t="s">
        <v>580</v>
      </c>
      <c r="Q24" s="138" t="s">
        <v>594</v>
      </c>
    </row>
    <row r="25" spans="1:17" ht="20.100000000000001" customHeight="1" x14ac:dyDescent="0.2">
      <c r="A25" s="5" t="str">
        <f>HYPERLINK("#'5.1.1.3-4 Inorganic fert CO2'!A1", "5.1.1.3-4 Inorganic fert CO2")</f>
        <v>5.1.1.3-4 Inorganic fert CO2</v>
      </c>
      <c r="D25" s="25" t="str">
        <f>Table_FuelTypesPerUse[[#Headers],[Generators]]</f>
        <v>Generators</v>
      </c>
      <c r="E25" s="181" t="str">
        <f>'Constants - Fuel'!$D$58</f>
        <v>Automotive gasoline / petrol (other than for use as fuel in an aircraft)</v>
      </c>
      <c r="F25" s="181"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203">
        <f>((($L25 * $G25 * H25) * 10 ^ -3))</f>
        <v>0</v>
      </c>
      <c r="O25" s="203">
        <f>((($L25 * $G25 * I25) * 10 ^ -3))</f>
        <v>0</v>
      </c>
      <c r="P25" s="203">
        <f>((($L25 * $G25 * J25) * 10 ^ -3))</f>
        <v>0</v>
      </c>
      <c r="Q25" s="203">
        <f>((($L25 * $G25 * ((IF(ISNUMBER(K25), K25, 0)))) * 10 ^ -3))</f>
        <v>0</v>
      </c>
    </row>
    <row r="26" spans="1:17" ht="20.100000000000001" customHeight="1" x14ac:dyDescent="0.2">
      <c r="A26" s="5" t="str">
        <f>HYPERLINK("#'5.2.1.1-2 Organic Fert N2O'!A1", "5.2.1.1-2 Organic fert N2O")</f>
        <v>5.2.1.1-2 Organic fert N2O</v>
      </c>
      <c r="D26" s="183" t="str">
        <f t="shared" ref="D26:D31" si="0">$D$25</f>
        <v>Generators</v>
      </c>
      <c r="E26" s="181" t="str">
        <f>'Constants - Fuel'!$D$63</f>
        <v>Diesel oil</v>
      </c>
      <c r="F26" s="181"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1" cm="1">
        <f t="array" ref="L26">Fuel_InputFunctions.Fuel_TotalConsumption(Table_Input_Fuel[Amount consumed], Table_Input_Fuel[Fuel use (select)], D26, Table_Input_Fuel[Fuel type (select)],F26)</f>
        <v>0</v>
      </c>
      <c r="M26" s="161" t="str" cm="1">
        <f t="array" ref="M26">Common_InputFunctions.Utility_LookupValueInTable(F26,Table_FuelTypes_Units[Fuel type],Table_FuelTypes_Units[Unit])</f>
        <v>kL</v>
      </c>
      <c r="N26" s="203">
        <f>((($L26 * $G26 * H26) * 10 ^ -3))</f>
        <v>0</v>
      </c>
      <c r="O26" s="203">
        <f>((($L26 * $G26 * I26) * 10 ^ -3))</f>
        <v>0</v>
      </c>
      <c r="P26" s="203">
        <f>((($L26 * $G26 * J26) * 10 ^ -3))</f>
        <v>0</v>
      </c>
      <c r="Q26" s="203">
        <f>((($L26 * $G26 * ((IF(ISNUMBER(K26), K26, 0)))) * 10 ^ -3))</f>
        <v>0</v>
      </c>
    </row>
    <row r="27" spans="1:17" ht="20.100000000000001" customHeight="1" x14ac:dyDescent="0.2">
      <c r="A27" s="5" t="str">
        <f>HYPERLINK("#'5.3.1.1-2 Lime CO2'!A1", "5.3.1.1-2 Lime CO2")</f>
        <v>5.3.1.1-2 Lime CO2</v>
      </c>
      <c r="D27" s="183" t="str">
        <f t="shared" si="0"/>
        <v>Generators</v>
      </c>
      <c r="E27" s="181" t="str">
        <f>'Constants - Fuel'!$D$67</f>
        <v>Liquefied petroleum gas (LPG)</v>
      </c>
      <c r="F27" s="181"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203">
        <f>((($L27 * $G27 * H27) * 10 ^ -3))</f>
        <v>0</v>
      </c>
      <c r="O27" s="203">
        <f>((($L27 * $G27 * I27) * 10 ^ -3))</f>
        <v>0</v>
      </c>
      <c r="P27" s="203">
        <f>((($L27 * $G27 * J27) * 10 ^ -3))</f>
        <v>0</v>
      </c>
      <c r="Q27" s="203">
        <f>((($L27 * $G27 * ((IF(ISNUMBER(K27), K27, 0)))) * 10 ^ -3))</f>
        <v>0</v>
      </c>
    </row>
    <row r="28" spans="1:17" ht="20.100000000000001" customHeight="1" x14ac:dyDescent="0.2">
      <c r="A28" s="5" t="str">
        <f>HYPERLINK("#'5.4.1.1-4 Atmos deposition'!A1", "5.4.1.1-4 Atmos. deposition")</f>
        <v>5.4.1.1-4 Atmos. deposition</v>
      </c>
      <c r="D28" s="183" t="str">
        <f t="shared" si="0"/>
        <v>Generators</v>
      </c>
      <c r="E28" s="181" t="str">
        <f>'Constants - Fuel'!$D$73</f>
        <v>Biodiesel</v>
      </c>
      <c r="F28" s="181"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203">
        <f>((($L28 * $G28 * H28) * 10 ^ -3))</f>
        <v>0</v>
      </c>
      <c r="O28" s="203">
        <f>((($L28 * $G28 * I28) * 10 ^ -3))</f>
        <v>0</v>
      </c>
      <c r="P28" s="203">
        <f>((($L28 * $G28 * J28) * 10 ^ -3))</f>
        <v>0</v>
      </c>
      <c r="Q28" s="203">
        <f>((($L28 * $G28 * ((IF(ISNUMBER(K28), K28, 0)))) * 10 ^ -3))</f>
        <v>0</v>
      </c>
    </row>
    <row r="29" spans="1:17" ht="20.100000000000001" customHeight="1" x14ac:dyDescent="0.2">
      <c r="A29" s="5" t="str">
        <f>HYPERLINK("#'5.5.1.1-2 Leaching and runoff'!A1", "5.5.1.1-2 Leaching &amp; runoff")</f>
        <v>5.5.1.1-2 Leaching &amp; runoff</v>
      </c>
      <c r="D29" s="183" t="str">
        <f t="shared" si="0"/>
        <v>Generators</v>
      </c>
      <c r="E29" s="181" t="str">
        <f>'Constants - Fuel'!$D$74</f>
        <v>Ethanol for use as a fuel in an internal combustion engine</v>
      </c>
      <c r="F29" s="181"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203">
        <f>((($L29 * $G29 * H29) * 10 ^ -3))</f>
        <v>0</v>
      </c>
      <c r="O29" s="203">
        <f>((($L29 * $G29 * I29) * 10 ^ -3))</f>
        <v>0</v>
      </c>
      <c r="P29" s="203">
        <f>((($L29 * $G29 * J29) * 10 ^ -3))</f>
        <v>0</v>
      </c>
      <c r="Q29" s="203">
        <f>((($L29 * $G29 * ((IF(ISNUMBER(K29), K29, 0)))) * 10 ^ -3))</f>
        <v>0</v>
      </c>
    </row>
    <row r="30" spans="1:17" ht="20.100000000000001" customHeight="1" x14ac:dyDescent="0.2">
      <c r="A30" s="5" t="str">
        <f>HYPERLINK("#'6.1.1.1-2 Crop residue N2O'!A1", "6.1.1.1-2 Crop residue N2O")</f>
        <v>6.1.1.1-2 Crop residue N2O</v>
      </c>
      <c r="D30" s="183" t="str">
        <f t="shared" si="0"/>
        <v>Generators</v>
      </c>
      <c r="E30" s="181" t="str">
        <f>'Constants - Fuel'!$D$75</f>
        <v>Biofuels other than those mentioned in the items above and below</v>
      </c>
      <c r="F30" s="181"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203">
        <f>((($L30 * $G30 * H30) * 10 ^ -3))</f>
        <v>0</v>
      </c>
      <c r="O30" s="203">
        <f>((($L30 * $G30 * I30) * 10 ^ -3))</f>
        <v>0</v>
      </c>
      <c r="P30" s="203">
        <f>((($L30 * $G30 * J30) * 10 ^ -3))</f>
        <v>0</v>
      </c>
      <c r="Q30" s="203">
        <f>((($L30 * $G30 * ((IF(ISNUMBER(K30), K30, 0)))) * 10 ^ -3))</f>
        <v>0</v>
      </c>
    </row>
    <row r="31" spans="1:17" ht="20.100000000000001" customHeight="1" x14ac:dyDescent="0.2">
      <c r="A31" s="5" t="str">
        <f>HYPERLINK("#'6.3.1.1-2 Leach runoff crop'!A1", "6.3.1.1-2 Leach &amp; runoff (crop)")</f>
        <v>6.3.1.1-2 Leach &amp; runoff (crop)</v>
      </c>
      <c r="D31" s="183" t="str">
        <f t="shared" si="0"/>
        <v>Generators</v>
      </c>
      <c r="E31" s="181" t="str">
        <f>'Constants - Fuel'!$D$77</f>
        <v>Renewable diesel</v>
      </c>
      <c r="F31" s="181" t="str">
        <f>'Constants - Fuel'!D137</f>
        <v>Renewable diesel</v>
      </c>
      <c r="G31" s="179">
        <f>IFERROR(_xlfn.XLOOKUP($E31, Table_Fuel_EFs_StationaryLiquid[Fuel combusted], Table_Fuel_EFs_StationaryLiquid[Energy Content Factor (GJ per unit of fuel)]),0)</f>
        <v>38.6</v>
      </c>
      <c r="H31" s="179">
        <f>IFERROR(_xlfn.XLOOKUP($E31, Table_Fuel_EFs_StationaryLiquid[Fuel combusted], Table_Fuel_EFs_StationaryLiquid[Scope 1 Emission Factor (kg CO2 - e / GJ) CO2]),0)</f>
        <v>0</v>
      </c>
      <c r="I31" s="179">
        <f>IFERROR(_xlfn.XLOOKUP($E31, Table_Fuel_EFs_StationaryLiquid[Fuel combusted], Table_Fuel_EFs_StationaryLiquid[Scope 1 Emission Factor (kg CO2 - e / GJ) CH4]),0)</f>
        <v>0.1</v>
      </c>
      <c r="J31" s="179">
        <f>IFERROR(_xlfn.XLOOKUP($E31, Table_Fuel_EFs_StationaryLiquid[Fuel combusted], Table_Fuel_EFs_StationaryLiquid[Scope 1 Emission Factor (kg CO2 - e / GJ) N2O]),0)</f>
        <v>0.2</v>
      </c>
      <c r="K31" s="179" t="str">
        <f>IFERROR(_xlfn.XLOOKUP($E31, Table_Fuel_EFs_StationaryLiquid[Fuel combusted], Table_Fuel_EFs_StationaryLiquid[Scope 3 Emission Factor (kg CO2 - e / GJ)]),0)</f>
        <v>NE</v>
      </c>
      <c r="L31" s="184" cm="1">
        <f t="array" ref="L31">Fuel_InputFunctions.Fuel_TotalConsumption(Table_Input_Fuel[Amount consumed], Table_Input_Fuel[Fuel use (select)], D31, Table_Input_Fuel[Fuel type (select)],F31)</f>
        <v>0</v>
      </c>
      <c r="M31" s="184" t="str" cm="1">
        <f t="array" ref="M31">Common_InputFunctions.Utility_LookupValueInTable(F31,Table_FuelTypes_Units[Fuel type],Table_FuelTypes_Units[Unit])</f>
        <v>kL</v>
      </c>
      <c r="N31" s="204">
        <f>((($L31 * $G31 * H31) * 10 ^ -3))</f>
        <v>0</v>
      </c>
      <c r="O31" s="204">
        <f>((($L31 * $G31 * I31) * 10 ^ -3))</f>
        <v>0</v>
      </c>
      <c r="P31" s="204">
        <f>((($L31 * $G31 * J31) * 10 ^ -3))</f>
        <v>0</v>
      </c>
      <c r="Q31" s="204">
        <f>((($L31 * $G31 * ((IF(ISNUMBER(K31), K31, 0)))) * 10 ^ -3))</f>
        <v>0</v>
      </c>
    </row>
    <row r="32" spans="1:17" ht="20.100000000000001" customHeight="1" x14ac:dyDescent="0.2">
      <c r="A32" s="5" t="str">
        <f>HYPERLINK("#'6.4.1.1-2 Residue burning'!A1", "6.4.1.1-2 Residue burning")</f>
        <v>6.4.1.1-2 Residue burning</v>
      </c>
      <c r="D32" s="186" t="str">
        <f>Table_FuelTypesPerUse[[#Headers],[Power standalone machinery or heating]]</f>
        <v>Power standalone machinery or heating</v>
      </c>
      <c r="E32" s="187" t="str">
        <f>'Constants - Fuel'!$D$58</f>
        <v>Automotive gasoline / petrol (other than for use as fuel in an aircraft)</v>
      </c>
      <c r="F32" s="187" t="str">
        <f>'Constants - Fuel'!E131</f>
        <v>Petrol</v>
      </c>
      <c r="G32" s="194">
        <f>IFERROR(_xlfn.XLOOKUP($E32, Table_Fuel_EFs_StationaryLiquid[Fuel combusted], Table_Fuel_EFs_StationaryLiquid[Energy Content Factor (GJ per unit of fuel)]),0)</f>
        <v>34.200000000000003</v>
      </c>
      <c r="H32" s="194">
        <f>IFERROR(_xlfn.XLOOKUP($E32, Table_Fuel_EFs_StationaryLiquid[Fuel combusted], Table_Fuel_EFs_StationaryLiquid[Scope 1 Emission Factor (kg CO2 - e / GJ) CO2]),0)</f>
        <v>67.400000000000006</v>
      </c>
      <c r="I32" s="194">
        <f>IFERROR(_xlfn.XLOOKUP($E32, Table_Fuel_EFs_StationaryLiquid[Fuel combusted], Table_Fuel_EFs_StationaryLiquid[Scope 1 Emission Factor (kg CO2 - e / GJ) CH4]),0)</f>
        <v>0.2</v>
      </c>
      <c r="J32" s="194">
        <f>IFERROR(_xlfn.XLOOKUP($E32, Table_Fuel_EFs_StationaryLiquid[Fuel combusted], Table_Fuel_EFs_StationaryLiquid[Scope 1 Emission Factor (kg CO2 - e / GJ) N2O]),0)</f>
        <v>0.2</v>
      </c>
      <c r="K32" s="194">
        <f>IFERROR(_xlfn.XLOOKUP($E32, Table_Fuel_EFs_StationaryLiquid[Fuel combusted], Table_Fuel_EFs_StationaryLiquid[Scope 3 Emission Factor (kg CO2 - e / GJ)]),0)</f>
        <v>17.2</v>
      </c>
      <c r="L32" s="190" cm="1">
        <f t="array" ref="L32">Fuel_InputFunctions.Fuel_TotalConsumption(Table_Input_Fuel[Amount consumed], Table_Input_Fuel[Fuel use (select)], D32, Table_Input_Fuel[Fuel type (select)],F32)</f>
        <v>10</v>
      </c>
      <c r="M32" s="191" t="str" cm="1">
        <f t="array" ref="M32">Common_InputFunctions.Utility_LookupValueInTable(F32,Table_FuelTypes_Units[Fuel type],Table_FuelTypes_Units[Unit])</f>
        <v>kL</v>
      </c>
      <c r="N32" s="205">
        <f>((($L32 * $G32 * H32) * 10 ^ -3))</f>
        <v>23.050800000000002</v>
      </c>
      <c r="O32" s="205">
        <f>((($L32 * $G32 * I32) * 10 ^ -3))</f>
        <v>6.8400000000000002E-2</v>
      </c>
      <c r="P32" s="205">
        <f>((($L32 * $G32 * J32) * 10 ^ -3))</f>
        <v>6.8400000000000002E-2</v>
      </c>
      <c r="Q32" s="205">
        <f>((($L32 * $G32 * ((IF(ISNUMBER(K32), K32, 0)))) * 10 ^ -3))</f>
        <v>5.8823999999999996</v>
      </c>
    </row>
    <row r="33" spans="1:17" ht="20.100000000000001" customHeight="1" x14ac:dyDescent="0.2">
      <c r="A33" s="5" t="str">
        <f>HYPERLINK("#'8.1.1.1-2 Transport fuel'!A1", "8.1.1.1-2 Transport fuel")</f>
        <v>8.1.1.1-2 Transport fuel</v>
      </c>
      <c r="D33" s="183" t="str">
        <f t="shared" ref="D33:D40" si="1">$D$32</f>
        <v>Power standalone machinery or heating</v>
      </c>
      <c r="E33" s="181" t="str">
        <f>'Constants - Fuel'!$D$63</f>
        <v>Diesel oil</v>
      </c>
      <c r="F33" s="181"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03">
        <f>((($L33 * $G33 * H33) * 10 ^ -3))</f>
        <v>0</v>
      </c>
      <c r="O33" s="203">
        <f>((($L33 * $G33 * I33) * 10 ^ -3))</f>
        <v>0</v>
      </c>
      <c r="P33" s="203">
        <f>((($L33 * $G33 * J33) * 10 ^ -3))</f>
        <v>0</v>
      </c>
      <c r="Q33" s="203">
        <f>((($L33 * $G33 * ((IF(ISNUMBER(K33), K33, 0)))) * 10 ^ -3))</f>
        <v>0</v>
      </c>
    </row>
    <row r="34" spans="1:17" ht="20.100000000000001" customHeight="1" x14ac:dyDescent="0.2">
      <c r="A34" s="144" t="str">
        <f>HYPERLINK("#'8.2.1.1-2 Stationary fuel'!A1", "8.2.1.1-2 Stationary fuel")</f>
        <v>8.2.1.1-2 Stationary fuel</v>
      </c>
      <c r="D34" s="183" t="str">
        <f t="shared" si="1"/>
        <v>Power standalone machinery or heating</v>
      </c>
      <c r="E34" s="181" t="str">
        <f>'Constants - Fuel'!$D$67</f>
        <v>Liquefied petroleum gas (LPG)</v>
      </c>
      <c r="F34" s="181"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03">
        <f>((($L34 * $G34 * H34) * 10 ^ -3))</f>
        <v>0</v>
      </c>
      <c r="O34" s="203">
        <f>((($L34 * $G34 * I34) * 10 ^ -3))</f>
        <v>0</v>
      </c>
      <c r="P34" s="203">
        <f>((($L34 * $G34 * J34) * 10 ^ -3))</f>
        <v>0</v>
      </c>
      <c r="Q34" s="203">
        <f>((($L34 * $G34 * ((IF(ISNUMBER(K34), K34, 0)))) * 10 ^ -3))</f>
        <v>0</v>
      </c>
    </row>
    <row r="35" spans="1:17" ht="20.100000000000001" customHeight="1" x14ac:dyDescent="0.2">
      <c r="A35" s="5" t="str">
        <f>HYPERLINK("#'10.1.1-2 Solid waste treatment'!A1", "10.1.1.1-2 Solid waste")</f>
        <v>10.1.1.1-2 Solid waste</v>
      </c>
      <c r="D35" s="183" t="str">
        <f t="shared" si="1"/>
        <v>Power standalone machinery or heating</v>
      </c>
      <c r="E35" s="181" t="str">
        <f>'Constants - Fuel'!$D$73</f>
        <v>Biodiesel</v>
      </c>
      <c r="F35" s="181"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03">
        <f>((($L35 * $G35 * H35) * 10 ^ -3))</f>
        <v>0</v>
      </c>
      <c r="O35" s="203">
        <f>((($L35 * $G35 * I35) * 10 ^ -3))</f>
        <v>0</v>
      </c>
      <c r="P35" s="203">
        <f>((($L35 * $G35 * J35) * 10 ^ -3))</f>
        <v>0</v>
      </c>
      <c r="Q35" s="203">
        <f>((($L35 * $G35 * ((IF(ISNUMBER(K35), K35, 0)))) * 10 ^ -3))</f>
        <v>0</v>
      </c>
    </row>
    <row r="36" spans="1:17" ht="20.100000000000001" customHeight="1" x14ac:dyDescent="0.2">
      <c r="A36" s="5" t="str">
        <f>HYPERLINK("#'14.1.1-2 Purchased electricity'!A1", "14.1.1-2 Purchased electricity")</f>
        <v>14.1.1-2 Purchased electricity</v>
      </c>
      <c r="D36" s="183" t="str">
        <f t="shared" si="1"/>
        <v>Power standalone machinery or heating</v>
      </c>
      <c r="E36" s="181" t="str">
        <f>'Constants - Fuel'!$D$74</f>
        <v>Ethanol for use as a fuel in an internal combustion engine</v>
      </c>
      <c r="F36" s="181"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03">
        <f>((($L36 * $G36 * H36) * 10 ^ -3))</f>
        <v>0</v>
      </c>
      <c r="O36" s="203">
        <f>((($L36 * $G36 * I36) * 10 ^ -3))</f>
        <v>0</v>
      </c>
      <c r="P36" s="203">
        <f>((($L36 * $G36 * J36) * 10 ^ -3))</f>
        <v>0</v>
      </c>
      <c r="Q36" s="203">
        <f>((($L36 * $G36 * ((IF(ISNUMBER(K36), K36, 0)))) * 10 ^ -3))</f>
        <v>0</v>
      </c>
    </row>
    <row r="37" spans="1:17" ht="20.100000000000001" customHeight="1" x14ac:dyDescent="0.2">
      <c r="A37" s="5" t="str">
        <f>HYPERLINK("#'15 Scope 3'!A1", "15 Scope 3")</f>
        <v>15 Scope 3</v>
      </c>
      <c r="D37" s="183" t="str">
        <f t="shared" si="1"/>
        <v>Power standalone machinery or heating</v>
      </c>
      <c r="E37" s="181" t="str">
        <f>'Constants - Fuel'!$D$75</f>
        <v>Biofuels other than those mentioned in the items above and below</v>
      </c>
      <c r="F37" s="181"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03">
        <f>((($L37 * $G37 * H37) * 10 ^ -3))</f>
        <v>0</v>
      </c>
      <c r="O37" s="203">
        <f>((($L37 * $G37 * I37) * 10 ^ -3))</f>
        <v>0</v>
      </c>
      <c r="P37" s="203">
        <f>((($L37 * $G37 * J37) * 10 ^ -3))</f>
        <v>0</v>
      </c>
      <c r="Q37" s="203">
        <f>((($L37 * $G37 * ((IF(ISNUMBER(K37), K37, 0)))) * 10 ^ -3))</f>
        <v>0</v>
      </c>
    </row>
    <row r="38" spans="1:17" ht="20.100000000000001" customHeight="1" x14ac:dyDescent="0.2">
      <c r="D38" s="183" t="str">
        <f t="shared" si="1"/>
        <v>Power standalone machinery or heating</v>
      </c>
      <c r="E38" s="181" t="str">
        <f>'Constants - Fuel'!$D$77</f>
        <v>Renewable diesel</v>
      </c>
      <c r="F38" s="181"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03">
        <f>((($L38 * $G38 * H38) * 10 ^ -3))</f>
        <v>0</v>
      </c>
      <c r="O38" s="203">
        <f>((($L38 * $G38 * I38) * 10 ^ -3))</f>
        <v>0</v>
      </c>
      <c r="P38" s="203">
        <f>((($L38 * $G38 * J38) * 10 ^ -3))</f>
        <v>0</v>
      </c>
      <c r="Q38" s="203">
        <f>((($L38 * $G38 * ((IF(ISNUMBER(K38), K38, 0)))) * 10 ^ -3))</f>
        <v>0</v>
      </c>
    </row>
    <row r="39" spans="1:17" ht="20.100000000000001" customHeight="1" x14ac:dyDescent="0.2">
      <c r="D39" s="183" t="str">
        <f t="shared" si="1"/>
        <v>Power standalone machinery or heating</v>
      </c>
      <c r="E39" s="181" t="str">
        <f>'Constants - Fuel'!$D$103</f>
        <v>Natural gas distributed in a pipeline - Gigajoules</v>
      </c>
      <c r="F39" s="181"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1" cm="1">
        <f t="array" ref="L39">Fuel_InputFunctions.Fuel_TotalConsumption(Table_Input_Fuel[Amount consumed], Table_Input_Fuel[Fuel use (select)], D39, Table_Input_Fuel[Fuel type (select)],F39)</f>
        <v>0</v>
      </c>
      <c r="M39" s="161" t="str" cm="1">
        <f t="array" ref="M39">Common_InputFunctions.Utility_LookupValueInTable(F39,Table_FuelTypes_Units[Fuel type],Table_FuelTypes_Units[Unit])</f>
        <v>GJ</v>
      </c>
      <c r="N39" s="203">
        <f>((($L39 * $G39 * H39) * 10 ^ -3))</f>
        <v>0</v>
      </c>
      <c r="O39" s="203">
        <f>((($L39 * $G39 * I39) * 10 ^ -3))</f>
        <v>0</v>
      </c>
      <c r="P39" s="203">
        <f>((($L39 * $G39 * J39) * 10 ^ -3))</f>
        <v>0</v>
      </c>
      <c r="Q39" s="203">
        <f>((($L39 * $G39 * ((IF(ISNUMBER(K39), K39, 0)))) * 10 ^ -3))</f>
        <v>0</v>
      </c>
    </row>
    <row r="40" spans="1:17" ht="20.100000000000001" customHeight="1" x14ac:dyDescent="0.2">
      <c r="A40" s="82" t="s">
        <v>1</v>
      </c>
      <c r="D40" s="183" t="str">
        <f t="shared" si="1"/>
        <v>Power standalone machinery or heating</v>
      </c>
      <c r="E40" s="181" t="str">
        <f>'Constants - Fuel'!$D$104</f>
        <v>Town gas - Gigajoules</v>
      </c>
      <c r="F40" s="181"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1" cm="1">
        <f t="array" ref="L40">Fuel_InputFunctions.Fuel_TotalConsumption(Table_Input_Fuel[Amount consumed], Table_Input_Fuel[Fuel use (select)], D40, Table_Input_Fuel[Fuel type (select)],F40)</f>
        <v>100</v>
      </c>
      <c r="M40" s="161" t="str" cm="1">
        <f t="array" ref="M40">Common_InputFunctions.Utility_LookupValueInTable(F40,Table_FuelTypes_Units[Fuel type],Table_FuelTypes_Units[Unit])</f>
        <v>GJ</v>
      </c>
      <c r="N40" s="203">
        <f>((($L40 * $G40 * H40) * 10 ^ -3))</f>
        <v>6.0200000000000005</v>
      </c>
      <c r="O40" s="203">
        <f>((($L40 * $G40 * I40) * 10 ^ -3))</f>
        <v>4.0000000000000001E-3</v>
      </c>
      <c r="P40" s="203">
        <f>((($L40 * $G40 * J40) * 10 ^ -3))</f>
        <v>3.0000000000000001E-3</v>
      </c>
      <c r="Q40" s="203">
        <f>((($L40 * $G40 * ((IF(ISNUMBER(K40), K40, 0)))) * 10 ^ -3))</f>
        <v>0.41</v>
      </c>
    </row>
    <row r="41" spans="1:17" ht="20.100000000000001" customHeight="1" x14ac:dyDescent="0.2">
      <c r="A41" s="5" t="str">
        <f>HYPERLINK("#'Constants - Ag Residue'!A1", "Constants - Ag residue")</f>
        <v>Constants - Ag residue</v>
      </c>
    </row>
    <row r="42" spans="1:17" ht="20.100000000000001" customHeight="1" x14ac:dyDescent="0.2">
      <c r="A42" s="5" t="str">
        <f>HYPERLINK("#'Constants - Electricity'!A1", "Constants - Electricity")</f>
        <v>Constants - Electricity</v>
      </c>
      <c r="D42" s="196" t="str">
        <f>"Total scope 1 - " &amp; D25</f>
        <v>Total scope 1 - Generators</v>
      </c>
      <c r="E42" s="197"/>
      <c r="F42" s="198"/>
    </row>
    <row r="43" spans="1:17" ht="20.100000000000001" customHeight="1" x14ac:dyDescent="0.2">
      <c r="A43" s="5" t="str">
        <f>HYPERLINK("#'Constants - Fertiliser'!A1", "Constants - Fertiliser")</f>
        <v>Constants - Fertiliser</v>
      </c>
      <c r="D43" s="25" t="s">
        <v>582</v>
      </c>
      <c r="E43" s="199">
        <f>SUM(N25:N31)+N("Partial sum")</f>
        <v>0</v>
      </c>
      <c r="F43" s="16" t="str">
        <f>$E$12</f>
        <v>t CO2-e</v>
      </c>
    </row>
    <row r="44" spans="1:17" ht="20.100000000000001" customHeight="1" x14ac:dyDescent="0.2">
      <c r="A44" s="5" t="str">
        <f>HYPERLINK("#'Constants - Fuel'!A1", "Constants - Fuel")</f>
        <v>Constants - Fuel</v>
      </c>
      <c r="D44" s="25" t="s">
        <v>583</v>
      </c>
      <c r="E44" s="199">
        <f>SUM(O25:O31)+N("Partial sum")</f>
        <v>0</v>
      </c>
      <c r="F44" s="16" t="str">
        <f t="shared" ref="F44:F46" si="2">$E$12</f>
        <v>t CO2-e</v>
      </c>
    </row>
    <row r="45" spans="1:17" ht="20.100000000000001" customHeight="1" x14ac:dyDescent="0.2">
      <c r="A45" s="5" t="str">
        <f>HYPERLINK("#'Constants - Scope 3'!A1", "Constants - Scope 3")</f>
        <v>Constants - Scope 3</v>
      </c>
      <c r="D45" s="25" t="s">
        <v>584</v>
      </c>
      <c r="E45" s="199">
        <f>SUM(P25:P31)+N("Partial sum")</f>
        <v>0</v>
      </c>
      <c r="F45" s="16" t="str">
        <f t="shared" si="2"/>
        <v>t CO2-e</v>
      </c>
    </row>
    <row r="46" spans="1:17" ht="20.100000000000001" customHeight="1" x14ac:dyDescent="0.2">
      <c r="A46" s="5" t="str">
        <f>HYPERLINK("#'Constants - Solid Waste'!A1", "Constants - Solid Waste")</f>
        <v>Constants - Solid Waste</v>
      </c>
      <c r="D46" s="25" t="s">
        <v>275</v>
      </c>
      <c r="E46" s="199">
        <f>SUM(Q25:Q31)+N("Partial sum")</f>
        <v>0</v>
      </c>
      <c r="F46" s="16" t="str">
        <f t="shared" si="2"/>
        <v>t CO2-e</v>
      </c>
    </row>
    <row r="47" spans="1:17" ht="20.100000000000001" customHeight="1" x14ac:dyDescent="0.2">
      <c r="A47" s="5" t="str">
        <f>HYPERLINK("#'Constants - Common'!A1", "Constants - Common")</f>
        <v>Constants - Common</v>
      </c>
      <c r="H47" s="155"/>
      <c r="I47" s="155"/>
      <c r="J47" s="155"/>
      <c r="L47" s="155"/>
      <c r="N47" s="155"/>
      <c r="O47" s="155"/>
      <c r="P47" s="155"/>
      <c r="Q47" s="155"/>
    </row>
    <row r="48" spans="1:17" ht="20.100000000000001" customHeight="1" x14ac:dyDescent="0.2">
      <c r="A48" s="5" t="str">
        <f>HYPERLINK("#'Constants - Common Livestock'!A1", "Constants - Common Livestock")</f>
        <v>Constants - Common Livestock</v>
      </c>
      <c r="D48" s="196" t="str">
        <f>"Total scope 1 - " &amp; D32</f>
        <v>Total scope 1 - Power standalone machinery or heating</v>
      </c>
      <c r="E48" s="200"/>
      <c r="F48" s="198"/>
      <c r="H48" s="155"/>
      <c r="I48" s="155"/>
      <c r="J48" s="155"/>
      <c r="L48" s="155"/>
      <c r="N48" s="155"/>
      <c r="O48" s="155"/>
      <c r="P48" s="155"/>
      <c r="Q48" s="155"/>
    </row>
    <row r="49" spans="4:17" ht="20.100000000000001" customHeight="1" x14ac:dyDescent="0.2">
      <c r="D49" s="25" t="s">
        <v>582</v>
      </c>
      <c r="E49" s="199">
        <f>SUM(N32:N40)+N("Partial sum")</f>
        <v>29.070800000000002</v>
      </c>
      <c r="F49" s="16" t="str">
        <f t="shared" ref="F49:F52" si="3">$E$12</f>
        <v>t CO2-e</v>
      </c>
      <c r="H49" s="155"/>
      <c r="I49" s="155"/>
      <c r="J49" s="155"/>
      <c r="L49" s="155"/>
      <c r="N49" s="155"/>
      <c r="O49" s="155"/>
      <c r="P49" s="155"/>
      <c r="Q49" s="155"/>
    </row>
    <row r="50" spans="4:17" ht="20.100000000000001" customHeight="1" x14ac:dyDescent="0.2">
      <c r="D50" s="25" t="s">
        <v>583</v>
      </c>
      <c r="E50" s="199">
        <f>SUM(O32:O40)+N("Partial sum")</f>
        <v>7.2400000000000006E-2</v>
      </c>
      <c r="F50" s="16" t="str">
        <f t="shared" si="3"/>
        <v>t CO2-e</v>
      </c>
      <c r="H50" s="155"/>
      <c r="I50" s="155"/>
      <c r="J50" s="155"/>
      <c r="L50" s="155"/>
      <c r="N50" s="155"/>
      <c r="O50" s="155"/>
      <c r="P50" s="155"/>
      <c r="Q50" s="155"/>
    </row>
    <row r="51" spans="4:17" ht="20.100000000000001" customHeight="1" x14ac:dyDescent="0.2">
      <c r="D51" s="25" t="s">
        <v>584</v>
      </c>
      <c r="E51" s="199">
        <f>SUM(P32:P40)+N("Partial sum")</f>
        <v>7.1400000000000005E-2</v>
      </c>
      <c r="F51" s="16" t="str">
        <f t="shared" si="3"/>
        <v>t CO2-e</v>
      </c>
      <c r="H51" s="155"/>
      <c r="I51" s="155"/>
      <c r="J51" s="155"/>
      <c r="L51" s="155"/>
      <c r="N51" s="155"/>
      <c r="O51" s="155"/>
      <c r="P51" s="155"/>
      <c r="Q51" s="155"/>
    </row>
    <row r="52" spans="4:17" ht="20.100000000000001" customHeight="1" x14ac:dyDescent="0.2">
      <c r="D52" s="25" t="s">
        <v>275</v>
      </c>
      <c r="E52" s="199">
        <f>SUM(Q32:Q40)+N("Partial sum")</f>
        <v>6.2923999999999998</v>
      </c>
      <c r="F52" s="16" t="str">
        <f t="shared" si="3"/>
        <v>t CO2-e</v>
      </c>
      <c r="G52" s="155"/>
      <c r="H52" s="155"/>
      <c r="I52" s="155"/>
      <c r="J52" s="155"/>
      <c r="L52" s="155"/>
      <c r="N52" s="155"/>
      <c r="O52" s="155"/>
      <c r="P52" s="155"/>
      <c r="Q52" s="155"/>
    </row>
    <row r="53" spans="4:17" ht="20.100000000000001" customHeight="1" x14ac:dyDescent="0.2">
      <c r="G53" s="155"/>
      <c r="H53" s="155"/>
      <c r="I53" s="155"/>
      <c r="J53" s="155"/>
      <c r="L53" s="155"/>
      <c r="N53" s="155"/>
      <c r="O53" s="155"/>
      <c r="P53" s="155"/>
      <c r="Q53" s="155"/>
    </row>
    <row r="54" spans="4:17" ht="20.100000000000001" customHeight="1" x14ac:dyDescent="0.2">
      <c r="D54" s="196" t="s">
        <v>595</v>
      </c>
      <c r="E54" s="200"/>
      <c r="F54" s="198"/>
      <c r="G54" s="155"/>
      <c r="H54" s="155"/>
      <c r="I54" s="155"/>
      <c r="J54" s="155"/>
      <c r="L54" s="155"/>
      <c r="N54" s="155"/>
      <c r="O54" s="155"/>
      <c r="P54" s="155"/>
      <c r="Q54" s="155"/>
    </row>
    <row r="55" spans="4:17" ht="20.100000000000001" customHeight="1" x14ac:dyDescent="0.2">
      <c r="D55" s="25" t="s">
        <v>582</v>
      </c>
      <c r="E55" s="199">
        <f>E43+E49</f>
        <v>29.070800000000002</v>
      </c>
      <c r="F55" s="16" t="str">
        <f t="shared" ref="F55:F58" si="4">$E$12</f>
        <v>t CO2-e</v>
      </c>
      <c r="G55" s="155"/>
      <c r="H55" s="155"/>
      <c r="I55" s="155"/>
      <c r="J55" s="155"/>
      <c r="L55" s="155"/>
      <c r="N55" s="155"/>
      <c r="O55" s="155"/>
      <c r="P55" s="155"/>
      <c r="Q55" s="155"/>
    </row>
    <row r="56" spans="4:17" ht="20.100000000000001" customHeight="1" x14ac:dyDescent="0.2">
      <c r="D56" s="25" t="s">
        <v>583</v>
      </c>
      <c r="E56" s="199">
        <f>E44+E50</f>
        <v>7.2400000000000006E-2</v>
      </c>
      <c r="F56" s="16" t="str">
        <f t="shared" si="4"/>
        <v>t CO2-e</v>
      </c>
      <c r="H56" s="155"/>
    </row>
    <row r="57" spans="4:17" ht="20.100000000000001" customHeight="1" x14ac:dyDescent="0.2">
      <c r="D57" s="25" t="s">
        <v>584</v>
      </c>
      <c r="E57" s="199">
        <f>E45+E51</f>
        <v>7.1400000000000005E-2</v>
      </c>
      <c r="F57" s="16" t="str">
        <f t="shared" si="4"/>
        <v>t CO2-e</v>
      </c>
      <c r="G57" s="155"/>
      <c r="H57" s="155"/>
      <c r="I57" s="155"/>
      <c r="J57" s="155"/>
      <c r="L57" s="155"/>
      <c r="N57" s="155"/>
      <c r="O57" s="155"/>
      <c r="P57" s="155"/>
      <c r="Q57" s="155"/>
    </row>
    <row r="58" spans="4:17" ht="20.100000000000001" customHeight="1" x14ac:dyDescent="0.2">
      <c r="D58" s="25" t="s">
        <v>275</v>
      </c>
      <c r="E58" s="199">
        <f>E46+E52</f>
        <v>6.2923999999999998</v>
      </c>
      <c r="F58" s="16" t="str">
        <f t="shared" si="4"/>
        <v>t CO2-e</v>
      </c>
      <c r="G58" s="155"/>
      <c r="H58" s="155"/>
      <c r="I58" s="155"/>
      <c r="J58" s="155"/>
      <c r="L58" s="155"/>
      <c r="N58" s="155"/>
      <c r="O58" s="155"/>
      <c r="P58" s="155"/>
      <c r="Q58" s="155"/>
    </row>
    <row r="59" spans="4:17" ht="20.100000000000001" customHeight="1" x14ac:dyDescent="0.2">
      <c r="G59" s="155"/>
      <c r="H59" s="155"/>
      <c r="I59" s="155"/>
      <c r="J59" s="155"/>
      <c r="L59" s="155"/>
      <c r="N59" s="155"/>
      <c r="O59" s="155"/>
      <c r="P59" s="155"/>
      <c r="Q59" s="155"/>
    </row>
    <row r="60" spans="4:17" ht="20.100000000000001" customHeight="1" x14ac:dyDescent="0.2">
      <c r="G60" s="155"/>
      <c r="H60" s="155"/>
      <c r="I60" s="155"/>
      <c r="J60" s="155"/>
      <c r="L60" s="155"/>
      <c r="N60" s="155"/>
      <c r="O60" s="155"/>
      <c r="P60" s="155"/>
      <c r="Q60" s="155"/>
    </row>
    <row r="61" spans="4:17" ht="20.100000000000001" customHeight="1" x14ac:dyDescent="0.2">
      <c r="G61" s="155"/>
      <c r="H61" s="155"/>
      <c r="I61" s="155"/>
      <c r="J61" s="155"/>
      <c r="L61" s="155"/>
      <c r="N61" s="155"/>
      <c r="O61" s="155"/>
      <c r="P61" s="155"/>
      <c r="Q61" s="155"/>
    </row>
    <row r="62" spans="4:17" ht="20.100000000000001" customHeight="1" x14ac:dyDescent="0.2">
      <c r="G62" s="155"/>
      <c r="H62" s="155"/>
      <c r="I62" s="155"/>
      <c r="J62" s="155"/>
      <c r="L62" s="155"/>
      <c r="N62" s="155"/>
      <c r="O62" s="155"/>
      <c r="P62" s="155"/>
      <c r="Q62" s="155"/>
    </row>
    <row r="63" spans="4:17" ht="20.100000000000001" customHeight="1" x14ac:dyDescent="0.2">
      <c r="G63" s="155"/>
      <c r="H63" s="155"/>
      <c r="I63" s="155"/>
      <c r="J63" s="155"/>
      <c r="L63" s="155"/>
      <c r="N63" s="155"/>
      <c r="O63" s="155"/>
      <c r="P63" s="155"/>
      <c r="Q63" s="155"/>
    </row>
    <row r="64" spans="4:17" ht="20.100000000000001" customHeight="1" x14ac:dyDescent="0.2">
      <c r="G64" s="155"/>
      <c r="H64" s="155"/>
      <c r="I64" s="155"/>
      <c r="J64" s="155"/>
      <c r="L64" s="155"/>
      <c r="N64" s="155"/>
      <c r="O64" s="155"/>
      <c r="P64" s="155"/>
      <c r="Q64" s="155"/>
    </row>
    <row r="65" spans="7:17" ht="20.100000000000001" customHeight="1" x14ac:dyDescent="0.2">
      <c r="G65" s="155"/>
      <c r="H65" s="155"/>
      <c r="I65" s="155"/>
      <c r="J65" s="155"/>
      <c r="L65" s="155"/>
      <c r="N65" s="155"/>
      <c r="O65" s="155"/>
      <c r="P65" s="155"/>
      <c r="Q65" s="155"/>
    </row>
    <row r="66" spans="7:17" ht="20.100000000000001" customHeight="1" x14ac:dyDescent="0.2">
      <c r="G66" s="155"/>
      <c r="H66" s="155"/>
      <c r="I66" s="155"/>
      <c r="J66" s="155"/>
      <c r="L66" s="155"/>
      <c r="N66" s="155"/>
      <c r="O66" s="155"/>
      <c r="P66" s="155"/>
      <c r="Q66" s="155"/>
    </row>
    <row r="67" spans="7:17" ht="20.100000000000001" customHeight="1" x14ac:dyDescent="0.2">
      <c r="G67" s="155"/>
    </row>
    <row r="68" spans="7:17" ht="20.100000000000001" customHeight="1" x14ac:dyDescent="0.2">
      <c r="G68" s="155"/>
    </row>
    <row r="69" spans="7:17" ht="20.100000000000001" customHeight="1" x14ac:dyDescent="0.2">
      <c r="G69" s="155"/>
    </row>
    <row r="70" spans="7:17" ht="20.100000000000001" customHeight="1" x14ac:dyDescent="0.2">
      <c r="G70" s="155"/>
    </row>
    <row r="71" spans="7:17" ht="20.100000000000001" customHeight="1" x14ac:dyDescent="0.2">
      <c r="G71" s="155"/>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86B63-7917-4141-A4F6-B43E3E897D11}">
  <sheetPr>
    <tabColor rgb="FF008000"/>
  </sheetPr>
  <dimension ref="A1:L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677</v>
      </c>
    </row>
    <row r="2" spans="1:12" s="3" customFormat="1" ht="20.100000000000001" customHeight="1" x14ac:dyDescent="0.2">
      <c r="A2"/>
    </row>
    <row r="3" spans="1:12" ht="20.100000000000001" customHeight="1" x14ac:dyDescent="0.2">
      <c r="A3" s="5" t="str">
        <f>HYPERLINK("#'Home'!A1", "Home")</f>
        <v>Home</v>
      </c>
      <c r="C3" s="23"/>
      <c r="D3" s="23" t="s">
        <v>130</v>
      </c>
      <c r="E3" s="23"/>
      <c r="F3" s="23"/>
      <c r="G3" s="23"/>
      <c r="H3" s="23"/>
      <c r="I3" s="23"/>
      <c r="J3" s="23"/>
      <c r="K3" s="23"/>
      <c r="L3" s="23"/>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EI")</f>
        <v>Results - Product EI</v>
      </c>
      <c r="D5" s="2" t="s">
        <v>1302</v>
      </c>
    </row>
    <row r="6" spans="1:12" ht="20.100000000000001" customHeight="1" x14ac:dyDescent="0.2">
      <c r="D6" s="17" t="s">
        <v>1303</v>
      </c>
    </row>
    <row r="7" spans="1:12" ht="20.100000000000001" customHeight="1" x14ac:dyDescent="0.2">
      <c r="D7" s="134"/>
      <c r="E7" s="134"/>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7" t="s">
        <v>371</v>
      </c>
      <c r="E10" s="1" t="s">
        <v>1304</v>
      </c>
    </row>
    <row r="11" spans="1:12" ht="20.100000000000001" customHeight="1" x14ac:dyDescent="0.2">
      <c r="A11" s="5" t="str">
        <f>HYPERLINK("#'Input - Crop'!A1", "Crop")</f>
        <v>Crop</v>
      </c>
      <c r="D11" s="77" t="s">
        <v>118</v>
      </c>
      <c r="E11" s="9" t="s">
        <v>1305</v>
      </c>
    </row>
    <row r="12" spans="1:12" ht="20.100000000000001" customHeight="1" x14ac:dyDescent="0.2">
      <c r="A12" s="5" t="str">
        <f>HYPERLINK("#'Input - Fert Prod System'!A1", "Fert Prod System")</f>
        <v>Fert Prod System</v>
      </c>
    </row>
    <row r="13" spans="1:12" ht="20.100000000000001" customHeight="1" x14ac:dyDescent="0.2">
      <c r="A13" s="5" t="str">
        <f>HYPERLINK("#'Input - Fertiliser'!A1", "Fertiliser")</f>
        <v>Fertiliser</v>
      </c>
      <c r="D13" s="150" t="s">
        <v>1306</v>
      </c>
      <c r="E13" s="147" t="s">
        <v>1307</v>
      </c>
      <c r="F13" s="159"/>
      <c r="G13" s="150" t="s">
        <v>1313</v>
      </c>
      <c r="H13" s="141" t="s">
        <v>1034</v>
      </c>
      <c r="I13" s="143" t="str" cm="1">
        <f t="array" aca="1" ref="I13" ca="1">HYPERLINK(Common_InputFunctions.Utility_SourceHyperlink($D$18),$D$18)</f>
        <v>Table_V_w_t_onsite</v>
      </c>
      <c r="J13" s="143" t="str" cm="1">
        <f t="array" aca="1" ref="J13" ca="1">HYPERLINK(Common_InputFunctions.Utility_SourceHyperlink($D$56),$D$56)</f>
        <v>Table_V_w_t_offsite</v>
      </c>
    </row>
    <row r="14" spans="1:12" ht="20.100000000000001" customHeight="1" x14ac:dyDescent="0.2">
      <c r="A14" s="5" t="str">
        <f>HYPERLINK("#'Input - Fuel'!A1", "Fuel")</f>
        <v>Fuel</v>
      </c>
      <c r="D14" s="150" t="s">
        <v>1308</v>
      </c>
      <c r="E14" s="147" t="s">
        <v>1309</v>
      </c>
      <c r="F14" s="159"/>
      <c r="G14" s="150" t="s">
        <v>1314</v>
      </c>
      <c r="H14" s="142" t="s">
        <v>1036</v>
      </c>
      <c r="I14" s="143" t="str" cm="1">
        <f t="array" aca="1" ref="I14" ca="1">HYPERLINK(Common_InputFunctions.Utility_SourceHyperlink($D$18),$D$18)</f>
        <v>Table_V_w_t_onsite</v>
      </c>
      <c r="J14" s="143" t="str" cm="1">
        <f t="array" aca="1" ref="J14" ca="1">HYPERLINK(Common_InputFunctions.Utility_SourceHyperlink($D$56),$D$56)</f>
        <v>Table_V_w_t_offsite</v>
      </c>
    </row>
    <row r="15" spans="1:12" ht="20.100000000000001" customHeight="1" x14ac:dyDescent="0.2">
      <c r="A15" s="5" t="str">
        <f>HYPERLINK("#'Input - Electricity'!A1", "Electricity")</f>
        <v>Electricity</v>
      </c>
      <c r="D15" s="150" t="s">
        <v>1310</v>
      </c>
      <c r="E15" s="147" t="s">
        <v>1311</v>
      </c>
      <c r="F15" s="159"/>
      <c r="G15" s="150"/>
      <c r="H15" s="141" t="s">
        <v>1034</v>
      </c>
      <c r="I15" s="143" t="str" cm="1">
        <f t="array" aca="1" ref="I15" ca="1">HYPERLINK(Common_InputFunctions.Utility_SourceHyperlink($D$18),$D$18)</f>
        <v>Table_V_w_t_onsite</v>
      </c>
      <c r="J15" s="143"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50" t="s">
        <v>1305</v>
      </c>
      <c r="E16" s="147" t="s">
        <v>1312</v>
      </c>
      <c r="F16" s="159"/>
      <c r="G16" s="150"/>
      <c r="H16" s="141" t="s">
        <v>1034</v>
      </c>
      <c r="I16" s="143" t="str" cm="1">
        <f t="array" aca="1" ref="I16" ca="1">HYPERLINK(Common_InputFunctions.Utility_SourceHyperlink($D$18),$D$18)</f>
        <v>Table_V_w_t_onsite</v>
      </c>
      <c r="J16" s="143" t="str" cm="1">
        <f t="array" aca="1" ref="J16" ca="1">HYPERLINK(Common_InputFunctions.Utility_SourceHyperlink($D$56),$D$56)</f>
        <v>Table_V_w_t_offsite</v>
      </c>
    </row>
    <row r="17" spans="1:9" ht="20.100000000000001" customHeight="1" x14ac:dyDescent="0.2">
      <c r="A17" s="5" t="str">
        <f>HYPERLINK("#'Input - Crop pasture farm input'!A1", "Crop pasture farm input")</f>
        <v>Crop pasture farm input</v>
      </c>
    </row>
    <row r="18" spans="1:9" ht="20.100000000000001" customHeight="1" x14ac:dyDescent="0.2">
      <c r="A18" s="5" t="str">
        <f>HYPERLINK("#'Input - Freight'!A1", "Freight")</f>
        <v>Freight</v>
      </c>
      <c r="D18" s="135" t="s">
        <v>678</v>
      </c>
    </row>
    <row r="19" spans="1:9" ht="20.100000000000001" customHeight="1" x14ac:dyDescent="0.2">
      <c r="A19" s="5" t="str">
        <f>HYPERLINK("#'Input - Solid waste'!A1", "Solid waste")</f>
        <v>Solid waste</v>
      </c>
      <c r="D19" s="136" t="s">
        <v>679</v>
      </c>
    </row>
    <row r="20" spans="1:9" ht="20.100000000000001" customHeight="1" x14ac:dyDescent="0.2">
      <c r="A20" s="5" t="str">
        <f>HYPERLINK("#'Input - Data quality'!A1", "Data quality")</f>
        <v>Data quality</v>
      </c>
      <c r="D20" s="80" t="s">
        <v>680</v>
      </c>
      <c r="E20" s="80" t="s">
        <v>681</v>
      </c>
      <c r="F20" s="80"/>
      <c r="G20" s="80" t="s">
        <v>682</v>
      </c>
      <c r="H20" s="138" t="s">
        <v>683</v>
      </c>
      <c r="I20" s="138" t="s">
        <v>684</v>
      </c>
    </row>
    <row r="21" spans="1:9" ht="20.100000000000001" customHeight="1" x14ac:dyDescent="0.2">
      <c r="D21" s="150" t="str" cm="1">
        <f t="array" ref="D21:D54">Table_SourceData_WasteSolid_WasteTreatmentEFs[Treatment type t]</f>
        <v>Landfill</v>
      </c>
      <c r="E21" s="147" t="str" cm="1">
        <f t="array" ref="E21:E54">Table_SourceData_WasteSolid_WasteTreatmentEFs[Waste type w]</f>
        <v>Food waste (including animal carcasses, spoiled animal feed or crop)</v>
      </c>
      <c r="F21" s="148"/>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(G21 * H21)</f>
        <v>25</v>
      </c>
    </row>
    <row r="22" spans="1:9" ht="20.100000000000001" customHeight="1" x14ac:dyDescent="0.2">
      <c r="D22" s="150" t="str">
        <v>Landfill</v>
      </c>
      <c r="E22" s="147" t="str">
        <v>Paper and cardboard</v>
      </c>
      <c r="F22" s="148"/>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(G22 * H22)</f>
        <v>4.5</v>
      </c>
    </row>
    <row r="23" spans="1:9" ht="20.100000000000001" customHeight="1" x14ac:dyDescent="0.2">
      <c r="A23" s="6" t="s">
        <v>2</v>
      </c>
      <c r="D23" s="150" t="str">
        <v>Landfill</v>
      </c>
      <c r="E23" s="147" t="str">
        <v>Green waste (including crop residues or prunings)</v>
      </c>
      <c r="F23" s="148"/>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(G23 * H23)</f>
        <v>12</v>
      </c>
    </row>
    <row r="24" spans="1:9" ht="20.100000000000001" customHeight="1" x14ac:dyDescent="0.2">
      <c r="A24" s="5" t="str">
        <f>HYPERLINK("#'5.1.1.1-2 Inorganic fert N2O'!A1", "5.1.1.1-2 Inorganic fert N2O")</f>
        <v>5.1.1.1-2 Inorganic fert N2O</v>
      </c>
      <c r="D24" s="150" t="str">
        <v>Landfill</v>
      </c>
      <c r="E24" s="147" t="str">
        <v>Wood</v>
      </c>
      <c r="F24" s="148"/>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(G24 * H24)</f>
        <v>0</v>
      </c>
    </row>
    <row r="25" spans="1:9" ht="20.100000000000001" customHeight="1" x14ac:dyDescent="0.2">
      <c r="A25" s="5" t="str">
        <f>HYPERLINK("#'5.1.1.3-4 Inorganic fert CO2'!A1", "5.1.1.3-4 Inorganic fert CO2")</f>
        <v>5.1.1.3-4 Inorganic fert CO2</v>
      </c>
      <c r="D25" s="150" t="str">
        <v>Landfill</v>
      </c>
      <c r="E25" s="147" t="str">
        <v>Textiles</v>
      </c>
      <c r="F25" s="148"/>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(G25 * H25)</f>
        <v>0</v>
      </c>
    </row>
    <row r="26" spans="1:9" ht="20.100000000000001" customHeight="1" x14ac:dyDescent="0.2">
      <c r="A26" s="5" t="str">
        <f>HYPERLINK("#'5.2.1.1-2 Organic Fert N2O'!A1", "5.2.1.1-2 Organic fert N2O")</f>
        <v>5.2.1.1-2 Organic fert N2O</v>
      </c>
      <c r="D26" s="150" t="str">
        <v>Landfill</v>
      </c>
      <c r="E26" s="147" t="str">
        <v>Sludge</v>
      </c>
      <c r="F26" s="148"/>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(G26 * H26)</f>
        <v>0</v>
      </c>
    </row>
    <row r="27" spans="1:9" ht="20.100000000000001" customHeight="1" x14ac:dyDescent="0.2">
      <c r="A27" s="5" t="str">
        <f>HYPERLINK("#'5.3.1.1-2 Lime CO2'!A1", "5.3.1.1-2 Lime CO2")</f>
        <v>5.3.1.1-2 Lime CO2</v>
      </c>
      <c r="D27" s="150" t="str">
        <v>Landfill</v>
      </c>
      <c r="E27" s="147" t="str">
        <v>Rubber and leather</v>
      </c>
      <c r="F27" s="148"/>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(G27 * H27)</f>
        <v>0</v>
      </c>
    </row>
    <row r="28" spans="1:9" ht="20.100000000000001" customHeight="1" x14ac:dyDescent="0.2">
      <c r="A28" s="5" t="str">
        <f>HYPERLINK("#'5.4.1.1-4 Atmos deposition'!A1", "5.4.1.1-4 Atmos. deposition")</f>
        <v>5.4.1.1-4 Atmos. deposition</v>
      </c>
      <c r="D28" s="150" t="str">
        <v>Landfill</v>
      </c>
      <c r="E28" s="147" t="str">
        <v>Inert waste (including concrete, metal, plastic or glass)</v>
      </c>
      <c r="F28" s="148"/>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(G28 * H28)</f>
        <v>0</v>
      </c>
    </row>
    <row r="29" spans="1:9" ht="20.100000000000001" customHeight="1" x14ac:dyDescent="0.2">
      <c r="A29" s="5" t="str">
        <f>HYPERLINK("#'5.5.1.1-2 Leaching and runoff'!A1", "5.5.1.1-2 Leaching &amp; runoff")</f>
        <v>5.5.1.1-2 Leaching &amp; runoff</v>
      </c>
      <c r="D29" s="150" t="str">
        <v>Landfill</v>
      </c>
      <c r="E29" s="147" t="str">
        <v>Municipal solid waste</v>
      </c>
      <c r="F29" s="148"/>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(G29 * H29)</f>
        <v>0</v>
      </c>
    </row>
    <row r="30" spans="1:9" ht="20.100000000000001" customHeight="1" x14ac:dyDescent="0.2">
      <c r="A30" s="5" t="str">
        <f>HYPERLINK("#'6.1.1.1-2 Crop residue N2O'!A1", "6.1.1.1-2 Crop residue N2O")</f>
        <v>6.1.1.1-2 Crop residue N2O</v>
      </c>
      <c r="D30" s="150" t="str">
        <v>Landfill</v>
      </c>
      <c r="E30" s="147" t="str">
        <v>Commercial and industrial waste</v>
      </c>
      <c r="F30" s="148"/>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(G30 * H30)</f>
        <v>0</v>
      </c>
    </row>
    <row r="31" spans="1:9" ht="20.100000000000001" customHeight="1" x14ac:dyDescent="0.2">
      <c r="A31" s="5" t="str">
        <f>HYPERLINK("#'6.3.1.1-2 Leach runoff crop'!A1", "6.3.1.1-2 Leach &amp; runoff (crop)")</f>
        <v>6.3.1.1-2 Leach &amp; runoff (crop)</v>
      </c>
      <c r="D31" s="150" t="str">
        <v>Landfill</v>
      </c>
      <c r="E31" s="147" t="str">
        <v>Construction and demolition waste</v>
      </c>
      <c r="F31" s="148"/>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(G31 * H31)</f>
        <v>0</v>
      </c>
    </row>
    <row r="32" spans="1:9" ht="20.100000000000001" customHeight="1" x14ac:dyDescent="0.2">
      <c r="A32" s="5" t="str">
        <f>HYPERLINK("#'6.4.1.1-2 Residue burning'!A1", "6.4.1.1-2 Residue burning")</f>
        <v>6.4.1.1-2 Residue burning</v>
      </c>
      <c r="D32" s="150" t="str">
        <v>Incineration</v>
      </c>
      <c r="E32" s="147" t="str">
        <v>Food waste, green waste, wood, sludge</v>
      </c>
      <c r="F32" s="148"/>
      <c r="G32" s="15" t="s">
        <v>396</v>
      </c>
      <c r="H32" s="15" t="s">
        <v>396</v>
      </c>
      <c r="I32" s="15" t="s">
        <v>396</v>
      </c>
    </row>
    <row r="33" spans="1:9" ht="20.100000000000001" customHeight="1" x14ac:dyDescent="0.2">
      <c r="A33" s="5" t="str">
        <f>HYPERLINK("#'8.1.1.1-2 Transport fuel'!A1", "8.1.1.1-2 Transport fuel")</f>
        <v>8.1.1.1-2 Transport fuel</v>
      </c>
      <c r="D33" s="150" t="str">
        <v>Incineration</v>
      </c>
      <c r="E33" s="147" t="str">
        <v>Food waste (including animal carcasses, spoiled animal feed or crop)</v>
      </c>
      <c r="F33" s="148"/>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(G33 * H33)</f>
        <v>0</v>
      </c>
    </row>
    <row r="34" spans="1:9" ht="20.100000000000001" customHeight="1" x14ac:dyDescent="0.2">
      <c r="A34" s="5" t="str">
        <f>HYPERLINK("#'8.2.1.1-2 Stationary fuel'!A1", "8.2.1.1-2 Stationary fuel")</f>
        <v>8.2.1.1-2 Stationary fuel</v>
      </c>
      <c r="D34" s="150" t="str">
        <v>Incineration</v>
      </c>
      <c r="E34" s="147" t="str">
        <v>Green waste (including crop residues or prunings)</v>
      </c>
      <c r="F34" s="148"/>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(G34 * H34)</f>
        <v>24</v>
      </c>
    </row>
    <row r="35" spans="1:9" ht="20.100000000000001" customHeight="1" x14ac:dyDescent="0.2">
      <c r="A35" s="144" t="str">
        <f>HYPERLINK("#'10.1.1-2 Solid waste treatment'!A1", "10.1.1.1-2 Solid waste")</f>
        <v>10.1.1.1-2 Solid waste</v>
      </c>
      <c r="D35" s="150" t="str">
        <v>Incineration</v>
      </c>
      <c r="E35" s="147" t="str">
        <v>Wood</v>
      </c>
      <c r="F35" s="148"/>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(G35 * H35)</f>
        <v>0</v>
      </c>
    </row>
    <row r="36" spans="1:9" ht="20.100000000000001" customHeight="1" x14ac:dyDescent="0.2">
      <c r="A36" s="5" t="str">
        <f>HYPERLINK("#'14.1.1-2 Purchased electricity'!A1", "14.1.1-2 Purchased electricity")</f>
        <v>14.1.1-2 Purchased electricity</v>
      </c>
      <c r="D36" s="150" t="str">
        <v>Incineration</v>
      </c>
      <c r="E36" s="147" t="str">
        <v>Sludge</v>
      </c>
      <c r="F36" s="148"/>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(G36 * H36)</f>
        <v>0</v>
      </c>
    </row>
    <row r="37" spans="1:9" ht="20.100000000000001" customHeight="1" x14ac:dyDescent="0.2">
      <c r="A37" s="5" t="str">
        <f>HYPERLINK("#'15 Scope 3'!A1", "15 Scope 3")</f>
        <v>15 Scope 3</v>
      </c>
      <c r="D37" s="150" t="str">
        <v>Incineration</v>
      </c>
      <c r="E37" s="147" t="str">
        <v>Paper and cardboard</v>
      </c>
      <c r="F37" s="148"/>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(G37 * H37)</f>
        <v>4.5</v>
      </c>
    </row>
    <row r="38" spans="1:9" ht="20.100000000000001" customHeight="1" x14ac:dyDescent="0.2">
      <c r="D38" s="150" t="str">
        <v>Incineration</v>
      </c>
      <c r="E38" s="147" t="str">
        <v>Textiles</v>
      </c>
      <c r="F38" s="148"/>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(G38 * H38)</f>
        <v>0</v>
      </c>
    </row>
    <row r="39" spans="1:9" ht="20.100000000000001" customHeight="1" x14ac:dyDescent="0.2">
      <c r="D39" s="150" t="str">
        <v>Incineration</v>
      </c>
      <c r="E39" s="147" t="str">
        <v>Rubber and leather</v>
      </c>
      <c r="F39" s="148"/>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(G39 * H39)</f>
        <v>0</v>
      </c>
    </row>
    <row r="40" spans="1:9" ht="20.100000000000001" customHeight="1" x14ac:dyDescent="0.2">
      <c r="A40" s="82" t="s">
        <v>1</v>
      </c>
      <c r="D40" s="150" t="str">
        <v>Incineration</v>
      </c>
      <c r="E40" s="150" t="str">
        <v>Inert waste (including concrete, metal, plastic or glass)</v>
      </c>
      <c r="F40" s="15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(G40 * H40)</f>
        <v>0</v>
      </c>
    </row>
    <row r="41" spans="1:9" ht="20.100000000000001" customHeight="1" x14ac:dyDescent="0.2">
      <c r="A41" s="5" t="str">
        <f>HYPERLINK("#'Constants - Ag Residue'!A1", "Constants - Ag residue")</f>
        <v>Constants - Ag residue</v>
      </c>
      <c r="D41" s="150" t="str">
        <v>Incineration</v>
      </c>
      <c r="E41" s="147" t="str">
        <v>Municipal solid waste</v>
      </c>
      <c r="F41" s="15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(G41 * H41)</f>
        <v>0</v>
      </c>
    </row>
    <row r="42" spans="1:9" ht="20.100000000000001" customHeight="1" x14ac:dyDescent="0.2">
      <c r="A42" s="5" t="str">
        <f>HYPERLINK("#'Constants - Electricity'!A1", "Constants - Electricity")</f>
        <v>Constants - Electricity</v>
      </c>
      <c r="D42" s="150" t="str">
        <v>Incineration</v>
      </c>
      <c r="E42" s="147" t="str">
        <v>Commercial and industrial waste</v>
      </c>
      <c r="F42" s="15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(G42 * H42)</f>
        <v>0</v>
      </c>
    </row>
    <row r="43" spans="1:9" ht="20.100000000000001" customHeight="1" x14ac:dyDescent="0.2">
      <c r="A43" s="5" t="str">
        <f>HYPERLINK("#'Constants - Fertiliser'!A1", "Constants - Fertiliser")</f>
        <v>Constants - Fertiliser</v>
      </c>
      <c r="D43" s="150" t="str">
        <v>Composting</v>
      </c>
      <c r="E43" s="147" t="str">
        <v>All organic waste</v>
      </c>
      <c r="F43" s="159"/>
      <c r="G43" s="15" t="s">
        <v>396</v>
      </c>
      <c r="H43" s="15" t="s">
        <v>396</v>
      </c>
      <c r="I43" s="15" t="s">
        <v>396</v>
      </c>
    </row>
    <row r="44" spans="1:9" ht="20.100000000000001" customHeight="1" x14ac:dyDescent="0.2">
      <c r="A44" s="5" t="str">
        <f>HYPERLINK("#'Constants - Fuel'!A1", "Constants - Fuel")</f>
        <v>Constants - Fuel</v>
      </c>
      <c r="D44" s="150" t="str">
        <v>Composting</v>
      </c>
      <c r="E44" s="147" t="str">
        <v>Food waste (including animal carcasses, spoiled animal feed or crop)</v>
      </c>
      <c r="F44" s="15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A45" s="5" t="str">
        <f>HYPERLINK("#'Constants - Scope 3'!A1", "Constants - Scope 3")</f>
        <v>Constants - Scope 3</v>
      </c>
      <c r="D45" s="150" t="str">
        <v>Composting</v>
      </c>
      <c r="E45" s="147" t="str">
        <v>Green waste (including crop residues or prunings)</v>
      </c>
      <c r="F45" s="15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A46" s="5" t="str">
        <f>HYPERLINK("#'Constants - Solid Waste'!A1", "Constants - Solid Waste")</f>
        <v>Constants - Solid Waste</v>
      </c>
      <c r="D46" s="150" t="str">
        <v>Composting</v>
      </c>
      <c r="E46" s="147" t="str">
        <v>Wood</v>
      </c>
      <c r="F46" s="15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A47" s="5" t="str">
        <f>HYPERLINK("#'Constants - Common'!A1", "Constants - Common")</f>
        <v>Constants - Common</v>
      </c>
      <c r="D47" s="150" t="str">
        <v>Composting</v>
      </c>
      <c r="E47" s="147" t="str">
        <v>Sludge</v>
      </c>
      <c r="F47" s="15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A48" s="5" t="str">
        <f>HYPERLINK("#'Constants - Common Livestock'!A1", "Constants - Common Livestock")</f>
        <v>Constants - Common Livestock</v>
      </c>
      <c r="D48" s="150" t="str">
        <v>Composting</v>
      </c>
      <c r="E48" s="147" t="str">
        <v>Paper and cardboard</v>
      </c>
      <c r="F48" s="15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D49" s="150" t="str">
        <v>Anaerobic digestion</v>
      </c>
      <c r="E49" s="147" t="str">
        <v>All organic waste</v>
      </c>
      <c r="F49" s="159"/>
      <c r="G49" s="15" t="s">
        <v>396</v>
      </c>
      <c r="H49" s="15" t="s">
        <v>396</v>
      </c>
      <c r="I49" s="15" t="s">
        <v>396</v>
      </c>
    </row>
    <row r="50" spans="1:9" ht="20.100000000000001" customHeight="1" x14ac:dyDescent="0.2">
      <c r="D50" s="150" t="str">
        <v>Anaerobic digestion</v>
      </c>
      <c r="E50" s="147" t="str">
        <v>Food waste (including animal carcasses, spoiled animal feed or crop)</v>
      </c>
      <c r="F50" s="15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D51" s="150" t="str">
        <v>Anaerobic digestion</v>
      </c>
      <c r="E51" s="147" t="str">
        <v>Green waste (including crop residues or prunings)</v>
      </c>
      <c r="F51" s="15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D52" s="150" t="str">
        <v>Anaerobic digestion</v>
      </c>
      <c r="E52" s="147" t="str">
        <v>Wood</v>
      </c>
      <c r="F52" s="15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D53" s="150" t="str">
        <v>Anaerobic digestion</v>
      </c>
      <c r="E53" s="147" t="str">
        <v>Sludge</v>
      </c>
      <c r="F53" s="15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D54" s="150" t="str">
        <v>Anaerobic digestion</v>
      </c>
      <c r="E54" s="147" t="str">
        <v>Paper and cardboard</v>
      </c>
      <c r="F54" s="15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6" spans="1:9" ht="20.100000000000001" customHeight="1" x14ac:dyDescent="0.2">
      <c r="D56" s="135" t="s">
        <v>685</v>
      </c>
    </row>
    <row r="57" spans="1:9" ht="20.100000000000001" customHeight="1" x14ac:dyDescent="0.2">
      <c r="D57" s="136" t="s">
        <v>686</v>
      </c>
    </row>
    <row r="58" spans="1:9" ht="20.100000000000001" customHeight="1" x14ac:dyDescent="0.2">
      <c r="D58" s="80" t="s">
        <v>680</v>
      </c>
      <c r="E58" s="80" t="s">
        <v>681</v>
      </c>
      <c r="F58" s="80"/>
      <c r="G58" s="80" t="s">
        <v>682</v>
      </c>
      <c r="H58" s="138" t="s">
        <v>683</v>
      </c>
      <c r="I58" s="138" t="s">
        <v>684</v>
      </c>
    </row>
    <row r="59" spans="1:9" ht="20.100000000000001" customHeight="1" x14ac:dyDescent="0.2">
      <c r="A59" s="81" t="str">
        <f>HYPERLINK("#A1", "▲ Back to top")</f>
        <v>▲ Back to top</v>
      </c>
      <c r="D59" s="150" t="str" cm="1">
        <f t="array" ref="D59:D92">Table_SourceData_WasteSolid_WasteTreatmentEFs[Treatment type t]</f>
        <v>Landfill</v>
      </c>
      <c r="E59" s="147" t="str" cm="1">
        <f t="array" ref="E59:E92">Table_SourceData_WasteSolid_WasteTreatmentEFs[Waste type w]</f>
        <v>Food waste (including animal carcasses, spoiled animal feed or crop)</v>
      </c>
      <c r="F59" s="148"/>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(G59 * H59)</f>
        <v>25</v>
      </c>
    </row>
    <row r="60" spans="1:9" ht="20.100000000000001" customHeight="1" x14ac:dyDescent="0.2">
      <c r="D60" s="150" t="str">
        <v>Landfill</v>
      </c>
      <c r="E60" s="147" t="str">
        <v>Paper and cardboard</v>
      </c>
      <c r="F60" s="148"/>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(G60 * H60)</f>
        <v>4.5</v>
      </c>
    </row>
    <row r="61" spans="1:9" ht="20.100000000000001" customHeight="1" x14ac:dyDescent="0.2">
      <c r="D61" s="150" t="str">
        <v>Landfill</v>
      </c>
      <c r="E61" s="147" t="str">
        <v>Green waste (including crop residues or prunings)</v>
      </c>
      <c r="F61" s="148"/>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(G61 * H61)</f>
        <v>12</v>
      </c>
    </row>
    <row r="62" spans="1:9" ht="20.100000000000001" customHeight="1" x14ac:dyDescent="0.2">
      <c r="D62" s="150" t="str">
        <v>Landfill</v>
      </c>
      <c r="E62" s="147" t="str">
        <v>Wood</v>
      </c>
      <c r="F62" s="148"/>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(G62 * H62)</f>
        <v>0</v>
      </c>
    </row>
    <row r="63" spans="1:9" ht="20.100000000000001" customHeight="1" x14ac:dyDescent="0.2">
      <c r="D63" s="150" t="str">
        <v>Landfill</v>
      </c>
      <c r="E63" s="147" t="str">
        <v>Textiles</v>
      </c>
      <c r="F63" s="148"/>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(G63 * H63)</f>
        <v>0</v>
      </c>
    </row>
    <row r="64" spans="1:9" ht="20.100000000000001" customHeight="1" x14ac:dyDescent="0.2">
      <c r="D64" s="150" t="str">
        <v>Landfill</v>
      </c>
      <c r="E64" s="147" t="str">
        <v>Sludge</v>
      </c>
      <c r="F64" s="148"/>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(G64 * H64)</f>
        <v>0</v>
      </c>
    </row>
    <row r="65" spans="4:9" ht="20.100000000000001" customHeight="1" x14ac:dyDescent="0.2">
      <c r="D65" s="150" t="str">
        <v>Landfill</v>
      </c>
      <c r="E65" s="147" t="str">
        <v>Rubber and leather</v>
      </c>
      <c r="F65" s="148"/>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(G65 * H65)</f>
        <v>0</v>
      </c>
    </row>
    <row r="66" spans="4:9" ht="20.100000000000001" customHeight="1" x14ac:dyDescent="0.2">
      <c r="D66" s="150" t="str">
        <v>Landfill</v>
      </c>
      <c r="E66" s="147" t="str">
        <v>Inert waste (including concrete, metal, plastic or glass)</v>
      </c>
      <c r="F66" s="148"/>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(G66 * H66)</f>
        <v>0</v>
      </c>
    </row>
    <row r="67" spans="4:9" ht="20.100000000000001" customHeight="1" x14ac:dyDescent="0.2">
      <c r="D67" s="150" t="str">
        <v>Landfill</v>
      </c>
      <c r="E67" s="147" t="str">
        <v>Municipal solid waste</v>
      </c>
      <c r="F67" s="148"/>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(G67 * H67)</f>
        <v>0</v>
      </c>
    </row>
    <row r="68" spans="4:9" ht="20.100000000000001" customHeight="1" x14ac:dyDescent="0.2">
      <c r="D68" s="150" t="str">
        <v>Landfill</v>
      </c>
      <c r="E68" s="147" t="str">
        <v>Commercial and industrial waste</v>
      </c>
      <c r="F68" s="148"/>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(G68 * H68)</f>
        <v>0</v>
      </c>
    </row>
    <row r="69" spans="4:9" ht="20.100000000000001" customHeight="1" x14ac:dyDescent="0.2">
      <c r="D69" s="150" t="str">
        <v>Landfill</v>
      </c>
      <c r="E69" s="147" t="str">
        <v>Construction and demolition waste</v>
      </c>
      <c r="F69" s="148"/>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(G69 * H69)</f>
        <v>0</v>
      </c>
    </row>
    <row r="70" spans="4:9" ht="20.100000000000001" customHeight="1" x14ac:dyDescent="0.2">
      <c r="D70" s="150" t="str">
        <v>Incineration</v>
      </c>
      <c r="E70" s="147" t="str">
        <v>Food waste, green waste, wood, sludge</v>
      </c>
      <c r="F70" s="148"/>
      <c r="G70" s="15" t="s">
        <v>396</v>
      </c>
      <c r="H70" s="15" t="s">
        <v>396</v>
      </c>
      <c r="I70" s="15" t="s">
        <v>396</v>
      </c>
    </row>
    <row r="71" spans="4:9" ht="20.100000000000001" customHeight="1" x14ac:dyDescent="0.2">
      <c r="D71" s="150" t="str">
        <v>Incineration</v>
      </c>
      <c r="E71" s="147" t="str">
        <v>Food waste (including animal carcasses, spoiled animal feed or crop)</v>
      </c>
      <c r="F71" s="148"/>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(G71 * H71)</f>
        <v>0</v>
      </c>
    </row>
    <row r="72" spans="4:9" ht="20.100000000000001" customHeight="1" x14ac:dyDescent="0.2">
      <c r="D72" s="150" t="str">
        <v>Incineration</v>
      </c>
      <c r="E72" s="147" t="str">
        <v>Green waste (including crop residues or prunings)</v>
      </c>
      <c r="F72" s="148"/>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(G72 * H72)</f>
        <v>12</v>
      </c>
    </row>
    <row r="73" spans="4:9" ht="20.100000000000001" customHeight="1" x14ac:dyDescent="0.2">
      <c r="D73" s="150" t="str">
        <v>Incineration</v>
      </c>
      <c r="E73" s="147" t="str">
        <v>Wood</v>
      </c>
      <c r="F73" s="148"/>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(G73 * H73)</f>
        <v>0</v>
      </c>
    </row>
    <row r="74" spans="4:9" ht="20.100000000000001" customHeight="1" x14ac:dyDescent="0.2">
      <c r="D74" s="150" t="str">
        <v>Incineration</v>
      </c>
      <c r="E74" s="147" t="str">
        <v>Sludge</v>
      </c>
      <c r="F74" s="148"/>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(G74 * H74)</f>
        <v>0</v>
      </c>
    </row>
    <row r="75" spans="4:9" ht="20.100000000000001" customHeight="1" x14ac:dyDescent="0.2">
      <c r="D75" s="150" t="str">
        <v>Incineration</v>
      </c>
      <c r="E75" s="147" t="str">
        <v>Paper and cardboard</v>
      </c>
      <c r="F75" s="148"/>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(G75 * H75)</f>
        <v>0</v>
      </c>
    </row>
    <row r="76" spans="4:9" ht="20.100000000000001" customHeight="1" x14ac:dyDescent="0.2">
      <c r="D76" s="150" t="str">
        <v>Incineration</v>
      </c>
      <c r="E76" s="147" t="str">
        <v>Textiles</v>
      </c>
      <c r="F76" s="148"/>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(G76 * H76)</f>
        <v>0</v>
      </c>
    </row>
    <row r="77" spans="4:9" ht="20.100000000000001" customHeight="1" x14ac:dyDescent="0.2">
      <c r="D77" s="150" t="str">
        <v>Incineration</v>
      </c>
      <c r="E77" s="147" t="str">
        <v>Rubber and leather</v>
      </c>
      <c r="F77" s="148"/>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(G77 * H77)</f>
        <v>0</v>
      </c>
    </row>
    <row r="78" spans="4:9" ht="20.100000000000001" customHeight="1" x14ac:dyDescent="0.2">
      <c r="D78" s="150" t="str">
        <v>Incineration</v>
      </c>
      <c r="E78" s="147" t="str">
        <v>Inert waste (including concrete, metal, plastic or glass)</v>
      </c>
      <c r="F78" s="148"/>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(G78 * H78)</f>
        <v>0</v>
      </c>
    </row>
    <row r="79" spans="4:9" ht="20.100000000000001" customHeight="1" x14ac:dyDescent="0.2">
      <c r="D79" s="150" t="str">
        <v>Incineration</v>
      </c>
      <c r="E79" s="147" t="str">
        <v>Municipal solid waste</v>
      </c>
      <c r="F79" s="15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(G79 * H79)</f>
        <v>0</v>
      </c>
    </row>
    <row r="80" spans="4:9" ht="20.100000000000001" customHeight="1" x14ac:dyDescent="0.2">
      <c r="D80" s="150" t="str">
        <v>Incineration</v>
      </c>
      <c r="E80" s="147" t="str">
        <v>Commercial and industrial waste</v>
      </c>
      <c r="F80" s="15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(G80 * H80)</f>
        <v>0</v>
      </c>
    </row>
    <row r="81" spans="1:12" ht="20.100000000000001" customHeight="1" x14ac:dyDescent="0.2">
      <c r="D81" s="150" t="str">
        <v>Composting</v>
      </c>
      <c r="E81" s="147" t="str">
        <v>All organic waste</v>
      </c>
      <c r="F81" s="159"/>
      <c r="G81" s="15" t="s">
        <v>396</v>
      </c>
      <c r="H81" s="15" t="s">
        <v>396</v>
      </c>
      <c r="I81" s="15" t="s">
        <v>396</v>
      </c>
    </row>
    <row r="82" spans="1:12" ht="20.100000000000001" customHeight="1" x14ac:dyDescent="0.2">
      <c r="D82" s="150" t="str">
        <v>Composting</v>
      </c>
      <c r="E82" s="147" t="str">
        <v>Food waste (including animal carcasses, spoiled animal feed or crop)</v>
      </c>
      <c r="F82" s="15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1:12" ht="20.100000000000001" customHeight="1" x14ac:dyDescent="0.2">
      <c r="D83" s="150" t="str">
        <v>Composting</v>
      </c>
      <c r="E83" s="147" t="str">
        <v>Green waste (including crop residues or prunings)</v>
      </c>
      <c r="F83" s="15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1:12" ht="20.100000000000001" customHeight="1" x14ac:dyDescent="0.2">
      <c r="D84" s="150" t="str">
        <v>Composting</v>
      </c>
      <c r="E84" s="147" t="str">
        <v>Wood</v>
      </c>
      <c r="F84" s="15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1:12" ht="20.100000000000001" customHeight="1" x14ac:dyDescent="0.2">
      <c r="D85" s="150" t="str">
        <v>Composting</v>
      </c>
      <c r="E85" s="147" t="str">
        <v>Sludge</v>
      </c>
      <c r="F85" s="15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1:12" ht="20.100000000000001" customHeight="1" x14ac:dyDescent="0.2">
      <c r="D86" s="150" t="str">
        <v>Composting</v>
      </c>
      <c r="E86" s="147" t="str">
        <v>Paper and cardboard</v>
      </c>
      <c r="F86" s="15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1:12" ht="20.100000000000001" customHeight="1" x14ac:dyDescent="0.2">
      <c r="D87" s="150" t="str">
        <v>Anaerobic digestion</v>
      </c>
      <c r="E87" s="147" t="str">
        <v>All organic waste</v>
      </c>
      <c r="F87" s="159"/>
      <c r="G87" s="15" t="s">
        <v>396</v>
      </c>
      <c r="H87" s="15" t="s">
        <v>396</v>
      </c>
      <c r="I87" s="15" t="s">
        <v>396</v>
      </c>
    </row>
    <row r="88" spans="1:12" ht="20.100000000000001" customHeight="1" x14ac:dyDescent="0.2">
      <c r="D88" s="150" t="str">
        <v>Anaerobic digestion</v>
      </c>
      <c r="E88" s="147" t="str">
        <v>Food waste (including animal carcasses, spoiled animal feed or crop)</v>
      </c>
      <c r="F88" s="15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1:12" ht="20.100000000000001" customHeight="1" x14ac:dyDescent="0.2">
      <c r="A89" s="81" t="str">
        <f>HYPERLINK("#A1", "▲ Back to top")</f>
        <v>▲ Back to top</v>
      </c>
      <c r="D89" s="150" t="str">
        <v>Anaerobic digestion</v>
      </c>
      <c r="E89" s="147" t="str">
        <v>Green waste (including crop residues or prunings)</v>
      </c>
      <c r="F89" s="15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1:12" ht="20.100000000000001" customHeight="1" x14ac:dyDescent="0.2">
      <c r="D90" s="150" t="str">
        <v>Anaerobic digestion</v>
      </c>
      <c r="E90" s="147" t="str">
        <v>Wood</v>
      </c>
      <c r="F90" s="15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1:12" ht="20.100000000000001" customHeight="1" x14ac:dyDescent="0.2">
      <c r="D91" s="150" t="str">
        <v>Anaerobic digestion</v>
      </c>
      <c r="E91" s="147" t="str">
        <v>Sludge</v>
      </c>
      <c r="F91" s="15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1:12" ht="20.100000000000001" customHeight="1" x14ac:dyDescent="0.2">
      <c r="D92" s="150" t="str">
        <v>Anaerobic digestion</v>
      </c>
      <c r="E92" s="147" t="str">
        <v>Paper and cardboard</v>
      </c>
      <c r="F92" s="15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1:12" ht="20.100000000000001" customHeight="1" x14ac:dyDescent="0.2">
      <c r="C95" s="85"/>
      <c r="D95" s="85"/>
      <c r="E95" s="85"/>
      <c r="F95" s="85"/>
      <c r="G95" s="85"/>
      <c r="H95" s="85"/>
      <c r="I95" s="85"/>
      <c r="J95" s="85"/>
      <c r="K95" s="85"/>
      <c r="L95" s="85"/>
    </row>
    <row r="96" spans="1:12" ht="20.100000000000001" customHeight="1" x14ac:dyDescent="0.2">
      <c r="D96" s="2" t="s">
        <v>1315</v>
      </c>
    </row>
    <row r="97" spans="4:9" ht="20.100000000000001" customHeight="1" x14ac:dyDescent="0.2">
      <c r="D97" s="17" t="s">
        <v>1316</v>
      </c>
    </row>
    <row r="98" spans="4:9" ht="20.100000000000001" customHeight="1" x14ac:dyDescent="0.2">
      <c r="D98" s="26" t="s">
        <v>1317</v>
      </c>
    </row>
    <row r="99" spans="4:9" ht="20.100000000000001" customHeight="1" x14ac:dyDescent="0.2">
      <c r="D99" s="134"/>
      <c r="E99" s="134"/>
    </row>
    <row r="102" spans="4:9" ht="20.100000000000001" customHeight="1" x14ac:dyDescent="0.2">
      <c r="D102" s="77" t="s">
        <v>371</v>
      </c>
      <c r="E102" s="1" t="s">
        <v>1257</v>
      </c>
    </row>
    <row r="103" spans="4:9" ht="20.100000000000001" customHeight="1" x14ac:dyDescent="0.2">
      <c r="D103" s="77" t="s">
        <v>118</v>
      </c>
      <c r="E103" s="9" t="s">
        <v>7</v>
      </c>
    </row>
    <row r="105" spans="4:9" ht="20.100000000000001" customHeight="1" x14ac:dyDescent="0.2">
      <c r="D105" s="150" t="s">
        <v>1304</v>
      </c>
      <c r="E105" s="147" t="s">
        <v>1318</v>
      </c>
      <c r="F105" s="158"/>
      <c r="G105" s="159"/>
      <c r="H105" s="150" t="s">
        <v>1305</v>
      </c>
      <c r="I105" s="142" t="s">
        <v>1326</v>
      </c>
    </row>
    <row r="106" spans="4:9" ht="20.100000000000001" customHeight="1" x14ac:dyDescent="0.2">
      <c r="D106" s="150" t="s">
        <v>1319</v>
      </c>
      <c r="E106" s="147" t="s">
        <v>1320</v>
      </c>
      <c r="F106" s="158"/>
      <c r="G106" s="159"/>
      <c r="H106" s="150" t="s">
        <v>1327</v>
      </c>
      <c r="I106" s="142" t="s">
        <v>1036</v>
      </c>
    </row>
    <row r="107" spans="4:9" ht="20.100000000000001" customHeight="1" x14ac:dyDescent="0.2">
      <c r="D107" s="150" t="s">
        <v>1310</v>
      </c>
      <c r="E107" s="147" t="s">
        <v>1311</v>
      </c>
      <c r="F107" s="158"/>
      <c r="G107" s="159"/>
      <c r="H107" s="150"/>
      <c r="I107" s="141" t="s">
        <v>1034</v>
      </c>
    </row>
    <row r="108" spans="4:9" ht="20.100000000000001" customHeight="1" x14ac:dyDescent="0.2">
      <c r="D108" s="150" t="s">
        <v>1305</v>
      </c>
      <c r="E108" s="147" t="s">
        <v>1312</v>
      </c>
      <c r="F108" s="158"/>
      <c r="G108" s="159"/>
      <c r="H108" s="150"/>
      <c r="I108" s="141" t="s">
        <v>1034</v>
      </c>
    </row>
    <row r="109" spans="4:9" ht="20.100000000000001" customHeight="1" x14ac:dyDescent="0.2">
      <c r="D109" s="150" t="s">
        <v>1268</v>
      </c>
      <c r="E109" s="147" t="s">
        <v>1321</v>
      </c>
      <c r="F109" s="158"/>
      <c r="G109" s="159"/>
      <c r="H109" s="150"/>
      <c r="I109" s="141" t="s">
        <v>1034</v>
      </c>
    </row>
    <row r="110" spans="4:9" ht="20.100000000000001" customHeight="1" x14ac:dyDescent="0.2">
      <c r="D110" s="150" t="s">
        <v>1322</v>
      </c>
      <c r="E110" s="147" t="s">
        <v>1323</v>
      </c>
      <c r="F110" s="158"/>
      <c r="G110" s="159"/>
      <c r="H110" s="150" t="s">
        <v>19</v>
      </c>
      <c r="I110" s="142" t="s">
        <v>1328</v>
      </c>
    </row>
    <row r="111" spans="4:9" ht="20.100000000000001" customHeight="1" x14ac:dyDescent="0.2">
      <c r="D111" s="150" t="s">
        <v>1324</v>
      </c>
      <c r="E111" s="147" t="s">
        <v>1325</v>
      </c>
      <c r="F111" s="158"/>
      <c r="G111" s="159"/>
      <c r="H111" s="150" t="s">
        <v>19</v>
      </c>
      <c r="I111" s="141" t="s">
        <v>1034</v>
      </c>
    </row>
    <row r="113" spans="1:11" ht="20.100000000000001" customHeight="1" x14ac:dyDescent="0.2">
      <c r="D113" s="135" t="s">
        <v>687</v>
      </c>
    </row>
    <row r="114" spans="1:11" ht="20.100000000000001" customHeight="1" x14ac:dyDescent="0.2">
      <c r="D114" s="136" t="s">
        <v>688</v>
      </c>
    </row>
    <row r="115" spans="1:11" ht="20.100000000000001" customHeight="1" x14ac:dyDescent="0.2">
      <c r="D115" s="80" t="s">
        <v>680</v>
      </c>
      <c r="E115" s="80" t="s">
        <v>681</v>
      </c>
      <c r="F115" s="80"/>
      <c r="G115" s="80" t="s">
        <v>689</v>
      </c>
      <c r="H115" s="138" t="s">
        <v>690</v>
      </c>
      <c r="I115" s="138" t="s">
        <v>684</v>
      </c>
      <c r="J115" s="138" t="s">
        <v>691</v>
      </c>
      <c r="K115" s="138" t="s">
        <v>692</v>
      </c>
    </row>
    <row r="116" spans="1:11" ht="20.100000000000001" customHeight="1" x14ac:dyDescent="0.2">
      <c r="D116" s="150" t="str" cm="1">
        <f t="array" ref="D116:D149">Table_SourceData_WasteSolid_WasteTreatmentEFs[Treatment type t]</f>
        <v>Landfill</v>
      </c>
      <c r="E116" s="147" t="str" cm="1">
        <f t="array" ref="E116:E149">Table_SourceData_WasteSolid_WasteTreatmentEFs[Waste type w]</f>
        <v>Food waste (including animal carcasses, spoiled animal feed or crop)</v>
      </c>
      <c r="F116" s="148"/>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(I116 * J116)</f>
        <v>157.5</v>
      </c>
    </row>
    <row r="117" spans="1:11" ht="20.100000000000001" customHeight="1" x14ac:dyDescent="0.2">
      <c r="D117" s="150" t="str">
        <v>Landfill</v>
      </c>
      <c r="E117" s="147" t="str">
        <v>Paper and cardboard</v>
      </c>
      <c r="F117" s="148"/>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(I117 * J117)</f>
        <v>179.85</v>
      </c>
    </row>
    <row r="118" spans="1:11" ht="20.100000000000001" customHeight="1" x14ac:dyDescent="0.2">
      <c r="D118" s="150" t="str">
        <v>Landfill</v>
      </c>
      <c r="E118" s="147" t="str">
        <v>Green waste (including crop residues or prunings)</v>
      </c>
      <c r="F118" s="148"/>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(I118 * J118)</f>
        <v>99.2</v>
      </c>
    </row>
    <row r="119" spans="1:11" ht="20.100000000000001" customHeight="1" x14ac:dyDescent="0.2">
      <c r="A119" s="81" t="str">
        <f>HYPERLINK("#A1", "▲ Back to top")</f>
        <v>▲ Back to top</v>
      </c>
      <c r="D119" s="150" t="str">
        <v>Landfill</v>
      </c>
      <c r="E119" s="147" t="str">
        <v>Wood</v>
      </c>
      <c r="F119" s="148"/>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(I119 * J119)</f>
        <v>0</v>
      </c>
    </row>
    <row r="120" spans="1:11" ht="20.100000000000001" customHeight="1" x14ac:dyDescent="0.2">
      <c r="D120" s="150" t="str">
        <v>Landfill</v>
      </c>
      <c r="E120" s="147" t="str">
        <v>Textiles</v>
      </c>
      <c r="F120" s="148"/>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(I120 * J120)</f>
        <v>0</v>
      </c>
    </row>
    <row r="121" spans="1:11" ht="20.100000000000001" customHeight="1" x14ac:dyDescent="0.2">
      <c r="D121" s="150" t="str">
        <v>Landfill</v>
      </c>
      <c r="E121" s="147" t="str">
        <v>Sludge</v>
      </c>
      <c r="F121" s="148"/>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(I121 * J121)</f>
        <v>0</v>
      </c>
    </row>
    <row r="122" spans="1:11" ht="20.100000000000001" customHeight="1" x14ac:dyDescent="0.2">
      <c r="D122" s="150" t="str">
        <v>Landfill</v>
      </c>
      <c r="E122" s="147" t="str">
        <v>Rubber and leather</v>
      </c>
      <c r="F122" s="148"/>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(I122 * J122)</f>
        <v>0</v>
      </c>
    </row>
    <row r="123" spans="1:11" ht="20.100000000000001" customHeight="1" x14ac:dyDescent="0.2">
      <c r="D123" s="150" t="str">
        <v>Landfill</v>
      </c>
      <c r="E123" s="147" t="str">
        <v>Inert waste (including concrete, metal, plastic or glass)</v>
      </c>
      <c r="F123" s="148"/>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(I123 * J123)</f>
        <v>0</v>
      </c>
    </row>
    <row r="124" spans="1:11" ht="20.100000000000001" customHeight="1" x14ac:dyDescent="0.2">
      <c r="D124" s="150" t="str">
        <v>Landfill</v>
      </c>
      <c r="E124" s="147" t="str">
        <v>Municipal solid waste</v>
      </c>
      <c r="F124" s="148"/>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(I124 * J124)</f>
        <v>0</v>
      </c>
    </row>
    <row r="125" spans="1:11" ht="20.100000000000001" customHeight="1" x14ac:dyDescent="0.2">
      <c r="D125" s="150" t="str">
        <v>Landfill</v>
      </c>
      <c r="E125" s="147" t="str">
        <v>Commercial and industrial waste</v>
      </c>
      <c r="F125" s="148"/>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(I125 * J125)</f>
        <v>0</v>
      </c>
    </row>
    <row r="126" spans="1:11" ht="20.100000000000001" customHeight="1" x14ac:dyDescent="0.2">
      <c r="D126" s="150" t="str">
        <v>Landfill</v>
      </c>
      <c r="E126" s="147" t="str">
        <v>Construction and demolition waste</v>
      </c>
      <c r="F126" s="148"/>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(I126 * J126)</f>
        <v>0</v>
      </c>
    </row>
    <row r="127" spans="1:11" ht="20.100000000000001" customHeight="1" x14ac:dyDescent="0.2">
      <c r="D127" s="150" t="str">
        <v>Incineration</v>
      </c>
      <c r="E127" s="147" t="str">
        <v>Food waste, green waste, wood, sludge</v>
      </c>
      <c r="F127" s="148"/>
      <c r="G127" s="15" t="s">
        <v>396</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(I127 * J127)</f>
        <v>0</v>
      </c>
    </row>
    <row r="128" spans="1:11" ht="20.100000000000001" customHeight="1" x14ac:dyDescent="0.2">
      <c r="D128" s="150" t="str">
        <v>Incineration</v>
      </c>
      <c r="E128" s="147" t="str">
        <v>Food waste (including animal carcasses, spoiled animal feed or crop)</v>
      </c>
      <c r="F128" s="148"/>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693</v>
      </c>
      <c r="J128" s="15" t="s">
        <v>396</v>
      </c>
      <c r="K128" s="15" t="s">
        <v>396</v>
      </c>
    </row>
    <row r="129" spans="4:11" ht="20.100000000000001" customHeight="1" x14ac:dyDescent="0.2">
      <c r="D129" s="150" t="str">
        <v>Incineration</v>
      </c>
      <c r="E129" s="147" t="str">
        <v>Green waste (including crop residues or prunings)</v>
      </c>
      <c r="F129" s="148"/>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693</v>
      </c>
      <c r="J129" s="15" t="s">
        <v>396</v>
      </c>
      <c r="K129" s="15" t="s">
        <v>396</v>
      </c>
    </row>
    <row r="130" spans="4:11" ht="20.100000000000001" customHeight="1" x14ac:dyDescent="0.2">
      <c r="D130" s="150" t="str">
        <v>Incineration</v>
      </c>
      <c r="E130" s="147" t="str">
        <v>Wood</v>
      </c>
      <c r="F130" s="148"/>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693</v>
      </c>
      <c r="J130" s="15" t="s">
        <v>396</v>
      </c>
      <c r="K130" s="15" t="s">
        <v>396</v>
      </c>
    </row>
    <row r="131" spans="4:11" ht="20.100000000000001" customHeight="1" x14ac:dyDescent="0.2">
      <c r="D131" s="150" t="str">
        <v>Incineration</v>
      </c>
      <c r="E131" s="147" t="str">
        <v>Sludge</v>
      </c>
      <c r="F131" s="148"/>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693</v>
      </c>
      <c r="J131" s="15" t="s">
        <v>396</v>
      </c>
      <c r="K131" s="15" t="s">
        <v>396</v>
      </c>
    </row>
    <row r="132" spans="4:11" ht="20.100000000000001" customHeight="1" x14ac:dyDescent="0.2">
      <c r="D132" s="150" t="str">
        <v>Incineration</v>
      </c>
      <c r="E132" s="147" t="str">
        <v>Paper and cardboard</v>
      </c>
      <c r="F132" s="148"/>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(I132 * J132)</f>
        <v>0.92104999999999992</v>
      </c>
    </row>
    <row r="133" spans="4:11" ht="20.100000000000001" customHeight="1" x14ac:dyDescent="0.2">
      <c r="D133" s="150" t="str">
        <v>Incineration</v>
      </c>
      <c r="E133" s="147" t="str">
        <v>Textiles</v>
      </c>
      <c r="F133" s="148"/>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(I133 * J133)</f>
        <v>0</v>
      </c>
    </row>
    <row r="134" spans="4:11" ht="20.100000000000001" customHeight="1" x14ac:dyDescent="0.2">
      <c r="D134" s="150" t="str">
        <v>Incineration</v>
      </c>
      <c r="E134" s="147" t="str">
        <v>Rubber and leather</v>
      </c>
      <c r="F134" s="148"/>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(I134 * J134)</f>
        <v>0</v>
      </c>
    </row>
    <row r="135" spans="4:11" ht="20.100000000000001" customHeight="1" x14ac:dyDescent="0.2">
      <c r="D135" s="150" t="str">
        <v>Incineration</v>
      </c>
      <c r="E135" s="147" t="str">
        <v>Inert waste (including concrete, metal, plastic or glass)</v>
      </c>
      <c r="F135" s="148"/>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(I135 * J135)</f>
        <v>0</v>
      </c>
    </row>
    <row r="136" spans="4:11" ht="20.100000000000001" customHeight="1" x14ac:dyDescent="0.2">
      <c r="D136" s="150" t="str">
        <v>Incineration</v>
      </c>
      <c r="E136" s="147" t="str">
        <v>Municipal solid waste</v>
      </c>
      <c r="F136" s="15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(I136 * J136)</f>
        <v>0</v>
      </c>
    </row>
    <row r="137" spans="4:11" ht="20.100000000000001" customHeight="1" x14ac:dyDescent="0.2">
      <c r="D137" s="150" t="str">
        <v>Incineration</v>
      </c>
      <c r="E137" s="147" t="str">
        <v>Commercial and industrial waste</v>
      </c>
      <c r="F137" s="15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(I137 * J137)</f>
        <v>0</v>
      </c>
    </row>
    <row r="138" spans="4:11" ht="20.100000000000001" customHeight="1" x14ac:dyDescent="0.2">
      <c r="D138" s="150" t="str">
        <v>Composting</v>
      </c>
      <c r="E138" s="147" t="str">
        <v>All organic waste</v>
      </c>
      <c r="F138" s="159"/>
      <c r="G138" s="15" t="s">
        <v>396</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(I138 * J138)</f>
        <v>1.357</v>
      </c>
    </row>
    <row r="139" spans="4:11" ht="20.100000000000001" customHeight="1" x14ac:dyDescent="0.2">
      <c r="D139" s="150" t="str">
        <v>Composting</v>
      </c>
      <c r="E139" s="147" t="str">
        <v>Food waste (including animal carcasses, spoiled animal feed or crop)</v>
      </c>
      <c r="F139" s="15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693</v>
      </c>
      <c r="J139" s="15" t="s">
        <v>396</v>
      </c>
      <c r="K139" s="15" t="s">
        <v>396</v>
      </c>
    </row>
    <row r="140" spans="4:11" ht="20.100000000000001" customHeight="1" x14ac:dyDescent="0.2">
      <c r="D140" s="150" t="str">
        <v>Composting</v>
      </c>
      <c r="E140" s="147" t="str">
        <v>Green waste (including crop residues or prunings)</v>
      </c>
      <c r="F140" s="15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693</v>
      </c>
      <c r="J140" s="15" t="s">
        <v>396</v>
      </c>
      <c r="K140" s="15" t="s">
        <v>396</v>
      </c>
    </row>
    <row r="141" spans="4:11" ht="20.100000000000001" customHeight="1" x14ac:dyDescent="0.2">
      <c r="D141" s="150" t="str">
        <v>Composting</v>
      </c>
      <c r="E141" s="147" t="str">
        <v>Wood</v>
      </c>
      <c r="F141" s="15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693</v>
      </c>
      <c r="J141" s="15" t="s">
        <v>396</v>
      </c>
      <c r="K141" s="15" t="s">
        <v>396</v>
      </c>
    </row>
    <row r="142" spans="4:11" ht="20.100000000000001" customHeight="1" x14ac:dyDescent="0.2">
      <c r="D142" s="150" t="str">
        <v>Composting</v>
      </c>
      <c r="E142" s="147" t="str">
        <v>Sludge</v>
      </c>
      <c r="F142" s="15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693</v>
      </c>
      <c r="J142" s="15" t="s">
        <v>396</v>
      </c>
      <c r="K142" s="15" t="s">
        <v>396</v>
      </c>
    </row>
    <row r="143" spans="4:11" ht="20.100000000000001" customHeight="1" x14ac:dyDescent="0.2">
      <c r="D143" s="150" t="str">
        <v>Composting</v>
      </c>
      <c r="E143" s="147" t="str">
        <v>Paper and cardboard</v>
      </c>
      <c r="F143" s="15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693</v>
      </c>
      <c r="J143" s="15" t="s">
        <v>396</v>
      </c>
      <c r="K143" s="15" t="s">
        <v>396</v>
      </c>
    </row>
    <row r="144" spans="4:11" ht="20.100000000000001" customHeight="1" x14ac:dyDescent="0.2">
      <c r="D144" s="150" t="str">
        <v>Anaerobic digestion</v>
      </c>
      <c r="E144" s="147" t="str">
        <v>All organic waste</v>
      </c>
      <c r="F144" s="159"/>
      <c r="G144" s="15" t="s">
        <v>396</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1:11" ht="20.100000000000001" customHeight="1" x14ac:dyDescent="0.2">
      <c r="D145" s="150" t="str">
        <v>Anaerobic digestion</v>
      </c>
      <c r="E145" s="147" t="str">
        <v>Food waste (including animal carcasses, spoiled animal feed or crop)</v>
      </c>
      <c r="F145" s="15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693</v>
      </c>
      <c r="J145" s="15" t="s">
        <v>396</v>
      </c>
      <c r="K145" s="15" t="s">
        <v>396</v>
      </c>
    </row>
    <row r="146" spans="1:11" ht="20.100000000000001" customHeight="1" x14ac:dyDescent="0.2">
      <c r="D146" s="150" t="str">
        <v>Anaerobic digestion</v>
      </c>
      <c r="E146" s="147" t="str">
        <v>Green waste (including crop residues or prunings)</v>
      </c>
      <c r="F146" s="15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693</v>
      </c>
      <c r="J146" s="15" t="s">
        <v>396</v>
      </c>
      <c r="K146" s="15" t="s">
        <v>396</v>
      </c>
    </row>
    <row r="147" spans="1:11" ht="20.100000000000001" customHeight="1" x14ac:dyDescent="0.2">
      <c r="D147" s="150" t="str">
        <v>Anaerobic digestion</v>
      </c>
      <c r="E147" s="147" t="str">
        <v>Wood</v>
      </c>
      <c r="F147" s="15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693</v>
      </c>
      <c r="J147" s="15" t="s">
        <v>396</v>
      </c>
      <c r="K147" s="15" t="s">
        <v>396</v>
      </c>
    </row>
    <row r="148" spans="1:11" ht="20.100000000000001" customHeight="1" x14ac:dyDescent="0.2">
      <c r="D148" s="150" t="str">
        <v>Anaerobic digestion</v>
      </c>
      <c r="E148" s="147" t="str">
        <v>Sludge</v>
      </c>
      <c r="F148" s="15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693</v>
      </c>
      <c r="J148" s="15" t="s">
        <v>396</v>
      </c>
      <c r="K148" s="15" t="s">
        <v>396</v>
      </c>
    </row>
    <row r="149" spans="1:11" ht="20.100000000000001" customHeight="1" x14ac:dyDescent="0.2">
      <c r="A149" s="81" t="str">
        <f>HYPERLINK("#A1", "▲ Back to top")</f>
        <v>▲ Back to top</v>
      </c>
      <c r="D149" s="150" t="str">
        <v>Anaerobic digestion</v>
      </c>
      <c r="E149" s="147" t="str">
        <v>Paper and cardboard</v>
      </c>
      <c r="F149" s="15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693</v>
      </c>
      <c r="J149" s="15" t="s">
        <v>396</v>
      </c>
      <c r="K149" s="15" t="s">
        <v>396</v>
      </c>
    </row>
    <row r="151" spans="1:11" ht="20.100000000000001" customHeight="1" x14ac:dyDescent="0.2">
      <c r="D151" s="87" t="s">
        <v>694</v>
      </c>
      <c r="E151" s="88">
        <f>SUM(K116:K149)</f>
        <v>438.82805000000002</v>
      </c>
      <c r="F151" s="97" t="str">
        <f>$E$103</f>
        <v>t CO2e</v>
      </c>
    </row>
    <row r="154" spans="1:11" ht="20.100000000000001" customHeight="1" x14ac:dyDescent="0.2">
      <c r="D154" s="135" t="s">
        <v>695</v>
      </c>
    </row>
    <row r="155" spans="1:11" ht="20.100000000000001" customHeight="1" x14ac:dyDescent="0.2">
      <c r="D155" s="136" t="s">
        <v>696</v>
      </c>
    </row>
    <row r="156" spans="1:11" ht="20.100000000000001" customHeight="1" x14ac:dyDescent="0.2">
      <c r="D156" s="80" t="s">
        <v>680</v>
      </c>
      <c r="E156" s="80" t="s">
        <v>681</v>
      </c>
      <c r="F156" s="80"/>
      <c r="G156" s="80" t="s">
        <v>689</v>
      </c>
      <c r="H156" s="138" t="s">
        <v>690</v>
      </c>
      <c r="I156" s="138" t="s">
        <v>684</v>
      </c>
      <c r="J156" s="138" t="s">
        <v>691</v>
      </c>
      <c r="K156" s="138" t="s">
        <v>692</v>
      </c>
    </row>
    <row r="157" spans="1:11" ht="20.100000000000001" customHeight="1" x14ac:dyDescent="0.2">
      <c r="D157" s="150" t="str" cm="1">
        <f t="array" ref="D157:D190">Table_SourceData_WasteSolid_WasteTreatmentEFs[Treatment type t]</f>
        <v>Landfill</v>
      </c>
      <c r="E157" s="147" t="str" cm="1">
        <f t="array" ref="E157:E190">Table_SourceData_WasteSolid_WasteTreatmentEFs[Waste type w]</f>
        <v>Food waste (including animal carcasses, spoiled animal feed or crop)</v>
      </c>
      <c r="F157" s="148"/>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(I157 * J157)</f>
        <v>157.5</v>
      </c>
    </row>
    <row r="158" spans="1:11" ht="20.100000000000001" customHeight="1" x14ac:dyDescent="0.2">
      <c r="D158" s="150" t="str">
        <v>Landfill</v>
      </c>
      <c r="E158" s="147" t="str">
        <v>Paper and cardboard</v>
      </c>
      <c r="F158" s="148"/>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(I158 * J158)</f>
        <v>179.85</v>
      </c>
    </row>
    <row r="159" spans="1:11" ht="20.100000000000001" customHeight="1" x14ac:dyDescent="0.2">
      <c r="D159" s="150" t="str">
        <v>Landfill</v>
      </c>
      <c r="E159" s="147" t="str">
        <v>Green waste (including crop residues or prunings)</v>
      </c>
      <c r="F159" s="148"/>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(I159 * J159)</f>
        <v>99.2</v>
      </c>
    </row>
    <row r="160" spans="1:11" ht="20.100000000000001" customHeight="1" x14ac:dyDescent="0.2">
      <c r="D160" s="150" t="str">
        <v>Landfill</v>
      </c>
      <c r="E160" s="147" t="str">
        <v>Wood</v>
      </c>
      <c r="F160" s="148"/>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(I160 * J160)</f>
        <v>0</v>
      </c>
    </row>
    <row r="161" spans="4:11" ht="20.100000000000001" customHeight="1" x14ac:dyDescent="0.2">
      <c r="D161" s="150" t="str">
        <v>Landfill</v>
      </c>
      <c r="E161" s="147" t="str">
        <v>Textiles</v>
      </c>
      <c r="F161" s="148"/>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(I161 * J161)</f>
        <v>0</v>
      </c>
    </row>
    <row r="162" spans="4:11" ht="20.100000000000001" customHeight="1" x14ac:dyDescent="0.2">
      <c r="D162" s="150" t="str">
        <v>Landfill</v>
      </c>
      <c r="E162" s="147" t="str">
        <v>Sludge</v>
      </c>
      <c r="F162" s="148"/>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(I162 * J162)</f>
        <v>0</v>
      </c>
    </row>
    <row r="163" spans="4:11" ht="20.100000000000001" customHeight="1" x14ac:dyDescent="0.2">
      <c r="D163" s="150" t="str">
        <v>Landfill</v>
      </c>
      <c r="E163" s="147" t="str">
        <v>Rubber and leather</v>
      </c>
      <c r="F163" s="148"/>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(I163 * J163)</f>
        <v>0</v>
      </c>
    </row>
    <row r="164" spans="4:11" ht="20.100000000000001" customHeight="1" x14ac:dyDescent="0.2">
      <c r="D164" s="150" t="str">
        <v>Landfill</v>
      </c>
      <c r="E164" s="147" t="str">
        <v>Inert waste (including concrete, metal, plastic or glass)</v>
      </c>
      <c r="F164" s="148"/>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(I164 * J164)</f>
        <v>0</v>
      </c>
    </row>
    <row r="165" spans="4:11" ht="20.100000000000001" customHeight="1" x14ac:dyDescent="0.2">
      <c r="D165" s="150" t="str">
        <v>Landfill</v>
      </c>
      <c r="E165" s="147" t="str">
        <v>Municipal solid waste</v>
      </c>
      <c r="F165" s="148"/>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(I165 * J165)</f>
        <v>0</v>
      </c>
    </row>
    <row r="166" spans="4:11" ht="20.100000000000001" customHeight="1" x14ac:dyDescent="0.2">
      <c r="D166" s="150" t="str">
        <v>Landfill</v>
      </c>
      <c r="E166" s="147" t="str">
        <v>Commercial and industrial waste</v>
      </c>
      <c r="F166" s="148"/>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(I166 * J166)</f>
        <v>0</v>
      </c>
    </row>
    <row r="167" spans="4:11" ht="20.100000000000001" customHeight="1" x14ac:dyDescent="0.2">
      <c r="D167" s="150" t="str">
        <v>Landfill</v>
      </c>
      <c r="E167" s="147" t="str">
        <v>Construction and demolition waste</v>
      </c>
      <c r="F167" s="148"/>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(I167 * J167)</f>
        <v>0</v>
      </c>
    </row>
    <row r="168" spans="4:11" ht="20.100000000000001" customHeight="1" x14ac:dyDescent="0.2">
      <c r="D168" s="150" t="str">
        <v>Incineration</v>
      </c>
      <c r="E168" s="147" t="str">
        <v>Food waste, green waste, wood, sludge</v>
      </c>
      <c r="F168" s="148"/>
      <c r="G168" s="15" t="s">
        <v>396</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(I168 * J168)</f>
        <v>0</v>
      </c>
    </row>
    <row r="169" spans="4:11" ht="20.100000000000001" customHeight="1" x14ac:dyDescent="0.2">
      <c r="D169" s="150" t="str">
        <v>Incineration</v>
      </c>
      <c r="E169" s="147" t="str">
        <v>Food waste (including animal carcasses, spoiled animal feed or crop)</v>
      </c>
      <c r="F169" s="148"/>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693</v>
      </c>
      <c r="J169" s="15" t="s">
        <v>396</v>
      </c>
      <c r="K169" s="15" t="s">
        <v>396</v>
      </c>
    </row>
    <row r="170" spans="4:11" ht="20.100000000000001" customHeight="1" x14ac:dyDescent="0.2">
      <c r="D170" s="150" t="str">
        <v>Incineration</v>
      </c>
      <c r="E170" s="147" t="str">
        <v>Green waste (including crop residues or prunings)</v>
      </c>
      <c r="F170" s="148"/>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693</v>
      </c>
      <c r="J170" s="15" t="s">
        <v>396</v>
      </c>
      <c r="K170" s="15" t="s">
        <v>396</v>
      </c>
    </row>
    <row r="171" spans="4:11" ht="20.100000000000001" customHeight="1" x14ac:dyDescent="0.2">
      <c r="D171" s="150" t="str">
        <v>Incineration</v>
      </c>
      <c r="E171" s="147" t="str">
        <v>Wood</v>
      </c>
      <c r="F171" s="148"/>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693</v>
      </c>
      <c r="J171" s="15" t="s">
        <v>396</v>
      </c>
      <c r="K171" s="15" t="s">
        <v>396</v>
      </c>
    </row>
    <row r="172" spans="4:11" ht="20.100000000000001" customHeight="1" x14ac:dyDescent="0.2">
      <c r="D172" s="150" t="str">
        <v>Incineration</v>
      </c>
      <c r="E172" s="147" t="str">
        <v>Sludge</v>
      </c>
      <c r="F172" s="148"/>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693</v>
      </c>
      <c r="J172" s="15" t="s">
        <v>396</v>
      </c>
      <c r="K172" s="15" t="s">
        <v>396</v>
      </c>
    </row>
    <row r="173" spans="4:11" ht="20.100000000000001" customHeight="1" x14ac:dyDescent="0.2">
      <c r="D173" s="150" t="str">
        <v>Incineration</v>
      </c>
      <c r="E173" s="147" t="str">
        <v>Paper and cardboard</v>
      </c>
      <c r="F173" s="148"/>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(I173 * J173)</f>
        <v>0</v>
      </c>
    </row>
    <row r="174" spans="4:11" ht="20.100000000000001" customHeight="1" x14ac:dyDescent="0.2">
      <c r="D174" s="150" t="str">
        <v>Incineration</v>
      </c>
      <c r="E174" s="147" t="str">
        <v>Textiles</v>
      </c>
      <c r="F174" s="148"/>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(I174 * J174)</f>
        <v>0</v>
      </c>
    </row>
    <row r="175" spans="4:11" ht="20.100000000000001" customHeight="1" x14ac:dyDescent="0.2">
      <c r="D175" s="150" t="str">
        <v>Incineration</v>
      </c>
      <c r="E175" s="147" t="str">
        <v>Rubber and leather</v>
      </c>
      <c r="F175" s="148"/>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(I175 * J175)</f>
        <v>0</v>
      </c>
    </row>
    <row r="176" spans="4:11" ht="20.100000000000001" customHeight="1" x14ac:dyDescent="0.2">
      <c r="D176" s="150" t="str">
        <v>Incineration</v>
      </c>
      <c r="E176" s="147" t="str">
        <v>Inert waste (including concrete, metal, plastic or glass)</v>
      </c>
      <c r="F176" s="148"/>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(I176 * J176)</f>
        <v>0</v>
      </c>
    </row>
    <row r="177" spans="1:11" ht="20.100000000000001" customHeight="1" x14ac:dyDescent="0.2">
      <c r="D177" s="150" t="str">
        <v>Incineration</v>
      </c>
      <c r="E177" s="147" t="str">
        <v>Municipal solid waste</v>
      </c>
      <c r="F177" s="15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(I177 * J177)</f>
        <v>0</v>
      </c>
    </row>
    <row r="178" spans="1:11" ht="20.100000000000001" customHeight="1" x14ac:dyDescent="0.2">
      <c r="D178" s="150" t="str">
        <v>Incineration</v>
      </c>
      <c r="E178" s="147" t="str">
        <v>Commercial and industrial waste</v>
      </c>
      <c r="F178" s="15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(I178 * J178)</f>
        <v>0</v>
      </c>
    </row>
    <row r="179" spans="1:11" ht="20.100000000000001" customHeight="1" x14ac:dyDescent="0.2">
      <c r="A179" s="81" t="str">
        <f>HYPERLINK("#A1", "▲ Back to top")</f>
        <v>▲ Back to top</v>
      </c>
      <c r="D179" s="150" t="str">
        <v>Composting</v>
      </c>
      <c r="E179" s="147" t="str">
        <v>All organic waste</v>
      </c>
      <c r="F179" s="159"/>
      <c r="G179" s="15" t="s">
        <v>396</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(I179 * J179)</f>
        <v>4.5999999999999996</v>
      </c>
    </row>
    <row r="180" spans="1:11" ht="20.100000000000001" customHeight="1" x14ac:dyDescent="0.2">
      <c r="D180" s="150" t="str">
        <v>Composting</v>
      </c>
      <c r="E180" s="147" t="str">
        <v>Food waste (including animal carcasses, spoiled animal feed or crop)</v>
      </c>
      <c r="F180" s="15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693</v>
      </c>
      <c r="J180" s="15" t="s">
        <v>396</v>
      </c>
      <c r="K180" s="15" t="s">
        <v>396</v>
      </c>
    </row>
    <row r="181" spans="1:11" ht="20.100000000000001" customHeight="1" x14ac:dyDescent="0.2">
      <c r="D181" s="150" t="str">
        <v>Composting</v>
      </c>
      <c r="E181" s="147" t="str">
        <v>Green waste (including crop residues or prunings)</v>
      </c>
      <c r="F181" s="15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693</v>
      </c>
      <c r="J181" s="15" t="s">
        <v>396</v>
      </c>
      <c r="K181" s="15" t="s">
        <v>396</v>
      </c>
    </row>
    <row r="182" spans="1:11" ht="20.100000000000001" customHeight="1" x14ac:dyDescent="0.2">
      <c r="D182" s="150" t="str">
        <v>Composting</v>
      </c>
      <c r="E182" s="147" t="str">
        <v>Wood</v>
      </c>
      <c r="F182" s="15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693</v>
      </c>
      <c r="J182" s="15" t="s">
        <v>396</v>
      </c>
      <c r="K182" s="15" t="s">
        <v>396</v>
      </c>
    </row>
    <row r="183" spans="1:11" ht="20.100000000000001" customHeight="1" x14ac:dyDescent="0.2">
      <c r="D183" s="150" t="str">
        <v>Composting</v>
      </c>
      <c r="E183" s="147" t="str">
        <v>Sludge</v>
      </c>
      <c r="F183" s="15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693</v>
      </c>
      <c r="J183" s="15" t="s">
        <v>396</v>
      </c>
      <c r="K183" s="15" t="s">
        <v>396</v>
      </c>
    </row>
    <row r="184" spans="1:11" ht="20.100000000000001" customHeight="1" x14ac:dyDescent="0.2">
      <c r="D184" s="150" t="str">
        <v>Composting</v>
      </c>
      <c r="E184" s="147" t="str">
        <v>Paper and cardboard</v>
      </c>
      <c r="F184" s="15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693</v>
      </c>
      <c r="J184" s="15" t="s">
        <v>396</v>
      </c>
      <c r="K184" s="15" t="s">
        <v>396</v>
      </c>
    </row>
    <row r="185" spans="1:11" ht="20.100000000000001" customHeight="1" x14ac:dyDescent="0.2">
      <c r="D185" s="150" t="str">
        <v>Anaerobic digestion</v>
      </c>
      <c r="E185" s="147" t="str">
        <v>All organic waste</v>
      </c>
      <c r="F185" s="159"/>
      <c r="G185" s="15" t="s">
        <v>396</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1:11" ht="20.100000000000001" customHeight="1" x14ac:dyDescent="0.2">
      <c r="D186" s="150" t="str">
        <v>Anaerobic digestion</v>
      </c>
      <c r="E186" s="147" t="str">
        <v>Food waste (including animal carcasses, spoiled animal feed or crop)</v>
      </c>
      <c r="F186" s="15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693</v>
      </c>
      <c r="J186" s="15" t="s">
        <v>396</v>
      </c>
      <c r="K186" s="15" t="s">
        <v>396</v>
      </c>
    </row>
    <row r="187" spans="1:11" ht="20.100000000000001" customHeight="1" x14ac:dyDescent="0.2">
      <c r="D187" s="150" t="str">
        <v>Anaerobic digestion</v>
      </c>
      <c r="E187" s="147" t="str">
        <v>Green waste (including crop residues or prunings)</v>
      </c>
      <c r="F187" s="15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693</v>
      </c>
      <c r="J187" s="15" t="s">
        <v>396</v>
      </c>
      <c r="K187" s="15" t="s">
        <v>396</v>
      </c>
    </row>
    <row r="188" spans="1:11" ht="20.100000000000001" customHeight="1" x14ac:dyDescent="0.2">
      <c r="D188" s="150" t="str">
        <v>Anaerobic digestion</v>
      </c>
      <c r="E188" s="147" t="str">
        <v>Wood</v>
      </c>
      <c r="F188" s="15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693</v>
      </c>
      <c r="J188" s="15" t="s">
        <v>396</v>
      </c>
      <c r="K188" s="15" t="s">
        <v>396</v>
      </c>
    </row>
    <row r="189" spans="1:11" ht="20.100000000000001" customHeight="1" x14ac:dyDescent="0.2">
      <c r="D189" s="150" t="str">
        <v>Anaerobic digestion</v>
      </c>
      <c r="E189" s="147" t="str">
        <v>Sludge</v>
      </c>
      <c r="F189" s="15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693</v>
      </c>
      <c r="J189" s="15" t="s">
        <v>396</v>
      </c>
      <c r="K189" s="15" t="s">
        <v>396</v>
      </c>
    </row>
    <row r="190" spans="1:11" ht="20.100000000000001" customHeight="1" x14ac:dyDescent="0.2">
      <c r="D190" s="150" t="str">
        <v>Anaerobic digestion</v>
      </c>
      <c r="E190" s="147" t="str">
        <v>Paper and cardboard</v>
      </c>
      <c r="F190" s="15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693</v>
      </c>
      <c r="J190" s="15" t="s">
        <v>396</v>
      </c>
      <c r="K190" s="15" t="s">
        <v>396</v>
      </c>
    </row>
    <row r="192" spans="1:11" ht="20.100000000000001" customHeight="1" x14ac:dyDescent="0.2">
      <c r="D192" s="87" t="s">
        <v>694</v>
      </c>
      <c r="E192" s="88">
        <f>SUM(K157:K190)</f>
        <v>441.15000000000003</v>
      </c>
      <c r="F192" s="97"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7154B926-1D66-4D0A-8A86-E5ED064DD384}"/>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5E1-0408-4987-8A68-BF817086A651}">
  <sheetPr>
    <tabColor rgb="FF008000"/>
  </sheetPr>
  <dimension ref="A1:K34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532</v>
      </c>
    </row>
    <row r="2" spans="1:11" s="3" customFormat="1" ht="20.100000000000001" customHeight="1" x14ac:dyDescent="0.2">
      <c r="A2"/>
    </row>
    <row r="3" spans="1:11" ht="20.100000000000001" customHeight="1" x14ac:dyDescent="0.2">
      <c r="A3" s="5" t="str">
        <f>HYPERLINK("#'Home'!A1", "Home")</f>
        <v>Home</v>
      </c>
      <c r="C3" s="23"/>
      <c r="D3" s="23" t="s">
        <v>130</v>
      </c>
      <c r="E3" s="23"/>
      <c r="F3" s="23"/>
      <c r="G3" s="23"/>
      <c r="H3" s="23"/>
      <c r="I3" s="23"/>
      <c r="J3" s="23"/>
      <c r="K3" s="23"/>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EI")</f>
        <v>Results - Product EI</v>
      </c>
      <c r="D5" s="2" t="s">
        <v>1329</v>
      </c>
    </row>
    <row r="6" spans="1:11" ht="20.100000000000001" customHeight="1" x14ac:dyDescent="0.2">
      <c r="D6" s="17" t="s">
        <v>1330</v>
      </c>
    </row>
    <row r="7" spans="1:11" ht="20.100000000000001" customHeight="1" x14ac:dyDescent="0.2">
      <c r="D7" s="26" t="s">
        <v>1331</v>
      </c>
    </row>
    <row r="8" spans="1:11" ht="20.100000000000001" customHeight="1" x14ac:dyDescent="0.2">
      <c r="A8" s="7" t="s">
        <v>0</v>
      </c>
      <c r="D8" s="134"/>
      <c r="E8" s="134"/>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Crop'!A1", "Crop")</f>
        <v>Crop</v>
      </c>
      <c r="D11" s="77" t="s">
        <v>371</v>
      </c>
      <c r="E11" s="1" t="s">
        <v>1332</v>
      </c>
    </row>
    <row r="12" spans="1:11" ht="20.100000000000001" customHeight="1" x14ac:dyDescent="0.2">
      <c r="A12" s="5" t="str">
        <f>HYPERLINK("#'Input - Fert Prod System'!A1", "Fert Prod System")</f>
        <v>Fert Prod System</v>
      </c>
      <c r="D12" s="77" t="s">
        <v>118</v>
      </c>
      <c r="E12" s="9" t="s">
        <v>7</v>
      </c>
    </row>
    <row r="13" spans="1:11" ht="20.100000000000001" customHeight="1" x14ac:dyDescent="0.2">
      <c r="A13" s="5" t="str">
        <f>HYPERLINK("#'Input - Fertiliser'!A1", "Fertiliser")</f>
        <v>Fertiliser</v>
      </c>
    </row>
    <row r="14" spans="1:11" ht="20.100000000000001" customHeight="1" x14ac:dyDescent="0.2">
      <c r="A14" s="5" t="str">
        <f>HYPERLINK("#'Input - Fuel'!A1", "Fuel")</f>
        <v>Fuel</v>
      </c>
      <c r="D14" s="150" t="s">
        <v>1333</v>
      </c>
      <c r="E14" s="147" t="s">
        <v>1334</v>
      </c>
      <c r="F14" s="159"/>
      <c r="G14" s="150" t="s">
        <v>503</v>
      </c>
      <c r="H14" s="141" t="s">
        <v>1034</v>
      </c>
      <c r="I14" s="147">
        <f>X_Cell_Electricity_Location_AmountPurchasedInkWh</f>
        <v>30000</v>
      </c>
      <c r="J14" s="159"/>
    </row>
    <row r="15" spans="1:11" ht="20.100000000000001" customHeight="1" x14ac:dyDescent="0.2">
      <c r="A15" s="5" t="str">
        <f>HYPERLINK("#'Input - Electricity'!A1", "Electricity")</f>
        <v>Electricity</v>
      </c>
      <c r="D15" s="150" t="s">
        <v>1335</v>
      </c>
      <c r="E15" s="147" t="s">
        <v>1336</v>
      </c>
      <c r="F15" s="159"/>
      <c r="G15" s="150" t="s">
        <v>1338</v>
      </c>
      <c r="H15" s="142" t="s">
        <v>1036</v>
      </c>
      <c r="I15" s="147" cm="1">
        <f t="array" ref="I15">Common_InputFunctions.Utility_LookupValueInTableNumber(I16,Table_SourceData_ElectricityEFs[State, Territory or grid description],Table_SourceData_ElectricityEFs[Scope 2 Emission Factors (kg CO2-e/kWh)])</f>
        <v>0.56000000000000005</v>
      </c>
      <c r="J15" s="159"/>
    </row>
    <row r="16" spans="1:11" ht="20.100000000000001" customHeight="1" x14ac:dyDescent="0.2">
      <c r="A16" s="5" t="str">
        <f>HYPERLINK("#'Input - Common farm inputs'!A1", "Common farm inputs")</f>
        <v>Common farm inputs</v>
      </c>
      <c r="D16" s="150" t="s">
        <v>1268</v>
      </c>
      <c r="E16" s="147" t="s">
        <v>1337</v>
      </c>
      <c r="F16" s="159"/>
      <c r="G16" s="150"/>
      <c r="H16" s="141" t="s">
        <v>1034</v>
      </c>
      <c r="I16" s="147" t="str">
        <f>X_Cell_Electricity_Location_GridElectricityPurchasedFrom</f>
        <v>Western Australia - North Western Interconnected System (NWIS)</v>
      </c>
      <c r="J16" s="159"/>
    </row>
    <row r="17" spans="1:11" ht="20.100000000000001" customHeight="1" x14ac:dyDescent="0.2">
      <c r="A17" s="5" t="str">
        <f>HYPERLINK("#'Input - Crop pasture farm input'!A1", "Crop pasture farm input")</f>
        <v>Crop pasture farm input</v>
      </c>
    </row>
    <row r="18" spans="1:11" ht="20.100000000000001" customHeight="1" x14ac:dyDescent="0.2">
      <c r="A18" s="5" t="str">
        <f>HYPERLINK("#'Input - Freight'!A1", "Freight")</f>
        <v>Freight</v>
      </c>
      <c r="D18" s="87" t="s">
        <v>533</v>
      </c>
      <c r="E18" s="88">
        <f>(I14 * I15 * 10 ^ -3)</f>
        <v>16.8</v>
      </c>
      <c r="F18" s="97" t="str">
        <f>$E$12</f>
        <v>t CO2e</v>
      </c>
    </row>
    <row r="19" spans="1:11" ht="20.100000000000001" customHeight="1" x14ac:dyDescent="0.2">
      <c r="A19" s="5" t="str">
        <f>HYPERLINK("#'Input - Solid waste'!A1", "Solid waste")</f>
        <v>Solid waste</v>
      </c>
    </row>
    <row r="20" spans="1:11" ht="20.100000000000001" customHeight="1" x14ac:dyDescent="0.2">
      <c r="A20" s="5" t="str">
        <f>HYPERLINK("#'Input - Data quality'!A1", "Data quality")</f>
        <v>Data quality</v>
      </c>
    </row>
    <row r="21" spans="1:11" ht="20.100000000000001" customHeight="1" x14ac:dyDescent="0.2">
      <c r="C21" s="85"/>
      <c r="D21" s="85"/>
      <c r="E21" s="85"/>
      <c r="F21" s="85"/>
      <c r="G21" s="85"/>
      <c r="H21" s="85"/>
      <c r="I21" s="85"/>
      <c r="J21" s="85"/>
      <c r="K21" s="85"/>
    </row>
    <row r="22" spans="1:11" ht="20.100000000000001" customHeight="1" x14ac:dyDescent="0.2">
      <c r="D22" s="2" t="s">
        <v>1339</v>
      </c>
    </row>
    <row r="23" spans="1:11" ht="20.100000000000001" customHeight="1" x14ac:dyDescent="0.2">
      <c r="A23" s="6" t="s">
        <v>2</v>
      </c>
      <c r="D23" s="17" t="s">
        <v>1340</v>
      </c>
    </row>
    <row r="24" spans="1:11" ht="20.100000000000001" customHeight="1" x14ac:dyDescent="0.2">
      <c r="A24" s="5" t="str">
        <f>HYPERLINK("#'5.1.1.1-2 Inorganic fert N2O'!A1", "5.1.1.1-2 Inorganic fert N2O")</f>
        <v>5.1.1.1-2 Inorganic fert N2O</v>
      </c>
      <c r="D24" s="26" t="s">
        <v>1341</v>
      </c>
    </row>
    <row r="25" spans="1:11" ht="20.100000000000001" customHeight="1" x14ac:dyDescent="0.2">
      <c r="A25" s="5" t="str">
        <f>HYPERLINK("#'5.1.1.3-4 Inorganic fert CO2'!A1", "5.1.1.3-4 Inorganic fert CO2")</f>
        <v>5.1.1.3-4 Inorganic fert CO2</v>
      </c>
      <c r="D25" s="134"/>
      <c r="E25" s="134"/>
    </row>
    <row r="26" spans="1:11" ht="20.100000000000001" customHeight="1" x14ac:dyDescent="0.2">
      <c r="A26" s="5" t="str">
        <f>HYPERLINK("#'5.2.1.1-2 Organic Fert N2O'!A1", "5.2.1.1-2 Organic fert N2O")</f>
        <v>5.2.1.1-2 Organic fert N2O</v>
      </c>
    </row>
    <row r="27" spans="1:11" ht="20.100000000000001" customHeight="1" x14ac:dyDescent="0.2">
      <c r="A27" s="5" t="str">
        <f>HYPERLINK("#'5.3.1.1-2 Lime CO2'!A1", "5.3.1.1-2 Lime CO2")</f>
        <v>5.3.1.1-2 Lime CO2</v>
      </c>
    </row>
    <row r="28" spans="1:11" ht="20.100000000000001" customHeight="1" x14ac:dyDescent="0.2">
      <c r="A28" s="5" t="str">
        <f>HYPERLINK("#'5.4.1.1-4 Atmos deposition'!A1", "5.4.1.1-4 Atmos. deposition")</f>
        <v>5.4.1.1-4 Atmos. deposition</v>
      </c>
      <c r="D28" s="77" t="s">
        <v>371</v>
      </c>
      <c r="E28" s="1" t="s">
        <v>1332</v>
      </c>
    </row>
    <row r="29" spans="1:11" ht="20.100000000000001" customHeight="1" x14ac:dyDescent="0.2">
      <c r="A29" s="5" t="str">
        <f>HYPERLINK("#'5.5.1.1-2 Leaching and runoff'!A1", "5.5.1.1-2 Leaching &amp; runoff")</f>
        <v>5.5.1.1-2 Leaching &amp; runoff</v>
      </c>
      <c r="D29" s="77" t="s">
        <v>118</v>
      </c>
      <c r="E29" s="9" t="s">
        <v>7</v>
      </c>
    </row>
    <row r="30" spans="1:11" ht="20.100000000000001" customHeight="1" x14ac:dyDescent="0.2">
      <c r="A30" s="5" t="str">
        <f>HYPERLINK("#'6.1.1.1-2 Crop residue N2O'!A1", "6.1.1.1-2 Crop residue N2O")</f>
        <v>6.1.1.1-2 Crop residue N2O</v>
      </c>
    </row>
    <row r="31" spans="1:11" ht="20.100000000000001" customHeight="1" x14ac:dyDescent="0.2">
      <c r="A31" s="5" t="str">
        <f>HYPERLINK("#'6.3.1.1-2 Leach runoff crop'!A1", "6.3.1.1-2 Leach &amp; runoff (crop)")</f>
        <v>6.3.1.1-2 Leach &amp; runoff (crop)</v>
      </c>
      <c r="D31" s="150" t="s">
        <v>1333</v>
      </c>
      <c r="E31" s="147" t="s">
        <v>1334</v>
      </c>
      <c r="F31" s="158"/>
      <c r="G31" s="158"/>
      <c r="H31" s="150" t="s">
        <v>503</v>
      </c>
      <c r="I31" s="141" t="s">
        <v>1034</v>
      </c>
      <c r="J31" s="150">
        <f>X_Cell_Electricity_Market_AmountPurchasedExcludingGreenPower</f>
        <v>30000</v>
      </c>
    </row>
    <row r="32" spans="1:11" ht="20.100000000000001" customHeight="1" x14ac:dyDescent="0.2">
      <c r="A32" s="5" t="str">
        <f>HYPERLINK("#'6.4.1.1-2 Residue burning'!A1", "6.4.1.1-2 Residue burning")</f>
        <v>6.4.1.1-2 Residue burning</v>
      </c>
      <c r="D32" s="150" t="s">
        <v>1342</v>
      </c>
      <c r="E32" s="147" t="s">
        <v>1343</v>
      </c>
      <c r="F32" s="158"/>
      <c r="G32" s="158"/>
      <c r="H32" s="150" t="s">
        <v>1352</v>
      </c>
      <c r="I32" s="141" t="s">
        <v>1034</v>
      </c>
      <c r="J32" s="174">
        <f>X_Cell_Electricity_Market_RenewablePowerPercentage</f>
        <v>0.1</v>
      </c>
    </row>
    <row r="33" spans="1:10" ht="20.100000000000001" customHeight="1" x14ac:dyDescent="0.2">
      <c r="A33" s="5" t="str">
        <f>HYPERLINK("#'8.1.1.1-2 Transport fuel'!A1", "8.1.1.1-2 Transport fuel")</f>
        <v>8.1.1.1-2 Transport fuel</v>
      </c>
      <c r="D33" s="150" t="s">
        <v>1344</v>
      </c>
      <c r="E33" s="147" t="s">
        <v>1345</v>
      </c>
      <c r="F33" s="158"/>
      <c r="G33" s="158"/>
      <c r="H33" s="150" t="s">
        <v>1352</v>
      </c>
      <c r="I33" s="141" t="s">
        <v>1034</v>
      </c>
      <c r="J33" s="174" t="str">
        <f>IF(J37="ACT", X_Cell_Electricity_Market_JurisdictionalRenewablePowerPercentage, "N/A")</f>
        <v>N/A</v>
      </c>
    </row>
    <row r="34" spans="1:10" ht="20.100000000000001" customHeight="1" x14ac:dyDescent="0.2">
      <c r="A34" s="5" t="str">
        <f>HYPERLINK("#'8.2.1.1-2 Stationary fuel'!A1", "8.2.1.1-2 Stationary fuel")</f>
        <v>8.2.1.1-2 Stationary fuel</v>
      </c>
      <c r="D34" s="150" t="s">
        <v>1346</v>
      </c>
      <c r="E34" s="147" t="s">
        <v>1347</v>
      </c>
      <c r="F34" s="158"/>
      <c r="G34" s="158"/>
      <c r="H34" s="150" t="s">
        <v>519</v>
      </c>
      <c r="I34" s="141" t="s">
        <v>1034</v>
      </c>
      <c r="J34" s="150">
        <f>(X_Cell_Electricity_Market_AmountPurchasedGreenPower*10^-3)+X_Cell_TotalElegibleVoluntarilySurrenderedRECs</f>
        <v>15</v>
      </c>
    </row>
    <row r="35" spans="1:10" ht="20.100000000000001" customHeight="1" x14ac:dyDescent="0.2">
      <c r="A35" s="5" t="str">
        <f>HYPERLINK("#'10.1.1-2 Solid waste treatment'!A1", "10.1.1.1-2 Solid waste")</f>
        <v>10.1.1.1-2 Solid waste</v>
      </c>
      <c r="D35" s="150" t="s">
        <v>1348</v>
      </c>
      <c r="E35" s="147" t="s">
        <v>1349</v>
      </c>
      <c r="F35" s="158"/>
      <c r="G35" s="158"/>
      <c r="H35" s="150" t="s">
        <v>519</v>
      </c>
      <c r="I35" s="141" t="s">
        <v>1034</v>
      </c>
      <c r="J35" s="150">
        <f>X_Cell_TotalElegibleRECsForElectricityProducedOnSite</f>
        <v>0</v>
      </c>
    </row>
    <row r="36" spans="1:10" ht="20.100000000000001" customHeight="1" x14ac:dyDescent="0.2">
      <c r="A36" s="144" t="str">
        <f>HYPERLINK("#'14.1.1-2 Purchased electricity'!A1", "14.1.1-2 Purchased electricity")</f>
        <v>14.1.1-2 Purchased electricity</v>
      </c>
      <c r="D36" s="150" t="s">
        <v>1350</v>
      </c>
      <c r="E36" s="147" t="s">
        <v>1351</v>
      </c>
      <c r="F36" s="158"/>
      <c r="G36" s="158"/>
      <c r="H36" s="150" t="s">
        <v>1338</v>
      </c>
      <c r="I36" s="142" t="s">
        <v>1036</v>
      </c>
      <c r="J36" s="150" cm="1">
        <f t="array" ref="J36">Table_SourceData_ElectricityEFsMarketBased[Scope 2 EF (kg CO2-e/kWh)]</f>
        <v>0.81</v>
      </c>
    </row>
    <row r="37" spans="1:10" ht="20.100000000000001" customHeight="1" x14ac:dyDescent="0.2">
      <c r="A37" s="5" t="str">
        <f>HYPERLINK("#'15 Scope 3'!A1", "15 Scope 3")</f>
        <v>15 Scope 3</v>
      </c>
      <c r="D37" s="150" t="s">
        <v>1101</v>
      </c>
      <c r="E37" s="147" t="s">
        <v>1298</v>
      </c>
      <c r="F37" s="158"/>
      <c r="G37" s="159"/>
      <c r="H37" s="150"/>
      <c r="I37" s="141" t="s">
        <v>1034</v>
      </c>
      <c r="J37" s="150" t="str">
        <f>X_Cell_Site_State</f>
        <v>Western Australia</v>
      </c>
    </row>
    <row r="39" spans="1:10" ht="20.100000000000001" customHeight="1" x14ac:dyDescent="0.2">
      <c r="D39" s="87" t="s">
        <v>533</v>
      </c>
      <c r="E39" s="88">
        <f>(((J31 * (1 - (J32 + (IF(ISNUMBER(J33), J33, 0))))) - ((J34 - J35) * 10 ^ 3)) * J36 * 10 ^ -3)</f>
        <v>9.7200000000000006</v>
      </c>
      <c r="F39" s="97" t="str">
        <f>E29</f>
        <v>t CO2e</v>
      </c>
    </row>
    <row r="40" spans="1:10" ht="20.100000000000001" customHeight="1" x14ac:dyDescent="0.2">
      <c r="A40" s="82" t="s">
        <v>1</v>
      </c>
      <c r="H40" s="1" t="s">
        <v>527</v>
      </c>
    </row>
    <row r="41" spans="1:10" ht="20.100000000000001" customHeight="1" x14ac:dyDescent="0.2">
      <c r="A41" s="5" t="str">
        <f>HYPERLINK("#'Constants - Ag Residue'!A1", "Constants - Ag residue")</f>
        <v>Constants - Ag residue</v>
      </c>
    </row>
    <row r="42" spans="1:10" ht="20.100000000000001" customHeight="1" x14ac:dyDescent="0.2">
      <c r="A42" s="5" t="str">
        <f>HYPERLINK("#'Constants - Electricity'!A1", "Constants - Electricity")</f>
        <v>Constants - Electricity</v>
      </c>
    </row>
    <row r="43" spans="1:10" ht="20.100000000000001" customHeight="1" x14ac:dyDescent="0.2">
      <c r="A43" s="5" t="str">
        <f>HYPERLINK("#'Constants - Fertiliser'!A1", "Constants - Fertiliser")</f>
        <v>Constants - Fertiliser</v>
      </c>
    </row>
    <row r="44" spans="1:10" ht="20.100000000000001" customHeight="1" x14ac:dyDescent="0.2">
      <c r="A44" s="5" t="str">
        <f>HYPERLINK("#'Constants - Fuel'!A1", "Constants - Fuel")</f>
        <v>Constants - Fuel</v>
      </c>
      <c r="E44" s="116"/>
    </row>
    <row r="45" spans="1:10" ht="20.100000000000001" customHeight="1" x14ac:dyDescent="0.2">
      <c r="A45" s="5" t="str">
        <f>HYPERLINK("#'Constants - Scope 3'!A1", "Constants - Scope 3")</f>
        <v>Constants - Scope 3</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row>
    <row r="48" spans="1:10" ht="20.100000000000001" customHeight="1" x14ac:dyDescent="0.2">
      <c r="A48" s="5" t="str">
        <f>HYPERLINK("#'Constants - Common Livestock'!A1", "Constants - Common Livestock")</f>
        <v>Constants - Common Livestock</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69F86DCE-BEEC-4EA0-B3B5-A19D12D49B73}"/>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A27E2-159A-47AF-9649-14C18783091B}">
  <sheetPr>
    <tabColor theme="9" tint="-0.249977111117893"/>
  </sheetPr>
  <dimension ref="A1:AO657"/>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1" customFormat="1" ht="30" customHeight="1" x14ac:dyDescent="0.35">
      <c r="A1" s="10" t="e" vm="1">
        <v>#VALUE!</v>
      </c>
      <c r="C1" s="21" t="s">
        <v>850</v>
      </c>
    </row>
    <row r="2" spans="1:41" s="3" customFormat="1" ht="20.100000000000001" customHeight="1" x14ac:dyDescent="0.2">
      <c r="A2"/>
    </row>
    <row r="3" spans="1:4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EI")</f>
        <v>Results - Product EI</v>
      </c>
      <c r="D5" s="2" t="s">
        <v>1353</v>
      </c>
    </row>
    <row r="6" spans="1:41" ht="20.100000000000001" customHeight="1" x14ac:dyDescent="0.2">
      <c r="D6" s="17" t="s">
        <v>1354</v>
      </c>
    </row>
    <row r="7" spans="1:41" ht="20.100000000000001" customHeight="1" x14ac:dyDescent="0.2">
      <c r="D7" s="134"/>
      <c r="E7" s="134"/>
    </row>
    <row r="8" spans="1:41" ht="20.100000000000001" customHeight="1" x14ac:dyDescent="0.2">
      <c r="A8" s="7" t="s">
        <v>0</v>
      </c>
    </row>
    <row r="9" spans="1:41" ht="20.100000000000001" customHeight="1" x14ac:dyDescent="0.2">
      <c r="A9" s="5" t="str">
        <f>HYPERLINK("#'Input - Enterprise'!A1", "Enterprise")</f>
        <v>Enterprise</v>
      </c>
      <c r="H9" s="134"/>
    </row>
    <row r="10" spans="1:41" ht="20.100000000000001" customHeight="1" x14ac:dyDescent="0.2">
      <c r="A10" s="5" t="str">
        <f>HYPERLINK("#'Input - Site'!A1", "Site")</f>
        <v>Site</v>
      </c>
      <c r="D10" s="77" t="s">
        <v>371</v>
      </c>
      <c r="E10" s="1" t="s">
        <v>967</v>
      </c>
    </row>
    <row r="11" spans="1:41" ht="20.100000000000001" customHeight="1" x14ac:dyDescent="0.2">
      <c r="A11" s="5" t="str">
        <f>HYPERLINK("#'Input - Crop'!A1", "Crop")</f>
        <v>Crop</v>
      </c>
      <c r="D11" s="77" t="s">
        <v>118</v>
      </c>
      <c r="E11" s="9" t="s">
        <v>7</v>
      </c>
    </row>
    <row r="12" spans="1:41" ht="20.100000000000001" customHeight="1" x14ac:dyDescent="0.2">
      <c r="A12" s="5" t="str">
        <f>HYPERLINK("#'Input - Fert Prod System'!A1", "Fert Prod System")</f>
        <v>Fert Prod System</v>
      </c>
    </row>
    <row r="13" spans="1:41" ht="20.100000000000001" customHeight="1" x14ac:dyDescent="0.2">
      <c r="A13" s="5" t="str">
        <f>HYPERLINK("#'Input - Fertiliser'!A1", "Fertiliser")</f>
        <v>Fertiliser</v>
      </c>
      <c r="D13" s="150" t="s">
        <v>1355</v>
      </c>
      <c r="E13" s="147" t="s">
        <v>1356</v>
      </c>
      <c r="F13" s="159"/>
      <c r="G13" s="150" t="s">
        <v>1364</v>
      </c>
      <c r="H13" s="238" t="s">
        <v>1034</v>
      </c>
    </row>
    <row r="14" spans="1:41" ht="20.100000000000001" customHeight="1" x14ac:dyDescent="0.2">
      <c r="A14" s="5" t="str">
        <f>HYPERLINK("#'Input - Fuel'!A1", "Fuel")</f>
        <v>Fuel</v>
      </c>
      <c r="D14" s="150" t="s">
        <v>1357</v>
      </c>
      <c r="E14" s="147" t="s">
        <v>1358</v>
      </c>
      <c r="F14" s="159"/>
      <c r="G14" s="150" t="s">
        <v>1365</v>
      </c>
      <c r="H14" s="238" t="s">
        <v>1034</v>
      </c>
    </row>
    <row r="15" spans="1:41" ht="20.100000000000001" customHeight="1" x14ac:dyDescent="0.2">
      <c r="A15" s="5" t="str">
        <f>HYPERLINK("#'Input - Electricity'!A1", "Electricity")</f>
        <v>Electricity</v>
      </c>
      <c r="D15" s="150" t="s">
        <v>1359</v>
      </c>
      <c r="E15" s="147" t="s">
        <v>1360</v>
      </c>
      <c r="F15" s="159"/>
      <c r="G15" s="150" t="s">
        <v>1366</v>
      </c>
      <c r="H15" s="142" t="s">
        <v>1036</v>
      </c>
    </row>
    <row r="16" spans="1:41" ht="20.100000000000001" customHeight="1" x14ac:dyDescent="0.2">
      <c r="A16" s="5" t="str">
        <f>HYPERLINK("#'Input - Common farm inputs'!A1", "Common farm inputs")</f>
        <v>Common farm inputs</v>
      </c>
      <c r="D16" s="150" t="s">
        <v>1069</v>
      </c>
      <c r="E16" s="147" t="s">
        <v>1361</v>
      </c>
      <c r="F16" s="159"/>
      <c r="G16" s="150"/>
      <c r="H16" s="238" t="s">
        <v>1034</v>
      </c>
    </row>
    <row r="17" spans="1:16" ht="20.100000000000001" customHeight="1" x14ac:dyDescent="0.2">
      <c r="A17" s="5" t="str">
        <f>HYPERLINK("#'Input - Crop pasture farm input'!A1", "Crop pasture farm input")</f>
        <v>Crop pasture farm input</v>
      </c>
      <c r="D17" s="150" t="s">
        <v>1362</v>
      </c>
      <c r="E17" s="147" t="s">
        <v>1363</v>
      </c>
      <c r="F17" s="159"/>
      <c r="G17" s="150"/>
      <c r="H17" s="238" t="s">
        <v>1034</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6" t="s">
        <v>851</v>
      </c>
      <c r="E19" s="38"/>
      <c r="F19" s="39"/>
    </row>
    <row r="20" spans="1:16" ht="20.100000000000001" customHeight="1" x14ac:dyDescent="0.2">
      <c r="A20" s="5" t="str">
        <f>HYPERLINK("#'Input - Data quality'!A1", "Data quality")</f>
        <v>Data quality</v>
      </c>
    </row>
    <row r="21" spans="1:16" ht="20.100000000000001" customHeight="1" x14ac:dyDescent="0.2">
      <c r="D21" s="233" t="s">
        <v>852</v>
      </c>
    </row>
    <row r="22" spans="1:16" ht="20.100000000000001" customHeight="1" x14ac:dyDescent="0.2">
      <c r="D22" s="80" t="s">
        <v>853</v>
      </c>
      <c r="E22" s="239" t="s">
        <v>854</v>
      </c>
      <c r="F22" s="239" t="s">
        <v>855</v>
      </c>
      <c r="G22" s="239" t="s">
        <v>856</v>
      </c>
      <c r="H22" s="239" t="s">
        <v>857</v>
      </c>
      <c r="I22" s="138" t="s">
        <v>858</v>
      </c>
      <c r="J22" s="138" t="s">
        <v>859</v>
      </c>
      <c r="K22" s="239" t="s">
        <v>860</v>
      </c>
      <c r="L22" s="80" t="s">
        <v>861</v>
      </c>
      <c r="M22" s="138" t="s">
        <v>862</v>
      </c>
      <c r="N22" s="80" t="s">
        <v>863</v>
      </c>
      <c r="O22" s="80" t="s">
        <v>864</v>
      </c>
      <c r="P22" s="80" t="s">
        <v>865</v>
      </c>
    </row>
    <row r="23" spans="1:16" ht="20.100000000000001" customHeight="1" x14ac:dyDescent="0.2">
      <c r="A23" s="6" t="s">
        <v>2</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0">
        <f>((G23 * H23 * I23) * 10 ^ -3)</f>
        <v>0</v>
      </c>
      <c r="K23" s="15"/>
      <c r="L23" s="76">
        <v>20</v>
      </c>
      <c r="M23" s="240">
        <f>((G23 * K23 * (IF(L23, L23, I23))) * 10 ^ -3)</f>
        <v>0</v>
      </c>
      <c r="N23" s="34" t="s">
        <v>866</v>
      </c>
      <c r="O23" s="13" t="s">
        <v>867</v>
      </c>
      <c r="P23" t="s">
        <v>868</v>
      </c>
    </row>
    <row r="24" spans="1:16" ht="20.100000000000001" customHeight="1" x14ac:dyDescent="0.2">
      <c r="A24" s="5" t="str">
        <f>HYPERLINK("#'5.1.1.1-2 Inorganic fert N2O'!A1", "5.1.1.1-2 Inorganic fert N2O")</f>
        <v>5.1.1.1-2 Inorganic fert N2O</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0">
        <f>((G24 * H24 * I24) * 10 ^ -3)</f>
        <v>0</v>
      </c>
      <c r="K24" s="15"/>
      <c r="L24" s="76">
        <v>13</v>
      </c>
      <c r="M24" s="240">
        <f>((G24 * K24 * (IF(L24, L24, I24))) * 10 ^ -3)</f>
        <v>0</v>
      </c>
      <c r="N24" s="34"/>
      <c r="O24" s="13"/>
      <c r="P24" s="34"/>
    </row>
    <row r="25" spans="1:16" ht="20.100000000000001" customHeight="1" x14ac:dyDescent="0.2">
      <c r="A25" s="5" t="str">
        <f>HYPERLINK("#'5.1.1.3-4 Inorganic fert CO2'!A1", "5.1.1.3-4 Inorganic fert CO2")</f>
        <v>5.1.1.3-4 Inorganic fert CO2</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0">
        <f>((G25 * H25 * I25) * 10 ^ -3)</f>
        <v>0</v>
      </c>
      <c r="K25" s="15"/>
      <c r="L25" s="76"/>
      <c r="M25" s="240">
        <f>((G25 * K25 * (IF(L25, L25, I25))) * 10 ^ -3)</f>
        <v>0</v>
      </c>
      <c r="N25" s="34"/>
      <c r="O25" s="13"/>
      <c r="P25" s="34"/>
    </row>
    <row r="26" spans="1:16" ht="20.100000000000001" customHeight="1" x14ac:dyDescent="0.2">
      <c r="A26" s="5" t="str">
        <f>HYPERLINK("#'5.2.1.1-2 Organic Fert N2O'!A1", "5.2.1.1-2 Organic fert N2O")</f>
        <v>5.2.1.1-2 Organic fert N2O</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0">
        <f>((G26 * H26 * I26) * 10 ^ -3)</f>
        <v>0</v>
      </c>
      <c r="K26" s="15"/>
      <c r="L26" s="76"/>
      <c r="M26" s="240">
        <f>((G26 * K26 * (IF(L26, L26, I26))) * 10 ^ -3)</f>
        <v>0</v>
      </c>
      <c r="N26" s="34"/>
      <c r="O26" s="13"/>
      <c r="P26" s="34"/>
    </row>
    <row r="27" spans="1:16" ht="20.100000000000001" customHeight="1" x14ac:dyDescent="0.2">
      <c r="A27" s="5" t="str">
        <f>HYPERLINK("#'5.3.1.1-2 Lime CO2'!A1", "5.3.1.1-2 Lime CO2")</f>
        <v>5.3.1.1-2 Lime CO2</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0">
        <f>((G27 * H27 * I27) * 10 ^ -3)</f>
        <v>0</v>
      </c>
      <c r="K27" s="15"/>
      <c r="L27" s="76"/>
      <c r="M27" s="240">
        <f>((G27 * K27 * (IF(L27, L27, I27))) * 10 ^ -3)</f>
        <v>0</v>
      </c>
      <c r="N27" s="34"/>
      <c r="O27" s="13"/>
      <c r="P27" s="34"/>
    </row>
    <row r="28" spans="1:16" ht="20.100000000000001" customHeight="1" x14ac:dyDescent="0.2">
      <c r="A28" s="5" t="str">
        <f>HYPERLINK("#'5.4.1.1-4 Atmos deposition'!A1", "5.4.1.1-4 Atmos. deposition")</f>
        <v>5.4.1.1-4 Atmos. deposition</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0">
        <f>((G28 * H28 * I28) * 10 ^ -3)</f>
        <v>0</v>
      </c>
      <c r="K28" s="15"/>
      <c r="L28" s="76"/>
      <c r="M28" s="240">
        <f>((G28 * K28 * (IF(L28, L28, I28))) * 10 ^ -3)</f>
        <v>0</v>
      </c>
      <c r="N28" s="34"/>
      <c r="O28" s="13"/>
      <c r="P28" s="34"/>
    </row>
    <row r="29" spans="1:16" ht="20.100000000000001" customHeight="1" x14ac:dyDescent="0.2">
      <c r="A29" s="5" t="str">
        <f>HYPERLINK("#'5.5.1.1-2 Leaching and runoff'!A1", "5.5.1.1-2 Leaching &amp; runoff")</f>
        <v>5.5.1.1-2 Leaching &amp; runoff</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0">
        <f>((G29 * H29 * I29) * 10 ^ -3)</f>
        <v>0</v>
      </c>
      <c r="K29" s="15"/>
      <c r="L29" s="76"/>
      <c r="M29" s="240">
        <f>((G29 * K29 * (IF(L29, L29, I29))) * 10 ^ -3)</f>
        <v>0</v>
      </c>
      <c r="N29" s="34"/>
      <c r="O29" s="13"/>
      <c r="P29" s="34"/>
    </row>
    <row r="30" spans="1:16" ht="20.100000000000001" customHeight="1" x14ac:dyDescent="0.2">
      <c r="A30" s="5" t="str">
        <f>HYPERLINK("#'6.1.1.1-2 Crop residue N2O'!A1", "6.1.1.1-2 Crop residue N2O")</f>
        <v>6.1.1.1-2 Crop residue N2O</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0">
        <f>((G30 * H30 * I30) * 10 ^ -3)</f>
        <v>0</v>
      </c>
      <c r="K30" s="15"/>
      <c r="L30" s="76"/>
      <c r="M30" s="240">
        <f>((G30 * K30 * (IF(L30, L30, I30))) * 10 ^ -3)</f>
        <v>0</v>
      </c>
      <c r="N30" s="34"/>
      <c r="O30" s="13"/>
      <c r="P30" s="34"/>
    </row>
    <row r="31" spans="1:16" ht="20.100000000000001" customHeight="1" x14ac:dyDescent="0.2">
      <c r="A31" s="5" t="str">
        <f>HYPERLINK("#'6.3.1.1-2 Leach runoff crop'!A1", "6.3.1.1-2 Leach &amp; runoff (crop)")</f>
        <v>6.3.1.1-2 Leach &amp; runoff (crop)</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0">
        <f>((G31 * H31 * I31) * 10 ^ -3)</f>
        <v>0</v>
      </c>
      <c r="K31" s="15"/>
      <c r="L31" s="76"/>
      <c r="M31" s="240">
        <f>((G31 * K31 * (IF(L31, L31, I31))) * 10 ^ -3)</f>
        <v>0</v>
      </c>
      <c r="N31" s="34"/>
      <c r="O31" s="13"/>
      <c r="P31" s="34"/>
    </row>
    <row r="32" spans="1:16" ht="20.100000000000001" customHeight="1" x14ac:dyDescent="0.2">
      <c r="A32" s="5" t="str">
        <f>HYPERLINK("#'6.4.1.1-2 Residue burning'!A1", "6.4.1.1-2 Residue burning")</f>
        <v>6.4.1.1-2 Residue burning</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0">
        <f>((G32 * H32 * I32) * 10 ^ -3)</f>
        <v>0</v>
      </c>
      <c r="K32" s="15"/>
      <c r="L32" s="76"/>
      <c r="M32" s="240">
        <f>((G32 * K32 * (IF(L32, L32, I32))) * 10 ^ -3)</f>
        <v>0</v>
      </c>
      <c r="N32" s="34"/>
      <c r="O32" s="13"/>
      <c r="P32" s="34"/>
    </row>
    <row r="33" spans="1:13" ht="20.100000000000001" customHeight="1" x14ac:dyDescent="0.2">
      <c r="A33" s="5" t="str">
        <f>HYPERLINK("#'8.1.1.1-2 Transport fuel'!A1", "8.1.1.1-2 Transport fuel")</f>
        <v>8.1.1.1-2 Transport fuel</v>
      </c>
    </row>
    <row r="34" spans="1:13" ht="20.100000000000001" customHeight="1" x14ac:dyDescent="0.2">
      <c r="A34" s="5" t="str">
        <f>HYPERLINK("#'8.2.1.1-2 Stationary fuel'!A1", "8.2.1.1-2 Stationary fuel")</f>
        <v>8.2.1.1-2 Stationary fuel</v>
      </c>
      <c r="D34" s="90" t="s">
        <v>869</v>
      </c>
      <c r="E34" s="85">
        <f>SUM(J23:J32)</f>
        <v>0</v>
      </c>
      <c r="F34" s="91" t="str">
        <f>$E$11</f>
        <v>t CO2e</v>
      </c>
    </row>
    <row r="35" spans="1:13" ht="20.100000000000001" customHeight="1" x14ac:dyDescent="0.2">
      <c r="A35" s="5" t="str">
        <f>HYPERLINK("#'10.1.1-2 Solid waste treatment'!A1", "10.1.1.1-2 Solid waste")</f>
        <v>10.1.1.1-2 Solid waste</v>
      </c>
      <c r="D35" s="90" t="s">
        <v>870</v>
      </c>
      <c r="E35" s="85">
        <f>SUM(M23:M32)</f>
        <v>0</v>
      </c>
      <c r="F35" s="91" t="str">
        <f>$E$11</f>
        <v>t CO2e</v>
      </c>
    </row>
    <row r="36" spans="1:13" ht="20.100000000000001" customHeight="1" x14ac:dyDescent="0.2">
      <c r="A36" s="5" t="str">
        <f>HYPERLINK("#'14.1.1-2 Purchased electricity'!A1", "14.1.1-2 Purchased electricity")</f>
        <v>14.1.1-2 Purchased electricity</v>
      </c>
    </row>
    <row r="37" spans="1:13" ht="20.100000000000001" customHeight="1" x14ac:dyDescent="0.2">
      <c r="A37" s="144" t="str">
        <f>HYPERLINK("#'15 Scope 3'!A1", "15 Scope 3")</f>
        <v>15 Scope 3</v>
      </c>
    </row>
    <row r="38" spans="1:13" ht="20.100000000000001" customHeight="1" x14ac:dyDescent="0.2">
      <c r="D38" s="233" t="s">
        <v>871</v>
      </c>
    </row>
    <row r="39" spans="1:13" ht="20.100000000000001" customHeight="1" x14ac:dyDescent="0.2">
      <c r="D39" s="150" t="s">
        <v>872</v>
      </c>
      <c r="E39" s="15" cm="1">
        <f t="array" ref="E39">Common_InputFunctions.Utility_LookupValueInTableNumber("Dairy cows", Table_SourceData_Scope3_Animals[Product],Table_SourceData_Scope3_Animals[Emissions intensity])</f>
        <v>4.41</v>
      </c>
    </row>
    <row r="40" spans="1:13" ht="20.100000000000001" customHeight="1" x14ac:dyDescent="0.2">
      <c r="A40" s="82" t="s">
        <v>1</v>
      </c>
    </row>
    <row r="41" spans="1:13" ht="20.100000000000001" customHeight="1" x14ac:dyDescent="0.2">
      <c r="A41" s="5" t="str">
        <f>HYPERLINK("#'Constants - Ag Residue'!A1", "Constants - Ag residue")</f>
        <v>Constants - Ag residue</v>
      </c>
      <c r="D41" s="80" t="s">
        <v>853</v>
      </c>
      <c r="E41" s="239" t="s">
        <v>856</v>
      </c>
      <c r="F41" s="239" t="s">
        <v>857</v>
      </c>
      <c r="G41" s="138" t="s">
        <v>859</v>
      </c>
      <c r="H41" s="239" t="s">
        <v>860</v>
      </c>
      <c r="I41" s="80" t="s">
        <v>861</v>
      </c>
      <c r="J41" s="138" t="s">
        <v>862</v>
      </c>
      <c r="K41" s="80" t="s">
        <v>863</v>
      </c>
      <c r="L41" s="80" t="s">
        <v>864</v>
      </c>
      <c r="M41" s="80" t="s">
        <v>865</v>
      </c>
    </row>
    <row r="42" spans="1:13" ht="20.100000000000001" customHeight="1" x14ac:dyDescent="0.2">
      <c r="A42" s="5" t="str">
        <f>HYPERLINK("#'Constants - Electricity'!A1", "Constants - Electricity")</f>
        <v>Constants - Electricity</v>
      </c>
      <c r="D42" s="15"/>
      <c r="E42" s="15"/>
      <c r="F42" s="15"/>
      <c r="G42" s="240">
        <f>((E42 * F42 * $E$39) * 10 ^ -3)</f>
        <v>0</v>
      </c>
      <c r="H42" s="15"/>
      <c r="I42" s="76">
        <v>4</v>
      </c>
      <c r="J42" s="240">
        <f>((E42 * H42 * (IF(I42,I42,$E$39))) * 10 ^ -3)</f>
        <v>0</v>
      </c>
      <c r="K42" s="34" t="s">
        <v>866</v>
      </c>
      <c r="L42" s="13" t="s">
        <v>867</v>
      </c>
      <c r="M42" t="s">
        <v>868</v>
      </c>
    </row>
    <row r="43" spans="1:13" ht="20.100000000000001" customHeight="1" x14ac:dyDescent="0.2">
      <c r="A43" s="5" t="str">
        <f>HYPERLINK("#'Constants - Fertiliser'!A1", "Constants - Fertiliser")</f>
        <v>Constants - Fertiliser</v>
      </c>
      <c r="D43" s="15"/>
      <c r="E43" s="15"/>
      <c r="F43" s="15"/>
      <c r="G43" s="240">
        <f>((E43 * F43 * $E$39) * 10 ^ -3)</f>
        <v>0</v>
      </c>
      <c r="H43" s="15"/>
      <c r="I43" s="76"/>
      <c r="J43" s="240">
        <f>((E43 * H43 * (IF(I43,I43,$E$39))) * 10 ^ -3)</f>
        <v>0</v>
      </c>
      <c r="K43" s="34"/>
      <c r="L43" s="13"/>
      <c r="M43" s="34"/>
    </row>
    <row r="44" spans="1:13" ht="20.100000000000001" customHeight="1" x14ac:dyDescent="0.2">
      <c r="A44" s="5" t="str">
        <f>HYPERLINK("#'Constants - Fuel'!A1", "Constants - Fuel")</f>
        <v>Constants - Fuel</v>
      </c>
      <c r="D44" s="15"/>
      <c r="E44" s="15"/>
      <c r="F44" s="15"/>
      <c r="G44" s="240">
        <f>((E44 * F44 * $E$39) * 10 ^ -3)</f>
        <v>0</v>
      </c>
      <c r="H44" s="15"/>
      <c r="I44" s="76"/>
      <c r="J44" s="240">
        <f>((E44 * H44 * (IF(I44,I44,$E$39))) * 10 ^ -3)</f>
        <v>0</v>
      </c>
      <c r="K44" s="34"/>
      <c r="L44" s="13"/>
      <c r="M44" s="34"/>
    </row>
    <row r="45" spans="1:13" ht="20.100000000000001" customHeight="1" x14ac:dyDescent="0.2">
      <c r="A45" s="5" t="str">
        <f>HYPERLINK("#'Constants - Scope 3'!A1", "Constants - Scope 3")</f>
        <v>Constants - Scope 3</v>
      </c>
      <c r="D45" s="15"/>
      <c r="E45" s="15"/>
      <c r="F45" s="15"/>
      <c r="G45" s="240">
        <f>((E45 * F45 * $E$39) * 10 ^ -3)</f>
        <v>0</v>
      </c>
      <c r="H45" s="15"/>
      <c r="I45" s="76"/>
      <c r="J45" s="240">
        <f>((E45 * H45 * (IF(I45,I45,$E$39))) * 10 ^ -3)</f>
        <v>0</v>
      </c>
      <c r="K45" s="34"/>
      <c r="L45" s="13"/>
      <c r="M45" s="34"/>
    </row>
    <row r="46" spans="1:13" ht="20.100000000000001" customHeight="1" x14ac:dyDescent="0.2">
      <c r="A46" s="5" t="str">
        <f>HYPERLINK("#'Constants - Solid Waste'!A1", "Constants - Solid Waste")</f>
        <v>Constants - Solid Waste</v>
      </c>
      <c r="D46" s="15"/>
      <c r="E46" s="15"/>
      <c r="F46" s="15"/>
      <c r="G46" s="240">
        <f>((E46 * F46 * $E$39) * 10 ^ -3)</f>
        <v>0</v>
      </c>
      <c r="H46" s="15"/>
      <c r="I46" s="76"/>
      <c r="J46" s="240">
        <f>((E46 * H46 * (IF(I46,I46,$E$39))) * 10 ^ -3)</f>
        <v>0</v>
      </c>
      <c r="K46" s="34"/>
      <c r="L46" s="13"/>
      <c r="M46" s="34"/>
    </row>
    <row r="47" spans="1:13" ht="20.100000000000001" customHeight="1" x14ac:dyDescent="0.2">
      <c r="A47" s="5" t="str">
        <f>HYPERLINK("#'Constants - Common'!A1", "Constants - Common")</f>
        <v>Constants - Common</v>
      </c>
      <c r="D47" s="15"/>
      <c r="E47" s="15"/>
      <c r="F47" s="15"/>
      <c r="G47" s="240">
        <f>((E47 * F47 * $E$39) * 10 ^ -3)</f>
        <v>0</v>
      </c>
      <c r="H47" s="15"/>
      <c r="I47" s="76"/>
      <c r="J47" s="240">
        <f>((E47 * H47 * (IF(I47,I47,$E$39))) * 10 ^ -3)</f>
        <v>0</v>
      </c>
      <c r="K47" s="34"/>
      <c r="L47" s="13"/>
      <c r="M47" s="34"/>
    </row>
    <row r="48" spans="1:13" ht="20.100000000000001" customHeight="1" x14ac:dyDescent="0.2">
      <c r="A48" s="5" t="str">
        <f>HYPERLINK("#'Constants - Common Livestock'!A1", "Constants - Common Livestock")</f>
        <v>Constants - Common Livestock</v>
      </c>
      <c r="D48" s="15"/>
      <c r="E48" s="15"/>
      <c r="F48" s="15"/>
      <c r="G48" s="240">
        <f>((E48 * F48 * $E$39) * 10 ^ -3)</f>
        <v>0</v>
      </c>
      <c r="H48" s="15"/>
      <c r="I48" s="76"/>
      <c r="J48" s="240">
        <f>((E48 * H48 * (IF(I48,I48,$E$39))) * 10 ^ -3)</f>
        <v>0</v>
      </c>
      <c r="K48" s="34"/>
      <c r="L48" s="13"/>
      <c r="M48" s="34"/>
    </row>
    <row r="49" spans="1:13" ht="20.100000000000001" customHeight="1" x14ac:dyDescent="0.2">
      <c r="D49" s="15"/>
      <c r="E49" s="15"/>
      <c r="F49" s="15"/>
      <c r="G49" s="240">
        <f>((E49 * F49 * $E$39) * 10 ^ -3)</f>
        <v>0</v>
      </c>
      <c r="H49" s="15"/>
      <c r="I49" s="76"/>
      <c r="J49" s="240">
        <f>((E49 * H49 * (IF(I49,I49,$E$39))) * 10 ^ -3)</f>
        <v>0</v>
      </c>
      <c r="K49" s="34"/>
      <c r="L49" s="13"/>
      <c r="M49" s="34"/>
    </row>
    <row r="50" spans="1:13" ht="20.100000000000001" customHeight="1" x14ac:dyDescent="0.2">
      <c r="D50" s="15"/>
      <c r="E50" s="15"/>
      <c r="F50" s="15"/>
      <c r="G50" s="240">
        <f>((E50 * F50 * $E$39) * 10 ^ -3)</f>
        <v>0</v>
      </c>
      <c r="H50" s="15"/>
      <c r="I50" s="76"/>
      <c r="J50" s="240">
        <f>((E50 * H50 * (IF(I50,I50,$E$39))) * 10 ^ -3)</f>
        <v>0</v>
      </c>
      <c r="K50" s="34"/>
      <c r="L50" s="13"/>
      <c r="M50" s="34"/>
    </row>
    <row r="51" spans="1:13" ht="20.100000000000001" customHeight="1" x14ac:dyDescent="0.2">
      <c r="D51" s="15"/>
      <c r="E51" s="15"/>
      <c r="F51" s="15"/>
      <c r="G51" s="240">
        <f>((E51 * F51 * $E$39) * 10 ^ -3)</f>
        <v>0</v>
      </c>
      <c r="H51" s="15"/>
      <c r="I51" s="76"/>
      <c r="J51" s="240">
        <f>((E51 * H51 * (IF(I51,I51,$E$39))) * 10 ^ -3)</f>
        <v>0</v>
      </c>
      <c r="K51" s="34"/>
      <c r="L51" s="13"/>
      <c r="M51" s="34"/>
    </row>
    <row r="53" spans="1:13" ht="20.100000000000001" customHeight="1" x14ac:dyDescent="0.2">
      <c r="D53" s="90" t="s">
        <v>873</v>
      </c>
      <c r="E53" s="85">
        <f>SUM(G42:G51)</f>
        <v>0</v>
      </c>
      <c r="F53" s="91" t="str">
        <f>$E$11</f>
        <v>t CO2e</v>
      </c>
    </row>
    <row r="54" spans="1:13" ht="20.100000000000001" customHeight="1" x14ac:dyDescent="0.2">
      <c r="D54" s="90" t="s">
        <v>874</v>
      </c>
      <c r="E54" s="85">
        <f>SUM(J42:J51)</f>
        <v>0</v>
      </c>
      <c r="F54" s="91" t="str">
        <f>$E$11</f>
        <v>t CO2e</v>
      </c>
    </row>
    <row r="57" spans="1:13" ht="20.100000000000001" customHeight="1" x14ac:dyDescent="0.2">
      <c r="D57" s="233" t="s">
        <v>875</v>
      </c>
    </row>
    <row r="58" spans="1:13" ht="20.100000000000001" customHeight="1" x14ac:dyDescent="0.2">
      <c r="D58" s="150" t="s">
        <v>872</v>
      </c>
      <c r="E58" s="15" cm="1">
        <f t="array" ref="E58">Common_InputFunctions.Utility_LookupValueInTableNumber("Pigs", Table_SourceData_Scope3_Animals[Product],Table_SourceData_Scope3_Animals[Emissions intensity])</f>
        <v>3.38</v>
      </c>
    </row>
    <row r="59" spans="1:13" ht="20.100000000000001" customHeight="1" x14ac:dyDescent="0.2">
      <c r="A59" s="81" t="str">
        <f>HYPERLINK("#A1", "▲ Back to top")</f>
        <v>▲ Back to top</v>
      </c>
    </row>
    <row r="60" spans="1:13" ht="20.100000000000001" customHeight="1" x14ac:dyDescent="0.2">
      <c r="D60" s="80" t="s">
        <v>853</v>
      </c>
      <c r="E60" s="239" t="s">
        <v>856</v>
      </c>
      <c r="F60" s="239" t="s">
        <v>857</v>
      </c>
      <c r="G60" s="138" t="s">
        <v>859</v>
      </c>
      <c r="H60" s="239" t="s">
        <v>860</v>
      </c>
      <c r="I60" s="80" t="s">
        <v>861</v>
      </c>
      <c r="J60" s="138" t="s">
        <v>862</v>
      </c>
      <c r="K60" s="80" t="s">
        <v>863</v>
      </c>
      <c r="L60" s="80" t="s">
        <v>864</v>
      </c>
      <c r="M60" s="80" t="s">
        <v>865</v>
      </c>
    </row>
    <row r="61" spans="1:13" ht="20.100000000000001" customHeight="1" x14ac:dyDescent="0.2">
      <c r="D61" s="15"/>
      <c r="E61" s="15"/>
      <c r="F61" s="15"/>
      <c r="G61" s="240">
        <f>((E61 * F61 * $E$58) * 10 ^ -3)</f>
        <v>0</v>
      </c>
      <c r="H61" s="15"/>
      <c r="I61" s="76">
        <v>3.38</v>
      </c>
      <c r="J61" s="240">
        <f>((E61 * H61 * (IF(I61, I61,$E$58))) * 10 ^ -3)</f>
        <v>0</v>
      </c>
      <c r="K61" s="34"/>
      <c r="L61" s="13"/>
      <c r="M61"/>
    </row>
    <row r="62" spans="1:13" ht="20.100000000000001" customHeight="1" x14ac:dyDescent="0.2">
      <c r="D62" s="15"/>
      <c r="E62" s="15"/>
      <c r="F62" s="15"/>
      <c r="G62" s="240">
        <f>((E62 * F62 * $E$58) * 10 ^ -3)</f>
        <v>0</v>
      </c>
      <c r="H62" s="15"/>
      <c r="I62" s="76">
        <v>3.3</v>
      </c>
      <c r="J62" s="240">
        <f>((E62 * H62 * (IF(I62, I62,$E$58))) * 10 ^ -3)</f>
        <v>0</v>
      </c>
      <c r="K62" s="34"/>
      <c r="L62" s="13"/>
      <c r="M62" s="34"/>
    </row>
    <row r="63" spans="1:13" ht="20.100000000000001" customHeight="1" x14ac:dyDescent="0.2">
      <c r="D63" s="15"/>
      <c r="E63" s="15"/>
      <c r="F63" s="15"/>
      <c r="G63" s="240">
        <f>((E63 * F63 * $E$58) * 10 ^ -3)</f>
        <v>0</v>
      </c>
      <c r="H63" s="15"/>
      <c r="I63" s="76"/>
      <c r="J63" s="240">
        <f>((E63 * H63 * (IF(I63, I63,$E$58))) * 10 ^ -3)</f>
        <v>0</v>
      </c>
      <c r="K63" s="34"/>
      <c r="L63" s="13"/>
      <c r="M63" s="34"/>
    </row>
    <row r="64" spans="1:13" ht="20.100000000000001" customHeight="1" x14ac:dyDescent="0.2">
      <c r="D64" s="15"/>
      <c r="E64" s="15"/>
      <c r="F64" s="15"/>
      <c r="G64" s="240">
        <f>((E64 * F64 * $E$58) * 10 ^ -3)</f>
        <v>0</v>
      </c>
      <c r="H64" s="15"/>
      <c r="I64" s="76"/>
      <c r="J64" s="240">
        <f>((E64 * H64 * (IF(I64, I64,$E$58))) * 10 ^ -3)</f>
        <v>0</v>
      </c>
      <c r="K64" s="34"/>
      <c r="L64" s="13"/>
      <c r="M64" s="34"/>
    </row>
    <row r="65" spans="4:13" ht="20.100000000000001" customHeight="1" x14ac:dyDescent="0.2">
      <c r="D65" s="15"/>
      <c r="E65" s="15"/>
      <c r="F65" s="15"/>
      <c r="G65" s="240">
        <f>((E65 * F65 * $E$58) * 10 ^ -3)</f>
        <v>0</v>
      </c>
      <c r="H65" s="15"/>
      <c r="I65" s="76"/>
      <c r="J65" s="240">
        <f>((E65 * H65 * (IF(I65, I65,$E$58))) * 10 ^ -3)</f>
        <v>0</v>
      </c>
      <c r="K65" s="34"/>
      <c r="L65" s="13"/>
      <c r="M65" s="34"/>
    </row>
    <row r="66" spans="4:13" ht="20.100000000000001" customHeight="1" x14ac:dyDescent="0.2">
      <c r="D66" s="15"/>
      <c r="E66" s="15"/>
      <c r="F66" s="15"/>
      <c r="G66" s="240">
        <f>((E66 * F66 * $E$58) * 10 ^ -3)</f>
        <v>0</v>
      </c>
      <c r="H66" s="15"/>
      <c r="I66" s="76"/>
      <c r="J66" s="240">
        <f>((E66 * H66 * (IF(I66, I66,$E$58))) * 10 ^ -3)</f>
        <v>0</v>
      </c>
      <c r="K66" s="34"/>
      <c r="L66" s="13"/>
      <c r="M66" s="34"/>
    </row>
    <row r="67" spans="4:13" ht="20.100000000000001" customHeight="1" x14ac:dyDescent="0.2">
      <c r="D67" s="15"/>
      <c r="E67" s="15"/>
      <c r="F67" s="15"/>
      <c r="G67" s="240">
        <f>((E67 * F67 * $E$58) * 10 ^ -3)</f>
        <v>0</v>
      </c>
      <c r="H67" s="15"/>
      <c r="I67" s="76"/>
      <c r="J67" s="240">
        <f>((E67 * H67 * (IF(I67, I67,$E$58))) * 10 ^ -3)</f>
        <v>0</v>
      </c>
      <c r="K67" s="34"/>
      <c r="L67" s="13"/>
      <c r="M67" s="34"/>
    </row>
    <row r="68" spans="4:13" ht="20.100000000000001" customHeight="1" x14ac:dyDescent="0.2">
      <c r="D68" s="15"/>
      <c r="E68" s="15"/>
      <c r="F68" s="15"/>
      <c r="G68" s="240">
        <f>((E68 * F68 * $E$58) * 10 ^ -3)</f>
        <v>0</v>
      </c>
      <c r="H68" s="15"/>
      <c r="I68" s="76"/>
      <c r="J68" s="240">
        <f>((E68 * H68 * (IF(I68, I68,$E$58))) * 10 ^ -3)</f>
        <v>0</v>
      </c>
      <c r="K68" s="34"/>
      <c r="L68" s="13"/>
      <c r="M68" s="34"/>
    </row>
    <row r="69" spans="4:13" ht="20.100000000000001" customHeight="1" x14ac:dyDescent="0.2">
      <c r="D69" s="15"/>
      <c r="E69" s="15"/>
      <c r="F69" s="15"/>
      <c r="G69" s="240">
        <f>((E69 * F69 * $E$58) * 10 ^ -3)</f>
        <v>0</v>
      </c>
      <c r="H69" s="15"/>
      <c r="I69" s="76"/>
      <c r="J69" s="240">
        <f>((E69 * H69 * (IF(I69, I69,$E$58))) * 10 ^ -3)</f>
        <v>0</v>
      </c>
      <c r="K69" s="34"/>
      <c r="L69" s="13"/>
      <c r="M69" s="34"/>
    </row>
    <row r="70" spans="4:13" ht="20.100000000000001" customHeight="1" x14ac:dyDescent="0.2">
      <c r="D70" s="15"/>
      <c r="E70" s="15"/>
      <c r="F70" s="15"/>
      <c r="G70" s="240">
        <f>((E70 * F70 * $E$58) * 10 ^ -3)</f>
        <v>0</v>
      </c>
      <c r="H70" s="15"/>
      <c r="I70" s="76"/>
      <c r="J70" s="240">
        <f>((E70 * H70 * (IF(I70, I70,$E$58))) * 10 ^ -3)</f>
        <v>0</v>
      </c>
      <c r="K70" s="34"/>
      <c r="L70" s="13"/>
      <c r="M70" s="34"/>
    </row>
    <row r="72" spans="4:13" ht="20.100000000000001" customHeight="1" x14ac:dyDescent="0.2">
      <c r="D72" s="90" t="s">
        <v>876</v>
      </c>
      <c r="E72" s="85">
        <f>SUM(G61:G70)</f>
        <v>0</v>
      </c>
      <c r="F72" s="91" t="str">
        <f>$E$11</f>
        <v>t CO2e</v>
      </c>
    </row>
    <row r="73" spans="4:13" ht="20.100000000000001" customHeight="1" x14ac:dyDescent="0.2">
      <c r="D73" s="90" t="s">
        <v>877</v>
      </c>
      <c r="E73" s="85">
        <f>SUM(J61:J70)</f>
        <v>0</v>
      </c>
      <c r="F73" s="91" t="str">
        <f>$E$11</f>
        <v>t CO2e</v>
      </c>
    </row>
    <row r="75" spans="4:13" ht="20.100000000000001" customHeight="1" x14ac:dyDescent="0.2">
      <c r="D75" s="233" t="s">
        <v>878</v>
      </c>
    </row>
    <row r="76" spans="4:13" ht="20.100000000000001" customHeight="1" x14ac:dyDescent="0.2">
      <c r="D76" s="150" t="s">
        <v>872</v>
      </c>
      <c r="E76" s="15" cm="1">
        <f t="array" ref="E76">Common_InputFunctions.Utility_LookupValueInTableNumber("Chickens", Table_SourceData_Scope3_Animals[Product],Table_SourceData_Scope3_Animals[Emissions intensity])</f>
        <v>1.36</v>
      </c>
    </row>
    <row r="78" spans="4:13" ht="20.100000000000001" customHeight="1" x14ac:dyDescent="0.2">
      <c r="D78" s="80" t="s">
        <v>853</v>
      </c>
      <c r="E78" s="239" t="s">
        <v>856</v>
      </c>
      <c r="F78" s="239" t="s">
        <v>857</v>
      </c>
      <c r="G78" s="138" t="s">
        <v>859</v>
      </c>
      <c r="H78" s="239" t="s">
        <v>860</v>
      </c>
      <c r="I78" s="80" t="s">
        <v>861</v>
      </c>
      <c r="J78" s="138" t="s">
        <v>862</v>
      </c>
      <c r="K78" s="80" t="s">
        <v>863</v>
      </c>
      <c r="L78" s="80" t="s">
        <v>864</v>
      </c>
      <c r="M78" s="80" t="s">
        <v>865</v>
      </c>
    </row>
    <row r="79" spans="4:13" ht="20.100000000000001" customHeight="1" x14ac:dyDescent="0.2">
      <c r="D79" s="15"/>
      <c r="E79" s="15"/>
      <c r="F79" s="15"/>
      <c r="G79" s="240">
        <f>((E79 * F79 * $E$76) * 10 ^ -3)</f>
        <v>0</v>
      </c>
      <c r="H79" s="15"/>
      <c r="I79" s="76">
        <v>1.3</v>
      </c>
      <c r="J79" s="240">
        <f>((E79 * H79 * (IF(I79, I79,$E$76))) * 10 ^ -3)</f>
        <v>0</v>
      </c>
      <c r="K79" s="34"/>
      <c r="L79" s="13"/>
      <c r="M79"/>
    </row>
    <row r="80" spans="4:13" ht="20.100000000000001" customHeight="1" x14ac:dyDescent="0.2">
      <c r="D80" s="15"/>
      <c r="E80" s="15"/>
      <c r="F80" s="15"/>
      <c r="G80" s="240">
        <f>((E80 * F80 * $E$76) * 10 ^ -3)</f>
        <v>0</v>
      </c>
      <c r="H80" s="15"/>
      <c r="I80" s="76"/>
      <c r="J80" s="240">
        <f>((E80 * H80 * (IF(I80, I80,$E$76))) * 10 ^ -3)</f>
        <v>0</v>
      </c>
      <c r="K80" s="34"/>
      <c r="L80" s="13"/>
      <c r="M80" s="34"/>
    </row>
    <row r="81" spans="1:13" ht="20.100000000000001" customHeight="1" x14ac:dyDescent="0.2">
      <c r="D81" s="15"/>
      <c r="E81" s="15"/>
      <c r="F81" s="15"/>
      <c r="G81" s="240">
        <f>((E81 * F81 * $E$76) * 10 ^ -3)</f>
        <v>0</v>
      </c>
      <c r="H81" s="15"/>
      <c r="I81" s="76"/>
      <c r="J81" s="240">
        <f>((E81 * H81 * (IF(I81, I81,$E$76))) * 10 ^ -3)</f>
        <v>0</v>
      </c>
      <c r="K81" s="34"/>
      <c r="L81" s="13"/>
      <c r="M81" s="34"/>
    </row>
    <row r="82" spans="1:13" ht="20.100000000000001" customHeight="1" x14ac:dyDescent="0.2">
      <c r="D82" s="15"/>
      <c r="E82" s="15"/>
      <c r="F82" s="15"/>
      <c r="G82" s="240">
        <f>((E82 * F82 * $E$76) * 10 ^ -3)</f>
        <v>0</v>
      </c>
      <c r="H82" s="15"/>
      <c r="I82" s="76"/>
      <c r="J82" s="240">
        <f>((E82 * H82 * (IF(I82, I82,$E$76))) * 10 ^ -3)</f>
        <v>0</v>
      </c>
      <c r="K82" s="34"/>
      <c r="L82" s="13"/>
      <c r="M82" s="34"/>
    </row>
    <row r="83" spans="1:13" ht="20.100000000000001" customHeight="1" x14ac:dyDescent="0.2">
      <c r="D83" s="15"/>
      <c r="E83" s="15"/>
      <c r="F83" s="15"/>
      <c r="G83" s="240">
        <f>((E83 * F83 * $E$76) * 10 ^ -3)</f>
        <v>0</v>
      </c>
      <c r="H83" s="15"/>
      <c r="I83" s="76"/>
      <c r="J83" s="240">
        <f>((E83 * H83 * (IF(I83, I83,$E$76))) * 10 ^ -3)</f>
        <v>0</v>
      </c>
      <c r="K83" s="34"/>
      <c r="L83" s="13"/>
      <c r="M83" s="34"/>
    </row>
    <row r="84" spans="1:13" ht="20.100000000000001" customHeight="1" x14ac:dyDescent="0.2">
      <c r="D84" s="15"/>
      <c r="E84" s="15"/>
      <c r="F84" s="15"/>
      <c r="G84" s="240">
        <f>((E84 * F84 * $E$76) * 10 ^ -3)</f>
        <v>0</v>
      </c>
      <c r="H84" s="15"/>
      <c r="I84" s="76"/>
      <c r="J84" s="240">
        <f>((E84 * H84 * (IF(I84, I84,$E$76))) * 10 ^ -3)</f>
        <v>0</v>
      </c>
      <c r="K84" s="34"/>
      <c r="L84" s="13"/>
      <c r="M84" s="34"/>
    </row>
    <row r="85" spans="1:13" ht="20.100000000000001" customHeight="1" x14ac:dyDescent="0.2">
      <c r="D85" s="15"/>
      <c r="E85" s="15"/>
      <c r="F85" s="15"/>
      <c r="G85" s="240">
        <f>((E85 * F85 * $E$76) * 10 ^ -3)</f>
        <v>0</v>
      </c>
      <c r="H85" s="15"/>
      <c r="I85" s="76"/>
      <c r="J85" s="240">
        <f>((E85 * H85 * (IF(I85, I85,$E$76))) * 10 ^ -3)</f>
        <v>0</v>
      </c>
      <c r="K85" s="34"/>
      <c r="L85" s="13"/>
      <c r="M85" s="34"/>
    </row>
    <row r="86" spans="1:13" ht="20.100000000000001" customHeight="1" x14ac:dyDescent="0.2">
      <c r="D86" s="15"/>
      <c r="E86" s="15"/>
      <c r="F86" s="15"/>
      <c r="G86" s="240">
        <f>((E86 * F86 * $E$76) * 10 ^ -3)</f>
        <v>0</v>
      </c>
      <c r="H86" s="15"/>
      <c r="I86" s="76"/>
      <c r="J86" s="240">
        <f>((E86 * H86 * (IF(I86, I86,$E$76))) * 10 ^ -3)</f>
        <v>0</v>
      </c>
      <c r="K86" s="34"/>
      <c r="L86" s="13"/>
      <c r="M86" s="34"/>
    </row>
    <row r="87" spans="1:13" ht="20.100000000000001" customHeight="1" x14ac:dyDescent="0.2">
      <c r="D87" s="15"/>
      <c r="E87" s="15"/>
      <c r="F87" s="15"/>
      <c r="G87" s="240">
        <f>((E87 * F87 * $E$76) * 10 ^ -3)</f>
        <v>0</v>
      </c>
      <c r="H87" s="15"/>
      <c r="I87" s="76"/>
      <c r="J87" s="240">
        <f>((E87 * H87 * (IF(I87, I87,$E$76))) * 10 ^ -3)</f>
        <v>0</v>
      </c>
      <c r="K87" s="34"/>
      <c r="L87" s="13"/>
      <c r="M87" s="34"/>
    </row>
    <row r="88" spans="1:13" ht="20.100000000000001" customHeight="1" x14ac:dyDescent="0.2">
      <c r="D88" s="15"/>
      <c r="E88" s="15"/>
      <c r="F88" s="15"/>
      <c r="G88" s="240">
        <f>((E88 * F88 * $E$76) * 10 ^ -3)</f>
        <v>0</v>
      </c>
      <c r="H88" s="15"/>
      <c r="I88" s="76"/>
      <c r="J88" s="240">
        <f>((E88 * H88 * (IF(I88, I88,$E$76))) * 10 ^ -3)</f>
        <v>0</v>
      </c>
      <c r="K88" s="34"/>
      <c r="L88" s="13"/>
      <c r="M88" s="34"/>
    </row>
    <row r="89" spans="1:13" ht="20.100000000000001" customHeight="1" x14ac:dyDescent="0.2">
      <c r="A89" s="81" t="str">
        <f>HYPERLINK("#A1", "▲ Back to top")</f>
        <v>▲ Back to top</v>
      </c>
    </row>
    <row r="90" spans="1:13" ht="20.100000000000001" customHeight="1" x14ac:dyDescent="0.2">
      <c r="D90" s="90" t="s">
        <v>879</v>
      </c>
      <c r="E90" s="85">
        <f>SUM(G79:G88)</f>
        <v>0</v>
      </c>
      <c r="F90" s="91" t="str">
        <f>$E$11</f>
        <v>t CO2e</v>
      </c>
    </row>
    <row r="91" spans="1:13" ht="20.100000000000001" customHeight="1" x14ac:dyDescent="0.2">
      <c r="D91" s="90" t="s">
        <v>880</v>
      </c>
      <c r="E91" s="85">
        <f>SUM(J79:J88)</f>
        <v>0</v>
      </c>
      <c r="F91" s="91" t="str">
        <f>$E$11</f>
        <v>t CO2e</v>
      </c>
    </row>
    <row r="93" spans="1:13" ht="20.100000000000001" customHeight="1" x14ac:dyDescent="0.2">
      <c r="D93" s="87" t="s">
        <v>859</v>
      </c>
      <c r="E93" s="8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7" t="str">
        <f>$E$11</f>
        <v>t CO2e</v>
      </c>
    </row>
    <row r="94" spans="1:13" ht="20.100000000000001" customHeight="1" x14ac:dyDescent="0.2">
      <c r="D94" s="87" t="s">
        <v>862</v>
      </c>
      <c r="E94" s="8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97" t="str">
        <f>$E$11</f>
        <v>t CO2e</v>
      </c>
    </row>
    <row r="97" spans="3:41" ht="20.100000000000001" customHeight="1" x14ac:dyDescent="0.2">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row>
    <row r="98" spans="3:41" ht="20.100000000000001" customHeight="1" x14ac:dyDescent="0.2">
      <c r="D98" s="2" t="s">
        <v>1367</v>
      </c>
    </row>
    <row r="99" spans="3:41" ht="20.100000000000001" customHeight="1" x14ac:dyDescent="0.2">
      <c r="D99" s="17" t="s">
        <v>1368</v>
      </c>
    </row>
    <row r="100" spans="3:41" ht="20.100000000000001" customHeight="1" x14ac:dyDescent="0.2">
      <c r="D100" s="26" t="s">
        <v>1369</v>
      </c>
    </row>
    <row r="101" spans="3:41" ht="20.100000000000001" customHeight="1" x14ac:dyDescent="0.2">
      <c r="D101" s="134"/>
      <c r="E101" s="134"/>
      <c r="H101" s="26"/>
    </row>
    <row r="103" spans="3:41" ht="20.100000000000001" customHeight="1" x14ac:dyDescent="0.2">
      <c r="H103" s="134"/>
    </row>
    <row r="104" spans="3:41" ht="20.100000000000001" customHeight="1" x14ac:dyDescent="0.2">
      <c r="D104" s="77" t="s">
        <v>371</v>
      </c>
      <c r="E104" s="1" t="s">
        <v>967</v>
      </c>
    </row>
    <row r="105" spans="3:41" ht="20.100000000000001" customHeight="1" x14ac:dyDescent="0.2">
      <c r="D105" s="77" t="s">
        <v>118</v>
      </c>
      <c r="E105" s="9" t="s">
        <v>7</v>
      </c>
    </row>
    <row r="107" spans="3:41" ht="20.100000000000001" customHeight="1" x14ac:dyDescent="0.2">
      <c r="D107" s="150" t="s">
        <v>1370</v>
      </c>
      <c r="E107" s="147" t="s">
        <v>1371</v>
      </c>
      <c r="F107" s="159"/>
      <c r="G107" s="150" t="s">
        <v>370</v>
      </c>
      <c r="H107" s="238" t="s">
        <v>1034</v>
      </c>
    </row>
    <row r="108" spans="3:41" ht="20.100000000000001" customHeight="1" x14ac:dyDescent="0.2">
      <c r="D108" s="150" t="s">
        <v>1372</v>
      </c>
      <c r="E108" s="147" t="s">
        <v>1373</v>
      </c>
      <c r="F108" s="159"/>
      <c r="G108" s="150" t="s">
        <v>1366</v>
      </c>
      <c r="H108" s="142" t="s">
        <v>1036</v>
      </c>
    </row>
    <row r="109" spans="3:41" ht="20.100000000000001" customHeight="1" x14ac:dyDescent="0.2">
      <c r="D109" s="150" t="s">
        <v>1053</v>
      </c>
      <c r="E109" s="147" t="s">
        <v>1374</v>
      </c>
      <c r="F109" s="159"/>
      <c r="G109" s="150"/>
      <c r="H109" s="238" t="s">
        <v>1034</v>
      </c>
    </row>
    <row r="111" spans="3:41" ht="20.100000000000001" customHeight="1" x14ac:dyDescent="0.2">
      <c r="D111" s="233" t="s">
        <v>881</v>
      </c>
    </row>
    <row r="113" spans="1:28" ht="20.100000000000001" customHeight="1" x14ac:dyDescent="0.2">
      <c r="D113" s="99" t="s">
        <v>882</v>
      </c>
      <c r="E113" s="45"/>
      <c r="F113" s="99"/>
      <c r="G113" s="44"/>
      <c r="H113" s="45"/>
    </row>
    <row r="114" spans="1:28" ht="20.100000000000001" customHeight="1" x14ac:dyDescent="0.2">
      <c r="D114" s="125" t="s">
        <v>883</v>
      </c>
      <c r="E114" s="127"/>
      <c r="F114" s="125"/>
      <c r="G114" s="126"/>
      <c r="H114" s="127"/>
    </row>
    <row r="115" spans="1:28" ht="20.100000000000001" customHeight="1" x14ac:dyDescent="0.2">
      <c r="D115" s="46" t="s">
        <v>884</v>
      </c>
      <c r="E115" s="48"/>
      <c r="F115" s="46"/>
      <c r="G115" s="47"/>
      <c r="H115" s="48"/>
    </row>
    <row r="117" spans="1:28" ht="20.100000000000001" customHeight="1" x14ac:dyDescent="0.2">
      <c r="D117" s="36" t="s">
        <v>885</v>
      </c>
      <c r="E117" s="38"/>
      <c r="F117" s="39"/>
    </row>
    <row r="119" spans="1:28" ht="20.100000000000001" customHeight="1" x14ac:dyDescent="0.2">
      <c r="A119" s="81" t="str">
        <f>HYPERLINK("#A1", "▲ Back to top")</f>
        <v>▲ Back to top</v>
      </c>
      <c r="D119" s="80" t="s">
        <v>886</v>
      </c>
      <c r="E119" s="80" t="s">
        <v>887</v>
      </c>
      <c r="F119" s="138" t="s">
        <v>888</v>
      </c>
      <c r="G119" s="138" t="s">
        <v>859</v>
      </c>
      <c r="H119" s="80" t="s">
        <v>889</v>
      </c>
      <c r="I119" s="138" t="s">
        <v>862</v>
      </c>
      <c r="J119" s="80" t="s">
        <v>863</v>
      </c>
      <c r="K119" s="80" t="s">
        <v>864</v>
      </c>
      <c r="L119" s="80" t="s">
        <v>865</v>
      </c>
      <c r="M119" s="138" t="s">
        <v>308</v>
      </c>
      <c r="N119" s="138" t="s">
        <v>890</v>
      </c>
      <c r="O119" s="138" t="s">
        <v>309</v>
      </c>
      <c r="P119" s="138" t="s">
        <v>891</v>
      </c>
      <c r="Q119" s="138" t="s">
        <v>310</v>
      </c>
      <c r="R119" s="138" t="s">
        <v>892</v>
      </c>
      <c r="S119" s="138" t="s">
        <v>311</v>
      </c>
      <c r="T119" s="138" t="s">
        <v>893</v>
      </c>
      <c r="U119" s="138" t="s">
        <v>312</v>
      </c>
      <c r="V119" s="138" t="s">
        <v>894</v>
      </c>
      <c r="W119" s="138" t="s">
        <v>313</v>
      </c>
      <c r="X119" s="138" t="s">
        <v>895</v>
      </c>
      <c r="Y119" s="138" t="s">
        <v>314</v>
      </c>
      <c r="Z119" s="138" t="s">
        <v>896</v>
      </c>
      <c r="AA119" s="138" t="s">
        <v>315</v>
      </c>
      <c r="AB119" s="138" t="s">
        <v>897</v>
      </c>
    </row>
    <row r="120" spans="1:28" ht="20.100000000000001" customHeight="1" x14ac:dyDescent="0.2">
      <c r="D120" s="15"/>
      <c r="E120" s="15"/>
      <c r="F120" s="15">
        <f t="shared" ref="F120:F129" si="0">IFERROR((O120*P120)+(S120*T120)+(W120*X120)+(AA120*AB120), 0)</f>
        <v>0</v>
      </c>
      <c r="G120" s="240">
        <f>((E120 * F120) * 10 ^ -3)</f>
        <v>0</v>
      </c>
      <c r="H120" s="76">
        <v>0.04</v>
      </c>
      <c r="I120" s="240">
        <f>((E120 * (IF(H120,H120, F120))) * 10 ^ -3)</f>
        <v>0</v>
      </c>
      <c r="J120" s="34"/>
      <c r="K120" s="13"/>
      <c r="L120"/>
      <c r="M120" s="15"/>
      <c r="N120" s="15"/>
      <c r="O120" s="15"/>
      <c r="P120" s="15" cm="1">
        <f t="array" ref="P120">_xlfn.LET(_xlpm.result, Common_InputFunctions.Utility_LookupValueInTableTwoColumns(M120, N120, Table_SourceData_Scope3_Feed[Product], Table_SourceData_Scope3_Feed[Region of origin], Table_SourceData_Scope3_Feed[Emissions intensity]), IF(_xlpm.result="", 0, _xlpm.result))</f>
        <v>0</v>
      </c>
      <c r="Q120" s="15"/>
      <c r="R120" s="15"/>
      <c r="S120" s="15"/>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v>
      </c>
      <c r="U120" s="15"/>
      <c r="V120" s="15"/>
      <c r="W120" s="15"/>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v>
      </c>
      <c r="Y120" s="15"/>
      <c r="Z120" s="15"/>
      <c r="AA120" s="15"/>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v>
      </c>
    </row>
    <row r="121" spans="1:28" ht="20.100000000000001" customHeight="1" x14ac:dyDescent="0.2">
      <c r="D121" s="15"/>
      <c r="E121" s="15"/>
      <c r="F121" s="15">
        <f t="shared" si="0"/>
        <v>0</v>
      </c>
      <c r="G121" s="240">
        <f>((E121 * F121) * 10 ^ -3)</f>
        <v>0</v>
      </c>
      <c r="H121" s="76">
        <v>0.03</v>
      </c>
      <c r="I121" s="240">
        <f>((E121 * (IF(H121,H121, F121))) * 10 ^ -3)</f>
        <v>0</v>
      </c>
      <c r="J121" s="34"/>
      <c r="K121" s="13"/>
      <c r="L121" s="34"/>
      <c r="M121" s="15"/>
      <c r="N121" s="15"/>
      <c r="O121" s="15"/>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v>
      </c>
      <c r="Q121" s="15"/>
      <c r="R121" s="15"/>
      <c r="S121" s="15"/>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v>
      </c>
      <c r="U121" s="15"/>
      <c r="V121" s="15"/>
      <c r="W121" s="15"/>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c r="Z121" s="15"/>
      <c r="AA121" s="15"/>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c r="E122" s="15"/>
      <c r="F122" s="15">
        <f t="shared" si="0"/>
        <v>0</v>
      </c>
      <c r="G122" s="240">
        <f>((E122 * F122) * 10 ^ -3)</f>
        <v>0</v>
      </c>
      <c r="H122" s="76">
        <v>0.14000000000000001</v>
      </c>
      <c r="I122" s="240">
        <f>((E122 * (IF(H122,H122, F122))) * 10 ^ -3)</f>
        <v>0</v>
      </c>
      <c r="J122" s="34"/>
      <c r="K122" s="13"/>
      <c r="L122" s="34"/>
      <c r="M122" s="15"/>
      <c r="N122" s="15"/>
      <c r="O122" s="15"/>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v>
      </c>
      <c r="Q122" s="15"/>
      <c r="R122" s="15"/>
      <c r="S122" s="15"/>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v>
      </c>
      <c r="U122" s="15"/>
      <c r="V122" s="15"/>
      <c r="W122" s="15"/>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c r="Z122" s="15"/>
      <c r="AA122" s="15"/>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c r="E123" s="15"/>
      <c r="F123" s="15">
        <f t="shared" si="0"/>
        <v>0</v>
      </c>
      <c r="G123" s="240">
        <f>((E123 * F123) * 10 ^ -3)</f>
        <v>0</v>
      </c>
      <c r="H123" s="76"/>
      <c r="I123" s="240">
        <f>((E123 * (IF(H123,H123, F123))) * 10 ^ -3)</f>
        <v>0</v>
      </c>
      <c r="J123" s="34"/>
      <c r="K123" s="13"/>
      <c r="L123" s="34"/>
      <c r="M123" s="15"/>
      <c r="N123" s="15"/>
      <c r="O123" s="15"/>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v>
      </c>
      <c r="Q123" s="15"/>
      <c r="R123" s="15"/>
      <c r="S123" s="15"/>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c r="V123" s="15"/>
      <c r="W123" s="15"/>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c r="Z123" s="15"/>
      <c r="AA123" s="15"/>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c r="E124" s="15"/>
      <c r="F124" s="15">
        <f t="shared" si="0"/>
        <v>0</v>
      </c>
      <c r="G124" s="240">
        <f>((E124 * F124) * 10 ^ -3)</f>
        <v>0</v>
      </c>
      <c r="H124" s="76"/>
      <c r="I124" s="240">
        <f>((E124 * (IF(H124,H124, F124))) * 10 ^ -3)</f>
        <v>0</v>
      </c>
      <c r="J124" s="34"/>
      <c r="K124" s="13"/>
      <c r="L124" s="34"/>
      <c r="M124" s="15"/>
      <c r="N124" s="15"/>
      <c r="O124" s="15"/>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c r="R124" s="15"/>
      <c r="S124" s="15"/>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c r="V124" s="15"/>
      <c r="W124" s="15"/>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c r="Z124" s="15"/>
      <c r="AA124" s="15"/>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c r="E125" s="15"/>
      <c r="F125" s="15">
        <f t="shared" si="0"/>
        <v>0</v>
      </c>
      <c r="G125" s="240">
        <f>((E125 * F125) * 10 ^ -3)</f>
        <v>0</v>
      </c>
      <c r="H125" s="76"/>
      <c r="I125" s="240">
        <f>((E125 * (IF(H125,H125, F125))) * 10 ^ -3)</f>
        <v>0</v>
      </c>
      <c r="J125" s="34"/>
      <c r="K125" s="13"/>
      <c r="L125" s="34"/>
      <c r="M125" s="15"/>
      <c r="N125" s="15"/>
      <c r="O125" s="15"/>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c r="R125" s="15"/>
      <c r="S125" s="15"/>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c r="V125" s="15"/>
      <c r="W125" s="15"/>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c r="Z125" s="15"/>
      <c r="AA125" s="15"/>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c r="E126" s="15"/>
      <c r="F126" s="15">
        <f t="shared" si="0"/>
        <v>0</v>
      </c>
      <c r="G126" s="240">
        <f>((E126 * F126) * 10 ^ -3)</f>
        <v>0</v>
      </c>
      <c r="H126" s="76"/>
      <c r="I126" s="240">
        <f>((E126 * (IF(H126,H126, F126))) * 10 ^ -3)</f>
        <v>0</v>
      </c>
      <c r="J126" s="34"/>
      <c r="K126" s="13"/>
      <c r="L126" s="34"/>
      <c r="M126" s="15"/>
      <c r="N126" s="15"/>
      <c r="O126" s="15"/>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c r="R126" s="15"/>
      <c r="S126" s="15"/>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c r="V126" s="15"/>
      <c r="W126" s="15"/>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c r="Z126" s="15"/>
      <c r="AA126" s="15"/>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c r="E127" s="15"/>
      <c r="F127" s="15">
        <f t="shared" si="0"/>
        <v>0</v>
      </c>
      <c r="G127" s="240">
        <f>((E127 * F127) * 10 ^ -3)</f>
        <v>0</v>
      </c>
      <c r="H127" s="76"/>
      <c r="I127" s="240">
        <f>((E127 * (IF(H127,H127, F127))) * 10 ^ -3)</f>
        <v>0</v>
      </c>
      <c r="J127" s="34"/>
      <c r="K127" s="13"/>
      <c r="L127" s="34"/>
      <c r="M127" s="15"/>
      <c r="N127" s="15"/>
      <c r="O127" s="15"/>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c r="R127" s="15"/>
      <c r="S127" s="15"/>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c r="V127" s="15"/>
      <c r="W127" s="15"/>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c r="Z127" s="15"/>
      <c r="AA127" s="15"/>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c r="E128" s="15"/>
      <c r="F128" s="15">
        <f t="shared" si="0"/>
        <v>0</v>
      </c>
      <c r="G128" s="240">
        <f>((E128 * F128) * 10 ^ -3)</f>
        <v>0</v>
      </c>
      <c r="H128" s="76"/>
      <c r="I128" s="240">
        <f>((E128 * (IF(H128,H128, F128))) * 10 ^ -3)</f>
        <v>0</v>
      </c>
      <c r="J128" s="34"/>
      <c r="K128" s="13"/>
      <c r="L128" s="34"/>
      <c r="M128" s="15"/>
      <c r="N128" s="15"/>
      <c r="O128" s="15"/>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c r="R128" s="15"/>
      <c r="S128" s="15"/>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c r="V128" s="15"/>
      <c r="W128" s="15"/>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c r="Z128" s="15"/>
      <c r="AA128" s="15"/>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c r="E129" s="15"/>
      <c r="F129" s="15">
        <f t="shared" si="0"/>
        <v>0</v>
      </c>
      <c r="G129" s="240">
        <f>((E129 * F129) * 10 ^ -3)</f>
        <v>0</v>
      </c>
      <c r="H129" s="76"/>
      <c r="I129" s="240">
        <f>((E129 * (IF(H129,H129, F129))) * 10 ^ -3)</f>
        <v>0</v>
      </c>
      <c r="J129" s="34"/>
      <c r="K129" s="13"/>
      <c r="L129" s="34"/>
      <c r="M129" s="15"/>
      <c r="N129" s="15"/>
      <c r="O129" s="15"/>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c r="R129" s="15"/>
      <c r="S129" s="15"/>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c r="V129" s="15"/>
      <c r="W129" s="15"/>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c r="Z129" s="15"/>
      <c r="AA129" s="15"/>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90" t="s">
        <v>859</v>
      </c>
      <c r="E131" s="85">
        <f>SUM(G120:G129)</f>
        <v>0</v>
      </c>
      <c r="F131" s="91" t="str">
        <f>$E$105</f>
        <v>t CO2e</v>
      </c>
    </row>
    <row r="132" spans="4:28" ht="20.100000000000001" customHeight="1" x14ac:dyDescent="0.2">
      <c r="D132" s="90" t="s">
        <v>862</v>
      </c>
      <c r="E132" s="85">
        <f>SUM(I120:I129)</f>
        <v>0</v>
      </c>
      <c r="F132" s="91" t="str">
        <f>$E$105</f>
        <v>t CO2e</v>
      </c>
    </row>
    <row r="135" spans="4:28" ht="20.100000000000001" customHeight="1" x14ac:dyDescent="0.2">
      <c r="D135" s="233" t="s">
        <v>898</v>
      </c>
    </row>
    <row r="136" spans="4:28" ht="20.100000000000001" customHeight="1" x14ac:dyDescent="0.2">
      <c r="D136" s="80" t="s">
        <v>132</v>
      </c>
      <c r="E136" s="80" t="s">
        <v>887</v>
      </c>
      <c r="F136" s="138" t="s">
        <v>888</v>
      </c>
      <c r="G136" s="138" t="s">
        <v>859</v>
      </c>
      <c r="H136" s="80" t="s">
        <v>889</v>
      </c>
      <c r="I136" s="138" t="s">
        <v>862</v>
      </c>
      <c r="J136" s="80" t="s">
        <v>863</v>
      </c>
      <c r="K136" s="80" t="s">
        <v>864</v>
      </c>
      <c r="L136" s="80" t="s">
        <v>865</v>
      </c>
    </row>
    <row r="137" spans="4:28" ht="20.100000000000001" customHeight="1" x14ac:dyDescent="0.2">
      <c r="D137" s="15"/>
      <c r="E137" s="15">
        <f>IFERROR(X_Cell_FarmInputs_FeedRations_Chickens, 0)</f>
        <v>0</v>
      </c>
      <c r="F137" s="15" cm="1">
        <f t="array" ref="F137">Common_InputFunctions.Utility_LookupValueInTableNumber(D137,Table_SourceData_Scope3_MixedRations[Product],Table_SourceData_Scope3_MixedRations[Emissions intensity])</f>
        <v>0</v>
      </c>
      <c r="G137" s="240">
        <f>((E137 * F137) * 10 ^ -3)</f>
        <v>0</v>
      </c>
      <c r="H137" s="76">
        <v>0.5</v>
      </c>
      <c r="I137" s="240">
        <f>((E137 * (IF(H137,H137, F137))) * 10 ^ -3)</f>
        <v>0</v>
      </c>
      <c r="J137" s="34"/>
      <c r="K137" s="13"/>
      <c r="L137" s="34"/>
    </row>
    <row r="138" spans="4:28" ht="20.100000000000001" customHeight="1" x14ac:dyDescent="0.2">
      <c r="D138" s="15"/>
      <c r="E138" s="15">
        <f>IFERROR(X_Cell_FarmInputs_FeedRations_DairyCalves, 0)</f>
        <v>0</v>
      </c>
      <c r="F138" s="15" cm="1">
        <f t="array" ref="F138">Common_InputFunctions.Utility_LookupValueInTableNumber(D138,Table_SourceData_Scope3_MixedRations[Product],Table_SourceData_Scope3_MixedRations[Emissions intensity])</f>
        <v>0</v>
      </c>
      <c r="G138" s="240">
        <f>((E138 * F138) * 10 ^ -3)</f>
        <v>0</v>
      </c>
      <c r="H138" s="76">
        <v>0.4</v>
      </c>
      <c r="I138" s="240">
        <f>((E138 * (IF(H138,H138, F138))) * 10 ^ -3)</f>
        <v>0</v>
      </c>
      <c r="J138" s="34"/>
      <c r="K138" s="13"/>
      <c r="L138" s="34"/>
    </row>
    <row r="139" spans="4:28" ht="20.100000000000001" customHeight="1" x14ac:dyDescent="0.2">
      <c r="D139" s="15"/>
      <c r="E139" s="15">
        <f>IFERROR(X_Cell_FarmInputs_FeedRations_DairyCows, 0)</f>
        <v>0</v>
      </c>
      <c r="F139" s="15" cm="1">
        <f t="array" ref="F139">Common_InputFunctions.Utility_LookupValueInTableNumber(D139,Table_SourceData_Scope3_MixedRations[Product],Table_SourceData_Scope3_MixedRations[Emissions intensity])</f>
        <v>0</v>
      </c>
      <c r="G139" s="240">
        <f>((E139 * F139) * 10 ^ -3)</f>
        <v>0</v>
      </c>
      <c r="H139" s="76">
        <v>0</v>
      </c>
      <c r="I139" s="240">
        <f>((E139 * (IF(H139,H139, F139))) * 10 ^ -3)</f>
        <v>0</v>
      </c>
      <c r="J139" s="34"/>
      <c r="K139" s="13"/>
      <c r="L139" s="34"/>
    </row>
    <row r="140" spans="4:28" ht="20.100000000000001" customHeight="1" x14ac:dyDescent="0.2">
      <c r="D140" s="15"/>
      <c r="E140" s="15">
        <f>IFERROR(X_Cell_FarmInputs_FeedRations_Pigs, 0)</f>
        <v>0</v>
      </c>
      <c r="F140" s="15" cm="1">
        <f t="array" ref="F140">Common_InputFunctions.Utility_LookupValueInTableNumber(D140,Table_SourceData_Scope3_MixedRations[Product],Table_SourceData_Scope3_MixedRations[Emissions intensity])</f>
        <v>0</v>
      </c>
      <c r="G140" s="240">
        <f>((E140 * F140) * 10 ^ -3)</f>
        <v>0</v>
      </c>
      <c r="H140" s="76">
        <v>0</v>
      </c>
      <c r="I140" s="240">
        <f>((E140 * (IF(H140,H140, F140))) * 10 ^ -3)</f>
        <v>0</v>
      </c>
      <c r="J140" s="34"/>
      <c r="K140" s="13"/>
      <c r="L140" s="34"/>
    </row>
    <row r="142" spans="4:28" ht="20.100000000000001" customHeight="1" x14ac:dyDescent="0.2">
      <c r="D142" s="90" t="s">
        <v>859</v>
      </c>
      <c r="E142" s="85">
        <f>SUM(G137:G140)</f>
        <v>0</v>
      </c>
      <c r="F142" s="91" t="str">
        <f>$E$105</f>
        <v>t CO2e</v>
      </c>
    </row>
    <row r="143" spans="4:28" ht="20.100000000000001" customHeight="1" x14ac:dyDescent="0.2">
      <c r="D143" s="90" t="s">
        <v>862</v>
      </c>
      <c r="E143" s="85">
        <f>SUM(I137:I140)</f>
        <v>0</v>
      </c>
      <c r="F143" s="91" t="str">
        <f>$E$105</f>
        <v>t CO2e</v>
      </c>
    </row>
    <row r="146" spans="1:12" ht="20.100000000000001" customHeight="1" x14ac:dyDescent="0.2">
      <c r="D146" s="233" t="s">
        <v>899</v>
      </c>
    </row>
    <row r="147" spans="1:12" ht="20.100000000000001" customHeight="1" x14ac:dyDescent="0.2">
      <c r="D147" s="80" t="s">
        <v>132</v>
      </c>
      <c r="E147" s="80" t="s">
        <v>887</v>
      </c>
      <c r="F147" s="138" t="s">
        <v>888</v>
      </c>
      <c r="G147" s="138" t="s">
        <v>859</v>
      </c>
      <c r="H147" s="80" t="s">
        <v>889</v>
      </c>
      <c r="I147" s="138" t="s">
        <v>862</v>
      </c>
      <c r="J147" s="80" t="s">
        <v>863</v>
      </c>
      <c r="K147" s="80" t="s">
        <v>864</v>
      </c>
      <c r="L147" s="80" t="s">
        <v>865</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0">
        <f>((E148 * F148) * 10 ^ -3)</f>
        <v>0</v>
      </c>
      <c r="H148" s="76">
        <v>0.2</v>
      </c>
      <c r="I148" s="240">
        <f>((E148 * (IF(H148,H148, F148))) * 10 ^ -3)</f>
        <v>0</v>
      </c>
      <c r="J148" s="34"/>
      <c r="K148" s="34"/>
      <c r="L148" s="34"/>
    </row>
    <row r="149" spans="1:12" ht="20.100000000000001" customHeight="1" x14ac:dyDescent="0.2">
      <c r="A149" s="81" t="str">
        <f>HYPERLINK("#A1", "▲ Back to top")</f>
        <v>▲ Back to top</v>
      </c>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0">
        <f>((E149 * F149) * 10 ^ -3)</f>
        <v>0</v>
      </c>
      <c r="H149" s="76">
        <v>0</v>
      </c>
      <c r="I149" s="240">
        <f>((E149 * (IF(H149,H149, F149))) * 10 ^ -3)</f>
        <v>0</v>
      </c>
      <c r="J149" s="34"/>
      <c r="K149" s="34"/>
      <c r="L149" s="34"/>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0">
        <f>((E150 * F150) * 10 ^ -3)</f>
        <v>0</v>
      </c>
      <c r="H150" s="76">
        <v>0</v>
      </c>
      <c r="I150" s="240">
        <f>((E150 * (IF(H150,H150, F150))) * 10 ^ -3)</f>
        <v>0</v>
      </c>
      <c r="J150" s="34"/>
      <c r="K150" s="34"/>
      <c r="L150" s="34"/>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0">
        <f>((E151 * F151) * 10 ^ -3)</f>
        <v>0</v>
      </c>
      <c r="H151" s="76">
        <v>0</v>
      </c>
      <c r="I151" s="240">
        <f>((E151 * (IF(H151,H151, F151))) * 10 ^ -3)</f>
        <v>0</v>
      </c>
      <c r="J151" s="34"/>
      <c r="K151" s="34"/>
      <c r="L151" s="34"/>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0">
        <f>((E152 * F152) * 10 ^ -3)</f>
        <v>0</v>
      </c>
      <c r="H152" s="76">
        <v>0</v>
      </c>
      <c r="I152" s="240">
        <f>((E152 * (IF(H152,H152, F152))) * 10 ^ -3)</f>
        <v>0</v>
      </c>
      <c r="J152" s="34"/>
      <c r="K152" s="34"/>
      <c r="L152" s="34"/>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0">
        <f>((E153 * F153) * 10 ^ -3)</f>
        <v>0</v>
      </c>
      <c r="H153" s="76">
        <v>0</v>
      </c>
      <c r="I153" s="240">
        <f>((E153 * (IF(H153,H153, F153))) * 10 ^ -3)</f>
        <v>0</v>
      </c>
      <c r="J153" s="34"/>
      <c r="K153" s="34"/>
      <c r="L153" s="34"/>
    </row>
    <row r="155" spans="1:12" ht="20.100000000000001" customHeight="1" x14ac:dyDescent="0.2">
      <c r="D155" s="90" t="s">
        <v>859</v>
      </c>
      <c r="E155" s="85">
        <f>SUM(G148:G153)</f>
        <v>0</v>
      </c>
      <c r="F155" s="91" t="str">
        <f>$E$105</f>
        <v>t CO2e</v>
      </c>
    </row>
    <row r="156" spans="1:12" ht="20.100000000000001" customHeight="1" x14ac:dyDescent="0.2">
      <c r="D156" s="90" t="s">
        <v>862</v>
      </c>
      <c r="E156" s="85">
        <f>SUM(I148:I153)</f>
        <v>0</v>
      </c>
      <c r="F156" s="91" t="str">
        <f>$E$105</f>
        <v>t CO2e</v>
      </c>
    </row>
    <row r="159" spans="1:12" ht="20.100000000000001" customHeight="1" x14ac:dyDescent="0.2">
      <c r="D159" s="87" t="s">
        <v>859</v>
      </c>
      <c r="E159" s="88">
        <f>E131+E142+E155</f>
        <v>0</v>
      </c>
      <c r="F159" s="97" t="str">
        <f>$E$105</f>
        <v>t CO2e</v>
      </c>
    </row>
    <row r="160" spans="1:12" ht="20.100000000000001" customHeight="1" x14ac:dyDescent="0.2">
      <c r="D160" s="87" t="s">
        <v>862</v>
      </c>
      <c r="E160" s="88">
        <f>E132+E143+E156</f>
        <v>0</v>
      </c>
      <c r="F160" s="97" t="str">
        <f>$E$105</f>
        <v>t CO2e</v>
      </c>
    </row>
    <row r="163" spans="3:41" ht="20.100000000000001" customHeight="1" x14ac:dyDescent="0.2">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row>
    <row r="164" spans="3:41" ht="20.100000000000001" customHeight="1" x14ac:dyDescent="0.2">
      <c r="D164" s="2" t="s">
        <v>1375</v>
      </c>
    </row>
    <row r="165" spans="3:41" ht="20.100000000000001" customHeight="1" x14ac:dyDescent="0.2">
      <c r="D165" s="17" t="s">
        <v>1376</v>
      </c>
    </row>
    <row r="166" spans="3:41" ht="20.100000000000001" customHeight="1" x14ac:dyDescent="0.2">
      <c r="D166" s="134"/>
      <c r="E166" s="134"/>
    </row>
    <row r="168" spans="3:41" ht="20.100000000000001" customHeight="1" x14ac:dyDescent="0.2">
      <c r="F168" s="26" t="s">
        <v>1369</v>
      </c>
      <c r="H168" s="134"/>
    </row>
    <row r="169" spans="3:41" ht="20.100000000000001" customHeight="1" x14ac:dyDescent="0.2">
      <c r="D169" s="77" t="s">
        <v>371</v>
      </c>
      <c r="E169" s="1" t="s">
        <v>967</v>
      </c>
    </row>
    <row r="170" spans="3:41" ht="20.100000000000001" customHeight="1" x14ac:dyDescent="0.2">
      <c r="D170" s="77" t="s">
        <v>118</v>
      </c>
      <c r="E170" s="9" t="s">
        <v>7</v>
      </c>
    </row>
    <row r="172" spans="3:41" ht="20.100000000000001" customHeight="1" x14ac:dyDescent="0.2">
      <c r="D172" s="150" t="s">
        <v>1377</v>
      </c>
      <c r="E172" s="147" t="s">
        <v>1378</v>
      </c>
      <c r="F172" s="159"/>
      <c r="G172" s="150" t="s">
        <v>370</v>
      </c>
      <c r="H172" s="238" t="s">
        <v>1034</v>
      </c>
    </row>
    <row r="173" spans="3:41" ht="20.100000000000001" customHeight="1" x14ac:dyDescent="0.2">
      <c r="D173" s="150" t="s">
        <v>1379</v>
      </c>
      <c r="E173" s="147" t="s">
        <v>1380</v>
      </c>
      <c r="F173" s="159"/>
      <c r="G173" s="150" t="s">
        <v>1366</v>
      </c>
      <c r="H173" s="238" t="s">
        <v>1036</v>
      </c>
    </row>
    <row r="174" spans="3:41" ht="20.100000000000001" customHeight="1" x14ac:dyDescent="0.2">
      <c r="D174" s="150" t="s">
        <v>1299</v>
      </c>
      <c r="E174" s="147" t="s">
        <v>1381</v>
      </c>
      <c r="F174" s="159"/>
      <c r="G174" s="150"/>
      <c r="H174" s="142" t="s">
        <v>1034</v>
      </c>
    </row>
    <row r="176" spans="3:41" ht="20.100000000000001" customHeight="1" x14ac:dyDescent="0.2">
      <c r="D176" s="80" t="s">
        <v>132</v>
      </c>
      <c r="E176" s="80" t="s">
        <v>900</v>
      </c>
      <c r="F176" s="138" t="s">
        <v>901</v>
      </c>
      <c r="G176" s="138" t="s">
        <v>859</v>
      </c>
      <c r="H176" s="80" t="s">
        <v>902</v>
      </c>
      <c r="I176" s="138" t="s">
        <v>862</v>
      </c>
      <c r="J176" s="80" t="s">
        <v>863</v>
      </c>
      <c r="K176" s="80" t="s">
        <v>864</v>
      </c>
      <c r="L176" s="80" t="s">
        <v>865</v>
      </c>
    </row>
    <row r="177" spans="1:41" ht="20.100000000000001" customHeight="1" x14ac:dyDescent="0.2">
      <c r="D177" s="15"/>
      <c r="E177" s="15">
        <f>IFERROR(X_Cell_FarmInputs_LickBlocks_DrySeasonMix, 0)</f>
        <v>0</v>
      </c>
      <c r="F177" s="15" cm="1">
        <f t="array" ref="F177">Common_InputFunctions.Utility_LookupValueInTableNumber(D177,Table_SourceData_Scope3_LickBlocks[Product],Table_SourceData_Scope3_LickBlocks[Emissions intensity])</f>
        <v>0</v>
      </c>
      <c r="G177" s="240">
        <f>((E177 * F177) * 10 ^ -3)</f>
        <v>0</v>
      </c>
      <c r="H177" s="76">
        <v>0.8</v>
      </c>
      <c r="I177" s="240">
        <f>((E177 * (IF(H177, H177, F177))) * 10 ^ -3)</f>
        <v>0</v>
      </c>
      <c r="J177" s="34"/>
      <c r="K177" s="13"/>
      <c r="L177" s="34"/>
    </row>
    <row r="178" spans="1:41" ht="20.100000000000001" customHeight="1" x14ac:dyDescent="0.2">
      <c r="D178" s="15"/>
      <c r="E178" s="15">
        <f>IFERROR(X_Cell_FarmInputs_LickBlocks_Mineral, 0)</f>
        <v>0</v>
      </c>
      <c r="F178" s="15" cm="1">
        <f t="array" ref="F178">Common_InputFunctions.Utility_LookupValueInTableNumber(D178,Table_SourceData_Scope3_LickBlocks[Product],Table_SourceData_Scope3_LickBlocks[Emissions intensity])</f>
        <v>0</v>
      </c>
      <c r="G178" s="240">
        <f>((E178 * F178) * 10 ^ -3)</f>
        <v>0</v>
      </c>
      <c r="H178" s="76">
        <v>0.6</v>
      </c>
      <c r="I178" s="240">
        <f>((E178 * (IF(H178, H178, F178))) * 10 ^ -3)</f>
        <v>0</v>
      </c>
      <c r="J178" s="34"/>
      <c r="K178" s="13"/>
      <c r="L178" s="34"/>
    </row>
    <row r="179" spans="1:41" ht="20.100000000000001" customHeight="1" x14ac:dyDescent="0.2">
      <c r="A179" s="81" t="str">
        <f>HYPERLINK("#A1", "▲ Back to top")</f>
        <v>▲ Back to top</v>
      </c>
      <c r="D179" s="15"/>
      <c r="E179" s="15">
        <f>IFERROR(X_Cell_FarmInputs_LickBlocks_Weaner, 0)</f>
        <v>0</v>
      </c>
      <c r="F179" s="15" cm="1">
        <f t="array" ref="F179">Common_InputFunctions.Utility_LookupValueInTableNumber(D179,Table_SourceData_Scope3_LickBlocks[Product],Table_SourceData_Scope3_LickBlocks[Emissions intensity])</f>
        <v>0</v>
      </c>
      <c r="G179" s="240">
        <f>((E179 * F179) * 10 ^ -3)</f>
        <v>0</v>
      </c>
      <c r="H179" s="76">
        <v>0.2</v>
      </c>
      <c r="I179" s="240">
        <f>((E179 * (IF(H179, H179, F179))) * 10 ^ -3)</f>
        <v>0</v>
      </c>
      <c r="J179" s="34"/>
      <c r="K179" s="13"/>
      <c r="L179" s="34"/>
    </row>
    <row r="181" spans="1:41" ht="20.100000000000001" customHeight="1" x14ac:dyDescent="0.2">
      <c r="D181" s="87" t="s">
        <v>859</v>
      </c>
      <c r="E181" s="88">
        <f>SUM(G177:G179)</f>
        <v>0</v>
      </c>
      <c r="F181" s="97" t="str">
        <f>$E$170</f>
        <v>t CO2e</v>
      </c>
    </row>
    <row r="182" spans="1:41" ht="20.100000000000001" customHeight="1" x14ac:dyDescent="0.2">
      <c r="D182" s="87" t="s">
        <v>862</v>
      </c>
      <c r="E182" s="88">
        <f>SUM(I177:I179)</f>
        <v>0</v>
      </c>
      <c r="F182" s="97" t="str">
        <f>$E$170</f>
        <v>t CO2e</v>
      </c>
    </row>
    <row r="185" spans="1:41" ht="20.100000000000001" customHeight="1" x14ac:dyDescent="0.2">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row>
    <row r="186" spans="1:41" ht="20.100000000000001" customHeight="1" x14ac:dyDescent="0.2">
      <c r="D186" s="2" t="s">
        <v>1382</v>
      </c>
    </row>
    <row r="187" spans="1:41" ht="20.100000000000001" customHeight="1" x14ac:dyDescent="0.2">
      <c r="D187" s="17" t="s">
        <v>1383</v>
      </c>
    </row>
    <row r="188" spans="1:41" ht="20.100000000000001" customHeight="1" x14ac:dyDescent="0.2">
      <c r="D188" s="26" t="s">
        <v>1384</v>
      </c>
    </row>
    <row r="189" spans="1:41" ht="20.100000000000001" customHeight="1" x14ac:dyDescent="0.2">
      <c r="D189" s="134"/>
      <c r="E189" s="134"/>
    </row>
    <row r="192" spans="1:41" ht="20.100000000000001" customHeight="1" x14ac:dyDescent="0.2">
      <c r="D192" s="77" t="s">
        <v>371</v>
      </c>
      <c r="E192" s="1" t="s">
        <v>1385</v>
      </c>
    </row>
    <row r="193" spans="4:8" ht="20.100000000000001" customHeight="1" x14ac:dyDescent="0.2">
      <c r="D193" s="77" t="s">
        <v>118</v>
      </c>
      <c r="E193" s="9" t="s">
        <v>1386</v>
      </c>
    </row>
    <row r="195" spans="4:8" ht="20.100000000000001" customHeight="1" x14ac:dyDescent="0.2">
      <c r="D195" s="150" t="s">
        <v>1387</v>
      </c>
      <c r="E195" s="147" t="s">
        <v>1388</v>
      </c>
      <c r="F195" s="159"/>
      <c r="G195" s="150" t="s">
        <v>1393</v>
      </c>
      <c r="H195" s="238" t="s">
        <v>1034</v>
      </c>
    </row>
    <row r="196" spans="4:8" ht="20.100000000000001" customHeight="1" x14ac:dyDescent="0.2">
      <c r="D196" s="150" t="s">
        <v>1389</v>
      </c>
      <c r="E196" s="147" t="s">
        <v>1390</v>
      </c>
      <c r="F196" s="159"/>
      <c r="G196" s="150" t="s">
        <v>1394</v>
      </c>
      <c r="H196" s="142" t="s">
        <v>1036</v>
      </c>
    </row>
    <row r="197" spans="4:8" ht="20.100000000000001" customHeight="1" x14ac:dyDescent="0.2">
      <c r="D197" s="150" t="s">
        <v>1069</v>
      </c>
      <c r="E197" s="147" t="s">
        <v>1391</v>
      </c>
      <c r="F197" s="159"/>
      <c r="G197" s="150"/>
      <c r="H197" s="238" t="s">
        <v>1034</v>
      </c>
    </row>
    <row r="198" spans="4:8" ht="20.100000000000001" customHeight="1" x14ac:dyDescent="0.2">
      <c r="D198" s="150" t="s">
        <v>1045</v>
      </c>
      <c r="E198" s="147" t="s">
        <v>1392</v>
      </c>
      <c r="F198" s="159"/>
      <c r="G198" s="150"/>
      <c r="H198" s="238" t="s">
        <v>1034</v>
      </c>
    </row>
    <row r="201" spans="4:8" ht="20.100000000000001" customHeight="1" x14ac:dyDescent="0.2">
      <c r="D201" s="2" t="s">
        <v>1395</v>
      </c>
    </row>
    <row r="202" spans="4:8" ht="20.100000000000001" customHeight="1" x14ac:dyDescent="0.2">
      <c r="D202" s="17" t="s">
        <v>1396</v>
      </c>
    </row>
    <row r="203" spans="4:8" ht="20.100000000000001" customHeight="1" x14ac:dyDescent="0.2">
      <c r="D203" s="134"/>
      <c r="E203" s="134"/>
    </row>
    <row r="206" spans="4:8" ht="20.100000000000001" customHeight="1" x14ac:dyDescent="0.2">
      <c r="D206" s="77" t="s">
        <v>371</v>
      </c>
      <c r="E206" s="1" t="s">
        <v>967</v>
      </c>
    </row>
    <row r="207" spans="4:8" ht="20.100000000000001" customHeight="1" x14ac:dyDescent="0.2">
      <c r="D207" s="77" t="s">
        <v>118</v>
      </c>
      <c r="E207" s="9" t="s">
        <v>7</v>
      </c>
    </row>
    <row r="209" spans="1:8" ht="20.100000000000001" customHeight="1" x14ac:dyDescent="0.2">
      <c r="A209" s="81" t="str">
        <f>HYPERLINK("#A1", "▲ Back to top")</f>
        <v>▲ Back to top</v>
      </c>
      <c r="D209" s="150" t="s">
        <v>1030</v>
      </c>
      <c r="E209" s="150" t="s">
        <v>1397</v>
      </c>
      <c r="F209" s="150"/>
      <c r="G209" s="150" t="s">
        <v>370</v>
      </c>
      <c r="H209" s="238" t="s">
        <v>1034</v>
      </c>
    </row>
    <row r="210" spans="1:8" ht="20.100000000000001" customHeight="1" x14ac:dyDescent="0.2">
      <c r="D210" s="150" t="s">
        <v>1385</v>
      </c>
      <c r="E210" s="150" t="s">
        <v>1398</v>
      </c>
      <c r="F210" s="150"/>
      <c r="G210" s="150" t="s">
        <v>1366</v>
      </c>
      <c r="H210" s="142" t="s">
        <v>1036</v>
      </c>
    </row>
    <row r="211" spans="1:8" ht="20.100000000000001" customHeight="1" x14ac:dyDescent="0.2">
      <c r="D211" s="150" t="s">
        <v>1053</v>
      </c>
      <c r="E211" s="147" t="s">
        <v>1158</v>
      </c>
      <c r="F211" s="159"/>
      <c r="G211" s="150"/>
      <c r="H211" s="238" t="s">
        <v>1034</v>
      </c>
    </row>
    <row r="212" spans="1:8" ht="20.100000000000001" customHeight="1" x14ac:dyDescent="0.2">
      <c r="D212" s="150" t="s">
        <v>1045</v>
      </c>
      <c r="E212" s="147" t="s">
        <v>1392</v>
      </c>
      <c r="F212" s="159"/>
      <c r="G212" s="150"/>
      <c r="H212" s="238" t="s">
        <v>1034</v>
      </c>
    </row>
    <row r="215" spans="1:8" ht="20.100000000000001" customHeight="1" x14ac:dyDescent="0.2">
      <c r="D215" s="2" t="s">
        <v>1399</v>
      </c>
    </row>
    <row r="216" spans="1:8" ht="20.100000000000001" customHeight="1" x14ac:dyDescent="0.2">
      <c r="D216" s="17" t="s">
        <v>1400</v>
      </c>
    </row>
    <row r="217" spans="1:8" ht="20.100000000000001" customHeight="1" x14ac:dyDescent="0.2">
      <c r="D217" s="26" t="s">
        <v>1401</v>
      </c>
    </row>
    <row r="218" spans="1:8" ht="20.100000000000001" customHeight="1" x14ac:dyDescent="0.2">
      <c r="D218" s="134"/>
      <c r="E218" s="134"/>
    </row>
    <row r="221" spans="1:8" ht="20.100000000000001" customHeight="1" x14ac:dyDescent="0.2">
      <c r="D221" s="77" t="s">
        <v>371</v>
      </c>
      <c r="E221" s="1" t="s">
        <v>967</v>
      </c>
    </row>
    <row r="222" spans="1:8" ht="20.100000000000001" customHeight="1" x14ac:dyDescent="0.2">
      <c r="D222" s="77" t="s">
        <v>118</v>
      </c>
      <c r="E222" s="9" t="s">
        <v>7</v>
      </c>
    </row>
    <row r="224" spans="1:8" ht="20.100000000000001" customHeight="1" x14ac:dyDescent="0.2">
      <c r="D224" s="150" t="s">
        <v>1387</v>
      </c>
      <c r="E224" s="147" t="s">
        <v>1388</v>
      </c>
      <c r="F224" s="159"/>
      <c r="G224" s="150" t="s">
        <v>1393</v>
      </c>
      <c r="H224" s="238" t="s">
        <v>1034</v>
      </c>
    </row>
    <row r="225" spans="1:40" ht="20.100000000000001" customHeight="1" x14ac:dyDescent="0.2">
      <c r="D225" s="150" t="s">
        <v>1030</v>
      </c>
      <c r="E225" s="147" t="s">
        <v>1397</v>
      </c>
      <c r="F225" s="159"/>
      <c r="G225" s="150" t="s">
        <v>370</v>
      </c>
      <c r="H225" s="142" t="s">
        <v>1034</v>
      </c>
    </row>
    <row r="226" spans="1:40" ht="20.100000000000001" customHeight="1" x14ac:dyDescent="0.2">
      <c r="D226" s="150" t="s">
        <v>1389</v>
      </c>
      <c r="E226" s="147" t="s">
        <v>1390</v>
      </c>
      <c r="F226" s="159"/>
      <c r="G226" s="150" t="s">
        <v>1394</v>
      </c>
      <c r="H226" s="142" t="s">
        <v>1036</v>
      </c>
    </row>
    <row r="227" spans="1:40" ht="20.100000000000001" customHeight="1" x14ac:dyDescent="0.2">
      <c r="D227" s="150" t="s">
        <v>1069</v>
      </c>
      <c r="E227" s="147" t="s">
        <v>1391</v>
      </c>
      <c r="F227" s="159"/>
      <c r="G227" s="150"/>
      <c r="H227" s="238" t="s">
        <v>1034</v>
      </c>
    </row>
    <row r="228" spans="1:40" ht="20.100000000000001" customHeight="1" x14ac:dyDescent="0.2">
      <c r="D228" s="150" t="s">
        <v>1045</v>
      </c>
      <c r="E228" s="147" t="s">
        <v>1392</v>
      </c>
      <c r="F228" s="159"/>
      <c r="G228" s="150"/>
      <c r="H228" s="238" t="s">
        <v>1034</v>
      </c>
    </row>
    <row r="229" spans="1:40" ht="20.100000000000001" customHeight="1" x14ac:dyDescent="0.2">
      <c r="D229" s="150" t="s">
        <v>1053</v>
      </c>
      <c r="E229" s="147" t="s">
        <v>1158</v>
      </c>
      <c r="F229" s="159"/>
      <c r="G229" s="150"/>
      <c r="H229" s="238" t="s">
        <v>1034</v>
      </c>
    </row>
    <row r="231" spans="1:40" ht="20.100000000000001" customHeight="1" x14ac:dyDescent="0.2">
      <c r="D231" s="233" t="s">
        <v>903</v>
      </c>
    </row>
    <row r="233" spans="1:40" ht="20.100000000000001" customHeight="1" x14ac:dyDescent="0.2">
      <c r="D233" s="36" t="s">
        <v>904</v>
      </c>
      <c r="E233" s="38"/>
      <c r="F233" s="39"/>
    </row>
    <row r="235" spans="1:40" ht="20.100000000000001" customHeight="1" x14ac:dyDescent="0.2">
      <c r="D235" s="80" t="s">
        <v>132</v>
      </c>
      <c r="E235" s="80" t="s">
        <v>905</v>
      </c>
      <c r="F235" s="138" t="s">
        <v>906</v>
      </c>
      <c r="G235" s="138" t="s">
        <v>907</v>
      </c>
      <c r="H235" s="138" t="s">
        <v>908</v>
      </c>
      <c r="I235" s="80" t="s">
        <v>909</v>
      </c>
      <c r="J235" s="138" t="s">
        <v>910</v>
      </c>
      <c r="K235" s="138" t="s">
        <v>911</v>
      </c>
      <c r="L235" s="80" t="s">
        <v>863</v>
      </c>
      <c r="M235" s="80" t="s">
        <v>864</v>
      </c>
      <c r="N235" s="80" t="s">
        <v>865</v>
      </c>
      <c r="O235" s="138" t="s">
        <v>323</v>
      </c>
      <c r="P235" s="138" t="s">
        <v>324</v>
      </c>
      <c r="Q235" s="138" t="s">
        <v>308</v>
      </c>
      <c r="R235" s="138" t="s">
        <v>309</v>
      </c>
      <c r="S235" s="138" t="s">
        <v>912</v>
      </c>
      <c r="T235" s="80" t="s">
        <v>913</v>
      </c>
      <c r="U235" s="138" t="s">
        <v>310</v>
      </c>
      <c r="V235" s="138" t="s">
        <v>311</v>
      </c>
      <c r="W235" s="138" t="s">
        <v>914</v>
      </c>
      <c r="X235" s="80" t="s">
        <v>915</v>
      </c>
      <c r="Y235" s="138" t="s">
        <v>312</v>
      </c>
      <c r="Z235" s="138" t="s">
        <v>313</v>
      </c>
      <c r="AA235" s="138" t="s">
        <v>916</v>
      </c>
      <c r="AB235" s="80" t="s">
        <v>917</v>
      </c>
      <c r="AC235" s="138" t="s">
        <v>314</v>
      </c>
      <c r="AD235" s="138" t="s">
        <v>315</v>
      </c>
      <c r="AE235" s="138" t="s">
        <v>918</v>
      </c>
      <c r="AF235" s="80" t="s">
        <v>919</v>
      </c>
      <c r="AG235" s="138" t="s">
        <v>316</v>
      </c>
      <c r="AH235" s="138" t="s">
        <v>317</v>
      </c>
      <c r="AI235" s="138" t="s">
        <v>920</v>
      </c>
      <c r="AJ235" s="80" t="s">
        <v>921</v>
      </c>
      <c r="AK235" s="138" t="s">
        <v>318</v>
      </c>
      <c r="AL235" s="138" t="s">
        <v>319</v>
      </c>
      <c r="AM235" s="138" t="s">
        <v>922</v>
      </c>
      <c r="AN235" s="80" t="s">
        <v>923</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100000</v>
      </c>
      <c r="F236" s="15">
        <f>(R236 * S236)+
(V236 * W236)+
(Z236 * AA236)+
(AD236 * AE236)+
(AH236 * AI236)+
(AL236 * AM236)</f>
        <v>0</v>
      </c>
      <c r="G236" s="240">
        <f>((E236 * F236) * 10 ^ -3)</f>
        <v>0</v>
      </c>
      <c r="H236" s="15">
        <f>((R236 * $E236) * S236 * 10 ^ -3)+
((V236 * $E236) * W236 * 10 ^ -3)+
((Z236 * $E236) * AA236 * 10 ^ -3)+
((AD236 * $E236) * AE236 * 10 ^ -3)+
((AH236 * $E236) * AI236 * 10 ^ -3)+
((AL236 * $E236) * AM236 * 10 ^ -3)</f>
        <v>0</v>
      </c>
      <c r="I236" s="76">
        <v>0.4</v>
      </c>
      <c r="J236" s="240">
        <f>((E236 * I236) * 10 ^ -3)</f>
        <v>40</v>
      </c>
      <c r="K236" s="240">
        <f>((R236 * $E236) * (IF(T236,T236,S236)) * 10 ^ -3)+
((V236 * $E236) * (IF(X236,X236,W236)) * 10 ^ -3)+
((Z236 * $E236) * (IF(AB236,AB236,AA236)) * 10 ^ -3)+
((AD236 * $E236) * (IF(AF236,AF236,AE236)) * 10 ^ -3)+
((AH236 * $E236) * (IF(AJ236,AJ236,AI236)) * 10 ^ -3)+
((AL236 * $E236) * (IF(AN236,AN236,AM236)) * 10 ^ -3)</f>
        <v>90</v>
      </c>
      <c r="L236" s="34"/>
      <c r="M236" s="13"/>
      <c r="N236"/>
      <c r="O236" s="15" cm="1">
        <f t="array" ref="O236:O245">IFERROR(INDEX(Table_Input_InorganicFertiliser_Brands[Urea source], _xlfn.SEQUENCE(10)), "")</f>
        <v>0</v>
      </c>
      <c r="P236" s="15" cm="1">
        <f t="array" ref="P236:P245">IFERROR(INDEX(Table_Input_InorganicFertiliser_Brands[Ammonia source], _xlfn.SEQUENCE(10)), "")</f>
        <v>0</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6">
        <v>0.9</v>
      </c>
      <c r="U236" s="15" cm="1">
        <f t="array" ref="U236:U245">IFERROR(INDEX(Table_Input_InorganicFertiliser_Brands[Ingredient 2], _xlfn.SEQUENCE(10)), "")</f>
        <v>0</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cm="1">
        <f t="array" ref="Y236:Y245">IFERROR(INDEX(Table_Input_InorganicFertiliser_Brands[Ingredient 3], _xlfn.SEQUENCE(10)), "")</f>
        <v>0</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cm="1">
        <f t="array" ref="AC236:AC245">IFERROR(INDEX(Table_Input_InorganicFertiliser_Brands[Ingredient 4], _xlfn.SEQUENCE(10)), "")</f>
        <v>0</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cm="1">
        <f t="array" ref="AG236:AG245">IFERROR(INDEX(Table_Input_InorganicFertiliser_Brands[Ingredient 5], _xlfn.SEQUENCE(10)), "")</f>
        <v>0</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cm="1">
        <f t="array" ref="AK236:AK245">IFERROR(INDEX(Table_Input_InorganicFertiliser_Brands[Ingredient 6], _xlfn.SEQUENCE(10)), "")</f>
        <v>0</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1:40" ht="20.100000000000001" customHeight="1" x14ac:dyDescent="0.2">
      <c r="D237" s="15" t="str">
        <v>Boost-It</v>
      </c>
      <c r="E237" s="15">
        <v>100000</v>
      </c>
      <c r="F237" s="15">
        <f>(R237 * S237)+
(V237 * W237)+
(Z237 * AA237)+
(AD237 * AE237)+
(AH237 * AI237)+
(AL237 * AM237)</f>
        <v>0.41114000000000001</v>
      </c>
      <c r="G237" s="240">
        <f>((E237 * F237) * 10 ^ -3)</f>
        <v>41.114000000000004</v>
      </c>
      <c r="H237" s="15">
        <f>((R237 * $E237) * S237 * 10 ^ -3)+
((V237 * $E237) * W237 * 10 ^ -3)+
((Z237 * $E237) * AA237 * 10 ^ -3)+
((AD237 * $E237) * AE237 * 10 ^ -3)+
((AH237 * $E237) * AI237 * 10 ^ -3)+
((AL237 * $E237) * AM237 * 10 ^ -3)</f>
        <v>41.113999999999997</v>
      </c>
      <c r="I237" s="76">
        <v>0.9</v>
      </c>
      <c r="J237" s="240">
        <f>((E237 * I237) * 10 ^ -3)</f>
        <v>90</v>
      </c>
      <c r="K237" s="240">
        <f>((R237 * $E237) * (IF(T237,T237,S237)) * 10 ^ -3)+
((V237 * $E237) * (IF(X237,X237,W237)) * 10 ^ -3)+
((Z237 * $E237) * (IF(AB237,AB237,AA237)) * 10 ^ -3)+
((AD237 * $E237) * (IF(AF237,AF237,AE237)) * 10 ^ -3)+
((AH237 * $E237) * (IF(AJ237,AJ237,AI237)) * 10 ^ -3)+
((AL237 * $E237) * (IF(AN237,AN237,AM237)) * 10 ^ -3)</f>
        <v>41.113999999999997</v>
      </c>
      <c r="L237" s="34"/>
      <c r="M237" s="13"/>
      <c r="N237" s="34"/>
      <c r="O237" s="15">
        <v>0</v>
      </c>
      <c r="P237" s="15">
        <v>0</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1:40" ht="20.100000000000001" customHeight="1" x14ac:dyDescent="0.2">
      <c r="D238" s="15" t="str">
        <v>Cal-Gran 50/50</v>
      </c>
      <c r="E238" s="15">
        <v>100000</v>
      </c>
      <c r="F238" s="15">
        <f>(R238 * S238)+
(V238 * W238)+
(Z238 * AA238)+
(AD238 * AE238)+
(AH238 * AI238)+
(AL238 * AM238)</f>
        <v>0.8781199999999999</v>
      </c>
      <c r="G238" s="240">
        <f>((E238 * F238) * 10 ^ -3)</f>
        <v>87.811999999999983</v>
      </c>
      <c r="H238" s="15">
        <f>((R238 * $E238) * S238 * 10 ^ -3)+
((V238 * $E238) * W238 * 10 ^ -3)+
((Z238 * $E238) * AA238 * 10 ^ -3)+
((AD238 * $E238) * AE238 * 10 ^ -3)+
((AH238 * $E238) * AI238 * 10 ^ -3)+
((AL238 * $E238) * AM238 * 10 ^ -3)</f>
        <v>87.811999999999998</v>
      </c>
      <c r="I238" s="76">
        <v>0.4</v>
      </c>
      <c r="J238" s="240">
        <f>((E238 * I238) * 10 ^ -3)</f>
        <v>40</v>
      </c>
      <c r="K238" s="240">
        <f>((R238 * $E238) * (IF(T238,T238,S238)) * 10 ^ -3)+
((V238 * $E238) * (IF(X238,X238,W238)) * 10 ^ -3)+
((Z238 * $E238) * (IF(AB238,AB238,AA238)) * 10 ^ -3)+
((AD238 * $E238) * (IF(AF238,AF238,AE238)) * 10 ^ -3)+
((AH238 * $E238) * (IF(AJ238,AJ238,AI238)) * 10 ^ -3)+
((AL238 * $E238) * (IF(AN238,AN238,AM238)) * 10 ^ -3)</f>
        <v>87.811999999999998</v>
      </c>
      <c r="L238" s="34"/>
      <c r="M238" s="13"/>
      <c r="N238" s="34"/>
      <c r="O238" s="15">
        <v>0</v>
      </c>
      <c r="P238" s="15">
        <v>0</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v>0</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1:40" ht="20.100000000000001" customHeight="1" x14ac:dyDescent="0.2">
      <c r="A239" s="81" t="str">
        <f>HYPERLINK("#A1", "▲ Back to top")</f>
        <v>▲ Back to top</v>
      </c>
      <c r="D239" s="15">
        <v>0</v>
      </c>
      <c r="E239" s="15">
        <v>0</v>
      </c>
      <c r="F239" s="15">
        <f>(R239 * S239)+
(V239 * W239)+
(Z239 * AA239)+
(AD239 * AE239)+
(AH239 * AI239)+
(AL239 * AM239)</f>
        <v>0</v>
      </c>
      <c r="G239" s="240">
        <f>((E239 * F239) * 10 ^ -3)</f>
        <v>0</v>
      </c>
      <c r="H239" s="15">
        <f>((R239 * $E239) * S239 * 10 ^ -3)+
((V239 * $E239) * W239 * 10 ^ -3)+
((Z239 * $E239) * AA239 * 10 ^ -3)+
((AD239 * $E239) * AE239 * 10 ^ -3)+
((AH239 * $E239) * AI239 * 10 ^ -3)+
((AL239 * $E239) * AM239 * 10 ^ -3)</f>
        <v>0</v>
      </c>
      <c r="I239" s="76"/>
      <c r="J239" s="240">
        <f>((E239 * I239) * 10 ^ -3)</f>
        <v>0</v>
      </c>
      <c r="K239" s="240">
        <f>((R239 * $E239) * (IF(T239,T239,S239)) * 10 ^ -3)+
((V239 * $E239) * (IF(X239,X239,W239)) * 10 ^ -3)+
((Z239 * $E239) * (IF(AB239,AB239,AA239)) * 10 ^ -3)+
((AD239 * $E239) * (IF(AF239,AF239,AE239)) * 10 ^ -3)+
((AH239 * $E239) * (IF(AJ239,AJ239,AI239)) * 10 ^ -3)+
((AL239 * $E239) * (IF(AN239,AN239,AM239)) * 10 ^ -3)</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1:40" ht="20.100000000000001" customHeight="1" x14ac:dyDescent="0.2">
      <c r="D240" s="15">
        <v>0</v>
      </c>
      <c r="E240" s="15">
        <v>0</v>
      </c>
      <c r="F240" s="15">
        <f>(R240 * S240)+
(V240 * W240)+
(Z240 * AA240)+
(AD240 * AE240)+
(AH240 * AI240)+
(AL240 * AM240)</f>
        <v>0</v>
      </c>
      <c r="G240" s="240">
        <f>((E240 * F240) * 10 ^ -3)</f>
        <v>0</v>
      </c>
      <c r="H240" s="15">
        <f>((R240 * $E240) * S240 * 10 ^ -3)+
((V240 * $E240) * W240 * 10 ^ -3)+
((Z240 * $E240) * AA240 * 10 ^ -3)+
((AD240 * $E240) * AE240 * 10 ^ -3)+
((AH240 * $E240) * AI240 * 10 ^ -3)+
((AL240 * $E240) * AM240 * 10 ^ -3)</f>
        <v>0</v>
      </c>
      <c r="I240" s="76"/>
      <c r="J240" s="240">
        <f>((E240 * I240) * 10 ^ -3)</f>
        <v>0</v>
      </c>
      <c r="K240" s="240">
        <f>((R240 * $E240) * (IF(T240,T240,S240)) * 10 ^ -3)+
((V240 * $E240) * (IF(X240,X240,W240)) * 10 ^ -3)+
((Z240 * $E240) * (IF(AB240,AB240,AA240)) * 10 ^ -3)+
((AD240 * $E240) * (IF(AF240,AF240,AE240)) * 10 ^ -3)+
((AH240 * $E240) * (IF(AJ240,AJ240,AI240)) * 10 ^ -3)+
((AL240 * $E240) * (IF(AN240,AN240,AM240)) * 10 ^ -3)</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
      <c r="D241" s="15">
        <v>0</v>
      </c>
      <c r="E241" s="15">
        <v>0</v>
      </c>
      <c r="F241" s="15">
        <f>(R241 * S241)+
(V241 * W241)+
(Z241 * AA241)+
(AD241 * AE241)+
(AH241 * AI241)+
(AL241 * AM241)</f>
        <v>0</v>
      </c>
      <c r="G241" s="240">
        <f>((E241 * F241) * 10 ^ -3)</f>
        <v>0</v>
      </c>
      <c r="H241" s="15">
        <f>((R241 * $E241) * S241 * 10 ^ -3)+
((V241 * $E241) * W241 * 10 ^ -3)+
((Z241 * $E241) * AA241 * 10 ^ -3)+
((AD241 * $E241) * AE241 * 10 ^ -3)+
((AH241 * $E241) * AI241 * 10 ^ -3)+
((AL241 * $E241) * AM241 * 10 ^ -3)</f>
        <v>0</v>
      </c>
      <c r="I241" s="76"/>
      <c r="J241" s="240">
        <f>((E241 * I241) * 10 ^ -3)</f>
        <v>0</v>
      </c>
      <c r="K241" s="240">
        <f>((R241 * $E241) * (IF(T241,T241,S241)) * 10 ^ -3)+
((V241 * $E241) * (IF(X241,X241,W241)) * 10 ^ -3)+
((Z241 * $E241) * (IF(AB241,AB241,AA241)) * 10 ^ -3)+
((AD241 * $E241) * (IF(AF241,AF241,AE241)) * 10 ^ -3)+
((AH241 * $E241) * (IF(AJ241,AJ241,AI241)) * 10 ^ -3)+
((AL241 * $E241) * (IF(AN241,AN241,AM241)) * 10 ^ -3)</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
      <c r="D242" s="15">
        <v>0</v>
      </c>
      <c r="E242" s="15">
        <v>0</v>
      </c>
      <c r="F242" s="15">
        <f>(R242 * S242)+
(V242 * W242)+
(Z242 * AA242)+
(AD242 * AE242)+
(AH242 * AI242)+
(AL242 * AM242)</f>
        <v>0</v>
      </c>
      <c r="G242" s="240">
        <f>((E242 * F242) * 10 ^ -3)</f>
        <v>0</v>
      </c>
      <c r="H242" s="15">
        <f>((R242 * $E242) * S242 * 10 ^ -3)+
((V242 * $E242) * W242 * 10 ^ -3)+
((Z242 * $E242) * AA242 * 10 ^ -3)+
((AD242 * $E242) * AE242 * 10 ^ -3)+
((AH242 * $E242) * AI242 * 10 ^ -3)+
((AL242 * $E242) * AM242 * 10 ^ -3)</f>
        <v>0</v>
      </c>
      <c r="I242" s="76"/>
      <c r="J242" s="240">
        <f>((E242 * I242) * 10 ^ -3)</f>
        <v>0</v>
      </c>
      <c r="K242" s="240">
        <f>((R242 * $E242) * (IF(T242,T242,S242)) * 10 ^ -3)+
((V242 * $E242) * (IF(X242,X242,W242)) * 10 ^ -3)+
((Z242 * $E242) * (IF(AB242,AB242,AA242)) * 10 ^ -3)+
((AD242 * $E242) * (IF(AF242,AF242,AE242)) * 10 ^ -3)+
((AH242 * $E242) * (IF(AJ242,AJ242,AI242)) * 10 ^ -3)+
((AL242 * $E242) * (IF(AN242,AN242,AM242)) * 10 ^ -3)</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
      <c r="D243" s="15">
        <v>0</v>
      </c>
      <c r="E243" s="15">
        <v>0</v>
      </c>
      <c r="F243" s="15">
        <f>(R243 * S243)+
(V243 * W243)+
(Z243 * AA243)+
(AD243 * AE243)+
(AH243 * AI243)+
(AL243 * AM243)</f>
        <v>0</v>
      </c>
      <c r="G243" s="240">
        <f>((E243 * F243) * 10 ^ -3)</f>
        <v>0</v>
      </c>
      <c r="H243" s="15">
        <f>((R243 * $E243) * S243 * 10 ^ -3)+
((V243 * $E243) * W243 * 10 ^ -3)+
((Z243 * $E243) * AA243 * 10 ^ -3)+
((AD243 * $E243) * AE243 * 10 ^ -3)+
((AH243 * $E243) * AI243 * 10 ^ -3)+
((AL243 * $E243) * AM243 * 10 ^ -3)</f>
        <v>0</v>
      </c>
      <c r="I243" s="76"/>
      <c r="J243" s="240">
        <f>((E243 * I243) * 10 ^ -3)</f>
        <v>0</v>
      </c>
      <c r="K243" s="240">
        <f>((R243 * $E243) * (IF(T243,T243,S243)) * 10 ^ -3)+
((V243 * $E243) * (IF(X243,X243,W243)) * 10 ^ -3)+
((Z243 * $E243) * (IF(AB243,AB243,AA243)) * 10 ^ -3)+
((AD243 * $E243) * (IF(AF243,AF243,AE243)) * 10 ^ -3)+
((AH243 * $E243) * (IF(AJ243,AJ243,AI243)) * 10 ^ -3)+
((AL243 * $E243) * (IF(AN243,AN243,AM243)) * 10 ^ -3)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
      <c r="D244" s="15">
        <v>0</v>
      </c>
      <c r="E244" s="15">
        <v>0</v>
      </c>
      <c r="F244" s="15">
        <f>(R244 * S244)+
(V244 * W244)+
(Z244 * AA244)+
(AD244 * AE244)+
(AH244 * AI244)+
(AL244 * AM244)</f>
        <v>0</v>
      </c>
      <c r="G244" s="240">
        <f>((E244 * F244) * 10 ^ -3)</f>
        <v>0</v>
      </c>
      <c r="H244" s="15">
        <f>((R244 * $E244) * S244 * 10 ^ -3)+
((V244 * $E244) * W244 * 10 ^ -3)+
((Z244 * $E244) * AA244 * 10 ^ -3)+
((AD244 * $E244) * AE244 * 10 ^ -3)+
((AH244 * $E244) * AI244 * 10 ^ -3)+
((AL244 * $E244) * AM244 * 10 ^ -3)</f>
        <v>0</v>
      </c>
      <c r="I244" s="76"/>
      <c r="J244" s="240">
        <f>((E244 * I244) * 10 ^ -3)</f>
        <v>0</v>
      </c>
      <c r="K244" s="240">
        <f>((R244 * $E244) * (IF(T244,T244,S244)) * 10 ^ -3)+
((V244 * $E244) * (IF(X244,X244,W244)) * 10 ^ -3)+
((Z244 * $E244) * (IF(AB244,AB244,AA244)) * 10 ^ -3)+
((AD244 * $E244) * (IF(AF244,AF244,AE244)) * 10 ^ -3)+
((AH244 * $E244) * (IF(AJ244,AJ244,AI244)) * 10 ^ -3)+
((AL244 * $E244) * (IF(AN244,AN244,AM244)) * 10 ^ -3)</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
      <c r="D245" s="15">
        <v>0</v>
      </c>
      <c r="E245" s="15">
        <v>0</v>
      </c>
      <c r="F245" s="15">
        <f>(R245 * S245)+
(V245 * W245)+
(Z245 * AA245)+
(AD245 * AE245)+
(AH245 * AI245)+
(AL245 * AM245)</f>
        <v>0</v>
      </c>
      <c r="G245" s="240">
        <f>((E245 * F245) * 10 ^ -3)</f>
        <v>0</v>
      </c>
      <c r="H245" s="15">
        <f>((R245 * $E245) * S245 * 10 ^ -3)+
((V245 * $E245) * W245 * 10 ^ -3)+
((Z245 * $E245) * AA245 * 10 ^ -3)+
((AD245 * $E245) * AE245 * 10 ^ -3)+
((AH245 * $E245) * AI245 * 10 ^ -3)+
((AL245 * $E245) * AM245 * 10 ^ -3)</f>
        <v>0</v>
      </c>
      <c r="I245" s="76"/>
      <c r="J245" s="240">
        <f>((E245 * I245) * 10 ^ -3)</f>
        <v>0</v>
      </c>
      <c r="K245" s="240">
        <f>((R245 * $E245) * (IF(T245,T245,S245)) * 10 ^ -3)+
((V245 * $E245) * (IF(X245,X245,W245)) * 10 ^ -3)+
((Z245 * $E245) * (IF(AB245,AB245,AA245)) * 10 ^ -3)+
((AD245 * $E245) * (IF(AF245,AF245,AE245)) * 10 ^ -3)+
((AH245 * $E245) * (IF(AJ245,AJ245,AI245)) * 10 ^ -3)+
((AL245 * $E245) * (IF(AN245,AN245,AM245)) * 10 ^ -3)</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7" spans="4:40" ht="20.100000000000001" customHeight="1" x14ac:dyDescent="0.2">
      <c r="D247" s="233" t="s">
        <v>924</v>
      </c>
    </row>
    <row r="249" spans="4:40" ht="20.100000000000001" customHeight="1" x14ac:dyDescent="0.2">
      <c r="D249" s="36" t="s">
        <v>925</v>
      </c>
      <c r="E249" s="38"/>
      <c r="F249" s="39"/>
    </row>
    <row r="251" spans="4:40" ht="20.100000000000001" customHeight="1" x14ac:dyDescent="0.2">
      <c r="D251" s="80" t="s">
        <v>886</v>
      </c>
      <c r="E251" s="80" t="s">
        <v>905</v>
      </c>
      <c r="F251" s="138" t="s">
        <v>906</v>
      </c>
      <c r="G251" s="138" t="s">
        <v>907</v>
      </c>
      <c r="H251" s="138" t="s">
        <v>908</v>
      </c>
      <c r="I251" s="80" t="s">
        <v>909</v>
      </c>
      <c r="J251" s="138" t="s">
        <v>910</v>
      </c>
      <c r="K251" s="138" t="s">
        <v>911</v>
      </c>
      <c r="L251" s="80" t="s">
        <v>863</v>
      </c>
      <c r="M251" s="80" t="s">
        <v>864</v>
      </c>
      <c r="N251" s="80" t="s">
        <v>865</v>
      </c>
      <c r="O251" s="138" t="s">
        <v>323</v>
      </c>
      <c r="P251" s="138" t="s">
        <v>324</v>
      </c>
      <c r="Q251" s="138" t="s">
        <v>308</v>
      </c>
      <c r="R251" s="138" t="s">
        <v>309</v>
      </c>
      <c r="S251" s="138" t="s">
        <v>912</v>
      </c>
      <c r="T251" s="80" t="s">
        <v>913</v>
      </c>
      <c r="U251" s="138" t="s">
        <v>310</v>
      </c>
      <c r="V251" s="138" t="s">
        <v>311</v>
      </c>
      <c r="W251" s="138" t="s">
        <v>914</v>
      </c>
      <c r="X251" s="80" t="s">
        <v>915</v>
      </c>
      <c r="Y251" s="138" t="s">
        <v>312</v>
      </c>
      <c r="Z251" s="138" t="s">
        <v>313</v>
      </c>
      <c r="AA251" s="138" t="s">
        <v>916</v>
      </c>
      <c r="AB251" s="80" t="s">
        <v>917</v>
      </c>
      <c r="AC251" s="138" t="s">
        <v>314</v>
      </c>
      <c r="AD251" s="138" t="s">
        <v>315</v>
      </c>
      <c r="AE251" s="138" t="s">
        <v>918</v>
      </c>
      <c r="AF251" s="80" t="s">
        <v>919</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f>(R252 * S252)+
(V252 * W252)+
(Z252 * AA252)+
(AD252 * AE252)</f>
        <v>1.7707999999999999</v>
      </c>
      <c r="G252" s="240">
        <f>((E252 * F252) * 10 ^ -3)</f>
        <v>177.08</v>
      </c>
      <c r="H252" s="15">
        <f>((R252 * $E252) * S252 * 10 ^ -3)+
((V252 * $E252) * W252 * 10 ^ -3)+
((Z252 * $E252) * AA252 * 10 ^ -3)+
((AD252 * $E252) * AE252 * 10 ^ -3)</f>
        <v>177.08</v>
      </c>
      <c r="I252" s="76">
        <v>0.4</v>
      </c>
      <c r="J252" s="240">
        <f>((E252 * I252) * 10 ^ -3)</f>
        <v>40</v>
      </c>
      <c r="K252" s="240">
        <f>((R252 * $E252) * (IF(T252,T252,S252)) * 10 ^ -3)+
((V252 * $E252) * (IF(X252,X252,W252)) * 10 ^ -3)+
((Z252 * $E252) * (IF(AB252,AB252,AA252)) * 10 ^ -3)+
((AD252 * $E252) * (IF(AF252,AF252,AE252)) * 10 ^ -3)</f>
        <v>168</v>
      </c>
      <c r="L252" s="34"/>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
      <c r="D253" s="15" t="str">
        <v>My second custom blend</v>
      </c>
      <c r="E253" s="15">
        <v>100000</v>
      </c>
      <c r="F253" s="15">
        <f>(R253 * S253)+
(V253 * W253)+
(Z253 * AA253)+
(AD253 * AE253)</f>
        <v>0.96799999999999997</v>
      </c>
      <c r="G253" s="240">
        <f>((E253 * F253) * 10 ^ -3)</f>
        <v>96.8</v>
      </c>
      <c r="H253" s="15">
        <f>((R253 * $E253) * S253 * 10 ^ -3)+
((V253 * $E253) * W253 * 10 ^ -3)+
((Z253 * $E253) * AA253 * 10 ^ -3)+
((AD253 * $E253) * AE253 * 10 ^ -3)</f>
        <v>96.8</v>
      </c>
      <c r="I253" s="76">
        <v>0.9</v>
      </c>
      <c r="J253" s="240">
        <f>((E253 * I253) * 10 ^ -3)</f>
        <v>90</v>
      </c>
      <c r="K253" s="240">
        <f>((R253 * $E253) * (IF(T253,T253,S253)) * 10 ^ -3)+
((V253 * $E253) * (IF(X253,X253,W253)) * 10 ^ -3)+
((Z253 * $E253) * (IF(AB253,AB253,AA253)) * 10 ^ -3)+
((AD253 * $E253) * (IF(AF253,AF253,AE253)) * 10 ^ -3)</f>
        <v>96.8</v>
      </c>
      <c r="L253" s="34"/>
      <c r="M253" s="13"/>
      <c r="N253" s="34"/>
      <c r="O253" s="241" t="str">
        <v/>
      </c>
      <c r="P253" s="24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
      <c r="D254" s="15" t="str">
        <v>My third custom blend</v>
      </c>
      <c r="E254" s="15">
        <v>100000</v>
      </c>
      <c r="F254" s="15">
        <f>(R254 * S254)+
(V254 * W254)+
(Z254 * AA254)+
(AD254 * AE254)</f>
        <v>1.1599999999999999</v>
      </c>
      <c r="G254" s="240">
        <f>((E254 * F254) * 10 ^ -3)</f>
        <v>115.99999999999999</v>
      </c>
      <c r="H254" s="15">
        <f>((R254 * $E254) * S254 * 10 ^ -3)+
((V254 * $E254) * W254 * 10 ^ -3)+
((Z254 * $E254) * AA254 * 10 ^ -3)+
((AD254 * $E254) * AE254 * 10 ^ -3)</f>
        <v>115.99999999999999</v>
      </c>
      <c r="I254" s="76">
        <v>0.4</v>
      </c>
      <c r="J254" s="240">
        <f>((E254 * I254) * 10 ^ -3)</f>
        <v>40</v>
      </c>
      <c r="K254" s="240">
        <f>((R254 * $E254) * (IF(T254,T254,S254)) * 10 ^ -3)+
((V254 * $E254) * (IF(X254,X254,W254)) * 10 ^ -3)+
((Z254 * $E254) * (IF(AB254,AB254,AA254)) * 10 ^ -3)+
((AD254 * $E254) * (IF(AF254,AF254,AE254)) * 10 ^ -3)</f>
        <v>115.99999999999999</v>
      </c>
      <c r="L254" s="34"/>
      <c r="M254" s="13"/>
      <c r="N254" s="34"/>
      <c r="O254" s="241" t="str">
        <v/>
      </c>
      <c r="P254" s="24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
      <c r="D255" s="15">
        <v>0</v>
      </c>
      <c r="E255" s="15">
        <v>0</v>
      </c>
      <c r="F255" s="15">
        <f>(R255 * S255)+
(V255 * W255)+
(Z255 * AA255)+
(AD255 * AE255)</f>
        <v>0</v>
      </c>
      <c r="G255" s="240">
        <f>((E255 * F255) * 10 ^ -3)</f>
        <v>0</v>
      </c>
      <c r="H255" s="15">
        <f>((R255 * $E255) * S255 * 10 ^ -3)+
((V255 * $E255) * W255 * 10 ^ -3)+
((Z255 * $E255) * AA255 * 10 ^ -3)+
((AD255 * $E255) * AE255 * 10 ^ -3)</f>
        <v>0</v>
      </c>
      <c r="I255" s="76"/>
      <c r="J255" s="240">
        <f>((E255 * I255) * 10 ^ -3)</f>
        <v>0</v>
      </c>
      <c r="K255" s="240">
        <f>((R255 * $E255) * (IF(T255,T255,S255)) * 10 ^ -3)+
((V255 * $E255) * (IF(X255,X255,W255)) * 10 ^ -3)+
((Z255 * $E255) * (IF(AB255,AB255,AA255)) * 10 ^ -3)+
((AD255 * $E255) * (IF(AF255,AF255,AE255)) * 10 ^ -3)</f>
        <v>0</v>
      </c>
      <c r="L255" s="34"/>
      <c r="M255" s="13"/>
      <c r="N255" s="34"/>
      <c r="O255" s="241" t="str">
        <v/>
      </c>
      <c r="P255" s="24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
      <c r="D256" s="15">
        <v>0</v>
      </c>
      <c r="E256" s="15">
        <v>0</v>
      </c>
      <c r="F256" s="15">
        <f>(R256 * S256)+
(V256 * W256)+
(Z256 * AA256)+
(AD256 * AE256)</f>
        <v>0</v>
      </c>
      <c r="G256" s="240">
        <f>((E256 * F256) * 10 ^ -3)</f>
        <v>0</v>
      </c>
      <c r="H256" s="15">
        <f>((R256 * $E256) * S256 * 10 ^ -3)+
((V256 * $E256) * W256 * 10 ^ -3)+
((Z256 * $E256) * AA256 * 10 ^ -3)+
((AD256 * $E256) * AE256 * 10 ^ -3)</f>
        <v>0</v>
      </c>
      <c r="I256" s="76"/>
      <c r="J256" s="240">
        <f>((E256 * I256) * 10 ^ -3)</f>
        <v>0</v>
      </c>
      <c r="K256" s="240">
        <f>((R256 * $E256) * (IF(T256,T256,S256)) * 10 ^ -3)+
((V256 * $E256) * (IF(X256,X256,W256)) * 10 ^ -3)+
((Z256 * $E256) * (IF(AB256,AB256,AA256)) * 10 ^ -3)+
((AD256 * $E256) * (IF(AF256,AF256,AE256)) * 10 ^ -3)</f>
        <v>0</v>
      </c>
      <c r="L256" s="34"/>
      <c r="M256" s="13"/>
      <c r="N256" s="34"/>
      <c r="O256" s="241" t="str">
        <v/>
      </c>
      <c r="P256" s="24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1:41" ht="20.100000000000001" customHeight="1" x14ac:dyDescent="0.2">
      <c r="D257" s="15">
        <v>0</v>
      </c>
      <c r="E257" s="15">
        <v>0</v>
      </c>
      <c r="F257" s="15">
        <f>(R257 * S257)+
(V257 * W257)+
(Z257 * AA257)+
(AD257 * AE257)</f>
        <v>0</v>
      </c>
      <c r="G257" s="240">
        <f>((E257 * F257) * 10 ^ -3)</f>
        <v>0</v>
      </c>
      <c r="H257" s="15">
        <f>((R257 * $E257) * S257 * 10 ^ -3)+
((V257 * $E257) * W257 * 10 ^ -3)+
((Z257 * $E257) * AA257 * 10 ^ -3)+
((AD257 * $E257) * AE257 * 10 ^ -3)</f>
        <v>0</v>
      </c>
      <c r="I257" s="76"/>
      <c r="J257" s="240">
        <f>((E257 * I257) * 10 ^ -3)</f>
        <v>0</v>
      </c>
      <c r="K257" s="240">
        <f>((R257 * $E257) * (IF(T257,T257,S257)) * 10 ^ -3)+
((V257 * $E257) * (IF(X257,X257,W257)) * 10 ^ -3)+
((Z257 * $E257) * (IF(AB257,AB257,AA257)) * 10 ^ -3)+
((AD257 * $E257) * (IF(AF257,AF257,AE257)) * 10 ^ -3)</f>
        <v>0</v>
      </c>
      <c r="L257" s="34"/>
      <c r="M257" s="13"/>
      <c r="N257" s="34"/>
      <c r="O257" s="241" t="str">
        <v/>
      </c>
      <c r="P257" s="24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1:41" ht="20.100000000000001" customHeight="1" x14ac:dyDescent="0.2">
      <c r="D258" s="15">
        <v>0</v>
      </c>
      <c r="E258" s="15">
        <v>0</v>
      </c>
      <c r="F258" s="15">
        <f>(R258 * S258)+
(V258 * W258)+
(Z258 * AA258)+
(AD258 * AE258)</f>
        <v>0</v>
      </c>
      <c r="G258" s="240">
        <f>((E258 * F258) * 10 ^ -3)</f>
        <v>0</v>
      </c>
      <c r="H258" s="15">
        <f>((R258 * $E258) * S258 * 10 ^ -3)+
((V258 * $E258) * W258 * 10 ^ -3)+
((Z258 * $E258) * AA258 * 10 ^ -3)+
((AD258 * $E258) * AE258 * 10 ^ -3)</f>
        <v>0</v>
      </c>
      <c r="I258" s="76"/>
      <c r="J258" s="240">
        <f>((E258 * I258) * 10 ^ -3)</f>
        <v>0</v>
      </c>
      <c r="K258" s="240">
        <f>((R258 * $E258) * (IF(T258,T258,S258)) * 10 ^ -3)+
((V258 * $E258) * (IF(X258,X258,W258)) * 10 ^ -3)+
((Z258 * $E258) * (IF(AB258,AB258,AA258)) * 10 ^ -3)+
((AD258 * $E258) * (IF(AF258,AF258,AE258)) * 10 ^ -3)</f>
        <v>0</v>
      </c>
      <c r="L258" s="34"/>
      <c r="M258" s="13"/>
      <c r="N258" s="34"/>
      <c r="O258" s="241" t="str">
        <v/>
      </c>
      <c r="P258" s="24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1:41" ht="20.100000000000001" customHeight="1" x14ac:dyDescent="0.2">
      <c r="D259" s="15">
        <v>0</v>
      </c>
      <c r="E259" s="15">
        <v>0</v>
      </c>
      <c r="F259" s="15">
        <f>(R259 * S259)+
(V259 * W259)+
(Z259 * AA259)+
(AD259 * AE259)</f>
        <v>0</v>
      </c>
      <c r="G259" s="240">
        <f>((E259 * F259) * 10 ^ -3)</f>
        <v>0</v>
      </c>
      <c r="H259" s="15">
        <f>((R259 * $E259) * S259 * 10 ^ -3)+
((V259 * $E259) * W259 * 10 ^ -3)+
((Z259 * $E259) * AA259 * 10 ^ -3)+
((AD259 * $E259) * AE259 * 10 ^ -3)</f>
        <v>0</v>
      </c>
      <c r="I259" s="76"/>
      <c r="J259" s="240">
        <f>((E259 * I259) * 10 ^ -3)</f>
        <v>0</v>
      </c>
      <c r="K259" s="240">
        <f>((R259 * $E259) * (IF(T259,T259,S259)) * 10 ^ -3)+
((V259 * $E259) * (IF(X259,X259,W259)) * 10 ^ -3)+
((Z259 * $E259) * (IF(AB259,AB259,AA259)) * 10 ^ -3)+
((AD259 * $E259) * (IF(AF259,AF259,AE259)) * 10 ^ -3)</f>
        <v>0</v>
      </c>
      <c r="L259" s="34"/>
      <c r="M259" s="13"/>
      <c r="N259" s="34"/>
      <c r="O259" s="241" t="str">
        <v/>
      </c>
      <c r="P259" s="24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1:41" ht="20.100000000000001" customHeight="1" x14ac:dyDescent="0.2">
      <c r="D260" s="15">
        <v>0</v>
      </c>
      <c r="E260" s="15">
        <v>0</v>
      </c>
      <c r="F260" s="15">
        <f>(R260 * S260)+
(V260 * W260)+
(Z260 * AA260)+
(AD260 * AE260)</f>
        <v>0</v>
      </c>
      <c r="G260" s="240">
        <f>((E260 * F260) * 10 ^ -3)</f>
        <v>0</v>
      </c>
      <c r="H260" s="15">
        <f>((R260 * $E260) * S260 * 10 ^ -3)+
((V260 * $E260) * W260 * 10 ^ -3)+
((Z260 * $E260) * AA260 * 10 ^ -3)+
((AD260 * $E260) * AE260 * 10 ^ -3)</f>
        <v>0</v>
      </c>
      <c r="I260" s="76"/>
      <c r="J260" s="240">
        <f>((E260 * I260) * 10 ^ -3)</f>
        <v>0</v>
      </c>
      <c r="K260" s="240">
        <f>((R260 * $E260) * (IF(T260,T260,S260)) * 10 ^ -3)+
((V260 * $E260) * (IF(X260,X260,W260)) * 10 ^ -3)+
((Z260 * $E260) * (IF(AB260,AB260,AA260)) * 10 ^ -3)+
((AD260 * $E260) * (IF(AF260,AF260,AE260)) * 10 ^ -3)</f>
        <v>0</v>
      </c>
      <c r="L260" s="34"/>
      <c r="M260" s="13"/>
      <c r="N260" s="34"/>
      <c r="O260" s="241" t="str">
        <v/>
      </c>
      <c r="P260" s="24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1:41" ht="20.100000000000001" customHeight="1" x14ac:dyDescent="0.2">
      <c r="D261" s="15">
        <v>0</v>
      </c>
      <c r="E261" s="15">
        <v>0</v>
      </c>
      <c r="F261" s="15">
        <f>(R261 * S261)+
(V261 * W261)+
(Z261 * AA261)+
(AD261 * AE261)</f>
        <v>0</v>
      </c>
      <c r="G261" s="240">
        <f>((E261 * F261) * 10 ^ -3)</f>
        <v>0</v>
      </c>
      <c r="H261" s="15">
        <f>((R261 * $E261) * S261 * 10 ^ -3)+
((V261 * $E261) * W261 * 10 ^ -3)+
((Z261 * $E261) * AA261 * 10 ^ -3)+
((AD261 * $E261) * AE261 * 10 ^ -3)</f>
        <v>0</v>
      </c>
      <c r="I261" s="76"/>
      <c r="J261" s="240">
        <f>((E261 * I261) * 10 ^ -3)</f>
        <v>0</v>
      </c>
      <c r="K261" s="240">
        <f>((R261 * $E261) * (IF(T261,T261,S261)) * 10 ^ -3)+
((V261 * $E261) * (IF(X261,X261,W261)) * 10 ^ -3)+
((Z261 * $E261) * (IF(AB261,AB261,AA261)) * 10 ^ -3)+
((AD261 * $E261) * (IF(AF261,AF261,AE261)) * 10 ^ -3)</f>
        <v>0</v>
      </c>
      <c r="L261" s="34"/>
      <c r="M261" s="13"/>
      <c r="N261" s="34"/>
      <c r="O261" s="241" t="str">
        <v/>
      </c>
      <c r="P261" s="24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3" spans="1:41" ht="20.100000000000001" customHeight="1" x14ac:dyDescent="0.2">
      <c r="D263" s="242" t="s">
        <v>926</v>
      </c>
      <c r="E263" s="88">
        <f>SUM(G236:G245)+SUM(G252:G261)</f>
        <v>518.80600000000004</v>
      </c>
      <c r="F263" s="97" t="str">
        <f>$E$170</f>
        <v>t CO2e</v>
      </c>
    </row>
    <row r="264" spans="1:41" ht="20.100000000000001" customHeight="1" x14ac:dyDescent="0.2">
      <c r="D264" s="242" t="s">
        <v>927</v>
      </c>
      <c r="E264" s="88">
        <f>SUM(J236:J245)+SUM(J252:J261)</f>
        <v>340</v>
      </c>
      <c r="F264" s="97" t="str">
        <f>$E$170</f>
        <v>t CO2e</v>
      </c>
    </row>
    <row r="266" spans="1:41" ht="20.100000000000001" customHeight="1" x14ac:dyDescent="0.2">
      <c r="D266" s="242" t="s">
        <v>928</v>
      </c>
      <c r="E266" s="88">
        <f>SUM(H236:H245)+SUM(H252:H261)</f>
        <v>518.80600000000004</v>
      </c>
      <c r="F266" s="97" t="str">
        <f>$E$170</f>
        <v>t CO2e</v>
      </c>
    </row>
    <row r="267" spans="1:41" ht="20.100000000000001" customHeight="1" x14ac:dyDescent="0.2">
      <c r="D267" s="242" t="s">
        <v>929</v>
      </c>
      <c r="E267" s="88">
        <f>SUM(K236:K245)+SUM(K252:K261)</f>
        <v>599.726</v>
      </c>
      <c r="F267" s="97" t="str">
        <f>$E$170</f>
        <v>t CO2e</v>
      </c>
    </row>
    <row r="269" spans="1:41" ht="20.100000000000001" customHeight="1" x14ac:dyDescent="0.2">
      <c r="A269" s="81" t="str">
        <f>HYPERLINK("#A1", "▲ Back to top")</f>
        <v>▲ Back to top</v>
      </c>
    </row>
    <row r="270" spans="1:41" ht="20.100000000000001" customHeight="1" x14ac:dyDescent="0.2">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row>
    <row r="271" spans="1:41" ht="20.100000000000001" customHeight="1" x14ac:dyDescent="0.2">
      <c r="D271" s="2" t="s">
        <v>1402</v>
      </c>
    </row>
    <row r="272" spans="1:41" ht="20.100000000000001" customHeight="1" x14ac:dyDescent="0.2">
      <c r="D272" s="17" t="s">
        <v>1403</v>
      </c>
    </row>
    <row r="273" spans="4:9" ht="20.100000000000001" customHeight="1" x14ac:dyDescent="0.2">
      <c r="D273" s="134"/>
      <c r="E273" s="134"/>
    </row>
    <row r="277" spans="4:9" ht="20.100000000000001" customHeight="1" x14ac:dyDescent="0.2">
      <c r="D277" s="77" t="s">
        <v>371</v>
      </c>
      <c r="E277" s="1" t="s">
        <v>967</v>
      </c>
    </row>
    <row r="278" spans="4:9" ht="20.100000000000001" customHeight="1" x14ac:dyDescent="0.2">
      <c r="D278" s="77" t="s">
        <v>118</v>
      </c>
      <c r="E278" s="9" t="s">
        <v>7</v>
      </c>
    </row>
    <row r="280" spans="4:9" ht="20.100000000000001" customHeight="1" x14ac:dyDescent="0.2">
      <c r="D280" s="150" t="s">
        <v>1404</v>
      </c>
      <c r="E280" s="147" t="s">
        <v>1405</v>
      </c>
      <c r="F280" s="159"/>
      <c r="G280" s="150" t="s">
        <v>1410</v>
      </c>
      <c r="H280" s="238" t="s">
        <v>1034</v>
      </c>
    </row>
    <row r="281" spans="4:9" ht="20.100000000000001" customHeight="1" x14ac:dyDescent="0.2">
      <c r="D281" s="150" t="s">
        <v>1406</v>
      </c>
      <c r="E281" s="147" t="s">
        <v>1407</v>
      </c>
      <c r="F281" s="159"/>
      <c r="G281" s="150" t="s">
        <v>1411</v>
      </c>
      <c r="H281" s="142" t="s">
        <v>1036</v>
      </c>
    </row>
    <row r="282" spans="4:9" ht="20.100000000000001" customHeight="1" x14ac:dyDescent="0.2">
      <c r="D282" s="150" t="s">
        <v>1408</v>
      </c>
      <c r="E282" s="147" t="s">
        <v>1409</v>
      </c>
      <c r="F282" s="159"/>
      <c r="G282" s="150"/>
      <c r="H282" s="238" t="s">
        <v>1034</v>
      </c>
    </row>
    <row r="284" spans="4:9" ht="20.100000000000001" customHeight="1" x14ac:dyDescent="0.2">
      <c r="D284" s="80" t="s">
        <v>930</v>
      </c>
      <c r="E284" s="80" t="s">
        <v>307</v>
      </c>
      <c r="F284" s="138" t="s">
        <v>931</v>
      </c>
      <c r="G284" s="138" t="s">
        <v>859</v>
      </c>
      <c r="H284" s="80" t="s">
        <v>932</v>
      </c>
      <c r="I284" s="138" t="s">
        <v>862</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f>(($E285 * F285) * 10 ^ -3)</f>
        <v>0.52</v>
      </c>
      <c r="H285" s="76">
        <v>5</v>
      </c>
      <c r="I285" s="15">
        <f>(($E285 * (IF(H285,H285,F285))) * 10 ^ -3)</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f>(($E286 * F286) * 10 ^ -3)</f>
        <v>0</v>
      </c>
      <c r="H286" s="76">
        <v>8</v>
      </c>
      <c r="I286" s="15">
        <f>(($E286 * (IF(H286,H286,F286))) * 10 ^ -3)</f>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f>(($E287 * F287) * 10 ^ -3)</f>
        <v>0</v>
      </c>
      <c r="H287" s="76"/>
      <c r="I287" s="15">
        <f>(($E287 * (IF(H287,H287,F287))) * 10 ^ -3)</f>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f>(($E288 * F288) * 10 ^ -3)</f>
        <v>1.03</v>
      </c>
      <c r="H288" s="76"/>
      <c r="I288" s="15">
        <f>(($E288 * (IF(H288,H288,F288))) * 10 ^ -3)</f>
        <v>1.03</v>
      </c>
    </row>
    <row r="289" spans="1:41" ht="20.100000000000001" customHeight="1" x14ac:dyDescent="0.2">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f>(($E289 * F289) * 10 ^ -3)</f>
        <v>0</v>
      </c>
      <c r="H289" s="76"/>
      <c r="I289" s="15">
        <f>(($E289 * (IF(H289,H289,F289))) * 10 ^ -3)</f>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f>(($E290 * F290) * 10 ^ -3)</f>
        <v>0</v>
      </c>
      <c r="H290" s="76"/>
      <c r="I290" s="15">
        <f>(($E290 * (IF(H290,H290,F290))) * 10 ^ -3)</f>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f>(($E291 * F291) * 10 ^ -3)</f>
        <v>0.80600000000000005</v>
      </c>
      <c r="H291" s="76"/>
      <c r="I291" s="15">
        <f>(($E291 * (IF(H291,H291,F291))) * 10 ^ -3)</f>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f>(($E292 * F292) * 10 ^ -3)</f>
        <v>0</v>
      </c>
      <c r="H292" s="76"/>
      <c r="I292" s="15">
        <f>(($E292 * (IF(H292,H292,F292))) * 10 ^ -3)</f>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f>(($E293 * F293) * 10 ^ -3)</f>
        <v>3.6640000000000001</v>
      </c>
      <c r="H293" s="76"/>
      <c r="I293" s="15">
        <f>(($E293 * (IF(H293,H293,F293))) * 10 ^ -3)</f>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f>(($E294 * F294) * 10 ^ -3)</f>
        <v>0</v>
      </c>
      <c r="H294" s="76"/>
      <c r="I294" s="15">
        <f>(($E294 * (IF(H294,H294,F294))) * 10 ^ -3)</f>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f>(($E295 * F295) * 10 ^ -3)</f>
        <v>0.88000000000000012</v>
      </c>
      <c r="H295" s="76"/>
      <c r="I295" s="15">
        <f>(($E295 * (IF(H295,H295,F295))) * 10 ^ -3)</f>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f>(($E296 * F296) * 10 ^ -3)</f>
        <v>0.61599999999999999</v>
      </c>
      <c r="H296" s="76"/>
      <c r="I296" s="15">
        <f>(($E296 * (IF(H296,H296,F296))) * 10 ^ -3)</f>
        <v>0.61599999999999999</v>
      </c>
    </row>
    <row r="298" spans="1:41" ht="20.100000000000001" customHeight="1" x14ac:dyDescent="0.2">
      <c r="D298" s="242" t="s">
        <v>859</v>
      </c>
      <c r="E298" s="88">
        <f>SUM(G285:G296)</f>
        <v>7.5159999999999991</v>
      </c>
      <c r="F298" s="97" t="str">
        <f>$E$170</f>
        <v>t CO2e</v>
      </c>
    </row>
    <row r="299" spans="1:41" ht="20.100000000000001" customHeight="1" x14ac:dyDescent="0.2">
      <c r="A299" s="81" t="str">
        <f>HYPERLINK("#A1", "▲ Back to top")</f>
        <v>▲ Back to top</v>
      </c>
      <c r="D299" s="242" t="s">
        <v>862</v>
      </c>
      <c r="E299" s="88">
        <f>SUM(I285:I296)</f>
        <v>7.4959999999999996</v>
      </c>
      <c r="F299" s="97" t="str">
        <f>$E$170</f>
        <v>t CO2e</v>
      </c>
    </row>
    <row r="302" spans="1:41" ht="20.100000000000001" customHeight="1" x14ac:dyDescent="0.2">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row>
    <row r="303" spans="1:41" ht="20.100000000000001" customHeight="1" x14ac:dyDescent="0.2">
      <c r="D303" s="2" t="s">
        <v>1412</v>
      </c>
    </row>
    <row r="304" spans="1:41" ht="20.100000000000001" customHeight="1" x14ac:dyDescent="0.2">
      <c r="D304" s="17" t="s">
        <v>1413</v>
      </c>
    </row>
    <row r="305" spans="4:13" ht="20.100000000000001" customHeight="1" x14ac:dyDescent="0.2">
      <c r="D305" s="134"/>
      <c r="E305" s="134"/>
    </row>
    <row r="308" spans="4:13" ht="20.100000000000001" customHeight="1" x14ac:dyDescent="0.2">
      <c r="D308" s="77" t="s">
        <v>371</v>
      </c>
      <c r="E308" s="1" t="s">
        <v>967</v>
      </c>
    </row>
    <row r="309" spans="4:13" ht="20.100000000000001" customHeight="1" x14ac:dyDescent="0.2">
      <c r="D309" s="77" t="s">
        <v>118</v>
      </c>
      <c r="E309" s="1" t="s">
        <v>7</v>
      </c>
    </row>
    <row r="311" spans="4:13" ht="20.100000000000001" customHeight="1" x14ac:dyDescent="0.2">
      <c r="D311" s="150" t="s">
        <v>1107</v>
      </c>
      <c r="E311" s="150" t="s">
        <v>1414</v>
      </c>
      <c r="F311" s="150" t="s">
        <v>1305</v>
      </c>
      <c r="G311" s="238" t="s">
        <v>1034</v>
      </c>
    </row>
    <row r="312" spans="4:13" ht="20.100000000000001" customHeight="1" x14ac:dyDescent="0.2">
      <c r="D312" s="150" t="s">
        <v>1415</v>
      </c>
      <c r="E312" s="150" t="s">
        <v>1416</v>
      </c>
      <c r="F312" s="150" t="s">
        <v>1327</v>
      </c>
      <c r="G312" s="142" t="s">
        <v>1036</v>
      </c>
    </row>
    <row r="314" spans="4:13" ht="20.100000000000001" customHeight="1" x14ac:dyDescent="0.2">
      <c r="E314" s="138" t="s">
        <v>130</v>
      </c>
      <c r="F314" s="80" t="s">
        <v>131</v>
      </c>
    </row>
    <row r="315" spans="4:13" ht="20.100000000000001" customHeight="1" x14ac:dyDescent="0.2">
      <c r="D315" s="1" t="s">
        <v>933</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20.100000000000001" customHeight="1" x14ac:dyDescent="0.2">
      <c r="D316" s="1" t="s">
        <v>934</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20.100000000000001" customHeight="1" x14ac:dyDescent="0.2">
      <c r="D317" s="1" t="s">
        <v>935</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20.100000000000001" customHeight="1" x14ac:dyDescent="0.2">
      <c r="D319" s="80" t="s">
        <v>786</v>
      </c>
      <c r="E319" s="239" t="s">
        <v>936</v>
      </c>
      <c r="F319" s="80" t="s">
        <v>937</v>
      </c>
      <c r="G319" s="80" t="s">
        <v>938</v>
      </c>
      <c r="H319" s="80" t="s">
        <v>939</v>
      </c>
      <c r="I319" s="138" t="s">
        <v>859</v>
      </c>
      <c r="J319" s="138" t="s">
        <v>940</v>
      </c>
      <c r="K319" s="80" t="s">
        <v>863</v>
      </c>
      <c r="L319" s="80" t="s">
        <v>864</v>
      </c>
      <c r="M319" s="80" t="s">
        <v>865</v>
      </c>
    </row>
    <row r="320" spans="4:13" ht="20.100000000000001" customHeight="1" x14ac:dyDescent="0.2">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0">
        <f>(F320 * $E$315)+
(G320 * $E$316)+
(H320 * $E$317)</f>
        <v>5.1839999999999997E-2</v>
      </c>
      <c r="J320" s="240">
        <f>(F320 * (IF($F$315,$F$315,$E$315)))+
(G320 * (IF($F$316,$F$316,$E$316)))+
(H320 * (IF($F$317,$F$317,$E$317)))</f>
        <v>4.3999999999999997E-2</v>
      </c>
      <c r="K320" s="34"/>
      <c r="L320" s="13"/>
      <c r="M320" s="34"/>
    </row>
    <row r="321" spans="1:41" ht="20.100000000000001" customHeight="1" x14ac:dyDescent="0.2">
      <c r="D321" s="15" t="str">
        <v>Lime product 2</v>
      </c>
      <c r="E321" s="15">
        <v>1000</v>
      </c>
      <c r="F321" s="15">
        <v>1000</v>
      </c>
      <c r="G321" s="15">
        <v>0</v>
      </c>
      <c r="H321" s="15">
        <v>0</v>
      </c>
      <c r="I321" s="240">
        <f>(F321 * $E$315)+
(G321 * $E$316)+
(H321 * $E$317)</f>
        <v>4.8500000000000001E-2</v>
      </c>
      <c r="J321" s="240">
        <f>(F321 * (IF($F$315,$F$315,$E$315)))+
(G321 * (IF($F$316,$F$316,$E$316)))+
(H321 * (IF($F$317,$F$317,$E$317)))</f>
        <v>0.04</v>
      </c>
      <c r="K321" s="34"/>
      <c r="L321" s="13"/>
      <c r="M321" s="34"/>
    </row>
    <row r="322" spans="1:41" ht="20.100000000000001" customHeight="1" x14ac:dyDescent="0.2">
      <c r="D322" s="15" t="str">
        <v>Lime product 3</v>
      </c>
      <c r="E322" s="15">
        <v>1000</v>
      </c>
      <c r="F322" s="15">
        <v>0</v>
      </c>
      <c r="G322" s="15">
        <v>0</v>
      </c>
      <c r="H322" s="15">
        <v>1000</v>
      </c>
      <c r="I322" s="240">
        <f>(F322 * $E$315)+
(G322 * $E$316)+
(H322 * $E$317)</f>
        <v>6.5199999999999994E-2</v>
      </c>
      <c r="J322" s="240">
        <f>(F322 * (IF($F$315,$F$315,$E$315)))+
(G322 * (IF($F$316,$F$316,$E$316)))+
(H322 * (IF($F$317,$F$317,$E$317)))</f>
        <v>6.0000000000000005E-2</v>
      </c>
      <c r="K322" s="34"/>
      <c r="L322" s="13"/>
      <c r="M322" s="34"/>
    </row>
    <row r="323" spans="1:41" ht="20.100000000000001" customHeight="1" x14ac:dyDescent="0.2">
      <c r="D323" s="15" t="str">
        <v/>
      </c>
      <c r="E323" s="15">
        <v>0</v>
      </c>
      <c r="F323" s="15">
        <v>0</v>
      </c>
      <c r="G323" s="15">
        <v>0</v>
      </c>
      <c r="H323" s="15">
        <v>0</v>
      </c>
      <c r="I323" s="240">
        <f>(F323 * $E$315)+
(G323 * $E$316)+
(H323 * $E$317)</f>
        <v>0</v>
      </c>
      <c r="J323" s="240">
        <f>(F323 * (IF($F$315,$F$315,$E$315)))+
(G323 * (IF($F$316,$F$316,$E$316)))+
(H323 * (IF($F$317,$F$317,$E$317)))</f>
        <v>0</v>
      </c>
      <c r="K323" s="34"/>
      <c r="L323" s="13"/>
      <c r="M323" s="34"/>
    </row>
    <row r="324" spans="1:41" ht="20.100000000000001" customHeight="1" x14ac:dyDescent="0.2">
      <c r="D324" s="15" t="str">
        <v/>
      </c>
      <c r="E324" s="15">
        <v>0</v>
      </c>
      <c r="F324" s="15">
        <v>0</v>
      </c>
      <c r="G324" s="15">
        <v>0</v>
      </c>
      <c r="H324" s="15">
        <v>0</v>
      </c>
      <c r="I324" s="240">
        <f>(F324 * $E$315)+
(G324 * $E$316)+
(H324 * $E$317)</f>
        <v>0</v>
      </c>
      <c r="J324" s="240">
        <f>(F324 * (IF($F$315,$F$315,$E$315)))+
(G324 * (IF($F$316,$F$316,$E$316)))+
(H324 * (IF($F$317,$F$317,$E$317)))</f>
        <v>0</v>
      </c>
      <c r="K324" s="34"/>
      <c r="L324" s="13"/>
      <c r="M324" s="34"/>
    </row>
    <row r="325" spans="1:41" ht="20.100000000000001" customHeight="1" x14ac:dyDescent="0.2">
      <c r="D325" s="15" t="str">
        <v/>
      </c>
      <c r="E325" s="15">
        <v>0</v>
      </c>
      <c r="F325" s="15">
        <v>0</v>
      </c>
      <c r="G325" s="15">
        <v>0</v>
      </c>
      <c r="H325" s="15">
        <v>0</v>
      </c>
      <c r="I325" s="240">
        <f>(F325 * $E$315)+
(G325 * $E$316)+
(H325 * $E$317)</f>
        <v>0</v>
      </c>
      <c r="J325" s="240">
        <f>(F325 * (IF($F$315,$F$315,$E$315)))+
(G325 * (IF($F$316,$F$316,$E$316)))+
(H325 * (IF($F$317,$F$317,$E$317)))</f>
        <v>0</v>
      </c>
      <c r="K325" s="34"/>
      <c r="L325" s="13"/>
      <c r="M325" s="34"/>
    </row>
    <row r="326" spans="1:41" ht="20.100000000000001" customHeight="1" x14ac:dyDescent="0.2">
      <c r="D326" s="15" t="str">
        <v/>
      </c>
      <c r="E326" s="15">
        <v>0</v>
      </c>
      <c r="F326" s="15">
        <v>0</v>
      </c>
      <c r="G326" s="15">
        <v>0</v>
      </c>
      <c r="H326" s="15">
        <v>0</v>
      </c>
      <c r="I326" s="240">
        <f>(F326 * $E$315)+
(G326 * $E$316)+
(H326 * $E$317)</f>
        <v>0</v>
      </c>
      <c r="J326" s="240">
        <f>(F326 * (IF($F$315,$F$315,$E$315)))+
(G326 * (IF($F$316,$F$316,$E$316)))+
(H326 * (IF($F$317,$F$317,$E$317)))</f>
        <v>0</v>
      </c>
      <c r="K326" s="34"/>
      <c r="L326" s="13"/>
      <c r="M326" s="34"/>
    </row>
    <row r="327" spans="1:41" ht="20.100000000000001" customHeight="1" x14ac:dyDescent="0.2">
      <c r="D327" s="15" t="str">
        <v/>
      </c>
      <c r="E327" s="15">
        <v>0</v>
      </c>
      <c r="F327" s="15">
        <v>0</v>
      </c>
      <c r="G327" s="15">
        <v>0</v>
      </c>
      <c r="H327" s="15">
        <v>0</v>
      </c>
      <c r="I327" s="240">
        <f>(F327 * $E$315)+
(G327 * $E$316)+
(H327 * $E$317)</f>
        <v>0</v>
      </c>
      <c r="J327" s="240">
        <f>(F327 * (IF($F$315,$F$315,$E$315)))+
(G327 * (IF($F$316,$F$316,$E$316)))+
(H327 * (IF($F$317,$F$317,$E$317)))</f>
        <v>0</v>
      </c>
      <c r="K327" s="34"/>
      <c r="L327" s="13"/>
      <c r="M327" s="34"/>
    </row>
    <row r="328" spans="1:41" ht="20.100000000000001" customHeight="1" x14ac:dyDescent="0.2">
      <c r="D328" s="15" t="str">
        <v/>
      </c>
      <c r="E328" s="15">
        <v>0</v>
      </c>
      <c r="F328" s="15">
        <v>0</v>
      </c>
      <c r="G328" s="15">
        <v>0</v>
      </c>
      <c r="H328" s="15">
        <v>0</v>
      </c>
      <c r="I328" s="240">
        <f>(F328 * $E$315)+
(G328 * $E$316)+
(H328 * $E$317)</f>
        <v>0</v>
      </c>
      <c r="J328" s="240">
        <f>(F328 * (IF($F$315,$F$315,$E$315)))+
(G328 * (IF($F$316,$F$316,$E$316)))+
(H328 * (IF($F$317,$F$317,$E$317)))</f>
        <v>0</v>
      </c>
      <c r="K328" s="34"/>
      <c r="L328" s="13"/>
      <c r="M328" s="34"/>
    </row>
    <row r="329" spans="1:41" ht="20.100000000000001" customHeight="1" x14ac:dyDescent="0.2">
      <c r="A329" s="81" t="str">
        <f>HYPERLINK("#A1", "▲ Back to top")</f>
        <v>▲ Back to top</v>
      </c>
      <c r="D329" s="15" t="str">
        <v/>
      </c>
      <c r="E329" s="15">
        <v>0</v>
      </c>
      <c r="F329" s="15">
        <v>0</v>
      </c>
      <c r="G329" s="15">
        <v>0</v>
      </c>
      <c r="H329" s="15">
        <v>0</v>
      </c>
      <c r="I329" s="240">
        <f>(F329 * $E$315)+
(G329 * $E$316)+
(H329 * $E$317)</f>
        <v>0</v>
      </c>
      <c r="J329" s="240">
        <f>(F329 * (IF($F$315,$F$315,$E$315)))+
(G329 * (IF($F$316,$F$316,$E$316)))+
(H329 * (IF($F$317,$F$317,$E$317)))</f>
        <v>0</v>
      </c>
      <c r="K329" s="34"/>
      <c r="L329" s="13"/>
      <c r="M329" s="34"/>
    </row>
    <row r="331" spans="1:41" ht="20.100000000000001" customHeight="1" x14ac:dyDescent="0.2">
      <c r="D331" s="242" t="s">
        <v>859</v>
      </c>
      <c r="E331" s="88">
        <f>SUM(I320:I329)</f>
        <v>0.16553999999999999</v>
      </c>
      <c r="F331" s="97" t="str">
        <f>$E$170</f>
        <v>t CO2e</v>
      </c>
    </row>
    <row r="332" spans="1:41" ht="20.100000000000001" customHeight="1" x14ac:dyDescent="0.2">
      <c r="D332" s="242" t="s">
        <v>862</v>
      </c>
      <c r="E332" s="88">
        <f>SUM(J320:J329)</f>
        <v>0.14399999999999999</v>
      </c>
      <c r="F332" s="97" t="str">
        <f>$E$170</f>
        <v>t CO2e</v>
      </c>
    </row>
    <row r="335" spans="1:41" ht="20.100000000000001" customHeight="1" x14ac:dyDescent="0.2">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row>
    <row r="336" spans="1:41" ht="20.100000000000001" customHeight="1" x14ac:dyDescent="0.2">
      <c r="D336" s="2" t="s">
        <v>1417</v>
      </c>
    </row>
    <row r="337" spans="4:15" ht="20.100000000000001" customHeight="1" x14ac:dyDescent="0.2">
      <c r="D337" s="17" t="s">
        <v>1418</v>
      </c>
    </row>
    <row r="338" spans="4:15" ht="20.100000000000001" customHeight="1" x14ac:dyDescent="0.2">
      <c r="D338" s="134"/>
      <c r="E338" s="134"/>
    </row>
    <row r="340" spans="4:15" ht="20.100000000000001" customHeight="1" x14ac:dyDescent="0.2">
      <c r="H340" s="1" t="s">
        <v>941</v>
      </c>
    </row>
    <row r="341" spans="4:15" ht="20.100000000000001" customHeight="1" x14ac:dyDescent="0.2">
      <c r="D341" s="77" t="s">
        <v>371</v>
      </c>
      <c r="E341" s="1" t="s">
        <v>967</v>
      </c>
    </row>
    <row r="342" spans="4:15" ht="20.100000000000001" customHeight="1" x14ac:dyDescent="0.2">
      <c r="D342" s="77" t="s">
        <v>118</v>
      </c>
      <c r="E342" s="1" t="s">
        <v>7</v>
      </c>
    </row>
    <row r="344" spans="4:15" ht="20.100000000000001" customHeight="1" x14ac:dyDescent="0.2">
      <c r="D344" s="150" t="s">
        <v>1419</v>
      </c>
      <c r="E344" s="147" t="s">
        <v>1420</v>
      </c>
      <c r="F344" s="159"/>
      <c r="G344" s="150" t="s">
        <v>1424</v>
      </c>
      <c r="H344" s="238" t="s">
        <v>1034</v>
      </c>
    </row>
    <row r="345" spans="4:15" ht="20.100000000000001" customHeight="1" x14ac:dyDescent="0.2">
      <c r="D345" s="150" t="s">
        <v>1421</v>
      </c>
      <c r="E345" s="147" t="s">
        <v>1422</v>
      </c>
      <c r="F345" s="159"/>
      <c r="G345" s="150" t="s">
        <v>1425</v>
      </c>
      <c r="H345" s="142" t="s">
        <v>1036</v>
      </c>
    </row>
    <row r="346" spans="4:15" ht="20.100000000000001" customHeight="1" x14ac:dyDescent="0.2">
      <c r="D346" s="150" t="s">
        <v>1213</v>
      </c>
      <c r="E346" s="147" t="s">
        <v>1423</v>
      </c>
      <c r="F346" s="159"/>
      <c r="G346" s="150"/>
      <c r="H346" s="238" t="s">
        <v>1034</v>
      </c>
    </row>
    <row r="348" spans="4:15" ht="20.100000000000001" customHeight="1" x14ac:dyDescent="0.2">
      <c r="D348" s="26" t="s">
        <v>942</v>
      </c>
    </row>
    <row r="350" spans="4:15" ht="20.100000000000001" customHeight="1" x14ac:dyDescent="0.2">
      <c r="D350" s="80" t="s">
        <v>796</v>
      </c>
      <c r="E350" s="80" t="s">
        <v>797</v>
      </c>
      <c r="F350" s="80" t="s">
        <v>798</v>
      </c>
      <c r="G350" s="80" t="s">
        <v>553</v>
      </c>
      <c r="H350" s="138" t="s">
        <v>943</v>
      </c>
      <c r="I350" s="138" t="s">
        <v>944</v>
      </c>
      <c r="J350" s="80" t="s">
        <v>945</v>
      </c>
      <c r="K350" s="138" t="s">
        <v>946</v>
      </c>
      <c r="L350" s="138" t="s">
        <v>947</v>
      </c>
      <c r="M350" s="80" t="s">
        <v>863</v>
      </c>
      <c r="N350" s="80" t="s">
        <v>864</v>
      </c>
      <c r="O350" s="80" t="s">
        <v>865</v>
      </c>
    </row>
    <row r="351" spans="4: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948</v>
      </c>
      <c r="I351" s="15" t="s">
        <v>948</v>
      </c>
      <c r="J351" s="76">
        <v>4</v>
      </c>
      <c r="K351" s="240">
        <f>((F351 * J351) * 10 ^ -3)</f>
        <v>40</v>
      </c>
      <c r="L351" s="15" t="str">
        <f>"t CO2e / " &amp; G351</f>
        <v>t CO2e / Hour</v>
      </c>
      <c r="M351" s="34"/>
      <c r="N351" s="13"/>
      <c r="O351" s="34"/>
    </row>
    <row r="352" spans="4:15" ht="20.100000000000001" customHeight="1" x14ac:dyDescent="0.2">
      <c r="D352" s="15" t="str">
        <v>Harini's Harvesting Services Pty Ltd</v>
      </c>
      <c r="E352" s="15" t="str">
        <v>Wheat harvesting</v>
      </c>
      <c r="F352" s="15">
        <v>1000</v>
      </c>
      <c r="G352" s="15" t="str">
        <v>Hectare</v>
      </c>
      <c r="H352" s="15" t="s">
        <v>948</v>
      </c>
      <c r="I352" s="15" t="s">
        <v>948</v>
      </c>
      <c r="J352" s="76">
        <v>2</v>
      </c>
      <c r="K352" s="240">
        <f>((F352 * J352) * 10 ^ -3)</f>
        <v>2</v>
      </c>
      <c r="L352" s="15" t="str">
        <f t="shared" ref="L352:L360" si="1">"t CO2e / " &amp; G352</f>
        <v>t CO2e / Hectare</v>
      </c>
      <c r="M352" s="34"/>
      <c r="N352" s="13"/>
      <c r="O352" s="34"/>
    </row>
    <row r="353" spans="1:41" ht="20.100000000000001" customHeight="1" x14ac:dyDescent="0.2">
      <c r="D353" s="15">
        <v>0</v>
      </c>
      <c r="E353" s="15">
        <v>0</v>
      </c>
      <c r="F353" s="15">
        <v>0</v>
      </c>
      <c r="G353" s="15">
        <v>0</v>
      </c>
      <c r="H353" s="15" t="s">
        <v>948</v>
      </c>
      <c r="I353" s="15" t="s">
        <v>948</v>
      </c>
      <c r="J353" s="76"/>
      <c r="K353" s="240">
        <f>((F353 * J353) * 10 ^ -3)</f>
        <v>0</v>
      </c>
      <c r="L353" s="15" t="str">
        <f t="shared" si="1"/>
        <v>t CO2e / 0</v>
      </c>
      <c r="M353" s="34"/>
      <c r="N353" s="13"/>
      <c r="O353" s="34"/>
    </row>
    <row r="354" spans="1:41" ht="20.100000000000001" customHeight="1" x14ac:dyDescent="0.2">
      <c r="D354" s="15">
        <v>0</v>
      </c>
      <c r="E354" s="15">
        <v>0</v>
      </c>
      <c r="F354" s="15">
        <v>0</v>
      </c>
      <c r="G354" s="15">
        <v>0</v>
      </c>
      <c r="H354" s="15" t="s">
        <v>948</v>
      </c>
      <c r="I354" s="15" t="s">
        <v>948</v>
      </c>
      <c r="J354" s="76"/>
      <c r="K354" s="240">
        <f>((F354 * J354) * 10 ^ -3)</f>
        <v>0</v>
      </c>
      <c r="L354" s="15" t="str">
        <f t="shared" si="1"/>
        <v>t CO2e / 0</v>
      </c>
      <c r="M354" s="34"/>
      <c r="N354" s="13"/>
      <c r="O354" s="34"/>
    </row>
    <row r="355" spans="1:41" ht="20.100000000000001" customHeight="1" x14ac:dyDescent="0.2">
      <c r="D355" s="15">
        <v>0</v>
      </c>
      <c r="E355" s="15">
        <v>0</v>
      </c>
      <c r="F355" s="15">
        <v>0</v>
      </c>
      <c r="G355" s="15">
        <v>0</v>
      </c>
      <c r="H355" s="15" t="s">
        <v>948</v>
      </c>
      <c r="I355" s="15" t="s">
        <v>948</v>
      </c>
      <c r="J355" s="76"/>
      <c r="K355" s="240">
        <f>((F355 * J355) * 10 ^ -3)</f>
        <v>0</v>
      </c>
      <c r="L355" s="15" t="str">
        <f t="shared" si="1"/>
        <v>t CO2e / 0</v>
      </c>
      <c r="M355" s="34"/>
      <c r="N355" s="13"/>
      <c r="O355" s="34"/>
    </row>
    <row r="356" spans="1:41" ht="20.100000000000001" customHeight="1" x14ac:dyDescent="0.2">
      <c r="D356" s="15">
        <v>0</v>
      </c>
      <c r="E356" s="15">
        <v>0</v>
      </c>
      <c r="F356" s="15">
        <v>0</v>
      </c>
      <c r="G356" s="15">
        <v>0</v>
      </c>
      <c r="H356" s="15" t="s">
        <v>948</v>
      </c>
      <c r="I356" s="15" t="s">
        <v>948</v>
      </c>
      <c r="J356" s="76"/>
      <c r="K356" s="240">
        <f>((F356 * J356) * 10 ^ -3)</f>
        <v>0</v>
      </c>
      <c r="L356" s="15" t="str">
        <f t="shared" si="1"/>
        <v>t CO2e / 0</v>
      </c>
      <c r="M356" s="34"/>
      <c r="N356" s="13"/>
      <c r="O356" s="34"/>
    </row>
    <row r="357" spans="1:41" ht="20.100000000000001" customHeight="1" x14ac:dyDescent="0.2">
      <c r="D357" s="15">
        <v>0</v>
      </c>
      <c r="E357" s="15">
        <v>0</v>
      </c>
      <c r="F357" s="15">
        <v>0</v>
      </c>
      <c r="G357" s="15">
        <v>0</v>
      </c>
      <c r="H357" s="15" t="s">
        <v>948</v>
      </c>
      <c r="I357" s="15" t="s">
        <v>948</v>
      </c>
      <c r="J357" s="76"/>
      <c r="K357" s="240">
        <f>((F357 * J357) * 10 ^ -3)</f>
        <v>0</v>
      </c>
      <c r="L357" s="15" t="str">
        <f t="shared" si="1"/>
        <v>t CO2e / 0</v>
      </c>
      <c r="M357" s="34"/>
      <c r="N357" s="13"/>
      <c r="O357" s="34"/>
    </row>
    <row r="358" spans="1:41" ht="20.100000000000001" customHeight="1" x14ac:dyDescent="0.2">
      <c r="D358" s="15">
        <v>0</v>
      </c>
      <c r="E358" s="15">
        <v>0</v>
      </c>
      <c r="F358" s="15">
        <v>0</v>
      </c>
      <c r="G358" s="15">
        <v>0</v>
      </c>
      <c r="H358" s="15" t="s">
        <v>948</v>
      </c>
      <c r="I358" s="15" t="s">
        <v>948</v>
      </c>
      <c r="J358" s="76"/>
      <c r="K358" s="240">
        <f>((F358 * J358) * 10 ^ -3)</f>
        <v>0</v>
      </c>
      <c r="L358" s="15" t="str">
        <f t="shared" si="1"/>
        <v>t CO2e / 0</v>
      </c>
      <c r="M358" s="34"/>
      <c r="N358" s="13"/>
      <c r="O358" s="34"/>
    </row>
    <row r="359" spans="1:41" ht="20.100000000000001" customHeight="1" x14ac:dyDescent="0.2">
      <c r="A359" s="81" t="str">
        <f>HYPERLINK("#A1", "▲ Back to top")</f>
        <v>▲ Back to top</v>
      </c>
      <c r="D359" s="15">
        <v>0</v>
      </c>
      <c r="E359" s="15">
        <v>0</v>
      </c>
      <c r="F359" s="15">
        <v>0</v>
      </c>
      <c r="G359" s="15">
        <v>0</v>
      </c>
      <c r="H359" s="15" t="s">
        <v>948</v>
      </c>
      <c r="I359" s="15" t="s">
        <v>948</v>
      </c>
      <c r="J359" s="76"/>
      <c r="K359" s="240">
        <f>((F359 * J359) * 10 ^ -3)</f>
        <v>0</v>
      </c>
      <c r="L359" s="15" t="str">
        <f t="shared" si="1"/>
        <v>t CO2e / 0</v>
      </c>
      <c r="M359" s="34"/>
      <c r="N359" s="13"/>
      <c r="O359" s="34"/>
    </row>
    <row r="360" spans="1:41" ht="20.100000000000001" customHeight="1" x14ac:dyDescent="0.2">
      <c r="D360" s="15">
        <v>0</v>
      </c>
      <c r="E360" s="15">
        <v>0</v>
      </c>
      <c r="F360" s="15">
        <v>0</v>
      </c>
      <c r="G360" s="15">
        <v>0</v>
      </c>
      <c r="H360" s="15" t="s">
        <v>948</v>
      </c>
      <c r="I360" s="15" t="s">
        <v>948</v>
      </c>
      <c r="J360" s="76"/>
      <c r="K360" s="240">
        <f>((F360 * J360) * 10 ^ -3)</f>
        <v>0</v>
      </c>
      <c r="L360" s="15" t="str">
        <f t="shared" si="1"/>
        <v>t CO2e / 0</v>
      </c>
      <c r="M360" s="34"/>
      <c r="N360" s="13"/>
      <c r="O360" s="34"/>
    </row>
    <row r="362" spans="1:41" ht="20.100000000000001" customHeight="1" x14ac:dyDescent="0.2">
      <c r="D362" s="242" t="s">
        <v>859</v>
      </c>
      <c r="E362" s="88" t="s">
        <v>948</v>
      </c>
      <c r="F362" s="97" t="str">
        <f>$E$170</f>
        <v>t CO2e</v>
      </c>
    </row>
    <row r="363" spans="1:41" ht="20.100000000000001" customHeight="1" x14ac:dyDescent="0.2">
      <c r="D363" s="242" t="s">
        <v>862</v>
      </c>
      <c r="E363" s="88">
        <f>SUM(K351:K360)</f>
        <v>42</v>
      </c>
      <c r="F363" s="97" t="str">
        <f>$E$170</f>
        <v>t CO2e</v>
      </c>
    </row>
    <row r="366" spans="1:41" ht="20.100000000000001" customHeight="1" x14ac:dyDescent="0.2">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row>
    <row r="367" spans="1:41" ht="20.100000000000001" customHeight="1" x14ac:dyDescent="0.2">
      <c r="D367" s="2" t="s">
        <v>1426</v>
      </c>
    </row>
    <row r="368" spans="1:41" ht="20.100000000000001" customHeight="1" x14ac:dyDescent="0.2">
      <c r="D368" s="17" t="s">
        <v>1427</v>
      </c>
    </row>
    <row r="369" spans="4:13" ht="20.100000000000001" customHeight="1" x14ac:dyDescent="0.2">
      <c r="D369" s="26" t="s">
        <v>1428</v>
      </c>
    </row>
    <row r="370" spans="4:13" ht="20.100000000000001" customHeight="1" x14ac:dyDescent="0.2">
      <c r="D370" s="134"/>
      <c r="E370" s="134"/>
    </row>
    <row r="374" spans="4:13" ht="20.100000000000001" customHeight="1" x14ac:dyDescent="0.2">
      <c r="D374" s="77" t="s">
        <v>371</v>
      </c>
      <c r="E374" s="1" t="s">
        <v>967</v>
      </c>
    </row>
    <row r="375" spans="4:13" ht="20.100000000000001" customHeight="1" x14ac:dyDescent="0.2">
      <c r="D375" s="77" t="s">
        <v>118</v>
      </c>
      <c r="E375" s="9" t="s">
        <v>7</v>
      </c>
    </row>
    <row r="377" spans="4:13" ht="20.100000000000001" customHeight="1" x14ac:dyDescent="0.2">
      <c r="D377" s="150" t="s">
        <v>1429</v>
      </c>
      <c r="E377" s="150" t="s">
        <v>1430</v>
      </c>
      <c r="F377" s="150" t="s">
        <v>1433</v>
      </c>
      <c r="G377" s="238" t="s">
        <v>1034</v>
      </c>
    </row>
    <row r="378" spans="4:13" ht="20.100000000000001" customHeight="1" x14ac:dyDescent="0.2">
      <c r="D378" s="150" t="s">
        <v>1421</v>
      </c>
      <c r="E378" s="150" t="s">
        <v>1431</v>
      </c>
      <c r="F378" s="150" t="s">
        <v>1434</v>
      </c>
      <c r="G378" s="142" t="s">
        <v>1036</v>
      </c>
    </row>
    <row r="379" spans="4:13" ht="20.100000000000001" customHeight="1" x14ac:dyDescent="0.2">
      <c r="D379" s="150" t="s">
        <v>1213</v>
      </c>
      <c r="E379" s="150" t="s">
        <v>1432</v>
      </c>
      <c r="F379" s="150"/>
      <c r="G379" s="238" t="s">
        <v>1034</v>
      </c>
    </row>
    <row r="381" spans="4:13" ht="20.100000000000001" customHeight="1" x14ac:dyDescent="0.2">
      <c r="D381" s="80" t="s">
        <v>853</v>
      </c>
      <c r="E381" s="239" t="s">
        <v>949</v>
      </c>
      <c r="F381" s="239" t="s">
        <v>950</v>
      </c>
      <c r="G381" s="138" t="s">
        <v>951</v>
      </c>
      <c r="H381" s="138" t="s">
        <v>859</v>
      </c>
      <c r="I381" s="80" t="s">
        <v>952</v>
      </c>
      <c r="J381" s="138" t="s">
        <v>862</v>
      </c>
      <c r="K381" s="80" t="s">
        <v>863</v>
      </c>
      <c r="L381" s="80" t="s">
        <v>864</v>
      </c>
      <c r="M381" s="80" t="s">
        <v>865</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0">
        <f>((F382 * G382) * 10 ^ -3)</f>
        <v>0</v>
      </c>
      <c r="I382" s="76">
        <v>3</v>
      </c>
      <c r="J382" s="240">
        <f>((F382 * (IF(I382,I382,G382))) * 10 ^ -3)</f>
        <v>0</v>
      </c>
      <c r="K382" s="34"/>
      <c r="L382" s="13"/>
      <c r="M382" s="34"/>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0">
        <f>((F383 * G383) * 10 ^ -3)</f>
        <v>0</v>
      </c>
      <c r="I383" s="76"/>
      <c r="J383" s="240">
        <f>((F383 * (IF(I383,I383,G383))) * 10 ^ -3)</f>
        <v>0</v>
      </c>
      <c r="K383" s="34"/>
      <c r="L383" s="13"/>
      <c r="M383" s="34"/>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0">
        <f>((F384 * G384) * 10 ^ -3)</f>
        <v>0</v>
      </c>
      <c r="I384" s="76"/>
      <c r="J384" s="240">
        <f>((F384 * (IF(I384,I384,G384))) * 10 ^ -3)</f>
        <v>0</v>
      </c>
      <c r="K384" s="34"/>
      <c r="L384" s="13"/>
      <c r="M384" s="34"/>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0">
        <f>((F385 * G385) * 10 ^ -3)</f>
        <v>0</v>
      </c>
      <c r="I385" s="76"/>
      <c r="J385" s="240">
        <f>((F385 * (IF(I385,I385,G385))) * 10 ^ -3)</f>
        <v>0</v>
      </c>
      <c r="K385" s="34"/>
      <c r="L385" s="13"/>
      <c r="M385" s="34"/>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0">
        <f>((F386 * G386) * 10 ^ -3)</f>
        <v>0</v>
      </c>
      <c r="I386" s="76"/>
      <c r="J386" s="240">
        <f>((F386 * (IF(I386,I386,G386))) * 10 ^ -3)</f>
        <v>0</v>
      </c>
      <c r="K386" s="34"/>
      <c r="L386" s="13"/>
      <c r="M386" s="34"/>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0">
        <f>((F387 * G387) * 10 ^ -3)</f>
        <v>0</v>
      </c>
      <c r="I387" s="76"/>
      <c r="J387" s="240">
        <f>((F387 * (IF(I387,I387,G387))) * 10 ^ -3)</f>
        <v>0</v>
      </c>
      <c r="K387" s="34"/>
      <c r="L387" s="13"/>
      <c r="M387" s="34"/>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0">
        <f>((F388 * G388) * 10 ^ -3)</f>
        <v>0</v>
      </c>
      <c r="I388" s="76"/>
      <c r="J388" s="240">
        <f>((F388 * (IF(I388,I388,G388))) * 10 ^ -3)</f>
        <v>0</v>
      </c>
      <c r="K388" s="34"/>
      <c r="L388" s="13"/>
      <c r="M388" s="34"/>
    </row>
    <row r="389" spans="1:41" ht="20.100000000000001" customHeight="1" x14ac:dyDescent="0.2">
      <c r="A389" s="81" t="str">
        <f>HYPERLINK("#A1", "▲ Back to top")</f>
        <v>▲ Back to top</v>
      </c>
      <c r="D389" s="15"/>
      <c r="E389" s="15"/>
      <c r="F389" s="15"/>
      <c r="G389" s="15" cm="1">
        <f t="array" ref="G389">Common_InputFunctions.Utility_LookupValueInTableNumber(E389,Table_SourceData_Scope3_Packaging[Product],Table_SourceData_Scope3_Packaging[Emissions intensity])</f>
        <v>0</v>
      </c>
      <c r="H389" s="240">
        <f>((F389 * G389) * 10 ^ -3)</f>
        <v>0</v>
      </c>
      <c r="I389" s="76"/>
      <c r="J389" s="240">
        <f>((F389 * (IF(I389,I389,G389))) * 10 ^ -3)</f>
        <v>0</v>
      </c>
      <c r="K389" s="34"/>
      <c r="L389" s="13"/>
      <c r="M389" s="34"/>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0">
        <f>((F390 * G390) * 10 ^ -3)</f>
        <v>0</v>
      </c>
      <c r="I390" s="76"/>
      <c r="J390" s="240">
        <f>((F390 * (IF(I390,I390,G390))) * 10 ^ -3)</f>
        <v>0</v>
      </c>
      <c r="K390" s="34"/>
      <c r="L390" s="13"/>
      <c r="M390" s="34"/>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0">
        <f>((F391 * G391) * 10 ^ -3)</f>
        <v>0</v>
      </c>
      <c r="I391" s="76"/>
      <c r="J391" s="240">
        <f>((F391 * (IF(I391,I391,G391))) * 10 ^ -3)</f>
        <v>0</v>
      </c>
      <c r="K391" s="34"/>
      <c r="L391" s="13"/>
      <c r="M391" s="34"/>
    </row>
    <row r="393" spans="1:41" ht="20.100000000000001" customHeight="1" x14ac:dyDescent="0.2">
      <c r="D393" s="242" t="s">
        <v>859</v>
      </c>
      <c r="E393" s="88">
        <f>SUM(H382:H391)</f>
        <v>0</v>
      </c>
      <c r="F393" s="97" t="str">
        <f>$E$170</f>
        <v>t CO2e</v>
      </c>
    </row>
    <row r="394" spans="1:41" ht="20.100000000000001" customHeight="1" x14ac:dyDescent="0.2">
      <c r="D394" s="242" t="s">
        <v>862</v>
      </c>
      <c r="E394" s="88">
        <f>SUM(J382:J391)</f>
        <v>0</v>
      </c>
      <c r="F394" s="97" t="str">
        <f>$E$170</f>
        <v>t CO2e</v>
      </c>
    </row>
    <row r="397" spans="1:41" ht="20.100000000000001" customHeight="1" x14ac:dyDescent="0.2">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row>
    <row r="398" spans="1:41" ht="20.100000000000001" customHeight="1" x14ac:dyDescent="0.2">
      <c r="D398" s="2" t="s">
        <v>1435</v>
      </c>
    </row>
    <row r="399" spans="1:41" ht="20.100000000000001" customHeight="1" x14ac:dyDescent="0.2">
      <c r="D399" s="17" t="s">
        <v>1436</v>
      </c>
    </row>
    <row r="400" spans="1:41" ht="20.100000000000001" customHeight="1" x14ac:dyDescent="0.2">
      <c r="D400" s="134"/>
      <c r="E400" s="134"/>
    </row>
    <row r="403" spans="4:14" ht="20.100000000000001" customHeight="1" x14ac:dyDescent="0.2">
      <c r="G403" s="134"/>
    </row>
    <row r="404" spans="4:14" ht="20.100000000000001" customHeight="1" x14ac:dyDescent="0.2">
      <c r="D404" s="77" t="s">
        <v>371</v>
      </c>
      <c r="E404" s="1" t="s">
        <v>967</v>
      </c>
    </row>
    <row r="405" spans="4:14" ht="20.100000000000001" customHeight="1" x14ac:dyDescent="0.2">
      <c r="D405" s="77" t="s">
        <v>118</v>
      </c>
      <c r="E405" s="1" t="s">
        <v>7</v>
      </c>
    </row>
    <row r="407" spans="4:14" ht="20.100000000000001" customHeight="1" x14ac:dyDescent="0.2">
      <c r="D407" s="150" t="s">
        <v>1437</v>
      </c>
      <c r="E407" s="150" t="s">
        <v>1438</v>
      </c>
      <c r="F407" s="150" t="s">
        <v>1442</v>
      </c>
      <c r="G407" s="238" t="s">
        <v>1034</v>
      </c>
    </row>
    <row r="408" spans="4:14" ht="20.100000000000001" customHeight="1" x14ac:dyDescent="0.2">
      <c r="D408" s="150" t="s">
        <v>1439</v>
      </c>
      <c r="E408" s="150" t="s">
        <v>1440</v>
      </c>
      <c r="F408" s="150" t="s">
        <v>1443</v>
      </c>
      <c r="G408" s="142" t="s">
        <v>1036</v>
      </c>
    </row>
    <row r="409" spans="4:14" ht="20.100000000000001" customHeight="1" x14ac:dyDescent="0.2">
      <c r="D409" s="150" t="s">
        <v>1268</v>
      </c>
      <c r="E409" s="150" t="s">
        <v>1441</v>
      </c>
      <c r="F409" s="150"/>
      <c r="G409" s="238" t="s">
        <v>1034</v>
      </c>
    </row>
    <row r="411" spans="4:14" ht="20.100000000000001" customHeight="1" x14ac:dyDescent="0.2">
      <c r="D411" s="26" t="s">
        <v>942</v>
      </c>
    </row>
    <row r="413" spans="4:14" ht="20.100000000000001" customHeight="1" x14ac:dyDescent="0.2">
      <c r="D413" s="80" t="s">
        <v>953</v>
      </c>
      <c r="E413" s="80" t="s">
        <v>798</v>
      </c>
      <c r="F413" s="80" t="s">
        <v>553</v>
      </c>
      <c r="G413" s="138" t="s">
        <v>943</v>
      </c>
      <c r="H413" s="138" t="s">
        <v>944</v>
      </c>
      <c r="I413" s="80" t="s">
        <v>945</v>
      </c>
      <c r="J413" s="138" t="s">
        <v>946</v>
      </c>
      <c r="K413" s="138" t="s">
        <v>947</v>
      </c>
      <c r="L413" s="80" t="s">
        <v>863</v>
      </c>
      <c r="M413" s="80" t="s">
        <v>864</v>
      </c>
      <c r="N413" s="80" t="s">
        <v>865</v>
      </c>
    </row>
    <row r="414" spans="4:14" ht="20.100000000000001" customHeight="1" x14ac:dyDescent="0.2">
      <c r="D414" s="15"/>
      <c r="E414" s="15"/>
      <c r="F414" s="15"/>
      <c r="G414" s="15" t="s">
        <v>948</v>
      </c>
      <c r="H414" s="15" t="s">
        <v>948</v>
      </c>
      <c r="I414" s="76">
        <v>4</v>
      </c>
      <c r="J414" s="240">
        <f>((E414 * I414) * 10 ^ -3)</f>
        <v>0</v>
      </c>
      <c r="K414" s="15" t="str">
        <f>"t CO2e / " &amp; F414</f>
        <v xml:space="preserve">t CO2e / </v>
      </c>
      <c r="L414" s="34"/>
      <c r="M414" s="13"/>
      <c r="N414" s="34"/>
    </row>
    <row r="415" spans="4:14" ht="20.100000000000001" customHeight="1" x14ac:dyDescent="0.2">
      <c r="D415" s="15"/>
      <c r="E415" s="15"/>
      <c r="F415" s="15"/>
      <c r="G415" s="15" t="s">
        <v>948</v>
      </c>
      <c r="H415" s="15" t="s">
        <v>948</v>
      </c>
      <c r="I415" s="76">
        <v>2</v>
      </c>
      <c r="J415" s="240">
        <f>((E415 * I415) * 10 ^ -3)</f>
        <v>0</v>
      </c>
      <c r="K415" s="15" t="str">
        <f t="shared" ref="K415:K423" si="2">"t CO2e / " &amp; F415</f>
        <v xml:space="preserve">t CO2e / </v>
      </c>
      <c r="L415" s="34"/>
      <c r="M415" s="13"/>
      <c r="N415" s="34"/>
    </row>
    <row r="416" spans="4:14" ht="20.100000000000001" customHeight="1" x14ac:dyDescent="0.2">
      <c r="D416" s="15"/>
      <c r="E416" s="15"/>
      <c r="F416" s="15"/>
      <c r="G416" s="15" t="s">
        <v>948</v>
      </c>
      <c r="H416" s="15" t="s">
        <v>948</v>
      </c>
      <c r="I416" s="76"/>
      <c r="J416" s="240">
        <f>((E416 * I416) * 10 ^ -3)</f>
        <v>0</v>
      </c>
      <c r="K416" s="15" t="str">
        <f t="shared" si="2"/>
        <v xml:space="preserve">t CO2e / </v>
      </c>
      <c r="L416" s="34"/>
      <c r="M416" s="13"/>
      <c r="N416" s="34"/>
    </row>
    <row r="417" spans="1:41" ht="20.100000000000001" customHeight="1" x14ac:dyDescent="0.2">
      <c r="D417" s="15"/>
      <c r="E417" s="15"/>
      <c r="F417" s="15"/>
      <c r="G417" s="15" t="s">
        <v>948</v>
      </c>
      <c r="H417" s="15" t="s">
        <v>948</v>
      </c>
      <c r="I417" s="76"/>
      <c r="J417" s="240">
        <f>((E417 * I417) * 10 ^ -3)</f>
        <v>0</v>
      </c>
      <c r="K417" s="15" t="str">
        <f t="shared" si="2"/>
        <v xml:space="preserve">t CO2e / </v>
      </c>
      <c r="L417" s="34"/>
      <c r="M417" s="13"/>
      <c r="N417" s="34"/>
    </row>
    <row r="418" spans="1:41" ht="20.100000000000001" customHeight="1" x14ac:dyDescent="0.2">
      <c r="D418" s="15"/>
      <c r="E418" s="15"/>
      <c r="F418" s="15"/>
      <c r="G418" s="15" t="s">
        <v>948</v>
      </c>
      <c r="H418" s="15" t="s">
        <v>948</v>
      </c>
      <c r="I418" s="76"/>
      <c r="J418" s="240">
        <f>((E418 * I418) * 10 ^ -3)</f>
        <v>0</v>
      </c>
      <c r="K418" s="15" t="str">
        <f t="shared" si="2"/>
        <v xml:space="preserve">t CO2e / </v>
      </c>
      <c r="L418" s="34"/>
      <c r="M418" s="13"/>
      <c r="N418" s="34"/>
    </row>
    <row r="419" spans="1:41" ht="20.100000000000001" customHeight="1" x14ac:dyDescent="0.2">
      <c r="A419" s="81" t="str">
        <f>HYPERLINK("#A1", "▲ Back to top")</f>
        <v>▲ Back to top</v>
      </c>
      <c r="D419" s="15"/>
      <c r="E419" s="15"/>
      <c r="F419" s="15"/>
      <c r="G419" s="15" t="s">
        <v>948</v>
      </c>
      <c r="H419" s="15" t="s">
        <v>948</v>
      </c>
      <c r="I419" s="76"/>
      <c r="J419" s="240">
        <f>((E419 * I419) * 10 ^ -3)</f>
        <v>0</v>
      </c>
      <c r="K419" s="15" t="str">
        <f t="shared" si="2"/>
        <v xml:space="preserve">t CO2e / </v>
      </c>
      <c r="L419" s="34"/>
      <c r="M419" s="13"/>
      <c r="N419" s="34"/>
    </row>
    <row r="420" spans="1:41" ht="20.100000000000001" customHeight="1" x14ac:dyDescent="0.2">
      <c r="D420" s="15"/>
      <c r="E420" s="15"/>
      <c r="F420" s="15"/>
      <c r="G420" s="15" t="s">
        <v>948</v>
      </c>
      <c r="H420" s="15" t="s">
        <v>948</v>
      </c>
      <c r="I420" s="76"/>
      <c r="J420" s="240">
        <f>((E420 * I420) * 10 ^ -3)</f>
        <v>0</v>
      </c>
      <c r="K420" s="15" t="str">
        <f t="shared" si="2"/>
        <v xml:space="preserve">t CO2e / </v>
      </c>
      <c r="L420" s="34"/>
      <c r="M420" s="13"/>
      <c r="N420" s="34"/>
    </row>
    <row r="421" spans="1:41" ht="20.100000000000001" customHeight="1" x14ac:dyDescent="0.2">
      <c r="D421" s="15"/>
      <c r="E421" s="15"/>
      <c r="F421" s="15"/>
      <c r="G421" s="15" t="s">
        <v>948</v>
      </c>
      <c r="H421" s="15" t="s">
        <v>948</v>
      </c>
      <c r="I421" s="76"/>
      <c r="J421" s="240">
        <f>((E421 * I421) * 10 ^ -3)</f>
        <v>0</v>
      </c>
      <c r="K421" s="15" t="str">
        <f t="shared" si="2"/>
        <v xml:space="preserve">t CO2e / </v>
      </c>
      <c r="L421" s="34"/>
      <c r="M421" s="13"/>
      <c r="N421" s="34"/>
    </row>
    <row r="422" spans="1:41" ht="20.100000000000001" customHeight="1" x14ac:dyDescent="0.2">
      <c r="D422" s="15"/>
      <c r="E422" s="15"/>
      <c r="F422" s="15"/>
      <c r="G422" s="15" t="s">
        <v>948</v>
      </c>
      <c r="H422" s="15" t="s">
        <v>948</v>
      </c>
      <c r="I422" s="76"/>
      <c r="J422" s="240">
        <f>((E422 * I422) * 10 ^ -3)</f>
        <v>0</v>
      </c>
      <c r="K422" s="15" t="str">
        <f t="shared" si="2"/>
        <v xml:space="preserve">t CO2e / </v>
      </c>
      <c r="L422" s="34"/>
      <c r="M422" s="13"/>
      <c r="N422" s="34"/>
    </row>
    <row r="423" spans="1:41" ht="20.100000000000001" customHeight="1" x14ac:dyDescent="0.2">
      <c r="D423" s="15"/>
      <c r="E423" s="15"/>
      <c r="F423" s="15"/>
      <c r="G423" s="15" t="s">
        <v>948</v>
      </c>
      <c r="H423" s="15" t="s">
        <v>948</v>
      </c>
      <c r="I423" s="76"/>
      <c r="J423" s="240">
        <f>((E423 * I423) * 10 ^ -3)</f>
        <v>0</v>
      </c>
      <c r="K423" s="15" t="str">
        <f t="shared" si="2"/>
        <v xml:space="preserve">t CO2e / </v>
      </c>
      <c r="L423" s="34"/>
      <c r="M423" s="13"/>
      <c r="N423" s="34"/>
    </row>
    <row r="425" spans="1:41" ht="20.100000000000001" customHeight="1" x14ac:dyDescent="0.2">
      <c r="D425" s="242" t="s">
        <v>859</v>
      </c>
      <c r="E425" s="88" t="s">
        <v>948</v>
      </c>
      <c r="F425" s="97" t="str">
        <f>$E$170</f>
        <v>t CO2e</v>
      </c>
    </row>
    <row r="426" spans="1:41" ht="20.100000000000001" customHeight="1" x14ac:dyDescent="0.2">
      <c r="D426" s="242" t="s">
        <v>862</v>
      </c>
      <c r="E426" s="88">
        <f>SUM(J414:J423)</f>
        <v>0</v>
      </c>
      <c r="F426" s="97" t="str">
        <f>$E$170</f>
        <v>t CO2e</v>
      </c>
    </row>
    <row r="429" spans="1:41" ht="20.100000000000001" customHeight="1" x14ac:dyDescent="0.2">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row>
    <row r="430" spans="1:41" ht="20.100000000000001" customHeight="1" x14ac:dyDescent="0.2">
      <c r="D430" s="2" t="s">
        <v>1444</v>
      </c>
    </row>
    <row r="431" spans="1:41" ht="20.100000000000001" customHeight="1" x14ac:dyDescent="0.2">
      <c r="D431" s="17" t="s">
        <v>1445</v>
      </c>
    </row>
    <row r="432" spans="1:41" ht="20.100000000000001" customHeight="1" x14ac:dyDescent="0.2">
      <c r="D432" s="26" t="s">
        <v>954</v>
      </c>
    </row>
    <row r="433" spans="4:13" ht="20.100000000000001" customHeight="1" x14ac:dyDescent="0.2">
      <c r="D433" s="134"/>
      <c r="E433" s="134"/>
    </row>
    <row r="436" spans="4:13" ht="20.100000000000001" customHeight="1" x14ac:dyDescent="0.2">
      <c r="D436" s="77" t="s">
        <v>371</v>
      </c>
      <c r="E436" s="1" t="s">
        <v>1446</v>
      </c>
    </row>
    <row r="437" spans="4:13" ht="20.100000000000001" customHeight="1" x14ac:dyDescent="0.2">
      <c r="D437" s="77" t="s">
        <v>118</v>
      </c>
      <c r="E437" s="9" t="s">
        <v>7</v>
      </c>
    </row>
    <row r="439" spans="4:13" ht="20.100000000000001" customHeight="1" x14ac:dyDescent="0.2">
      <c r="D439" s="150" t="s">
        <v>1447</v>
      </c>
      <c r="E439" s="147" t="s">
        <v>1448</v>
      </c>
      <c r="F439" s="159"/>
      <c r="G439" s="150" t="s">
        <v>1451</v>
      </c>
      <c r="H439" s="238" t="s">
        <v>1034</v>
      </c>
    </row>
    <row r="440" spans="4:13" ht="20.100000000000001" customHeight="1" x14ac:dyDescent="0.2">
      <c r="D440" s="150" t="s">
        <v>1449</v>
      </c>
      <c r="E440" s="147" t="s">
        <v>1450</v>
      </c>
      <c r="F440" s="159"/>
      <c r="G440" s="150" t="s">
        <v>1451</v>
      </c>
      <c r="H440" s="142" t="s">
        <v>1036</v>
      </c>
    </row>
    <row r="442" spans="4:13" ht="20.100000000000001" customHeight="1" x14ac:dyDescent="0.2">
      <c r="D442" s="233" t="s">
        <v>955</v>
      </c>
    </row>
    <row r="444" spans="4:13" ht="20.100000000000001" customHeight="1" x14ac:dyDescent="0.2">
      <c r="D444" s="80" t="s">
        <v>853</v>
      </c>
      <c r="E444" s="239" t="s">
        <v>956</v>
      </c>
      <c r="F444" s="239" t="s">
        <v>957</v>
      </c>
      <c r="G444" s="138" t="s">
        <v>119</v>
      </c>
      <c r="H444" s="138" t="s">
        <v>859</v>
      </c>
      <c r="I444" s="80" t="s">
        <v>120</v>
      </c>
      <c r="J444" s="138" t="s">
        <v>862</v>
      </c>
      <c r="K444" s="80" t="s">
        <v>863</v>
      </c>
      <c r="L444" s="80" t="s">
        <v>864</v>
      </c>
      <c r="M444" s="80" t="s">
        <v>865</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0">
        <f>(F445 * (G445*10^-3))</f>
        <v>9.0700000000000003E-2</v>
      </c>
      <c r="I445" s="76">
        <v>1.3</v>
      </c>
      <c r="J445" s="240">
        <f>(F445 * (IF(I445,I445,G445)*10^-3))</f>
        <v>0.13</v>
      </c>
      <c r="K445" s="34"/>
      <c r="L445" s="13"/>
      <c r="M445" s="34"/>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0">
        <f>(F446 * (G446*10^-3))</f>
        <v>7.22E-2</v>
      </c>
      <c r="I446" s="76">
        <v>8</v>
      </c>
      <c r="J446" s="240">
        <f>(F446 * (IF(I446,I446,G446)*10^-3))</f>
        <v>0.8</v>
      </c>
      <c r="K446" s="34"/>
      <c r="L446" s="13"/>
      <c r="M446" s="34"/>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0">
        <f>(F447 * (G447*10^-3))</f>
        <v>8.0399999999999999E-2</v>
      </c>
      <c r="I447" s="76">
        <v>4</v>
      </c>
      <c r="J447" s="240">
        <f>(F447 * (IF(I447,I447,G447)*10^-3))</f>
        <v>0.4</v>
      </c>
      <c r="K447" s="34"/>
      <c r="L447" s="13"/>
      <c r="M447" s="34"/>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0">
        <f>(F448 * (G448*10^-3))</f>
        <v>8.0399999999999999E-2</v>
      </c>
      <c r="I448" s="76">
        <v>3</v>
      </c>
      <c r="J448" s="240">
        <f>(F448 * (IF(I448,I448,G448)*10^-3))</f>
        <v>0.3</v>
      </c>
      <c r="K448" s="34"/>
      <c r="L448" s="13"/>
      <c r="M448" s="34"/>
    </row>
    <row r="449" spans="1:13" ht="20.100000000000001" customHeight="1" x14ac:dyDescent="0.2">
      <c r="A449" s="81" t="str">
        <f>HYPERLINK("#A1", "▲ Back to top")</f>
        <v>▲ Back to top</v>
      </c>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0">
        <f>(F449 * (G449*10^-3))</f>
        <v>9.0700000000000003E-2</v>
      </c>
      <c r="I449" s="76">
        <v>6</v>
      </c>
      <c r="J449" s="240">
        <f>(F449 * (IF(I449,I449,G449)*10^-3))</f>
        <v>0.6</v>
      </c>
      <c r="K449" s="34"/>
      <c r="L449" s="13"/>
      <c r="M449" s="34"/>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0">
        <f>(F450 * (G450*10^-3))</f>
        <v>9.0700000000000003E-2</v>
      </c>
      <c r="I450" s="76">
        <v>5</v>
      </c>
      <c r="J450" s="240">
        <f>(F450 * (IF(I450,I450,G450)*10^-3))</f>
        <v>0.5</v>
      </c>
      <c r="K450" s="34"/>
      <c r="L450" s="13"/>
      <c r="M450" s="34"/>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0">
        <f>(F451 * (G451*10^-3))</f>
        <v>0</v>
      </c>
      <c r="I451" s="76"/>
      <c r="J451" s="240">
        <f>(F451 * (IF(I451,I451,G451)*10^-3))</f>
        <v>0</v>
      </c>
      <c r="K451" s="34"/>
      <c r="L451" s="13"/>
      <c r="M451" s="34"/>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0">
        <f>(F452 * (G452*10^-3))</f>
        <v>0</v>
      </c>
      <c r="I452" s="76"/>
      <c r="J452" s="240">
        <f>(F452 * (IF(I452,I452,G452)*10^-3))</f>
        <v>0</v>
      </c>
      <c r="K452" s="34"/>
      <c r="L452" s="13"/>
      <c r="M452" s="34"/>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0">
        <f>(F453 * (G453*10^-3))</f>
        <v>0</v>
      </c>
      <c r="I453" s="76"/>
      <c r="J453" s="240">
        <f>(F453 * (IF(I453,I453,G453)*10^-3))</f>
        <v>0</v>
      </c>
      <c r="K453" s="34"/>
      <c r="L453" s="13"/>
      <c r="M453" s="34"/>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0">
        <f>(F454 * (G454*10^-3))</f>
        <v>0</v>
      </c>
      <c r="I454" s="76"/>
      <c r="J454" s="240">
        <f>(F454 * (IF(I454,I454,G454)*10^-3))</f>
        <v>0</v>
      </c>
      <c r="K454" s="34"/>
      <c r="L454" s="13"/>
      <c r="M454" s="34"/>
    </row>
    <row r="456" spans="1:13" ht="20.100000000000001" customHeight="1" x14ac:dyDescent="0.2">
      <c r="D456" s="242" t="s">
        <v>859</v>
      </c>
      <c r="E456" s="88">
        <f>SUM(H445:H454)</f>
        <v>0.50509999999999999</v>
      </c>
      <c r="F456" s="97" t="str">
        <f>$E$170</f>
        <v>t CO2e</v>
      </c>
    </row>
    <row r="457" spans="1:13" ht="20.100000000000001" customHeight="1" x14ac:dyDescent="0.2">
      <c r="D457" s="242" t="s">
        <v>862</v>
      </c>
      <c r="E457" s="88">
        <f>SUM(J445:J454)</f>
        <v>2.73</v>
      </c>
      <c r="F457" s="97" t="str">
        <f>$E$170</f>
        <v>t CO2e</v>
      </c>
    </row>
    <row r="460" spans="1:13" ht="20.100000000000001" customHeight="1" x14ac:dyDescent="0.2">
      <c r="D460" s="233" t="s">
        <v>958</v>
      </c>
    </row>
    <row r="462" spans="1:13" ht="20.100000000000001" customHeight="1" x14ac:dyDescent="0.2">
      <c r="D462" s="80" t="s">
        <v>853</v>
      </c>
      <c r="E462" s="239" t="s">
        <v>956</v>
      </c>
      <c r="F462" s="239" t="s">
        <v>959</v>
      </c>
      <c r="G462" s="138" t="s">
        <v>960</v>
      </c>
      <c r="H462" s="138" t="s">
        <v>859</v>
      </c>
      <c r="I462" s="80" t="s">
        <v>961</v>
      </c>
      <c r="J462" s="138" t="s">
        <v>862</v>
      </c>
      <c r="K462" s="80" t="s">
        <v>863</v>
      </c>
      <c r="L462" s="80" t="s">
        <v>864</v>
      </c>
      <c r="M462" s="80" t="s">
        <v>865</v>
      </c>
    </row>
    <row r="463" spans="1:13" ht="20.100000000000001" customHeight="1" x14ac:dyDescent="0.2">
      <c r="D463" s="15"/>
      <c r="E463" s="15"/>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0</v>
      </c>
      <c r="H463" s="240">
        <f>(F463 * (G463*10^-3))</f>
        <v>0</v>
      </c>
      <c r="I463" s="76">
        <v>0.05</v>
      </c>
      <c r="J463" s="240">
        <f>(F463 * (IF(I463,I463,G463)*10^-3))</f>
        <v>5.0000000000000001E-3</v>
      </c>
      <c r="K463" s="34"/>
      <c r="L463" s="13"/>
      <c r="M463" s="34"/>
    </row>
    <row r="464" spans="1:13" ht="20.100000000000001" customHeight="1" x14ac:dyDescent="0.2">
      <c r="D464" s="15"/>
      <c r="E464" s="15"/>
      <c r="F464" s="15">
        <v>100</v>
      </c>
      <c r="G464" s="15" cm="1">
        <f t="array" ref="G464">Common_InputFunctions.Utility_LookupValueInTableNumber(E464,Table_SourceData_Scope3_ChemicalsPharmacy[Product],Table_SourceData_Scope3_ChemicalsPharmacy[Emissions intensity])</f>
        <v>0</v>
      </c>
      <c r="H464" s="240">
        <f>(F464 * (G464*10^-3))</f>
        <v>0</v>
      </c>
      <c r="I464" s="76">
        <v>0.01</v>
      </c>
      <c r="J464" s="240">
        <f>(F464 * (IF(I464,I464,G464)*10^-3))</f>
        <v>1E-3</v>
      </c>
      <c r="K464" s="34"/>
      <c r="L464" s="13"/>
      <c r="M464" s="34"/>
    </row>
    <row r="465" spans="1:13" ht="20.100000000000001" customHeight="1" x14ac:dyDescent="0.2">
      <c r="D465" s="15"/>
      <c r="E465" s="15"/>
      <c r="F465" s="15">
        <v>100</v>
      </c>
      <c r="G465" s="15" cm="1">
        <f t="array" ref="G465">Common_InputFunctions.Utility_LookupValueInTableNumber(E465,Table_SourceData_Scope3_ChemicalsPharmacy[Product],Table_SourceData_Scope3_ChemicalsPharmacy[Emissions intensity])</f>
        <v>0</v>
      </c>
      <c r="H465" s="240">
        <f>(F465 * (G465*10^-3))</f>
        <v>0</v>
      </c>
      <c r="I465" s="76">
        <v>0.01</v>
      </c>
      <c r="J465" s="240">
        <f>(F465 * (IF(I465,I465,G465)*10^-3))</f>
        <v>1E-3</v>
      </c>
      <c r="K465" s="34"/>
      <c r="L465" s="13"/>
      <c r="M465" s="34"/>
    </row>
    <row r="466" spans="1:13" ht="20.100000000000001" customHeight="1" x14ac:dyDescent="0.2">
      <c r="D466" s="15"/>
      <c r="E466" s="15"/>
      <c r="F466" s="15">
        <v>100</v>
      </c>
      <c r="G466" s="15" cm="1">
        <f t="array" ref="G466">Common_InputFunctions.Utility_LookupValueInTableNumber(E466,Table_SourceData_Scope3_ChemicalsPharmacy[Product],Table_SourceData_Scope3_ChemicalsPharmacy[Emissions intensity])</f>
        <v>0</v>
      </c>
      <c r="H466" s="240">
        <f>(F466 * (G466*10^-3))</f>
        <v>0</v>
      </c>
      <c r="I466" s="76">
        <v>4.0000000000000001E-3</v>
      </c>
      <c r="J466" s="240">
        <f>(F466 * (IF(I466,I466,G466)*10^-3))</f>
        <v>3.9999999999999996E-4</v>
      </c>
      <c r="K466" s="34"/>
      <c r="L466" s="13"/>
      <c r="M466" s="34"/>
    </row>
    <row r="467" spans="1:13" ht="20.100000000000001" customHeight="1" x14ac:dyDescent="0.2">
      <c r="D467" s="15"/>
      <c r="E467" s="15"/>
      <c r="F467" s="15">
        <v>100</v>
      </c>
      <c r="G467" s="15" cm="1">
        <f t="array" ref="G467">Common_InputFunctions.Utility_LookupValueInTableNumber(E467,Table_SourceData_Scope3_ChemicalsPharmacy[Product],Table_SourceData_Scope3_ChemicalsPharmacy[Emissions intensity])</f>
        <v>0</v>
      </c>
      <c r="H467" s="240">
        <f>(F467 * (G467*10^-3))</f>
        <v>0</v>
      </c>
      <c r="I467" s="76">
        <v>0.05</v>
      </c>
      <c r="J467" s="240">
        <f>(F467 * (IF(I467,I467,G467)*10^-3))</f>
        <v>5.0000000000000001E-3</v>
      </c>
      <c r="K467" s="34"/>
      <c r="L467" s="13"/>
      <c r="M467" s="34"/>
    </row>
    <row r="468" spans="1:13" ht="20.100000000000001" customHeight="1" x14ac:dyDescent="0.2">
      <c r="D468" s="15"/>
      <c r="E468" s="15"/>
      <c r="F468" s="15">
        <v>100</v>
      </c>
      <c r="G468" s="15" cm="1">
        <f t="array" ref="G468">Common_InputFunctions.Utility_LookupValueInTableNumber(E468,Table_SourceData_Scope3_ChemicalsPharmacy[Product],Table_SourceData_Scope3_ChemicalsPharmacy[Emissions intensity])</f>
        <v>0</v>
      </c>
      <c r="H468" s="240">
        <f>(F468 * (G468*10^-3))</f>
        <v>0</v>
      </c>
      <c r="I468" s="76">
        <v>0.01</v>
      </c>
      <c r="J468" s="240">
        <f>(F468 * (IF(I468,I468,G468)*10^-3))</f>
        <v>1E-3</v>
      </c>
      <c r="K468" s="34"/>
      <c r="L468" s="13"/>
      <c r="M468" s="34"/>
    </row>
    <row r="469" spans="1:13" ht="20.100000000000001" customHeight="1" x14ac:dyDescent="0.2">
      <c r="D469" s="15"/>
      <c r="E469" s="15"/>
      <c r="F469" s="15">
        <v>0</v>
      </c>
      <c r="G469" s="15" cm="1">
        <f t="array" ref="G469">Common_InputFunctions.Utility_LookupValueInTableNumber(E469,Table_SourceData_Scope3_ChemicalsPharmacy[Product],Table_SourceData_Scope3_ChemicalsPharmacy[Emissions intensity])</f>
        <v>0</v>
      </c>
      <c r="H469" s="240">
        <f>(F469 * (G469*10^-3))</f>
        <v>0</v>
      </c>
      <c r="I469" s="76"/>
      <c r="J469" s="240">
        <f>(F469 * (IF(I469,I469,G469)*10^-3))</f>
        <v>0</v>
      </c>
      <c r="K469" s="34"/>
      <c r="L469" s="13"/>
      <c r="M469" s="34"/>
    </row>
    <row r="470" spans="1:13" ht="20.100000000000001" customHeight="1" x14ac:dyDescent="0.2">
      <c r="D470" s="15"/>
      <c r="E470" s="15"/>
      <c r="F470" s="15">
        <v>0</v>
      </c>
      <c r="G470" s="15" cm="1">
        <f t="array" ref="G470">Common_InputFunctions.Utility_LookupValueInTableNumber(E470,Table_SourceData_Scope3_ChemicalsPharmacy[Product],Table_SourceData_Scope3_ChemicalsPharmacy[Emissions intensity])</f>
        <v>0</v>
      </c>
      <c r="H470" s="240">
        <f>(F470 * (G470*10^-3))</f>
        <v>0</v>
      </c>
      <c r="I470" s="76"/>
      <c r="J470" s="240">
        <f>(F470 * (IF(I470,I470,G470)*10^-3))</f>
        <v>0</v>
      </c>
      <c r="K470" s="34"/>
      <c r="L470" s="13"/>
      <c r="M470" s="34"/>
    </row>
    <row r="471" spans="1:13" ht="20.100000000000001" customHeight="1" x14ac:dyDescent="0.2">
      <c r="D471" s="15"/>
      <c r="E471" s="15"/>
      <c r="F471" s="15">
        <v>0</v>
      </c>
      <c r="G471" s="15" cm="1">
        <f t="array" ref="G471">Common_InputFunctions.Utility_LookupValueInTableNumber(E471,Table_SourceData_Scope3_ChemicalsPharmacy[Product],Table_SourceData_Scope3_ChemicalsPharmacy[Emissions intensity])</f>
        <v>0</v>
      </c>
      <c r="H471" s="240">
        <f>(F471 * (G471*10^-3))</f>
        <v>0</v>
      </c>
      <c r="I471" s="76"/>
      <c r="J471" s="240">
        <f>(F471 * (IF(I471,I471,G471)*10^-3))</f>
        <v>0</v>
      </c>
      <c r="K471" s="34"/>
      <c r="L471" s="13"/>
      <c r="M471" s="34"/>
    </row>
    <row r="472" spans="1:13" ht="20.100000000000001" customHeight="1" x14ac:dyDescent="0.2">
      <c r="D472" s="15"/>
      <c r="E472" s="15"/>
      <c r="F472" s="15">
        <v>0</v>
      </c>
      <c r="G472" s="15" cm="1">
        <f t="array" ref="G472">Common_InputFunctions.Utility_LookupValueInTableNumber(E472,Table_SourceData_Scope3_ChemicalsPharmacy[Product],Table_SourceData_Scope3_ChemicalsPharmacy[Emissions intensity])</f>
        <v>0</v>
      </c>
      <c r="H472" s="240">
        <f>(F472 * (G472*10^-3))</f>
        <v>0</v>
      </c>
      <c r="I472" s="76"/>
      <c r="J472" s="240">
        <f>(F472 * (IF(I472,I472,G472)*10^-3))</f>
        <v>0</v>
      </c>
      <c r="K472" s="34"/>
      <c r="L472" s="13"/>
      <c r="M472" s="34"/>
    </row>
    <row r="474" spans="1:13" ht="20.100000000000001" customHeight="1" x14ac:dyDescent="0.2">
      <c r="D474" s="242" t="s">
        <v>859</v>
      </c>
      <c r="E474" s="88">
        <f>SUM(H463:H472)</f>
        <v>0</v>
      </c>
      <c r="F474" s="97" t="str">
        <f>$E$170</f>
        <v>t CO2e</v>
      </c>
    </row>
    <row r="475" spans="1:13" ht="20.100000000000001" customHeight="1" x14ac:dyDescent="0.2">
      <c r="D475" s="242" t="s">
        <v>862</v>
      </c>
      <c r="E475" s="88">
        <f>SUM(J463:J472)</f>
        <v>1.3400000000000002E-2</v>
      </c>
      <c r="F475" s="97" t="str">
        <f>$E$170</f>
        <v>t CO2e</v>
      </c>
    </row>
    <row r="478" spans="1:13" ht="20.100000000000001" customHeight="1" x14ac:dyDescent="0.2">
      <c r="D478" s="233" t="s">
        <v>836</v>
      </c>
    </row>
    <row r="479" spans="1:13" ht="20.100000000000001" customHeight="1" x14ac:dyDescent="0.2">
      <c r="A479" s="81" t="str">
        <f>HYPERLINK("#A1", "▲ Back to top")</f>
        <v>▲ Back to top</v>
      </c>
    </row>
    <row r="480" spans="1:13" ht="20.100000000000001" customHeight="1" x14ac:dyDescent="0.2">
      <c r="D480" s="80" t="s">
        <v>786</v>
      </c>
      <c r="E480" s="80" t="s">
        <v>962</v>
      </c>
      <c r="F480" s="138" t="s">
        <v>960</v>
      </c>
      <c r="G480" s="138" t="s">
        <v>859</v>
      </c>
      <c r="H480" s="80" t="s">
        <v>961</v>
      </c>
      <c r="I480" s="138" t="s">
        <v>862</v>
      </c>
      <c r="J480" s="80" t="s">
        <v>863</v>
      </c>
      <c r="K480" s="80" t="s">
        <v>864</v>
      </c>
      <c r="L480" s="80" t="s">
        <v>865</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0">
        <f>(E481 * (F481*10^-3))</f>
        <v>0.1195</v>
      </c>
      <c r="H481" s="76">
        <v>0.2</v>
      </c>
      <c r="I481" s="240">
        <f>(E481 * (IF(H481,H481,F481)*10^-3))</f>
        <v>0.1</v>
      </c>
      <c r="J481" s="34"/>
      <c r="K481" s="13"/>
      <c r="L481" s="34"/>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0">
        <f>(E482 * (F482*10^-3))</f>
        <v>0.1086</v>
      </c>
      <c r="H482" s="76"/>
      <c r="I482" s="240">
        <f>(E482 * (IF(H482,H482,F482)*10^-3))</f>
        <v>0.1086</v>
      </c>
      <c r="J482" s="34"/>
      <c r="K482" s="13"/>
      <c r="L482" s="34"/>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0">
        <f>(E483 * (F483*10^-3))</f>
        <v>0.189</v>
      </c>
      <c r="H483" s="76">
        <v>0.2</v>
      </c>
      <c r="I483" s="240">
        <f>(E483 * (IF(H483,H483,F483)*10^-3))</f>
        <v>0.14000000000000001</v>
      </c>
      <c r="J483" s="34"/>
      <c r="K483" s="13"/>
      <c r="L483" s="34"/>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0">
        <f>(E484 * (F484*10^-3))</f>
        <v>0.18560000000000001</v>
      </c>
      <c r="H484" s="76"/>
      <c r="I484" s="240">
        <f>(E484 * (IF(H484,H484,F484)*10^-3))</f>
        <v>0.18560000000000001</v>
      </c>
      <c r="J484" s="34"/>
      <c r="K484" s="13"/>
      <c r="L484" s="34"/>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0">
        <f>(E485 * (F485*10^-3))</f>
        <v>0.2412</v>
      </c>
      <c r="H485" s="76">
        <v>0.2</v>
      </c>
      <c r="I485" s="240">
        <f>(E485 * (IF(H485,H485,F485)*10^-3))</f>
        <v>0.18000000000000002</v>
      </c>
      <c r="J485" s="34"/>
      <c r="K485" s="13"/>
      <c r="L485" s="34"/>
    </row>
    <row r="487" spans="4:12" ht="20.100000000000001" customHeight="1" x14ac:dyDescent="0.2">
      <c r="D487" s="242" t="s">
        <v>859</v>
      </c>
      <c r="E487" s="88">
        <f>SUM(G481:G485)</f>
        <v>0.84389999999999998</v>
      </c>
      <c r="F487" s="97" t="str">
        <f>$E$170</f>
        <v>t CO2e</v>
      </c>
    </row>
    <row r="488" spans="4:12" ht="20.100000000000001" customHeight="1" x14ac:dyDescent="0.2">
      <c r="D488" s="242" t="s">
        <v>862</v>
      </c>
      <c r="E488" s="88">
        <f>SUM(I481:I485)</f>
        <v>0.71420000000000006</v>
      </c>
      <c r="F488" s="97" t="str">
        <f>$E$170</f>
        <v>t CO2e</v>
      </c>
    </row>
    <row r="491" spans="4:12" ht="20.100000000000001" customHeight="1" x14ac:dyDescent="0.2">
      <c r="D491" s="233" t="s">
        <v>963</v>
      </c>
    </row>
    <row r="493" spans="4:12" ht="20.100000000000001" customHeight="1" x14ac:dyDescent="0.2">
      <c r="D493" s="80" t="s">
        <v>786</v>
      </c>
      <c r="E493" s="80" t="s">
        <v>962</v>
      </c>
      <c r="F493" s="138" t="s">
        <v>960</v>
      </c>
      <c r="G493" s="138" t="s">
        <v>859</v>
      </c>
      <c r="H493" s="80" t="s">
        <v>961</v>
      </c>
      <c r="I493" s="138" t="s">
        <v>862</v>
      </c>
      <c r="J493" s="80" t="s">
        <v>863</v>
      </c>
      <c r="K493" s="80" t="s">
        <v>864</v>
      </c>
      <c r="L493" s="80" t="s">
        <v>865</v>
      </c>
    </row>
    <row r="494" spans="4:12" ht="20.100000000000001" customHeight="1" x14ac:dyDescent="0.2">
      <c r="D494" s="15"/>
      <c r="E494" s="15">
        <f>IFERROR(X_Cell_FarmInputs_Misc_AnimalEarTagsLarge, 0)</f>
        <v>0</v>
      </c>
      <c r="F494" s="15" cm="1">
        <f t="array" ref="F494">Common_InputFunctions.Utility_LookupValueInTableNumber(D494,Table_SourceData_Scope3_Other[Product],Table_SourceData_Scope3_Other[Emissions intensity])</f>
        <v>0</v>
      </c>
      <c r="G494" s="240">
        <f>(E494 * (F494*10^-3))</f>
        <v>0</v>
      </c>
      <c r="H494" s="76">
        <v>0.2</v>
      </c>
      <c r="I494" s="240">
        <f>(E494 * (IF(H494,H494,F494)*10^-3))</f>
        <v>0</v>
      </c>
      <c r="J494" s="34"/>
      <c r="K494" s="13"/>
      <c r="L494" s="34"/>
    </row>
    <row r="495" spans="4:12" ht="20.100000000000001" customHeight="1" x14ac:dyDescent="0.2">
      <c r="D495" s="15"/>
      <c r="E495" s="15">
        <f>IFERROR(X_Cell_FarmInputs_Misc_AnimalEarTagsSmall, 0)</f>
        <v>0</v>
      </c>
      <c r="F495" s="15" cm="1">
        <f t="array" ref="F495">Common_InputFunctions.Utility_LookupValueInTableNumber(D495,Table_SourceData_Scope3_Other[Product],Table_SourceData_Scope3_Other[Emissions intensity])</f>
        <v>0</v>
      </c>
      <c r="G495" s="240">
        <f>(E495 * (F495*10^-3))</f>
        <v>0</v>
      </c>
      <c r="H495" s="76"/>
      <c r="I495" s="240">
        <f>(E495 * (IF(H495,H495,F495)*10^-3))</f>
        <v>0</v>
      </c>
      <c r="J495" s="34"/>
      <c r="K495" s="13"/>
      <c r="L495" s="34"/>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0">
        <f>(E496 * (F496*10^-3))</f>
        <v>0</v>
      </c>
      <c r="H496" s="76">
        <v>0.2</v>
      </c>
      <c r="I496" s="240">
        <f>(E496 * (IF(H496,H496,F496)*10^-3))</f>
        <v>0</v>
      </c>
      <c r="J496" s="34"/>
      <c r="K496" s="13"/>
      <c r="L496" s="34"/>
    </row>
    <row r="498" spans="1:14" ht="20.100000000000001" customHeight="1" x14ac:dyDescent="0.2">
      <c r="D498" s="242" t="s">
        <v>859</v>
      </c>
      <c r="E498" s="88">
        <f>SUM(G494:G496)</f>
        <v>0</v>
      </c>
      <c r="F498" s="97" t="str">
        <f>$E$170</f>
        <v>t CO2e</v>
      </c>
    </row>
    <row r="499" spans="1:14" ht="20.100000000000001" customHeight="1" x14ac:dyDescent="0.2">
      <c r="D499" s="242" t="s">
        <v>862</v>
      </c>
      <c r="E499" s="88">
        <f>SUM(I494:I496)</f>
        <v>0</v>
      </c>
      <c r="F499" s="97" t="str">
        <f>$E$170</f>
        <v>t CO2e</v>
      </c>
    </row>
    <row r="502" spans="1:14" ht="20.100000000000001" customHeight="1" x14ac:dyDescent="0.2">
      <c r="D502" s="233" t="s">
        <v>964</v>
      </c>
    </row>
    <row r="504" spans="1:14" ht="20.100000000000001" customHeight="1" x14ac:dyDescent="0.2">
      <c r="D504" s="80" t="s">
        <v>786</v>
      </c>
      <c r="E504" s="80" t="s">
        <v>644</v>
      </c>
      <c r="F504" s="80" t="s">
        <v>553</v>
      </c>
      <c r="G504" s="138" t="s">
        <v>943</v>
      </c>
      <c r="H504" s="138" t="s">
        <v>944</v>
      </c>
      <c r="I504" s="80" t="s">
        <v>945</v>
      </c>
      <c r="J504" s="80" t="s">
        <v>965</v>
      </c>
      <c r="K504" s="138" t="s">
        <v>946</v>
      </c>
      <c r="L504" s="80" t="s">
        <v>863</v>
      </c>
      <c r="M504" s="80" t="s">
        <v>864</v>
      </c>
      <c r="N504" s="80" t="s">
        <v>865</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948</v>
      </c>
      <c r="H505" s="15" t="s">
        <v>948</v>
      </c>
      <c r="I505" s="76">
        <v>4</v>
      </c>
      <c r="J505" s="13" t="s">
        <v>966</v>
      </c>
      <c r="K505" s="240">
        <f>(E505 * (IF(J505="kg / amount unit", I505*10^-3, I505)))</f>
        <v>4000</v>
      </c>
      <c r="L505" s="34"/>
      <c r="M505" s="13"/>
      <c r="N505" s="34"/>
    </row>
    <row r="506" spans="1:14" ht="20.100000000000001" customHeight="1" x14ac:dyDescent="0.2">
      <c r="D506" s="15">
        <v>0</v>
      </c>
      <c r="E506" s="15">
        <v>0</v>
      </c>
      <c r="F506" s="15">
        <v>0</v>
      </c>
      <c r="G506" s="15" t="s">
        <v>948</v>
      </c>
      <c r="H506" s="15" t="s">
        <v>948</v>
      </c>
      <c r="I506" s="76">
        <v>2</v>
      </c>
      <c r="J506" s="13" t="s">
        <v>966</v>
      </c>
      <c r="K506" s="240">
        <f>(E506 * (IF(J506="kg / amount unit", I506*10^-3, I506)))</f>
        <v>0</v>
      </c>
      <c r="L506" s="34"/>
      <c r="M506" s="13"/>
      <c r="N506" s="34"/>
    </row>
    <row r="507" spans="1:14" ht="20.100000000000001" customHeight="1" x14ac:dyDescent="0.2">
      <c r="D507" s="15">
        <v>0</v>
      </c>
      <c r="E507" s="15">
        <v>0</v>
      </c>
      <c r="F507" s="15">
        <v>0</v>
      </c>
      <c r="G507" s="15" t="s">
        <v>948</v>
      </c>
      <c r="H507" s="15" t="s">
        <v>948</v>
      </c>
      <c r="I507" s="76"/>
      <c r="J507" s="13"/>
      <c r="K507" s="240">
        <f>(E507 * (IF(J507="kg / amount unit", I507*10^-3, I507)))</f>
        <v>0</v>
      </c>
      <c r="L507" s="34"/>
      <c r="M507" s="13"/>
      <c r="N507" s="34"/>
    </row>
    <row r="508" spans="1:14" ht="20.100000000000001" customHeight="1" x14ac:dyDescent="0.2">
      <c r="D508" s="15">
        <v>0</v>
      </c>
      <c r="E508" s="15">
        <v>0</v>
      </c>
      <c r="F508" s="15">
        <v>0</v>
      </c>
      <c r="G508" s="15" t="s">
        <v>948</v>
      </c>
      <c r="H508" s="15" t="s">
        <v>948</v>
      </c>
      <c r="I508" s="76"/>
      <c r="J508" s="13"/>
      <c r="K508" s="240">
        <f>(E508 * (IF(J508="kg / amount unit", I508*10^-3, I508)))</f>
        <v>0</v>
      </c>
      <c r="L508" s="34"/>
      <c r="M508" s="13"/>
      <c r="N508" s="34"/>
    </row>
    <row r="509" spans="1:14" ht="20.100000000000001" customHeight="1" x14ac:dyDescent="0.2">
      <c r="A509" s="81" t="str">
        <f>HYPERLINK("#A1", "▲ Back to top")</f>
        <v>▲ Back to top</v>
      </c>
      <c r="D509" s="15">
        <v>0</v>
      </c>
      <c r="E509" s="15">
        <v>0</v>
      </c>
      <c r="F509" s="15">
        <v>0</v>
      </c>
      <c r="G509" s="15" t="s">
        <v>948</v>
      </c>
      <c r="H509" s="15" t="s">
        <v>948</v>
      </c>
      <c r="I509" s="76"/>
      <c r="J509" s="13"/>
      <c r="K509" s="240">
        <f>(E509 * (IF(J509="kg / amount unit", I509*10^-3, I509)))</f>
        <v>0</v>
      </c>
      <c r="L509" s="34"/>
      <c r="M509" s="13"/>
      <c r="N509" s="34"/>
    </row>
    <row r="510" spans="1:14" ht="20.100000000000001" customHeight="1" x14ac:dyDescent="0.2">
      <c r="D510" s="15">
        <v>0</v>
      </c>
      <c r="E510" s="15">
        <v>0</v>
      </c>
      <c r="F510" s="15">
        <v>0</v>
      </c>
      <c r="G510" s="15" t="s">
        <v>948</v>
      </c>
      <c r="H510" s="15" t="s">
        <v>948</v>
      </c>
      <c r="I510" s="76"/>
      <c r="J510" s="13"/>
      <c r="K510" s="240">
        <f>(E510 * (IF(J510="kg / amount unit", I510*10^-3, I510)))</f>
        <v>0</v>
      </c>
      <c r="L510" s="34"/>
      <c r="M510" s="13"/>
      <c r="N510" s="34"/>
    </row>
    <row r="511" spans="1:14" ht="20.100000000000001" customHeight="1" x14ac:dyDescent="0.2">
      <c r="D511" s="15">
        <v>0</v>
      </c>
      <c r="E511" s="15">
        <v>0</v>
      </c>
      <c r="F511" s="15">
        <v>0</v>
      </c>
      <c r="G511" s="15" t="s">
        <v>948</v>
      </c>
      <c r="H511" s="15" t="s">
        <v>948</v>
      </c>
      <c r="I511" s="76"/>
      <c r="J511" s="13"/>
      <c r="K511" s="240">
        <f>(E511 * (IF(J511="kg / amount unit", I511*10^-3, I511)))</f>
        <v>0</v>
      </c>
      <c r="L511" s="34"/>
      <c r="M511" s="13"/>
      <c r="N511" s="34"/>
    </row>
    <row r="512" spans="1:14" ht="20.100000000000001" customHeight="1" x14ac:dyDescent="0.2">
      <c r="D512" s="15">
        <v>0</v>
      </c>
      <c r="E512" s="15">
        <v>0</v>
      </c>
      <c r="F512" s="15">
        <v>0</v>
      </c>
      <c r="G512" s="15" t="s">
        <v>948</v>
      </c>
      <c r="H512" s="15" t="s">
        <v>948</v>
      </c>
      <c r="I512" s="76"/>
      <c r="J512" s="13"/>
      <c r="K512" s="240">
        <f>(E512 * (IF(J512="kg / amount unit", I512*10^-3, I512)))</f>
        <v>0</v>
      </c>
      <c r="L512" s="34"/>
      <c r="M512" s="13"/>
      <c r="N512" s="34"/>
    </row>
    <row r="513" spans="3:41" ht="20.100000000000001" customHeight="1" x14ac:dyDescent="0.2">
      <c r="D513" s="15">
        <v>0</v>
      </c>
      <c r="E513" s="15">
        <v>0</v>
      </c>
      <c r="F513" s="15">
        <v>0</v>
      </c>
      <c r="G513" s="15" t="s">
        <v>948</v>
      </c>
      <c r="H513" s="15" t="s">
        <v>948</v>
      </c>
      <c r="I513" s="76"/>
      <c r="J513" s="13"/>
      <c r="K513" s="240">
        <f>(E513 * (IF(J513="kg / amount unit", I513*10^-3, I513)))</f>
        <v>0</v>
      </c>
      <c r="L513" s="34"/>
      <c r="M513" s="13"/>
      <c r="N513" s="34"/>
    </row>
    <row r="514" spans="3:41" ht="20.100000000000001" customHeight="1" x14ac:dyDescent="0.2">
      <c r="D514" s="15">
        <v>0</v>
      </c>
      <c r="E514" s="15">
        <v>0</v>
      </c>
      <c r="F514" s="15">
        <v>0</v>
      </c>
      <c r="G514" s="15" t="s">
        <v>948</v>
      </c>
      <c r="H514" s="15" t="s">
        <v>948</v>
      </c>
      <c r="I514" s="76"/>
      <c r="J514" s="13"/>
      <c r="K514" s="240">
        <f>(E514 * (IF(J514="kg / amount unit", I514*10^-3, I514)))</f>
        <v>0</v>
      </c>
      <c r="L514" s="34"/>
      <c r="M514" s="13"/>
      <c r="N514" s="34"/>
    </row>
    <row r="516" spans="3:41" ht="20.100000000000001" customHeight="1" x14ac:dyDescent="0.2">
      <c r="D516" s="242" t="s">
        <v>859</v>
      </c>
      <c r="E516" s="88" t="s">
        <v>948</v>
      </c>
      <c r="F516" s="97" t="str">
        <f>$E$170</f>
        <v>t CO2e</v>
      </c>
    </row>
    <row r="517" spans="3:41" ht="20.100000000000001" customHeight="1" x14ac:dyDescent="0.2">
      <c r="D517" s="242" t="s">
        <v>862</v>
      </c>
      <c r="E517" s="88">
        <f>SUM(K505:K514)</f>
        <v>4000</v>
      </c>
      <c r="F517" s="97" t="str">
        <f>$E$170</f>
        <v>t CO2e</v>
      </c>
    </row>
    <row r="520" spans="3:41" ht="20.100000000000001" customHeight="1" x14ac:dyDescent="0.2">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row>
    <row r="521" spans="3:41" ht="20.100000000000001" customHeight="1" x14ac:dyDescent="0.2">
      <c r="D521" s="2" t="s">
        <v>1452</v>
      </c>
    </row>
    <row r="522" spans="3:41" ht="20.100000000000001" customHeight="1" x14ac:dyDescent="0.2">
      <c r="D522" s="17" t="s">
        <v>1453</v>
      </c>
    </row>
    <row r="523" spans="3:41" ht="20.100000000000001" customHeight="1" x14ac:dyDescent="0.2">
      <c r="D523" s="134"/>
      <c r="E523" s="134"/>
    </row>
    <row r="527" spans="3:41" ht="20.100000000000001" customHeight="1" x14ac:dyDescent="0.2">
      <c r="D527" s="77" t="s">
        <v>371</v>
      </c>
      <c r="E527" s="1" t="s">
        <v>967</v>
      </c>
    </row>
    <row r="528" spans="3:41" ht="20.100000000000001" customHeight="1" x14ac:dyDescent="0.2">
      <c r="D528" s="77" t="s">
        <v>118</v>
      </c>
      <c r="E528" s="9" t="s">
        <v>7</v>
      </c>
    </row>
    <row r="530" spans="1:41" ht="20.100000000000001" customHeight="1" x14ac:dyDescent="0.2">
      <c r="D530" s="150" t="s">
        <v>1258</v>
      </c>
      <c r="E530" s="147" t="s">
        <v>1454</v>
      </c>
      <c r="F530" s="159"/>
      <c r="G530" s="150" t="s">
        <v>7</v>
      </c>
      <c r="H530" s="142" t="s">
        <v>1456</v>
      </c>
      <c r="I530" s="150">
        <f>VEERG_8_1_1_1__1_FuelCombustionTransport_Result</f>
        <v>20.5016</v>
      </c>
    </row>
    <row r="531" spans="1:41" ht="20.100000000000001" customHeight="1" x14ac:dyDescent="0.2">
      <c r="D531" s="150" t="s">
        <v>1285</v>
      </c>
      <c r="E531" s="147" t="s">
        <v>1455</v>
      </c>
      <c r="F531" s="159"/>
      <c r="G531" s="150" t="s">
        <v>7</v>
      </c>
      <c r="H531" s="142" t="s">
        <v>1457</v>
      </c>
      <c r="I531" s="150">
        <f>VEERG_8_2_1_1__1_FuelCombustionStationary_Result</f>
        <v>6.2923999999999998</v>
      </c>
    </row>
    <row r="533" spans="1:41" ht="20.100000000000001" customHeight="1" x14ac:dyDescent="0.2">
      <c r="D533" s="242" t="s">
        <v>967</v>
      </c>
      <c r="E533" s="88">
        <f>(I530 + I531)</f>
        <v>26.794</v>
      </c>
      <c r="F533" s="97" t="str">
        <f>$E$170</f>
        <v>t CO2e</v>
      </c>
    </row>
    <row r="535" spans="1:41" ht="20.100000000000001" customHeight="1" x14ac:dyDescent="0.2">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row>
    <row r="536" spans="1:41" ht="20.100000000000001" customHeight="1" x14ac:dyDescent="0.2">
      <c r="D536" s="2" t="s">
        <v>1458</v>
      </c>
    </row>
    <row r="537" spans="1:41" ht="20.100000000000001" customHeight="1" x14ac:dyDescent="0.2">
      <c r="D537" s="17" t="s">
        <v>1459</v>
      </c>
    </row>
    <row r="538" spans="1:41" ht="20.100000000000001" customHeight="1" x14ac:dyDescent="0.2">
      <c r="D538" s="134"/>
      <c r="E538" s="134"/>
    </row>
    <row r="539" spans="1:41" ht="20.100000000000001" customHeight="1" x14ac:dyDescent="0.2">
      <c r="A539" s="81" t="str">
        <f>HYPERLINK("#A1", "▲ Back to top")</f>
        <v>▲ Back to top</v>
      </c>
    </row>
    <row r="541" spans="1:41" ht="20.100000000000001" customHeight="1" x14ac:dyDescent="0.2">
      <c r="D541" s="77" t="s">
        <v>371</v>
      </c>
      <c r="E541" s="1" t="s">
        <v>1460</v>
      </c>
    </row>
    <row r="542" spans="1:41" ht="20.100000000000001" customHeight="1" x14ac:dyDescent="0.2">
      <c r="D542" s="77" t="s">
        <v>118</v>
      </c>
      <c r="E542" s="1" t="s">
        <v>7</v>
      </c>
    </row>
    <row r="544" spans="1:41" ht="20.100000000000001" customHeight="1" x14ac:dyDescent="0.2">
      <c r="D544" s="150" t="s">
        <v>1333</v>
      </c>
      <c r="E544" s="150" t="s">
        <v>1334</v>
      </c>
      <c r="F544" s="150"/>
      <c r="G544" s="150" t="s">
        <v>503</v>
      </c>
      <c r="H544" s="238" t="s">
        <v>1034</v>
      </c>
      <c r="I544" s="147">
        <f>X_Cell_Electricity_Location_AmountPurchasedInkWh</f>
        <v>30000</v>
      </c>
      <c r="J544" s="159"/>
    </row>
    <row r="545" spans="3:41" ht="20.100000000000001" customHeight="1" x14ac:dyDescent="0.2">
      <c r="D545" s="150" t="s">
        <v>1461</v>
      </c>
      <c r="E545" s="150" t="s">
        <v>1462</v>
      </c>
      <c r="F545" s="150"/>
      <c r="G545" s="150" t="s">
        <v>1338</v>
      </c>
      <c r="H545" s="142" t="s">
        <v>1036</v>
      </c>
      <c r="I545" s="147" cm="1">
        <f t="array" ref="I545">Common_InputFunctions.Utility_LookupValueInTableNumber(I546,Table_SourceData_ElectricityEFs[State, Territory or grid description],Table_SourceData_ElectricityEFs[Scope 3 Emission Factors (kg CO2-e/kWh)])</f>
        <v>0.09</v>
      </c>
      <c r="J545" s="159"/>
    </row>
    <row r="546" spans="3:41" ht="20.100000000000001" customHeight="1" x14ac:dyDescent="0.2">
      <c r="D546" s="150" t="s">
        <v>1268</v>
      </c>
      <c r="E546" s="147" t="s">
        <v>1463</v>
      </c>
      <c r="F546" s="159"/>
      <c r="G546" s="150"/>
      <c r="H546" s="238" t="s">
        <v>1034</v>
      </c>
      <c r="I546" s="147" t="str">
        <f>X_Cell_Electricity_Location_GridElectricityPurchasedFrom</f>
        <v>Western Australia - North Western Interconnected System (NWIS)</v>
      </c>
      <c r="J546" s="159"/>
    </row>
    <row r="548" spans="3:41" ht="20.100000000000001" customHeight="1" x14ac:dyDescent="0.2">
      <c r="D548" s="242" t="s">
        <v>968</v>
      </c>
      <c r="E548" s="88">
        <f>((I544 * I545) * 10 ^ -3)</f>
        <v>2.7</v>
      </c>
      <c r="F548" s="97" t="str">
        <f>$E$170</f>
        <v>t CO2e</v>
      </c>
    </row>
    <row r="551" spans="3:41" ht="20.100000000000001" customHeight="1" x14ac:dyDescent="0.2">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row>
    <row r="552" spans="3:41" ht="20.100000000000001" customHeight="1" x14ac:dyDescent="0.2">
      <c r="D552" s="2" t="s">
        <v>1464</v>
      </c>
    </row>
    <row r="553" spans="3:41" ht="20.100000000000001" customHeight="1" x14ac:dyDescent="0.2">
      <c r="D553" s="17" t="s">
        <v>1465</v>
      </c>
    </row>
    <row r="554" spans="3:41" ht="20.100000000000001" customHeight="1" x14ac:dyDescent="0.2">
      <c r="D554" s="26" t="s">
        <v>1341</v>
      </c>
    </row>
    <row r="555" spans="3:41" ht="20.100000000000001" customHeight="1" x14ac:dyDescent="0.2">
      <c r="D555" s="134"/>
      <c r="E555" s="134"/>
    </row>
    <row r="559" spans="3:41" ht="20.100000000000001" customHeight="1" x14ac:dyDescent="0.2">
      <c r="D559" s="77" t="s">
        <v>371</v>
      </c>
      <c r="E559" s="1" t="s">
        <v>1460</v>
      </c>
    </row>
    <row r="560" spans="3:41" ht="20.100000000000001" customHeight="1" x14ac:dyDescent="0.2">
      <c r="D560" s="77" t="s">
        <v>118</v>
      </c>
      <c r="E560" s="1" t="s">
        <v>7</v>
      </c>
    </row>
    <row r="562" spans="1:41" ht="20.100000000000001" customHeight="1" x14ac:dyDescent="0.2">
      <c r="D562" s="150" t="s">
        <v>1333</v>
      </c>
      <c r="E562" s="147" t="s">
        <v>1334</v>
      </c>
      <c r="F562" s="159"/>
      <c r="G562" s="150" t="s">
        <v>503</v>
      </c>
      <c r="H562" s="238" t="s">
        <v>1034</v>
      </c>
      <c r="I562" s="243">
        <f>X_Cell_Electricity_Market_AmountPurchasedExcludingGreenPower</f>
        <v>30000</v>
      </c>
    </row>
    <row r="563" spans="1:41" ht="20.100000000000001" customHeight="1" x14ac:dyDescent="0.2">
      <c r="D563" s="150" t="s">
        <v>1342</v>
      </c>
      <c r="E563" s="147" t="s">
        <v>1466</v>
      </c>
      <c r="F563" s="159"/>
      <c r="G563" s="150" t="s">
        <v>1120</v>
      </c>
      <c r="H563" s="238" t="s">
        <v>1034</v>
      </c>
      <c r="I563" s="174">
        <f>X_Cell_Electricity_Market_RenewablePowerPercentage</f>
        <v>0.1</v>
      </c>
    </row>
    <row r="564" spans="1:41" ht="20.100000000000001" customHeight="1" x14ac:dyDescent="0.2">
      <c r="D564" s="150" t="s">
        <v>1344</v>
      </c>
      <c r="E564" s="147" t="s">
        <v>1467</v>
      </c>
      <c r="F564" s="159"/>
      <c r="G564" s="150" t="s">
        <v>1120</v>
      </c>
      <c r="H564" s="238" t="s">
        <v>1034</v>
      </c>
      <c r="I564" s="174">
        <f>X_Cell_Electricity_Market_JurisdictionalRenewablePowerPercentage</f>
        <v>0.1</v>
      </c>
    </row>
    <row r="565" spans="1:41" ht="20.100000000000001" customHeight="1" x14ac:dyDescent="0.2">
      <c r="D565" s="150" t="s">
        <v>1346</v>
      </c>
      <c r="E565" s="147" t="s">
        <v>1468</v>
      </c>
      <c r="F565" s="159"/>
      <c r="G565" s="150" t="s">
        <v>519</v>
      </c>
      <c r="H565" s="238" t="s">
        <v>1034</v>
      </c>
      <c r="I565" s="150">
        <f>(X_Cell_Electricity_Market_AmountPurchasedGreenPower*10^-3)+X_Cell_TotalElegibleVoluntarilySurrenderedRECs</f>
        <v>15</v>
      </c>
    </row>
    <row r="566" spans="1:41" ht="20.100000000000001" customHeight="1" x14ac:dyDescent="0.2">
      <c r="D566" s="150" t="s">
        <v>1348</v>
      </c>
      <c r="E566" s="147" t="s">
        <v>1469</v>
      </c>
      <c r="F566" s="159"/>
      <c r="G566" s="150" t="s">
        <v>519</v>
      </c>
      <c r="H566" s="238" t="s">
        <v>1034</v>
      </c>
      <c r="I566" s="150">
        <f>X_Cell_TotalElegibleRECsForElectricityProducedOnSite</f>
        <v>0</v>
      </c>
    </row>
    <row r="567" spans="1:41" ht="20.100000000000001" customHeight="1" x14ac:dyDescent="0.2">
      <c r="D567" s="150" t="s">
        <v>1470</v>
      </c>
      <c r="E567" s="147" t="s">
        <v>1471</v>
      </c>
      <c r="F567" s="159"/>
      <c r="G567" s="150" t="s">
        <v>1338</v>
      </c>
      <c r="H567" s="142" t="s">
        <v>1036</v>
      </c>
      <c r="I567" s="150" cm="1">
        <f t="array" ref="I567">Table_SourceData_ElectricityEFsMarketBased[Scope 3 EF (kg CO2-e/kWh)]</f>
        <v>0.1</v>
      </c>
    </row>
    <row r="568" spans="1:41" ht="20.100000000000001" customHeight="1" x14ac:dyDescent="0.2">
      <c r="D568" s="150" t="s">
        <v>1101</v>
      </c>
      <c r="E568" s="147" t="s">
        <v>1298</v>
      </c>
      <c r="F568" s="159"/>
      <c r="G568" s="150"/>
      <c r="H568" s="238" t="s">
        <v>1034</v>
      </c>
      <c r="I568" s="150" t="str">
        <f>X_Cell_Site_State</f>
        <v>Western Australia</v>
      </c>
    </row>
    <row r="569" spans="1:41" ht="20.100000000000001" customHeight="1" x14ac:dyDescent="0.2">
      <c r="A569" s="81" t="str">
        <f>HYPERLINK("#A1", "▲ Back to top")</f>
        <v>▲ Back to top</v>
      </c>
    </row>
    <row r="570" spans="1:41" ht="20.100000000000001" customHeight="1" x14ac:dyDescent="0.2">
      <c r="D570" s="242" t="s">
        <v>968</v>
      </c>
      <c r="E570" s="88">
        <f>(((I562 * (1 - (I563 + I564))) - ((I565 - I566) * 10 ^ 3)) * I567 * 10 ^ -3)</f>
        <v>0.9</v>
      </c>
      <c r="F570" s="97" t="str">
        <f>$E$170</f>
        <v>t CO2e</v>
      </c>
    </row>
    <row r="573" spans="1:41" ht="20.100000000000001" customHeight="1" x14ac:dyDescent="0.2">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row>
    <row r="574" spans="1:41" ht="20.100000000000001" customHeight="1" x14ac:dyDescent="0.2">
      <c r="D574" s="2" t="s">
        <v>1472</v>
      </c>
    </row>
    <row r="575" spans="1:41" ht="20.100000000000001" customHeight="1" x14ac:dyDescent="0.2">
      <c r="D575" s="17" t="s">
        <v>1473</v>
      </c>
    </row>
    <row r="576" spans="1:41" ht="20.100000000000001" customHeight="1" x14ac:dyDescent="0.2">
      <c r="D576" s="134"/>
      <c r="E576" s="134"/>
    </row>
    <row r="579" spans="4:18" ht="20.100000000000001" customHeight="1" x14ac:dyDescent="0.2">
      <c r="D579" s="77" t="s">
        <v>371</v>
      </c>
      <c r="E579" s="1" t="s">
        <v>967</v>
      </c>
    </row>
    <row r="580" spans="4:18" ht="20.100000000000001" customHeight="1" x14ac:dyDescent="0.2">
      <c r="D580" s="77" t="s">
        <v>118</v>
      </c>
      <c r="E580" s="9" t="s">
        <v>12</v>
      </c>
    </row>
    <row r="582" spans="4:18" ht="20.100000000000001" customHeight="1" x14ac:dyDescent="0.2">
      <c r="D582" s="25" t="s">
        <v>130</v>
      </c>
      <c r="L582" s="25" t="s">
        <v>131</v>
      </c>
    </row>
    <row r="584" spans="4:18" ht="20.100000000000001" customHeight="1" x14ac:dyDescent="0.2">
      <c r="D584" s="150" t="s">
        <v>749</v>
      </c>
      <c r="E584" s="147" t="s">
        <v>1474</v>
      </c>
      <c r="F584" s="158"/>
      <c r="G584" s="159"/>
      <c r="H584" s="150" t="s">
        <v>12</v>
      </c>
      <c r="I584" s="142" t="s">
        <v>1087</v>
      </c>
      <c r="J584" s="150">
        <f>IFERROR(VEERG_5_2_1_1__1_OrganicFertiliserApplicationN2OEmissions_Result_Method1, 0)</f>
        <v>0</v>
      </c>
      <c r="L584" s="150" t="s">
        <v>749</v>
      </c>
      <c r="M584" s="147" t="s">
        <v>1474</v>
      </c>
      <c r="N584" s="158"/>
      <c r="O584" s="159"/>
      <c r="P584" s="150" t="s">
        <v>12</v>
      </c>
      <c r="Q584" s="142" t="s">
        <v>1087</v>
      </c>
      <c r="R584" s="150">
        <f>IFERROR(VEERG_5_2_1_1__1_OrganicFertiliserApplicationN2OEmissions_Result_Method2, 0)</f>
        <v>0</v>
      </c>
    </row>
    <row r="585" spans="4:18" ht="20.100000000000001" customHeight="1" x14ac:dyDescent="0.2">
      <c r="D585" s="150" t="s">
        <v>1475</v>
      </c>
      <c r="E585" s="147" t="s">
        <v>1476</v>
      </c>
      <c r="F585" s="158"/>
      <c r="G585" s="159"/>
      <c r="H585" s="150" t="s">
        <v>12</v>
      </c>
      <c r="I585" s="142" t="s">
        <v>1087</v>
      </c>
      <c r="J585" s="150">
        <f>IFERROR(VEERG_5_4_1_3__1_OrganicFertiliserAtmosphericDepositionN2OEmissions_Result_Method1, 0)</f>
        <v>0</v>
      </c>
      <c r="L585" s="150" t="s">
        <v>1475</v>
      </c>
      <c r="M585" s="147" t="s">
        <v>1476</v>
      </c>
      <c r="N585" s="158"/>
      <c r="O585" s="159"/>
      <c r="P585" s="150" t="s">
        <v>12</v>
      </c>
      <c r="Q585" s="142" t="s">
        <v>1087</v>
      </c>
      <c r="R585" s="150">
        <f>IFERROR(VEERG_5_4_1_3__1_OrganicFertiliserAtmosphericDepositionN2OEmissions_Result_Method2, 0)</f>
        <v>0</v>
      </c>
    </row>
    <row r="586" spans="4:18" ht="20.100000000000001" customHeight="1" x14ac:dyDescent="0.2">
      <c r="D586" s="150" t="s">
        <v>1477</v>
      </c>
      <c r="E586" s="147" t="s">
        <v>1478</v>
      </c>
      <c r="F586" s="158"/>
      <c r="G586" s="159"/>
      <c r="H586" s="150" t="s">
        <v>12</v>
      </c>
      <c r="I586" s="142" t="s">
        <v>1087</v>
      </c>
      <c r="J586" s="150">
        <f>IFERROR(VEERG_5_5_1_1__1_FertiliserLeachingAndRunoffN2OEmissions_result_Method1, 0)</f>
        <v>0</v>
      </c>
      <c r="L586" s="150" t="s">
        <v>1477</v>
      </c>
      <c r="M586" s="147" t="s">
        <v>1478</v>
      </c>
      <c r="N586" s="158"/>
      <c r="O586" s="159"/>
      <c r="P586" s="150" t="s">
        <v>12</v>
      </c>
      <c r="Q586" s="142" t="s">
        <v>1087</v>
      </c>
      <c r="R586" s="150">
        <f>IFERROR(VEERG_5_5_1_1__1_FertiliserLeachingAndRunoffN2OEmissions_Result_Method2, 0)</f>
        <v>0</v>
      </c>
    </row>
    <row r="588" spans="4:18" ht="20.100000000000001" customHeight="1" x14ac:dyDescent="0.2">
      <c r="D588" s="242" t="s">
        <v>968</v>
      </c>
      <c r="E588" s="88">
        <f>(J584 + J585 + J586)</f>
        <v>0</v>
      </c>
      <c r="F588" s="97" t="str">
        <f>$E$580</f>
        <v>t N2O</v>
      </c>
      <c r="L588" s="242" t="s">
        <v>968</v>
      </c>
      <c r="M588" s="88">
        <f>(R584 + R585 + R586)</f>
        <v>0</v>
      </c>
      <c r="N588" s="97" t="str">
        <f>$E$580</f>
        <v>t N2O</v>
      </c>
    </row>
    <row r="590" spans="4:18" ht="20.100000000000001" customHeight="1" x14ac:dyDescent="0.2">
      <c r="D590" s="139" t="str" cm="1">
        <f t="array" ref="D590:E591">Common_Equations.Common_ConvertN2OToCO2e_Arguments()</f>
        <v>EN2O</v>
      </c>
      <c r="E590" s="140" t="str">
        <v>Nitrous oxide emissions (t N2O)</v>
      </c>
      <c r="F590" s="149"/>
      <c r="G590" s="15">
        <f>E588</f>
        <v>0</v>
      </c>
      <c r="L590" s="139" t="str" cm="1">
        <f t="array" ref="L590:M591">Common_Equations.Common_ConvertN2OToCO2e_Arguments()</f>
        <v>EN2O</v>
      </c>
      <c r="M590" s="140" t="str">
        <v>Nitrous oxide emissions (t N2O)</v>
      </c>
      <c r="N590" s="149"/>
      <c r="O590" s="15">
        <f>M588</f>
        <v>0</v>
      </c>
    </row>
    <row r="591" spans="4:18" ht="20.100000000000001" customHeight="1" x14ac:dyDescent="0.2">
      <c r="D591" s="139" t="str">
        <v>GWPN2O</v>
      </c>
      <c r="E591" s="140" t="str">
        <v>Global warming potential for nitrous oxide (t CO2-e / t N2O)</v>
      </c>
      <c r="F591" s="149"/>
      <c r="G591" s="15">
        <f>Common_InputFunctions.Utility_LookupValueInTableNumber("N2O",Table_GWPData[Gas],Table_GWPData[CO2-e factor])</f>
        <v>265</v>
      </c>
      <c r="L591" s="139" t="str">
        <v>GWPN2O</v>
      </c>
      <c r="M591" s="140" t="str">
        <v>Global warming potential for nitrous oxide (t CO2-e / t N2O)</v>
      </c>
      <c r="N591" s="149"/>
      <c r="O591" s="15">
        <f>Common_InputFunctions.Utility_LookupValueInTableNumber("N2O",Table_GWPData[Gas],Table_GWPData[CO2-e factor])</f>
        <v>265</v>
      </c>
    </row>
    <row r="593" spans="1:41" ht="20.100000000000001" customHeight="1" x14ac:dyDescent="0.2">
      <c r="D593" s="85" t="s">
        <v>395</v>
      </c>
      <c r="E593" s="85" cm="1">
        <f t="array" ref="E593">Common_Equations.Common_ConvertN2OToCO2e(G590,G591)</f>
        <v>0</v>
      </c>
      <c r="F593" s="91" t="str" cm="1">
        <f t="array" ref="F593">Common_Equations.Common_ConvertN2OToCO2e_Unit()</f>
        <v>t CO2e</v>
      </c>
      <c r="L593" s="85" t="s">
        <v>395</v>
      </c>
      <c r="M593" s="85" cm="1">
        <f t="array" ref="M593">Common_Equations.Common_ConvertN2OToCO2e(O590,O591)</f>
        <v>0</v>
      </c>
      <c r="N593" s="91" t="str" cm="1">
        <f t="array" ref="N593">Common_Equations.Common_ConvertN2OToCO2e_Unit()</f>
        <v>t CO2e</v>
      </c>
    </row>
    <row r="596" spans="1:41" ht="20.100000000000001" customHeight="1" x14ac:dyDescent="0.2">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row>
    <row r="597" spans="1:41" ht="20.100000000000001" customHeight="1" x14ac:dyDescent="0.2">
      <c r="D597" s="2" t="s">
        <v>1479</v>
      </c>
    </row>
    <row r="598" spans="1:41" ht="20.100000000000001" customHeight="1" x14ac:dyDescent="0.2">
      <c r="D598" s="17" t="s">
        <v>1480</v>
      </c>
    </row>
    <row r="599" spans="1:41" ht="20.100000000000001" customHeight="1" x14ac:dyDescent="0.2">
      <c r="A599" s="81" t="str">
        <f>HYPERLINK("#A1", "▲ Back to top")</f>
        <v>▲ Back to top</v>
      </c>
    </row>
    <row r="600" spans="1:41" ht="20.100000000000001" customHeight="1" x14ac:dyDescent="0.2">
      <c r="D600" s="77" t="s">
        <v>371</v>
      </c>
      <c r="E600" s="1" t="s">
        <v>967</v>
      </c>
    </row>
    <row r="601" spans="1:41" ht="20.100000000000001" customHeight="1" x14ac:dyDescent="0.2">
      <c r="D601" s="77" t="s">
        <v>118</v>
      </c>
      <c r="E601" s="9" t="s">
        <v>7</v>
      </c>
    </row>
    <row r="603" spans="1:41" ht="20.100000000000001" customHeight="1" x14ac:dyDescent="0.2">
      <c r="D603" s="242" t="s">
        <v>968</v>
      </c>
      <c r="E603" s="88">
        <f>VEERG_10_1_1_1__1_EmissionsFromWasteManagement_Scope3_Result_Method1</f>
        <v>441.15000000000003</v>
      </c>
      <c r="F603" s="97" t="str">
        <f>E601</f>
        <v>t CO2e</v>
      </c>
    </row>
    <row r="606" spans="1:41" ht="20.100000000000001" customHeight="1" x14ac:dyDescent="0.2">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row>
    <row r="607" spans="1:41" ht="20.100000000000001" customHeight="1" x14ac:dyDescent="0.2">
      <c r="D607" s="2" t="s">
        <v>1481</v>
      </c>
    </row>
    <row r="608" spans="1:41" ht="20.100000000000001" customHeight="1" x14ac:dyDescent="0.2">
      <c r="D608" s="17" t="s">
        <v>1482</v>
      </c>
    </row>
    <row r="609" spans="4:13" ht="20.100000000000001" customHeight="1" x14ac:dyDescent="0.2">
      <c r="D609" s="134"/>
      <c r="E609" s="134"/>
    </row>
    <row r="613" spans="4:13" ht="20.100000000000001" customHeight="1" x14ac:dyDescent="0.2">
      <c r="D613" s="77" t="s">
        <v>371</v>
      </c>
      <c r="E613" s="1" t="s">
        <v>967</v>
      </c>
    </row>
    <row r="614" spans="4:13" ht="20.100000000000001" customHeight="1" x14ac:dyDescent="0.2">
      <c r="D614" s="77" t="s">
        <v>118</v>
      </c>
      <c r="E614" s="9" t="s">
        <v>7</v>
      </c>
    </row>
    <row r="616" spans="4:13" ht="20.100000000000001" customHeight="1" x14ac:dyDescent="0.2">
      <c r="D616" s="150" t="s">
        <v>1483</v>
      </c>
      <c r="E616" s="147" t="s">
        <v>1484</v>
      </c>
      <c r="F616" s="159"/>
      <c r="G616" s="150" t="s">
        <v>1305</v>
      </c>
      <c r="H616" s="238" t="s">
        <v>1034</v>
      </c>
    </row>
    <row r="617" spans="4:13" ht="20.100000000000001" customHeight="1" x14ac:dyDescent="0.2">
      <c r="D617" s="150" t="s">
        <v>1485</v>
      </c>
      <c r="E617" s="147" t="s">
        <v>1486</v>
      </c>
      <c r="F617" s="159"/>
      <c r="G617" s="150" t="s">
        <v>1489</v>
      </c>
      <c r="H617" s="238" t="s">
        <v>1034</v>
      </c>
    </row>
    <row r="618" spans="4:13" ht="20.100000000000001" customHeight="1" x14ac:dyDescent="0.2">
      <c r="D618" s="150" t="s">
        <v>1385</v>
      </c>
      <c r="E618" s="147" t="s">
        <v>1487</v>
      </c>
      <c r="F618" s="159"/>
      <c r="G618" s="150" t="s">
        <v>1490</v>
      </c>
      <c r="H618" s="142" t="s">
        <v>1036</v>
      </c>
    </row>
    <row r="619" spans="4:13" ht="20.100000000000001" customHeight="1" x14ac:dyDescent="0.2">
      <c r="D619" s="150" t="s">
        <v>1045</v>
      </c>
      <c r="E619" s="147" t="s">
        <v>1488</v>
      </c>
      <c r="F619" s="159"/>
      <c r="G619" s="150"/>
      <c r="H619" s="238" t="s">
        <v>1034</v>
      </c>
    </row>
    <row r="621" spans="4:13" ht="20.100000000000001" customHeight="1" x14ac:dyDescent="0.2">
      <c r="D621" s="233" t="s">
        <v>838</v>
      </c>
    </row>
    <row r="623" spans="4:13" ht="20.100000000000001" customHeight="1" x14ac:dyDescent="0.2">
      <c r="D623" s="80" t="s">
        <v>969</v>
      </c>
      <c r="E623" s="80" t="s">
        <v>970</v>
      </c>
      <c r="F623" s="80" t="s">
        <v>971</v>
      </c>
      <c r="G623" s="138" t="s">
        <v>972</v>
      </c>
      <c r="H623" s="138" t="s">
        <v>859</v>
      </c>
      <c r="I623" s="80" t="s">
        <v>909</v>
      </c>
      <c r="J623" s="138" t="s">
        <v>862</v>
      </c>
      <c r="K623" s="80" t="s">
        <v>863</v>
      </c>
      <c r="L623" s="80" t="s">
        <v>864</v>
      </c>
      <c r="M623" s="80" t="s">
        <v>865</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948</v>
      </c>
      <c r="H624" s="15" t="s">
        <v>948</v>
      </c>
      <c r="I624" s="76">
        <v>10</v>
      </c>
      <c r="J624" s="15">
        <f>((E624 * F624) * I624)</f>
        <v>5127200</v>
      </c>
      <c r="K624" s="34"/>
      <c r="L624" s="13"/>
      <c r="M624" s="34"/>
    </row>
    <row r="625" spans="1:13" ht="20.100000000000001" customHeight="1" x14ac:dyDescent="0.2">
      <c r="D625" s="15" t="str">
        <v>Fertiliser supplier to farm</v>
      </c>
      <c r="E625" s="15">
        <v>10</v>
      </c>
      <c r="F625" s="15">
        <v>390</v>
      </c>
      <c r="G625" s="15" t="s">
        <v>948</v>
      </c>
      <c r="H625" s="15" t="s">
        <v>948</v>
      </c>
      <c r="I625" s="76">
        <v>5</v>
      </c>
      <c r="J625" s="15">
        <f>((E625 * F625) * I625)</f>
        <v>19500</v>
      </c>
      <c r="K625" s="34"/>
      <c r="L625" s="13"/>
      <c r="M625" s="34"/>
    </row>
    <row r="626" spans="1:13" ht="20.100000000000001" customHeight="1" x14ac:dyDescent="0.2">
      <c r="D626" s="15">
        <v>0</v>
      </c>
      <c r="E626" s="15">
        <v>0</v>
      </c>
      <c r="F626" s="15">
        <v>0</v>
      </c>
      <c r="G626" s="15" t="s">
        <v>948</v>
      </c>
      <c r="H626" s="15" t="s">
        <v>948</v>
      </c>
      <c r="I626" s="76"/>
      <c r="J626" s="15">
        <f>((E626 * F626) * I626)</f>
        <v>0</v>
      </c>
      <c r="K626" s="34"/>
      <c r="L626" s="13"/>
      <c r="M626" s="34"/>
    </row>
    <row r="627" spans="1:13" ht="20.100000000000001" customHeight="1" x14ac:dyDescent="0.2">
      <c r="D627" s="15">
        <v>0</v>
      </c>
      <c r="E627" s="15">
        <v>0</v>
      </c>
      <c r="F627" s="15">
        <v>0</v>
      </c>
      <c r="G627" s="15" t="s">
        <v>948</v>
      </c>
      <c r="H627" s="15" t="s">
        <v>948</v>
      </c>
      <c r="I627" s="76"/>
      <c r="J627" s="15">
        <f>((E627 * F627) * I627)</f>
        <v>0</v>
      </c>
      <c r="K627" s="34"/>
      <c r="L627" s="13"/>
      <c r="M627" s="34"/>
    </row>
    <row r="628" spans="1:13" ht="20.100000000000001" customHeight="1" x14ac:dyDescent="0.2">
      <c r="D628" s="15">
        <v>0</v>
      </c>
      <c r="E628" s="15">
        <v>0</v>
      </c>
      <c r="F628" s="15">
        <v>0</v>
      </c>
      <c r="G628" s="15" t="s">
        <v>948</v>
      </c>
      <c r="H628" s="15" t="s">
        <v>948</v>
      </c>
      <c r="I628" s="76"/>
      <c r="J628" s="15">
        <f>((E628 * F628) * I628)</f>
        <v>0</v>
      </c>
      <c r="K628" s="34"/>
      <c r="L628" s="13"/>
      <c r="M628" s="34"/>
    </row>
    <row r="629" spans="1:13" ht="20.100000000000001" customHeight="1" x14ac:dyDescent="0.2">
      <c r="A629" s="81" t="str">
        <f>HYPERLINK("#A1", "▲ Back to top")</f>
        <v>▲ Back to top</v>
      </c>
      <c r="D629" s="15">
        <v>0</v>
      </c>
      <c r="E629" s="15">
        <v>0</v>
      </c>
      <c r="F629" s="15">
        <v>0</v>
      </c>
      <c r="G629" s="15" t="s">
        <v>948</v>
      </c>
      <c r="H629" s="15" t="s">
        <v>948</v>
      </c>
      <c r="I629" s="76"/>
      <c r="J629" s="15">
        <f>((E629 * F629) * I629)</f>
        <v>0</v>
      </c>
      <c r="K629" s="34"/>
      <c r="L629" s="13"/>
      <c r="M629" s="34"/>
    </row>
    <row r="630" spans="1:13" ht="20.100000000000001" customHeight="1" x14ac:dyDescent="0.2">
      <c r="D630" s="15">
        <v>0</v>
      </c>
      <c r="E630" s="15">
        <v>0</v>
      </c>
      <c r="F630" s="15">
        <v>0</v>
      </c>
      <c r="G630" s="15" t="s">
        <v>948</v>
      </c>
      <c r="H630" s="15" t="s">
        <v>948</v>
      </c>
      <c r="I630" s="76"/>
      <c r="J630" s="15">
        <f>((E630 * F630) * I630)</f>
        <v>0</v>
      </c>
      <c r="K630" s="34"/>
      <c r="L630" s="13"/>
      <c r="M630" s="34"/>
    </row>
    <row r="631" spans="1:13" ht="20.100000000000001" customHeight="1" x14ac:dyDescent="0.2">
      <c r="D631" s="15">
        <v>0</v>
      </c>
      <c r="E631" s="15">
        <v>0</v>
      </c>
      <c r="F631" s="15">
        <v>0</v>
      </c>
      <c r="G631" s="15" t="s">
        <v>948</v>
      </c>
      <c r="H631" s="15" t="s">
        <v>948</v>
      </c>
      <c r="I631" s="76"/>
      <c r="J631" s="15">
        <f>((E631 * F631) * I631)</f>
        <v>0</v>
      </c>
      <c r="K631" s="34"/>
      <c r="L631" s="13"/>
      <c r="M631" s="34"/>
    </row>
    <row r="632" spans="1:13" ht="20.100000000000001" customHeight="1" x14ac:dyDescent="0.2">
      <c r="D632" s="15">
        <v>0</v>
      </c>
      <c r="E632" s="15">
        <v>0</v>
      </c>
      <c r="F632" s="15">
        <v>0</v>
      </c>
      <c r="G632" s="15" t="s">
        <v>948</v>
      </c>
      <c r="H632" s="15" t="s">
        <v>948</v>
      </c>
      <c r="I632" s="76"/>
      <c r="J632" s="15">
        <f>((E632 * F632) * I632)</f>
        <v>0</v>
      </c>
      <c r="K632" s="34"/>
      <c r="L632" s="13"/>
      <c r="M632" s="34"/>
    </row>
    <row r="633" spans="1:13" ht="20.100000000000001" customHeight="1" x14ac:dyDescent="0.2">
      <c r="D633" s="15">
        <v>0</v>
      </c>
      <c r="E633" s="15">
        <v>0</v>
      </c>
      <c r="F633" s="15">
        <v>0</v>
      </c>
      <c r="G633" s="15" t="s">
        <v>948</v>
      </c>
      <c r="H633" s="15" t="s">
        <v>948</v>
      </c>
      <c r="I633" s="76"/>
      <c r="J633" s="15">
        <f>((E633 * F633) * I633)</f>
        <v>0</v>
      </c>
      <c r="K633" s="34"/>
      <c r="L633" s="13"/>
      <c r="M633" s="34"/>
    </row>
    <row r="635" spans="1:13" ht="20.100000000000001" customHeight="1" x14ac:dyDescent="0.2">
      <c r="D635" s="90" t="s">
        <v>973</v>
      </c>
      <c r="E635" s="85" t="s">
        <v>948</v>
      </c>
      <c r="F635" s="91" t="str">
        <f>$E$105</f>
        <v>t CO2e</v>
      </c>
    </row>
    <row r="636" spans="1:13" ht="20.100000000000001" customHeight="1" x14ac:dyDescent="0.2">
      <c r="D636" s="90" t="s">
        <v>974</v>
      </c>
      <c r="E636" s="85">
        <f>SUM(J624:J633)</f>
        <v>5146700</v>
      </c>
      <c r="F636" s="91" t="str">
        <f>$E$105</f>
        <v>t CO2e</v>
      </c>
    </row>
    <row r="639" spans="1:13" ht="20.100000000000001" customHeight="1" x14ac:dyDescent="0.2">
      <c r="D639" s="233" t="s">
        <v>848</v>
      </c>
    </row>
    <row r="641" spans="4:13" ht="20.100000000000001" customHeight="1" x14ac:dyDescent="0.2">
      <c r="D641" s="80" t="s">
        <v>969</v>
      </c>
      <c r="E641" s="80" t="s">
        <v>970</v>
      </c>
      <c r="F641" s="80" t="s">
        <v>971</v>
      </c>
      <c r="G641" s="138" t="s">
        <v>972</v>
      </c>
      <c r="H641" s="138" t="s">
        <v>859</v>
      </c>
      <c r="I641" s="80" t="s">
        <v>909</v>
      </c>
      <c r="J641" s="138" t="s">
        <v>862</v>
      </c>
      <c r="K641" s="80" t="s">
        <v>863</v>
      </c>
      <c r="L641" s="80" t="s">
        <v>864</v>
      </c>
      <c r="M641" s="80" t="s">
        <v>865</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948</v>
      </c>
      <c r="H642" s="15" t="s">
        <v>948</v>
      </c>
      <c r="I642" s="76">
        <v>6.4</v>
      </c>
      <c r="J642" s="15">
        <f>((E642 * F642) * I642)</f>
        <v>432640</v>
      </c>
      <c r="K642" s="34"/>
      <c r="L642" s="13"/>
      <c r="M642" s="34"/>
    </row>
    <row r="643" spans="4:13" ht="20.100000000000001" customHeight="1" x14ac:dyDescent="0.2">
      <c r="D643" s="15">
        <v>0</v>
      </c>
      <c r="E643" s="15">
        <v>0</v>
      </c>
      <c r="F643" s="15">
        <v>0</v>
      </c>
      <c r="G643" s="15" t="s">
        <v>948</v>
      </c>
      <c r="H643" s="15" t="s">
        <v>948</v>
      </c>
      <c r="I643" s="76"/>
      <c r="J643" s="15">
        <f>((E643 * F643) * I643)</f>
        <v>0</v>
      </c>
      <c r="K643" s="34"/>
      <c r="L643" s="13"/>
      <c r="M643" s="34"/>
    </row>
    <row r="644" spans="4:13" ht="20.100000000000001" customHeight="1" x14ac:dyDescent="0.2">
      <c r="D644" s="15">
        <v>0</v>
      </c>
      <c r="E644" s="15">
        <v>0</v>
      </c>
      <c r="F644" s="15">
        <v>0</v>
      </c>
      <c r="G644" s="15" t="s">
        <v>948</v>
      </c>
      <c r="H644" s="15" t="s">
        <v>948</v>
      </c>
      <c r="I644" s="76"/>
      <c r="J644" s="15">
        <f>((E644 * F644) * I644)</f>
        <v>0</v>
      </c>
      <c r="K644" s="34"/>
      <c r="L644" s="13"/>
      <c r="M644" s="34"/>
    </row>
    <row r="645" spans="4:13" ht="20.100000000000001" customHeight="1" x14ac:dyDescent="0.2">
      <c r="D645" s="15">
        <v>0</v>
      </c>
      <c r="E645" s="15">
        <v>0</v>
      </c>
      <c r="F645" s="15">
        <v>0</v>
      </c>
      <c r="G645" s="15" t="s">
        <v>948</v>
      </c>
      <c r="H645" s="15" t="s">
        <v>948</v>
      </c>
      <c r="I645" s="76"/>
      <c r="J645" s="15">
        <f>((E645 * F645) * I645)</f>
        <v>0</v>
      </c>
      <c r="K645" s="34"/>
      <c r="L645" s="13"/>
      <c r="M645" s="34"/>
    </row>
    <row r="646" spans="4:13" ht="20.100000000000001" customHeight="1" x14ac:dyDescent="0.2">
      <c r="D646" s="15">
        <v>0</v>
      </c>
      <c r="E646" s="15">
        <v>0</v>
      </c>
      <c r="F646" s="15">
        <v>0</v>
      </c>
      <c r="G646" s="15" t="s">
        <v>948</v>
      </c>
      <c r="H646" s="15" t="s">
        <v>948</v>
      </c>
      <c r="I646" s="76"/>
      <c r="J646" s="15">
        <f>((E646 * F646) * I646)</f>
        <v>0</v>
      </c>
      <c r="K646" s="34"/>
      <c r="L646" s="13"/>
      <c r="M646" s="34"/>
    </row>
    <row r="647" spans="4:13" ht="20.100000000000001" customHeight="1" x14ac:dyDescent="0.2">
      <c r="D647" s="15">
        <v>0</v>
      </c>
      <c r="E647" s="15">
        <v>0</v>
      </c>
      <c r="F647" s="15">
        <v>0</v>
      </c>
      <c r="G647" s="15" t="s">
        <v>948</v>
      </c>
      <c r="H647" s="15" t="s">
        <v>948</v>
      </c>
      <c r="I647" s="76"/>
      <c r="J647" s="15">
        <f>((E647 * F647) * I647)</f>
        <v>0</v>
      </c>
      <c r="K647" s="34"/>
      <c r="L647" s="13"/>
      <c r="M647" s="34"/>
    </row>
    <row r="648" spans="4:13" ht="20.100000000000001" customHeight="1" x14ac:dyDescent="0.2">
      <c r="D648" s="15">
        <v>0</v>
      </c>
      <c r="E648" s="15">
        <v>0</v>
      </c>
      <c r="F648" s="15">
        <v>0</v>
      </c>
      <c r="G648" s="15" t="s">
        <v>948</v>
      </c>
      <c r="H648" s="15" t="s">
        <v>948</v>
      </c>
      <c r="I648" s="76"/>
      <c r="J648" s="15">
        <f>((E648 * F648) * I648)</f>
        <v>0</v>
      </c>
      <c r="K648" s="34"/>
      <c r="L648" s="13"/>
      <c r="M648" s="34"/>
    </row>
    <row r="649" spans="4:13" ht="20.100000000000001" customHeight="1" x14ac:dyDescent="0.2">
      <c r="D649" s="15">
        <v>0</v>
      </c>
      <c r="E649" s="15">
        <v>0</v>
      </c>
      <c r="F649" s="15">
        <v>0</v>
      </c>
      <c r="G649" s="15" t="s">
        <v>948</v>
      </c>
      <c r="H649" s="15" t="s">
        <v>948</v>
      </c>
      <c r="I649" s="76"/>
      <c r="J649" s="15">
        <f>((E649 * F649) * I649)</f>
        <v>0</v>
      </c>
      <c r="K649" s="34"/>
      <c r="L649" s="13"/>
      <c r="M649" s="34"/>
    </row>
    <row r="650" spans="4:13" ht="20.100000000000001" customHeight="1" x14ac:dyDescent="0.2">
      <c r="D650" s="15">
        <v>0</v>
      </c>
      <c r="E650" s="15">
        <v>0</v>
      </c>
      <c r="F650" s="15">
        <v>0</v>
      </c>
      <c r="G650" s="15" t="s">
        <v>948</v>
      </c>
      <c r="H650" s="15" t="s">
        <v>948</v>
      </c>
      <c r="I650" s="76"/>
      <c r="J650" s="15">
        <f>((E650 * F650) * I650)</f>
        <v>0</v>
      </c>
      <c r="K650" s="34"/>
      <c r="L650" s="13"/>
      <c r="M650" s="34"/>
    </row>
    <row r="651" spans="4:13" ht="20.100000000000001" customHeight="1" x14ac:dyDescent="0.2">
      <c r="D651" s="15">
        <v>0</v>
      </c>
      <c r="E651" s="15">
        <v>0</v>
      </c>
      <c r="F651" s="15">
        <v>0</v>
      </c>
      <c r="G651" s="15" t="s">
        <v>948</v>
      </c>
      <c r="H651" s="15" t="s">
        <v>948</v>
      </c>
      <c r="I651" s="76"/>
      <c r="J651" s="15">
        <f>((E651 * F651) * I651)</f>
        <v>0</v>
      </c>
      <c r="K651" s="34"/>
      <c r="L651" s="13"/>
      <c r="M651" s="34"/>
    </row>
    <row r="653" spans="4:13" ht="20.100000000000001" customHeight="1" x14ac:dyDescent="0.2">
      <c r="D653" s="90" t="s">
        <v>975</v>
      </c>
      <c r="E653" s="85" t="s">
        <v>948</v>
      </c>
      <c r="F653" s="91" t="str">
        <f>$E$105</f>
        <v>t CO2e</v>
      </c>
    </row>
    <row r="654" spans="4:13" ht="20.100000000000001" customHeight="1" x14ac:dyDescent="0.2">
      <c r="D654" s="90" t="s">
        <v>976</v>
      </c>
      <c r="E654" s="85">
        <f>SUM(J642:J651)</f>
        <v>432640</v>
      </c>
      <c r="F654" s="91" t="str">
        <f>$E$105</f>
        <v>t CO2e</v>
      </c>
    </row>
    <row r="656" spans="4:13" ht="20.100000000000001" customHeight="1" x14ac:dyDescent="0.2">
      <c r="D656" s="87" t="s">
        <v>859</v>
      </c>
      <c r="E656" s="88" t="s">
        <v>948</v>
      </c>
      <c r="F656" s="97" t="str">
        <f>$E$105</f>
        <v>t CO2e</v>
      </c>
    </row>
    <row r="657" spans="4:6" ht="20.100000000000001" customHeight="1" x14ac:dyDescent="0.2">
      <c r="D657" s="87" t="s">
        <v>862</v>
      </c>
      <c r="E657" s="88">
        <f>VEERG_15_14_1_1__1_EmbeddedEmissionsFromUpstreamFreight_Incoming_Result_Method2+VEERG_15_14_1_1__1_EmbeddedEmissionsFromUpstreamFreight_Outgoing_Result_Method2</f>
        <v>5579340</v>
      </c>
      <c r="F657" s="97" t="str">
        <f>$E$105</f>
        <v>t CO2e</v>
      </c>
    </row>
  </sheetData>
  <dataValidations count="2">
    <dataValidation type="list" allowBlank="1" showInputMessage="1" showErrorMessage="1" sqref="J505:J514" xr:uid="{68648359-E768-49FA-8B32-AA56E93296FB}">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00C5C18F-E0E7-4633-85DC-13483FB19EB1}">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785BE-938F-427D-AF43-F52ABBC41B8D}">
  <sheetPr>
    <tabColor theme="2" tint="-0.499984740745262"/>
  </sheetPr>
  <dimension ref="A1:AI23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754</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
        <v>1491</v>
      </c>
    </row>
    <row r="7" spans="1:35" ht="20.100000000000001" customHeight="1" x14ac:dyDescent="0.2">
      <c r="D7" s="228" t="s">
        <v>755</v>
      </c>
      <c r="E7" s="228" t="s">
        <v>756</v>
      </c>
      <c r="F7" s="228" t="s">
        <v>757</v>
      </c>
      <c r="G7" s="228" t="s">
        <v>758</v>
      </c>
      <c r="H7" s="228" t="s">
        <v>759</v>
      </c>
      <c r="I7" s="228" t="s">
        <v>760</v>
      </c>
      <c r="J7" s="228" t="s">
        <v>761</v>
      </c>
      <c r="K7" s="228" t="s">
        <v>762</v>
      </c>
      <c r="AG7" s="1"/>
      <c r="AH7" s="1"/>
      <c r="AI7" s="1"/>
    </row>
    <row r="8" spans="1:35" ht="20.100000000000001" customHeight="1" x14ac:dyDescent="0.2">
      <c r="A8" s="7" t="s">
        <v>0</v>
      </c>
      <c r="D8" t="s">
        <v>713</v>
      </c>
      <c r="E8" t="s">
        <v>1492</v>
      </c>
      <c r="F8" t="s">
        <v>1493</v>
      </c>
      <c r="G8" t="s">
        <v>1494</v>
      </c>
      <c r="H8" t="s">
        <v>1492</v>
      </c>
      <c r="I8" t="s">
        <v>1495</v>
      </c>
      <c r="J8" t="s">
        <v>1496</v>
      </c>
      <c r="K8" t="s">
        <v>1497</v>
      </c>
      <c r="AG8" s="1"/>
      <c r="AH8" s="1"/>
      <c r="AI8" s="1"/>
    </row>
    <row r="9" spans="1:35" ht="20.100000000000001" customHeight="1" x14ac:dyDescent="0.2">
      <c r="A9" s="5" t="str">
        <f>HYPERLINK("#'Input - Enterprise'!A1", "Enterprise")</f>
        <v>Enterprise</v>
      </c>
      <c r="D9" t="s">
        <v>1498</v>
      </c>
      <c r="E9" t="s">
        <v>1499</v>
      </c>
      <c r="F9" t="s">
        <v>1493</v>
      </c>
      <c r="G9" t="s">
        <v>1494</v>
      </c>
      <c r="H9" t="s">
        <v>1500</v>
      </c>
      <c r="I9" t="s">
        <v>1501</v>
      </c>
      <c r="J9" t="s">
        <v>1502</v>
      </c>
      <c r="K9" t="s">
        <v>1503</v>
      </c>
      <c r="AG9" s="1"/>
      <c r="AH9" s="1"/>
      <c r="AI9" s="1"/>
    </row>
    <row r="10" spans="1:35" ht="20.100000000000001" customHeight="1" x14ac:dyDescent="0.2">
      <c r="A10" s="5" t="str">
        <f>HYPERLINK("#'Input - Site'!A1", "Site")</f>
        <v>Site</v>
      </c>
      <c r="D10" t="s">
        <v>1504</v>
      </c>
      <c r="E10" t="s">
        <v>1499</v>
      </c>
      <c r="F10" t="s">
        <v>1505</v>
      </c>
      <c r="G10" t="s">
        <v>1506</v>
      </c>
      <c r="H10" t="s">
        <v>1499</v>
      </c>
      <c r="I10" t="s">
        <v>1507</v>
      </c>
      <c r="J10" t="s">
        <v>1508</v>
      </c>
      <c r="K10" t="s">
        <v>1509</v>
      </c>
      <c r="AG10" s="1"/>
      <c r="AH10" s="1"/>
      <c r="AI10" s="1"/>
    </row>
    <row r="11" spans="1:35" ht="20.100000000000001" customHeight="1" x14ac:dyDescent="0.2">
      <c r="A11" s="5" t="str">
        <f>HYPERLINK("#'Input - Crop'!A1", "Crop")</f>
        <v>Crop</v>
      </c>
    </row>
    <row r="12" spans="1:35" ht="20.100000000000001" customHeight="1" x14ac:dyDescent="0.2">
      <c r="A12" s="5" t="str">
        <f>HYPERLINK("#'Input - Fert Prod System'!A1", "Fert Prod System")</f>
        <v>Fert Prod System</v>
      </c>
    </row>
    <row r="13" spans="1:35" ht="20.100000000000001" customHeight="1" x14ac:dyDescent="0.2">
      <c r="A13" s="5" t="str">
        <f>HYPERLINK("#'Input - Fertiliser'!A1", "Fertiliser")</f>
        <v>Fertiliser</v>
      </c>
    </row>
    <row r="14" spans="1:35" ht="20.100000000000001" customHeight="1" x14ac:dyDescent="0.2">
      <c r="A14" s="5" t="str">
        <f>HYPERLINK("#'Input - Fuel'!A1", "Fuel")</f>
        <v>Fuel</v>
      </c>
    </row>
    <row r="15" spans="1:35" ht="20.100000000000001" customHeight="1" x14ac:dyDescent="0.2">
      <c r="A15" s="5" t="str">
        <f>HYPERLINK("#'Input - Electricity'!A1", "Electricity")</f>
        <v>Electricity</v>
      </c>
      <c r="D15" s="2" t="s">
        <v>1510</v>
      </c>
      <c r="E15" s="8"/>
      <c r="F15" s="8"/>
      <c r="G15" s="8"/>
      <c r="H15" s="8"/>
      <c r="I15" s="8"/>
      <c r="J15" s="8"/>
      <c r="K15" s="8"/>
      <c r="L15" s="8"/>
    </row>
    <row r="16" spans="1:35" ht="20.100000000000001" customHeight="1" x14ac:dyDescent="0.2">
      <c r="A16" s="5" t="str">
        <f>HYPERLINK("#'Input - Common farm inputs'!A1", "Common farm inputs")</f>
        <v>Common farm inputs</v>
      </c>
      <c r="D16" s="17" t="s">
        <v>1511</v>
      </c>
      <c r="E16" s="8"/>
      <c r="F16" s="8"/>
      <c r="G16" s="8"/>
      <c r="H16" s="8"/>
      <c r="I16" s="8"/>
      <c r="J16" s="8"/>
      <c r="K16" s="8"/>
      <c r="L16" s="8"/>
    </row>
    <row r="17" spans="1:14" ht="20.100000000000001" customHeight="1" x14ac:dyDescent="0.2">
      <c r="A17" s="5" t="str">
        <f>HYPERLINK("#'Input - Crop pasture farm input'!A1", "Crop pasture farm input")</f>
        <v>Crop pasture farm input</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Freight'!A1", "Freight")</f>
        <v>Freight</v>
      </c>
      <c r="D18" s="8"/>
      <c r="E18" s="8"/>
      <c r="F18" s="8"/>
      <c r="G18" s="8"/>
      <c r="H18" s="8"/>
      <c r="I18" s="8"/>
      <c r="J18" s="8"/>
      <c r="K18" s="8"/>
      <c r="L18" s="8"/>
    </row>
    <row r="19" spans="1:14" ht="20.100000000000001" customHeight="1" x14ac:dyDescent="0.2">
      <c r="A19" s="5" t="str">
        <f>HYPERLINK("#'Input - Solid waste'!A1", "Solid waste")</f>
        <v>Solid waste</v>
      </c>
      <c r="D19" t="s">
        <v>179</v>
      </c>
      <c r="E19" t="s">
        <v>763</v>
      </c>
      <c r="F19" t="s">
        <v>764</v>
      </c>
      <c r="G19" t="s">
        <v>765</v>
      </c>
      <c r="H19" t="s">
        <v>766</v>
      </c>
      <c r="I19" t="s">
        <v>767</v>
      </c>
      <c r="J19" t="s">
        <v>768</v>
      </c>
      <c r="K19" t="s">
        <v>769</v>
      </c>
      <c r="L19" t="s">
        <v>770</v>
      </c>
      <c r="N19" s="2" t="s">
        <v>466</v>
      </c>
    </row>
    <row r="20" spans="1:14" ht="20.100000000000001" customHeight="1" x14ac:dyDescent="0.2">
      <c r="A20" s="5" t="str">
        <f>HYPERLINK("#'Input - Data quality'!A1", "Data quality")</f>
        <v>Data quality</v>
      </c>
      <c r="D20" t="s">
        <v>710</v>
      </c>
      <c r="E20">
        <v>1.5</v>
      </c>
      <c r="F20">
        <v>0.28999999999999998</v>
      </c>
      <c r="G20">
        <v>0.88</v>
      </c>
      <c r="H20">
        <v>0.4</v>
      </c>
      <c r="I20">
        <v>6.0000000000000001E-3</v>
      </c>
      <c r="J20">
        <v>0.01</v>
      </c>
      <c r="K20">
        <v>0.5</v>
      </c>
      <c r="L20">
        <v>0.9</v>
      </c>
    </row>
    <row r="21" spans="1:14" ht="20.100000000000001" customHeight="1" x14ac:dyDescent="0.2">
      <c r="D21" t="s">
        <v>1512</v>
      </c>
      <c r="E21">
        <v>1.24</v>
      </c>
      <c r="F21">
        <v>0.32</v>
      </c>
      <c r="G21">
        <v>0.88</v>
      </c>
      <c r="H21">
        <v>0.4</v>
      </c>
      <c r="I21">
        <v>7.0000000000000001E-3</v>
      </c>
      <c r="J21">
        <v>0.01</v>
      </c>
      <c r="K21">
        <v>0.5</v>
      </c>
      <c r="L21">
        <v>0.85</v>
      </c>
      <c r="N21" s="20" t="s">
        <v>63</v>
      </c>
    </row>
    <row r="22" spans="1:14" ht="20.100000000000001" customHeight="1" x14ac:dyDescent="0.2">
      <c r="D22" t="s">
        <v>474</v>
      </c>
      <c r="E22">
        <v>0.81</v>
      </c>
      <c r="F22">
        <v>0.39</v>
      </c>
      <c r="G22">
        <v>0.85</v>
      </c>
      <c r="H22">
        <v>0.42</v>
      </c>
      <c r="I22">
        <v>5.0000000000000001E-3</v>
      </c>
      <c r="J22">
        <v>7.0000000000000001E-3</v>
      </c>
      <c r="K22">
        <v>1</v>
      </c>
      <c r="L22">
        <v>0.8</v>
      </c>
      <c r="N22" s="20" t="s">
        <v>470</v>
      </c>
    </row>
    <row r="23" spans="1:14" ht="20.100000000000001" customHeight="1" x14ac:dyDescent="0.2">
      <c r="A23" s="6" t="s">
        <v>2</v>
      </c>
      <c r="D23" t="s">
        <v>1513</v>
      </c>
      <c r="E23">
        <v>1.42</v>
      </c>
      <c r="F23">
        <v>0.43</v>
      </c>
      <c r="G23">
        <v>0.88</v>
      </c>
      <c r="H23">
        <v>0.4</v>
      </c>
      <c r="I23">
        <v>6.0000000000000001E-3</v>
      </c>
      <c r="J23">
        <v>0.01</v>
      </c>
      <c r="K23">
        <v>0.5</v>
      </c>
      <c r="L23">
        <v>0.85</v>
      </c>
      <c r="N23" s="20" t="s">
        <v>473</v>
      </c>
    </row>
    <row r="24" spans="1:14" ht="20.100000000000001" customHeight="1" x14ac:dyDescent="0.2">
      <c r="A24" s="5" t="str">
        <f>HYPERLINK("#'5.1.1.1-2 Inorganic fert N2O'!A1", "5.1.1.1-2 Inorganic fert N2O")</f>
        <v>5.1.1.1-2 Inorganic fert N2O</v>
      </c>
      <c r="D24" t="s">
        <v>1514</v>
      </c>
      <c r="E24">
        <v>1.31</v>
      </c>
      <c r="F24">
        <v>0.16</v>
      </c>
      <c r="G24">
        <v>0.8</v>
      </c>
      <c r="H24">
        <v>0.42</v>
      </c>
      <c r="I24">
        <v>7.0000000000000001E-3</v>
      </c>
      <c r="J24">
        <v>0.01</v>
      </c>
      <c r="K24">
        <v>1</v>
      </c>
      <c r="L24">
        <v>0.8</v>
      </c>
      <c r="N24" s="1" t="s">
        <v>475</v>
      </c>
    </row>
    <row r="25" spans="1:14" ht="20.100000000000001" customHeight="1" x14ac:dyDescent="0.2">
      <c r="A25" s="5" t="str">
        <f>HYPERLINK("#'5.1.1.3-4 Inorganic fert CO2'!A1", "5.1.1.3-4 Inorganic fert CO2")</f>
        <v>5.1.1.3-4 Inorganic fert CO2</v>
      </c>
      <c r="D25" t="s">
        <v>1515</v>
      </c>
      <c r="E25">
        <v>1.5</v>
      </c>
      <c r="F25">
        <v>0.22</v>
      </c>
      <c r="G25">
        <v>0.8</v>
      </c>
      <c r="H25">
        <v>0.4</v>
      </c>
      <c r="I25">
        <v>8.0000000000000002E-3</v>
      </c>
      <c r="J25">
        <v>7.0000000000000001E-3</v>
      </c>
      <c r="K25">
        <v>0.5</v>
      </c>
      <c r="L25">
        <v>0.85</v>
      </c>
      <c r="N25" s="1" t="s">
        <v>477</v>
      </c>
    </row>
    <row r="26" spans="1:14" ht="20.100000000000001" customHeight="1" x14ac:dyDescent="0.2">
      <c r="A26" s="5" t="str">
        <f>HYPERLINK("#'5.2.1.1-2 Organic Fert N2O'!A1", "5.2.1.1-2 Organic fert N2O")</f>
        <v>5.2.1.1-2 Organic fert N2O</v>
      </c>
      <c r="D26" t="s">
        <v>1516</v>
      </c>
      <c r="E26">
        <v>1.5</v>
      </c>
      <c r="F26">
        <v>0.42</v>
      </c>
      <c r="G26">
        <v>0.88</v>
      </c>
      <c r="H26">
        <v>0.4</v>
      </c>
      <c r="I26">
        <v>6.0000000000000001E-3</v>
      </c>
      <c r="J26">
        <v>0.01</v>
      </c>
      <c r="K26">
        <v>0.5</v>
      </c>
      <c r="L26">
        <v>0.85</v>
      </c>
      <c r="N26" s="1" t="s">
        <v>478</v>
      </c>
    </row>
    <row r="27" spans="1:14" ht="20.100000000000001" customHeight="1" x14ac:dyDescent="0.2">
      <c r="A27" s="5" t="str">
        <f>HYPERLINK("#'5.3.1.1-2 Lime CO2'!A1", "5.3.1.1-2 Lime CO2")</f>
        <v>5.3.1.1-2 Lime CO2</v>
      </c>
      <c r="D27" t="s">
        <v>1517</v>
      </c>
      <c r="E27">
        <v>1.46</v>
      </c>
      <c r="F27">
        <v>0.36</v>
      </c>
      <c r="G27">
        <v>0.88</v>
      </c>
      <c r="H27">
        <v>0.4</v>
      </c>
      <c r="I27">
        <v>6.0000000000000001E-3</v>
      </c>
      <c r="J27">
        <v>0.01</v>
      </c>
      <c r="K27">
        <v>0.5</v>
      </c>
      <c r="L27">
        <v>0.85</v>
      </c>
    </row>
    <row r="28" spans="1:14" ht="20.100000000000001" customHeight="1" x14ac:dyDescent="0.2">
      <c r="A28" s="5" t="str">
        <f>HYPERLINK("#'5.4.1.1-4 Atmos deposition'!A1", "5.4.1.1-4 Atmos. deposition")</f>
        <v>5.4.1.1-4 Atmos. deposition</v>
      </c>
      <c r="D28" t="s">
        <v>1518</v>
      </c>
      <c r="E28">
        <v>1.37</v>
      </c>
      <c r="F28">
        <v>0.51</v>
      </c>
      <c r="G28">
        <v>0.87</v>
      </c>
      <c r="H28">
        <v>0.4</v>
      </c>
      <c r="I28">
        <v>8.9999999999999993E-3</v>
      </c>
      <c r="J28">
        <v>0.01</v>
      </c>
      <c r="K28">
        <v>0.5</v>
      </c>
      <c r="L28">
        <v>0.85</v>
      </c>
    </row>
    <row r="29" spans="1:14" ht="20.100000000000001" customHeight="1" x14ac:dyDescent="0.2">
      <c r="A29" s="5" t="str">
        <f>HYPERLINK("#'5.5.1.1-2 Leaching and runoff'!A1", "5.5.1.1-2 Leaching &amp; runoff")</f>
        <v>5.5.1.1-2 Leaching &amp; runoff</v>
      </c>
      <c r="D29" t="s">
        <v>1519</v>
      </c>
      <c r="E29">
        <v>0.34</v>
      </c>
      <c r="F29">
        <v>0.43</v>
      </c>
      <c r="G29">
        <v>0.25</v>
      </c>
      <c r="H29">
        <v>0.4</v>
      </c>
      <c r="I29">
        <v>0.02</v>
      </c>
      <c r="J29">
        <v>0.01</v>
      </c>
      <c r="K29" t="s">
        <v>1520</v>
      </c>
      <c r="L29">
        <v>0.85</v>
      </c>
    </row>
    <row r="30" spans="1:14" ht="20.100000000000001" customHeight="1" x14ac:dyDescent="0.2">
      <c r="A30" s="5" t="str">
        <f>HYPERLINK("#'6.1.1.1-2 Crop residue N2O'!A1", "6.1.1.1-2 Crop residue N2O")</f>
        <v>6.1.1.1-2 Crop residue N2O</v>
      </c>
      <c r="D30" t="s">
        <v>1521</v>
      </c>
      <c r="E30">
        <v>1.07</v>
      </c>
      <c r="F30">
        <v>0.2</v>
      </c>
      <c r="G30">
        <v>0.8</v>
      </c>
      <c r="H30">
        <v>0.42</v>
      </c>
      <c r="I30">
        <v>1.6E-2</v>
      </c>
      <c r="J30">
        <v>1.4E-2</v>
      </c>
      <c r="K30">
        <v>0.5</v>
      </c>
      <c r="L30">
        <v>0.85</v>
      </c>
    </row>
    <row r="31" spans="1:14" ht="20.100000000000001" customHeight="1" x14ac:dyDescent="0.2">
      <c r="A31" s="5" t="str">
        <f>HYPERLINK("#'6.3.1.1-2 Leach runoff crop'!A1", "6.3.1.1-2 Leach &amp; runoff (crop)")</f>
        <v>6.3.1.1-2 Leach &amp; runoff (crop)</v>
      </c>
      <c r="D31" t="s">
        <v>1522</v>
      </c>
      <c r="E31">
        <v>0.25</v>
      </c>
      <c r="F31">
        <v>0.45</v>
      </c>
      <c r="G31">
        <v>0.2</v>
      </c>
      <c r="H31">
        <v>0.4</v>
      </c>
      <c r="I31">
        <v>5.0000000000000001E-3</v>
      </c>
      <c r="J31">
        <v>7.0000000000000001E-3</v>
      </c>
      <c r="K31">
        <v>1</v>
      </c>
      <c r="L31">
        <v>0.8</v>
      </c>
    </row>
    <row r="32" spans="1:14" ht="20.100000000000001" customHeight="1" x14ac:dyDescent="0.2">
      <c r="A32" s="5" t="str">
        <f>HYPERLINK("#'6.4.1.1-2 Residue burning'!A1", "6.4.1.1-2 Residue burning")</f>
        <v>6.4.1.1-2 Residue burning</v>
      </c>
      <c r="D32" t="s">
        <v>403</v>
      </c>
      <c r="E32">
        <v>1.9</v>
      </c>
      <c r="F32">
        <v>0.3</v>
      </c>
      <c r="G32">
        <v>0.9</v>
      </c>
      <c r="H32">
        <v>0.4</v>
      </c>
      <c r="I32">
        <v>0.01</v>
      </c>
      <c r="J32">
        <v>0.01</v>
      </c>
      <c r="K32" t="s">
        <v>1520</v>
      </c>
      <c r="L32">
        <v>0.85</v>
      </c>
    </row>
    <row r="33" spans="1:13" ht="20.100000000000001" customHeight="1" x14ac:dyDescent="0.2">
      <c r="A33" s="5" t="str">
        <f>HYPERLINK("#'8.1.1.1-2 Transport fuel'!A1", "8.1.1.1-2 Transport fuel")</f>
        <v>8.1.1.1-2 Transport fuel</v>
      </c>
      <c r="D33" t="s">
        <v>1523</v>
      </c>
      <c r="E33">
        <v>1.5</v>
      </c>
      <c r="F33">
        <v>0.28999999999999998</v>
      </c>
      <c r="G33">
        <v>0.88</v>
      </c>
      <c r="H33">
        <v>0.4</v>
      </c>
      <c r="I33">
        <v>6.0000000000000001E-3</v>
      </c>
      <c r="J33" t="s">
        <v>1520</v>
      </c>
      <c r="K33" t="s">
        <v>1520</v>
      </c>
      <c r="L33">
        <v>0.85</v>
      </c>
    </row>
    <row r="34" spans="1:13" ht="20.100000000000001" customHeight="1" x14ac:dyDescent="0.2">
      <c r="A34" s="5" t="str">
        <f>HYPERLINK("#'8.2.1.1-2 Stationary fuel'!A1", "8.2.1.1-2 Stationary fuel")</f>
        <v>8.2.1.1-2 Stationary fuel</v>
      </c>
      <c r="D34" t="s">
        <v>1524</v>
      </c>
      <c r="E34">
        <v>2.08</v>
      </c>
      <c r="F34">
        <v>0.33</v>
      </c>
      <c r="G34">
        <v>0.96</v>
      </c>
      <c r="H34">
        <v>0.4</v>
      </c>
      <c r="I34">
        <v>8.9999999999999993E-3</v>
      </c>
      <c r="J34">
        <v>0.01</v>
      </c>
      <c r="K34">
        <v>0.5</v>
      </c>
      <c r="L34">
        <v>0.85</v>
      </c>
    </row>
    <row r="35" spans="1:13" ht="20.100000000000001" customHeight="1" x14ac:dyDescent="0.2">
      <c r="A35" s="5" t="str">
        <f>HYPERLINK("#'10.1.1-2 Solid waste treatment'!A1", "10.1.1.1-2 Solid waste")</f>
        <v>10.1.1.1-2 Solid waste</v>
      </c>
      <c r="D35" t="s">
        <v>1525</v>
      </c>
      <c r="E35">
        <v>1.34</v>
      </c>
      <c r="F35">
        <v>0.37</v>
      </c>
      <c r="G35">
        <v>0.88</v>
      </c>
      <c r="H35">
        <v>0.4</v>
      </c>
      <c r="I35">
        <v>6.0000000000000001E-3</v>
      </c>
      <c r="J35">
        <v>0.01</v>
      </c>
      <c r="K35" t="s">
        <v>1520</v>
      </c>
      <c r="L35">
        <v>0.85</v>
      </c>
    </row>
    <row r="36" spans="1:13" ht="20.100000000000001" customHeight="1" x14ac:dyDescent="0.2">
      <c r="A36" s="5" t="str">
        <f>HYPERLINK("#'14.1.1-2 Purchased electricity'!A1", "14.1.1-2 Purchased electricity")</f>
        <v>14.1.1-2 Purchased electricity</v>
      </c>
      <c r="D36" t="s">
        <v>1526</v>
      </c>
      <c r="E36">
        <v>1</v>
      </c>
      <c r="F36">
        <v>0.22</v>
      </c>
      <c r="G36">
        <v>0.85</v>
      </c>
      <c r="H36">
        <v>0.4</v>
      </c>
      <c r="I36">
        <v>8.0000000000000002E-3</v>
      </c>
      <c r="J36">
        <v>8.9999999999999993E-3</v>
      </c>
      <c r="K36" t="s">
        <v>1520</v>
      </c>
      <c r="L36" t="s">
        <v>1520</v>
      </c>
    </row>
    <row r="37" spans="1:13" ht="20.100000000000001" customHeight="1" x14ac:dyDescent="0.2">
      <c r="A37" s="5" t="str">
        <f>HYPERLINK("#'15 Scope 3'!A1", "15 Scope 3")</f>
        <v>15 Scope 3</v>
      </c>
      <c r="D37" t="s">
        <v>1527</v>
      </c>
      <c r="E37">
        <v>1.5</v>
      </c>
      <c r="F37">
        <v>0.28999999999999998</v>
      </c>
      <c r="G37">
        <v>0.88</v>
      </c>
      <c r="H37">
        <v>0.4</v>
      </c>
      <c r="I37">
        <v>6.0000000000000001E-3</v>
      </c>
      <c r="J37" t="s">
        <v>1520</v>
      </c>
      <c r="K37" t="s">
        <v>1520</v>
      </c>
      <c r="L37" t="s">
        <v>1520</v>
      </c>
    </row>
    <row r="38" spans="1:13" ht="20.100000000000001" customHeight="1" x14ac:dyDescent="0.2">
      <c r="D38" s="8"/>
      <c r="E38" s="8"/>
      <c r="F38" s="8"/>
      <c r="G38" s="8"/>
      <c r="H38" s="8"/>
      <c r="I38" s="8"/>
      <c r="J38" s="8"/>
      <c r="K38" s="8"/>
      <c r="L38" s="8"/>
    </row>
    <row r="39" spans="1:13" ht="20.100000000000001" customHeight="1" x14ac:dyDescent="0.2">
      <c r="D39" s="8"/>
      <c r="E39" s="8"/>
      <c r="F39" s="8"/>
      <c r="G39" s="8"/>
      <c r="H39" s="8"/>
      <c r="I39" s="8"/>
      <c r="J39" s="8"/>
      <c r="K39" s="8"/>
      <c r="L39" s="8"/>
    </row>
    <row r="40" spans="1:13" ht="20.100000000000001" customHeight="1" x14ac:dyDescent="0.2">
      <c r="A40" s="82" t="s">
        <v>1</v>
      </c>
      <c r="D40" s="2" t="s">
        <v>1528</v>
      </c>
      <c r="E40" s="25"/>
      <c r="F40" s="25"/>
      <c r="G40" s="8"/>
      <c r="H40" s="8"/>
      <c r="I40" s="8"/>
      <c r="J40" s="8"/>
      <c r="K40" s="8"/>
      <c r="L40" s="8"/>
    </row>
    <row r="41" spans="1:13" ht="20.100000000000001" customHeight="1" x14ac:dyDescent="0.2">
      <c r="A41" s="83" t="str">
        <f>HYPERLINK("#'Constants - Ag Residue'!A1", "Constants - Ag residue")</f>
        <v>Constants - Ag residue</v>
      </c>
      <c r="D41" s="17" t="s">
        <v>1529</v>
      </c>
      <c r="E41" s="25"/>
      <c r="F41" s="25"/>
      <c r="G41" s="8"/>
      <c r="H41" s="8"/>
      <c r="I41" s="8"/>
      <c r="J41" s="8"/>
      <c r="K41" s="8"/>
      <c r="L41" s="8"/>
    </row>
    <row r="42" spans="1:13" ht="20.100000000000001" customHeight="1" x14ac:dyDescent="0.2">
      <c r="A42" s="5" t="str">
        <f>HYPERLINK("#'Constants - Electricity'!A1", "Constants - Electricity")</f>
        <v>Constants - Electricity</v>
      </c>
      <c r="D42" s="17"/>
      <c r="E42" s="25"/>
      <c r="F42" s="25"/>
      <c r="H42" s="8"/>
      <c r="I42" s="8"/>
      <c r="M42" s="25"/>
    </row>
    <row r="43" spans="1:13" ht="20.100000000000001" customHeight="1" x14ac:dyDescent="0.2">
      <c r="A43" s="5" t="str">
        <f>HYPERLINK("#'Constants - Fertiliser'!A1", "Constants - Fertiliser")</f>
        <v>Constants - Fertiliser</v>
      </c>
      <c r="D43" s="166" t="s">
        <v>771</v>
      </c>
      <c r="E43" s="166" t="s">
        <v>772</v>
      </c>
      <c r="F43" s="25"/>
      <c r="H43" s="8"/>
      <c r="I43" s="8"/>
      <c r="M43" s="25"/>
    </row>
    <row r="44" spans="1:13" ht="20.100000000000001" customHeight="1" x14ac:dyDescent="0.2">
      <c r="A44" s="5" t="str">
        <f>HYPERLINK("#'Constants - Fuel'!A1", "Constants - Fuel")</f>
        <v>Constants - Fuel</v>
      </c>
      <c r="D44" s="27" t="s">
        <v>1530</v>
      </c>
      <c r="E44" s="27">
        <v>6.0000000000000001E-3</v>
      </c>
      <c r="F44" s="25"/>
      <c r="H44" s="8"/>
      <c r="I44" s="8"/>
      <c r="M44" s="25"/>
    </row>
    <row r="45" spans="1:13" ht="20.100000000000001" customHeight="1" x14ac:dyDescent="0.2">
      <c r="A45" s="5" t="str">
        <f>HYPERLINK("#'Constants - Scope 3'!A1", "Constants - Scope 3")</f>
        <v>Constants - Scope 3</v>
      </c>
      <c r="D45" s="27" t="s">
        <v>1531</v>
      </c>
      <c r="E45" s="27">
        <v>5.0000000000000001E-3</v>
      </c>
      <c r="F45" s="25"/>
      <c r="H45" s="8"/>
      <c r="I45" s="8"/>
      <c r="M45" s="25"/>
    </row>
    <row r="46" spans="1:13" ht="20.100000000000001" customHeight="1" x14ac:dyDescent="0.2">
      <c r="A46" s="5" t="str">
        <f>HYPERLINK("#'Constants - Solid Waste'!A1", "Constants - Solid Waste")</f>
        <v>Constants - Solid Waste</v>
      </c>
      <c r="H46" s="8"/>
      <c r="I46" s="8"/>
      <c r="M46" s="25"/>
    </row>
    <row r="47" spans="1:13" ht="20.100000000000001" customHeight="1" x14ac:dyDescent="0.2">
      <c r="A47" s="5" t="str">
        <f>HYPERLINK("#'Constants - Common'!A1", "Constants - Common")</f>
        <v>Constants - Common</v>
      </c>
      <c r="M47" s="25"/>
    </row>
    <row r="48" spans="1:13" ht="20.100000000000001" customHeight="1" x14ac:dyDescent="0.2">
      <c r="A48" s="5" t="str">
        <f>HYPERLINK("#'Constants - Common Livestock'!A1", "Constants - Common Livestock")</f>
        <v>Constants - Common Livestock</v>
      </c>
      <c r="D48" s="2" t="s">
        <v>1532</v>
      </c>
      <c r="K48" s="8"/>
      <c r="L48" s="8"/>
    </row>
    <row r="49" spans="1:12" ht="20.100000000000001" customHeight="1" x14ac:dyDescent="0.2">
      <c r="D49" s="17" t="s">
        <v>1533</v>
      </c>
      <c r="K49" s="8"/>
      <c r="L49" s="8"/>
    </row>
    <row r="50" spans="1:12" ht="20.100000000000001" customHeight="1" x14ac:dyDescent="0.2">
      <c r="K50" s="8"/>
      <c r="L50" s="8"/>
    </row>
    <row r="51" spans="1:12" ht="20.100000000000001" customHeight="1" x14ac:dyDescent="0.2">
      <c r="D51" s="20" t="s">
        <v>773</v>
      </c>
      <c r="E51" s="20" t="s">
        <v>774</v>
      </c>
      <c r="F51" s="20" t="s">
        <v>775</v>
      </c>
      <c r="G51" s="20" t="s">
        <v>776</v>
      </c>
      <c r="H51" s="20" t="s">
        <v>777</v>
      </c>
      <c r="I51" s="20" t="s">
        <v>778</v>
      </c>
      <c r="K51" s="8"/>
      <c r="L51" s="8"/>
    </row>
    <row r="52" spans="1:12" ht="20.100000000000001" customHeight="1" x14ac:dyDescent="0.2">
      <c r="D52" s="20" t="s">
        <v>1534</v>
      </c>
      <c r="E52" s="20">
        <v>4.41</v>
      </c>
      <c r="F52" s="20">
        <v>0.4</v>
      </c>
      <c r="G52" s="20">
        <v>1.4999999999999999E-2</v>
      </c>
      <c r="H52" s="20">
        <v>1.2E-2</v>
      </c>
      <c r="I52" s="20">
        <v>0.8</v>
      </c>
      <c r="L52" s="8"/>
    </row>
    <row r="53" spans="1:12" ht="20.100000000000001" customHeight="1" x14ac:dyDescent="0.2">
      <c r="D53" s="20" t="s">
        <v>1535</v>
      </c>
      <c r="E53" s="20">
        <v>8.34</v>
      </c>
      <c r="F53" s="20">
        <v>0.8</v>
      </c>
      <c r="G53" s="20">
        <v>2.5000000000000001E-2</v>
      </c>
      <c r="H53" s="20">
        <v>1.6E-2</v>
      </c>
      <c r="I53" s="20">
        <v>0.8</v>
      </c>
      <c r="L53" s="8"/>
    </row>
    <row r="54" spans="1:12" ht="20.100000000000001" customHeight="1" x14ac:dyDescent="0.2">
      <c r="D54" s="20" t="s">
        <v>1536</v>
      </c>
      <c r="E54" s="20">
        <v>8.6199999999999992</v>
      </c>
      <c r="F54" s="20">
        <v>0.4</v>
      </c>
      <c r="G54" s="20">
        <v>2.7E-2</v>
      </c>
      <c r="H54" s="20">
        <v>1.9E-2</v>
      </c>
      <c r="I54" s="20">
        <v>0.8</v>
      </c>
    </row>
    <row r="55" spans="1:12" ht="20.100000000000001" customHeight="1" x14ac:dyDescent="0.2">
      <c r="D55" s="20" t="s">
        <v>1537</v>
      </c>
      <c r="E55" s="20">
        <v>5.62</v>
      </c>
      <c r="F55" s="20">
        <v>0.4</v>
      </c>
      <c r="G55" s="20">
        <v>2.7E-2</v>
      </c>
      <c r="H55" s="20">
        <v>2.1999999999999999E-2</v>
      </c>
      <c r="I55" s="20">
        <v>0.8</v>
      </c>
    </row>
    <row r="56" spans="1:12" ht="20.100000000000001" customHeight="1" x14ac:dyDescent="0.2">
      <c r="D56" s="20" t="s">
        <v>1538</v>
      </c>
      <c r="E56" s="20">
        <v>8.35</v>
      </c>
      <c r="F56" s="20">
        <v>0.8</v>
      </c>
      <c r="G56" s="20">
        <v>1.4999999999999999E-2</v>
      </c>
      <c r="H56" s="20">
        <v>1.2E-2</v>
      </c>
      <c r="I56" s="20">
        <v>0.8</v>
      </c>
    </row>
    <row r="57" spans="1:12" ht="20.100000000000001" customHeight="1" x14ac:dyDescent="0.2">
      <c r="H57" s="8"/>
    </row>
    <row r="59" spans="1:12" ht="20.100000000000001" customHeight="1" x14ac:dyDescent="0.2">
      <c r="A59" s="81" t="str">
        <f>HYPERLINK("#A1", "▲ Back to top")</f>
        <v>▲ Back to top</v>
      </c>
      <c r="D59" s="2" t="s">
        <v>1539</v>
      </c>
    </row>
    <row r="60" spans="1:12" ht="20.100000000000001" customHeight="1" x14ac:dyDescent="0.2">
      <c r="D60" s="17" t="s">
        <v>1540</v>
      </c>
    </row>
    <row r="62" spans="1:12" ht="20.100000000000001" customHeight="1" x14ac:dyDescent="0.2">
      <c r="D62" s="20" t="s">
        <v>779</v>
      </c>
      <c r="E62" s="20" t="s">
        <v>780</v>
      </c>
      <c r="F62" s="20" t="s">
        <v>781</v>
      </c>
    </row>
    <row r="63" spans="1:12" ht="20.100000000000001" customHeight="1" x14ac:dyDescent="0.2">
      <c r="D63" s="20" t="s">
        <v>583</v>
      </c>
      <c r="E63" s="20">
        <v>3.5000000000000001E-3</v>
      </c>
      <c r="F63" s="20" t="s">
        <v>1541</v>
      </c>
      <c r="K63" s="8"/>
      <c r="L63" s="8"/>
    </row>
    <row r="64" spans="1:12" ht="20.100000000000001" customHeight="1" x14ac:dyDescent="0.2">
      <c r="D64" s="1" t="s">
        <v>584</v>
      </c>
      <c r="E64" s="20">
        <v>7.6E-3</v>
      </c>
      <c r="F64" s="20" t="s">
        <v>1542</v>
      </c>
      <c r="K64" s="8"/>
      <c r="L64" s="8"/>
    </row>
    <row r="65" spans="4:12" ht="20.100000000000001" customHeight="1" x14ac:dyDescent="0.2">
      <c r="D65" s="1" t="s">
        <v>1543</v>
      </c>
      <c r="E65" s="20">
        <v>0.21</v>
      </c>
      <c r="F65" s="20" t="s">
        <v>1544</v>
      </c>
      <c r="K65" s="8"/>
      <c r="L65" s="8"/>
    </row>
    <row r="66" spans="4:12" ht="20.100000000000001" customHeight="1" x14ac:dyDescent="0.2">
      <c r="D66" s="1" t="s">
        <v>1545</v>
      </c>
      <c r="E66" s="20">
        <v>7.8E-2</v>
      </c>
      <c r="F66" s="20" t="s">
        <v>1546</v>
      </c>
      <c r="K66" s="8"/>
      <c r="L66" s="8"/>
    </row>
    <row r="67" spans="4:12" ht="20.100000000000001" customHeight="1" x14ac:dyDescent="0.2">
      <c r="D67" s="1" t="s">
        <v>1547</v>
      </c>
      <c r="E67" s="20">
        <v>9.1000000000000004E-3</v>
      </c>
      <c r="F67" s="20" t="s">
        <v>1548</v>
      </c>
      <c r="K67" s="8"/>
      <c r="L67" s="8"/>
    </row>
    <row r="68" spans="4:12" ht="20.100000000000001" customHeight="1" x14ac:dyDescent="0.2">
      <c r="K68" s="8"/>
      <c r="L68" s="8"/>
    </row>
    <row r="69" spans="4:12" ht="20.100000000000001" customHeight="1" x14ac:dyDescent="0.2">
      <c r="K69" s="8"/>
      <c r="L69" s="8"/>
    </row>
    <row r="70" spans="4:12" ht="20.100000000000001" customHeight="1" x14ac:dyDescent="0.2">
      <c r="D70" s="2" t="s">
        <v>1549</v>
      </c>
      <c r="E70" s="8"/>
      <c r="F70" s="8"/>
      <c r="G70" s="8"/>
      <c r="K70" s="8"/>
      <c r="L70" s="8"/>
    </row>
    <row r="71" spans="4:12" ht="20.100000000000001" customHeight="1" x14ac:dyDescent="0.2">
      <c r="D71" s="17" t="s">
        <v>1550</v>
      </c>
      <c r="E71" s="8"/>
      <c r="F71" s="8"/>
      <c r="G71" s="8"/>
      <c r="K71" s="8"/>
      <c r="L71" s="8"/>
    </row>
    <row r="72" spans="4:12" ht="20.100000000000001" customHeight="1" x14ac:dyDescent="0.2">
      <c r="D72" s="8"/>
      <c r="E72" s="8"/>
      <c r="F72" s="8"/>
      <c r="G72" s="8"/>
      <c r="K72" s="8"/>
      <c r="L72" s="8"/>
    </row>
    <row r="73" spans="4:12" ht="20.100000000000001" customHeight="1" x14ac:dyDescent="0.2">
      <c r="D73" t="s">
        <v>782</v>
      </c>
      <c r="E73" t="s">
        <v>98</v>
      </c>
      <c r="F73" t="s">
        <v>783</v>
      </c>
      <c r="G73" s="8"/>
      <c r="K73" s="8"/>
      <c r="L73" s="8"/>
    </row>
    <row r="74" spans="4:12" ht="20.100000000000001" customHeight="1" x14ac:dyDescent="0.2">
      <c r="D74" t="s">
        <v>1514</v>
      </c>
      <c r="E74" t="s">
        <v>1551</v>
      </c>
      <c r="F74">
        <v>0.06</v>
      </c>
      <c r="G74" s="8"/>
      <c r="K74" s="8"/>
      <c r="L74" s="8"/>
    </row>
    <row r="75" spans="4:12" ht="20.100000000000001" customHeight="1" x14ac:dyDescent="0.2">
      <c r="D75" s="8" t="s">
        <v>1519</v>
      </c>
      <c r="E75" t="s">
        <v>1551</v>
      </c>
      <c r="F75">
        <v>1</v>
      </c>
      <c r="G75" s="8"/>
      <c r="H75" s="8"/>
      <c r="K75" s="8"/>
      <c r="L75" s="8"/>
    </row>
    <row r="76" spans="4:12" ht="20.100000000000001" customHeight="1" x14ac:dyDescent="0.2">
      <c r="D76" s="8" t="s">
        <v>403</v>
      </c>
      <c r="E76" t="s">
        <v>1551</v>
      </c>
      <c r="F76">
        <v>0</v>
      </c>
      <c r="G76" s="8"/>
      <c r="H76" s="8"/>
      <c r="K76" s="8"/>
      <c r="L76" s="8"/>
    </row>
    <row r="77" spans="4:12" ht="20.100000000000001" customHeight="1" x14ac:dyDescent="0.2">
      <c r="D77" s="8" t="s">
        <v>1523</v>
      </c>
      <c r="E77" t="s">
        <v>1551</v>
      </c>
      <c r="F77">
        <v>0</v>
      </c>
      <c r="G77" s="8"/>
      <c r="H77" s="8"/>
      <c r="I77" s="8"/>
      <c r="J77" s="8"/>
      <c r="K77" s="8"/>
      <c r="L77" s="8"/>
    </row>
    <row r="78" spans="4:12" ht="20.100000000000001" customHeight="1" x14ac:dyDescent="0.2">
      <c r="D78" s="8" t="s">
        <v>1525</v>
      </c>
      <c r="E78" t="s">
        <v>1551</v>
      </c>
      <c r="F78">
        <v>0.8</v>
      </c>
      <c r="G78" s="8"/>
      <c r="H78" s="8"/>
      <c r="I78" s="8"/>
      <c r="J78" s="8"/>
      <c r="K78" s="8"/>
      <c r="L78" s="8"/>
    </row>
    <row r="79" spans="4:12" ht="20.100000000000001" customHeight="1" x14ac:dyDescent="0.2">
      <c r="D79" s="8" t="s">
        <v>1552</v>
      </c>
      <c r="E79" t="s">
        <v>988</v>
      </c>
      <c r="F79">
        <v>0</v>
      </c>
      <c r="G79" s="8"/>
      <c r="H79" s="8"/>
      <c r="I79" s="8"/>
      <c r="J79" s="8"/>
      <c r="K79" s="8"/>
      <c r="L79" s="8"/>
    </row>
    <row r="80" spans="4:12" ht="20.100000000000001" customHeight="1" x14ac:dyDescent="0.2">
      <c r="D80" s="8" t="s">
        <v>1552</v>
      </c>
      <c r="E80" t="s">
        <v>1001</v>
      </c>
      <c r="F80">
        <v>0.03</v>
      </c>
      <c r="G80" s="8"/>
      <c r="H80" s="8"/>
      <c r="I80" s="8"/>
      <c r="J80" s="8"/>
      <c r="K80" s="8"/>
      <c r="L80" s="8"/>
    </row>
    <row r="81" spans="1:12" ht="20.100000000000001" customHeight="1" x14ac:dyDescent="0.2">
      <c r="D81" s="8" t="s">
        <v>1552</v>
      </c>
      <c r="E81" t="s">
        <v>993</v>
      </c>
      <c r="F81">
        <v>0</v>
      </c>
      <c r="G81" s="8"/>
      <c r="H81" s="8"/>
      <c r="I81" s="8"/>
      <c r="J81" s="8"/>
      <c r="K81" s="8"/>
      <c r="L81" s="8"/>
    </row>
    <row r="82" spans="1:12" ht="20.100000000000001" customHeight="1" x14ac:dyDescent="0.2">
      <c r="D82" s="8" t="s">
        <v>1553</v>
      </c>
      <c r="E82" t="s">
        <v>988</v>
      </c>
      <c r="F82">
        <v>0.05</v>
      </c>
      <c r="G82" s="8"/>
      <c r="H82" s="8"/>
      <c r="I82" s="8"/>
      <c r="J82" s="8"/>
      <c r="K82" s="8"/>
      <c r="L82" s="8"/>
    </row>
    <row r="83" spans="1:12" ht="20.100000000000001" customHeight="1" x14ac:dyDescent="0.2">
      <c r="D83" s="8" t="s">
        <v>1553</v>
      </c>
      <c r="E83" t="s">
        <v>991</v>
      </c>
      <c r="F83">
        <v>7.0000000000000007E-2</v>
      </c>
      <c r="G83" s="8"/>
      <c r="H83" s="8"/>
      <c r="I83" s="8"/>
      <c r="J83" s="8"/>
      <c r="K83" s="8"/>
      <c r="L83" s="8"/>
    </row>
    <row r="84" spans="1:12" ht="20.100000000000001" customHeight="1" x14ac:dyDescent="0.2">
      <c r="D84" s="8" t="s">
        <v>1553</v>
      </c>
      <c r="E84" t="s">
        <v>1001</v>
      </c>
      <c r="F84">
        <v>0.04</v>
      </c>
      <c r="G84" s="8"/>
      <c r="H84" s="8"/>
      <c r="I84" s="8"/>
      <c r="J84" s="8"/>
      <c r="K84" s="8"/>
      <c r="L84" s="8"/>
    </row>
    <row r="85" spans="1:12" ht="20.100000000000001" customHeight="1" x14ac:dyDescent="0.2">
      <c r="D85" s="8" t="s">
        <v>1553</v>
      </c>
      <c r="E85" t="s">
        <v>989</v>
      </c>
      <c r="F85">
        <v>0.09</v>
      </c>
      <c r="G85" s="8"/>
      <c r="H85" s="8"/>
      <c r="I85" s="8"/>
      <c r="J85" s="8"/>
      <c r="K85" s="8"/>
      <c r="L85" s="8"/>
    </row>
    <row r="86" spans="1:12" ht="20.100000000000001" customHeight="1" x14ac:dyDescent="0.2">
      <c r="D86" s="8" t="s">
        <v>1553</v>
      </c>
      <c r="E86" t="s">
        <v>993</v>
      </c>
      <c r="F86">
        <v>0.11</v>
      </c>
      <c r="G86" s="8"/>
      <c r="H86" s="8"/>
      <c r="I86" s="8"/>
      <c r="J86" s="8"/>
      <c r="K86" s="8"/>
      <c r="L86" s="8"/>
    </row>
    <row r="87" spans="1:12" ht="20.100000000000001" customHeight="1" x14ac:dyDescent="0.2">
      <c r="D87" s="8" t="s">
        <v>1553</v>
      </c>
      <c r="E87" t="s">
        <v>990</v>
      </c>
      <c r="F87">
        <v>0.16</v>
      </c>
      <c r="G87" s="8"/>
      <c r="H87" s="8"/>
      <c r="I87" s="8"/>
      <c r="J87" s="8"/>
      <c r="K87" s="8"/>
      <c r="L87" s="8"/>
    </row>
    <row r="88" spans="1:12" ht="20.100000000000001" customHeight="1" x14ac:dyDescent="0.2">
      <c r="D88" s="8" t="s">
        <v>1553</v>
      </c>
      <c r="E88" t="s">
        <v>997</v>
      </c>
      <c r="F88">
        <v>0.01</v>
      </c>
      <c r="G88" s="8"/>
      <c r="H88" s="8"/>
      <c r="I88" s="8"/>
      <c r="J88" s="8"/>
      <c r="K88" s="8"/>
      <c r="L88" s="8"/>
    </row>
    <row r="89" spans="1:12" ht="20.100000000000001" customHeight="1" x14ac:dyDescent="0.2">
      <c r="A89" s="81" t="str">
        <f>HYPERLINK("#A1", "▲ Back to top")</f>
        <v>▲ Back to top</v>
      </c>
      <c r="D89" s="8" t="s">
        <v>1553</v>
      </c>
      <c r="E89" t="s">
        <v>987</v>
      </c>
      <c r="F89">
        <v>0</v>
      </c>
      <c r="G89" s="8"/>
      <c r="H89" s="8"/>
      <c r="I89" s="8"/>
      <c r="J89" s="8"/>
      <c r="K89" s="8"/>
      <c r="L89" s="8"/>
    </row>
    <row r="90" spans="1:12" ht="20.100000000000001" customHeight="1" x14ac:dyDescent="0.2">
      <c r="D90" s="8"/>
      <c r="E90" s="8"/>
      <c r="F90" s="8"/>
      <c r="G90" s="8"/>
      <c r="H90" s="8"/>
      <c r="I90" s="8"/>
      <c r="J90" s="8"/>
      <c r="K90" s="8"/>
      <c r="L90" s="8"/>
    </row>
    <row r="91" spans="1:12" ht="20.100000000000001" customHeight="1" x14ac:dyDescent="0.2">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1:12" ht="20.100000000000001" customHeight="1" x14ac:dyDescent="0.2">
      <c r="D92" t="s">
        <v>782</v>
      </c>
      <c r="E92" t="s">
        <v>98</v>
      </c>
      <c r="F92" t="s">
        <v>783</v>
      </c>
      <c r="G92" s="8"/>
      <c r="H92" s="8"/>
      <c r="I92" s="8"/>
      <c r="J92" s="8"/>
      <c r="K92" s="8"/>
      <c r="L92" s="8"/>
    </row>
    <row r="93" spans="1:12" ht="20.100000000000001" customHeight="1" x14ac:dyDescent="0.2">
      <c r="D93" t="s">
        <v>1514</v>
      </c>
      <c r="E93" t="s">
        <v>988</v>
      </c>
      <c r="F93">
        <v>0.06</v>
      </c>
      <c r="G93" s="8"/>
      <c r="H93" s="8"/>
      <c r="I93" s="8"/>
      <c r="J93" s="8"/>
      <c r="K93" s="8"/>
      <c r="L93" s="8"/>
    </row>
    <row r="94" spans="1:12" ht="20.100000000000001" customHeight="1" x14ac:dyDescent="0.2">
      <c r="D94" s="8" t="s">
        <v>1514</v>
      </c>
      <c r="E94" t="s">
        <v>991</v>
      </c>
      <c r="F94">
        <v>0.06</v>
      </c>
      <c r="G94" s="8"/>
      <c r="H94" s="8"/>
      <c r="I94" s="8"/>
      <c r="J94" s="8"/>
      <c r="K94" s="8"/>
      <c r="L94" s="8"/>
    </row>
    <row r="95" spans="1:12" ht="20.100000000000001" customHeight="1" x14ac:dyDescent="0.2">
      <c r="D95" s="8" t="s">
        <v>1514</v>
      </c>
      <c r="E95" t="s">
        <v>1001</v>
      </c>
      <c r="F95">
        <v>0.06</v>
      </c>
      <c r="G95" s="8"/>
      <c r="H95" s="8"/>
      <c r="I95" s="8"/>
      <c r="J95" s="8"/>
      <c r="K95" s="8"/>
      <c r="L95" s="8"/>
    </row>
    <row r="96" spans="1:12" ht="20.100000000000001" customHeight="1" x14ac:dyDescent="0.2">
      <c r="D96" s="8" t="s">
        <v>1514</v>
      </c>
      <c r="E96" t="s">
        <v>989</v>
      </c>
      <c r="F96">
        <v>0.06</v>
      </c>
      <c r="G96" s="8"/>
      <c r="H96" s="8"/>
      <c r="I96" s="8"/>
      <c r="J96" s="8"/>
      <c r="K96" s="8"/>
      <c r="L96" s="8"/>
    </row>
    <row r="97" spans="4:12" ht="20.100000000000001" customHeight="1" x14ac:dyDescent="0.2">
      <c r="D97" s="8" t="s">
        <v>1514</v>
      </c>
      <c r="E97" t="s">
        <v>993</v>
      </c>
      <c r="F97">
        <v>0.06</v>
      </c>
      <c r="G97" s="8"/>
      <c r="H97" s="8"/>
      <c r="I97" s="8"/>
      <c r="J97" s="8"/>
      <c r="K97" s="8"/>
      <c r="L97" s="8"/>
    </row>
    <row r="98" spans="4:12" ht="20.100000000000001" customHeight="1" x14ac:dyDescent="0.2">
      <c r="D98" s="8" t="s">
        <v>1514</v>
      </c>
      <c r="E98" t="s">
        <v>990</v>
      </c>
      <c r="F98">
        <v>0.06</v>
      </c>
      <c r="G98" s="8"/>
      <c r="H98" s="8"/>
      <c r="I98" s="8"/>
      <c r="J98" s="8"/>
      <c r="K98" s="8"/>
      <c r="L98" s="8"/>
    </row>
    <row r="99" spans="4:12" ht="20.100000000000001" customHeight="1" x14ac:dyDescent="0.2">
      <c r="D99" s="8" t="s">
        <v>1514</v>
      </c>
      <c r="E99" t="s">
        <v>997</v>
      </c>
      <c r="F99">
        <v>0.06</v>
      </c>
      <c r="G99" s="8"/>
      <c r="H99" s="8"/>
      <c r="I99" s="8"/>
      <c r="J99" s="8"/>
      <c r="K99" s="8"/>
      <c r="L99" s="8"/>
    </row>
    <row r="100" spans="4:12" ht="20.100000000000001" customHeight="1" x14ac:dyDescent="0.2">
      <c r="D100" s="8" t="s">
        <v>1514</v>
      </c>
      <c r="E100" t="s">
        <v>987</v>
      </c>
      <c r="F100">
        <v>0.06</v>
      </c>
      <c r="G100" s="8"/>
      <c r="H100" s="8"/>
      <c r="I100" s="8"/>
      <c r="J100" s="8"/>
      <c r="K100" s="8"/>
      <c r="L100" s="8"/>
    </row>
    <row r="101" spans="4:12" ht="20.100000000000001" customHeight="1" x14ac:dyDescent="0.2">
      <c r="D101" s="8" t="s">
        <v>1519</v>
      </c>
      <c r="E101" t="s">
        <v>988</v>
      </c>
      <c r="F101">
        <v>1</v>
      </c>
      <c r="G101" s="8"/>
      <c r="H101" s="8"/>
      <c r="I101" s="8"/>
      <c r="J101" s="8"/>
      <c r="K101" s="8"/>
      <c r="L101" s="8"/>
    </row>
    <row r="102" spans="4:12" ht="20.100000000000001" customHeight="1" x14ac:dyDescent="0.2">
      <c r="D102" s="8" t="s">
        <v>1519</v>
      </c>
      <c r="E102" t="s">
        <v>991</v>
      </c>
      <c r="F102">
        <v>1</v>
      </c>
      <c r="G102" s="8"/>
      <c r="H102" s="8"/>
      <c r="I102" s="8"/>
      <c r="J102" s="8"/>
      <c r="K102" s="8"/>
      <c r="L102" s="8"/>
    </row>
    <row r="103" spans="4:12" ht="20.100000000000001" customHeight="1" x14ac:dyDescent="0.2">
      <c r="D103" s="8" t="s">
        <v>1519</v>
      </c>
      <c r="E103" t="s">
        <v>1001</v>
      </c>
      <c r="F103">
        <v>1</v>
      </c>
      <c r="G103" s="8"/>
      <c r="H103" s="8"/>
      <c r="I103" s="8"/>
      <c r="J103" s="8"/>
      <c r="K103" s="8"/>
      <c r="L103" s="8"/>
    </row>
    <row r="104" spans="4:12" ht="20.100000000000001" customHeight="1" x14ac:dyDescent="0.2">
      <c r="D104" s="8" t="s">
        <v>1519</v>
      </c>
      <c r="E104" t="s">
        <v>989</v>
      </c>
      <c r="F104">
        <v>1</v>
      </c>
      <c r="G104" s="8"/>
      <c r="H104" s="8"/>
      <c r="I104" s="8"/>
      <c r="J104" s="8"/>
      <c r="K104" s="8"/>
      <c r="L104" s="8"/>
    </row>
    <row r="105" spans="4:12" ht="20.100000000000001" customHeight="1" x14ac:dyDescent="0.2">
      <c r="D105" s="8" t="s">
        <v>1519</v>
      </c>
      <c r="E105" t="s">
        <v>993</v>
      </c>
      <c r="F105">
        <v>1</v>
      </c>
      <c r="G105" s="8"/>
      <c r="H105" s="8"/>
      <c r="I105" s="8"/>
      <c r="J105" s="8"/>
      <c r="K105" s="8"/>
      <c r="L105" s="8"/>
    </row>
    <row r="106" spans="4:12" ht="20.100000000000001" customHeight="1" x14ac:dyDescent="0.2">
      <c r="D106" s="8" t="s">
        <v>1519</v>
      </c>
      <c r="E106" t="s">
        <v>990</v>
      </c>
      <c r="F106">
        <v>1</v>
      </c>
      <c r="G106" s="8"/>
      <c r="H106" s="8"/>
      <c r="I106" s="8"/>
      <c r="J106" s="8"/>
      <c r="K106" s="8"/>
      <c r="L106" s="8"/>
    </row>
    <row r="107" spans="4:12" ht="20.100000000000001" customHeight="1" x14ac:dyDescent="0.2">
      <c r="D107" s="8" t="s">
        <v>1519</v>
      </c>
      <c r="E107" t="s">
        <v>997</v>
      </c>
      <c r="F107">
        <v>1</v>
      </c>
      <c r="G107" s="8"/>
      <c r="H107" s="8"/>
      <c r="I107" s="8"/>
      <c r="J107" s="8"/>
      <c r="K107" s="8"/>
      <c r="L107" s="8"/>
    </row>
    <row r="108" spans="4:12" ht="20.100000000000001" customHeight="1" x14ac:dyDescent="0.2">
      <c r="D108" s="8" t="s">
        <v>1519</v>
      </c>
      <c r="E108" t="s">
        <v>987</v>
      </c>
      <c r="F108">
        <v>1</v>
      </c>
      <c r="G108" s="8"/>
      <c r="H108" s="8"/>
      <c r="I108" s="8"/>
      <c r="J108" s="8"/>
      <c r="K108" s="8"/>
      <c r="L108" s="8"/>
    </row>
    <row r="109" spans="4:12" ht="20.100000000000001" customHeight="1" x14ac:dyDescent="0.2">
      <c r="D109" s="8" t="s">
        <v>403</v>
      </c>
      <c r="E109" t="s">
        <v>988</v>
      </c>
      <c r="F109">
        <v>0</v>
      </c>
      <c r="G109" s="8"/>
      <c r="H109" s="8"/>
      <c r="I109" s="8"/>
      <c r="J109" s="8"/>
      <c r="K109" s="8"/>
      <c r="L109" s="8"/>
    </row>
    <row r="110" spans="4:12" ht="20.100000000000001" customHeight="1" x14ac:dyDescent="0.2">
      <c r="D110" s="8" t="s">
        <v>403</v>
      </c>
      <c r="E110" t="s">
        <v>991</v>
      </c>
      <c r="F110">
        <v>0</v>
      </c>
      <c r="G110" s="8"/>
      <c r="H110" s="8"/>
      <c r="I110" s="8"/>
      <c r="J110" s="8"/>
      <c r="K110" s="8"/>
      <c r="L110" s="8"/>
    </row>
    <row r="111" spans="4:12" ht="20.100000000000001" customHeight="1" x14ac:dyDescent="0.2">
      <c r="D111" s="8" t="s">
        <v>403</v>
      </c>
      <c r="E111" t="s">
        <v>1001</v>
      </c>
      <c r="F111">
        <v>0</v>
      </c>
      <c r="G111" s="8"/>
      <c r="H111" s="8"/>
      <c r="I111" s="8"/>
      <c r="J111" s="8"/>
      <c r="K111" s="8"/>
      <c r="L111" s="8"/>
    </row>
    <row r="112" spans="4:12" ht="20.100000000000001" customHeight="1" x14ac:dyDescent="0.2">
      <c r="D112" s="8" t="s">
        <v>403</v>
      </c>
      <c r="E112" t="s">
        <v>989</v>
      </c>
      <c r="F112">
        <v>0</v>
      </c>
      <c r="G112" s="8"/>
      <c r="H112" s="8"/>
      <c r="I112" s="8"/>
      <c r="J112" s="8"/>
      <c r="K112" s="8"/>
      <c r="L112" s="8"/>
    </row>
    <row r="113" spans="1:12" ht="20.100000000000001" customHeight="1" x14ac:dyDescent="0.2">
      <c r="D113" s="8" t="s">
        <v>403</v>
      </c>
      <c r="E113" t="s">
        <v>993</v>
      </c>
      <c r="F113">
        <v>0</v>
      </c>
      <c r="G113" s="8"/>
      <c r="H113" s="8"/>
      <c r="I113" s="8"/>
      <c r="J113" s="8"/>
      <c r="K113" s="8"/>
      <c r="L113" s="8"/>
    </row>
    <row r="114" spans="1:12" ht="20.100000000000001" customHeight="1" x14ac:dyDescent="0.2">
      <c r="D114" s="8" t="s">
        <v>403</v>
      </c>
      <c r="E114" t="s">
        <v>990</v>
      </c>
      <c r="F114">
        <v>0</v>
      </c>
      <c r="G114" s="8"/>
      <c r="H114" s="8"/>
      <c r="I114" s="8"/>
      <c r="J114" s="8"/>
      <c r="K114" s="8"/>
      <c r="L114" s="8"/>
    </row>
    <row r="115" spans="1:12" ht="20.100000000000001" customHeight="1" x14ac:dyDescent="0.2">
      <c r="D115" s="8" t="s">
        <v>403</v>
      </c>
      <c r="E115" t="s">
        <v>997</v>
      </c>
      <c r="F115">
        <v>0</v>
      </c>
      <c r="G115" s="8"/>
      <c r="H115" s="8"/>
      <c r="I115" s="8"/>
      <c r="J115" s="8"/>
      <c r="K115" s="8"/>
      <c r="L115" s="8"/>
    </row>
    <row r="116" spans="1:12" ht="20.100000000000001" customHeight="1" x14ac:dyDescent="0.2">
      <c r="D116" s="8" t="s">
        <v>403</v>
      </c>
      <c r="E116" t="s">
        <v>987</v>
      </c>
      <c r="F116">
        <v>0</v>
      </c>
      <c r="G116" s="8"/>
      <c r="H116" s="8"/>
      <c r="I116" s="8"/>
      <c r="J116" s="8"/>
      <c r="K116" s="8"/>
      <c r="L116" s="8"/>
    </row>
    <row r="117" spans="1:12" ht="20.100000000000001" customHeight="1" x14ac:dyDescent="0.2">
      <c r="D117" s="8" t="s">
        <v>1523</v>
      </c>
      <c r="E117" t="s">
        <v>988</v>
      </c>
      <c r="F117">
        <v>0</v>
      </c>
      <c r="G117" s="8"/>
      <c r="H117" s="8"/>
      <c r="I117" s="8"/>
      <c r="J117" s="8"/>
      <c r="K117" s="8"/>
      <c r="L117" s="8"/>
    </row>
    <row r="118" spans="1:12" ht="20.100000000000001" customHeight="1" x14ac:dyDescent="0.2">
      <c r="D118" s="8" t="s">
        <v>1523</v>
      </c>
      <c r="E118" t="s">
        <v>991</v>
      </c>
      <c r="F118">
        <v>0</v>
      </c>
      <c r="G118" s="8"/>
      <c r="H118" s="8"/>
      <c r="I118" s="8"/>
      <c r="J118" s="8"/>
      <c r="K118" s="8"/>
      <c r="L118" s="8"/>
    </row>
    <row r="119" spans="1:12" ht="20.100000000000001" customHeight="1" x14ac:dyDescent="0.2">
      <c r="A119" s="81" t="str">
        <f>HYPERLINK("#A1", "▲ Back to top")</f>
        <v>▲ Back to top</v>
      </c>
      <c r="D119" s="8" t="s">
        <v>1523</v>
      </c>
      <c r="E119" t="s">
        <v>1001</v>
      </c>
      <c r="F119">
        <v>0</v>
      </c>
      <c r="G119" s="8"/>
      <c r="H119" s="8"/>
      <c r="I119" s="8"/>
      <c r="J119" s="8"/>
      <c r="K119" s="8"/>
      <c r="L119" s="8"/>
    </row>
    <row r="120" spans="1:12" ht="20.100000000000001" customHeight="1" x14ac:dyDescent="0.2">
      <c r="D120" s="8" t="s">
        <v>1523</v>
      </c>
      <c r="E120" t="s">
        <v>989</v>
      </c>
      <c r="F120">
        <v>0</v>
      </c>
      <c r="G120" s="8"/>
      <c r="H120" s="8"/>
      <c r="I120" s="8"/>
      <c r="J120" s="8"/>
      <c r="K120" s="8"/>
      <c r="L120" s="8"/>
    </row>
    <row r="121" spans="1:12" ht="20.100000000000001" customHeight="1" x14ac:dyDescent="0.2">
      <c r="D121" s="8" t="s">
        <v>1523</v>
      </c>
      <c r="E121" t="s">
        <v>993</v>
      </c>
      <c r="F121">
        <v>0</v>
      </c>
      <c r="G121" s="8"/>
      <c r="H121" s="8"/>
      <c r="I121" s="8"/>
      <c r="J121" s="8"/>
      <c r="K121" s="8"/>
      <c r="L121" s="8"/>
    </row>
    <row r="122" spans="1:12" ht="20.100000000000001" customHeight="1" x14ac:dyDescent="0.2">
      <c r="D122" s="8" t="s">
        <v>1523</v>
      </c>
      <c r="E122" t="s">
        <v>990</v>
      </c>
      <c r="F122">
        <v>0</v>
      </c>
      <c r="G122" s="8"/>
      <c r="H122" s="8"/>
      <c r="I122" s="8"/>
      <c r="J122" s="8"/>
      <c r="K122" s="8"/>
      <c r="L122" s="8"/>
    </row>
    <row r="123" spans="1:12" ht="20.100000000000001" customHeight="1" x14ac:dyDescent="0.2">
      <c r="D123" s="8" t="s">
        <v>1523</v>
      </c>
      <c r="E123" t="s">
        <v>997</v>
      </c>
      <c r="F123">
        <v>0</v>
      </c>
      <c r="G123" s="8"/>
      <c r="H123" s="8"/>
      <c r="I123" s="8"/>
      <c r="J123" s="8"/>
      <c r="K123" s="8"/>
      <c r="L123" s="8"/>
    </row>
    <row r="124" spans="1:12" ht="20.100000000000001" customHeight="1" x14ac:dyDescent="0.2">
      <c r="D124" s="8" t="s">
        <v>1523</v>
      </c>
      <c r="E124" t="s">
        <v>987</v>
      </c>
      <c r="F124">
        <v>0</v>
      </c>
      <c r="G124" s="8"/>
      <c r="H124" s="8"/>
      <c r="I124" s="8"/>
      <c r="J124" s="8"/>
      <c r="K124" s="8"/>
      <c r="L124" s="8"/>
    </row>
    <row r="125" spans="1:12" ht="20.100000000000001" customHeight="1" x14ac:dyDescent="0.2">
      <c r="D125" s="8" t="s">
        <v>1525</v>
      </c>
      <c r="E125" t="s">
        <v>988</v>
      </c>
      <c r="F125">
        <v>0.8</v>
      </c>
      <c r="G125" s="8"/>
      <c r="H125" s="8"/>
      <c r="I125" s="8"/>
      <c r="J125" s="8"/>
      <c r="K125" s="8"/>
      <c r="L125" s="8"/>
    </row>
    <row r="126" spans="1:12" ht="20.100000000000001" customHeight="1" x14ac:dyDescent="0.2">
      <c r="D126" s="8" t="s">
        <v>1525</v>
      </c>
      <c r="E126" t="s">
        <v>991</v>
      </c>
      <c r="F126">
        <v>0.8</v>
      </c>
      <c r="G126" s="8"/>
      <c r="H126" s="8"/>
      <c r="I126" s="8"/>
      <c r="J126" s="8"/>
      <c r="K126" s="8"/>
      <c r="L126" s="8"/>
    </row>
    <row r="127" spans="1:12" ht="20.100000000000001" customHeight="1" x14ac:dyDescent="0.2">
      <c r="D127" s="8" t="s">
        <v>1525</v>
      </c>
      <c r="E127" t="s">
        <v>1001</v>
      </c>
      <c r="F127">
        <v>0.8</v>
      </c>
      <c r="G127" s="8"/>
      <c r="H127" s="8"/>
      <c r="I127" s="8"/>
      <c r="J127" s="8"/>
      <c r="K127" s="8"/>
      <c r="L127" s="8"/>
    </row>
    <row r="128" spans="1:12" ht="20.100000000000001" customHeight="1" x14ac:dyDescent="0.2">
      <c r="D128" s="8" t="s">
        <v>1525</v>
      </c>
      <c r="E128" t="s">
        <v>989</v>
      </c>
      <c r="F128">
        <v>0.8</v>
      </c>
      <c r="G128" s="8"/>
      <c r="H128" s="8"/>
      <c r="I128" s="8"/>
      <c r="J128" s="8"/>
      <c r="K128" s="8"/>
      <c r="L128" s="8"/>
    </row>
    <row r="129" spans="4:12" ht="20.100000000000001" customHeight="1" x14ac:dyDescent="0.2">
      <c r="D129" s="8" t="s">
        <v>1525</v>
      </c>
      <c r="E129" t="s">
        <v>993</v>
      </c>
      <c r="F129">
        <v>0.8</v>
      </c>
      <c r="G129" s="8"/>
      <c r="H129" s="8"/>
      <c r="I129" s="8"/>
      <c r="J129" s="8"/>
      <c r="K129" s="8"/>
      <c r="L129" s="8"/>
    </row>
    <row r="130" spans="4:12" ht="20.100000000000001" customHeight="1" x14ac:dyDescent="0.2">
      <c r="D130" s="8" t="s">
        <v>1525</v>
      </c>
      <c r="E130" t="s">
        <v>990</v>
      </c>
      <c r="F130">
        <v>0.8</v>
      </c>
      <c r="G130" s="8"/>
      <c r="H130" s="8"/>
      <c r="I130" s="8"/>
      <c r="J130" s="8"/>
      <c r="K130" s="8"/>
      <c r="L130" s="8"/>
    </row>
    <row r="131" spans="4:12" ht="20.100000000000001" customHeight="1" x14ac:dyDescent="0.2">
      <c r="D131" s="8" t="s">
        <v>1525</v>
      </c>
      <c r="E131" t="s">
        <v>997</v>
      </c>
      <c r="F131">
        <v>0.8</v>
      </c>
      <c r="G131" s="8"/>
      <c r="H131" s="8"/>
      <c r="I131" s="8"/>
      <c r="J131" s="8"/>
      <c r="K131" s="8"/>
      <c r="L131" s="8"/>
    </row>
    <row r="132" spans="4:12" ht="20.100000000000001" customHeight="1" x14ac:dyDescent="0.2">
      <c r="D132" s="8" t="s">
        <v>1525</v>
      </c>
      <c r="E132" t="s">
        <v>987</v>
      </c>
      <c r="F132">
        <v>0.8</v>
      </c>
      <c r="G132" s="8"/>
      <c r="H132" s="8"/>
      <c r="I132" s="8"/>
      <c r="J132" s="8"/>
      <c r="K132" s="8"/>
      <c r="L132" s="8"/>
    </row>
    <row r="133" spans="4:12" ht="20.100000000000001" customHeight="1" x14ac:dyDescent="0.2">
      <c r="D133" s="8" t="s">
        <v>1552</v>
      </c>
      <c r="E133" t="s">
        <v>988</v>
      </c>
      <c r="F133">
        <v>0</v>
      </c>
      <c r="G133" s="8"/>
      <c r="H133" s="8"/>
      <c r="I133" s="8"/>
      <c r="J133" s="8"/>
      <c r="K133" s="8"/>
      <c r="L133" s="8"/>
    </row>
    <row r="134" spans="4:12" ht="20.100000000000001" customHeight="1" x14ac:dyDescent="0.2">
      <c r="D134" s="8" t="s">
        <v>1552</v>
      </c>
      <c r="E134" t="s">
        <v>991</v>
      </c>
      <c r="F134" t="s">
        <v>124</v>
      </c>
      <c r="G134" s="8"/>
      <c r="H134" s="8"/>
      <c r="I134" s="8"/>
      <c r="J134" s="8"/>
      <c r="K134" s="8"/>
      <c r="L134" s="8"/>
    </row>
    <row r="135" spans="4:12" ht="20.100000000000001" customHeight="1" x14ac:dyDescent="0.2">
      <c r="D135" s="8" t="s">
        <v>1552</v>
      </c>
      <c r="E135" t="s">
        <v>1001</v>
      </c>
      <c r="F135">
        <v>0.03</v>
      </c>
      <c r="G135" s="8"/>
      <c r="H135" s="8"/>
      <c r="I135" s="8"/>
      <c r="J135" s="8"/>
      <c r="K135" s="8"/>
      <c r="L135" s="8"/>
    </row>
    <row r="136" spans="4:12" ht="20.100000000000001" customHeight="1" x14ac:dyDescent="0.2">
      <c r="D136" s="8" t="s">
        <v>1552</v>
      </c>
      <c r="E136" t="s">
        <v>989</v>
      </c>
      <c r="F136" t="s">
        <v>124</v>
      </c>
      <c r="G136" s="8"/>
      <c r="H136" s="8"/>
      <c r="I136" s="8"/>
      <c r="J136" s="8"/>
      <c r="K136" s="8"/>
      <c r="L136" s="8"/>
    </row>
    <row r="137" spans="4:12" ht="20.100000000000001" customHeight="1" x14ac:dyDescent="0.2">
      <c r="D137" s="8" t="s">
        <v>1552</v>
      </c>
      <c r="E137" t="s">
        <v>993</v>
      </c>
      <c r="F137">
        <v>0</v>
      </c>
      <c r="G137" s="8"/>
      <c r="H137" s="8"/>
      <c r="I137" s="8"/>
      <c r="J137" s="8"/>
      <c r="K137" s="8"/>
      <c r="L137" s="8"/>
    </row>
    <row r="138" spans="4:12" ht="20.100000000000001" customHeight="1" x14ac:dyDescent="0.2">
      <c r="D138" s="8" t="s">
        <v>1552</v>
      </c>
      <c r="E138" t="s">
        <v>990</v>
      </c>
      <c r="F138" t="s">
        <v>124</v>
      </c>
      <c r="G138" s="8"/>
      <c r="H138" s="8"/>
      <c r="I138" s="8"/>
      <c r="J138" s="8"/>
      <c r="K138" s="8"/>
      <c r="L138" s="8"/>
    </row>
    <row r="139" spans="4:12" ht="20.100000000000001" customHeight="1" x14ac:dyDescent="0.2">
      <c r="D139" s="8" t="s">
        <v>1552</v>
      </c>
      <c r="E139" t="s">
        <v>997</v>
      </c>
      <c r="F139" t="s">
        <v>124</v>
      </c>
      <c r="G139" s="8"/>
      <c r="H139" s="8"/>
      <c r="I139" s="8"/>
      <c r="J139" s="8"/>
      <c r="K139" s="8"/>
      <c r="L139" s="8"/>
    </row>
    <row r="140" spans="4:12" ht="20.100000000000001" customHeight="1" x14ac:dyDescent="0.2">
      <c r="D140" s="8" t="s">
        <v>1552</v>
      </c>
      <c r="E140" t="s">
        <v>987</v>
      </c>
      <c r="F140" t="s">
        <v>124</v>
      </c>
      <c r="G140" s="8"/>
      <c r="H140" s="8"/>
      <c r="I140" s="8"/>
      <c r="J140" s="8"/>
      <c r="K140" s="8"/>
      <c r="L140" s="8"/>
    </row>
    <row r="141" spans="4:12" ht="20.100000000000001" customHeight="1" x14ac:dyDescent="0.2">
      <c r="D141" s="8" t="s">
        <v>710</v>
      </c>
      <c r="E141" t="s">
        <v>988</v>
      </c>
      <c r="F141">
        <v>0.05</v>
      </c>
      <c r="G141" s="8"/>
      <c r="H141" s="8"/>
      <c r="I141" s="8"/>
      <c r="J141" s="8"/>
      <c r="K141" s="8"/>
      <c r="L141" s="8"/>
    </row>
    <row r="142" spans="4:12" ht="20.100000000000001" customHeight="1" x14ac:dyDescent="0.2">
      <c r="D142" s="8" t="s">
        <v>710</v>
      </c>
      <c r="E142" t="s">
        <v>991</v>
      </c>
      <c r="F142">
        <v>7.0000000000000007E-2</v>
      </c>
      <c r="G142" s="8"/>
      <c r="H142" s="8"/>
      <c r="I142" s="8"/>
      <c r="J142" s="8"/>
      <c r="K142" s="8"/>
      <c r="L142" s="8"/>
    </row>
    <row r="143" spans="4:12" ht="20.100000000000001" customHeight="1" x14ac:dyDescent="0.2">
      <c r="D143" s="8" t="s">
        <v>710</v>
      </c>
      <c r="E143" t="s">
        <v>1001</v>
      </c>
      <c r="F143">
        <v>0.04</v>
      </c>
      <c r="G143" s="8"/>
      <c r="H143" s="8"/>
      <c r="I143" s="8"/>
      <c r="J143" s="8"/>
      <c r="K143" s="8"/>
      <c r="L143" s="8"/>
    </row>
    <row r="144" spans="4:12" ht="20.100000000000001" customHeight="1" x14ac:dyDescent="0.2">
      <c r="D144" s="8" t="s">
        <v>710</v>
      </c>
      <c r="E144" t="s">
        <v>989</v>
      </c>
      <c r="F144">
        <v>0.09</v>
      </c>
      <c r="G144" s="8"/>
      <c r="H144" s="8"/>
      <c r="I144" s="8"/>
      <c r="J144" s="8"/>
      <c r="K144" s="8"/>
      <c r="L144" s="8"/>
    </row>
    <row r="145" spans="1:12" ht="20.100000000000001" customHeight="1" x14ac:dyDescent="0.2">
      <c r="D145" s="8" t="s">
        <v>710</v>
      </c>
      <c r="E145" t="s">
        <v>993</v>
      </c>
      <c r="F145">
        <v>0.11</v>
      </c>
      <c r="G145" s="8"/>
      <c r="H145" s="8"/>
      <c r="I145" s="8"/>
      <c r="J145" s="8"/>
      <c r="K145" s="8"/>
      <c r="L145" s="8"/>
    </row>
    <row r="146" spans="1:12" ht="20.100000000000001" customHeight="1" x14ac:dyDescent="0.2">
      <c r="D146" s="8" t="s">
        <v>710</v>
      </c>
      <c r="E146" t="s">
        <v>990</v>
      </c>
      <c r="F146">
        <v>0.16</v>
      </c>
      <c r="G146" s="8"/>
      <c r="H146" s="8"/>
      <c r="I146" s="8"/>
      <c r="J146" s="8"/>
      <c r="K146" s="8"/>
      <c r="L146" s="8"/>
    </row>
    <row r="147" spans="1:12" ht="20.100000000000001" customHeight="1" x14ac:dyDescent="0.2">
      <c r="D147" s="8" t="s">
        <v>710</v>
      </c>
      <c r="E147" t="s">
        <v>997</v>
      </c>
      <c r="F147">
        <v>0.01</v>
      </c>
      <c r="G147" s="8"/>
      <c r="H147" s="8"/>
      <c r="I147" s="8"/>
      <c r="J147" s="8"/>
      <c r="K147" s="8"/>
      <c r="L147" s="8"/>
    </row>
    <row r="148" spans="1:12" ht="20.100000000000001" customHeight="1" x14ac:dyDescent="0.2">
      <c r="D148" s="8" t="s">
        <v>710</v>
      </c>
      <c r="E148" t="s">
        <v>987</v>
      </c>
      <c r="F148">
        <v>0</v>
      </c>
      <c r="G148" s="8"/>
      <c r="H148" s="8"/>
      <c r="I148" s="8"/>
      <c r="J148" s="8"/>
      <c r="K148" s="8"/>
      <c r="L148" s="8"/>
    </row>
    <row r="149" spans="1:12" ht="20.100000000000001" customHeight="1" x14ac:dyDescent="0.2">
      <c r="A149" s="81" t="str">
        <f>HYPERLINK("#A1", "▲ Back to top")</f>
        <v>▲ Back to top</v>
      </c>
      <c r="D149" s="8" t="s">
        <v>1512</v>
      </c>
      <c r="E149" t="s">
        <v>988</v>
      </c>
      <c r="F149">
        <v>0.05</v>
      </c>
      <c r="G149" s="8"/>
      <c r="H149" s="8"/>
      <c r="I149" s="8"/>
      <c r="J149" s="8"/>
      <c r="K149" s="8"/>
      <c r="L149" s="8"/>
    </row>
    <row r="150" spans="1:12" ht="20.100000000000001" customHeight="1" x14ac:dyDescent="0.2">
      <c r="D150" s="8" t="s">
        <v>1512</v>
      </c>
      <c r="E150" t="s">
        <v>991</v>
      </c>
      <c r="F150">
        <v>7.0000000000000007E-2</v>
      </c>
      <c r="G150" s="8"/>
      <c r="H150" s="8"/>
      <c r="I150" s="8"/>
      <c r="J150" s="8"/>
      <c r="K150" s="8"/>
      <c r="L150" s="8"/>
    </row>
    <row r="151" spans="1:12" ht="20.100000000000001" customHeight="1" x14ac:dyDescent="0.2">
      <c r="D151" s="8" t="s">
        <v>1512</v>
      </c>
      <c r="E151" t="s">
        <v>1001</v>
      </c>
      <c r="F151">
        <v>0.04</v>
      </c>
      <c r="G151" s="8"/>
      <c r="H151" s="8"/>
      <c r="I151" s="8"/>
      <c r="J151" s="8"/>
      <c r="K151" s="8"/>
      <c r="L151" s="8"/>
    </row>
    <row r="152" spans="1:12" ht="20.100000000000001" customHeight="1" x14ac:dyDescent="0.2">
      <c r="D152" s="8" t="s">
        <v>1512</v>
      </c>
      <c r="E152" t="s">
        <v>989</v>
      </c>
      <c r="F152">
        <v>0.09</v>
      </c>
      <c r="G152" s="8"/>
      <c r="H152" s="8"/>
      <c r="I152" s="8"/>
      <c r="J152" s="8"/>
      <c r="K152" s="8"/>
      <c r="L152" s="8"/>
    </row>
    <row r="153" spans="1:12" ht="20.100000000000001" customHeight="1" x14ac:dyDescent="0.2">
      <c r="D153" s="8" t="s">
        <v>1512</v>
      </c>
      <c r="E153" t="s">
        <v>993</v>
      </c>
      <c r="F153">
        <v>0.11</v>
      </c>
      <c r="G153" s="8"/>
      <c r="H153" s="8"/>
      <c r="I153" s="8"/>
      <c r="J153" s="8"/>
      <c r="K153" s="8"/>
      <c r="L153" s="8"/>
    </row>
    <row r="154" spans="1:12" ht="20.100000000000001" customHeight="1" x14ac:dyDescent="0.2">
      <c r="D154" s="8" t="s">
        <v>1512</v>
      </c>
      <c r="E154" t="s">
        <v>990</v>
      </c>
      <c r="F154">
        <v>0.16</v>
      </c>
      <c r="G154" s="8"/>
      <c r="H154" s="8"/>
      <c r="I154" s="8"/>
      <c r="J154" s="8"/>
      <c r="K154" s="8"/>
      <c r="L154" s="8"/>
    </row>
    <row r="155" spans="1:12" ht="20.100000000000001" customHeight="1" x14ac:dyDescent="0.2">
      <c r="D155" s="8" t="s">
        <v>1512</v>
      </c>
      <c r="E155" t="s">
        <v>997</v>
      </c>
      <c r="F155">
        <v>0.01</v>
      </c>
      <c r="G155" s="8"/>
      <c r="H155" s="8"/>
      <c r="I155" s="8"/>
      <c r="J155" s="8"/>
      <c r="K155" s="8"/>
      <c r="L155" s="8"/>
    </row>
    <row r="156" spans="1:12" ht="20.100000000000001" customHeight="1" x14ac:dyDescent="0.2">
      <c r="D156" s="8" t="s">
        <v>1512</v>
      </c>
      <c r="E156" t="s">
        <v>987</v>
      </c>
      <c r="F156">
        <v>0</v>
      </c>
      <c r="G156" s="8"/>
      <c r="H156" s="8"/>
      <c r="I156" s="8"/>
      <c r="J156" s="8"/>
      <c r="K156" s="8"/>
      <c r="L156" s="8"/>
    </row>
    <row r="157" spans="1:12" ht="20.100000000000001" customHeight="1" x14ac:dyDescent="0.2">
      <c r="D157" s="8" t="s">
        <v>474</v>
      </c>
      <c r="E157" t="s">
        <v>988</v>
      </c>
      <c r="F157">
        <v>0.05</v>
      </c>
      <c r="G157" s="8"/>
      <c r="H157" s="8"/>
      <c r="I157" s="8"/>
      <c r="J157" s="8"/>
      <c r="K157" s="8"/>
      <c r="L157" s="8"/>
    </row>
    <row r="158" spans="1:12" ht="20.100000000000001" customHeight="1" x14ac:dyDescent="0.2">
      <c r="D158" s="8" t="s">
        <v>474</v>
      </c>
      <c r="E158" t="s">
        <v>991</v>
      </c>
      <c r="F158">
        <v>7.0000000000000007E-2</v>
      </c>
      <c r="G158" s="8"/>
      <c r="H158" s="8"/>
      <c r="I158" s="8"/>
      <c r="J158" s="8"/>
      <c r="K158" s="8"/>
      <c r="L158" s="8"/>
    </row>
    <row r="159" spans="1:12" ht="20.100000000000001" customHeight="1" x14ac:dyDescent="0.2">
      <c r="D159" s="8" t="s">
        <v>474</v>
      </c>
      <c r="E159" t="s">
        <v>1001</v>
      </c>
      <c r="F159">
        <v>0.04</v>
      </c>
      <c r="G159" s="8"/>
      <c r="H159" s="8"/>
      <c r="I159" s="8"/>
      <c r="J159" s="8"/>
      <c r="K159" s="8"/>
      <c r="L159" s="8"/>
    </row>
    <row r="160" spans="1:12" ht="20.100000000000001" customHeight="1" x14ac:dyDescent="0.2">
      <c r="D160" s="8" t="s">
        <v>474</v>
      </c>
      <c r="E160" t="s">
        <v>989</v>
      </c>
      <c r="F160">
        <v>0.09</v>
      </c>
      <c r="G160" s="8"/>
      <c r="H160" s="8"/>
      <c r="I160" s="8"/>
      <c r="J160" s="8"/>
      <c r="K160" s="8"/>
      <c r="L160" s="8"/>
    </row>
    <row r="161" spans="4:12" ht="20.100000000000001" customHeight="1" x14ac:dyDescent="0.2">
      <c r="D161" s="8" t="s">
        <v>474</v>
      </c>
      <c r="E161" t="s">
        <v>993</v>
      </c>
      <c r="F161">
        <v>0.11</v>
      </c>
      <c r="G161" s="8"/>
      <c r="H161" s="8"/>
      <c r="I161" s="8"/>
      <c r="J161" s="8"/>
      <c r="K161" s="8"/>
      <c r="L161" s="8"/>
    </row>
    <row r="162" spans="4:12" ht="20.100000000000001" customHeight="1" x14ac:dyDescent="0.2">
      <c r="D162" s="8" t="s">
        <v>474</v>
      </c>
      <c r="E162" t="s">
        <v>990</v>
      </c>
      <c r="F162">
        <v>0.16</v>
      </c>
      <c r="G162" s="8"/>
      <c r="H162" s="8"/>
      <c r="I162" s="8"/>
      <c r="J162" s="8"/>
      <c r="K162" s="8"/>
      <c r="L162" s="8"/>
    </row>
    <row r="163" spans="4:12" ht="20.100000000000001" customHeight="1" x14ac:dyDescent="0.2">
      <c r="D163" s="8" t="s">
        <v>474</v>
      </c>
      <c r="E163" t="s">
        <v>997</v>
      </c>
      <c r="F163">
        <v>0.01</v>
      </c>
      <c r="G163" s="8"/>
      <c r="H163" s="8"/>
      <c r="I163" s="8"/>
      <c r="J163" s="8"/>
      <c r="K163" s="8"/>
      <c r="L163" s="8"/>
    </row>
    <row r="164" spans="4:12" ht="20.100000000000001" customHeight="1" x14ac:dyDescent="0.2">
      <c r="D164" s="8" t="s">
        <v>474</v>
      </c>
      <c r="E164" t="s">
        <v>987</v>
      </c>
      <c r="F164">
        <v>0</v>
      </c>
      <c r="G164" s="8"/>
      <c r="H164" s="8"/>
      <c r="I164" s="8"/>
      <c r="J164" s="8"/>
      <c r="K164" s="8"/>
      <c r="L164" s="8"/>
    </row>
    <row r="165" spans="4:12" ht="20.100000000000001" customHeight="1" x14ac:dyDescent="0.2">
      <c r="D165" s="8" t="s">
        <v>1513</v>
      </c>
      <c r="E165" t="s">
        <v>988</v>
      </c>
      <c r="F165">
        <v>0.05</v>
      </c>
      <c r="G165" s="8"/>
      <c r="H165" s="8"/>
      <c r="I165" s="8"/>
      <c r="J165" s="8"/>
      <c r="K165" s="8"/>
      <c r="L165" s="8"/>
    </row>
    <row r="166" spans="4:12" ht="20.100000000000001" customHeight="1" x14ac:dyDescent="0.2">
      <c r="D166" s="8" t="s">
        <v>1513</v>
      </c>
      <c r="E166" t="s">
        <v>991</v>
      </c>
      <c r="F166">
        <v>7.0000000000000007E-2</v>
      </c>
      <c r="G166" s="8"/>
      <c r="H166" s="8"/>
      <c r="I166" s="8"/>
      <c r="J166" s="8"/>
      <c r="K166" s="8"/>
      <c r="L166" s="8"/>
    </row>
    <row r="167" spans="4:12" ht="20.100000000000001" customHeight="1" x14ac:dyDescent="0.2">
      <c r="D167" s="8" t="s">
        <v>1513</v>
      </c>
      <c r="E167" t="s">
        <v>1001</v>
      </c>
      <c r="F167">
        <v>0.04</v>
      </c>
      <c r="G167" s="8"/>
      <c r="H167" s="8"/>
      <c r="I167" s="8"/>
      <c r="J167" s="8"/>
      <c r="K167" s="8"/>
      <c r="L167" s="8"/>
    </row>
    <row r="168" spans="4:12" ht="20.100000000000001" customHeight="1" x14ac:dyDescent="0.2">
      <c r="D168" s="8" t="s">
        <v>1513</v>
      </c>
      <c r="E168" t="s">
        <v>989</v>
      </c>
      <c r="F168">
        <v>0.09</v>
      </c>
      <c r="G168" s="8"/>
      <c r="H168" s="8"/>
      <c r="I168" s="8"/>
      <c r="J168" s="8"/>
      <c r="K168" s="8"/>
      <c r="L168" s="8"/>
    </row>
    <row r="169" spans="4:12" ht="20.100000000000001" customHeight="1" x14ac:dyDescent="0.2">
      <c r="D169" s="8" t="s">
        <v>1513</v>
      </c>
      <c r="E169" t="s">
        <v>993</v>
      </c>
      <c r="F169">
        <v>0.11</v>
      </c>
      <c r="G169" s="8"/>
      <c r="H169" s="8"/>
      <c r="I169" s="8"/>
      <c r="J169" s="8"/>
      <c r="K169" s="8"/>
      <c r="L169" s="8"/>
    </row>
    <row r="170" spans="4:12" ht="20.100000000000001" customHeight="1" x14ac:dyDescent="0.2">
      <c r="D170" s="8" t="s">
        <v>1513</v>
      </c>
      <c r="E170" t="s">
        <v>990</v>
      </c>
      <c r="F170">
        <v>0.16</v>
      </c>
      <c r="G170" s="8"/>
      <c r="H170" s="8"/>
      <c r="I170" s="8"/>
      <c r="J170" s="8"/>
      <c r="K170" s="8"/>
      <c r="L170" s="8"/>
    </row>
    <row r="171" spans="4:12" ht="20.100000000000001" customHeight="1" x14ac:dyDescent="0.2">
      <c r="D171" s="8" t="s">
        <v>1513</v>
      </c>
      <c r="E171" t="s">
        <v>997</v>
      </c>
      <c r="F171">
        <v>0.01</v>
      </c>
      <c r="G171" s="8"/>
      <c r="H171" s="8"/>
      <c r="I171" s="8"/>
      <c r="J171" s="8"/>
      <c r="K171" s="8"/>
      <c r="L171" s="8"/>
    </row>
    <row r="172" spans="4:12" ht="20.100000000000001" customHeight="1" x14ac:dyDescent="0.2">
      <c r="D172" s="8" t="s">
        <v>1513</v>
      </c>
      <c r="E172" t="s">
        <v>987</v>
      </c>
      <c r="F172">
        <v>0</v>
      </c>
      <c r="G172" s="8"/>
      <c r="H172" s="8"/>
      <c r="I172" s="8"/>
      <c r="J172" s="8"/>
      <c r="K172" s="8"/>
      <c r="L172" s="8"/>
    </row>
    <row r="173" spans="4:12" ht="20.100000000000001" customHeight="1" x14ac:dyDescent="0.2">
      <c r="D173" s="8" t="s">
        <v>1515</v>
      </c>
      <c r="E173" t="s">
        <v>988</v>
      </c>
      <c r="F173">
        <v>0.05</v>
      </c>
      <c r="G173" s="8"/>
      <c r="H173" s="8"/>
      <c r="I173" s="8"/>
      <c r="J173" s="8"/>
      <c r="K173" s="8"/>
      <c r="L173" s="8"/>
    </row>
    <row r="174" spans="4:12" ht="20.100000000000001" customHeight="1" x14ac:dyDescent="0.2">
      <c r="D174" s="8" t="s">
        <v>1515</v>
      </c>
      <c r="E174" t="s">
        <v>991</v>
      </c>
      <c r="F174">
        <v>7.0000000000000007E-2</v>
      </c>
      <c r="G174" s="8"/>
      <c r="H174" s="8"/>
      <c r="I174" s="8"/>
      <c r="J174" s="8"/>
      <c r="K174" s="8"/>
      <c r="L174" s="8"/>
    </row>
    <row r="175" spans="4:12" ht="20.100000000000001" customHeight="1" x14ac:dyDescent="0.2">
      <c r="D175" s="8" t="s">
        <v>1515</v>
      </c>
      <c r="E175" t="s">
        <v>1001</v>
      </c>
      <c r="F175">
        <v>0.04</v>
      </c>
      <c r="G175" s="8"/>
      <c r="H175" s="8"/>
      <c r="I175" s="8"/>
      <c r="J175" s="8"/>
      <c r="K175" s="8"/>
      <c r="L175" s="8"/>
    </row>
    <row r="176" spans="4:12" ht="20.100000000000001" customHeight="1" x14ac:dyDescent="0.2">
      <c r="D176" s="8" t="s">
        <v>1515</v>
      </c>
      <c r="E176" t="s">
        <v>989</v>
      </c>
      <c r="F176">
        <v>0.09</v>
      </c>
      <c r="G176" s="8"/>
      <c r="H176" s="8"/>
      <c r="I176" s="8"/>
      <c r="J176" s="8"/>
      <c r="K176" s="8"/>
      <c r="L176" s="8"/>
    </row>
    <row r="177" spans="1:12" ht="20.100000000000001" customHeight="1" x14ac:dyDescent="0.2">
      <c r="D177" s="8" t="s">
        <v>1515</v>
      </c>
      <c r="E177" t="s">
        <v>993</v>
      </c>
      <c r="F177">
        <v>0.11</v>
      </c>
      <c r="G177" s="8"/>
      <c r="H177" s="8"/>
      <c r="I177" s="8"/>
      <c r="J177" s="8"/>
      <c r="K177" s="8"/>
      <c r="L177" s="8"/>
    </row>
    <row r="178" spans="1:12" ht="20.100000000000001" customHeight="1" x14ac:dyDescent="0.2">
      <c r="D178" s="8" t="s">
        <v>1515</v>
      </c>
      <c r="E178" t="s">
        <v>990</v>
      </c>
      <c r="F178">
        <v>0.16</v>
      </c>
      <c r="G178" s="8"/>
      <c r="H178" s="8"/>
      <c r="I178" s="8"/>
      <c r="J178" s="8"/>
      <c r="K178" s="8"/>
      <c r="L178" s="8"/>
    </row>
    <row r="179" spans="1:12" ht="20.100000000000001" customHeight="1" x14ac:dyDescent="0.2">
      <c r="A179" s="81" t="str">
        <f>HYPERLINK("#A1", "▲ Back to top")</f>
        <v>▲ Back to top</v>
      </c>
      <c r="D179" s="8" t="s">
        <v>1515</v>
      </c>
      <c r="E179" t="s">
        <v>997</v>
      </c>
      <c r="F179">
        <v>0.01</v>
      </c>
      <c r="G179" s="8"/>
      <c r="H179" s="8"/>
      <c r="I179" s="8"/>
      <c r="J179" s="8"/>
      <c r="K179" s="8"/>
      <c r="L179" s="8"/>
    </row>
    <row r="180" spans="1:12" ht="20.100000000000001" customHeight="1" x14ac:dyDescent="0.2">
      <c r="D180" s="8" t="s">
        <v>1515</v>
      </c>
      <c r="E180" t="s">
        <v>987</v>
      </c>
      <c r="F180">
        <v>0</v>
      </c>
      <c r="G180" s="8"/>
      <c r="H180" s="8"/>
      <c r="I180" s="8"/>
      <c r="J180" s="8"/>
      <c r="K180" s="8"/>
      <c r="L180" s="8"/>
    </row>
    <row r="181" spans="1:12" ht="20.100000000000001" customHeight="1" x14ac:dyDescent="0.2">
      <c r="D181" s="8" t="s">
        <v>1516</v>
      </c>
      <c r="E181" t="s">
        <v>988</v>
      </c>
      <c r="F181">
        <v>0.05</v>
      </c>
      <c r="G181" s="8"/>
      <c r="H181" s="8"/>
      <c r="I181" s="8"/>
      <c r="J181" s="8"/>
      <c r="K181" s="8"/>
      <c r="L181" s="8"/>
    </row>
    <row r="182" spans="1:12" ht="20.100000000000001" customHeight="1" x14ac:dyDescent="0.2">
      <c r="D182" s="8" t="s">
        <v>1516</v>
      </c>
      <c r="E182" t="s">
        <v>991</v>
      </c>
      <c r="F182">
        <v>7.0000000000000007E-2</v>
      </c>
      <c r="G182" s="8"/>
      <c r="H182" s="8"/>
      <c r="I182" s="8"/>
      <c r="J182" s="8"/>
      <c r="K182" s="8"/>
      <c r="L182" s="8"/>
    </row>
    <row r="183" spans="1:12" ht="20.100000000000001" customHeight="1" x14ac:dyDescent="0.2">
      <c r="D183" s="8" t="s">
        <v>1516</v>
      </c>
      <c r="E183" t="s">
        <v>1001</v>
      </c>
      <c r="F183">
        <v>0.04</v>
      </c>
      <c r="G183" s="8"/>
      <c r="H183" s="8"/>
      <c r="I183" s="8"/>
      <c r="J183" s="8"/>
      <c r="K183" s="8"/>
      <c r="L183" s="8"/>
    </row>
    <row r="184" spans="1:12" ht="20.100000000000001" customHeight="1" x14ac:dyDescent="0.2">
      <c r="D184" s="8" t="s">
        <v>1516</v>
      </c>
      <c r="E184" t="s">
        <v>989</v>
      </c>
      <c r="F184">
        <v>0.09</v>
      </c>
      <c r="G184" s="8"/>
      <c r="H184" s="8"/>
      <c r="I184" s="8"/>
      <c r="J184" s="8"/>
      <c r="K184" s="8"/>
      <c r="L184" s="8"/>
    </row>
    <row r="185" spans="1:12" ht="20.100000000000001" customHeight="1" x14ac:dyDescent="0.2">
      <c r="D185" s="8" t="s">
        <v>1516</v>
      </c>
      <c r="E185" t="s">
        <v>993</v>
      </c>
      <c r="F185">
        <v>0.11</v>
      </c>
      <c r="G185" s="8"/>
      <c r="H185" s="8"/>
      <c r="I185" s="8"/>
      <c r="J185" s="8"/>
      <c r="K185" s="8"/>
      <c r="L185" s="8"/>
    </row>
    <row r="186" spans="1:12" ht="20.100000000000001" customHeight="1" x14ac:dyDescent="0.2">
      <c r="D186" s="8" t="s">
        <v>1516</v>
      </c>
      <c r="E186" t="s">
        <v>990</v>
      </c>
      <c r="F186">
        <v>0.16</v>
      </c>
      <c r="G186" s="8"/>
      <c r="H186" s="8"/>
      <c r="I186" s="8"/>
      <c r="J186" s="8"/>
      <c r="K186" s="8"/>
      <c r="L186" s="8"/>
    </row>
    <row r="187" spans="1:12" ht="20.100000000000001" customHeight="1" x14ac:dyDescent="0.2">
      <c r="D187" s="8" t="s">
        <v>1516</v>
      </c>
      <c r="E187" t="s">
        <v>997</v>
      </c>
      <c r="F187">
        <v>0.01</v>
      </c>
      <c r="G187" s="8"/>
      <c r="H187" s="8"/>
      <c r="I187" s="8"/>
      <c r="J187" s="8"/>
      <c r="K187" s="8"/>
      <c r="L187" s="8"/>
    </row>
    <row r="188" spans="1:12" ht="20.100000000000001" customHeight="1" x14ac:dyDescent="0.2">
      <c r="D188" s="8" t="s">
        <v>1516</v>
      </c>
      <c r="E188" t="s">
        <v>987</v>
      </c>
      <c r="F188">
        <v>0</v>
      </c>
      <c r="G188" s="8"/>
      <c r="H188" s="8"/>
      <c r="I188" s="8"/>
      <c r="J188" s="8"/>
      <c r="K188" s="8"/>
      <c r="L188" s="8"/>
    </row>
    <row r="189" spans="1:12" ht="20.100000000000001" customHeight="1" x14ac:dyDescent="0.2">
      <c r="D189" s="8" t="s">
        <v>1517</v>
      </c>
      <c r="E189" t="s">
        <v>988</v>
      </c>
      <c r="F189">
        <v>0.05</v>
      </c>
      <c r="G189" s="8"/>
      <c r="H189" s="8"/>
      <c r="I189" s="8"/>
      <c r="J189" s="8"/>
      <c r="K189" s="8"/>
      <c r="L189" s="8"/>
    </row>
    <row r="190" spans="1:12" ht="20.100000000000001" customHeight="1" x14ac:dyDescent="0.2">
      <c r="D190" s="8" t="s">
        <v>1517</v>
      </c>
      <c r="E190" t="s">
        <v>991</v>
      </c>
      <c r="F190">
        <v>7.0000000000000007E-2</v>
      </c>
      <c r="G190" s="8"/>
      <c r="H190" s="8"/>
      <c r="I190" s="8"/>
      <c r="J190" s="8"/>
      <c r="K190" s="8"/>
      <c r="L190" s="8"/>
    </row>
    <row r="191" spans="1:12" ht="20.100000000000001" customHeight="1" x14ac:dyDescent="0.2">
      <c r="D191" s="8" t="s">
        <v>1517</v>
      </c>
      <c r="E191" t="s">
        <v>1001</v>
      </c>
      <c r="F191">
        <v>0.04</v>
      </c>
      <c r="G191" s="8"/>
      <c r="H191" s="8"/>
      <c r="I191" s="8"/>
      <c r="J191" s="8"/>
      <c r="K191" s="8"/>
      <c r="L191" s="8"/>
    </row>
    <row r="192" spans="1:12" ht="20.100000000000001" customHeight="1" x14ac:dyDescent="0.2">
      <c r="D192" s="8" t="s">
        <v>1517</v>
      </c>
      <c r="E192" t="s">
        <v>989</v>
      </c>
      <c r="F192">
        <v>0.09</v>
      </c>
      <c r="G192" s="8"/>
      <c r="H192" s="8"/>
      <c r="I192" s="8"/>
      <c r="J192" s="8"/>
      <c r="K192" s="8"/>
      <c r="L192" s="8"/>
    </row>
    <row r="193" spans="4:12" ht="20.100000000000001" customHeight="1" x14ac:dyDescent="0.2">
      <c r="D193" s="8" t="s">
        <v>1517</v>
      </c>
      <c r="E193" t="s">
        <v>993</v>
      </c>
      <c r="F193">
        <v>0.11</v>
      </c>
      <c r="G193" s="8"/>
      <c r="H193" s="8"/>
      <c r="I193" s="8"/>
      <c r="J193" s="8"/>
      <c r="K193" s="8"/>
      <c r="L193" s="8"/>
    </row>
    <row r="194" spans="4:12" ht="20.100000000000001" customHeight="1" x14ac:dyDescent="0.2">
      <c r="D194" s="8" t="s">
        <v>1517</v>
      </c>
      <c r="E194" t="s">
        <v>990</v>
      </c>
      <c r="F194">
        <v>0.16</v>
      </c>
      <c r="G194" s="8"/>
      <c r="H194" s="8"/>
      <c r="I194" s="8"/>
      <c r="J194" s="8"/>
      <c r="K194" s="8"/>
      <c r="L194" s="8"/>
    </row>
    <row r="195" spans="4:12" ht="20.100000000000001" customHeight="1" x14ac:dyDescent="0.2">
      <c r="D195" s="8" t="s">
        <v>1517</v>
      </c>
      <c r="E195" t="s">
        <v>997</v>
      </c>
      <c r="F195">
        <v>0.01</v>
      </c>
      <c r="G195" s="8"/>
      <c r="H195" s="8"/>
      <c r="I195" s="8"/>
      <c r="J195" s="8"/>
      <c r="K195" s="8"/>
      <c r="L195" s="8"/>
    </row>
    <row r="196" spans="4:12" ht="20.100000000000001" customHeight="1" x14ac:dyDescent="0.2">
      <c r="D196" s="8" t="s">
        <v>1517</v>
      </c>
      <c r="E196" t="s">
        <v>987</v>
      </c>
      <c r="F196">
        <v>0</v>
      </c>
      <c r="G196" s="8"/>
      <c r="H196" s="8"/>
      <c r="I196" s="8"/>
      <c r="J196" s="8"/>
      <c r="K196" s="8"/>
      <c r="L196" s="8"/>
    </row>
    <row r="197" spans="4:12" ht="20.100000000000001" customHeight="1" x14ac:dyDescent="0.2">
      <c r="D197" s="8" t="s">
        <v>1518</v>
      </c>
      <c r="E197" t="s">
        <v>988</v>
      </c>
      <c r="F197">
        <v>0.05</v>
      </c>
      <c r="G197" s="8"/>
      <c r="H197" s="8"/>
      <c r="I197" s="8"/>
      <c r="J197" s="8"/>
      <c r="K197" s="8"/>
      <c r="L197" s="8"/>
    </row>
    <row r="198" spans="4:12" ht="20.100000000000001" customHeight="1" x14ac:dyDescent="0.2">
      <c r="D198" s="8" t="s">
        <v>1518</v>
      </c>
      <c r="E198" t="s">
        <v>991</v>
      </c>
      <c r="F198">
        <v>7.0000000000000007E-2</v>
      </c>
      <c r="G198" s="8"/>
      <c r="H198" s="8"/>
      <c r="I198" s="8"/>
      <c r="J198" s="8"/>
      <c r="K198" s="8"/>
      <c r="L198" s="8"/>
    </row>
    <row r="199" spans="4:12" ht="20.100000000000001" customHeight="1" x14ac:dyDescent="0.2">
      <c r="D199" s="8" t="s">
        <v>1518</v>
      </c>
      <c r="E199" t="s">
        <v>1001</v>
      </c>
      <c r="F199">
        <v>0.04</v>
      </c>
      <c r="G199" s="8"/>
      <c r="H199" s="8"/>
      <c r="I199" s="8"/>
      <c r="J199" s="8"/>
      <c r="K199" s="8"/>
      <c r="L199" s="8"/>
    </row>
    <row r="200" spans="4:12" ht="20.100000000000001" customHeight="1" x14ac:dyDescent="0.2">
      <c r="D200" s="8" t="s">
        <v>1518</v>
      </c>
      <c r="E200" t="s">
        <v>989</v>
      </c>
      <c r="F200">
        <v>0.09</v>
      </c>
      <c r="G200" s="8"/>
      <c r="H200" s="8"/>
      <c r="I200" s="8"/>
      <c r="J200" s="8"/>
      <c r="K200" s="8"/>
      <c r="L200" s="8"/>
    </row>
    <row r="201" spans="4:12" ht="20.100000000000001" customHeight="1" x14ac:dyDescent="0.2">
      <c r="D201" s="8" t="s">
        <v>1518</v>
      </c>
      <c r="E201" t="s">
        <v>993</v>
      </c>
      <c r="F201">
        <v>0.11</v>
      </c>
      <c r="G201" s="8"/>
      <c r="H201" s="8"/>
      <c r="I201" s="8"/>
      <c r="J201" s="8"/>
      <c r="K201" s="8"/>
      <c r="L201" s="8"/>
    </row>
    <row r="202" spans="4:12" ht="20.100000000000001" customHeight="1" x14ac:dyDescent="0.2">
      <c r="D202" s="8" t="s">
        <v>1518</v>
      </c>
      <c r="E202" t="s">
        <v>990</v>
      </c>
      <c r="F202">
        <v>0.16</v>
      </c>
      <c r="G202" s="8"/>
      <c r="H202" s="8"/>
      <c r="I202" s="8"/>
      <c r="J202" s="8"/>
      <c r="K202" s="8"/>
      <c r="L202" s="8"/>
    </row>
    <row r="203" spans="4:12" ht="20.100000000000001" customHeight="1" x14ac:dyDescent="0.2">
      <c r="D203" s="8" t="s">
        <v>1518</v>
      </c>
      <c r="E203" t="s">
        <v>997</v>
      </c>
      <c r="F203">
        <v>0.01</v>
      </c>
      <c r="G203" s="8"/>
      <c r="H203" s="8"/>
      <c r="I203" s="8"/>
      <c r="J203" s="8"/>
      <c r="K203" s="8"/>
      <c r="L203" s="8"/>
    </row>
    <row r="204" spans="4:12" ht="20.100000000000001" customHeight="1" x14ac:dyDescent="0.2">
      <c r="D204" s="8" t="s">
        <v>1518</v>
      </c>
      <c r="E204" t="s">
        <v>987</v>
      </c>
      <c r="F204">
        <v>0</v>
      </c>
      <c r="G204" s="8"/>
      <c r="H204" s="8"/>
      <c r="I204" s="8"/>
      <c r="J204" s="8"/>
      <c r="K204" s="8"/>
      <c r="L204" s="8"/>
    </row>
    <row r="205" spans="4:12" ht="20.100000000000001" customHeight="1" x14ac:dyDescent="0.2">
      <c r="D205" s="8" t="s">
        <v>1521</v>
      </c>
      <c r="E205" t="s">
        <v>988</v>
      </c>
      <c r="F205">
        <v>0.05</v>
      </c>
      <c r="G205" s="8"/>
      <c r="H205" s="8"/>
      <c r="I205" s="8"/>
      <c r="J205" s="8"/>
      <c r="K205" s="8"/>
      <c r="L205" s="8"/>
    </row>
    <row r="206" spans="4:12" ht="20.100000000000001" customHeight="1" x14ac:dyDescent="0.2">
      <c r="D206" s="8" t="s">
        <v>1521</v>
      </c>
      <c r="E206" t="s">
        <v>991</v>
      </c>
      <c r="F206">
        <v>7.0000000000000007E-2</v>
      </c>
      <c r="G206" s="8"/>
      <c r="H206" s="8"/>
      <c r="I206" s="8"/>
      <c r="J206" s="8"/>
      <c r="K206" s="8"/>
      <c r="L206" s="8"/>
    </row>
    <row r="207" spans="4:12" ht="20.100000000000001" customHeight="1" x14ac:dyDescent="0.2">
      <c r="D207" s="8" t="s">
        <v>1521</v>
      </c>
      <c r="E207" t="s">
        <v>1001</v>
      </c>
      <c r="F207">
        <v>0.04</v>
      </c>
      <c r="G207" s="8"/>
      <c r="H207" s="8"/>
      <c r="I207" s="8"/>
      <c r="J207" s="8"/>
      <c r="K207" s="8"/>
      <c r="L207" s="8"/>
    </row>
    <row r="208" spans="4:12" ht="20.100000000000001" customHeight="1" x14ac:dyDescent="0.2">
      <c r="D208" s="8" t="s">
        <v>1521</v>
      </c>
      <c r="E208" t="s">
        <v>989</v>
      </c>
      <c r="F208">
        <v>0.09</v>
      </c>
      <c r="G208" s="8"/>
      <c r="H208" s="8"/>
      <c r="I208" s="8"/>
      <c r="J208" s="8"/>
      <c r="K208" s="8"/>
      <c r="L208" s="8"/>
    </row>
    <row r="209" spans="1:12" ht="20.100000000000001" customHeight="1" x14ac:dyDescent="0.2">
      <c r="A209" s="81" t="str">
        <f>HYPERLINK("#A1", "▲ Back to top")</f>
        <v>▲ Back to top</v>
      </c>
      <c r="D209" s="8" t="s">
        <v>1521</v>
      </c>
      <c r="E209" t="s">
        <v>993</v>
      </c>
      <c r="F209">
        <v>0.11</v>
      </c>
      <c r="G209" s="8"/>
      <c r="H209" s="8"/>
      <c r="I209" s="8"/>
      <c r="J209" s="8"/>
      <c r="K209" s="8"/>
      <c r="L209" s="8"/>
    </row>
    <row r="210" spans="1:12" ht="20.100000000000001" customHeight="1" x14ac:dyDescent="0.2">
      <c r="D210" s="8" t="s">
        <v>1521</v>
      </c>
      <c r="E210" t="s">
        <v>990</v>
      </c>
      <c r="F210">
        <v>0.16</v>
      </c>
      <c r="G210" s="8"/>
      <c r="H210" s="8"/>
      <c r="I210" s="8"/>
      <c r="J210" s="8"/>
      <c r="K210" s="8"/>
      <c r="L210" s="8"/>
    </row>
    <row r="211" spans="1:12" ht="20.100000000000001" customHeight="1" x14ac:dyDescent="0.2">
      <c r="D211" s="8" t="s">
        <v>1521</v>
      </c>
      <c r="E211" t="s">
        <v>997</v>
      </c>
      <c r="F211">
        <v>0.01</v>
      </c>
      <c r="G211" s="8"/>
      <c r="H211" s="8"/>
      <c r="I211" s="8"/>
      <c r="J211" s="8"/>
      <c r="K211" s="8"/>
      <c r="L211" s="8"/>
    </row>
    <row r="212" spans="1:12" ht="20.100000000000001" customHeight="1" x14ac:dyDescent="0.2">
      <c r="D212" s="8" t="s">
        <v>1521</v>
      </c>
      <c r="E212" t="s">
        <v>987</v>
      </c>
      <c r="F212">
        <v>0</v>
      </c>
      <c r="G212" s="8"/>
      <c r="H212" s="8"/>
      <c r="I212" s="8"/>
      <c r="J212" s="8"/>
      <c r="K212" s="8"/>
      <c r="L212" s="8"/>
    </row>
    <row r="213" spans="1:12" ht="20.100000000000001" customHeight="1" x14ac:dyDescent="0.2">
      <c r="D213" s="8" t="s">
        <v>1524</v>
      </c>
      <c r="E213" t="s">
        <v>988</v>
      </c>
      <c r="F213">
        <v>0.05</v>
      </c>
      <c r="G213" s="8"/>
      <c r="H213" s="8"/>
      <c r="I213" s="8"/>
      <c r="J213" s="8"/>
      <c r="K213" s="8"/>
      <c r="L213" s="8"/>
    </row>
    <row r="214" spans="1:12" ht="20.100000000000001" customHeight="1" x14ac:dyDescent="0.2">
      <c r="D214" s="8" t="s">
        <v>1524</v>
      </c>
      <c r="E214" t="s">
        <v>991</v>
      </c>
      <c r="F214">
        <v>7.0000000000000007E-2</v>
      </c>
      <c r="G214" s="8"/>
      <c r="H214" s="8"/>
      <c r="I214" s="8"/>
      <c r="J214" s="8"/>
    </row>
    <row r="215" spans="1:12" ht="20.100000000000001" customHeight="1" x14ac:dyDescent="0.2">
      <c r="D215" s="8" t="s">
        <v>1524</v>
      </c>
      <c r="E215" t="s">
        <v>1001</v>
      </c>
      <c r="F215">
        <v>0.04</v>
      </c>
      <c r="G215" s="8"/>
      <c r="H215" s="8"/>
      <c r="I215" s="8"/>
      <c r="J215" s="8"/>
    </row>
    <row r="216" spans="1:12" ht="20.100000000000001" customHeight="1" x14ac:dyDescent="0.2">
      <c r="D216" s="8" t="s">
        <v>1524</v>
      </c>
      <c r="E216" t="s">
        <v>989</v>
      </c>
      <c r="F216">
        <v>0.09</v>
      </c>
      <c r="G216" s="8"/>
      <c r="H216" s="8"/>
      <c r="I216" s="8"/>
      <c r="J216" s="8"/>
    </row>
    <row r="217" spans="1:12" ht="20.100000000000001" customHeight="1" x14ac:dyDescent="0.2">
      <c r="D217" s="8" t="s">
        <v>1524</v>
      </c>
      <c r="E217" t="s">
        <v>993</v>
      </c>
      <c r="F217">
        <v>0.11</v>
      </c>
      <c r="G217" s="8"/>
      <c r="H217" s="8"/>
      <c r="I217" s="8"/>
      <c r="J217" s="8"/>
    </row>
    <row r="218" spans="1:12" ht="20.100000000000001" customHeight="1" x14ac:dyDescent="0.2">
      <c r="D218" s="8" t="s">
        <v>1524</v>
      </c>
      <c r="E218" t="s">
        <v>990</v>
      </c>
      <c r="F218">
        <v>0.16</v>
      </c>
      <c r="G218" s="8"/>
      <c r="H218" s="8"/>
      <c r="I218" s="8"/>
      <c r="J218" s="8"/>
    </row>
    <row r="219" spans="1:12" ht="20.100000000000001" customHeight="1" x14ac:dyDescent="0.2">
      <c r="D219" s="8" t="s">
        <v>1524</v>
      </c>
      <c r="E219" t="s">
        <v>997</v>
      </c>
      <c r="F219">
        <v>0.01</v>
      </c>
      <c r="G219" s="8"/>
      <c r="H219" s="8"/>
      <c r="I219" s="8"/>
      <c r="J219" s="8"/>
    </row>
    <row r="220" spans="1:12" ht="20.100000000000001" customHeight="1" x14ac:dyDescent="0.2">
      <c r="D220" s="8" t="s">
        <v>1524</v>
      </c>
      <c r="E220" t="s">
        <v>987</v>
      </c>
      <c r="F220">
        <v>0</v>
      </c>
      <c r="G220" s="8"/>
      <c r="H220" s="8"/>
      <c r="I220" s="8"/>
      <c r="J220" s="8"/>
    </row>
    <row r="221" spans="1:12" ht="20.100000000000001" customHeight="1" x14ac:dyDescent="0.2">
      <c r="D221" s="8" t="s">
        <v>1526</v>
      </c>
      <c r="E221" t="s">
        <v>988</v>
      </c>
      <c r="F221">
        <v>0.05</v>
      </c>
      <c r="G221" s="8"/>
      <c r="H221" s="8"/>
      <c r="I221" s="8"/>
      <c r="J221" s="8"/>
    </row>
    <row r="222" spans="1:12" ht="20.100000000000001" customHeight="1" x14ac:dyDescent="0.2">
      <c r="D222" s="8" t="s">
        <v>1526</v>
      </c>
      <c r="E222" t="s">
        <v>991</v>
      </c>
      <c r="F222">
        <v>7.0000000000000007E-2</v>
      </c>
      <c r="G222" s="8"/>
      <c r="H222" s="8"/>
      <c r="I222" s="8"/>
      <c r="J222" s="8"/>
    </row>
    <row r="223" spans="1:12" ht="20.100000000000001" customHeight="1" x14ac:dyDescent="0.2">
      <c r="D223" s="8" t="s">
        <v>1526</v>
      </c>
      <c r="E223" t="s">
        <v>1001</v>
      </c>
      <c r="F223">
        <v>0.04</v>
      </c>
      <c r="G223" s="8"/>
      <c r="H223" s="8"/>
      <c r="I223" s="8"/>
      <c r="J223" s="8"/>
    </row>
    <row r="224" spans="1:12" ht="20.100000000000001" customHeight="1" x14ac:dyDescent="0.2">
      <c r="D224" s="8" t="s">
        <v>1526</v>
      </c>
      <c r="E224" t="s">
        <v>989</v>
      </c>
      <c r="F224">
        <v>0.09</v>
      </c>
      <c r="G224" s="8"/>
      <c r="H224" s="8"/>
      <c r="I224" s="8"/>
      <c r="J224" s="8"/>
    </row>
    <row r="225" spans="4:10" ht="20.100000000000001" customHeight="1" x14ac:dyDescent="0.2">
      <c r="D225" s="8" t="s">
        <v>1526</v>
      </c>
      <c r="E225" t="s">
        <v>993</v>
      </c>
      <c r="F225">
        <v>0.11</v>
      </c>
      <c r="G225" s="8"/>
      <c r="H225" s="8"/>
      <c r="I225" s="8"/>
      <c r="J225" s="8"/>
    </row>
    <row r="226" spans="4:10" ht="20.100000000000001" customHeight="1" x14ac:dyDescent="0.2">
      <c r="D226" s="8" t="s">
        <v>1526</v>
      </c>
      <c r="E226" t="s">
        <v>990</v>
      </c>
      <c r="F226">
        <v>0.16</v>
      </c>
      <c r="G226" s="8"/>
      <c r="H226" s="8"/>
      <c r="I226" s="8"/>
      <c r="J226" s="8"/>
    </row>
    <row r="227" spans="4:10" ht="20.100000000000001" customHeight="1" x14ac:dyDescent="0.2">
      <c r="D227" s="8" t="s">
        <v>1526</v>
      </c>
      <c r="E227" t="s">
        <v>997</v>
      </c>
      <c r="F227">
        <v>0.01</v>
      </c>
      <c r="G227" s="8"/>
      <c r="H227" s="8"/>
      <c r="I227" s="8"/>
      <c r="J227" s="8"/>
    </row>
    <row r="228" spans="4:10" ht="20.100000000000001" customHeight="1" x14ac:dyDescent="0.2">
      <c r="D228" s="8" t="s">
        <v>1526</v>
      </c>
      <c r="E228" t="s">
        <v>987</v>
      </c>
      <c r="F228">
        <v>0</v>
      </c>
      <c r="G228" s="8"/>
      <c r="H228" s="8"/>
    </row>
    <row r="229" spans="4:10" ht="20.100000000000001" customHeight="1" x14ac:dyDescent="0.2">
      <c r="D229" s="8" t="s">
        <v>1527</v>
      </c>
      <c r="E229" t="s">
        <v>988</v>
      </c>
      <c r="F229">
        <v>0.05</v>
      </c>
      <c r="G229" s="8"/>
    </row>
    <row r="230" spans="4:10" ht="20.100000000000001" customHeight="1" x14ac:dyDescent="0.2">
      <c r="D230" s="8" t="s">
        <v>1527</v>
      </c>
      <c r="E230" t="s">
        <v>991</v>
      </c>
      <c r="F230">
        <v>7.0000000000000007E-2</v>
      </c>
      <c r="G230" s="8"/>
    </row>
    <row r="231" spans="4:10" ht="20.100000000000001" customHeight="1" x14ac:dyDescent="0.2">
      <c r="D231" s="8" t="s">
        <v>1527</v>
      </c>
      <c r="E231" t="s">
        <v>1001</v>
      </c>
      <c r="F231">
        <v>0.04</v>
      </c>
      <c r="G231" s="8"/>
    </row>
    <row r="232" spans="4:10" ht="20.100000000000001" customHeight="1" x14ac:dyDescent="0.2">
      <c r="D232" s="8" t="s">
        <v>1527</v>
      </c>
      <c r="E232" t="s">
        <v>989</v>
      </c>
      <c r="F232">
        <v>0.09</v>
      </c>
      <c r="G232" s="8"/>
    </row>
    <row r="233" spans="4:10" ht="20.100000000000001" customHeight="1" x14ac:dyDescent="0.2">
      <c r="D233" s="8" t="s">
        <v>1527</v>
      </c>
      <c r="E233" t="s">
        <v>993</v>
      </c>
      <c r="F233">
        <v>0.11</v>
      </c>
      <c r="G233" s="8"/>
    </row>
    <row r="234" spans="4:10" ht="20.100000000000001" customHeight="1" x14ac:dyDescent="0.2">
      <c r="D234" s="8" t="s">
        <v>1527</v>
      </c>
      <c r="E234" t="s">
        <v>990</v>
      </c>
      <c r="F234">
        <v>0.16</v>
      </c>
      <c r="G234" s="8"/>
    </row>
    <row r="235" spans="4:10" ht="20.100000000000001" customHeight="1" x14ac:dyDescent="0.2">
      <c r="D235" s="8" t="s">
        <v>1527</v>
      </c>
      <c r="E235" t="s">
        <v>997</v>
      </c>
      <c r="F235">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761EA-7922-4475-8538-284A2053117D}">
  <sheetPr>
    <tabColor theme="2" tint="-0.499984740745262"/>
  </sheetPr>
  <dimension ref="A1:AI4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534</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
        <v>1554</v>
      </c>
    </row>
    <row r="6" spans="1:35" ht="20.100000000000001" customHeight="1" x14ac:dyDescent="0.2">
      <c r="D6" s="17" t="s">
        <v>1555</v>
      </c>
      <c r="E6" s="8"/>
      <c r="F6" s="8"/>
    </row>
    <row r="7" spans="1:35" ht="20.100000000000001" customHeight="1" x14ac:dyDescent="0.2">
      <c r="D7" s="26"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75" t="s">
        <v>535</v>
      </c>
      <c r="E9" s="175" t="s">
        <v>536</v>
      </c>
      <c r="F9" s="175" t="s">
        <v>537</v>
      </c>
    </row>
    <row r="10" spans="1:35" ht="20.100000000000001" customHeight="1" x14ac:dyDescent="0.2">
      <c r="A10" s="5" t="str">
        <f>HYPERLINK("#'Input - Site'!A1", "Site")</f>
        <v>Site</v>
      </c>
      <c r="D10" t="s">
        <v>1556</v>
      </c>
      <c r="E10">
        <v>0.64</v>
      </c>
      <c r="F10">
        <v>0.03</v>
      </c>
    </row>
    <row r="11" spans="1:35" ht="20.100000000000001" customHeight="1" x14ac:dyDescent="0.2">
      <c r="A11" s="5" t="str">
        <f>HYPERLINK("#'Input - Crop'!A1", "Crop")</f>
        <v>Crop</v>
      </c>
      <c r="D11" t="s">
        <v>987</v>
      </c>
      <c r="E11">
        <v>0.64</v>
      </c>
      <c r="F11">
        <v>0.03</v>
      </c>
    </row>
    <row r="12" spans="1:35" ht="20.100000000000001" customHeight="1" x14ac:dyDescent="0.2">
      <c r="A12" s="5" t="str">
        <f>HYPERLINK("#'Input - Fert Prod System'!A1", "Fert Prod System")</f>
        <v>Fert Prod System</v>
      </c>
      <c r="D12" t="s">
        <v>1557</v>
      </c>
      <c r="E12">
        <v>0.78</v>
      </c>
      <c r="F12">
        <v>0.09</v>
      </c>
    </row>
    <row r="13" spans="1:35" ht="20.100000000000001" customHeight="1" x14ac:dyDescent="0.2">
      <c r="A13" s="5" t="str">
        <f>HYPERLINK("#'Input - Fertiliser'!A1", "Fertiliser")</f>
        <v>Fertiliser</v>
      </c>
      <c r="D13" t="s">
        <v>1558</v>
      </c>
      <c r="E13">
        <v>0.67</v>
      </c>
      <c r="F13">
        <v>0.09</v>
      </c>
    </row>
    <row r="14" spans="1:35" ht="20.100000000000001" customHeight="1" x14ac:dyDescent="0.2">
      <c r="A14" s="5" t="str">
        <f>HYPERLINK("#'Input - Fuel'!A1", "Fuel")</f>
        <v>Fuel</v>
      </c>
      <c r="D14" t="s">
        <v>1559</v>
      </c>
      <c r="E14">
        <v>0.22</v>
      </c>
      <c r="F14">
        <v>0.04</v>
      </c>
    </row>
    <row r="15" spans="1:35" ht="20.100000000000001" customHeight="1" x14ac:dyDescent="0.2">
      <c r="A15" s="5" t="str">
        <f>HYPERLINK("#'Input - Electricity'!A1", "Electricity")</f>
        <v>Electricity</v>
      </c>
      <c r="D15" t="s">
        <v>1560</v>
      </c>
      <c r="E15">
        <v>0.5</v>
      </c>
      <c r="F15">
        <v>0.06</v>
      </c>
    </row>
    <row r="16" spans="1:35" ht="20.100000000000001" customHeight="1" x14ac:dyDescent="0.2">
      <c r="A16" s="5" t="str">
        <f>HYPERLINK("#'Input - Common farm inputs'!A1", "Common farm inputs")</f>
        <v>Common farm inputs</v>
      </c>
      <c r="D16" t="s">
        <v>506</v>
      </c>
      <c r="E16">
        <v>0.56000000000000005</v>
      </c>
      <c r="F16">
        <v>0.09</v>
      </c>
    </row>
    <row r="17" spans="1:8" ht="20.100000000000001" customHeight="1" x14ac:dyDescent="0.2">
      <c r="A17" s="5" t="str">
        <f>HYPERLINK("#'Input - Crop pasture farm input'!A1", "Crop pasture farm input")</f>
        <v>Crop pasture farm input</v>
      </c>
      <c r="D17" t="s">
        <v>1561</v>
      </c>
      <c r="E17">
        <v>0.2</v>
      </c>
      <c r="F17">
        <v>0.03</v>
      </c>
    </row>
    <row r="18" spans="1:8" ht="20.100000000000001" customHeight="1" x14ac:dyDescent="0.2">
      <c r="A18" s="5" t="str">
        <f>HYPERLINK("#'Input - Freight'!A1", "Freight")</f>
        <v>Freight</v>
      </c>
      <c r="D18" t="s">
        <v>1562</v>
      </c>
      <c r="E18">
        <v>0.56000000000000005</v>
      </c>
      <c r="F18">
        <v>0.09</v>
      </c>
    </row>
    <row r="19" spans="1:8" ht="20.100000000000001" customHeight="1" x14ac:dyDescent="0.2">
      <c r="A19" s="5" t="str">
        <f>HYPERLINK("#'Input - Solid waste'!A1", "Solid waste")</f>
        <v>Solid waste</v>
      </c>
      <c r="D19" t="s">
        <v>1563</v>
      </c>
      <c r="E19">
        <v>0.62</v>
      </c>
      <c r="F19">
        <v>7.0000000000000007E-2</v>
      </c>
    </row>
    <row r="20" spans="1:8" ht="20.100000000000001" customHeight="1" x14ac:dyDescent="0.2">
      <c r="A20" s="5" t="str">
        <f>HYPERLINK("#'Input - Data quality'!A1", "Data quality")</f>
        <v>Data quality</v>
      </c>
    </row>
    <row r="21" spans="1:8" ht="20.100000000000001" customHeight="1" x14ac:dyDescent="0.2">
      <c r="D21" s="2" t="s">
        <v>1564</v>
      </c>
    </row>
    <row r="22" spans="1:8" ht="20.100000000000001" customHeight="1" x14ac:dyDescent="0.2">
      <c r="D22" s="17" t="s">
        <v>1565</v>
      </c>
    </row>
    <row r="23" spans="1:8" ht="20.100000000000001" customHeight="1" x14ac:dyDescent="0.2">
      <c r="A23" s="6" t="s">
        <v>2</v>
      </c>
    </row>
    <row r="24" spans="1:8" ht="20.100000000000001" customHeight="1" x14ac:dyDescent="0.2">
      <c r="A24" s="5" t="str">
        <f>HYPERLINK("#'5.1.1.1-2 Inorganic fert N2O'!A1", "5.1.1.1-2 Inorganic fert N2O")</f>
        <v>5.1.1.1-2 Inorganic fert N2O</v>
      </c>
      <c r="D24" s="166" t="s">
        <v>535</v>
      </c>
      <c r="E24" s="166" t="s">
        <v>538</v>
      </c>
      <c r="F24" s="166" t="s">
        <v>539</v>
      </c>
      <c r="G24" s="166" t="s">
        <v>540</v>
      </c>
      <c r="H24" s="166" t="s">
        <v>541</v>
      </c>
    </row>
    <row r="25" spans="1:8" ht="20.100000000000001" customHeight="1" x14ac:dyDescent="0.2">
      <c r="A25" s="5" t="str">
        <f>HYPERLINK("#'5.1.1.3-4 Inorganic fert CO2'!A1", "5.1.1.3-4 Inorganic fert CO2")</f>
        <v>5.1.1.3-4 Inorganic fert CO2</v>
      </c>
      <c r="D25" t="s">
        <v>1563</v>
      </c>
      <c r="E25">
        <v>0.81</v>
      </c>
      <c r="F25">
        <v>226</v>
      </c>
      <c r="G25">
        <v>0.1</v>
      </c>
      <c r="H25">
        <v>29</v>
      </c>
    </row>
    <row r="26" spans="1:8" ht="20.100000000000001" customHeight="1" x14ac:dyDescent="0.2">
      <c r="A26" s="5" t="str">
        <f>HYPERLINK("#'5.2.1.1-2 Organic Fert N2O'!A1", "5.2.1.1-2 Organic fert N2O")</f>
        <v>5.2.1.1-2 Organic fert N2O</v>
      </c>
    </row>
    <row r="27" spans="1:8" ht="20.100000000000001" customHeight="1" x14ac:dyDescent="0.2">
      <c r="A27" s="5" t="str">
        <f>HYPERLINK("#'5.3.1.1-2 Lime CO2'!A1", "5.3.1.1-2 Lime CO2")</f>
        <v>5.3.1.1-2 Lime CO2</v>
      </c>
    </row>
    <row r="28" spans="1:8" ht="20.100000000000001" customHeight="1" x14ac:dyDescent="0.2">
      <c r="A28" s="5" t="str">
        <f>HYPERLINK("#'5.4.1.1-4 Atmos deposition'!A1", "5.4.1.1-4 Atmos. deposition")</f>
        <v>5.4.1.1-4 Atmos. deposition</v>
      </c>
    </row>
    <row r="29" spans="1:8" ht="20.100000000000001" customHeight="1" x14ac:dyDescent="0.2">
      <c r="A29" s="5" t="str">
        <f>HYPERLINK("#'5.5.1.1-2 Leaching and runoff'!A1", "5.5.1.1-2 Leaching &amp; runoff")</f>
        <v>5.5.1.1-2 Leaching &amp; runoff</v>
      </c>
    </row>
    <row r="30" spans="1:8" ht="20.100000000000001" customHeight="1" x14ac:dyDescent="0.2">
      <c r="A30" s="5" t="str">
        <f>HYPERLINK("#'6.1.1.1-2 Crop residue N2O'!A1", "6.1.1.1-2 Crop residue N2O")</f>
        <v>6.1.1.1-2 Crop residue N2O</v>
      </c>
    </row>
    <row r="31" spans="1:8" ht="20.100000000000001" customHeight="1" x14ac:dyDescent="0.2">
      <c r="A31" s="5" t="str">
        <f>HYPERLINK("#'6.3.1.1-2 Leach runoff crop'!A1", "6.3.1.1-2 Leach &amp; runoff (crop)")</f>
        <v>6.3.1.1-2 Leach &amp; runoff (crop)</v>
      </c>
    </row>
    <row r="32" spans="1:8" ht="20.100000000000001" customHeight="1" x14ac:dyDescent="0.2">
      <c r="A32" s="5" t="str">
        <f>HYPERLINK("#'6.4.1.1-2 Residue burning'!A1", "6.4.1.1-2 Residue burning")</f>
        <v>6.4.1.1-2 Residue burning</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40" spans="1:1" ht="20.100000000000001" customHeight="1" x14ac:dyDescent="0.2">
      <c r="A40" s="82" t="s">
        <v>1</v>
      </c>
    </row>
    <row r="41" spans="1:1" ht="20.100000000000001" customHeight="1" x14ac:dyDescent="0.2">
      <c r="A41" s="5" t="str">
        <f>HYPERLINK("#'Constants - Ag Residue'!A1", "Constants - Ag residue")</f>
        <v>Constants - Ag residue</v>
      </c>
    </row>
    <row r="42" spans="1:1" ht="20.100000000000001" customHeight="1" x14ac:dyDescent="0.2">
      <c r="A42" s="83" t="str">
        <f>HYPERLINK("#'Constants - Electricity'!A1", "Constants - Electricity")</f>
        <v>Constants - Electricity</v>
      </c>
    </row>
    <row r="43" spans="1:1" ht="20.100000000000001" customHeight="1" x14ac:dyDescent="0.2">
      <c r="A43" s="5" t="str">
        <f>HYPERLINK("#'Constants - Fertiliser'!A1", "Constants - Fertiliser")</f>
        <v>Constants - Fertiliser</v>
      </c>
    </row>
    <row r="44" spans="1:1" ht="20.100000000000001" customHeight="1" x14ac:dyDescent="0.2">
      <c r="A44" s="5" t="str">
        <f>HYPERLINK("#'Constants - Fuel'!A1", "Constants - Fuel")</f>
        <v>Constants - Fuel</v>
      </c>
    </row>
    <row r="45" spans="1:1" ht="20.100000000000001" customHeight="1" x14ac:dyDescent="0.2">
      <c r="A45" s="5" t="str">
        <f>HYPERLINK("#'Constants - Scope 3'!A1", "Constants - Scope 3")</f>
        <v>Constants - Scope 3</v>
      </c>
    </row>
    <row r="46" spans="1:1" ht="20.100000000000001" customHeight="1" x14ac:dyDescent="0.2">
      <c r="A46" s="5" t="str">
        <f>HYPERLINK("#'Constants - Solid Waste'!A1", "Constants - Solid Waste")</f>
        <v>Constants - Solid Waste</v>
      </c>
    </row>
    <row r="47" spans="1:1" ht="20.100000000000001" customHeight="1" x14ac:dyDescent="0.2">
      <c r="A47" s="5" t="str">
        <f>HYPERLINK("#'Constants - Common'!A1", "Constants - Common")</f>
        <v>Constants - Common</v>
      </c>
    </row>
    <row r="48" spans="1:1" ht="20.100000000000001" customHeight="1" x14ac:dyDescent="0.2">
      <c r="A48" s="5" t="str">
        <f>HYPERLINK("#'Constants - Common Livestock'!A1", "Constants - Common Livestock")</f>
        <v>Constants - Common Livestock</v>
      </c>
    </row>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178F5-D41B-4591-8026-3872E7844D46}">
  <dimension ref="A1:AM223"/>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459</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EI")</f>
        <v>Results - Product EI</v>
      </c>
      <c r="D5" s="2" t="s">
        <v>1566</v>
      </c>
      <c r="E5" s="155"/>
      <c r="F5" s="155"/>
      <c r="G5" s="155"/>
      <c r="H5" s="155"/>
      <c r="I5" s="155"/>
      <c r="J5" s="155"/>
    </row>
    <row r="6" spans="1:36" ht="20.100000000000001" customHeight="1" x14ac:dyDescent="0.2">
      <c r="D6" s="17" t="s">
        <v>1567</v>
      </c>
    </row>
    <row r="7" spans="1:36" ht="20.100000000000001" customHeight="1" x14ac:dyDescent="0.2">
      <c r="D7" s="26" t="s">
        <v>1568</v>
      </c>
    </row>
    <row r="8" spans="1:36" ht="20.100000000000001" customHeight="1" x14ac:dyDescent="0.2">
      <c r="A8" s="7" t="s">
        <v>0</v>
      </c>
      <c r="D8" s="26" t="s">
        <v>1569</v>
      </c>
    </row>
    <row r="9" spans="1:36" ht="20.100000000000001" customHeight="1" x14ac:dyDescent="0.2">
      <c r="A9" s="5" t="str">
        <f>HYPERLINK("#'Input - Enterprise'!A1", "Enterprise")</f>
        <v>Enterprise</v>
      </c>
      <c r="D9" s="26" t="s">
        <v>1570</v>
      </c>
    </row>
    <row r="10" spans="1:36" ht="20.100000000000001" customHeight="1" x14ac:dyDescent="0.2">
      <c r="A10" s="5" t="str">
        <f>HYPERLINK("#'Input - Site'!A1", "Site")</f>
        <v>Site</v>
      </c>
      <c r="D10" s="26" t="s">
        <v>1571</v>
      </c>
    </row>
    <row r="11" spans="1:36" ht="20.100000000000001" customHeight="1" x14ac:dyDescent="0.2">
      <c r="A11" s="5" t="str">
        <f>HYPERLINK("#'Input - Crop'!A1", "Crop")</f>
        <v>Crop</v>
      </c>
      <c r="D11" s="26" t="s">
        <v>1572</v>
      </c>
    </row>
    <row r="12" spans="1:36" ht="20.100000000000001" customHeight="1" x14ac:dyDescent="0.2">
      <c r="A12" s="5" t="str">
        <f>HYPERLINK("#'Input - Fert Prod System'!A1", "Fert Prod System")</f>
        <v>Fert Prod System</v>
      </c>
      <c r="D12" s="26" t="s">
        <v>1573</v>
      </c>
    </row>
    <row r="13" spans="1:36" ht="20.100000000000001" customHeight="1" x14ac:dyDescent="0.2">
      <c r="A13" s="5" t="str">
        <f>HYPERLINK("#'Input - Fertiliser'!A1", "Fertiliser")</f>
        <v>Fertiliser</v>
      </c>
      <c r="D13" s="26" t="s">
        <v>1574</v>
      </c>
    </row>
    <row r="14" spans="1:36" ht="20.100000000000001" customHeight="1" x14ac:dyDescent="0.2">
      <c r="A14" s="5" t="str">
        <f>HYPERLINK("#'Input - Fuel'!A1", "Fuel")</f>
        <v>Fuel</v>
      </c>
      <c r="D14" s="26" t="s">
        <v>1575</v>
      </c>
    </row>
    <row r="15" spans="1:36" ht="20.100000000000001" customHeight="1" x14ac:dyDescent="0.2">
      <c r="A15" s="5" t="str">
        <f>HYPERLINK("#'Input - Electricity'!A1", "Electricity")</f>
        <v>Electricity</v>
      </c>
      <c r="D15" s="26" t="s">
        <v>1576</v>
      </c>
    </row>
    <row r="16" spans="1:36" ht="20.100000000000001" customHeight="1" x14ac:dyDescent="0.2">
      <c r="A16" s="5" t="str">
        <f>HYPERLINK("#'Input - Common farm inputs'!A1", "Common farm inputs")</f>
        <v>Common farm inputs</v>
      </c>
      <c r="D16" s="26" t="s">
        <v>1577</v>
      </c>
    </row>
    <row r="17" spans="1:22" ht="20.100000000000001" customHeight="1" x14ac:dyDescent="0.2">
      <c r="A17" s="5" t="str">
        <f>HYPERLINK("#'Input - Crop pasture farm input'!A1", "Crop pasture farm input")</f>
        <v>Crop pasture farm input</v>
      </c>
      <c r="D17" s="26" t="s">
        <v>1578</v>
      </c>
      <c r="K17" s="2" t="s">
        <v>1580</v>
      </c>
      <c r="Q17" s="2" t="s">
        <v>1582</v>
      </c>
      <c r="V17" s="2" t="s">
        <v>1584</v>
      </c>
    </row>
    <row r="18" spans="1:22" ht="20.100000000000001" customHeight="1" x14ac:dyDescent="0.2">
      <c r="A18" s="5" t="str">
        <f>HYPERLINK("#'Input - Freight'!A1", "Freight")</f>
        <v>Freight</v>
      </c>
      <c r="D18" s="26" t="s">
        <v>1579</v>
      </c>
      <c r="K18" s="17" t="s">
        <v>1581</v>
      </c>
      <c r="Q18" s="17" t="s">
        <v>1583</v>
      </c>
      <c r="V18" s="17" t="s">
        <v>1585</v>
      </c>
    </row>
    <row r="19" spans="1:22" ht="20.100000000000001" customHeight="1" x14ac:dyDescent="0.2">
      <c r="A19" s="5" t="str">
        <f>HYPERLINK("#'Input - Solid waste'!A1", "Solid waste")</f>
        <v>Solid waste</v>
      </c>
      <c r="D19" t="s">
        <v>379</v>
      </c>
      <c r="E19" t="s">
        <v>460</v>
      </c>
      <c r="F19" t="s">
        <v>461</v>
      </c>
      <c r="G19" t="s">
        <v>435</v>
      </c>
      <c r="H19" t="s">
        <v>462</v>
      </c>
      <c r="I19" t="s">
        <v>463</v>
      </c>
      <c r="K19" s="20" t="s">
        <v>379</v>
      </c>
      <c r="L19" s="20" t="s">
        <v>460</v>
      </c>
      <c r="Q19" s="20" t="s">
        <v>379</v>
      </c>
      <c r="R19" s="20" t="s">
        <v>460</v>
      </c>
      <c r="V19" s="20" t="s">
        <v>463</v>
      </c>
    </row>
    <row r="20" spans="1:22" ht="20.100000000000001" customHeight="1" x14ac:dyDescent="0.2">
      <c r="A20" s="5" t="str">
        <f>HYPERLINK("#'Input - Data quality'!A1", "Data quality")</f>
        <v>Data quality</v>
      </c>
      <c r="D20" s="166" t="s">
        <v>1586</v>
      </c>
      <c r="E20" s="166">
        <v>0.1</v>
      </c>
      <c r="F20" s="166">
        <v>0</v>
      </c>
      <c r="G20" s="166" t="s">
        <v>1587</v>
      </c>
      <c r="H20" s="166" t="s">
        <v>1586</v>
      </c>
      <c r="I20" s="166" t="s">
        <v>1014</v>
      </c>
      <c r="K20" s="20" t="s">
        <v>1586</v>
      </c>
      <c r="L20" s="20">
        <v>0.1</v>
      </c>
      <c r="Q20" s="20" t="s">
        <v>1586</v>
      </c>
      <c r="R20" s="20">
        <v>0</v>
      </c>
      <c r="V20" s="20" t="s">
        <v>1613</v>
      </c>
    </row>
    <row r="21" spans="1:22" ht="20.100000000000001" customHeight="1" x14ac:dyDescent="0.2">
      <c r="D21" s="166" t="s">
        <v>1588</v>
      </c>
      <c r="E21" s="166">
        <v>0.18</v>
      </c>
      <c r="F21" s="166">
        <v>0</v>
      </c>
      <c r="G21" s="166" t="s">
        <v>1587</v>
      </c>
      <c r="H21" s="166" t="s">
        <v>1588</v>
      </c>
      <c r="I21" s="166" t="s">
        <v>1014</v>
      </c>
      <c r="K21" s="20" t="s">
        <v>1588</v>
      </c>
      <c r="L21" s="20">
        <v>0.18</v>
      </c>
      <c r="Q21" s="20" t="s">
        <v>1588</v>
      </c>
      <c r="R21" s="20">
        <v>0</v>
      </c>
      <c r="V21" s="20" t="s">
        <v>1614</v>
      </c>
    </row>
    <row r="22" spans="1:22" ht="20.100000000000001" customHeight="1" x14ac:dyDescent="0.2">
      <c r="D22" s="166" t="s">
        <v>325</v>
      </c>
      <c r="E22" s="166">
        <v>0.46</v>
      </c>
      <c r="F22" s="166">
        <v>1</v>
      </c>
      <c r="G22" s="166" t="s">
        <v>1589</v>
      </c>
      <c r="H22" s="166" t="s">
        <v>325</v>
      </c>
      <c r="I22" s="166" t="s">
        <v>1014</v>
      </c>
      <c r="K22" s="20" t="s">
        <v>325</v>
      </c>
      <c r="L22" s="20">
        <v>0.46</v>
      </c>
      <c r="Q22" s="20" t="s">
        <v>325</v>
      </c>
      <c r="R22" s="20">
        <v>1</v>
      </c>
      <c r="V22" s="20" t="s">
        <v>1615</v>
      </c>
    </row>
    <row r="23" spans="1:22" ht="20.100000000000001" customHeight="1" x14ac:dyDescent="0.2">
      <c r="A23" s="6" t="s">
        <v>2</v>
      </c>
      <c r="D23" s="166" t="s">
        <v>1590</v>
      </c>
      <c r="E23" s="166">
        <v>0.21</v>
      </c>
      <c r="F23" s="166">
        <v>0</v>
      </c>
      <c r="G23" s="166" t="s">
        <v>1587</v>
      </c>
      <c r="H23" s="166" t="s">
        <v>1590</v>
      </c>
      <c r="I23" s="166" t="s">
        <v>1014</v>
      </c>
      <c r="K23" s="20" t="s">
        <v>1590</v>
      </c>
      <c r="L23" s="20">
        <v>0.21</v>
      </c>
      <c r="Q23" s="20" t="s">
        <v>1590</v>
      </c>
      <c r="R23" s="20">
        <v>0</v>
      </c>
      <c r="V23" s="20" t="s">
        <v>1616</v>
      </c>
    </row>
    <row r="24" spans="1:22" ht="20.100000000000001" customHeight="1" x14ac:dyDescent="0.2">
      <c r="A24" s="5" t="str">
        <f>HYPERLINK("#'5.1.1.1-2 Inorganic fert N2O'!A1", "5.1.1.1-2 Inorganic fert N2O")</f>
        <v>5.1.1.1-2 Inorganic fert N2O</v>
      </c>
      <c r="D24" s="166" t="s">
        <v>1591</v>
      </c>
      <c r="E24" s="166">
        <v>0.32</v>
      </c>
      <c r="F24" s="166">
        <v>0.35</v>
      </c>
      <c r="G24" s="166" t="s">
        <v>1589</v>
      </c>
      <c r="H24" s="166" t="s">
        <v>1591</v>
      </c>
      <c r="I24" s="166" t="s">
        <v>1014</v>
      </c>
      <c r="K24" s="20" t="s">
        <v>1591</v>
      </c>
      <c r="L24" s="20">
        <v>0.32</v>
      </c>
      <c r="Q24" s="20" t="s">
        <v>1591</v>
      </c>
      <c r="R24" s="20">
        <v>0.35</v>
      </c>
    </row>
    <row r="25" spans="1:22" ht="20.100000000000001" customHeight="1" x14ac:dyDescent="0.2">
      <c r="A25" s="5" t="str">
        <f>HYPERLINK("#'5.1.1.3-4 Inorganic fert CO2'!A1", "5.1.1.3-4 Inorganic fert CO2")</f>
        <v>5.1.1.3-4 Inorganic fert CO2</v>
      </c>
      <c r="D25" s="166" t="s">
        <v>1592</v>
      </c>
      <c r="E25" s="166">
        <v>0.33700000000000002</v>
      </c>
      <c r="F25" s="166">
        <v>0</v>
      </c>
      <c r="G25" s="166" t="s">
        <v>1593</v>
      </c>
      <c r="H25" s="166" t="s">
        <v>1592</v>
      </c>
      <c r="I25" s="166" t="s">
        <v>1014</v>
      </c>
      <c r="K25" s="20" t="s">
        <v>1592</v>
      </c>
      <c r="L25" s="20">
        <v>0.33700000000000002</v>
      </c>
      <c r="Q25" s="20" t="s">
        <v>1592</v>
      </c>
      <c r="R25" s="20">
        <v>0</v>
      </c>
    </row>
    <row r="26" spans="1:22" ht="20.100000000000001" customHeight="1" x14ac:dyDescent="0.2">
      <c r="A26" s="5" t="str">
        <f>HYPERLINK("#'5.2.1.1-2 Organic Fert N2O'!A1", "5.2.1.1-2 Organic fert N2O")</f>
        <v>5.2.1.1-2 Organic fert N2O</v>
      </c>
      <c r="D26" s="166" t="s">
        <v>1594</v>
      </c>
      <c r="E26" s="166">
        <v>0.27</v>
      </c>
      <c r="F26" s="166">
        <v>0</v>
      </c>
      <c r="G26" s="166" t="s">
        <v>1593</v>
      </c>
      <c r="H26" s="166" t="s">
        <v>1594</v>
      </c>
      <c r="I26" s="166" t="s">
        <v>1014</v>
      </c>
      <c r="K26" s="20" t="s">
        <v>1594</v>
      </c>
      <c r="L26" s="20">
        <v>0.27</v>
      </c>
      <c r="Q26" s="20" t="s">
        <v>1594</v>
      </c>
      <c r="R26" s="20">
        <v>0</v>
      </c>
    </row>
    <row r="27" spans="1:22" ht="20.100000000000001" customHeight="1" x14ac:dyDescent="0.2">
      <c r="A27" s="5" t="str">
        <f>HYPERLINK("#'5.3.1.1-2 Lime CO2'!A1", "5.3.1.1-2 Lime CO2")</f>
        <v>5.3.1.1-2 Lime CO2</v>
      </c>
      <c r="D27" s="166" t="s">
        <v>1595</v>
      </c>
      <c r="E27" s="166">
        <v>1</v>
      </c>
      <c r="F27" s="166">
        <v>0</v>
      </c>
      <c r="G27" s="166" t="s">
        <v>1587</v>
      </c>
      <c r="H27" s="166" t="s">
        <v>1595</v>
      </c>
      <c r="I27" s="166" t="s">
        <v>1596</v>
      </c>
      <c r="K27" s="20" t="s">
        <v>1611</v>
      </c>
      <c r="L27" s="20">
        <v>0.21</v>
      </c>
      <c r="Q27" s="20" t="s">
        <v>1611</v>
      </c>
      <c r="R27" s="20">
        <v>0</v>
      </c>
    </row>
    <row r="28" spans="1:22" ht="20.100000000000001" customHeight="1" x14ac:dyDescent="0.2">
      <c r="A28" s="5" t="str">
        <f>HYPERLINK("#'5.4.1.1-4 Atmos deposition'!A1", "5.4.1.1-4 Atmos. deposition")</f>
        <v>5.4.1.1-4 Atmos. deposition</v>
      </c>
      <c r="D28" s="166" t="s">
        <v>1597</v>
      </c>
      <c r="E28" s="166">
        <v>1</v>
      </c>
      <c r="F28" s="166">
        <v>0</v>
      </c>
      <c r="G28" s="166" t="s">
        <v>1598</v>
      </c>
      <c r="H28" s="166" t="s">
        <v>1599</v>
      </c>
      <c r="I28" s="166" t="s">
        <v>1596</v>
      </c>
      <c r="K28" s="20" t="s">
        <v>1612</v>
      </c>
      <c r="L28" s="20">
        <v>0.155</v>
      </c>
      <c r="Q28" s="20" t="s">
        <v>1612</v>
      </c>
      <c r="R28" s="20">
        <v>0</v>
      </c>
    </row>
    <row r="29" spans="1:22" ht="20.100000000000001" customHeight="1" x14ac:dyDescent="0.2">
      <c r="A29" s="5" t="str">
        <f>HYPERLINK("#'5.5.1.1-2 Leaching and runoff'!A1", "5.5.1.1-2 Leaching &amp; runoff")</f>
        <v>5.5.1.1-2 Leaching &amp; runoff</v>
      </c>
      <c r="D29" s="166" t="s">
        <v>1600</v>
      </c>
      <c r="E29" s="166">
        <v>1</v>
      </c>
      <c r="F29" s="166">
        <v>0</v>
      </c>
      <c r="G29" s="166" t="s">
        <v>1589</v>
      </c>
      <c r="H29" s="166" t="s">
        <v>1601</v>
      </c>
      <c r="I29" s="166" t="s">
        <v>1596</v>
      </c>
    </row>
    <row r="30" spans="1:22" ht="20.100000000000001" customHeight="1" x14ac:dyDescent="0.2">
      <c r="A30" s="5" t="str">
        <f>HYPERLINK("#'6.1.1.1-2 Crop residue N2O'!A1", "6.1.1.1-2 Crop residue N2O")</f>
        <v>6.1.1.1-2 Crop residue N2O</v>
      </c>
      <c r="D30" s="166" t="s">
        <v>1602</v>
      </c>
      <c r="E30" s="166">
        <v>0</v>
      </c>
      <c r="F30" s="166">
        <v>0</v>
      </c>
      <c r="G30" s="166" t="s">
        <v>1603</v>
      </c>
      <c r="H30" s="166" t="s">
        <v>1604</v>
      </c>
      <c r="I30" s="166" t="s">
        <v>1596</v>
      </c>
    </row>
    <row r="31" spans="1:22" ht="20.100000000000001" customHeight="1" x14ac:dyDescent="0.2">
      <c r="A31" s="5" t="str">
        <f>HYPERLINK("#'6.3.1.1-2 Leach runoff crop'!A1", "6.3.1.1-2 Leach &amp; runoff (crop)")</f>
        <v>6.3.1.1-2 Leach &amp; runoff (crop)</v>
      </c>
      <c r="D31" s="166" t="s">
        <v>337</v>
      </c>
      <c r="E31" s="166">
        <v>0</v>
      </c>
      <c r="F31" s="166">
        <v>0</v>
      </c>
      <c r="G31" s="166" t="s">
        <v>1603</v>
      </c>
      <c r="H31" s="166" t="s">
        <v>1605</v>
      </c>
      <c r="I31" s="166" t="s">
        <v>1596</v>
      </c>
    </row>
    <row r="32" spans="1:22" ht="20.100000000000001" customHeight="1" x14ac:dyDescent="0.2">
      <c r="A32" s="5" t="str">
        <f>HYPERLINK("#'6.4.1.1-2 Residue burning'!A1", "6.4.1.1-2 Residue burning")</f>
        <v>6.4.1.1-2 Residue burning</v>
      </c>
      <c r="D32" s="166" t="s">
        <v>338</v>
      </c>
      <c r="E32" s="166">
        <v>0</v>
      </c>
      <c r="F32" s="166">
        <v>0</v>
      </c>
      <c r="G32" s="166" t="s">
        <v>1603</v>
      </c>
      <c r="H32" s="166" t="s">
        <v>1606</v>
      </c>
      <c r="I32" s="166" t="s">
        <v>1596</v>
      </c>
    </row>
    <row r="33" spans="1:10" ht="20.100000000000001" customHeight="1" x14ac:dyDescent="0.2">
      <c r="A33" s="5" t="str">
        <f>HYPERLINK("#'8.1.1.1-2 Transport fuel'!A1", "8.1.1.1-2 Transport fuel")</f>
        <v>8.1.1.1-2 Transport fuel</v>
      </c>
      <c r="D33" s="166" t="s">
        <v>336</v>
      </c>
      <c r="E33" s="166">
        <v>0</v>
      </c>
      <c r="F33" s="166">
        <v>0</v>
      </c>
      <c r="G33" s="166" t="s">
        <v>1603</v>
      </c>
      <c r="H33" s="166" t="s">
        <v>1607</v>
      </c>
      <c r="I33" s="166" t="s">
        <v>1596</v>
      </c>
    </row>
    <row r="34" spans="1:10" ht="20.100000000000001" customHeight="1" x14ac:dyDescent="0.2">
      <c r="A34" s="5" t="str">
        <f>HYPERLINK("#'8.2.1.1-2 Stationary fuel'!A1", "8.2.1.1-2 Stationary fuel")</f>
        <v>8.2.1.1-2 Stationary fuel</v>
      </c>
      <c r="D34" s="166" t="s">
        <v>1608</v>
      </c>
      <c r="E34" s="166">
        <v>0</v>
      </c>
      <c r="F34" s="166">
        <v>0</v>
      </c>
      <c r="G34" s="166" t="s">
        <v>1603</v>
      </c>
      <c r="H34" s="166" t="s">
        <v>1608</v>
      </c>
      <c r="I34" s="166" t="s">
        <v>1596</v>
      </c>
    </row>
    <row r="35" spans="1:10" ht="20.100000000000001" customHeight="1" x14ac:dyDescent="0.2">
      <c r="A35" s="5" t="str">
        <f>HYPERLINK("#'10.1.1-2 Solid waste treatment'!A1", "10.1.1.1-2 Solid waste")</f>
        <v>10.1.1.1-2 Solid waste</v>
      </c>
      <c r="D35" s="166" t="s">
        <v>1609</v>
      </c>
      <c r="E35" s="166">
        <v>0</v>
      </c>
      <c r="F35" s="166">
        <v>0</v>
      </c>
      <c r="G35" s="166" t="s">
        <v>1603</v>
      </c>
      <c r="H35" s="166" t="s">
        <v>1609</v>
      </c>
      <c r="I35" s="166" t="s">
        <v>1596</v>
      </c>
    </row>
    <row r="36" spans="1:10" ht="20.100000000000001" customHeight="1" x14ac:dyDescent="0.2">
      <c r="A36" s="5" t="str">
        <f>HYPERLINK("#'14.1.1-2 Purchased electricity'!A1", "14.1.1-2 Purchased electricity")</f>
        <v>14.1.1-2 Purchased electricity</v>
      </c>
      <c r="D36" s="166" t="s">
        <v>1610</v>
      </c>
      <c r="E36" s="166">
        <v>0</v>
      </c>
      <c r="F36" s="166">
        <v>0</v>
      </c>
      <c r="G36" s="166" t="s">
        <v>1603</v>
      </c>
      <c r="H36" s="166" t="s">
        <v>1610</v>
      </c>
      <c r="I36" s="166" t="s">
        <v>1596</v>
      </c>
    </row>
    <row r="37" spans="1:10" ht="20.100000000000001" customHeight="1" x14ac:dyDescent="0.2">
      <c r="A37" s="5" t="str">
        <f>HYPERLINK("#'15 Scope 3'!A1", "15 Scope 3")</f>
        <v>15 Scope 3</v>
      </c>
      <c r="D37" s="166" t="s">
        <v>341</v>
      </c>
      <c r="E37" s="166">
        <v>0.82350000000000001</v>
      </c>
      <c r="F37" s="166">
        <v>0</v>
      </c>
      <c r="G37" s="166" t="s">
        <v>1587</v>
      </c>
      <c r="H37" s="166" t="s">
        <v>341</v>
      </c>
      <c r="I37" s="166" t="s">
        <v>1596</v>
      </c>
    </row>
    <row r="38" spans="1:10" ht="20.100000000000001" customHeight="1" x14ac:dyDescent="0.2">
      <c r="D38" s="20" t="s">
        <v>335</v>
      </c>
      <c r="E38" s="20">
        <v>0.155</v>
      </c>
      <c r="F38" s="20">
        <v>0</v>
      </c>
      <c r="G38" s="20" t="s">
        <v>1598</v>
      </c>
      <c r="H38" s="20" t="s">
        <v>335</v>
      </c>
      <c r="I38" s="20" t="s">
        <v>1014</v>
      </c>
    </row>
    <row r="40" spans="1:10" ht="20.100000000000001" customHeight="1" x14ac:dyDescent="0.2">
      <c r="A40" s="82" t="s">
        <v>1</v>
      </c>
      <c r="D40" s="2" t="s">
        <v>464</v>
      </c>
      <c r="F40" s="2" t="s">
        <v>465</v>
      </c>
      <c r="H40" s="2" t="s">
        <v>466</v>
      </c>
      <c r="J40" s="2" t="s">
        <v>467</v>
      </c>
    </row>
    <row r="41" spans="1:10" ht="20.100000000000001" customHeight="1" x14ac:dyDescent="0.2">
      <c r="A41" s="5" t="str">
        <f>HYPERLINK("#'Constants - Ag Residue'!A1", "Constants - Ag residue")</f>
        <v>Constants - Ag residue</v>
      </c>
      <c r="D41" s="20" t="s">
        <v>177</v>
      </c>
      <c r="F41" s="20" t="s">
        <v>177</v>
      </c>
      <c r="H41" s="20" t="s">
        <v>63</v>
      </c>
      <c r="J41" s="20" t="s">
        <v>468</v>
      </c>
    </row>
    <row r="42" spans="1:10" ht="20.100000000000001" customHeight="1" x14ac:dyDescent="0.2">
      <c r="A42" s="5" t="str">
        <f>HYPERLINK("#'Constants - Electricity'!A1", "Constants - Electricity")</f>
        <v>Constants - Electricity</v>
      </c>
      <c r="D42" s="20" t="s">
        <v>469</v>
      </c>
      <c r="F42" s="20" t="s">
        <v>469</v>
      </c>
      <c r="H42" s="20" t="s">
        <v>470</v>
      </c>
      <c r="J42" s="20" t="s">
        <v>471</v>
      </c>
    </row>
    <row r="43" spans="1:10" ht="20.100000000000001" customHeight="1" x14ac:dyDescent="0.2">
      <c r="A43" s="83" t="str">
        <f>HYPERLINK("#'Constants - Fertiliser'!A1", "Constants - Fertiliser")</f>
        <v>Constants - Fertiliser</v>
      </c>
      <c r="D43" s="1" t="s">
        <v>178</v>
      </c>
      <c r="F43" s="1" t="s">
        <v>472</v>
      </c>
      <c r="H43" s="20" t="s">
        <v>473</v>
      </c>
      <c r="J43" s="1" t="s">
        <v>361</v>
      </c>
    </row>
    <row r="44" spans="1:10" ht="20.100000000000001" customHeight="1" x14ac:dyDescent="0.2">
      <c r="A44" s="5" t="str">
        <f>HYPERLINK("#'Constants - Fuel'!A1", "Constants - Fuel")</f>
        <v>Constants - Fuel</v>
      </c>
      <c r="F44" s="1" t="s">
        <v>474</v>
      </c>
      <c r="H44" s="1" t="s">
        <v>475</v>
      </c>
      <c r="J44" s="1" t="s">
        <v>476</v>
      </c>
    </row>
    <row r="45" spans="1:10" ht="20.100000000000001" customHeight="1" x14ac:dyDescent="0.2">
      <c r="A45" s="5" t="str">
        <f>HYPERLINK("#'Constants - Scope 3'!A1", "Constants - Scope 3")</f>
        <v>Constants - Scope 3</v>
      </c>
      <c r="F45" s="1" t="s">
        <v>403</v>
      </c>
      <c r="H45" s="1" t="s">
        <v>477</v>
      </c>
      <c r="J45" s="1" t="s">
        <v>360</v>
      </c>
    </row>
    <row r="46" spans="1:10" ht="20.100000000000001" customHeight="1" x14ac:dyDescent="0.2">
      <c r="A46" s="5" t="str">
        <f>HYPERLINK("#'Constants - Solid Waste'!A1", "Constants - Solid Waste")</f>
        <v>Constants - Solid Waste</v>
      </c>
      <c r="H46" s="1" t="s">
        <v>478</v>
      </c>
      <c r="J46" s="1" t="s">
        <v>362</v>
      </c>
    </row>
    <row r="47" spans="1:10" ht="20.100000000000001" customHeight="1" x14ac:dyDescent="0.2">
      <c r="A47" s="5" t="str">
        <f>HYPERLINK("#'Constants - Common'!A1", "Constants - Common")</f>
        <v>Constants - Common</v>
      </c>
    </row>
    <row r="48" spans="1:10" ht="20.100000000000001" customHeight="1" x14ac:dyDescent="0.2">
      <c r="A48" s="5" t="str">
        <f>HYPERLINK("#'Constants - Common Livestock'!A1", "Constants - Common Livestock")</f>
        <v>Constants - Common Livestock</v>
      </c>
      <c r="D48" s="2" t="s">
        <v>1617</v>
      </c>
      <c r="G48" s="155"/>
    </row>
    <row r="49" spans="1:8" ht="20.100000000000001" customHeight="1" x14ac:dyDescent="0.2">
      <c r="D49" s="17" t="s">
        <v>1618</v>
      </c>
      <c r="G49" s="155"/>
    </row>
    <row r="50" spans="1:8" ht="20.100000000000001" customHeight="1" x14ac:dyDescent="0.2">
      <c r="D50" s="20" t="s">
        <v>379</v>
      </c>
      <c r="E50" s="20" t="s">
        <v>479</v>
      </c>
      <c r="G50" s="155"/>
    </row>
    <row r="51" spans="1:8" ht="20.100000000000001" customHeight="1" x14ac:dyDescent="0.2">
      <c r="D51" s="20" t="s">
        <v>1589</v>
      </c>
      <c r="E51" s="20">
        <v>0.15</v>
      </c>
      <c r="G51" s="155"/>
    </row>
    <row r="52" spans="1:8" ht="20.100000000000001" customHeight="1" x14ac:dyDescent="0.2">
      <c r="D52" s="1" t="s">
        <v>1587</v>
      </c>
      <c r="E52" s="20">
        <v>0.08</v>
      </c>
      <c r="G52" s="155"/>
    </row>
    <row r="53" spans="1:8" ht="20.100000000000001" customHeight="1" x14ac:dyDescent="0.2">
      <c r="D53" s="1" t="s">
        <v>1598</v>
      </c>
      <c r="E53" s="20">
        <v>0.01</v>
      </c>
      <c r="G53" s="155"/>
    </row>
    <row r="54" spans="1:8" ht="20.100000000000001" customHeight="1" x14ac:dyDescent="0.2">
      <c r="D54" s="1" t="s">
        <v>1593</v>
      </c>
      <c r="E54" s="20">
        <v>0.05</v>
      </c>
      <c r="G54" s="155"/>
      <c r="H54" s="155"/>
    </row>
    <row r="55" spans="1:8" ht="20.100000000000001" customHeight="1" x14ac:dyDescent="0.2">
      <c r="D55" s="1" t="s">
        <v>1603</v>
      </c>
      <c r="E55" s="20">
        <v>0.11</v>
      </c>
      <c r="G55" s="155"/>
      <c r="H55" s="155"/>
    </row>
    <row r="58" spans="1:8" ht="20.100000000000001" customHeight="1" x14ac:dyDescent="0.2">
      <c r="D58" s="2" t="s">
        <v>1619</v>
      </c>
    </row>
    <row r="59" spans="1:8" ht="20.100000000000001" customHeight="1" x14ac:dyDescent="0.2">
      <c r="A59" s="81" t="str">
        <f>HYPERLINK("#A1", "▲ Back to top")</f>
        <v>▲ Back to top</v>
      </c>
      <c r="D59" s="17" t="s">
        <v>1620</v>
      </c>
    </row>
    <row r="60" spans="1:8" ht="20.100000000000001" customHeight="1" x14ac:dyDescent="0.2">
      <c r="D60" s="77" t="s">
        <v>1621</v>
      </c>
      <c r="E60" s="1">
        <v>0.2</v>
      </c>
      <c r="F60" s="9" t="s">
        <v>1088</v>
      </c>
    </row>
    <row r="63" spans="1:8" ht="20.100000000000001" customHeight="1" x14ac:dyDescent="0.2">
      <c r="D63" s="2" t="s">
        <v>1622</v>
      </c>
    </row>
    <row r="64" spans="1:8" ht="20.100000000000001" customHeight="1" x14ac:dyDescent="0.2">
      <c r="D64" s="17" t="s">
        <v>1623</v>
      </c>
    </row>
    <row r="65" spans="4:6" ht="20.100000000000001" customHeight="1" x14ac:dyDescent="0.2">
      <c r="D65" s="20" t="s">
        <v>424</v>
      </c>
      <c r="E65" s="20" t="s">
        <v>480</v>
      </c>
      <c r="F65" s="20" t="s">
        <v>400</v>
      </c>
    </row>
    <row r="66" spans="4:6" ht="20.100000000000001" customHeight="1" x14ac:dyDescent="0.2">
      <c r="D66" s="20" t="s">
        <v>1624</v>
      </c>
      <c r="E66" s="20">
        <v>0.9</v>
      </c>
      <c r="F66" s="20">
        <v>0.12</v>
      </c>
    </row>
    <row r="67" spans="4:6" ht="20.100000000000001" customHeight="1" x14ac:dyDescent="0.2">
      <c r="D67" s="1" t="s">
        <v>1625</v>
      </c>
      <c r="E67" s="20">
        <v>0.95</v>
      </c>
      <c r="F67" s="20">
        <v>0.13</v>
      </c>
    </row>
    <row r="68" spans="4:6" ht="20.100000000000001" customHeight="1" x14ac:dyDescent="0.2">
      <c r="D68" s="1" t="s">
        <v>1626</v>
      </c>
      <c r="E68" s="20">
        <v>0</v>
      </c>
      <c r="F68" s="20">
        <v>0</v>
      </c>
    </row>
    <row r="71" spans="4:6" ht="20.100000000000001" customHeight="1" x14ac:dyDescent="0.2">
      <c r="D71" s="2" t="s">
        <v>1627</v>
      </c>
    </row>
    <row r="72" spans="4:6" ht="20.100000000000001" customHeight="1" x14ac:dyDescent="0.2">
      <c r="D72" s="17" t="s">
        <v>1628</v>
      </c>
    </row>
    <row r="73" spans="4:6" ht="20.100000000000001" customHeight="1" x14ac:dyDescent="0.2">
      <c r="D73" s="77" t="s">
        <v>1629</v>
      </c>
      <c r="E73" s="1">
        <v>0.21</v>
      </c>
      <c r="F73" s="9" t="s">
        <v>1128</v>
      </c>
    </row>
    <row r="76" spans="4:6" ht="20.100000000000001" customHeight="1" x14ac:dyDescent="0.2">
      <c r="D76" s="2" t="s">
        <v>1630</v>
      </c>
    </row>
    <row r="77" spans="4:6" ht="20.100000000000001" customHeight="1" x14ac:dyDescent="0.2">
      <c r="D77" s="17" t="s">
        <v>1631</v>
      </c>
    </row>
    <row r="78" spans="4:6" ht="20.100000000000001" customHeight="1" x14ac:dyDescent="0.2">
      <c r="D78" s="77" t="s">
        <v>1155</v>
      </c>
      <c r="E78" s="1">
        <v>0.24</v>
      </c>
      <c r="F78" s="9" t="s">
        <v>1120</v>
      </c>
    </row>
    <row r="81" spans="1:39" ht="20.100000000000001" customHeight="1" x14ac:dyDescent="0.2">
      <c r="D81" s="2" t="s">
        <v>1632</v>
      </c>
    </row>
    <row r="82" spans="1:39" ht="20.100000000000001" customHeight="1" x14ac:dyDescent="0.2">
      <c r="D82" s="17" t="s">
        <v>1631</v>
      </c>
    </row>
    <row r="83" spans="1:39" ht="20.100000000000001" customHeight="1" x14ac:dyDescent="0.2">
      <c r="D83" s="77" t="s">
        <v>1633</v>
      </c>
      <c r="E83" s="1">
        <v>1.0999999999999999E-2</v>
      </c>
      <c r="F83" s="9" t="s">
        <v>1634</v>
      </c>
    </row>
    <row r="87" spans="1:39" ht="20.100000000000001" customHeight="1" x14ac:dyDescent="0.2">
      <c r="D87" s="2" t="s">
        <v>481</v>
      </c>
      <c r="E87" s="155"/>
      <c r="F87" s="155"/>
      <c r="G87" s="155"/>
      <c r="H87" s="155"/>
      <c r="I87" s="155"/>
      <c r="J87" s="155"/>
      <c r="K87" s="155"/>
      <c r="L87" s="155"/>
      <c r="N87" s="155"/>
      <c r="O87" s="155"/>
      <c r="P87" s="155"/>
      <c r="Q87" s="155"/>
      <c r="R87" s="155"/>
      <c r="S87" s="155"/>
      <c r="T87" s="155"/>
      <c r="U87" s="155"/>
    </row>
    <row r="88" spans="1:39" ht="20.100000000000001" customHeight="1" x14ac:dyDescent="0.2">
      <c r="D88" s="155"/>
    </row>
    <row r="89" spans="1:39" ht="20.100000000000001" customHeight="1" x14ac:dyDescent="0.2">
      <c r="A89" s="81" t="str">
        <f>HYPERLINK("#A1", "▲ Back to top")</f>
        <v>▲ Back to top</v>
      </c>
      <c r="D89" s="167" t="s">
        <v>482</v>
      </c>
      <c r="E89" s="20" t="s">
        <v>132</v>
      </c>
      <c r="F89" s="20" t="s">
        <v>118</v>
      </c>
      <c r="G89" s="104" t="s">
        <v>306</v>
      </c>
      <c r="H89" s="104" t="s">
        <v>483</v>
      </c>
      <c r="I89" s="104" t="s">
        <v>323</v>
      </c>
      <c r="J89" s="104" t="s">
        <v>324</v>
      </c>
      <c r="K89" s="104" t="s">
        <v>484</v>
      </c>
      <c r="L89" s="104" t="s">
        <v>485</v>
      </c>
      <c r="M89" s="104" t="s">
        <v>486</v>
      </c>
      <c r="N89" s="104" t="s">
        <v>487</v>
      </c>
      <c r="O89" s="104" t="s">
        <v>308</v>
      </c>
      <c r="P89" s="104" t="s">
        <v>309</v>
      </c>
      <c r="Q89" s="20" t="s">
        <v>310</v>
      </c>
      <c r="R89" s="20" t="s">
        <v>311</v>
      </c>
      <c r="S89" s="20" t="s">
        <v>312</v>
      </c>
      <c r="T89" s="20" t="s">
        <v>313</v>
      </c>
      <c r="U89" s="104" t="s">
        <v>314</v>
      </c>
      <c r="V89" s="104" t="s">
        <v>315</v>
      </c>
      <c r="W89" s="20" t="s">
        <v>316</v>
      </c>
      <c r="X89" s="104" t="s">
        <v>317</v>
      </c>
      <c r="Y89" s="104" t="s">
        <v>318</v>
      </c>
      <c r="Z89" s="104" t="s">
        <v>319</v>
      </c>
      <c r="AA89" s="104" t="s">
        <v>488</v>
      </c>
      <c r="AB89" s="104" t="s">
        <v>489</v>
      </c>
      <c r="AC89" s="20" t="s">
        <v>490</v>
      </c>
      <c r="AD89" s="20" t="s">
        <v>491</v>
      </c>
      <c r="AE89" s="20" t="s">
        <v>492</v>
      </c>
      <c r="AF89" s="20" t="s">
        <v>493</v>
      </c>
      <c r="AG89" s="20" t="s">
        <v>494</v>
      </c>
      <c r="AH89" s="20" t="s">
        <v>495</v>
      </c>
      <c r="AK89" s="1"/>
      <c r="AL89" s="1"/>
      <c r="AM89" s="1"/>
    </row>
    <row r="90" spans="1:39" ht="20.100000000000001" customHeight="1" x14ac:dyDescent="0.2">
      <c r="D90" s="166" t="s">
        <v>1635</v>
      </c>
      <c r="E90" s="166" t="s">
        <v>1636</v>
      </c>
      <c r="F90" s="166" t="s">
        <v>621</v>
      </c>
      <c r="G90" s="166">
        <v>1.26</v>
      </c>
      <c r="H90" s="166"/>
      <c r="I90" s="166"/>
      <c r="J90" s="166"/>
      <c r="K90" s="166">
        <v>2.6</v>
      </c>
      <c r="L90" s="166">
        <v>4</v>
      </c>
      <c r="M90" s="166">
        <v>22.5</v>
      </c>
      <c r="N90" s="166"/>
      <c r="O90" s="166" t="s">
        <v>337</v>
      </c>
      <c r="P90" s="166">
        <v>0.22500000000000001</v>
      </c>
      <c r="Q90" s="166" t="s">
        <v>1602</v>
      </c>
      <c r="R90" s="166">
        <v>0.04</v>
      </c>
      <c r="S90" s="166" t="s">
        <v>1600</v>
      </c>
      <c r="T90" s="166">
        <v>2.5999999999999999E-2</v>
      </c>
      <c r="U90" s="166"/>
      <c r="V90" s="166"/>
      <c r="W90" s="166"/>
      <c r="X90" s="166"/>
      <c r="Y90" s="166"/>
      <c r="Z90" s="166"/>
      <c r="AA90" s="166"/>
      <c r="AB90" s="166"/>
      <c r="AC90" s="166"/>
      <c r="AD90" s="166"/>
      <c r="AE90" s="166"/>
      <c r="AF90" s="166"/>
      <c r="AG90" s="166"/>
      <c r="AH90" s="166"/>
      <c r="AK90" s="1"/>
      <c r="AL90" s="1"/>
      <c r="AM90" s="1"/>
    </row>
    <row r="91" spans="1:39" ht="20.100000000000001" customHeight="1" x14ac:dyDescent="0.2">
      <c r="D91" s="166" t="s">
        <v>1635</v>
      </c>
      <c r="E91" s="166" t="s">
        <v>1637</v>
      </c>
      <c r="F91" s="166" t="s">
        <v>621</v>
      </c>
      <c r="G91" s="166">
        <v>1.26</v>
      </c>
      <c r="H91" s="166"/>
      <c r="I91" s="166"/>
      <c r="J91" s="166"/>
      <c r="K91" s="166">
        <v>9.6</v>
      </c>
      <c r="L91" s="166">
        <v>5</v>
      </c>
      <c r="M91" s="166">
        <v>10.5</v>
      </c>
      <c r="N91" s="166"/>
      <c r="O91" s="166" t="s">
        <v>337</v>
      </c>
      <c r="P91" s="166">
        <v>0.105</v>
      </c>
      <c r="Q91" s="166" t="s">
        <v>1600</v>
      </c>
      <c r="R91" s="166">
        <v>9.6000000000000002E-2</v>
      </c>
      <c r="S91" s="166" t="s">
        <v>1602</v>
      </c>
      <c r="T91" s="166">
        <v>0.05</v>
      </c>
      <c r="U91" s="166"/>
      <c r="V91" s="166"/>
      <c r="W91" s="166"/>
      <c r="X91" s="166"/>
      <c r="Y91" s="166"/>
      <c r="Z91" s="166"/>
      <c r="AA91" s="166"/>
      <c r="AB91" s="166"/>
      <c r="AC91" s="166"/>
      <c r="AD91" s="166"/>
      <c r="AE91" s="166"/>
      <c r="AF91" s="166"/>
      <c r="AG91" s="166"/>
      <c r="AH91" s="166"/>
      <c r="AK91" s="1"/>
      <c r="AL91" s="1"/>
      <c r="AM91" s="1"/>
    </row>
    <row r="92" spans="1:39" ht="20.100000000000001" customHeight="1" x14ac:dyDescent="0.2">
      <c r="D92" s="166" t="s">
        <v>1635</v>
      </c>
      <c r="E92" s="166" t="s">
        <v>1638</v>
      </c>
      <c r="F92" s="166" t="s">
        <v>621</v>
      </c>
      <c r="G92" s="166">
        <v>1.24</v>
      </c>
      <c r="H92" s="166"/>
      <c r="I92" s="166"/>
      <c r="J92" s="166"/>
      <c r="K92" s="166">
        <v>22.3</v>
      </c>
      <c r="L92" s="166"/>
      <c r="M92" s="166"/>
      <c r="N92" s="166"/>
      <c r="O92" s="166" t="s">
        <v>1595</v>
      </c>
      <c r="P92" s="166">
        <v>0.223</v>
      </c>
      <c r="Q92" s="166"/>
      <c r="R92" s="166"/>
      <c r="S92" s="166"/>
      <c r="T92" s="166"/>
      <c r="U92" s="166"/>
      <c r="V92" s="166"/>
      <c r="W92" s="166"/>
      <c r="X92" s="166"/>
      <c r="Y92" s="166"/>
      <c r="Z92" s="166"/>
      <c r="AA92" s="166"/>
      <c r="AB92" s="166"/>
      <c r="AC92" s="166"/>
      <c r="AD92" s="166"/>
      <c r="AE92" s="166"/>
      <c r="AF92" s="166"/>
      <c r="AG92" s="166"/>
      <c r="AH92" s="166"/>
      <c r="AK92" s="1"/>
      <c r="AL92" s="1"/>
      <c r="AM92" s="1"/>
    </row>
    <row r="93" spans="1:39" ht="20.100000000000001" customHeight="1" x14ac:dyDescent="0.2">
      <c r="D93" s="166" t="s">
        <v>1635</v>
      </c>
      <c r="E93" s="166" t="s">
        <v>1639</v>
      </c>
      <c r="F93" s="166" t="s">
        <v>621</v>
      </c>
      <c r="G93" s="166">
        <v>1.5</v>
      </c>
      <c r="H93" s="166"/>
      <c r="I93" s="166"/>
      <c r="J93" s="166"/>
      <c r="K93" s="166">
        <v>13.2</v>
      </c>
      <c r="L93" s="166"/>
      <c r="M93" s="166"/>
      <c r="N93" s="166"/>
      <c r="O93" s="166" t="s">
        <v>1640</v>
      </c>
      <c r="P93" s="166">
        <v>0.16200000000000001</v>
      </c>
      <c r="Q93" s="166" t="s">
        <v>1597</v>
      </c>
      <c r="R93" s="166">
        <v>0.13200000000000001</v>
      </c>
      <c r="S93" s="166"/>
      <c r="T93" s="166"/>
      <c r="U93" s="166"/>
      <c r="V93" s="166"/>
      <c r="W93" s="166"/>
      <c r="X93" s="166"/>
      <c r="Y93" s="166"/>
      <c r="Z93" s="166"/>
      <c r="AA93" s="166"/>
      <c r="AB93" s="166"/>
      <c r="AC93" s="166"/>
      <c r="AD93" s="166"/>
      <c r="AE93" s="166"/>
      <c r="AF93" s="166"/>
      <c r="AG93" s="166"/>
      <c r="AH93" s="166"/>
      <c r="AK93" s="1"/>
      <c r="AL93" s="1"/>
      <c r="AM93" s="1"/>
    </row>
    <row r="94" spans="1:39" ht="20.100000000000001" customHeight="1" x14ac:dyDescent="0.2">
      <c r="D94" s="166" t="s">
        <v>1635</v>
      </c>
      <c r="E94" s="166" t="s">
        <v>1641</v>
      </c>
      <c r="F94" s="166" t="s">
        <v>621</v>
      </c>
      <c r="G94" s="166">
        <v>1.5</v>
      </c>
      <c r="H94" s="166"/>
      <c r="I94" s="166"/>
      <c r="J94" s="166"/>
      <c r="K94" s="166">
        <v>13.2</v>
      </c>
      <c r="L94" s="166"/>
      <c r="M94" s="166"/>
      <c r="N94" s="166"/>
      <c r="O94" s="166" t="s">
        <v>1640</v>
      </c>
      <c r="P94" s="166">
        <v>0.187</v>
      </c>
      <c r="Q94" s="166" t="s">
        <v>1597</v>
      </c>
      <c r="R94" s="166">
        <v>0.13200000000000001</v>
      </c>
      <c r="S94" s="166"/>
      <c r="T94" s="166"/>
      <c r="U94" s="166"/>
      <c r="V94" s="166"/>
      <c r="W94" s="166"/>
      <c r="X94" s="166"/>
      <c r="Y94" s="166"/>
      <c r="Z94" s="166"/>
      <c r="AA94" s="166"/>
      <c r="AB94" s="166"/>
      <c r="AC94" s="166"/>
      <c r="AD94" s="166"/>
      <c r="AE94" s="166"/>
      <c r="AF94" s="166"/>
      <c r="AG94" s="166"/>
      <c r="AH94" s="166"/>
      <c r="AK94" s="1"/>
      <c r="AL94" s="1"/>
      <c r="AM94" s="1"/>
    </row>
    <row r="95" spans="1:39" ht="20.100000000000001" customHeight="1" x14ac:dyDescent="0.2">
      <c r="D95" s="166" t="s">
        <v>1635</v>
      </c>
      <c r="E95" s="166" t="s">
        <v>1642</v>
      </c>
      <c r="F95" s="166" t="s">
        <v>621</v>
      </c>
      <c r="G95" s="166">
        <v>1.5</v>
      </c>
      <c r="H95" s="166"/>
      <c r="I95" s="166"/>
      <c r="J95" s="166"/>
      <c r="K95" s="166">
        <v>13.2</v>
      </c>
      <c r="L95" s="166"/>
      <c r="M95" s="166"/>
      <c r="N95" s="166"/>
      <c r="O95" s="166" t="s">
        <v>1640</v>
      </c>
      <c r="P95" s="166">
        <v>0.183</v>
      </c>
      <c r="Q95" s="166" t="s">
        <v>1597</v>
      </c>
      <c r="R95" s="166">
        <v>0.13200000000000001</v>
      </c>
      <c r="S95" s="166"/>
      <c r="T95" s="166"/>
      <c r="U95" s="166"/>
      <c r="V95" s="166"/>
      <c r="W95" s="166"/>
      <c r="X95" s="166"/>
      <c r="Y95" s="166"/>
      <c r="Z95" s="166"/>
      <c r="AA95" s="166"/>
      <c r="AB95" s="166"/>
      <c r="AC95" s="166"/>
      <c r="AD95" s="166"/>
      <c r="AE95" s="166"/>
      <c r="AF95" s="166"/>
      <c r="AG95" s="166"/>
      <c r="AH95" s="166"/>
      <c r="AK95" s="1"/>
      <c r="AL95" s="1"/>
      <c r="AM95" s="1"/>
    </row>
    <row r="96" spans="1:39" ht="20.100000000000001" customHeight="1" x14ac:dyDescent="0.2">
      <c r="D96" s="166" t="s">
        <v>1635</v>
      </c>
      <c r="E96" s="166" t="s">
        <v>1643</v>
      </c>
      <c r="F96" s="166" t="s">
        <v>621</v>
      </c>
      <c r="G96" s="166">
        <v>1.25</v>
      </c>
      <c r="H96" s="166"/>
      <c r="I96" s="166"/>
      <c r="J96" s="166"/>
      <c r="K96" s="166">
        <v>10.3</v>
      </c>
      <c r="L96" s="166">
        <v>10</v>
      </c>
      <c r="M96" s="166">
        <v>3.4</v>
      </c>
      <c r="N96" s="166"/>
      <c r="O96" s="166" t="s">
        <v>1600</v>
      </c>
      <c r="P96" s="166">
        <v>0.10299999999999999</v>
      </c>
      <c r="Q96" s="166" t="s">
        <v>1602</v>
      </c>
      <c r="R96" s="166">
        <v>0.1</v>
      </c>
      <c r="S96" s="166" t="s">
        <v>337</v>
      </c>
      <c r="T96" s="166">
        <v>3.4000000000000002E-2</v>
      </c>
      <c r="U96" s="166"/>
      <c r="V96" s="166"/>
      <c r="W96" s="166"/>
      <c r="X96" s="166"/>
      <c r="Y96" s="166"/>
      <c r="Z96" s="166"/>
      <c r="AA96" s="166"/>
      <c r="AB96" s="166"/>
      <c r="AC96" s="166"/>
      <c r="AD96" s="166"/>
      <c r="AE96" s="166"/>
      <c r="AF96" s="166"/>
      <c r="AG96" s="166"/>
      <c r="AH96" s="166"/>
      <c r="AK96" s="1"/>
      <c r="AL96" s="1"/>
      <c r="AM96" s="1"/>
    </row>
    <row r="97" spans="4:39" ht="20.100000000000001" customHeight="1" x14ac:dyDescent="0.2">
      <c r="D97" s="166" t="s">
        <v>1635</v>
      </c>
      <c r="E97" s="166" t="s">
        <v>1644</v>
      </c>
      <c r="F97" s="166" t="s">
        <v>621</v>
      </c>
      <c r="G97" s="166">
        <v>1.43</v>
      </c>
      <c r="H97" s="166"/>
      <c r="I97" s="166"/>
      <c r="J97" s="166"/>
      <c r="K97" s="166">
        <v>2.5</v>
      </c>
      <c r="L97" s="166">
        <v>3.8</v>
      </c>
      <c r="M97" s="166">
        <v>22.5</v>
      </c>
      <c r="N97" s="166"/>
      <c r="O97" s="166" t="s">
        <v>337</v>
      </c>
      <c r="P97" s="166">
        <v>0.22500000000000001</v>
      </c>
      <c r="Q97" s="166" t="s">
        <v>1602</v>
      </c>
      <c r="R97" s="166">
        <v>3.7999999999999999E-2</v>
      </c>
      <c r="S97" s="166" t="s">
        <v>1600</v>
      </c>
      <c r="T97" s="166">
        <v>2.5000000000000001E-2</v>
      </c>
      <c r="U97" s="166"/>
      <c r="V97" s="166"/>
      <c r="W97" s="166"/>
      <c r="X97" s="166"/>
      <c r="Y97" s="166"/>
      <c r="Z97" s="166"/>
      <c r="AA97" s="166"/>
      <c r="AB97" s="166"/>
      <c r="AC97" s="166"/>
      <c r="AD97" s="166"/>
      <c r="AE97" s="166"/>
      <c r="AF97" s="166"/>
      <c r="AG97" s="166"/>
      <c r="AH97" s="166"/>
      <c r="AK97" s="1"/>
      <c r="AL97" s="1"/>
      <c r="AM97" s="1"/>
    </row>
    <row r="98" spans="4:39" ht="20.100000000000001" customHeight="1" x14ac:dyDescent="0.2">
      <c r="D98" s="166" t="s">
        <v>1635</v>
      </c>
      <c r="E98" s="166" t="s">
        <v>1645</v>
      </c>
      <c r="F98" s="166" t="s">
        <v>621</v>
      </c>
      <c r="G98" s="166">
        <v>1.29</v>
      </c>
      <c r="H98" s="166"/>
      <c r="I98" s="166"/>
      <c r="J98" s="166"/>
      <c r="K98" s="166">
        <v>10.5</v>
      </c>
      <c r="L98" s="166">
        <v>9.4</v>
      </c>
      <c r="M98" s="166">
        <v>4</v>
      </c>
      <c r="N98" s="166">
        <v>3</v>
      </c>
      <c r="O98" s="166" t="s">
        <v>1600</v>
      </c>
      <c r="P98" s="166">
        <v>0.105</v>
      </c>
      <c r="Q98" s="166" t="s">
        <v>1602</v>
      </c>
      <c r="R98" s="166">
        <v>9.4E-2</v>
      </c>
      <c r="S98" s="166" t="s">
        <v>337</v>
      </c>
      <c r="T98" s="166">
        <v>0.04</v>
      </c>
      <c r="U98" s="166" t="s">
        <v>338</v>
      </c>
      <c r="V98" s="166">
        <v>0.03</v>
      </c>
      <c r="W98" s="166"/>
      <c r="X98" s="166"/>
      <c r="Y98" s="166"/>
      <c r="Z98" s="166"/>
      <c r="AA98" s="166"/>
      <c r="AB98" s="166"/>
      <c r="AC98" s="166"/>
      <c r="AD98" s="166"/>
      <c r="AE98" s="166"/>
      <c r="AF98" s="166"/>
      <c r="AG98" s="166"/>
      <c r="AH98" s="166"/>
      <c r="AK98" s="1"/>
      <c r="AL98" s="1"/>
      <c r="AM98" s="1"/>
    </row>
    <row r="99" spans="4:39" ht="20.100000000000001" customHeight="1" x14ac:dyDescent="0.2">
      <c r="D99" s="166" t="s">
        <v>1635</v>
      </c>
      <c r="E99" s="166" t="s">
        <v>1646</v>
      </c>
      <c r="F99" s="166" t="s">
        <v>621</v>
      </c>
      <c r="G99" s="166">
        <v>1.32</v>
      </c>
      <c r="H99" s="166"/>
      <c r="I99" s="166"/>
      <c r="J99" s="166"/>
      <c r="K99" s="166">
        <v>9.5</v>
      </c>
      <c r="L99" s="166">
        <v>4.7</v>
      </c>
      <c r="M99" s="166">
        <v>10.8</v>
      </c>
      <c r="N99" s="166">
        <v>8.1</v>
      </c>
      <c r="O99" s="166" t="s">
        <v>337</v>
      </c>
      <c r="P99" s="166">
        <v>0.108</v>
      </c>
      <c r="Q99" s="166" t="s">
        <v>1600</v>
      </c>
      <c r="R99" s="166">
        <v>9.5000000000000001E-2</v>
      </c>
      <c r="S99" s="166" t="s">
        <v>338</v>
      </c>
      <c r="T99" s="166">
        <v>8.1000000000000003E-2</v>
      </c>
      <c r="U99" s="166" t="s">
        <v>1602</v>
      </c>
      <c r="V99" s="166">
        <v>4.7E-2</v>
      </c>
      <c r="W99" s="166"/>
      <c r="X99" s="166"/>
      <c r="Y99" s="166"/>
      <c r="Z99" s="166"/>
      <c r="AA99" s="166"/>
      <c r="AB99" s="166"/>
      <c r="AC99" s="166"/>
      <c r="AD99" s="166"/>
      <c r="AE99" s="166"/>
      <c r="AF99" s="166"/>
      <c r="AG99" s="166"/>
      <c r="AH99" s="166"/>
      <c r="AK99" s="1"/>
      <c r="AL99" s="1"/>
      <c r="AM99" s="1"/>
    </row>
    <row r="100" spans="4:39" ht="20.100000000000001" customHeight="1" x14ac:dyDescent="0.2">
      <c r="D100" s="166" t="s">
        <v>1635</v>
      </c>
      <c r="E100" s="166" t="s">
        <v>326</v>
      </c>
      <c r="F100" s="166" t="s">
        <v>370</v>
      </c>
      <c r="G100" s="166">
        <v>1</v>
      </c>
      <c r="H100" s="166"/>
      <c r="I100" s="166"/>
      <c r="J100" s="166"/>
      <c r="K100" s="166">
        <v>24</v>
      </c>
      <c r="L100" s="166">
        <v>5.2</v>
      </c>
      <c r="M100" s="166">
        <v>8</v>
      </c>
      <c r="N100" s="166">
        <v>5.3</v>
      </c>
      <c r="O100" s="166" t="s">
        <v>325</v>
      </c>
      <c r="P100" s="166">
        <v>0.52173899999999995</v>
      </c>
      <c r="Q100" s="166" t="s">
        <v>337</v>
      </c>
      <c r="R100" s="166">
        <v>0.08</v>
      </c>
      <c r="S100" s="166" t="s">
        <v>338</v>
      </c>
      <c r="T100" s="166">
        <v>5.2999999999999999E-2</v>
      </c>
      <c r="U100" s="166" t="s">
        <v>1602</v>
      </c>
      <c r="V100" s="166">
        <v>5.1999999999999998E-2</v>
      </c>
      <c r="W100" s="166" t="s">
        <v>1647</v>
      </c>
      <c r="X100" s="166">
        <v>1.2999999999999999E-2</v>
      </c>
      <c r="Y100" s="166" t="s">
        <v>1648</v>
      </c>
      <c r="Z100" s="166">
        <v>2E-3</v>
      </c>
      <c r="AA100" s="166" t="s">
        <v>1649</v>
      </c>
      <c r="AB100" s="166">
        <v>3.5000000000000001E-3</v>
      </c>
      <c r="AC100" s="166" t="s">
        <v>1650</v>
      </c>
      <c r="AD100" s="166">
        <v>1.2999999999999999E-3</v>
      </c>
      <c r="AE100" s="166" t="s">
        <v>1651</v>
      </c>
      <c r="AF100" s="166">
        <v>6.9999999999999999E-4</v>
      </c>
      <c r="AG100" s="166" t="s">
        <v>1652</v>
      </c>
      <c r="AH100" s="166">
        <v>6.9999999999999999E-4</v>
      </c>
      <c r="AK100" s="1"/>
      <c r="AL100" s="1"/>
      <c r="AM100" s="1"/>
    </row>
    <row r="101" spans="4:39" ht="20.100000000000001" customHeight="1" x14ac:dyDescent="0.2">
      <c r="D101" s="166" t="s">
        <v>1635</v>
      </c>
      <c r="E101" s="166" t="s">
        <v>1653</v>
      </c>
      <c r="F101" s="166" t="s">
        <v>370</v>
      </c>
      <c r="G101" s="166">
        <v>1</v>
      </c>
      <c r="H101" s="166"/>
      <c r="I101" s="166"/>
      <c r="J101" s="166"/>
      <c r="K101" s="166">
        <v>17</v>
      </c>
      <c r="L101" s="166">
        <v>0.04</v>
      </c>
      <c r="M101" s="166">
        <v>11.6</v>
      </c>
      <c r="N101" s="166">
        <v>0.5</v>
      </c>
      <c r="O101" s="166" t="s">
        <v>1608</v>
      </c>
      <c r="P101" s="166">
        <v>0.23200000000000001</v>
      </c>
      <c r="Q101" s="166" t="s">
        <v>1600</v>
      </c>
      <c r="R101" s="166">
        <v>0.17</v>
      </c>
      <c r="S101" s="166" t="s">
        <v>338</v>
      </c>
      <c r="T101" s="166">
        <v>5.0000000000000001E-3</v>
      </c>
      <c r="U101" s="166" t="s">
        <v>1647</v>
      </c>
      <c r="V101" s="166">
        <v>2.3999999999999998E-3</v>
      </c>
      <c r="W101" s="166" t="s">
        <v>1602</v>
      </c>
      <c r="X101" s="166">
        <v>4.0000000000000002E-4</v>
      </c>
      <c r="Y101" s="166"/>
      <c r="Z101" s="166"/>
      <c r="AA101" s="166"/>
      <c r="AB101" s="166"/>
      <c r="AC101" s="166"/>
      <c r="AD101" s="166"/>
      <c r="AE101" s="166"/>
      <c r="AF101" s="166"/>
      <c r="AG101" s="166"/>
      <c r="AH101" s="166"/>
      <c r="AK101" s="1"/>
      <c r="AL101" s="1"/>
      <c r="AM101" s="1"/>
    </row>
    <row r="102" spans="4:39" ht="20.100000000000001" customHeight="1" x14ac:dyDescent="0.2">
      <c r="D102" s="166" t="s">
        <v>1635</v>
      </c>
      <c r="E102" s="166" t="s">
        <v>1654</v>
      </c>
      <c r="F102" s="166" t="s">
        <v>621</v>
      </c>
      <c r="G102" s="166">
        <v>1.45</v>
      </c>
      <c r="H102" s="166"/>
      <c r="I102" s="166"/>
      <c r="J102" s="166"/>
      <c r="K102" s="166"/>
      <c r="L102" s="166"/>
      <c r="M102" s="166"/>
      <c r="N102" s="166"/>
      <c r="O102" s="166" t="s">
        <v>1640</v>
      </c>
      <c r="P102" s="166">
        <v>0.107</v>
      </c>
      <c r="Q102" s="166"/>
      <c r="R102" s="166"/>
      <c r="S102" s="166"/>
      <c r="T102" s="166"/>
      <c r="U102" s="166"/>
      <c r="V102" s="166"/>
      <c r="W102" s="166"/>
      <c r="X102" s="166"/>
      <c r="Y102" s="166"/>
      <c r="Z102" s="166"/>
      <c r="AA102" s="166"/>
      <c r="AB102" s="166"/>
      <c r="AC102" s="166"/>
      <c r="AD102" s="166"/>
      <c r="AE102" s="166"/>
      <c r="AF102" s="166"/>
      <c r="AG102" s="166"/>
      <c r="AH102" s="166"/>
      <c r="AK102" s="1"/>
      <c r="AL102" s="1"/>
      <c r="AM102" s="1"/>
    </row>
    <row r="103" spans="4:39" ht="20.100000000000001" customHeight="1" x14ac:dyDescent="0.2">
      <c r="D103" s="166" t="s">
        <v>1635</v>
      </c>
      <c r="E103" s="166" t="s">
        <v>1655</v>
      </c>
      <c r="F103" s="166" t="s">
        <v>370</v>
      </c>
      <c r="G103" s="166">
        <v>1</v>
      </c>
      <c r="H103" s="166"/>
      <c r="I103" s="166"/>
      <c r="J103" s="166"/>
      <c r="K103" s="166">
        <v>15</v>
      </c>
      <c r="L103" s="166">
        <v>6.5</v>
      </c>
      <c r="M103" s="166">
        <v>12.5</v>
      </c>
      <c r="N103" s="166">
        <v>6</v>
      </c>
      <c r="O103" s="166" t="s">
        <v>1595</v>
      </c>
      <c r="P103" s="166">
        <v>7.4999999999999997E-2</v>
      </c>
      <c r="Q103" s="166" t="s">
        <v>1597</v>
      </c>
      <c r="R103" s="166">
        <v>7.4999999999999997E-2</v>
      </c>
      <c r="S103" s="166" t="s">
        <v>337</v>
      </c>
      <c r="T103" s="166">
        <v>0.125</v>
      </c>
      <c r="U103" s="166" t="s">
        <v>1602</v>
      </c>
      <c r="V103" s="166">
        <v>6.5000000000000002E-2</v>
      </c>
      <c r="W103" s="166" t="s">
        <v>338</v>
      </c>
      <c r="X103" s="166">
        <v>0.06</v>
      </c>
      <c r="Y103" s="166"/>
      <c r="Z103" s="166"/>
      <c r="AA103" s="166"/>
      <c r="AB103" s="166"/>
      <c r="AC103" s="166"/>
      <c r="AD103" s="166"/>
      <c r="AE103" s="166"/>
      <c r="AF103" s="166"/>
      <c r="AG103" s="166"/>
      <c r="AH103" s="166"/>
      <c r="AK103" s="1"/>
      <c r="AL103" s="1"/>
      <c r="AM103" s="1"/>
    </row>
    <row r="104" spans="4:39" ht="20.100000000000001" customHeight="1" x14ac:dyDescent="0.2">
      <c r="D104" s="166" t="s">
        <v>1635</v>
      </c>
      <c r="E104" s="166" t="s">
        <v>1656</v>
      </c>
      <c r="F104" s="166" t="s">
        <v>621</v>
      </c>
      <c r="G104" s="166">
        <v>1.2150000000000001</v>
      </c>
      <c r="H104" s="166"/>
      <c r="I104" s="166"/>
      <c r="J104" s="166"/>
      <c r="K104" s="166">
        <v>12</v>
      </c>
      <c r="L104" s="166"/>
      <c r="M104" s="166">
        <v>10</v>
      </c>
      <c r="N104" s="166"/>
      <c r="O104" s="166" t="s">
        <v>325</v>
      </c>
      <c r="P104" s="166">
        <v>0.19565199999999999</v>
      </c>
      <c r="Q104" s="166" t="s">
        <v>337</v>
      </c>
      <c r="R104" s="166">
        <v>0.1</v>
      </c>
      <c r="S104" s="166" t="s">
        <v>1600</v>
      </c>
      <c r="T104" s="166">
        <v>0.03</v>
      </c>
      <c r="U104" s="166" t="s">
        <v>1652</v>
      </c>
      <c r="V104" s="166">
        <v>5.0000000000000001E-3</v>
      </c>
      <c r="W104" s="166"/>
      <c r="X104" s="166"/>
      <c r="Y104" s="166"/>
      <c r="Z104" s="166"/>
      <c r="AA104" s="166"/>
      <c r="AB104" s="166"/>
      <c r="AC104" s="166"/>
      <c r="AD104" s="166"/>
      <c r="AE104" s="166"/>
      <c r="AF104" s="166"/>
      <c r="AG104" s="166"/>
      <c r="AH104" s="166"/>
      <c r="AK104" s="1"/>
      <c r="AL104" s="1"/>
      <c r="AM104" s="1"/>
    </row>
    <row r="105" spans="4:39" ht="20.100000000000001" customHeight="1" x14ac:dyDescent="0.2">
      <c r="D105" s="166" t="s">
        <v>1635</v>
      </c>
      <c r="E105" s="166" t="s">
        <v>1657</v>
      </c>
      <c r="F105" s="166" t="s">
        <v>370</v>
      </c>
      <c r="G105" s="166">
        <v>1</v>
      </c>
      <c r="H105" s="166"/>
      <c r="I105" s="166"/>
      <c r="J105" s="166"/>
      <c r="K105" s="166">
        <v>21.66</v>
      </c>
      <c r="L105" s="166"/>
      <c r="M105" s="166"/>
      <c r="N105" s="166">
        <v>13.2</v>
      </c>
      <c r="O105" s="166" t="s">
        <v>1590</v>
      </c>
      <c r="P105" s="166">
        <v>0.55000000000000004</v>
      </c>
      <c r="Q105" s="166" t="s">
        <v>1592</v>
      </c>
      <c r="R105" s="166">
        <v>0.3</v>
      </c>
      <c r="S105" s="166"/>
      <c r="T105" s="166"/>
      <c r="U105" s="166"/>
      <c r="V105" s="166"/>
      <c r="W105" s="166"/>
      <c r="X105" s="166"/>
      <c r="Y105" s="166"/>
      <c r="Z105" s="166"/>
      <c r="AA105" s="166"/>
      <c r="AB105" s="166"/>
      <c r="AC105" s="166"/>
      <c r="AD105" s="166"/>
      <c r="AE105" s="166"/>
      <c r="AF105" s="166"/>
      <c r="AG105" s="166"/>
      <c r="AH105" s="166"/>
      <c r="AK105" s="1"/>
      <c r="AL105" s="1"/>
      <c r="AM105" s="1"/>
    </row>
    <row r="106" spans="4:39" ht="20.100000000000001" customHeight="1" x14ac:dyDescent="0.2">
      <c r="D106" s="166" t="s">
        <v>1658</v>
      </c>
      <c r="E106" s="166" t="s">
        <v>1659</v>
      </c>
      <c r="F106" s="166" t="s">
        <v>621</v>
      </c>
      <c r="G106" s="166">
        <v>1.319</v>
      </c>
      <c r="H106" s="166"/>
      <c r="I106" s="166"/>
      <c r="J106" s="166"/>
      <c r="K106" s="166">
        <v>5</v>
      </c>
      <c r="L106" s="166">
        <v>15</v>
      </c>
      <c r="M106" s="166">
        <v>2.1</v>
      </c>
      <c r="N106" s="166"/>
      <c r="O106" s="166" t="s">
        <v>1602</v>
      </c>
      <c r="P106" s="166">
        <v>0.15</v>
      </c>
      <c r="Q106" s="166" t="s">
        <v>1640</v>
      </c>
      <c r="R106" s="166">
        <v>0.04</v>
      </c>
      <c r="S106" s="166" t="s">
        <v>1595</v>
      </c>
      <c r="T106" s="166">
        <v>2.9000000000000001E-2</v>
      </c>
      <c r="U106" s="166" t="s">
        <v>1597</v>
      </c>
      <c r="V106" s="166">
        <v>2.1000000000000001E-2</v>
      </c>
      <c r="W106" s="166" t="s">
        <v>337</v>
      </c>
      <c r="X106" s="166">
        <v>2.1000000000000001E-2</v>
      </c>
      <c r="Y106" s="166" t="s">
        <v>1651</v>
      </c>
      <c r="Z106" s="166">
        <v>5.0000000000000001E-3</v>
      </c>
      <c r="AA106" s="166" t="s">
        <v>1648</v>
      </c>
      <c r="AB106" s="166">
        <v>4.0000000000000001E-3</v>
      </c>
      <c r="AC106" s="166" t="s">
        <v>1649</v>
      </c>
      <c r="AD106" s="166">
        <v>4.0000000000000001E-3</v>
      </c>
      <c r="AE106" s="166" t="s">
        <v>1647</v>
      </c>
      <c r="AF106" s="166">
        <v>2E-3</v>
      </c>
      <c r="AG106" s="166"/>
      <c r="AH106" s="166"/>
      <c r="AK106" s="1"/>
      <c r="AL106" s="1"/>
      <c r="AM106" s="1"/>
    </row>
    <row r="107" spans="4:39" ht="20.100000000000001" customHeight="1" x14ac:dyDescent="0.2">
      <c r="D107" s="166" t="s">
        <v>1660</v>
      </c>
      <c r="E107" s="166" t="s">
        <v>1661</v>
      </c>
      <c r="F107" s="166" t="s">
        <v>370</v>
      </c>
      <c r="G107" s="166">
        <v>1</v>
      </c>
      <c r="H107" s="166"/>
      <c r="I107" s="166"/>
      <c r="J107" s="166" t="s">
        <v>1615</v>
      </c>
      <c r="K107" s="166">
        <v>17.7</v>
      </c>
      <c r="L107" s="166"/>
      <c r="M107" s="166"/>
      <c r="N107" s="166"/>
      <c r="O107" s="166" t="s">
        <v>1595</v>
      </c>
      <c r="P107" s="166">
        <v>0.17699999999999999</v>
      </c>
      <c r="Q107" s="166"/>
      <c r="R107" s="166"/>
      <c r="S107" s="166"/>
      <c r="T107" s="166"/>
      <c r="U107" s="166"/>
      <c r="V107" s="166"/>
      <c r="W107" s="166"/>
      <c r="X107" s="166"/>
      <c r="Y107" s="166"/>
      <c r="Z107" s="166"/>
      <c r="AA107" s="166"/>
      <c r="AB107" s="166"/>
      <c r="AC107" s="166"/>
      <c r="AD107" s="166"/>
      <c r="AE107" s="166"/>
      <c r="AF107" s="166"/>
      <c r="AG107" s="166"/>
      <c r="AH107" s="166"/>
      <c r="AK107" s="1"/>
      <c r="AL107" s="1"/>
      <c r="AM107" s="1"/>
    </row>
    <row r="108" spans="4:39" ht="20.100000000000001" customHeight="1" x14ac:dyDescent="0.2">
      <c r="D108" s="166" t="s">
        <v>1660</v>
      </c>
      <c r="E108" s="166" t="s">
        <v>1611</v>
      </c>
      <c r="F108" s="166" t="s">
        <v>370</v>
      </c>
      <c r="G108" s="166">
        <v>1</v>
      </c>
      <c r="H108" s="166"/>
      <c r="I108" s="166"/>
      <c r="J108" s="166" t="s">
        <v>1615</v>
      </c>
      <c r="K108" s="166">
        <v>21</v>
      </c>
      <c r="L108" s="166"/>
      <c r="M108" s="166"/>
      <c r="N108" s="166">
        <v>24</v>
      </c>
      <c r="O108" s="166" t="s">
        <v>338</v>
      </c>
      <c r="P108" s="166">
        <v>0.24</v>
      </c>
      <c r="Q108" s="166" t="s">
        <v>1595</v>
      </c>
      <c r="R108" s="166">
        <v>0.21</v>
      </c>
      <c r="S108" s="166"/>
      <c r="T108" s="166"/>
      <c r="U108" s="166"/>
      <c r="V108" s="166"/>
      <c r="W108" s="166"/>
      <c r="X108" s="166"/>
      <c r="Y108" s="166"/>
      <c r="Z108" s="166"/>
      <c r="AA108" s="166"/>
      <c r="AB108" s="166"/>
      <c r="AC108" s="166"/>
      <c r="AD108" s="166"/>
      <c r="AE108" s="166"/>
      <c r="AF108" s="166"/>
      <c r="AG108" s="166"/>
      <c r="AH108" s="166"/>
      <c r="AK108" s="1"/>
      <c r="AL108" s="1"/>
      <c r="AM108" s="1"/>
    </row>
    <row r="109" spans="4:39" ht="20.100000000000001" customHeight="1" x14ac:dyDescent="0.2">
      <c r="D109" s="166" t="s">
        <v>1662</v>
      </c>
      <c r="E109" s="166" t="s">
        <v>1663</v>
      </c>
      <c r="F109" s="166" t="s">
        <v>370</v>
      </c>
      <c r="G109" s="166">
        <v>1</v>
      </c>
      <c r="H109" s="166"/>
      <c r="I109" s="166"/>
      <c r="J109" s="166"/>
      <c r="K109" s="166">
        <v>21</v>
      </c>
      <c r="L109" s="166"/>
      <c r="M109" s="166"/>
      <c r="N109" s="166">
        <v>24</v>
      </c>
      <c r="O109" s="166" t="s">
        <v>1590</v>
      </c>
      <c r="P109" s="166">
        <v>1</v>
      </c>
      <c r="Q109" s="166"/>
      <c r="R109" s="166"/>
      <c r="S109" s="166"/>
      <c r="T109" s="166"/>
      <c r="U109" s="166"/>
      <c r="V109" s="166"/>
      <c r="W109" s="166"/>
      <c r="X109" s="166"/>
      <c r="Y109" s="166"/>
      <c r="Z109" s="166"/>
      <c r="AA109" s="166"/>
      <c r="AB109" s="166"/>
      <c r="AC109" s="166"/>
      <c r="AD109" s="166"/>
      <c r="AE109" s="166"/>
      <c r="AF109" s="166"/>
      <c r="AG109" s="166"/>
      <c r="AH109" s="166"/>
      <c r="AK109" s="1"/>
      <c r="AL109" s="1"/>
      <c r="AM109" s="1"/>
    </row>
    <row r="110" spans="4:39" ht="20.100000000000001" customHeight="1" x14ac:dyDescent="0.2">
      <c r="D110" s="166" t="s">
        <v>1664</v>
      </c>
      <c r="E110" s="166" t="s">
        <v>1665</v>
      </c>
      <c r="F110" s="166" t="s">
        <v>370</v>
      </c>
      <c r="G110" s="166">
        <v>1</v>
      </c>
      <c r="H110" s="166"/>
      <c r="I110" s="166"/>
      <c r="J110" s="166"/>
      <c r="K110" s="166">
        <v>18</v>
      </c>
      <c r="L110" s="166">
        <v>20</v>
      </c>
      <c r="M110" s="166"/>
      <c r="N110" s="166"/>
      <c r="O110" s="166" t="s">
        <v>1588</v>
      </c>
      <c r="P110" s="166">
        <v>1</v>
      </c>
      <c r="Q110" s="166"/>
      <c r="R110" s="166"/>
      <c r="S110" s="166"/>
      <c r="T110" s="166"/>
      <c r="U110" s="166"/>
      <c r="V110" s="166"/>
      <c r="W110" s="166"/>
      <c r="X110" s="166"/>
      <c r="Y110" s="166"/>
      <c r="Z110" s="166"/>
      <c r="AA110" s="166"/>
      <c r="AB110" s="166"/>
      <c r="AC110" s="166"/>
      <c r="AD110" s="166"/>
      <c r="AE110" s="166"/>
      <c r="AF110" s="166"/>
      <c r="AG110" s="166"/>
      <c r="AH110" s="166"/>
      <c r="AK110" s="1"/>
      <c r="AL110" s="1"/>
      <c r="AM110" s="1"/>
    </row>
    <row r="111" spans="4:39" ht="20.100000000000001" customHeight="1" x14ac:dyDescent="0.2">
      <c r="D111" s="166" t="s">
        <v>1666</v>
      </c>
      <c r="E111" s="166" t="s">
        <v>1667</v>
      </c>
      <c r="F111" s="166" t="s">
        <v>370</v>
      </c>
      <c r="G111" s="166">
        <v>1</v>
      </c>
      <c r="H111" s="166"/>
      <c r="I111" s="166"/>
      <c r="J111" s="166"/>
      <c r="K111" s="166">
        <v>8</v>
      </c>
      <c r="L111" s="166">
        <v>14</v>
      </c>
      <c r="M111" s="166"/>
      <c r="N111" s="166">
        <v>27.6</v>
      </c>
      <c r="O111" s="166" t="s">
        <v>338</v>
      </c>
      <c r="P111" s="166">
        <v>0.27600000000000002</v>
      </c>
      <c r="Q111" s="166" t="s">
        <v>1602</v>
      </c>
      <c r="R111" s="166">
        <v>0.14000000000000001</v>
      </c>
      <c r="S111" s="166" t="s">
        <v>1600</v>
      </c>
      <c r="T111" s="166">
        <v>0.08</v>
      </c>
      <c r="U111" s="166" t="s">
        <v>1668</v>
      </c>
      <c r="V111" s="166">
        <v>2.4E-2</v>
      </c>
      <c r="W111" s="166"/>
      <c r="X111" s="166"/>
      <c r="Y111" s="166"/>
      <c r="Z111" s="166"/>
      <c r="AA111" s="166"/>
      <c r="AB111" s="166"/>
      <c r="AC111" s="166"/>
      <c r="AD111" s="166"/>
      <c r="AE111" s="166"/>
      <c r="AF111" s="166"/>
      <c r="AG111" s="166"/>
      <c r="AH111" s="166"/>
      <c r="AK111" s="1"/>
      <c r="AL111" s="1"/>
      <c r="AM111" s="1"/>
    </row>
    <row r="112" spans="4:39" ht="20.100000000000001" customHeight="1" x14ac:dyDescent="0.2">
      <c r="D112" s="166" t="s">
        <v>1669</v>
      </c>
      <c r="E112" s="166" t="s">
        <v>1670</v>
      </c>
      <c r="F112" s="166" t="s">
        <v>370</v>
      </c>
      <c r="G112" s="166">
        <v>1</v>
      </c>
      <c r="H112" s="166"/>
      <c r="I112" s="166"/>
      <c r="J112" s="166"/>
      <c r="K112" s="166">
        <v>16.899999999999999</v>
      </c>
      <c r="L112" s="166">
        <v>18.2</v>
      </c>
      <c r="M112" s="166"/>
      <c r="N112" s="166">
        <v>8</v>
      </c>
      <c r="O112" s="166" t="s">
        <v>1602</v>
      </c>
      <c r="P112" s="166">
        <v>0.182</v>
      </c>
      <c r="Q112" s="166" t="s">
        <v>1600</v>
      </c>
      <c r="R112" s="166">
        <v>0.16900000000000001</v>
      </c>
      <c r="S112" s="166" t="s">
        <v>338</v>
      </c>
      <c r="T112" s="166">
        <v>0.08</v>
      </c>
      <c r="U112" s="166" t="s">
        <v>1648</v>
      </c>
      <c r="V112" s="166">
        <v>2E-3</v>
      </c>
      <c r="W112" s="166" t="s">
        <v>1651</v>
      </c>
      <c r="X112" s="166">
        <v>1E-3</v>
      </c>
      <c r="Y112" s="166"/>
      <c r="Z112" s="166"/>
      <c r="AA112" s="166"/>
      <c r="AB112" s="166"/>
      <c r="AC112" s="166"/>
      <c r="AD112" s="166"/>
      <c r="AE112" s="166"/>
      <c r="AF112" s="166"/>
      <c r="AG112" s="166"/>
      <c r="AH112" s="166"/>
      <c r="AK112" s="1"/>
      <c r="AL112" s="1"/>
      <c r="AM112" s="1"/>
    </row>
    <row r="113" spans="1:39" ht="20.100000000000001" customHeight="1" x14ac:dyDescent="0.2">
      <c r="D113" s="166" t="s">
        <v>1666</v>
      </c>
      <c r="E113" s="166" t="s">
        <v>1671</v>
      </c>
      <c r="F113" s="166" t="s">
        <v>621</v>
      </c>
      <c r="G113" s="166">
        <v>1.32</v>
      </c>
      <c r="H113" s="166"/>
      <c r="I113" s="166"/>
      <c r="J113" s="166"/>
      <c r="K113" s="166">
        <v>42.5</v>
      </c>
      <c r="L113" s="166"/>
      <c r="M113" s="166"/>
      <c r="N113" s="166"/>
      <c r="O113" s="166" t="s">
        <v>325</v>
      </c>
      <c r="P113" s="166">
        <v>0.467391</v>
      </c>
      <c r="Q113" s="166" t="s">
        <v>1597</v>
      </c>
      <c r="R113" s="166">
        <v>0.105</v>
      </c>
      <c r="S113" s="166" t="s">
        <v>1595</v>
      </c>
      <c r="T113" s="166">
        <v>0.105</v>
      </c>
      <c r="U113" s="166" t="s">
        <v>1672</v>
      </c>
      <c r="V113" s="166">
        <v>6.0000000000000001E-3</v>
      </c>
      <c r="W113" s="166"/>
      <c r="X113" s="166"/>
      <c r="Y113" s="166"/>
      <c r="Z113" s="166"/>
      <c r="AA113" s="166"/>
      <c r="AB113" s="166"/>
      <c r="AC113" s="166"/>
      <c r="AD113" s="166"/>
      <c r="AE113" s="166"/>
      <c r="AF113" s="166"/>
      <c r="AG113" s="166"/>
      <c r="AH113" s="166"/>
      <c r="AK113" s="1"/>
      <c r="AL113" s="1"/>
      <c r="AM113" s="1"/>
    </row>
    <row r="114" spans="1:39" ht="20.100000000000001" customHeight="1" x14ac:dyDescent="0.2">
      <c r="D114" s="166" t="s">
        <v>1660</v>
      </c>
      <c r="E114" s="166" t="s">
        <v>1673</v>
      </c>
      <c r="F114" s="166" t="s">
        <v>370</v>
      </c>
      <c r="G114" s="166">
        <v>1</v>
      </c>
      <c r="H114" s="166"/>
      <c r="I114" s="166"/>
      <c r="J114" s="166" t="s">
        <v>1615</v>
      </c>
      <c r="K114" s="166">
        <v>40.5</v>
      </c>
      <c r="L114" s="166"/>
      <c r="M114" s="166"/>
      <c r="N114" s="166"/>
      <c r="O114" s="166" t="s">
        <v>1595</v>
      </c>
      <c r="P114" s="166">
        <v>0.27</v>
      </c>
      <c r="Q114" s="166" t="s">
        <v>1597</v>
      </c>
      <c r="R114" s="166">
        <v>0.13500000000000001</v>
      </c>
      <c r="S114" s="166" t="s">
        <v>1640</v>
      </c>
      <c r="T114" s="166">
        <v>0.12</v>
      </c>
      <c r="U114" s="166"/>
      <c r="V114" s="166"/>
      <c r="W114" s="166"/>
      <c r="X114" s="166"/>
      <c r="Y114" s="166"/>
      <c r="Z114" s="166"/>
      <c r="AA114" s="166"/>
      <c r="AB114" s="166"/>
      <c r="AC114" s="166"/>
      <c r="AD114" s="166"/>
      <c r="AE114" s="166"/>
      <c r="AF114" s="166"/>
      <c r="AG114" s="166"/>
      <c r="AH114" s="166"/>
      <c r="AK114" s="1"/>
      <c r="AL114" s="1"/>
      <c r="AM114" s="1"/>
    </row>
    <row r="115" spans="1:39" ht="20.100000000000001" customHeight="1" x14ac:dyDescent="0.2">
      <c r="D115" s="166" t="s">
        <v>1658</v>
      </c>
      <c r="E115" s="166" t="s">
        <v>1674</v>
      </c>
      <c r="F115" s="166" t="s">
        <v>621</v>
      </c>
      <c r="G115" s="166">
        <v>1.1379999999999999</v>
      </c>
      <c r="H115" s="166"/>
      <c r="I115" s="166"/>
      <c r="J115" s="166"/>
      <c r="K115" s="166"/>
      <c r="L115" s="166"/>
      <c r="M115" s="166"/>
      <c r="N115" s="166"/>
      <c r="O115" s="166" t="s">
        <v>1640</v>
      </c>
      <c r="P115" s="166">
        <v>5.8999999999999997E-2</v>
      </c>
      <c r="Q115" s="166" t="s">
        <v>1651</v>
      </c>
      <c r="R115" s="166">
        <v>3.0000000000000001E-3</v>
      </c>
      <c r="S115" s="166" t="s">
        <v>1652</v>
      </c>
      <c r="T115" s="166">
        <v>1E-3</v>
      </c>
      <c r="U115" s="166"/>
      <c r="V115" s="166"/>
      <c r="W115" s="166"/>
      <c r="X115" s="166"/>
      <c r="Y115" s="166"/>
      <c r="Z115" s="166"/>
      <c r="AA115" s="166"/>
      <c r="AB115" s="166"/>
      <c r="AC115" s="166"/>
      <c r="AD115" s="166"/>
      <c r="AE115" s="166"/>
      <c r="AF115" s="166"/>
      <c r="AG115" s="166"/>
      <c r="AH115" s="166"/>
      <c r="AK115" s="1"/>
      <c r="AL115" s="1"/>
      <c r="AM115" s="1"/>
    </row>
    <row r="116" spans="1:39" ht="20.100000000000001" customHeight="1" x14ac:dyDescent="0.2">
      <c r="D116" s="166" t="s">
        <v>1666</v>
      </c>
      <c r="E116" s="166" t="s">
        <v>1675</v>
      </c>
      <c r="F116" s="166" t="s">
        <v>370</v>
      </c>
      <c r="G116" s="166">
        <v>1</v>
      </c>
      <c r="H116" s="166"/>
      <c r="I116" s="166"/>
      <c r="J116" s="166"/>
      <c r="K116" s="166">
        <v>13.5</v>
      </c>
      <c r="L116" s="166">
        <v>15</v>
      </c>
      <c r="M116" s="166">
        <v>6.25</v>
      </c>
      <c r="N116" s="166">
        <v>1.2</v>
      </c>
      <c r="O116" s="166" t="s">
        <v>1602</v>
      </c>
      <c r="P116" s="166">
        <v>0.15</v>
      </c>
      <c r="Q116" s="166" t="s">
        <v>1595</v>
      </c>
      <c r="R116" s="166">
        <v>0.13500000000000001</v>
      </c>
      <c r="S116" s="166" t="s">
        <v>1608</v>
      </c>
      <c r="T116" s="166">
        <v>0.125</v>
      </c>
      <c r="U116" s="166" t="s">
        <v>1668</v>
      </c>
      <c r="V116" s="166">
        <v>2.3E-2</v>
      </c>
      <c r="W116" s="166" t="s">
        <v>338</v>
      </c>
      <c r="X116" s="166">
        <v>1.2E-2</v>
      </c>
      <c r="Y116" s="166"/>
      <c r="Z116" s="166"/>
      <c r="AA116" s="166"/>
      <c r="AB116" s="166"/>
      <c r="AC116" s="166"/>
      <c r="AD116" s="166"/>
      <c r="AE116" s="166"/>
      <c r="AF116" s="166"/>
      <c r="AG116" s="166"/>
      <c r="AH116" s="166"/>
      <c r="AK116" s="1"/>
      <c r="AL116" s="1"/>
      <c r="AM116" s="1"/>
    </row>
    <row r="117" spans="1:39" ht="20.100000000000001" customHeight="1" x14ac:dyDescent="0.2">
      <c r="D117" s="166" t="s">
        <v>1676</v>
      </c>
      <c r="E117" s="166" t="s">
        <v>1677</v>
      </c>
      <c r="F117" s="166" t="s">
        <v>621</v>
      </c>
      <c r="G117" s="166">
        <v>1.25</v>
      </c>
      <c r="H117" s="166"/>
      <c r="I117" s="166"/>
      <c r="J117" s="166"/>
      <c r="K117" s="166">
        <v>3</v>
      </c>
      <c r="L117" s="166"/>
      <c r="M117" s="166">
        <v>21</v>
      </c>
      <c r="N117" s="166"/>
      <c r="O117" s="166" t="s">
        <v>337</v>
      </c>
      <c r="P117" s="166">
        <v>0.21</v>
      </c>
      <c r="Q117" s="166" t="s">
        <v>1600</v>
      </c>
      <c r="R117" s="166">
        <v>0.03</v>
      </c>
      <c r="S117" s="166"/>
      <c r="T117" s="166"/>
      <c r="U117" s="166"/>
      <c r="V117" s="166"/>
      <c r="W117" s="166"/>
      <c r="X117" s="166"/>
      <c r="Y117" s="166"/>
      <c r="Z117" s="166"/>
      <c r="AA117" s="166"/>
      <c r="AB117" s="166"/>
      <c r="AC117" s="166"/>
      <c r="AD117" s="166"/>
      <c r="AE117" s="166"/>
      <c r="AF117" s="166"/>
      <c r="AG117" s="166"/>
      <c r="AH117" s="166"/>
      <c r="AK117" s="1"/>
      <c r="AL117" s="1"/>
      <c r="AM117" s="1"/>
    </row>
    <row r="118" spans="1:39" ht="20.100000000000001" customHeight="1" x14ac:dyDescent="0.2">
      <c r="D118" s="166" t="s">
        <v>1676</v>
      </c>
      <c r="E118" s="166" t="s">
        <v>1678</v>
      </c>
      <c r="F118" s="166" t="s">
        <v>621</v>
      </c>
      <c r="G118" s="166">
        <v>1.2</v>
      </c>
      <c r="H118" s="166"/>
      <c r="I118" s="166"/>
      <c r="J118" s="166"/>
      <c r="K118" s="166">
        <v>5</v>
      </c>
      <c r="L118" s="166">
        <v>3</v>
      </c>
      <c r="M118" s="166">
        <v>8</v>
      </c>
      <c r="N118" s="166"/>
      <c r="O118" s="166" t="s">
        <v>337</v>
      </c>
      <c r="P118" s="166">
        <v>0.08</v>
      </c>
      <c r="Q118" s="166" t="s">
        <v>1600</v>
      </c>
      <c r="R118" s="166">
        <v>0.05</v>
      </c>
      <c r="S118" s="166" t="s">
        <v>1602</v>
      </c>
      <c r="T118" s="166">
        <v>0.03</v>
      </c>
      <c r="U118" s="166"/>
      <c r="V118" s="166"/>
      <c r="W118" s="166"/>
      <c r="X118" s="166"/>
      <c r="Y118" s="166"/>
      <c r="Z118" s="166"/>
      <c r="AA118" s="166"/>
      <c r="AB118" s="166"/>
      <c r="AC118" s="166"/>
      <c r="AD118" s="166"/>
      <c r="AE118" s="166"/>
      <c r="AF118" s="166"/>
      <c r="AG118" s="166"/>
      <c r="AH118" s="166"/>
      <c r="AK118" s="1"/>
      <c r="AL118" s="1"/>
      <c r="AM118" s="1"/>
    </row>
    <row r="119" spans="1:39" ht="20.100000000000001" customHeight="1" x14ac:dyDescent="0.2">
      <c r="A119" s="81" t="str">
        <f>HYPERLINK("#A1", "▲ Back to top")</f>
        <v>▲ Back to top</v>
      </c>
      <c r="D119" s="166" t="s">
        <v>1666</v>
      </c>
      <c r="E119" s="166" t="s">
        <v>1679</v>
      </c>
      <c r="F119" s="166" t="s">
        <v>370</v>
      </c>
      <c r="G119" s="166">
        <v>1</v>
      </c>
      <c r="H119" s="166"/>
      <c r="I119" s="166"/>
      <c r="J119" s="166"/>
      <c r="K119" s="166">
        <v>21</v>
      </c>
      <c r="L119" s="166"/>
      <c r="M119" s="166"/>
      <c r="N119" s="166">
        <v>24</v>
      </c>
      <c r="O119" s="166" t="s">
        <v>1590</v>
      </c>
      <c r="P119" s="166">
        <v>1</v>
      </c>
      <c r="Q119" s="166"/>
      <c r="R119" s="166"/>
      <c r="S119" s="166"/>
      <c r="T119" s="166"/>
      <c r="U119" s="166"/>
      <c r="V119" s="166"/>
      <c r="W119" s="166"/>
      <c r="X119" s="166"/>
      <c r="Y119" s="166"/>
      <c r="Z119" s="166"/>
      <c r="AA119" s="166"/>
      <c r="AB119" s="166"/>
      <c r="AC119" s="166"/>
      <c r="AD119" s="166"/>
      <c r="AE119" s="166"/>
      <c r="AF119" s="166"/>
      <c r="AG119" s="166"/>
      <c r="AH119" s="166"/>
      <c r="AK119" s="1"/>
      <c r="AL119" s="1"/>
      <c r="AM119" s="1"/>
    </row>
    <row r="120" spans="1:39" ht="20.100000000000001" customHeight="1" x14ac:dyDescent="0.2">
      <c r="D120" s="166" t="s">
        <v>1635</v>
      </c>
      <c r="E120" s="166" t="s">
        <v>1680</v>
      </c>
      <c r="F120" s="166" t="s">
        <v>621</v>
      </c>
      <c r="G120" s="166">
        <v>1.5</v>
      </c>
      <c r="H120" s="166"/>
      <c r="I120" s="166"/>
      <c r="J120" s="166"/>
      <c r="K120" s="166">
        <v>9</v>
      </c>
      <c r="L120" s="166"/>
      <c r="M120" s="166"/>
      <c r="N120" s="166">
        <v>13.94</v>
      </c>
      <c r="O120" s="166" t="s">
        <v>1590</v>
      </c>
      <c r="P120" s="166">
        <v>0.58064499999999997</v>
      </c>
      <c r="Q120" s="166" t="s">
        <v>1647</v>
      </c>
      <c r="R120" s="166">
        <v>1.2E-2</v>
      </c>
      <c r="S120" s="166"/>
      <c r="T120" s="166"/>
      <c r="U120" s="166"/>
      <c r="V120" s="166"/>
      <c r="W120" s="166"/>
      <c r="X120" s="166"/>
      <c r="Y120" s="166"/>
      <c r="Z120" s="166"/>
      <c r="AA120" s="166"/>
      <c r="AB120" s="166"/>
      <c r="AC120" s="166"/>
      <c r="AD120" s="166"/>
      <c r="AE120" s="166"/>
      <c r="AF120" s="166"/>
      <c r="AG120" s="166"/>
      <c r="AH120" s="166"/>
      <c r="AK120" s="1"/>
      <c r="AL120" s="1"/>
      <c r="AM120" s="1"/>
    </row>
    <row r="121" spans="1:39" ht="20.100000000000001" customHeight="1" x14ac:dyDescent="0.2">
      <c r="D121" s="166" t="s">
        <v>1666</v>
      </c>
      <c r="E121" s="166" t="s">
        <v>1681</v>
      </c>
      <c r="F121" s="166" t="s">
        <v>370</v>
      </c>
      <c r="G121" s="166">
        <v>1</v>
      </c>
      <c r="H121" s="166"/>
      <c r="I121" s="166"/>
      <c r="J121" s="166"/>
      <c r="K121" s="166">
        <v>10</v>
      </c>
      <c r="L121" s="166">
        <v>17.5</v>
      </c>
      <c r="M121" s="166"/>
      <c r="N121" s="166">
        <v>12</v>
      </c>
      <c r="O121" s="166" t="s">
        <v>1602</v>
      </c>
      <c r="P121" s="166">
        <v>0.17499999999999999</v>
      </c>
      <c r="Q121" s="166" t="s">
        <v>338</v>
      </c>
      <c r="R121" s="166">
        <v>0.12</v>
      </c>
      <c r="S121" s="166" t="s">
        <v>1595</v>
      </c>
      <c r="T121" s="166">
        <v>0.1</v>
      </c>
      <c r="U121" s="166" t="s">
        <v>1668</v>
      </c>
      <c r="V121" s="166">
        <v>0.03</v>
      </c>
      <c r="W121" s="166"/>
      <c r="X121" s="166"/>
      <c r="Y121" s="166"/>
      <c r="Z121" s="166"/>
      <c r="AA121" s="166"/>
      <c r="AB121" s="166"/>
      <c r="AC121" s="166"/>
      <c r="AD121" s="166"/>
      <c r="AE121" s="166"/>
      <c r="AF121" s="166"/>
      <c r="AG121" s="166"/>
      <c r="AH121" s="166"/>
      <c r="AK121" s="1"/>
      <c r="AL121" s="1"/>
      <c r="AM121" s="1"/>
    </row>
    <row r="122" spans="1:39" ht="20.100000000000001" customHeight="1" x14ac:dyDescent="0.2">
      <c r="D122" s="166" t="s">
        <v>1666</v>
      </c>
      <c r="E122" s="166" t="s">
        <v>1682</v>
      </c>
      <c r="F122" s="166" t="s">
        <v>370</v>
      </c>
      <c r="G122" s="166">
        <v>1</v>
      </c>
      <c r="H122" s="166"/>
      <c r="I122" s="166"/>
      <c r="J122" s="166"/>
      <c r="K122" s="166">
        <v>11</v>
      </c>
      <c r="L122" s="166">
        <v>21.8</v>
      </c>
      <c r="M122" s="166"/>
      <c r="N122" s="166">
        <v>4</v>
      </c>
      <c r="O122" s="166" t="s">
        <v>1602</v>
      </c>
      <c r="P122" s="166">
        <v>0.218</v>
      </c>
      <c r="Q122" s="166" t="s">
        <v>1600</v>
      </c>
      <c r="R122" s="166">
        <v>0.11</v>
      </c>
      <c r="S122" s="166" t="s">
        <v>338</v>
      </c>
      <c r="T122" s="166">
        <v>0.04</v>
      </c>
      <c r="U122" s="166" t="s">
        <v>1668</v>
      </c>
      <c r="V122" s="166">
        <v>0.03</v>
      </c>
      <c r="W122" s="166" t="s">
        <v>1648</v>
      </c>
      <c r="X122" s="166">
        <v>0.01</v>
      </c>
      <c r="Y122" s="166"/>
      <c r="Z122" s="166"/>
      <c r="AA122" s="166"/>
      <c r="AB122" s="166"/>
      <c r="AC122" s="166"/>
      <c r="AD122" s="166"/>
      <c r="AE122" s="166"/>
      <c r="AF122" s="166"/>
      <c r="AG122" s="166"/>
      <c r="AH122" s="166"/>
      <c r="AK122" s="1"/>
      <c r="AL122" s="1"/>
      <c r="AM122" s="1"/>
    </row>
    <row r="123" spans="1:39" ht="20.100000000000001" customHeight="1" x14ac:dyDescent="0.2">
      <c r="D123" s="166" t="s">
        <v>1666</v>
      </c>
      <c r="E123" s="166" t="s">
        <v>1683</v>
      </c>
      <c r="F123" s="166" t="s">
        <v>370</v>
      </c>
      <c r="G123" s="166">
        <v>1</v>
      </c>
      <c r="H123" s="166"/>
      <c r="I123" s="166"/>
      <c r="J123" s="166"/>
      <c r="K123" s="166">
        <v>32.5</v>
      </c>
      <c r="L123" s="166">
        <v>5.4</v>
      </c>
      <c r="M123" s="166">
        <v>6.25</v>
      </c>
      <c r="N123" s="166"/>
      <c r="O123" s="166" t="s">
        <v>325</v>
      </c>
      <c r="P123" s="166">
        <v>0.6</v>
      </c>
      <c r="Q123" s="166" t="s">
        <v>1595</v>
      </c>
      <c r="R123" s="166">
        <v>4.9000000000000002E-2</v>
      </c>
      <c r="S123" s="166" t="s">
        <v>1602</v>
      </c>
      <c r="T123" s="166">
        <v>5.3999999999999999E-2</v>
      </c>
      <c r="U123" s="166" t="s">
        <v>1608</v>
      </c>
      <c r="V123" s="166">
        <v>0.125</v>
      </c>
      <c r="W123" s="166"/>
      <c r="X123" s="166"/>
      <c r="Y123" s="166"/>
      <c r="Z123" s="166"/>
      <c r="AA123" s="166"/>
      <c r="AB123" s="166"/>
      <c r="AC123" s="166"/>
      <c r="AD123" s="166"/>
      <c r="AE123" s="166"/>
      <c r="AF123" s="166"/>
      <c r="AG123" s="166"/>
      <c r="AH123" s="166"/>
      <c r="AK123" s="1"/>
      <c r="AL123" s="1"/>
      <c r="AM123" s="1"/>
    </row>
    <row r="124" spans="1:39" ht="20.100000000000001" customHeight="1" x14ac:dyDescent="0.2">
      <c r="D124" s="166" t="s">
        <v>1662</v>
      </c>
      <c r="E124" s="166" t="s">
        <v>1684</v>
      </c>
      <c r="F124" s="166" t="s">
        <v>370</v>
      </c>
      <c r="G124" s="166">
        <v>1</v>
      </c>
      <c r="H124" s="166" t="s">
        <v>1685</v>
      </c>
      <c r="I124" s="166"/>
      <c r="J124" s="166"/>
      <c r="K124" s="166">
        <v>45.54</v>
      </c>
      <c r="L124" s="166"/>
      <c r="M124" s="166"/>
      <c r="N124" s="166"/>
      <c r="O124" s="166" t="s">
        <v>325</v>
      </c>
      <c r="P124" s="166">
        <v>0.99</v>
      </c>
      <c r="Q124" s="166"/>
      <c r="R124" s="166"/>
      <c r="S124" s="166"/>
      <c r="T124" s="166"/>
      <c r="U124" s="166"/>
      <c r="V124" s="166"/>
      <c r="W124" s="166"/>
      <c r="X124" s="166"/>
      <c r="Y124" s="166"/>
      <c r="Z124" s="166"/>
      <c r="AA124" s="166"/>
      <c r="AB124" s="166"/>
      <c r="AC124" s="166"/>
      <c r="AD124" s="166"/>
      <c r="AE124" s="166"/>
      <c r="AF124" s="166"/>
      <c r="AG124" s="166"/>
      <c r="AH124" s="166"/>
      <c r="AK124" s="1"/>
      <c r="AL124" s="1"/>
      <c r="AM124" s="1"/>
    </row>
    <row r="125" spans="1:39" ht="20.100000000000001" customHeight="1" x14ac:dyDescent="0.2">
      <c r="D125" s="166" t="s">
        <v>1635</v>
      </c>
      <c r="E125" s="166" t="s">
        <v>1686</v>
      </c>
      <c r="F125" s="166" t="s">
        <v>370</v>
      </c>
      <c r="G125" s="166">
        <v>1</v>
      </c>
      <c r="H125" s="166"/>
      <c r="I125" s="166"/>
      <c r="J125" s="166"/>
      <c r="K125" s="166">
        <v>14.87</v>
      </c>
      <c r="L125" s="166">
        <v>2.2000000000000002</v>
      </c>
      <c r="M125" s="166">
        <v>16.600000000000001</v>
      </c>
      <c r="N125" s="166">
        <v>8</v>
      </c>
      <c r="O125" s="166" t="s">
        <v>1592</v>
      </c>
      <c r="P125" s="166">
        <v>0.44117600000000001</v>
      </c>
      <c r="Q125" s="166" t="s">
        <v>337</v>
      </c>
      <c r="R125" s="166">
        <v>0.16600000000000001</v>
      </c>
      <c r="S125" s="166" t="s">
        <v>338</v>
      </c>
      <c r="T125" s="166">
        <v>0.08</v>
      </c>
      <c r="U125" s="166" t="s">
        <v>1602</v>
      </c>
      <c r="V125" s="166">
        <v>2.1999999999999999E-2</v>
      </c>
      <c r="W125" s="166" t="s">
        <v>1647</v>
      </c>
      <c r="X125" s="166">
        <v>1.2E-2</v>
      </c>
      <c r="Y125" s="166" t="s">
        <v>1652</v>
      </c>
      <c r="Z125" s="166">
        <v>2.0000000000000001E-4</v>
      </c>
      <c r="AA125" s="166" t="s">
        <v>1648</v>
      </c>
      <c r="AB125" s="166">
        <v>1E-4</v>
      </c>
      <c r="AC125" s="166"/>
      <c r="AD125" s="166"/>
      <c r="AE125" s="166"/>
      <c r="AF125" s="166"/>
      <c r="AG125" s="166"/>
      <c r="AH125" s="166"/>
      <c r="AK125" s="1"/>
      <c r="AL125" s="1"/>
      <c r="AM125" s="1"/>
    </row>
    <row r="126" spans="1:39" ht="20.100000000000001" customHeight="1" x14ac:dyDescent="0.2">
      <c r="D126" s="166" t="s">
        <v>1658</v>
      </c>
      <c r="E126" s="166" t="s">
        <v>1687</v>
      </c>
      <c r="F126" s="166" t="s">
        <v>621</v>
      </c>
      <c r="G126" s="166">
        <v>1.2989999999999999</v>
      </c>
      <c r="H126" s="166"/>
      <c r="I126" s="166"/>
      <c r="J126" s="166"/>
      <c r="K126" s="166">
        <v>38</v>
      </c>
      <c r="L126" s="166"/>
      <c r="M126" s="166"/>
      <c r="N126" s="166">
        <v>2</v>
      </c>
      <c r="O126" s="166" t="s">
        <v>325</v>
      </c>
      <c r="P126" s="166">
        <v>0.46087</v>
      </c>
      <c r="Q126" s="166" t="s">
        <v>1595</v>
      </c>
      <c r="R126" s="166">
        <v>9.1999999999999998E-2</v>
      </c>
      <c r="S126" s="166" t="s">
        <v>1597</v>
      </c>
      <c r="T126" s="166">
        <v>7.5999999999999998E-2</v>
      </c>
      <c r="U126" s="166" t="s">
        <v>338</v>
      </c>
      <c r="V126" s="166">
        <v>0.02</v>
      </c>
      <c r="W126" s="166"/>
      <c r="X126" s="166"/>
      <c r="Y126" s="166"/>
      <c r="Z126" s="166"/>
      <c r="AA126" s="166"/>
      <c r="AB126" s="166"/>
      <c r="AC126" s="166"/>
      <c r="AD126" s="166"/>
      <c r="AE126" s="166"/>
      <c r="AF126" s="166"/>
      <c r="AG126" s="166"/>
      <c r="AH126" s="166"/>
      <c r="AK126" s="1"/>
      <c r="AL126" s="1"/>
      <c r="AM126" s="1"/>
    </row>
    <row r="127" spans="1:39" ht="20.100000000000001" customHeight="1" x14ac:dyDescent="0.2">
      <c r="D127" s="166" t="s">
        <v>1664</v>
      </c>
      <c r="E127" s="166" t="s">
        <v>1688</v>
      </c>
      <c r="F127" s="166" t="s">
        <v>370</v>
      </c>
      <c r="G127" s="166">
        <v>1</v>
      </c>
      <c r="H127" s="166"/>
      <c r="I127" s="166"/>
      <c r="J127" s="166"/>
      <c r="K127" s="166"/>
      <c r="L127" s="166">
        <v>8.8000000000000007</v>
      </c>
      <c r="M127" s="166"/>
      <c r="N127" s="166">
        <v>11</v>
      </c>
      <c r="O127" s="166" t="s">
        <v>1610</v>
      </c>
      <c r="P127" s="166">
        <v>1</v>
      </c>
      <c r="Q127" s="166"/>
      <c r="R127" s="166"/>
      <c r="S127" s="166"/>
      <c r="T127" s="166"/>
      <c r="U127" s="166"/>
      <c r="V127" s="166"/>
      <c r="W127" s="166"/>
      <c r="X127" s="166"/>
      <c r="Y127" s="166"/>
      <c r="Z127" s="166"/>
      <c r="AA127" s="166"/>
      <c r="AB127" s="166"/>
      <c r="AC127" s="166"/>
      <c r="AD127" s="166"/>
      <c r="AE127" s="166"/>
      <c r="AF127" s="166"/>
      <c r="AG127" s="166"/>
      <c r="AH127" s="166"/>
      <c r="AK127" s="1"/>
      <c r="AL127" s="1"/>
      <c r="AM127" s="1"/>
    </row>
    <row r="128" spans="1:39" ht="20.100000000000001" customHeight="1" x14ac:dyDescent="0.2">
      <c r="D128" s="166" t="s">
        <v>1676</v>
      </c>
      <c r="E128" s="166" t="s">
        <v>1689</v>
      </c>
      <c r="F128" s="166" t="s">
        <v>621</v>
      </c>
      <c r="G128" s="166">
        <v>1.2</v>
      </c>
      <c r="H128" s="166"/>
      <c r="I128" s="166"/>
      <c r="J128" s="166"/>
      <c r="K128" s="166">
        <v>10</v>
      </c>
      <c r="L128" s="166">
        <v>1</v>
      </c>
      <c r="M128" s="166">
        <v>11</v>
      </c>
      <c r="N128" s="166"/>
      <c r="O128" s="166" t="s">
        <v>337</v>
      </c>
      <c r="P128" s="166">
        <v>0.11</v>
      </c>
      <c r="Q128" s="166" t="s">
        <v>1600</v>
      </c>
      <c r="R128" s="166">
        <v>0.1</v>
      </c>
      <c r="S128" s="166" t="s">
        <v>1602</v>
      </c>
      <c r="T128" s="166">
        <v>0.01</v>
      </c>
      <c r="U128" s="166"/>
      <c r="V128" s="166"/>
      <c r="W128" s="166"/>
      <c r="X128" s="166"/>
      <c r="Y128" s="166"/>
      <c r="Z128" s="166"/>
      <c r="AA128" s="166"/>
      <c r="AB128" s="166"/>
      <c r="AC128" s="166"/>
      <c r="AD128" s="166"/>
      <c r="AE128" s="166"/>
      <c r="AF128" s="166"/>
      <c r="AG128" s="166"/>
      <c r="AH128" s="166"/>
      <c r="AK128" s="1"/>
      <c r="AL128" s="1"/>
      <c r="AM128" s="1"/>
    </row>
    <row r="129" spans="4:39" ht="20.100000000000001" customHeight="1" x14ac:dyDescent="0.2">
      <c r="D129" s="166" t="s">
        <v>1676</v>
      </c>
      <c r="E129" s="166" t="s">
        <v>1690</v>
      </c>
      <c r="F129" s="166" t="s">
        <v>621</v>
      </c>
      <c r="G129" s="166">
        <v>1.3</v>
      </c>
      <c r="H129" s="166"/>
      <c r="I129" s="166"/>
      <c r="J129" s="166"/>
      <c r="K129" s="166">
        <v>3</v>
      </c>
      <c r="L129" s="166"/>
      <c r="M129" s="166">
        <v>22</v>
      </c>
      <c r="N129" s="166"/>
      <c r="O129" s="166" t="s">
        <v>337</v>
      </c>
      <c r="P129" s="166">
        <v>0.22</v>
      </c>
      <c r="Q129" s="166" t="s">
        <v>1600</v>
      </c>
      <c r="R129" s="166">
        <v>0.03</v>
      </c>
      <c r="S129" s="166"/>
      <c r="T129" s="166"/>
      <c r="U129" s="166"/>
      <c r="V129" s="166"/>
      <c r="W129" s="166"/>
      <c r="X129" s="166"/>
      <c r="Y129" s="166"/>
      <c r="Z129" s="166"/>
      <c r="AA129" s="166"/>
      <c r="AB129" s="166"/>
      <c r="AC129" s="166"/>
      <c r="AD129" s="166"/>
      <c r="AE129" s="166"/>
      <c r="AF129" s="166"/>
      <c r="AG129" s="166"/>
      <c r="AH129" s="166"/>
      <c r="AK129" s="1"/>
      <c r="AL129" s="1"/>
      <c r="AM129" s="1"/>
    </row>
    <row r="130" spans="4:39" ht="20.100000000000001" customHeight="1" x14ac:dyDescent="0.2">
      <c r="D130" s="166" t="s">
        <v>1691</v>
      </c>
      <c r="E130" s="166" t="s">
        <v>1692</v>
      </c>
      <c r="F130" s="166" t="s">
        <v>621</v>
      </c>
      <c r="G130" s="166">
        <v>1.1850000000000001</v>
      </c>
      <c r="H130" s="166"/>
      <c r="I130" s="166"/>
      <c r="J130" s="166"/>
      <c r="K130" s="166">
        <v>23.8</v>
      </c>
      <c r="L130" s="166"/>
      <c r="M130" s="166"/>
      <c r="N130" s="166"/>
      <c r="O130" s="166" t="s">
        <v>325</v>
      </c>
      <c r="P130" s="166">
        <v>0.51739100000000005</v>
      </c>
      <c r="Q130" s="166"/>
      <c r="R130" s="166"/>
      <c r="S130" s="166"/>
      <c r="T130" s="166"/>
      <c r="U130" s="166"/>
      <c r="V130" s="166"/>
      <c r="W130" s="166"/>
      <c r="X130" s="166"/>
      <c r="Y130" s="166"/>
      <c r="Z130" s="166"/>
      <c r="AA130" s="166"/>
      <c r="AB130" s="166"/>
      <c r="AC130" s="166"/>
      <c r="AD130" s="166"/>
      <c r="AE130" s="166"/>
      <c r="AF130" s="166"/>
      <c r="AG130" s="166"/>
      <c r="AH130" s="166"/>
      <c r="AK130" s="1"/>
      <c r="AL130" s="1"/>
      <c r="AM130" s="1"/>
    </row>
    <row r="131" spans="4:39" ht="20.100000000000001" customHeight="1" x14ac:dyDescent="0.2">
      <c r="D131" s="166" t="s">
        <v>1658</v>
      </c>
      <c r="E131" s="166" t="s">
        <v>1693</v>
      </c>
      <c r="F131" s="166" t="s">
        <v>621</v>
      </c>
      <c r="G131" s="166">
        <v>1.2549999999999999</v>
      </c>
      <c r="H131" s="166"/>
      <c r="I131" s="166"/>
      <c r="J131" s="166"/>
      <c r="K131" s="166"/>
      <c r="L131" s="166"/>
      <c r="M131" s="166">
        <v>0.1</v>
      </c>
      <c r="N131" s="166">
        <v>4.4000000000000004</v>
      </c>
      <c r="O131" s="166" t="s">
        <v>338</v>
      </c>
      <c r="P131" s="166">
        <v>4.3999999999999997E-2</v>
      </c>
      <c r="Q131" s="166" t="s">
        <v>1648</v>
      </c>
      <c r="R131" s="166">
        <v>2.1999999999999999E-2</v>
      </c>
      <c r="S131" s="166" t="s">
        <v>1650</v>
      </c>
      <c r="T131" s="166">
        <v>2.1999999999999999E-2</v>
      </c>
      <c r="U131" s="166" t="s">
        <v>1649</v>
      </c>
      <c r="V131" s="166">
        <v>1.6E-2</v>
      </c>
      <c r="W131" s="166" t="s">
        <v>1652</v>
      </c>
      <c r="X131" s="166">
        <v>8.0000000000000002E-3</v>
      </c>
      <c r="Y131" s="166" t="s">
        <v>1647</v>
      </c>
      <c r="Z131" s="166">
        <v>7.0000000000000001E-3</v>
      </c>
      <c r="AA131" s="166" t="s">
        <v>1694</v>
      </c>
      <c r="AB131" s="166">
        <v>5.0000000000000001E-3</v>
      </c>
      <c r="AC131" s="166" t="s">
        <v>1651</v>
      </c>
      <c r="AD131" s="166">
        <v>3.0000000000000001E-3</v>
      </c>
      <c r="AE131" s="166" t="s">
        <v>337</v>
      </c>
      <c r="AF131" s="166">
        <v>1E-3</v>
      </c>
      <c r="AG131" s="166" t="s">
        <v>1695</v>
      </c>
      <c r="AH131" s="166">
        <v>2.9999999999999997E-4</v>
      </c>
      <c r="AK131" s="1"/>
      <c r="AL131" s="1"/>
      <c r="AM131" s="1"/>
    </row>
    <row r="132" spans="4:39" ht="20.100000000000001" customHeight="1" x14ac:dyDescent="0.2">
      <c r="D132" s="166" t="s">
        <v>1676</v>
      </c>
      <c r="E132" s="166" t="s">
        <v>1696</v>
      </c>
      <c r="F132" s="166" t="s">
        <v>621</v>
      </c>
      <c r="G132" s="166">
        <v>1.23</v>
      </c>
      <c r="H132" s="166"/>
      <c r="I132" s="166"/>
      <c r="J132" s="166"/>
      <c r="K132" s="166">
        <v>9.7100000000000009</v>
      </c>
      <c r="L132" s="166"/>
      <c r="M132" s="166">
        <v>3.25</v>
      </c>
      <c r="N132" s="166">
        <v>2.11</v>
      </c>
      <c r="O132" s="166" t="s">
        <v>1600</v>
      </c>
      <c r="P132" s="166">
        <v>9.7100000000000006E-2</v>
      </c>
      <c r="Q132" s="166" t="s">
        <v>337</v>
      </c>
      <c r="R132" s="166">
        <v>3.2500000000000001E-2</v>
      </c>
      <c r="S132" s="166" t="s">
        <v>338</v>
      </c>
      <c r="T132" s="166">
        <v>2.1100000000000001E-2</v>
      </c>
      <c r="U132" s="166" t="s">
        <v>1648</v>
      </c>
      <c r="V132" s="166">
        <v>1.4999999999999999E-2</v>
      </c>
      <c r="W132" s="166" t="s">
        <v>1650</v>
      </c>
      <c r="X132" s="166">
        <v>1.11E-2</v>
      </c>
      <c r="Y132" s="166" t="s">
        <v>1649</v>
      </c>
      <c r="Z132" s="166">
        <v>1.15E-2</v>
      </c>
      <c r="AA132" s="166" t="s">
        <v>1647</v>
      </c>
      <c r="AB132" s="166">
        <v>4.4999999999999997E-3</v>
      </c>
      <c r="AC132" s="166" t="s">
        <v>1652</v>
      </c>
      <c r="AD132" s="166">
        <v>2E-3</v>
      </c>
      <c r="AE132" s="166"/>
      <c r="AF132" s="166"/>
      <c r="AG132" s="166"/>
      <c r="AH132" s="166"/>
      <c r="AK132" s="1"/>
      <c r="AL132" s="1"/>
      <c r="AM132" s="1"/>
    </row>
    <row r="133" spans="4:39" ht="20.100000000000001" customHeight="1" x14ac:dyDescent="0.2">
      <c r="D133" s="166" t="s">
        <v>1635</v>
      </c>
      <c r="E133" s="166" t="s">
        <v>1697</v>
      </c>
      <c r="F133" s="166" t="s">
        <v>370</v>
      </c>
      <c r="G133" s="166">
        <v>1</v>
      </c>
      <c r="H133" s="166"/>
      <c r="I133" s="166"/>
      <c r="J133" s="166"/>
      <c r="K133" s="166">
        <v>10</v>
      </c>
      <c r="L133" s="166">
        <v>10.9</v>
      </c>
      <c r="M133" s="166">
        <v>10</v>
      </c>
      <c r="N133" s="166">
        <v>4.34</v>
      </c>
      <c r="O133" s="166" t="s">
        <v>1586</v>
      </c>
      <c r="P133" s="166">
        <v>0.4178</v>
      </c>
      <c r="Q133" s="166" t="s">
        <v>1592</v>
      </c>
      <c r="R133" s="166">
        <v>0.17280000000000001</v>
      </c>
      <c r="S133" s="166" t="s">
        <v>1698</v>
      </c>
      <c r="T133" s="166">
        <v>0.24096400000000001</v>
      </c>
      <c r="U133" s="166" t="s">
        <v>1609</v>
      </c>
      <c r="V133" s="166">
        <v>0.1</v>
      </c>
      <c r="W133" s="166" t="s">
        <v>1647</v>
      </c>
      <c r="X133" s="166">
        <v>1.2E-2</v>
      </c>
      <c r="Y133" s="166" t="s">
        <v>1648</v>
      </c>
      <c r="Z133" s="166">
        <v>3.5999999999999999E-3</v>
      </c>
      <c r="AA133" s="166" t="s">
        <v>1652</v>
      </c>
      <c r="AB133" s="166">
        <v>1E-3</v>
      </c>
      <c r="AC133" s="166" t="s">
        <v>1699</v>
      </c>
      <c r="AD133" s="166">
        <v>5.1900000000000002E-2</v>
      </c>
      <c r="AE133" s="166"/>
      <c r="AF133" s="166"/>
      <c r="AG133" s="166"/>
      <c r="AH133" s="166"/>
      <c r="AK133" s="1"/>
      <c r="AL133" s="1"/>
      <c r="AM133" s="1"/>
    </row>
    <row r="134" spans="4:39" ht="20.100000000000001" customHeight="1" x14ac:dyDescent="0.2">
      <c r="D134" s="166" t="s">
        <v>1664</v>
      </c>
      <c r="E134" s="166" t="s">
        <v>1590</v>
      </c>
      <c r="F134" s="166" t="s">
        <v>370</v>
      </c>
      <c r="G134" s="166">
        <v>1</v>
      </c>
      <c r="H134" s="166"/>
      <c r="I134" s="166"/>
      <c r="J134" s="166"/>
      <c r="K134" s="166">
        <v>21</v>
      </c>
      <c r="L134" s="166"/>
      <c r="M134" s="166"/>
      <c r="N134" s="166">
        <v>24</v>
      </c>
      <c r="O134" s="166" t="s">
        <v>1590</v>
      </c>
      <c r="P134" s="166">
        <v>1</v>
      </c>
      <c r="Q134" s="166"/>
      <c r="R134" s="166"/>
      <c r="S134" s="166"/>
      <c r="T134" s="166"/>
      <c r="U134" s="166"/>
      <c r="V134" s="166"/>
      <c r="W134" s="166"/>
      <c r="X134" s="166"/>
      <c r="Y134" s="166"/>
      <c r="Z134" s="166"/>
      <c r="AA134" s="166"/>
      <c r="AB134" s="166"/>
      <c r="AC134" s="166"/>
      <c r="AD134" s="166"/>
      <c r="AE134" s="166"/>
      <c r="AF134" s="166"/>
      <c r="AG134" s="166"/>
      <c r="AH134" s="166"/>
      <c r="AK134" s="1"/>
      <c r="AL134" s="1"/>
      <c r="AM134" s="1"/>
    </row>
    <row r="135" spans="4:39" ht="20.100000000000001" customHeight="1" x14ac:dyDescent="0.2">
      <c r="D135" s="166" t="s">
        <v>1664</v>
      </c>
      <c r="E135" s="166" t="s">
        <v>1700</v>
      </c>
      <c r="F135" s="166" t="s">
        <v>370</v>
      </c>
      <c r="G135" s="166">
        <v>1</v>
      </c>
      <c r="H135" s="166"/>
      <c r="I135" s="166"/>
      <c r="J135" s="166"/>
      <c r="K135" s="166">
        <v>10</v>
      </c>
      <c r="L135" s="166">
        <v>21.9</v>
      </c>
      <c r="M135" s="166"/>
      <c r="N135" s="166">
        <v>1.5</v>
      </c>
      <c r="O135" s="166" t="s">
        <v>1586</v>
      </c>
      <c r="P135" s="166">
        <v>1</v>
      </c>
      <c r="Q135" s="166"/>
      <c r="R135" s="166"/>
      <c r="S135" s="166"/>
      <c r="T135" s="166"/>
      <c r="U135" s="166"/>
      <c r="V135" s="166"/>
      <c r="W135" s="166"/>
      <c r="X135" s="166"/>
      <c r="Y135" s="166"/>
      <c r="Z135" s="166"/>
      <c r="AA135" s="166"/>
      <c r="AB135" s="166"/>
      <c r="AC135" s="166"/>
      <c r="AD135" s="166"/>
      <c r="AE135" s="166"/>
      <c r="AF135" s="166"/>
      <c r="AG135" s="166"/>
      <c r="AH135" s="166"/>
      <c r="AK135" s="1"/>
      <c r="AL135" s="1"/>
      <c r="AM135" s="1"/>
    </row>
    <row r="136" spans="4:39" ht="20.100000000000001" customHeight="1" x14ac:dyDescent="0.2">
      <c r="D136" s="166" t="s">
        <v>1664</v>
      </c>
      <c r="E136" s="166" t="s">
        <v>325</v>
      </c>
      <c r="F136" s="166" t="s">
        <v>370</v>
      </c>
      <c r="G136" s="166">
        <v>1</v>
      </c>
      <c r="H136" s="166"/>
      <c r="I136" s="166"/>
      <c r="J136" s="166"/>
      <c r="K136" s="166">
        <v>46</v>
      </c>
      <c r="L136" s="166"/>
      <c r="M136" s="166"/>
      <c r="N136" s="166"/>
      <c r="O136" s="166" t="s">
        <v>325</v>
      </c>
      <c r="P136" s="166">
        <v>1</v>
      </c>
      <c r="Q136" s="166"/>
      <c r="R136" s="166"/>
      <c r="S136" s="166"/>
      <c r="T136" s="166"/>
      <c r="U136" s="166"/>
      <c r="V136" s="166"/>
      <c r="W136" s="166"/>
      <c r="X136" s="166"/>
      <c r="Y136" s="166"/>
      <c r="Z136" s="166"/>
      <c r="AA136" s="166"/>
      <c r="AB136" s="166"/>
      <c r="AC136" s="166"/>
      <c r="AD136" s="166"/>
      <c r="AE136" s="166"/>
      <c r="AF136" s="166"/>
      <c r="AG136" s="166"/>
      <c r="AH136" s="166"/>
      <c r="AK136" s="1"/>
      <c r="AL136" s="1"/>
      <c r="AM136" s="1"/>
    </row>
    <row r="137" spans="4:39" ht="20.100000000000001" customHeight="1" x14ac:dyDescent="0.2">
      <c r="D137" s="166" t="s">
        <v>1701</v>
      </c>
      <c r="E137" s="166" t="s">
        <v>1608</v>
      </c>
      <c r="F137" s="166" t="s">
        <v>370</v>
      </c>
      <c r="G137" s="166">
        <v>1</v>
      </c>
      <c r="H137" s="166"/>
      <c r="I137" s="166"/>
      <c r="J137" s="166"/>
      <c r="K137" s="166"/>
      <c r="L137" s="166"/>
      <c r="M137" s="166">
        <v>50</v>
      </c>
      <c r="N137" s="166"/>
      <c r="O137" s="166" t="s">
        <v>1608</v>
      </c>
      <c r="P137" s="166">
        <v>1</v>
      </c>
      <c r="Q137" s="166"/>
      <c r="R137" s="166"/>
      <c r="S137" s="166"/>
      <c r="T137" s="166"/>
      <c r="U137" s="166"/>
      <c r="V137" s="166"/>
      <c r="W137" s="166"/>
      <c r="X137" s="166"/>
      <c r="Y137" s="166"/>
      <c r="Z137" s="166"/>
      <c r="AA137" s="166"/>
      <c r="AB137" s="166"/>
      <c r="AC137" s="166"/>
      <c r="AD137" s="166"/>
      <c r="AE137" s="166"/>
      <c r="AF137" s="166"/>
      <c r="AG137" s="166"/>
      <c r="AH137" s="166"/>
      <c r="AK137" s="1"/>
      <c r="AL137" s="1"/>
      <c r="AM137" s="1"/>
    </row>
    <row r="138" spans="4:39" ht="20.100000000000001" customHeight="1" x14ac:dyDescent="0.2">
      <c r="D138" s="166" t="s">
        <v>1660</v>
      </c>
      <c r="E138" s="166" t="s">
        <v>1702</v>
      </c>
      <c r="F138" s="166" t="s">
        <v>621</v>
      </c>
      <c r="G138" s="166">
        <v>1.32</v>
      </c>
      <c r="H138" s="166"/>
      <c r="I138" s="166" t="s">
        <v>1615</v>
      </c>
      <c r="J138" s="166" t="s">
        <v>1615</v>
      </c>
      <c r="K138" s="166">
        <v>32</v>
      </c>
      <c r="L138" s="166"/>
      <c r="M138" s="166"/>
      <c r="N138" s="166"/>
      <c r="O138" s="166" t="s">
        <v>1591</v>
      </c>
      <c r="P138" s="166">
        <v>1</v>
      </c>
      <c r="Q138" s="166"/>
      <c r="R138" s="166"/>
      <c r="S138" s="166"/>
      <c r="T138" s="166"/>
      <c r="U138" s="166"/>
      <c r="V138" s="166"/>
      <c r="W138" s="166"/>
      <c r="X138" s="166"/>
      <c r="Y138" s="166"/>
      <c r="Z138" s="166"/>
      <c r="AA138" s="166"/>
      <c r="AB138" s="166"/>
      <c r="AC138" s="166"/>
      <c r="AD138" s="166"/>
      <c r="AE138" s="166"/>
      <c r="AF138" s="166"/>
      <c r="AG138" s="166"/>
      <c r="AH138" s="166"/>
      <c r="AK138" s="1"/>
      <c r="AL138" s="1"/>
      <c r="AM138" s="1"/>
    </row>
    <row r="139" spans="4:39" ht="20.100000000000001" customHeight="1" x14ac:dyDescent="0.2">
      <c r="D139" s="166" t="s">
        <v>1660</v>
      </c>
      <c r="E139" s="166" t="s">
        <v>1703</v>
      </c>
      <c r="F139" s="166" t="s">
        <v>370</v>
      </c>
      <c r="G139" s="166">
        <v>1</v>
      </c>
      <c r="H139" s="166"/>
      <c r="I139" s="166" t="s">
        <v>1615</v>
      </c>
      <c r="J139" s="166"/>
      <c r="K139" s="166">
        <v>46</v>
      </c>
      <c r="L139" s="166"/>
      <c r="M139" s="166"/>
      <c r="N139" s="166"/>
      <c r="O139" s="166" t="s">
        <v>325</v>
      </c>
      <c r="P139" s="166">
        <v>1</v>
      </c>
      <c r="Q139" s="166" t="s">
        <v>1704</v>
      </c>
      <c r="R139" s="166">
        <v>0</v>
      </c>
      <c r="S139" s="166"/>
      <c r="T139" s="166"/>
      <c r="U139" s="166"/>
      <c r="V139" s="166"/>
      <c r="W139" s="166"/>
      <c r="X139" s="166"/>
      <c r="Y139" s="166"/>
      <c r="Z139" s="166"/>
      <c r="AA139" s="166"/>
      <c r="AB139" s="166"/>
      <c r="AC139" s="166"/>
      <c r="AD139" s="166"/>
      <c r="AE139" s="166"/>
      <c r="AF139" s="166"/>
      <c r="AG139" s="166"/>
      <c r="AH139" s="166"/>
      <c r="AK139" s="1"/>
      <c r="AL139" s="1"/>
      <c r="AM139" s="1"/>
    </row>
    <row r="140" spans="4:39" ht="20.100000000000001" customHeight="1" x14ac:dyDescent="0.2">
      <c r="D140" s="166" t="s">
        <v>1705</v>
      </c>
      <c r="E140" s="166" t="s">
        <v>1706</v>
      </c>
      <c r="F140" s="166" t="s">
        <v>370</v>
      </c>
      <c r="G140" s="166">
        <v>1</v>
      </c>
      <c r="H140" s="166"/>
      <c r="I140" s="166"/>
      <c r="J140" s="166"/>
      <c r="K140" s="166">
        <v>15.5</v>
      </c>
      <c r="L140" s="166"/>
      <c r="M140" s="166"/>
      <c r="N140" s="166"/>
      <c r="O140" s="166" t="s">
        <v>335</v>
      </c>
      <c r="P140" s="166">
        <v>1</v>
      </c>
      <c r="Q140" s="166"/>
      <c r="R140" s="166"/>
      <c r="S140" s="166"/>
      <c r="T140" s="166"/>
      <c r="U140" s="166"/>
      <c r="V140" s="166"/>
      <c r="W140" s="166"/>
      <c r="X140" s="166"/>
      <c r="Y140" s="166"/>
      <c r="Z140" s="166"/>
      <c r="AA140" s="166"/>
      <c r="AB140" s="166"/>
      <c r="AC140" s="166"/>
      <c r="AD140" s="166"/>
      <c r="AE140" s="166"/>
      <c r="AF140" s="166"/>
      <c r="AG140" s="166"/>
      <c r="AH140" s="166"/>
      <c r="AK140" s="1"/>
      <c r="AL140" s="1"/>
      <c r="AM140" s="1"/>
    </row>
    <row r="141" spans="4:39" ht="20.100000000000001" customHeight="1" x14ac:dyDescent="0.2">
      <c r="D141" s="166" t="s">
        <v>1705</v>
      </c>
      <c r="E141" s="166" t="s">
        <v>1707</v>
      </c>
      <c r="F141" s="166" t="s">
        <v>370</v>
      </c>
      <c r="G141" s="166">
        <v>1</v>
      </c>
      <c r="H141" s="166"/>
      <c r="I141" s="166"/>
      <c r="J141" s="166"/>
      <c r="K141" s="166">
        <v>15.4</v>
      </c>
      <c r="L141" s="166"/>
      <c r="M141" s="166"/>
      <c r="N141" s="166"/>
      <c r="O141" s="166" t="s">
        <v>335</v>
      </c>
      <c r="P141" s="166">
        <v>0.99354799999999999</v>
      </c>
      <c r="Q141" s="166" t="s">
        <v>1652</v>
      </c>
      <c r="R141" s="166">
        <v>3.0000000000000001E-3</v>
      </c>
      <c r="S141" s="166"/>
      <c r="T141" s="166"/>
      <c r="U141" s="166"/>
      <c r="V141" s="166"/>
      <c r="W141" s="166"/>
      <c r="X141" s="166"/>
      <c r="Y141" s="166"/>
      <c r="Z141" s="166"/>
      <c r="AA141" s="166"/>
      <c r="AB141" s="166"/>
      <c r="AC141" s="166"/>
      <c r="AD141" s="166"/>
      <c r="AE141" s="166"/>
      <c r="AF141" s="166"/>
      <c r="AG141" s="166"/>
      <c r="AH141" s="166"/>
      <c r="AK141" s="1"/>
      <c r="AL141" s="1"/>
      <c r="AM141" s="1"/>
    </row>
    <row r="142" spans="4:39" ht="20.100000000000001" customHeight="1" x14ac:dyDescent="0.2">
      <c r="D142" s="166" t="s">
        <v>1705</v>
      </c>
      <c r="E142" s="166" t="s">
        <v>1708</v>
      </c>
      <c r="F142" s="166" t="s">
        <v>370</v>
      </c>
      <c r="G142" s="166">
        <v>1</v>
      </c>
      <c r="H142" s="166"/>
      <c r="I142" s="166"/>
      <c r="J142" s="166"/>
      <c r="K142" s="166">
        <v>12</v>
      </c>
      <c r="L142" s="166">
        <v>5</v>
      </c>
      <c r="M142" s="166">
        <v>15</v>
      </c>
      <c r="N142" s="166">
        <v>8</v>
      </c>
      <c r="O142" s="166" t="s">
        <v>1597</v>
      </c>
      <c r="P142" s="166">
        <v>0.05</v>
      </c>
      <c r="Q142" s="166" t="s">
        <v>1595</v>
      </c>
      <c r="R142" s="166">
        <v>7.0000000000000007E-2</v>
      </c>
      <c r="S142" s="166" t="s">
        <v>1602</v>
      </c>
      <c r="T142" s="166">
        <v>0.05</v>
      </c>
      <c r="U142" s="166" t="s">
        <v>337</v>
      </c>
      <c r="V142" s="166">
        <v>0.15</v>
      </c>
      <c r="W142" s="166" t="s">
        <v>338</v>
      </c>
      <c r="X142" s="166">
        <v>0.08</v>
      </c>
      <c r="Y142" s="166" t="s">
        <v>1647</v>
      </c>
      <c r="Z142" s="166">
        <v>1.6E-2</v>
      </c>
      <c r="AA142" s="166" t="s">
        <v>1648</v>
      </c>
      <c r="AB142" s="166">
        <v>2.0000000000000001E-4</v>
      </c>
      <c r="AC142" s="166" t="s">
        <v>1652</v>
      </c>
      <c r="AD142" s="166">
        <v>1.4999999999999999E-4</v>
      </c>
      <c r="AE142" s="166"/>
      <c r="AF142" s="166"/>
      <c r="AG142" s="166"/>
      <c r="AH142" s="166"/>
      <c r="AK142" s="1"/>
      <c r="AL142" s="1"/>
      <c r="AM142" s="1"/>
    </row>
    <row r="143" spans="4:39" ht="20.100000000000001" customHeight="1" x14ac:dyDescent="0.2">
      <c r="D143" s="166" t="s">
        <v>1705</v>
      </c>
      <c r="E143" s="166" t="s">
        <v>1709</v>
      </c>
      <c r="F143" s="166" t="s">
        <v>370</v>
      </c>
      <c r="G143" s="166">
        <v>1</v>
      </c>
      <c r="H143" s="166"/>
      <c r="I143" s="166"/>
      <c r="J143" s="166"/>
      <c r="K143" s="166">
        <v>9</v>
      </c>
      <c r="L143" s="166"/>
      <c r="M143" s="166">
        <v>30</v>
      </c>
      <c r="N143" s="166">
        <v>14</v>
      </c>
      <c r="O143" s="166" t="s">
        <v>337</v>
      </c>
      <c r="P143" s="166">
        <v>0.3</v>
      </c>
      <c r="Q143" s="166" t="s">
        <v>338</v>
      </c>
      <c r="R143" s="166">
        <v>0.14000000000000001</v>
      </c>
      <c r="S143" s="166" t="s">
        <v>1597</v>
      </c>
      <c r="T143" s="166">
        <v>4.4999999999999998E-2</v>
      </c>
      <c r="U143" s="166" t="s">
        <v>1595</v>
      </c>
      <c r="V143" s="166">
        <v>4.4999999999999998E-2</v>
      </c>
      <c r="W143" s="166"/>
      <c r="X143" s="166"/>
      <c r="Y143" s="166"/>
      <c r="Z143" s="166"/>
      <c r="AA143" s="166"/>
      <c r="AB143" s="166"/>
      <c r="AC143" s="166"/>
      <c r="AD143" s="166"/>
      <c r="AE143" s="166"/>
      <c r="AF143" s="166"/>
      <c r="AG143" s="166"/>
      <c r="AH143" s="166"/>
      <c r="AK143" s="1"/>
      <c r="AL143" s="1"/>
      <c r="AM143" s="1"/>
    </row>
    <row r="144" spans="4:39" ht="20.100000000000001" customHeight="1" x14ac:dyDescent="0.2">
      <c r="D144" s="166" t="s">
        <v>1705</v>
      </c>
      <c r="E144" s="166" t="s">
        <v>1710</v>
      </c>
      <c r="F144" s="166" t="s">
        <v>370</v>
      </c>
      <c r="G144" s="166">
        <v>1</v>
      </c>
      <c r="H144" s="166"/>
      <c r="I144" s="166"/>
      <c r="J144" s="166"/>
      <c r="K144" s="166">
        <v>13</v>
      </c>
      <c r="L144" s="166">
        <v>1.75</v>
      </c>
      <c r="M144" s="166">
        <v>21</v>
      </c>
      <c r="N144" s="166">
        <v>10.8</v>
      </c>
      <c r="O144" s="166" t="s">
        <v>337</v>
      </c>
      <c r="P144" s="166">
        <v>0.21</v>
      </c>
      <c r="Q144" s="166" t="s">
        <v>338</v>
      </c>
      <c r="R144" s="166">
        <v>0.108</v>
      </c>
      <c r="S144" s="166" t="s">
        <v>1595</v>
      </c>
      <c r="T144" s="166">
        <v>7.6999999999999999E-2</v>
      </c>
      <c r="U144" s="166" t="s">
        <v>1597</v>
      </c>
      <c r="V144" s="166">
        <v>5.2999999999999999E-2</v>
      </c>
      <c r="W144" s="166" t="s">
        <v>1602</v>
      </c>
      <c r="X144" s="166">
        <v>1.7500000000000002E-2</v>
      </c>
      <c r="Y144" s="166" t="s">
        <v>1647</v>
      </c>
      <c r="Z144" s="166">
        <v>4.0000000000000001E-3</v>
      </c>
      <c r="AA144" s="166" t="s">
        <v>1648</v>
      </c>
      <c r="AB144" s="166">
        <v>8.0000000000000004E-4</v>
      </c>
      <c r="AC144" s="166" t="s">
        <v>1652</v>
      </c>
      <c r="AD144" s="166">
        <v>8.0000000000000004E-4</v>
      </c>
      <c r="AE144" s="166"/>
      <c r="AF144" s="166"/>
      <c r="AG144" s="166"/>
      <c r="AH144" s="166"/>
      <c r="AK144" s="1"/>
      <c r="AL144" s="1"/>
      <c r="AM144" s="1"/>
    </row>
    <row r="145" spans="1:39" ht="20.100000000000001" customHeight="1" x14ac:dyDescent="0.2">
      <c r="D145" s="166" t="s">
        <v>1705</v>
      </c>
      <c r="E145" s="166" t="s">
        <v>1711</v>
      </c>
      <c r="F145" s="166" t="s">
        <v>370</v>
      </c>
      <c r="G145" s="166">
        <v>1</v>
      </c>
      <c r="H145" s="166"/>
      <c r="I145" s="166"/>
      <c r="J145" s="166"/>
      <c r="K145" s="166">
        <v>15</v>
      </c>
      <c r="L145" s="166">
        <v>6.5</v>
      </c>
      <c r="M145" s="166">
        <v>12.5</v>
      </c>
      <c r="N145" s="166">
        <v>7.2</v>
      </c>
      <c r="O145" s="166" t="s">
        <v>1597</v>
      </c>
      <c r="P145" s="166">
        <v>9.5000000000000001E-2</v>
      </c>
      <c r="Q145" s="166" t="s">
        <v>337</v>
      </c>
      <c r="R145" s="166">
        <v>0.125</v>
      </c>
      <c r="S145" s="166" t="s">
        <v>338</v>
      </c>
      <c r="T145" s="166">
        <v>7.1999999999999995E-2</v>
      </c>
      <c r="U145" s="166" t="s">
        <v>1602</v>
      </c>
      <c r="V145" s="166">
        <v>6.5000000000000002E-2</v>
      </c>
      <c r="W145" s="166" t="s">
        <v>1595</v>
      </c>
      <c r="X145" s="166">
        <v>5.5E-2</v>
      </c>
      <c r="Y145" s="166" t="s">
        <v>1647</v>
      </c>
      <c r="Z145" s="166">
        <v>6.6E-3</v>
      </c>
      <c r="AA145" s="166" t="s">
        <v>1652</v>
      </c>
      <c r="AB145" s="166">
        <v>1E-3</v>
      </c>
      <c r="AC145" s="166" t="s">
        <v>1648</v>
      </c>
      <c r="AD145" s="166">
        <v>5.9999999999999995E-4</v>
      </c>
      <c r="AE145" s="166"/>
      <c r="AF145" s="166"/>
      <c r="AG145" s="166"/>
      <c r="AH145" s="166"/>
      <c r="AK145" s="1"/>
      <c r="AL145" s="1"/>
      <c r="AM145" s="1"/>
    </row>
    <row r="146" spans="1:39" ht="20.100000000000001" customHeight="1" x14ac:dyDescent="0.2">
      <c r="D146" s="166" t="s">
        <v>1705</v>
      </c>
      <c r="E146" s="166" t="s">
        <v>1712</v>
      </c>
      <c r="F146" s="166" t="s">
        <v>370</v>
      </c>
      <c r="G146" s="166">
        <v>1</v>
      </c>
      <c r="H146" s="166"/>
      <c r="I146" s="166"/>
      <c r="J146" s="166"/>
      <c r="K146" s="166">
        <v>15.5</v>
      </c>
      <c r="L146" s="166"/>
      <c r="M146" s="166"/>
      <c r="N146" s="166"/>
      <c r="O146" s="166" t="s">
        <v>335</v>
      </c>
      <c r="P146" s="166">
        <v>1</v>
      </c>
      <c r="Q146" s="166" t="s">
        <v>1652</v>
      </c>
      <c r="R146" s="166">
        <v>1E-3</v>
      </c>
      <c r="S146" s="166"/>
      <c r="T146" s="166"/>
      <c r="U146" s="166"/>
      <c r="V146" s="166"/>
      <c r="W146" s="166"/>
      <c r="X146" s="166"/>
      <c r="Y146" s="166"/>
      <c r="Z146" s="166"/>
      <c r="AA146" s="166"/>
      <c r="AB146" s="166"/>
      <c r="AC146" s="166"/>
      <c r="AD146" s="166"/>
      <c r="AE146" s="166"/>
      <c r="AF146" s="166"/>
      <c r="AG146" s="166"/>
      <c r="AH146" s="166"/>
      <c r="AK146" s="1"/>
      <c r="AL146" s="1"/>
      <c r="AM146" s="1"/>
    </row>
    <row r="147" spans="1:39" ht="20.100000000000001" customHeight="1" x14ac:dyDescent="0.2">
      <c r="D147" s="166" t="s">
        <v>1705</v>
      </c>
      <c r="E147" s="166" t="s">
        <v>1713</v>
      </c>
      <c r="F147" s="166" t="s">
        <v>370</v>
      </c>
      <c r="G147" s="166">
        <v>1</v>
      </c>
      <c r="H147" s="166"/>
      <c r="I147" s="166"/>
      <c r="J147" s="166"/>
      <c r="K147" s="166">
        <v>10</v>
      </c>
      <c r="L147" s="166">
        <v>21.9</v>
      </c>
      <c r="M147" s="166"/>
      <c r="N147" s="166"/>
      <c r="O147" s="166" t="s">
        <v>1586</v>
      </c>
      <c r="P147" s="166">
        <v>1</v>
      </c>
      <c r="Q147" s="166"/>
      <c r="R147" s="166"/>
      <c r="S147" s="166"/>
      <c r="T147" s="166"/>
      <c r="U147" s="166"/>
      <c r="V147" s="166"/>
      <c r="W147" s="166"/>
      <c r="X147" s="166"/>
      <c r="Y147" s="166"/>
      <c r="Z147" s="166"/>
      <c r="AA147" s="166"/>
      <c r="AB147" s="166"/>
      <c r="AC147" s="166"/>
      <c r="AD147" s="166"/>
      <c r="AE147" s="166"/>
      <c r="AF147" s="166"/>
      <c r="AG147" s="166"/>
      <c r="AH147" s="166"/>
      <c r="AK147" s="1"/>
      <c r="AL147" s="1"/>
      <c r="AM147" s="1"/>
    </row>
    <row r="148" spans="1:39" ht="20.100000000000001" customHeight="1" x14ac:dyDescent="0.2">
      <c r="D148" s="166" t="s">
        <v>1705</v>
      </c>
      <c r="E148" s="166" t="s">
        <v>1714</v>
      </c>
      <c r="F148" s="166" t="s">
        <v>370</v>
      </c>
      <c r="G148" s="166">
        <v>1</v>
      </c>
      <c r="H148" s="166"/>
      <c r="I148" s="166"/>
      <c r="J148" s="166"/>
      <c r="K148" s="166">
        <v>12</v>
      </c>
      <c r="L148" s="166">
        <v>5.2</v>
      </c>
      <c r="M148" s="166">
        <v>29.9</v>
      </c>
      <c r="N148" s="166">
        <v>1</v>
      </c>
      <c r="O148" s="166" t="s">
        <v>337</v>
      </c>
      <c r="P148" s="166">
        <v>0.29899999999999999</v>
      </c>
      <c r="Q148" s="166" t="s">
        <v>1597</v>
      </c>
      <c r="R148" s="166">
        <v>0.10100000000000001</v>
      </c>
      <c r="S148" s="166" t="s">
        <v>1602</v>
      </c>
      <c r="T148" s="166">
        <v>5.1999999999999998E-2</v>
      </c>
      <c r="U148" s="166" t="s">
        <v>1595</v>
      </c>
      <c r="V148" s="166">
        <v>1.9E-2</v>
      </c>
      <c r="W148" s="166" t="s">
        <v>338</v>
      </c>
      <c r="X148" s="166">
        <v>0.01</v>
      </c>
      <c r="Y148" s="166" t="s">
        <v>1647</v>
      </c>
      <c r="Z148" s="166">
        <v>6.0000000000000001E-3</v>
      </c>
      <c r="AA148" s="166" t="s">
        <v>1650</v>
      </c>
      <c r="AB148" s="166">
        <v>6.9999999999999999E-4</v>
      </c>
      <c r="AC148" s="166" t="s">
        <v>1649</v>
      </c>
      <c r="AD148" s="166">
        <v>4.0000000000000002E-4</v>
      </c>
      <c r="AE148" s="166" t="s">
        <v>1648</v>
      </c>
      <c r="AF148" s="166">
        <v>2.5000000000000001E-4</v>
      </c>
      <c r="AG148" s="166" t="s">
        <v>1652</v>
      </c>
      <c r="AH148" s="166">
        <v>2.5000000000000001E-4</v>
      </c>
      <c r="AK148" s="1"/>
      <c r="AL148" s="1"/>
      <c r="AM148" s="1"/>
    </row>
    <row r="149" spans="1:39" ht="20.100000000000001" customHeight="1" x14ac:dyDescent="0.2">
      <c r="A149" s="81" t="str">
        <f>HYPERLINK("#A1", "▲ Back to top")</f>
        <v>▲ Back to top</v>
      </c>
      <c r="D149" s="166" t="s">
        <v>1705</v>
      </c>
      <c r="E149" s="166" t="s">
        <v>1715</v>
      </c>
      <c r="F149" s="166" t="s">
        <v>370</v>
      </c>
      <c r="G149" s="166">
        <v>1</v>
      </c>
      <c r="H149" s="166"/>
      <c r="I149" s="166"/>
      <c r="J149" s="166"/>
      <c r="K149" s="166">
        <v>18</v>
      </c>
      <c r="L149" s="166">
        <v>7.9</v>
      </c>
      <c r="M149" s="166">
        <v>14.9</v>
      </c>
      <c r="N149" s="166">
        <v>2</v>
      </c>
      <c r="O149" s="166" t="s">
        <v>337</v>
      </c>
      <c r="P149" s="166">
        <v>0.14899999999999999</v>
      </c>
      <c r="Q149" s="166" t="s">
        <v>325</v>
      </c>
      <c r="R149" s="166">
        <v>0.21304300000000001</v>
      </c>
      <c r="S149" s="166" t="s">
        <v>1602</v>
      </c>
      <c r="T149" s="166">
        <v>7.9000000000000001E-2</v>
      </c>
      <c r="U149" s="166" t="s">
        <v>1597</v>
      </c>
      <c r="V149" s="166">
        <v>4.9000000000000002E-2</v>
      </c>
      <c r="W149" s="166" t="s">
        <v>1595</v>
      </c>
      <c r="X149" s="166">
        <v>3.3000000000000002E-2</v>
      </c>
      <c r="Y149" s="166" t="s">
        <v>338</v>
      </c>
      <c r="Z149" s="166">
        <v>0.02</v>
      </c>
      <c r="AA149" s="166" t="s">
        <v>1647</v>
      </c>
      <c r="AB149" s="166">
        <v>1.7999999999999999E-2</v>
      </c>
      <c r="AC149" s="166" t="s">
        <v>1650</v>
      </c>
      <c r="AD149" s="166">
        <v>6.9999999999999999E-4</v>
      </c>
      <c r="AE149" s="166" t="s">
        <v>1649</v>
      </c>
      <c r="AF149" s="166">
        <v>4.0000000000000002E-4</v>
      </c>
      <c r="AG149" s="166" t="s">
        <v>1648</v>
      </c>
      <c r="AH149" s="166">
        <v>2.5000000000000001E-4</v>
      </c>
      <c r="AK149" s="1"/>
      <c r="AL149" s="1"/>
      <c r="AM149" s="1"/>
    </row>
    <row r="150" spans="1:39" ht="20.100000000000001" customHeight="1" x14ac:dyDescent="0.2">
      <c r="D150" s="166" t="s">
        <v>1705</v>
      </c>
      <c r="E150" s="166" t="s">
        <v>1716</v>
      </c>
      <c r="F150" s="166" t="s">
        <v>370</v>
      </c>
      <c r="G150" s="166">
        <v>1</v>
      </c>
      <c r="H150" s="166"/>
      <c r="I150" s="166"/>
      <c r="J150" s="166"/>
      <c r="K150" s="166">
        <v>21</v>
      </c>
      <c r="L150" s="166">
        <v>7.4</v>
      </c>
      <c r="M150" s="166">
        <v>2.5</v>
      </c>
      <c r="N150" s="166">
        <v>4</v>
      </c>
      <c r="O150" s="166" t="s">
        <v>1597</v>
      </c>
      <c r="P150" s="166">
        <v>0.105</v>
      </c>
      <c r="Q150" s="166" t="s">
        <v>1595</v>
      </c>
      <c r="R150" s="166">
        <v>0.105</v>
      </c>
      <c r="S150" s="166" t="s">
        <v>1602</v>
      </c>
      <c r="T150" s="166">
        <v>7.3999999999999996E-2</v>
      </c>
      <c r="U150" s="166" t="s">
        <v>338</v>
      </c>
      <c r="V150" s="166">
        <v>0.04</v>
      </c>
      <c r="W150" s="166" t="s">
        <v>337</v>
      </c>
      <c r="X150" s="166">
        <v>2.5000000000000001E-2</v>
      </c>
      <c r="Y150" s="166" t="s">
        <v>1647</v>
      </c>
      <c r="Z150" s="166">
        <v>4.0000000000000001E-3</v>
      </c>
      <c r="AA150" s="166" t="s">
        <v>1648</v>
      </c>
      <c r="AB150" s="166">
        <v>1.5E-3</v>
      </c>
      <c r="AC150" s="166"/>
      <c r="AD150" s="166"/>
      <c r="AE150" s="166"/>
      <c r="AF150" s="166"/>
      <c r="AG150" s="166"/>
      <c r="AH150" s="166"/>
      <c r="AK150" s="1"/>
      <c r="AL150" s="1"/>
      <c r="AM150" s="1"/>
    </row>
    <row r="151" spans="1:39" ht="20.100000000000001" customHeight="1" x14ac:dyDescent="0.2">
      <c r="D151" s="166" t="s">
        <v>1705</v>
      </c>
      <c r="E151" s="166" t="s">
        <v>1717</v>
      </c>
      <c r="F151" s="166" t="s">
        <v>370</v>
      </c>
      <c r="G151" s="166">
        <v>1</v>
      </c>
      <c r="H151" s="166"/>
      <c r="I151" s="166"/>
      <c r="J151" s="166"/>
      <c r="K151" s="166">
        <v>7.5</v>
      </c>
      <c r="L151" s="166"/>
      <c r="M151" s="166">
        <v>29.9</v>
      </c>
      <c r="N151" s="166">
        <v>4</v>
      </c>
      <c r="O151" s="166" t="s">
        <v>337</v>
      </c>
      <c r="P151" s="166">
        <v>0.29899999999999999</v>
      </c>
      <c r="Q151" s="166" t="s">
        <v>1597</v>
      </c>
      <c r="R151" s="166">
        <v>5.1999999999999998E-2</v>
      </c>
      <c r="S151" s="166" t="s">
        <v>338</v>
      </c>
      <c r="T151" s="166">
        <v>0.04</v>
      </c>
      <c r="U151" s="166" t="s">
        <v>1647</v>
      </c>
      <c r="V151" s="166">
        <v>2.7E-2</v>
      </c>
      <c r="W151" s="166" t="s">
        <v>1595</v>
      </c>
      <c r="X151" s="166">
        <v>2.3E-2</v>
      </c>
      <c r="Y151" s="166"/>
      <c r="Z151" s="166"/>
      <c r="AA151" s="166"/>
      <c r="AB151" s="166"/>
      <c r="AC151" s="166"/>
      <c r="AD151" s="166"/>
      <c r="AE151" s="166"/>
      <c r="AF151" s="166"/>
      <c r="AG151" s="166"/>
      <c r="AH151" s="166"/>
      <c r="AK151" s="1"/>
      <c r="AL151" s="1"/>
      <c r="AM151" s="1"/>
    </row>
    <row r="152" spans="1:39" ht="20.100000000000001" customHeight="1" x14ac:dyDescent="0.2">
      <c r="D152" s="166" t="s">
        <v>1635</v>
      </c>
      <c r="E152" s="166" t="s">
        <v>1718</v>
      </c>
      <c r="F152" s="166" t="s">
        <v>370</v>
      </c>
      <c r="G152" s="166">
        <v>1</v>
      </c>
      <c r="H152" s="166"/>
      <c r="I152" s="166"/>
      <c r="J152" s="166"/>
      <c r="K152" s="166">
        <v>10</v>
      </c>
      <c r="L152" s="166">
        <v>21.9</v>
      </c>
      <c r="M152" s="166"/>
      <c r="N152" s="166"/>
      <c r="O152" s="166" t="s">
        <v>1586</v>
      </c>
      <c r="P152" s="166">
        <v>1</v>
      </c>
      <c r="Q152" s="166"/>
      <c r="R152" s="166"/>
      <c r="S152" s="166"/>
      <c r="T152" s="166"/>
      <c r="U152" s="166"/>
      <c r="V152" s="166"/>
      <c r="W152" s="166"/>
      <c r="X152" s="166"/>
      <c r="Y152" s="166"/>
      <c r="Z152" s="166"/>
      <c r="AA152" s="166"/>
      <c r="AB152" s="166"/>
      <c r="AC152" s="166"/>
      <c r="AD152" s="166"/>
      <c r="AE152" s="166"/>
      <c r="AF152" s="166"/>
      <c r="AG152" s="166"/>
      <c r="AH152" s="166"/>
      <c r="AK152" s="1"/>
      <c r="AL152" s="1"/>
      <c r="AM152" s="1"/>
    </row>
    <row r="153" spans="1:39" ht="20.100000000000001" customHeight="1" x14ac:dyDescent="0.2">
      <c r="D153" s="166" t="s">
        <v>1635</v>
      </c>
      <c r="E153" s="166" t="s">
        <v>1719</v>
      </c>
      <c r="F153" s="166" t="s">
        <v>370</v>
      </c>
      <c r="G153" s="166">
        <v>1</v>
      </c>
      <c r="H153" s="166"/>
      <c r="I153" s="166"/>
      <c r="J153" s="166"/>
      <c r="K153" s="166">
        <v>21</v>
      </c>
      <c r="L153" s="166"/>
      <c r="M153" s="166"/>
      <c r="N153" s="166">
        <v>24</v>
      </c>
      <c r="O153" s="166" t="s">
        <v>1590</v>
      </c>
      <c r="P153" s="166">
        <v>1</v>
      </c>
      <c r="Q153" s="166"/>
      <c r="R153" s="166"/>
      <c r="S153" s="166"/>
      <c r="T153" s="166"/>
      <c r="U153" s="166"/>
      <c r="V153" s="166"/>
      <c r="W153" s="166"/>
      <c r="X153" s="166"/>
      <c r="Y153" s="166"/>
      <c r="Z153" s="166"/>
      <c r="AA153" s="166"/>
      <c r="AB153" s="166"/>
      <c r="AC153" s="166"/>
      <c r="AD153" s="166"/>
      <c r="AE153" s="166"/>
      <c r="AF153" s="166"/>
      <c r="AG153" s="166"/>
      <c r="AH153" s="166"/>
      <c r="AK153" s="1"/>
      <c r="AL153" s="1"/>
      <c r="AM153" s="1"/>
    </row>
    <row r="154" spans="1:39" ht="20.100000000000001" customHeight="1" x14ac:dyDescent="0.2">
      <c r="D154" s="166" t="s">
        <v>1635</v>
      </c>
      <c r="E154" s="166" t="s">
        <v>1720</v>
      </c>
      <c r="F154" s="166" t="s">
        <v>370</v>
      </c>
      <c r="G154" s="166">
        <v>1</v>
      </c>
      <c r="H154" s="166"/>
      <c r="I154" s="166"/>
      <c r="J154" s="166"/>
      <c r="K154" s="166">
        <v>12</v>
      </c>
      <c r="L154" s="166">
        <v>5</v>
      </c>
      <c r="M154" s="166">
        <v>14</v>
      </c>
      <c r="N154" s="166">
        <v>9.6999999999999993</v>
      </c>
      <c r="O154" s="166" t="s">
        <v>337</v>
      </c>
      <c r="P154" s="166">
        <v>0.14000000000000001</v>
      </c>
      <c r="Q154" s="166" t="s">
        <v>338</v>
      </c>
      <c r="R154" s="166">
        <v>9.7000000000000003E-2</v>
      </c>
      <c r="S154" s="166" t="s">
        <v>1597</v>
      </c>
      <c r="T154" s="166">
        <v>0.06</v>
      </c>
      <c r="U154" s="166" t="s">
        <v>1595</v>
      </c>
      <c r="V154" s="166">
        <v>0.06</v>
      </c>
      <c r="W154" s="166" t="s">
        <v>1602</v>
      </c>
      <c r="X154" s="166">
        <v>0.05</v>
      </c>
      <c r="Y154" s="166" t="s">
        <v>1640</v>
      </c>
      <c r="Z154" s="166">
        <v>3.1E-2</v>
      </c>
      <c r="AA154" s="166" t="s">
        <v>1647</v>
      </c>
      <c r="AB154" s="166">
        <v>1.2E-2</v>
      </c>
      <c r="AC154" s="166" t="s">
        <v>1648</v>
      </c>
      <c r="AD154" s="166">
        <v>1E-3</v>
      </c>
      <c r="AE154" s="166" t="s">
        <v>1652</v>
      </c>
      <c r="AF154" s="166">
        <v>2.0000000000000001E-4</v>
      </c>
      <c r="AG154" s="166"/>
      <c r="AH154" s="166"/>
      <c r="AK154" s="1"/>
    </row>
    <row r="155" spans="1:39" ht="20.100000000000001" customHeight="1" x14ac:dyDescent="0.2">
      <c r="D155" s="166" t="s">
        <v>1635</v>
      </c>
      <c r="E155" s="166" t="s">
        <v>1721</v>
      </c>
      <c r="F155" s="166" t="s">
        <v>370</v>
      </c>
      <c r="G155" s="166">
        <v>1</v>
      </c>
      <c r="H155" s="166"/>
      <c r="I155" s="166"/>
      <c r="J155" s="166"/>
      <c r="K155" s="166">
        <v>10</v>
      </c>
      <c r="L155" s="166">
        <v>11</v>
      </c>
      <c r="M155" s="166">
        <v>10</v>
      </c>
      <c r="N155" s="166">
        <v>6</v>
      </c>
      <c r="O155" s="166" t="s">
        <v>1602</v>
      </c>
      <c r="P155" s="166">
        <v>0.11</v>
      </c>
      <c r="Q155" s="166" t="s">
        <v>337</v>
      </c>
      <c r="R155" s="166">
        <v>0.1</v>
      </c>
      <c r="S155" s="166" t="s">
        <v>338</v>
      </c>
      <c r="T155" s="166">
        <v>0.06</v>
      </c>
      <c r="U155" s="166" t="s">
        <v>1597</v>
      </c>
      <c r="V155" s="166">
        <v>0.05</v>
      </c>
      <c r="W155" s="166" t="s">
        <v>1595</v>
      </c>
      <c r="X155" s="166">
        <v>0.05</v>
      </c>
      <c r="Y155" s="166" t="s">
        <v>1640</v>
      </c>
      <c r="Z155" s="166">
        <v>4.2999999999999997E-2</v>
      </c>
      <c r="AA155" s="166" t="s">
        <v>1647</v>
      </c>
      <c r="AB155" s="166">
        <v>1.2E-2</v>
      </c>
      <c r="AC155" s="166" t="s">
        <v>1648</v>
      </c>
      <c r="AD155" s="166">
        <v>3.5999999999999999E-3</v>
      </c>
      <c r="AE155" s="166" t="s">
        <v>1652</v>
      </c>
      <c r="AF155" s="166">
        <v>1E-3</v>
      </c>
      <c r="AG155" s="166"/>
      <c r="AH155" s="166"/>
      <c r="AK155" s="1"/>
    </row>
    <row r="156" spans="1:39" ht="20.100000000000001" customHeight="1" x14ac:dyDescent="0.2">
      <c r="D156" s="166" t="s">
        <v>1635</v>
      </c>
      <c r="E156" s="166" t="s">
        <v>1722</v>
      </c>
      <c r="F156" s="166" t="s">
        <v>370</v>
      </c>
      <c r="G156" s="166">
        <v>1</v>
      </c>
      <c r="H156" s="166"/>
      <c r="I156" s="166"/>
      <c r="J156" s="166"/>
      <c r="K156" s="166">
        <v>11</v>
      </c>
      <c r="L156" s="166">
        <v>2.6</v>
      </c>
      <c r="M156" s="166">
        <v>20.8</v>
      </c>
      <c r="N156" s="166">
        <v>4</v>
      </c>
      <c r="O156" s="166" t="s">
        <v>1597</v>
      </c>
      <c r="P156" s="166">
        <v>5.5E-2</v>
      </c>
      <c r="Q156" s="166" t="s">
        <v>1595</v>
      </c>
      <c r="R156" s="166">
        <v>5.5E-2</v>
      </c>
      <c r="S156" s="166" t="s">
        <v>1602</v>
      </c>
      <c r="T156" s="166">
        <v>2.5999999999999999E-2</v>
      </c>
      <c r="U156" s="166" t="s">
        <v>337</v>
      </c>
      <c r="V156" s="166">
        <v>0.20799999999999999</v>
      </c>
      <c r="W156" s="166" t="s">
        <v>338</v>
      </c>
      <c r="X156" s="166">
        <v>0.04</v>
      </c>
      <c r="Y156" s="166" t="s">
        <v>1647</v>
      </c>
      <c r="Z156" s="166">
        <v>2.4E-2</v>
      </c>
      <c r="AA156" s="166"/>
      <c r="AB156" s="166"/>
      <c r="AC156" s="166"/>
      <c r="AD156" s="166"/>
      <c r="AE156" s="166"/>
      <c r="AF156" s="166"/>
      <c r="AG156" s="166"/>
      <c r="AH156" s="166"/>
      <c r="AK156" s="1"/>
    </row>
    <row r="157" spans="1:39" ht="20.100000000000001" customHeight="1" x14ac:dyDescent="0.2">
      <c r="D157" s="166" t="s">
        <v>1635</v>
      </c>
      <c r="E157" s="166" t="s">
        <v>1723</v>
      </c>
      <c r="F157" s="166" t="s">
        <v>370</v>
      </c>
      <c r="G157" s="166">
        <v>1</v>
      </c>
      <c r="H157" s="166"/>
      <c r="I157" s="166"/>
      <c r="J157" s="166"/>
      <c r="K157" s="166">
        <v>12</v>
      </c>
      <c r="L157" s="166">
        <v>5.2</v>
      </c>
      <c r="M157" s="166">
        <v>14.1</v>
      </c>
      <c r="N157" s="166">
        <v>9.6</v>
      </c>
      <c r="O157" s="166" t="s">
        <v>337</v>
      </c>
      <c r="P157" s="166">
        <v>0.14099999999999999</v>
      </c>
      <c r="Q157" s="166" t="s">
        <v>338</v>
      </c>
      <c r="R157" s="166">
        <v>9.6000000000000002E-2</v>
      </c>
      <c r="S157" s="166" t="s">
        <v>1597</v>
      </c>
      <c r="T157" s="166">
        <v>0.06</v>
      </c>
      <c r="U157" s="166" t="s">
        <v>1595</v>
      </c>
      <c r="V157" s="166">
        <v>0.06</v>
      </c>
      <c r="W157" s="166" t="s">
        <v>1602</v>
      </c>
      <c r="X157" s="166">
        <v>5.1999999999999998E-2</v>
      </c>
      <c r="Y157" s="166" t="s">
        <v>1647</v>
      </c>
      <c r="Z157" s="166">
        <v>1.2E-2</v>
      </c>
      <c r="AA157" s="166" t="s">
        <v>1648</v>
      </c>
      <c r="AB157" s="166">
        <v>8.0000000000000004E-4</v>
      </c>
      <c r="AC157" s="166" t="s">
        <v>1650</v>
      </c>
      <c r="AD157" s="166">
        <v>6.9999999999999999E-4</v>
      </c>
      <c r="AE157" s="166" t="s">
        <v>1649</v>
      </c>
      <c r="AF157" s="166">
        <v>5.9999999999999995E-4</v>
      </c>
      <c r="AG157" s="166" t="s">
        <v>1652</v>
      </c>
      <c r="AH157" s="166">
        <v>2.0000000000000001E-4</v>
      </c>
      <c r="AK157" s="1"/>
    </row>
    <row r="158" spans="1:39" ht="20.100000000000001" customHeight="1" x14ac:dyDescent="0.2">
      <c r="D158" s="166" t="s">
        <v>1635</v>
      </c>
      <c r="E158" s="166" t="s">
        <v>1724</v>
      </c>
      <c r="F158" s="166" t="s">
        <v>370</v>
      </c>
      <c r="G158" s="166">
        <v>1</v>
      </c>
      <c r="H158" s="166"/>
      <c r="I158" s="166"/>
      <c r="J158" s="166"/>
      <c r="K158" s="166">
        <v>25</v>
      </c>
      <c r="L158" s="166"/>
      <c r="M158" s="166"/>
      <c r="N158" s="166">
        <v>12.8</v>
      </c>
      <c r="O158" s="166" t="s">
        <v>1590</v>
      </c>
      <c r="P158" s="166">
        <v>0.53333299999999995</v>
      </c>
      <c r="Q158" s="166" t="s">
        <v>1592</v>
      </c>
      <c r="R158" s="166">
        <v>0.40949600000000003</v>
      </c>
      <c r="S158" s="166" t="s">
        <v>1648</v>
      </c>
      <c r="T158" s="166">
        <v>1E-3</v>
      </c>
      <c r="U158" s="166" t="s">
        <v>1649</v>
      </c>
      <c r="V158" s="166">
        <v>1E-3</v>
      </c>
      <c r="W158" s="166" t="s">
        <v>1652</v>
      </c>
      <c r="X158" s="166">
        <v>1E-4</v>
      </c>
      <c r="Y158" s="166" t="s">
        <v>1695</v>
      </c>
      <c r="Z158" s="245">
        <v>1.0000000000000001E-5</v>
      </c>
      <c r="AA158" s="166"/>
      <c r="AB158" s="166"/>
      <c r="AC158" s="166"/>
      <c r="AD158" s="166"/>
      <c r="AE158" s="166"/>
      <c r="AF158" s="166"/>
      <c r="AG158" s="166"/>
      <c r="AH158" s="166"/>
      <c r="AK158" s="1"/>
    </row>
    <row r="159" spans="1:39" ht="20.100000000000001" customHeight="1" x14ac:dyDescent="0.2">
      <c r="D159" s="166" t="s">
        <v>1725</v>
      </c>
      <c r="E159" s="166" t="s">
        <v>1726</v>
      </c>
      <c r="F159" s="166" t="s">
        <v>370</v>
      </c>
      <c r="G159" s="166">
        <v>1</v>
      </c>
      <c r="H159" s="166"/>
      <c r="I159" s="166"/>
      <c r="J159" s="166"/>
      <c r="K159" s="166"/>
      <c r="L159" s="166">
        <v>8.8000000000000007</v>
      </c>
      <c r="M159" s="166"/>
      <c r="N159" s="166">
        <v>11</v>
      </c>
      <c r="O159" s="166" t="s">
        <v>1610</v>
      </c>
      <c r="P159" s="166">
        <v>1</v>
      </c>
      <c r="Q159" s="166"/>
      <c r="R159" s="166"/>
      <c r="S159" s="166"/>
      <c r="T159" s="166"/>
      <c r="U159" s="166"/>
      <c r="V159" s="166"/>
      <c r="W159" s="166"/>
      <c r="X159" s="166"/>
      <c r="Y159" s="166"/>
      <c r="Z159" s="166"/>
      <c r="AA159" s="166"/>
      <c r="AB159" s="166"/>
      <c r="AC159" s="166"/>
      <c r="AD159" s="166"/>
      <c r="AE159" s="166"/>
      <c r="AF159" s="166"/>
      <c r="AG159" s="166"/>
      <c r="AH159" s="166"/>
      <c r="AK159" s="1"/>
    </row>
    <row r="160" spans="1:39" ht="20.100000000000001" customHeight="1" x14ac:dyDescent="0.2">
      <c r="D160" s="166" t="s">
        <v>1664</v>
      </c>
      <c r="E160" s="166" t="s">
        <v>1727</v>
      </c>
      <c r="F160" s="166" t="s">
        <v>370</v>
      </c>
      <c r="G160" s="166">
        <v>1</v>
      </c>
      <c r="H160" s="166"/>
      <c r="I160" s="166"/>
      <c r="J160" s="166"/>
      <c r="K160" s="166">
        <v>10</v>
      </c>
      <c r="L160" s="166">
        <v>21.9</v>
      </c>
      <c r="M160" s="166">
        <v>0</v>
      </c>
      <c r="N160" s="166">
        <v>2</v>
      </c>
      <c r="O160" s="166" t="s">
        <v>1586</v>
      </c>
      <c r="P160" s="166">
        <v>1</v>
      </c>
      <c r="Q160" s="166" t="s">
        <v>1648</v>
      </c>
      <c r="R160" s="166">
        <v>0.01</v>
      </c>
      <c r="S160" s="166"/>
      <c r="T160" s="166"/>
      <c r="U160" s="166"/>
      <c r="V160" s="166"/>
      <c r="W160" s="166"/>
      <c r="X160" s="166"/>
      <c r="Y160" s="166"/>
      <c r="Z160" s="166"/>
      <c r="AA160" s="166"/>
      <c r="AB160" s="166"/>
      <c r="AC160" s="166"/>
      <c r="AD160" s="166"/>
      <c r="AE160" s="166"/>
      <c r="AF160" s="166"/>
      <c r="AG160" s="166"/>
      <c r="AH160" s="166"/>
      <c r="AK160" s="1"/>
    </row>
    <row r="161" spans="4:37" ht="20.100000000000001" customHeight="1" x14ac:dyDescent="0.2">
      <c r="D161" s="166" t="s">
        <v>1728</v>
      </c>
      <c r="E161" s="166" t="s">
        <v>1729</v>
      </c>
      <c r="F161" s="166" t="s">
        <v>370</v>
      </c>
      <c r="G161" s="166">
        <v>1</v>
      </c>
      <c r="H161" s="166"/>
      <c r="I161" s="166"/>
      <c r="J161" s="166"/>
      <c r="K161" s="166">
        <v>21</v>
      </c>
      <c r="L161" s="166">
        <v>0.86</v>
      </c>
      <c r="M161" s="166">
        <v>5.8</v>
      </c>
      <c r="N161" s="166">
        <v>4.2</v>
      </c>
      <c r="O161" s="166" t="s">
        <v>1600</v>
      </c>
      <c r="P161" s="166">
        <v>0.21</v>
      </c>
      <c r="Q161" s="166" t="s">
        <v>337</v>
      </c>
      <c r="R161" s="166">
        <v>5.8000000000000003E-2</v>
      </c>
      <c r="S161" s="166" t="s">
        <v>338</v>
      </c>
      <c r="T161" s="166">
        <v>4.2000000000000003E-2</v>
      </c>
      <c r="U161" s="166" t="s">
        <v>1602</v>
      </c>
      <c r="V161" s="166">
        <v>8.6E-3</v>
      </c>
      <c r="W161" s="166"/>
      <c r="X161" s="166"/>
      <c r="Y161" s="166"/>
      <c r="Z161" s="166"/>
      <c r="AA161" s="166"/>
      <c r="AB161" s="166"/>
      <c r="AC161" s="166"/>
      <c r="AD161" s="166"/>
      <c r="AE161" s="166"/>
      <c r="AF161" s="166"/>
      <c r="AG161" s="166"/>
      <c r="AH161" s="166"/>
      <c r="AK161" s="1"/>
    </row>
    <row r="162" spans="4:37" ht="20.100000000000001" customHeight="1" x14ac:dyDescent="0.2">
      <c r="D162" s="166" t="s">
        <v>1666</v>
      </c>
      <c r="E162" s="166" t="s">
        <v>1730</v>
      </c>
      <c r="F162" s="166" t="s">
        <v>370</v>
      </c>
      <c r="G162" s="166">
        <v>1</v>
      </c>
      <c r="H162" s="166"/>
      <c r="I162" s="166"/>
      <c r="J162" s="166"/>
      <c r="K162" s="166"/>
      <c r="L162" s="166">
        <v>8.8000000000000007</v>
      </c>
      <c r="M162" s="166"/>
      <c r="N162" s="166">
        <v>11</v>
      </c>
      <c r="O162" s="166" t="s">
        <v>1610</v>
      </c>
      <c r="P162" s="166">
        <v>1</v>
      </c>
      <c r="Q162" s="166"/>
      <c r="R162" s="166"/>
      <c r="S162" s="166"/>
      <c r="T162" s="166"/>
      <c r="U162" s="166"/>
      <c r="V162" s="166"/>
      <c r="W162" s="166"/>
      <c r="X162" s="166"/>
      <c r="Y162" s="166"/>
      <c r="Z162" s="166"/>
      <c r="AA162" s="166"/>
      <c r="AB162" s="166"/>
      <c r="AC162" s="166"/>
      <c r="AD162" s="166"/>
      <c r="AE162" s="166"/>
      <c r="AF162" s="166"/>
      <c r="AG162" s="166"/>
      <c r="AH162" s="166"/>
      <c r="AK162" s="1"/>
    </row>
    <row r="163" spans="4:37" ht="20.100000000000001" customHeight="1" x14ac:dyDescent="0.2">
      <c r="D163" s="166" t="s">
        <v>1731</v>
      </c>
      <c r="E163" s="166" t="s">
        <v>1732</v>
      </c>
      <c r="F163" s="166" t="s">
        <v>370</v>
      </c>
      <c r="G163" s="166">
        <v>1</v>
      </c>
      <c r="H163" s="166"/>
      <c r="I163" s="166"/>
      <c r="J163" s="166"/>
      <c r="K163" s="166">
        <v>82.35</v>
      </c>
      <c r="L163" s="166"/>
      <c r="M163" s="166"/>
      <c r="N163" s="166"/>
      <c r="O163" s="166" t="s">
        <v>341</v>
      </c>
      <c r="P163" s="166">
        <v>1</v>
      </c>
      <c r="Q163" s="166"/>
      <c r="R163" s="166"/>
      <c r="S163" s="166"/>
      <c r="T163" s="166"/>
      <c r="U163" s="166"/>
      <c r="V163" s="166"/>
      <c r="W163" s="166"/>
      <c r="X163" s="166"/>
      <c r="Y163" s="166"/>
      <c r="Z163" s="166"/>
      <c r="AA163" s="166"/>
      <c r="AB163" s="166"/>
      <c r="AC163" s="166"/>
      <c r="AD163" s="166"/>
      <c r="AE163" s="166"/>
      <c r="AF163" s="166"/>
      <c r="AG163" s="166"/>
      <c r="AH163" s="166"/>
      <c r="AK163" s="1"/>
    </row>
    <row r="164" spans="4:37" ht="20.100000000000001" customHeight="1" x14ac:dyDescent="0.2">
      <c r="D164" s="166" t="s">
        <v>1666</v>
      </c>
      <c r="E164" s="166" t="s">
        <v>1733</v>
      </c>
      <c r="F164" s="166" t="s">
        <v>370</v>
      </c>
      <c r="G164" s="166">
        <v>1</v>
      </c>
      <c r="H164" s="166" t="s">
        <v>1685</v>
      </c>
      <c r="I164" s="166"/>
      <c r="J164" s="166"/>
      <c r="K164" s="166">
        <v>46</v>
      </c>
      <c r="L164" s="166"/>
      <c r="M164" s="166"/>
      <c r="N164" s="166"/>
      <c r="O164" s="166" t="s">
        <v>325</v>
      </c>
      <c r="P164" s="166">
        <v>1</v>
      </c>
      <c r="Q164" s="166"/>
      <c r="R164" s="166"/>
      <c r="S164" s="166"/>
      <c r="T164" s="166"/>
      <c r="U164" s="166"/>
      <c r="V164" s="166"/>
      <c r="W164" s="166"/>
      <c r="X164" s="166"/>
      <c r="Y164" s="166"/>
      <c r="Z164" s="166"/>
      <c r="AA164" s="166"/>
      <c r="AB164" s="166"/>
      <c r="AC164" s="166"/>
      <c r="AD164" s="166"/>
      <c r="AE164" s="166"/>
      <c r="AF164" s="166"/>
      <c r="AG164" s="166"/>
      <c r="AH164" s="166"/>
      <c r="AK164" s="1"/>
    </row>
    <row r="165" spans="4:37" ht="20.100000000000001" customHeight="1" x14ac:dyDescent="0.2">
      <c r="D165" s="166" t="s">
        <v>1734</v>
      </c>
      <c r="E165" s="166" t="s">
        <v>1735</v>
      </c>
      <c r="F165" s="166" t="s">
        <v>370</v>
      </c>
      <c r="G165" s="166">
        <v>1</v>
      </c>
      <c r="H165" s="166" t="s">
        <v>1685</v>
      </c>
      <c r="I165" s="166"/>
      <c r="J165" s="166"/>
      <c r="K165" s="166">
        <v>45.54</v>
      </c>
      <c r="L165" s="166"/>
      <c r="M165" s="166"/>
      <c r="N165" s="166"/>
      <c r="O165" s="166" t="s">
        <v>325</v>
      </c>
      <c r="P165" s="166">
        <v>0.99</v>
      </c>
      <c r="Q165" s="166" t="s">
        <v>1736</v>
      </c>
      <c r="R165" s="166">
        <v>0.01</v>
      </c>
      <c r="S165" s="166"/>
      <c r="T165" s="166"/>
      <c r="U165" s="166"/>
      <c r="V165" s="166"/>
      <c r="W165" s="166"/>
      <c r="X165" s="166"/>
      <c r="Y165" s="166"/>
      <c r="Z165" s="166"/>
      <c r="AA165" s="166"/>
      <c r="AB165" s="166"/>
      <c r="AC165" s="166"/>
      <c r="AD165" s="166"/>
      <c r="AE165" s="166"/>
      <c r="AF165" s="166"/>
      <c r="AG165" s="166"/>
      <c r="AH165" s="166"/>
      <c r="AK165" s="1"/>
    </row>
    <row r="166" spans="4:37" ht="20.100000000000001" customHeight="1" x14ac:dyDescent="0.2">
      <c r="D166" s="166" t="s">
        <v>1737</v>
      </c>
      <c r="E166" s="166" t="s">
        <v>1738</v>
      </c>
      <c r="F166" s="166" t="s">
        <v>370</v>
      </c>
      <c r="G166" s="166">
        <v>1</v>
      </c>
      <c r="H166" s="166"/>
      <c r="I166" s="166"/>
      <c r="J166" s="166"/>
      <c r="K166" s="166"/>
      <c r="L166" s="166"/>
      <c r="M166" s="166">
        <v>50</v>
      </c>
      <c r="N166" s="166"/>
      <c r="O166" s="166" t="s">
        <v>1608</v>
      </c>
      <c r="P166" s="166">
        <v>1</v>
      </c>
      <c r="Q166" s="166"/>
      <c r="R166" s="166"/>
      <c r="S166" s="166"/>
      <c r="T166" s="166"/>
      <c r="U166" s="166"/>
      <c r="V166" s="166"/>
      <c r="W166" s="166"/>
      <c r="X166" s="166"/>
      <c r="Y166" s="166"/>
      <c r="Z166" s="166"/>
      <c r="AA166" s="166"/>
      <c r="AB166" s="166"/>
      <c r="AC166" s="166"/>
      <c r="AD166" s="166"/>
      <c r="AE166" s="166"/>
      <c r="AF166" s="166"/>
      <c r="AG166" s="166"/>
      <c r="AH166" s="166"/>
      <c r="AK166" s="1"/>
    </row>
    <row r="167" spans="4:37" ht="20.100000000000001" customHeight="1" x14ac:dyDescent="0.2">
      <c r="D167" s="166" t="s">
        <v>1739</v>
      </c>
      <c r="E167" s="166" t="s">
        <v>1740</v>
      </c>
      <c r="F167" s="166" t="s">
        <v>370</v>
      </c>
      <c r="G167" s="166">
        <v>1</v>
      </c>
      <c r="H167" s="166"/>
      <c r="I167" s="166"/>
      <c r="J167" s="166"/>
      <c r="K167" s="166">
        <v>10</v>
      </c>
      <c r="L167" s="166">
        <v>21.9</v>
      </c>
      <c r="M167" s="166"/>
      <c r="N167" s="166"/>
      <c r="O167" s="166" t="s">
        <v>1586</v>
      </c>
      <c r="P167" s="166">
        <v>1</v>
      </c>
      <c r="Q167" s="166"/>
      <c r="R167" s="166"/>
      <c r="S167" s="166"/>
      <c r="T167" s="166"/>
      <c r="U167" s="166"/>
      <c r="V167" s="166"/>
      <c r="W167" s="166"/>
      <c r="X167" s="166"/>
      <c r="Y167" s="166"/>
      <c r="Z167" s="166"/>
      <c r="AA167" s="166"/>
      <c r="AB167" s="166"/>
      <c r="AC167" s="166"/>
      <c r="AD167" s="166"/>
      <c r="AE167" s="166"/>
      <c r="AF167" s="166"/>
      <c r="AG167" s="166"/>
      <c r="AH167" s="166"/>
      <c r="AK167" s="1"/>
    </row>
    <row r="168" spans="4:37" ht="20.100000000000001" customHeight="1" x14ac:dyDescent="0.2">
      <c r="D168" s="166" t="s">
        <v>1635</v>
      </c>
      <c r="E168" s="166" t="s">
        <v>1741</v>
      </c>
      <c r="F168" s="166" t="s">
        <v>370</v>
      </c>
      <c r="G168" s="166">
        <v>1</v>
      </c>
      <c r="H168" s="166"/>
      <c r="I168" s="166"/>
      <c r="J168" s="166"/>
      <c r="K168" s="166">
        <v>26</v>
      </c>
      <c r="L168" s="166"/>
      <c r="M168" s="166"/>
      <c r="N168" s="166">
        <v>13</v>
      </c>
      <c r="O168" s="166" t="s">
        <v>1590</v>
      </c>
      <c r="P168" s="166">
        <v>0.54166700000000001</v>
      </c>
      <c r="Q168" s="166" t="s">
        <v>1592</v>
      </c>
      <c r="R168" s="166">
        <v>0.43397599999999997</v>
      </c>
      <c r="S168" s="166"/>
      <c r="T168" s="166"/>
      <c r="U168" s="166"/>
      <c r="V168" s="166"/>
      <c r="W168" s="166"/>
      <c r="X168" s="166"/>
      <c r="Y168" s="166"/>
      <c r="Z168" s="166"/>
      <c r="AA168" s="166"/>
      <c r="AB168" s="166"/>
      <c r="AC168" s="166"/>
      <c r="AD168" s="166"/>
      <c r="AE168" s="166"/>
      <c r="AF168" s="166"/>
      <c r="AG168" s="166"/>
      <c r="AH168" s="166"/>
      <c r="AK168" s="1"/>
    </row>
    <row r="169" spans="4:37" ht="20.100000000000001" customHeight="1" x14ac:dyDescent="0.2">
      <c r="D169" s="166" t="s">
        <v>1742</v>
      </c>
      <c r="E169" s="166" t="s">
        <v>1743</v>
      </c>
      <c r="F169" s="166" t="s">
        <v>621</v>
      </c>
      <c r="G169" s="166">
        <v>1.2350000000000001</v>
      </c>
      <c r="H169" s="166"/>
      <c r="I169" s="166"/>
      <c r="J169" s="166"/>
      <c r="K169" s="166">
        <v>26.6</v>
      </c>
      <c r="L169" s="166"/>
      <c r="M169" s="166"/>
      <c r="N169" s="166">
        <v>6.7</v>
      </c>
      <c r="O169" s="166" t="s">
        <v>325</v>
      </c>
      <c r="P169" s="166">
        <v>0.45081500000000002</v>
      </c>
      <c r="Q169" s="166" t="s">
        <v>1590</v>
      </c>
      <c r="R169" s="166">
        <v>0.279167</v>
      </c>
      <c r="S169" s="166"/>
      <c r="T169" s="166"/>
      <c r="U169" s="166"/>
      <c r="V169" s="166"/>
      <c r="W169" s="166"/>
      <c r="X169" s="166"/>
      <c r="Y169" s="166"/>
      <c r="Z169" s="166"/>
      <c r="AA169" s="166"/>
      <c r="AB169" s="166"/>
      <c r="AC169" s="166"/>
      <c r="AD169" s="166"/>
      <c r="AE169" s="166"/>
      <c r="AF169" s="166"/>
      <c r="AG169" s="166"/>
      <c r="AH169" s="166"/>
      <c r="AK169" s="1"/>
    </row>
    <row r="170" spans="4:37" ht="20.100000000000001" customHeight="1" x14ac:dyDescent="0.2">
      <c r="D170" s="166" t="s">
        <v>1742</v>
      </c>
      <c r="E170" s="166" t="s">
        <v>1744</v>
      </c>
      <c r="F170" s="166" t="s">
        <v>621</v>
      </c>
      <c r="G170" s="166">
        <v>1.28</v>
      </c>
      <c r="H170" s="166"/>
      <c r="I170" s="166"/>
      <c r="J170" s="166"/>
      <c r="K170" s="166">
        <v>0</v>
      </c>
      <c r="L170" s="166"/>
      <c r="M170" s="166"/>
      <c r="N170" s="166"/>
      <c r="O170" s="166" t="s">
        <v>325</v>
      </c>
      <c r="P170" s="166">
        <v>0.65217400000000003</v>
      </c>
      <c r="Q170" s="166"/>
      <c r="R170" s="166"/>
      <c r="S170" s="166"/>
      <c r="T170" s="166"/>
      <c r="U170" s="166"/>
      <c r="V170" s="166"/>
      <c r="W170" s="166"/>
      <c r="X170" s="166"/>
      <c r="Y170" s="166"/>
      <c r="Z170" s="166"/>
      <c r="AA170" s="166"/>
      <c r="AB170" s="166"/>
      <c r="AC170" s="166"/>
      <c r="AD170" s="166"/>
      <c r="AE170" s="166"/>
      <c r="AF170" s="166"/>
      <c r="AG170" s="166"/>
      <c r="AH170" s="166"/>
      <c r="AK170" s="1"/>
    </row>
    <row r="171" spans="4:37" ht="20.100000000000001" customHeight="1" x14ac:dyDescent="0.2">
      <c r="D171" s="166" t="s">
        <v>1745</v>
      </c>
      <c r="E171" s="166" t="s">
        <v>1746</v>
      </c>
      <c r="F171" s="166" t="s">
        <v>370</v>
      </c>
      <c r="G171" s="166">
        <v>1</v>
      </c>
      <c r="H171" s="166"/>
      <c r="I171" s="166"/>
      <c r="J171" s="166"/>
      <c r="K171" s="166">
        <v>36</v>
      </c>
      <c r="L171" s="166"/>
      <c r="M171" s="166"/>
      <c r="N171" s="166">
        <v>9.6</v>
      </c>
      <c r="O171" s="166" t="s">
        <v>1600</v>
      </c>
      <c r="P171" s="166">
        <v>0.36</v>
      </c>
      <c r="Q171" s="166" t="s">
        <v>338</v>
      </c>
      <c r="R171" s="166">
        <v>9.6000000000000002E-2</v>
      </c>
      <c r="S171" s="166"/>
      <c r="T171" s="166"/>
      <c r="U171" s="166"/>
      <c r="V171" s="166"/>
      <c r="W171" s="166"/>
      <c r="X171" s="166"/>
      <c r="Y171" s="166"/>
      <c r="Z171" s="166"/>
      <c r="AA171" s="166"/>
      <c r="AB171" s="166"/>
      <c r="AC171" s="166"/>
      <c r="AD171" s="166"/>
      <c r="AE171" s="166"/>
      <c r="AF171" s="166"/>
      <c r="AG171" s="166"/>
      <c r="AH171" s="166"/>
      <c r="AK171" s="1"/>
    </row>
    <row r="172" spans="4:37" ht="20.100000000000001" customHeight="1" x14ac:dyDescent="0.2">
      <c r="D172" s="166" t="s">
        <v>1660</v>
      </c>
      <c r="E172" s="166" t="s">
        <v>1747</v>
      </c>
      <c r="F172" s="166" t="s">
        <v>621</v>
      </c>
      <c r="G172" s="166">
        <v>1.3</v>
      </c>
      <c r="H172" s="166"/>
      <c r="I172" s="166"/>
      <c r="J172" s="166"/>
      <c r="K172" s="166">
        <v>20</v>
      </c>
      <c r="L172" s="166">
        <v>8.73</v>
      </c>
      <c r="M172" s="166">
        <v>16.600000000000001</v>
      </c>
      <c r="N172" s="166"/>
      <c r="O172" s="166" t="s">
        <v>1600</v>
      </c>
      <c r="P172" s="166">
        <v>0.2</v>
      </c>
      <c r="Q172" s="166" t="s">
        <v>1602</v>
      </c>
      <c r="R172" s="166">
        <v>8.7279999999999996E-2</v>
      </c>
      <c r="S172" s="166" t="s">
        <v>337</v>
      </c>
      <c r="T172" s="166">
        <v>0.16602</v>
      </c>
      <c r="U172" s="166"/>
      <c r="V172" s="166"/>
      <c r="W172" s="166"/>
      <c r="X172" s="166"/>
      <c r="Y172" s="166"/>
      <c r="Z172" s="166"/>
      <c r="AA172" s="166"/>
      <c r="AB172" s="166"/>
      <c r="AC172" s="166"/>
      <c r="AD172" s="166"/>
      <c r="AE172" s="166"/>
      <c r="AF172" s="166"/>
      <c r="AG172" s="166"/>
      <c r="AH172" s="166"/>
      <c r="AK172" s="1"/>
    </row>
    <row r="173" spans="4:37" ht="20.100000000000001" customHeight="1" x14ac:dyDescent="0.2">
      <c r="D173" s="166" t="s">
        <v>1748</v>
      </c>
      <c r="E173" s="166" t="s">
        <v>1749</v>
      </c>
      <c r="F173" s="166" t="s">
        <v>370</v>
      </c>
      <c r="G173" s="166">
        <v>1</v>
      </c>
      <c r="H173" s="166"/>
      <c r="I173" s="166"/>
      <c r="J173" s="166"/>
      <c r="K173" s="166">
        <v>15</v>
      </c>
      <c r="L173" s="166"/>
      <c r="M173" s="166">
        <v>9.9600000000000009</v>
      </c>
      <c r="N173" s="166"/>
      <c r="O173" s="166" t="s">
        <v>1597</v>
      </c>
      <c r="P173" s="166">
        <v>8.4737000000000007E-2</v>
      </c>
      <c r="Q173" s="166" t="s">
        <v>337</v>
      </c>
      <c r="R173" s="166">
        <v>9.9612000000000006E-2</v>
      </c>
      <c r="S173" s="166" t="s">
        <v>335</v>
      </c>
      <c r="T173" s="166">
        <v>0.42105300000000001</v>
      </c>
      <c r="U173" s="166" t="s">
        <v>1647</v>
      </c>
      <c r="V173" s="166">
        <v>5.0000000000000001E-3</v>
      </c>
      <c r="W173" s="166" t="s">
        <v>1652</v>
      </c>
      <c r="X173" s="166">
        <v>2.0000000000000001E-4</v>
      </c>
      <c r="Y173" s="166"/>
      <c r="Z173" s="166"/>
      <c r="AA173" s="166"/>
      <c r="AB173" s="166"/>
      <c r="AC173" s="166"/>
      <c r="AD173" s="166"/>
      <c r="AE173" s="166"/>
      <c r="AF173" s="166"/>
      <c r="AG173" s="166"/>
      <c r="AH173" s="166"/>
      <c r="AK173" s="1"/>
    </row>
    <row r="174" spans="4:37" ht="20.100000000000001" customHeight="1" x14ac:dyDescent="0.2">
      <c r="D174" s="166" t="s">
        <v>1666</v>
      </c>
      <c r="E174" s="166" t="s">
        <v>1750</v>
      </c>
      <c r="F174" s="166" t="s">
        <v>370</v>
      </c>
      <c r="G174" s="166">
        <v>1</v>
      </c>
      <c r="H174" s="166"/>
      <c r="I174" s="166"/>
      <c r="J174" s="166"/>
      <c r="K174" s="166">
        <v>15.1</v>
      </c>
      <c r="L174" s="166">
        <v>4.4000000000000004</v>
      </c>
      <c r="M174" s="166">
        <v>11.5</v>
      </c>
      <c r="N174" s="166">
        <v>13.6</v>
      </c>
      <c r="O174" s="166" t="s">
        <v>1600</v>
      </c>
      <c r="P174" s="166">
        <v>0.151</v>
      </c>
      <c r="Q174" s="166" t="s">
        <v>1602</v>
      </c>
      <c r="R174" s="166">
        <v>4.3999999999999997E-2</v>
      </c>
      <c r="S174" s="166" t="s">
        <v>337</v>
      </c>
      <c r="T174" s="166">
        <v>0.115</v>
      </c>
      <c r="U174" s="166" t="s">
        <v>338</v>
      </c>
      <c r="V174" s="166">
        <v>0.13600000000000001</v>
      </c>
      <c r="W174" s="166"/>
      <c r="X174" s="166"/>
      <c r="Y174" s="166"/>
      <c r="Z174" s="166"/>
      <c r="AA174" s="166"/>
      <c r="AB174" s="166"/>
      <c r="AC174" s="166"/>
      <c r="AD174" s="166"/>
      <c r="AE174" s="166"/>
      <c r="AF174" s="166"/>
      <c r="AG174" s="166"/>
      <c r="AH174" s="166"/>
      <c r="AK174" s="1"/>
    </row>
    <row r="175" spans="4:37" ht="20.100000000000001" customHeight="1" x14ac:dyDescent="0.2">
      <c r="D175" s="166" t="s">
        <v>1666</v>
      </c>
      <c r="E175" s="166" t="s">
        <v>1751</v>
      </c>
      <c r="F175" s="166" t="s">
        <v>370</v>
      </c>
      <c r="G175" s="166">
        <v>1</v>
      </c>
      <c r="H175" s="166"/>
      <c r="I175" s="166"/>
      <c r="J175" s="166"/>
      <c r="K175" s="166">
        <v>14.6</v>
      </c>
      <c r="L175" s="166">
        <v>12.1</v>
      </c>
      <c r="M175" s="166"/>
      <c r="N175" s="166">
        <v>11.6</v>
      </c>
      <c r="O175" s="166" t="s">
        <v>1600</v>
      </c>
      <c r="P175" s="166">
        <v>0.14599999999999999</v>
      </c>
      <c r="Q175" s="166" t="s">
        <v>1602</v>
      </c>
      <c r="R175" s="166">
        <v>0.121</v>
      </c>
      <c r="S175" s="166" t="s">
        <v>338</v>
      </c>
      <c r="T175" s="166">
        <v>0.11600000000000001</v>
      </c>
      <c r="U175" s="166"/>
      <c r="V175" s="166"/>
      <c r="W175" s="166"/>
      <c r="X175" s="166"/>
      <c r="Y175" s="166"/>
      <c r="Z175" s="166"/>
      <c r="AA175" s="166"/>
      <c r="AB175" s="166"/>
      <c r="AC175" s="166"/>
      <c r="AD175" s="166"/>
      <c r="AE175" s="166"/>
      <c r="AF175" s="166"/>
      <c r="AG175" s="166"/>
      <c r="AH175" s="166"/>
      <c r="AK175" s="1"/>
    </row>
    <row r="176" spans="4:37" ht="20.100000000000001" customHeight="1" x14ac:dyDescent="0.2">
      <c r="D176" s="166" t="s">
        <v>1666</v>
      </c>
      <c r="E176" s="166" t="s">
        <v>1752</v>
      </c>
      <c r="F176" s="166" t="s">
        <v>370</v>
      </c>
      <c r="G176" s="166">
        <v>1</v>
      </c>
      <c r="H176" s="166"/>
      <c r="I176" s="166"/>
      <c r="J176" s="166"/>
      <c r="K176" s="166">
        <v>19</v>
      </c>
      <c r="L176" s="166">
        <v>13</v>
      </c>
      <c r="M176" s="166">
        <v>0</v>
      </c>
      <c r="N176" s="166">
        <v>9</v>
      </c>
      <c r="O176" s="166" t="s">
        <v>1600</v>
      </c>
      <c r="P176" s="166">
        <v>0.19</v>
      </c>
      <c r="Q176" s="166" t="s">
        <v>1602</v>
      </c>
      <c r="R176" s="166">
        <v>0.13</v>
      </c>
      <c r="S176" s="166" t="s">
        <v>338</v>
      </c>
      <c r="T176" s="166">
        <v>0.09</v>
      </c>
      <c r="U176" s="166"/>
      <c r="V176" s="166"/>
      <c r="W176" s="166"/>
      <c r="X176" s="166"/>
      <c r="Y176" s="166"/>
      <c r="Z176" s="166"/>
      <c r="AA176" s="166"/>
      <c r="AB176" s="166"/>
      <c r="AC176" s="166"/>
      <c r="AD176" s="166"/>
      <c r="AE176" s="166"/>
      <c r="AF176" s="166"/>
      <c r="AG176" s="166"/>
      <c r="AH176" s="166"/>
      <c r="AK176" s="1"/>
    </row>
    <row r="177" spans="1:37" ht="20.100000000000001" customHeight="1" x14ac:dyDescent="0.2">
      <c r="D177" s="166" t="s">
        <v>1666</v>
      </c>
      <c r="E177" s="166" t="s">
        <v>1753</v>
      </c>
      <c r="F177" s="166" t="s">
        <v>370</v>
      </c>
      <c r="G177" s="166">
        <v>1</v>
      </c>
      <c r="H177" s="166"/>
      <c r="I177" s="166"/>
      <c r="J177" s="166"/>
      <c r="K177" s="166">
        <v>23.8</v>
      </c>
      <c r="L177" s="166">
        <v>3.7</v>
      </c>
      <c r="M177" s="166">
        <v>13</v>
      </c>
      <c r="N177" s="166">
        <v>4.0999999999999996</v>
      </c>
      <c r="O177" s="166" t="s">
        <v>1600</v>
      </c>
      <c r="P177" s="166">
        <v>0.23799999999999999</v>
      </c>
      <c r="Q177" s="166" t="s">
        <v>1602</v>
      </c>
      <c r="R177" s="166">
        <v>3.6999999999999998E-2</v>
      </c>
      <c r="S177" s="166" t="s">
        <v>337</v>
      </c>
      <c r="T177" s="166">
        <v>0.13</v>
      </c>
      <c r="U177" s="166" t="s">
        <v>338</v>
      </c>
      <c r="V177" s="166">
        <v>4.1000000000000002E-2</v>
      </c>
      <c r="W177" s="166"/>
      <c r="X177" s="166"/>
      <c r="Y177" s="166"/>
      <c r="Z177" s="166"/>
      <c r="AA177" s="166"/>
      <c r="AB177" s="166"/>
      <c r="AC177" s="166"/>
      <c r="AD177" s="166"/>
      <c r="AE177" s="166"/>
      <c r="AF177" s="166"/>
      <c r="AG177" s="166"/>
      <c r="AH177" s="166"/>
      <c r="AK177" s="1"/>
    </row>
    <row r="178" spans="1:37" ht="20.100000000000001" customHeight="1" x14ac:dyDescent="0.2">
      <c r="D178" s="166" t="s">
        <v>1666</v>
      </c>
      <c r="E178" s="166" t="s">
        <v>1754</v>
      </c>
      <c r="F178" s="166" t="s">
        <v>370</v>
      </c>
      <c r="G178" s="166">
        <v>1</v>
      </c>
      <c r="H178" s="166"/>
      <c r="I178" s="166"/>
      <c r="J178" s="166"/>
      <c r="K178" s="166">
        <v>32.799999999999997</v>
      </c>
      <c r="L178" s="166"/>
      <c r="M178" s="166">
        <v>11</v>
      </c>
      <c r="N178" s="166">
        <v>2.9</v>
      </c>
      <c r="O178" s="166" t="s">
        <v>325</v>
      </c>
      <c r="P178" s="166">
        <v>0.66086999999999996</v>
      </c>
      <c r="Q178" s="166" t="s">
        <v>1595</v>
      </c>
      <c r="R178" s="166">
        <v>2.4E-2</v>
      </c>
      <c r="S178" s="166" t="s">
        <v>337</v>
      </c>
      <c r="T178" s="166">
        <v>0.11</v>
      </c>
      <c r="U178" s="166" t="s">
        <v>338</v>
      </c>
      <c r="V178" s="166">
        <v>2.9000000000000001E-2</v>
      </c>
      <c r="W178" s="166"/>
      <c r="X178" s="166"/>
      <c r="Y178" s="166"/>
      <c r="Z178" s="166"/>
      <c r="AA178" s="166"/>
      <c r="AB178" s="166"/>
      <c r="AC178" s="166"/>
      <c r="AD178" s="166"/>
      <c r="AE178" s="166"/>
      <c r="AF178" s="166"/>
      <c r="AG178" s="166"/>
      <c r="AH178" s="166"/>
      <c r="AK178" s="1"/>
    </row>
    <row r="179" spans="1:37" ht="20.100000000000001" customHeight="1" x14ac:dyDescent="0.2">
      <c r="A179" s="81" t="str">
        <f>HYPERLINK("#A1", "▲ Back to top")</f>
        <v>▲ Back to top</v>
      </c>
      <c r="D179" s="166" t="s">
        <v>1666</v>
      </c>
      <c r="E179" s="166" t="s">
        <v>1755</v>
      </c>
      <c r="F179" s="166" t="s">
        <v>370</v>
      </c>
      <c r="G179" s="166">
        <v>1</v>
      </c>
      <c r="H179" s="166"/>
      <c r="I179" s="166"/>
      <c r="J179" s="166"/>
      <c r="K179" s="166">
        <v>11.7</v>
      </c>
      <c r="L179" s="166">
        <v>4.7</v>
      </c>
      <c r="M179" s="166">
        <v>23.9</v>
      </c>
      <c r="N179" s="166">
        <v>4.5999999999999996</v>
      </c>
      <c r="O179" s="166" t="s">
        <v>1600</v>
      </c>
      <c r="P179" s="166">
        <v>0.11700000000000001</v>
      </c>
      <c r="Q179" s="166" t="s">
        <v>1602</v>
      </c>
      <c r="R179" s="166">
        <v>4.7E-2</v>
      </c>
      <c r="S179" s="166" t="s">
        <v>337</v>
      </c>
      <c r="T179" s="166">
        <v>0.23899999999999999</v>
      </c>
      <c r="U179" s="166" t="s">
        <v>338</v>
      </c>
      <c r="V179" s="166">
        <v>4.5999999999999999E-2</v>
      </c>
      <c r="W179" s="166"/>
      <c r="X179" s="166"/>
      <c r="Y179" s="166"/>
      <c r="Z179" s="166"/>
      <c r="AA179" s="166"/>
      <c r="AB179" s="166"/>
      <c r="AC179" s="166"/>
      <c r="AD179" s="166"/>
      <c r="AE179" s="166"/>
      <c r="AF179" s="166"/>
      <c r="AG179" s="166"/>
      <c r="AH179" s="166"/>
      <c r="AK179" s="1"/>
    </row>
    <row r="180" spans="1:37" ht="20.100000000000001" customHeight="1" x14ac:dyDescent="0.2">
      <c r="D180" s="166" t="s">
        <v>1664</v>
      </c>
      <c r="E180" s="166" t="s">
        <v>1756</v>
      </c>
      <c r="F180" s="166" t="s">
        <v>370</v>
      </c>
      <c r="G180" s="166">
        <v>1</v>
      </c>
      <c r="H180" s="166"/>
      <c r="I180" s="166"/>
      <c r="J180" s="166"/>
      <c r="K180" s="166"/>
      <c r="L180" s="166">
        <v>4.4000000000000004</v>
      </c>
      <c r="M180" s="166">
        <v>25</v>
      </c>
      <c r="N180" s="166">
        <v>5.5</v>
      </c>
      <c r="O180" s="166" t="s">
        <v>1610</v>
      </c>
      <c r="P180" s="166">
        <v>0.5</v>
      </c>
      <c r="Q180" s="166" t="s">
        <v>1608</v>
      </c>
      <c r="R180" s="166">
        <v>0.5</v>
      </c>
      <c r="S180" s="166"/>
      <c r="T180" s="166"/>
      <c r="U180" s="166"/>
      <c r="V180" s="166"/>
      <c r="W180" s="166"/>
      <c r="X180" s="166"/>
      <c r="Y180" s="166"/>
      <c r="Z180" s="166"/>
      <c r="AA180" s="166"/>
      <c r="AB180" s="166"/>
      <c r="AC180" s="166"/>
      <c r="AD180" s="166"/>
      <c r="AE180" s="166"/>
      <c r="AF180" s="166"/>
      <c r="AG180" s="166"/>
      <c r="AH180" s="166"/>
    </row>
    <row r="181" spans="1:37" ht="20.100000000000001" customHeight="1" x14ac:dyDescent="0.2">
      <c r="D181" s="166" t="s">
        <v>1664</v>
      </c>
      <c r="E181" s="166" t="s">
        <v>1757</v>
      </c>
      <c r="F181" s="166" t="s">
        <v>370</v>
      </c>
      <c r="G181" s="166">
        <v>1</v>
      </c>
      <c r="H181" s="166"/>
      <c r="I181" s="166"/>
      <c r="J181" s="166"/>
      <c r="K181" s="166"/>
      <c r="L181" s="166">
        <v>5.84</v>
      </c>
      <c r="M181" s="166">
        <v>16.8</v>
      </c>
      <c r="N181" s="166">
        <v>7.29</v>
      </c>
      <c r="O181" s="166" t="s">
        <v>1610</v>
      </c>
      <c r="P181" s="166">
        <v>0.66315800000000003</v>
      </c>
      <c r="Q181" s="166" t="s">
        <v>1608</v>
      </c>
      <c r="R181" s="166">
        <v>0.33600000000000002</v>
      </c>
      <c r="S181" s="166"/>
      <c r="T181" s="166"/>
      <c r="U181" s="166"/>
      <c r="V181" s="166"/>
      <c r="W181" s="166"/>
      <c r="X181" s="166"/>
      <c r="Y181" s="166"/>
      <c r="Z181" s="166"/>
      <c r="AA181" s="166"/>
      <c r="AB181" s="166"/>
      <c r="AC181" s="166"/>
      <c r="AD181" s="166"/>
      <c r="AE181" s="166"/>
      <c r="AF181" s="166"/>
      <c r="AG181" s="166"/>
      <c r="AH181" s="166"/>
    </row>
    <row r="182" spans="1:37" ht="20.100000000000001" customHeight="1" x14ac:dyDescent="0.2">
      <c r="D182" s="166" t="s">
        <v>1664</v>
      </c>
      <c r="E182" s="166" t="s">
        <v>1758</v>
      </c>
      <c r="F182" s="166" t="s">
        <v>370</v>
      </c>
      <c r="G182" s="166">
        <v>1</v>
      </c>
      <c r="H182" s="166"/>
      <c r="I182" s="166"/>
      <c r="J182" s="166"/>
      <c r="K182" s="166"/>
      <c r="L182" s="166">
        <v>6.58</v>
      </c>
      <c r="M182" s="166">
        <v>12.5</v>
      </c>
      <c r="N182" s="166">
        <v>8.2200000000000006</v>
      </c>
      <c r="O182" s="166" t="s">
        <v>1610</v>
      </c>
      <c r="P182" s="166">
        <v>0.74736800000000003</v>
      </c>
      <c r="Q182" s="166" t="s">
        <v>1608</v>
      </c>
      <c r="R182" s="166">
        <v>0.25</v>
      </c>
      <c r="S182" s="166"/>
      <c r="T182" s="166"/>
      <c r="U182" s="166"/>
      <c r="V182" s="166"/>
      <c r="W182" s="166"/>
      <c r="X182" s="166"/>
      <c r="Y182" s="166"/>
      <c r="Z182" s="166"/>
      <c r="AA182" s="166"/>
      <c r="AB182" s="166"/>
      <c r="AC182" s="166"/>
      <c r="AD182" s="166"/>
      <c r="AE182" s="166"/>
      <c r="AF182" s="166"/>
      <c r="AG182" s="166"/>
      <c r="AH182" s="166"/>
    </row>
    <row r="183" spans="1:37" ht="20.100000000000001" customHeight="1" x14ac:dyDescent="0.2">
      <c r="D183" s="166" t="s">
        <v>1664</v>
      </c>
      <c r="E183" s="166" t="s">
        <v>1759</v>
      </c>
      <c r="F183" s="166" t="s">
        <v>370</v>
      </c>
      <c r="G183" s="166">
        <v>1</v>
      </c>
      <c r="H183" s="166"/>
      <c r="I183" s="166"/>
      <c r="J183" s="166"/>
      <c r="K183" s="166"/>
      <c r="L183" s="166">
        <v>7.04</v>
      </c>
      <c r="M183" s="166">
        <v>10</v>
      </c>
      <c r="N183" s="166">
        <v>8.8000000000000007</v>
      </c>
      <c r="O183" s="166" t="s">
        <v>1610</v>
      </c>
      <c r="P183" s="166">
        <v>0.8</v>
      </c>
      <c r="Q183" s="166" t="s">
        <v>1608</v>
      </c>
      <c r="R183" s="166">
        <v>0.2</v>
      </c>
      <c r="S183" s="166"/>
      <c r="T183" s="166"/>
      <c r="U183" s="166"/>
      <c r="V183" s="166"/>
      <c r="W183" s="166"/>
      <c r="X183" s="166"/>
      <c r="Y183" s="166"/>
      <c r="Z183" s="166"/>
      <c r="AA183" s="166"/>
      <c r="AB183" s="166"/>
      <c r="AC183" s="166"/>
      <c r="AD183" s="166"/>
      <c r="AE183" s="166"/>
      <c r="AF183" s="166"/>
      <c r="AG183" s="166"/>
      <c r="AH183" s="166"/>
    </row>
    <row r="184" spans="1:37" ht="20.100000000000001" customHeight="1" x14ac:dyDescent="0.2">
      <c r="D184" s="166" t="s">
        <v>1664</v>
      </c>
      <c r="E184" s="166" t="s">
        <v>1760</v>
      </c>
      <c r="F184" s="166" t="s">
        <v>370</v>
      </c>
      <c r="G184" s="166">
        <v>1</v>
      </c>
      <c r="H184" s="166"/>
      <c r="I184" s="166"/>
      <c r="J184" s="166"/>
      <c r="K184" s="166"/>
      <c r="L184" s="166">
        <v>7.32</v>
      </c>
      <c r="M184" s="166">
        <v>8.4</v>
      </c>
      <c r="N184" s="166">
        <v>9.15</v>
      </c>
      <c r="O184" s="166" t="s">
        <v>1610</v>
      </c>
      <c r="P184" s="166">
        <v>0.83157899999999996</v>
      </c>
      <c r="Q184" s="166" t="s">
        <v>1608</v>
      </c>
      <c r="R184" s="166">
        <v>0.16800000000000001</v>
      </c>
      <c r="S184" s="166"/>
      <c r="T184" s="166"/>
      <c r="U184" s="166"/>
      <c r="V184" s="166"/>
      <c r="W184" s="166"/>
      <c r="X184" s="166"/>
      <c r="Y184" s="166"/>
      <c r="Z184" s="166"/>
      <c r="AA184" s="166"/>
      <c r="AB184" s="166"/>
      <c r="AC184" s="166"/>
      <c r="AD184" s="166"/>
      <c r="AE184" s="166"/>
      <c r="AF184" s="166"/>
      <c r="AG184" s="166"/>
      <c r="AH184" s="166"/>
    </row>
    <row r="185" spans="1:37" ht="20.100000000000001" customHeight="1" x14ac:dyDescent="0.2">
      <c r="D185" s="166" t="s">
        <v>1761</v>
      </c>
      <c r="E185" s="166" t="s">
        <v>1762</v>
      </c>
      <c r="F185" s="166" t="s">
        <v>370</v>
      </c>
      <c r="G185" s="166">
        <v>1</v>
      </c>
      <c r="H185" s="166"/>
      <c r="I185" s="166"/>
      <c r="J185" s="166"/>
      <c r="K185" s="166">
        <v>23.9</v>
      </c>
      <c r="L185" s="166"/>
      <c r="M185" s="166"/>
      <c r="N185" s="166">
        <v>10.8</v>
      </c>
      <c r="O185" s="166" t="s">
        <v>1597</v>
      </c>
      <c r="P185" s="166">
        <v>7.3999999999999996E-2</v>
      </c>
      <c r="Q185" s="166" t="s">
        <v>1595</v>
      </c>
      <c r="R185" s="166">
        <v>0.16500000000000001</v>
      </c>
      <c r="S185" s="166" t="s">
        <v>338</v>
      </c>
      <c r="T185" s="166">
        <v>0.108</v>
      </c>
      <c r="U185" s="166" t="s">
        <v>1640</v>
      </c>
      <c r="V185" s="166">
        <v>4.3999999999999997E-2</v>
      </c>
      <c r="W185" s="166"/>
      <c r="X185" s="166"/>
      <c r="Y185" s="166"/>
      <c r="Z185" s="166"/>
      <c r="AA185" s="166"/>
      <c r="AB185" s="166"/>
      <c r="AC185" s="166"/>
      <c r="AD185" s="166"/>
      <c r="AE185" s="166"/>
      <c r="AF185" s="166"/>
      <c r="AG185" s="166"/>
      <c r="AH185" s="166"/>
    </row>
    <row r="186" spans="1:37" ht="20.100000000000001" customHeight="1" x14ac:dyDescent="0.2">
      <c r="D186" s="166" t="s">
        <v>1761</v>
      </c>
      <c r="E186" s="166" t="s">
        <v>327</v>
      </c>
      <c r="F186" s="166" t="s">
        <v>370</v>
      </c>
      <c r="G186" s="166">
        <v>1</v>
      </c>
      <c r="H186" s="166"/>
      <c r="I186" s="166"/>
      <c r="J186" s="166"/>
      <c r="K186" s="166">
        <v>17.899999999999999</v>
      </c>
      <c r="L186" s="166"/>
      <c r="M186" s="166">
        <v>15</v>
      </c>
      <c r="N186" s="166">
        <v>3.6</v>
      </c>
      <c r="O186" s="166" t="s">
        <v>1597</v>
      </c>
      <c r="P186" s="166">
        <v>5.5E-2</v>
      </c>
      <c r="Q186" s="166" t="s">
        <v>1595</v>
      </c>
      <c r="R186" s="166">
        <v>0.124</v>
      </c>
      <c r="S186" s="166" t="s">
        <v>337</v>
      </c>
      <c r="T186" s="166">
        <v>0.15</v>
      </c>
      <c r="U186" s="166" t="s">
        <v>338</v>
      </c>
      <c r="V186" s="166">
        <v>3.5999999999999997E-2</v>
      </c>
      <c r="W186" s="166" t="s">
        <v>1640</v>
      </c>
      <c r="X186" s="166">
        <v>4.3999999999999997E-2</v>
      </c>
      <c r="Y186" s="166"/>
      <c r="Z186" s="166"/>
      <c r="AA186" s="166"/>
      <c r="AB186" s="166"/>
      <c r="AC186" s="166"/>
      <c r="AD186" s="166"/>
      <c r="AE186" s="166"/>
      <c r="AF186" s="166"/>
      <c r="AG186" s="166"/>
      <c r="AH186" s="166"/>
    </row>
    <row r="187" spans="1:37" ht="20.100000000000001" customHeight="1" x14ac:dyDescent="0.2">
      <c r="D187" s="166" t="s">
        <v>1761</v>
      </c>
      <c r="E187" s="166" t="s">
        <v>1763</v>
      </c>
      <c r="F187" s="166" t="s">
        <v>370</v>
      </c>
      <c r="G187" s="166">
        <v>1</v>
      </c>
      <c r="H187" s="166"/>
      <c r="I187" s="166"/>
      <c r="J187" s="166"/>
      <c r="K187" s="166">
        <v>16.899999999999999</v>
      </c>
      <c r="L187" s="166"/>
      <c r="M187" s="166">
        <v>14.4</v>
      </c>
      <c r="N187" s="166">
        <v>8.6999999999999993</v>
      </c>
      <c r="O187" s="166" t="s">
        <v>1597</v>
      </c>
      <c r="P187" s="166">
        <v>5.1999999999999998E-2</v>
      </c>
      <c r="Q187" s="166" t="s">
        <v>1595</v>
      </c>
      <c r="R187" s="166">
        <v>0.11700000000000001</v>
      </c>
      <c r="S187" s="166" t="s">
        <v>337</v>
      </c>
      <c r="T187" s="166">
        <v>0.14399999999999999</v>
      </c>
      <c r="U187" s="166" t="s">
        <v>338</v>
      </c>
      <c r="V187" s="166">
        <v>8.6999999999999994E-2</v>
      </c>
      <c r="W187" s="166" t="s">
        <v>1640</v>
      </c>
      <c r="X187" s="166">
        <v>4.3999999999999997E-2</v>
      </c>
      <c r="Y187" s="166"/>
      <c r="Z187" s="166"/>
      <c r="AA187" s="166"/>
      <c r="AB187" s="166"/>
      <c r="AC187" s="166"/>
      <c r="AD187" s="166"/>
      <c r="AE187" s="166"/>
      <c r="AF187" s="166"/>
      <c r="AG187" s="166"/>
      <c r="AH187" s="166"/>
    </row>
    <row r="188" spans="1:37" ht="20.100000000000001" customHeight="1" x14ac:dyDescent="0.2">
      <c r="D188" s="166" t="s">
        <v>1761</v>
      </c>
      <c r="E188" s="166" t="s">
        <v>1764</v>
      </c>
      <c r="F188" s="166" t="s">
        <v>370</v>
      </c>
      <c r="G188" s="166">
        <v>1</v>
      </c>
      <c r="H188" s="166"/>
      <c r="I188" s="166"/>
      <c r="J188" s="166"/>
      <c r="K188" s="166">
        <v>18.8</v>
      </c>
      <c r="L188" s="166">
        <v>1</v>
      </c>
      <c r="M188" s="166">
        <v>12.5</v>
      </c>
      <c r="N188" s="166">
        <v>3.7</v>
      </c>
      <c r="O188" s="166" t="s">
        <v>1597</v>
      </c>
      <c r="P188" s="166">
        <v>5.8000000000000003E-2</v>
      </c>
      <c r="Q188" s="166" t="s">
        <v>1595</v>
      </c>
      <c r="R188" s="166">
        <v>0.13</v>
      </c>
      <c r="S188" s="166" t="s">
        <v>1602</v>
      </c>
      <c r="T188" s="166">
        <v>0.01</v>
      </c>
      <c r="U188" s="166" t="s">
        <v>337</v>
      </c>
      <c r="V188" s="166">
        <v>0.125</v>
      </c>
      <c r="W188" s="166" t="s">
        <v>338</v>
      </c>
      <c r="X188" s="166">
        <v>3.6999999999999998E-2</v>
      </c>
      <c r="Y188" s="166" t="s">
        <v>1640</v>
      </c>
      <c r="Z188" s="166">
        <v>4.3999999999999997E-2</v>
      </c>
      <c r="AA188" s="166"/>
      <c r="AB188" s="166"/>
      <c r="AC188" s="166"/>
      <c r="AD188" s="166"/>
      <c r="AE188" s="166"/>
      <c r="AF188" s="166"/>
      <c r="AG188" s="166"/>
      <c r="AH188" s="166"/>
    </row>
    <row r="189" spans="1:37" ht="20.100000000000001" customHeight="1" x14ac:dyDescent="0.2">
      <c r="D189" s="166" t="s">
        <v>1761</v>
      </c>
      <c r="E189" s="166" t="s">
        <v>1765</v>
      </c>
      <c r="F189" s="166" t="s">
        <v>370</v>
      </c>
      <c r="G189" s="166">
        <v>1</v>
      </c>
      <c r="H189" s="166"/>
      <c r="I189" s="166"/>
      <c r="J189" s="166"/>
      <c r="K189" s="166">
        <v>18.600000000000001</v>
      </c>
      <c r="L189" s="166">
        <v>3</v>
      </c>
      <c r="M189" s="166">
        <v>12.5</v>
      </c>
      <c r="N189" s="166">
        <v>1.4</v>
      </c>
      <c r="O189" s="166" t="s">
        <v>1597</v>
      </c>
      <c r="P189" s="166">
        <v>5.8000000000000003E-2</v>
      </c>
      <c r="Q189" s="166" t="s">
        <v>1595</v>
      </c>
      <c r="R189" s="166">
        <v>0.128</v>
      </c>
      <c r="S189" s="166" t="s">
        <v>1602</v>
      </c>
      <c r="T189" s="166">
        <v>0.03</v>
      </c>
      <c r="U189" s="166" t="s">
        <v>337</v>
      </c>
      <c r="V189" s="166">
        <v>0.125</v>
      </c>
      <c r="W189" s="166" t="s">
        <v>338</v>
      </c>
      <c r="X189" s="166">
        <v>1.4E-2</v>
      </c>
      <c r="Y189" s="166" t="s">
        <v>1640</v>
      </c>
      <c r="Z189" s="166">
        <v>4.3999999999999997E-2</v>
      </c>
      <c r="AA189" s="166"/>
      <c r="AB189" s="166"/>
      <c r="AC189" s="166"/>
      <c r="AD189" s="166"/>
      <c r="AE189" s="166"/>
      <c r="AF189" s="166"/>
      <c r="AG189" s="166"/>
      <c r="AH189" s="166"/>
    </row>
    <row r="190" spans="1:37" ht="20.100000000000001" customHeight="1" x14ac:dyDescent="0.2">
      <c r="D190" s="166" t="s">
        <v>1761</v>
      </c>
      <c r="E190" s="166" t="s">
        <v>1766</v>
      </c>
      <c r="F190" s="166" t="s">
        <v>370</v>
      </c>
      <c r="G190" s="166">
        <v>1</v>
      </c>
      <c r="H190" s="166"/>
      <c r="I190" s="166"/>
      <c r="J190" s="166"/>
      <c r="K190" s="166">
        <v>15.8</v>
      </c>
      <c r="L190" s="166"/>
      <c r="M190" s="166">
        <v>19</v>
      </c>
      <c r="N190" s="166">
        <v>3.2</v>
      </c>
      <c r="O190" s="166" t="s">
        <v>1597</v>
      </c>
      <c r="P190" s="166">
        <v>4.9000000000000002E-2</v>
      </c>
      <c r="Q190" s="166" t="s">
        <v>1595</v>
      </c>
      <c r="R190" s="166">
        <v>0.109</v>
      </c>
      <c r="S190" s="166" t="s">
        <v>337</v>
      </c>
      <c r="T190" s="166">
        <v>0.19</v>
      </c>
      <c r="U190" s="166" t="s">
        <v>338</v>
      </c>
      <c r="V190" s="166">
        <v>3.2000000000000001E-2</v>
      </c>
      <c r="W190" s="166" t="s">
        <v>1640</v>
      </c>
      <c r="X190" s="166">
        <v>3.9E-2</v>
      </c>
      <c r="Y190" s="166"/>
      <c r="Z190" s="166"/>
      <c r="AA190" s="166"/>
      <c r="AB190" s="166"/>
      <c r="AC190" s="166"/>
      <c r="AD190" s="166"/>
      <c r="AE190" s="166"/>
      <c r="AF190" s="166"/>
      <c r="AG190" s="166"/>
      <c r="AH190" s="166"/>
    </row>
    <row r="191" spans="1:37" ht="20.100000000000001" customHeight="1" x14ac:dyDescent="0.2">
      <c r="D191" s="166" t="s">
        <v>1666</v>
      </c>
      <c r="E191" s="166" t="s">
        <v>1767</v>
      </c>
      <c r="F191" s="166" t="s">
        <v>370</v>
      </c>
      <c r="G191" s="166">
        <v>1</v>
      </c>
      <c r="H191" s="166"/>
      <c r="I191" s="166"/>
      <c r="J191" s="166"/>
      <c r="K191" s="166">
        <v>25.9</v>
      </c>
      <c r="L191" s="166">
        <v>3.9</v>
      </c>
      <c r="M191" s="166">
        <v>15.9</v>
      </c>
      <c r="N191" s="166">
        <v>0.3</v>
      </c>
      <c r="O191" s="166" t="s">
        <v>1600</v>
      </c>
      <c r="P191" s="166">
        <v>0.25900000000000001</v>
      </c>
      <c r="Q191" s="166" t="s">
        <v>1602</v>
      </c>
      <c r="R191" s="166">
        <v>3.9E-2</v>
      </c>
      <c r="S191" s="166" t="s">
        <v>337</v>
      </c>
      <c r="T191" s="166">
        <v>0.159</v>
      </c>
      <c r="U191" s="166" t="s">
        <v>338</v>
      </c>
      <c r="V191" s="166">
        <v>3.0000000000000001E-3</v>
      </c>
      <c r="W191" s="166"/>
      <c r="X191" s="166"/>
      <c r="Y191" s="166"/>
      <c r="Z191" s="166"/>
      <c r="AA191" s="166"/>
      <c r="AB191" s="166"/>
      <c r="AC191" s="166"/>
      <c r="AD191" s="166"/>
      <c r="AE191" s="166"/>
      <c r="AF191" s="166"/>
      <c r="AG191" s="166"/>
      <c r="AH191" s="166"/>
    </row>
    <row r="192" spans="1:37" ht="20.100000000000001" customHeight="1" x14ac:dyDescent="0.2">
      <c r="D192" s="166" t="s">
        <v>1705</v>
      </c>
      <c r="E192" s="166" t="s">
        <v>1768</v>
      </c>
      <c r="F192" s="166" t="s">
        <v>370</v>
      </c>
      <c r="G192" s="166">
        <v>1</v>
      </c>
      <c r="H192" s="166"/>
      <c r="I192" s="166"/>
      <c r="J192" s="166"/>
      <c r="K192" s="166">
        <v>15.6</v>
      </c>
      <c r="L192" s="166">
        <v>6.37</v>
      </c>
      <c r="M192" s="166">
        <v>12.45</v>
      </c>
      <c r="N192" s="166">
        <v>2.6</v>
      </c>
      <c r="O192" s="166" t="s">
        <v>1597</v>
      </c>
      <c r="P192" s="166">
        <v>5.8000000000000003E-2</v>
      </c>
      <c r="Q192" s="166" t="s">
        <v>1595</v>
      </c>
      <c r="R192" s="166">
        <v>9.8000000000000004E-2</v>
      </c>
      <c r="S192" s="166" t="s">
        <v>1602</v>
      </c>
      <c r="T192" s="166">
        <v>6.3714000000000007E-2</v>
      </c>
      <c r="U192" s="166" t="s">
        <v>337</v>
      </c>
      <c r="V192" s="166">
        <v>0.124515</v>
      </c>
      <c r="W192" s="166" t="s">
        <v>338</v>
      </c>
      <c r="X192" s="166">
        <v>2.5999999999999999E-2</v>
      </c>
      <c r="Y192" s="166"/>
      <c r="Z192" s="166"/>
      <c r="AA192" s="166"/>
      <c r="AB192" s="166"/>
      <c r="AC192" s="166"/>
      <c r="AD192" s="166"/>
      <c r="AE192" s="166"/>
      <c r="AF192" s="166"/>
      <c r="AG192" s="166"/>
      <c r="AH192" s="166"/>
    </row>
    <row r="193" spans="4:34" ht="20.100000000000001" customHeight="1" x14ac:dyDescent="0.2">
      <c r="D193" s="166" t="s">
        <v>1769</v>
      </c>
      <c r="E193" s="166" t="s">
        <v>1770</v>
      </c>
      <c r="F193" s="166" t="s">
        <v>370</v>
      </c>
      <c r="G193" s="166">
        <v>1</v>
      </c>
      <c r="H193" s="166"/>
      <c r="I193" s="166"/>
      <c r="J193" s="166"/>
      <c r="K193" s="166">
        <v>11.15</v>
      </c>
      <c r="L193" s="166">
        <v>17.52</v>
      </c>
      <c r="M193" s="166"/>
      <c r="N193" s="166">
        <v>3.6</v>
      </c>
      <c r="O193" s="166" t="s">
        <v>1586</v>
      </c>
      <c r="P193" s="166">
        <v>0.8</v>
      </c>
      <c r="Q193" s="166" t="s">
        <v>1590</v>
      </c>
      <c r="R193" s="166">
        <v>0.15</v>
      </c>
      <c r="S193" s="166" t="s">
        <v>1651</v>
      </c>
      <c r="T193" s="166" t="s">
        <v>948</v>
      </c>
      <c r="U193" s="166" t="s">
        <v>1695</v>
      </c>
      <c r="V193" s="166" t="s">
        <v>948</v>
      </c>
      <c r="W193" s="166" t="s">
        <v>1648</v>
      </c>
      <c r="X193" s="166" t="s">
        <v>948</v>
      </c>
      <c r="Y193" s="166"/>
      <c r="Z193" s="166"/>
      <c r="AA193" s="166"/>
      <c r="AB193" s="166"/>
      <c r="AC193" s="166"/>
      <c r="AD193" s="166"/>
      <c r="AE193" s="166"/>
      <c r="AF193" s="166"/>
      <c r="AG193" s="166"/>
      <c r="AH193" s="166"/>
    </row>
    <row r="194" spans="4:34" ht="20.100000000000001" customHeight="1" x14ac:dyDescent="0.2">
      <c r="D194" s="166" t="s">
        <v>1769</v>
      </c>
      <c r="E194" s="166" t="s">
        <v>1771</v>
      </c>
      <c r="F194" s="166" t="s">
        <v>370</v>
      </c>
      <c r="G194" s="166">
        <v>1</v>
      </c>
      <c r="H194" s="166"/>
      <c r="I194" s="166"/>
      <c r="J194" s="166"/>
      <c r="K194" s="166"/>
      <c r="L194" s="166">
        <v>5.5</v>
      </c>
      <c r="M194" s="166">
        <v>15</v>
      </c>
      <c r="N194" s="166">
        <v>6.88</v>
      </c>
      <c r="O194" s="166" t="s">
        <v>1610</v>
      </c>
      <c r="P194" s="166">
        <v>0.625</v>
      </c>
      <c r="Q194" s="166" t="s">
        <v>1608</v>
      </c>
      <c r="R194" s="166">
        <v>0.3</v>
      </c>
      <c r="S194" s="166"/>
      <c r="T194" s="166"/>
      <c r="U194" s="166"/>
      <c r="V194" s="166"/>
      <c r="W194" s="166"/>
      <c r="X194" s="166"/>
      <c r="Y194" s="166"/>
      <c r="Z194" s="166"/>
      <c r="AA194" s="166"/>
      <c r="AB194" s="166"/>
      <c r="AC194" s="166"/>
      <c r="AD194" s="166"/>
      <c r="AE194" s="166"/>
      <c r="AF194" s="166"/>
      <c r="AG194" s="166"/>
      <c r="AH194" s="166"/>
    </row>
    <row r="195" spans="4:34" ht="20.100000000000001" customHeight="1" x14ac:dyDescent="0.2">
      <c r="D195" s="166" t="s">
        <v>1772</v>
      </c>
      <c r="E195" s="166" t="s">
        <v>1773</v>
      </c>
      <c r="F195" s="166" t="s">
        <v>370</v>
      </c>
      <c r="G195" s="166">
        <v>1</v>
      </c>
      <c r="H195" s="166"/>
      <c r="I195" s="166"/>
      <c r="J195" s="166"/>
      <c r="K195" s="166">
        <v>27</v>
      </c>
      <c r="L195" s="166"/>
      <c r="M195" s="166"/>
      <c r="N195" s="166"/>
      <c r="O195" s="166" t="s">
        <v>1594</v>
      </c>
      <c r="P195" s="166">
        <v>1</v>
      </c>
      <c r="Q195" s="166"/>
      <c r="R195" s="166"/>
      <c r="S195" s="166"/>
      <c r="T195" s="166"/>
      <c r="U195" s="166"/>
      <c r="V195" s="166"/>
      <c r="W195" s="166"/>
      <c r="X195" s="166"/>
      <c r="Y195" s="166"/>
      <c r="Z195" s="166"/>
      <c r="AA195" s="166"/>
      <c r="AB195" s="166"/>
      <c r="AC195" s="166"/>
      <c r="AD195" s="166"/>
      <c r="AE195" s="166"/>
      <c r="AF195" s="166"/>
      <c r="AG195" s="166"/>
      <c r="AH195" s="166"/>
    </row>
    <row r="196" spans="4:34" ht="20.100000000000001" customHeight="1" x14ac:dyDescent="0.2">
      <c r="D196" s="166" t="s">
        <v>1666</v>
      </c>
      <c r="E196" s="166" t="s">
        <v>1774</v>
      </c>
      <c r="F196" s="166" t="s">
        <v>370</v>
      </c>
      <c r="G196" s="166">
        <v>1</v>
      </c>
      <c r="H196" s="166"/>
      <c r="I196" s="166"/>
      <c r="J196" s="166"/>
      <c r="K196" s="166">
        <v>20.6</v>
      </c>
      <c r="L196" s="166">
        <v>3</v>
      </c>
      <c r="M196" s="166">
        <v>7.5</v>
      </c>
      <c r="N196" s="166">
        <v>3.8</v>
      </c>
      <c r="O196" s="166" t="s">
        <v>1597</v>
      </c>
      <c r="P196" s="166">
        <v>6.4000000000000001E-2</v>
      </c>
      <c r="Q196" s="166" t="s">
        <v>1595</v>
      </c>
      <c r="R196" s="166">
        <v>0.14199999999999999</v>
      </c>
      <c r="S196" s="166" t="s">
        <v>1602</v>
      </c>
      <c r="T196" s="166">
        <v>0.03</v>
      </c>
      <c r="U196" s="166" t="s">
        <v>337</v>
      </c>
      <c r="V196" s="166">
        <v>7.4999999999999997E-2</v>
      </c>
      <c r="W196" s="166" t="s">
        <v>338</v>
      </c>
      <c r="X196" s="166">
        <v>3.7999999999999999E-2</v>
      </c>
      <c r="Y196" s="166" t="s">
        <v>1640</v>
      </c>
      <c r="Z196" s="166">
        <v>4.3999999999999997E-2</v>
      </c>
      <c r="AA196" s="166"/>
      <c r="AB196" s="166"/>
      <c r="AC196" s="166"/>
      <c r="AD196" s="166"/>
      <c r="AE196" s="166"/>
      <c r="AF196" s="166"/>
      <c r="AG196" s="166"/>
      <c r="AH196" s="166"/>
    </row>
    <row r="197" spans="4:34" ht="20.100000000000001" customHeight="1" x14ac:dyDescent="0.2">
      <c r="D197" s="166" t="s">
        <v>1666</v>
      </c>
      <c r="E197" s="166" t="s">
        <v>1775</v>
      </c>
      <c r="F197" s="166" t="s">
        <v>370</v>
      </c>
      <c r="G197" s="166">
        <v>1</v>
      </c>
      <c r="H197" s="166"/>
      <c r="I197" s="166"/>
      <c r="J197" s="166"/>
      <c r="K197" s="166">
        <v>17.8</v>
      </c>
      <c r="L197" s="166">
        <v>1</v>
      </c>
      <c r="M197" s="166">
        <v>15</v>
      </c>
      <c r="N197" s="166">
        <v>2.5</v>
      </c>
      <c r="O197" s="166" t="s">
        <v>1597</v>
      </c>
      <c r="P197" s="166">
        <v>5.5E-2</v>
      </c>
      <c r="Q197" s="166" t="s">
        <v>1595</v>
      </c>
      <c r="R197" s="166">
        <v>0.123</v>
      </c>
      <c r="S197" s="166" t="s">
        <v>1602</v>
      </c>
      <c r="T197" s="166">
        <v>0.01</v>
      </c>
      <c r="U197" s="166" t="s">
        <v>337</v>
      </c>
      <c r="V197" s="166">
        <v>0.15</v>
      </c>
      <c r="W197" s="166" t="s">
        <v>338</v>
      </c>
      <c r="X197" s="166">
        <v>2.5000000000000001E-2</v>
      </c>
      <c r="Y197" s="166" t="s">
        <v>1640</v>
      </c>
      <c r="Z197" s="166">
        <v>4.3999999999999997E-2</v>
      </c>
      <c r="AA197" s="166"/>
      <c r="AB197" s="166"/>
      <c r="AC197" s="166"/>
      <c r="AD197" s="166"/>
      <c r="AE197" s="166"/>
      <c r="AF197" s="166"/>
      <c r="AG197" s="166"/>
      <c r="AH197" s="166"/>
    </row>
    <row r="198" spans="4:34" ht="20.100000000000001" customHeight="1" x14ac:dyDescent="0.2">
      <c r="D198" s="166" t="s">
        <v>1776</v>
      </c>
      <c r="E198" s="166" t="s">
        <v>1777</v>
      </c>
      <c r="F198" s="166" t="s">
        <v>370</v>
      </c>
      <c r="G198" s="166">
        <v>1</v>
      </c>
      <c r="H198" s="166"/>
      <c r="I198" s="166"/>
      <c r="J198" s="166"/>
      <c r="K198" s="166">
        <v>10</v>
      </c>
      <c r="L198" s="166">
        <v>22</v>
      </c>
      <c r="M198" s="166"/>
      <c r="N198" s="166">
        <v>1.5</v>
      </c>
      <c r="O198" s="166" t="s">
        <v>1600</v>
      </c>
      <c r="P198" s="166">
        <v>0.1</v>
      </c>
      <c r="Q198" s="166" t="s">
        <v>1602</v>
      </c>
      <c r="R198" s="166">
        <v>0.22</v>
      </c>
      <c r="S198" s="166" t="s">
        <v>338</v>
      </c>
      <c r="T198" s="166">
        <v>1.4999999999999999E-2</v>
      </c>
      <c r="U198" s="166" t="s">
        <v>1648</v>
      </c>
      <c r="V198" s="166">
        <v>0.01</v>
      </c>
      <c r="W198" s="166"/>
      <c r="X198" s="166"/>
      <c r="Y198" s="166"/>
      <c r="Z198" s="166"/>
      <c r="AA198" s="166"/>
      <c r="AB198" s="166"/>
      <c r="AC198" s="166"/>
      <c r="AD198" s="166"/>
      <c r="AE198" s="166"/>
      <c r="AF198" s="166"/>
      <c r="AG198" s="166"/>
      <c r="AH198" s="166"/>
    </row>
    <row r="199" spans="4:34" ht="20.100000000000001" customHeight="1" x14ac:dyDescent="0.2">
      <c r="D199" s="166" t="s">
        <v>1776</v>
      </c>
      <c r="E199" s="166" t="s">
        <v>1778</v>
      </c>
      <c r="F199" s="166" t="s">
        <v>370</v>
      </c>
      <c r="G199" s="166">
        <v>1</v>
      </c>
      <c r="H199" s="166"/>
      <c r="I199" s="166"/>
      <c r="J199" s="166"/>
      <c r="K199" s="166"/>
      <c r="L199" s="166">
        <v>15.7</v>
      </c>
      <c r="M199" s="166"/>
      <c r="N199" s="166">
        <v>4.5999999999999996</v>
      </c>
      <c r="O199" s="166" t="s">
        <v>1602</v>
      </c>
      <c r="P199" s="166">
        <v>0.157</v>
      </c>
      <c r="Q199" s="166" t="s">
        <v>338</v>
      </c>
      <c r="R199" s="166">
        <v>4.5999999999999999E-2</v>
      </c>
      <c r="S199" s="166" t="s">
        <v>1640</v>
      </c>
      <c r="T199" s="166">
        <v>0.14000000000000001</v>
      </c>
      <c r="U199" s="166"/>
      <c r="V199" s="166"/>
      <c r="W199" s="166"/>
      <c r="X199" s="166"/>
      <c r="Y199" s="166"/>
      <c r="Z199" s="166"/>
      <c r="AA199" s="166"/>
      <c r="AB199" s="166"/>
      <c r="AC199" s="166"/>
      <c r="AD199" s="166"/>
      <c r="AE199" s="166"/>
      <c r="AF199" s="166"/>
      <c r="AG199" s="166"/>
      <c r="AH199" s="166"/>
    </row>
    <row r="200" spans="4:34" ht="20.100000000000001" customHeight="1" x14ac:dyDescent="0.2">
      <c r="D200" s="166" t="s">
        <v>1776</v>
      </c>
      <c r="E200" s="166" t="s">
        <v>1779</v>
      </c>
      <c r="F200" s="166" t="s">
        <v>370</v>
      </c>
      <c r="G200" s="166">
        <v>1</v>
      </c>
      <c r="H200" s="166"/>
      <c r="I200" s="166"/>
      <c r="J200" s="166"/>
      <c r="K200" s="166"/>
      <c r="L200" s="166"/>
      <c r="M200" s="166"/>
      <c r="N200" s="166">
        <v>90</v>
      </c>
      <c r="O200" s="166" t="s">
        <v>338</v>
      </c>
      <c r="P200" s="166">
        <v>0.9</v>
      </c>
      <c r="Q200" s="166"/>
      <c r="R200" s="166"/>
      <c r="S200" s="166"/>
      <c r="T200" s="166"/>
      <c r="U200" s="166"/>
      <c r="V200" s="166"/>
      <c r="W200" s="166"/>
      <c r="X200" s="166"/>
      <c r="Y200" s="166"/>
      <c r="Z200" s="166"/>
      <c r="AA200" s="166"/>
      <c r="AB200" s="166"/>
      <c r="AC200" s="166"/>
      <c r="AD200" s="166"/>
      <c r="AE200" s="166"/>
      <c r="AF200" s="166"/>
      <c r="AG200" s="166"/>
      <c r="AH200" s="166"/>
    </row>
    <row r="201" spans="4:34" ht="20.100000000000001" customHeight="1" x14ac:dyDescent="0.2">
      <c r="D201" s="166" t="s">
        <v>1776</v>
      </c>
      <c r="E201" s="166" t="s">
        <v>1780</v>
      </c>
      <c r="F201" s="166" t="s">
        <v>370</v>
      </c>
      <c r="G201" s="166">
        <v>1</v>
      </c>
      <c r="H201" s="166"/>
      <c r="I201" s="166"/>
      <c r="J201" s="166"/>
      <c r="K201" s="166">
        <v>19.5</v>
      </c>
      <c r="L201" s="166">
        <v>0.7</v>
      </c>
      <c r="M201" s="166"/>
      <c r="N201" s="166">
        <v>23</v>
      </c>
      <c r="O201" s="166" t="s">
        <v>1600</v>
      </c>
      <c r="P201" s="166">
        <v>0.19500000000000001</v>
      </c>
      <c r="Q201" s="166" t="s">
        <v>1602</v>
      </c>
      <c r="R201" s="166">
        <v>7.0000000000000001E-3</v>
      </c>
      <c r="S201" s="166" t="s">
        <v>338</v>
      </c>
      <c r="T201" s="166">
        <v>0.23</v>
      </c>
      <c r="U201" s="166"/>
      <c r="V201" s="166"/>
      <c r="W201" s="166"/>
      <c r="X201" s="166"/>
      <c r="Y201" s="166"/>
      <c r="Z201" s="166"/>
      <c r="AA201" s="166"/>
      <c r="AB201" s="166"/>
      <c r="AC201" s="166"/>
      <c r="AD201" s="166"/>
      <c r="AE201" s="166"/>
      <c r="AF201" s="166"/>
      <c r="AG201" s="166"/>
      <c r="AH201" s="166"/>
    </row>
    <row r="202" spans="4:34" ht="20.100000000000001" customHeight="1" x14ac:dyDescent="0.2">
      <c r="D202" s="166" t="s">
        <v>1776</v>
      </c>
      <c r="E202" s="166" t="s">
        <v>1781</v>
      </c>
      <c r="F202" s="166" t="s">
        <v>370</v>
      </c>
      <c r="G202" s="166">
        <v>1</v>
      </c>
      <c r="H202" s="166"/>
      <c r="I202" s="166"/>
      <c r="J202" s="166"/>
      <c r="K202" s="166">
        <v>10</v>
      </c>
      <c r="L202" s="166">
        <v>18</v>
      </c>
      <c r="M202" s="166"/>
      <c r="N202" s="166">
        <v>8</v>
      </c>
      <c r="O202" s="166" t="s">
        <v>1600</v>
      </c>
      <c r="P202" s="166">
        <v>0.1</v>
      </c>
      <c r="Q202" s="166" t="s">
        <v>1602</v>
      </c>
      <c r="R202" s="166">
        <v>0.18</v>
      </c>
      <c r="S202" s="166" t="s">
        <v>338</v>
      </c>
      <c r="T202" s="166">
        <v>0.08</v>
      </c>
      <c r="U202" s="166" t="s">
        <v>1648</v>
      </c>
      <c r="V202" s="166">
        <v>5.0000000000000001E-3</v>
      </c>
      <c r="W202" s="166"/>
      <c r="X202" s="166"/>
      <c r="Y202" s="166"/>
      <c r="Z202" s="166"/>
      <c r="AA202" s="166"/>
      <c r="AB202" s="166"/>
      <c r="AC202" s="166"/>
      <c r="AD202" s="166"/>
      <c r="AE202" s="166"/>
      <c r="AF202" s="166"/>
      <c r="AG202" s="166"/>
      <c r="AH202" s="166"/>
    </row>
    <row r="203" spans="4:34" ht="20.100000000000001" customHeight="1" x14ac:dyDescent="0.2">
      <c r="D203" s="166" t="s">
        <v>1776</v>
      </c>
      <c r="E203" s="166" t="s">
        <v>1782</v>
      </c>
      <c r="F203" s="166" t="s">
        <v>370</v>
      </c>
      <c r="G203" s="166">
        <v>1</v>
      </c>
      <c r="H203" s="166"/>
      <c r="I203" s="166"/>
      <c r="J203" s="166"/>
      <c r="K203" s="166">
        <v>9</v>
      </c>
      <c r="L203" s="166">
        <v>19.8</v>
      </c>
      <c r="M203" s="166">
        <v>0</v>
      </c>
      <c r="N203" s="166">
        <v>10.4</v>
      </c>
      <c r="O203" s="166" t="s">
        <v>1600</v>
      </c>
      <c r="P203" s="166">
        <v>0.09</v>
      </c>
      <c r="Q203" s="166" t="s">
        <v>1602</v>
      </c>
      <c r="R203" s="166">
        <v>0.19800000000000001</v>
      </c>
      <c r="S203" s="166" t="s">
        <v>338</v>
      </c>
      <c r="T203" s="166">
        <v>0.104</v>
      </c>
      <c r="U203" s="166"/>
      <c r="V203" s="166"/>
      <c r="W203" s="166"/>
      <c r="X203" s="166"/>
      <c r="Y203" s="166"/>
      <c r="Z203" s="166"/>
      <c r="AA203" s="166"/>
      <c r="AB203" s="166"/>
      <c r="AC203" s="166"/>
      <c r="AD203" s="166"/>
      <c r="AE203" s="166"/>
      <c r="AF203" s="166"/>
      <c r="AG203" s="166"/>
      <c r="AH203" s="166"/>
    </row>
    <row r="204" spans="4:34" ht="20.100000000000001" customHeight="1" x14ac:dyDescent="0.2">
      <c r="D204" s="166" t="s">
        <v>1776</v>
      </c>
      <c r="E204" s="166" t="s">
        <v>1783</v>
      </c>
      <c r="F204" s="166" t="s">
        <v>370</v>
      </c>
      <c r="G204" s="166">
        <v>1</v>
      </c>
      <c r="H204" s="166"/>
      <c r="I204" s="166"/>
      <c r="J204" s="166"/>
      <c r="K204" s="166">
        <v>15.2</v>
      </c>
      <c r="L204" s="166">
        <v>16.899999999999999</v>
      </c>
      <c r="M204" s="166">
        <v>0</v>
      </c>
      <c r="N204" s="166">
        <v>15.2</v>
      </c>
      <c r="O204" s="166" t="s">
        <v>1600</v>
      </c>
      <c r="P204" s="166">
        <v>0.152</v>
      </c>
      <c r="Q204" s="166" t="s">
        <v>1602</v>
      </c>
      <c r="R204" s="166">
        <v>0.16900000000000001</v>
      </c>
      <c r="S204" s="166" t="s">
        <v>338</v>
      </c>
      <c r="T204" s="166">
        <v>0.152</v>
      </c>
      <c r="U204" s="166"/>
      <c r="V204" s="166"/>
      <c r="W204" s="166"/>
      <c r="X204" s="166"/>
      <c r="Y204" s="166"/>
      <c r="Z204" s="166"/>
      <c r="AA204" s="166"/>
      <c r="AB204" s="166"/>
      <c r="AC204" s="166"/>
      <c r="AD204" s="166"/>
      <c r="AE204" s="166"/>
      <c r="AF204" s="166"/>
      <c r="AG204" s="166"/>
      <c r="AH204" s="166"/>
    </row>
    <row r="205" spans="4:34" ht="20.100000000000001" customHeight="1" x14ac:dyDescent="0.2">
      <c r="D205" s="166" t="s">
        <v>1776</v>
      </c>
      <c r="E205" s="166" t="s">
        <v>1784</v>
      </c>
      <c r="F205" s="166" t="s">
        <v>370</v>
      </c>
      <c r="G205" s="166">
        <v>1</v>
      </c>
      <c r="H205" s="166"/>
      <c r="I205" s="166"/>
      <c r="J205" s="166"/>
      <c r="K205" s="166">
        <v>16.2</v>
      </c>
      <c r="L205" s="166">
        <v>18</v>
      </c>
      <c r="M205" s="166">
        <v>0</v>
      </c>
      <c r="N205" s="166">
        <v>10.4</v>
      </c>
      <c r="O205" s="166" t="s">
        <v>1600</v>
      </c>
      <c r="P205" s="166">
        <v>0.16200000000000001</v>
      </c>
      <c r="Q205" s="166" t="s">
        <v>1602</v>
      </c>
      <c r="R205" s="166">
        <v>0.18</v>
      </c>
      <c r="S205" s="166" t="s">
        <v>338</v>
      </c>
      <c r="T205" s="166">
        <v>0.104</v>
      </c>
      <c r="U205" s="166"/>
      <c r="V205" s="166"/>
      <c r="W205" s="166"/>
      <c r="X205" s="166"/>
      <c r="Y205" s="166"/>
      <c r="Z205" s="166"/>
      <c r="AA205" s="166"/>
      <c r="AB205" s="166"/>
      <c r="AC205" s="166"/>
      <c r="AD205" s="166"/>
      <c r="AE205" s="166"/>
      <c r="AF205" s="166"/>
      <c r="AG205" s="166"/>
      <c r="AH205" s="166"/>
    </row>
    <row r="206" spans="4:34" ht="20.100000000000001" customHeight="1" x14ac:dyDescent="0.2">
      <c r="D206" s="166" t="s">
        <v>1776</v>
      </c>
      <c r="E206" s="166" t="s">
        <v>1785</v>
      </c>
      <c r="F206" s="166" t="s">
        <v>370</v>
      </c>
      <c r="G206" s="166">
        <v>1</v>
      </c>
      <c r="H206" s="166"/>
      <c r="I206" s="166"/>
      <c r="J206" s="166"/>
      <c r="K206" s="166">
        <v>5</v>
      </c>
      <c r="L206" s="166">
        <v>15.4</v>
      </c>
      <c r="M206" s="166">
        <v>0</v>
      </c>
      <c r="N206" s="166">
        <v>6.3</v>
      </c>
      <c r="O206" s="166" t="s">
        <v>1600</v>
      </c>
      <c r="P206" s="166">
        <v>0.05</v>
      </c>
      <c r="Q206" s="166" t="s">
        <v>1602</v>
      </c>
      <c r="R206" s="166">
        <v>0.154</v>
      </c>
      <c r="S206" s="166" t="s">
        <v>338</v>
      </c>
      <c r="T206" s="166">
        <v>6.3E-2</v>
      </c>
      <c r="U206" s="166"/>
      <c r="V206" s="166"/>
      <c r="W206" s="166"/>
      <c r="X206" s="166"/>
      <c r="Y206" s="166"/>
      <c r="Z206" s="166"/>
      <c r="AA206" s="166"/>
      <c r="AB206" s="166"/>
      <c r="AC206" s="166"/>
      <c r="AD206" s="166"/>
      <c r="AE206" s="166"/>
      <c r="AF206" s="166"/>
      <c r="AG206" s="166"/>
      <c r="AH206" s="166"/>
    </row>
    <row r="207" spans="4:34" ht="20.100000000000001" customHeight="1" x14ac:dyDescent="0.2">
      <c r="D207" s="166" t="s">
        <v>1776</v>
      </c>
      <c r="E207" s="166" t="s">
        <v>1786</v>
      </c>
      <c r="F207" s="166" t="s">
        <v>370</v>
      </c>
      <c r="G207" s="166">
        <v>1</v>
      </c>
      <c r="H207" s="166"/>
      <c r="I207" s="166"/>
      <c r="J207" s="166"/>
      <c r="K207" s="166">
        <v>9</v>
      </c>
      <c r="L207" s="166">
        <v>19.8</v>
      </c>
      <c r="M207" s="166">
        <v>0</v>
      </c>
      <c r="N207" s="166">
        <v>10.4</v>
      </c>
      <c r="O207" s="166" t="s">
        <v>1600</v>
      </c>
      <c r="P207" s="166">
        <v>0.09</v>
      </c>
      <c r="Q207" s="166" t="s">
        <v>1602</v>
      </c>
      <c r="R207" s="166">
        <v>0.19800000000000001</v>
      </c>
      <c r="S207" s="166" t="s">
        <v>338</v>
      </c>
      <c r="T207" s="166">
        <v>0.104</v>
      </c>
      <c r="U207" s="166" t="s">
        <v>1648</v>
      </c>
      <c r="V207" s="166">
        <v>8.9999999999999993E-3</v>
      </c>
      <c r="W207" s="166"/>
      <c r="X207" s="166"/>
      <c r="Y207" s="166"/>
      <c r="Z207" s="166"/>
      <c r="AA207" s="166"/>
      <c r="AB207" s="166"/>
      <c r="AC207" s="166"/>
      <c r="AD207" s="166"/>
      <c r="AE207" s="166"/>
      <c r="AF207" s="166"/>
      <c r="AG207" s="166"/>
      <c r="AH207" s="166"/>
    </row>
    <row r="208" spans="4:34" ht="20.100000000000001" customHeight="1" x14ac:dyDescent="0.2">
      <c r="D208" s="166" t="s">
        <v>1776</v>
      </c>
      <c r="E208" s="166" t="s">
        <v>1787</v>
      </c>
      <c r="F208" s="166" t="s">
        <v>370</v>
      </c>
      <c r="G208" s="166">
        <v>1</v>
      </c>
      <c r="H208" s="166"/>
      <c r="I208" s="166"/>
      <c r="J208" s="166"/>
      <c r="K208" s="166">
        <v>11.9</v>
      </c>
      <c r="L208" s="166">
        <v>17.600000000000001</v>
      </c>
      <c r="M208" s="166">
        <v>0</v>
      </c>
      <c r="N208" s="166">
        <v>5.9</v>
      </c>
      <c r="O208" s="166" t="s">
        <v>1600</v>
      </c>
      <c r="P208" s="166">
        <v>0.11899999999999999</v>
      </c>
      <c r="Q208" s="166" t="s">
        <v>1602</v>
      </c>
      <c r="R208" s="166">
        <v>0.17599999999999999</v>
      </c>
      <c r="S208" s="166" t="s">
        <v>338</v>
      </c>
      <c r="T208" s="166">
        <v>5.8999999999999997E-2</v>
      </c>
      <c r="U208" s="166" t="s">
        <v>1648</v>
      </c>
      <c r="V208" s="166">
        <v>8.0000000000000002E-3</v>
      </c>
      <c r="W208" s="166"/>
      <c r="X208" s="166"/>
      <c r="Y208" s="166"/>
      <c r="Z208" s="166"/>
      <c r="AA208" s="166"/>
      <c r="AB208" s="166"/>
      <c r="AC208" s="166"/>
      <c r="AD208" s="166"/>
      <c r="AE208" s="166"/>
      <c r="AF208" s="166"/>
      <c r="AG208" s="166"/>
      <c r="AH208" s="166"/>
    </row>
    <row r="209" spans="1:34" ht="20.100000000000001" customHeight="1" x14ac:dyDescent="0.2">
      <c r="A209" s="81" t="str">
        <f>HYPERLINK("#A1", "▲ Back to top")</f>
        <v>▲ Back to top</v>
      </c>
      <c r="D209" s="166" t="s">
        <v>1776</v>
      </c>
      <c r="E209" s="166" t="s">
        <v>1788</v>
      </c>
      <c r="F209" s="166" t="s">
        <v>370</v>
      </c>
      <c r="G209" s="166">
        <v>1</v>
      </c>
      <c r="H209" s="166"/>
      <c r="I209" s="166"/>
      <c r="J209" s="166"/>
      <c r="K209" s="166">
        <v>14.1</v>
      </c>
      <c r="L209" s="166">
        <v>12.8</v>
      </c>
      <c r="M209" s="166">
        <v>0</v>
      </c>
      <c r="N209" s="166">
        <v>10.7</v>
      </c>
      <c r="O209" s="166" t="s">
        <v>1600</v>
      </c>
      <c r="P209" s="166">
        <v>0.14099999999999999</v>
      </c>
      <c r="Q209" s="166" t="s">
        <v>1602</v>
      </c>
      <c r="R209" s="166">
        <v>0.128</v>
      </c>
      <c r="S209" s="166" t="s">
        <v>338</v>
      </c>
      <c r="T209" s="166">
        <v>0.107</v>
      </c>
      <c r="U209" s="166" t="s">
        <v>1648</v>
      </c>
      <c r="V209" s="166">
        <v>6.0000000000000001E-3</v>
      </c>
      <c r="W209" s="166"/>
      <c r="X209" s="166"/>
      <c r="Y209" s="166"/>
      <c r="Z209" s="166"/>
      <c r="AA209" s="166"/>
      <c r="AB209" s="166"/>
      <c r="AC209" s="166"/>
      <c r="AD209" s="166"/>
      <c r="AE209" s="166"/>
      <c r="AF209" s="166"/>
      <c r="AG209" s="166"/>
      <c r="AH209" s="166"/>
    </row>
    <row r="210" spans="1:34" ht="20.100000000000001" customHeight="1" x14ac:dyDescent="0.2">
      <c r="D210" s="166" t="s">
        <v>1776</v>
      </c>
      <c r="E210" s="166" t="s">
        <v>1789</v>
      </c>
      <c r="F210" s="166" t="s">
        <v>370</v>
      </c>
      <c r="G210" s="166">
        <v>1</v>
      </c>
      <c r="H210" s="166"/>
      <c r="I210" s="166"/>
      <c r="J210" s="166"/>
      <c r="K210" s="166">
        <v>18.600000000000001</v>
      </c>
      <c r="L210" s="166">
        <v>12.7</v>
      </c>
      <c r="M210" s="166">
        <v>0</v>
      </c>
      <c r="N210" s="166">
        <v>6.8</v>
      </c>
      <c r="O210" s="166" t="s">
        <v>1600</v>
      </c>
      <c r="P210" s="166">
        <v>0.186</v>
      </c>
      <c r="Q210" s="166" t="s">
        <v>1602</v>
      </c>
      <c r="R210" s="166">
        <v>0.127</v>
      </c>
      <c r="S210" s="166" t="s">
        <v>338</v>
      </c>
      <c r="T210" s="166">
        <v>6.8000000000000005E-2</v>
      </c>
      <c r="U210" s="166" t="s">
        <v>1648</v>
      </c>
      <c r="V210" s="166">
        <v>6.0000000000000001E-3</v>
      </c>
      <c r="W210" s="166"/>
      <c r="X210" s="166"/>
      <c r="Y210" s="166"/>
      <c r="Z210" s="166"/>
      <c r="AA210" s="166"/>
      <c r="AB210" s="166"/>
      <c r="AC210" s="166"/>
      <c r="AD210" s="166"/>
      <c r="AE210" s="166"/>
      <c r="AF210" s="166"/>
      <c r="AG210" s="166"/>
      <c r="AH210" s="166"/>
    </row>
    <row r="211" spans="1:34" ht="20.100000000000001" customHeight="1" x14ac:dyDescent="0.2">
      <c r="D211" s="166" t="s">
        <v>1776</v>
      </c>
      <c r="E211" s="166" t="s">
        <v>1790</v>
      </c>
      <c r="F211" s="166" t="s">
        <v>370</v>
      </c>
      <c r="G211" s="166">
        <v>1</v>
      </c>
      <c r="H211" s="166"/>
      <c r="I211" s="166"/>
      <c r="J211" s="166"/>
      <c r="K211" s="166">
        <v>32</v>
      </c>
      <c r="L211" s="166">
        <v>0</v>
      </c>
      <c r="M211" s="166">
        <v>11</v>
      </c>
      <c r="N211" s="166">
        <v>3</v>
      </c>
      <c r="O211" s="166" t="s">
        <v>1600</v>
      </c>
      <c r="P211" s="166">
        <v>0.32</v>
      </c>
      <c r="Q211" s="166" t="s">
        <v>337</v>
      </c>
      <c r="R211" s="166">
        <v>0.11</v>
      </c>
      <c r="S211" s="166" t="s">
        <v>338</v>
      </c>
      <c r="T211" s="166">
        <v>0.03</v>
      </c>
      <c r="U211" s="166"/>
      <c r="V211" s="166"/>
      <c r="W211" s="166"/>
      <c r="X211" s="166"/>
      <c r="Y211" s="166"/>
      <c r="Z211" s="166"/>
      <c r="AA211" s="166"/>
      <c r="AB211" s="166"/>
      <c r="AC211" s="166"/>
      <c r="AD211" s="166"/>
      <c r="AE211" s="166"/>
      <c r="AF211" s="166"/>
      <c r="AG211" s="166"/>
      <c r="AH211" s="166"/>
    </row>
    <row r="212" spans="1:34" ht="20.100000000000001" customHeight="1" x14ac:dyDescent="0.2">
      <c r="D212" s="166" t="s">
        <v>1776</v>
      </c>
      <c r="E212" s="166" t="s">
        <v>1791</v>
      </c>
      <c r="F212" s="166" t="s">
        <v>370</v>
      </c>
      <c r="G212" s="166">
        <v>1</v>
      </c>
      <c r="H212" s="166"/>
      <c r="I212" s="166"/>
      <c r="J212" s="166"/>
      <c r="K212" s="166">
        <v>31</v>
      </c>
      <c r="L212" s="166">
        <v>6</v>
      </c>
      <c r="M212" s="166">
        <v>0</v>
      </c>
      <c r="N212" s="166">
        <v>6</v>
      </c>
      <c r="O212" s="166" t="s">
        <v>1600</v>
      </c>
      <c r="P212" s="166">
        <v>0.31</v>
      </c>
      <c r="Q212" s="166" t="s">
        <v>1602</v>
      </c>
      <c r="R212" s="166">
        <v>0.06</v>
      </c>
      <c r="S212" s="166" t="s">
        <v>338</v>
      </c>
      <c r="T212" s="166">
        <v>0.06</v>
      </c>
      <c r="U212" s="166"/>
      <c r="V212" s="166"/>
      <c r="W212" s="166"/>
      <c r="X212" s="166"/>
      <c r="Y212" s="166"/>
      <c r="Z212" s="166"/>
      <c r="AA212" s="166"/>
      <c r="AB212" s="166"/>
      <c r="AC212" s="166"/>
      <c r="AD212" s="166"/>
      <c r="AE212" s="166"/>
      <c r="AF212" s="166"/>
      <c r="AG212" s="166"/>
      <c r="AH212" s="166"/>
    </row>
    <row r="213" spans="1:34" ht="20.100000000000001" customHeight="1" x14ac:dyDescent="0.2">
      <c r="D213" s="166" t="s">
        <v>1776</v>
      </c>
      <c r="E213" s="166" t="s">
        <v>1792</v>
      </c>
      <c r="F213" s="166" t="s">
        <v>370</v>
      </c>
      <c r="G213" s="166">
        <v>1</v>
      </c>
      <c r="H213" s="166"/>
      <c r="I213" s="166"/>
      <c r="J213" s="166"/>
      <c r="K213" s="166">
        <v>21</v>
      </c>
      <c r="L213" s="166">
        <v>4</v>
      </c>
      <c r="M213" s="166">
        <v>8</v>
      </c>
      <c r="N213" s="166">
        <v>7</v>
      </c>
      <c r="O213" s="166" t="s">
        <v>1600</v>
      </c>
      <c r="P213" s="166">
        <v>0.21</v>
      </c>
      <c r="Q213" s="166" t="s">
        <v>1602</v>
      </c>
      <c r="R213" s="166">
        <v>0.04</v>
      </c>
      <c r="S213" s="166" t="s">
        <v>337</v>
      </c>
      <c r="T213" s="166">
        <v>0.08</v>
      </c>
      <c r="U213" s="166" t="s">
        <v>338</v>
      </c>
      <c r="V213" s="166">
        <v>7.0000000000000007E-2</v>
      </c>
      <c r="W213" s="166"/>
      <c r="X213" s="166"/>
      <c r="Y213" s="166"/>
      <c r="Z213" s="166"/>
      <c r="AA213" s="166"/>
      <c r="AB213" s="166"/>
      <c r="AC213" s="166"/>
      <c r="AD213" s="166"/>
      <c r="AE213" s="166"/>
      <c r="AF213" s="166"/>
      <c r="AG213" s="166"/>
      <c r="AH213" s="166"/>
    </row>
    <row r="214" spans="1:34" ht="20.100000000000001" customHeight="1" x14ac:dyDescent="0.2">
      <c r="D214" s="166" t="s">
        <v>1776</v>
      </c>
      <c r="E214" s="166" t="s">
        <v>1793</v>
      </c>
      <c r="F214" s="166" t="s">
        <v>370</v>
      </c>
      <c r="G214" s="166">
        <v>1</v>
      </c>
      <c r="H214" s="166"/>
      <c r="I214" s="166"/>
      <c r="J214" s="166"/>
      <c r="K214" s="166">
        <v>23</v>
      </c>
      <c r="L214" s="166">
        <v>0</v>
      </c>
      <c r="M214" s="166">
        <v>25</v>
      </c>
      <c r="N214" s="166">
        <v>0</v>
      </c>
      <c r="O214" s="166" t="s">
        <v>1600</v>
      </c>
      <c r="P214" s="166">
        <v>0.23</v>
      </c>
      <c r="Q214" s="166" t="s">
        <v>337</v>
      </c>
      <c r="R214" s="166">
        <v>0.25</v>
      </c>
      <c r="S214" s="166"/>
      <c r="T214" s="166"/>
      <c r="U214" s="166"/>
      <c r="V214" s="166"/>
      <c r="W214" s="166"/>
      <c r="X214" s="166"/>
      <c r="Y214" s="166"/>
      <c r="Z214" s="166"/>
      <c r="AA214" s="166"/>
      <c r="AB214" s="166"/>
      <c r="AC214" s="166"/>
      <c r="AD214" s="166"/>
      <c r="AE214" s="166"/>
      <c r="AF214" s="166"/>
      <c r="AG214" s="166"/>
      <c r="AH214" s="166"/>
    </row>
    <row r="215" spans="1:34" ht="20.100000000000001" customHeight="1" x14ac:dyDescent="0.2">
      <c r="D215" s="166" t="s">
        <v>1776</v>
      </c>
      <c r="E215" s="166" t="s">
        <v>1794</v>
      </c>
      <c r="F215" s="166" t="s">
        <v>370</v>
      </c>
      <c r="G215" s="166">
        <v>1</v>
      </c>
      <c r="H215" s="166"/>
      <c r="I215" s="166"/>
      <c r="J215" s="166"/>
      <c r="K215" s="166">
        <v>25</v>
      </c>
      <c r="L215" s="166">
        <v>4</v>
      </c>
      <c r="M215" s="166">
        <v>13</v>
      </c>
      <c r="N215" s="166">
        <v>4</v>
      </c>
      <c r="O215" s="166" t="s">
        <v>1600</v>
      </c>
      <c r="P215" s="166">
        <v>0.25</v>
      </c>
      <c r="Q215" s="166" t="s">
        <v>1602</v>
      </c>
      <c r="R215" s="166">
        <v>0.04</v>
      </c>
      <c r="S215" s="166" t="s">
        <v>337</v>
      </c>
      <c r="T215" s="166">
        <v>0.13</v>
      </c>
      <c r="U215" s="166" t="s">
        <v>338</v>
      </c>
      <c r="V215" s="166">
        <v>0.04</v>
      </c>
      <c r="W215" s="166"/>
      <c r="X215" s="166"/>
      <c r="Y215" s="166"/>
      <c r="Z215" s="166"/>
      <c r="AA215" s="166"/>
      <c r="AB215" s="166"/>
      <c r="AC215" s="166"/>
      <c r="AD215" s="166"/>
      <c r="AE215" s="166"/>
      <c r="AF215" s="166"/>
      <c r="AG215" s="166"/>
      <c r="AH215" s="166"/>
    </row>
    <row r="216" spans="1:34" ht="20.100000000000001" customHeight="1" x14ac:dyDescent="0.2">
      <c r="D216" s="166" t="s">
        <v>1776</v>
      </c>
      <c r="E216" s="166" t="s">
        <v>1795</v>
      </c>
      <c r="F216" s="166" t="s">
        <v>370</v>
      </c>
      <c r="G216" s="166">
        <v>1</v>
      </c>
      <c r="H216" s="166"/>
      <c r="I216" s="166"/>
      <c r="J216" s="166"/>
      <c r="K216" s="166">
        <v>13</v>
      </c>
      <c r="L216" s="166">
        <v>5</v>
      </c>
      <c r="M216" s="166">
        <v>24</v>
      </c>
      <c r="N216" s="166">
        <v>5</v>
      </c>
      <c r="O216" s="166" t="s">
        <v>1600</v>
      </c>
      <c r="P216" s="166">
        <v>0.13</v>
      </c>
      <c r="Q216" s="166" t="s">
        <v>1602</v>
      </c>
      <c r="R216" s="166">
        <v>0.05</v>
      </c>
      <c r="S216" s="166" t="s">
        <v>337</v>
      </c>
      <c r="T216" s="166">
        <v>0.24</v>
      </c>
      <c r="U216" s="166" t="s">
        <v>338</v>
      </c>
      <c r="V216" s="166">
        <v>0.05</v>
      </c>
      <c r="W216" s="166"/>
      <c r="X216" s="166"/>
      <c r="Y216" s="166"/>
      <c r="Z216" s="166"/>
      <c r="AA216" s="166"/>
      <c r="AB216" s="166"/>
      <c r="AC216" s="166"/>
      <c r="AD216" s="166"/>
      <c r="AE216" s="166"/>
      <c r="AF216" s="166"/>
      <c r="AG216" s="166"/>
      <c r="AH216" s="166"/>
    </row>
    <row r="217" spans="1:34" ht="20.100000000000001" customHeight="1" x14ac:dyDescent="0.2">
      <c r="D217" s="166" t="s">
        <v>1776</v>
      </c>
      <c r="E217" s="166" t="s">
        <v>1796</v>
      </c>
      <c r="F217" s="166" t="s">
        <v>370</v>
      </c>
      <c r="G217" s="166">
        <v>1</v>
      </c>
      <c r="H217" s="166"/>
      <c r="I217" s="166"/>
      <c r="J217" s="166"/>
      <c r="K217" s="166">
        <v>11</v>
      </c>
      <c r="L217" s="166">
        <v>5</v>
      </c>
      <c r="M217" s="166">
        <v>24</v>
      </c>
      <c r="N217" s="166">
        <v>4</v>
      </c>
      <c r="O217" s="166" t="s">
        <v>1600</v>
      </c>
      <c r="P217" s="166">
        <v>0.11</v>
      </c>
      <c r="Q217" s="166" t="s">
        <v>1602</v>
      </c>
      <c r="R217" s="166">
        <v>0.05</v>
      </c>
      <c r="S217" s="166" t="s">
        <v>337</v>
      </c>
      <c r="T217" s="166">
        <v>0.24</v>
      </c>
      <c r="U217" s="166" t="s">
        <v>338</v>
      </c>
      <c r="V217" s="166">
        <v>0.04</v>
      </c>
      <c r="W217" s="166"/>
      <c r="X217" s="166"/>
      <c r="Y217" s="166"/>
      <c r="Z217" s="166"/>
      <c r="AA217" s="166"/>
      <c r="AB217" s="166"/>
      <c r="AC217" s="166"/>
      <c r="AD217" s="166"/>
      <c r="AE217" s="166"/>
      <c r="AF217" s="166"/>
      <c r="AG217" s="166"/>
      <c r="AH217" s="166"/>
    </row>
    <row r="218" spans="1:34" ht="20.100000000000001" customHeight="1" x14ac:dyDescent="0.2">
      <c r="D218" s="166" t="s">
        <v>1776</v>
      </c>
      <c r="E218" s="166" t="s">
        <v>1797</v>
      </c>
      <c r="F218" s="166" t="s">
        <v>370</v>
      </c>
      <c r="G218" s="166">
        <v>1</v>
      </c>
      <c r="H218" s="166"/>
      <c r="I218" s="166"/>
      <c r="J218" s="166"/>
      <c r="K218" s="166">
        <v>11</v>
      </c>
      <c r="L218" s="166">
        <v>8</v>
      </c>
      <c r="M218" s="166">
        <v>20</v>
      </c>
      <c r="N218" s="166">
        <v>6</v>
      </c>
      <c r="O218" s="166" t="s">
        <v>1600</v>
      </c>
      <c r="P218" s="166">
        <v>0.11</v>
      </c>
      <c r="Q218" s="166" t="s">
        <v>1602</v>
      </c>
      <c r="R218" s="166">
        <v>0.08</v>
      </c>
      <c r="S218" s="166" t="s">
        <v>337</v>
      </c>
      <c r="T218" s="166">
        <v>0.2</v>
      </c>
      <c r="U218" s="166" t="s">
        <v>338</v>
      </c>
      <c r="V218" s="166">
        <v>0.06</v>
      </c>
      <c r="W218" s="166"/>
      <c r="X218" s="166"/>
      <c r="Y218" s="166"/>
      <c r="Z218" s="166"/>
      <c r="AA218" s="166"/>
      <c r="AB218" s="166"/>
      <c r="AC218" s="166"/>
      <c r="AD218" s="166"/>
      <c r="AE218" s="166"/>
      <c r="AF218" s="166"/>
      <c r="AG218" s="166"/>
      <c r="AH218" s="166"/>
    </row>
    <row r="219" spans="1:34" ht="20.100000000000001" customHeight="1" x14ac:dyDescent="0.2">
      <c r="D219" s="166" t="s">
        <v>1776</v>
      </c>
      <c r="E219" s="166" t="s">
        <v>1798</v>
      </c>
      <c r="F219" s="166" t="s">
        <v>370</v>
      </c>
      <c r="G219" s="166">
        <v>1</v>
      </c>
      <c r="H219" s="166"/>
      <c r="I219" s="166"/>
      <c r="J219" s="166"/>
      <c r="K219" s="166">
        <v>9</v>
      </c>
      <c r="L219" s="166">
        <v>4</v>
      </c>
      <c r="M219" s="166">
        <v>5</v>
      </c>
      <c r="N219" s="166">
        <v>15</v>
      </c>
      <c r="O219" s="166" t="s">
        <v>1600</v>
      </c>
      <c r="P219" s="166">
        <v>0.09</v>
      </c>
      <c r="Q219" s="166" t="s">
        <v>1602</v>
      </c>
      <c r="R219" s="166">
        <v>0.04</v>
      </c>
      <c r="S219" s="166" t="s">
        <v>337</v>
      </c>
      <c r="T219" s="166">
        <v>0.05</v>
      </c>
      <c r="U219" s="166" t="s">
        <v>338</v>
      </c>
      <c r="V219" s="166">
        <v>0.15</v>
      </c>
      <c r="W219" s="166"/>
      <c r="X219" s="166"/>
      <c r="Y219" s="166"/>
      <c r="Z219" s="166"/>
      <c r="AA219" s="166"/>
      <c r="AB219" s="166"/>
      <c r="AC219" s="166"/>
      <c r="AD219" s="166"/>
      <c r="AE219" s="166"/>
      <c r="AF219" s="166"/>
      <c r="AG219" s="166"/>
      <c r="AH219" s="166"/>
    </row>
    <row r="220" spans="1:34" ht="20.100000000000001" customHeight="1" x14ac:dyDescent="0.2">
      <c r="D220" s="166" t="s">
        <v>1769</v>
      </c>
      <c r="E220" s="166" t="s">
        <v>1799</v>
      </c>
      <c r="F220" s="166" t="s">
        <v>370</v>
      </c>
      <c r="G220" s="166">
        <v>1</v>
      </c>
      <c r="H220" s="166"/>
      <c r="I220" s="166"/>
      <c r="J220" s="166"/>
      <c r="K220" s="166">
        <v>10.73</v>
      </c>
      <c r="L220" s="166">
        <v>10.95</v>
      </c>
      <c r="M220" s="166">
        <v>11.35</v>
      </c>
      <c r="N220" s="166">
        <v>6.55</v>
      </c>
      <c r="O220" s="166" t="s">
        <v>1586</v>
      </c>
      <c r="P220" s="166">
        <v>0.5</v>
      </c>
      <c r="Q220" s="166" t="s">
        <v>1590</v>
      </c>
      <c r="R220" s="166">
        <v>0.27300000000000002</v>
      </c>
      <c r="S220" s="166" t="s">
        <v>1608</v>
      </c>
      <c r="T220" s="166">
        <v>0.22700000000000001</v>
      </c>
      <c r="U220" s="166" t="s">
        <v>1651</v>
      </c>
      <c r="V220" s="166" t="s">
        <v>948</v>
      </c>
      <c r="W220" s="166" t="s">
        <v>1648</v>
      </c>
      <c r="X220" s="166" t="s">
        <v>948</v>
      </c>
      <c r="Y220" s="166"/>
      <c r="Z220" s="166"/>
      <c r="AA220" s="166"/>
      <c r="AB220" s="166"/>
      <c r="AC220" s="166"/>
      <c r="AD220" s="166"/>
      <c r="AE220" s="166"/>
      <c r="AF220" s="166"/>
      <c r="AG220" s="166"/>
      <c r="AH220" s="166"/>
    </row>
    <row r="221" spans="1:34" ht="20.100000000000001" customHeight="1" x14ac:dyDescent="0.2">
      <c r="D221" s="166" t="s">
        <v>1769</v>
      </c>
      <c r="E221" s="166" t="s">
        <v>1800</v>
      </c>
      <c r="F221" s="166" t="s">
        <v>370</v>
      </c>
      <c r="G221" s="166">
        <v>1</v>
      </c>
      <c r="H221" s="166"/>
      <c r="I221" s="166"/>
      <c r="J221" s="166"/>
      <c r="K221" s="166">
        <v>16.95</v>
      </c>
      <c r="L221" s="166">
        <v>8.06</v>
      </c>
      <c r="M221" s="166"/>
      <c r="N221" s="166">
        <v>15.17</v>
      </c>
      <c r="O221" s="166" t="s">
        <v>1590</v>
      </c>
      <c r="P221" s="166">
        <v>0.63200000000000001</v>
      </c>
      <c r="Q221" s="166" t="s">
        <v>1586</v>
      </c>
      <c r="R221" s="166">
        <v>0.36799999999999999</v>
      </c>
      <c r="S221" s="166" t="s">
        <v>1648</v>
      </c>
      <c r="T221" s="166" t="s">
        <v>948</v>
      </c>
      <c r="U221" s="166" t="s">
        <v>1651</v>
      </c>
      <c r="V221" s="166" t="s">
        <v>948</v>
      </c>
      <c r="W221" s="166" t="s">
        <v>1695</v>
      </c>
      <c r="X221" s="166" t="s">
        <v>948</v>
      </c>
      <c r="Y221" s="166" t="s">
        <v>1801</v>
      </c>
      <c r="Z221" s="166" t="s">
        <v>948</v>
      </c>
      <c r="AA221" s="166"/>
      <c r="AB221" s="166"/>
      <c r="AC221" s="166"/>
      <c r="AD221" s="166"/>
      <c r="AE221" s="166"/>
      <c r="AF221" s="166"/>
      <c r="AG221" s="166"/>
      <c r="AH221" s="166"/>
    </row>
    <row r="222" spans="1:34" ht="20.100000000000001" customHeight="1" x14ac:dyDescent="0.2">
      <c r="D222" s="166" t="s">
        <v>1769</v>
      </c>
      <c r="E222" s="166" t="s">
        <v>1802</v>
      </c>
      <c r="F222" s="166" t="s">
        <v>370</v>
      </c>
      <c r="G222" s="166">
        <v>1</v>
      </c>
      <c r="H222" s="166"/>
      <c r="I222" s="166"/>
      <c r="J222" s="166"/>
      <c r="K222" s="166"/>
      <c r="L222" s="166">
        <v>8.8000000000000007</v>
      </c>
      <c r="M222" s="166"/>
      <c r="N222" s="166">
        <v>11</v>
      </c>
      <c r="O222" s="166" t="s">
        <v>1610</v>
      </c>
      <c r="P222" s="166">
        <v>1</v>
      </c>
      <c r="Q222" s="166" t="s">
        <v>1651</v>
      </c>
      <c r="R222" s="166">
        <v>6.0000000000000001E-3</v>
      </c>
      <c r="S222" s="166" t="s">
        <v>1648</v>
      </c>
      <c r="T222" s="166">
        <v>3.0000000000000001E-3</v>
      </c>
      <c r="U222" s="166" t="s">
        <v>1695</v>
      </c>
      <c r="V222" s="166">
        <v>5.9999999999999995E-4</v>
      </c>
      <c r="W222" s="166"/>
      <c r="X222" s="166"/>
      <c r="Y222" s="166"/>
      <c r="Z222" s="166"/>
      <c r="AA222" s="166"/>
      <c r="AB222" s="166"/>
      <c r="AC222" s="166"/>
      <c r="AD222" s="166"/>
      <c r="AE222" s="166"/>
      <c r="AF222" s="166"/>
      <c r="AG222" s="166"/>
      <c r="AH222" s="166"/>
    </row>
    <row r="223" spans="1:34" ht="20.100000000000001" customHeight="1" x14ac:dyDescent="0.2">
      <c r="D223" s="166" t="s">
        <v>1769</v>
      </c>
      <c r="E223" s="166" t="s">
        <v>1803</v>
      </c>
      <c r="F223" s="166" t="s">
        <v>621</v>
      </c>
      <c r="G223" s="166">
        <v>1.32</v>
      </c>
      <c r="H223" s="166"/>
      <c r="I223" s="166"/>
      <c r="J223" s="166"/>
      <c r="K223" s="166">
        <v>32</v>
      </c>
      <c r="L223" s="166"/>
      <c r="M223" s="166"/>
      <c r="N223" s="166"/>
      <c r="O223" s="166" t="s">
        <v>1591</v>
      </c>
      <c r="P223" s="166">
        <v>1</v>
      </c>
      <c r="Q223" s="166"/>
      <c r="R223" s="166"/>
      <c r="S223" s="166"/>
      <c r="T223" s="166"/>
      <c r="U223" s="166"/>
      <c r="V223" s="166"/>
      <c r="W223" s="166"/>
      <c r="X223" s="166"/>
      <c r="Y223" s="166"/>
      <c r="Z223" s="166"/>
      <c r="AA223" s="166"/>
      <c r="AB223" s="166"/>
      <c r="AC223" s="166"/>
      <c r="AD223" s="166"/>
      <c r="AE223" s="166"/>
      <c r="AF223" s="166"/>
      <c r="AG223" s="166"/>
      <c r="AH223" s="166"/>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18495-D5ED-4A27-8ED5-FF2BC7586AA8}">
  <sheetPr>
    <tabColor theme="2" tint="-0.499984740745262"/>
  </sheetPr>
  <dimension ref="A1:AI162"/>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596</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
        <v>1804</v>
      </c>
      <c r="E5" s="155"/>
      <c r="F5" s="155"/>
      <c r="G5" s="155"/>
      <c r="H5" s="155"/>
      <c r="I5" s="155"/>
      <c r="J5" s="155"/>
      <c r="K5" s="155"/>
      <c r="L5" s="155"/>
    </row>
    <row r="6" spans="1:35" ht="20.100000000000001" customHeight="1" x14ac:dyDescent="0.2">
      <c r="D6" s="1" t="s">
        <v>1805</v>
      </c>
      <c r="E6" s="155"/>
      <c r="F6" s="155"/>
      <c r="G6" s="155"/>
      <c r="H6" s="155"/>
      <c r="I6" s="155"/>
      <c r="J6" s="155"/>
      <c r="K6" s="155"/>
      <c r="L6" s="155"/>
    </row>
    <row r="7" spans="1:35" ht="20.100000000000001" customHeight="1" x14ac:dyDescent="0.2">
      <c r="D7" s="17" t="s">
        <v>1806</v>
      </c>
      <c r="E7" s="155"/>
      <c r="F7" s="155"/>
      <c r="G7" s="155"/>
      <c r="H7" s="155"/>
      <c r="I7" s="155"/>
      <c r="J7" s="155"/>
      <c r="K7" s="155"/>
      <c r="L7" s="155"/>
    </row>
    <row r="8" spans="1:35" ht="20.100000000000001" customHeight="1" x14ac:dyDescent="0.2">
      <c r="A8" s="7" t="s">
        <v>0</v>
      </c>
      <c r="D8" s="26" t="str" cm="1">
        <f t="array" ref="D8">"⚠️" &amp; Fuel_SourceData.Fuel_Scope1Scope3EmissionFactorsTransport_Variation()</f>
        <v>⚠️VARIATION OF SOURCE DATA: 'NE' values returned as zero for calculations.</v>
      </c>
      <c r="E8" s="155"/>
      <c r="F8" s="155"/>
      <c r="G8" s="155"/>
      <c r="H8" s="155"/>
      <c r="I8" s="155"/>
      <c r="J8" s="155"/>
      <c r="K8" s="155"/>
      <c r="L8" s="155"/>
    </row>
    <row r="9" spans="1:35" ht="20.100000000000001" customHeight="1" x14ac:dyDescent="0.2">
      <c r="A9" s="5" t="str">
        <f>HYPERLINK("#'Input - Enterprise'!A1", "Enterprise")</f>
        <v>Enterprise</v>
      </c>
      <c r="D9" s="206" t="s">
        <v>597</v>
      </c>
      <c r="E9" s="206" t="s">
        <v>598</v>
      </c>
      <c r="F9" s="206" t="s">
        <v>599</v>
      </c>
      <c r="G9" s="206" t="s">
        <v>600</v>
      </c>
      <c r="H9" s="206" t="s">
        <v>601</v>
      </c>
      <c r="I9" s="206" t="s">
        <v>602</v>
      </c>
      <c r="J9" s="206" t="s">
        <v>603</v>
      </c>
      <c r="K9" s="206" t="s">
        <v>604</v>
      </c>
      <c r="L9" s="206" t="s">
        <v>605</v>
      </c>
    </row>
    <row r="10" spans="1:35" ht="20.100000000000001" customHeight="1" x14ac:dyDescent="0.2">
      <c r="A10" s="5" t="str">
        <f>HYPERLINK("#'Input - Site'!A1", "Site")</f>
        <v>Site</v>
      </c>
      <c r="D10" s="207" t="s">
        <v>560</v>
      </c>
      <c r="E10" s="207" t="s">
        <v>1807</v>
      </c>
      <c r="F10" s="207">
        <v>34.200000000000003</v>
      </c>
      <c r="G10" s="207" t="s">
        <v>1808</v>
      </c>
      <c r="H10" s="207">
        <v>67.400000000000006</v>
      </c>
      <c r="I10" s="207">
        <v>0.02</v>
      </c>
      <c r="J10" s="207">
        <v>0.2</v>
      </c>
      <c r="K10" s="207">
        <v>67.62</v>
      </c>
      <c r="L10" s="207">
        <v>17.2</v>
      </c>
    </row>
    <row r="11" spans="1:35" ht="20.100000000000001" customHeight="1" x14ac:dyDescent="0.2">
      <c r="A11" s="5" t="str">
        <f>HYPERLINK("#'Input - Crop'!A1", "Crop")</f>
        <v>Crop</v>
      </c>
      <c r="D11" s="207" t="s">
        <v>560</v>
      </c>
      <c r="E11" s="207" t="s">
        <v>1809</v>
      </c>
      <c r="F11" s="207">
        <v>38.6</v>
      </c>
      <c r="G11" s="207" t="s">
        <v>1808</v>
      </c>
      <c r="H11" s="207">
        <v>69.900000000000006</v>
      </c>
      <c r="I11" s="207">
        <v>0.01</v>
      </c>
      <c r="J11" s="207">
        <v>0.5</v>
      </c>
      <c r="K11" s="207">
        <v>70.41</v>
      </c>
      <c r="L11" s="207">
        <v>17.3</v>
      </c>
    </row>
    <row r="12" spans="1:35" ht="20.100000000000001" customHeight="1" x14ac:dyDescent="0.2">
      <c r="A12" s="5" t="str">
        <f>HYPERLINK("#'Input - Fert Prod System'!A1", "Fert Prod System")</f>
        <v>Fert Prod System</v>
      </c>
      <c r="D12" s="207" t="s">
        <v>560</v>
      </c>
      <c r="E12" s="207" t="s">
        <v>622</v>
      </c>
      <c r="F12" s="207">
        <v>26.2</v>
      </c>
      <c r="G12" s="207" t="s">
        <v>1808</v>
      </c>
      <c r="H12" s="207">
        <v>60.2</v>
      </c>
      <c r="I12" s="207">
        <v>0.5</v>
      </c>
      <c r="J12" s="207">
        <v>0.3</v>
      </c>
      <c r="K12" s="207">
        <v>61</v>
      </c>
      <c r="L12" s="207">
        <v>20.2</v>
      </c>
    </row>
    <row r="13" spans="1:35" ht="20.100000000000001" customHeight="1" x14ac:dyDescent="0.2">
      <c r="A13" s="5" t="str">
        <f>HYPERLINK("#'Input - Fertiliser'!A1", "Fertiliser")</f>
        <v>Fertiliser</v>
      </c>
      <c r="D13" s="207" t="s">
        <v>560</v>
      </c>
      <c r="E13" s="207" t="s">
        <v>564</v>
      </c>
      <c r="F13" s="207">
        <v>39.700000000000003</v>
      </c>
      <c r="G13" s="207" t="s">
        <v>1808</v>
      </c>
      <c r="H13" s="207">
        <v>73.599999999999994</v>
      </c>
      <c r="I13" s="207">
        <v>0.08</v>
      </c>
      <c r="J13" s="207">
        <v>0.5</v>
      </c>
      <c r="K13" s="207">
        <v>74.180000000000007</v>
      </c>
      <c r="L13" s="207">
        <v>18</v>
      </c>
    </row>
    <row r="14" spans="1:35" ht="20.100000000000001" customHeight="1" x14ac:dyDescent="0.2">
      <c r="A14" s="5" t="str">
        <f>HYPERLINK("#'Input - Fuel'!A1", "Fuel")</f>
        <v>Fuel</v>
      </c>
      <c r="D14" s="207" t="s">
        <v>560</v>
      </c>
      <c r="E14" s="207" t="s">
        <v>624</v>
      </c>
      <c r="F14" s="207">
        <v>23.4</v>
      </c>
      <c r="G14" s="207" t="s">
        <v>1808</v>
      </c>
      <c r="H14" s="207">
        <v>0</v>
      </c>
      <c r="I14" s="207">
        <v>0.2</v>
      </c>
      <c r="J14" s="207">
        <v>0.2</v>
      </c>
      <c r="K14" s="207">
        <v>0.4</v>
      </c>
      <c r="L14" s="207" t="s">
        <v>1810</v>
      </c>
    </row>
    <row r="15" spans="1:35" ht="20.100000000000001" customHeight="1" x14ac:dyDescent="0.2">
      <c r="A15" s="5" t="str">
        <f>HYPERLINK("#'Input - Electricity'!A1", "Electricity")</f>
        <v>Electricity</v>
      </c>
      <c r="D15" s="207" t="s">
        <v>560</v>
      </c>
      <c r="E15" s="207" t="s">
        <v>623</v>
      </c>
      <c r="F15" s="207">
        <v>34.6</v>
      </c>
      <c r="G15" s="207" t="s">
        <v>1808</v>
      </c>
      <c r="H15" s="207">
        <v>0</v>
      </c>
      <c r="I15" s="207">
        <v>0.8</v>
      </c>
      <c r="J15" s="207">
        <v>1.7</v>
      </c>
      <c r="K15" s="207">
        <v>2.5</v>
      </c>
      <c r="L15" s="207" t="s">
        <v>1810</v>
      </c>
    </row>
    <row r="16" spans="1:35" ht="20.100000000000001" customHeight="1" x14ac:dyDescent="0.2">
      <c r="A16" s="5" t="str">
        <f>HYPERLINK("#'Input - Common farm inputs'!A1", "Common farm inputs")</f>
        <v>Common farm inputs</v>
      </c>
      <c r="D16" s="207" t="s">
        <v>560</v>
      </c>
      <c r="E16" s="207" t="s">
        <v>626</v>
      </c>
      <c r="F16" s="207">
        <v>38.6</v>
      </c>
      <c r="G16" s="207" t="s">
        <v>1808</v>
      </c>
      <c r="H16" s="207">
        <v>0</v>
      </c>
      <c r="I16" s="207">
        <v>0.01</v>
      </c>
      <c r="J16" s="207">
        <v>0.5</v>
      </c>
      <c r="K16" s="207">
        <v>0.51</v>
      </c>
      <c r="L16" s="207" t="s">
        <v>1810</v>
      </c>
    </row>
    <row r="17" spans="1:12" ht="20.100000000000001" customHeight="1" x14ac:dyDescent="0.2">
      <c r="A17" s="5" t="str">
        <f>HYPERLINK("#'Input - Crop pasture farm input'!A1", "Crop pasture farm input")</f>
        <v>Crop pasture farm input</v>
      </c>
      <c r="D17" s="207" t="s">
        <v>560</v>
      </c>
      <c r="E17" s="207" t="s">
        <v>625</v>
      </c>
      <c r="F17" s="207">
        <v>23.4</v>
      </c>
      <c r="G17" s="207" t="s">
        <v>1808</v>
      </c>
      <c r="H17" s="207">
        <v>0</v>
      </c>
      <c r="I17" s="207">
        <v>0.8</v>
      </c>
      <c r="J17" s="207">
        <v>1.7</v>
      </c>
      <c r="K17" s="207">
        <v>2.5</v>
      </c>
      <c r="L17" s="207" t="s">
        <v>1810</v>
      </c>
    </row>
    <row r="18" spans="1:12" ht="20.100000000000001" customHeight="1" x14ac:dyDescent="0.2">
      <c r="A18" s="5" t="str">
        <f>HYPERLINK("#'Input - Freight'!A1", "Freight")</f>
        <v>Freight</v>
      </c>
      <c r="D18" s="207" t="s">
        <v>1811</v>
      </c>
      <c r="E18" s="207" t="s">
        <v>1812</v>
      </c>
      <c r="F18" s="207">
        <v>3.9300000000000002E-2</v>
      </c>
      <c r="G18" s="207" t="s">
        <v>1313</v>
      </c>
      <c r="H18" s="207">
        <v>51.4</v>
      </c>
      <c r="I18" s="207">
        <v>7.3</v>
      </c>
      <c r="J18" s="207">
        <v>0.3</v>
      </c>
      <c r="K18" s="207">
        <v>59</v>
      </c>
      <c r="L18" s="207">
        <v>18</v>
      </c>
    </row>
    <row r="19" spans="1:12" ht="20.100000000000001" customHeight="1" x14ac:dyDescent="0.2">
      <c r="A19" s="5" t="str">
        <f>HYPERLINK("#'Input - Solid waste'!A1", "Solid waste")</f>
        <v>Solid waste</v>
      </c>
      <c r="D19" s="207" t="s">
        <v>1811</v>
      </c>
      <c r="E19" s="207" t="s">
        <v>1813</v>
      </c>
      <c r="F19" s="207">
        <v>25.3</v>
      </c>
      <c r="G19" s="207" t="s">
        <v>1808</v>
      </c>
      <c r="H19" s="207">
        <v>51.4</v>
      </c>
      <c r="I19" s="207">
        <v>7.3</v>
      </c>
      <c r="J19" s="207">
        <v>0.3</v>
      </c>
      <c r="K19" s="207">
        <v>59</v>
      </c>
      <c r="L19" s="207">
        <v>18</v>
      </c>
    </row>
    <row r="20" spans="1:12" ht="20.100000000000001" customHeight="1" x14ac:dyDescent="0.2">
      <c r="A20" s="5" t="str">
        <f>HYPERLINK("#'Input - Data quality'!A1", "Data quality")</f>
        <v>Data quality</v>
      </c>
      <c r="D20" s="207" t="s">
        <v>1814</v>
      </c>
      <c r="E20" s="207" t="s">
        <v>1812</v>
      </c>
      <c r="F20" s="207">
        <v>3.9300000000000002E-2</v>
      </c>
      <c r="G20" s="207" t="s">
        <v>1313</v>
      </c>
      <c r="H20" s="207">
        <v>51.4</v>
      </c>
      <c r="I20" s="207">
        <v>2.8</v>
      </c>
      <c r="J20" s="207">
        <v>0.3</v>
      </c>
      <c r="K20" s="207">
        <v>54.5</v>
      </c>
      <c r="L20" s="207">
        <v>18</v>
      </c>
    </row>
    <row r="21" spans="1:12" ht="20.100000000000001" customHeight="1" x14ac:dyDescent="0.2">
      <c r="D21" s="207" t="s">
        <v>1814</v>
      </c>
      <c r="E21" s="207" t="s">
        <v>1813</v>
      </c>
      <c r="F21" s="207">
        <v>25.3</v>
      </c>
      <c r="G21" s="207" t="s">
        <v>1808</v>
      </c>
      <c r="H21" s="207">
        <v>51.4</v>
      </c>
      <c r="I21" s="207">
        <v>2.8</v>
      </c>
      <c r="J21" s="207">
        <v>0.3</v>
      </c>
      <c r="K21" s="207">
        <v>54.5</v>
      </c>
      <c r="L21" s="207">
        <v>18</v>
      </c>
    </row>
    <row r="22" spans="1:12" ht="20.100000000000001" customHeight="1" x14ac:dyDescent="0.2">
      <c r="D22" s="207" t="s">
        <v>1814</v>
      </c>
      <c r="E22" s="207" t="s">
        <v>1815</v>
      </c>
      <c r="F22" s="207">
        <v>38.6</v>
      </c>
      <c r="G22" s="207" t="s">
        <v>1808</v>
      </c>
      <c r="H22" s="207">
        <v>69.900000000000006</v>
      </c>
      <c r="I22" s="207">
        <v>7.0000000000000007E-2</v>
      </c>
      <c r="J22" s="207">
        <v>0.4</v>
      </c>
      <c r="K22" s="207">
        <v>70.37</v>
      </c>
      <c r="L22" s="207">
        <v>17.3</v>
      </c>
    </row>
    <row r="23" spans="1:12" ht="20.100000000000001" customHeight="1" x14ac:dyDescent="0.2">
      <c r="A23" s="6" t="s">
        <v>2</v>
      </c>
      <c r="D23" s="207" t="s">
        <v>1814</v>
      </c>
      <c r="E23" s="207" t="s">
        <v>1816</v>
      </c>
      <c r="F23" s="207">
        <v>38.6</v>
      </c>
      <c r="G23" s="207" t="s">
        <v>1808</v>
      </c>
      <c r="H23" s="207">
        <v>69.900000000000006</v>
      </c>
      <c r="I23" s="207">
        <v>0.1</v>
      </c>
      <c r="J23" s="207">
        <v>0.4</v>
      </c>
      <c r="K23" s="207">
        <v>70.400000000000006</v>
      </c>
      <c r="L23" s="207">
        <v>17.3</v>
      </c>
    </row>
    <row r="24" spans="1:12" ht="20.100000000000001" customHeight="1" x14ac:dyDescent="0.2">
      <c r="A24" s="5" t="str">
        <f>HYPERLINK("#'5.1.1.1-2 Inorganic fert N2O'!A1", "5.1.1.1-2 Inorganic fert N2O")</f>
        <v>5.1.1.1-2 Inorganic fert N2O</v>
      </c>
      <c r="D24" s="207" t="s">
        <v>1814</v>
      </c>
      <c r="E24" s="207" t="s">
        <v>1817</v>
      </c>
      <c r="F24" s="207">
        <v>38.6</v>
      </c>
      <c r="G24" s="207" t="s">
        <v>1808</v>
      </c>
      <c r="H24" s="207">
        <v>69.900000000000006</v>
      </c>
      <c r="I24" s="207">
        <v>0.2</v>
      </c>
      <c r="J24" s="207">
        <v>0.4</v>
      </c>
      <c r="K24" s="207">
        <v>70.5</v>
      </c>
      <c r="L24" s="207">
        <v>17.3</v>
      </c>
    </row>
    <row r="25" spans="1:12" ht="20.100000000000001" customHeight="1" x14ac:dyDescent="0.2">
      <c r="A25" s="5" t="str">
        <f>HYPERLINK("#'5.1.1.3-4 Inorganic fert CO2'!A1", "5.1.1.3-4 Inorganic fert CO2")</f>
        <v>5.1.1.3-4 Inorganic fert CO2</v>
      </c>
      <c r="D25" s="207" t="s">
        <v>1814</v>
      </c>
      <c r="E25" s="207" t="s">
        <v>634</v>
      </c>
      <c r="F25" s="207">
        <v>38.6</v>
      </c>
      <c r="G25" s="207" t="s">
        <v>1808</v>
      </c>
      <c r="H25" s="207">
        <v>0</v>
      </c>
      <c r="I25" s="207">
        <v>7.0000000000000007E-2</v>
      </c>
      <c r="J25" s="207">
        <v>0.4</v>
      </c>
      <c r="K25" s="207">
        <v>0.47</v>
      </c>
      <c r="L25" s="207" t="s">
        <v>1810</v>
      </c>
    </row>
    <row r="26" spans="1:12" ht="20.100000000000001" customHeight="1" x14ac:dyDescent="0.2">
      <c r="A26" s="5" t="str">
        <f>HYPERLINK("#'5.2.1.1-2 Organic Fert N2O'!A1", "5.2.1.1-2 Organic fert N2O")</f>
        <v>5.2.1.1-2 Organic fert N2O</v>
      </c>
      <c r="D26" s="207" t="s">
        <v>1814</v>
      </c>
      <c r="E26" s="207" t="s">
        <v>635</v>
      </c>
      <c r="F26" s="207">
        <v>38.6</v>
      </c>
      <c r="G26" s="207" t="s">
        <v>1808</v>
      </c>
      <c r="H26" s="207">
        <v>0</v>
      </c>
      <c r="I26" s="207">
        <v>0.1</v>
      </c>
      <c r="J26" s="207">
        <v>0.4</v>
      </c>
      <c r="K26" s="207">
        <v>0.5</v>
      </c>
      <c r="L26" s="207" t="s">
        <v>1810</v>
      </c>
    </row>
    <row r="27" spans="1:12" ht="20.100000000000001" customHeight="1" x14ac:dyDescent="0.2">
      <c r="A27" s="5" t="str">
        <f>HYPERLINK("#'5.3.1.1-2 Lime CO2'!A1", "5.3.1.1-2 Lime CO2")</f>
        <v>5.3.1.1-2 Lime CO2</v>
      </c>
      <c r="D27" s="207" t="s">
        <v>1814</v>
      </c>
      <c r="E27" s="207" t="s">
        <v>636</v>
      </c>
      <c r="F27" s="207">
        <v>38.6</v>
      </c>
      <c r="G27" s="207" t="s">
        <v>1808</v>
      </c>
      <c r="H27" s="207">
        <v>0</v>
      </c>
      <c r="I27" s="207">
        <v>0.2</v>
      </c>
      <c r="J27" s="207">
        <v>0.4</v>
      </c>
      <c r="K27" s="207">
        <v>0.6</v>
      </c>
      <c r="L27" s="207" t="s">
        <v>1810</v>
      </c>
    </row>
    <row r="28" spans="1:12" ht="20.100000000000001" customHeight="1" x14ac:dyDescent="0.2">
      <c r="A28" s="5" t="str">
        <f>HYPERLINK("#'5.4.1.1-4 Atmos deposition'!A1", "5.4.1.1-4 Atmos. deposition")</f>
        <v>5.4.1.1-4 Atmos. deposition</v>
      </c>
      <c r="D28" s="207" t="s">
        <v>617</v>
      </c>
      <c r="E28" s="207" t="s">
        <v>1818</v>
      </c>
      <c r="F28" s="207">
        <v>33.1</v>
      </c>
      <c r="G28" s="207" t="s">
        <v>1808</v>
      </c>
      <c r="H28" s="207">
        <v>67</v>
      </c>
      <c r="I28" s="207">
        <v>0.06</v>
      </c>
      <c r="J28" s="207">
        <v>0.6</v>
      </c>
      <c r="K28" s="207">
        <v>67.66</v>
      </c>
      <c r="L28" s="207">
        <v>18</v>
      </c>
    </row>
    <row r="29" spans="1:12" ht="20.100000000000001" customHeight="1" x14ac:dyDescent="0.2">
      <c r="A29" s="5" t="str">
        <f>HYPERLINK("#'5.5.1.1-2 Leaching and runoff'!A1", "5.5.1.1-2 Leaching &amp; runoff")</f>
        <v>5.5.1.1-2 Leaching &amp; runoff</v>
      </c>
      <c r="D29" s="207" t="s">
        <v>617</v>
      </c>
      <c r="E29" s="207" t="s">
        <v>1819</v>
      </c>
      <c r="F29" s="207">
        <v>36.799999999999997</v>
      </c>
      <c r="G29" s="207" t="s">
        <v>1808</v>
      </c>
      <c r="H29" s="207">
        <v>69.599999999999994</v>
      </c>
      <c r="I29" s="207">
        <v>0.01</v>
      </c>
      <c r="J29" s="207">
        <v>0.6</v>
      </c>
      <c r="K29" s="207">
        <v>70.209999999999994</v>
      </c>
      <c r="L29" s="207">
        <v>18</v>
      </c>
    </row>
    <row r="30" spans="1:12" ht="20.100000000000001" customHeight="1" x14ac:dyDescent="0.2">
      <c r="A30" s="5" t="str">
        <f>HYPERLINK("#'6.1.1.1-2 Crop residue N2O'!A1", "6.1.1.1-2 Crop residue N2O")</f>
        <v>6.1.1.1-2 Crop residue N2O</v>
      </c>
      <c r="D30" s="207" t="s">
        <v>617</v>
      </c>
      <c r="E30" s="207" t="s">
        <v>629</v>
      </c>
      <c r="F30" s="207">
        <v>36.799999999999997</v>
      </c>
      <c r="G30" s="207" t="s">
        <v>1808</v>
      </c>
      <c r="H30" s="207">
        <v>0</v>
      </c>
      <c r="I30" s="207">
        <v>0.01</v>
      </c>
      <c r="J30" s="207">
        <v>0.6</v>
      </c>
      <c r="K30" s="207">
        <v>0.61</v>
      </c>
      <c r="L30" s="207" t="s">
        <v>1810</v>
      </c>
    </row>
    <row r="31" spans="1:12" ht="20.100000000000001" customHeight="1" x14ac:dyDescent="0.2">
      <c r="A31" s="5" t="str">
        <f>HYPERLINK("#'6.3.1.1-2 Leach runoff crop'!A1", "6.3.1.1-2 Leach &amp; runoff (crop)")</f>
        <v>6.3.1.1-2 Leach &amp; runoff (crop)</v>
      </c>
      <c r="D31" s="207" t="s">
        <v>563</v>
      </c>
      <c r="E31" s="207" t="s">
        <v>1807</v>
      </c>
      <c r="F31" s="207">
        <v>34.200000000000003</v>
      </c>
      <c r="G31" s="207" t="s">
        <v>620</v>
      </c>
      <c r="H31" s="207">
        <v>67.400000000000006</v>
      </c>
      <c r="I31" s="207">
        <v>10.1</v>
      </c>
      <c r="J31" s="207">
        <v>0.3</v>
      </c>
      <c r="K31" s="207"/>
      <c r="L31" s="207">
        <v>17.2</v>
      </c>
    </row>
    <row r="32" spans="1:12" ht="20.100000000000001" customHeight="1" x14ac:dyDescent="0.2">
      <c r="A32" s="5" t="str">
        <f>HYPERLINK("#'6.4.1.1-2 Residue burning'!A1", "6.4.1.1-2 Residue burning")</f>
        <v>6.4.1.1-2 Residue burning</v>
      </c>
      <c r="D32" s="208" t="s">
        <v>563</v>
      </c>
      <c r="E32" s="208" t="s">
        <v>1809</v>
      </c>
      <c r="F32" s="208">
        <v>38.6</v>
      </c>
      <c r="G32" s="208" t="s">
        <v>620</v>
      </c>
      <c r="H32" s="208">
        <v>69.900000000000006</v>
      </c>
      <c r="I32" s="208">
        <v>0.2</v>
      </c>
      <c r="J32" s="208">
        <v>0.5</v>
      </c>
      <c r="K32" s="208"/>
      <c r="L32" s="208">
        <v>17.3</v>
      </c>
    </row>
    <row r="33" spans="1:12" ht="20.100000000000001" customHeight="1" x14ac:dyDescent="0.2">
      <c r="A33" s="5" t="str">
        <f>HYPERLINK("#'8.1.1.1-2 Transport fuel'!A1", "8.1.1.1-2 Transport fuel")</f>
        <v>8.1.1.1-2 Transport fuel</v>
      </c>
      <c r="D33" s="208" t="s">
        <v>563</v>
      </c>
      <c r="E33" s="208" t="s">
        <v>1820</v>
      </c>
      <c r="F33" s="208">
        <v>39.700000000000003</v>
      </c>
      <c r="G33" s="208" t="s">
        <v>620</v>
      </c>
      <c r="H33" s="208">
        <v>73.599999999999994</v>
      </c>
      <c r="I33" s="208">
        <v>0.2</v>
      </c>
      <c r="J33" s="208">
        <v>0.5</v>
      </c>
      <c r="K33" s="208"/>
      <c r="L33" s="208">
        <v>18</v>
      </c>
    </row>
    <row r="34" spans="1:12" ht="20.100000000000001" customHeight="1" x14ac:dyDescent="0.2">
      <c r="A34" s="5" t="str">
        <f>HYPERLINK("#'8.2.1.1-2 Stationary fuel'!A1", "8.2.1.1-2 Stationary fuel")</f>
        <v>8.2.1.1-2 Stationary fuel</v>
      </c>
      <c r="D34" s="208" t="s">
        <v>562</v>
      </c>
      <c r="E34" s="208" t="s">
        <v>1809</v>
      </c>
      <c r="F34" s="208">
        <v>38.6</v>
      </c>
      <c r="G34" s="208" t="s">
        <v>620</v>
      </c>
      <c r="H34" s="208">
        <v>69.900000000000006</v>
      </c>
      <c r="I34" s="208">
        <v>0.3</v>
      </c>
      <c r="J34" s="208">
        <v>0.5</v>
      </c>
      <c r="K34" s="208"/>
      <c r="L34" s="208">
        <v>17.3</v>
      </c>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row>
    <row r="37" spans="1:12" ht="20.100000000000001" customHeight="1" x14ac:dyDescent="0.2">
      <c r="A37" s="5" t="str">
        <f>HYPERLINK("#'15 Scope 3'!A1", "15 Scope 3")</f>
        <v>15 Scope 3</v>
      </c>
      <c r="D37" s="2" t="s">
        <v>1821</v>
      </c>
    </row>
    <row r="38" spans="1:12" ht="20.100000000000001" customHeight="1" x14ac:dyDescent="0.2">
      <c r="D38" s="17" t="s">
        <v>1822</v>
      </c>
    </row>
    <row r="39" spans="1:12" ht="20.100000000000001" customHeight="1" x14ac:dyDescent="0.2">
      <c r="D39" s="20" t="s">
        <v>606</v>
      </c>
      <c r="E39" s="20" t="s">
        <v>607</v>
      </c>
      <c r="F39" s="20" t="s">
        <v>608</v>
      </c>
      <c r="G39" s="20" t="s">
        <v>609</v>
      </c>
      <c r="H39" s="20" t="s">
        <v>610</v>
      </c>
      <c r="I39" s="20" t="s">
        <v>611</v>
      </c>
      <c r="J39" s="20" t="s">
        <v>612</v>
      </c>
    </row>
    <row r="40" spans="1:12" ht="20.100000000000001" customHeight="1" x14ac:dyDescent="0.2">
      <c r="A40" s="82" t="s">
        <v>1</v>
      </c>
      <c r="D40" s="20" t="s">
        <v>1823</v>
      </c>
      <c r="E40" s="20" t="s">
        <v>559</v>
      </c>
      <c r="F40" s="20">
        <v>34.200000000000003</v>
      </c>
      <c r="G40" s="20">
        <v>67.400000000000006</v>
      </c>
      <c r="H40" s="20">
        <v>10.1</v>
      </c>
      <c r="I40" s="20">
        <v>0.3</v>
      </c>
      <c r="J40" s="20">
        <v>17.2</v>
      </c>
    </row>
    <row r="41" spans="1:12" ht="20.100000000000001" customHeight="1" x14ac:dyDescent="0.2">
      <c r="A41" s="5" t="str">
        <f>HYPERLINK("#'Constants - Ag Residue'!A1", "Constants - Ag residue")</f>
        <v>Constants - Ag residue</v>
      </c>
      <c r="D41" s="1" t="s">
        <v>1823</v>
      </c>
      <c r="E41" s="20" t="s">
        <v>561</v>
      </c>
      <c r="F41" s="20">
        <v>38.6</v>
      </c>
      <c r="G41" s="20">
        <v>69.900000000000006</v>
      </c>
      <c r="H41" s="20">
        <v>0.2</v>
      </c>
      <c r="I41" s="20">
        <v>0.5</v>
      </c>
      <c r="J41" s="20">
        <v>17.3</v>
      </c>
    </row>
    <row r="42" spans="1:12" ht="20.100000000000001" customHeight="1" x14ac:dyDescent="0.2">
      <c r="A42" s="5" t="str">
        <f>HYPERLINK("#'Constants - Electricity'!A1", "Constants - Electricity")</f>
        <v>Constants - Electricity</v>
      </c>
      <c r="D42" s="1" t="s">
        <v>1823</v>
      </c>
      <c r="E42" s="20" t="s">
        <v>1820</v>
      </c>
      <c r="F42" s="20">
        <v>39.700000000000003</v>
      </c>
      <c r="G42" s="20">
        <v>73.599999999999994</v>
      </c>
      <c r="H42" s="20">
        <v>0.2</v>
      </c>
      <c r="I42" s="20">
        <v>0.5</v>
      </c>
      <c r="J42" s="20">
        <v>18</v>
      </c>
    </row>
    <row r="43" spans="1:12" ht="20.100000000000001" customHeight="1" x14ac:dyDescent="0.2">
      <c r="A43" s="5" t="str">
        <f>HYPERLINK("#'Constants - Fertiliser'!A1", "Constants - Fertiliser")</f>
        <v>Constants - Fertiliser</v>
      </c>
      <c r="D43" s="1" t="s">
        <v>562</v>
      </c>
      <c r="E43" s="20" t="s">
        <v>561</v>
      </c>
      <c r="F43" s="20">
        <v>38.6</v>
      </c>
      <c r="G43" s="20">
        <v>69.900000000000006</v>
      </c>
      <c r="H43" s="20">
        <v>0.3</v>
      </c>
      <c r="I43" s="20">
        <v>0.5</v>
      </c>
      <c r="J43" s="20">
        <v>17.3</v>
      </c>
    </row>
    <row r="44" spans="1:12" ht="20.100000000000001" customHeight="1" x14ac:dyDescent="0.2">
      <c r="A44" s="83" t="str">
        <f>HYPERLINK("#'Constants - Fuel'!A1", "Constants - Fuel")</f>
        <v>Constants - Fuel</v>
      </c>
    </row>
    <row r="45" spans="1:12" ht="20.100000000000001" customHeight="1" x14ac:dyDescent="0.2">
      <c r="A45" s="5" t="str">
        <f>HYPERLINK("#'Constants - Scope 3'!A1", "Constants - Scope 3")</f>
        <v>Constants - Scope 3</v>
      </c>
    </row>
    <row r="46" spans="1:12" ht="20.100000000000001" customHeight="1" x14ac:dyDescent="0.2">
      <c r="A46" s="5" t="str">
        <f>HYPERLINK("#'Constants - Solid Waste'!A1", "Constants - Solid Waste")</f>
        <v>Constants - Solid Waste</v>
      </c>
    </row>
    <row r="47" spans="1:12" ht="20.100000000000001" customHeight="1" x14ac:dyDescent="0.2">
      <c r="A47" s="5" t="str">
        <f>HYPERLINK("#'Constants - Common'!A1", "Constants - Common")</f>
        <v>Constants - Common</v>
      </c>
    </row>
    <row r="48" spans="1:12" ht="20.100000000000001" customHeight="1" x14ac:dyDescent="0.2">
      <c r="A48" s="5" t="str">
        <f>HYPERLINK("#'Constants - Common Livestock'!A1", "Constants - Common Livestock")</f>
        <v>Constants - Common Livestock</v>
      </c>
    </row>
    <row r="49" spans="1:12" ht="20.100000000000001" customHeight="1" x14ac:dyDescent="0.2">
      <c r="D49" s="2" t="s">
        <v>1824</v>
      </c>
      <c r="E49" s="155"/>
      <c r="F49" s="155"/>
      <c r="G49" s="155"/>
      <c r="H49" s="155"/>
      <c r="I49" s="155"/>
      <c r="J49" s="155"/>
      <c r="K49" s="155"/>
      <c r="L49" s="155"/>
    </row>
    <row r="50" spans="1:12" ht="20.100000000000001" customHeight="1" x14ac:dyDescent="0.2">
      <c r="D50" s="1" t="s">
        <v>1825</v>
      </c>
      <c r="E50" s="155"/>
      <c r="F50" s="155"/>
      <c r="G50" s="155"/>
      <c r="H50" s="155"/>
      <c r="I50" s="155"/>
      <c r="J50" s="155"/>
      <c r="K50" s="155"/>
      <c r="L50" s="155"/>
    </row>
    <row r="51" spans="1:12" ht="20.100000000000001" customHeight="1" x14ac:dyDescent="0.2">
      <c r="D51" s="17" t="s">
        <v>1826</v>
      </c>
      <c r="E51" s="155"/>
      <c r="F51" s="155"/>
      <c r="G51" s="155"/>
      <c r="H51" s="155"/>
      <c r="I51" s="155"/>
      <c r="J51" s="155"/>
      <c r="K51" s="155"/>
      <c r="L51" s="155"/>
    </row>
    <row r="52" spans="1:12" ht="20.100000000000001" customHeight="1" x14ac:dyDescent="0.2">
      <c r="D52" s="26" t="str" cm="1">
        <f t="array" ref="D52">"⚠️" &amp; Fuel_SourceData.Fuel_Scope1Scope3EmissionFactorsStationaryLiquid_Variation()</f>
        <v>⚠️VARIATION OF SOURCE DATA: 'NE' values returned as zero for calculations.</v>
      </c>
      <c r="E52" s="155"/>
      <c r="F52" s="155"/>
      <c r="G52" s="155"/>
      <c r="H52" s="155"/>
      <c r="I52" s="155"/>
      <c r="J52" s="155"/>
      <c r="K52" s="155"/>
      <c r="L52" s="155"/>
    </row>
    <row r="53" spans="1:12" ht="20.100000000000001" customHeight="1" x14ac:dyDescent="0.2">
      <c r="D53" s="175" t="s">
        <v>598</v>
      </c>
      <c r="E53" s="206" t="s">
        <v>599</v>
      </c>
      <c r="F53" s="175" t="s">
        <v>600</v>
      </c>
      <c r="G53" s="206" t="s">
        <v>601</v>
      </c>
      <c r="H53" s="206" t="s">
        <v>602</v>
      </c>
      <c r="I53" s="206" t="s">
        <v>603</v>
      </c>
      <c r="J53" s="206" t="s">
        <v>604</v>
      </c>
      <c r="K53" s="206" t="s">
        <v>605</v>
      </c>
      <c r="L53" s="155"/>
    </row>
    <row r="54" spans="1:12" ht="20.100000000000001" customHeight="1" x14ac:dyDescent="0.2">
      <c r="D54" s="207" t="s">
        <v>1827</v>
      </c>
      <c r="E54" s="207">
        <v>38.799999999999997</v>
      </c>
      <c r="F54" s="207" t="s">
        <v>1808</v>
      </c>
      <c r="G54" s="207">
        <v>13.9</v>
      </c>
      <c r="H54" s="207">
        <v>0</v>
      </c>
      <c r="I54" s="207">
        <v>0</v>
      </c>
      <c r="J54" s="207">
        <v>13.9</v>
      </c>
      <c r="K54" s="207">
        <v>18</v>
      </c>
      <c r="L54" s="155"/>
    </row>
    <row r="55" spans="1:12" ht="20.100000000000001" customHeight="1" x14ac:dyDescent="0.2">
      <c r="D55" s="207" t="s">
        <v>1828</v>
      </c>
      <c r="E55" s="207">
        <v>38.799999999999997</v>
      </c>
      <c r="F55" s="207" t="s">
        <v>1808</v>
      </c>
      <c r="G55" s="207">
        <v>3.5</v>
      </c>
      <c r="H55" s="207">
        <v>0</v>
      </c>
      <c r="I55" s="207">
        <v>0</v>
      </c>
      <c r="J55" s="207">
        <v>3.5</v>
      </c>
      <c r="K55" s="207">
        <v>18</v>
      </c>
      <c r="L55" s="155"/>
    </row>
    <row r="56" spans="1:12" ht="20.100000000000001" customHeight="1" x14ac:dyDescent="0.2">
      <c r="D56" s="207" t="s">
        <v>1829</v>
      </c>
      <c r="E56" s="207">
        <v>45.3</v>
      </c>
      <c r="F56" s="207" t="s">
        <v>1305</v>
      </c>
      <c r="G56" s="207">
        <v>69.599999999999994</v>
      </c>
      <c r="H56" s="207">
        <v>0.08</v>
      </c>
      <c r="I56" s="207">
        <v>0.2</v>
      </c>
      <c r="J56" s="207">
        <v>69.88</v>
      </c>
      <c r="K56" s="207" t="s">
        <v>1810</v>
      </c>
      <c r="L56" s="155"/>
    </row>
    <row r="57" spans="1:12" ht="20.100000000000001" customHeight="1" x14ac:dyDescent="0.2">
      <c r="D57" s="207" t="s">
        <v>1830</v>
      </c>
      <c r="E57" s="207">
        <v>46.5</v>
      </c>
      <c r="F57" s="207" t="s">
        <v>1305</v>
      </c>
      <c r="G57" s="207">
        <v>61</v>
      </c>
      <c r="H57" s="207">
        <v>0.08</v>
      </c>
      <c r="I57" s="207">
        <v>0.2</v>
      </c>
      <c r="J57" s="207">
        <v>61.28</v>
      </c>
      <c r="K57" s="207" t="s">
        <v>1810</v>
      </c>
      <c r="L57" s="155"/>
    </row>
    <row r="58" spans="1:12" ht="20.100000000000001" customHeight="1" x14ac:dyDescent="0.2">
      <c r="D58" s="207" t="s">
        <v>1831</v>
      </c>
      <c r="E58" s="207">
        <v>34.200000000000003</v>
      </c>
      <c r="F58" s="207" t="s">
        <v>620</v>
      </c>
      <c r="G58" s="207">
        <v>67.400000000000006</v>
      </c>
      <c r="H58" s="207">
        <v>0.2</v>
      </c>
      <c r="I58" s="207">
        <v>0.2</v>
      </c>
      <c r="J58" s="207">
        <v>67.8</v>
      </c>
      <c r="K58" s="207">
        <v>17.2</v>
      </c>
      <c r="L58" s="155"/>
    </row>
    <row r="59" spans="1:12" ht="20.100000000000001" customHeight="1" x14ac:dyDescent="0.2">
      <c r="A59" s="81" t="str">
        <f>HYPERLINK("#A1", "▲ Back to top")</f>
        <v>▲ Back to top</v>
      </c>
      <c r="D59" s="207" t="s">
        <v>1832</v>
      </c>
      <c r="E59" s="207">
        <v>33.1</v>
      </c>
      <c r="F59" s="207" t="s">
        <v>620</v>
      </c>
      <c r="G59" s="207">
        <v>67</v>
      </c>
      <c r="H59" s="207">
        <v>0.2</v>
      </c>
      <c r="I59" s="207">
        <v>0.2</v>
      </c>
      <c r="J59" s="207">
        <v>67.400000000000006</v>
      </c>
      <c r="K59" s="207">
        <v>18</v>
      </c>
      <c r="L59" s="155"/>
    </row>
    <row r="60" spans="1:12" ht="20.100000000000001" customHeight="1" x14ac:dyDescent="0.2">
      <c r="D60" s="207" t="s">
        <v>1833</v>
      </c>
      <c r="E60" s="207">
        <v>37.5</v>
      </c>
      <c r="F60" s="207" t="s">
        <v>620</v>
      </c>
      <c r="G60" s="207">
        <v>68.900000000000006</v>
      </c>
      <c r="H60" s="207">
        <v>0.01</v>
      </c>
      <c r="I60" s="207">
        <v>0.2</v>
      </c>
      <c r="J60" s="207">
        <v>69.11</v>
      </c>
      <c r="K60" s="207">
        <v>18</v>
      </c>
      <c r="L60" s="155"/>
    </row>
    <row r="61" spans="1:12" ht="20.100000000000001" customHeight="1" x14ac:dyDescent="0.2">
      <c r="D61" s="207" t="s">
        <v>1834</v>
      </c>
      <c r="E61" s="207">
        <v>36.799999999999997</v>
      </c>
      <c r="F61" s="207" t="s">
        <v>620</v>
      </c>
      <c r="G61" s="207">
        <v>69.599999999999994</v>
      </c>
      <c r="H61" s="207">
        <v>0.02</v>
      </c>
      <c r="I61" s="207">
        <v>0.2</v>
      </c>
      <c r="J61" s="207">
        <v>69.819999999999993</v>
      </c>
      <c r="K61" s="207">
        <v>18</v>
      </c>
      <c r="L61" s="155"/>
    </row>
    <row r="62" spans="1:12" ht="20.100000000000001" customHeight="1" x14ac:dyDescent="0.2">
      <c r="D62" s="207" t="s">
        <v>1835</v>
      </c>
      <c r="E62" s="207">
        <v>37.299999999999997</v>
      </c>
      <c r="F62" s="207" t="s">
        <v>620</v>
      </c>
      <c r="G62" s="207">
        <v>69.5</v>
      </c>
      <c r="H62" s="207">
        <v>0.03</v>
      </c>
      <c r="I62" s="207">
        <v>0.2</v>
      </c>
      <c r="J62" s="207">
        <v>69.73</v>
      </c>
      <c r="K62" s="207">
        <v>18</v>
      </c>
      <c r="L62" s="155"/>
    </row>
    <row r="63" spans="1:12" ht="20.100000000000001" customHeight="1" x14ac:dyDescent="0.2">
      <c r="D63" s="207" t="s">
        <v>1809</v>
      </c>
      <c r="E63" s="207">
        <v>38.6</v>
      </c>
      <c r="F63" s="207" t="s">
        <v>620</v>
      </c>
      <c r="G63" s="207">
        <v>69.900000000000006</v>
      </c>
      <c r="H63" s="207">
        <v>0.1</v>
      </c>
      <c r="I63" s="207">
        <v>0.2</v>
      </c>
      <c r="J63" s="207">
        <v>70.2</v>
      </c>
      <c r="K63" s="207">
        <v>17.3</v>
      </c>
      <c r="L63" s="155"/>
    </row>
    <row r="64" spans="1:12" ht="20.100000000000001" customHeight="1" x14ac:dyDescent="0.2">
      <c r="D64" s="207" t="s">
        <v>564</v>
      </c>
      <c r="E64" s="207">
        <v>39.700000000000003</v>
      </c>
      <c r="F64" s="207" t="s">
        <v>620</v>
      </c>
      <c r="G64" s="207">
        <v>73.599999999999994</v>
      </c>
      <c r="H64" s="207">
        <v>0.04</v>
      </c>
      <c r="I64" s="207">
        <v>0.2</v>
      </c>
      <c r="J64" s="207">
        <v>73.84</v>
      </c>
      <c r="K64" s="207">
        <v>18</v>
      </c>
      <c r="L64" s="155"/>
    </row>
    <row r="65" spans="4:13" ht="20.100000000000001" customHeight="1" x14ac:dyDescent="0.2">
      <c r="D65" s="207" t="s">
        <v>1836</v>
      </c>
      <c r="E65" s="207">
        <v>34.4</v>
      </c>
      <c r="F65" s="207" t="s">
        <v>620</v>
      </c>
      <c r="G65" s="207">
        <v>69.7</v>
      </c>
      <c r="H65" s="207">
        <v>0.03</v>
      </c>
      <c r="I65" s="207">
        <v>0.2</v>
      </c>
      <c r="J65" s="207">
        <v>69.930000000000007</v>
      </c>
      <c r="K65" s="207">
        <v>18</v>
      </c>
      <c r="L65" s="155"/>
    </row>
    <row r="66" spans="4:13" ht="20.100000000000001" customHeight="1" x14ac:dyDescent="0.2">
      <c r="D66" s="207" t="s">
        <v>1837</v>
      </c>
      <c r="E66" s="207">
        <v>34.4</v>
      </c>
      <c r="F66" s="207" t="s">
        <v>620</v>
      </c>
      <c r="G66" s="207">
        <v>69.7</v>
      </c>
      <c r="H66" s="207">
        <v>0.03</v>
      </c>
      <c r="I66" s="207">
        <v>0.2</v>
      </c>
      <c r="J66" s="207">
        <v>69.930000000000007</v>
      </c>
      <c r="K66" s="207">
        <v>18</v>
      </c>
      <c r="L66" s="155"/>
    </row>
    <row r="67" spans="4:13" ht="20.100000000000001" customHeight="1" x14ac:dyDescent="0.2">
      <c r="D67" s="207" t="s">
        <v>622</v>
      </c>
      <c r="E67" s="207">
        <v>25.7</v>
      </c>
      <c r="F67" s="207" t="s">
        <v>620</v>
      </c>
      <c r="G67" s="207">
        <v>60.2</v>
      </c>
      <c r="H67" s="207">
        <v>0.2</v>
      </c>
      <c r="I67" s="207">
        <v>0.2</v>
      </c>
      <c r="J67" s="207">
        <v>60.6</v>
      </c>
      <c r="K67" s="207">
        <v>20.2</v>
      </c>
      <c r="L67" s="155"/>
    </row>
    <row r="68" spans="4:13" ht="20.100000000000001" customHeight="1" x14ac:dyDescent="0.2">
      <c r="D68" s="207" t="s">
        <v>1838</v>
      </c>
      <c r="E68" s="207">
        <v>31.4</v>
      </c>
      <c r="F68" s="207" t="s">
        <v>620</v>
      </c>
      <c r="G68" s="207">
        <v>69.8</v>
      </c>
      <c r="H68" s="207">
        <v>0.01</v>
      </c>
      <c r="I68" s="207">
        <v>0.01</v>
      </c>
      <c r="J68" s="207">
        <v>69.819999999999993</v>
      </c>
      <c r="K68" s="207">
        <v>18</v>
      </c>
      <c r="L68" s="155"/>
    </row>
    <row r="69" spans="4:13" ht="20.100000000000001" customHeight="1" x14ac:dyDescent="0.2">
      <c r="D69" s="207" t="s">
        <v>1839</v>
      </c>
      <c r="E69" s="207">
        <v>34.200000000000003</v>
      </c>
      <c r="F69" s="207" t="s">
        <v>1305</v>
      </c>
      <c r="G69" s="207">
        <v>92.6</v>
      </c>
      <c r="H69" s="207">
        <v>0.08</v>
      </c>
      <c r="I69" s="207">
        <v>0.2</v>
      </c>
      <c r="J69" s="207">
        <v>92.88</v>
      </c>
      <c r="K69" s="207">
        <v>18</v>
      </c>
      <c r="L69" s="155"/>
    </row>
    <row r="70" spans="4:13" ht="20.100000000000001" customHeight="1" x14ac:dyDescent="0.2">
      <c r="D70" s="207" t="s">
        <v>1840</v>
      </c>
      <c r="E70" s="207">
        <v>42.9</v>
      </c>
      <c r="F70" s="207" t="s">
        <v>1305</v>
      </c>
      <c r="G70" s="207">
        <v>54.7</v>
      </c>
      <c r="H70" s="207">
        <v>0.03</v>
      </c>
      <c r="I70" s="207">
        <v>0.03</v>
      </c>
      <c r="J70" s="207">
        <v>54.76</v>
      </c>
      <c r="K70" s="207">
        <v>18</v>
      </c>
      <c r="L70" s="155"/>
    </row>
    <row r="71" spans="4:13" ht="20.100000000000001" customHeight="1" x14ac:dyDescent="0.2">
      <c r="D71" s="207" t="s">
        <v>1841</v>
      </c>
      <c r="E71" s="207">
        <v>34.200000000000003</v>
      </c>
      <c r="F71" s="207" t="s">
        <v>1305</v>
      </c>
      <c r="G71" s="207">
        <v>92.6</v>
      </c>
      <c r="H71" s="207">
        <v>0.08</v>
      </c>
      <c r="I71" s="207">
        <v>0.2</v>
      </c>
      <c r="J71" s="207">
        <v>92.88</v>
      </c>
      <c r="K71" s="207">
        <v>18</v>
      </c>
      <c r="L71" s="155"/>
    </row>
    <row r="72" spans="4:13" ht="20.100000000000001" customHeight="1" x14ac:dyDescent="0.2">
      <c r="D72" s="207" t="s">
        <v>1842</v>
      </c>
      <c r="E72" s="207">
        <v>34.4</v>
      </c>
      <c r="F72" s="207" t="s">
        <v>620</v>
      </c>
      <c r="G72" s="207">
        <v>69.8</v>
      </c>
      <c r="H72" s="207">
        <v>0.02</v>
      </c>
      <c r="I72" s="207">
        <v>0.1</v>
      </c>
      <c r="J72" s="207">
        <v>69.92</v>
      </c>
      <c r="K72" s="207">
        <v>18</v>
      </c>
      <c r="L72" s="155"/>
    </row>
    <row r="73" spans="4:13" ht="20.100000000000001" customHeight="1" x14ac:dyDescent="0.2">
      <c r="D73" s="207" t="s">
        <v>623</v>
      </c>
      <c r="E73" s="207">
        <v>34.6</v>
      </c>
      <c r="F73" s="207" t="s">
        <v>620</v>
      </c>
      <c r="G73" s="207">
        <v>0</v>
      </c>
      <c r="H73" s="207">
        <v>0.08</v>
      </c>
      <c r="I73" s="207">
        <v>0.2</v>
      </c>
      <c r="J73" s="207">
        <v>0.28000000000000003</v>
      </c>
      <c r="K73" s="207" t="s">
        <v>1810</v>
      </c>
      <c r="L73" s="155"/>
    </row>
    <row r="74" spans="4:13" ht="20.100000000000001" customHeight="1" x14ac:dyDescent="0.2">
      <c r="D74" s="207" t="s">
        <v>1843</v>
      </c>
      <c r="E74" s="207">
        <v>23.4</v>
      </c>
      <c r="F74" s="207" t="s">
        <v>620</v>
      </c>
      <c r="G74" s="207">
        <v>0</v>
      </c>
      <c r="H74" s="207">
        <v>0.08</v>
      </c>
      <c r="I74" s="207">
        <v>0.2</v>
      </c>
      <c r="J74" s="207">
        <v>0.28000000000000003</v>
      </c>
      <c r="K74" s="207" t="s">
        <v>1810</v>
      </c>
      <c r="L74" s="155"/>
    </row>
    <row r="75" spans="4:13" ht="20.100000000000001" customHeight="1" x14ac:dyDescent="0.2">
      <c r="D75" s="207" t="s">
        <v>1844</v>
      </c>
      <c r="E75" s="207">
        <v>23.4</v>
      </c>
      <c r="F75" s="207" t="s">
        <v>620</v>
      </c>
      <c r="G75" s="207">
        <v>0</v>
      </c>
      <c r="H75" s="207">
        <v>0.08</v>
      </c>
      <c r="I75" s="207">
        <v>0.2</v>
      </c>
      <c r="J75" s="207">
        <v>0.28000000000000003</v>
      </c>
      <c r="K75" s="207" t="s">
        <v>1810</v>
      </c>
      <c r="L75" s="155"/>
    </row>
    <row r="76" spans="4:13" ht="20.100000000000001" customHeight="1" x14ac:dyDescent="0.2">
      <c r="D76" s="207" t="s">
        <v>629</v>
      </c>
      <c r="E76" s="207">
        <v>36.799999999999997</v>
      </c>
      <c r="F76" s="207" t="s">
        <v>620</v>
      </c>
      <c r="G76" s="207">
        <v>0</v>
      </c>
      <c r="H76" s="207">
        <v>0.02</v>
      </c>
      <c r="I76" s="207">
        <v>0.2</v>
      </c>
      <c r="J76" s="207">
        <v>0.22</v>
      </c>
      <c r="K76" s="207" t="s">
        <v>1810</v>
      </c>
      <c r="L76" s="155"/>
    </row>
    <row r="77" spans="4:13" ht="20.100000000000001" customHeight="1" x14ac:dyDescent="0.2">
      <c r="D77" s="207" t="s">
        <v>626</v>
      </c>
      <c r="E77" s="207">
        <v>38.6</v>
      </c>
      <c r="F77" s="207" t="s">
        <v>620</v>
      </c>
      <c r="G77" s="207">
        <v>0</v>
      </c>
      <c r="H77" s="207">
        <v>0.1</v>
      </c>
      <c r="I77" s="207">
        <v>0.2</v>
      </c>
      <c r="J77" s="207">
        <v>0.3</v>
      </c>
      <c r="K77" s="207" t="s">
        <v>1810</v>
      </c>
      <c r="L77" s="155"/>
    </row>
    <row r="78" spans="4:13" ht="20.100000000000001" customHeight="1" x14ac:dyDescent="0.2">
      <c r="D78" s="155"/>
      <c r="E78" s="155"/>
      <c r="F78" s="155"/>
      <c r="G78" s="155"/>
      <c r="H78" s="155"/>
      <c r="I78" s="155"/>
      <c r="J78" s="155"/>
      <c r="K78" s="155"/>
      <c r="L78" s="155"/>
    </row>
    <row r="79" spans="4:13" ht="20.100000000000001" customHeight="1" x14ac:dyDescent="0.2">
      <c r="D79" s="155"/>
      <c r="E79" s="155"/>
      <c r="F79" s="155"/>
      <c r="G79" s="155"/>
      <c r="H79" s="155"/>
      <c r="I79" s="155"/>
      <c r="J79" s="155"/>
      <c r="K79" s="155"/>
      <c r="L79" s="155"/>
      <c r="M79" s="155"/>
    </row>
    <row r="80" spans="4:13" ht="20.100000000000001" customHeight="1" x14ac:dyDescent="0.2">
      <c r="D80" s="155"/>
      <c r="E80" s="155"/>
      <c r="F80" s="155"/>
      <c r="G80" s="155"/>
      <c r="H80" s="155"/>
      <c r="I80" s="155"/>
      <c r="J80" s="155"/>
      <c r="K80" s="155"/>
      <c r="L80" s="155"/>
      <c r="M80" s="155"/>
    </row>
    <row r="81" spans="1:12" ht="20.100000000000001" customHeight="1" x14ac:dyDescent="0.2">
      <c r="D81" s="2" t="s">
        <v>1845</v>
      </c>
      <c r="E81" s="155"/>
      <c r="F81" s="155"/>
      <c r="G81" s="155"/>
      <c r="H81" s="155"/>
      <c r="I81" s="155"/>
      <c r="J81" s="155"/>
      <c r="K81" s="155"/>
      <c r="L81" s="155"/>
    </row>
    <row r="82" spans="1:12" ht="20.100000000000001" customHeight="1" x14ac:dyDescent="0.2">
      <c r="D82" s="1" t="s">
        <v>1846</v>
      </c>
      <c r="E82" s="155"/>
      <c r="F82" s="155"/>
      <c r="G82" s="155"/>
      <c r="H82" s="155"/>
      <c r="I82" s="155"/>
      <c r="J82" s="155"/>
      <c r="K82" s="155"/>
      <c r="L82" s="155"/>
    </row>
    <row r="83" spans="1:12" ht="20.100000000000001" customHeight="1" x14ac:dyDescent="0.2">
      <c r="D83" s="17" t="s">
        <v>1847</v>
      </c>
      <c r="E83" s="155"/>
      <c r="F83" s="155"/>
      <c r="G83" s="155"/>
      <c r="H83" s="155"/>
      <c r="I83" s="155"/>
      <c r="J83" s="155"/>
      <c r="K83" s="155"/>
      <c r="L83" s="155"/>
    </row>
    <row r="84" spans="1:12" ht="20.100000000000001" customHeight="1" x14ac:dyDescent="0.2">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5"/>
      <c r="F84" s="155"/>
      <c r="G84" s="155"/>
      <c r="H84" s="155"/>
      <c r="I84" s="155"/>
      <c r="J84" s="155"/>
      <c r="K84" s="155"/>
      <c r="L84" s="155"/>
    </row>
    <row r="85" spans="1:12" ht="20.100000000000001" customHeight="1" x14ac:dyDescent="0.2">
      <c r="D85" s="155"/>
      <c r="E85" s="155"/>
      <c r="F85" s="155"/>
      <c r="G85" s="155"/>
      <c r="H85" s="155"/>
      <c r="I85" s="155"/>
      <c r="J85" s="155"/>
      <c r="K85" s="155"/>
      <c r="L85" s="155"/>
    </row>
    <row r="86" spans="1:12" ht="20.100000000000001" customHeight="1" x14ac:dyDescent="0.2">
      <c r="D86" s="175" t="s">
        <v>598</v>
      </c>
      <c r="E86" s="206" t="s">
        <v>599</v>
      </c>
      <c r="F86" s="175" t="s">
        <v>600</v>
      </c>
      <c r="G86" s="206" t="s">
        <v>601</v>
      </c>
      <c r="H86" s="206" t="s">
        <v>602</v>
      </c>
      <c r="I86" s="206" t="s">
        <v>603</v>
      </c>
      <c r="J86" s="206" t="s">
        <v>604</v>
      </c>
      <c r="K86" s="155"/>
      <c r="L86" s="155"/>
    </row>
    <row r="87" spans="1:12" ht="20.100000000000001" customHeight="1" x14ac:dyDescent="0.2">
      <c r="D87" s="207" t="s">
        <v>1848</v>
      </c>
      <c r="E87" s="207">
        <v>3.9300000000000002E-2</v>
      </c>
      <c r="F87" s="207" t="s">
        <v>1313</v>
      </c>
      <c r="G87" s="207">
        <v>51.4</v>
      </c>
      <c r="H87" s="207">
        <v>0.1</v>
      </c>
      <c r="I87" s="207">
        <v>0.03</v>
      </c>
      <c r="J87" s="207">
        <v>51.53</v>
      </c>
      <c r="K87" s="155"/>
      <c r="L87" s="155"/>
    </row>
    <row r="88" spans="1:12" ht="20.100000000000001" customHeight="1" x14ac:dyDescent="0.2">
      <c r="D88" s="207" t="s">
        <v>1849</v>
      </c>
      <c r="E88" s="207">
        <v>3.7699999999999997E-2</v>
      </c>
      <c r="F88" s="207" t="s">
        <v>1313</v>
      </c>
      <c r="G88" s="207">
        <v>51.4</v>
      </c>
      <c r="H88" s="207">
        <v>0.2</v>
      </c>
      <c r="I88" s="207">
        <v>0.03</v>
      </c>
      <c r="J88" s="207">
        <v>51.63</v>
      </c>
      <c r="K88" s="155"/>
      <c r="L88" s="155"/>
    </row>
    <row r="89" spans="1:12" ht="20.100000000000001" customHeight="1" x14ac:dyDescent="0.2">
      <c r="A89" s="81" t="str">
        <f>HYPERLINK("#A1", "▲ Back to top")</f>
        <v>▲ Back to top</v>
      </c>
      <c r="D89" s="207" t="s">
        <v>1850</v>
      </c>
      <c r="E89" s="207">
        <v>3.7699999999999997E-2</v>
      </c>
      <c r="F89" s="207" t="s">
        <v>1313</v>
      </c>
      <c r="G89" s="207">
        <v>51.9</v>
      </c>
      <c r="H89" s="207">
        <v>4.5999999999999996</v>
      </c>
      <c r="I89" s="207">
        <v>0.3</v>
      </c>
      <c r="J89" s="207">
        <v>56.8</v>
      </c>
      <c r="K89" s="155"/>
      <c r="L89" s="155"/>
    </row>
    <row r="90" spans="1:12" ht="20.100000000000001" customHeight="1" x14ac:dyDescent="0.2">
      <c r="D90" s="207" t="s">
        <v>1851</v>
      </c>
      <c r="E90" s="207">
        <v>3.9300000000000002E-2</v>
      </c>
      <c r="F90" s="207" t="s">
        <v>1313</v>
      </c>
      <c r="G90" s="207">
        <v>51.4</v>
      </c>
      <c r="H90" s="207">
        <v>0.1</v>
      </c>
      <c r="I90" s="207">
        <v>0.03</v>
      </c>
      <c r="J90" s="207">
        <v>51.53</v>
      </c>
      <c r="K90" s="155"/>
      <c r="L90" s="155"/>
    </row>
    <row r="91" spans="1:12" ht="20.100000000000001" customHeight="1" x14ac:dyDescent="0.2">
      <c r="D91" s="207" t="s">
        <v>1852</v>
      </c>
      <c r="E91" s="207">
        <v>3.9300000000000002E-2</v>
      </c>
      <c r="F91" s="207" t="s">
        <v>1313</v>
      </c>
      <c r="G91" s="207">
        <v>51.4</v>
      </c>
      <c r="H91" s="207">
        <v>0.1</v>
      </c>
      <c r="I91" s="207">
        <v>0.03</v>
      </c>
      <c r="J91" s="207">
        <v>51.53</v>
      </c>
      <c r="K91" s="155"/>
      <c r="L91" s="155"/>
    </row>
    <row r="92" spans="1:12" ht="20.100000000000001" customHeight="1" x14ac:dyDescent="0.2">
      <c r="D92" s="207" t="s">
        <v>1853</v>
      </c>
      <c r="E92" s="207">
        <v>6.2899999999999998E-2</v>
      </c>
      <c r="F92" s="207" t="s">
        <v>1313</v>
      </c>
      <c r="G92" s="207">
        <v>56.5</v>
      </c>
      <c r="H92" s="207">
        <v>0.03</v>
      </c>
      <c r="I92" s="207">
        <v>0.03</v>
      </c>
      <c r="J92" s="207">
        <v>56.56</v>
      </c>
      <c r="K92" s="155"/>
      <c r="L92" s="155"/>
    </row>
    <row r="93" spans="1:12" ht="20.100000000000001" customHeight="1" x14ac:dyDescent="0.2">
      <c r="D93" s="207" t="s">
        <v>1854</v>
      </c>
      <c r="E93" s="207">
        <v>1.8100000000000002E-2</v>
      </c>
      <c r="F93" s="207" t="s">
        <v>1313</v>
      </c>
      <c r="G93" s="207">
        <v>37</v>
      </c>
      <c r="H93" s="207">
        <v>0.03</v>
      </c>
      <c r="I93" s="207">
        <v>0.05</v>
      </c>
      <c r="J93" s="207">
        <v>37.08</v>
      </c>
      <c r="K93" s="155"/>
      <c r="L93" s="155"/>
    </row>
    <row r="94" spans="1:12" ht="20.100000000000001" customHeight="1" x14ac:dyDescent="0.2">
      <c r="D94" s="207" t="s">
        <v>1855</v>
      </c>
      <c r="E94" s="207">
        <v>4.0000000000000001E-3</v>
      </c>
      <c r="F94" s="207" t="s">
        <v>1313</v>
      </c>
      <c r="G94" s="207">
        <v>234</v>
      </c>
      <c r="H94" s="207">
        <v>0.03</v>
      </c>
      <c r="I94" s="207">
        <v>0.02</v>
      </c>
      <c r="J94" s="207">
        <v>234.05</v>
      </c>
      <c r="K94" s="155"/>
      <c r="L94" s="155"/>
    </row>
    <row r="95" spans="1:12" ht="20.100000000000001" customHeight="1" x14ac:dyDescent="0.2">
      <c r="D95" s="207" t="s">
        <v>1856</v>
      </c>
      <c r="E95" s="207">
        <v>3.9E-2</v>
      </c>
      <c r="F95" s="207" t="s">
        <v>1313</v>
      </c>
      <c r="G95" s="207">
        <v>60.2</v>
      </c>
      <c r="H95" s="207">
        <v>0.04</v>
      </c>
      <c r="I95" s="207">
        <v>0.03</v>
      </c>
      <c r="J95" s="207">
        <v>60.27</v>
      </c>
      <c r="K95" s="155"/>
      <c r="L95" s="155"/>
    </row>
    <row r="96" spans="1:12" ht="20.100000000000001" customHeight="1" x14ac:dyDescent="0.2">
      <c r="D96" s="207" t="s">
        <v>1813</v>
      </c>
      <c r="E96" s="207">
        <v>25.3</v>
      </c>
      <c r="F96" s="207" t="s">
        <v>620</v>
      </c>
      <c r="G96" s="207">
        <v>51.4</v>
      </c>
      <c r="H96" s="207">
        <v>0.1</v>
      </c>
      <c r="I96" s="207">
        <v>0.03</v>
      </c>
      <c r="J96" s="207">
        <v>51.53</v>
      </c>
      <c r="K96" s="155"/>
      <c r="L96" s="155"/>
    </row>
    <row r="97" spans="4:13" ht="20.100000000000001" customHeight="1" x14ac:dyDescent="0.2">
      <c r="D97" s="207" t="s">
        <v>1857</v>
      </c>
      <c r="E97" s="207">
        <v>3.9E-2</v>
      </c>
      <c r="F97" s="207" t="s">
        <v>1313</v>
      </c>
      <c r="G97" s="207">
        <v>51.4</v>
      </c>
      <c r="H97" s="207">
        <v>0.1</v>
      </c>
      <c r="I97" s="207">
        <v>0.03</v>
      </c>
      <c r="J97" s="207">
        <v>51.53</v>
      </c>
      <c r="K97" s="155"/>
      <c r="L97" s="155"/>
    </row>
    <row r="98" spans="4:13" ht="20.100000000000001" customHeight="1" x14ac:dyDescent="0.2">
      <c r="D98" s="207" t="s">
        <v>1858</v>
      </c>
      <c r="E98" s="207">
        <v>3.7699999999999997E-2</v>
      </c>
      <c r="F98" s="207" t="s">
        <v>1313</v>
      </c>
      <c r="G98" s="207">
        <v>0</v>
      </c>
      <c r="H98" s="207">
        <v>6.4</v>
      </c>
      <c r="I98" s="207">
        <v>0.03</v>
      </c>
      <c r="J98" s="207">
        <v>6.43</v>
      </c>
      <c r="K98" s="155"/>
      <c r="L98" s="155"/>
    </row>
    <row r="99" spans="4:13" ht="20.100000000000001" customHeight="1" x14ac:dyDescent="0.2">
      <c r="D99" s="207" t="s">
        <v>1859</v>
      </c>
      <c r="E99" s="207">
        <v>3.7699999999999997E-2</v>
      </c>
      <c r="F99" s="207" t="s">
        <v>1313</v>
      </c>
      <c r="G99" s="207">
        <v>0</v>
      </c>
      <c r="H99" s="207">
        <v>6.4</v>
      </c>
      <c r="I99" s="207">
        <v>0.03</v>
      </c>
      <c r="J99" s="207">
        <v>6.43</v>
      </c>
      <c r="K99" s="155"/>
      <c r="L99" s="155"/>
    </row>
    <row r="100" spans="4:13" ht="20.100000000000001" customHeight="1" x14ac:dyDescent="0.2">
      <c r="D100" s="207" t="s">
        <v>1860</v>
      </c>
      <c r="E100" s="207">
        <v>3.6999999999999998E-2</v>
      </c>
      <c r="F100" s="207" t="s">
        <v>1313</v>
      </c>
      <c r="G100" s="207">
        <v>0</v>
      </c>
      <c r="H100" s="207">
        <v>6.4</v>
      </c>
      <c r="I100" s="207">
        <v>0.03</v>
      </c>
      <c r="J100" s="207">
        <v>6.43</v>
      </c>
      <c r="K100" s="155"/>
      <c r="L100" s="155"/>
    </row>
    <row r="101" spans="4:13" ht="20.100000000000001" customHeight="1" x14ac:dyDescent="0.2">
      <c r="D101" s="207" t="s">
        <v>1861</v>
      </c>
      <c r="E101" s="207">
        <v>3.9300000000000002E-2</v>
      </c>
      <c r="F101" s="207" t="s">
        <v>1313</v>
      </c>
      <c r="G101" s="207">
        <v>0</v>
      </c>
      <c r="H101" s="207">
        <v>0.1</v>
      </c>
      <c r="I101" s="207">
        <v>0.03</v>
      </c>
      <c r="J101" s="207">
        <v>0.13</v>
      </c>
      <c r="K101" s="155"/>
      <c r="L101" s="155"/>
    </row>
    <row r="102" spans="4:13" ht="20.100000000000001" customHeight="1" x14ac:dyDescent="0.2">
      <c r="D102" s="207" t="s">
        <v>1862</v>
      </c>
      <c r="E102" s="207">
        <v>1.2200000000000001E-2</v>
      </c>
      <c r="F102" s="207" t="s">
        <v>1313</v>
      </c>
      <c r="G102" s="207">
        <v>0</v>
      </c>
      <c r="H102" s="207">
        <v>0</v>
      </c>
      <c r="I102" s="207">
        <v>0.5</v>
      </c>
      <c r="J102" s="207">
        <v>0.5</v>
      </c>
      <c r="K102" s="155"/>
      <c r="L102" s="155"/>
    </row>
    <row r="103" spans="4:13" ht="20.100000000000001" customHeight="1" x14ac:dyDescent="0.2">
      <c r="D103" s="207" t="s">
        <v>1863</v>
      </c>
      <c r="E103" s="207">
        <v>1</v>
      </c>
      <c r="F103" s="207" t="s">
        <v>638</v>
      </c>
      <c r="G103" s="207">
        <v>51.4</v>
      </c>
      <c r="H103" s="207">
        <v>0.1</v>
      </c>
      <c r="I103" s="207">
        <v>0.03</v>
      </c>
      <c r="J103" s="207">
        <v>51.53</v>
      </c>
      <c r="K103" s="155"/>
      <c r="L103" s="155"/>
    </row>
    <row r="104" spans="4:13" ht="20.100000000000001" customHeight="1" x14ac:dyDescent="0.2">
      <c r="D104" s="207" t="s">
        <v>1864</v>
      </c>
      <c r="E104" s="207">
        <v>1</v>
      </c>
      <c r="F104" s="207" t="s">
        <v>638</v>
      </c>
      <c r="G104" s="207">
        <v>60.2</v>
      </c>
      <c r="H104" s="207">
        <v>0.04</v>
      </c>
      <c r="I104" s="207">
        <v>0.03</v>
      </c>
      <c r="J104" s="207">
        <v>60.27</v>
      </c>
      <c r="K104" s="155"/>
      <c r="L104" s="155"/>
    </row>
    <row r="105" spans="4:13" ht="20.100000000000001" customHeight="1" x14ac:dyDescent="0.2">
      <c r="D105" s="155"/>
      <c r="E105" s="155"/>
      <c r="F105" s="155"/>
      <c r="G105" s="155"/>
      <c r="H105" s="155"/>
      <c r="I105" s="155"/>
      <c r="J105" s="155"/>
      <c r="K105" s="155"/>
      <c r="L105" s="155"/>
      <c r="M105" s="155"/>
    </row>
    <row r="106" spans="4:13" ht="20.100000000000001" customHeight="1" x14ac:dyDescent="0.2">
      <c r="D106" s="155"/>
      <c r="E106" s="155"/>
      <c r="F106" s="155"/>
      <c r="G106" s="155"/>
      <c r="H106" s="155"/>
      <c r="I106" s="155"/>
      <c r="J106" s="155"/>
      <c r="K106" s="155"/>
      <c r="L106" s="155"/>
      <c r="M106" s="155"/>
    </row>
    <row r="107" spans="4:13" ht="20.100000000000001" customHeight="1" x14ac:dyDescent="0.2">
      <c r="D107" s="2" t="s">
        <v>1865</v>
      </c>
      <c r="E107" s="155"/>
      <c r="F107" s="155"/>
      <c r="G107" s="155"/>
      <c r="H107" s="155"/>
      <c r="I107" s="155"/>
      <c r="J107" s="155"/>
      <c r="K107" s="155"/>
      <c r="L107" s="155"/>
    </row>
    <row r="108" spans="4:13" ht="20.100000000000001" customHeight="1" x14ac:dyDescent="0.2">
      <c r="D108" s="1" t="s">
        <v>1866</v>
      </c>
      <c r="E108" s="155"/>
      <c r="F108" s="155"/>
      <c r="G108" s="155"/>
      <c r="H108" s="155"/>
      <c r="I108" s="155"/>
      <c r="J108" s="155"/>
      <c r="K108" s="155"/>
      <c r="L108" s="155"/>
    </row>
    <row r="109" spans="4:13" ht="20.100000000000001" customHeight="1" x14ac:dyDescent="0.2">
      <c r="D109" s="17" t="s">
        <v>1867</v>
      </c>
      <c r="E109" s="155"/>
      <c r="F109" s="155"/>
      <c r="G109" s="155"/>
      <c r="H109" s="155"/>
      <c r="I109" s="155"/>
      <c r="J109" s="155"/>
      <c r="K109" s="155"/>
      <c r="L109" s="155"/>
    </row>
    <row r="110" spans="4:13" ht="20.100000000000001" customHeight="1" x14ac:dyDescent="0.2">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5"/>
      <c r="F110" s="155"/>
      <c r="G110" s="155"/>
      <c r="H110" s="155"/>
      <c r="I110" s="155"/>
      <c r="J110" s="155"/>
      <c r="K110" s="155"/>
      <c r="L110" s="155"/>
    </row>
    <row r="111" spans="4:13" ht="20.100000000000001" customHeight="1" x14ac:dyDescent="0.2">
      <c r="D111" s="155"/>
      <c r="E111" s="155"/>
      <c r="F111" s="155"/>
      <c r="G111" s="155"/>
      <c r="H111" s="155"/>
      <c r="I111" s="155"/>
      <c r="J111" s="155"/>
      <c r="K111" s="155"/>
      <c r="L111" s="155"/>
    </row>
    <row r="112" spans="4:13" ht="20.100000000000001" customHeight="1" x14ac:dyDescent="0.2">
      <c r="D112" s="175" t="s">
        <v>613</v>
      </c>
      <c r="E112" s="206" t="s">
        <v>548</v>
      </c>
      <c r="F112" s="206" t="s">
        <v>614</v>
      </c>
      <c r="G112" s="216" t="s">
        <v>1869</v>
      </c>
      <c r="H112" s="77" t="s">
        <v>615</v>
      </c>
      <c r="I112" s="155"/>
      <c r="J112" s="155"/>
      <c r="K112" s="155"/>
      <c r="L112" s="155"/>
    </row>
    <row r="113" spans="1:13" ht="20.100000000000001" customHeight="1" x14ac:dyDescent="0.2">
      <c r="D113" s="209" t="s">
        <v>1556</v>
      </c>
      <c r="E113" s="209">
        <v>13.1</v>
      </c>
      <c r="F113" s="209">
        <v>14</v>
      </c>
      <c r="G113" s="210" t="s">
        <v>1868</v>
      </c>
      <c r="H113" s="1" t="s">
        <v>1870</v>
      </c>
      <c r="I113" s="155"/>
      <c r="J113" s="155"/>
      <c r="K113" s="155"/>
      <c r="L113" s="155"/>
    </row>
    <row r="114" spans="1:13" ht="20.100000000000001" customHeight="1" x14ac:dyDescent="0.2">
      <c r="D114" s="209" t="s">
        <v>987</v>
      </c>
      <c r="E114" s="209">
        <v>13.1</v>
      </c>
      <c r="F114" s="209">
        <v>14</v>
      </c>
      <c r="G114" s="210"/>
      <c r="H114" s="1" t="s">
        <v>1871</v>
      </c>
      <c r="I114" s="155"/>
      <c r="J114" s="155"/>
      <c r="K114" s="155"/>
      <c r="L114" s="155"/>
    </row>
    <row r="115" spans="1:13" ht="20.100000000000001" customHeight="1" x14ac:dyDescent="0.2">
      <c r="D115" s="209" t="s">
        <v>1557</v>
      </c>
      <c r="E115" s="209">
        <v>4</v>
      </c>
      <c r="F115" s="209">
        <v>4</v>
      </c>
      <c r="G115" s="210"/>
      <c r="H115" s="1" t="s">
        <v>1872</v>
      </c>
      <c r="I115" s="155"/>
      <c r="J115" s="155"/>
      <c r="K115" s="155"/>
      <c r="L115" s="155"/>
    </row>
    <row r="116" spans="1:13" ht="20.100000000000001" customHeight="1" x14ac:dyDescent="0.2">
      <c r="D116" s="209" t="s">
        <v>1558</v>
      </c>
      <c r="E116" s="209">
        <v>8.8000000000000007</v>
      </c>
      <c r="F116" s="209">
        <v>7.9</v>
      </c>
      <c r="G116" s="210" t="s">
        <v>1868</v>
      </c>
      <c r="H116" s="1" t="s">
        <v>1873</v>
      </c>
      <c r="I116" s="155"/>
      <c r="J116" s="155"/>
      <c r="K116" s="155"/>
      <c r="L116" s="155"/>
    </row>
    <row r="117" spans="1:13" ht="20.100000000000001" customHeight="1" x14ac:dyDescent="0.2">
      <c r="D117" s="209" t="s">
        <v>1559</v>
      </c>
      <c r="E117" s="209">
        <v>10.7</v>
      </c>
      <c r="F117" s="209">
        <v>10.6</v>
      </c>
      <c r="G117" s="210"/>
      <c r="H117" s="1" t="s">
        <v>1874</v>
      </c>
      <c r="I117" s="155"/>
      <c r="J117" s="155"/>
      <c r="K117" s="155"/>
      <c r="L117" s="155"/>
    </row>
    <row r="118" spans="1:13" ht="20.100000000000001" customHeight="1" x14ac:dyDescent="0.2">
      <c r="D118" s="209" t="s">
        <v>99</v>
      </c>
      <c r="E118" s="209">
        <v>4.0999999999999996</v>
      </c>
      <c r="F118" s="209">
        <v>4</v>
      </c>
      <c r="G118" s="210" t="s">
        <v>1868</v>
      </c>
      <c r="H118" s="1" t="s">
        <v>1875</v>
      </c>
      <c r="I118" s="155"/>
      <c r="J118" s="155"/>
      <c r="K118" s="155"/>
      <c r="L118" s="155"/>
    </row>
    <row r="119" spans="1:13" ht="20.100000000000001" customHeight="1" x14ac:dyDescent="0.2">
      <c r="A119" s="81" t="str">
        <f>HYPERLINK("#A1", "▲ Back to top")</f>
        <v>▲ Back to top</v>
      </c>
      <c r="D119" s="209" t="s">
        <v>1561</v>
      </c>
      <c r="E119" s="209">
        <v>4</v>
      </c>
      <c r="F119" s="209">
        <v>4</v>
      </c>
      <c r="G119" s="210" t="s">
        <v>1868</v>
      </c>
      <c r="H119" s="1" t="s">
        <v>1876</v>
      </c>
      <c r="I119" s="155"/>
      <c r="J119" s="155"/>
      <c r="K119" s="155"/>
      <c r="L119" s="155"/>
    </row>
    <row r="120" spans="1:13" ht="20.100000000000001" customHeight="1" x14ac:dyDescent="0.2">
      <c r="D120" s="209" t="s">
        <v>1882</v>
      </c>
      <c r="E120" s="209">
        <v>4.0999999999999996</v>
      </c>
      <c r="F120" s="209">
        <v>4</v>
      </c>
      <c r="G120" s="210" t="s">
        <v>1868</v>
      </c>
      <c r="H120" s="1" t="s">
        <v>1877</v>
      </c>
      <c r="I120" s="155"/>
      <c r="J120" s="155"/>
      <c r="K120" s="155"/>
      <c r="L120" s="155"/>
    </row>
    <row r="121" spans="1:13" ht="20.100000000000001" customHeight="1" x14ac:dyDescent="0.2">
      <c r="D121" s="8"/>
      <c r="E121" s="8"/>
      <c r="F121" s="8"/>
      <c r="G121" s="210"/>
      <c r="H121" s="1" t="s">
        <v>1878</v>
      </c>
      <c r="I121" s="155"/>
      <c r="J121" s="155"/>
      <c r="K121" s="155"/>
      <c r="L121" s="155"/>
    </row>
    <row r="122" spans="1:13" ht="20.100000000000001" customHeight="1" x14ac:dyDescent="0.2">
      <c r="D122" s="155"/>
      <c r="F122" s="211"/>
      <c r="G122" s="210"/>
      <c r="H122" s="1" t="s">
        <v>1879</v>
      </c>
      <c r="I122" s="155"/>
      <c r="J122" s="155"/>
      <c r="K122" s="155"/>
      <c r="L122" s="155"/>
    </row>
    <row r="123" spans="1:13" ht="20.100000000000001" customHeight="1" x14ac:dyDescent="0.2">
      <c r="D123" s="212"/>
      <c r="F123" s="211"/>
      <c r="G123" s="210" t="s">
        <v>1868</v>
      </c>
      <c r="H123" s="1" t="s">
        <v>1880</v>
      </c>
      <c r="I123" s="155"/>
      <c r="J123" s="155"/>
      <c r="K123" s="155"/>
      <c r="L123" s="155"/>
    </row>
    <row r="124" spans="1:13" ht="20.100000000000001" customHeight="1" x14ac:dyDescent="0.2">
      <c r="D124" s="212"/>
      <c r="F124" s="211"/>
      <c r="G124" s="155"/>
      <c r="H124" s="1" t="s">
        <v>1881</v>
      </c>
      <c r="I124" s="155"/>
      <c r="J124" s="155"/>
      <c r="K124" s="155"/>
      <c r="L124" s="155"/>
    </row>
    <row r="125" spans="1:13" ht="20.100000000000001" customHeight="1" x14ac:dyDescent="0.2">
      <c r="D125" s="212"/>
      <c r="F125" s="211"/>
      <c r="G125" s="155"/>
      <c r="H125" s="155"/>
      <c r="I125" s="155"/>
      <c r="J125" s="155"/>
      <c r="K125" s="155"/>
      <c r="L125" s="155"/>
    </row>
    <row r="126" spans="1:13" ht="20.100000000000001" customHeight="1" x14ac:dyDescent="0.2">
      <c r="D126" s="155"/>
      <c r="E126" s="155"/>
      <c r="F126" s="155"/>
      <c r="G126" s="155"/>
      <c r="H126" s="155"/>
      <c r="I126" s="155"/>
      <c r="J126" s="155"/>
      <c r="K126" s="155"/>
      <c r="L126" s="155"/>
      <c r="M126" s="155"/>
    </row>
    <row r="127" spans="1:13" ht="20.100000000000001" customHeight="1" x14ac:dyDescent="0.2">
      <c r="D127" s="155"/>
      <c r="E127" s="155"/>
      <c r="F127" s="155"/>
      <c r="G127" s="155"/>
      <c r="H127" s="155"/>
      <c r="I127" s="155"/>
      <c r="J127" s="155"/>
      <c r="K127" s="155"/>
      <c r="L127" s="155"/>
      <c r="M127" s="155"/>
    </row>
    <row r="128" spans="1:13" ht="20.100000000000001" customHeight="1" x14ac:dyDescent="0.2">
      <c r="D128" s="155"/>
      <c r="E128" s="155"/>
      <c r="F128" s="155"/>
      <c r="G128" s="155"/>
      <c r="H128" s="155"/>
      <c r="I128" s="155"/>
      <c r="J128" s="155"/>
      <c r="K128" s="155"/>
      <c r="L128" s="155"/>
      <c r="M128" s="155"/>
    </row>
    <row r="129" spans="4:33" ht="20.100000000000001" customHeight="1" x14ac:dyDescent="0.2">
      <c r="D129" s="213"/>
      <c r="E129" s="155"/>
      <c r="F129" s="155"/>
      <c r="G129" s="155"/>
      <c r="H129" s="155"/>
      <c r="I129" s="155"/>
      <c r="J129" s="155"/>
      <c r="K129" s="155"/>
      <c r="L129" s="155"/>
    </row>
    <row r="130" spans="4:33" ht="20.100000000000001" customHeight="1" x14ac:dyDescent="0.2">
      <c r="D130" s="214" t="s">
        <v>616</v>
      </c>
      <c r="E130" s="214" t="s">
        <v>557</v>
      </c>
      <c r="F130" s="214" t="s">
        <v>617</v>
      </c>
      <c r="G130" s="214" t="s">
        <v>560</v>
      </c>
      <c r="H130" s="214" t="s">
        <v>562</v>
      </c>
      <c r="I130" s="214" t="s">
        <v>563</v>
      </c>
      <c r="J130" s="155"/>
      <c r="K130" s="155"/>
      <c r="L130" s="155"/>
    </row>
    <row r="131" spans="4:33" ht="20.100000000000001" customHeight="1" x14ac:dyDescent="0.2">
      <c r="D131" s="215" t="str">
        <f>$D$143</f>
        <v>Petrol</v>
      </c>
      <c r="E131" s="215" t="str">
        <f>$D$143</f>
        <v>Petrol</v>
      </c>
      <c r="F131" s="215" t="str">
        <f>$D$150</f>
        <v>Avgas</v>
      </c>
      <c r="G131" s="215" t="str">
        <f>$D$143</f>
        <v>Petrol</v>
      </c>
      <c r="H131" s="215" t="str">
        <f>$D$144</f>
        <v>Diesel</v>
      </c>
      <c r="I131" s="215" t="str">
        <f>$D$143</f>
        <v>Petrol</v>
      </c>
      <c r="J131" s="155"/>
      <c r="K131" s="155"/>
      <c r="L131" s="155"/>
    </row>
    <row r="132" spans="4:33" ht="20.100000000000001" customHeight="1" x14ac:dyDescent="0.2">
      <c r="D132" s="215" t="str">
        <f>$D$144</f>
        <v>Diesel</v>
      </c>
      <c r="E132" s="215" t="str">
        <f>$D$144</f>
        <v>Diesel</v>
      </c>
      <c r="F132" s="215" t="str">
        <f>$D$151</f>
        <v>Jet A1, Jet B</v>
      </c>
      <c r="G132" s="215" t="str">
        <f>$D$144</f>
        <v>Diesel</v>
      </c>
      <c r="H132" s="215"/>
      <c r="I132" s="215" t="str">
        <f>$D$144</f>
        <v>Diesel</v>
      </c>
      <c r="J132" s="155"/>
      <c r="K132" s="155"/>
      <c r="L132" s="155"/>
    </row>
    <row r="133" spans="4:33" ht="20.100000000000001" customHeight="1" x14ac:dyDescent="0.2">
      <c r="D133" s="215" t="str">
        <f>$D$145</f>
        <v>Liquefied petroleum gas (LPG)</v>
      </c>
      <c r="E133" s="215" t="str">
        <f>$D$145</f>
        <v>Liquefied petroleum gas (LPG)</v>
      </c>
      <c r="F133" s="215" t="str">
        <f>$D$152</f>
        <v>Renewable aviation kerosene</v>
      </c>
      <c r="G133" s="215" t="str">
        <f>$D$145</f>
        <v>Liquefied petroleum gas (LPG)</v>
      </c>
      <c r="H133" s="215"/>
      <c r="I133" s="215" t="s">
        <v>564</v>
      </c>
      <c r="J133" s="155"/>
      <c r="K133" s="155"/>
      <c r="L133" s="155"/>
    </row>
    <row r="134" spans="4:33" ht="20.100000000000001" customHeight="1" x14ac:dyDescent="0.2">
      <c r="D134" s="215" t="str">
        <f>$D$146</f>
        <v>Biodiesel</v>
      </c>
      <c r="E134" s="215" t="str">
        <f>$D$146</f>
        <v>Biodiesel</v>
      </c>
      <c r="F134" s="214"/>
      <c r="G134" s="215" t="str">
        <f>$D$160</f>
        <v>Fuel oil</v>
      </c>
      <c r="H134" s="215"/>
      <c r="I134" s="215"/>
      <c r="J134" s="155"/>
      <c r="K134" s="155"/>
      <c r="L134" s="155"/>
    </row>
    <row r="135" spans="4:33" ht="20.100000000000001" customHeight="1" x14ac:dyDescent="0.2">
      <c r="D135" s="215" t="str">
        <f>$D$147</f>
        <v>Ethanol</v>
      </c>
      <c r="E135" s="215" t="str">
        <f>$D$147</f>
        <v>Ethanol</v>
      </c>
      <c r="F135" s="214"/>
      <c r="G135" s="215" t="str">
        <f>$D$147</f>
        <v>Ethanol</v>
      </c>
      <c r="H135" s="215"/>
      <c r="I135" s="215"/>
      <c r="J135" s="155"/>
      <c r="K135" s="155"/>
      <c r="L135" s="155"/>
    </row>
    <row r="136" spans="4:33" ht="20.100000000000001" customHeight="1" x14ac:dyDescent="0.2">
      <c r="D136" s="215" t="str">
        <f>$D$148</f>
        <v>Other biofuels</v>
      </c>
      <c r="E136" s="215" t="str">
        <f>$D$148</f>
        <v>Other biofuels</v>
      </c>
      <c r="F136" s="214"/>
      <c r="G136" s="215" t="str">
        <f>$D$146</f>
        <v>Biodiesel</v>
      </c>
      <c r="H136" s="215"/>
      <c r="I136" s="215"/>
      <c r="J136" s="155"/>
      <c r="K136" s="155"/>
      <c r="L136" s="155"/>
    </row>
    <row r="137" spans="4:33" ht="20.100000000000001" customHeight="1" x14ac:dyDescent="0.2">
      <c r="D137" s="215" t="str">
        <f>$D$149</f>
        <v>Renewable diesel</v>
      </c>
      <c r="E137" s="215" t="str">
        <f>$D$149</f>
        <v>Renewable diesel</v>
      </c>
      <c r="F137" s="214"/>
      <c r="G137" s="215" t="str">
        <f>$D$149</f>
        <v>Renewable diesel</v>
      </c>
      <c r="H137" s="215"/>
      <c r="I137" s="215"/>
      <c r="J137" s="155"/>
      <c r="K137" s="155"/>
      <c r="L137" s="155"/>
    </row>
    <row r="138" spans="4:33" ht="20.100000000000001" customHeight="1" x14ac:dyDescent="0.2">
      <c r="D138" s="214"/>
      <c r="E138" s="216" t="str">
        <f>$D$161</f>
        <v>Natural gas (via pipeline) in GJ</v>
      </c>
      <c r="F138" s="216"/>
      <c r="G138" s="215" t="str">
        <f>$D$148</f>
        <v>Other biofuels</v>
      </c>
      <c r="H138" s="215"/>
      <c r="I138" s="215"/>
      <c r="J138" s="155"/>
      <c r="K138" s="155"/>
      <c r="L138" s="155"/>
    </row>
    <row r="139" spans="4:33" ht="20.100000000000001" customHeight="1" x14ac:dyDescent="0.2">
      <c r="D139" s="216"/>
      <c r="E139" s="216" t="str">
        <f>$D$162</f>
        <v>Town gas in GJ</v>
      </c>
      <c r="F139" s="216"/>
      <c r="G139" s="216"/>
      <c r="H139" s="216"/>
      <c r="I139" s="216"/>
      <c r="J139" s="155"/>
      <c r="K139" s="155"/>
      <c r="L139" s="155"/>
    </row>
    <row r="140" spans="4:33" ht="20.100000000000001" customHeight="1" x14ac:dyDescent="0.2">
      <c r="D140" s="155"/>
      <c r="E140" s="155"/>
      <c r="F140" s="155"/>
      <c r="G140" s="155"/>
      <c r="H140" s="155"/>
      <c r="I140" s="155"/>
      <c r="J140" s="155"/>
      <c r="K140" s="155"/>
      <c r="L140" s="155"/>
    </row>
    <row r="141" spans="4:33" ht="20.100000000000001" customHeight="1" x14ac:dyDescent="0.2">
      <c r="D141" s="155"/>
      <c r="E141" s="155"/>
      <c r="F141" s="155"/>
      <c r="G141" s="155"/>
      <c r="H141" s="155"/>
      <c r="I141" s="155"/>
      <c r="J141" s="155"/>
      <c r="K141" s="155"/>
      <c r="L141" s="155"/>
    </row>
    <row r="142" spans="4:33" ht="20.100000000000001" customHeight="1" x14ac:dyDescent="0.2">
      <c r="D142" t="s">
        <v>618</v>
      </c>
      <c r="E142" t="s">
        <v>118</v>
      </c>
      <c r="F142" t="s">
        <v>619</v>
      </c>
      <c r="G142" s="155"/>
      <c r="H142" s="155"/>
      <c r="I142" s="155"/>
      <c r="J142" s="155"/>
      <c r="K142" s="155"/>
      <c r="L142" s="155"/>
      <c r="M142" s="155"/>
      <c r="AG142" s="1"/>
    </row>
    <row r="143" spans="4:33" ht="20.100000000000001" customHeight="1" x14ac:dyDescent="0.2">
      <c r="D143" s="215" t="s">
        <v>559</v>
      </c>
      <c r="E143" t="s">
        <v>620</v>
      </c>
      <c r="F143" t="s">
        <v>621</v>
      </c>
      <c r="G143" s="155"/>
      <c r="H143" s="155"/>
      <c r="I143" s="155"/>
      <c r="J143" s="155"/>
      <c r="K143" s="155"/>
      <c r="L143" s="155"/>
      <c r="M143" s="155"/>
      <c r="AG143" s="1"/>
    </row>
    <row r="144" spans="4:33" ht="20.100000000000001" customHeight="1" x14ac:dyDescent="0.2">
      <c r="D144" s="215" t="s">
        <v>561</v>
      </c>
      <c r="E144" t="s">
        <v>620</v>
      </c>
      <c r="F144" t="s">
        <v>621</v>
      </c>
      <c r="G144" s="155"/>
      <c r="H144" s="155"/>
      <c r="I144" s="155"/>
      <c r="J144" s="155"/>
      <c r="K144" s="155"/>
      <c r="L144" s="155"/>
      <c r="M144" s="155"/>
      <c r="AG144" s="1"/>
    </row>
    <row r="145" spans="1:33" ht="20.100000000000001" customHeight="1" x14ac:dyDescent="0.2">
      <c r="D145" s="215" t="s">
        <v>622</v>
      </c>
      <c r="E145" t="s">
        <v>620</v>
      </c>
      <c r="F145" t="s">
        <v>621</v>
      </c>
      <c r="G145" s="155"/>
      <c r="H145" s="155"/>
      <c r="I145" s="155"/>
      <c r="J145" s="155"/>
      <c r="K145" s="155"/>
      <c r="L145" s="155"/>
      <c r="M145" s="155"/>
      <c r="AG145" s="1"/>
    </row>
    <row r="146" spans="1:33" ht="20.100000000000001" customHeight="1" x14ac:dyDescent="0.2">
      <c r="D146" s="215" t="s">
        <v>623</v>
      </c>
      <c r="E146" t="s">
        <v>620</v>
      </c>
      <c r="F146" t="s">
        <v>621</v>
      </c>
      <c r="G146" s="155"/>
      <c r="H146" s="155"/>
      <c r="I146" s="155"/>
      <c r="J146" s="155"/>
      <c r="K146" s="155"/>
      <c r="L146" s="155"/>
      <c r="M146" s="155"/>
      <c r="AG146" s="1"/>
    </row>
    <row r="147" spans="1:33" ht="20.100000000000001" customHeight="1" x14ac:dyDescent="0.2">
      <c r="D147" s="215" t="s">
        <v>624</v>
      </c>
      <c r="E147" t="s">
        <v>620</v>
      </c>
      <c r="F147" t="s">
        <v>621</v>
      </c>
      <c r="G147" s="155"/>
      <c r="H147" s="155"/>
      <c r="I147" s="155"/>
      <c r="J147" s="155"/>
      <c r="K147" s="155"/>
      <c r="L147" s="155"/>
      <c r="M147" s="155"/>
      <c r="AG147" s="1"/>
    </row>
    <row r="148" spans="1:33" ht="20.100000000000001" customHeight="1" x14ac:dyDescent="0.2">
      <c r="D148" s="215" t="s">
        <v>625</v>
      </c>
      <c r="E148" t="s">
        <v>620</v>
      </c>
      <c r="F148" t="s">
        <v>621</v>
      </c>
      <c r="G148" s="155"/>
      <c r="H148" s="155"/>
      <c r="I148" s="155"/>
      <c r="J148" s="155"/>
      <c r="K148" s="155"/>
      <c r="L148" s="155"/>
      <c r="M148" s="155"/>
      <c r="AG148" s="1"/>
    </row>
    <row r="149" spans="1:33" ht="20.100000000000001" customHeight="1" x14ac:dyDescent="0.2">
      <c r="A149" s="81" t="str">
        <f>HYPERLINK("#A1", "▲ Back to top")</f>
        <v>▲ Back to top</v>
      </c>
      <c r="D149" s="215" t="s">
        <v>626</v>
      </c>
      <c r="E149" t="s">
        <v>620</v>
      </c>
      <c r="F149" t="s">
        <v>621</v>
      </c>
      <c r="G149" s="155"/>
      <c r="H149" s="155"/>
      <c r="I149" s="155"/>
      <c r="J149" s="155"/>
      <c r="K149" s="155"/>
      <c r="L149" s="155"/>
      <c r="M149" s="155"/>
      <c r="AG149" s="1"/>
    </row>
    <row r="150" spans="1:33" ht="20.100000000000001" customHeight="1" x14ac:dyDescent="0.2">
      <c r="D150" s="215" t="s">
        <v>627</v>
      </c>
      <c r="E150" t="s">
        <v>620</v>
      </c>
      <c r="F150" t="s">
        <v>621</v>
      </c>
      <c r="G150" s="155"/>
      <c r="H150" s="155"/>
      <c r="I150" s="155"/>
      <c r="J150" s="155"/>
      <c r="K150" s="155"/>
      <c r="L150" s="155"/>
      <c r="M150" s="155"/>
      <c r="AG150" s="1"/>
    </row>
    <row r="151" spans="1:33" ht="20.100000000000001" customHeight="1" x14ac:dyDescent="0.2">
      <c r="D151" s="215" t="s">
        <v>628</v>
      </c>
      <c r="E151" t="s">
        <v>620</v>
      </c>
      <c r="F151" t="s">
        <v>621</v>
      </c>
      <c r="G151" s="155"/>
      <c r="H151" s="155"/>
      <c r="I151" s="155"/>
      <c r="J151" s="155"/>
      <c r="K151" s="155"/>
      <c r="L151" s="155"/>
      <c r="M151" s="155"/>
      <c r="AG151" s="1"/>
    </row>
    <row r="152" spans="1:33" ht="20.100000000000001" customHeight="1" x14ac:dyDescent="0.2">
      <c r="D152" s="217" t="s">
        <v>629</v>
      </c>
      <c r="E152" s="8" t="s">
        <v>620</v>
      </c>
      <c r="F152" t="s">
        <v>621</v>
      </c>
      <c r="G152" s="155"/>
      <c r="H152" s="155"/>
      <c r="I152" s="155"/>
      <c r="J152" s="155"/>
      <c r="K152" s="155"/>
      <c r="L152" s="155"/>
      <c r="M152" s="155"/>
      <c r="AG152" s="1"/>
    </row>
    <row r="153" spans="1:33" ht="20.100000000000001" customHeight="1" x14ac:dyDescent="0.2">
      <c r="D153" s="217" t="s">
        <v>630</v>
      </c>
      <c r="E153" s="8" t="s">
        <v>620</v>
      </c>
      <c r="F153" t="s">
        <v>621</v>
      </c>
      <c r="G153" s="155"/>
      <c r="H153" s="155"/>
      <c r="I153" s="155"/>
      <c r="J153" s="155"/>
      <c r="K153" s="155"/>
      <c r="L153" s="155"/>
      <c r="M153" s="155"/>
      <c r="AG153" s="1"/>
    </row>
    <row r="154" spans="1:33" ht="20.100000000000001" customHeight="1" x14ac:dyDescent="0.2">
      <c r="D154" s="217" t="s">
        <v>631</v>
      </c>
      <c r="E154" s="8" t="s">
        <v>620</v>
      </c>
      <c r="F154" t="s">
        <v>621</v>
      </c>
      <c r="G154" s="155"/>
      <c r="H154" s="155"/>
      <c r="I154" s="155"/>
      <c r="J154" s="155"/>
      <c r="K154" s="155"/>
      <c r="L154" s="155"/>
      <c r="M154" s="155"/>
      <c r="AG154" s="1"/>
    </row>
    <row r="155" spans="1:33" ht="20.100000000000001" customHeight="1" x14ac:dyDescent="0.2">
      <c r="D155" s="217" t="s">
        <v>632</v>
      </c>
      <c r="E155" s="8" t="s">
        <v>620</v>
      </c>
      <c r="F155" t="s">
        <v>621</v>
      </c>
      <c r="G155" s="155"/>
      <c r="H155" s="155"/>
      <c r="I155" s="155"/>
      <c r="J155" s="155"/>
      <c r="K155" s="155"/>
      <c r="L155" s="155"/>
      <c r="M155" s="155"/>
      <c r="AG155" s="1"/>
    </row>
    <row r="156" spans="1:33" ht="20.100000000000001" customHeight="1" x14ac:dyDescent="0.2">
      <c r="D156" s="217" t="s">
        <v>633</v>
      </c>
      <c r="E156" s="8" t="s">
        <v>620</v>
      </c>
      <c r="F156" t="s">
        <v>621</v>
      </c>
      <c r="G156" s="155"/>
      <c r="H156" s="155"/>
      <c r="I156" s="155"/>
      <c r="J156" s="155"/>
      <c r="K156" s="155"/>
      <c r="L156" s="155"/>
      <c r="M156" s="155"/>
      <c r="AG156" s="1"/>
    </row>
    <row r="157" spans="1:33" ht="20.100000000000001" customHeight="1" x14ac:dyDescent="0.2">
      <c r="D157" s="217" t="s">
        <v>634</v>
      </c>
      <c r="E157" s="8" t="s">
        <v>620</v>
      </c>
      <c r="F157" t="s">
        <v>621</v>
      </c>
      <c r="G157" s="155"/>
      <c r="H157" s="155"/>
      <c r="I157" s="155"/>
      <c r="J157" s="155"/>
      <c r="K157" s="155"/>
      <c r="L157" s="155"/>
      <c r="M157" s="155"/>
      <c r="AG157" s="1"/>
    </row>
    <row r="158" spans="1:33" ht="20.100000000000001" customHeight="1" x14ac:dyDescent="0.2">
      <c r="D158" s="217" t="s">
        <v>635</v>
      </c>
      <c r="E158" s="8" t="s">
        <v>620</v>
      </c>
      <c r="F158" t="s">
        <v>621</v>
      </c>
      <c r="G158" s="155"/>
      <c r="H158" s="155"/>
      <c r="I158" s="155"/>
      <c r="J158" s="155"/>
      <c r="K158" s="155"/>
      <c r="L158" s="155"/>
      <c r="M158" s="155"/>
      <c r="AG158" s="1"/>
    </row>
    <row r="159" spans="1:33" ht="20.100000000000001" customHeight="1" x14ac:dyDescent="0.2">
      <c r="D159" s="217" t="s">
        <v>636</v>
      </c>
      <c r="E159" s="8" t="s">
        <v>620</v>
      </c>
      <c r="F159" t="s">
        <v>621</v>
      </c>
      <c r="G159" s="155"/>
      <c r="H159" s="155"/>
      <c r="I159" s="155"/>
      <c r="J159" s="155"/>
      <c r="K159" s="155"/>
      <c r="L159" s="155"/>
      <c r="M159" s="155"/>
      <c r="AG159" s="1"/>
    </row>
    <row r="160" spans="1:33" ht="20.100000000000001" customHeight="1" x14ac:dyDescent="0.2">
      <c r="D160" s="217" t="s">
        <v>564</v>
      </c>
      <c r="E160" s="8" t="s">
        <v>620</v>
      </c>
      <c r="F160" t="s">
        <v>621</v>
      </c>
      <c r="G160" s="155"/>
      <c r="H160" s="155"/>
      <c r="I160" s="155"/>
      <c r="J160" s="155"/>
      <c r="K160" s="155"/>
      <c r="L160" s="155"/>
      <c r="M160" s="155"/>
      <c r="AG160" s="1"/>
    </row>
    <row r="161" spans="4:33" ht="20.100000000000001" customHeight="1" x14ac:dyDescent="0.2">
      <c r="D161" s="216" t="s">
        <v>637</v>
      </c>
      <c r="E161" s="155" t="s">
        <v>638</v>
      </c>
      <c r="F161" s="155" t="s">
        <v>638</v>
      </c>
      <c r="G161" s="155"/>
      <c r="H161" s="155"/>
      <c r="I161" s="155"/>
      <c r="J161" s="155"/>
      <c r="K161" s="155"/>
      <c r="L161" s="155"/>
      <c r="M161" s="155"/>
      <c r="AG161" s="1"/>
    </row>
    <row r="162" spans="4:33" ht="20.100000000000001" customHeight="1" x14ac:dyDescent="0.2">
      <c r="D162" s="155" t="s">
        <v>558</v>
      </c>
      <c r="E162" s="155" t="s">
        <v>638</v>
      </c>
      <c r="F162" s="155" t="s">
        <v>638</v>
      </c>
      <c r="G162" s="155"/>
      <c r="H162" s="155"/>
      <c r="I162" s="155"/>
      <c r="J162" s="155"/>
      <c r="K162" s="155"/>
      <c r="L162" s="155"/>
      <c r="M162" s="155"/>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3A37-D9FB-401A-B707-3E25FCEB83E4}">
  <sheetPr>
    <tabColor theme="2" tint="-0.499984740745262"/>
  </sheetPr>
  <dimension ref="A1:R247"/>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EI")</f>
        <v>Results - Product EI</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Crop'!A1", "Crop")</f>
        <v>Crop</v>
      </c>
    </row>
    <row r="12" spans="1:17" ht="20.100000000000001" customHeight="1" x14ac:dyDescent="0.2">
      <c r="A12" s="5" t="str">
        <f>HYPERLINK("#'Input - Fert Prod System'!A1", "Fert Prod System")</f>
        <v>Fert Prod System</v>
      </c>
    </row>
    <row r="13" spans="1:17" ht="20.100000000000001" customHeight="1" x14ac:dyDescent="0.2">
      <c r="A13" s="5" t="str">
        <f>HYPERLINK("#'Input - Fertiliser'!A1", "Fertiliser")</f>
        <v>Fertiliser</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Crop pasture farm input'!A1", "Crop pasture farm input")</f>
        <v>Crop pasture farm input</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Data quality'!A1", "Data quality")</f>
        <v>Data quality</v>
      </c>
    </row>
    <row r="23" spans="1:12" ht="20.100000000000001" customHeight="1" x14ac:dyDescent="0.2">
      <c r="A23" s="6" t="s">
        <v>2</v>
      </c>
    </row>
    <row r="24" spans="1:12" ht="20.100000000000001" customHeight="1" x14ac:dyDescent="0.2">
      <c r="A24" s="5" t="str">
        <f>HYPERLINK("#'5.1.1.1-2 Inorganic fert N2O'!A1", "5.1.1.1-2 Inorganic fert N2O")</f>
        <v>5.1.1.1-2 Inorganic fert N2O</v>
      </c>
    </row>
    <row r="25" spans="1:12" ht="20.100000000000001" customHeight="1" x14ac:dyDescent="0.2">
      <c r="A25" s="5" t="str">
        <f>HYPERLINK("#'5.1.1.3-4 Inorganic fert CO2'!A1", "5.1.1.3-4 Inorganic fert CO2")</f>
        <v>5.1.1.3-4 Inorganic fert CO2</v>
      </c>
    </row>
    <row r="26" spans="1:12" ht="20.100000000000001" customHeight="1" x14ac:dyDescent="0.2">
      <c r="A26" s="5" t="str">
        <f>HYPERLINK("#'5.2.1.1-2 Organic Fert N2O'!A1", "5.2.1.1-2 Organic fert N2O")</f>
        <v>5.2.1.1-2 Organic fert N2O</v>
      </c>
    </row>
    <row r="27" spans="1:12" ht="20.100000000000001" customHeight="1" x14ac:dyDescent="0.2">
      <c r="A27" s="5" t="str">
        <f>HYPERLINK("#'5.3.1.1-2 Lime CO2'!A1", "5.3.1.1-2 Lime CO2")</f>
        <v>5.3.1.1-2 Lime CO2</v>
      </c>
    </row>
    <row r="28" spans="1:12" ht="20.100000000000001" customHeight="1" x14ac:dyDescent="0.2">
      <c r="A28" s="5" t="str">
        <f>HYPERLINK("#'5.4.1.1-4 Atmos deposition'!A1", "5.4.1.1-4 Atmos. deposition")</f>
        <v>5.4.1.1-4 Atmos. deposition</v>
      </c>
    </row>
    <row r="29" spans="1:12" ht="20.100000000000001" customHeight="1" x14ac:dyDescent="0.2">
      <c r="A29" s="5" t="str">
        <f>HYPERLINK("#'5.5.1.1-2 Leaching and runoff'!A1", "5.5.1.1-2 Leaching &amp; runoff")</f>
        <v>5.5.1.1-2 Leaching &amp; runoff</v>
      </c>
    </row>
    <row r="30" spans="1:12" ht="20.100000000000001" customHeight="1" x14ac:dyDescent="0.2">
      <c r="A30" s="5" t="str">
        <f>HYPERLINK("#'6.1.1.1-2 Crop residue N2O'!A1", "6.1.1.1-2 Crop residue N2O")</f>
        <v>6.1.1.1-2 Crop residue N2O</v>
      </c>
    </row>
    <row r="31" spans="1:12" ht="20.100000000000001" customHeight="1" x14ac:dyDescent="0.2">
      <c r="A31" s="5" t="str">
        <f>HYPERLINK("#'6.3.1.1-2 Leach runoff crop'!A1", "6.3.1.1-2 Leach &amp; runoff (crop)")</f>
        <v>6.3.1.1-2 Leach &amp; runoff (crop)</v>
      </c>
    </row>
    <row r="32" spans="1:12" ht="20.100000000000001" customHeight="1" x14ac:dyDescent="0.2">
      <c r="A32" s="5" t="str">
        <f>HYPERLINK("#'6.4.1.1-2 Residue burning'!A1", "6.4.1.1-2 Residue burning")</f>
        <v>6.4.1.1-2 Residue burning</v>
      </c>
      <c r="D32" s="2" t="s">
        <v>977</v>
      </c>
      <c r="L32" s="1" t="s">
        <v>978</v>
      </c>
    </row>
    <row r="33" spans="1:13" ht="20.100000000000001" customHeight="1" x14ac:dyDescent="0.2">
      <c r="A33" s="5" t="str">
        <f>HYPERLINK("#'8.1.1.1-2 Transport fuel'!A1", "8.1.1.1-2 Transport fuel")</f>
        <v>8.1.1.1-2 Transport fuel</v>
      </c>
      <c r="D33" s="20" t="s">
        <v>979</v>
      </c>
      <c r="E33" s="20" t="s">
        <v>132</v>
      </c>
      <c r="F33" s="20" t="s">
        <v>980</v>
      </c>
      <c r="G33" s="20" t="s">
        <v>981</v>
      </c>
      <c r="H33" s="20" t="s">
        <v>982</v>
      </c>
      <c r="I33" s="20" t="s">
        <v>983</v>
      </c>
      <c r="J33" s="20" t="s">
        <v>463</v>
      </c>
      <c r="L33" s="20" t="s">
        <v>984</v>
      </c>
      <c r="M33" s="20" t="s">
        <v>985</v>
      </c>
    </row>
    <row r="34" spans="1:13" ht="20.100000000000001" customHeight="1" x14ac:dyDescent="0.2">
      <c r="A34" s="5" t="str">
        <f>HYPERLINK("#'8.2.1.1-2 Stationary fuel'!A1", "8.2.1.1-2 Stationary fuel")</f>
        <v>8.2.1.1-2 Stationary fuel</v>
      </c>
      <c r="D34" s="20" t="s">
        <v>852</v>
      </c>
      <c r="E34" s="20" t="s">
        <v>1883</v>
      </c>
      <c r="F34" s="20" t="s">
        <v>1005</v>
      </c>
      <c r="G34" s="20" t="s">
        <v>1884</v>
      </c>
      <c r="H34" s="20">
        <v>11</v>
      </c>
      <c r="I34" s="20" t="s">
        <v>1885</v>
      </c>
      <c r="J34" s="20" t="s">
        <v>986</v>
      </c>
      <c r="L34" s="20" t="s">
        <v>987</v>
      </c>
      <c r="M34" s="20" t="s">
        <v>988</v>
      </c>
    </row>
    <row r="35" spans="1:13" ht="20.100000000000001" customHeight="1" x14ac:dyDescent="0.2">
      <c r="A35" s="5" t="str">
        <f>HYPERLINK("#'10.1.1-2 Solid waste treatment'!A1", "10.1.1.1-2 Solid waste")</f>
        <v>10.1.1.1-2 Solid waste</v>
      </c>
      <c r="D35" s="20" t="s">
        <v>852</v>
      </c>
      <c r="E35" s="20" t="s">
        <v>1883</v>
      </c>
      <c r="F35" s="20" t="s">
        <v>988</v>
      </c>
      <c r="G35" s="20" t="s">
        <v>1884</v>
      </c>
      <c r="H35" s="20">
        <v>8.2100000000000009</v>
      </c>
      <c r="I35" s="20" t="s">
        <v>1885</v>
      </c>
      <c r="J35" s="20" t="s">
        <v>986</v>
      </c>
      <c r="L35" s="20" t="s">
        <v>988</v>
      </c>
      <c r="M35" s="20" t="s">
        <v>988</v>
      </c>
    </row>
    <row r="36" spans="1:13" ht="20.100000000000001" customHeight="1" x14ac:dyDescent="0.2">
      <c r="A36" s="5" t="str">
        <f>HYPERLINK("#'14.1.1-2 Purchased electricity'!A1", "14.1.1-2 Purchased electricity")</f>
        <v>14.1.1-2 Purchased electricity</v>
      </c>
      <c r="D36" s="20" t="s">
        <v>852</v>
      </c>
      <c r="E36" s="20" t="s">
        <v>1883</v>
      </c>
      <c r="F36" s="20" t="s">
        <v>997</v>
      </c>
      <c r="G36" s="20" t="s">
        <v>1884</v>
      </c>
      <c r="H36" s="20">
        <v>12.2</v>
      </c>
      <c r="I36" s="20" t="s">
        <v>1885</v>
      </c>
      <c r="J36" s="20" t="s">
        <v>986</v>
      </c>
      <c r="L36" s="20" t="s">
        <v>989</v>
      </c>
      <c r="M36" s="20" t="s">
        <v>989</v>
      </c>
    </row>
    <row r="37" spans="1:13" ht="20.100000000000001" customHeight="1" x14ac:dyDescent="0.2">
      <c r="A37" s="5" t="str">
        <f>HYPERLINK("#'15 Scope 3'!A1", "15 Scope 3")</f>
        <v>15 Scope 3</v>
      </c>
      <c r="D37" s="20" t="s">
        <v>852</v>
      </c>
      <c r="E37" s="20" t="s">
        <v>1883</v>
      </c>
      <c r="F37" s="20" t="s">
        <v>1001</v>
      </c>
      <c r="G37" s="20" t="s">
        <v>1884</v>
      </c>
      <c r="H37" s="20">
        <v>10.9</v>
      </c>
      <c r="I37" s="20" t="s">
        <v>1885</v>
      </c>
      <c r="J37" s="20" t="s">
        <v>986</v>
      </c>
      <c r="L37" s="20" t="s">
        <v>990</v>
      </c>
      <c r="M37" s="20" t="s">
        <v>990</v>
      </c>
    </row>
    <row r="38" spans="1:13" ht="20.100000000000001" customHeight="1" x14ac:dyDescent="0.2">
      <c r="D38" s="20" t="s">
        <v>852</v>
      </c>
      <c r="E38" s="20" t="s">
        <v>1883</v>
      </c>
      <c r="F38" s="20" t="s">
        <v>989</v>
      </c>
      <c r="G38" s="20" t="s">
        <v>1884</v>
      </c>
      <c r="H38" s="20">
        <v>7.63</v>
      </c>
      <c r="I38" s="20" t="s">
        <v>1885</v>
      </c>
      <c r="J38" s="20" t="s">
        <v>986</v>
      </c>
      <c r="L38" s="20" t="s">
        <v>991</v>
      </c>
      <c r="M38" s="20" t="s">
        <v>991</v>
      </c>
    </row>
    <row r="39" spans="1:13" ht="20.100000000000001" customHeight="1" x14ac:dyDescent="0.2">
      <c r="D39" s="20" t="s">
        <v>852</v>
      </c>
      <c r="E39" s="20" t="s">
        <v>1883</v>
      </c>
      <c r="F39" s="20" t="s">
        <v>990</v>
      </c>
      <c r="G39" s="20" t="s">
        <v>1884</v>
      </c>
      <c r="H39" s="20">
        <v>8.75</v>
      </c>
      <c r="I39" s="20" t="s">
        <v>1885</v>
      </c>
      <c r="J39" s="20" t="s">
        <v>986</v>
      </c>
      <c r="L39" s="20" t="s">
        <v>992</v>
      </c>
      <c r="M39" s="20" t="s">
        <v>993</v>
      </c>
    </row>
    <row r="40" spans="1:13" ht="20.100000000000001" customHeight="1" x14ac:dyDescent="0.2">
      <c r="A40" s="82" t="s">
        <v>1</v>
      </c>
      <c r="D40" s="20" t="s">
        <v>852</v>
      </c>
      <c r="E40" s="20" t="s">
        <v>1883</v>
      </c>
      <c r="F40" s="20" t="s">
        <v>991</v>
      </c>
      <c r="G40" s="20" t="s">
        <v>1884</v>
      </c>
      <c r="H40" s="20">
        <v>8.17</v>
      </c>
      <c r="I40" s="20" t="s">
        <v>1885</v>
      </c>
      <c r="J40" s="20" t="s">
        <v>986</v>
      </c>
      <c r="L40" s="20" t="s">
        <v>994</v>
      </c>
      <c r="M40" s="20" t="s">
        <v>993</v>
      </c>
    </row>
    <row r="41" spans="1:13" ht="20.100000000000001" customHeight="1" x14ac:dyDescent="0.2">
      <c r="A41" s="5" t="str">
        <f>HYPERLINK("#'Constants - Ag Residue'!A1", "Constants - Ag residue")</f>
        <v>Constants - Ag residue</v>
      </c>
      <c r="D41" s="20" t="s">
        <v>852</v>
      </c>
      <c r="E41" s="20" t="s">
        <v>1883</v>
      </c>
      <c r="F41" s="20" t="s">
        <v>993</v>
      </c>
      <c r="G41" s="20" t="s">
        <v>1884</v>
      </c>
      <c r="H41" s="20">
        <v>13.1</v>
      </c>
      <c r="I41" s="20" t="s">
        <v>1885</v>
      </c>
      <c r="J41" s="20" t="s">
        <v>986</v>
      </c>
      <c r="L41" s="20" t="s">
        <v>995</v>
      </c>
      <c r="M41" s="20" t="s">
        <v>993</v>
      </c>
    </row>
    <row r="42" spans="1:13" ht="20.100000000000001" customHeight="1" x14ac:dyDescent="0.2">
      <c r="A42" s="5" t="str">
        <f>HYPERLINK("#'Constants - Electricity'!A1", "Constants - Electricity")</f>
        <v>Constants - Electricity</v>
      </c>
      <c r="D42" s="20" t="s">
        <v>852</v>
      </c>
      <c r="E42" s="20" t="s">
        <v>1886</v>
      </c>
      <c r="F42" s="20" t="s">
        <v>1005</v>
      </c>
      <c r="G42" s="20" t="s">
        <v>1884</v>
      </c>
      <c r="H42" s="20">
        <v>14.5</v>
      </c>
      <c r="I42" s="20" t="s">
        <v>1885</v>
      </c>
      <c r="J42" s="20" t="s">
        <v>986</v>
      </c>
      <c r="L42" s="20" t="s">
        <v>996</v>
      </c>
      <c r="M42" s="20" t="s">
        <v>997</v>
      </c>
    </row>
    <row r="43" spans="1:13" ht="20.100000000000001" customHeight="1" x14ac:dyDescent="0.2">
      <c r="A43" s="5" t="str">
        <f>HYPERLINK("#'Constants - Fertiliser'!A1", "Constants - Fertiliser")</f>
        <v>Constants - Fertiliser</v>
      </c>
      <c r="D43" s="20" t="s">
        <v>852</v>
      </c>
      <c r="E43" s="20" t="s">
        <v>1886</v>
      </c>
      <c r="F43" s="20" t="s">
        <v>988</v>
      </c>
      <c r="G43" s="20" t="s">
        <v>1884</v>
      </c>
      <c r="H43" s="20">
        <v>11.3</v>
      </c>
      <c r="I43" s="20" t="s">
        <v>1885</v>
      </c>
      <c r="J43" s="20" t="s">
        <v>986</v>
      </c>
      <c r="L43" s="20" t="s">
        <v>998</v>
      </c>
      <c r="M43" s="20" t="s">
        <v>997</v>
      </c>
    </row>
    <row r="44" spans="1:13" ht="20.100000000000001" customHeight="1" x14ac:dyDescent="0.2">
      <c r="A44" s="5" t="str">
        <f>HYPERLINK("#'Constants - Fuel'!A1", "Constants - Fuel")</f>
        <v>Constants - Fuel</v>
      </c>
      <c r="D44" s="20" t="s">
        <v>852</v>
      </c>
      <c r="E44" s="20" t="s">
        <v>1886</v>
      </c>
      <c r="F44" s="20" t="s">
        <v>997</v>
      </c>
      <c r="G44" s="20" t="s">
        <v>1884</v>
      </c>
      <c r="H44" s="20">
        <v>18.899999999999999</v>
      </c>
      <c r="I44" s="20" t="s">
        <v>1885</v>
      </c>
      <c r="J44" s="20" t="s">
        <v>986</v>
      </c>
      <c r="L44" s="20" t="s">
        <v>999</v>
      </c>
      <c r="M44" s="20" t="s">
        <v>997</v>
      </c>
    </row>
    <row r="45" spans="1:13" ht="20.100000000000001" customHeight="1" x14ac:dyDescent="0.2">
      <c r="A45" s="83" t="str">
        <f>HYPERLINK("#'Constants - Scope 3'!A1", "Constants - Scope 3")</f>
        <v>Constants - Scope 3</v>
      </c>
      <c r="D45" s="20" t="s">
        <v>852</v>
      </c>
      <c r="E45" s="20" t="s">
        <v>1886</v>
      </c>
      <c r="F45" s="20" t="s">
        <v>1001</v>
      </c>
      <c r="G45" s="20" t="s">
        <v>1884</v>
      </c>
      <c r="H45" s="20">
        <v>13.9</v>
      </c>
      <c r="I45" s="20" t="s">
        <v>1885</v>
      </c>
      <c r="J45" s="20" t="s">
        <v>986</v>
      </c>
      <c r="L45" s="20" t="s">
        <v>1000</v>
      </c>
      <c r="M45" s="20" t="s">
        <v>1001</v>
      </c>
    </row>
    <row r="46" spans="1:13" ht="20.100000000000001" customHeight="1" x14ac:dyDescent="0.2">
      <c r="A46" s="5" t="str">
        <f>HYPERLINK("#'Constants - Solid Waste'!A1", "Constants - Solid Waste")</f>
        <v>Constants - Solid Waste</v>
      </c>
      <c r="D46" s="20" t="s">
        <v>852</v>
      </c>
      <c r="E46" s="20" t="s">
        <v>1886</v>
      </c>
      <c r="F46" s="20" t="s">
        <v>989</v>
      </c>
      <c r="G46" s="20" t="s">
        <v>1884</v>
      </c>
      <c r="H46" s="20">
        <v>12.3</v>
      </c>
      <c r="I46" s="20" t="s">
        <v>1885</v>
      </c>
      <c r="J46" s="20" t="s">
        <v>986</v>
      </c>
      <c r="L46" s="20" t="s">
        <v>1002</v>
      </c>
      <c r="M46" s="20" t="s">
        <v>1001</v>
      </c>
    </row>
    <row r="47" spans="1:13" ht="20.100000000000001" customHeight="1" x14ac:dyDescent="0.2">
      <c r="A47" s="5" t="str">
        <f>HYPERLINK("#'Constants - Common'!A1", "Constants - Common")</f>
        <v>Constants - Common</v>
      </c>
      <c r="D47" s="20" t="s">
        <v>852</v>
      </c>
      <c r="E47" s="20" t="s">
        <v>1886</v>
      </c>
      <c r="F47" s="20" t="s">
        <v>990</v>
      </c>
      <c r="G47" s="20" t="s">
        <v>1884</v>
      </c>
      <c r="H47" s="20">
        <v>11.5</v>
      </c>
      <c r="I47" s="20" t="s">
        <v>1885</v>
      </c>
      <c r="J47" s="20" t="s">
        <v>986</v>
      </c>
      <c r="L47" s="20" t="s">
        <v>1003</v>
      </c>
      <c r="M47" s="20" t="s">
        <v>1001</v>
      </c>
    </row>
    <row r="48" spans="1:13" ht="20.100000000000001" customHeight="1" x14ac:dyDescent="0.2">
      <c r="A48" s="5" t="str">
        <f>HYPERLINK("#'Constants - Common Livestock'!A1", "Constants - Common Livestock")</f>
        <v>Constants - Common Livestock</v>
      </c>
      <c r="D48" s="20" t="s">
        <v>852</v>
      </c>
      <c r="E48" s="20" t="s">
        <v>1886</v>
      </c>
      <c r="F48" s="20" t="s">
        <v>991</v>
      </c>
      <c r="G48" s="20" t="s">
        <v>1884</v>
      </c>
      <c r="H48" s="20">
        <v>11.5</v>
      </c>
      <c r="I48" s="20" t="s">
        <v>1885</v>
      </c>
      <c r="J48" s="20" t="s">
        <v>986</v>
      </c>
      <c r="L48" s="20" t="s">
        <v>1004</v>
      </c>
      <c r="M48" s="20" t="s">
        <v>1001</v>
      </c>
    </row>
    <row r="49" spans="1:13" ht="20.100000000000001" customHeight="1" x14ac:dyDescent="0.2">
      <c r="D49" s="20" t="s">
        <v>852</v>
      </c>
      <c r="E49" s="20" t="s">
        <v>1886</v>
      </c>
      <c r="F49" s="20" t="s">
        <v>993</v>
      </c>
      <c r="G49" s="20" t="s">
        <v>1884</v>
      </c>
      <c r="H49" s="20">
        <v>20.8</v>
      </c>
      <c r="I49" s="20" t="s">
        <v>1885</v>
      </c>
      <c r="J49" s="20" t="s">
        <v>986</v>
      </c>
      <c r="L49" s="1" t="s">
        <v>1005</v>
      </c>
      <c r="M49" s="1" t="s">
        <v>1005</v>
      </c>
    </row>
    <row r="50" spans="1:13" ht="20.100000000000001" customHeight="1" x14ac:dyDescent="0.2">
      <c r="D50" s="20" t="s">
        <v>852</v>
      </c>
      <c r="E50" s="20" t="s">
        <v>1887</v>
      </c>
      <c r="F50" s="20" t="s">
        <v>1005</v>
      </c>
      <c r="G50" s="20" t="s">
        <v>1884</v>
      </c>
      <c r="H50" s="20">
        <v>15.5</v>
      </c>
      <c r="I50" s="20" t="s">
        <v>1885</v>
      </c>
      <c r="J50" s="20" t="s">
        <v>986</v>
      </c>
    </row>
    <row r="51" spans="1:13" ht="20.100000000000001" customHeight="1" x14ac:dyDescent="0.2">
      <c r="D51" s="20" t="s">
        <v>852</v>
      </c>
      <c r="E51" s="20" t="s">
        <v>1887</v>
      </c>
      <c r="F51" s="20" t="s">
        <v>988</v>
      </c>
      <c r="G51" s="20" t="s">
        <v>1884</v>
      </c>
      <c r="H51" s="20">
        <v>12.7</v>
      </c>
      <c r="I51" s="20" t="s">
        <v>1885</v>
      </c>
      <c r="J51" s="20" t="s">
        <v>986</v>
      </c>
    </row>
    <row r="52" spans="1:13" ht="20.100000000000001" customHeight="1" x14ac:dyDescent="0.2">
      <c r="D52" s="20" t="s">
        <v>852</v>
      </c>
      <c r="E52" s="20" t="s">
        <v>1887</v>
      </c>
      <c r="F52" s="20" t="s">
        <v>997</v>
      </c>
      <c r="G52" s="20" t="s">
        <v>1884</v>
      </c>
      <c r="H52" s="20">
        <v>19.100000000000001</v>
      </c>
      <c r="I52" s="20" t="s">
        <v>1885</v>
      </c>
      <c r="J52" s="20" t="s">
        <v>986</v>
      </c>
    </row>
    <row r="53" spans="1:13" ht="20.100000000000001" customHeight="1" x14ac:dyDescent="0.2">
      <c r="D53" s="20" t="s">
        <v>852</v>
      </c>
      <c r="E53" s="20" t="s">
        <v>1887</v>
      </c>
      <c r="F53" s="20" t="s">
        <v>1001</v>
      </c>
      <c r="G53" s="20" t="s">
        <v>1884</v>
      </c>
      <c r="H53" s="20">
        <v>20.5</v>
      </c>
      <c r="I53" s="20" t="s">
        <v>1885</v>
      </c>
      <c r="J53" s="20" t="s">
        <v>986</v>
      </c>
    </row>
    <row r="54" spans="1:13" ht="20.100000000000001" customHeight="1" x14ac:dyDescent="0.2">
      <c r="D54" s="20" t="s">
        <v>852</v>
      </c>
      <c r="E54" s="20" t="s">
        <v>1887</v>
      </c>
      <c r="F54" s="20" t="s">
        <v>989</v>
      </c>
      <c r="G54" s="20" t="s">
        <v>1884</v>
      </c>
      <c r="H54" s="20">
        <v>10.8</v>
      </c>
      <c r="I54" s="20" t="s">
        <v>1885</v>
      </c>
      <c r="J54" s="20" t="s">
        <v>986</v>
      </c>
    </row>
    <row r="55" spans="1:13" ht="20.100000000000001" customHeight="1" x14ac:dyDescent="0.2">
      <c r="D55" s="20" t="s">
        <v>852</v>
      </c>
      <c r="E55" s="20" t="s">
        <v>1887</v>
      </c>
      <c r="F55" s="20" t="s">
        <v>990</v>
      </c>
      <c r="G55" s="20" t="s">
        <v>1884</v>
      </c>
      <c r="H55" s="20">
        <v>13.4</v>
      </c>
      <c r="I55" s="20" t="s">
        <v>1885</v>
      </c>
      <c r="J55" s="20" t="s">
        <v>986</v>
      </c>
    </row>
    <row r="56" spans="1:13" ht="20.100000000000001" customHeight="1" x14ac:dyDescent="0.2">
      <c r="D56" s="20" t="s">
        <v>852</v>
      </c>
      <c r="E56" s="20" t="s">
        <v>1887</v>
      </c>
      <c r="F56" s="20" t="s">
        <v>991</v>
      </c>
      <c r="G56" s="20" t="s">
        <v>1884</v>
      </c>
      <c r="H56" s="20">
        <v>12</v>
      </c>
      <c r="I56" s="20" t="s">
        <v>1885</v>
      </c>
      <c r="J56" s="20" t="s">
        <v>986</v>
      </c>
    </row>
    <row r="57" spans="1:13" ht="20.100000000000001" customHeight="1" x14ac:dyDescent="0.2">
      <c r="D57" s="20" t="s">
        <v>852</v>
      </c>
      <c r="E57" s="20" t="s">
        <v>1887</v>
      </c>
      <c r="F57" s="20" t="s">
        <v>993</v>
      </c>
      <c r="G57" s="20" t="s">
        <v>1884</v>
      </c>
      <c r="H57" s="20">
        <v>12.4</v>
      </c>
      <c r="I57" s="20" t="s">
        <v>1885</v>
      </c>
      <c r="J57" s="20" t="s">
        <v>986</v>
      </c>
    </row>
    <row r="58" spans="1:13" ht="20.100000000000001" customHeight="1" x14ac:dyDescent="0.2">
      <c r="D58" s="20" t="s">
        <v>1888</v>
      </c>
      <c r="E58" s="20" t="s">
        <v>1888</v>
      </c>
      <c r="F58" s="20" t="s">
        <v>1005</v>
      </c>
      <c r="G58" s="20" t="s">
        <v>1884</v>
      </c>
      <c r="H58" s="20">
        <v>1.36</v>
      </c>
      <c r="I58" s="20" t="s">
        <v>1885</v>
      </c>
      <c r="J58" s="20" t="s">
        <v>986</v>
      </c>
    </row>
    <row r="59" spans="1:13" ht="20.100000000000001" customHeight="1" x14ac:dyDescent="0.2">
      <c r="A59" s="81" t="str">
        <f>HYPERLINK("#A1", "▲ Back to top")</f>
        <v>▲ Back to top</v>
      </c>
      <c r="D59" s="20" t="s">
        <v>871</v>
      </c>
      <c r="E59" s="20" t="s">
        <v>1889</v>
      </c>
      <c r="F59" s="20" t="s">
        <v>991</v>
      </c>
      <c r="G59" s="20" t="s">
        <v>1884</v>
      </c>
      <c r="H59" s="20">
        <v>4.41</v>
      </c>
      <c r="I59" s="20" t="s">
        <v>1885</v>
      </c>
      <c r="J59" s="20" t="s">
        <v>986</v>
      </c>
    </row>
    <row r="60" spans="1:13" ht="20.100000000000001" customHeight="1" x14ac:dyDescent="0.2">
      <c r="D60" s="20" t="s">
        <v>875</v>
      </c>
      <c r="E60" s="20" t="s">
        <v>875</v>
      </c>
      <c r="F60" s="20" t="s">
        <v>1005</v>
      </c>
      <c r="G60" s="20" t="s">
        <v>1884</v>
      </c>
      <c r="H60" s="20">
        <v>3.38</v>
      </c>
      <c r="I60" s="20" t="s">
        <v>1885</v>
      </c>
      <c r="J60" s="20" t="s">
        <v>986</v>
      </c>
    </row>
    <row r="61" spans="1:13" ht="20.100000000000001" customHeight="1" x14ac:dyDescent="0.2">
      <c r="D61" s="20" t="s">
        <v>1890</v>
      </c>
      <c r="E61" s="20" t="s">
        <v>1891</v>
      </c>
      <c r="F61" s="20" t="s">
        <v>1005</v>
      </c>
      <c r="G61" s="20" t="s">
        <v>1884</v>
      </c>
      <c r="H61" s="20">
        <v>6.81</v>
      </c>
      <c r="I61" s="20" t="s">
        <v>1885</v>
      </c>
      <c r="J61" s="20" t="s">
        <v>986</v>
      </c>
    </row>
    <row r="62" spans="1:13" ht="20.100000000000001" customHeight="1" x14ac:dyDescent="0.2">
      <c r="D62" s="20" t="s">
        <v>1890</v>
      </c>
      <c r="E62" s="20" t="s">
        <v>1891</v>
      </c>
      <c r="F62" s="20" t="s">
        <v>988</v>
      </c>
      <c r="G62" s="20" t="s">
        <v>1884</v>
      </c>
      <c r="H62" s="20">
        <v>2.2599999999999998</v>
      </c>
      <c r="I62" s="20" t="s">
        <v>1885</v>
      </c>
      <c r="J62" s="20" t="s">
        <v>986</v>
      </c>
    </row>
    <row r="63" spans="1:13" ht="20.100000000000001" customHeight="1" x14ac:dyDescent="0.2">
      <c r="D63" s="20" t="s">
        <v>1890</v>
      </c>
      <c r="E63" s="20" t="s">
        <v>1891</v>
      </c>
      <c r="F63" s="20" t="s">
        <v>1001</v>
      </c>
      <c r="G63" s="20" t="s">
        <v>1884</v>
      </c>
      <c r="H63" s="20">
        <v>6.33</v>
      </c>
      <c r="I63" s="20" t="s">
        <v>1885</v>
      </c>
      <c r="J63" s="20" t="s">
        <v>986</v>
      </c>
    </row>
    <row r="64" spans="1:13" ht="20.100000000000001" customHeight="1" x14ac:dyDescent="0.2">
      <c r="D64" s="20" t="s">
        <v>1890</v>
      </c>
      <c r="E64" s="20" t="s">
        <v>1891</v>
      </c>
      <c r="F64" s="20" t="s">
        <v>989</v>
      </c>
      <c r="G64" s="20" t="s">
        <v>1884</v>
      </c>
      <c r="H64" s="20">
        <v>6.18</v>
      </c>
      <c r="I64" s="20" t="s">
        <v>1885</v>
      </c>
      <c r="J64" s="20" t="s">
        <v>986</v>
      </c>
    </row>
    <row r="65" spans="4:10" ht="20.100000000000001" customHeight="1" x14ac:dyDescent="0.2">
      <c r="D65" s="20" t="s">
        <v>1890</v>
      </c>
      <c r="E65" s="20" t="s">
        <v>1891</v>
      </c>
      <c r="F65" s="20" t="s">
        <v>990</v>
      </c>
      <c r="G65" s="20" t="s">
        <v>1884</v>
      </c>
      <c r="H65" s="20">
        <v>7.5</v>
      </c>
      <c r="I65" s="20" t="s">
        <v>1885</v>
      </c>
      <c r="J65" s="20" t="s">
        <v>986</v>
      </c>
    </row>
    <row r="66" spans="4:10" ht="20.100000000000001" customHeight="1" x14ac:dyDescent="0.2">
      <c r="D66" s="20" t="s">
        <v>1890</v>
      </c>
      <c r="E66" s="20" t="s">
        <v>1891</v>
      </c>
      <c r="F66" s="20" t="s">
        <v>991</v>
      </c>
      <c r="G66" s="20" t="s">
        <v>1884</v>
      </c>
      <c r="H66" s="20">
        <v>8.08</v>
      </c>
      <c r="I66" s="20" t="s">
        <v>1885</v>
      </c>
      <c r="J66" s="20" t="s">
        <v>986</v>
      </c>
    </row>
    <row r="67" spans="4:10" ht="20.100000000000001" customHeight="1" x14ac:dyDescent="0.2">
      <c r="D67" s="20" t="s">
        <v>1890</v>
      </c>
      <c r="E67" s="20" t="s">
        <v>1891</v>
      </c>
      <c r="F67" s="20" t="s">
        <v>993</v>
      </c>
      <c r="G67" s="20" t="s">
        <v>1884</v>
      </c>
      <c r="H67" s="20">
        <v>5.45</v>
      </c>
      <c r="I67" s="20" t="s">
        <v>1885</v>
      </c>
      <c r="J67" s="20" t="s">
        <v>986</v>
      </c>
    </row>
    <row r="68" spans="4:10" ht="20.100000000000001" customHeight="1" x14ac:dyDescent="0.2">
      <c r="D68" s="20" t="s">
        <v>1890</v>
      </c>
      <c r="E68" s="20" t="s">
        <v>1892</v>
      </c>
      <c r="F68" s="20" t="s">
        <v>1005</v>
      </c>
      <c r="G68" s="20" t="s">
        <v>1884</v>
      </c>
      <c r="H68" s="20">
        <v>7.15</v>
      </c>
      <c r="I68" s="20" t="s">
        <v>1885</v>
      </c>
      <c r="J68" s="20" t="s">
        <v>986</v>
      </c>
    </row>
    <row r="69" spans="4:10" ht="20.100000000000001" customHeight="1" x14ac:dyDescent="0.2">
      <c r="D69" s="20" t="s">
        <v>1890</v>
      </c>
      <c r="E69" s="20" t="s">
        <v>1892</v>
      </c>
      <c r="F69" s="20" t="s">
        <v>988</v>
      </c>
      <c r="G69" s="20" t="s">
        <v>1884</v>
      </c>
      <c r="H69" s="20">
        <v>8.2899999999999991</v>
      </c>
      <c r="I69" s="20" t="s">
        <v>1885</v>
      </c>
      <c r="J69" s="20" t="s">
        <v>986</v>
      </c>
    </row>
    <row r="70" spans="4:10" ht="20.100000000000001" customHeight="1" x14ac:dyDescent="0.2">
      <c r="D70" s="20" t="s">
        <v>1890</v>
      </c>
      <c r="E70" s="20" t="s">
        <v>1892</v>
      </c>
      <c r="F70" s="20" t="s">
        <v>1001</v>
      </c>
      <c r="G70" s="20" t="s">
        <v>1884</v>
      </c>
      <c r="H70" s="20">
        <v>6.39</v>
      </c>
      <c r="I70" s="20" t="s">
        <v>1885</v>
      </c>
      <c r="J70" s="20" t="s">
        <v>986</v>
      </c>
    </row>
    <row r="71" spans="4:10" ht="20.100000000000001" customHeight="1" x14ac:dyDescent="0.2">
      <c r="D71" s="20" t="s">
        <v>1890</v>
      </c>
      <c r="E71" s="20" t="s">
        <v>1892</v>
      </c>
      <c r="F71" s="20" t="s">
        <v>989</v>
      </c>
      <c r="G71" s="20" t="s">
        <v>1884</v>
      </c>
      <c r="H71" s="20">
        <v>6.87</v>
      </c>
      <c r="I71" s="20" t="s">
        <v>1885</v>
      </c>
      <c r="J71" s="20" t="s">
        <v>986</v>
      </c>
    </row>
    <row r="72" spans="4:10" ht="20.100000000000001" customHeight="1" x14ac:dyDescent="0.2">
      <c r="D72" s="20" t="s">
        <v>1890</v>
      </c>
      <c r="E72" s="20" t="s">
        <v>1892</v>
      </c>
      <c r="F72" s="20" t="s">
        <v>990</v>
      </c>
      <c r="G72" s="20" t="s">
        <v>1884</v>
      </c>
      <c r="H72" s="20">
        <v>8.66</v>
      </c>
      <c r="I72" s="20" t="s">
        <v>1885</v>
      </c>
      <c r="J72" s="20" t="s">
        <v>986</v>
      </c>
    </row>
    <row r="73" spans="4:10" ht="20.100000000000001" customHeight="1" x14ac:dyDescent="0.2">
      <c r="D73" s="20" t="s">
        <v>1890</v>
      </c>
      <c r="E73" s="20" t="s">
        <v>1892</v>
      </c>
      <c r="F73" s="20" t="s">
        <v>991</v>
      </c>
      <c r="G73" s="20" t="s">
        <v>1884</v>
      </c>
      <c r="H73" s="20">
        <v>10</v>
      </c>
      <c r="I73" s="20" t="s">
        <v>1885</v>
      </c>
      <c r="J73" s="20" t="s">
        <v>986</v>
      </c>
    </row>
    <row r="74" spans="4:10" ht="20.100000000000001" customHeight="1" x14ac:dyDescent="0.2">
      <c r="D74" s="20" t="s">
        <v>1890</v>
      </c>
      <c r="E74" s="20" t="s">
        <v>1892</v>
      </c>
      <c r="F74" s="20" t="s">
        <v>993</v>
      </c>
      <c r="G74" s="20" t="s">
        <v>1884</v>
      </c>
      <c r="H74" s="20">
        <v>5.67</v>
      </c>
      <c r="I74" s="20" t="s">
        <v>1885</v>
      </c>
      <c r="J74" s="20" t="s">
        <v>986</v>
      </c>
    </row>
    <row r="76" spans="4:10" ht="20.100000000000001" customHeight="1" x14ac:dyDescent="0.2">
      <c r="D76" s="2" t="s">
        <v>1006</v>
      </c>
    </row>
    <row r="77" spans="4:10" ht="20.100000000000001" customHeight="1" x14ac:dyDescent="0.2">
      <c r="D77" s="20" t="s">
        <v>979</v>
      </c>
      <c r="E77" s="20" t="s">
        <v>132</v>
      </c>
      <c r="F77" s="20" t="s">
        <v>980</v>
      </c>
      <c r="G77" s="20" t="s">
        <v>981</v>
      </c>
      <c r="H77" s="20" t="s">
        <v>982</v>
      </c>
      <c r="I77" s="20" t="s">
        <v>983</v>
      </c>
      <c r="J77" s="20" t="s">
        <v>463</v>
      </c>
    </row>
    <row r="78" spans="4:10" ht="20.100000000000001" customHeight="1" x14ac:dyDescent="0.2">
      <c r="D78" s="20" t="s">
        <v>785</v>
      </c>
      <c r="E78" s="20" t="s">
        <v>792</v>
      </c>
      <c r="F78" s="20" t="s">
        <v>1613</v>
      </c>
      <c r="G78" s="20" t="s">
        <v>370</v>
      </c>
      <c r="H78" s="20">
        <v>0.72199999999999998</v>
      </c>
      <c r="I78" s="20" t="s">
        <v>1893</v>
      </c>
      <c r="J78" s="20" t="s">
        <v>986</v>
      </c>
    </row>
    <row r="79" spans="4:10" ht="20.100000000000001" customHeight="1" x14ac:dyDescent="0.2">
      <c r="D79" s="20" t="s">
        <v>785</v>
      </c>
      <c r="E79" s="20" t="s">
        <v>794</v>
      </c>
      <c r="F79" s="20" t="s">
        <v>1613</v>
      </c>
      <c r="G79" s="20" t="s">
        <v>370</v>
      </c>
      <c r="H79" s="20">
        <v>0.80400000000000005</v>
      </c>
      <c r="I79" s="20" t="s">
        <v>1893</v>
      </c>
      <c r="J79" s="20" t="s">
        <v>986</v>
      </c>
    </row>
    <row r="80" spans="4:10" ht="20.100000000000001" customHeight="1" x14ac:dyDescent="0.2">
      <c r="D80" s="20" t="s">
        <v>785</v>
      </c>
      <c r="E80" s="20" t="s">
        <v>790</v>
      </c>
      <c r="F80" s="20" t="s">
        <v>1613</v>
      </c>
      <c r="G80" s="20" t="s">
        <v>370</v>
      </c>
      <c r="H80" s="20">
        <v>0.90700000000000003</v>
      </c>
      <c r="I80" s="20" t="s">
        <v>1893</v>
      </c>
      <c r="J80" s="20" t="s">
        <v>986</v>
      </c>
    </row>
    <row r="82" spans="1:17" ht="20.100000000000001" customHeight="1" x14ac:dyDescent="0.2">
      <c r="D82" s="20" t="s">
        <v>979</v>
      </c>
      <c r="E82" s="20" t="s">
        <v>132</v>
      </c>
      <c r="F82" s="20" t="s">
        <v>980</v>
      </c>
      <c r="G82" s="20" t="s">
        <v>981</v>
      </c>
      <c r="H82" s="20" t="s">
        <v>982</v>
      </c>
      <c r="I82" s="20" t="s">
        <v>983</v>
      </c>
      <c r="J82" s="20" t="s">
        <v>463</v>
      </c>
    </row>
    <row r="83" spans="1:17" ht="20.100000000000001" customHeight="1" x14ac:dyDescent="0.2">
      <c r="D83" s="20" t="s">
        <v>1894</v>
      </c>
      <c r="E83" s="20" t="s">
        <v>1895</v>
      </c>
      <c r="F83" s="20" t="s">
        <v>1613</v>
      </c>
      <c r="G83" s="20" t="s">
        <v>1896</v>
      </c>
      <c r="H83" s="20">
        <v>5.4699999999999999E-2</v>
      </c>
      <c r="I83" s="20" t="s">
        <v>1893</v>
      </c>
      <c r="J83" s="20" t="s">
        <v>986</v>
      </c>
    </row>
    <row r="84" spans="1:17" ht="20.100000000000001" customHeight="1" x14ac:dyDescent="0.2">
      <c r="D84" s="20" t="s">
        <v>1894</v>
      </c>
      <c r="E84" s="20" t="s">
        <v>1897</v>
      </c>
      <c r="F84" s="20" t="s">
        <v>1613</v>
      </c>
      <c r="G84" s="20" t="s">
        <v>1896</v>
      </c>
      <c r="H84" s="20">
        <v>1.4200000000000001E-2</v>
      </c>
      <c r="I84" s="20" t="s">
        <v>1893</v>
      </c>
      <c r="J84" s="20" t="s">
        <v>986</v>
      </c>
    </row>
    <row r="85" spans="1:17" ht="20.100000000000001" customHeight="1" x14ac:dyDescent="0.2">
      <c r="D85" s="20" t="s">
        <v>1894</v>
      </c>
      <c r="E85" s="20" t="s">
        <v>1898</v>
      </c>
      <c r="F85" s="20" t="s">
        <v>1613</v>
      </c>
      <c r="G85" s="20" t="s">
        <v>1896</v>
      </c>
      <c r="H85" s="20">
        <v>1.43E-2</v>
      </c>
      <c r="I85" s="20" t="s">
        <v>1893</v>
      </c>
      <c r="J85" s="20" t="s">
        <v>986</v>
      </c>
    </row>
    <row r="86" spans="1:17" ht="20.100000000000001" customHeight="1" x14ac:dyDescent="0.2">
      <c r="D86" s="20" t="s">
        <v>1894</v>
      </c>
      <c r="E86" s="20" t="s">
        <v>1899</v>
      </c>
      <c r="F86" s="20" t="s">
        <v>1613</v>
      </c>
      <c r="G86" s="20" t="s">
        <v>1896</v>
      </c>
      <c r="H86" s="20">
        <v>4.2599999999999999E-3</v>
      </c>
      <c r="I86" s="20" t="s">
        <v>1893</v>
      </c>
      <c r="J86" s="20" t="s">
        <v>986</v>
      </c>
    </row>
    <row r="88" spans="1:17" ht="20.100000000000001" customHeight="1" x14ac:dyDescent="0.2">
      <c r="D88" s="2" t="s">
        <v>1007</v>
      </c>
    </row>
    <row r="89" spans="1:17" ht="20.100000000000001" customHeight="1" x14ac:dyDescent="0.2">
      <c r="A89" s="81" t="str">
        <f>HYPERLINK("#A1", "▲ Back to top")</f>
        <v>▲ Back to top</v>
      </c>
      <c r="D89" s="20" t="s">
        <v>979</v>
      </c>
      <c r="E89" s="20" t="s">
        <v>132</v>
      </c>
      <c r="F89" s="20" t="s">
        <v>980</v>
      </c>
      <c r="G89" s="20" t="s">
        <v>981</v>
      </c>
      <c r="H89" s="20" t="s">
        <v>982</v>
      </c>
      <c r="I89" s="20" t="s">
        <v>983</v>
      </c>
      <c r="J89" s="20" t="s">
        <v>463</v>
      </c>
      <c r="O89" s="20" t="s">
        <v>132</v>
      </c>
      <c r="P89" s="20" t="s">
        <v>984</v>
      </c>
      <c r="Q89" s="1" t="str">
        <f>"Table_ProductRegions_" &amp; SUBSTITUTE(SUBSTITUTE(SUBSTITUTE(SUBSTITUTE(O90, " ", ""), ",", ""), "(", ""), ")", "")</f>
        <v>Table_ProductRegions_Barleygrain</v>
      </c>
    </row>
    <row r="90" spans="1:17" ht="20.100000000000001" customHeight="1" x14ac:dyDescent="0.2">
      <c r="D90" s="20" t="s">
        <v>1900</v>
      </c>
      <c r="E90" s="20" t="s">
        <v>1901</v>
      </c>
      <c r="F90" s="20" t="s">
        <v>1005</v>
      </c>
      <c r="G90" s="20" t="s">
        <v>370</v>
      </c>
      <c r="H90" s="20">
        <v>0.23899999999999999</v>
      </c>
      <c r="I90" s="20" t="s">
        <v>1885</v>
      </c>
      <c r="J90" s="20" t="s">
        <v>986</v>
      </c>
      <c r="O90" s="20" t="str">
        <f>Table_SourceData_Scope3_Feed[[#This Row],[Product]]</f>
        <v>Barley grain</v>
      </c>
      <c r="P90" s="20" t="str">
        <f>Table_SourceData_Scope3_Feed[[#This Row],[Region of origin]]</f>
        <v>Australia</v>
      </c>
    </row>
    <row r="91" spans="1:17" ht="20.100000000000001" customHeight="1" x14ac:dyDescent="0.2">
      <c r="D91" s="20" t="s">
        <v>1900</v>
      </c>
      <c r="E91" s="20" t="s">
        <v>1901</v>
      </c>
      <c r="F91" s="20" t="s">
        <v>988</v>
      </c>
      <c r="G91" s="20" t="s">
        <v>370</v>
      </c>
      <c r="H91" s="20">
        <v>0.25600000000000001</v>
      </c>
      <c r="I91" s="20" t="s">
        <v>1885</v>
      </c>
      <c r="J91" s="20" t="s">
        <v>986</v>
      </c>
      <c r="O91" s="20" t="str">
        <f>Table_SourceData_Scope3_Feed[[#This Row],[Product]]</f>
        <v>Barley grain</v>
      </c>
      <c r="P91" s="20" t="str">
        <f>Table_SourceData_Scope3_Feed[[#This Row],[Region of origin]]</f>
        <v>NSW</v>
      </c>
    </row>
    <row r="92" spans="1:17" ht="20.100000000000001" customHeight="1" x14ac:dyDescent="0.2">
      <c r="D92" s="20" t="s">
        <v>1900</v>
      </c>
      <c r="E92" s="20" t="s">
        <v>1901</v>
      </c>
      <c r="F92" s="20" t="s">
        <v>997</v>
      </c>
      <c r="G92" s="20" t="s">
        <v>370</v>
      </c>
      <c r="H92" s="20">
        <v>0.33200000000000002</v>
      </c>
      <c r="I92" s="20" t="s">
        <v>1885</v>
      </c>
      <c r="J92" s="20" t="s">
        <v>986</v>
      </c>
      <c r="O92" s="20" t="str">
        <f>Table_SourceData_Scope3_Feed[[#This Row],[Product]]</f>
        <v>Barley grain</v>
      </c>
      <c r="P92" s="20" t="str">
        <f>Table_SourceData_Scope3_Feed[[#This Row],[Region of origin]]</f>
        <v>NT</v>
      </c>
    </row>
    <row r="93" spans="1:17" ht="20.100000000000001" customHeight="1" x14ac:dyDescent="0.2">
      <c r="D93" s="20" t="s">
        <v>1900</v>
      </c>
      <c r="E93" s="20" t="s">
        <v>1901</v>
      </c>
      <c r="F93" s="20" t="s">
        <v>1001</v>
      </c>
      <c r="G93" s="20" t="s">
        <v>370</v>
      </c>
      <c r="H93" s="20">
        <v>0.26900000000000002</v>
      </c>
      <c r="I93" s="20" t="s">
        <v>1885</v>
      </c>
      <c r="J93" s="20" t="s">
        <v>986</v>
      </c>
      <c r="O93" s="20" t="str">
        <f>Table_SourceData_Scope3_Feed[[#This Row],[Product]]</f>
        <v>Barley grain</v>
      </c>
      <c r="P93" s="20" t="str">
        <f>Table_SourceData_Scope3_Feed[[#This Row],[Region of origin]]</f>
        <v>QLD</v>
      </c>
    </row>
    <row r="94" spans="1:17" ht="20.100000000000001" customHeight="1" x14ac:dyDescent="0.2">
      <c r="D94" s="20" t="s">
        <v>1900</v>
      </c>
      <c r="E94" s="20" t="s">
        <v>1901</v>
      </c>
      <c r="F94" s="20" t="s">
        <v>989</v>
      </c>
      <c r="G94" s="20" t="s">
        <v>370</v>
      </c>
      <c r="H94" s="20">
        <v>0.223</v>
      </c>
      <c r="I94" s="20" t="s">
        <v>1885</v>
      </c>
      <c r="J94" s="20" t="s">
        <v>986</v>
      </c>
      <c r="O94" s="20" t="str">
        <f>Table_SourceData_Scope3_Feed[[#This Row],[Product]]</f>
        <v>Barley grain</v>
      </c>
      <c r="P94" s="20" t="str">
        <f>Table_SourceData_Scope3_Feed[[#This Row],[Region of origin]]</f>
        <v>SA</v>
      </c>
    </row>
    <row r="95" spans="1:17" ht="20.100000000000001" customHeight="1" x14ac:dyDescent="0.2">
      <c r="D95" s="20" t="s">
        <v>1900</v>
      </c>
      <c r="E95" s="20" t="s">
        <v>1901</v>
      </c>
      <c r="F95" s="20" t="s">
        <v>990</v>
      </c>
      <c r="G95" s="20" t="s">
        <v>370</v>
      </c>
      <c r="H95" s="20">
        <v>0.307</v>
      </c>
      <c r="I95" s="20" t="s">
        <v>1885</v>
      </c>
      <c r="J95" s="20" t="s">
        <v>986</v>
      </c>
      <c r="O95" s="20" t="str">
        <f>Table_SourceData_Scope3_Feed[[#This Row],[Product]]</f>
        <v>Barley grain</v>
      </c>
      <c r="P95" s="20" t="str">
        <f>Table_SourceData_Scope3_Feed[[#This Row],[Region of origin]]</f>
        <v>TAS</v>
      </c>
    </row>
    <row r="96" spans="1:17" ht="20.100000000000001" customHeight="1" x14ac:dyDescent="0.2">
      <c r="D96" s="20" t="s">
        <v>1900</v>
      </c>
      <c r="E96" s="20" t="s">
        <v>1901</v>
      </c>
      <c r="F96" s="20" t="s">
        <v>991</v>
      </c>
      <c r="G96" s="20" t="s">
        <v>370</v>
      </c>
      <c r="H96" s="20">
        <v>0.24099999999999999</v>
      </c>
      <c r="I96" s="20" t="s">
        <v>1885</v>
      </c>
      <c r="J96" s="20" t="s">
        <v>986</v>
      </c>
      <c r="O96" s="20" t="str">
        <f>Table_SourceData_Scope3_Feed[[#This Row],[Product]]</f>
        <v>Barley grain</v>
      </c>
      <c r="P96" s="20" t="str">
        <f>Table_SourceData_Scope3_Feed[[#This Row],[Region of origin]]</f>
        <v>VIC</v>
      </c>
    </row>
    <row r="97" spans="4:17" ht="20.100000000000001" customHeight="1" x14ac:dyDescent="0.2">
      <c r="D97" s="20" t="s">
        <v>1900</v>
      </c>
      <c r="E97" s="20" t="s">
        <v>1901</v>
      </c>
      <c r="F97" s="20" t="s">
        <v>993</v>
      </c>
      <c r="G97" s="20" t="s">
        <v>370</v>
      </c>
      <c r="H97" s="20">
        <v>0.23599999999999999</v>
      </c>
      <c r="I97" s="20" t="s">
        <v>1885</v>
      </c>
      <c r="J97" s="20" t="s">
        <v>986</v>
      </c>
      <c r="L97" s="20" t="s">
        <v>132</v>
      </c>
      <c r="M97" s="20" t="s">
        <v>984</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4:17" ht="20.100000000000001" customHeight="1" x14ac:dyDescent="0.2">
      <c r="D98" s="20" t="s">
        <v>1900</v>
      </c>
      <c r="E98" s="20" t="s">
        <v>1902</v>
      </c>
      <c r="F98" s="20" t="s">
        <v>1005</v>
      </c>
      <c r="G98" s="20" t="s">
        <v>370</v>
      </c>
      <c r="H98" s="20">
        <v>0.18099999999999999</v>
      </c>
      <c r="I98" s="20" t="s">
        <v>1885</v>
      </c>
      <c r="J98" s="20" t="s">
        <v>986</v>
      </c>
      <c r="L98" s="20" t="str">
        <f>Table_SourceData_Scope3_Feed[[#This Row],[Product]]</f>
        <v>Maize grain</v>
      </c>
      <c r="M98" s="20" t="str">
        <f>Table_SourceData_Scope3_Feed[[#This Row],[Region of origin]]</f>
        <v>Australia</v>
      </c>
    </row>
    <row r="99" spans="4:17" ht="20.100000000000001" customHeight="1" x14ac:dyDescent="0.2">
      <c r="D99" s="20" t="s">
        <v>1900</v>
      </c>
      <c r="E99" s="20" t="s">
        <v>1902</v>
      </c>
      <c r="F99" s="20" t="s">
        <v>988</v>
      </c>
      <c r="G99" s="20" t="s">
        <v>370</v>
      </c>
      <c r="H99" s="20">
        <v>0.16900000000000001</v>
      </c>
      <c r="I99" s="20" t="s">
        <v>1885</v>
      </c>
      <c r="J99" s="20" t="s">
        <v>986</v>
      </c>
      <c r="L99" s="20" t="str">
        <f>Table_SourceData_Scope3_Feed[[#This Row],[Product]]</f>
        <v>Maize grain</v>
      </c>
      <c r="M99" s="20" t="str">
        <f>Table_SourceData_Scope3_Feed[[#This Row],[Region of origin]]</f>
        <v>NSW</v>
      </c>
    </row>
    <row r="100" spans="4:17" ht="20.100000000000001" customHeight="1" x14ac:dyDescent="0.2">
      <c r="D100" s="20" t="s">
        <v>1900</v>
      </c>
      <c r="E100" s="20" t="s">
        <v>1902</v>
      </c>
      <c r="F100" s="20" t="s">
        <v>997</v>
      </c>
      <c r="G100" s="20" t="s">
        <v>370</v>
      </c>
      <c r="H100" s="20">
        <v>0.25600000000000001</v>
      </c>
      <c r="I100" s="20" t="s">
        <v>1885</v>
      </c>
      <c r="J100" s="20" t="s">
        <v>986</v>
      </c>
      <c r="L100" s="20" t="str">
        <f>Table_SourceData_Scope3_Feed[[#This Row],[Product]]</f>
        <v>Maize grain</v>
      </c>
      <c r="M100" s="20" t="str">
        <f>Table_SourceData_Scope3_Feed[[#This Row],[Region of origin]]</f>
        <v>NT</v>
      </c>
    </row>
    <row r="101" spans="4:17" ht="20.100000000000001" customHeight="1" x14ac:dyDescent="0.2">
      <c r="D101" s="20" t="s">
        <v>1900</v>
      </c>
      <c r="E101" s="20" t="s">
        <v>1902</v>
      </c>
      <c r="F101" s="20" t="s">
        <v>1001</v>
      </c>
      <c r="G101" s="20" t="s">
        <v>370</v>
      </c>
      <c r="H101" s="20">
        <v>0.186</v>
      </c>
      <c r="I101" s="20" t="s">
        <v>1885</v>
      </c>
      <c r="J101" s="20" t="s">
        <v>986</v>
      </c>
      <c r="L101" s="20" t="str">
        <f>Table_SourceData_Scope3_Feed[[#This Row],[Product]]</f>
        <v>Maize grain</v>
      </c>
      <c r="M101" s="20" t="str">
        <f>Table_SourceData_Scope3_Feed[[#This Row],[Region of origin]]</f>
        <v>QLD</v>
      </c>
    </row>
    <row r="102" spans="4:17" ht="20.100000000000001" customHeight="1" x14ac:dyDescent="0.2">
      <c r="D102" s="20" t="s">
        <v>1900</v>
      </c>
      <c r="E102" s="20" t="s">
        <v>1902</v>
      </c>
      <c r="F102" s="20" t="s">
        <v>989</v>
      </c>
      <c r="G102" s="20" t="s">
        <v>370</v>
      </c>
      <c r="H102" s="20">
        <v>0.17599999999999999</v>
      </c>
      <c r="I102" s="20" t="s">
        <v>1885</v>
      </c>
      <c r="J102" s="20" t="s">
        <v>986</v>
      </c>
      <c r="L102" s="20" t="str">
        <f>Table_SourceData_Scope3_Feed[[#This Row],[Product]]</f>
        <v>Maize grain</v>
      </c>
      <c r="M102" s="20" t="str">
        <f>Table_SourceData_Scope3_Feed[[#This Row],[Region of origin]]</f>
        <v>SA</v>
      </c>
    </row>
    <row r="103" spans="4:17" ht="20.100000000000001" customHeight="1" x14ac:dyDescent="0.2">
      <c r="D103" s="20" t="s">
        <v>1900</v>
      </c>
      <c r="E103" s="20" t="s">
        <v>1902</v>
      </c>
      <c r="F103" s="20" t="s">
        <v>991</v>
      </c>
      <c r="G103" s="20" t="s">
        <v>370</v>
      </c>
      <c r="H103" s="20">
        <v>0.159</v>
      </c>
      <c r="I103" s="20" t="s">
        <v>1885</v>
      </c>
      <c r="J103" s="20" t="s">
        <v>986</v>
      </c>
      <c r="L103" s="20" t="str">
        <f>Table_SourceData_Scope3_Feed[[#This Row],[Product]]</f>
        <v>Maize grain</v>
      </c>
      <c r="M103" s="20" t="str">
        <f>Table_SourceData_Scope3_Feed[[#This Row],[Region of origin]]</f>
        <v>VIC</v>
      </c>
    </row>
    <row r="104" spans="4:17" ht="20.100000000000001" customHeight="1" x14ac:dyDescent="0.2">
      <c r="D104" s="20" t="s">
        <v>1900</v>
      </c>
      <c r="E104" s="20" t="s">
        <v>1902</v>
      </c>
      <c r="F104" s="20" t="s">
        <v>993</v>
      </c>
      <c r="G104" s="20" t="s">
        <v>370</v>
      </c>
      <c r="H104" s="20">
        <v>0.28499999999999998</v>
      </c>
      <c r="I104" s="20" t="s">
        <v>1885</v>
      </c>
      <c r="J104" s="20" t="s">
        <v>986</v>
      </c>
      <c r="L104" s="20" t="str">
        <f>Table_SourceData_Scope3_Feed[[#This Row],[Product]]</f>
        <v>Maize grain</v>
      </c>
      <c r="M104" s="20" t="str">
        <f>Table_SourceData_Scope3_Feed[[#This Row],[Region of origin]]</f>
        <v>WA</v>
      </c>
      <c r="O104" s="20" t="s">
        <v>132</v>
      </c>
      <c r="P104" s="20" t="s">
        <v>984</v>
      </c>
      <c r="Q104" s="1" t="str">
        <f>"Table_ProductRegions_" &amp; SUBSTITUTE(SUBSTITUTE(SUBSTITUTE(SUBSTITUTE(O105, " ", ""), ",", ""), "(", ""), ")", "")</f>
        <v>Table_ProductRegions_Sorghumgrain</v>
      </c>
    </row>
    <row r="105" spans="4:17" ht="20.100000000000001" customHeight="1" x14ac:dyDescent="0.2">
      <c r="D105" s="20" t="s">
        <v>1900</v>
      </c>
      <c r="E105" s="20" t="s">
        <v>1903</v>
      </c>
      <c r="F105" s="20" t="s">
        <v>1005</v>
      </c>
      <c r="G105" s="20" t="s">
        <v>370</v>
      </c>
      <c r="H105" s="20">
        <v>0.23200000000000001</v>
      </c>
      <c r="I105" s="20" t="s">
        <v>1885</v>
      </c>
      <c r="J105" s="20" t="s">
        <v>986</v>
      </c>
      <c r="O105" s="20" t="str">
        <f>Table_SourceData_Scope3_Feed[[#This Row],[Product]]</f>
        <v>Sorghum grain</v>
      </c>
      <c r="P105" s="20" t="str">
        <f>Table_SourceData_Scope3_Feed[[#This Row],[Region of origin]]</f>
        <v>Australia</v>
      </c>
    </row>
    <row r="106" spans="4:17" ht="20.100000000000001" customHeight="1" x14ac:dyDescent="0.2">
      <c r="D106" s="20" t="s">
        <v>1900</v>
      </c>
      <c r="E106" s="20" t="s">
        <v>1903</v>
      </c>
      <c r="F106" s="20" t="s">
        <v>988</v>
      </c>
      <c r="G106" s="20" t="s">
        <v>370</v>
      </c>
      <c r="H106" s="20">
        <v>0.23200000000000001</v>
      </c>
      <c r="I106" s="20" t="s">
        <v>1885</v>
      </c>
      <c r="J106" s="20" t="s">
        <v>986</v>
      </c>
      <c r="O106" s="20" t="str">
        <f>Table_SourceData_Scope3_Feed[[#This Row],[Product]]</f>
        <v>Sorghum grain</v>
      </c>
      <c r="P106" s="20" t="str">
        <f>Table_SourceData_Scope3_Feed[[#This Row],[Region of origin]]</f>
        <v>NSW</v>
      </c>
    </row>
    <row r="107" spans="4:17" ht="20.100000000000001" customHeight="1" x14ac:dyDescent="0.2">
      <c r="D107" s="20" t="s">
        <v>1900</v>
      </c>
      <c r="E107" s="20" t="s">
        <v>1903</v>
      </c>
      <c r="F107" s="20" t="s">
        <v>1001</v>
      </c>
      <c r="G107" s="20" t="s">
        <v>370</v>
      </c>
      <c r="H107" s="20">
        <v>0.23100000000000001</v>
      </c>
      <c r="I107" s="20" t="s">
        <v>1885</v>
      </c>
      <c r="J107" s="20" t="s">
        <v>986</v>
      </c>
      <c r="O107" s="20" t="str">
        <f>Table_SourceData_Scope3_Feed[[#This Row],[Product]]</f>
        <v>Sorghum grain</v>
      </c>
      <c r="P107" s="20" t="str">
        <f>Table_SourceData_Scope3_Feed[[#This Row],[Region of origin]]</f>
        <v>QLD</v>
      </c>
    </row>
    <row r="108" spans="4:17" ht="20.100000000000001" customHeight="1" x14ac:dyDescent="0.2">
      <c r="D108" s="20" t="s">
        <v>1900</v>
      </c>
      <c r="E108" s="20" t="s">
        <v>1903</v>
      </c>
      <c r="F108" s="20" t="s">
        <v>989</v>
      </c>
      <c r="G108" s="20" t="s">
        <v>370</v>
      </c>
      <c r="H108" s="20">
        <v>0.218</v>
      </c>
      <c r="I108" s="20" t="s">
        <v>1885</v>
      </c>
      <c r="J108" s="20" t="s">
        <v>986</v>
      </c>
      <c r="O108" s="20" t="str">
        <f>Table_SourceData_Scope3_Feed[[#This Row],[Product]]</f>
        <v>Sorghum grain</v>
      </c>
      <c r="P108" s="20" t="str">
        <f>Table_SourceData_Scope3_Feed[[#This Row],[Region of origin]]</f>
        <v>SA</v>
      </c>
    </row>
    <row r="109" spans="4:17" ht="20.100000000000001" customHeight="1" x14ac:dyDescent="0.2">
      <c r="D109" s="20" t="s">
        <v>1900</v>
      </c>
      <c r="E109" s="20" t="s">
        <v>1903</v>
      </c>
      <c r="F109" s="20" t="s">
        <v>991</v>
      </c>
      <c r="G109" s="20" t="s">
        <v>370</v>
      </c>
      <c r="H109" s="20">
        <v>0.246</v>
      </c>
      <c r="I109" s="20" t="s">
        <v>1885</v>
      </c>
      <c r="J109" s="20" t="s">
        <v>986</v>
      </c>
      <c r="L109" s="20" t="s">
        <v>132</v>
      </c>
      <c r="M109" s="20" t="s">
        <v>984</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4:17" ht="20.100000000000001" customHeight="1" x14ac:dyDescent="0.2">
      <c r="D110" s="20" t="s">
        <v>1900</v>
      </c>
      <c r="E110" s="20" t="s">
        <v>1904</v>
      </c>
      <c r="F110" s="20" t="s">
        <v>1005</v>
      </c>
      <c r="G110" s="20" t="s">
        <v>370</v>
      </c>
      <c r="H110" s="20">
        <v>0.26800000000000002</v>
      </c>
      <c r="I110" s="20" t="s">
        <v>1885</v>
      </c>
      <c r="J110" s="20" t="s">
        <v>986</v>
      </c>
      <c r="L110" s="20" t="str">
        <f>Table_SourceData_Scope3_Feed[[#This Row],[Product]]</f>
        <v>Wheat grain</v>
      </c>
      <c r="M110" s="20" t="str">
        <f>Table_SourceData_Scope3_Feed[[#This Row],[Region of origin]]</f>
        <v>Australia</v>
      </c>
    </row>
    <row r="111" spans="4:17" ht="20.100000000000001" customHeight="1" x14ac:dyDescent="0.2">
      <c r="D111" s="20" t="s">
        <v>1900</v>
      </c>
      <c r="E111" s="20" t="s">
        <v>1904</v>
      </c>
      <c r="F111" s="20" t="s">
        <v>988</v>
      </c>
      <c r="G111" s="20" t="s">
        <v>370</v>
      </c>
      <c r="H111" s="20">
        <v>0.28199999999999997</v>
      </c>
      <c r="I111" s="20" t="s">
        <v>1885</v>
      </c>
      <c r="J111" s="20" t="s">
        <v>986</v>
      </c>
      <c r="L111" s="20" t="str">
        <f>Table_SourceData_Scope3_Feed[[#This Row],[Product]]</f>
        <v>Wheat grain</v>
      </c>
      <c r="M111" s="20" t="str">
        <f>Table_SourceData_Scope3_Feed[[#This Row],[Region of origin]]</f>
        <v>NSW</v>
      </c>
    </row>
    <row r="112" spans="4:17" ht="20.100000000000001" customHeight="1" x14ac:dyDescent="0.2">
      <c r="D112" s="20" t="s">
        <v>1900</v>
      </c>
      <c r="E112" s="20" t="s">
        <v>1904</v>
      </c>
      <c r="F112" s="20" t="s">
        <v>997</v>
      </c>
      <c r="G112" s="20" t="s">
        <v>370</v>
      </c>
      <c r="H112" s="20">
        <v>0.38500000000000001</v>
      </c>
      <c r="I112" s="20" t="s">
        <v>1885</v>
      </c>
      <c r="J112" s="20" t="s">
        <v>986</v>
      </c>
      <c r="L112" s="20" t="str">
        <f>Table_SourceData_Scope3_Feed[[#This Row],[Product]]</f>
        <v>Wheat grain</v>
      </c>
      <c r="M112" s="20" t="str">
        <f>Table_SourceData_Scope3_Feed[[#This Row],[Region of origin]]</f>
        <v>NT</v>
      </c>
    </row>
    <row r="113" spans="1:17" ht="20.100000000000001" customHeight="1" x14ac:dyDescent="0.2">
      <c r="D113" s="20" t="s">
        <v>1900</v>
      </c>
      <c r="E113" s="20" t="s">
        <v>1904</v>
      </c>
      <c r="F113" s="20" t="s">
        <v>1001</v>
      </c>
      <c r="G113" s="20" t="s">
        <v>370</v>
      </c>
      <c r="H113" s="20">
        <v>0.29599999999999999</v>
      </c>
      <c r="I113" s="20" t="s">
        <v>1885</v>
      </c>
      <c r="J113" s="20" t="s">
        <v>986</v>
      </c>
      <c r="L113" s="20" t="str">
        <f>Table_SourceData_Scope3_Feed[[#This Row],[Product]]</f>
        <v>Wheat grain</v>
      </c>
      <c r="M113" s="20" t="str">
        <f>Table_SourceData_Scope3_Feed[[#This Row],[Region of origin]]</f>
        <v>QLD</v>
      </c>
    </row>
    <row r="114" spans="1:17" ht="20.100000000000001" customHeight="1" x14ac:dyDescent="0.2">
      <c r="D114" s="20" t="s">
        <v>1900</v>
      </c>
      <c r="E114" s="20" t="s">
        <v>1904</v>
      </c>
      <c r="F114" s="20" t="s">
        <v>989</v>
      </c>
      <c r="G114" s="20" t="s">
        <v>370</v>
      </c>
      <c r="H114" s="20">
        <v>0.24099999999999999</v>
      </c>
      <c r="I114" s="20" t="s">
        <v>1885</v>
      </c>
      <c r="J114" s="20" t="s">
        <v>986</v>
      </c>
      <c r="L114" s="20" t="str">
        <f>Table_SourceData_Scope3_Feed[[#This Row],[Product]]</f>
        <v>Wheat grain</v>
      </c>
      <c r="M114" s="20" t="str">
        <f>Table_SourceData_Scope3_Feed[[#This Row],[Region of origin]]</f>
        <v>SA</v>
      </c>
    </row>
    <row r="115" spans="1:17" ht="20.100000000000001" customHeight="1" x14ac:dyDescent="0.2">
      <c r="D115" s="20" t="s">
        <v>1900</v>
      </c>
      <c r="E115" s="20" t="s">
        <v>1904</v>
      </c>
      <c r="F115" s="20" t="s">
        <v>990</v>
      </c>
      <c r="G115" s="20" t="s">
        <v>370</v>
      </c>
      <c r="H115" s="20">
        <v>0.33800000000000002</v>
      </c>
      <c r="I115" s="20" t="s">
        <v>1885</v>
      </c>
      <c r="J115" s="20" t="s">
        <v>986</v>
      </c>
      <c r="L115" s="20" t="str">
        <f>Table_SourceData_Scope3_Feed[[#This Row],[Product]]</f>
        <v>Wheat grain</v>
      </c>
      <c r="M115" s="20" t="str">
        <f>Table_SourceData_Scope3_Feed[[#This Row],[Region of origin]]</f>
        <v>TAS</v>
      </c>
    </row>
    <row r="116" spans="1:17" ht="20.100000000000001" customHeight="1" x14ac:dyDescent="0.2">
      <c r="D116" s="20" t="s">
        <v>1900</v>
      </c>
      <c r="E116" s="20" t="s">
        <v>1904</v>
      </c>
      <c r="F116" s="20" t="s">
        <v>991</v>
      </c>
      <c r="G116" s="20" t="s">
        <v>370</v>
      </c>
      <c r="H116" s="20">
        <v>0.26600000000000001</v>
      </c>
      <c r="I116" s="20" t="s">
        <v>1885</v>
      </c>
      <c r="J116" s="20" t="s">
        <v>986</v>
      </c>
      <c r="L116" s="20" t="str">
        <f>Table_SourceData_Scope3_Feed[[#This Row],[Product]]</f>
        <v>Wheat grain</v>
      </c>
      <c r="M116" s="20" t="str">
        <f>Table_SourceData_Scope3_Feed[[#This Row],[Region of origin]]</f>
        <v>VIC</v>
      </c>
    </row>
    <row r="117" spans="1:17" ht="20.100000000000001" customHeight="1" x14ac:dyDescent="0.2">
      <c r="D117" s="20" t="s">
        <v>1900</v>
      </c>
      <c r="E117" s="20" t="s">
        <v>1904</v>
      </c>
      <c r="F117" s="20" t="s">
        <v>993</v>
      </c>
      <c r="G117" s="20" t="s">
        <v>370</v>
      </c>
      <c r="H117" s="20">
        <v>0.26100000000000001</v>
      </c>
      <c r="I117" s="20" t="s">
        <v>1885</v>
      </c>
      <c r="J117" s="20" t="s">
        <v>986</v>
      </c>
      <c r="L117" s="20" t="str">
        <f>Table_SourceData_Scope3_Feed[[#This Row],[Product]]</f>
        <v>Wheat grain</v>
      </c>
      <c r="M117" s="20" t="str">
        <f>Table_SourceData_Scope3_Feed[[#This Row],[Region of origin]]</f>
        <v>WA</v>
      </c>
      <c r="O117" s="20" t="s">
        <v>132</v>
      </c>
      <c r="P117" s="20" t="s">
        <v>984</v>
      </c>
      <c r="Q117" s="1" t="str">
        <f>"Table_ProductRegions_" &amp; SUBSTITUTE(SUBSTITUTE(SUBSTITUTE(SUBSTITUTE(O118, " ", ""), ",", ""), "(", ""), ")", "")</f>
        <v>Table_ProductRegions_Cerealhay</v>
      </c>
    </row>
    <row r="118" spans="1:17" ht="20.100000000000001" customHeight="1" x14ac:dyDescent="0.2">
      <c r="D118" s="20" t="s">
        <v>1905</v>
      </c>
      <c r="E118" s="20" t="s">
        <v>1906</v>
      </c>
      <c r="F118" s="20" t="s">
        <v>1005</v>
      </c>
      <c r="G118" s="20" t="s">
        <v>370</v>
      </c>
      <c r="H118" s="20">
        <v>0.11700000000000001</v>
      </c>
      <c r="I118" s="20" t="s">
        <v>1885</v>
      </c>
      <c r="J118" s="20" t="s">
        <v>986</v>
      </c>
      <c r="O118" s="20" t="str">
        <f>Table_SourceData_Scope3_Feed[[#This Row],[Product]]</f>
        <v>Cereal hay</v>
      </c>
      <c r="P118" s="20" t="str">
        <f>Table_SourceData_Scope3_Feed[[#This Row],[Region of origin]]</f>
        <v>Australia</v>
      </c>
    </row>
    <row r="119" spans="1:17" ht="20.100000000000001" customHeight="1" x14ac:dyDescent="0.2">
      <c r="A119" s="81" t="str">
        <f>HYPERLINK("#A1", "▲ Back to top")</f>
        <v>▲ Back to top</v>
      </c>
      <c r="D119" s="20" t="s">
        <v>1905</v>
      </c>
      <c r="E119" s="20" t="s">
        <v>1906</v>
      </c>
      <c r="F119" s="20" t="s">
        <v>988</v>
      </c>
      <c r="G119" s="20" t="s">
        <v>370</v>
      </c>
      <c r="H119" s="20">
        <v>0.11600000000000001</v>
      </c>
      <c r="I119" s="20" t="s">
        <v>1885</v>
      </c>
      <c r="J119" s="20" t="s">
        <v>986</v>
      </c>
      <c r="O119" s="20" t="str">
        <f>Table_SourceData_Scope3_Feed[[#This Row],[Product]]</f>
        <v>Cereal hay</v>
      </c>
      <c r="P119" s="20" t="str">
        <f>Table_SourceData_Scope3_Feed[[#This Row],[Region of origin]]</f>
        <v>NSW</v>
      </c>
    </row>
    <row r="120" spans="1:17" ht="20.100000000000001" customHeight="1" x14ac:dyDescent="0.2">
      <c r="D120" s="20" t="s">
        <v>1905</v>
      </c>
      <c r="E120" s="20" t="s">
        <v>1906</v>
      </c>
      <c r="F120" s="20" t="s">
        <v>1001</v>
      </c>
      <c r="G120" s="20" t="s">
        <v>370</v>
      </c>
      <c r="H120" s="20">
        <v>0.11799999999999999</v>
      </c>
      <c r="I120" s="20" t="s">
        <v>1885</v>
      </c>
      <c r="J120" s="20" t="s">
        <v>986</v>
      </c>
      <c r="O120" s="20" t="str">
        <f>Table_SourceData_Scope3_Feed[[#This Row],[Product]]</f>
        <v>Cereal hay</v>
      </c>
      <c r="P120" s="20" t="str">
        <f>Table_SourceData_Scope3_Feed[[#This Row],[Region of origin]]</f>
        <v>QLD</v>
      </c>
    </row>
    <row r="121" spans="1:17" ht="20.100000000000001" customHeight="1" x14ac:dyDescent="0.2">
      <c r="D121" s="20" t="s">
        <v>1905</v>
      </c>
      <c r="E121" s="20" t="s">
        <v>1906</v>
      </c>
      <c r="F121" s="20" t="s">
        <v>989</v>
      </c>
      <c r="G121" s="20" t="s">
        <v>370</v>
      </c>
      <c r="H121" s="20">
        <v>0.111</v>
      </c>
      <c r="I121" s="20" t="s">
        <v>1885</v>
      </c>
      <c r="J121" s="20" t="s">
        <v>986</v>
      </c>
      <c r="O121" s="20" t="str">
        <f>Table_SourceData_Scope3_Feed[[#This Row],[Product]]</f>
        <v>Cereal hay</v>
      </c>
      <c r="P121" s="20" t="str">
        <f>Table_SourceData_Scope3_Feed[[#This Row],[Region of origin]]</f>
        <v>SA</v>
      </c>
    </row>
    <row r="122" spans="1:17" ht="20.100000000000001" customHeight="1" x14ac:dyDescent="0.2">
      <c r="D122" s="20" t="s">
        <v>1905</v>
      </c>
      <c r="E122" s="20" t="s">
        <v>1906</v>
      </c>
      <c r="F122" s="20" t="s">
        <v>990</v>
      </c>
      <c r="G122" s="20" t="s">
        <v>370</v>
      </c>
      <c r="H122" s="20">
        <v>0.13900000000000001</v>
      </c>
      <c r="I122" s="20" t="s">
        <v>1885</v>
      </c>
      <c r="J122" s="20" t="s">
        <v>986</v>
      </c>
      <c r="O122" s="20" t="str">
        <f>Table_SourceData_Scope3_Feed[[#This Row],[Product]]</f>
        <v>Cereal hay</v>
      </c>
      <c r="P122" s="20" t="str">
        <f>Table_SourceData_Scope3_Feed[[#This Row],[Region of origin]]</f>
        <v>TAS</v>
      </c>
    </row>
    <row r="123" spans="1:17" ht="20.100000000000001" customHeight="1" x14ac:dyDescent="0.2">
      <c r="D123" s="20" t="s">
        <v>1905</v>
      </c>
      <c r="E123" s="20" t="s">
        <v>1906</v>
      </c>
      <c r="F123" s="20" t="s">
        <v>991</v>
      </c>
      <c r="G123" s="20" t="s">
        <v>370</v>
      </c>
      <c r="H123" s="20">
        <v>0.11600000000000001</v>
      </c>
      <c r="I123" s="20" t="s">
        <v>1885</v>
      </c>
      <c r="J123" s="20" t="s">
        <v>986</v>
      </c>
      <c r="O123" s="20" t="str">
        <f>Table_SourceData_Scope3_Feed[[#This Row],[Product]]</f>
        <v>Cereal hay</v>
      </c>
      <c r="P123" s="20" t="str">
        <f>Table_SourceData_Scope3_Feed[[#This Row],[Region of origin]]</f>
        <v>VIC</v>
      </c>
    </row>
    <row r="124" spans="1:17" ht="20.100000000000001" customHeight="1" x14ac:dyDescent="0.2">
      <c r="D124" s="20" t="s">
        <v>1905</v>
      </c>
      <c r="E124" s="20" t="s">
        <v>1906</v>
      </c>
      <c r="F124" s="20" t="s">
        <v>993</v>
      </c>
      <c r="G124" s="20" t="s">
        <v>370</v>
      </c>
      <c r="H124" s="20">
        <v>0.122</v>
      </c>
      <c r="I124" s="20" t="s">
        <v>1885</v>
      </c>
      <c r="J124" s="20" t="s">
        <v>986</v>
      </c>
      <c r="L124" s="20" t="s">
        <v>132</v>
      </c>
      <c r="M124" s="20" t="s">
        <v>984</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
      <c r="D125" s="20" t="s">
        <v>1905</v>
      </c>
      <c r="E125" s="20" t="s">
        <v>1907</v>
      </c>
      <c r="F125" s="20" t="s">
        <v>1005</v>
      </c>
      <c r="G125" s="20" t="s">
        <v>370</v>
      </c>
      <c r="H125" s="20">
        <v>7.4399999999999994E-2</v>
      </c>
      <c r="I125" s="20" t="s">
        <v>1885</v>
      </c>
      <c r="J125" s="20" t="s">
        <v>986</v>
      </c>
      <c r="L125" s="20" t="str">
        <f>Table_SourceData_Scope3_Feed[[#This Row],[Product]]</f>
        <v>Cereal silage</v>
      </c>
      <c r="M125" s="20" t="str">
        <f>Table_SourceData_Scope3_Feed[[#This Row],[Region of origin]]</f>
        <v>Australia</v>
      </c>
    </row>
    <row r="126" spans="1:17" ht="20.100000000000001" customHeight="1" x14ac:dyDescent="0.2">
      <c r="D126" s="20" t="s">
        <v>1905</v>
      </c>
      <c r="E126" s="20" t="s">
        <v>1907</v>
      </c>
      <c r="F126" s="20" t="s">
        <v>988</v>
      </c>
      <c r="G126" s="20" t="s">
        <v>370</v>
      </c>
      <c r="H126" s="20">
        <v>7.3899999999999993E-2</v>
      </c>
      <c r="I126" s="20" t="s">
        <v>1885</v>
      </c>
      <c r="J126" s="20" t="s">
        <v>986</v>
      </c>
      <c r="L126" s="20" t="str">
        <f>Table_SourceData_Scope3_Feed[[#This Row],[Product]]</f>
        <v>Cereal silage</v>
      </c>
      <c r="M126" s="20" t="str">
        <f>Table_SourceData_Scope3_Feed[[#This Row],[Region of origin]]</f>
        <v>NSW</v>
      </c>
    </row>
    <row r="127" spans="1:17" ht="20.100000000000001" customHeight="1" x14ac:dyDescent="0.2">
      <c r="D127" s="20" t="s">
        <v>1905</v>
      </c>
      <c r="E127" s="20" t="s">
        <v>1907</v>
      </c>
      <c r="F127" s="20" t="s">
        <v>1001</v>
      </c>
      <c r="G127" s="20" t="s">
        <v>370</v>
      </c>
      <c r="H127" s="20">
        <v>7.9000000000000001E-2</v>
      </c>
      <c r="I127" s="20" t="s">
        <v>1885</v>
      </c>
      <c r="J127" s="20" t="s">
        <v>986</v>
      </c>
      <c r="L127" s="20" t="str">
        <f>Table_SourceData_Scope3_Feed[[#This Row],[Product]]</f>
        <v>Cereal silage</v>
      </c>
      <c r="M127" s="20" t="str">
        <f>Table_SourceData_Scope3_Feed[[#This Row],[Region of origin]]</f>
        <v>QLD</v>
      </c>
    </row>
    <row r="128" spans="1:17" ht="20.100000000000001" customHeight="1" x14ac:dyDescent="0.2">
      <c r="D128" s="20" t="s">
        <v>1905</v>
      </c>
      <c r="E128" s="20" t="s">
        <v>1907</v>
      </c>
      <c r="F128" s="20" t="s">
        <v>989</v>
      </c>
      <c r="G128" s="20" t="s">
        <v>370</v>
      </c>
      <c r="H128" s="20">
        <v>7.0599999999999996E-2</v>
      </c>
      <c r="I128" s="20" t="s">
        <v>1885</v>
      </c>
      <c r="J128" s="20" t="s">
        <v>986</v>
      </c>
      <c r="L128" s="20" t="str">
        <f>Table_SourceData_Scope3_Feed[[#This Row],[Product]]</f>
        <v>Cereal silage</v>
      </c>
      <c r="M128" s="20" t="str">
        <f>Table_SourceData_Scope3_Feed[[#This Row],[Region of origin]]</f>
        <v>SA</v>
      </c>
    </row>
    <row r="129" spans="4:17" ht="20.100000000000001" customHeight="1" x14ac:dyDescent="0.2">
      <c r="D129" s="20" t="s">
        <v>1905</v>
      </c>
      <c r="E129" s="20" t="s">
        <v>1907</v>
      </c>
      <c r="F129" s="20" t="s">
        <v>990</v>
      </c>
      <c r="G129" s="20" t="s">
        <v>370</v>
      </c>
      <c r="H129" s="20">
        <v>8.0799999999999997E-2</v>
      </c>
      <c r="I129" s="20" t="s">
        <v>1885</v>
      </c>
      <c r="J129" s="20" t="s">
        <v>986</v>
      </c>
      <c r="L129" s="20" t="str">
        <f>Table_SourceData_Scope3_Feed[[#This Row],[Product]]</f>
        <v>Cereal silage</v>
      </c>
      <c r="M129" s="20" t="str">
        <f>Table_SourceData_Scope3_Feed[[#This Row],[Region of origin]]</f>
        <v>TAS</v>
      </c>
    </row>
    <row r="130" spans="4:17" ht="20.100000000000001" customHeight="1" x14ac:dyDescent="0.2">
      <c r="D130" s="20" t="s">
        <v>1905</v>
      </c>
      <c r="E130" s="20" t="s">
        <v>1907</v>
      </c>
      <c r="F130" s="20" t="s">
        <v>991</v>
      </c>
      <c r="G130" s="20" t="s">
        <v>370</v>
      </c>
      <c r="H130" s="20">
        <v>7.3599999999999999E-2</v>
      </c>
      <c r="I130" s="20" t="s">
        <v>1885</v>
      </c>
      <c r="J130" s="20" t="s">
        <v>986</v>
      </c>
      <c r="L130" s="20" t="str">
        <f>Table_SourceData_Scope3_Feed[[#This Row],[Product]]</f>
        <v>Cereal silage</v>
      </c>
      <c r="M130" s="20" t="str">
        <f>Table_SourceData_Scope3_Feed[[#This Row],[Region of origin]]</f>
        <v>VIC</v>
      </c>
      <c r="O130" s="20" t="s">
        <v>132</v>
      </c>
      <c r="P130" s="20" t="s">
        <v>984</v>
      </c>
      <c r="Q130" s="1" t="str">
        <f>"Table_ProductRegions_" &amp; SUBSTITUTE(SUBSTITUTE(SUBSTITUTE(SUBSTITUTE(O131, " ", ""), ",", ""), "(", ""), ")", "")</f>
        <v>Table_ProductRegions_Lucernehay</v>
      </c>
    </row>
    <row r="131" spans="4:17" ht="20.100000000000001" customHeight="1" x14ac:dyDescent="0.2">
      <c r="D131" s="20" t="s">
        <v>1905</v>
      </c>
      <c r="E131" s="20" t="s">
        <v>1908</v>
      </c>
      <c r="F131" s="20" t="s">
        <v>1005</v>
      </c>
      <c r="G131" s="20" t="s">
        <v>370</v>
      </c>
      <c r="H131" s="20">
        <v>0.11700000000000001</v>
      </c>
      <c r="I131" s="20" t="s">
        <v>1885</v>
      </c>
      <c r="J131" s="20" t="s">
        <v>986</v>
      </c>
      <c r="O131" s="20" t="str">
        <f>Table_SourceData_Scope3_Feed[[#This Row],[Product]]</f>
        <v>Lucerne hay</v>
      </c>
      <c r="P131" s="20" t="str">
        <f>Table_SourceData_Scope3_Feed[[#This Row],[Region of origin]]</f>
        <v>Australia</v>
      </c>
    </row>
    <row r="132" spans="4:17" ht="20.100000000000001" customHeight="1" x14ac:dyDescent="0.2">
      <c r="D132" s="20" t="s">
        <v>1905</v>
      </c>
      <c r="E132" s="20" t="s">
        <v>1908</v>
      </c>
      <c r="F132" s="20" t="s">
        <v>988</v>
      </c>
      <c r="G132" s="20" t="s">
        <v>370</v>
      </c>
      <c r="H132" s="20">
        <v>0.113</v>
      </c>
      <c r="I132" s="20" t="s">
        <v>1885</v>
      </c>
      <c r="J132" s="20" t="s">
        <v>986</v>
      </c>
      <c r="O132" s="20" t="str">
        <f>Table_SourceData_Scope3_Feed[[#This Row],[Product]]</f>
        <v>Lucerne hay</v>
      </c>
      <c r="P132" s="20" t="str">
        <f>Table_SourceData_Scope3_Feed[[#This Row],[Region of origin]]</f>
        <v>NSW</v>
      </c>
    </row>
    <row r="133" spans="4:17" ht="20.100000000000001" customHeight="1" x14ac:dyDescent="0.2">
      <c r="D133" s="20" t="s">
        <v>1905</v>
      </c>
      <c r="E133" s="20" t="s">
        <v>1908</v>
      </c>
      <c r="F133" s="20" t="s">
        <v>1001</v>
      </c>
      <c r="G133" s="20" t="s">
        <v>370</v>
      </c>
      <c r="H133" s="20">
        <v>0.14299999999999999</v>
      </c>
      <c r="I133" s="20" t="s">
        <v>1885</v>
      </c>
      <c r="J133" s="20" t="s">
        <v>986</v>
      </c>
      <c r="O133" s="20" t="str">
        <f>Table_SourceData_Scope3_Feed[[#This Row],[Product]]</f>
        <v>Lucerne hay</v>
      </c>
      <c r="P133" s="20" t="str">
        <f>Table_SourceData_Scope3_Feed[[#This Row],[Region of origin]]</f>
        <v>QLD</v>
      </c>
    </row>
    <row r="134" spans="4:17" ht="20.100000000000001" customHeight="1" x14ac:dyDescent="0.2">
      <c r="D134" s="20" t="s">
        <v>1905</v>
      </c>
      <c r="E134" s="20" t="s">
        <v>1908</v>
      </c>
      <c r="F134" s="20" t="s">
        <v>989</v>
      </c>
      <c r="G134" s="20" t="s">
        <v>370</v>
      </c>
      <c r="H134" s="20">
        <v>0.106</v>
      </c>
      <c r="I134" s="20" t="s">
        <v>1885</v>
      </c>
      <c r="J134" s="20" t="s">
        <v>986</v>
      </c>
      <c r="O134" s="20" t="str">
        <f>Table_SourceData_Scope3_Feed[[#This Row],[Product]]</f>
        <v>Lucerne hay</v>
      </c>
      <c r="P134" s="20" t="str">
        <f>Table_SourceData_Scope3_Feed[[#This Row],[Region of origin]]</f>
        <v>SA</v>
      </c>
    </row>
    <row r="135" spans="4:17" ht="20.100000000000001" customHeight="1" x14ac:dyDescent="0.2">
      <c r="D135" s="20" t="s">
        <v>1905</v>
      </c>
      <c r="E135" s="20" t="s">
        <v>1908</v>
      </c>
      <c r="F135" s="20" t="s">
        <v>990</v>
      </c>
      <c r="G135" s="20" t="s">
        <v>370</v>
      </c>
      <c r="H135" s="20">
        <v>0.113</v>
      </c>
      <c r="I135" s="20" t="s">
        <v>1885</v>
      </c>
      <c r="J135" s="20" t="s">
        <v>986</v>
      </c>
      <c r="O135" s="20" t="str">
        <f>Table_SourceData_Scope3_Feed[[#This Row],[Product]]</f>
        <v>Lucerne hay</v>
      </c>
      <c r="P135" s="20" t="str">
        <f>Table_SourceData_Scope3_Feed[[#This Row],[Region of origin]]</f>
        <v>TAS</v>
      </c>
    </row>
    <row r="136" spans="4:17" ht="20.100000000000001" customHeight="1" x14ac:dyDescent="0.2">
      <c r="D136" s="20" t="s">
        <v>1905</v>
      </c>
      <c r="E136" s="20" t="s">
        <v>1908</v>
      </c>
      <c r="F136" s="20" t="s">
        <v>991</v>
      </c>
      <c r="G136" s="20" t="s">
        <v>370</v>
      </c>
      <c r="H136" s="20">
        <v>0.106</v>
      </c>
      <c r="I136" s="20" t="s">
        <v>1885</v>
      </c>
      <c r="J136" s="20" t="s">
        <v>986</v>
      </c>
      <c r="O136" s="20" t="str">
        <f>Table_SourceData_Scope3_Feed[[#This Row],[Product]]</f>
        <v>Lucerne hay</v>
      </c>
      <c r="P136" s="20" t="str">
        <f>Table_SourceData_Scope3_Feed[[#This Row],[Region of origin]]</f>
        <v>VIC</v>
      </c>
    </row>
    <row r="137" spans="4:17" ht="20.100000000000001" customHeight="1" x14ac:dyDescent="0.2">
      <c r="D137" s="20" t="s">
        <v>1905</v>
      </c>
      <c r="E137" s="20" t="s">
        <v>1909</v>
      </c>
      <c r="F137" s="20" t="s">
        <v>991</v>
      </c>
      <c r="G137" s="20" t="s">
        <v>370</v>
      </c>
      <c r="H137" s="20">
        <v>0.16300000000000001</v>
      </c>
      <c r="I137" s="20" t="s">
        <v>1885</v>
      </c>
      <c r="J137" s="20" t="s">
        <v>986</v>
      </c>
      <c r="L137" s="20" t="s">
        <v>132</v>
      </c>
      <c r="M137" s="20" t="s">
        <v>984</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4:17" ht="20.100000000000001" customHeight="1" x14ac:dyDescent="0.2">
      <c r="D138" s="20" t="s">
        <v>1905</v>
      </c>
      <c r="E138" s="20" t="s">
        <v>1910</v>
      </c>
      <c r="F138" s="20" t="s">
        <v>1005</v>
      </c>
      <c r="G138" s="20" t="s">
        <v>370</v>
      </c>
      <c r="H138" s="20">
        <v>0.12</v>
      </c>
      <c r="I138" s="20" t="s">
        <v>1885</v>
      </c>
      <c r="J138" s="20" t="s">
        <v>986</v>
      </c>
      <c r="L138" s="20" t="str">
        <f>Table_SourceData_Scope3_Feed[[#This Row],[Product]]</f>
        <v>Oaten hay</v>
      </c>
      <c r="M138" s="20" t="str">
        <f>Table_SourceData_Scope3_Feed[[#This Row],[Region of origin]]</f>
        <v>Australia</v>
      </c>
    </row>
    <row r="139" spans="4:17" ht="20.100000000000001" customHeight="1" x14ac:dyDescent="0.2">
      <c r="D139" s="20" t="s">
        <v>1905</v>
      </c>
      <c r="E139" s="20" t="s">
        <v>1910</v>
      </c>
      <c r="F139" s="20" t="s">
        <v>988</v>
      </c>
      <c r="G139" s="20" t="s">
        <v>370</v>
      </c>
      <c r="H139" s="20">
        <v>0.11899999999999999</v>
      </c>
      <c r="I139" s="20" t="s">
        <v>1885</v>
      </c>
      <c r="J139" s="20" t="s">
        <v>986</v>
      </c>
      <c r="L139" s="20" t="str">
        <f>Table_SourceData_Scope3_Feed[[#This Row],[Product]]</f>
        <v>Oaten hay</v>
      </c>
      <c r="M139" s="20" t="str">
        <f>Table_SourceData_Scope3_Feed[[#This Row],[Region of origin]]</f>
        <v>NSW</v>
      </c>
    </row>
    <row r="140" spans="4:17" ht="20.100000000000001" customHeight="1" x14ac:dyDescent="0.2">
      <c r="D140" s="20" t="s">
        <v>1905</v>
      </c>
      <c r="E140" s="20" t="s">
        <v>1910</v>
      </c>
      <c r="F140" s="20" t="s">
        <v>1001</v>
      </c>
      <c r="G140" s="20" t="s">
        <v>370</v>
      </c>
      <c r="H140" s="20">
        <v>0.11700000000000001</v>
      </c>
      <c r="I140" s="20" t="s">
        <v>1885</v>
      </c>
      <c r="J140" s="20" t="s">
        <v>986</v>
      </c>
      <c r="L140" s="20" t="str">
        <f>Table_SourceData_Scope3_Feed[[#This Row],[Product]]</f>
        <v>Oaten hay</v>
      </c>
      <c r="M140" s="20" t="str">
        <f>Table_SourceData_Scope3_Feed[[#This Row],[Region of origin]]</f>
        <v>QLD</v>
      </c>
    </row>
    <row r="141" spans="4:17" ht="20.100000000000001" customHeight="1" x14ac:dyDescent="0.2">
      <c r="D141" s="20" t="s">
        <v>1905</v>
      </c>
      <c r="E141" s="20" t="s">
        <v>1910</v>
      </c>
      <c r="F141" s="20" t="s">
        <v>989</v>
      </c>
      <c r="G141" s="20" t="s">
        <v>370</v>
      </c>
      <c r="H141" s="20">
        <v>0.114</v>
      </c>
      <c r="I141" s="20" t="s">
        <v>1885</v>
      </c>
      <c r="J141" s="20" t="s">
        <v>986</v>
      </c>
      <c r="L141" s="20" t="str">
        <f>Table_SourceData_Scope3_Feed[[#This Row],[Product]]</f>
        <v>Oaten hay</v>
      </c>
      <c r="M141" s="20" t="str">
        <f>Table_SourceData_Scope3_Feed[[#This Row],[Region of origin]]</f>
        <v>SA</v>
      </c>
    </row>
    <row r="142" spans="4:17" ht="20.100000000000001" customHeight="1" x14ac:dyDescent="0.2">
      <c r="D142" s="20" t="s">
        <v>1905</v>
      </c>
      <c r="E142" s="20" t="s">
        <v>1910</v>
      </c>
      <c r="F142" s="20" t="s">
        <v>991</v>
      </c>
      <c r="G142" s="20" t="s">
        <v>370</v>
      </c>
      <c r="H142" s="20">
        <v>0.11799999999999999</v>
      </c>
      <c r="I142" s="20" t="s">
        <v>1885</v>
      </c>
      <c r="J142" s="20" t="s">
        <v>986</v>
      </c>
      <c r="L142" s="20" t="str">
        <f>Table_SourceData_Scope3_Feed[[#This Row],[Product]]</f>
        <v>Oaten hay</v>
      </c>
      <c r="M142" s="20" t="str">
        <f>Table_SourceData_Scope3_Feed[[#This Row],[Region of origin]]</f>
        <v>VIC</v>
      </c>
    </row>
    <row r="143" spans="4:17" ht="20.100000000000001" customHeight="1" x14ac:dyDescent="0.2">
      <c r="D143" s="20" t="s">
        <v>1905</v>
      </c>
      <c r="E143" s="20" t="s">
        <v>1910</v>
      </c>
      <c r="F143" s="20" t="s">
        <v>993</v>
      </c>
      <c r="G143" s="20" t="s">
        <v>370</v>
      </c>
      <c r="H143" s="20">
        <v>0.124</v>
      </c>
      <c r="I143" s="20" t="s">
        <v>1885</v>
      </c>
      <c r="J143" s="20" t="s">
        <v>986</v>
      </c>
      <c r="L143" s="20" t="str">
        <f>Table_SourceData_Scope3_Feed[[#This Row],[Product]]</f>
        <v>Oaten hay</v>
      </c>
      <c r="M143" s="20" t="str">
        <f>Table_SourceData_Scope3_Feed[[#This Row],[Region of origin]]</f>
        <v>WA</v>
      </c>
      <c r="O143" s="20" t="s">
        <v>132</v>
      </c>
      <c r="P143" s="20" t="s">
        <v>984</v>
      </c>
      <c r="Q143" s="1" t="str">
        <f>"Table_ProductRegions_" &amp; SUBSTITUTE(SUBSTITUTE(SUBSTITUTE(SUBSTITUTE(O144, " ", ""), ",", ""), "(", ""), ")", "")</f>
        <v>Table_ProductRegions_Pasturehay</v>
      </c>
    </row>
    <row r="144" spans="4:17" ht="20.100000000000001" customHeight="1" x14ac:dyDescent="0.2">
      <c r="D144" s="20" t="s">
        <v>1905</v>
      </c>
      <c r="E144" s="20" t="s">
        <v>1911</v>
      </c>
      <c r="F144" s="20" t="s">
        <v>1005</v>
      </c>
      <c r="G144" s="20" t="s">
        <v>370</v>
      </c>
      <c r="H144" s="20">
        <v>0.33900000000000002</v>
      </c>
      <c r="I144" s="20" t="s">
        <v>1885</v>
      </c>
      <c r="J144" s="20" t="s">
        <v>986</v>
      </c>
      <c r="O144" s="20" t="str">
        <f>Table_SourceData_Scope3_Feed[[#This Row],[Product]]</f>
        <v>Pasture hay</v>
      </c>
      <c r="P144" s="20" t="str">
        <f>Table_SourceData_Scope3_Feed[[#This Row],[Region of origin]]</f>
        <v>Australia</v>
      </c>
    </row>
    <row r="145" spans="1:17" ht="20.100000000000001" customHeight="1" x14ac:dyDescent="0.2">
      <c r="D145" s="20" t="s">
        <v>1905</v>
      </c>
      <c r="E145" s="20" t="s">
        <v>1911</v>
      </c>
      <c r="F145" s="20" t="s">
        <v>988</v>
      </c>
      <c r="G145" s="20" t="s">
        <v>370</v>
      </c>
      <c r="H145" s="20">
        <v>0.311</v>
      </c>
      <c r="I145" s="20" t="s">
        <v>1885</v>
      </c>
      <c r="J145" s="20" t="s">
        <v>986</v>
      </c>
      <c r="O145" s="20" t="str">
        <f>Table_SourceData_Scope3_Feed[[#This Row],[Product]]</f>
        <v>Pasture hay</v>
      </c>
      <c r="P145" s="20" t="str">
        <f>Table_SourceData_Scope3_Feed[[#This Row],[Region of origin]]</f>
        <v>NSW</v>
      </c>
    </row>
    <row r="146" spans="1:17" ht="20.100000000000001" customHeight="1" x14ac:dyDescent="0.2">
      <c r="D146" s="20" t="s">
        <v>1905</v>
      </c>
      <c r="E146" s="20" t="s">
        <v>1911</v>
      </c>
      <c r="F146" s="20" t="s">
        <v>1001</v>
      </c>
      <c r="G146" s="20" t="s">
        <v>370</v>
      </c>
      <c r="H146" s="20">
        <v>0.254</v>
      </c>
      <c r="I146" s="20" t="s">
        <v>1885</v>
      </c>
      <c r="J146" s="20" t="s">
        <v>986</v>
      </c>
      <c r="O146" s="20" t="str">
        <f>Table_SourceData_Scope3_Feed[[#This Row],[Product]]</f>
        <v>Pasture hay</v>
      </c>
      <c r="P146" s="20" t="str">
        <f>Table_SourceData_Scope3_Feed[[#This Row],[Region of origin]]</f>
        <v>QLD</v>
      </c>
    </row>
    <row r="147" spans="1:17" ht="20.100000000000001" customHeight="1" x14ac:dyDescent="0.2">
      <c r="D147" s="20" t="s">
        <v>1905</v>
      </c>
      <c r="E147" s="20" t="s">
        <v>1911</v>
      </c>
      <c r="F147" s="20" t="s">
        <v>989</v>
      </c>
      <c r="G147" s="20" t="s">
        <v>370</v>
      </c>
      <c r="H147" s="20">
        <v>0.313</v>
      </c>
      <c r="I147" s="20" t="s">
        <v>1885</v>
      </c>
      <c r="J147" s="20" t="s">
        <v>986</v>
      </c>
      <c r="O147" s="20" t="str">
        <f>Table_SourceData_Scope3_Feed[[#This Row],[Product]]</f>
        <v>Pasture hay</v>
      </c>
      <c r="P147" s="20" t="str">
        <f>Table_SourceData_Scope3_Feed[[#This Row],[Region of origin]]</f>
        <v>SA</v>
      </c>
    </row>
    <row r="148" spans="1:17" ht="20.100000000000001" customHeight="1" x14ac:dyDescent="0.2">
      <c r="D148" s="20" t="s">
        <v>1905</v>
      </c>
      <c r="E148" s="20" t="s">
        <v>1911</v>
      </c>
      <c r="F148" s="20" t="s">
        <v>990</v>
      </c>
      <c r="G148" s="20" t="s">
        <v>370</v>
      </c>
      <c r="H148" s="20">
        <v>0.39800000000000002</v>
      </c>
      <c r="I148" s="20" t="s">
        <v>1885</v>
      </c>
      <c r="J148" s="20" t="s">
        <v>986</v>
      </c>
      <c r="O148" s="20" t="str">
        <f>Table_SourceData_Scope3_Feed[[#This Row],[Product]]</f>
        <v>Pasture hay</v>
      </c>
      <c r="P148" s="20" t="str">
        <f>Table_SourceData_Scope3_Feed[[#This Row],[Region of origin]]</f>
        <v>TAS</v>
      </c>
    </row>
    <row r="149" spans="1:17" ht="20.100000000000001" customHeight="1" x14ac:dyDescent="0.2">
      <c r="A149" s="81" t="str">
        <f>HYPERLINK("#A1", "▲ Back to top")</f>
        <v>▲ Back to top</v>
      </c>
      <c r="D149" s="20" t="s">
        <v>1905</v>
      </c>
      <c r="E149" s="20" t="s">
        <v>1911</v>
      </c>
      <c r="F149" s="20" t="s">
        <v>991</v>
      </c>
      <c r="G149" s="20" t="s">
        <v>370</v>
      </c>
      <c r="H149" s="20">
        <v>0.34499999999999997</v>
      </c>
      <c r="I149" s="20" t="s">
        <v>1885</v>
      </c>
      <c r="J149" s="20" t="s">
        <v>986</v>
      </c>
      <c r="O149" s="20" t="str">
        <f>Table_SourceData_Scope3_Feed[[#This Row],[Product]]</f>
        <v>Pasture hay</v>
      </c>
      <c r="P149" s="20" t="str">
        <f>Table_SourceData_Scope3_Feed[[#This Row],[Region of origin]]</f>
        <v>VIC</v>
      </c>
    </row>
    <row r="150" spans="1:17" ht="20.100000000000001" customHeight="1" x14ac:dyDescent="0.2">
      <c r="D150" s="20" t="s">
        <v>1905</v>
      </c>
      <c r="E150" s="20" t="s">
        <v>1911</v>
      </c>
      <c r="F150" s="20" t="s">
        <v>993</v>
      </c>
      <c r="G150" s="20" t="s">
        <v>370</v>
      </c>
      <c r="H150" s="20">
        <v>0.36799999999999999</v>
      </c>
      <c r="I150" s="20" t="s">
        <v>1885</v>
      </c>
      <c r="J150" s="20" t="s">
        <v>986</v>
      </c>
      <c r="L150" s="218" t="s">
        <v>132</v>
      </c>
      <c r="M150" s="218" t="s">
        <v>984</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
      <c r="D151" s="20" t="s">
        <v>1912</v>
      </c>
      <c r="E151" s="20" t="s">
        <v>1913</v>
      </c>
      <c r="F151" s="20" t="s">
        <v>1005</v>
      </c>
      <c r="G151" s="20" t="s">
        <v>370</v>
      </c>
      <c r="H151" s="20">
        <v>0.24399999999999999</v>
      </c>
      <c r="I151" s="20" t="s">
        <v>1885</v>
      </c>
      <c r="J151" s="20" t="s">
        <v>986</v>
      </c>
      <c r="L151" s="1" t="str">
        <f>Table_SourceData_Scope3_Feed[[#This Row],[Product]]</f>
        <v>Canola meal</v>
      </c>
      <c r="M151" s="1" t="str">
        <f>Table_SourceData_Scope3_Feed[[#This Row],[Region of origin]]</f>
        <v>Australia</v>
      </c>
      <c r="O151" s="20" t="s">
        <v>132</v>
      </c>
      <c r="P151" s="20" t="s">
        <v>984</v>
      </c>
      <c r="Q151" s="1" t="str">
        <f>"Table_ProductRegions_" &amp; SUBSTITUTE(SUBSTITUTE(SUBSTITUTE(SUBSTITUTE(O152, " ", ""), ",", ""), "(", ""), ")", "")</f>
        <v>Table_ProductRegions_Meatmeal</v>
      </c>
    </row>
    <row r="152" spans="1:17" ht="20.100000000000001" customHeight="1" x14ac:dyDescent="0.2">
      <c r="D152" s="20" t="s">
        <v>1912</v>
      </c>
      <c r="E152" s="20" t="s">
        <v>1914</v>
      </c>
      <c r="F152" s="20" t="s">
        <v>1005</v>
      </c>
      <c r="G152" s="20" t="s">
        <v>370</v>
      </c>
      <c r="H152" s="20">
        <v>0.40799999999999997</v>
      </c>
      <c r="I152" s="20" t="s">
        <v>1885</v>
      </c>
      <c r="J152" s="20" t="s">
        <v>986</v>
      </c>
      <c r="L152" s="20" t="s">
        <v>132</v>
      </c>
      <c r="M152" s="20" t="s">
        <v>984</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
      <c r="D153" s="20" t="s">
        <v>1912</v>
      </c>
      <c r="E153" s="20" t="s">
        <v>1915</v>
      </c>
      <c r="F153" s="20" t="s">
        <v>1916</v>
      </c>
      <c r="G153" s="20" t="s">
        <v>370</v>
      </c>
      <c r="H153" s="20">
        <v>0.42599999999999999</v>
      </c>
      <c r="I153" s="20" t="s">
        <v>1885</v>
      </c>
      <c r="J153" s="20" t="s">
        <v>986</v>
      </c>
      <c r="L153" s="20" t="str">
        <f>Table_SourceData_Scope3_Feed[[#This Row],[Product]]</f>
        <v>Soybean meal</v>
      </c>
      <c r="M153" s="20" t="str">
        <f>Table_SourceData_Scope3_Feed[[#This Row],[Region of origin]]</f>
        <v>Brazil</v>
      </c>
      <c r="O153" s="20" t="s">
        <v>132</v>
      </c>
      <c r="P153" s="20" t="s">
        <v>984</v>
      </c>
      <c r="Q153" s="1" t="str">
        <f>"Table_ProductRegions_" &amp; SUBSTITUTE(SUBSTITUTE(SUBSTITUTE(SUBSTITUTE(O154, " ", ""), ",", ""), "(", ""), ")", "")</f>
        <v>Table_ProductRegions_Wheatbran</v>
      </c>
    </row>
    <row r="154" spans="1:17" ht="20.100000000000001" customHeight="1" x14ac:dyDescent="0.2">
      <c r="D154" s="20" t="s">
        <v>1912</v>
      </c>
      <c r="E154" s="20" t="s">
        <v>1917</v>
      </c>
      <c r="F154" s="20" t="s">
        <v>1005</v>
      </c>
      <c r="G154" s="20" t="s">
        <v>370</v>
      </c>
      <c r="H154" s="20">
        <v>0.19600000000000001</v>
      </c>
      <c r="I154" s="20" t="s">
        <v>1885</v>
      </c>
      <c r="J154" s="20" t="s">
        <v>986</v>
      </c>
      <c r="L154" s="20" t="s">
        <v>132</v>
      </c>
      <c r="M154" s="20" t="s">
        <v>984</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
      <c r="D155" s="1" t="s">
        <v>1918</v>
      </c>
      <c r="E155" s="1" t="s">
        <v>1919</v>
      </c>
      <c r="F155" s="1" t="s">
        <v>1005</v>
      </c>
      <c r="G155" s="1" t="s">
        <v>370</v>
      </c>
      <c r="H155" s="1">
        <v>6.5199999999999994E-2</v>
      </c>
      <c r="I155" s="1" t="s">
        <v>1885</v>
      </c>
      <c r="J155" s="20" t="s">
        <v>986</v>
      </c>
      <c r="L155" s="20" t="str">
        <f>Table_SourceData_Scope3_Feed[[#This Row],[Product]]</f>
        <v>Bentonite</v>
      </c>
      <c r="M155" s="20" t="str">
        <f>Table_SourceData_Scope3_Feed[[#This Row],[Region of origin]]</f>
        <v>Australia</v>
      </c>
      <c r="O155" s="20" t="s">
        <v>132</v>
      </c>
      <c r="P155" s="20" t="s">
        <v>984</v>
      </c>
      <c r="Q155" s="1" t="str">
        <f>"Table_ProductRegions_" &amp; SUBSTITUTE(SUBSTITUTE(SUBSTITUTE(SUBSTITUTE(O156, " ", ""), ",", ""), "(", ""), ")", "")</f>
        <v>Table_ProductRegions_Canolaoil</v>
      </c>
    </row>
    <row r="156" spans="1:17" ht="20.100000000000001" customHeight="1" x14ac:dyDescent="0.2">
      <c r="D156" s="1" t="s">
        <v>1918</v>
      </c>
      <c r="E156" s="1" t="s">
        <v>1920</v>
      </c>
      <c r="F156" s="1" t="s">
        <v>1005</v>
      </c>
      <c r="G156" s="1" t="s">
        <v>370</v>
      </c>
      <c r="H156" s="1">
        <v>0.87</v>
      </c>
      <c r="I156" s="1" t="s">
        <v>1885</v>
      </c>
      <c r="J156" s="20" t="s">
        <v>986</v>
      </c>
      <c r="L156" s="20" t="s">
        <v>132</v>
      </c>
      <c r="M156" s="20" t="s">
        <v>984</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
      <c r="D157" s="1" t="s">
        <v>1918</v>
      </c>
      <c r="E157" s="1" t="s">
        <v>1921</v>
      </c>
      <c r="F157" s="1" t="s">
        <v>1005</v>
      </c>
      <c r="G157" s="1" t="s">
        <v>370</v>
      </c>
      <c r="H157" s="1">
        <v>0.19700000000000001</v>
      </c>
      <c r="I157" s="1" t="s">
        <v>1885</v>
      </c>
      <c r="J157" s="20" t="s">
        <v>986</v>
      </c>
      <c r="L157" s="20" t="str">
        <f>Table_SourceData_Scope3_Feed[[#This Row],[Product]]</f>
        <v>Cotton seed</v>
      </c>
      <c r="M157" s="20" t="str">
        <f>Table_SourceData_Scope3_Feed[[#This Row],[Region of origin]]</f>
        <v>Australia</v>
      </c>
      <c r="O157" s="20" t="s">
        <v>132</v>
      </c>
      <c r="P157" s="20" t="s">
        <v>984</v>
      </c>
      <c r="Q157" s="1" t="str">
        <f>"Table_ProductRegions_" &amp; SUBSTITUTE(SUBSTITUTE(SUBSTITUTE(SUBSTITUTE(O158, " ", ""), ",", ""), "(", ""), ")", "")</f>
        <v>Table_ProductRegions_Molasses</v>
      </c>
    </row>
    <row r="158" spans="1:17" ht="20.100000000000001" customHeight="1" x14ac:dyDescent="0.2">
      <c r="D158" s="20" t="s">
        <v>1918</v>
      </c>
      <c r="E158" s="20" t="s">
        <v>1922</v>
      </c>
      <c r="F158" s="20" t="s">
        <v>1001</v>
      </c>
      <c r="G158" s="20" t="s">
        <v>370</v>
      </c>
      <c r="H158" s="20">
        <v>0.184</v>
      </c>
      <c r="I158" s="20" t="s">
        <v>1885</v>
      </c>
      <c r="J158" s="20"/>
      <c r="O158" s="20" t="str">
        <f>Table_SourceData_Scope3_Feed[[#This Row],[Product]]</f>
        <v>Molasses</v>
      </c>
      <c r="P158" s="20" t="str">
        <f>Table_SourceData_Scope3_Feed[[#This Row],[Region of origin]]</f>
        <v>QLD</v>
      </c>
    </row>
    <row r="161" spans="4:14" ht="20.100000000000001" customHeight="1" x14ac:dyDescent="0.2">
      <c r="D161" s="20" t="s">
        <v>979</v>
      </c>
      <c r="E161" s="20" t="s">
        <v>132</v>
      </c>
      <c r="F161" s="20" t="s">
        <v>980</v>
      </c>
      <c r="G161" s="20" t="s">
        <v>981</v>
      </c>
      <c r="H161" s="20" t="s">
        <v>982</v>
      </c>
      <c r="I161" s="20" t="s">
        <v>983</v>
      </c>
      <c r="J161" s="20" t="s">
        <v>463</v>
      </c>
    </row>
    <row r="162" spans="4:14" ht="20.100000000000001" customHeight="1" x14ac:dyDescent="0.2">
      <c r="D162" s="20" t="s">
        <v>1923</v>
      </c>
      <c r="E162" s="20" t="s">
        <v>1924</v>
      </c>
      <c r="F162" s="20" t="s">
        <v>1005</v>
      </c>
      <c r="G162" s="20" t="s">
        <v>370</v>
      </c>
      <c r="H162" s="20">
        <v>0.59399999999999997</v>
      </c>
      <c r="I162" s="20" t="s">
        <v>1885</v>
      </c>
      <c r="J162" s="20" t="s">
        <v>986</v>
      </c>
    </row>
    <row r="163" spans="4:14" ht="20.100000000000001" customHeight="1" x14ac:dyDescent="0.2">
      <c r="D163" s="20" t="s">
        <v>1923</v>
      </c>
      <c r="E163" s="20" t="s">
        <v>1925</v>
      </c>
      <c r="F163" s="20" t="s">
        <v>1005</v>
      </c>
      <c r="G163" s="20" t="s">
        <v>370</v>
      </c>
      <c r="H163" s="20">
        <v>0.41899999999999998</v>
      </c>
      <c r="I163" s="20" t="s">
        <v>1885</v>
      </c>
      <c r="J163" s="20" t="s">
        <v>986</v>
      </c>
    </row>
    <row r="164" spans="4:14" ht="20.100000000000001" customHeight="1" x14ac:dyDescent="0.2">
      <c r="D164" s="20" t="s">
        <v>1923</v>
      </c>
      <c r="E164" s="20" t="s">
        <v>1926</v>
      </c>
      <c r="F164" s="20" t="s">
        <v>1005</v>
      </c>
      <c r="G164" s="20" t="s">
        <v>370</v>
      </c>
      <c r="H164" s="20">
        <v>0.33300000000000002</v>
      </c>
      <c r="I164" s="20" t="s">
        <v>1885</v>
      </c>
      <c r="J164" s="20" t="s">
        <v>986</v>
      </c>
    </row>
    <row r="165" spans="4:14" ht="20.100000000000001" customHeight="1" x14ac:dyDescent="0.2">
      <c r="D165" s="20" t="s">
        <v>1923</v>
      </c>
      <c r="E165" s="20" t="s">
        <v>1927</v>
      </c>
      <c r="F165" s="20" t="s">
        <v>1005</v>
      </c>
      <c r="G165" s="20" t="s">
        <v>370</v>
      </c>
      <c r="H165" s="20">
        <v>0.40300000000000002</v>
      </c>
      <c r="I165" s="20" t="s">
        <v>1885</v>
      </c>
      <c r="J165" s="20" t="s">
        <v>986</v>
      </c>
    </row>
    <row r="167" spans="4:14" ht="20.100000000000001" customHeight="1" x14ac:dyDescent="0.2">
      <c r="D167" s="20" t="s">
        <v>979</v>
      </c>
      <c r="E167" s="20" t="s">
        <v>132</v>
      </c>
      <c r="F167" s="20" t="s">
        <v>980</v>
      </c>
      <c r="G167" s="20" t="s">
        <v>981</v>
      </c>
      <c r="H167" s="20" t="s">
        <v>982</v>
      </c>
      <c r="I167" s="20" t="s">
        <v>983</v>
      </c>
      <c r="J167" s="20" t="s">
        <v>463</v>
      </c>
    </row>
    <row r="168" spans="4:14" ht="20.100000000000001" customHeight="1" x14ac:dyDescent="0.2">
      <c r="D168" s="20" t="s">
        <v>1918</v>
      </c>
      <c r="E168" s="20" t="s">
        <v>1928</v>
      </c>
      <c r="F168" s="20" t="s">
        <v>1005</v>
      </c>
      <c r="G168" s="20" t="s">
        <v>370</v>
      </c>
      <c r="H168" s="20">
        <v>0.88100000000000001</v>
      </c>
      <c r="I168" s="20" t="s">
        <v>1885</v>
      </c>
      <c r="J168" s="20" t="s">
        <v>986</v>
      </c>
    </row>
    <row r="169" spans="4:14" ht="20.100000000000001" customHeight="1" x14ac:dyDescent="0.2">
      <c r="D169" s="20" t="s">
        <v>1918</v>
      </c>
      <c r="E169" s="20" t="s">
        <v>1929</v>
      </c>
      <c r="F169" s="20" t="s">
        <v>1005</v>
      </c>
      <c r="G169" s="20" t="s">
        <v>370</v>
      </c>
      <c r="H169" s="20">
        <v>0.67700000000000005</v>
      </c>
      <c r="I169" s="20" t="s">
        <v>1885</v>
      </c>
      <c r="J169" s="20" t="s">
        <v>986</v>
      </c>
    </row>
    <row r="170" spans="4:14" ht="20.100000000000001" customHeight="1" x14ac:dyDescent="0.2">
      <c r="D170" s="20" t="s">
        <v>1918</v>
      </c>
      <c r="E170" s="20" t="s">
        <v>1930</v>
      </c>
      <c r="F170" s="20" t="s">
        <v>1005</v>
      </c>
      <c r="G170" s="20" t="s">
        <v>370</v>
      </c>
      <c r="H170" s="20">
        <v>0.23100000000000001</v>
      </c>
      <c r="I170" s="20" t="s">
        <v>1885</v>
      </c>
      <c r="J170" s="20" t="s">
        <v>986</v>
      </c>
    </row>
    <row r="172" spans="4:14" ht="20.100000000000001" customHeight="1" x14ac:dyDescent="0.2">
      <c r="D172" s="2" t="s">
        <v>1008</v>
      </c>
    </row>
    <row r="173" spans="4:14" ht="20.100000000000001" customHeight="1" x14ac:dyDescent="0.2">
      <c r="D173" s="20" t="s">
        <v>979</v>
      </c>
      <c r="E173" s="20" t="s">
        <v>132</v>
      </c>
      <c r="F173" s="20" t="s">
        <v>980</v>
      </c>
      <c r="G173" s="20" t="s">
        <v>433</v>
      </c>
      <c r="H173" s="20" t="s">
        <v>323</v>
      </c>
      <c r="I173" s="20" t="s">
        <v>324</v>
      </c>
      <c r="J173" s="20" t="s">
        <v>1009</v>
      </c>
      <c r="K173" s="20" t="s">
        <v>981</v>
      </c>
      <c r="L173" s="20" t="s">
        <v>982</v>
      </c>
      <c r="M173" s="20" t="s">
        <v>983</v>
      </c>
      <c r="N173" s="20" t="s">
        <v>463</v>
      </c>
    </row>
    <row r="174" spans="4:14" ht="20.100000000000001" customHeight="1" x14ac:dyDescent="0.2">
      <c r="D174" s="20" t="s">
        <v>1008</v>
      </c>
      <c r="E174" s="20" t="s">
        <v>1931</v>
      </c>
      <c r="F174" s="20" t="s">
        <v>1613</v>
      </c>
      <c r="G174" s="20" t="str">
        <f>'Constants - Fertiliser'!$D$37</f>
        <v>Ammonia</v>
      </c>
      <c r="H174" s="20"/>
      <c r="I174" s="20" t="str">
        <f>'Constants - Fertiliser'!$V$20</f>
        <v>Global</v>
      </c>
      <c r="J174" s="20"/>
      <c r="K174" s="20" t="s">
        <v>370</v>
      </c>
      <c r="L174" s="20">
        <v>2.3199999999999998</v>
      </c>
      <c r="M174" s="20" t="s">
        <v>1885</v>
      </c>
      <c r="N174" s="20" t="s">
        <v>986</v>
      </c>
    </row>
    <row r="175" spans="4:14" ht="20.100000000000001" customHeight="1" x14ac:dyDescent="0.2">
      <c r="D175" s="20" t="s">
        <v>1008</v>
      </c>
      <c r="E175" s="20" t="s">
        <v>1932</v>
      </c>
      <c r="F175" s="20" t="s">
        <v>1614</v>
      </c>
      <c r="G175" s="20" t="str">
        <f>'Constants - Fertiliser'!$D$37</f>
        <v>Ammonia</v>
      </c>
      <c r="H175" s="20"/>
      <c r="I175" s="20" t="str">
        <f>'Constants - Fertiliser'!$V$21</f>
        <v>Canada</v>
      </c>
      <c r="J175" s="20"/>
      <c r="K175" s="20" t="s">
        <v>370</v>
      </c>
      <c r="L175" s="20">
        <v>2.12</v>
      </c>
      <c r="M175" s="20" t="s">
        <v>1885</v>
      </c>
      <c r="N175" s="20" t="s">
        <v>986</v>
      </c>
    </row>
    <row r="176" spans="4:14" ht="20.100000000000001" customHeight="1" x14ac:dyDescent="0.2">
      <c r="D176" s="20" t="s">
        <v>1008</v>
      </c>
      <c r="E176" s="20" t="s">
        <v>1933</v>
      </c>
      <c r="F176" s="20" t="s">
        <v>1615</v>
      </c>
      <c r="G176" s="20" t="str">
        <f>'Constants - Fertiliser'!$D$37</f>
        <v>Ammonia</v>
      </c>
      <c r="H176" s="20"/>
      <c r="I176" s="20" t="str">
        <f>'Constants - Fertiliser'!$V$22</f>
        <v>China</v>
      </c>
      <c r="J176" s="20"/>
      <c r="K176" s="20" t="s">
        <v>370</v>
      </c>
      <c r="L176" s="20">
        <v>4.17</v>
      </c>
      <c r="M176" s="20" t="s">
        <v>1885</v>
      </c>
      <c r="N176" s="20" t="s">
        <v>986</v>
      </c>
    </row>
    <row r="177" spans="1:14" ht="20.100000000000001" customHeight="1" x14ac:dyDescent="0.2">
      <c r="D177" s="20" t="s">
        <v>1008</v>
      </c>
      <c r="E177" s="20" t="s">
        <v>1934</v>
      </c>
      <c r="F177" s="20" t="s">
        <v>1616</v>
      </c>
      <c r="G177" s="20" t="str">
        <f>'Constants - Fertiliser'!$D$37</f>
        <v>Ammonia</v>
      </c>
      <c r="H177" s="20"/>
      <c r="I177" s="20" t="str">
        <f>'Constants - Fertiliser'!$V$23</f>
        <v>Yemen</v>
      </c>
      <c r="J177" s="20"/>
      <c r="K177" s="20" t="s">
        <v>370</v>
      </c>
      <c r="L177" s="20">
        <v>2.2599999999999998</v>
      </c>
      <c r="M177" s="20" t="s">
        <v>1885</v>
      </c>
      <c r="N177" s="20" t="s">
        <v>986</v>
      </c>
    </row>
    <row r="178" spans="1:14" ht="20.100000000000001" customHeight="1" x14ac:dyDescent="0.2">
      <c r="D178" s="20" t="s">
        <v>1008</v>
      </c>
      <c r="E178" s="20" t="s">
        <v>1935</v>
      </c>
      <c r="F178" s="20" t="s">
        <v>1613</v>
      </c>
      <c r="G178" s="20" t="str">
        <f>'Constants - Fertiliser'!$D$25</f>
        <v>Ammonium nitrate (AN)</v>
      </c>
      <c r="H178" s="20"/>
      <c r="I178" s="20"/>
      <c r="J178" s="20"/>
      <c r="K178" s="20" t="s">
        <v>370</v>
      </c>
      <c r="L178" s="20">
        <v>2.21</v>
      </c>
      <c r="M178" s="20" t="s">
        <v>1885</v>
      </c>
      <c r="N178" s="20" t="s">
        <v>986</v>
      </c>
    </row>
    <row r="179" spans="1:14" ht="20.100000000000001" customHeight="1" x14ac:dyDescent="0.2">
      <c r="A179" s="81" t="str">
        <f>HYPERLINK("#A1", "▲ Back to top")</f>
        <v>▲ Back to top</v>
      </c>
      <c r="D179" s="20" t="s">
        <v>1008</v>
      </c>
      <c r="E179" s="20" t="s">
        <v>1936</v>
      </c>
      <c r="F179" s="20" t="s">
        <v>1613</v>
      </c>
      <c r="G179" s="20" t="str">
        <f>'Constants - Fertiliser'!$D$26</f>
        <v>Calcium ammonium nitrate (CAN)</v>
      </c>
      <c r="H179" s="20"/>
      <c r="I179" s="20"/>
      <c r="J179" s="20"/>
      <c r="K179" s="20" t="s">
        <v>370</v>
      </c>
      <c r="L179" s="20">
        <v>1.1499999999999999</v>
      </c>
      <c r="M179" s="20" t="s">
        <v>1885</v>
      </c>
      <c r="N179" s="20" t="s">
        <v>986</v>
      </c>
    </row>
    <row r="180" spans="1:14" ht="20.100000000000001" customHeight="1" x14ac:dyDescent="0.2">
      <c r="D180" s="20" t="s">
        <v>1008</v>
      </c>
      <c r="E180" s="20" t="s">
        <v>335</v>
      </c>
      <c r="F180" s="20" t="s">
        <v>1613</v>
      </c>
      <c r="G180" s="20" t="str">
        <f>'Constants - Fertiliser'!$D$38</f>
        <v>Calcium nitrate</v>
      </c>
      <c r="H180" s="20"/>
      <c r="I180" s="20"/>
      <c r="J180" s="20"/>
      <c r="K180" s="20" t="s">
        <v>370</v>
      </c>
      <c r="L180" s="20">
        <v>0.75</v>
      </c>
      <c r="M180" s="20" t="s">
        <v>1885</v>
      </c>
      <c r="N180" s="20" t="s">
        <v>986</v>
      </c>
    </row>
    <row r="181" spans="1:14" ht="20.100000000000001" customHeight="1" x14ac:dyDescent="0.2">
      <c r="D181" s="20" t="s">
        <v>1008</v>
      </c>
      <c r="E181" s="20" t="s">
        <v>1937</v>
      </c>
      <c r="F181" s="20" t="s">
        <v>1613</v>
      </c>
      <c r="G181" s="20" t="str">
        <f>'Constants - Fertiliser'!$D$21</f>
        <v>Diammonium phosphate (DAP)</v>
      </c>
      <c r="H181" s="20"/>
      <c r="I181" s="20"/>
      <c r="J181" s="20"/>
      <c r="K181" s="20" t="s">
        <v>370</v>
      </c>
      <c r="L181" s="20">
        <v>1.34</v>
      </c>
      <c r="M181" s="20" t="s">
        <v>1885</v>
      </c>
      <c r="N181" s="20" t="s">
        <v>986</v>
      </c>
    </row>
    <row r="182" spans="1:14" ht="20.100000000000001" customHeight="1" x14ac:dyDescent="0.2">
      <c r="D182" s="20" t="s">
        <v>1008</v>
      </c>
      <c r="E182" s="20" t="s">
        <v>1938</v>
      </c>
      <c r="F182" s="20" t="s">
        <v>1613</v>
      </c>
      <c r="G182" s="20" t="str">
        <f>'Constants - Fertiliser'!$D$35</f>
        <v>Double superphosphate</v>
      </c>
      <c r="H182" s="20"/>
      <c r="I182" s="20"/>
      <c r="J182" s="20"/>
      <c r="K182" s="20" t="s">
        <v>370</v>
      </c>
      <c r="L182" s="20">
        <v>0.39200000000000002</v>
      </c>
      <c r="M182" s="20" t="s">
        <v>1885</v>
      </c>
      <c r="N182" s="20" t="s">
        <v>986</v>
      </c>
    </row>
    <row r="183" spans="1:14" ht="20.100000000000001" customHeight="1" x14ac:dyDescent="0.2">
      <c r="D183" s="20" t="s">
        <v>1008</v>
      </c>
      <c r="E183" s="20" t="s">
        <v>1939</v>
      </c>
      <c r="F183" s="20" t="s">
        <v>1613</v>
      </c>
      <c r="G183" s="20" t="str">
        <f>'Constants - Fertiliser'!$D$20</f>
        <v>Monoammonium phosphate (MAP)</v>
      </c>
      <c r="H183" s="20"/>
      <c r="I183" s="20"/>
      <c r="J183" s="20"/>
      <c r="K183" s="20" t="s">
        <v>370</v>
      </c>
      <c r="L183" s="20">
        <v>0.82699999999999996</v>
      </c>
      <c r="M183" s="20" t="s">
        <v>1885</v>
      </c>
      <c r="N183" s="20" t="s">
        <v>986</v>
      </c>
    </row>
    <row r="184" spans="1:14" ht="20.100000000000001" customHeight="1" x14ac:dyDescent="0.2">
      <c r="D184" s="20" t="s">
        <v>1008</v>
      </c>
      <c r="E184" s="20" t="s">
        <v>1940</v>
      </c>
      <c r="F184" s="20" t="s">
        <v>1613</v>
      </c>
      <c r="G184" s="20" t="str">
        <f>'Constants - Fertiliser'!$D$34</f>
        <v>Muriate of potash (MOP)</v>
      </c>
      <c r="H184" s="20"/>
      <c r="I184" s="20"/>
      <c r="J184" s="20"/>
      <c r="K184" s="20" t="s">
        <v>370</v>
      </c>
      <c r="L184" s="20">
        <v>0.54900000000000004</v>
      </c>
      <c r="M184" s="20" t="s">
        <v>1885</v>
      </c>
      <c r="N184" s="20" t="s">
        <v>986</v>
      </c>
    </row>
    <row r="185" spans="1:14" ht="20.100000000000001" customHeight="1" x14ac:dyDescent="0.2">
      <c r="D185" s="20" t="s">
        <v>1008</v>
      </c>
      <c r="E185" s="20" t="s">
        <v>1941</v>
      </c>
      <c r="F185" s="20" t="s">
        <v>1613</v>
      </c>
      <c r="G185" s="20" t="str">
        <f>'Constants - Fertiliser'!$D$27</f>
        <v>Nitrogen - Ammoniacal</v>
      </c>
      <c r="H185" s="20"/>
      <c r="I185" s="20"/>
      <c r="J185" s="20"/>
      <c r="K185" s="20" t="s">
        <v>1029</v>
      </c>
      <c r="L185" s="20">
        <v>2.83</v>
      </c>
      <c r="M185" s="20" t="s">
        <v>1885</v>
      </c>
      <c r="N185" s="20" t="s">
        <v>986</v>
      </c>
    </row>
    <row r="186" spans="1:14" ht="20.100000000000001" customHeight="1" x14ac:dyDescent="0.2">
      <c r="D186" s="20" t="s">
        <v>1008</v>
      </c>
      <c r="E186" s="20" t="s">
        <v>1942</v>
      </c>
      <c r="F186" s="20" t="s">
        <v>1613</v>
      </c>
      <c r="G186" s="20" t="str">
        <f>'Constants - Fertiliser'!$D$29</f>
        <v>Nitrogen - Generic</v>
      </c>
      <c r="H186" s="20"/>
      <c r="I186" s="20"/>
      <c r="J186" s="20"/>
      <c r="K186" s="20" t="s">
        <v>1029</v>
      </c>
      <c r="L186" s="20">
        <v>4.2</v>
      </c>
      <c r="M186" s="20" t="s">
        <v>1885</v>
      </c>
      <c r="N186" s="20" t="s">
        <v>986</v>
      </c>
    </row>
    <row r="187" spans="1:14" ht="20.100000000000001" customHeight="1" x14ac:dyDescent="0.2">
      <c r="D187" s="20" t="s">
        <v>1008</v>
      </c>
      <c r="E187" s="20" t="s">
        <v>1943</v>
      </c>
      <c r="F187" s="20" t="s">
        <v>1613</v>
      </c>
      <c r="G187" s="20" t="str">
        <f>'Constants - Fertiliser'!$D$28</f>
        <v>Nitrogen - Nitrate</v>
      </c>
      <c r="H187" s="20"/>
      <c r="I187" s="20"/>
      <c r="J187" s="20"/>
      <c r="K187" s="20" t="s">
        <v>1029</v>
      </c>
      <c r="L187" s="20">
        <v>5.47</v>
      </c>
      <c r="M187" s="20" t="s">
        <v>1885</v>
      </c>
      <c r="N187" s="20" t="s">
        <v>986</v>
      </c>
    </row>
    <row r="188" spans="1:14" ht="20.100000000000001" customHeight="1" x14ac:dyDescent="0.2">
      <c r="D188" s="20" t="s">
        <v>1008</v>
      </c>
      <c r="E188" s="20" t="s">
        <v>1944</v>
      </c>
      <c r="F188" s="20" t="s">
        <v>1613</v>
      </c>
      <c r="G188" s="20" t="str">
        <f>'Constants - Fertiliser'!$D$30</f>
        <v>Phosphorus - Generic</v>
      </c>
      <c r="H188" s="20"/>
      <c r="I188" s="20"/>
      <c r="J188" s="20"/>
      <c r="K188" s="20" t="s">
        <v>1950</v>
      </c>
      <c r="L188" s="20">
        <v>3.96</v>
      </c>
      <c r="M188" s="20" t="s">
        <v>1885</v>
      </c>
      <c r="N188" s="20" t="s">
        <v>986</v>
      </c>
    </row>
    <row r="189" spans="1:14" ht="20.100000000000001" customHeight="1" x14ac:dyDescent="0.2">
      <c r="D189" s="20" t="s">
        <v>1008</v>
      </c>
      <c r="E189" s="20" t="s">
        <v>1945</v>
      </c>
      <c r="F189" s="20" t="s">
        <v>1613</v>
      </c>
      <c r="G189" s="20" t="str">
        <f>'Constants - Fertiliser'!$D$31</f>
        <v>Potassium - Generic</v>
      </c>
      <c r="H189" s="20"/>
      <c r="I189" s="20"/>
      <c r="J189" s="20"/>
      <c r="K189" s="20" t="s">
        <v>1951</v>
      </c>
      <c r="L189" s="20">
        <v>0.90900000000000003</v>
      </c>
      <c r="M189" s="20" t="s">
        <v>1885</v>
      </c>
      <c r="N189" s="20" t="s">
        <v>986</v>
      </c>
    </row>
    <row r="190" spans="1:14" ht="20.100000000000001" customHeight="1" x14ac:dyDescent="0.2">
      <c r="D190" s="20" t="s">
        <v>1008</v>
      </c>
      <c r="E190" s="20" t="s">
        <v>1946</v>
      </c>
      <c r="F190" s="20" t="s">
        <v>1613</v>
      </c>
      <c r="G190" s="20" t="str">
        <f>'Constants - Fertiliser'!$D$36</f>
        <v>Single superphosphate (SSP)</v>
      </c>
      <c r="H190" s="20"/>
      <c r="I190" s="20"/>
      <c r="J190" s="20"/>
      <c r="K190" s="20" t="s">
        <v>370</v>
      </c>
      <c r="L190" s="20">
        <v>0.22700000000000001</v>
      </c>
      <c r="M190" s="20" t="s">
        <v>1885</v>
      </c>
      <c r="N190" s="20" t="s">
        <v>986</v>
      </c>
    </row>
    <row r="191" spans="1:14" ht="20.100000000000001" customHeight="1" x14ac:dyDescent="0.2">
      <c r="D191" s="20" t="s">
        <v>1008</v>
      </c>
      <c r="E191" s="20" t="s">
        <v>1947</v>
      </c>
      <c r="F191" s="20" t="s">
        <v>1613</v>
      </c>
      <c r="G191" s="20" t="str">
        <f>'Constants - Fertiliser'!$D$32</f>
        <v>Sulfur - Generic</v>
      </c>
      <c r="H191" s="20"/>
      <c r="I191" s="20"/>
      <c r="J191" s="20"/>
      <c r="K191" s="20" t="s">
        <v>1952</v>
      </c>
      <c r="L191" s="20">
        <v>2.5</v>
      </c>
      <c r="M191" s="20" t="s">
        <v>1885</v>
      </c>
      <c r="N191" s="20" t="s">
        <v>986</v>
      </c>
    </row>
    <row r="192" spans="1:14" ht="20.100000000000001" customHeight="1" x14ac:dyDescent="0.2">
      <c r="D192" s="20" t="s">
        <v>1008</v>
      </c>
      <c r="E192" s="20" t="s">
        <v>1948</v>
      </c>
      <c r="F192" s="20" t="s">
        <v>1613</v>
      </c>
      <c r="G192" s="20" t="str">
        <f>'Constants - Fertiliser'!$D$23</f>
        <v>Sulphate of ammonia (SOA)</v>
      </c>
      <c r="H192" s="20"/>
      <c r="I192" s="20"/>
      <c r="J192" s="20"/>
      <c r="K192" s="20" t="s">
        <v>370</v>
      </c>
      <c r="L192" s="20">
        <v>0.86499999999999999</v>
      </c>
      <c r="M192" s="20" t="s">
        <v>1885</v>
      </c>
      <c r="N192" s="20" t="s">
        <v>986</v>
      </c>
    </row>
    <row r="193" spans="4:14" ht="20.100000000000001" customHeight="1" x14ac:dyDescent="0.2">
      <c r="D193" s="20" t="s">
        <v>1008</v>
      </c>
      <c r="E193" s="20" t="s">
        <v>1949</v>
      </c>
      <c r="F193" s="20" t="s">
        <v>1613</v>
      </c>
      <c r="G193" s="20" t="str">
        <f>'Constants - Fertiliser'!$D$24</f>
        <v>Urea-ammonium nitrate (UAN)</v>
      </c>
      <c r="H193" s="20"/>
      <c r="I193" s="20"/>
      <c r="J193" s="20"/>
      <c r="K193" s="20" t="s">
        <v>370</v>
      </c>
      <c r="L193" s="20">
        <v>1.75</v>
      </c>
      <c r="M193" s="20" t="s">
        <v>1885</v>
      </c>
      <c r="N193" s="20" t="s">
        <v>986</v>
      </c>
    </row>
    <row r="194" spans="4:14" ht="20.100000000000001" customHeight="1" x14ac:dyDescent="0.2">
      <c r="D194" s="20" t="s">
        <v>1008</v>
      </c>
      <c r="E194" s="20" t="s">
        <v>1954</v>
      </c>
      <c r="F194" s="20" t="s">
        <v>1613</v>
      </c>
      <c r="G194" s="20" t="str">
        <f>'Constants - Fertiliser'!$D$22</f>
        <v>Urea</v>
      </c>
      <c r="H194" s="20" t="str">
        <f>'Constants - Fertiliser'!$V$20</f>
        <v>Global</v>
      </c>
      <c r="I194" s="20"/>
      <c r="J194" s="20"/>
      <c r="K194" s="20" t="s">
        <v>370</v>
      </c>
      <c r="L194" s="20">
        <v>0.96799999999999997</v>
      </c>
      <c r="M194" s="20" t="s">
        <v>1885</v>
      </c>
      <c r="N194" s="20" t="s">
        <v>986</v>
      </c>
    </row>
    <row r="195" spans="4:14" ht="20.100000000000001" customHeight="1" x14ac:dyDescent="0.2">
      <c r="D195" s="20" t="s">
        <v>1008</v>
      </c>
      <c r="E195" s="20" t="s">
        <v>1955</v>
      </c>
      <c r="F195" s="20" t="s">
        <v>1614</v>
      </c>
      <c r="G195" s="20" t="str">
        <f>'Constants - Fertiliser'!$D$22</f>
        <v>Urea</v>
      </c>
      <c r="H195" s="20" t="str">
        <f>'Constants - Fertiliser'!$V$21</f>
        <v>Canada</v>
      </c>
      <c r="I195" s="20"/>
      <c r="J195" s="20"/>
      <c r="K195" s="20" t="s">
        <v>370</v>
      </c>
      <c r="L195" s="20">
        <v>0.82299999999999995</v>
      </c>
      <c r="M195" s="20" t="s">
        <v>1885</v>
      </c>
      <c r="N195" s="20" t="s">
        <v>986</v>
      </c>
    </row>
    <row r="196" spans="4:14" ht="20.100000000000001" customHeight="1" x14ac:dyDescent="0.2">
      <c r="D196" s="20" t="s">
        <v>1008</v>
      </c>
      <c r="E196" s="20" t="s">
        <v>1956</v>
      </c>
      <c r="F196" s="20" t="s">
        <v>1615</v>
      </c>
      <c r="G196" s="20" t="str">
        <f>'Constants - Fertiliser'!$D$22</f>
        <v>Urea</v>
      </c>
      <c r="H196" s="20" t="str">
        <f>'Constants - Fertiliser'!$V$22</f>
        <v>China</v>
      </c>
      <c r="I196" s="20"/>
      <c r="J196" s="20"/>
      <c r="K196" s="20" t="s">
        <v>370</v>
      </c>
      <c r="L196" s="20">
        <v>2.09</v>
      </c>
      <c r="M196" s="20" t="s">
        <v>1885</v>
      </c>
      <c r="N196" s="20" t="s">
        <v>986</v>
      </c>
    </row>
    <row r="197" spans="4:14" ht="20.100000000000001" customHeight="1" x14ac:dyDescent="0.2">
      <c r="D197" s="20" t="s">
        <v>1008</v>
      </c>
      <c r="E197" s="20" t="s">
        <v>1957</v>
      </c>
      <c r="F197" s="20" t="s">
        <v>1616</v>
      </c>
      <c r="G197" s="20" t="str">
        <f>'Constants - Fertiliser'!$D$22</f>
        <v>Urea</v>
      </c>
      <c r="H197" s="20" t="str">
        <f>'Constants - Fertiliser'!$V$23</f>
        <v>Yemen</v>
      </c>
      <c r="I197" s="20"/>
      <c r="J197" s="20"/>
      <c r="K197" s="20" t="s">
        <v>370</v>
      </c>
      <c r="L197" s="20">
        <v>0.96299999999999997</v>
      </c>
      <c r="M197" s="20" t="s">
        <v>1885</v>
      </c>
      <c r="N197" s="20" t="s">
        <v>986</v>
      </c>
    </row>
    <row r="198" spans="4:14" ht="20.100000000000001" customHeight="1" x14ac:dyDescent="0.2">
      <c r="D198" s="20" t="s">
        <v>1008</v>
      </c>
      <c r="E198" s="20" t="s">
        <v>1958</v>
      </c>
      <c r="F198" s="20" t="s">
        <v>1613</v>
      </c>
      <c r="G198" s="20" t="str">
        <f>'Constants - Fertiliser'!$D$33</f>
        <v>Zinc - Generic</v>
      </c>
      <c r="H198" s="20"/>
      <c r="I198" s="20"/>
      <c r="J198" s="20"/>
      <c r="K198" s="20" t="s">
        <v>1953</v>
      </c>
      <c r="L198" s="20">
        <v>4.82</v>
      </c>
      <c r="M198" s="20" t="s">
        <v>1885</v>
      </c>
      <c r="N198" s="20" t="s">
        <v>986</v>
      </c>
    </row>
    <row r="200" spans="4:14" ht="20.100000000000001" customHeight="1" x14ac:dyDescent="0.2">
      <c r="D200" s="2" t="s">
        <v>1010</v>
      </c>
    </row>
    <row r="201" spans="4:14" ht="20.100000000000001" customHeight="1" x14ac:dyDescent="0.2">
      <c r="D201" s="20" t="s">
        <v>979</v>
      </c>
      <c r="E201" s="20" t="s">
        <v>132</v>
      </c>
      <c r="F201" s="20" t="s">
        <v>980</v>
      </c>
      <c r="G201" s="20" t="s">
        <v>981</v>
      </c>
      <c r="H201" s="20" t="s">
        <v>982</v>
      </c>
      <c r="I201" s="20" t="s">
        <v>983</v>
      </c>
      <c r="J201" s="20" t="s">
        <v>463</v>
      </c>
    </row>
    <row r="202" spans="4:14" ht="20.100000000000001" customHeight="1" x14ac:dyDescent="0.2">
      <c r="D202" s="20" t="s">
        <v>1918</v>
      </c>
      <c r="E202" s="20" t="s">
        <v>1959</v>
      </c>
      <c r="F202" s="20" t="s">
        <v>1005</v>
      </c>
      <c r="G202" s="20" t="s">
        <v>1213</v>
      </c>
      <c r="H202" s="20">
        <v>4.24E-2</v>
      </c>
      <c r="I202" s="20" t="s">
        <v>1885</v>
      </c>
      <c r="J202" s="20" t="s">
        <v>986</v>
      </c>
    </row>
    <row r="203" spans="4:14" ht="20.100000000000001" customHeight="1" x14ac:dyDescent="0.2">
      <c r="D203" s="20" t="s">
        <v>1918</v>
      </c>
      <c r="E203" s="20" t="s">
        <v>1960</v>
      </c>
      <c r="F203" s="20" t="s">
        <v>1005</v>
      </c>
      <c r="G203" s="20" t="s">
        <v>1213</v>
      </c>
      <c r="H203" s="20">
        <v>2.93E-2</v>
      </c>
      <c r="I203" s="20" t="s">
        <v>1885</v>
      </c>
      <c r="J203" s="20" t="s">
        <v>986</v>
      </c>
    </row>
    <row r="204" spans="4:14" ht="20.100000000000001" customHeight="1" x14ac:dyDescent="0.2">
      <c r="D204" s="20" t="s">
        <v>1918</v>
      </c>
      <c r="E204" s="20" t="s">
        <v>1961</v>
      </c>
      <c r="F204" s="20" t="s">
        <v>1005</v>
      </c>
      <c r="G204" s="20" t="s">
        <v>370</v>
      </c>
      <c r="H204" s="20">
        <v>0.23899999999999999</v>
      </c>
      <c r="I204" s="20" t="s">
        <v>1885</v>
      </c>
      <c r="J204" s="20" t="s">
        <v>986</v>
      </c>
    </row>
    <row r="205" spans="4:14" ht="20.100000000000001" customHeight="1" x14ac:dyDescent="0.2">
      <c r="D205" s="20" t="s">
        <v>1918</v>
      </c>
      <c r="E205" s="20" t="s">
        <v>1962</v>
      </c>
      <c r="F205" s="20" t="s">
        <v>1005</v>
      </c>
      <c r="G205" s="20" t="s">
        <v>370</v>
      </c>
      <c r="H205" s="20">
        <v>0.18099999999999999</v>
      </c>
      <c r="I205" s="20" t="s">
        <v>1885</v>
      </c>
      <c r="J205" s="20" t="s">
        <v>986</v>
      </c>
    </row>
    <row r="206" spans="4:14" ht="20.100000000000001" customHeight="1" x14ac:dyDescent="0.2">
      <c r="D206" s="20" t="s">
        <v>1918</v>
      </c>
      <c r="E206" s="20" t="s">
        <v>1963</v>
      </c>
      <c r="F206" s="20" t="s">
        <v>1613</v>
      </c>
      <c r="G206" s="20" t="s">
        <v>370</v>
      </c>
      <c r="H206" s="20">
        <v>9.81</v>
      </c>
      <c r="I206" s="20" t="s">
        <v>1885</v>
      </c>
      <c r="J206" s="20" t="s">
        <v>986</v>
      </c>
    </row>
    <row r="207" spans="4:14" ht="20.100000000000001" customHeight="1" x14ac:dyDescent="0.2">
      <c r="D207" s="20" t="s">
        <v>1918</v>
      </c>
      <c r="E207" s="20" t="s">
        <v>1964</v>
      </c>
      <c r="F207" s="20" t="s">
        <v>1005</v>
      </c>
      <c r="G207" s="20" t="s">
        <v>370</v>
      </c>
      <c r="H207" s="20">
        <v>0.27</v>
      </c>
      <c r="I207" s="20" t="s">
        <v>1885</v>
      </c>
      <c r="J207" s="20" t="s">
        <v>986</v>
      </c>
    </row>
    <row r="208" spans="4:14" ht="20.100000000000001" customHeight="1" x14ac:dyDescent="0.2">
      <c r="D208" s="20" t="s">
        <v>1918</v>
      </c>
      <c r="E208" s="20" t="s">
        <v>1965</v>
      </c>
      <c r="F208" s="20" t="s">
        <v>1005</v>
      </c>
      <c r="G208" s="20" t="s">
        <v>370</v>
      </c>
      <c r="H208" s="20">
        <v>0.23200000000000001</v>
      </c>
      <c r="I208" s="20" t="s">
        <v>1885</v>
      </c>
      <c r="J208" s="20" t="s">
        <v>986</v>
      </c>
    </row>
    <row r="209" spans="1:10" ht="20.100000000000001" customHeight="1" x14ac:dyDescent="0.2">
      <c r="A209" s="81" t="str">
        <f>HYPERLINK("#A1", "▲ Back to top")</f>
        <v>▲ Back to top</v>
      </c>
      <c r="D209" s="20" t="s">
        <v>1918</v>
      </c>
      <c r="E209" s="20" t="s">
        <v>1966</v>
      </c>
      <c r="F209" s="20" t="s">
        <v>1005</v>
      </c>
      <c r="G209" s="20" t="s">
        <v>370</v>
      </c>
      <c r="H209" s="20">
        <v>0.26800000000000002</v>
      </c>
      <c r="I209" s="20" t="s">
        <v>1885</v>
      </c>
      <c r="J209" s="20" t="s">
        <v>986</v>
      </c>
    </row>
    <row r="211" spans="1:10" ht="20.100000000000001" customHeight="1" x14ac:dyDescent="0.2">
      <c r="D211" s="2" t="s">
        <v>1011</v>
      </c>
    </row>
    <row r="212" spans="1:10" ht="20.100000000000001" customHeight="1" x14ac:dyDescent="0.2">
      <c r="D212" s="20" t="s">
        <v>979</v>
      </c>
      <c r="E212" s="20" t="s">
        <v>132</v>
      </c>
      <c r="F212" s="20" t="s">
        <v>980</v>
      </c>
      <c r="G212" s="20" t="s">
        <v>981</v>
      </c>
      <c r="H212" s="20" t="s">
        <v>982</v>
      </c>
      <c r="I212" s="20" t="s">
        <v>983</v>
      </c>
      <c r="J212" s="20" t="s">
        <v>463</v>
      </c>
    </row>
    <row r="213" spans="1:10" ht="20.100000000000001" customHeight="1" x14ac:dyDescent="0.2">
      <c r="D213" s="20" t="s">
        <v>1011</v>
      </c>
      <c r="E213" s="20" t="s">
        <v>1967</v>
      </c>
      <c r="F213" s="20" t="s">
        <v>1613</v>
      </c>
      <c r="G213" s="20" t="s">
        <v>370</v>
      </c>
      <c r="H213" s="20">
        <v>1.05</v>
      </c>
      <c r="I213" s="20" t="s">
        <v>1893</v>
      </c>
      <c r="J213" s="20" t="s">
        <v>986</v>
      </c>
    </row>
    <row r="214" spans="1:10" ht="20.100000000000001" customHeight="1" x14ac:dyDescent="0.2">
      <c r="D214" s="20" t="s">
        <v>1011</v>
      </c>
      <c r="E214" s="20" t="s">
        <v>1968</v>
      </c>
      <c r="F214" s="20" t="s">
        <v>1613</v>
      </c>
      <c r="G214" s="20" t="s">
        <v>1213</v>
      </c>
      <c r="H214" s="20">
        <v>3.99</v>
      </c>
      <c r="I214" s="20" t="s">
        <v>1893</v>
      </c>
      <c r="J214" s="20" t="s">
        <v>986</v>
      </c>
    </row>
    <row r="215" spans="1:10" ht="20.100000000000001" customHeight="1" x14ac:dyDescent="0.2">
      <c r="D215" s="20" t="s">
        <v>1011</v>
      </c>
      <c r="E215" s="20" t="s">
        <v>1969</v>
      </c>
      <c r="F215" s="20" t="s">
        <v>1613</v>
      </c>
      <c r="G215" s="20" t="s">
        <v>370</v>
      </c>
      <c r="H215" s="20">
        <v>3.44</v>
      </c>
      <c r="I215" s="20" t="s">
        <v>1893</v>
      </c>
      <c r="J215" s="20" t="s">
        <v>986</v>
      </c>
    </row>
    <row r="216" spans="1:10" ht="20.100000000000001" customHeight="1" x14ac:dyDescent="0.2">
      <c r="D216" s="20" t="s">
        <v>1011</v>
      </c>
      <c r="E216" s="20" t="s">
        <v>1970</v>
      </c>
      <c r="F216" s="20" t="s">
        <v>1613</v>
      </c>
      <c r="G216" s="20" t="s">
        <v>370</v>
      </c>
      <c r="H216" s="20">
        <v>3.72</v>
      </c>
      <c r="I216" s="20" t="s">
        <v>1893</v>
      </c>
      <c r="J216" s="20" t="s">
        <v>986</v>
      </c>
    </row>
    <row r="218" spans="1:10" ht="20.100000000000001" customHeight="1" x14ac:dyDescent="0.2">
      <c r="D218" s="2" t="s">
        <v>809</v>
      </c>
    </row>
    <row r="219" spans="1:10" ht="20.100000000000001" customHeight="1" x14ac:dyDescent="0.2">
      <c r="D219" s="20" t="s">
        <v>979</v>
      </c>
      <c r="E219" s="20" t="s">
        <v>132</v>
      </c>
      <c r="F219" s="20" t="s">
        <v>980</v>
      </c>
      <c r="G219" s="20" t="s">
        <v>981</v>
      </c>
      <c r="H219" s="20" t="s">
        <v>982</v>
      </c>
      <c r="I219" s="20" t="s">
        <v>983</v>
      </c>
      <c r="J219" s="20" t="s">
        <v>463</v>
      </c>
    </row>
    <row r="220" spans="1:10" ht="20.100000000000001" customHeight="1" x14ac:dyDescent="0.2">
      <c r="D220" s="20" t="s">
        <v>809</v>
      </c>
      <c r="E220" s="20" t="s">
        <v>831</v>
      </c>
      <c r="F220" s="20" t="s">
        <v>1613</v>
      </c>
      <c r="G220" s="20" t="s">
        <v>1971</v>
      </c>
      <c r="H220" s="20">
        <v>5.2</v>
      </c>
      <c r="I220" s="20" t="s">
        <v>1885</v>
      </c>
      <c r="J220" s="20" t="s">
        <v>986</v>
      </c>
    </row>
    <row r="221" spans="1:10" ht="20.100000000000001" customHeight="1" x14ac:dyDescent="0.2">
      <c r="D221" s="20" t="s">
        <v>809</v>
      </c>
      <c r="E221" s="20" t="s">
        <v>1972</v>
      </c>
      <c r="F221" s="20" t="s">
        <v>1613</v>
      </c>
      <c r="G221" s="20" t="s">
        <v>1971</v>
      </c>
      <c r="H221" s="20">
        <v>8.3800000000000008</v>
      </c>
      <c r="I221" s="20" t="s">
        <v>1885</v>
      </c>
      <c r="J221" s="20" t="s">
        <v>986</v>
      </c>
    </row>
    <row r="222" spans="1:10" ht="20.100000000000001" customHeight="1" x14ac:dyDescent="0.2">
      <c r="D222" s="20" t="s">
        <v>809</v>
      </c>
      <c r="E222" s="20" t="s">
        <v>1973</v>
      </c>
      <c r="F222" s="20" t="s">
        <v>1613</v>
      </c>
      <c r="G222" s="20" t="s">
        <v>1971</v>
      </c>
      <c r="H222" s="20">
        <v>8.8000000000000007</v>
      </c>
      <c r="I222" s="20" t="s">
        <v>1885</v>
      </c>
      <c r="J222" s="20" t="s">
        <v>986</v>
      </c>
    </row>
    <row r="223" spans="1:10" ht="20.100000000000001" customHeight="1" x14ac:dyDescent="0.2">
      <c r="D223" s="20" t="s">
        <v>809</v>
      </c>
      <c r="E223" s="20" t="s">
        <v>828</v>
      </c>
      <c r="F223" s="20" t="s">
        <v>1613</v>
      </c>
      <c r="G223" s="20" t="s">
        <v>1971</v>
      </c>
      <c r="H223" s="20">
        <v>10.3</v>
      </c>
      <c r="I223" s="20" t="s">
        <v>1885</v>
      </c>
      <c r="J223" s="20" t="s">
        <v>986</v>
      </c>
    </row>
    <row r="224" spans="1:10" ht="20.100000000000001" customHeight="1" x14ac:dyDescent="0.2">
      <c r="D224" s="20" t="s">
        <v>809</v>
      </c>
      <c r="E224" s="20" t="s">
        <v>1974</v>
      </c>
      <c r="F224" s="20" t="s">
        <v>1613</v>
      </c>
      <c r="G224" s="20" t="s">
        <v>1971</v>
      </c>
      <c r="H224" s="20">
        <v>4.55</v>
      </c>
      <c r="I224" s="20" t="s">
        <v>1885</v>
      </c>
      <c r="J224" s="20" t="s">
        <v>986</v>
      </c>
    </row>
    <row r="225" spans="1:10" ht="20.100000000000001" customHeight="1" x14ac:dyDescent="0.2">
      <c r="D225" s="20" t="s">
        <v>809</v>
      </c>
      <c r="E225" s="20" t="s">
        <v>1975</v>
      </c>
      <c r="F225" s="20" t="s">
        <v>1613</v>
      </c>
      <c r="G225" s="20" t="s">
        <v>1971</v>
      </c>
      <c r="H225" s="20">
        <v>5.6</v>
      </c>
      <c r="I225" s="20" t="s">
        <v>1885</v>
      </c>
      <c r="J225" s="20" t="s">
        <v>986</v>
      </c>
    </row>
    <row r="226" spans="1:10" ht="20.100000000000001" customHeight="1" x14ac:dyDescent="0.2">
      <c r="D226" s="20" t="s">
        <v>809</v>
      </c>
      <c r="E226" s="20" t="s">
        <v>834</v>
      </c>
      <c r="F226" s="20" t="s">
        <v>1613</v>
      </c>
      <c r="G226" s="20" t="s">
        <v>1971</v>
      </c>
      <c r="H226" s="20">
        <v>8.06</v>
      </c>
      <c r="I226" s="20" t="s">
        <v>1885</v>
      </c>
      <c r="J226" s="20" t="s">
        <v>986</v>
      </c>
    </row>
    <row r="227" spans="1:10" ht="20.100000000000001" customHeight="1" x14ac:dyDescent="0.2">
      <c r="D227" s="20" t="s">
        <v>809</v>
      </c>
      <c r="E227" s="20" t="s">
        <v>1976</v>
      </c>
      <c r="F227" s="20" t="s">
        <v>1613</v>
      </c>
      <c r="G227" s="20" t="s">
        <v>1971</v>
      </c>
      <c r="H227" s="20">
        <v>8.8000000000000007</v>
      </c>
      <c r="I227" s="20" t="s">
        <v>1885</v>
      </c>
      <c r="J227" s="20" t="s">
        <v>986</v>
      </c>
    </row>
    <row r="228" spans="1:10" ht="20.100000000000001" customHeight="1" x14ac:dyDescent="0.2">
      <c r="D228" s="20" t="s">
        <v>809</v>
      </c>
      <c r="E228" s="20" t="s">
        <v>827</v>
      </c>
      <c r="F228" s="20" t="s">
        <v>1613</v>
      </c>
      <c r="G228" s="20" t="s">
        <v>1971</v>
      </c>
      <c r="H228" s="20">
        <v>9.16</v>
      </c>
      <c r="I228" s="20" t="s">
        <v>1885</v>
      </c>
      <c r="J228" s="20" t="s">
        <v>986</v>
      </c>
    </row>
    <row r="229" spans="1:10" ht="20.100000000000001" customHeight="1" x14ac:dyDescent="0.2">
      <c r="D229" s="20" t="s">
        <v>809</v>
      </c>
      <c r="E229" s="20" t="s">
        <v>1977</v>
      </c>
      <c r="F229" s="20" t="s">
        <v>1613</v>
      </c>
      <c r="G229" s="20" t="s">
        <v>1971</v>
      </c>
      <c r="H229" s="20">
        <v>8.57</v>
      </c>
      <c r="I229" s="20" t="s">
        <v>1885</v>
      </c>
      <c r="J229" s="20" t="s">
        <v>986</v>
      </c>
    </row>
    <row r="230" spans="1:10" ht="20.100000000000001" customHeight="1" x14ac:dyDescent="0.2">
      <c r="D230" s="20" t="s">
        <v>809</v>
      </c>
      <c r="E230" s="20" t="s">
        <v>832</v>
      </c>
      <c r="F230" s="20" t="s">
        <v>1613</v>
      </c>
      <c r="G230" s="20" t="s">
        <v>1971</v>
      </c>
      <c r="H230" s="20">
        <v>8.8000000000000007</v>
      </c>
      <c r="I230" s="20" t="s">
        <v>1885</v>
      </c>
      <c r="J230" s="20" t="s">
        <v>986</v>
      </c>
    </row>
    <row r="231" spans="1:10" ht="20.100000000000001" customHeight="1" x14ac:dyDescent="0.2">
      <c r="D231" s="20" t="s">
        <v>809</v>
      </c>
      <c r="E231" s="20" t="s">
        <v>835</v>
      </c>
      <c r="F231" s="20" t="s">
        <v>1613</v>
      </c>
      <c r="G231" s="20" t="s">
        <v>1971</v>
      </c>
      <c r="H231" s="20">
        <v>6.16</v>
      </c>
      <c r="I231" s="20" t="s">
        <v>1885</v>
      </c>
      <c r="J231" s="20" t="s">
        <v>986</v>
      </c>
    </row>
    <row r="233" spans="1:10" ht="20.100000000000001" customHeight="1" x14ac:dyDescent="0.2">
      <c r="D233" s="2" t="s">
        <v>1012</v>
      </c>
    </row>
    <row r="234" spans="1:10" ht="20.100000000000001" customHeight="1" x14ac:dyDescent="0.2">
      <c r="D234" s="20" t="s">
        <v>979</v>
      </c>
      <c r="E234" s="20" t="s">
        <v>132</v>
      </c>
      <c r="F234" s="20" t="s">
        <v>980</v>
      </c>
      <c r="G234" s="20" t="s">
        <v>981</v>
      </c>
      <c r="H234" s="20" t="s">
        <v>982</v>
      </c>
      <c r="I234" s="20" t="s">
        <v>983</v>
      </c>
      <c r="J234" s="20" t="s">
        <v>463</v>
      </c>
    </row>
    <row r="235" spans="1:10" ht="20.100000000000001" customHeight="1" x14ac:dyDescent="0.2">
      <c r="D235" s="20" t="s">
        <v>1012</v>
      </c>
      <c r="E235" s="20" t="s">
        <v>1978</v>
      </c>
      <c r="F235" s="20" t="s">
        <v>1005</v>
      </c>
      <c r="G235" s="20" t="s">
        <v>370</v>
      </c>
      <c r="H235" s="20">
        <v>6.5199999999999994E-2</v>
      </c>
      <c r="I235" s="20" t="s">
        <v>1885</v>
      </c>
      <c r="J235" s="20" t="s">
        <v>986</v>
      </c>
    </row>
    <row r="236" spans="1:10" ht="20.100000000000001" customHeight="1" x14ac:dyDescent="0.2">
      <c r="D236" s="20" t="s">
        <v>1012</v>
      </c>
      <c r="E236" s="20" t="s">
        <v>1626</v>
      </c>
      <c r="F236" s="20" t="s">
        <v>1005</v>
      </c>
      <c r="G236" s="20" t="s">
        <v>370</v>
      </c>
      <c r="H236" s="20">
        <v>6.5199999999999994E-2</v>
      </c>
      <c r="I236" s="20" t="s">
        <v>1885</v>
      </c>
      <c r="J236" s="20" t="s">
        <v>986</v>
      </c>
    </row>
    <row r="237" spans="1:10" ht="20.100000000000001" customHeight="1" x14ac:dyDescent="0.2">
      <c r="D237" s="20" t="s">
        <v>1012</v>
      </c>
      <c r="E237" s="20" t="s">
        <v>1979</v>
      </c>
      <c r="F237" s="20" t="s">
        <v>1005</v>
      </c>
      <c r="G237" s="20" t="s">
        <v>370</v>
      </c>
      <c r="H237" s="20">
        <v>4.8500000000000001E-2</v>
      </c>
      <c r="I237" s="20" t="s">
        <v>1885</v>
      </c>
      <c r="J237" s="20" t="s">
        <v>986</v>
      </c>
    </row>
    <row r="239" spans="1:10" ht="20.100000000000001" customHeight="1" x14ac:dyDescent="0.2">
      <c r="A239" s="81" t="str">
        <f>HYPERLINK("#A1", "▲ Back to top")</f>
        <v>▲ Back to top</v>
      </c>
    </row>
    <row r="240" spans="1:10" ht="20.100000000000001" customHeight="1" x14ac:dyDescent="0.2">
      <c r="D240" s="2" t="s">
        <v>1013</v>
      </c>
    </row>
    <row r="241" spans="4:18" ht="20.100000000000001" customHeight="1" x14ac:dyDescent="0.2">
      <c r="D241" s="20" t="s">
        <v>979</v>
      </c>
      <c r="E241" s="20" t="s">
        <v>132</v>
      </c>
      <c r="F241" s="20" t="s">
        <v>980</v>
      </c>
      <c r="G241" s="20" t="s">
        <v>981</v>
      </c>
      <c r="H241" s="20" t="s">
        <v>982</v>
      </c>
      <c r="I241" s="20" t="s">
        <v>983</v>
      </c>
      <c r="J241" s="20" t="s">
        <v>463</v>
      </c>
      <c r="L241" s="20" t="s">
        <v>132</v>
      </c>
      <c r="M241" s="20" t="s">
        <v>984</v>
      </c>
      <c r="N241" s="1" t="str">
        <f>"Table_ProductRegions_" &amp; SUBSTITUTE(SUBSTITUTE(SUBSTITUTE(SUBSTITUTE(L242, " ", ""), ",", ""), "(", ""), ")", "")</f>
        <v>Table_ProductRegions_Sardineswhole</v>
      </c>
      <c r="R241" s="1"/>
    </row>
    <row r="242" spans="4:18" ht="20.100000000000001" customHeight="1" x14ac:dyDescent="0.2">
      <c r="D242" s="20" t="s">
        <v>1980</v>
      </c>
      <c r="E242" s="20" t="s">
        <v>1981</v>
      </c>
      <c r="F242" s="20" t="s">
        <v>989</v>
      </c>
      <c r="G242" s="20" t="s">
        <v>370</v>
      </c>
      <c r="H242" s="20">
        <v>0.376</v>
      </c>
      <c r="I242" s="20" t="s">
        <v>1885</v>
      </c>
      <c r="J242" s="20" t="s">
        <v>986</v>
      </c>
      <c r="L242" s="20" t="str">
        <f>Table_SourceData_Scope3_FishFeedAndBait[[#This Row],[Product]]</f>
        <v>Sardines (whole)</v>
      </c>
      <c r="M242" s="20" t="str">
        <f>Table_SourceData_Scope3_FishFeedAndBait[[#This Row],[Region of origin]]</f>
        <v>SA</v>
      </c>
      <c r="R242" s="1"/>
    </row>
    <row r="243" spans="4:18" ht="20.100000000000001" customHeight="1" x14ac:dyDescent="0.2">
      <c r="D243" s="20" t="s">
        <v>1013</v>
      </c>
      <c r="E243" s="20" t="s">
        <v>1981</v>
      </c>
      <c r="F243" s="20" t="s">
        <v>1005</v>
      </c>
      <c r="G243" s="20" t="s">
        <v>370</v>
      </c>
      <c r="H243" s="20">
        <v>0.3</v>
      </c>
      <c r="I243" s="20" t="s">
        <v>1982</v>
      </c>
      <c r="J243" s="20" t="s">
        <v>1014</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20" t="s">
        <v>1013</v>
      </c>
      <c r="E244" s="20" t="s">
        <v>1983</v>
      </c>
      <c r="F244" s="20" t="s">
        <v>1005</v>
      </c>
      <c r="G244" s="20" t="s">
        <v>370</v>
      </c>
      <c r="H244" s="20">
        <v>2.2000000000000002</v>
      </c>
      <c r="I244" s="20" t="s">
        <v>1982</v>
      </c>
      <c r="J244" s="20" t="s">
        <v>1014</v>
      </c>
      <c r="R244" s="1"/>
    </row>
    <row r="245" spans="4:18" ht="20.100000000000001" customHeight="1" x14ac:dyDescent="0.2">
      <c r="D245" s="20" t="s">
        <v>1013</v>
      </c>
      <c r="E245" s="20" t="s">
        <v>1984</v>
      </c>
      <c r="F245" s="20" t="s">
        <v>1005</v>
      </c>
      <c r="G245" s="20" t="s">
        <v>370</v>
      </c>
      <c r="H245" s="20">
        <v>0.3</v>
      </c>
      <c r="I245" s="20" t="s">
        <v>1982</v>
      </c>
      <c r="J245" s="20" t="s">
        <v>1014</v>
      </c>
      <c r="R245" s="1"/>
    </row>
    <row r="246" spans="4:18" ht="20.100000000000001" customHeight="1" x14ac:dyDescent="0.2">
      <c r="D246" s="20" t="s">
        <v>1013</v>
      </c>
      <c r="E246" s="20" t="s">
        <v>1985</v>
      </c>
      <c r="F246" s="20" t="s">
        <v>1005</v>
      </c>
      <c r="G246" s="20" t="s">
        <v>370</v>
      </c>
      <c r="H246" s="20">
        <v>0.3</v>
      </c>
      <c r="I246" s="20" t="s">
        <v>1982</v>
      </c>
      <c r="J246" s="20" t="s">
        <v>1014</v>
      </c>
      <c r="R246" s="1"/>
    </row>
    <row r="247" spans="4:18" ht="20.100000000000001" customHeight="1" x14ac:dyDescent="0.2">
      <c r="D247" s="20" t="s">
        <v>1013</v>
      </c>
      <c r="E247" s="20" t="s">
        <v>1986</v>
      </c>
      <c r="F247" s="20" t="s">
        <v>1005</v>
      </c>
      <c r="G247" s="20" t="s">
        <v>370</v>
      </c>
      <c r="H247" s="20">
        <v>0.08</v>
      </c>
      <c r="I247" s="20" t="s">
        <v>1982</v>
      </c>
      <c r="J247" s="20" t="s">
        <v>1014</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4F0D8-99E7-480D-B835-D7C22C43ABD2}">
  <sheetPr>
    <tabColor theme="2" tint="-0.499984740745262"/>
  </sheetPr>
  <dimension ref="A1:AI68"/>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697</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EI")</f>
        <v>Results - Product EI</v>
      </c>
      <c r="D5" s="2" t="s">
        <v>1987</v>
      </c>
    </row>
    <row r="6" spans="1:35" ht="20.100000000000001" customHeight="1" x14ac:dyDescent="0.2">
      <c r="D6" s="17" t="s">
        <v>1988</v>
      </c>
    </row>
    <row r="7" spans="1:35" ht="20.100000000000001" customHeight="1" x14ac:dyDescent="0.2">
      <c r="D7" s="26" t="s">
        <v>1989</v>
      </c>
    </row>
    <row r="8" spans="1:35" ht="20.100000000000001" customHeight="1" x14ac:dyDescent="0.2">
      <c r="A8" s="7" t="s">
        <v>0</v>
      </c>
      <c r="D8" s="26" t="s">
        <v>1990</v>
      </c>
    </row>
    <row r="9" spans="1:35" ht="20.100000000000001" customHeight="1" x14ac:dyDescent="0.2">
      <c r="A9" s="5" t="str">
        <f>HYPERLINK("#'Input - Enterprise'!A1", "Enterprise")</f>
        <v>Enterprise</v>
      </c>
      <c r="D9" s="26" t="s">
        <v>1991</v>
      </c>
    </row>
    <row r="10" spans="1:35" ht="20.100000000000001" customHeight="1" x14ac:dyDescent="0.2">
      <c r="A10" s="5" t="str">
        <f>HYPERLINK("#'Input - Site'!A1", "Site")</f>
        <v>Site</v>
      </c>
      <c r="D10" s="26" t="s">
        <v>1992</v>
      </c>
    </row>
    <row r="11" spans="1:35" ht="20.100000000000001" customHeight="1" x14ac:dyDescent="0.2">
      <c r="A11" s="5" t="str">
        <f>HYPERLINK("#'Input - Crop'!A1", "Crop")</f>
        <v>Crop</v>
      </c>
      <c r="D11" s="26" t="s">
        <v>1993</v>
      </c>
    </row>
    <row r="12" spans="1:35" ht="20.100000000000001" customHeight="1" x14ac:dyDescent="0.2">
      <c r="A12" s="5" t="str">
        <f>HYPERLINK("#'Input - Fert Prod System'!A1", "Fert Prod System")</f>
        <v>Fert Prod System</v>
      </c>
      <c r="D12" s="26" t="s">
        <v>1994</v>
      </c>
    </row>
    <row r="13" spans="1:35" ht="20.100000000000001" customHeight="1" x14ac:dyDescent="0.2">
      <c r="A13" s="5" t="str">
        <f>HYPERLINK("#'Input - Fertiliser'!A1", "Fertiliser")</f>
        <v>Fertiliser</v>
      </c>
      <c r="D13" s="26" t="s">
        <v>1995</v>
      </c>
    </row>
    <row r="14" spans="1:35" ht="20.100000000000001" customHeight="1" x14ac:dyDescent="0.2">
      <c r="A14" s="5" t="str">
        <f>HYPERLINK("#'Input - Fuel'!A1", "Fuel")</f>
        <v>Fuel</v>
      </c>
      <c r="D14" s="1" t="s">
        <v>704</v>
      </c>
    </row>
    <row r="15" spans="1:35" ht="20.100000000000001" customHeight="1" x14ac:dyDescent="0.2">
      <c r="A15" s="5" t="str">
        <f>HYPERLINK("#'Input - Electricity'!A1", "Electricity")</f>
        <v>Electricity</v>
      </c>
      <c r="D15" s="9" t="s">
        <v>1996</v>
      </c>
      <c r="I15" s="1" t="s">
        <v>698</v>
      </c>
      <c r="K15" s="1" t="s">
        <v>699</v>
      </c>
      <c r="M15" s="1" t="s">
        <v>700</v>
      </c>
      <c r="O15" s="1" t="s">
        <v>701</v>
      </c>
    </row>
    <row r="16" spans="1:35" ht="20.100000000000001" customHeight="1" x14ac:dyDescent="0.2">
      <c r="A16" s="5" t="str">
        <f>HYPERLINK("#'Input - Common farm inputs'!A1", "Common farm inputs")</f>
        <v>Common farm inputs</v>
      </c>
      <c r="D16" s="20" t="s">
        <v>702</v>
      </c>
      <c r="E16" s="20" t="s">
        <v>703</v>
      </c>
      <c r="F16" s="20" t="s">
        <v>704</v>
      </c>
      <c r="G16" s="20" t="s">
        <v>705</v>
      </c>
      <c r="I16" s="20" t="s">
        <v>703</v>
      </c>
      <c r="K16" s="218" t="s">
        <v>703</v>
      </c>
      <c r="M16" s="218" t="s">
        <v>703</v>
      </c>
      <c r="O16" s="218" t="s">
        <v>703</v>
      </c>
    </row>
    <row r="17" spans="1:15" ht="20.100000000000001" customHeight="1" x14ac:dyDescent="0.2">
      <c r="A17" s="5" t="str">
        <f>HYPERLINK("#'Input - Crop pasture farm input'!A1", "Crop pasture farm input")</f>
        <v>Crop pasture farm input</v>
      </c>
      <c r="D17" s="20" t="s">
        <v>657</v>
      </c>
      <c r="E17" s="20" t="s">
        <v>654</v>
      </c>
      <c r="F17" s="20">
        <v>2.1</v>
      </c>
      <c r="G17" s="20" t="s">
        <v>1997</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
        <v>657</v>
      </c>
      <c r="E18" s="20" t="s">
        <v>648</v>
      </c>
      <c r="F18" s="20">
        <v>3.3</v>
      </c>
      <c r="G18" s="20" t="s">
        <v>1997</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
        <v>657</v>
      </c>
      <c r="E19" s="20" t="s">
        <v>666</v>
      </c>
      <c r="F19" s="20">
        <v>1.6</v>
      </c>
      <c r="G19" s="20" t="s">
        <v>1997</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Data quality'!A1", "Data quality")</f>
        <v>Data quality</v>
      </c>
      <c r="D20" s="1" t="s">
        <v>657</v>
      </c>
      <c r="E20" s="20" t="s">
        <v>1998</v>
      </c>
      <c r="F20" s="20">
        <v>0.7</v>
      </c>
      <c r="G20" s="20" t="s">
        <v>1997</v>
      </c>
      <c r="I20" s="20" t="str">
        <f>Table_SourceData_WasteSolid_WasteTreatmentEFs[[#This Row],[Waste type w]]</f>
        <v>Wood</v>
      </c>
      <c r="K20" s="1" t="str">
        <f t="shared" si="0"/>
        <v>Sludge</v>
      </c>
      <c r="M20" s="1" t="str">
        <f>E43</f>
        <v>Sludge</v>
      </c>
      <c r="O20" s="1" t="str">
        <f>E49</f>
        <v>Sludge</v>
      </c>
    </row>
    <row r="21" spans="1:15" ht="20.100000000000001" customHeight="1" x14ac:dyDescent="0.2">
      <c r="D21" s="1" t="s">
        <v>657</v>
      </c>
      <c r="E21" s="20" t="s">
        <v>1999</v>
      </c>
      <c r="F21" s="20">
        <v>2</v>
      </c>
      <c r="G21" s="20" t="s">
        <v>1997</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D22" s="1" t="s">
        <v>657</v>
      </c>
      <c r="E22" s="20" t="s">
        <v>2000</v>
      </c>
      <c r="F22" s="20">
        <v>0.4</v>
      </c>
      <c r="G22" s="20" t="s">
        <v>1997</v>
      </c>
      <c r="I22" s="20" t="str">
        <f>Table_SourceData_WasteSolid_WasteTreatmentEFs[[#This Row],[Waste type w]]</f>
        <v>Sludge</v>
      </c>
      <c r="K22" s="1" t="str">
        <f t="shared" si="0"/>
        <v>Textiles</v>
      </c>
    </row>
    <row r="23" spans="1:15" ht="20.100000000000001" customHeight="1" x14ac:dyDescent="0.2">
      <c r="A23" s="6" t="s">
        <v>2</v>
      </c>
      <c r="D23" s="1" t="s">
        <v>657</v>
      </c>
      <c r="E23" s="20" t="s">
        <v>2001</v>
      </c>
      <c r="F23" s="20">
        <v>3.3</v>
      </c>
      <c r="G23" s="20" t="s">
        <v>1997</v>
      </c>
      <c r="I23" s="20" t="str">
        <f>Table_SourceData_WasteSolid_WasteTreatmentEFs[[#This Row],[Waste type w]]</f>
        <v>Rubber and leather</v>
      </c>
      <c r="K23" s="1" t="str">
        <f t="shared" si="0"/>
        <v>Rubber and leather</v>
      </c>
    </row>
    <row r="24" spans="1:15" ht="20.100000000000001" customHeight="1" x14ac:dyDescent="0.2">
      <c r="A24" s="5" t="str">
        <f>HYPERLINK("#'5.1.1.1-2 Inorganic fert N2O'!A1", "5.1.1.1-2 Inorganic fert N2O")</f>
        <v>5.1.1.1-2 Inorganic fert N2O</v>
      </c>
      <c r="D24" s="1" t="s">
        <v>657</v>
      </c>
      <c r="E24" s="20" t="s">
        <v>2002</v>
      </c>
      <c r="F24" s="20">
        <v>0</v>
      </c>
      <c r="G24" s="20" t="s">
        <v>1997</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HYPERLINK("#'5.1.1.3-4 Inorganic fert CO2'!A1", "5.1.1.3-4 Inorganic fert CO2")</f>
        <v>5.1.1.3-4 Inorganic fert CO2</v>
      </c>
      <c r="D25" s="1" t="s">
        <v>657</v>
      </c>
      <c r="E25" s="20" t="s">
        <v>2003</v>
      </c>
      <c r="F25" s="20">
        <v>1.6</v>
      </c>
      <c r="G25" s="20" t="s">
        <v>1997</v>
      </c>
      <c r="I25" s="20" t="str">
        <f>Table_SourceData_WasteSolid_WasteTreatmentEFs[[#This Row],[Waste type w]]</f>
        <v>Municipal solid waste</v>
      </c>
      <c r="K25" s="1" t="str">
        <f t="shared" si="0"/>
        <v>Municipal solid waste</v>
      </c>
    </row>
    <row r="26" spans="1:15" ht="20.100000000000001" customHeight="1" x14ac:dyDescent="0.2">
      <c r="A26" s="5" t="str">
        <f>HYPERLINK("#'5.2.1.1-2 Organic Fert N2O'!A1", "5.2.1.1-2 Organic fert N2O")</f>
        <v>5.2.1.1-2 Organic fert N2O</v>
      </c>
      <c r="D26" s="1" t="s">
        <v>657</v>
      </c>
      <c r="E26" s="20" t="s">
        <v>2004</v>
      </c>
      <c r="F26" s="20">
        <v>1.3</v>
      </c>
      <c r="G26" s="20" t="s">
        <v>1997</v>
      </c>
      <c r="I26" s="20" t="str">
        <f>Table_SourceData_WasteSolid_WasteTreatmentEFs[[#This Row],[Waste type w]]</f>
        <v>Commercial and industrial waste</v>
      </c>
      <c r="K26" s="1" t="str">
        <f t="shared" si="0"/>
        <v>Commercial and industrial waste</v>
      </c>
    </row>
    <row r="27" spans="1:15" ht="20.100000000000001" customHeight="1" x14ac:dyDescent="0.2">
      <c r="A27" s="5" t="str">
        <f>HYPERLINK("#'5.3.1.1-2 Lime CO2'!A1", "5.3.1.1-2 Lime CO2")</f>
        <v>5.3.1.1-2 Lime CO2</v>
      </c>
      <c r="D27" s="1" t="s">
        <v>657</v>
      </c>
      <c r="E27" s="20" t="s">
        <v>2005</v>
      </c>
      <c r="F27" s="20">
        <v>0.2</v>
      </c>
      <c r="G27" s="20" t="s">
        <v>1997</v>
      </c>
      <c r="I27" s="20" t="str">
        <f>Table_SourceData_WasteSolid_WasteTreatmentEFs[[#This Row],[Waste type w]]</f>
        <v>Construction and demolition waste</v>
      </c>
    </row>
    <row r="28" spans="1:15" ht="20.100000000000001" customHeight="1" x14ac:dyDescent="0.2">
      <c r="A28" s="5" t="str">
        <f>HYPERLINK("#'5.4.1.1-4 Atmos deposition'!A1", "5.4.1.1-4 Atmos. deposition")</f>
        <v>5.4.1.1-4 Atmos. deposition</v>
      </c>
      <c r="D28" s="1" t="s">
        <v>671</v>
      </c>
      <c r="E28" s="20" t="s">
        <v>2006</v>
      </c>
      <c r="F28" s="20">
        <v>0</v>
      </c>
      <c r="G28" s="20"/>
    </row>
    <row r="29" spans="1:15" ht="20.100000000000001" customHeight="1" x14ac:dyDescent="0.2">
      <c r="A29" s="5" t="str">
        <f>HYPERLINK("#'5.5.1.1-2 Leaching and runoff'!A1", "5.5.1.1-2 Leaching &amp; runoff")</f>
        <v>5.5.1.1-2 Leaching &amp; runoff</v>
      </c>
      <c r="D29" s="1" t="s">
        <v>671</v>
      </c>
      <c r="E29" s="20" t="s">
        <v>654</v>
      </c>
      <c r="F29" s="20">
        <v>0</v>
      </c>
      <c r="G29" s="20"/>
    </row>
    <row r="30" spans="1:15" ht="20.100000000000001" customHeight="1" x14ac:dyDescent="0.2">
      <c r="A30" s="5" t="str">
        <f>HYPERLINK("#'6.1.1.1-2 Crop residue N2O'!A1", "6.1.1.1-2 Crop residue N2O")</f>
        <v>6.1.1.1-2 Crop residue N2O</v>
      </c>
      <c r="D30" s="1" t="s">
        <v>671</v>
      </c>
      <c r="E30" s="20" t="s">
        <v>666</v>
      </c>
      <c r="F30" s="20">
        <v>0</v>
      </c>
      <c r="G30" s="20"/>
    </row>
    <row r="31" spans="1:15" ht="20.100000000000001" customHeight="1" x14ac:dyDescent="0.2">
      <c r="A31" s="5" t="str">
        <f>HYPERLINK("#'6.3.1.1-2 Leach runoff crop'!A1", "6.3.1.1-2 Leach &amp; runoff (crop)")</f>
        <v>6.3.1.1-2 Leach &amp; runoff (crop)</v>
      </c>
      <c r="D31" s="1" t="s">
        <v>671</v>
      </c>
      <c r="E31" s="20" t="s">
        <v>1998</v>
      </c>
      <c r="F31" s="20">
        <v>0</v>
      </c>
      <c r="G31" s="20"/>
    </row>
    <row r="32" spans="1:15" ht="20.100000000000001" customHeight="1" x14ac:dyDescent="0.2">
      <c r="A32" s="5" t="str">
        <f>HYPERLINK("#'6.4.1.1-2 Residue burning'!A1", "6.4.1.1-2 Residue burning")</f>
        <v>6.4.1.1-2 Residue burning</v>
      </c>
      <c r="D32" s="1" t="s">
        <v>671</v>
      </c>
      <c r="E32" s="20" t="s">
        <v>2000</v>
      </c>
      <c r="F32" s="20">
        <v>0</v>
      </c>
      <c r="G32" s="20"/>
    </row>
    <row r="33" spans="1:7" ht="20.100000000000001" customHeight="1" x14ac:dyDescent="0.2">
      <c r="A33" s="5" t="str">
        <f>HYPERLINK("#'8.1.1.1-2 Transport fuel'!A1", "8.1.1.1-2 Transport fuel")</f>
        <v>8.1.1.1-2 Transport fuel</v>
      </c>
      <c r="D33" s="1" t="s">
        <v>671</v>
      </c>
      <c r="E33" s="20" t="s">
        <v>648</v>
      </c>
      <c r="F33" s="20">
        <v>1.6899999999999998E-2</v>
      </c>
      <c r="G33" s="20"/>
    </row>
    <row r="34" spans="1:7" ht="20.100000000000001" customHeight="1" x14ac:dyDescent="0.2">
      <c r="A34" s="5" t="str">
        <f>HYPERLINK("#'8.2.1.1-2 Stationary fuel'!A1", "8.2.1.1-2 Stationary fuel")</f>
        <v>8.2.1.1-2 Stationary fuel</v>
      </c>
      <c r="D34" s="1" t="s">
        <v>671</v>
      </c>
      <c r="E34" s="20" t="s">
        <v>1999</v>
      </c>
      <c r="F34" s="20">
        <v>0.36670000000000003</v>
      </c>
      <c r="G34" s="20"/>
    </row>
    <row r="35" spans="1:7" ht="20.100000000000001" customHeight="1" x14ac:dyDescent="0.2">
      <c r="A35" s="5" t="str">
        <f>HYPERLINK("#'10.1.1-2 Solid waste treatment'!A1", "10.1.1.1-2 Solid waste")</f>
        <v>10.1.1.1-2 Solid waste</v>
      </c>
      <c r="D35" s="1" t="s">
        <v>671</v>
      </c>
      <c r="E35" s="20" t="s">
        <v>2001</v>
      </c>
      <c r="F35" s="20">
        <v>0.4919</v>
      </c>
      <c r="G35" s="20"/>
    </row>
    <row r="36" spans="1:7" ht="20.100000000000001" customHeight="1" x14ac:dyDescent="0.2">
      <c r="A36" s="5" t="str">
        <f>HYPERLINK("#'14.1.1-2 Purchased electricity'!A1", "14.1.1-2 Purchased electricity")</f>
        <v>14.1.1-2 Purchased electricity</v>
      </c>
      <c r="D36" s="1" t="s">
        <v>671</v>
      </c>
      <c r="E36" s="20" t="s">
        <v>2002</v>
      </c>
      <c r="F36" s="20">
        <v>0.11</v>
      </c>
      <c r="G36" s="20"/>
    </row>
    <row r="37" spans="1:7" ht="20.100000000000001" customHeight="1" x14ac:dyDescent="0.2">
      <c r="A37" s="5" t="str">
        <f>HYPERLINK("#'15 Scope 3'!A1", "15 Scope 3")</f>
        <v>15 Scope 3</v>
      </c>
      <c r="D37" s="1" t="s">
        <v>671</v>
      </c>
      <c r="E37" s="20" t="s">
        <v>2003</v>
      </c>
      <c r="F37" s="20">
        <v>5.3699999999999998E-2</v>
      </c>
      <c r="G37" s="219" t="s">
        <v>2007</v>
      </c>
    </row>
    <row r="38" spans="1:7" ht="20.100000000000001" customHeight="1" x14ac:dyDescent="0.2">
      <c r="D38" s="1" t="s">
        <v>671</v>
      </c>
      <c r="E38" s="20" t="s">
        <v>2004</v>
      </c>
      <c r="F38" s="20">
        <v>1.649</v>
      </c>
      <c r="G38" s="219" t="s">
        <v>2007</v>
      </c>
    </row>
    <row r="39" spans="1:7" ht="20.100000000000001" customHeight="1" x14ac:dyDescent="0.2">
      <c r="D39" s="1" t="s">
        <v>647</v>
      </c>
      <c r="E39" s="20" t="s">
        <v>2008</v>
      </c>
      <c r="F39" s="20">
        <v>4.5999999999999999E-2</v>
      </c>
      <c r="G39" s="219" t="s">
        <v>2009</v>
      </c>
    </row>
    <row r="40" spans="1:7" ht="20.100000000000001" customHeight="1" x14ac:dyDescent="0.2">
      <c r="A40" s="82" t="s">
        <v>1</v>
      </c>
      <c r="D40" s="1" t="s">
        <v>647</v>
      </c>
      <c r="E40" s="20" t="s">
        <v>654</v>
      </c>
      <c r="F40" s="20">
        <v>4.5999999999999999E-2</v>
      </c>
      <c r="G40" s="219"/>
    </row>
    <row r="41" spans="1:7" ht="20.100000000000001" customHeight="1" x14ac:dyDescent="0.2">
      <c r="A41" s="5" t="str">
        <f>HYPERLINK("#'Constants - Ag Residue'!A1", "Constants - Ag residue")</f>
        <v>Constants - Ag residue</v>
      </c>
      <c r="D41" s="1" t="s">
        <v>647</v>
      </c>
      <c r="E41" s="20" t="s">
        <v>666</v>
      </c>
      <c r="F41" s="20">
        <v>4.5999999999999999E-2</v>
      </c>
      <c r="G41" s="219"/>
    </row>
    <row r="42" spans="1:7" ht="20.100000000000001" customHeight="1" x14ac:dyDescent="0.2">
      <c r="A42" s="5" t="str">
        <f>HYPERLINK("#'Constants - Electricity'!A1", "Constants - Electricity")</f>
        <v>Constants - Electricity</v>
      </c>
      <c r="D42" s="1" t="s">
        <v>647</v>
      </c>
      <c r="E42" s="20" t="s">
        <v>1998</v>
      </c>
      <c r="F42" s="20">
        <v>4.5999999999999999E-2</v>
      </c>
      <c r="G42" s="219"/>
    </row>
    <row r="43" spans="1:7" ht="20.100000000000001" customHeight="1" x14ac:dyDescent="0.2">
      <c r="A43" s="5" t="str">
        <f>HYPERLINK("#'Constants - Fertiliser'!A1", "Constants - Fertiliser")</f>
        <v>Constants - Fertiliser</v>
      </c>
      <c r="D43" s="1" t="s">
        <v>647</v>
      </c>
      <c r="E43" s="20" t="s">
        <v>2000</v>
      </c>
      <c r="F43" s="20">
        <v>4.5999999999999999E-2</v>
      </c>
      <c r="G43" s="219"/>
    </row>
    <row r="44" spans="1:7" ht="20.100000000000001" customHeight="1" x14ac:dyDescent="0.2">
      <c r="A44" s="5" t="str">
        <f>HYPERLINK("#'Constants - Fuel'!A1", "Constants - Fuel")</f>
        <v>Constants - Fuel</v>
      </c>
      <c r="D44" s="1" t="s">
        <v>647</v>
      </c>
      <c r="E44" s="20" t="s">
        <v>648</v>
      </c>
      <c r="F44" s="20">
        <v>4.5999999999999999E-2</v>
      </c>
      <c r="G44" s="219"/>
    </row>
    <row r="45" spans="1:7" ht="20.100000000000001" customHeight="1" x14ac:dyDescent="0.2">
      <c r="A45" s="5" t="str">
        <f>HYPERLINK("#'Constants - Scope 3'!A1", "Constants - Scope 3")</f>
        <v>Constants - Scope 3</v>
      </c>
      <c r="D45" s="1" t="s">
        <v>2010</v>
      </c>
      <c r="E45" s="20" t="s">
        <v>2008</v>
      </c>
      <c r="F45" s="20">
        <v>2.8000000000000001E-2</v>
      </c>
      <c r="G45" s="219" t="s">
        <v>2009</v>
      </c>
    </row>
    <row r="46" spans="1:7" ht="20.100000000000001" customHeight="1" x14ac:dyDescent="0.2">
      <c r="A46" s="83" t="str">
        <f>HYPERLINK("#'Constants - Solid Waste'!A1", "Constants - Solid Waste")</f>
        <v>Constants - Solid Waste</v>
      </c>
      <c r="D46" s="1" t="s">
        <v>2010</v>
      </c>
      <c r="E46" s="20" t="s">
        <v>654</v>
      </c>
      <c r="F46" s="20">
        <v>2.8000000000000001E-2</v>
      </c>
      <c r="G46" s="219"/>
    </row>
    <row r="47" spans="1:7" ht="20.100000000000001" customHeight="1" x14ac:dyDescent="0.2">
      <c r="A47" s="5" t="str">
        <f>HYPERLINK("#'Constants - Common'!A1", "Constants - Common")</f>
        <v>Constants - Common</v>
      </c>
      <c r="D47" s="1" t="s">
        <v>2010</v>
      </c>
      <c r="E47" s="20" t="s">
        <v>666</v>
      </c>
      <c r="F47" s="20">
        <v>2.8000000000000001E-2</v>
      </c>
      <c r="G47" s="219"/>
    </row>
    <row r="48" spans="1:7" ht="20.100000000000001" customHeight="1" x14ac:dyDescent="0.2">
      <c r="A48" s="5" t="str">
        <f>HYPERLINK("#'Constants - Common Livestock'!A1", "Constants - Common Livestock")</f>
        <v>Constants - Common Livestock</v>
      </c>
      <c r="D48" s="1" t="s">
        <v>2010</v>
      </c>
      <c r="E48" s="20" t="s">
        <v>1998</v>
      </c>
      <c r="F48" s="20">
        <v>2.8000000000000001E-2</v>
      </c>
      <c r="G48" s="219"/>
    </row>
    <row r="49" spans="1:7" ht="20.100000000000001" customHeight="1" x14ac:dyDescent="0.2">
      <c r="D49" s="1" t="s">
        <v>2010</v>
      </c>
      <c r="E49" s="20" t="s">
        <v>2000</v>
      </c>
      <c r="F49" s="20">
        <v>2.8000000000000001E-2</v>
      </c>
      <c r="G49" s="219"/>
    </row>
    <row r="50" spans="1:7" ht="20.100000000000001" customHeight="1" x14ac:dyDescent="0.2">
      <c r="D50" s="1" t="s">
        <v>2010</v>
      </c>
      <c r="E50" s="20" t="s">
        <v>648</v>
      </c>
      <c r="F50" s="20">
        <v>2.8000000000000001E-2</v>
      </c>
      <c r="G50" s="219"/>
    </row>
    <row r="52" spans="1:7" ht="20.100000000000001" customHeight="1" x14ac:dyDescent="0.2">
      <c r="D52" s="2" t="s">
        <v>2011</v>
      </c>
    </row>
    <row r="53" spans="1:7" ht="20.100000000000001" customHeight="1" x14ac:dyDescent="0.2">
      <c r="D53" s="17" t="s">
        <v>2012</v>
      </c>
    </row>
    <row r="54" spans="1:7" ht="20.100000000000001" customHeight="1" x14ac:dyDescent="0.2">
      <c r="D54" s="26" t="s">
        <v>2013</v>
      </c>
    </row>
    <row r="55" spans="1:7" ht="20.100000000000001" customHeight="1" x14ac:dyDescent="0.2">
      <c r="D55" s="1" t="s">
        <v>706</v>
      </c>
    </row>
    <row r="56" spans="1:7" ht="20.100000000000001" customHeight="1" x14ac:dyDescent="0.2">
      <c r="D56" s="9" t="s">
        <v>1314</v>
      </c>
    </row>
    <row r="57" spans="1:7" ht="20.100000000000001" customHeight="1" x14ac:dyDescent="0.2">
      <c r="D57" s="20" t="s">
        <v>703</v>
      </c>
      <c r="E57" s="20" t="s">
        <v>706</v>
      </c>
    </row>
    <row r="58" spans="1:7" ht="20.100000000000001" customHeight="1" x14ac:dyDescent="0.2">
      <c r="D58" s="20" t="s">
        <v>654</v>
      </c>
      <c r="E58" s="20">
        <v>0.5</v>
      </c>
    </row>
    <row r="59" spans="1:7" ht="20.100000000000001" customHeight="1" x14ac:dyDescent="0.2">
      <c r="A59" s="81" t="str">
        <f>HYPERLINK("#A1", "▲ Back to top")</f>
        <v>▲ Back to top</v>
      </c>
      <c r="D59" s="1" t="s">
        <v>648</v>
      </c>
      <c r="E59" s="20">
        <v>0.09</v>
      </c>
    </row>
    <row r="60" spans="1:7" ht="20.100000000000001" customHeight="1" x14ac:dyDescent="0.2">
      <c r="D60" s="1" t="s">
        <v>666</v>
      </c>
      <c r="E60" s="20">
        <v>0.24</v>
      </c>
    </row>
    <row r="61" spans="1:7" ht="20.100000000000001" customHeight="1" x14ac:dyDescent="0.2">
      <c r="D61" s="1" t="s">
        <v>1998</v>
      </c>
      <c r="E61" s="20">
        <v>0.15</v>
      </c>
    </row>
    <row r="62" spans="1:7" ht="20.100000000000001" customHeight="1" x14ac:dyDescent="0.2">
      <c r="D62" s="1" t="s">
        <v>1999</v>
      </c>
      <c r="E62" s="20">
        <v>0.14000000000000001</v>
      </c>
    </row>
    <row r="63" spans="1:7" ht="20.100000000000001" customHeight="1" x14ac:dyDescent="0.2">
      <c r="D63" s="1" t="s">
        <v>2000</v>
      </c>
      <c r="E63" s="20">
        <v>0.72</v>
      </c>
    </row>
    <row r="64" spans="1:7" ht="20.100000000000001" customHeight="1" x14ac:dyDescent="0.2">
      <c r="D64" s="1" t="s">
        <v>2001</v>
      </c>
      <c r="E64" s="20">
        <v>0.14000000000000001</v>
      </c>
    </row>
    <row r="65" spans="4:5" ht="20.100000000000001" customHeight="1" x14ac:dyDescent="0.2">
      <c r="D65" s="1" t="s">
        <v>2002</v>
      </c>
      <c r="E65" s="20">
        <v>0.42</v>
      </c>
    </row>
    <row r="66" spans="4:5" ht="20.100000000000001" customHeight="1" x14ac:dyDescent="0.2">
      <c r="D66" s="1" t="s">
        <v>2003</v>
      </c>
      <c r="E66" s="20">
        <v>0.36</v>
      </c>
    </row>
    <row r="67" spans="4:5" ht="20.100000000000001" customHeight="1" x14ac:dyDescent="0.2">
      <c r="D67" s="1" t="s">
        <v>2004</v>
      </c>
      <c r="E67" s="20">
        <v>0.33</v>
      </c>
    </row>
    <row r="68" spans="4:5" ht="20.100000000000001" customHeight="1" x14ac:dyDescent="0.2">
      <c r="D68" s="1" t="s">
        <v>2005</v>
      </c>
      <c r="E68" s="20">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zoomScaleNormal="100" workbookViewId="0">
      <pane xSplit="1" topLeftCell="B1" activePane="topRight" state="frozenSplit"/>
      <selection pane="topRight" activeCell="A47" sqref="A47"/>
    </sheetView>
  </sheetViews>
  <sheetFormatPr defaultColWidth="9.140625" defaultRowHeight="20.100000000000001" customHeight="1" x14ac:dyDescent="0.2"/>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20</v>
      </c>
    </row>
    <row r="2" spans="1:65" s="3" customFormat="1" ht="20.100000000000001" customHeight="1" x14ac:dyDescent="0.2">
      <c r="A2"/>
    </row>
    <row r="3" spans="1:6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
      <c r="A4" s="5" t="str">
        <f>HYPERLINK("#'Results - Activity period'!A1", "Results - Activity period")</f>
        <v>Results - Activity period</v>
      </c>
      <c r="BM4" s="25"/>
    </row>
    <row r="5" spans="1:65" ht="20.100000000000001" customHeight="1" x14ac:dyDescent="0.2">
      <c r="A5" s="5" t="str">
        <f>HYPERLINK("#'Results - Product EI'!A1", "Results - Product EI")</f>
        <v>Results - Product EI</v>
      </c>
      <c r="D5" s="2" t="s">
        <v>2014</v>
      </c>
      <c r="BM5" s="25"/>
    </row>
    <row r="6" spans="1:65" ht="20.100000000000001" customHeight="1" x14ac:dyDescent="0.2">
      <c r="A6"/>
      <c r="D6" s="20" t="s">
        <v>21</v>
      </c>
      <c r="E6" s="20" t="s">
        <v>22</v>
      </c>
      <c r="F6" s="20" t="s">
        <v>23</v>
      </c>
    </row>
    <row r="7" spans="1:65" ht="20.100000000000001" customHeight="1" x14ac:dyDescent="0.2">
      <c r="A7"/>
      <c r="D7" s="20" t="s">
        <v>1556</v>
      </c>
      <c r="E7" s="20" t="s">
        <v>1556</v>
      </c>
      <c r="F7" s="20" t="s">
        <v>988</v>
      </c>
    </row>
    <row r="8" spans="1:65" ht="20.100000000000001" customHeight="1" x14ac:dyDescent="0.2">
      <c r="A8" s="7" t="s">
        <v>0</v>
      </c>
      <c r="D8" s="20" t="s">
        <v>2015</v>
      </c>
      <c r="E8" s="20" t="s">
        <v>987</v>
      </c>
      <c r="F8" s="20" t="s">
        <v>987</v>
      </c>
    </row>
    <row r="9" spans="1:65" ht="20.100000000000001" customHeight="1" x14ac:dyDescent="0.2">
      <c r="A9" s="5" t="str">
        <f>HYPERLINK("#'Input - Enterprise'!A1", "Enterprise")</f>
        <v>Enterprise</v>
      </c>
      <c r="D9" s="20" t="s">
        <v>1557</v>
      </c>
      <c r="E9" s="20" t="s">
        <v>1557</v>
      </c>
      <c r="F9" s="20" t="s">
        <v>991</v>
      </c>
    </row>
    <row r="10" spans="1:65" ht="20.100000000000001" customHeight="1" x14ac:dyDescent="0.2">
      <c r="A10" s="5" t="str">
        <f>HYPERLINK("#'Input - Site'!A1", "Site")</f>
        <v>Site</v>
      </c>
      <c r="D10" s="20" t="s">
        <v>1558</v>
      </c>
      <c r="E10" s="20" t="s">
        <v>1558</v>
      </c>
      <c r="F10" s="20" t="s">
        <v>1001</v>
      </c>
    </row>
    <row r="11" spans="1:65" ht="20.100000000000001" customHeight="1" x14ac:dyDescent="0.2">
      <c r="A11" s="5" t="str">
        <f>HYPERLINK("#'Input - Crop'!A1", "Crop")</f>
        <v>Crop</v>
      </c>
      <c r="D11" s="20" t="s">
        <v>1559</v>
      </c>
      <c r="E11" s="20" t="s">
        <v>1559</v>
      </c>
      <c r="F11" s="20" t="s">
        <v>989</v>
      </c>
      <c r="BM11" s="25"/>
    </row>
    <row r="12" spans="1:65" ht="20.100000000000001" customHeight="1" x14ac:dyDescent="0.2">
      <c r="A12" s="5" t="str">
        <f>HYPERLINK("#'Input - Fert Prod System'!A1", "Fert Prod System")</f>
        <v>Fert Prod System</v>
      </c>
      <c r="D12" s="20" t="s">
        <v>99</v>
      </c>
      <c r="E12" s="20" t="s">
        <v>99</v>
      </c>
      <c r="F12" s="20" t="s">
        <v>993</v>
      </c>
      <c r="BM12" s="25"/>
    </row>
    <row r="13" spans="1:65" ht="20.100000000000001" customHeight="1" x14ac:dyDescent="0.2">
      <c r="A13" s="5" t="str">
        <f>HYPERLINK("#'Input - Fertiliser'!A1", "Fertiliser")</f>
        <v>Fertiliser</v>
      </c>
      <c r="D13" s="20" t="s">
        <v>1561</v>
      </c>
      <c r="E13" s="20" t="s">
        <v>1561</v>
      </c>
      <c r="F13" s="20" t="s">
        <v>990</v>
      </c>
    </row>
    <row r="14" spans="1:65" ht="20.100000000000001" customHeight="1" x14ac:dyDescent="0.2">
      <c r="A14" s="5" t="str">
        <f>HYPERLINK("#'Input - Fuel'!A1", "Fuel")</f>
        <v>Fuel</v>
      </c>
      <c r="D14" s="20" t="s">
        <v>1882</v>
      </c>
      <c r="E14" s="20" t="s">
        <v>1882</v>
      </c>
      <c r="F14" s="20" t="s">
        <v>997</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Crop pasture farm input'!A1", "Crop pasture farm input")</f>
        <v>Crop pasture farm input</v>
      </c>
    </row>
    <row r="18" spans="1:4" ht="20.100000000000001" customHeight="1" x14ac:dyDescent="0.2">
      <c r="A18" s="5" t="str">
        <f>HYPERLINK("#'Input - Freight'!A1", "Freight")</f>
        <v>Freight</v>
      </c>
      <c r="D18" s="2" t="s">
        <v>2016</v>
      </c>
    </row>
    <row r="19" spans="1:4" ht="20.100000000000001" customHeight="1" x14ac:dyDescent="0.2">
      <c r="A19" s="5" t="str">
        <f>HYPERLINK("#'Input - Solid waste'!A1", "Solid waste")</f>
        <v>Solid waste</v>
      </c>
      <c r="D19" s="17" t="s">
        <v>2017</v>
      </c>
    </row>
    <row r="20" spans="1:4" ht="20.100000000000001" customHeight="1" x14ac:dyDescent="0.2">
      <c r="A20" s="5" t="str">
        <f>HYPERLINK("#'Input - Data quality'!A1", "Data quality")</f>
        <v>Data quality</v>
      </c>
      <c r="D20" s="20" t="s">
        <v>24</v>
      </c>
    </row>
    <row r="21" spans="1:4" ht="20.100000000000001" customHeight="1" x14ac:dyDescent="0.2">
      <c r="A21"/>
      <c r="D21" s="20" t="s">
        <v>2018</v>
      </c>
    </row>
    <row r="22" spans="1:4" ht="20.100000000000001" customHeight="1" x14ac:dyDescent="0.2">
      <c r="A22"/>
      <c r="D22" s="20" t="s">
        <v>2019</v>
      </c>
    </row>
    <row r="23" spans="1:4" ht="20.100000000000001" customHeight="1" x14ac:dyDescent="0.2">
      <c r="A23" s="6" t="s">
        <v>2</v>
      </c>
      <c r="D23" s="20" t="s">
        <v>2020</v>
      </c>
    </row>
    <row r="24" spans="1:4" ht="20.100000000000001" customHeight="1" x14ac:dyDescent="0.2">
      <c r="A24" s="5" t="str">
        <f>HYPERLINK("#'5.1.1.1-2 Inorganic fert N2O'!A1", "5.1.1.1-2 Inorganic fert N2O")</f>
        <v>5.1.1.1-2 Inorganic fert N2O</v>
      </c>
      <c r="D24" s="20" t="s">
        <v>2021</v>
      </c>
    </row>
    <row r="25" spans="1:4" ht="20.100000000000001" customHeight="1" x14ac:dyDescent="0.2">
      <c r="A25" s="5" t="str">
        <f>HYPERLINK("#'5.1.1.3-4 Inorganic fert CO2'!A1", "5.1.1.3-4 Inorganic fert CO2")</f>
        <v>5.1.1.3-4 Inorganic fert CO2</v>
      </c>
      <c r="D25" s="20" t="s">
        <v>2022</v>
      </c>
    </row>
    <row r="26" spans="1:4" ht="20.100000000000001" customHeight="1" x14ac:dyDescent="0.2">
      <c r="A26" s="5" t="str">
        <f>HYPERLINK("#'5.2.1.1-2 Organic Fert N2O'!A1", "5.2.1.1-2 Organic fert N2O")</f>
        <v>5.2.1.1-2 Organic fert N2O</v>
      </c>
      <c r="D26" s="20" t="s">
        <v>2023</v>
      </c>
    </row>
    <row r="27" spans="1:4" ht="20.100000000000001" customHeight="1" x14ac:dyDescent="0.2">
      <c r="A27" s="5" t="str">
        <f>HYPERLINK("#'5.3.1.1-2 Lime CO2'!A1", "5.3.1.1-2 Lime CO2")</f>
        <v>5.3.1.1-2 Lime CO2</v>
      </c>
      <c r="D27" s="20" t="s">
        <v>2024</v>
      </c>
    </row>
    <row r="28" spans="1:4" ht="20.100000000000001" customHeight="1" x14ac:dyDescent="0.2">
      <c r="A28" s="5" t="str">
        <f>HYPERLINK("#'5.4.1.1-4 Atmos deposition'!A1", "5.4.1.1-4 Atmos. deposition")</f>
        <v>5.4.1.1-4 Atmos. deposition</v>
      </c>
      <c r="D28" s="20" t="s">
        <v>2025</v>
      </c>
    </row>
    <row r="29" spans="1:4" ht="20.100000000000001" customHeight="1" x14ac:dyDescent="0.2">
      <c r="A29" s="5" t="str">
        <f>HYPERLINK("#'5.5.1.1-2 Leaching and runoff'!A1", "5.5.1.1-2 Leaching &amp; runoff")</f>
        <v>5.5.1.1-2 Leaching &amp; runoff</v>
      </c>
      <c r="D29" s="20" t="s">
        <v>2026</v>
      </c>
    </row>
    <row r="30" spans="1:4" ht="20.100000000000001" customHeight="1" x14ac:dyDescent="0.2">
      <c r="A30" s="5" t="str">
        <f>HYPERLINK("#'6.1.1.1-2 Crop residue N2O'!A1", "6.1.1.1-2 Crop residue N2O")</f>
        <v>6.1.1.1-2 Crop residue N2O</v>
      </c>
      <c r="D30" s="20" t="s">
        <v>102</v>
      </c>
    </row>
    <row r="31" spans="1:4" ht="20.100000000000001" customHeight="1" x14ac:dyDescent="0.2">
      <c r="A31" s="5" t="str">
        <f>HYPERLINK("#'6.3.1.1-2 Leach runoff crop'!A1", "6.3.1.1-2 Leach &amp; runoff (crop)")</f>
        <v>6.3.1.1-2 Leach &amp; runoff (crop)</v>
      </c>
    </row>
    <row r="32" spans="1:4" ht="20.100000000000001" customHeight="1" x14ac:dyDescent="0.2">
      <c r="A32" s="5" t="str">
        <f>HYPERLINK("#'6.4.1.1-2 Residue burning'!A1", "6.4.1.1-2 Residue burning")</f>
        <v>6.4.1.1-2 Residue burning</v>
      </c>
    </row>
    <row r="33" spans="1:8" ht="20.100000000000001" customHeight="1" x14ac:dyDescent="0.2">
      <c r="A33" s="5" t="str">
        <f>HYPERLINK("#'8.1.1.1-2 Transport fuel'!A1", "8.1.1.1-2 Transport fuel")</f>
        <v>8.1.1.1-2 Transport fuel</v>
      </c>
    </row>
    <row r="34" spans="1:8" ht="20.100000000000001" customHeight="1" x14ac:dyDescent="0.2">
      <c r="A34" s="5" t="str">
        <f>HYPERLINK("#'8.2.1.1-2 Stationary fuel'!A1", "8.2.1.1-2 Stationary fuel")</f>
        <v>8.2.1.1-2 Stationary fuel</v>
      </c>
      <c r="D34" s="2" t="s">
        <v>2027</v>
      </c>
    </row>
    <row r="35" spans="1:8" ht="20.100000000000001" customHeight="1" x14ac:dyDescent="0.2">
      <c r="A35" s="5" t="str">
        <f>HYPERLINK("#'10.1.1-2 Solid waste treatment'!A1", "10.1.1.1-2 Solid waste")</f>
        <v>10.1.1.1-2 Solid waste</v>
      </c>
      <c r="D35" s="17" t="s">
        <v>2028</v>
      </c>
    </row>
    <row r="36" spans="1:8" ht="20.100000000000001" customHeight="1" x14ac:dyDescent="0.2">
      <c r="A36" s="5" t="str">
        <f>HYPERLINK("#'14.1.1-2 Purchased electricity'!A1", "14.1.1-2 Purchased electricity")</f>
        <v>14.1.1-2 Purchased electricity</v>
      </c>
      <c r="D36" s="20" t="s">
        <v>25</v>
      </c>
      <c r="E36" s="20" t="s">
        <v>26</v>
      </c>
    </row>
    <row r="37" spans="1:8" ht="20.100000000000001" customHeight="1" x14ac:dyDescent="0.2">
      <c r="A37" s="5" t="str">
        <f>HYPERLINK("#'15 Scope 3'!A1", "15 Scope 3")</f>
        <v>15 Scope 3</v>
      </c>
      <c r="D37" s="20" t="s">
        <v>582</v>
      </c>
      <c r="E37" s="20">
        <v>1</v>
      </c>
    </row>
    <row r="38" spans="1:8" ht="20.100000000000001" customHeight="1" x14ac:dyDescent="0.2">
      <c r="A38"/>
      <c r="D38" s="20" t="s">
        <v>583</v>
      </c>
      <c r="E38" s="20">
        <v>28</v>
      </c>
    </row>
    <row r="39" spans="1:8" ht="20.100000000000001" customHeight="1" x14ac:dyDescent="0.2">
      <c r="A39"/>
      <c r="D39" s="20" t="s">
        <v>584</v>
      </c>
      <c r="E39" s="20">
        <v>265</v>
      </c>
    </row>
    <row r="40" spans="1:8" ht="20.100000000000001" customHeight="1" x14ac:dyDescent="0.2">
      <c r="A40" s="82" t="s">
        <v>1</v>
      </c>
      <c r="D40" s="20" t="s">
        <v>2029</v>
      </c>
      <c r="E40" s="20">
        <v>6630</v>
      </c>
    </row>
    <row r="41" spans="1:8" ht="20.100000000000001" customHeight="1" x14ac:dyDescent="0.2">
      <c r="A41" s="5" t="str">
        <f>HYPERLINK("#'Constants - Ag Residue'!A1", "Constants - Ag residue")</f>
        <v>Constants - Ag residue</v>
      </c>
      <c r="D41" s="20" t="s">
        <v>2030</v>
      </c>
      <c r="E41" s="20">
        <v>12200</v>
      </c>
    </row>
    <row r="42" spans="1:8" ht="20.100000000000001" customHeight="1" x14ac:dyDescent="0.2">
      <c r="A42" s="5" t="str">
        <f>HYPERLINK("#'Constants - Electricity'!A1", "Constants - Electricity")</f>
        <v>Constants - Electricity</v>
      </c>
      <c r="D42" s="20" t="s">
        <v>2031</v>
      </c>
      <c r="E42" s="20">
        <v>22800</v>
      </c>
    </row>
    <row r="43" spans="1:8" ht="20.100000000000001" customHeight="1" x14ac:dyDescent="0.2">
      <c r="A43" s="5" t="str">
        <f>HYPERLINK("#'Constants - Fertiliser'!A1", "Constants - Fertiliser")</f>
        <v>Constants - Fertiliser</v>
      </c>
      <c r="D43" s="20" t="s">
        <v>2032</v>
      </c>
      <c r="E43" s="20">
        <v>17200</v>
      </c>
    </row>
    <row r="44" spans="1:8" ht="20.100000000000001" customHeight="1" x14ac:dyDescent="0.2">
      <c r="A44" s="5" t="str">
        <f>HYPERLINK("#'Constants - Fuel'!A1", "Constants - Fuel")</f>
        <v>Constants - Fuel</v>
      </c>
    </row>
    <row r="45" spans="1:8" ht="20.100000000000001" customHeight="1" x14ac:dyDescent="0.2">
      <c r="A45" s="5" t="str">
        <f>HYPERLINK("#'Constants - Scope 3'!A1", "Constants - Scope 3")</f>
        <v>Constants - Scope 3</v>
      </c>
      <c r="D45" s="2" t="s">
        <v>2033</v>
      </c>
    </row>
    <row r="46" spans="1:8" ht="20.100000000000001" customHeight="1" x14ac:dyDescent="0.2">
      <c r="A46" s="5" t="str">
        <f>HYPERLINK("#'Constants - Solid Waste'!A1", "Constants - Solid Waste")</f>
        <v>Constants - Solid Waste</v>
      </c>
      <c r="D46" s="17" t="s">
        <v>2028</v>
      </c>
    </row>
    <row r="47" spans="1:8" ht="20.100000000000001" customHeight="1" x14ac:dyDescent="0.2">
      <c r="A47" s="83" t="str">
        <f>HYPERLINK("#'Constants - Common'!A1", "Constants - Common")</f>
        <v>Constants - Common</v>
      </c>
      <c r="D47" s="20" t="s">
        <v>25</v>
      </c>
      <c r="E47" s="20" t="s">
        <v>27</v>
      </c>
      <c r="F47" s="20" t="s">
        <v>28</v>
      </c>
      <c r="G47" s="20" t="s">
        <v>29</v>
      </c>
      <c r="H47" s="20" t="s">
        <v>30</v>
      </c>
    </row>
    <row r="48" spans="1:8" ht="20.100000000000001" customHeight="1" x14ac:dyDescent="0.2">
      <c r="A48" s="5" t="str">
        <f>HYPERLINK("#'Constants - Common Livestock'!A1", "Constants - Common Livestock")</f>
        <v>Constants - Common Livestock</v>
      </c>
      <c r="D48" s="20" t="s">
        <v>582</v>
      </c>
      <c r="E48" s="20" t="s">
        <v>2034</v>
      </c>
      <c r="F48" s="20">
        <v>44</v>
      </c>
      <c r="G48" s="20">
        <v>12</v>
      </c>
      <c r="H48" s="20">
        <f>Table_GasToMolecularConversionFactor[[#This Row],[Conversion factor 1]]/Table_GasToMolecularConversionFactor[[#This Row],[Conversion factor 2]]</f>
        <v>3.6666666666666665</v>
      </c>
    </row>
    <row r="49" spans="1:8" ht="20.100000000000001" customHeight="1" x14ac:dyDescent="0.2">
      <c r="A49"/>
      <c r="D49" s="20" t="s">
        <v>583</v>
      </c>
      <c r="E49" s="20" t="s">
        <v>1541</v>
      </c>
      <c r="F49" s="20">
        <v>16</v>
      </c>
      <c r="G49" s="20">
        <v>12</v>
      </c>
      <c r="H49" s="20">
        <f>Table_GasToMolecularConversionFactor[[#This Row],[Conversion factor 1]]/Table_GasToMolecularConversionFactor[[#This Row],[Conversion factor 2]]</f>
        <v>1.3333333333333333</v>
      </c>
    </row>
    <row r="50" spans="1:8" ht="20.100000000000001" customHeight="1" x14ac:dyDescent="0.2">
      <c r="A50"/>
      <c r="D50" s="20" t="s">
        <v>584</v>
      </c>
      <c r="E50" s="20" t="s">
        <v>1542</v>
      </c>
      <c r="F50" s="20">
        <v>44</v>
      </c>
      <c r="G50" s="20">
        <v>28</v>
      </c>
      <c r="H50" s="20">
        <f>Table_GasToMolecularConversionFactor[[#This Row],[Conversion factor 1]]/Table_GasToMolecularConversionFactor[[#This Row],[Conversion factor 2]]</f>
        <v>1.5714285714285714</v>
      </c>
    </row>
    <row r="51" spans="1:8" ht="20.100000000000001" customHeight="1" x14ac:dyDescent="0.2">
      <c r="A51"/>
      <c r="D51" s="20" t="s">
        <v>2035</v>
      </c>
      <c r="E51" s="20" t="s">
        <v>1544</v>
      </c>
      <c r="F51" s="20">
        <v>46</v>
      </c>
      <c r="G51" s="20">
        <v>14</v>
      </c>
      <c r="H51" s="20">
        <f>Table_GasToMolecularConversionFactor[[#This Row],[Conversion factor 1]]/Table_GasToMolecularConversionFactor[[#This Row],[Conversion factor 2]]</f>
        <v>3.2857142857142856</v>
      </c>
    </row>
    <row r="52" spans="1:8" ht="20.100000000000001" customHeight="1" x14ac:dyDescent="0.2">
      <c r="A52"/>
      <c r="D52" s="20" t="s">
        <v>1545</v>
      </c>
      <c r="E52" s="20" t="s">
        <v>1546</v>
      </c>
      <c r="F52" s="20">
        <v>28</v>
      </c>
      <c r="G52" s="20">
        <v>12</v>
      </c>
      <c r="H52" s="20">
        <f>Table_GasToMolecularConversionFactor[[#This Row],[Conversion factor 1]]/Table_GasToMolecularConversionFactor[[#This Row],[Conversion factor 2]]</f>
        <v>2.3333333333333335</v>
      </c>
    </row>
    <row r="53" spans="1:8" ht="20.100000000000001" customHeight="1" x14ac:dyDescent="0.2">
      <c r="A53"/>
      <c r="D53" s="20" t="s">
        <v>2036</v>
      </c>
      <c r="E53" s="20" t="s">
        <v>2034</v>
      </c>
      <c r="F53" s="20">
        <v>44</v>
      </c>
      <c r="G53" s="20">
        <v>12</v>
      </c>
      <c r="H53" s="20">
        <f>Table_GasToMolecularConversionFactor[[#This Row],[Conversion factor 1]]/Table_GasToMolecularConversionFactor[[#This Row],[Conversion factor 2]]</f>
        <v>3.6666666666666665</v>
      </c>
    </row>
    <row r="54" spans="1:8" ht="20.100000000000001" customHeight="1" x14ac:dyDescent="0.2">
      <c r="A54"/>
      <c r="D54" s="20" t="s">
        <v>1547</v>
      </c>
      <c r="E54" s="20" t="s">
        <v>1548</v>
      </c>
      <c r="F54" s="20">
        <v>14</v>
      </c>
      <c r="G54" s="20">
        <v>12</v>
      </c>
      <c r="H54" s="20">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2" t="s">
        <v>2037</v>
      </c>
    </row>
    <row r="58" spans="1:8" ht="20.100000000000001" customHeight="1" x14ac:dyDescent="0.2">
      <c r="A58"/>
      <c r="D58" s="17" t="s">
        <v>2038</v>
      </c>
    </row>
    <row r="59" spans="1:8" ht="20.100000000000001" customHeight="1" x14ac:dyDescent="0.2">
      <c r="A59" s="81" t="str">
        <f>HYPERLINK("#A1", "▲ Back to top")</f>
        <v>▲ Back to top</v>
      </c>
      <c r="D59" s="26" t="str" cm="1">
        <f t="array" ref="D59:D61">"⚠️" &amp; Common_SourceData.Common_SourceData_WetAndDryZones_Variation()</f>
        <v>⚠️VARIATION OF SOURCE DATA:</v>
      </c>
    </row>
    <row r="60" spans="1:8" ht="20.100000000000001" customHeight="1" x14ac:dyDescent="0.2">
      <c r="A60"/>
      <c r="D60" s="26" t="str">
        <v>⚠️Added warm / cool temperate moist / dry - low frost and high temp classes to accommodate climate scenarios excluded by VEERG criteria.</v>
      </c>
    </row>
    <row r="61" spans="1:8" ht="20.100000000000001" customHeight="1" x14ac:dyDescent="0.2">
      <c r="A61"/>
      <c r="D61" s="26" t="str">
        <v>⚠️Fixed typo - Changed 'Fry' to 'Dry'.</v>
      </c>
    </row>
    <row r="62" spans="1:8" ht="20.100000000000001" customHeight="1" x14ac:dyDescent="0.2">
      <c r="A62"/>
    </row>
    <row r="63" spans="1:8" ht="20.100000000000001" customHeight="1" x14ac:dyDescent="0.2">
      <c r="A63"/>
      <c r="D63" s="20" t="s">
        <v>31</v>
      </c>
      <c r="E63" s="20" t="s">
        <v>32</v>
      </c>
    </row>
    <row r="64" spans="1:8" ht="20.100000000000001" customHeight="1" x14ac:dyDescent="0.2">
      <c r="A64"/>
      <c r="D64" s="20" t="s">
        <v>2039</v>
      </c>
      <c r="E64" s="20" t="s">
        <v>1530</v>
      </c>
    </row>
    <row r="65" spans="1:5" ht="20.100000000000001" customHeight="1" x14ac:dyDescent="0.2">
      <c r="A65"/>
      <c r="D65" s="20" t="s">
        <v>2040</v>
      </c>
      <c r="E65" s="20" t="s">
        <v>1530</v>
      </c>
    </row>
    <row r="66" spans="1:5" ht="20.100000000000001" customHeight="1" x14ac:dyDescent="0.2">
      <c r="A66"/>
      <c r="D66" s="20" t="s">
        <v>2041</v>
      </c>
      <c r="E66" s="20" t="s">
        <v>1530</v>
      </c>
    </row>
    <row r="67" spans="1:5" ht="20.100000000000001" customHeight="1" x14ac:dyDescent="0.2">
      <c r="A67"/>
      <c r="D67" s="20" t="s">
        <v>2042</v>
      </c>
      <c r="E67" s="20" t="s">
        <v>1531</v>
      </c>
    </row>
    <row r="68" spans="1:5" ht="20.100000000000001" customHeight="1" x14ac:dyDescent="0.2">
      <c r="A68"/>
      <c r="D68" s="20" t="s">
        <v>2043</v>
      </c>
      <c r="E68" s="20" t="s">
        <v>1530</v>
      </c>
    </row>
    <row r="69" spans="1:5" ht="20.100000000000001" customHeight="1" x14ac:dyDescent="0.2">
      <c r="A69"/>
      <c r="D69" s="20" t="s">
        <v>2044</v>
      </c>
      <c r="E69" s="20" t="s">
        <v>1531</v>
      </c>
    </row>
    <row r="70" spans="1:5" ht="20.100000000000001" customHeight="1" x14ac:dyDescent="0.2">
      <c r="A70"/>
      <c r="D70" s="20" t="s">
        <v>2045</v>
      </c>
      <c r="E70" s="20" t="s">
        <v>1530</v>
      </c>
    </row>
    <row r="71" spans="1:5" ht="20.100000000000001" customHeight="1" x14ac:dyDescent="0.2">
      <c r="A71"/>
      <c r="D71" s="20" t="s">
        <v>2046</v>
      </c>
      <c r="E71" s="20" t="s">
        <v>1531</v>
      </c>
    </row>
    <row r="72" spans="1:5" ht="20.100000000000001" customHeight="1" x14ac:dyDescent="0.2">
      <c r="A72"/>
      <c r="D72" s="20" t="s">
        <v>2047</v>
      </c>
      <c r="E72" s="20" t="s">
        <v>1530</v>
      </c>
    </row>
    <row r="73" spans="1:5" ht="20.100000000000001" customHeight="1" x14ac:dyDescent="0.2">
      <c r="A73"/>
      <c r="D73" s="20" t="s">
        <v>2048</v>
      </c>
      <c r="E73" s="20" t="s">
        <v>1531</v>
      </c>
    </row>
    <row r="74" spans="1:5" ht="20.100000000000001" customHeight="1" x14ac:dyDescent="0.2">
      <c r="A74"/>
      <c r="D74" s="20" t="s">
        <v>2049</v>
      </c>
      <c r="E74" s="20" t="s">
        <v>1530</v>
      </c>
    </row>
    <row r="75" spans="1:5" ht="20.100000000000001" customHeight="1" x14ac:dyDescent="0.2">
      <c r="A75"/>
      <c r="D75" s="20" t="s">
        <v>2050</v>
      </c>
      <c r="E75" s="20" t="s">
        <v>1531</v>
      </c>
    </row>
    <row r="76" spans="1:5" ht="20.100000000000001" customHeight="1" x14ac:dyDescent="0.2">
      <c r="A76"/>
      <c r="D76" s="20" t="s">
        <v>2051</v>
      </c>
      <c r="E76" s="20" t="s">
        <v>1530</v>
      </c>
    </row>
    <row r="77" spans="1:5" ht="20.100000000000001" customHeight="1" x14ac:dyDescent="0.2">
      <c r="A77"/>
      <c r="D77" s="20" t="s">
        <v>2052</v>
      </c>
      <c r="E77" s="20" t="s">
        <v>1531</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
        <v>2053</v>
      </c>
    </row>
    <row r="82" spans="1:20" ht="20.100000000000001" customHeight="1" x14ac:dyDescent="0.2">
      <c r="A82"/>
      <c r="D82" s="17" t="s">
        <v>2054</v>
      </c>
    </row>
    <row r="83" spans="1:20" ht="20.100000000000001" customHeight="1" x14ac:dyDescent="0.2">
      <c r="A83"/>
      <c r="D83" s="26" t="str" cm="1">
        <f t="array" ref="D83:D87">"⚠️" &amp; Common_SourceData.Common_SourceData_ClimateZones_Variation()</f>
        <v>⚠️VARIATION OF SOURCE DATA:</v>
      </c>
    </row>
    <row r="84" spans="1:20" ht="20.100000000000001" customHeight="1" x14ac:dyDescent="0.2">
      <c r="A84"/>
      <c r="D84" s="26" t="str">
        <v>⚠️Added warm / cool temperate moist / dry - low frost and high temp classes to accommodate climate scenarios excluded by VEERG criteria.</v>
      </c>
    </row>
    <row r="85" spans="1:20" ht="20.100000000000001" customHeight="1" x14ac:dyDescent="0.2">
      <c r="A85"/>
      <c r="D85" s="26" t="str">
        <v>⚠️Fixed typo in MAT value for warm temperate dry - changed 10 to 11.</v>
      </c>
    </row>
    <row r="86" spans="1:20" ht="20.100000000000001" customHeight="1" x14ac:dyDescent="0.2">
      <c r="A86"/>
      <c r="D86" s="26" t="str">
        <v>⚠️Added min and max columns for MAT, MAP, frost days per year, elevation, MAP:PET to calculate zones from real climate data.</v>
      </c>
    </row>
    <row r="87" spans="1:20" ht="20.100000000000001" customHeight="1" x14ac:dyDescent="0.2">
      <c r="A87"/>
      <c r="D87" s="26" t="str">
        <v>⚠️GAF accepts rainfall as a proxy for precipitation.</v>
      </c>
    </row>
    <row r="88" spans="1:20" ht="20.100000000000001" customHeight="1" x14ac:dyDescent="0.2">
      <c r="A88"/>
    </row>
    <row r="89" spans="1:20" ht="20.100000000000001" customHeight="1" x14ac:dyDescent="0.2">
      <c r="A89" s="81" t="str">
        <f>HYPERLINK("#A1", "▲ Back to top")</f>
        <v>▲ Back to top</v>
      </c>
      <c r="D89" s="20" t="s">
        <v>31</v>
      </c>
      <c r="E89" s="20" t="s">
        <v>33</v>
      </c>
      <c r="F89" s="20" t="s">
        <v>34</v>
      </c>
      <c r="G89" s="20" t="s">
        <v>35</v>
      </c>
      <c r="H89" s="20" t="s">
        <v>36</v>
      </c>
      <c r="I89" s="20" t="s">
        <v>37</v>
      </c>
      <c r="J89" s="20" t="s">
        <v>38</v>
      </c>
      <c r="K89" s="20" t="s">
        <v>39</v>
      </c>
      <c r="L89" s="20" t="s">
        <v>40</v>
      </c>
      <c r="M89" s="20" t="s">
        <v>41</v>
      </c>
      <c r="N89" s="20" t="s">
        <v>42</v>
      </c>
      <c r="O89" s="20" t="s">
        <v>43</v>
      </c>
      <c r="P89" s="20" t="s">
        <v>44</v>
      </c>
      <c r="Q89" s="20" t="s">
        <v>45</v>
      </c>
      <c r="R89" s="20" t="s">
        <v>46</v>
      </c>
      <c r="S89" s="20" t="s">
        <v>47</v>
      </c>
      <c r="T89" s="20"/>
    </row>
    <row r="90" spans="1:20" ht="20.100000000000001" customHeight="1" x14ac:dyDescent="0.2">
      <c r="A90"/>
      <c r="D90" s="20" t="s">
        <v>2039</v>
      </c>
      <c r="E90" s="20" t="s">
        <v>2055</v>
      </c>
      <c r="F90" s="20" t="s">
        <v>2056</v>
      </c>
      <c r="G90" s="20" t="s">
        <v>2057</v>
      </c>
      <c r="H90" s="20" t="s">
        <v>2058</v>
      </c>
      <c r="I90" s="20" t="s">
        <v>2056</v>
      </c>
      <c r="J90" s="20">
        <v>18.001000000000001</v>
      </c>
      <c r="K90" s="20">
        <v>999999</v>
      </c>
      <c r="L90" s="20">
        <v>-999999</v>
      </c>
      <c r="M90" s="20">
        <v>999999</v>
      </c>
      <c r="N90" s="20">
        <v>-999999</v>
      </c>
      <c r="O90" s="20">
        <v>7</v>
      </c>
      <c r="P90" s="20">
        <v>1000</v>
      </c>
      <c r="Q90" s="20">
        <v>999999</v>
      </c>
      <c r="R90" s="20">
        <v>-999999</v>
      </c>
      <c r="S90" s="20">
        <v>999999</v>
      </c>
      <c r="T90" s="20"/>
    </row>
    <row r="91" spans="1:20" ht="20.100000000000001" customHeight="1" x14ac:dyDescent="0.2">
      <c r="A91"/>
      <c r="D91" s="20" t="s">
        <v>2040</v>
      </c>
      <c r="E91" s="20" t="s">
        <v>2055</v>
      </c>
      <c r="F91" s="20" t="s">
        <v>2059</v>
      </c>
      <c r="G91" s="20" t="s">
        <v>2057</v>
      </c>
      <c r="H91" s="20" t="s">
        <v>2060</v>
      </c>
      <c r="I91" s="20" t="s">
        <v>2056</v>
      </c>
      <c r="J91" s="20">
        <v>18.001000000000001</v>
      </c>
      <c r="K91" s="20">
        <v>999999</v>
      </c>
      <c r="L91" s="20">
        <v>2000.001</v>
      </c>
      <c r="M91" s="20">
        <v>999999</v>
      </c>
      <c r="N91" s="20">
        <v>-999999</v>
      </c>
      <c r="O91" s="20">
        <v>7</v>
      </c>
      <c r="P91" s="20">
        <v>-999999</v>
      </c>
      <c r="Q91" s="20">
        <v>999.99900000000002</v>
      </c>
      <c r="R91" s="20">
        <v>-999999</v>
      </c>
      <c r="S91" s="20">
        <v>999999</v>
      </c>
      <c r="T91" s="20"/>
    </row>
    <row r="92" spans="1:20" ht="20.100000000000001" customHeight="1" x14ac:dyDescent="0.2">
      <c r="A92"/>
      <c r="D92" s="20" t="s">
        <v>2041</v>
      </c>
      <c r="E92" s="20" t="s">
        <v>2055</v>
      </c>
      <c r="F92" s="20" t="s">
        <v>2061</v>
      </c>
      <c r="G92" s="20" t="s">
        <v>2057</v>
      </c>
      <c r="H92" s="20" t="s">
        <v>2060</v>
      </c>
      <c r="I92" s="20" t="s">
        <v>2056</v>
      </c>
      <c r="J92" s="20">
        <v>18.001000000000001</v>
      </c>
      <c r="K92" s="20">
        <v>999999</v>
      </c>
      <c r="L92" s="20">
        <v>1000.001</v>
      </c>
      <c r="M92" s="20">
        <v>2000</v>
      </c>
      <c r="N92" s="20">
        <v>-999999</v>
      </c>
      <c r="O92" s="20">
        <v>7</v>
      </c>
      <c r="P92" s="20">
        <v>-999999</v>
      </c>
      <c r="Q92" s="20">
        <v>999.99900000000002</v>
      </c>
      <c r="R92" s="20">
        <v>-999999</v>
      </c>
      <c r="S92" s="20">
        <v>999999</v>
      </c>
      <c r="T92" s="20"/>
    </row>
    <row r="93" spans="1:20" ht="20.100000000000001" customHeight="1" x14ac:dyDescent="0.2">
      <c r="A93"/>
      <c r="D93" s="20" t="s">
        <v>2042</v>
      </c>
      <c r="E93" s="20" t="s">
        <v>2055</v>
      </c>
      <c r="F93" s="20" t="s">
        <v>2062</v>
      </c>
      <c r="G93" s="20" t="s">
        <v>2057</v>
      </c>
      <c r="H93" s="20" t="s">
        <v>2060</v>
      </c>
      <c r="I93" s="20" t="s">
        <v>2056</v>
      </c>
      <c r="J93" s="20">
        <v>18.001000000000001</v>
      </c>
      <c r="K93" s="20">
        <v>999999</v>
      </c>
      <c r="L93" s="20">
        <v>-999999</v>
      </c>
      <c r="M93" s="20">
        <v>1000</v>
      </c>
      <c r="N93" s="20">
        <v>-999999</v>
      </c>
      <c r="O93" s="20">
        <v>7</v>
      </c>
      <c r="P93" s="20">
        <v>-999999</v>
      </c>
      <c r="Q93" s="20">
        <v>999.99900000000002</v>
      </c>
      <c r="R93" s="20">
        <v>-999999</v>
      </c>
      <c r="S93" s="20">
        <v>999999</v>
      </c>
      <c r="T93" s="20"/>
    </row>
    <row r="94" spans="1:20" ht="20.100000000000001" customHeight="1" x14ac:dyDescent="0.2">
      <c r="A94"/>
      <c r="D94" s="20" t="s">
        <v>2043</v>
      </c>
      <c r="E94" s="20" t="s">
        <v>2063</v>
      </c>
      <c r="F94" s="20" t="s">
        <v>2056</v>
      </c>
      <c r="G94" s="20" t="s">
        <v>2056</v>
      </c>
      <c r="H94" s="20" t="s">
        <v>2056</v>
      </c>
      <c r="I94" s="20" t="s">
        <v>2064</v>
      </c>
      <c r="J94" s="20">
        <v>10.000999999999999</v>
      </c>
      <c r="K94" s="20">
        <v>999999</v>
      </c>
      <c r="L94" s="20">
        <v>-999999</v>
      </c>
      <c r="M94" s="20">
        <v>999999</v>
      </c>
      <c r="N94" s="20">
        <v>-999999</v>
      </c>
      <c r="O94" s="20">
        <v>999999</v>
      </c>
      <c r="P94" s="20">
        <v>-999999</v>
      </c>
      <c r="Q94" s="20">
        <v>999999</v>
      </c>
      <c r="R94" s="20">
        <v>1.0009999999999999</v>
      </c>
      <c r="S94" s="20">
        <v>999999</v>
      </c>
      <c r="T94" s="20"/>
    </row>
    <row r="95" spans="1:20" ht="20.100000000000001" customHeight="1" x14ac:dyDescent="0.2">
      <c r="A95"/>
      <c r="D95" s="20" t="s">
        <v>2044</v>
      </c>
      <c r="E95" s="20" t="s">
        <v>2063</v>
      </c>
      <c r="F95" s="20" t="s">
        <v>2056</v>
      </c>
      <c r="G95" s="20" t="s">
        <v>2056</v>
      </c>
      <c r="H95" s="20" t="s">
        <v>2056</v>
      </c>
      <c r="I95" s="20" t="s">
        <v>2065</v>
      </c>
      <c r="J95" s="20">
        <v>10.000999999999999</v>
      </c>
      <c r="K95" s="20">
        <v>999999</v>
      </c>
      <c r="L95" s="20">
        <v>-999999</v>
      </c>
      <c r="M95" s="20">
        <v>999999</v>
      </c>
      <c r="N95" s="20">
        <v>-999999</v>
      </c>
      <c r="O95" s="20">
        <v>999999</v>
      </c>
      <c r="P95" s="20">
        <v>-999999</v>
      </c>
      <c r="Q95" s="20">
        <v>999999</v>
      </c>
      <c r="R95" s="20">
        <v>-999999</v>
      </c>
      <c r="S95" s="20">
        <v>1</v>
      </c>
      <c r="T95" s="20"/>
    </row>
    <row r="96" spans="1:20" ht="20.100000000000001" customHeight="1" x14ac:dyDescent="0.2">
      <c r="A96"/>
      <c r="D96" s="20" t="s">
        <v>2045</v>
      </c>
      <c r="E96" s="20" t="s">
        <v>2066</v>
      </c>
      <c r="F96" s="20" t="s">
        <v>2056</v>
      </c>
      <c r="G96" s="20" t="s">
        <v>2056</v>
      </c>
      <c r="H96" s="20" t="s">
        <v>2056</v>
      </c>
      <c r="I96" s="20" t="s">
        <v>2064</v>
      </c>
      <c r="J96" s="20">
        <v>-999999</v>
      </c>
      <c r="K96" s="20">
        <v>10</v>
      </c>
      <c r="L96" s="20">
        <v>-999999</v>
      </c>
      <c r="M96" s="20">
        <v>999999</v>
      </c>
      <c r="N96" s="20">
        <v>-999999</v>
      </c>
      <c r="O96" s="20">
        <v>999999</v>
      </c>
      <c r="P96" s="20">
        <v>-999999</v>
      </c>
      <c r="Q96" s="20">
        <v>999999</v>
      </c>
      <c r="R96" s="20">
        <v>1.0009999999999999</v>
      </c>
      <c r="S96" s="20">
        <v>999999</v>
      </c>
      <c r="T96" s="20"/>
    </row>
    <row r="97" spans="1:20" ht="20.100000000000001" customHeight="1" x14ac:dyDescent="0.2">
      <c r="A97"/>
      <c r="D97" s="20" t="s">
        <v>2046</v>
      </c>
      <c r="E97" s="20" t="s">
        <v>2066</v>
      </c>
      <c r="F97" s="20" t="s">
        <v>2056</v>
      </c>
      <c r="G97" s="20" t="s">
        <v>2056</v>
      </c>
      <c r="H97" s="20" t="s">
        <v>2056</v>
      </c>
      <c r="I97" s="20" t="s">
        <v>2065</v>
      </c>
      <c r="J97" s="20">
        <v>-999999</v>
      </c>
      <c r="K97" s="20">
        <v>10</v>
      </c>
      <c r="L97" s="20">
        <v>-999999</v>
      </c>
      <c r="M97" s="20">
        <v>999999</v>
      </c>
      <c r="N97" s="20">
        <v>-999999</v>
      </c>
      <c r="O97" s="20">
        <v>999999</v>
      </c>
      <c r="P97" s="20">
        <v>-999999</v>
      </c>
      <c r="Q97" s="20">
        <v>999999</v>
      </c>
      <c r="R97" s="20">
        <v>-999999</v>
      </c>
      <c r="S97" s="20">
        <v>1</v>
      </c>
      <c r="T97" s="20"/>
    </row>
    <row r="98" spans="1:20" ht="20.100000000000001" customHeight="1" x14ac:dyDescent="0.2">
      <c r="A98"/>
    </row>
    <row r="99" spans="1:20" ht="20.100000000000001" customHeight="1" x14ac:dyDescent="0.2">
      <c r="A99"/>
      <c r="D99" s="9" t="s">
        <v>2067</v>
      </c>
    </row>
    <row r="100" spans="1:20" ht="20.100000000000001" customHeight="1" x14ac:dyDescent="0.2">
      <c r="A100"/>
      <c r="D100" s="9" t="s">
        <v>2068</v>
      </c>
    </row>
    <row r="101" spans="1:20" ht="20.100000000000001" customHeight="1" x14ac:dyDescent="0.2">
      <c r="A101"/>
      <c r="D101" s="9" t="s">
        <v>2069</v>
      </c>
    </row>
    <row r="102" spans="1:20" ht="20.100000000000001" customHeight="1" x14ac:dyDescent="0.2">
      <c r="A102"/>
      <c r="D102" s="9" t="s">
        <v>2070</v>
      </c>
    </row>
    <row r="103" spans="1:20" ht="20.100000000000001" customHeight="1" x14ac:dyDescent="0.2">
      <c r="A103"/>
      <c r="D103" s="9"/>
    </row>
    <row r="104" spans="1:20" ht="20.100000000000001" customHeight="1" x14ac:dyDescent="0.2">
      <c r="A104"/>
    </row>
    <row r="105" spans="1:20" ht="20.100000000000001" customHeight="1" x14ac:dyDescent="0.2">
      <c r="A105"/>
      <c r="D105" s="2" t="s">
        <v>2071</v>
      </c>
    </row>
    <row r="106" spans="1:20" ht="20.100000000000001" customHeight="1" x14ac:dyDescent="0.2">
      <c r="A106"/>
      <c r="D106" s="17" t="s">
        <v>2054</v>
      </c>
    </row>
    <row r="107" spans="1:20" ht="20.100000000000001" customHeight="1" x14ac:dyDescent="0.2">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20" t="s">
        <v>48</v>
      </c>
      <c r="E109" s="20" t="s">
        <v>33</v>
      </c>
      <c r="F109" s="20" t="s">
        <v>49</v>
      </c>
      <c r="G109" s="20" t="s">
        <v>50</v>
      </c>
    </row>
    <row r="110" spans="1:20" ht="20.100000000000001" customHeight="1" x14ac:dyDescent="0.2">
      <c r="A110"/>
      <c r="D110" s="20" t="s">
        <v>2072</v>
      </c>
      <c r="E110" s="20" t="s">
        <v>2073</v>
      </c>
      <c r="F110" s="20">
        <v>26</v>
      </c>
      <c r="G110" s="20">
        <v>999999</v>
      </c>
    </row>
    <row r="111" spans="1:20" ht="20.100000000000001" customHeight="1" x14ac:dyDescent="0.2">
      <c r="A111"/>
      <c r="D111" s="20" t="s">
        <v>2074</v>
      </c>
      <c r="E111" s="20" t="s">
        <v>2075</v>
      </c>
      <c r="F111" s="20">
        <v>15</v>
      </c>
      <c r="G111" s="20">
        <v>25.998999999999999</v>
      </c>
    </row>
    <row r="112" spans="1:20" ht="20.100000000000001" customHeight="1" x14ac:dyDescent="0.2">
      <c r="A112"/>
      <c r="D112" s="20" t="s">
        <v>2076</v>
      </c>
      <c r="E112" s="20" t="s">
        <v>2077</v>
      </c>
      <c r="F112" s="20">
        <v>-999999</v>
      </c>
      <c r="G112" s="20">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2078</v>
      </c>
      <c r="BN115" s="22"/>
    </row>
    <row r="116" spans="1:66" ht="20.100000000000001" customHeight="1" x14ac:dyDescent="0.2">
      <c r="A116"/>
      <c r="D116" s="17" t="s">
        <v>2054</v>
      </c>
      <c r="BN116" s="22"/>
    </row>
    <row r="117" spans="1:66" ht="20.100000000000001" customHeight="1" x14ac:dyDescent="0.2">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
      <c r="A118"/>
      <c r="BN118" s="22"/>
    </row>
    <row r="119" spans="1:66" ht="20.100000000000001" customHeight="1" x14ac:dyDescent="0.2">
      <c r="A119" s="81" t="str">
        <f>HYPERLINK("#A1", "▲ Back to top")</f>
        <v>▲ Back to top</v>
      </c>
      <c r="D119" s="20" t="s">
        <v>51</v>
      </c>
      <c r="E119" s="20" t="s">
        <v>52</v>
      </c>
      <c r="F119" s="20" t="s">
        <v>40</v>
      </c>
      <c r="G119" s="20" t="s">
        <v>41</v>
      </c>
      <c r="BN119" s="22"/>
    </row>
    <row r="120" spans="1:66" ht="20.100000000000001" customHeight="1" x14ac:dyDescent="0.2">
      <c r="A120"/>
      <c r="D120" s="20" t="s">
        <v>2079</v>
      </c>
      <c r="E120" s="20" t="s">
        <v>2080</v>
      </c>
      <c r="F120" s="20">
        <v>600.00099999999998</v>
      </c>
      <c r="G120" s="20">
        <v>999999</v>
      </c>
      <c r="BN120" s="22"/>
    </row>
    <row r="121" spans="1:66" ht="20.100000000000001" customHeight="1" x14ac:dyDescent="0.2">
      <c r="A121"/>
      <c r="D121" s="20" t="s">
        <v>2081</v>
      </c>
      <c r="E121" s="20" t="s">
        <v>2082</v>
      </c>
      <c r="F121" s="20">
        <v>-999999</v>
      </c>
      <c r="G121" s="20">
        <v>600</v>
      </c>
      <c r="BN121" s="22"/>
    </row>
    <row r="122" spans="1:66" ht="20.100000000000001" customHeight="1" x14ac:dyDescent="0.2">
      <c r="A122"/>
      <c r="BN122" s="22"/>
    </row>
    <row r="123" spans="1:66" ht="20.100000000000001" customHeight="1" x14ac:dyDescent="0.2">
      <c r="A123"/>
    </row>
    <row r="124" spans="1:66" ht="20.100000000000001" customHeight="1" x14ac:dyDescent="0.2">
      <c r="A124"/>
      <c r="D124" s="2" t="s">
        <v>2083</v>
      </c>
    </row>
    <row r="125" spans="1:66" ht="20.100000000000001" customHeight="1" x14ac:dyDescent="0.2">
      <c r="A125"/>
      <c r="D125" s="17" t="s">
        <v>2054</v>
      </c>
    </row>
    <row r="126" spans="1:66" ht="20.100000000000001" customHeight="1" x14ac:dyDescent="0.2">
      <c r="A126"/>
    </row>
    <row r="127" spans="1:66" ht="20.100000000000001" customHeight="1" x14ac:dyDescent="0.2">
      <c r="A127"/>
      <c r="D127" s="20" t="s">
        <v>53</v>
      </c>
      <c r="E127" s="20" t="s">
        <v>54</v>
      </c>
    </row>
    <row r="128" spans="1:66" ht="20.100000000000001" customHeight="1" x14ac:dyDescent="0.2">
      <c r="A128"/>
      <c r="D128" s="20" t="s">
        <v>2084</v>
      </c>
      <c r="E128" s="20" t="s">
        <v>2085</v>
      </c>
    </row>
    <row r="129" spans="1:77" ht="20.100000000000001" customHeight="1" x14ac:dyDescent="0.2">
      <c r="A129"/>
      <c r="D129" s="20" t="s">
        <v>2086</v>
      </c>
      <c r="E129" s="20" t="s">
        <v>2087</v>
      </c>
    </row>
    <row r="130" spans="1:77" ht="20.100000000000001" customHeight="1" x14ac:dyDescent="0.2">
      <c r="A130"/>
    </row>
    <row r="131" spans="1:77" ht="20.100000000000001" customHeight="1" x14ac:dyDescent="0.2">
      <c r="A131"/>
    </row>
    <row r="132" spans="1:77" ht="20.100000000000001" customHeight="1" x14ac:dyDescent="0.2">
      <c r="A132"/>
      <c r="D132" s="2" t="s">
        <v>2088</v>
      </c>
      <c r="E132" s="8"/>
    </row>
    <row r="133" spans="1:77" ht="20.100000000000001" customHeight="1" x14ac:dyDescent="0.2">
      <c r="A133"/>
      <c r="D133" s="17" t="s">
        <v>2089</v>
      </c>
      <c r="E133" s="8"/>
    </row>
    <row r="134" spans="1:77" ht="20.100000000000001" customHeight="1" x14ac:dyDescent="0.2">
      <c r="A134"/>
      <c r="D134" t="s">
        <v>55</v>
      </c>
      <c r="E134" t="s">
        <v>56</v>
      </c>
    </row>
    <row r="135" spans="1:77" ht="20.100000000000001" customHeight="1" x14ac:dyDescent="0.2">
      <c r="A135"/>
      <c r="D135" t="s">
        <v>2090</v>
      </c>
      <c r="E135">
        <v>1</v>
      </c>
    </row>
    <row r="136" spans="1:77" ht="20.100000000000001" customHeight="1" x14ac:dyDescent="0.2">
      <c r="A136"/>
      <c r="D136" s="1" t="s">
        <v>2091</v>
      </c>
      <c r="E136" s="20">
        <v>0</v>
      </c>
    </row>
    <row r="137" spans="1:77" ht="20.100000000000001" customHeight="1" x14ac:dyDescent="0.2">
      <c r="A137"/>
    </row>
    <row r="138" spans="1:77" ht="20.100000000000001" customHeight="1" x14ac:dyDescent="0.2">
      <c r="A138"/>
      <c r="BN138" s="22"/>
      <c r="BO138" s="22"/>
      <c r="BP138" s="22"/>
      <c r="BQ138" s="22"/>
      <c r="BR138" s="22"/>
      <c r="BS138" s="22"/>
      <c r="BT138" s="22"/>
      <c r="BU138" s="22"/>
      <c r="BV138" s="22"/>
      <c r="BW138" s="22"/>
      <c r="BX138" s="22"/>
      <c r="BY138" s="22"/>
    </row>
    <row r="139" spans="1:77" ht="20.100000000000001" customHeight="1" x14ac:dyDescent="0.2">
      <c r="A139"/>
      <c r="D139" s="2" t="s">
        <v>2092</v>
      </c>
      <c r="BN139" s="22"/>
      <c r="BO139" s="22"/>
      <c r="BP139" s="22"/>
      <c r="BQ139" s="22"/>
      <c r="BR139" s="22"/>
      <c r="BS139" s="22"/>
      <c r="BT139" s="22"/>
      <c r="BU139" s="22"/>
      <c r="BV139" s="22"/>
      <c r="BW139" s="22"/>
      <c r="BX139" s="22"/>
      <c r="BY139" s="22"/>
    </row>
    <row r="140" spans="1:77" ht="20.100000000000001" customHeight="1" x14ac:dyDescent="0.2">
      <c r="A140"/>
      <c r="D140" s="17" t="s">
        <v>2093</v>
      </c>
      <c r="BN140" s="22"/>
      <c r="BO140" s="22"/>
      <c r="BP140" s="22"/>
      <c r="BQ140" s="22"/>
      <c r="BR140" s="22"/>
      <c r="BS140" s="22"/>
      <c r="BT140" s="22"/>
      <c r="BU140" s="22"/>
      <c r="BV140" s="22"/>
      <c r="BW140" s="22"/>
      <c r="BX140" s="22"/>
      <c r="BY140" s="22"/>
    </row>
    <row r="141" spans="1:77" ht="20.100000000000001" customHeight="1" x14ac:dyDescent="0.2">
      <c r="A141"/>
      <c r="D141" s="26" t="s">
        <v>2094</v>
      </c>
      <c r="BN141" s="22"/>
    </row>
    <row r="142" spans="1:77" ht="20.100000000000001" customHeight="1" x14ac:dyDescent="0.2">
      <c r="A142"/>
      <c r="D142" s="20" t="s">
        <v>57</v>
      </c>
      <c r="E142" s="20" t="s">
        <v>56</v>
      </c>
      <c r="BN142" s="22"/>
    </row>
    <row r="143" spans="1:77" ht="20.100000000000001" customHeight="1" x14ac:dyDescent="0.2">
      <c r="A143"/>
      <c r="D143" s="20" t="s">
        <v>470</v>
      </c>
      <c r="E143" s="20">
        <v>0</v>
      </c>
      <c r="BN143" s="22"/>
    </row>
    <row r="144" spans="1:77" ht="20.100000000000001" customHeight="1" x14ac:dyDescent="0.2">
      <c r="A144"/>
      <c r="D144" s="1" t="s">
        <v>473</v>
      </c>
      <c r="E144" s="20">
        <v>0</v>
      </c>
      <c r="BN144" s="22"/>
    </row>
    <row r="145" spans="1:66" ht="20.100000000000001" customHeight="1" x14ac:dyDescent="0.2">
      <c r="A145"/>
      <c r="D145" s="1" t="s">
        <v>475</v>
      </c>
      <c r="E145" s="20">
        <v>1</v>
      </c>
      <c r="BN145" s="22"/>
    </row>
    <row r="146" spans="1:66" ht="20.100000000000001" customHeight="1" x14ac:dyDescent="0.2">
      <c r="A146"/>
      <c r="D146" s="1" t="s">
        <v>477</v>
      </c>
      <c r="E146" s="20">
        <v>1</v>
      </c>
      <c r="BN146" s="22"/>
    </row>
    <row r="147" spans="1:66" ht="20.100000000000001" customHeight="1" x14ac:dyDescent="0.2">
      <c r="A147"/>
      <c r="D147" s="1" t="s">
        <v>478</v>
      </c>
      <c r="E147" s="20">
        <v>1</v>
      </c>
      <c r="BN147" s="22"/>
    </row>
    <row r="148" spans="1:66" ht="20.100000000000001" customHeight="1" x14ac:dyDescent="0.2">
      <c r="A148"/>
      <c r="BN148" s="22"/>
    </row>
    <row r="149" spans="1:66" ht="20.100000000000001" customHeight="1" x14ac:dyDescent="0.2">
      <c r="A149" s="81" t="str">
        <f>HYPERLINK("#A1", "▲ Back to top")</f>
        <v>▲ Back to top</v>
      </c>
      <c r="BN149" s="22"/>
    </row>
    <row r="150" spans="1:66" ht="20.100000000000001" customHeight="1" x14ac:dyDescent="0.2">
      <c r="A150"/>
      <c r="D150" s="2" t="s">
        <v>2095</v>
      </c>
      <c r="BN150" s="22"/>
    </row>
    <row r="151" spans="1:66" ht="20.100000000000001" customHeight="1" x14ac:dyDescent="0.2">
      <c r="A151"/>
      <c r="D151" s="17" t="s">
        <v>2096</v>
      </c>
      <c r="BN151" s="22"/>
    </row>
    <row r="152" spans="1:66" ht="20.100000000000001" customHeight="1" x14ac:dyDescent="0.2">
      <c r="A152"/>
      <c r="BN152" s="22"/>
    </row>
    <row r="153" spans="1:66" ht="20.100000000000001" customHeight="1" x14ac:dyDescent="0.2">
      <c r="A153"/>
      <c r="D153" s="20" t="s">
        <v>58</v>
      </c>
      <c r="E153" s="20" t="s">
        <v>59</v>
      </c>
      <c r="BC153" s="25"/>
      <c r="BD153" s="25"/>
      <c r="BE153" s="25"/>
      <c r="BF153" s="25"/>
      <c r="BG153" s="25"/>
      <c r="BH153" s="25"/>
      <c r="BI153" s="25"/>
      <c r="BJ153" s="25"/>
      <c r="BK153" s="25"/>
      <c r="BL153" s="25"/>
      <c r="BM153" s="25"/>
    </row>
    <row r="154" spans="1:66" ht="20.100000000000001" customHeight="1" x14ac:dyDescent="0.2">
      <c r="A154"/>
      <c r="D154" s="20" t="s">
        <v>2097</v>
      </c>
      <c r="E154" s="20">
        <v>1</v>
      </c>
      <c r="BC154" s="25"/>
      <c r="BD154" s="25"/>
      <c r="BE154" s="25"/>
      <c r="BF154" s="25"/>
      <c r="BG154" s="25"/>
      <c r="BH154" s="25"/>
      <c r="BI154" s="25"/>
      <c r="BJ154" s="25"/>
      <c r="BK154" s="25"/>
      <c r="BL154" s="25"/>
      <c r="BM154" s="25"/>
    </row>
    <row r="155" spans="1:66" ht="20.100000000000001" customHeight="1" x14ac:dyDescent="0.2">
      <c r="A155"/>
      <c r="D155" s="20" t="s">
        <v>2098</v>
      </c>
      <c r="E155" s="20">
        <v>2</v>
      </c>
      <c r="BC155" s="25"/>
      <c r="BD155" s="25"/>
      <c r="BE155" s="25"/>
      <c r="BF155" s="25"/>
      <c r="BG155" s="25"/>
      <c r="BH155" s="25"/>
      <c r="BI155" s="25"/>
      <c r="BJ155" s="25"/>
      <c r="BK155" s="25"/>
      <c r="BL155" s="25"/>
      <c r="BM155" s="25"/>
    </row>
    <row r="156" spans="1:66" ht="20.100000000000001" customHeight="1" x14ac:dyDescent="0.2">
      <c r="A156"/>
      <c r="D156" s="20" t="s">
        <v>2099</v>
      </c>
      <c r="E156" s="20">
        <v>3</v>
      </c>
    </row>
    <row r="157" spans="1:66" ht="20.100000000000001" customHeight="1" x14ac:dyDescent="0.2">
      <c r="A157"/>
      <c r="D157" s="20" t="s">
        <v>2100</v>
      </c>
      <c r="E157" s="20">
        <v>4</v>
      </c>
    </row>
    <row r="158" spans="1:66" ht="20.100000000000001" customHeight="1" x14ac:dyDescent="0.2">
      <c r="A158"/>
      <c r="D158" s="20" t="s">
        <v>867</v>
      </c>
      <c r="E158" s="20">
        <v>5</v>
      </c>
    </row>
    <row r="159" spans="1:66" ht="20.100000000000001" customHeight="1" x14ac:dyDescent="0.2">
      <c r="A159"/>
    </row>
    <row r="160" spans="1:66" ht="20.100000000000001" customHeight="1" x14ac:dyDescent="0.2">
      <c r="A160"/>
    </row>
    <row r="161" spans="1:68" ht="20.100000000000001" customHeight="1" x14ac:dyDescent="0.2">
      <c r="A161"/>
      <c r="D161" s="2" t="s">
        <v>2088</v>
      </c>
      <c r="E161" s="8"/>
    </row>
    <row r="162" spans="1:68" ht="20.100000000000001" customHeight="1" x14ac:dyDescent="0.2">
      <c r="A162"/>
      <c r="D162" s="17" t="s">
        <v>2089</v>
      </c>
      <c r="E162" s="8"/>
    </row>
    <row r="163" spans="1:68" ht="20.100000000000001" customHeight="1" x14ac:dyDescent="0.2">
      <c r="A163"/>
      <c r="D163" s="17" t="s">
        <v>2101</v>
      </c>
      <c r="E163" s="8"/>
    </row>
    <row r="164" spans="1:68" ht="20.100000000000001" customHeight="1" x14ac:dyDescent="0.2">
      <c r="A164"/>
      <c r="D164" s="8" t="s">
        <v>1155</v>
      </c>
      <c r="E164" s="8">
        <v>0.24</v>
      </c>
    </row>
    <row r="165" spans="1:68" ht="20.100000000000001" customHeight="1" x14ac:dyDescent="0.2">
      <c r="A165"/>
      <c r="BN165" s="22"/>
      <c r="BO165" s="22"/>
      <c r="BP165" s="22"/>
    </row>
    <row r="166" spans="1:68" ht="20.100000000000001" customHeight="1" x14ac:dyDescent="0.2">
      <c r="A166"/>
      <c r="BN166" s="22"/>
      <c r="BO166" s="22"/>
      <c r="BP166" s="22"/>
    </row>
    <row r="167" spans="1:68" ht="20.100000000000001" customHeight="1" x14ac:dyDescent="0.2">
      <c r="A167"/>
      <c r="D167" s="2" t="s">
        <v>1632</v>
      </c>
      <c r="BN167" s="22"/>
      <c r="BO167" s="22"/>
      <c r="BP167" s="22"/>
    </row>
    <row r="168" spans="1:68" ht="20.100000000000001" customHeight="1" x14ac:dyDescent="0.2">
      <c r="A168"/>
      <c r="D168" s="17" t="s">
        <v>2089</v>
      </c>
      <c r="BN168" s="22"/>
      <c r="BO168" s="22"/>
      <c r="BP168" s="22"/>
    </row>
    <row r="169" spans="1:68" ht="20.100000000000001" customHeight="1" x14ac:dyDescent="0.2">
      <c r="A169"/>
      <c r="D169" s="17" t="s">
        <v>2102</v>
      </c>
      <c r="BN169" s="22"/>
      <c r="BO169" s="22"/>
      <c r="BP169" s="22"/>
    </row>
    <row r="170" spans="1:68" ht="20.100000000000001" customHeight="1" x14ac:dyDescent="0.2">
      <c r="A170"/>
      <c r="D170" s="1" t="s">
        <v>2103</v>
      </c>
      <c r="E170" s="1">
        <v>1.0999999999999999E-2</v>
      </c>
      <c r="BN170" s="22"/>
      <c r="BO170" s="22"/>
      <c r="BP170" s="22"/>
    </row>
    <row r="171" spans="1:68" ht="20.100000000000001" customHeight="1" x14ac:dyDescent="0.2">
      <c r="A171"/>
      <c r="BN171" s="22"/>
      <c r="BO171" s="22"/>
      <c r="BP171" s="22"/>
    </row>
    <row r="172" spans="1:68" ht="20.100000000000001" customHeight="1" x14ac:dyDescent="0.2">
      <c r="A172"/>
      <c r="BN172" s="22"/>
      <c r="BO172" s="22"/>
      <c r="BP172" s="22"/>
    </row>
    <row r="173" spans="1:68" ht="20.100000000000001" customHeight="1" x14ac:dyDescent="0.2">
      <c r="A173"/>
      <c r="D173" s="2" t="s">
        <v>2104</v>
      </c>
      <c r="BN173" s="22"/>
      <c r="BO173" s="22"/>
      <c r="BP173" s="22"/>
    </row>
    <row r="174" spans="1:68" ht="20.100000000000001" customHeight="1" x14ac:dyDescent="0.2">
      <c r="A174"/>
      <c r="D174" s="17" t="s">
        <v>2105</v>
      </c>
      <c r="BN174" s="22"/>
      <c r="BO174" s="22"/>
      <c r="BP174" s="22"/>
    </row>
    <row r="175" spans="1:68" ht="20.100000000000001" customHeight="1" x14ac:dyDescent="0.2">
      <c r="A175"/>
      <c r="D175" s="1">
        <v>0.6784</v>
      </c>
      <c r="E175" s="9" t="s">
        <v>2106</v>
      </c>
      <c r="BN175" s="22"/>
      <c r="BO175" s="22"/>
      <c r="BP175" s="22"/>
    </row>
    <row r="176" spans="1:68" ht="20.100000000000001" customHeight="1" x14ac:dyDescent="0.2">
      <c r="A176"/>
      <c r="BN176" s="22"/>
      <c r="BO176" s="22"/>
      <c r="BP176" s="22"/>
    </row>
    <row r="177" spans="1:68" ht="20.100000000000001" customHeight="1" x14ac:dyDescent="0.2">
      <c r="A177"/>
      <c r="BN177" s="22"/>
      <c r="BO177" s="22"/>
      <c r="BP177" s="22"/>
    </row>
    <row r="178" spans="1:68" ht="20.100000000000001" customHeight="1" x14ac:dyDescent="0.2">
      <c r="A178"/>
      <c r="D178" s="2" t="s">
        <v>2107</v>
      </c>
      <c r="BN178" s="22"/>
      <c r="BO178" s="22"/>
      <c r="BP178" s="22"/>
    </row>
    <row r="179" spans="1:68" ht="20.100000000000001" customHeight="1" x14ac:dyDescent="0.2">
      <c r="A179" s="81" t="str">
        <f>HYPERLINK("#A1", "▲ Back to top")</f>
        <v>▲ Back to top</v>
      </c>
      <c r="D179" s="17" t="s">
        <v>2108</v>
      </c>
      <c r="BN179" s="22"/>
      <c r="BO179" s="22"/>
      <c r="BP179" s="22"/>
    </row>
    <row r="180" spans="1:68" ht="20.100000000000001" customHeight="1" x14ac:dyDescent="0.2">
      <c r="A180"/>
      <c r="D180" s="9" t="s">
        <v>2109</v>
      </c>
    </row>
    <row r="181" spans="1:68" ht="20.100000000000001" customHeight="1" x14ac:dyDescent="0.2">
      <c r="A181"/>
      <c r="D181" s="26" t="s">
        <v>2110</v>
      </c>
    </row>
    <row r="182" spans="1:68" ht="20.100000000000001" customHeight="1" x14ac:dyDescent="0.2">
      <c r="A182"/>
      <c r="D182" s="26" t="s">
        <v>2111</v>
      </c>
    </row>
    <row r="183" spans="1:68" ht="20.100000000000001" customHeight="1" x14ac:dyDescent="0.2">
      <c r="A183"/>
      <c r="D183" s="26" t="s">
        <v>2112</v>
      </c>
    </row>
    <row r="184" spans="1:68" ht="20.100000000000001" customHeight="1" x14ac:dyDescent="0.2">
      <c r="A184"/>
      <c r="D184" s="26" t="s">
        <v>2113</v>
      </c>
    </row>
    <row r="185" spans="1:68" ht="20.100000000000001" customHeight="1" x14ac:dyDescent="0.2">
      <c r="A185"/>
      <c r="D185" s="26" t="s">
        <v>2114</v>
      </c>
    </row>
    <row r="186" spans="1:68" ht="20.100000000000001" customHeight="1" x14ac:dyDescent="0.2">
      <c r="A186"/>
      <c r="D186" s="20" t="s">
        <v>60</v>
      </c>
      <c r="E186" s="20" t="s">
        <v>61</v>
      </c>
      <c r="F186" s="20" t="s">
        <v>62</v>
      </c>
      <c r="G186" s="20" t="s">
        <v>63</v>
      </c>
      <c r="H186" s="20" t="s">
        <v>64</v>
      </c>
    </row>
    <row r="187" spans="1:68" ht="20.100000000000001" customHeight="1" x14ac:dyDescent="0.2">
      <c r="A187"/>
      <c r="D187" s="20" t="s">
        <v>2115</v>
      </c>
      <c r="E187" s="20">
        <v>5.8999999999999999E-3</v>
      </c>
      <c r="F187" s="20" t="s">
        <v>469</v>
      </c>
      <c r="G187" s="20" t="s">
        <v>2056</v>
      </c>
      <c r="H187" s="20" t="s">
        <v>2056</v>
      </c>
    </row>
    <row r="188" spans="1:68" ht="20.100000000000001" customHeight="1" x14ac:dyDescent="0.2">
      <c r="A188"/>
      <c r="D188" s="20" t="s">
        <v>2116</v>
      </c>
      <c r="E188" s="20">
        <v>7.0000000000000001E-3</v>
      </c>
      <c r="F188" s="20" t="s">
        <v>178</v>
      </c>
      <c r="G188" s="20" t="s">
        <v>2056</v>
      </c>
      <c r="H188" s="20" t="s">
        <v>2056</v>
      </c>
    </row>
    <row r="189" spans="1:68" ht="20.100000000000001" customHeight="1" x14ac:dyDescent="0.2">
      <c r="A189"/>
      <c r="D189" s="20" t="s">
        <v>2117</v>
      </c>
      <c r="E189" s="20">
        <v>1.8E-3</v>
      </c>
      <c r="F189" s="20" t="s">
        <v>469</v>
      </c>
      <c r="G189" s="20" t="s">
        <v>470</v>
      </c>
      <c r="H189" s="20" t="s">
        <v>2081</v>
      </c>
    </row>
    <row r="190" spans="1:68" ht="20.100000000000001" customHeight="1" x14ac:dyDescent="0.2">
      <c r="A190"/>
      <c r="D190" s="20" t="s">
        <v>2117</v>
      </c>
      <c r="E190" s="20">
        <v>1.8E-3</v>
      </c>
      <c r="F190" s="20" t="s">
        <v>469</v>
      </c>
      <c r="G190" s="20" t="s">
        <v>470</v>
      </c>
      <c r="H190" s="20" t="s">
        <v>2079</v>
      </c>
    </row>
    <row r="191" spans="1:68" ht="20.100000000000001" customHeight="1" x14ac:dyDescent="0.2">
      <c r="A191"/>
      <c r="D191" s="20" t="s">
        <v>2118</v>
      </c>
      <c r="E191" s="20">
        <v>2.8999999999999998E-3</v>
      </c>
      <c r="F191" s="20" t="s">
        <v>178</v>
      </c>
      <c r="G191" s="20" t="s">
        <v>470</v>
      </c>
      <c r="H191" s="20" t="s">
        <v>2081</v>
      </c>
    </row>
    <row r="192" spans="1:68" ht="20.100000000000001" customHeight="1" x14ac:dyDescent="0.2">
      <c r="A192"/>
      <c r="D192" s="20" t="s">
        <v>2119</v>
      </c>
      <c r="E192" s="20">
        <v>8.0000000000000002E-3</v>
      </c>
      <c r="F192" s="20" t="s">
        <v>178</v>
      </c>
      <c r="G192" s="20" t="s">
        <v>470</v>
      </c>
      <c r="H192" s="20" t="s">
        <v>2079</v>
      </c>
    </row>
    <row r="193" spans="1:8" ht="20.100000000000001" customHeight="1" x14ac:dyDescent="0.2">
      <c r="A193"/>
      <c r="D193" s="20" t="s">
        <v>2120</v>
      </c>
      <c r="E193" s="20">
        <v>1.9900000000000001E-2</v>
      </c>
      <c r="F193" s="20" t="s">
        <v>2120</v>
      </c>
      <c r="G193" s="20" t="s">
        <v>2056</v>
      </c>
      <c r="H193" s="20" t="s">
        <v>2056</v>
      </c>
    </row>
    <row r="194" spans="1:8" ht="20.100000000000001" customHeight="1" x14ac:dyDescent="0.2">
      <c r="A194"/>
      <c r="D194" s="20" t="s">
        <v>403</v>
      </c>
      <c r="E194" s="20">
        <v>5.3E-3</v>
      </c>
      <c r="F194" s="20" t="s">
        <v>403</v>
      </c>
      <c r="G194" s="20" t="s">
        <v>2056</v>
      </c>
      <c r="H194" s="20" t="s">
        <v>2056</v>
      </c>
    </row>
    <row r="195" spans="1:8" ht="20.100000000000001" customHeight="1" x14ac:dyDescent="0.2">
      <c r="A195"/>
      <c r="D195" s="20" t="s">
        <v>2121</v>
      </c>
      <c r="E195" s="20">
        <v>6.4000000000000003E-3</v>
      </c>
      <c r="F195" s="20" t="s">
        <v>2121</v>
      </c>
      <c r="G195" s="20" t="s">
        <v>2056</v>
      </c>
      <c r="H195" s="20" t="s">
        <v>2056</v>
      </c>
    </row>
    <row r="196" spans="1:8" ht="20.100000000000001" customHeight="1" x14ac:dyDescent="0.2">
      <c r="A196"/>
      <c r="D196" s="20" t="s">
        <v>2122</v>
      </c>
      <c r="E196" s="20">
        <v>3.0000000000000001E-3</v>
      </c>
      <c r="F196" s="20" t="s">
        <v>1514</v>
      </c>
      <c r="G196" s="20" t="s">
        <v>2123</v>
      </c>
      <c r="H196" s="20" t="s">
        <v>2056</v>
      </c>
    </row>
    <row r="197" spans="1:8" ht="20.100000000000001" customHeight="1" x14ac:dyDescent="0.2">
      <c r="A197"/>
      <c r="D197" s="20" t="s">
        <v>2124</v>
      </c>
      <c r="E197" s="20">
        <v>5.0000000000000001E-3</v>
      </c>
      <c r="F197" s="20" t="s">
        <v>1514</v>
      </c>
      <c r="G197" s="20" t="s">
        <v>2125</v>
      </c>
      <c r="H197" s="20" t="s">
        <v>2056</v>
      </c>
    </row>
    <row r="198" spans="1:8" ht="20.100000000000001" customHeight="1" x14ac:dyDescent="0.2">
      <c r="A198"/>
      <c r="D198" s="20" t="s">
        <v>2126</v>
      </c>
      <c r="E198" s="20">
        <v>2.5999999999999999E-3</v>
      </c>
      <c r="F198" s="20" t="s">
        <v>2126</v>
      </c>
      <c r="G198" s="20" t="s">
        <v>2056</v>
      </c>
      <c r="H198" s="20" t="s">
        <v>2056</v>
      </c>
    </row>
    <row r="199" spans="1:8" ht="20.100000000000001" customHeight="1" x14ac:dyDescent="0.2">
      <c r="A199"/>
      <c r="D199" s="20" t="s">
        <v>2127</v>
      </c>
      <c r="E199" s="20">
        <v>1.8E-3</v>
      </c>
      <c r="F199" s="20" t="s">
        <v>2127</v>
      </c>
      <c r="G199" s="20" t="s">
        <v>2056</v>
      </c>
      <c r="H199" s="20" t="s">
        <v>2056</v>
      </c>
    </row>
    <row r="200" spans="1:8" ht="20.100000000000001" customHeight="1" x14ac:dyDescent="0.2">
      <c r="A200"/>
    </row>
    <row r="201" spans="1:8" ht="20.100000000000001" customHeight="1" x14ac:dyDescent="0.2">
      <c r="A201"/>
    </row>
    <row r="202" spans="1:8" ht="20.100000000000001" customHeight="1" x14ac:dyDescent="0.2">
      <c r="A202"/>
      <c r="D202" s="2" t="s">
        <v>2128</v>
      </c>
    </row>
    <row r="203" spans="1:8" ht="20.100000000000001" customHeight="1" x14ac:dyDescent="0.2">
      <c r="A203"/>
      <c r="D203" s="17" t="s">
        <v>2129</v>
      </c>
    </row>
    <row r="204" spans="1:8" ht="20.100000000000001" customHeight="1" x14ac:dyDescent="0.2">
      <c r="A204"/>
      <c r="D204" s="26" t="s">
        <v>2130</v>
      </c>
    </row>
    <row r="205" spans="1:8" ht="20.100000000000001" customHeight="1" x14ac:dyDescent="0.2">
      <c r="A205"/>
      <c r="D205" s="9" t="s">
        <v>2131</v>
      </c>
    </row>
    <row r="206" spans="1:8" ht="20.100000000000001" customHeight="1" x14ac:dyDescent="0.2">
      <c r="A206"/>
      <c r="D206" s="20" t="s">
        <v>31</v>
      </c>
      <c r="E206" s="20" t="s">
        <v>65</v>
      </c>
    </row>
    <row r="207" spans="1:8" ht="20.100000000000001" customHeight="1" x14ac:dyDescent="0.2">
      <c r="A207"/>
      <c r="D207" s="20" t="s">
        <v>1530</v>
      </c>
      <c r="E207" s="20">
        <v>6.0000000000000001E-3</v>
      </c>
    </row>
    <row r="208" spans="1:8" ht="20.100000000000001" customHeight="1" x14ac:dyDescent="0.2">
      <c r="A208"/>
      <c r="D208" s="1" t="s">
        <v>1531</v>
      </c>
      <c r="E208" s="20">
        <v>2E-3</v>
      </c>
    </row>
    <row r="209" spans="1:5" ht="20.100000000000001" customHeight="1" x14ac:dyDescent="0.2">
      <c r="A209" s="81" t="str">
        <f>HYPERLINK("#A1", "▲ Back to top")</f>
        <v>▲ Back to top</v>
      </c>
    </row>
    <row r="210" spans="1:5" ht="20.100000000000001" customHeight="1" x14ac:dyDescent="0.2">
      <c r="A210"/>
    </row>
    <row r="211" spans="1:5" ht="20.100000000000001" customHeight="1" x14ac:dyDescent="0.2">
      <c r="A211"/>
      <c r="D211" s="1" t="s">
        <v>2132</v>
      </c>
    </row>
    <row r="212" spans="1:5" ht="20.100000000000001" customHeight="1" x14ac:dyDescent="0.2">
      <c r="A212"/>
      <c r="D212" s="20" t="s">
        <v>66</v>
      </c>
      <c r="E212" s="20" t="s">
        <v>67</v>
      </c>
    </row>
    <row r="213" spans="1:5" ht="20.100000000000001" customHeight="1" x14ac:dyDescent="0.2">
      <c r="A213"/>
      <c r="D213" s="20" t="s">
        <v>2133</v>
      </c>
      <c r="E213" s="20" t="s">
        <v>2134</v>
      </c>
    </row>
    <row r="214" spans="1:5" ht="20.100000000000001" customHeight="1" x14ac:dyDescent="0.2">
      <c r="A214"/>
      <c r="D214" s="1" t="s">
        <v>2135</v>
      </c>
      <c r="E214" s="20" t="s">
        <v>2134</v>
      </c>
    </row>
    <row r="215" spans="1:5" ht="20.100000000000001" customHeight="1" x14ac:dyDescent="0.2">
      <c r="A215"/>
      <c r="D215" s="1" t="s">
        <v>2136</v>
      </c>
      <c r="E215" s="20" t="s">
        <v>2137</v>
      </c>
    </row>
    <row r="216" spans="1:5" ht="20.100000000000001" customHeight="1" x14ac:dyDescent="0.2">
      <c r="A216"/>
      <c r="D216" s="1" t="s">
        <v>2138</v>
      </c>
      <c r="E216" s="20" t="s">
        <v>2137</v>
      </c>
    </row>
    <row r="217" spans="1:5" ht="20.100000000000001" customHeight="1" x14ac:dyDescent="0.2">
      <c r="A217"/>
      <c r="D217" s="1" t="s">
        <v>2139</v>
      </c>
      <c r="E217" s="20" t="s">
        <v>2137</v>
      </c>
    </row>
    <row r="218" spans="1:5" ht="20.100000000000001" customHeight="1" x14ac:dyDescent="0.2">
      <c r="A218"/>
      <c r="D218" s="1" t="s">
        <v>2140</v>
      </c>
      <c r="E218" s="20" t="s">
        <v>2141</v>
      </c>
    </row>
    <row r="219" spans="1:5" ht="20.100000000000001" customHeight="1" x14ac:dyDescent="0.2">
      <c r="A219"/>
      <c r="D219" s="1" t="s">
        <v>2142</v>
      </c>
      <c r="E219" s="20" t="s">
        <v>2141</v>
      </c>
    </row>
    <row r="220" spans="1:5" ht="20.100000000000001" customHeight="1" x14ac:dyDescent="0.2">
      <c r="A220"/>
      <c r="D220" s="1" t="s">
        <v>2143</v>
      </c>
      <c r="E220" s="20" t="s">
        <v>2141</v>
      </c>
    </row>
    <row r="221" spans="1:5" ht="20.100000000000001" customHeight="1" x14ac:dyDescent="0.2">
      <c r="A221"/>
      <c r="D221" s="1" t="s">
        <v>2144</v>
      </c>
      <c r="E221" s="20" t="s">
        <v>2145</v>
      </c>
    </row>
    <row r="222" spans="1:5" ht="20.100000000000001" customHeight="1" x14ac:dyDescent="0.2">
      <c r="A222"/>
      <c r="D222" s="1" t="s">
        <v>2146</v>
      </c>
      <c r="E222" s="20" t="s">
        <v>2145</v>
      </c>
    </row>
    <row r="223" spans="1:5" ht="20.100000000000001" customHeight="1" x14ac:dyDescent="0.2">
      <c r="A223"/>
      <c r="D223" s="1" t="s">
        <v>2147</v>
      </c>
      <c r="E223" s="20" t="s">
        <v>2145</v>
      </c>
    </row>
    <row r="224" spans="1:5" ht="20.100000000000001" customHeight="1" x14ac:dyDescent="0.2">
      <c r="A224"/>
      <c r="D224" s="1" t="s">
        <v>2148</v>
      </c>
      <c r="E224" s="20" t="s">
        <v>2134</v>
      </c>
    </row>
    <row r="225" spans="1:19" ht="20.100000000000001" customHeight="1" x14ac:dyDescent="0.2">
      <c r="A225"/>
    </row>
    <row r="226" spans="1:19" ht="20.100000000000001" customHeight="1" x14ac:dyDescent="0.2">
      <c r="A226"/>
    </row>
    <row r="227" spans="1:19" ht="20.100000000000001" customHeight="1" x14ac:dyDescent="0.2">
      <c r="A227"/>
      <c r="D227" s="2" t="s">
        <v>2149</v>
      </c>
    </row>
    <row r="228" spans="1:19" ht="20.100000000000001" customHeight="1" x14ac:dyDescent="0.2">
      <c r="A228"/>
      <c r="D228" s="17" t="s">
        <v>2150</v>
      </c>
    </row>
    <row r="229" spans="1:19" ht="20.100000000000001" customHeight="1" x14ac:dyDescent="0.2">
      <c r="A229"/>
      <c r="D229" s="26" t="s">
        <v>2151</v>
      </c>
    </row>
    <row r="230" spans="1:19" ht="20.100000000000001" customHeight="1" x14ac:dyDescent="0.2">
      <c r="A230"/>
    </row>
    <row r="231" spans="1:19" ht="20.100000000000001" customHeight="1" x14ac:dyDescent="0.2">
      <c r="A231"/>
      <c r="D231" s="20" t="s">
        <v>68</v>
      </c>
      <c r="E231" s="20" t="s">
        <v>69</v>
      </c>
      <c r="F231" s="27" t="s">
        <v>70</v>
      </c>
      <c r="G231" s="20" t="s">
        <v>71</v>
      </c>
      <c r="H231" s="20" t="s">
        <v>72</v>
      </c>
      <c r="I231" s="20" t="s">
        <v>73</v>
      </c>
      <c r="J231" s="20" t="s">
        <v>74</v>
      </c>
      <c r="K231" s="20" t="s">
        <v>75</v>
      </c>
      <c r="L231" s="20" t="s">
        <v>76</v>
      </c>
      <c r="M231" s="20" t="s">
        <v>77</v>
      </c>
      <c r="N231" s="20" t="s">
        <v>78</v>
      </c>
      <c r="O231" s="20" t="s">
        <v>79</v>
      </c>
      <c r="P231" s="20" t="s">
        <v>80</v>
      </c>
      <c r="Q231" s="20" t="s">
        <v>81</v>
      </c>
      <c r="R231" s="20" t="s">
        <v>82</v>
      </c>
      <c r="S231" s="20" t="s">
        <v>83</v>
      </c>
    </row>
    <row r="232" spans="1:19" ht="20.100000000000001" customHeight="1" x14ac:dyDescent="0.2">
      <c r="A232"/>
      <c r="D232" s="20" t="s">
        <v>2076</v>
      </c>
      <c r="E232" s="20" t="s">
        <v>2152</v>
      </c>
      <c r="F232" s="20">
        <v>0.66</v>
      </c>
      <c r="G232" s="20">
        <v>0.1</v>
      </c>
      <c r="H232" s="20">
        <v>0.1</v>
      </c>
      <c r="I232" s="20">
        <v>1E-3</v>
      </c>
      <c r="J232" s="20">
        <v>5.0000000000000001E-3</v>
      </c>
      <c r="K232" s="20">
        <v>0.02</v>
      </c>
      <c r="L232" s="20">
        <v>0.03</v>
      </c>
      <c r="M232" s="20">
        <v>0.04</v>
      </c>
      <c r="N232" s="20">
        <v>1.4999999999999999E-2</v>
      </c>
      <c r="O232" s="20">
        <v>1.4999999999999999E-2</v>
      </c>
      <c r="P232" s="20">
        <v>0</v>
      </c>
      <c r="Q232" s="20">
        <v>0</v>
      </c>
      <c r="R232" s="20">
        <v>4.7000000000000002E-3</v>
      </c>
      <c r="S232" s="20">
        <v>10</v>
      </c>
    </row>
    <row r="233" spans="1:19" ht="20.100000000000001" customHeight="1" x14ac:dyDescent="0.2">
      <c r="A233"/>
      <c r="D233" s="1" t="s">
        <v>2076</v>
      </c>
      <c r="E233" s="20">
        <v>11</v>
      </c>
      <c r="F233" s="20">
        <v>0.68</v>
      </c>
      <c r="G233" s="20">
        <v>0.1</v>
      </c>
      <c r="H233" s="20">
        <v>0.11</v>
      </c>
      <c r="I233" s="20">
        <v>1E-3</v>
      </c>
      <c r="J233" s="20">
        <v>5.0000000000000001E-3</v>
      </c>
      <c r="K233" s="20">
        <v>0.02</v>
      </c>
      <c r="L233" s="20">
        <v>0.03</v>
      </c>
      <c r="M233" s="20">
        <v>0.04</v>
      </c>
      <c r="N233" s="20">
        <v>1.4999999999999999E-2</v>
      </c>
      <c r="O233" s="20">
        <v>1.4999999999999999E-2</v>
      </c>
      <c r="P233" s="20">
        <v>0</v>
      </c>
      <c r="Q233" s="20">
        <v>0</v>
      </c>
      <c r="R233" s="20">
        <v>4.7000000000000002E-3</v>
      </c>
      <c r="S233" s="20">
        <v>11</v>
      </c>
    </row>
    <row r="234" spans="1:19" ht="20.100000000000001" customHeight="1" x14ac:dyDescent="0.2">
      <c r="A234"/>
      <c r="D234" s="1" t="s">
        <v>2076</v>
      </c>
      <c r="E234" s="20">
        <v>12</v>
      </c>
      <c r="F234" s="20">
        <v>0.7</v>
      </c>
      <c r="G234" s="20">
        <v>0.1</v>
      </c>
      <c r="H234" s="20">
        <v>0.13</v>
      </c>
      <c r="I234" s="20">
        <v>1E-3</v>
      </c>
      <c r="J234" s="20">
        <v>5.0000000000000001E-3</v>
      </c>
      <c r="K234" s="20">
        <v>0.02</v>
      </c>
      <c r="L234" s="20">
        <v>0.03</v>
      </c>
      <c r="M234" s="20">
        <v>0.04</v>
      </c>
      <c r="N234" s="20">
        <v>1.4999999999999999E-2</v>
      </c>
      <c r="O234" s="20">
        <v>1.4999999999999999E-2</v>
      </c>
      <c r="P234" s="20">
        <v>0</v>
      </c>
      <c r="Q234" s="20">
        <v>0</v>
      </c>
      <c r="R234" s="20">
        <v>4.7000000000000002E-3</v>
      </c>
      <c r="S234" s="20">
        <v>12</v>
      </c>
    </row>
    <row r="235" spans="1:19" ht="20.100000000000001" customHeight="1" x14ac:dyDescent="0.2">
      <c r="A235"/>
      <c r="D235" s="1" t="s">
        <v>2076</v>
      </c>
      <c r="E235" s="20">
        <v>13</v>
      </c>
      <c r="F235" s="20">
        <v>0.71</v>
      </c>
      <c r="G235" s="20">
        <v>0.1</v>
      </c>
      <c r="H235" s="20">
        <v>0.14000000000000001</v>
      </c>
      <c r="I235" s="20">
        <v>1E-3</v>
      </c>
      <c r="J235" s="20">
        <v>5.0000000000000001E-3</v>
      </c>
      <c r="K235" s="20">
        <v>0.02</v>
      </c>
      <c r="L235" s="20">
        <v>0.03</v>
      </c>
      <c r="M235" s="20">
        <v>0.04</v>
      </c>
      <c r="N235" s="20">
        <v>1.4999999999999999E-2</v>
      </c>
      <c r="O235" s="20">
        <v>1.4999999999999999E-2</v>
      </c>
      <c r="P235" s="20">
        <v>0</v>
      </c>
      <c r="Q235" s="20">
        <v>0</v>
      </c>
      <c r="R235" s="20">
        <v>4.7000000000000002E-3</v>
      </c>
      <c r="S235" s="20">
        <v>13</v>
      </c>
    </row>
    <row r="236" spans="1:19" ht="20.100000000000001" customHeight="1" x14ac:dyDescent="0.2">
      <c r="A236"/>
      <c r="D236" s="1" t="s">
        <v>2076</v>
      </c>
      <c r="E236" s="20">
        <v>14</v>
      </c>
      <c r="F236" s="20">
        <v>0.73</v>
      </c>
      <c r="G236" s="20">
        <v>0.1</v>
      </c>
      <c r="H236" s="20">
        <v>0.15</v>
      </c>
      <c r="I236" s="20">
        <v>1E-3</v>
      </c>
      <c r="J236" s="20">
        <v>5.0000000000000001E-3</v>
      </c>
      <c r="K236" s="20">
        <v>0.02</v>
      </c>
      <c r="L236" s="20">
        <v>0.03</v>
      </c>
      <c r="M236" s="20">
        <v>0.04</v>
      </c>
      <c r="N236" s="20">
        <v>1.4999999999999999E-2</v>
      </c>
      <c r="O236" s="20">
        <v>1.4999999999999999E-2</v>
      </c>
      <c r="P236" s="20">
        <v>0</v>
      </c>
      <c r="Q236" s="20">
        <v>0</v>
      </c>
      <c r="R236" s="20">
        <v>4.7000000000000002E-3</v>
      </c>
      <c r="S236" s="20">
        <v>14</v>
      </c>
    </row>
    <row r="237" spans="1:19" ht="20.100000000000001" customHeight="1" x14ac:dyDescent="0.2">
      <c r="A237"/>
      <c r="D237" s="1" t="s">
        <v>2074</v>
      </c>
      <c r="E237" s="20">
        <v>15</v>
      </c>
      <c r="F237" s="20">
        <v>0.74</v>
      </c>
      <c r="G237" s="20">
        <v>0.1</v>
      </c>
      <c r="H237" s="20">
        <v>0.17</v>
      </c>
      <c r="I237" s="20">
        <v>5.0000000000000001E-3</v>
      </c>
      <c r="J237" s="20">
        <v>0.01</v>
      </c>
      <c r="K237" s="20">
        <v>0.02</v>
      </c>
      <c r="L237" s="20">
        <v>0.03</v>
      </c>
      <c r="M237" s="20">
        <v>0.04</v>
      </c>
      <c r="N237" s="20">
        <v>1.4999999999999999E-2</v>
      </c>
      <c r="O237" s="20">
        <v>1.4999999999999999E-2</v>
      </c>
      <c r="P237" s="20">
        <v>0</v>
      </c>
      <c r="Q237" s="20">
        <v>0</v>
      </c>
      <c r="R237" s="20">
        <v>4.7000000000000002E-3</v>
      </c>
      <c r="S237" s="20">
        <v>15</v>
      </c>
    </row>
    <row r="238" spans="1:19" ht="20.100000000000001" customHeight="1" x14ac:dyDescent="0.2">
      <c r="A238"/>
      <c r="D238" s="1" t="s">
        <v>2074</v>
      </c>
      <c r="E238" s="20">
        <v>16</v>
      </c>
      <c r="F238" s="20">
        <v>0.75</v>
      </c>
      <c r="G238" s="20">
        <v>0.1</v>
      </c>
      <c r="H238" s="20">
        <v>0.18</v>
      </c>
      <c r="I238" s="20">
        <v>5.0000000000000001E-3</v>
      </c>
      <c r="J238" s="20">
        <v>0.01</v>
      </c>
      <c r="K238" s="20">
        <v>0.02</v>
      </c>
      <c r="L238" s="20">
        <v>0.03</v>
      </c>
      <c r="M238" s="20">
        <v>0.04</v>
      </c>
      <c r="N238" s="20">
        <v>1.4999999999999999E-2</v>
      </c>
      <c r="O238" s="20">
        <v>1.4999999999999999E-2</v>
      </c>
      <c r="P238" s="20">
        <v>0</v>
      </c>
      <c r="Q238" s="20">
        <v>0</v>
      </c>
      <c r="R238" s="20">
        <v>4.7000000000000002E-3</v>
      </c>
      <c r="S238" s="20">
        <v>16</v>
      </c>
    </row>
    <row r="239" spans="1:19" ht="20.100000000000001" customHeight="1" x14ac:dyDescent="0.2">
      <c r="A239" s="81" t="str">
        <f>HYPERLINK("#A1", "▲ Back to top")</f>
        <v>▲ Back to top</v>
      </c>
      <c r="D239" s="1" t="s">
        <v>2074</v>
      </c>
      <c r="E239" s="20">
        <v>17</v>
      </c>
      <c r="F239" s="20">
        <v>0.76</v>
      </c>
      <c r="G239" s="20">
        <v>0.1</v>
      </c>
      <c r="H239" s="20">
        <v>0.2</v>
      </c>
      <c r="I239" s="20">
        <v>5.0000000000000001E-3</v>
      </c>
      <c r="J239" s="20">
        <v>0.01</v>
      </c>
      <c r="K239" s="20">
        <v>0.02</v>
      </c>
      <c r="L239" s="20">
        <v>0.03</v>
      </c>
      <c r="M239" s="20">
        <v>0.04</v>
      </c>
      <c r="N239" s="20">
        <v>1.4999999999999999E-2</v>
      </c>
      <c r="O239" s="20">
        <v>1.4999999999999999E-2</v>
      </c>
      <c r="P239" s="20">
        <v>0</v>
      </c>
      <c r="Q239" s="20">
        <v>0</v>
      </c>
      <c r="R239" s="20">
        <v>4.7000000000000002E-3</v>
      </c>
      <c r="S239" s="20">
        <v>17</v>
      </c>
    </row>
    <row r="240" spans="1:19" ht="20.100000000000001" customHeight="1" x14ac:dyDescent="0.2">
      <c r="A240"/>
      <c r="D240" s="1" t="s">
        <v>2074</v>
      </c>
      <c r="E240" s="20">
        <v>18</v>
      </c>
      <c r="F240" s="20">
        <v>0.77</v>
      </c>
      <c r="G240" s="20">
        <v>0.1</v>
      </c>
      <c r="H240" s="20">
        <v>0.22</v>
      </c>
      <c r="I240" s="20">
        <v>5.0000000000000001E-3</v>
      </c>
      <c r="J240" s="20">
        <v>0.01</v>
      </c>
      <c r="K240" s="20">
        <v>0.02</v>
      </c>
      <c r="L240" s="20">
        <v>0.03</v>
      </c>
      <c r="M240" s="20">
        <v>0.04</v>
      </c>
      <c r="N240" s="20">
        <v>1.4999999999999999E-2</v>
      </c>
      <c r="O240" s="20">
        <v>1.4999999999999999E-2</v>
      </c>
      <c r="P240" s="20">
        <v>0</v>
      </c>
      <c r="Q240" s="20">
        <v>0</v>
      </c>
      <c r="R240" s="20">
        <v>4.7000000000000002E-3</v>
      </c>
      <c r="S240" s="20">
        <v>18</v>
      </c>
    </row>
    <row r="241" spans="1:19" ht="20.100000000000001" customHeight="1" x14ac:dyDescent="0.2">
      <c r="A241"/>
      <c r="D241" s="1" t="s">
        <v>2074</v>
      </c>
      <c r="E241" s="20">
        <v>19</v>
      </c>
      <c r="F241" s="20">
        <v>0.77</v>
      </c>
      <c r="G241" s="20">
        <v>0.1</v>
      </c>
      <c r="H241" s="20">
        <v>0.24</v>
      </c>
      <c r="I241" s="20">
        <v>5.0000000000000001E-3</v>
      </c>
      <c r="J241" s="20">
        <v>0.01</v>
      </c>
      <c r="K241" s="20">
        <v>0.02</v>
      </c>
      <c r="L241" s="20">
        <v>0.03</v>
      </c>
      <c r="M241" s="20">
        <v>0.04</v>
      </c>
      <c r="N241" s="20">
        <v>1.4999999999999999E-2</v>
      </c>
      <c r="O241" s="20">
        <v>1.4999999999999999E-2</v>
      </c>
      <c r="P241" s="20">
        <v>0</v>
      </c>
      <c r="Q241" s="20">
        <v>0</v>
      </c>
      <c r="R241" s="20">
        <v>4.7000000000000002E-3</v>
      </c>
      <c r="S241" s="20">
        <v>19</v>
      </c>
    </row>
    <row r="242" spans="1:19" ht="20.100000000000001" customHeight="1" x14ac:dyDescent="0.2">
      <c r="A242"/>
      <c r="D242" s="1" t="s">
        <v>2074</v>
      </c>
      <c r="E242" s="20">
        <v>20</v>
      </c>
      <c r="F242" s="20">
        <v>0.78</v>
      </c>
      <c r="G242" s="20">
        <v>0.1</v>
      </c>
      <c r="H242" s="20">
        <v>0.26</v>
      </c>
      <c r="I242" s="20">
        <v>5.0000000000000001E-3</v>
      </c>
      <c r="J242" s="20">
        <v>0.01</v>
      </c>
      <c r="K242" s="20">
        <v>0.02</v>
      </c>
      <c r="L242" s="20">
        <v>0.03</v>
      </c>
      <c r="M242" s="20">
        <v>0.04</v>
      </c>
      <c r="N242" s="20">
        <v>1.4999999999999999E-2</v>
      </c>
      <c r="O242" s="20">
        <v>1.4999999999999999E-2</v>
      </c>
      <c r="P242" s="20">
        <v>0</v>
      </c>
      <c r="Q242" s="20">
        <v>0</v>
      </c>
      <c r="R242" s="20">
        <v>4.7000000000000002E-3</v>
      </c>
      <c r="S242" s="20">
        <v>20</v>
      </c>
    </row>
    <row r="243" spans="1:19" ht="20.100000000000001" customHeight="1" x14ac:dyDescent="0.2">
      <c r="A243"/>
      <c r="D243" s="1" t="s">
        <v>2074</v>
      </c>
      <c r="E243" s="20">
        <v>21</v>
      </c>
      <c r="F243" s="20">
        <v>0.78</v>
      </c>
      <c r="G243" s="20">
        <v>0.1</v>
      </c>
      <c r="H243" s="20">
        <v>0.28999999999999998</v>
      </c>
      <c r="I243" s="20">
        <v>5.0000000000000001E-3</v>
      </c>
      <c r="J243" s="20">
        <v>0.01</v>
      </c>
      <c r="K243" s="20">
        <v>0.02</v>
      </c>
      <c r="L243" s="20">
        <v>0.03</v>
      </c>
      <c r="M243" s="20">
        <v>0.04</v>
      </c>
      <c r="N243" s="20">
        <v>1.4999999999999999E-2</v>
      </c>
      <c r="O243" s="20">
        <v>1.4999999999999999E-2</v>
      </c>
      <c r="P243" s="20">
        <v>0</v>
      </c>
      <c r="Q243" s="20">
        <v>0</v>
      </c>
      <c r="R243" s="20">
        <v>4.7000000000000002E-3</v>
      </c>
      <c r="S243" s="20">
        <v>21</v>
      </c>
    </row>
    <row r="244" spans="1:19" ht="20.100000000000001" customHeight="1" x14ac:dyDescent="0.2">
      <c r="A244"/>
      <c r="D244" s="1" t="s">
        <v>2074</v>
      </c>
      <c r="E244" s="20">
        <v>22</v>
      </c>
      <c r="F244" s="20">
        <v>0.78</v>
      </c>
      <c r="G244" s="20">
        <v>0.1</v>
      </c>
      <c r="H244" s="20">
        <v>0.31</v>
      </c>
      <c r="I244" s="20">
        <v>5.0000000000000001E-3</v>
      </c>
      <c r="J244" s="20">
        <v>0.01</v>
      </c>
      <c r="K244" s="20">
        <v>0.02</v>
      </c>
      <c r="L244" s="20">
        <v>0.03</v>
      </c>
      <c r="M244" s="20">
        <v>0.04</v>
      </c>
      <c r="N244" s="20">
        <v>1.4999999999999999E-2</v>
      </c>
      <c r="O244" s="20">
        <v>1.4999999999999999E-2</v>
      </c>
      <c r="P244" s="20">
        <v>0</v>
      </c>
      <c r="Q244" s="20">
        <v>0</v>
      </c>
      <c r="R244" s="20">
        <v>4.7000000000000002E-3</v>
      </c>
      <c r="S244" s="20">
        <v>22</v>
      </c>
    </row>
    <row r="245" spans="1:19" ht="20.100000000000001" customHeight="1" x14ac:dyDescent="0.2">
      <c r="A245"/>
      <c r="D245" s="1" t="s">
        <v>2074</v>
      </c>
      <c r="E245" s="20">
        <v>23</v>
      </c>
      <c r="F245" s="20">
        <v>0.79</v>
      </c>
      <c r="G245" s="20">
        <v>0.1</v>
      </c>
      <c r="H245" s="20">
        <v>0.34</v>
      </c>
      <c r="I245" s="20">
        <v>5.0000000000000001E-3</v>
      </c>
      <c r="J245" s="20">
        <v>0.01</v>
      </c>
      <c r="K245" s="20">
        <v>0.02</v>
      </c>
      <c r="L245" s="20">
        <v>0.03</v>
      </c>
      <c r="M245" s="20">
        <v>0.04</v>
      </c>
      <c r="N245" s="20">
        <v>1.4999999999999999E-2</v>
      </c>
      <c r="O245" s="20">
        <v>1.4999999999999999E-2</v>
      </c>
      <c r="P245" s="20">
        <v>0</v>
      </c>
      <c r="Q245" s="20">
        <v>0</v>
      </c>
      <c r="R245" s="20">
        <v>4.7000000000000002E-3</v>
      </c>
      <c r="S245" s="20">
        <v>23</v>
      </c>
    </row>
    <row r="246" spans="1:19" ht="20.100000000000001" customHeight="1" x14ac:dyDescent="0.2">
      <c r="A246"/>
      <c r="D246" s="1" t="s">
        <v>2074</v>
      </c>
      <c r="E246" s="20">
        <v>24</v>
      </c>
      <c r="F246" s="20">
        <v>0.79</v>
      </c>
      <c r="G246" s="20">
        <v>0.1</v>
      </c>
      <c r="H246" s="20">
        <v>0.37</v>
      </c>
      <c r="I246" s="20">
        <v>5.0000000000000001E-3</v>
      </c>
      <c r="J246" s="20">
        <v>0.01</v>
      </c>
      <c r="K246" s="20">
        <v>0.02</v>
      </c>
      <c r="L246" s="20">
        <v>0.03</v>
      </c>
      <c r="M246" s="20">
        <v>0.04</v>
      </c>
      <c r="N246" s="20">
        <v>1.4999999999999999E-2</v>
      </c>
      <c r="O246" s="20">
        <v>1.4999999999999999E-2</v>
      </c>
      <c r="P246" s="20">
        <v>0</v>
      </c>
      <c r="Q246" s="20">
        <v>0</v>
      </c>
      <c r="R246" s="20">
        <v>4.7000000000000002E-3</v>
      </c>
      <c r="S246" s="20">
        <v>24</v>
      </c>
    </row>
    <row r="247" spans="1:19" ht="20.100000000000001" customHeight="1" x14ac:dyDescent="0.2">
      <c r="A247"/>
      <c r="D247" s="1" t="s">
        <v>2074</v>
      </c>
      <c r="E247" s="20">
        <v>25</v>
      </c>
      <c r="F247" s="20">
        <v>0.79</v>
      </c>
      <c r="G247" s="20">
        <v>0.1</v>
      </c>
      <c r="H247" s="20">
        <v>0.41</v>
      </c>
      <c r="I247" s="20">
        <v>5.0000000000000001E-3</v>
      </c>
      <c r="J247" s="20">
        <v>0.01</v>
      </c>
      <c r="K247" s="20">
        <v>0.02</v>
      </c>
      <c r="L247" s="20">
        <v>0.03</v>
      </c>
      <c r="M247" s="20">
        <v>0.04</v>
      </c>
      <c r="N247" s="20">
        <v>1.4999999999999999E-2</v>
      </c>
      <c r="O247" s="20">
        <v>1.4999999999999999E-2</v>
      </c>
      <c r="P247" s="20">
        <v>0</v>
      </c>
      <c r="Q247" s="20">
        <v>0</v>
      </c>
      <c r="R247" s="20">
        <v>4.7000000000000002E-3</v>
      </c>
      <c r="S247" s="20">
        <v>25</v>
      </c>
    </row>
    <row r="248" spans="1:19" ht="20.100000000000001" customHeight="1" x14ac:dyDescent="0.2">
      <c r="A248"/>
      <c r="D248" s="1" t="s">
        <v>2072</v>
      </c>
      <c r="E248" s="20">
        <v>26</v>
      </c>
      <c r="F248" s="20">
        <v>0.79</v>
      </c>
      <c r="G248" s="20">
        <v>0.1</v>
      </c>
      <c r="H248" s="20">
        <v>0.44</v>
      </c>
      <c r="I248" s="20">
        <v>0.01</v>
      </c>
      <c r="J248" s="20">
        <v>1.4999999999999999E-2</v>
      </c>
      <c r="K248" s="20">
        <v>0.02</v>
      </c>
      <c r="L248" s="20">
        <v>0.03</v>
      </c>
      <c r="M248" s="20">
        <v>0.04</v>
      </c>
      <c r="N248" s="20">
        <v>1.4999999999999999E-2</v>
      </c>
      <c r="O248" s="20">
        <v>1.4999999999999999E-2</v>
      </c>
      <c r="P248" s="20">
        <v>0</v>
      </c>
      <c r="Q248" s="20">
        <v>0</v>
      </c>
      <c r="R248" s="20">
        <v>4.7000000000000002E-3</v>
      </c>
      <c r="S248" s="20">
        <v>26</v>
      </c>
    </row>
    <row r="249" spans="1:19" ht="20.100000000000001" customHeight="1" x14ac:dyDescent="0.2">
      <c r="A249"/>
      <c r="D249" s="1" t="s">
        <v>2072</v>
      </c>
      <c r="E249" s="20">
        <v>27</v>
      </c>
      <c r="F249" s="20">
        <v>0.8</v>
      </c>
      <c r="G249" s="20">
        <v>0.1</v>
      </c>
      <c r="H249" s="20">
        <v>0.48</v>
      </c>
      <c r="I249" s="20">
        <v>0.01</v>
      </c>
      <c r="J249" s="20">
        <v>1.4999999999999999E-2</v>
      </c>
      <c r="K249" s="20">
        <v>0.02</v>
      </c>
      <c r="L249" s="20">
        <v>0.03</v>
      </c>
      <c r="M249" s="20">
        <v>0.04</v>
      </c>
      <c r="N249" s="20">
        <v>1.4999999999999999E-2</v>
      </c>
      <c r="O249" s="20">
        <v>1.4999999999999999E-2</v>
      </c>
      <c r="P249" s="20">
        <v>0</v>
      </c>
      <c r="Q249" s="20">
        <v>0</v>
      </c>
      <c r="R249" s="20">
        <v>4.7000000000000002E-3</v>
      </c>
      <c r="S249" s="20">
        <v>27</v>
      </c>
    </row>
    <row r="250" spans="1:19" ht="20.100000000000001" customHeight="1" x14ac:dyDescent="0.2">
      <c r="A250"/>
      <c r="D250" s="1" t="s">
        <v>2072</v>
      </c>
      <c r="E250" s="20" t="s">
        <v>2153</v>
      </c>
      <c r="F250" s="20">
        <v>0.8</v>
      </c>
      <c r="G250" s="20">
        <v>0.1</v>
      </c>
      <c r="H250" s="20">
        <v>0.5</v>
      </c>
      <c r="I250" s="20">
        <v>0.01</v>
      </c>
      <c r="J250" s="20">
        <v>1.4999999999999999E-2</v>
      </c>
      <c r="K250" s="20">
        <v>0.02</v>
      </c>
      <c r="L250" s="20">
        <v>0.03</v>
      </c>
      <c r="M250" s="20">
        <v>0.04</v>
      </c>
      <c r="N250" s="20">
        <v>1.4999999999999999E-2</v>
      </c>
      <c r="O250" s="20">
        <v>1.4999999999999999E-2</v>
      </c>
      <c r="P250" s="20">
        <v>0</v>
      </c>
      <c r="Q250" s="20">
        <v>0</v>
      </c>
      <c r="R250" s="20">
        <v>4.7000000000000002E-3</v>
      </c>
      <c r="S250" s="20">
        <v>28</v>
      </c>
    </row>
    <row r="251" spans="1:19" ht="20.100000000000001" customHeight="1" x14ac:dyDescent="0.2">
      <c r="A251"/>
    </row>
    <row r="252" spans="1:19" ht="20.100000000000001" customHeight="1" x14ac:dyDescent="0.2">
      <c r="A252"/>
    </row>
    <row r="253" spans="1:19" ht="20.100000000000001" customHeight="1" x14ac:dyDescent="0.2">
      <c r="A253"/>
      <c r="D253" s="2" t="s">
        <v>1528</v>
      </c>
    </row>
    <row r="254" spans="1:19" ht="20.100000000000001" customHeight="1" x14ac:dyDescent="0.2">
      <c r="A254"/>
      <c r="D254" s="17" t="s">
        <v>1529</v>
      </c>
    </row>
    <row r="255" spans="1:19" ht="20.100000000000001" customHeight="1" x14ac:dyDescent="0.2">
      <c r="A255"/>
      <c r="D255" s="1" t="s">
        <v>85</v>
      </c>
    </row>
    <row r="256" spans="1:19" ht="20.100000000000001" customHeight="1" x14ac:dyDescent="0.2">
      <c r="A256"/>
      <c r="D256" s="9" t="s">
        <v>2131</v>
      </c>
    </row>
    <row r="257" spans="1:66" ht="20.100000000000001" customHeight="1" x14ac:dyDescent="0.2">
      <c r="A257"/>
      <c r="D257" s="20" t="s">
        <v>84</v>
      </c>
      <c r="E257" s="20" t="s">
        <v>85</v>
      </c>
    </row>
    <row r="258" spans="1:66" ht="20.100000000000001" customHeight="1" x14ac:dyDescent="0.2">
      <c r="A258"/>
      <c r="D258" s="20" t="s">
        <v>1530</v>
      </c>
      <c r="E258" s="20">
        <v>6.0000000000000001E-3</v>
      </c>
    </row>
    <row r="259" spans="1:66" ht="20.100000000000001" customHeight="1" x14ac:dyDescent="0.2">
      <c r="A259"/>
      <c r="D259" s="1" t="s">
        <v>1531</v>
      </c>
      <c r="E259" s="20">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189</v>
      </c>
    </row>
    <row r="264" spans="1:66" ht="20.100000000000001" customHeight="1" x14ac:dyDescent="0.2">
      <c r="A264"/>
      <c r="D264" s="1" t="s">
        <v>190</v>
      </c>
    </row>
    <row r="265" spans="1:66" ht="20.100000000000001" customHeight="1" x14ac:dyDescent="0.2">
      <c r="A265"/>
      <c r="D265" s="20" t="s">
        <v>233</v>
      </c>
      <c r="E265" s="20" t="s">
        <v>191</v>
      </c>
      <c r="F265" s="20" t="s">
        <v>192</v>
      </c>
      <c r="G265" s="20" t="s">
        <v>185</v>
      </c>
      <c r="V265" s="1"/>
      <c r="BN265" s="22"/>
    </row>
    <row r="266" spans="1:66" ht="20.100000000000001" customHeight="1" x14ac:dyDescent="0.2">
      <c r="A266"/>
      <c r="D266" s="20" t="s">
        <v>234</v>
      </c>
      <c r="E266" s="20" t="s">
        <v>193</v>
      </c>
      <c r="F266" s="20" t="s">
        <v>194</v>
      </c>
      <c r="G266" s="20">
        <v>5</v>
      </c>
      <c r="V266" s="1"/>
      <c r="BN266" s="22"/>
    </row>
    <row r="267" spans="1:66" ht="20.100000000000001" customHeight="1" x14ac:dyDescent="0.2">
      <c r="A267"/>
      <c r="D267" s="20" t="s">
        <v>235</v>
      </c>
      <c r="E267" s="20" t="s">
        <v>195</v>
      </c>
      <c r="F267" s="20" t="s">
        <v>186</v>
      </c>
      <c r="G267" s="20">
        <v>4</v>
      </c>
      <c r="V267" s="1"/>
      <c r="BN267" s="22"/>
    </row>
    <row r="268" spans="1:66" ht="20.100000000000001" customHeight="1" x14ac:dyDescent="0.2">
      <c r="A268"/>
      <c r="D268" s="20" t="s">
        <v>236</v>
      </c>
      <c r="E268" s="20" t="s">
        <v>196</v>
      </c>
      <c r="F268" s="20" t="s">
        <v>197</v>
      </c>
      <c r="G268" s="20">
        <v>3</v>
      </c>
      <c r="V268" s="1"/>
      <c r="BN268" s="22"/>
    </row>
    <row r="269" spans="1:66" ht="20.100000000000001" customHeight="1" x14ac:dyDescent="0.2">
      <c r="A269" s="81" t="str">
        <f>HYPERLINK("#A1", "▲ Back to top")</f>
        <v>▲ Back to top</v>
      </c>
      <c r="D269" s="20" t="s">
        <v>237</v>
      </c>
      <c r="E269" s="20" t="s">
        <v>198</v>
      </c>
      <c r="F269" s="20" t="s">
        <v>199</v>
      </c>
      <c r="G269" s="20">
        <v>2</v>
      </c>
      <c r="V269" s="1"/>
      <c r="BN269" s="22"/>
    </row>
    <row r="270" spans="1:66" ht="20.100000000000001" customHeight="1" x14ac:dyDescent="0.2">
      <c r="A270"/>
      <c r="D270" s="20" t="s">
        <v>238</v>
      </c>
      <c r="E270" s="20" t="s">
        <v>200</v>
      </c>
      <c r="F270" s="20" t="s">
        <v>201</v>
      </c>
      <c r="G270" s="20">
        <v>1</v>
      </c>
      <c r="V270" s="1"/>
      <c r="BN270" s="22"/>
    </row>
    <row r="271" spans="1:66" ht="20.100000000000001" customHeight="1" x14ac:dyDescent="0.2">
      <c r="A271"/>
    </row>
    <row r="272" spans="1:66" ht="20.100000000000001" customHeight="1" x14ac:dyDescent="0.2">
      <c r="A272"/>
    </row>
    <row r="273" spans="1:66" ht="20.100000000000001" customHeight="1" x14ac:dyDescent="0.2">
      <c r="A273"/>
      <c r="D273" s="1" t="s">
        <v>202</v>
      </c>
    </row>
    <row r="274" spans="1:66" ht="20.100000000000001" customHeight="1" x14ac:dyDescent="0.2">
      <c r="A274"/>
      <c r="D274" s="20" t="s">
        <v>233</v>
      </c>
      <c r="E274" s="20" t="s">
        <v>191</v>
      </c>
      <c r="F274" s="20" t="s">
        <v>192</v>
      </c>
      <c r="G274" s="20" t="s">
        <v>185</v>
      </c>
      <c r="V274" s="1"/>
      <c r="BN274" s="22"/>
    </row>
    <row r="275" spans="1:66" ht="20.100000000000001" customHeight="1" x14ac:dyDescent="0.2">
      <c r="A275"/>
      <c r="D275" s="20" t="s">
        <v>239</v>
      </c>
      <c r="E275" s="20" t="s">
        <v>203</v>
      </c>
      <c r="F275" s="20" t="s">
        <v>187</v>
      </c>
      <c r="G275" s="20">
        <v>5</v>
      </c>
      <c r="V275" s="1"/>
      <c r="BN275" s="22"/>
    </row>
    <row r="276" spans="1:66" ht="20.100000000000001" customHeight="1" x14ac:dyDescent="0.2">
      <c r="A276"/>
      <c r="D276" s="20" t="s">
        <v>240</v>
      </c>
      <c r="E276" s="20" t="s">
        <v>204</v>
      </c>
      <c r="F276" s="20" t="s">
        <v>205</v>
      </c>
      <c r="G276" s="20">
        <v>4</v>
      </c>
      <c r="V276" s="1"/>
      <c r="BN276" s="22"/>
    </row>
    <row r="277" spans="1:66" ht="20.100000000000001" customHeight="1" x14ac:dyDescent="0.2">
      <c r="A277"/>
      <c r="D277" s="20" t="s">
        <v>241</v>
      </c>
      <c r="E277" s="20" t="s">
        <v>206</v>
      </c>
      <c r="F277" s="20" t="s">
        <v>207</v>
      </c>
      <c r="G277" s="20">
        <v>3</v>
      </c>
      <c r="V277" s="1"/>
      <c r="BN277" s="22"/>
    </row>
    <row r="278" spans="1:66" ht="20.100000000000001" customHeight="1" x14ac:dyDescent="0.2">
      <c r="A278"/>
      <c r="D278" s="20" t="s">
        <v>242</v>
      </c>
      <c r="E278" s="20" t="s">
        <v>208</v>
      </c>
      <c r="F278" s="20" t="s">
        <v>209</v>
      </c>
      <c r="G278" s="20">
        <v>2</v>
      </c>
      <c r="V278" s="1"/>
      <c r="BN278" s="22"/>
    </row>
    <row r="279" spans="1:66" ht="20.100000000000001" customHeight="1" x14ac:dyDescent="0.2">
      <c r="A279"/>
      <c r="D279" s="20" t="s">
        <v>243</v>
      </c>
      <c r="E279" s="20" t="s">
        <v>210</v>
      </c>
      <c r="F279" s="20" t="s">
        <v>211</v>
      </c>
      <c r="G279" s="20">
        <v>1</v>
      </c>
      <c r="V279" s="1"/>
      <c r="BN279" s="22"/>
    </row>
    <row r="280" spans="1:66" ht="20.100000000000001" customHeight="1" x14ac:dyDescent="0.2">
      <c r="A280"/>
    </row>
    <row r="281" spans="1:66" ht="20.100000000000001" customHeight="1" x14ac:dyDescent="0.2">
      <c r="A281"/>
    </row>
    <row r="282" spans="1:66" ht="20.100000000000001" customHeight="1" x14ac:dyDescent="0.2">
      <c r="A282"/>
      <c r="D282" s="1" t="s">
        <v>212</v>
      </c>
    </row>
    <row r="283" spans="1:66" ht="20.100000000000001" customHeight="1" x14ac:dyDescent="0.2">
      <c r="A283"/>
      <c r="D283" s="20" t="s">
        <v>233</v>
      </c>
      <c r="E283" s="20" t="s">
        <v>191</v>
      </c>
      <c r="F283" s="20" t="s">
        <v>192</v>
      </c>
      <c r="G283" s="20" t="s">
        <v>185</v>
      </c>
      <c r="V283" s="1"/>
      <c r="BN283" s="22"/>
    </row>
    <row r="284" spans="1:66" ht="20.100000000000001" customHeight="1" x14ac:dyDescent="0.2">
      <c r="A284"/>
      <c r="D284" s="20" t="s">
        <v>244</v>
      </c>
      <c r="E284" s="20" t="s">
        <v>213</v>
      </c>
      <c r="F284" s="20" t="s">
        <v>214</v>
      </c>
      <c r="G284" s="20">
        <v>5</v>
      </c>
      <c r="V284" s="1"/>
      <c r="BN284" s="22"/>
    </row>
    <row r="285" spans="1:66" ht="20.100000000000001" customHeight="1" x14ac:dyDescent="0.2">
      <c r="A285"/>
      <c r="D285" s="20" t="s">
        <v>245</v>
      </c>
      <c r="E285" s="20" t="s">
        <v>215</v>
      </c>
      <c r="F285" s="20" t="s">
        <v>216</v>
      </c>
      <c r="G285" s="20">
        <v>4</v>
      </c>
      <c r="V285" s="1"/>
      <c r="BN285" s="22"/>
    </row>
    <row r="286" spans="1:66" ht="20.100000000000001" customHeight="1" x14ac:dyDescent="0.2">
      <c r="A286"/>
      <c r="D286" s="20" t="s">
        <v>246</v>
      </c>
      <c r="E286" s="20" t="s">
        <v>217</v>
      </c>
      <c r="F286" s="20" t="s">
        <v>188</v>
      </c>
      <c r="G286" s="20">
        <v>3</v>
      </c>
      <c r="V286" s="1"/>
      <c r="BN286" s="22"/>
    </row>
    <row r="287" spans="1:66" ht="20.100000000000001" customHeight="1" x14ac:dyDescent="0.2">
      <c r="A287"/>
      <c r="D287" s="20" t="s">
        <v>247</v>
      </c>
      <c r="E287" s="20" t="s">
        <v>218</v>
      </c>
      <c r="F287" s="20" t="s">
        <v>219</v>
      </c>
      <c r="G287" s="20">
        <v>2</v>
      </c>
      <c r="V287" s="1"/>
      <c r="BN287" s="22"/>
    </row>
    <row r="288" spans="1:66" ht="20.100000000000001" customHeight="1" x14ac:dyDescent="0.2">
      <c r="A288"/>
      <c r="D288" s="20" t="s">
        <v>248</v>
      </c>
      <c r="E288" s="20" t="s">
        <v>220</v>
      </c>
      <c r="F288" s="20" t="s">
        <v>221</v>
      </c>
      <c r="G288" s="20">
        <v>1</v>
      </c>
      <c r="V288" s="1"/>
      <c r="BN288" s="22"/>
    </row>
    <row r="289" spans="1:66" ht="20.100000000000001" customHeight="1" x14ac:dyDescent="0.2">
      <c r="A289"/>
    </row>
    <row r="290" spans="1:66" ht="20.100000000000001" customHeight="1" x14ac:dyDescent="0.2">
      <c r="A290"/>
    </row>
    <row r="291" spans="1:66" ht="20.100000000000001" customHeight="1" x14ac:dyDescent="0.2">
      <c r="A291"/>
      <c r="D291" s="1" t="s">
        <v>222</v>
      </c>
    </row>
    <row r="292" spans="1:66" ht="20.100000000000001" customHeight="1" x14ac:dyDescent="0.2">
      <c r="A292"/>
      <c r="D292" s="20" t="s">
        <v>233</v>
      </c>
      <c r="E292" s="20" t="s">
        <v>191</v>
      </c>
      <c r="F292" s="20" t="s">
        <v>192</v>
      </c>
      <c r="G292" s="20" t="s">
        <v>185</v>
      </c>
      <c r="V292" s="1"/>
      <c r="BN292" s="22"/>
    </row>
    <row r="293" spans="1:66" ht="20.100000000000001" customHeight="1" x14ac:dyDescent="0.2">
      <c r="A293"/>
      <c r="D293" s="20" t="s">
        <v>249</v>
      </c>
      <c r="E293" s="20" t="s">
        <v>223</v>
      </c>
      <c r="F293" s="20" t="s">
        <v>224</v>
      </c>
      <c r="G293" s="20">
        <v>5</v>
      </c>
      <c r="V293" s="1"/>
      <c r="BN293" s="22"/>
    </row>
    <row r="294" spans="1:66" ht="20.100000000000001" customHeight="1" x14ac:dyDescent="0.2">
      <c r="A294"/>
      <c r="D294" s="20" t="s">
        <v>250</v>
      </c>
      <c r="E294" s="20" t="s">
        <v>225</v>
      </c>
      <c r="F294" s="20" t="s">
        <v>226</v>
      </c>
      <c r="G294" s="20">
        <v>4</v>
      </c>
      <c r="V294" s="1"/>
      <c r="BN294" s="22"/>
    </row>
    <row r="295" spans="1:66" ht="20.100000000000001" customHeight="1" x14ac:dyDescent="0.2">
      <c r="A295"/>
      <c r="D295" s="20" t="s">
        <v>251</v>
      </c>
      <c r="E295" s="20" t="s">
        <v>227</v>
      </c>
      <c r="F295" s="20" t="s">
        <v>228</v>
      </c>
      <c r="G295" s="20">
        <v>3</v>
      </c>
      <c r="V295" s="1"/>
      <c r="BN295" s="22"/>
    </row>
    <row r="296" spans="1:66" ht="20.100000000000001" customHeight="1" x14ac:dyDescent="0.2">
      <c r="A296"/>
      <c r="D296" s="20" t="s">
        <v>252</v>
      </c>
      <c r="E296" s="20" t="s">
        <v>229</v>
      </c>
      <c r="F296" s="20" t="s">
        <v>230</v>
      </c>
      <c r="G296" s="20">
        <v>2</v>
      </c>
      <c r="V296" s="1"/>
      <c r="BN296" s="22"/>
    </row>
    <row r="297" spans="1:66" ht="20.100000000000001" customHeight="1" x14ac:dyDescent="0.2">
      <c r="A297"/>
      <c r="D297" s="20" t="s">
        <v>253</v>
      </c>
      <c r="E297" s="20" t="s">
        <v>231</v>
      </c>
      <c r="F297" s="20" t="s">
        <v>232</v>
      </c>
      <c r="G297" s="20">
        <v>1</v>
      </c>
      <c r="V297" s="1"/>
      <c r="BN297" s="22"/>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5"/>
  <sheetViews>
    <sheetView showGridLines="0" zoomScaleNormal="100" workbookViewId="0">
      <pane xSplit="1" topLeftCell="B1" activePane="topRight" state="frozenSplit"/>
      <selection pane="topRight" activeCell="A47" sqref="A47"/>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182</v>
      </c>
    </row>
    <row r="2" spans="1:13" s="3" customFormat="1" ht="20.100000000000001" customHeight="1" x14ac:dyDescent="0.2">
      <c r="A2"/>
    </row>
    <row r="3" spans="1:13" ht="20.100000000000001" customHeight="1" x14ac:dyDescent="0.2">
      <c r="A3" s="5" t="str">
        <f>HYPERLINK("#'Home'!A1", "Home")</f>
        <v>Home</v>
      </c>
      <c r="C3" s="29"/>
      <c r="D3" s="29"/>
      <c r="E3" s="29"/>
      <c r="F3" s="29"/>
      <c r="G3" s="29"/>
      <c r="H3" s="29"/>
      <c r="I3" s="29"/>
      <c r="J3" s="29"/>
      <c r="K3" s="29"/>
      <c r="L3" s="29"/>
      <c r="M3" s="29"/>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EI")</f>
        <v>Results - Product EI</v>
      </c>
      <c r="D5" s="2" t="s">
        <v>254</v>
      </c>
    </row>
    <row r="7" spans="1:13" ht="20.100000000000001" customHeight="1" x14ac:dyDescent="0.2">
      <c r="D7" s="80" t="s">
        <v>255</v>
      </c>
      <c r="E7" s="80" t="s">
        <v>256</v>
      </c>
      <c r="F7" s="80" t="s">
        <v>257</v>
      </c>
      <c r="G7" s="80" t="s">
        <v>258</v>
      </c>
      <c r="H7" s="80" t="s">
        <v>183</v>
      </c>
      <c r="I7" s="80" t="s">
        <v>184</v>
      </c>
      <c r="J7" s="80" t="s">
        <v>185</v>
      </c>
    </row>
    <row r="8" spans="1:13" ht="20.100000000000001" customHeight="1" x14ac:dyDescent="0.2">
      <c r="A8" s="7" t="s">
        <v>0</v>
      </c>
      <c r="D8" s="1" t="str">
        <f>"Grain yield"</f>
        <v>Grain yield</v>
      </c>
      <c r="E8" s="13" t="s">
        <v>234</v>
      </c>
      <c r="F8" s="13" t="s">
        <v>239</v>
      </c>
      <c r="G8" s="13" t="s">
        <v>244</v>
      </c>
      <c r="H8" s="84"/>
      <c r="I8" s="84"/>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"Grain sold"</f>
        <v>Grain sold</v>
      </c>
      <c r="E9" s="13" t="s">
        <v>235</v>
      </c>
      <c r="F9" s="13" t="s">
        <v>240</v>
      </c>
      <c r="G9" s="13" t="s">
        <v>245</v>
      </c>
      <c r="H9" s="84"/>
      <c r="I9" s="84"/>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"Baled hay/silage produced"</f>
        <v>Baled hay/silage produced</v>
      </c>
      <c r="E10" s="13" t="s">
        <v>236</v>
      </c>
      <c r="F10" s="13" t="s">
        <v>241</v>
      </c>
      <c r="G10" s="13" t="s">
        <v>245</v>
      </c>
      <c r="H10" s="84"/>
      <c r="I10" s="84"/>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Crop'!A1", "Crop")</f>
        <v>Crop</v>
      </c>
      <c r="D11" s="1" t="str">
        <f>"Baled hay/silage sold"</f>
        <v>Baled hay/silage sold</v>
      </c>
      <c r="E11" s="13" t="s">
        <v>237</v>
      </c>
      <c r="F11" s="13" t="s">
        <v>242</v>
      </c>
      <c r="G11" s="13" t="s">
        <v>247</v>
      </c>
      <c r="H11" s="84"/>
      <c r="I11" s="84"/>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ht="20.100000000000001" customHeight="1" x14ac:dyDescent="0.2">
      <c r="A12" s="5" t="str">
        <f>HYPERLINK("#'Input - Fert Prod System'!A1", "Fert Prod System")</f>
        <v>Fert Prod System</v>
      </c>
      <c r="D12" s="1" t="str">
        <f>"Percent income from grain sold"</f>
        <v>Percent income from grain sold</v>
      </c>
      <c r="E12" s="13" t="s">
        <v>238</v>
      </c>
      <c r="F12" s="13" t="s">
        <v>243</v>
      </c>
      <c r="G12" s="13" t="s">
        <v>248</v>
      </c>
      <c r="H12" s="84"/>
      <c r="I12" s="84"/>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ht="20.100000000000001" customHeight="1" x14ac:dyDescent="0.2">
      <c r="A13" s="5" t="str">
        <f>HYPERLINK("#'Input - Fertiliser'!A1", "Fertiliser")</f>
        <v>Fertiliser</v>
      </c>
      <c r="D13" s="1" t="str">
        <f>"Percent income from baled hay/silage sold"</f>
        <v>Percent income from baled hay/silage sold</v>
      </c>
      <c r="E13" s="13" t="s">
        <v>234</v>
      </c>
      <c r="F13" s="13" t="s">
        <v>240</v>
      </c>
      <c r="G13" s="13" t="s">
        <v>244</v>
      </c>
      <c r="H13" s="84"/>
      <c r="I13" s="84"/>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ht="20.100000000000001" customHeight="1" x14ac:dyDescent="0.2">
      <c r="A14" s="5" t="str">
        <f>HYPERLINK("#'Input - Fuel'!A1", "Fuel")</f>
        <v>Fuel</v>
      </c>
    </row>
    <row r="15" spans="1:13" ht="20.100000000000001" customHeight="1" x14ac:dyDescent="0.2">
      <c r="A15" s="5" t="str">
        <f>HYPERLINK("#'Input - Electricity'!A1", "Electricity")</f>
        <v>Electricity</v>
      </c>
      <c r="J15" s="85">
        <f>SUM(Table_Input_DataQuality_Enterprise[Score])</f>
        <v>60</v>
      </c>
    </row>
    <row r="16" spans="1:13" ht="20.100000000000001" customHeight="1" x14ac:dyDescent="0.2">
      <c r="A16" s="5" t="str">
        <f>HYPERLINK("#'Input - Common farm inputs'!A1", "Common farm inputs")</f>
        <v>Common farm inputs</v>
      </c>
      <c r="D16" s="2" t="s">
        <v>259</v>
      </c>
    </row>
    <row r="17" spans="1:10" ht="20.100000000000001" customHeight="1" x14ac:dyDescent="0.2">
      <c r="A17" s="5" t="str">
        <f>HYPERLINK("#'Input - Crop pasture farm input'!A1", "Crop pasture farm input")</f>
        <v>Crop pasture farm input</v>
      </c>
    </row>
    <row r="18" spans="1:10" ht="20.100000000000001" customHeight="1" x14ac:dyDescent="0.2">
      <c r="A18" s="5" t="str">
        <f>HYPERLINK("#'Input - Freight'!A1", "Freight")</f>
        <v>Freight</v>
      </c>
      <c r="D18" s="80" t="s">
        <v>255</v>
      </c>
      <c r="E18" s="80" t="s">
        <v>256</v>
      </c>
      <c r="F18" s="80" t="s">
        <v>257</v>
      </c>
      <c r="G18" s="80" t="s">
        <v>258</v>
      </c>
      <c r="H18" s="80" t="s">
        <v>183</v>
      </c>
      <c r="I18" s="80" t="s">
        <v>184</v>
      </c>
      <c r="J18" s="80" t="s">
        <v>185</v>
      </c>
    </row>
    <row r="19" spans="1:10" ht="20.100000000000001" customHeight="1" x14ac:dyDescent="0.2">
      <c r="A19" s="5" t="str">
        <f>HYPERLINK("#'Input - Solid waste'!A1", "Solid waste")</f>
        <v>Solid waste</v>
      </c>
      <c r="D19" s="1" t="str">
        <f>"Leaching zone"</f>
        <v>Leaching zone</v>
      </c>
      <c r="E19" s="13" t="s">
        <v>235</v>
      </c>
      <c r="F19" s="13" t="s">
        <v>241</v>
      </c>
      <c r="G19" s="13" t="s">
        <v>244</v>
      </c>
      <c r="H19" s="84"/>
      <c r="I19" s="84"/>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102" t="str">
        <f>HYPERLINK("#'Input - Data quality'!A1", "Data quality")</f>
        <v>Data quality</v>
      </c>
      <c r="D20" s="1" t="str">
        <f>"Elevation"</f>
        <v>Elevation</v>
      </c>
      <c r="E20" s="13" t="s">
        <v>235</v>
      </c>
      <c r="F20" s="13" t="s">
        <v>241</v>
      </c>
      <c r="G20" s="13" t="s">
        <v>244</v>
      </c>
      <c r="H20" s="84"/>
      <c r="I20" s="84"/>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D21" s="1" t="str">
        <f>"Average temperature for reporting period"</f>
        <v>Average temperature for reporting period</v>
      </c>
      <c r="E21" s="13" t="s">
        <v>235</v>
      </c>
      <c r="F21" s="13" t="s">
        <v>241</v>
      </c>
      <c r="G21" s="13" t="s">
        <v>244</v>
      </c>
      <c r="H21" s="84"/>
      <c r="I21" s="84"/>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D22" s="1" t="str">
        <f>"Total rainfall for reporting period"</f>
        <v>Total rainfall for reporting period</v>
      </c>
      <c r="E22" s="13" t="s">
        <v>234</v>
      </c>
      <c r="F22" s="13" t="s">
        <v>240</v>
      </c>
      <c r="G22" s="13" t="s">
        <v>244</v>
      </c>
      <c r="H22" s="84"/>
      <c r="I22" s="84"/>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
      <c r="A23" s="6" t="s">
        <v>2</v>
      </c>
      <c r="D23" s="1" t="str">
        <f>"Potential evapotranspiration for reporting period"</f>
        <v>Potential evapotranspiration for reporting period</v>
      </c>
      <c r="E23" s="13" t="s">
        <v>235</v>
      </c>
      <c r="F23" s="13" t="s">
        <v>241</v>
      </c>
      <c r="G23" s="13" t="s">
        <v>244</v>
      </c>
      <c r="H23" s="84"/>
      <c r="I23" s="84"/>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HYPERLINK("#'5.1.1.1-2 Inorganic fert N2O'!A1", "5.1.1.1-2 Inorganic fert N2O")</f>
        <v>5.1.1.1-2 Inorganic fert N2O</v>
      </c>
      <c r="D24" s="1" t="str">
        <f>"Number of frost days for reporting period"</f>
        <v>Number of frost days for reporting period</v>
      </c>
      <c r="E24" s="86" t="s">
        <v>236</v>
      </c>
      <c r="F24" s="86" t="s">
        <v>241</v>
      </c>
      <c r="G24" s="86" t="s">
        <v>244</v>
      </c>
      <c r="H24" s="84"/>
      <c r="I24" s="84"/>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A25" s="5" t="str">
        <f>HYPERLINK("#'5.1.1.3-4 Inorganic fert CO2'!A1", "5.1.1.3-4 Inorganic fert CO2")</f>
        <v>5.1.1.3-4 Inorganic fert CO2</v>
      </c>
    </row>
    <row r="26" spans="1:10" ht="20.100000000000001" customHeight="1" x14ac:dyDescent="0.2">
      <c r="A26" s="5" t="str">
        <f>HYPERLINK("#'5.2.1.1-2 Organic Fert N2O'!A1", "5.2.1.1-2 Organic fert N2O")</f>
        <v>5.2.1.1-2 Organic fert N2O</v>
      </c>
      <c r="J26" s="85">
        <f>SUM(Table_Input_DataQuality_Site[Score])</f>
        <v>73</v>
      </c>
    </row>
    <row r="27" spans="1:10" ht="20.100000000000001" customHeight="1" x14ac:dyDescent="0.2">
      <c r="A27" s="5" t="str">
        <f>HYPERLINK("#'5.3.1.1-2 Lime CO2'!A1", "5.3.1.1-2 Lime CO2")</f>
        <v>5.3.1.1-2 Lime CO2</v>
      </c>
      <c r="D27" s="2" t="s">
        <v>296</v>
      </c>
    </row>
    <row r="28" spans="1:10" ht="20.100000000000001" customHeight="1" x14ac:dyDescent="0.2">
      <c r="A28" s="5" t="str">
        <f>HYPERLINK("#'5.4.1.1-4 Atmos deposition'!A1", "5.4.1.1-4 Atmos. deposition")</f>
        <v>5.4.1.1-4 Atmos. deposition</v>
      </c>
    </row>
    <row r="29" spans="1:10" ht="20.100000000000001" customHeight="1" x14ac:dyDescent="0.2">
      <c r="A29" s="5" t="str">
        <f>HYPERLINK("#'5.5.1.1-2 Leaching and runoff'!A1", "5.5.1.1-2 Leaching &amp; runoff")</f>
        <v>5.5.1.1-2 Leaching &amp; runoff</v>
      </c>
      <c r="D29" s="80" t="s">
        <v>255</v>
      </c>
      <c r="E29" s="80" t="s">
        <v>256</v>
      </c>
      <c r="F29" s="80" t="s">
        <v>257</v>
      </c>
      <c r="G29" s="80" t="s">
        <v>258</v>
      </c>
      <c r="H29" s="80" t="s">
        <v>183</v>
      </c>
      <c r="I29" s="80" t="s">
        <v>184</v>
      </c>
      <c r="J29" s="80" t="s">
        <v>185</v>
      </c>
    </row>
    <row r="30" spans="1:10" ht="20.100000000000001" customHeight="1" x14ac:dyDescent="0.2">
      <c r="A30" s="5" t="str">
        <f>HYPERLINK("#'6.1.1.1-2 Crop residue N2O'!A1", "6.1.1.1-2 Crop residue N2O")</f>
        <v>6.1.1.1-2 Crop residue N2O</v>
      </c>
      <c r="D30" s="1" t="str">
        <f>"Crop type"</f>
        <v>Crop type</v>
      </c>
      <c r="E30" s="13" t="s">
        <v>234</v>
      </c>
      <c r="F30" s="13" t="s">
        <v>240</v>
      </c>
      <c r="G30" s="13" t="s">
        <v>244</v>
      </c>
      <c r="H30" s="84"/>
      <c r="I30" s="84"/>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1:10" ht="20.100000000000001" customHeight="1" x14ac:dyDescent="0.2">
      <c r="A31" s="5" t="str">
        <f>HYPERLINK("#'6.3.1.1-2 Leach runoff crop'!A1", "6.3.1.1-2 Leach &amp; runoff (crop)")</f>
        <v>6.3.1.1-2 Leach &amp; runoff (crop)</v>
      </c>
      <c r="D31" s="1" t="str">
        <f>"Irrigation method"</f>
        <v>Irrigation method</v>
      </c>
      <c r="E31" s="13" t="s">
        <v>234</v>
      </c>
      <c r="F31" s="13" t="s">
        <v>240</v>
      </c>
      <c r="G31" s="13" t="s">
        <v>244</v>
      </c>
      <c r="H31" s="84"/>
      <c r="I31" s="84"/>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HYPERLINK("#'6.4.1.1-2 Residue burning'!A1", "6.4.1.1-2 Residue burning")</f>
        <v>6.4.1.1-2 Residue burning</v>
      </c>
      <c r="D32" s="1" t="str">
        <f>"Area under cropping"</f>
        <v>Area under cropping</v>
      </c>
      <c r="E32" s="13" t="s">
        <v>234</v>
      </c>
      <c r="F32" s="13" t="s">
        <v>240</v>
      </c>
      <c r="G32" s="13" t="s">
        <v>244</v>
      </c>
      <c r="H32" s="84"/>
      <c r="I32" s="84"/>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HYPERLINK("#'8.1.1.1-2 Transport fuel'!A1", "8.1.1.1-2 Transport fuel")</f>
        <v>8.1.1.1-2 Transport fuel</v>
      </c>
      <c r="D33" s="1" t="str">
        <f>"Residue management"</f>
        <v>Residue management</v>
      </c>
      <c r="E33" s="13" t="s">
        <v>234</v>
      </c>
      <c r="F33" s="13" t="s">
        <v>240</v>
      </c>
      <c r="G33" s="13" t="s">
        <v>244</v>
      </c>
      <c r="H33" s="84"/>
      <c r="I33" s="84"/>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J35" s="85">
        <f>SUM(Table_Input_DataQuality_PastureManagement[Score])</f>
        <v>56</v>
      </c>
    </row>
    <row r="36" spans="1:10" ht="20.100000000000001" customHeight="1" x14ac:dyDescent="0.2">
      <c r="A36" s="5" t="str">
        <f>HYPERLINK("#'14.1.1-2 Purchased electricity'!A1", "14.1.1-2 Purchased electricity")</f>
        <v>14.1.1-2 Purchased electricity</v>
      </c>
      <c r="D36" s="2" t="s">
        <v>260</v>
      </c>
    </row>
    <row r="37" spans="1:10" ht="20.100000000000001" customHeight="1" x14ac:dyDescent="0.2">
      <c r="A37" s="5" t="str">
        <f>HYPERLINK("#'15 Scope 3'!A1", "15 Scope 3")</f>
        <v>15 Scope 3</v>
      </c>
    </row>
    <row r="38" spans="1:10" ht="20.100000000000001" customHeight="1" x14ac:dyDescent="0.2">
      <c r="D38" s="80" t="s">
        <v>255</v>
      </c>
      <c r="E38" s="80" t="s">
        <v>256</v>
      </c>
      <c r="F38" s="80" t="s">
        <v>257</v>
      </c>
      <c r="G38" s="80" t="s">
        <v>258</v>
      </c>
      <c r="H38" s="80" t="s">
        <v>183</v>
      </c>
      <c r="I38" s="80" t="s">
        <v>184</v>
      </c>
      <c r="J38" s="80" t="s">
        <v>185</v>
      </c>
    </row>
    <row r="39" spans="1:10" ht="20.100000000000001" customHeight="1" x14ac:dyDescent="0.2">
      <c r="D39" s="1" t="str">
        <f>"Branded inorganic fertiliser applications"</f>
        <v>Branded inorganic fertiliser applications</v>
      </c>
      <c r="E39" s="13" t="s">
        <v>234</v>
      </c>
      <c r="F39" s="13" t="s">
        <v>240</v>
      </c>
      <c r="G39" s="13" t="s">
        <v>245</v>
      </c>
      <c r="H39" s="84"/>
      <c r="I39" s="84"/>
      <c r="J3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1:10" ht="20.100000000000001" customHeight="1" x14ac:dyDescent="0.2">
      <c r="A40" s="82" t="s">
        <v>1</v>
      </c>
      <c r="D40" s="1" t="str">
        <f>"Custom inorganic fertiliser blend applications"</f>
        <v>Custom inorganic fertiliser blend applications</v>
      </c>
      <c r="E40" s="13" t="s">
        <v>234</v>
      </c>
      <c r="F40" s="13" t="s">
        <v>240</v>
      </c>
      <c r="G40" s="13" t="s">
        <v>244</v>
      </c>
      <c r="H40" s="84"/>
      <c r="I40" s="84"/>
      <c r="J4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1:10" ht="20.100000000000001" customHeight="1" x14ac:dyDescent="0.2">
      <c r="A41" s="5" t="str">
        <f>HYPERLINK("#'Constants - Ag Residue'!A1", "Constants - Ag residue")</f>
        <v>Constants - Ag residue</v>
      </c>
      <c r="D41" s="1" t="str">
        <f>"Lime applications"</f>
        <v>Lime applications</v>
      </c>
      <c r="E41" s="13" t="s">
        <v>234</v>
      </c>
      <c r="F41" s="13" t="s">
        <v>240</v>
      </c>
      <c r="G41" s="13" t="s">
        <v>244</v>
      </c>
      <c r="H41" s="84"/>
      <c r="I41" s="84"/>
      <c r="J41"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1:10" ht="20.100000000000001" customHeight="1" x14ac:dyDescent="0.2">
      <c r="A42" s="5" t="str">
        <f>HYPERLINK("#'Constants - Electricity'!A1", "Constants - Electricity")</f>
        <v>Constants - Electricity</v>
      </c>
      <c r="D42" s="1" t="str">
        <f>"Organic fertiliser applications"</f>
        <v>Organic fertiliser applications</v>
      </c>
      <c r="E42" s="13" t="s">
        <v>234</v>
      </c>
      <c r="F42" s="13" t="s">
        <v>240</v>
      </c>
      <c r="G42" s="13" t="s">
        <v>244</v>
      </c>
      <c r="H42" s="84"/>
      <c r="I42" s="84"/>
      <c r="J42"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3" spans="1:10" ht="20.100000000000001" customHeight="1" x14ac:dyDescent="0.2">
      <c r="A43" s="5" t="str">
        <f>HYPERLINK("#'Constants - Fertiliser'!A1", "Constants - Fertiliser")</f>
        <v>Constants - Fertiliser</v>
      </c>
    </row>
    <row r="44" spans="1:10" ht="20.100000000000001" customHeight="1" x14ac:dyDescent="0.2">
      <c r="A44" s="5" t="str">
        <f>HYPERLINK("#'Constants - Fuel'!A1", "Constants - Fuel")</f>
        <v>Constants - Fuel</v>
      </c>
      <c r="J44" s="85">
        <f>SUM(Table_Input_DataQuality_FertiliserApplications[Score])</f>
        <v>55</v>
      </c>
    </row>
    <row r="45" spans="1:10" ht="20.100000000000001" customHeight="1" x14ac:dyDescent="0.2">
      <c r="A45" s="5" t="str">
        <f>HYPERLINK("#'Constants - Scope 3'!A1", "Constants - Scope 3")</f>
        <v>Constants - Scope 3</v>
      </c>
      <c r="D45" s="2" t="s">
        <v>261</v>
      </c>
    </row>
    <row r="46" spans="1:10" ht="20.100000000000001" customHeight="1" x14ac:dyDescent="0.2">
      <c r="A46" s="5" t="str">
        <f>HYPERLINK("#'Constants - Solid Waste'!A1", "Constants - Solid Waste")</f>
        <v>Constants - Solid Waste</v>
      </c>
    </row>
    <row r="47" spans="1:10" ht="20.100000000000001" customHeight="1" x14ac:dyDescent="0.2">
      <c r="A47" s="5" t="str">
        <f>HYPERLINK("#'Constants - Common'!A1", "Constants - Common")</f>
        <v>Constants - Common</v>
      </c>
      <c r="D47" s="80" t="s">
        <v>255</v>
      </c>
      <c r="E47" s="80" t="s">
        <v>256</v>
      </c>
      <c r="F47" s="80" t="s">
        <v>257</v>
      </c>
      <c r="G47" s="80" t="s">
        <v>258</v>
      </c>
      <c r="H47" s="80" t="s">
        <v>183</v>
      </c>
      <c r="I47" s="80" t="s">
        <v>184</v>
      </c>
      <c r="J47" s="80" t="s">
        <v>185</v>
      </c>
    </row>
    <row r="48" spans="1:10" ht="20.100000000000001" customHeight="1" x14ac:dyDescent="0.2">
      <c r="A48" s="5" t="str">
        <f>HYPERLINK("#'Constants - Common Livestock'!A1", "Constants - Common Livestock")</f>
        <v>Constants - Common Livestock</v>
      </c>
      <c r="D48" s="1" t="str">
        <f>"Fuel purchases"</f>
        <v>Fuel purchases</v>
      </c>
      <c r="E48" s="13" t="s">
        <v>234</v>
      </c>
      <c r="F48" s="13" t="s">
        <v>240</v>
      </c>
      <c r="G48" s="13" t="s">
        <v>245</v>
      </c>
      <c r="H48" s="84"/>
      <c r="I48" s="84"/>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1:10" ht="20.100000000000001" customHeight="1" x14ac:dyDescent="0.2">
      <c r="D49" s="1" t="str">
        <f>"Fuel consumption"</f>
        <v>Fuel consumption</v>
      </c>
      <c r="E49" s="13" t="s">
        <v>234</v>
      </c>
      <c r="F49" s="13" t="s">
        <v>240</v>
      </c>
      <c r="G49" s="13" t="s">
        <v>244</v>
      </c>
      <c r="H49" s="84"/>
      <c r="I49" s="84"/>
      <c r="J4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1:10" ht="20.100000000000001" customHeight="1" x14ac:dyDescent="0.2">
      <c r="D50" s="1" t="str">
        <f>"Electricity consumption"</f>
        <v>Electricity consumption</v>
      </c>
      <c r="E50" s="13" t="s">
        <v>234</v>
      </c>
      <c r="F50" s="13" t="s">
        <v>240</v>
      </c>
      <c r="G50" s="13" t="s">
        <v>244</v>
      </c>
      <c r="H50" s="84"/>
      <c r="I50" s="84"/>
      <c r="J50"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1:10" ht="20.100000000000001" customHeight="1" x14ac:dyDescent="0.2">
      <c r="D51" s="1" t="str">
        <f>"Electricity generation"</f>
        <v>Electricity generation</v>
      </c>
      <c r="E51" s="13" t="s">
        <v>234</v>
      </c>
      <c r="F51" s="13" t="s">
        <v>240</v>
      </c>
      <c r="G51" s="13" t="s">
        <v>244</v>
      </c>
      <c r="H51" s="84"/>
      <c r="I51" s="84"/>
      <c r="J5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1:10" ht="20.100000000000001" customHeight="1" x14ac:dyDescent="0.2">
      <c r="J53" s="85">
        <f>SUM(Table_Input_DataQuality_FuelElectricity[Score])</f>
        <v>55</v>
      </c>
    </row>
    <row r="55" spans="1:10" ht="20.100000000000001" customHeight="1" x14ac:dyDescent="0.2">
      <c r="D55" s="2" t="s">
        <v>262</v>
      </c>
    </row>
    <row r="57" spans="1:10" ht="20.100000000000001" customHeight="1" x14ac:dyDescent="0.2">
      <c r="D57" s="80" t="s">
        <v>255</v>
      </c>
      <c r="E57" s="80" t="s">
        <v>256</v>
      </c>
      <c r="F57" s="80" t="s">
        <v>257</v>
      </c>
      <c r="G57" s="80" t="s">
        <v>258</v>
      </c>
      <c r="H57" s="80" t="s">
        <v>183</v>
      </c>
      <c r="I57" s="80" t="s">
        <v>184</v>
      </c>
      <c r="J57" s="80" t="s">
        <v>185</v>
      </c>
    </row>
    <row r="58" spans="1:10" ht="20.100000000000001" customHeight="1" x14ac:dyDescent="0.2">
      <c r="D58" s="1" t="str">
        <f>"Farm input purchases"</f>
        <v>Farm input purchases</v>
      </c>
      <c r="E58" s="13" t="s">
        <v>234</v>
      </c>
      <c r="F58" s="13" t="s">
        <v>240</v>
      </c>
      <c r="G58" s="13" t="s">
        <v>245</v>
      </c>
      <c r="H58" s="84"/>
      <c r="I58" s="84"/>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1:10" ht="20.100000000000001" customHeight="1" x14ac:dyDescent="0.2">
      <c r="A59" s="81" t="str">
        <f>HYPERLINK("#A1", "▲ Back to top")</f>
        <v>▲ Back to top</v>
      </c>
      <c r="D59" s="1" t="str">
        <f>"Inbound freight use"</f>
        <v>Inbound freight use</v>
      </c>
      <c r="E59" s="13" t="s">
        <v>234</v>
      </c>
      <c r="F59" s="13" t="s">
        <v>240</v>
      </c>
      <c r="G59" s="13" t="s">
        <v>244</v>
      </c>
      <c r="H59" s="84"/>
      <c r="I59" s="84"/>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1:10" ht="20.100000000000001" customHeight="1" x14ac:dyDescent="0.2">
      <c r="D60" s="1" t="str">
        <f>"Outbound freight use"</f>
        <v>Outbound freight use</v>
      </c>
      <c r="E60" s="13" t="s">
        <v>234</v>
      </c>
      <c r="F60" s="13" t="s">
        <v>240</v>
      </c>
      <c r="G60" s="13" t="s">
        <v>244</v>
      </c>
      <c r="H60" s="84"/>
      <c r="I60" s="84"/>
      <c r="J6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D61" s="1" t="str">
        <f>"Solid waste generation and treatment"</f>
        <v>Solid waste generation and treatment</v>
      </c>
      <c r="E61" s="13" t="s">
        <v>234</v>
      </c>
      <c r="F61" s="13" t="s">
        <v>240</v>
      </c>
      <c r="G61" s="13" t="s">
        <v>244</v>
      </c>
      <c r="H61" s="84"/>
      <c r="I61" s="84"/>
      <c r="J6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1:10" ht="20.100000000000001" customHeight="1" x14ac:dyDescent="0.2">
      <c r="J63" s="85">
        <f>SUM(Table_Input_DataQuality_FarmInputsFreightWaste[Score])</f>
        <v>55</v>
      </c>
    </row>
    <row r="65" spans="4:5" ht="20.100000000000001" customHeight="1" x14ac:dyDescent="0.2">
      <c r="D65" s="87" t="s">
        <v>263</v>
      </c>
      <c r="E65" s="88"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13AF1-8BA0-43D3-8BEA-B76D64368061}">
  <sheetPr>
    <tabColor theme="2" tint="-0.499984740745262"/>
  </sheetPr>
  <dimension ref="A1:M195"/>
  <sheetViews>
    <sheetView showGridLines="0" tabSelected="1" zoomScaleNormal="100" workbookViewId="0">
      <pane xSplit="1" topLeftCell="B1" activePane="topRight" state="frozenSplit"/>
      <selection pane="topRight" activeCell="B1" sqref="B1"/>
    </sheetView>
  </sheetViews>
  <sheetFormatPr defaultColWidth="9" defaultRowHeight="20.100000000000001" customHeight="1" x14ac:dyDescent="0.2"/>
  <cols>
    <col min="1" max="1" width="36.7109375" style="229" customWidth="1"/>
    <col min="2" max="2" width="4.140625" style="229" customWidth="1"/>
    <col min="3" max="3" width="4.140625" style="1" customWidth="1"/>
    <col min="4" max="8" width="26.85546875" style="1" customWidth="1"/>
    <col min="9" max="9" width="27" style="1" customWidth="1"/>
    <col min="10" max="13" width="26.85546875" style="1" customWidth="1"/>
    <col min="14" max="16" width="26.85546875" style="229" customWidth="1"/>
    <col min="17" max="16384" width="9" style="229"/>
  </cols>
  <sheetData>
    <row r="1" spans="1:13" ht="30" customHeight="1" x14ac:dyDescent="0.35">
      <c r="A1" s="10" t="e" vm="1">
        <v>#VALUE!</v>
      </c>
      <c r="C1" s="21" t="s">
        <v>1015</v>
      </c>
      <c r="D1" s="21"/>
      <c r="E1" s="21"/>
      <c r="F1" s="21"/>
      <c r="G1" s="21"/>
      <c r="H1" s="21"/>
      <c r="I1" s="21"/>
      <c r="J1" s="21"/>
      <c r="K1" s="21"/>
      <c r="L1" s="21"/>
      <c r="M1" s="21"/>
    </row>
    <row r="2" spans="1:13" ht="20.100000000000001" customHeight="1" x14ac:dyDescent="0.2">
      <c r="A2"/>
      <c r="C2" s="3"/>
      <c r="D2" s="3"/>
      <c r="E2" s="3"/>
      <c r="F2" s="3"/>
      <c r="G2" s="3"/>
      <c r="H2" s="3"/>
      <c r="I2" s="3"/>
      <c r="J2" s="3"/>
      <c r="K2" s="3"/>
      <c r="L2" s="3"/>
      <c r="M2" s="3"/>
    </row>
    <row r="3" spans="1:13" ht="20.100000000000001" customHeight="1" x14ac:dyDescent="0.2">
      <c r="A3" s="5" t="str">
        <f>HYPERLINK("#'Home'!A1", "Home")</f>
        <v>Home</v>
      </c>
      <c r="C3" s="23"/>
      <c r="D3" s="23"/>
      <c r="E3" s="23"/>
      <c r="F3" s="23"/>
      <c r="G3" s="23"/>
      <c r="H3" s="23"/>
      <c r="I3" s="23"/>
      <c r="J3" s="23"/>
      <c r="K3" s="23"/>
      <c r="L3" s="23"/>
      <c r="M3" s="23"/>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EI")</f>
        <v>Results - Product EI</v>
      </c>
    </row>
    <row r="6" spans="1:13" ht="20.100000000000001" customHeight="1" x14ac:dyDescent="0.2">
      <c r="A6"/>
      <c r="D6" s="2" t="s">
        <v>2154</v>
      </c>
      <c r="E6" s="25"/>
      <c r="F6" s="25"/>
      <c r="G6" s="25"/>
      <c r="H6" s="25"/>
    </row>
    <row r="7" spans="1:13" ht="20.100000000000001" customHeight="1" x14ac:dyDescent="0.2">
      <c r="A7"/>
      <c r="D7" s="25" t="s">
        <v>2155</v>
      </c>
      <c r="E7" s="25"/>
      <c r="F7" s="25"/>
      <c r="G7" s="25"/>
      <c r="H7" s="25"/>
    </row>
    <row r="8" spans="1:13" ht="20.100000000000001" customHeight="1" x14ac:dyDescent="0.2">
      <c r="A8" s="7" t="s">
        <v>0</v>
      </c>
      <c r="D8" s="17" t="s">
        <v>2156</v>
      </c>
      <c r="E8" s="25"/>
      <c r="F8" s="25"/>
      <c r="G8" s="25"/>
      <c r="H8" s="25"/>
    </row>
    <row r="9" spans="1:13" ht="20.100000000000001" customHeight="1" x14ac:dyDescent="0.2">
      <c r="A9" s="5" t="str">
        <f>HYPERLINK("#'Input - Enterprise'!A1", "Enterprise")</f>
        <v>Enterprise</v>
      </c>
      <c r="D9" s="27" t="s">
        <v>1016</v>
      </c>
      <c r="E9" s="20" t="s">
        <v>1017</v>
      </c>
      <c r="F9" s="20" t="s">
        <v>1018</v>
      </c>
      <c r="G9" s="25"/>
    </row>
    <row r="10" spans="1:13" ht="20.100000000000001" customHeight="1" x14ac:dyDescent="0.2">
      <c r="A10" s="5" t="str">
        <f>HYPERLINK("#'Input - Site'!A1", "Site")</f>
        <v>Site</v>
      </c>
      <c r="D10" s="27">
        <v>1</v>
      </c>
      <c r="E10" s="27" t="s">
        <v>70</v>
      </c>
      <c r="F10" s="27" t="s">
        <v>2157</v>
      </c>
      <c r="G10" s="25"/>
    </row>
    <row r="11" spans="1:13" ht="20.100000000000001" customHeight="1" x14ac:dyDescent="0.2">
      <c r="A11" s="5" t="str">
        <f>HYPERLINK("#'Input - Crop'!A1", "Crop")</f>
        <v>Crop</v>
      </c>
      <c r="D11" s="27">
        <v>2</v>
      </c>
      <c r="E11" s="27" t="s">
        <v>72</v>
      </c>
      <c r="F11" s="27" t="s">
        <v>2158</v>
      </c>
      <c r="G11" s="25"/>
    </row>
    <row r="12" spans="1:13" ht="20.100000000000001" customHeight="1" x14ac:dyDescent="0.2">
      <c r="A12" s="5" t="str">
        <f>HYPERLINK("#'Input - Fert Prod System'!A1", "Fert Prod System")</f>
        <v>Fert Prod System</v>
      </c>
      <c r="D12" s="20">
        <v>3</v>
      </c>
      <c r="E12" s="20" t="s">
        <v>73</v>
      </c>
      <c r="F12" s="20" t="s">
        <v>2159</v>
      </c>
      <c r="G12" s="25"/>
    </row>
    <row r="13" spans="1:13" ht="20.100000000000001" customHeight="1" x14ac:dyDescent="0.2">
      <c r="A13" s="5" t="str">
        <f>HYPERLINK("#'Input - Fertiliser'!A1", "Fertiliser")</f>
        <v>Fertiliser</v>
      </c>
      <c r="D13" s="20" t="s">
        <v>2160</v>
      </c>
      <c r="E13" s="20" t="s">
        <v>2161</v>
      </c>
      <c r="F13" s="20" t="s">
        <v>2162</v>
      </c>
      <c r="G13" s="25"/>
    </row>
    <row r="14" spans="1:13" ht="20.100000000000001" customHeight="1" x14ac:dyDescent="0.2">
      <c r="A14" s="5" t="str">
        <f>HYPERLINK("#'Input - Fuel'!A1", "Fuel")</f>
        <v>Fuel</v>
      </c>
      <c r="D14" s="20" t="s">
        <v>2163</v>
      </c>
      <c r="E14" s="20" t="s">
        <v>2164</v>
      </c>
      <c r="F14" s="20" t="s">
        <v>2165</v>
      </c>
      <c r="G14" s="25"/>
    </row>
    <row r="15" spans="1:13" ht="20.100000000000001" customHeight="1" x14ac:dyDescent="0.2">
      <c r="A15" s="5" t="str">
        <f>HYPERLINK("#'Input - Electricity'!A1", "Electricity")</f>
        <v>Electricity</v>
      </c>
      <c r="D15" s="20">
        <v>4</v>
      </c>
      <c r="E15" s="20" t="s">
        <v>75</v>
      </c>
      <c r="F15" s="20" t="s">
        <v>2166</v>
      </c>
      <c r="G15" s="25"/>
    </row>
    <row r="16" spans="1:13" ht="20.100000000000001" customHeight="1" x14ac:dyDescent="0.2">
      <c r="A16" s="5" t="str">
        <f>HYPERLINK("#'Input - Common farm inputs'!A1", "Common farm inputs")</f>
        <v>Common farm inputs</v>
      </c>
      <c r="D16" s="20">
        <v>5</v>
      </c>
      <c r="E16" s="20" t="s">
        <v>2167</v>
      </c>
      <c r="F16" s="20" t="s">
        <v>2168</v>
      </c>
      <c r="G16" s="25"/>
    </row>
    <row r="17" spans="1:8" ht="20.100000000000001" customHeight="1" x14ac:dyDescent="0.2">
      <c r="A17" s="5" t="str">
        <f>HYPERLINK("#'Input - Crop pasture farm input'!A1", "Crop pasture farm input")</f>
        <v>Crop pasture farm input</v>
      </c>
      <c r="D17" s="20">
        <v>6</v>
      </c>
      <c r="E17" s="20" t="s">
        <v>74</v>
      </c>
      <c r="F17" s="20" t="s">
        <v>2169</v>
      </c>
      <c r="G17" s="25"/>
    </row>
    <row r="18" spans="1:8" ht="20.100000000000001" customHeight="1" x14ac:dyDescent="0.2">
      <c r="A18" s="5" t="str">
        <f>HYPERLINK("#'Input - Freight'!A1", "Freight")</f>
        <v>Freight</v>
      </c>
      <c r="D18" s="20">
        <v>7</v>
      </c>
      <c r="E18" s="20" t="s">
        <v>71</v>
      </c>
      <c r="F18" s="20" t="s">
        <v>2170</v>
      </c>
      <c r="G18" s="25"/>
    </row>
    <row r="19" spans="1:8" ht="20.100000000000001" customHeight="1" x14ac:dyDescent="0.2">
      <c r="A19" s="5" t="str">
        <f>HYPERLINK("#'Input - Solid waste'!A1", "Solid waste")</f>
        <v>Solid waste</v>
      </c>
      <c r="D19" s="20">
        <v>8</v>
      </c>
      <c r="E19" s="20" t="s">
        <v>77</v>
      </c>
      <c r="F19" s="20" t="s">
        <v>2171</v>
      </c>
      <c r="G19" s="25"/>
    </row>
    <row r="20" spans="1:8" ht="20.100000000000001" customHeight="1" x14ac:dyDescent="0.2">
      <c r="A20" s="5" t="str">
        <f>HYPERLINK("#'Input - Data quality'!A1", "Data quality")</f>
        <v>Data quality</v>
      </c>
      <c r="D20" s="20">
        <v>9</v>
      </c>
      <c r="E20" s="20" t="s">
        <v>76</v>
      </c>
      <c r="F20" s="20" t="s">
        <v>2172</v>
      </c>
      <c r="G20" s="25"/>
    </row>
    <row r="21" spans="1:8" ht="20.100000000000001" customHeight="1" x14ac:dyDescent="0.2">
      <c r="A21"/>
      <c r="D21" s="20">
        <v>10</v>
      </c>
      <c r="E21" s="20" t="s">
        <v>78</v>
      </c>
      <c r="F21" s="20" t="s">
        <v>2173</v>
      </c>
      <c r="G21" s="25"/>
    </row>
    <row r="22" spans="1:8" ht="20.100000000000001" customHeight="1" x14ac:dyDescent="0.2">
      <c r="A22"/>
      <c r="D22" s="20">
        <v>11</v>
      </c>
      <c r="E22" s="20" t="s">
        <v>79</v>
      </c>
      <c r="F22" s="20" t="s">
        <v>2174</v>
      </c>
      <c r="G22" s="25"/>
    </row>
    <row r="23" spans="1:8" ht="20.100000000000001" customHeight="1" x14ac:dyDescent="0.2">
      <c r="A23" s="6" t="s">
        <v>2</v>
      </c>
      <c r="D23" s="20" t="s">
        <v>2175</v>
      </c>
      <c r="E23" s="20" t="s">
        <v>2176</v>
      </c>
      <c r="F23" s="20" t="s">
        <v>2177</v>
      </c>
      <c r="G23" s="25"/>
    </row>
    <row r="24" spans="1:8" ht="20.100000000000001" customHeight="1" x14ac:dyDescent="0.2">
      <c r="A24" s="5" t="str">
        <f>HYPERLINK("#'5.1.1.1-2 Inorganic fert N2O'!A1", "5.1.1.1-2 Inorganic fert N2O")</f>
        <v>5.1.1.1-2 Inorganic fert N2O</v>
      </c>
      <c r="D24" s="20" t="s">
        <v>2178</v>
      </c>
      <c r="E24" s="20" t="s">
        <v>2179</v>
      </c>
      <c r="F24" s="20" t="s">
        <v>2180</v>
      </c>
      <c r="G24" s="25"/>
    </row>
    <row r="25" spans="1:8" ht="20.100000000000001" customHeight="1" x14ac:dyDescent="0.2">
      <c r="A25" s="5" t="str">
        <f>HYPERLINK("#'5.1.1.3-4 Inorganic fert CO2'!A1", "5.1.1.3-4 Inorganic fert CO2")</f>
        <v>5.1.1.3-4 Inorganic fert CO2</v>
      </c>
      <c r="D25" s="20">
        <v>12</v>
      </c>
      <c r="E25" s="20" t="s">
        <v>80</v>
      </c>
      <c r="F25" s="20" t="s">
        <v>2181</v>
      </c>
      <c r="G25" s="25"/>
    </row>
    <row r="26" spans="1:8" ht="20.100000000000001" customHeight="1" x14ac:dyDescent="0.2">
      <c r="A26" s="5" t="str">
        <f>HYPERLINK("#'5.2.1.1-2 Organic Fert N2O'!A1", "5.2.1.1-2 Organic fert N2O")</f>
        <v>5.2.1.1-2 Organic fert N2O</v>
      </c>
      <c r="D26" s="20">
        <v>13</v>
      </c>
      <c r="E26" s="20" t="s">
        <v>81</v>
      </c>
      <c r="F26" s="20" t="s">
        <v>2182</v>
      </c>
      <c r="G26" s="25"/>
    </row>
    <row r="27" spans="1:8" ht="20.100000000000001" customHeight="1" x14ac:dyDescent="0.2">
      <c r="A27" s="5" t="str">
        <f>HYPERLINK("#'5.3.1.1-2 Lime CO2'!A1", "5.3.1.1-2 Lime CO2")</f>
        <v>5.3.1.1-2 Lime CO2</v>
      </c>
      <c r="D27" s="20">
        <v>14</v>
      </c>
      <c r="E27" s="20" t="s">
        <v>82</v>
      </c>
      <c r="F27" s="20" t="s">
        <v>2183</v>
      </c>
      <c r="G27" s="25"/>
    </row>
    <row r="28" spans="1:8" ht="20.100000000000001" customHeight="1" x14ac:dyDescent="0.2">
      <c r="A28" s="5" t="str">
        <f>HYPERLINK("#'5.4.1.1-4 Atmos deposition'!A1", "5.4.1.1-4 Atmos. deposition")</f>
        <v>5.4.1.1-4 Atmos. deposition</v>
      </c>
      <c r="G28" s="25"/>
      <c r="H28" s="25"/>
    </row>
    <row r="29" spans="1:8" ht="20.100000000000001" customHeight="1" x14ac:dyDescent="0.2">
      <c r="A29" s="5" t="str">
        <f>HYPERLINK("#'5.5.1.1-2 Leaching and runoff'!A1", "5.5.1.1-2 Leaching &amp; runoff")</f>
        <v>5.5.1.1-2 Leaching &amp; runoff</v>
      </c>
      <c r="D29" s="2" t="s">
        <v>2184</v>
      </c>
    </row>
    <row r="30" spans="1:8" ht="20.100000000000001" customHeight="1" x14ac:dyDescent="0.2">
      <c r="A30" s="5" t="str">
        <f>HYPERLINK("#'6.1.1.1-2 Crop residue N2O'!A1", "6.1.1.1-2 Crop residue N2O")</f>
        <v>6.1.1.1-2 Crop residue N2O</v>
      </c>
      <c r="D30" s="17" t="s">
        <v>1585</v>
      </c>
    </row>
    <row r="31" spans="1:8" ht="20.100000000000001" customHeight="1" x14ac:dyDescent="0.2">
      <c r="A31" s="5" t="str">
        <f>HYPERLINK("#'6.3.1.1-2 Leach runoff crop'!A1", "6.3.1.1-2 Leach &amp; runoff (crop)")</f>
        <v>6.3.1.1-2 Leach &amp; runoff (crop)</v>
      </c>
      <c r="D31" s="20" t="s">
        <v>132</v>
      </c>
      <c r="E31" s="20" t="s">
        <v>1019</v>
      </c>
      <c r="F31" s="1" t="s">
        <v>1020</v>
      </c>
    </row>
    <row r="32" spans="1:8" ht="20.100000000000001" customHeight="1" x14ac:dyDescent="0.2">
      <c r="A32" s="5" t="str">
        <f>HYPERLINK("#'6.4.1.1-2 Residue burning'!A1", "6.4.1.1-2 Residue burning")</f>
        <v>6.4.1.1-2 Residue burning</v>
      </c>
      <c r="D32" s="20" t="s">
        <v>1883</v>
      </c>
      <c r="E32" s="20" t="s">
        <v>1005</v>
      </c>
    </row>
    <row r="33" spans="1:6" ht="20.100000000000001" customHeight="1" x14ac:dyDescent="0.2">
      <c r="A33" s="5" t="str">
        <f>HYPERLINK("#'8.1.1.1-2 Transport fuel'!A1", "8.1.1.1-2 Transport fuel")</f>
        <v>8.1.1.1-2 Transport fuel</v>
      </c>
      <c r="D33" s="1" t="s">
        <v>1886</v>
      </c>
      <c r="E33" s="20" t="s">
        <v>988</v>
      </c>
    </row>
    <row r="34" spans="1:6" ht="20.100000000000001" customHeight="1" x14ac:dyDescent="0.2">
      <c r="A34" s="5" t="str">
        <f>HYPERLINK("#'8.2.1.1-2 Stationary fuel'!A1", "8.2.1.1-2 Stationary fuel")</f>
        <v>8.2.1.1-2 Stationary fuel</v>
      </c>
      <c r="D34" s="1" t="s">
        <v>1887</v>
      </c>
      <c r="E34" s="20" t="s">
        <v>997</v>
      </c>
    </row>
    <row r="35" spans="1:6" ht="20.100000000000001" customHeight="1" x14ac:dyDescent="0.2">
      <c r="A35" s="5" t="str">
        <f>HYPERLINK("#'10.1.1-2 Solid waste treatment'!A1", "10.1.1.1-2 Solid waste")</f>
        <v>10.1.1.1-2 Solid waste</v>
      </c>
      <c r="E35" s="20" t="s">
        <v>1001</v>
      </c>
    </row>
    <row r="36" spans="1:6" ht="20.100000000000001" customHeight="1" x14ac:dyDescent="0.2">
      <c r="A36" s="5" t="str">
        <f>HYPERLINK("#'14.1.1-2 Purchased electricity'!A1", "14.1.1-2 Purchased electricity")</f>
        <v>14.1.1-2 Purchased electricity</v>
      </c>
      <c r="E36" s="20" t="s">
        <v>989</v>
      </c>
    </row>
    <row r="37" spans="1:6" ht="20.100000000000001" customHeight="1" x14ac:dyDescent="0.2">
      <c r="A37" s="5" t="str">
        <f>HYPERLINK("#'15 Scope 3'!A1", "15 Scope 3")</f>
        <v>15 Scope 3</v>
      </c>
      <c r="E37" s="20" t="s">
        <v>990</v>
      </c>
    </row>
    <row r="38" spans="1:6" ht="20.100000000000001" customHeight="1" x14ac:dyDescent="0.2">
      <c r="A38"/>
      <c r="E38" s="20" t="s">
        <v>991</v>
      </c>
    </row>
    <row r="39" spans="1:6" ht="20.100000000000001" customHeight="1" x14ac:dyDescent="0.2">
      <c r="A39"/>
      <c r="E39" s="20" t="s">
        <v>993</v>
      </c>
    </row>
    <row r="40" spans="1:6" ht="20.100000000000001" customHeight="1" x14ac:dyDescent="0.2">
      <c r="A40" s="82" t="s">
        <v>1</v>
      </c>
    </row>
    <row r="41" spans="1:6" ht="20.100000000000001" customHeight="1" x14ac:dyDescent="0.2">
      <c r="A41" s="5" t="str">
        <f>HYPERLINK("#'Constants - Ag Residue'!A1", "Constants - Ag residue")</f>
        <v>Constants - Ag residue</v>
      </c>
      <c r="D41" s="2" t="s">
        <v>2185</v>
      </c>
    </row>
    <row r="42" spans="1:6" ht="20.100000000000001" customHeight="1" x14ac:dyDescent="0.2">
      <c r="A42" s="5" t="str">
        <f>HYPERLINK("#'Constants - Electricity'!A1", "Constants - Electricity")</f>
        <v>Constants - Electricity</v>
      </c>
      <c r="D42" s="17" t="s">
        <v>1585</v>
      </c>
    </row>
    <row r="43" spans="1:6" ht="20.100000000000001" customHeight="1" x14ac:dyDescent="0.2">
      <c r="A43" s="5" t="str">
        <f>HYPERLINK("#'Constants - Fertiliser'!A1", "Constants - Fertiliser")</f>
        <v>Constants - Fertiliser</v>
      </c>
      <c r="D43" s="20" t="s">
        <v>132</v>
      </c>
      <c r="E43" s="20" t="s">
        <v>1019</v>
      </c>
      <c r="F43" s="1" t="s">
        <v>1021</v>
      </c>
    </row>
    <row r="44" spans="1:6" ht="20.100000000000001" customHeight="1" x14ac:dyDescent="0.2">
      <c r="A44" s="5" t="str">
        <f>HYPERLINK("#'Constants - Fuel'!A1", "Constants - Fuel")</f>
        <v>Constants - Fuel</v>
      </c>
      <c r="D44" s="20" t="s">
        <v>1891</v>
      </c>
      <c r="E44" s="20" t="s">
        <v>1005</v>
      </c>
    </row>
    <row r="45" spans="1:6" ht="20.100000000000001" customHeight="1" x14ac:dyDescent="0.2">
      <c r="A45" s="5" t="str">
        <f>HYPERLINK("#'Constants - Scope 3'!A1", "Constants - Scope 3")</f>
        <v>Constants - Scope 3</v>
      </c>
      <c r="D45" s="20" t="s">
        <v>1892</v>
      </c>
      <c r="E45" s="20" t="s">
        <v>988</v>
      </c>
    </row>
    <row r="46" spans="1:6" ht="20.100000000000001" customHeight="1" x14ac:dyDescent="0.2">
      <c r="A46" s="5" t="str">
        <f>HYPERLINK("#'Constants - Solid Waste'!A1", "Constants - Solid Waste")</f>
        <v>Constants - Solid Waste</v>
      </c>
      <c r="D46" s="20"/>
      <c r="E46" s="20" t="s">
        <v>1001</v>
      </c>
    </row>
    <row r="47" spans="1:6" ht="20.100000000000001" customHeight="1" x14ac:dyDescent="0.2">
      <c r="A47" s="5" t="str">
        <f>HYPERLINK("#'Constants - Common'!A1", "Constants - Common")</f>
        <v>Constants - Common</v>
      </c>
      <c r="D47" s="20"/>
      <c r="E47" s="20" t="s">
        <v>989</v>
      </c>
    </row>
    <row r="48" spans="1:6" ht="20.100000000000001" customHeight="1" x14ac:dyDescent="0.2">
      <c r="A48" s="83" t="str">
        <f>HYPERLINK("#'Constants - Common Livestock'!A1", "Constants - Common Livestock")</f>
        <v>Constants - Common Livestock</v>
      </c>
      <c r="D48" s="20"/>
      <c r="E48" s="20" t="s">
        <v>990</v>
      </c>
    </row>
    <row r="49" spans="1:6" ht="20.100000000000001" customHeight="1" x14ac:dyDescent="0.2">
      <c r="A49"/>
      <c r="D49" s="20"/>
      <c r="E49" s="20" t="s">
        <v>991</v>
      </c>
    </row>
    <row r="50" spans="1:6" ht="20.100000000000001" customHeight="1" x14ac:dyDescent="0.2">
      <c r="A50"/>
      <c r="D50" s="20"/>
      <c r="E50" s="20" t="s">
        <v>993</v>
      </c>
    </row>
    <row r="51" spans="1:6" ht="20.100000000000001" customHeight="1" x14ac:dyDescent="0.2">
      <c r="A51"/>
    </row>
    <row r="52" spans="1:6" ht="20.100000000000001" customHeight="1" x14ac:dyDescent="0.2">
      <c r="A52"/>
      <c r="D52" s="2" t="s">
        <v>2186</v>
      </c>
    </row>
    <row r="53" spans="1:6" ht="20.100000000000001" customHeight="1" x14ac:dyDescent="0.2">
      <c r="A53"/>
      <c r="D53" s="17" t="s">
        <v>1585</v>
      </c>
    </row>
    <row r="54" spans="1:6" ht="20.100000000000001" customHeight="1" x14ac:dyDescent="0.2">
      <c r="A54"/>
      <c r="D54" s="20" t="s">
        <v>132</v>
      </c>
      <c r="E54" s="20" t="s">
        <v>1019</v>
      </c>
      <c r="F54" s="1" t="s">
        <v>1022</v>
      </c>
    </row>
    <row r="55" spans="1:6" ht="20.100000000000001" customHeight="1" x14ac:dyDescent="0.2">
      <c r="A55"/>
      <c r="D55" s="20" t="s">
        <v>1888</v>
      </c>
      <c r="E55" s="20" t="s">
        <v>1005</v>
      </c>
    </row>
    <row r="56" spans="1:6" ht="20.100000000000001" customHeight="1" x14ac:dyDescent="0.2">
      <c r="A56"/>
    </row>
    <row r="57" spans="1:6" ht="20.100000000000001" customHeight="1" x14ac:dyDescent="0.2">
      <c r="A57"/>
      <c r="D57" s="2" t="s">
        <v>2187</v>
      </c>
    </row>
    <row r="58" spans="1:6" ht="20.100000000000001" customHeight="1" x14ac:dyDescent="0.2">
      <c r="A58"/>
      <c r="D58" s="17" t="s">
        <v>1585</v>
      </c>
    </row>
    <row r="59" spans="1:6" ht="20.100000000000001" customHeight="1" x14ac:dyDescent="0.2">
      <c r="A59" s="81" t="str">
        <f>HYPERLINK("#A1", "▲ Back to top")</f>
        <v>▲ Back to top</v>
      </c>
      <c r="D59" s="20" t="s">
        <v>132</v>
      </c>
      <c r="E59" s="20" t="s">
        <v>1019</v>
      </c>
      <c r="F59" s="1" t="s">
        <v>1023</v>
      </c>
    </row>
    <row r="60" spans="1:6" ht="20.100000000000001" customHeight="1" x14ac:dyDescent="0.2">
      <c r="A60"/>
      <c r="D60" s="20" t="s">
        <v>1889</v>
      </c>
      <c r="E60" s="20" t="s">
        <v>991</v>
      </c>
    </row>
    <row r="61" spans="1:6" ht="20.100000000000001" customHeight="1" x14ac:dyDescent="0.2">
      <c r="A61"/>
    </row>
    <row r="62" spans="1:6" ht="20.100000000000001" customHeight="1" x14ac:dyDescent="0.2">
      <c r="A62"/>
      <c r="D62" s="2" t="s">
        <v>2188</v>
      </c>
    </row>
    <row r="63" spans="1:6" ht="20.100000000000001" customHeight="1" x14ac:dyDescent="0.2">
      <c r="A63"/>
      <c r="D63" s="17" t="s">
        <v>1585</v>
      </c>
    </row>
    <row r="64" spans="1:6" ht="20.100000000000001" customHeight="1" x14ac:dyDescent="0.2">
      <c r="A64"/>
      <c r="D64" s="20" t="s">
        <v>132</v>
      </c>
      <c r="E64" s="20" t="s">
        <v>1019</v>
      </c>
      <c r="F64" s="1" t="s">
        <v>1024</v>
      </c>
    </row>
    <row r="65" spans="1:5" ht="20.100000000000001" customHeight="1" x14ac:dyDescent="0.2">
      <c r="A65"/>
      <c r="D65" s="20" t="s">
        <v>875</v>
      </c>
      <c r="E65" s="20" t="s">
        <v>1005</v>
      </c>
    </row>
    <row r="66" spans="1:5" ht="20.100000000000001" customHeight="1" x14ac:dyDescent="0.2">
      <c r="A66"/>
    </row>
    <row r="67" spans="1:5" ht="20.100000000000001" customHeight="1" x14ac:dyDescent="0.2">
      <c r="A67"/>
    </row>
    <row r="68" spans="1:5" ht="20.100000000000001" customHeight="1" x14ac:dyDescent="0.2">
      <c r="A68"/>
    </row>
    <row r="69" spans="1:5" ht="20.100000000000001" customHeight="1" x14ac:dyDescent="0.2">
      <c r="A69"/>
    </row>
    <row r="70" spans="1:5" ht="20.100000000000001" customHeight="1" x14ac:dyDescent="0.2">
      <c r="A70"/>
    </row>
    <row r="71" spans="1:5" ht="20.100000000000001" customHeight="1" x14ac:dyDescent="0.2">
      <c r="A71"/>
    </row>
    <row r="72" spans="1:5" ht="20.100000000000001" customHeight="1" x14ac:dyDescent="0.2">
      <c r="A72"/>
    </row>
    <row r="73" spans="1:5" ht="20.100000000000001" customHeight="1" x14ac:dyDescent="0.2">
      <c r="A73"/>
    </row>
    <row r="74" spans="1:5" ht="20.100000000000001" customHeight="1" x14ac:dyDescent="0.2">
      <c r="A74"/>
    </row>
    <row r="75" spans="1:5" ht="20.100000000000001" customHeight="1" x14ac:dyDescent="0.2">
      <c r="A75"/>
    </row>
    <row r="76" spans="1:5" ht="20.100000000000001" customHeight="1" x14ac:dyDescent="0.2">
      <c r="A76"/>
    </row>
    <row r="77" spans="1:5" ht="20.100000000000001" customHeight="1" x14ac:dyDescent="0.2">
      <c r="A77"/>
    </row>
    <row r="78" spans="1:5" ht="20.100000000000001" customHeight="1" x14ac:dyDescent="0.2">
      <c r="A78"/>
    </row>
    <row r="79" spans="1:5" ht="20.100000000000001" customHeight="1" x14ac:dyDescent="0.2">
      <c r="A79"/>
    </row>
    <row r="80" spans="1:5" ht="20.100000000000001" customHeight="1" x14ac:dyDescent="0.2">
      <c r="A80"/>
    </row>
    <row r="81" spans="1:1" ht="20.100000000000001" customHeight="1" x14ac:dyDescent="0.2">
      <c r="A81"/>
    </row>
    <row r="82" spans="1:1" ht="20.100000000000001" customHeight="1" x14ac:dyDescent="0.2">
      <c r="A82"/>
    </row>
    <row r="83" spans="1:1" ht="20.100000000000001" customHeight="1" x14ac:dyDescent="0.2">
      <c r="A83"/>
    </row>
    <row r="84" spans="1:1" ht="20.100000000000001" customHeight="1" x14ac:dyDescent="0.2">
      <c r="A84"/>
    </row>
    <row r="85" spans="1:1" ht="20.100000000000001" customHeight="1" x14ac:dyDescent="0.2">
      <c r="A85"/>
    </row>
    <row r="86" spans="1:1" ht="20.100000000000001" customHeight="1" x14ac:dyDescent="0.2">
      <c r="A86"/>
    </row>
    <row r="87" spans="1:1" ht="20.100000000000001" customHeight="1" x14ac:dyDescent="0.2">
      <c r="A87"/>
    </row>
    <row r="88" spans="1:1" ht="20.100000000000001" customHeight="1" x14ac:dyDescent="0.2">
      <c r="A88"/>
    </row>
    <row r="89" spans="1:1" ht="20.100000000000001" customHeight="1" x14ac:dyDescent="0.2">
      <c r="A89"/>
    </row>
    <row r="90" spans="1:1" ht="20.100000000000001" customHeight="1" x14ac:dyDescent="0.2">
      <c r="A90"/>
    </row>
    <row r="91" spans="1:1" ht="20.100000000000001" customHeight="1" x14ac:dyDescent="0.2">
      <c r="A91"/>
    </row>
    <row r="92" spans="1:1" ht="20.100000000000001" customHeight="1" x14ac:dyDescent="0.2">
      <c r="A92"/>
    </row>
    <row r="93" spans="1:1" ht="20.100000000000001" customHeight="1" x14ac:dyDescent="0.2">
      <c r="A93"/>
    </row>
    <row r="94" spans="1:1" ht="20.100000000000001" customHeight="1" x14ac:dyDescent="0.2">
      <c r="A94"/>
    </row>
    <row r="95" spans="1:1" ht="20.100000000000001" customHeight="1" x14ac:dyDescent="0.2">
      <c r="A95"/>
    </row>
    <row r="96" spans="1:1"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177</vt:i4>
      </vt:variant>
    </vt:vector>
  </HeadingPairs>
  <TitlesOfParts>
    <vt:vector size="214" baseType="lpstr">
      <vt:lpstr>Home</vt:lpstr>
      <vt:lpstr>Results - Activity period</vt:lpstr>
      <vt:lpstr>Results - Product EI</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Solid waste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10.1.1-2 Solid waste treatment</vt:lpstr>
      <vt:lpstr>14.1.1-2 Purchased electricity</vt:lpstr>
      <vt:lpstr>15 Scope 3</vt:lpstr>
      <vt:lpstr>Constants - Ag Residue</vt:lpstr>
      <vt:lpstr>Constants - Electricity</vt:lpstr>
      <vt:lpstr>Constants - Fertiliser</vt:lpstr>
      <vt:lpstr>Constants - Fuel</vt:lpstr>
      <vt:lpstr>Constants - Scope 3</vt:lpstr>
      <vt:lpstr>Constants - Solid Waste</vt:lpstr>
      <vt:lpstr>Constants - Common</vt:lpstr>
      <vt:lpstr>Input - Data quality</vt:lpstr>
      <vt:lpstr>Constants - Common Livestock</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X_Cell_BaledHayYield</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2026-09-03T01:38:46Z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2026-09-02T18:44:15; rename=True resize=True rowheights=True scope=all</vt:lpwstr>
  </property>
</Properties>
</file>