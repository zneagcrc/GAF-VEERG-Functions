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5CB93F08-C753-4A9E-A9A9-66190A31D151}" xr6:coauthVersionLast="47" xr6:coauthVersionMax="47" xr10:uidLastSave="{00000000-0000-0000-0000-000000000000}"/>
  <bookViews>
    <workbookView xWindow="390" yWindow="390" windowWidth="36330" windowHeight="19530" firstSheet="12" activeTab="17" xr2:uid="{7E1466D3-CE15-41E6-A7E5-3351E07F3C93}"/>
  </bookViews>
  <sheets>
    <sheet name="Home" sheetId="22" r:id="rId1"/>
    <sheet name="Input - Planting" sheetId="4" r:id="rId2"/>
    <sheet name="Input - Fertiliser" sheetId="10" r:id="rId3"/>
    <sheet name="Input - Fuel" sheetId="18" r:id="rId4"/>
    <sheet name="5.1.1.1-2 Inorganic fert N2O" sheetId="11" r:id="rId5"/>
    <sheet name="5.1.1.3-4 Inorganic fert CO2" sheetId="12" r:id="rId6"/>
    <sheet name="5.2.1.1-2 Organic Fert N2O" sheetId="13" r:id="rId7"/>
    <sheet name="5.3.1.1-2 Lime CO2" sheetId="14" r:id="rId8"/>
    <sheet name="5.4.1.1-4 Atmos deposition" sheetId="15" r:id="rId9"/>
    <sheet name="5.5.1.1-2 Leaching and runoff" sheetId="16" r:id="rId10"/>
    <sheet name="8.1.1.1-2 Transport fuel" sheetId="19" r:id="rId11"/>
    <sheet name="8.2.1.1-2 Stationary fuel" sheetId="20" r:id="rId12"/>
    <sheet name="Constants - Fertiliser" sheetId="17" r:id="rId13"/>
    <sheet name="Constants - Fuel" sheetId="21" r:id="rId14"/>
    <sheet name="Constants - Common" sheetId="8" r:id="rId15"/>
    <sheet name="Input - Fert Prod System" sheetId="9" r:id="rId16"/>
    <sheet name="Input - Site" sheetId="23" r:id="rId17"/>
    <sheet name="Input - Data quality" sheetId="7" r:id="rId18"/>
  </sheets>
  <definedNames>
    <definedName name="_Toc225350871" localSheetId="8">'5.4.1.1-4 Atmos deposition'!$C$1</definedName>
    <definedName name="_Toc225350871" localSheetId="9">'5.5.1.1-2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4">_xlfn.LAMBDA(_xlpm.Month,_xlpm.LivestockClass, IFERROR(SUM(_xlfn._xlws.FILTER(#REF!, (#REF! &gt;= EOMONTH(_xlpm.Month, -1) + 1) * (#REF! &lt;= EOMONTH(_xlpm.Month, 0)) * (#REF! = _xlpm.LivestockClass))), 0))</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 localSheetId="0">_xlfn.LAMBDA(_xlpm.Month,_xlpm.LivestockClass, IFERROR(SUM(_xlfn._xlws.FILTER(#REF!, (#REF! &gt;= EOMONTH(_xlpm.Month, -1) + 1) * (#REF! &lt;= EOMONTH(_xlpm.Month, 0)) * (#REF! = _xlpm.LivestockClass))), 0))</definedName>
    <definedName name="CommonLivestock_InputFunctions.LivestockMovement_HeadAddedDuringMonth" localSheetId="15">_xlfn.LAMBDA(_xlpm.Month,_xlpm.LivestockClass, IFERROR(SUM(_xlfn._xlws.FILTER(#REF!, (#REF! &gt;= EOMONTH(_xlpm.Month, -1) + 1) * (#REF! &lt;= EOMONTH(_xlpm.Month, 0)) * (#REF! = _xlpm.LivestockClass))), 0))</definedName>
    <definedName name="CommonLivestock_InputFunctions.LivestockMovement_HeadAddedDuringMonth" localSheetId="2">_xlfn.LAMBDA(_xlpm.Month,_xlpm.LivestockClass, IFERROR(SUM(_xlfn._xlws.FILTER(#REF!, (#REF! &gt;= EOMONTH(_xlpm.Month, -1) + 1) * (#REF! &lt;= EOMONTH(_xlpm.Month, 0)) * (#REF! = _xlpm.LivestockClass))), 0))</definedName>
    <definedName name="CommonLivestock_InputFunctions.LivestockMovement_HeadAddedDuringMonth" localSheetId="3">_xlfn.LAMBDA(_xlpm.Month,_xlpm.LivestockClass, IFERROR(SUM(_xlfn._xlws.FILTER(#REF!, (#REF! &gt;= EOMONTH(_xlpm.Month, -1) + 1) * (#REF! &lt;= EOMONTH(_xlpm.Month, 0)) * (#REF! = _xlpm.LivestockClass))), 0))</definedName>
    <definedName name="CommonLivestock_InputFunctions.LivestockMovement_HeadAddedDuringMonth" localSheetId="1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4">_xlfn.LAMBDA(_xlpm.Month,_xlpm.LivestockClass, IFERROR(SUM(_xlfn._xlws.FILTER(#REF!, (#REF! &gt;= EOMONTH(_xlpm.Month, -1) + 1) * (#REF! &lt;= EOMONTH(_xlpm.Month, 0)) * (#REF! = _xlpm.LivestockClass))), 0))</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 localSheetId="0">_xlfn.LAMBDA(_xlpm.Month,_xlpm.LivestockClass, IFERROR(SUM(_xlfn._xlws.FILTER(#REF!, (#REF! &gt;= EOMONTH(_xlpm.Month, -1) + 1) * (#REF! &lt;= EOMONTH(_xlpm.Month, 0)) * (#REF! = _xlpm.LivestockClass))), 0))</definedName>
    <definedName name="CommonLivestock_InputFunctions.LivestockMovement_HeadLostDuringMonth" localSheetId="15">_xlfn.LAMBDA(_xlpm.Month,_xlpm.LivestockClass, IFERROR(SUM(_xlfn._xlws.FILTER(#REF!, (#REF! &gt;= EOMONTH(_xlpm.Month, -1) + 1) * (#REF! &lt;= EOMONTH(_xlpm.Month, 0)) * (#REF! = _xlpm.LivestockClass))), 0))</definedName>
    <definedName name="CommonLivestock_InputFunctions.LivestockMovement_HeadLostDuringMonth" localSheetId="2">_xlfn.LAMBDA(_xlpm.Month,_xlpm.LivestockClass, IFERROR(SUM(_xlfn._xlws.FILTER(#REF!, (#REF! &gt;= EOMONTH(_xlpm.Month, -1) + 1) * (#REF! &lt;= EOMONTH(_xlpm.Month, 0)) * (#REF! = _xlpm.LivestockClass))), 0))</definedName>
    <definedName name="CommonLivestock_InputFunctions.LivestockMovement_HeadLostDuringMonth" localSheetId="3">_xlfn.LAMBDA(_xlpm.Month,_xlpm.LivestockClass, IFERROR(SUM(_xlfn._xlws.FILTER(#REF!, (#REF! &gt;= EOMONTH(_xlpm.Month, -1) + 1) * (#REF! &lt;= EOMONTH(_xlpm.Month, 0)) * (#REF! = _xlpm.LivestockClass))), 0))</definedName>
    <definedName name="CommonLivestock_InputFunctions.LivestockMovement_HeadLostDuringMonth" localSheetId="1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4">_xlfn.LAMBDA(_xlpm.Month,_xlpm.LivestockClass, IFERROR(SUM(_xlfn._xlws.FILTER(#REF!, (#REF! &gt;= EOMONTH(_xlpm.Month, -1) + 1) * (#REF! &lt;= EOMONTH(_xlpm.Month, 0)) * (#REF! =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 localSheetId="0">_xlfn.LAMBDA(_xlpm.Month,_xlpm.LivestockClass, IFERROR(SUM(_xlfn._xlws.FILTER(#REF!, (#REF! &gt;= EOMONTH(_xlpm.Month, -1) + 1) * (#REF! &lt;= EOMONTH(_xlpm.Month, 0)) * (#REF! = _xlpm.LivestockClass))), 0))</definedName>
    <definedName name="CommonLivestock_InputFunctions.LivestockMovement_TotalLiveweightAddedDuringMonth" localSheetId="15">_xlfn.LAMBDA(_xlpm.Month,_xlpm.LivestockClass, IFERROR(SUM(_xlfn._xlws.FILTER(#REF!, (#REF! &gt;= EOMONTH(_xlpm.Month, -1) + 1) * (#REF! &lt;= EOMONTH(_xlpm.Month, 0)) * (#REF! = _xlpm.LivestockClass))), 0))</definedName>
    <definedName name="CommonLivestock_InputFunctions.LivestockMovement_TotalLiveweightAddedDuringMonth" localSheetId="2">_xlfn.LAMBDA(_xlpm.Month,_xlpm.LivestockClass, IFERROR(SUM(_xlfn._xlws.FILTER(#REF!, (#REF! &gt;= EOMONTH(_xlpm.Month, -1) + 1) * (#REF! &lt;= EOMONTH(_xlpm.Month, 0)) * (#REF! = _xlpm.LivestockClass))), 0))</definedName>
    <definedName name="CommonLivestock_InputFunctions.LivestockMovement_TotalLiveweightAddedDuringMonth" localSheetId="3">_xlfn.LAMBDA(_xlpm.Month,_xlpm.LivestockClass, IFERROR(SUM(_xlfn._xlws.FILTER(#REF!, (#REF! &gt;= EOMONTH(_xlpm.Month, -1) + 1) * (#REF! &lt;= EOMONTH(_xlpm.Month, 0)) * (#REF! = _xlpm.LivestockClass))), 0))</definedName>
    <definedName name="CommonLivestock_InputFunctions.LivestockMovement_TotalLiveweightAddedDuringMonth" localSheetId="1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4">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 localSheetId="0">_xlfn.LAMBDA(_xlpm.Month,_xlpm.LivestockClass, IFERROR(SUM(_xlfn._xlws.FILTER(#REF!, (#REF! &gt;= EOMONTH(_xlpm.Month, -1) + 1) * (#REF! &lt;= EOMONTH(_xlpm.Month, 0)) * (#REF! = _xlpm.LivestockClass))), 0))</definedName>
    <definedName name="CommonLivestock_InputFunctions.LivestockMovement_TotalLiveweightGrownDuringMonth" localSheetId="15">_xlfn.LAMBDA(_xlpm.Month,_xlpm.LivestockClass, IFERROR(SUM(_xlfn._xlws.FILTER(#REF!, (#REF! &gt;= EOMONTH(_xlpm.Month, -1) + 1) * (#REF! &lt;= EOMONTH(_xlpm.Month, 0)) * (#REF! = _xlpm.LivestockClass))), 0))</definedName>
    <definedName name="CommonLivestock_InputFunctions.LivestockMovement_TotalLiveweightGrownDuringMonth" localSheetId="2">_xlfn.LAMBDA(_xlpm.Month,_xlpm.LivestockClass, IFERROR(SUM(_xlfn._xlws.FILTER(#REF!, (#REF! &gt;= EOMONTH(_xlpm.Month, -1) + 1) * (#REF! &lt;= EOMONTH(_xlpm.Month, 0)) * (#REF! = _xlpm.LivestockClass))), 0))</definedName>
    <definedName name="CommonLivestock_InputFunctions.LivestockMovement_TotalLiveweightGrownDuringMonth" localSheetId="3">_xlfn.LAMBDA(_xlpm.Month,_xlpm.LivestockClass, IFERROR(SUM(_xlfn._xlws.FILTER(#REF!, (#REF! &gt;= EOMONTH(_xlpm.Month, -1) + 1) * (#REF! &lt;= EOMONTH(_xlpm.Month, 0)) * (#REF! = _xlpm.LivestockClass))), 0))</definedName>
    <definedName name="CommonLivestock_InputFunctions.LivestockMovement_TotalLiveweightGrownDuringMonth" localSheetId="1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CO2">'5.1.1.3-4 Inorganic fert CO2'!$D$57:$E$76</definedName>
    <definedName name="M1_Table_E_N2O">'5.1.1.1-2 Inorganic fert N2O'!$D$59:$E$78</definedName>
    <definedName name="M2_Table_FertApplications">'5.1.1.1-2 Inorganic fert N2O'!$M$10:$W$25</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Fuel_IsMetroLocation">'Input - Fuel'!$E$11</definedName>
    <definedName name="X_Cell_Planting_Latitude">'Input - Planting'!$C$3</definedName>
    <definedName name="X_Cell_Planting_Longitude">'Input - Planting'!$C$4</definedName>
    <definedName name="X_Cell_Planting_PlantingAreaInHectares">'Input - Planting'!$C$8</definedName>
    <definedName name="X_Cell_Planting_PlantingDate">'Input - Planting'!$C$5</definedName>
    <definedName name="X_Cell_Planting_PlantingName">'Input - Planting'!$C$6</definedName>
    <definedName name="X_Cell_Site_AverageTemperature">'Input - Site'!$E$25</definedName>
    <definedName name="X_Cell_Site_ClimateZone">'Input - Site'!$E$31</definedName>
    <definedName name="X_Cell_Site_Elevation">'Input - Site'!$E$24</definedName>
    <definedName name="X_Cell_Site_EndDate">'Input - Planting'!$C$12</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Planting'!$C$11</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Result_Planting_CarbonCapturedPerHectare">'Input - Planting'!$C$15</definedName>
    <definedName name="X_Result_Planting_CarbonCapturedTotalArea">'Input - Planting'!$C$16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6" i="15" l="1"/>
  <c r="F105" i="15"/>
  <c r="I30" i="13"/>
  <c r="I29" i="13"/>
  <c r="I28" i="13"/>
  <c r="I27" i="13"/>
  <c r="I26" i="13"/>
  <c r="I25" i="13"/>
  <c r="I24" i="13"/>
  <c r="I23" i="13"/>
  <c r="I22" i="13"/>
  <c r="I21" i="13"/>
  <c r="I20" i="13"/>
  <c r="A29" i="7"/>
  <c r="A28" i="7"/>
  <c r="A27" i="7"/>
  <c r="A23" i="7"/>
  <c r="A22" i="7"/>
  <c r="A21" i="7"/>
  <c r="A20" i="7"/>
  <c r="A19" i="7"/>
  <c r="A18" i="7"/>
  <c r="A17" i="7"/>
  <c r="A16" i="7"/>
  <c r="A12" i="7"/>
  <c r="A11" i="7"/>
  <c r="A10" i="7"/>
  <c r="A9" i="7"/>
  <c r="A8" i="7"/>
  <c r="A7" i="7"/>
  <c r="A3" i="7"/>
  <c r="A29" i="23"/>
  <c r="A28" i="23"/>
  <c r="A27" i="23"/>
  <c r="A23" i="23"/>
  <c r="A22" i="23"/>
  <c r="A21" i="23"/>
  <c r="A20" i="23"/>
  <c r="A19" i="23"/>
  <c r="A18" i="23"/>
  <c r="A17" i="23"/>
  <c r="A16" i="23"/>
  <c r="A12" i="23"/>
  <c r="A11" i="23"/>
  <c r="A10" i="23"/>
  <c r="A9" i="23"/>
  <c r="A8" i="23"/>
  <c r="A7" i="23"/>
  <c r="A3" i="23"/>
  <c r="A29" i="9"/>
  <c r="A28" i="9"/>
  <c r="A27" i="9"/>
  <c r="A23" i="9"/>
  <c r="A22" i="9"/>
  <c r="A21" i="9"/>
  <c r="A20" i="9"/>
  <c r="A19" i="9"/>
  <c r="A18" i="9"/>
  <c r="A17" i="9"/>
  <c r="A16" i="9"/>
  <c r="A12" i="9"/>
  <c r="A11" i="9"/>
  <c r="A10" i="9"/>
  <c r="A9" i="9"/>
  <c r="A8" i="9"/>
  <c r="A7" i="9"/>
  <c r="A3" i="9"/>
  <c r="A280" i="8"/>
  <c r="A250" i="8"/>
  <c r="A220" i="8"/>
  <c r="A190" i="8"/>
  <c r="A160" i="8"/>
  <c r="A130" i="8"/>
  <c r="A100" i="8"/>
  <c r="A70" i="8"/>
  <c r="A40" i="8"/>
  <c r="A29" i="8"/>
  <c r="A28" i="8"/>
  <c r="A27" i="8"/>
  <c r="A23" i="8"/>
  <c r="A22" i="8"/>
  <c r="A21" i="8"/>
  <c r="A20" i="8"/>
  <c r="A19" i="8"/>
  <c r="A18" i="8"/>
  <c r="A17" i="8"/>
  <c r="A16" i="8"/>
  <c r="A12" i="8"/>
  <c r="A11" i="8"/>
  <c r="A10" i="8"/>
  <c r="A9" i="8"/>
  <c r="A8" i="8"/>
  <c r="A7" i="8"/>
  <c r="A3" i="8"/>
  <c r="A160" i="21"/>
  <c r="A130" i="21"/>
  <c r="A100" i="21"/>
  <c r="A70" i="21"/>
  <c r="A40" i="21"/>
  <c r="A29" i="21"/>
  <c r="A28" i="21"/>
  <c r="A27" i="21"/>
  <c r="A23" i="21"/>
  <c r="A22" i="21"/>
  <c r="A21" i="21"/>
  <c r="A20" i="21"/>
  <c r="A19" i="21"/>
  <c r="A18" i="21"/>
  <c r="A17" i="21"/>
  <c r="A16" i="21"/>
  <c r="A12" i="21"/>
  <c r="A11" i="21"/>
  <c r="A10" i="21"/>
  <c r="A9" i="21"/>
  <c r="A8" i="21"/>
  <c r="A7" i="21"/>
  <c r="A3" i="21"/>
  <c r="A220" i="17"/>
  <c r="A190" i="17"/>
  <c r="A160" i="17"/>
  <c r="A130" i="17"/>
  <c r="A100" i="17"/>
  <c r="A70" i="17"/>
  <c r="A40" i="17"/>
  <c r="A29" i="17"/>
  <c r="A28" i="17"/>
  <c r="A27" i="17"/>
  <c r="A23" i="17"/>
  <c r="A22" i="17"/>
  <c r="A21" i="17"/>
  <c r="A20" i="17"/>
  <c r="A19" i="17"/>
  <c r="A18" i="17"/>
  <c r="A17" i="17"/>
  <c r="A16" i="17"/>
  <c r="A12" i="17"/>
  <c r="A11" i="17"/>
  <c r="A10" i="17"/>
  <c r="A9" i="17"/>
  <c r="A8" i="17"/>
  <c r="A7" i="17"/>
  <c r="A3" i="17"/>
  <c r="A40" i="20"/>
  <c r="A29" i="20"/>
  <c r="A28" i="20"/>
  <c r="A27" i="20"/>
  <c r="A23" i="20"/>
  <c r="A22" i="20"/>
  <c r="A21" i="20"/>
  <c r="A20" i="20"/>
  <c r="A19" i="20"/>
  <c r="A18" i="20"/>
  <c r="A17" i="20"/>
  <c r="A16" i="20"/>
  <c r="A12" i="20"/>
  <c r="A11" i="20"/>
  <c r="A10" i="20"/>
  <c r="A9" i="20"/>
  <c r="A8" i="20"/>
  <c r="A7" i="20"/>
  <c r="A3" i="20"/>
  <c r="A40" i="19"/>
  <c r="A29" i="19"/>
  <c r="A28" i="19"/>
  <c r="A27" i="19"/>
  <c r="A23" i="19"/>
  <c r="A22" i="19"/>
  <c r="A21" i="19"/>
  <c r="A20" i="19"/>
  <c r="A19" i="19"/>
  <c r="A18" i="19"/>
  <c r="A17" i="19"/>
  <c r="A16" i="19"/>
  <c r="A12" i="19"/>
  <c r="A11" i="19"/>
  <c r="A10" i="19"/>
  <c r="A9" i="19"/>
  <c r="A8" i="19"/>
  <c r="A7" i="19"/>
  <c r="A3" i="19"/>
  <c r="A70" i="16"/>
  <c r="A40" i="16"/>
  <c r="A29" i="16"/>
  <c r="A28" i="16"/>
  <c r="A27" i="16"/>
  <c r="A23" i="16"/>
  <c r="A22" i="16"/>
  <c r="A21" i="16"/>
  <c r="A20" i="16"/>
  <c r="A19" i="16"/>
  <c r="A18" i="16"/>
  <c r="A17" i="16"/>
  <c r="A16" i="16"/>
  <c r="A12" i="16"/>
  <c r="A11" i="16"/>
  <c r="A10" i="16"/>
  <c r="A9" i="16"/>
  <c r="A8" i="16"/>
  <c r="A7" i="16"/>
  <c r="A3" i="16"/>
  <c r="A130" i="15"/>
  <c r="A100" i="15"/>
  <c r="A70" i="15"/>
  <c r="A40" i="15"/>
  <c r="A29" i="15"/>
  <c r="A28" i="15"/>
  <c r="A27" i="15"/>
  <c r="A23" i="15"/>
  <c r="A22" i="15"/>
  <c r="A21" i="15"/>
  <c r="A20" i="15"/>
  <c r="A19" i="15"/>
  <c r="A18" i="15"/>
  <c r="A17" i="15"/>
  <c r="A16" i="15"/>
  <c r="A12" i="15"/>
  <c r="A11" i="15"/>
  <c r="A10" i="15"/>
  <c r="A9" i="15"/>
  <c r="A8" i="15"/>
  <c r="A7" i="15"/>
  <c r="A3" i="15"/>
  <c r="A29" i="14"/>
  <c r="A28" i="14"/>
  <c r="A27" i="14"/>
  <c r="A23" i="14"/>
  <c r="A22" i="14"/>
  <c r="A21" i="14"/>
  <c r="A20" i="14"/>
  <c r="A19" i="14"/>
  <c r="A18" i="14"/>
  <c r="A17" i="14"/>
  <c r="A16" i="14"/>
  <c r="A12" i="14"/>
  <c r="A11" i="14"/>
  <c r="A10" i="14"/>
  <c r="A9" i="14"/>
  <c r="A8" i="14"/>
  <c r="A7" i="14"/>
  <c r="A3" i="14"/>
  <c r="A40" i="13"/>
  <c r="A29" i="13"/>
  <c r="A28" i="13"/>
  <c r="A27" i="13"/>
  <c r="A23" i="13"/>
  <c r="A22" i="13"/>
  <c r="A21" i="13"/>
  <c r="A20" i="13"/>
  <c r="A19" i="13"/>
  <c r="A18" i="13"/>
  <c r="A17" i="13"/>
  <c r="A16" i="13"/>
  <c r="A12" i="13"/>
  <c r="A11" i="13"/>
  <c r="A10" i="13"/>
  <c r="A9" i="13"/>
  <c r="A8" i="13"/>
  <c r="A7" i="13"/>
  <c r="A3" i="13"/>
  <c r="A70" i="12"/>
  <c r="A40" i="12"/>
  <c r="A29" i="12"/>
  <c r="A28" i="12"/>
  <c r="A27" i="12"/>
  <c r="A23" i="12"/>
  <c r="A22" i="12"/>
  <c r="A21" i="12"/>
  <c r="A20" i="12"/>
  <c r="A19" i="12"/>
  <c r="A18" i="12"/>
  <c r="A17" i="12"/>
  <c r="A16" i="12"/>
  <c r="A12" i="12"/>
  <c r="A11" i="12"/>
  <c r="A10" i="12"/>
  <c r="A9" i="12"/>
  <c r="A8" i="12"/>
  <c r="A7" i="12"/>
  <c r="A3" i="12"/>
  <c r="A100" i="11"/>
  <c r="A70" i="11"/>
  <c r="A40" i="11"/>
  <c r="A29" i="11"/>
  <c r="A28" i="11"/>
  <c r="A27" i="11"/>
  <c r="A23" i="11"/>
  <c r="A22" i="11"/>
  <c r="A21" i="11"/>
  <c r="A20" i="11"/>
  <c r="A19" i="11"/>
  <c r="A18" i="11"/>
  <c r="A17" i="11"/>
  <c r="A16" i="11"/>
  <c r="A12" i="11"/>
  <c r="A11" i="11"/>
  <c r="A10" i="11"/>
  <c r="A9" i="11"/>
  <c r="A8" i="11"/>
  <c r="A7" i="11"/>
  <c r="A3" i="11"/>
  <c r="A29" i="18"/>
  <c r="A28" i="18"/>
  <c r="A27" i="18"/>
  <c r="A23" i="18"/>
  <c r="A22" i="18"/>
  <c r="A21" i="18"/>
  <c r="A20" i="18"/>
  <c r="A19" i="18"/>
  <c r="A18" i="18"/>
  <c r="A17" i="18"/>
  <c r="A16" i="18"/>
  <c r="A12" i="18"/>
  <c r="A11" i="18"/>
  <c r="A10" i="18"/>
  <c r="A9" i="18"/>
  <c r="A8" i="18"/>
  <c r="A7" i="18"/>
  <c r="A3" i="18"/>
  <c r="A40" i="10"/>
  <c r="A29" i="10"/>
  <c r="A28" i="10"/>
  <c r="A27" i="10"/>
  <c r="A23" i="10"/>
  <c r="A22" i="10"/>
  <c r="A21" i="10"/>
  <c r="A20" i="10"/>
  <c r="A19" i="10"/>
  <c r="A18" i="10"/>
  <c r="A17" i="10"/>
  <c r="A16" i="10"/>
  <c r="A12" i="10"/>
  <c r="A11" i="10"/>
  <c r="A10" i="10"/>
  <c r="A9" i="10"/>
  <c r="A8" i="10"/>
  <c r="A7" i="10"/>
  <c r="A3" i="10"/>
  <c r="A29" i="4"/>
  <c r="A28" i="4"/>
  <c r="A27" i="4"/>
  <c r="A23" i="4"/>
  <c r="A22" i="4"/>
  <c r="A21" i="4"/>
  <c r="A20" i="4"/>
  <c r="A19" i="4"/>
  <c r="A18" i="4"/>
  <c r="A17" i="4"/>
  <c r="A16" i="4"/>
  <c r="A12" i="4"/>
  <c r="A11" i="4"/>
  <c r="A10" i="4"/>
  <c r="A9" i="4"/>
  <c r="A8" i="4"/>
  <c r="A7" i="4"/>
  <c r="A3" i="4"/>
  <c r="A29" i="22"/>
  <c r="A28" i="22"/>
  <c r="A27" i="22"/>
  <c r="A23" i="22"/>
  <c r="A22" i="22"/>
  <c r="A21" i="22"/>
  <c r="A20" i="22"/>
  <c r="A19" i="22"/>
  <c r="A18" i="22"/>
  <c r="A17" i="22"/>
  <c r="A16" i="22"/>
  <c r="A12" i="22"/>
  <c r="A11" i="22"/>
  <c r="A10" i="22"/>
  <c r="A9" i="22"/>
  <c r="A8" i="22"/>
  <c r="A7" i="22"/>
  <c r="A3" i="22"/>
  <c r="J7" i="7"/>
  <c r="D32" i="20"/>
  <c r="D25" i="20"/>
  <c r="F39" i="19"/>
  <c r="M39" i="19" s="1" a="1"/>
  <c r="M39" i="19" s="1"/>
  <c r="D37" i="19"/>
  <c r="D34" i="19"/>
  <c r="D33" i="19"/>
  <c r="D25" i="19"/>
  <c r="D75" i="16"/>
  <c r="D74" i="16"/>
  <c r="D73" i="16"/>
  <c r="D72" i="16"/>
  <c r="D71" i="16"/>
  <c r="D70" i="16"/>
  <c r="D69" i="16"/>
  <c r="D68" i="16"/>
  <c r="D134" i="15" a="1"/>
  <c r="D134" i="15" s="1"/>
  <c r="D102" i="15" a="1"/>
  <c r="D102" i="15" s="1"/>
  <c r="G25" i="14" a="1"/>
  <c r="G25" i="14" s="1"/>
  <c r="F25" i="14" a="1"/>
  <c r="F25" i="14" s="1"/>
  <c r="D25" i="14" a="1"/>
  <c r="D25" i="14" s="1"/>
  <c r="H20" i="13" a="1"/>
  <c r="H20" i="13" s="1"/>
  <c r="E20" i="13" a="1"/>
  <c r="E20" i="13" s="1"/>
  <c r="D20" i="13" a="1"/>
  <c r="D20" i="13" s="1"/>
  <c r="N21" i="11" a="1"/>
  <c r="N21" i="11" s="1"/>
  <c r="N11" i="11" a="1"/>
  <c r="N11" i="11" s="1"/>
  <c r="J21" i="18" a="1"/>
  <c r="J21" i="18" s="1"/>
  <c r="G21" i="18" a="1"/>
  <c r="G21" i="18" s="1"/>
  <c r="J20" i="18" a="1"/>
  <c r="J20" i="18" s="1"/>
  <c r="G20" i="18" a="1"/>
  <c r="G20" i="18" s="1"/>
  <c r="J19" i="18" a="1"/>
  <c r="J19" i="18" s="1"/>
  <c r="G19" i="18" a="1"/>
  <c r="G19" i="18" s="1"/>
  <c r="J18" i="18" a="1"/>
  <c r="J18" i="18" s="1"/>
  <c r="G18" i="18" a="1"/>
  <c r="G18" i="18" s="1"/>
  <c r="J17" i="18" a="1"/>
  <c r="J17" i="18" s="1"/>
  <c r="G17" i="18" a="1"/>
  <c r="G17" i="18" s="1"/>
  <c r="E29" i="23"/>
  <c r="E13" i="23"/>
  <c r="E139" i="21"/>
  <c r="F40" i="20" s="1"/>
  <c r="G138" i="21"/>
  <c r="F32" i="19" s="1"/>
  <c r="E138" i="21"/>
  <c r="F39" i="20" s="1"/>
  <c r="G137" i="21"/>
  <c r="F31" i="19" s="1"/>
  <c r="E137" i="21"/>
  <c r="F38" i="20" s="1"/>
  <c r="D137" i="21"/>
  <c r="F31" i="20" s="1"/>
  <c r="G136" i="21"/>
  <c r="F30" i="19" s="1"/>
  <c r="E136" i="21"/>
  <c r="F37" i="20" s="1"/>
  <c r="D136" i="21"/>
  <c r="F30" i="20" s="1"/>
  <c r="G135" i="21"/>
  <c r="F29" i="19" s="1"/>
  <c r="E135" i="21"/>
  <c r="F36" i="20" s="1"/>
  <c r="D135" i="21"/>
  <c r="F29" i="20" s="1"/>
  <c r="G134" i="21"/>
  <c r="F28" i="19" s="1"/>
  <c r="E134" i="21"/>
  <c r="F35" i="20" s="1"/>
  <c r="D134" i="21"/>
  <c r="F28" i="20" s="1"/>
  <c r="G133" i="21"/>
  <c r="F27" i="19" s="1"/>
  <c r="F133" i="21"/>
  <c r="F36" i="19" s="1"/>
  <c r="E133" i="21"/>
  <c r="F34" i="20" s="1"/>
  <c r="D133" i="21"/>
  <c r="F27" i="20" s="1"/>
  <c r="I132" i="21"/>
  <c r="F38" i="19" s="1"/>
  <c r="G132" i="21"/>
  <c r="F26" i="19" s="1"/>
  <c r="F132" i="21"/>
  <c r="F35" i="19" s="1"/>
  <c r="E132" i="21"/>
  <c r="F33" i="20" s="1"/>
  <c r="D132" i="21"/>
  <c r="F26" i="20" s="1"/>
  <c r="I131" i="21"/>
  <c r="F37" i="19" s="1"/>
  <c r="H131" i="21"/>
  <c r="F33" i="19" s="1"/>
  <c r="G131" i="21"/>
  <c r="F25" i="19" s="1"/>
  <c r="F131" i="21"/>
  <c r="F34" i="19" s="1"/>
  <c r="E131" i="21"/>
  <c r="F32" i="20" s="1"/>
  <c r="D131" i="21"/>
  <c r="F25" i="20" s="1"/>
  <c r="D110" i="21" a="1"/>
  <c r="D110" i="21" s="1"/>
  <c r="E40" i="20"/>
  <c r="E39" i="20"/>
  <c r="D84" i="21" a="1"/>
  <c r="D84" i="21" s="1"/>
  <c r="E31" i="20"/>
  <c r="E30" i="20"/>
  <c r="E36" i="20"/>
  <c r="E28" i="20"/>
  <c r="E34" i="20"/>
  <c r="E33" i="20"/>
  <c r="E25" i="20"/>
  <c r="D52" i="21" a="1"/>
  <c r="D52" i="21" s="1"/>
  <c r="E39" i="19"/>
  <c r="E36" i="19"/>
  <c r="E35" i="19"/>
  <c r="E34" i="19"/>
  <c r="E32" i="19"/>
  <c r="E31" i="19"/>
  <c r="E30" i="19"/>
  <c r="E29" i="19"/>
  <c r="E28" i="19"/>
  <c r="E27" i="19"/>
  <c r="E33" i="19"/>
  <c r="D8" i="21" a="1"/>
  <c r="D8" i="21" s="1"/>
  <c r="D34" i="20"/>
  <c r="D36" i="20"/>
  <c r="D27" i="20"/>
  <c r="D29" i="20"/>
  <c r="P18" i="20"/>
  <c r="P17" i="20"/>
  <c r="P16" i="20" a="1"/>
  <c r="P16" i="20" s="1"/>
  <c r="I16" i="20" a="1"/>
  <c r="I16" i="20" s="1"/>
  <c r="P15" i="20" a="1"/>
  <c r="P15" i="20" s="1"/>
  <c r="I15" i="20" a="1"/>
  <c r="I15" i="20" s="1"/>
  <c r="P14" i="20" a="1"/>
  <c r="P14" i="20" s="1"/>
  <c r="I14" i="20" a="1"/>
  <c r="I14" i="20" s="1"/>
  <c r="D39" i="19"/>
  <c r="D38" i="19"/>
  <c r="D60" i="19"/>
  <c r="D48" i="19"/>
  <c r="D42" i="19"/>
  <c r="P16" i="19" a="1"/>
  <c r="P16" i="19" s="1"/>
  <c r="I16" i="19" a="1"/>
  <c r="I16" i="19" s="1"/>
  <c r="P15" i="19" a="1"/>
  <c r="P15" i="19" s="1"/>
  <c r="I15" i="19" a="1"/>
  <c r="I15" i="19" s="1"/>
  <c r="P14" i="19" a="1"/>
  <c r="P14" i="19" s="1"/>
  <c r="I14" i="19" a="1"/>
  <c r="I14" i="19" s="1"/>
  <c r="H21" i="18"/>
  <c r="H20" i="18"/>
  <c r="H19" i="18"/>
  <c r="H18" i="18"/>
  <c r="H17" i="18"/>
  <c r="T21" i="10" a="1"/>
  <c r="T21" i="10" s="1"/>
  <c r="J91" i="16"/>
  <c r="I57" i="16"/>
  <c r="I97" i="15"/>
  <c r="F104" i="15" s="1"/>
  <c r="I19" i="14"/>
  <c r="I18" i="14"/>
  <c r="I16" i="14"/>
  <c r="I15" i="14"/>
  <c r="I50" i="12"/>
  <c r="D19" i="11" a="1"/>
  <c r="F99" i="16" a="1"/>
  <c r="F99" i="16" s="1"/>
  <c r="D96" i="16" a="1"/>
  <c r="D96" i="16" s="1"/>
  <c r="F94" i="16"/>
  <c r="D67" i="16"/>
  <c r="D66" i="16"/>
  <c r="D65" i="16"/>
  <c r="I60" i="16"/>
  <c r="I59" i="16"/>
  <c r="I58" i="16"/>
  <c r="I55" i="16" a="1"/>
  <c r="I55" i="16" s="1"/>
  <c r="F77" i="16"/>
  <c r="I18" i="16"/>
  <c r="I17" i="16"/>
  <c r="I16" i="16"/>
  <c r="I13" i="16" a="1"/>
  <c r="I13" i="16" s="1"/>
  <c r="F43" i="16"/>
  <c r="F151" i="15" a="1"/>
  <c r="F151" i="15" s="1"/>
  <c r="D148" i="15" a="1"/>
  <c r="D148" i="15" s="1"/>
  <c r="I128" i="15"/>
  <c r="I127" i="15"/>
  <c r="I124" i="15" a="1"/>
  <c r="I124" i="15" s="1"/>
  <c r="F146" i="15"/>
  <c r="I96" i="15" a="1"/>
  <c r="I96" i="15" s="1"/>
  <c r="G102" i="15"/>
  <c r="F84" i="15" a="1"/>
  <c r="F84" i="15" s="1"/>
  <c r="D81" i="15" a="1"/>
  <c r="D81" i="15" s="1"/>
  <c r="J53" i="15"/>
  <c r="J52" i="15"/>
  <c r="J49" i="15" a="1"/>
  <c r="J49" i="15" s="1"/>
  <c r="F79" i="15"/>
  <c r="I14" i="15" a="1"/>
  <c r="I14" i="15" s="1"/>
  <c r="I13" i="15" a="1"/>
  <c r="I13" i="15" s="1"/>
  <c r="I17" i="14" a="1"/>
  <c r="I17" i="14" s="1"/>
  <c r="I14" i="14" a="1"/>
  <c r="I14" i="14" s="1"/>
  <c r="I13" i="14" a="1"/>
  <c r="I13" i="14" s="1"/>
  <c r="F55" i="13" a="1"/>
  <c r="F55" i="13" s="1"/>
  <c r="D52" i="13" a="1"/>
  <c r="D52" i="13" s="1"/>
  <c r="K47" i="13"/>
  <c r="F50" i="13"/>
  <c r="E75" i="16"/>
  <c r="E111" i="15"/>
  <c r="E110" i="15"/>
  <c r="E109" i="15"/>
  <c r="E71" i="16"/>
  <c r="E70" i="16"/>
  <c r="E69" i="16"/>
  <c r="E105" i="15"/>
  <c r="I15" i="13" a="1"/>
  <c r="I15" i="13" s="1"/>
  <c r="I14" i="13" a="1"/>
  <c r="I14" i="13" s="1"/>
  <c r="I13" i="13" a="1"/>
  <c r="I13" i="13" s="1"/>
  <c r="F32" i="13"/>
  <c r="I53" i="12" a="1"/>
  <c r="I53" i="12" s="1"/>
  <c r="I52" i="12"/>
  <c r="I49" i="12" a="1"/>
  <c r="I49" i="12" s="1"/>
  <c r="I14" i="12" a="1"/>
  <c r="I14" i="12" s="1"/>
  <c r="I13" i="12" a="1"/>
  <c r="I13" i="12" s="1"/>
  <c r="O115" i="11" a="1"/>
  <c r="O115" i="11" s="1"/>
  <c r="M112" i="11" a="1"/>
  <c r="M112" i="11" s="1"/>
  <c r="S98" i="11"/>
  <c r="S96" i="11"/>
  <c r="N107" i="11" s="1"/>
  <c r="S95" i="11"/>
  <c r="F85" i="11" a="1"/>
  <c r="F85" i="11" s="1"/>
  <c r="D82" i="11" a="1"/>
  <c r="D82" i="11" s="1"/>
  <c r="O79" i="11"/>
  <c r="O63" i="11"/>
  <c r="I54" i="11"/>
  <c r="I53" i="11"/>
  <c r="I52" i="11"/>
  <c r="I49" i="11" a="1"/>
  <c r="I49" i="11" s="1"/>
  <c r="F80" i="11"/>
  <c r="O49" i="11"/>
  <c r="I14" i="11" a="1"/>
  <c r="I14" i="11" s="1"/>
  <c r="I13" i="11" a="1"/>
  <c r="I13" i="11" s="1"/>
  <c r="H56" i="10"/>
  <c r="I56" i="10" s="1"/>
  <c r="G56" i="10"/>
  <c r="H55" i="10"/>
  <c r="I55" i="10" s="1"/>
  <c r="G55" i="10"/>
  <c r="H54" i="10"/>
  <c r="I54" i="10" s="1"/>
  <c r="G54" i="10"/>
  <c r="K44" i="10"/>
  <c r="F44" i="10"/>
  <c r="G44" i="10" s="1"/>
  <c r="K43" i="10"/>
  <c r="F43" i="10"/>
  <c r="G43" i="10" s="1"/>
  <c r="K42" i="10"/>
  <c r="F42" i="10"/>
  <c r="G42" i="10" s="1"/>
  <c r="E25" i="14" s="1" a="1"/>
  <c r="E25" i="14" s="1"/>
  <c r="F34" i="10"/>
  <c r="G34" i="10" s="1"/>
  <c r="F33" i="10"/>
  <c r="G33" i="10" s="1"/>
  <c r="F32" i="10"/>
  <c r="G32" i="10" s="1"/>
  <c r="F31" i="10"/>
  <c r="G31" i="10" s="1"/>
  <c r="F30" i="10"/>
  <c r="G30" i="10" s="1"/>
  <c r="F29" i="10"/>
  <c r="G29" i="10" s="1"/>
  <c r="F28" i="10"/>
  <c r="G28" i="10" s="1"/>
  <c r="F27" i="10"/>
  <c r="G27" i="10" s="1"/>
  <c r="F26" i="10"/>
  <c r="G26" i="10" s="1"/>
  <c r="F25" i="10"/>
  <c r="G25" i="10" s="1"/>
  <c r="G21" i="10"/>
  <c r="G20" i="10"/>
  <c r="G19" i="10"/>
  <c r="G18" i="10"/>
  <c r="G17" i="10"/>
  <c r="G16" i="10"/>
  <c r="G15" i="10"/>
  <c r="G14" i="10"/>
  <c r="G13" i="10"/>
  <c r="G12" i="10"/>
  <c r="E30" i="23"/>
  <c r="D117" i="8" a="1"/>
  <c r="D117" i="8" s="1"/>
  <c r="E33" i="23"/>
  <c r="D107" i="8" a="1"/>
  <c r="D107" i="8" s="1"/>
  <c r="E31" i="23"/>
  <c r="E32" i="23" s="1"/>
  <c r="K48" i="13" s="1"/>
  <c r="K45" i="13" s="1"/>
  <c r="D83" i="8" a="1"/>
  <c r="D83" i="8" s="1"/>
  <c r="D59" i="8" a="1"/>
  <c r="D59" i="8" s="1"/>
  <c r="G53" i="13"/>
  <c r="F107" i="15" l="1"/>
  <c r="F108" i="15"/>
  <c r="F109" i="15"/>
  <c r="F110" i="15"/>
  <c r="F111" i="15"/>
  <c r="F112" i="15"/>
  <c r="F102" i="15"/>
  <c r="F103" i="15"/>
  <c r="M31" i="19" a="1"/>
  <c r="M31" i="19" s="1"/>
  <c r="K30" i="20"/>
  <c r="J30" i="20"/>
  <c r="I30" i="20"/>
  <c r="H30" i="20"/>
  <c r="G30" i="20"/>
  <c r="M36" i="19" a="1"/>
  <c r="M36" i="19" s="1"/>
  <c r="I129" i="15"/>
  <c r="J54" i="15"/>
  <c r="S99" i="11"/>
  <c r="I55" i="11"/>
  <c r="M35" i="19" a="1"/>
  <c r="M35" i="19" s="1"/>
  <c r="M37" i="20" a="1"/>
  <c r="M37" i="20" s="1"/>
  <c r="M26" i="19" a="1"/>
  <c r="M26" i="19" s="1"/>
  <c r="M30" i="19" a="1"/>
  <c r="M30" i="19" s="1"/>
  <c r="M38" i="19" a="1"/>
  <c r="M38" i="19" s="1"/>
  <c r="L38" i="19" a="1"/>
  <c r="L38" i="19" s="1"/>
  <c r="M31" i="20" a="1"/>
  <c r="M31" i="20" s="1"/>
  <c r="M27" i="19" a="1"/>
  <c r="M27" i="19" s="1"/>
  <c r="L27" i="19" a="1"/>
  <c r="L27" i="19" s="1"/>
  <c r="M32" i="20" a="1"/>
  <c r="M32" i="20" s="1"/>
  <c r="M40" i="20" a="1"/>
  <c r="M40" i="20" s="1"/>
  <c r="M34" i="19" a="1"/>
  <c r="M34" i="19" s="1"/>
  <c r="L34" i="19" a="1"/>
  <c r="L34" i="19" s="1"/>
  <c r="M35" i="20" a="1"/>
  <c r="M35" i="20" s="1"/>
  <c r="I34" i="19" a="1"/>
  <c r="I34" i="19" s="1"/>
  <c r="J31" i="19" a="1"/>
  <c r="J31" i="19" s="1"/>
  <c r="I28" i="19" a="1"/>
  <c r="I28" i="19" s="1"/>
  <c r="H25" i="19" a="1"/>
  <c r="H25" i="19" s="1"/>
  <c r="H34" i="19" a="1"/>
  <c r="H34" i="19" s="1"/>
  <c r="I31" i="19" a="1"/>
  <c r="I31" i="19" s="1"/>
  <c r="H28" i="19" a="1"/>
  <c r="H28" i="19" s="1"/>
  <c r="G25" i="19" a="1"/>
  <c r="G25" i="19" s="1"/>
  <c r="G34" i="19" a="1"/>
  <c r="G34" i="19" s="1"/>
  <c r="H31" i="19" a="1"/>
  <c r="H31" i="19" s="1"/>
  <c r="G28" i="19" a="1"/>
  <c r="G28" i="19" s="1"/>
  <c r="E37" i="19"/>
  <c r="J37" i="19" s="1" a="1"/>
  <c r="J37" i="19" s="1"/>
  <c r="K35" i="19" a="1"/>
  <c r="K35" i="19" s="1"/>
  <c r="G31" i="19" a="1"/>
  <c r="G31" i="19" s="1"/>
  <c r="K29" i="19" a="1"/>
  <c r="K29" i="19" s="1"/>
  <c r="E25" i="19"/>
  <c r="I25" i="19" s="1" a="1"/>
  <c r="I25" i="19" s="1"/>
  <c r="J35" i="19" a="1"/>
  <c r="J35" i="19" s="1"/>
  <c r="K32" i="19" a="1"/>
  <c r="K32" i="19" s="1"/>
  <c r="J29" i="19" a="1"/>
  <c r="J29" i="19" s="1"/>
  <c r="I35" i="19" a="1"/>
  <c r="I35" i="19" s="1"/>
  <c r="J32" i="19" a="1"/>
  <c r="J32" i="19" s="1"/>
  <c r="I29" i="19" a="1"/>
  <c r="I29" i="19" s="1"/>
  <c r="H35" i="19" a="1"/>
  <c r="H35" i="19" s="1"/>
  <c r="I32" i="19" a="1"/>
  <c r="I32" i="19" s="1"/>
  <c r="H29" i="19" a="1"/>
  <c r="H29" i="19" s="1"/>
  <c r="K39" i="19" a="1"/>
  <c r="K39" i="19" s="1"/>
  <c r="K36" i="19" a="1"/>
  <c r="K36" i="19" s="1"/>
  <c r="G35" i="19" a="1"/>
  <c r="G35" i="19" s="1"/>
  <c r="H32" i="19" a="1"/>
  <c r="H32" i="19" s="1"/>
  <c r="G29" i="19" a="1"/>
  <c r="G29" i="19" s="1"/>
  <c r="K27" i="19" a="1"/>
  <c r="K27" i="19" s="1"/>
  <c r="J39" i="19" a="1"/>
  <c r="J39" i="19" s="1"/>
  <c r="J36" i="19" a="1"/>
  <c r="J36" i="19" s="1"/>
  <c r="K33" i="19" a="1"/>
  <c r="K33" i="19" s="1"/>
  <c r="G32" i="19" a="1"/>
  <c r="G32" i="19" s="1"/>
  <c r="K30" i="19" a="1"/>
  <c r="K30" i="19" s="1"/>
  <c r="J27" i="19" a="1"/>
  <c r="J27" i="19" s="1"/>
  <c r="I39" i="19" a="1"/>
  <c r="I39" i="19" s="1"/>
  <c r="I36" i="19" a="1"/>
  <c r="I36" i="19" s="1"/>
  <c r="J33" i="19" a="1"/>
  <c r="J33" i="19" s="1"/>
  <c r="J30" i="19" a="1"/>
  <c r="J30" i="19" s="1"/>
  <c r="I27" i="19" a="1"/>
  <c r="I27" i="19" s="1"/>
  <c r="H39" i="19" a="1"/>
  <c r="H39" i="19" s="1"/>
  <c r="H36" i="19" a="1"/>
  <c r="H36" i="19" s="1"/>
  <c r="I33" i="19" a="1"/>
  <c r="I33" i="19" s="1"/>
  <c r="I30" i="19" a="1"/>
  <c r="I30" i="19" s="1"/>
  <c r="H27" i="19" a="1"/>
  <c r="H27" i="19" s="1"/>
  <c r="G39" i="19" a="1"/>
  <c r="G39" i="19" s="1"/>
  <c r="G36" i="19" a="1"/>
  <c r="G36" i="19" s="1"/>
  <c r="H33" i="19" a="1"/>
  <c r="H33" i="19" s="1"/>
  <c r="H30" i="19" a="1"/>
  <c r="H30" i="19" s="1"/>
  <c r="G27" i="19" a="1"/>
  <c r="G27" i="19" s="1"/>
  <c r="K25" i="19" a="1"/>
  <c r="K25" i="19" s="1"/>
  <c r="K34" i="19" a="1"/>
  <c r="K34" i="19" s="1"/>
  <c r="G33" i="19" a="1"/>
  <c r="G33" i="19" s="1"/>
  <c r="G30" i="19" a="1"/>
  <c r="G30" i="19" s="1"/>
  <c r="K28" i="19" a="1"/>
  <c r="K28" i="19" s="1"/>
  <c r="J25" i="19" a="1"/>
  <c r="J25" i="19" s="1"/>
  <c r="J34" i="19" a="1"/>
  <c r="J34" i="19" s="1"/>
  <c r="K31" i="19" a="1"/>
  <c r="K31" i="19" s="1"/>
  <c r="J28" i="19" a="1"/>
  <c r="J28" i="19" s="1"/>
  <c r="M25" i="19" a="1"/>
  <c r="M25" i="19" s="1"/>
  <c r="L25" i="19" a="1"/>
  <c r="L25" i="19" s="1"/>
  <c r="M28" i="19" a="1"/>
  <c r="M28" i="19" s="1"/>
  <c r="M39" i="20" a="1"/>
  <c r="M39" i="20" s="1"/>
  <c r="K33" i="20"/>
  <c r="J33" i="20"/>
  <c r="I33" i="20"/>
  <c r="H33" i="20"/>
  <c r="G33" i="20"/>
  <c r="M25" i="20" a="1"/>
  <c r="M25" i="20" s="1"/>
  <c r="L25" i="20" a="1"/>
  <c r="L25" i="20" s="1"/>
  <c r="M32" i="19" a="1"/>
  <c r="M32" i="19" s="1"/>
  <c r="J31" i="20"/>
  <c r="I31" i="20"/>
  <c r="H31" i="20"/>
  <c r="G31" i="20"/>
  <c r="K31" i="20"/>
  <c r="M28" i="20" a="1"/>
  <c r="M28" i="20" s="1"/>
  <c r="H25" i="20"/>
  <c r="G25" i="20"/>
  <c r="K25" i="20"/>
  <c r="J25" i="20"/>
  <c r="I25" i="20"/>
  <c r="D19" i="11"/>
  <c r="F19" i="11" s="1" a="1"/>
  <c r="F19" i="11" s="1"/>
  <c r="F30" i="11" a="1"/>
  <c r="F30" i="11" s="1"/>
  <c r="F29" i="11" a="1"/>
  <c r="F29" i="11" s="1"/>
  <c r="F28" i="11" a="1"/>
  <c r="F28" i="11" s="1"/>
  <c r="F27" i="11" a="1"/>
  <c r="F27" i="11" s="1"/>
  <c r="F26" i="11" a="1"/>
  <c r="F26" i="11" s="1"/>
  <c r="F25" i="11" a="1"/>
  <c r="F25" i="11" s="1"/>
  <c r="F24" i="11" a="1"/>
  <c r="F24" i="11" s="1"/>
  <c r="F37" i="11" a="1"/>
  <c r="F37" i="11" s="1"/>
  <c r="F23" i="11" a="1"/>
  <c r="F23" i="11" s="1"/>
  <c r="F36" i="11" a="1"/>
  <c r="F36" i="11" s="1"/>
  <c r="F22" i="11" a="1"/>
  <c r="F22" i="11" s="1"/>
  <c r="F35" i="11" a="1"/>
  <c r="F35" i="11" s="1"/>
  <c r="F34" i="11" a="1"/>
  <c r="F34" i="11" s="1"/>
  <c r="F33" i="11" a="1"/>
  <c r="F33" i="11" s="1"/>
  <c r="F21" i="11" a="1"/>
  <c r="F21" i="11" s="1"/>
  <c r="F32" i="11" a="1"/>
  <c r="F32" i="11" s="1"/>
  <c r="F20" i="11" a="1"/>
  <c r="F20" i="11" s="1"/>
  <c r="F31" i="11" a="1"/>
  <c r="F31" i="11" s="1"/>
  <c r="M33" i="19" a="1"/>
  <c r="M33" i="19" s="1"/>
  <c r="M29" i="20" a="1"/>
  <c r="M29" i="20" s="1"/>
  <c r="L29" i="20" a="1"/>
  <c r="L29" i="20" s="1"/>
  <c r="M34" i="20" a="1"/>
  <c r="M34" i="20" s="1"/>
  <c r="L34" i="20" a="1"/>
  <c r="L34" i="20" s="1"/>
  <c r="G39" i="20"/>
  <c r="J39" i="20"/>
  <c r="I39" i="20"/>
  <c r="H39" i="20"/>
  <c r="J34" i="20"/>
  <c r="I34" i="20"/>
  <c r="H34" i="20"/>
  <c r="G34" i="20"/>
  <c r="K34" i="20"/>
  <c r="K36" i="20"/>
  <c r="J36" i="20"/>
  <c r="I36" i="20"/>
  <c r="H36" i="20"/>
  <c r="G36" i="20"/>
  <c r="M37" i="19" a="1"/>
  <c r="M37" i="19" s="1"/>
  <c r="L37" i="19" a="1"/>
  <c r="L37" i="19" s="1"/>
  <c r="M36" i="20" a="1"/>
  <c r="M36" i="20" s="1"/>
  <c r="L36" i="20" a="1"/>
  <c r="L36" i="20" s="1"/>
  <c r="J40" i="20"/>
  <c r="I40" i="20"/>
  <c r="H40" i="20"/>
  <c r="G40" i="20"/>
  <c r="M26" i="20" a="1"/>
  <c r="M26" i="20" s="1"/>
  <c r="M29" i="19" a="1"/>
  <c r="M29" i="19" s="1"/>
  <c r="L29" i="19" a="1"/>
  <c r="L29" i="19" s="1"/>
  <c r="I28" i="20"/>
  <c r="H28" i="20"/>
  <c r="G28" i="20"/>
  <c r="K28" i="20"/>
  <c r="J28" i="20"/>
  <c r="M27" i="20" a="1"/>
  <c r="M27" i="20" s="1"/>
  <c r="L27" i="20" a="1"/>
  <c r="L27" i="20" s="1"/>
  <c r="M38" i="20" a="1"/>
  <c r="M38" i="20" s="1"/>
  <c r="M33" i="20" a="1"/>
  <c r="M33" i="20" s="1"/>
  <c r="M30" i="20" a="1"/>
  <c r="M30" i="20" s="1"/>
  <c r="O12" i="10" a="1"/>
  <c r="O12" i="10" s="1"/>
  <c r="K13" i="10" a="1"/>
  <c r="K13" i="10" s="1"/>
  <c r="Z13" i="10"/>
  <c r="U14" i="10" a="1"/>
  <c r="U14" i="10" s="1"/>
  <c r="Q15" i="10" a="1"/>
  <c r="Q15" i="10" s="1"/>
  <c r="M16" i="10" a="1"/>
  <c r="M16" i="10" s="1"/>
  <c r="H17" i="10"/>
  <c r="I17" i="10" s="1"/>
  <c r="W17" i="10" a="1"/>
  <c r="W17" i="10" s="1"/>
  <c r="S18" i="10" a="1"/>
  <c r="S18" i="10" s="1"/>
  <c r="O19" i="10" a="1"/>
  <c r="O19" i="10" s="1"/>
  <c r="K20" i="10" a="1"/>
  <c r="K20" i="10" s="1"/>
  <c r="Z20" i="10"/>
  <c r="U21" i="10" a="1"/>
  <c r="U21" i="10" s="1"/>
  <c r="P34" i="10"/>
  <c r="E112" i="15"/>
  <c r="E144" i="15" s="1"/>
  <c r="E72" i="16"/>
  <c r="E27" i="20"/>
  <c r="P12" i="10" a="1"/>
  <c r="P12" i="10" s="1"/>
  <c r="L13" i="10" a="1"/>
  <c r="L13" i="10" s="1"/>
  <c r="F14" i="10"/>
  <c r="R15" i="10" a="1"/>
  <c r="R15" i="10" s="1"/>
  <c r="N16" i="10" a="1"/>
  <c r="N16" i="10" s="1"/>
  <c r="J17" i="10" a="1"/>
  <c r="J17" i="10" s="1"/>
  <c r="Y17" i="10"/>
  <c r="T18" i="10" a="1"/>
  <c r="T18" i="10" s="1"/>
  <c r="P19" i="10" a="1"/>
  <c r="P19" i="10" s="1"/>
  <c r="L20" i="10" a="1"/>
  <c r="L20" i="10" s="1"/>
  <c r="F21" i="10"/>
  <c r="Q12" i="10" a="1"/>
  <c r="Q12" i="10" s="1"/>
  <c r="M13" i="10" a="1"/>
  <c r="M13" i="10" s="1"/>
  <c r="H14" i="10"/>
  <c r="I14" i="10" s="1"/>
  <c r="W14" i="10" a="1"/>
  <c r="W14" i="10" s="1"/>
  <c r="S15" i="10" a="1"/>
  <c r="S15" i="10" s="1"/>
  <c r="O16" i="10" a="1"/>
  <c r="O16" i="10" s="1"/>
  <c r="K17" i="10" a="1"/>
  <c r="K17" i="10" s="1"/>
  <c r="Z17" i="10"/>
  <c r="U18" i="10" a="1"/>
  <c r="U18" i="10" s="1"/>
  <c r="Q19" i="10" a="1"/>
  <c r="Q19" i="10" s="1"/>
  <c r="M20" i="10" a="1"/>
  <c r="M20" i="10" s="1"/>
  <c r="H21" i="10"/>
  <c r="I21" i="10" s="1"/>
  <c r="W21" i="10" a="1"/>
  <c r="W21" i="10" s="1"/>
  <c r="E73" i="16"/>
  <c r="E38" i="20"/>
  <c r="R12" i="10" a="1"/>
  <c r="R12" i="10" s="1"/>
  <c r="N13" i="10" a="1"/>
  <c r="N13" i="10" s="1"/>
  <c r="J14" i="10" a="1"/>
  <c r="J14" i="10" s="1"/>
  <c r="Y14" i="10"/>
  <c r="T15" i="10" a="1"/>
  <c r="T15" i="10" s="1"/>
  <c r="P16" i="10" a="1"/>
  <c r="P16" i="10" s="1"/>
  <c r="L17" i="10" a="1"/>
  <c r="L17" i="10" s="1"/>
  <c r="F18" i="10"/>
  <c r="R19" i="10" a="1"/>
  <c r="R19" i="10" s="1"/>
  <c r="N20" i="10" a="1"/>
  <c r="N20" i="10" s="1"/>
  <c r="J21" i="10" a="1"/>
  <c r="J21" i="10" s="1"/>
  <c r="Y21" i="10"/>
  <c r="G149" i="15"/>
  <c r="E35" i="20"/>
  <c r="S12" i="10" a="1"/>
  <c r="S12" i="10" s="1"/>
  <c r="O13" i="10" a="1"/>
  <c r="O13" i="10" s="1"/>
  <c r="K14" i="10" a="1"/>
  <c r="K14" i="10" s="1"/>
  <c r="Z14" i="10"/>
  <c r="U15" i="10" a="1"/>
  <c r="U15" i="10" s="1"/>
  <c r="Q16" i="10" a="1"/>
  <c r="Q16" i="10" s="1"/>
  <c r="M17" i="10" a="1"/>
  <c r="M17" i="10" s="1"/>
  <c r="H18" i="10"/>
  <c r="I18" i="10" s="1"/>
  <c r="W18" i="10" a="1"/>
  <c r="W18" i="10" s="1"/>
  <c r="S19" i="10" a="1"/>
  <c r="S19" i="10" s="1"/>
  <c r="O20" i="10" a="1"/>
  <c r="O20" i="10" s="1"/>
  <c r="K21" i="10" a="1"/>
  <c r="K21" i="10" s="1"/>
  <c r="Z21" i="10"/>
  <c r="I51" i="12"/>
  <c r="D59" i="15" a="1"/>
  <c r="D59" i="15" s="1"/>
  <c r="D23" i="16" a="1"/>
  <c r="D23" i="16" s="1"/>
  <c r="E74" i="16"/>
  <c r="E29" i="20"/>
  <c r="E32" i="20"/>
  <c r="T12" i="10" a="1"/>
  <c r="T12" i="10" s="1"/>
  <c r="P13" i="10" a="1"/>
  <c r="P13" i="10" s="1"/>
  <c r="L14" i="10" a="1"/>
  <c r="L14" i="10" s="1"/>
  <c r="F15" i="10"/>
  <c r="R16" i="10" a="1"/>
  <c r="R16" i="10" s="1"/>
  <c r="N17" i="10" a="1"/>
  <c r="N17" i="10" s="1"/>
  <c r="J18" i="10" a="1"/>
  <c r="J18" i="10" s="1"/>
  <c r="Y18" i="10"/>
  <c r="T19" i="10" a="1"/>
  <c r="T19" i="10" s="1"/>
  <c r="P20" i="10" a="1"/>
  <c r="P20" i="10" s="1"/>
  <c r="L21" i="10" a="1"/>
  <c r="L21" i="10" s="1"/>
  <c r="P25" i="10"/>
  <c r="I19" i="18"/>
  <c r="D58" i="12" a="1"/>
  <c r="D58" i="12" s="1"/>
  <c r="G82" i="15"/>
  <c r="E26" i="19"/>
  <c r="J26" i="19" s="1" a="1"/>
  <c r="J26" i="19" s="1"/>
  <c r="E38" i="19"/>
  <c r="I38" i="19" s="1" a="1"/>
  <c r="I38" i="19" s="1"/>
  <c r="E26" i="20"/>
  <c r="K40" i="20" a="1"/>
  <c r="K40" i="20" s="1"/>
  <c r="U12" i="10" a="1"/>
  <c r="U12" i="10" s="1"/>
  <c r="Q13" i="10" a="1"/>
  <c r="Q13" i="10" s="1"/>
  <c r="M14" i="10" a="1"/>
  <c r="M14" i="10" s="1"/>
  <c r="H15" i="10"/>
  <c r="I15" i="10" s="1"/>
  <c r="W15" i="10" a="1"/>
  <c r="W15" i="10" s="1"/>
  <c r="S16" i="10" a="1"/>
  <c r="S16" i="10" s="1"/>
  <c r="O17" i="10" a="1"/>
  <c r="O17" i="10" s="1"/>
  <c r="K18" i="10" a="1"/>
  <c r="K18" i="10" s="1"/>
  <c r="Z18" i="10"/>
  <c r="U19" i="10" a="1"/>
  <c r="U19" i="10" s="1"/>
  <c r="Q20" i="10" a="1"/>
  <c r="Q20" i="10" s="1"/>
  <c r="M21" i="10" a="1"/>
  <c r="M21" i="10" s="1"/>
  <c r="P26" i="10"/>
  <c r="D19" i="15" a="1"/>
  <c r="E68" i="16"/>
  <c r="F12" i="10"/>
  <c r="R13" i="10" a="1"/>
  <c r="R13" i="10" s="1"/>
  <c r="N14" i="10" a="1"/>
  <c r="N14" i="10" s="1"/>
  <c r="J15" i="10" a="1"/>
  <c r="J15" i="10" s="1"/>
  <c r="Y15" i="10"/>
  <c r="T16" i="10" a="1"/>
  <c r="T16" i="10" s="1"/>
  <c r="P17" i="10" a="1"/>
  <c r="P17" i="10" s="1"/>
  <c r="L18" i="10" a="1"/>
  <c r="L18" i="10" s="1"/>
  <c r="F19" i="10"/>
  <c r="R20" i="10" a="1"/>
  <c r="R20" i="10" s="1"/>
  <c r="N21" i="10" a="1"/>
  <c r="N21" i="10" s="1"/>
  <c r="P27" i="10"/>
  <c r="E37" i="20"/>
  <c r="H12" i="10"/>
  <c r="I12" i="10" s="1"/>
  <c r="W12" i="10" a="1"/>
  <c r="W12" i="10" s="1"/>
  <c r="S13" i="10" a="1"/>
  <c r="S13" i="10" s="1"/>
  <c r="O14" i="10" a="1"/>
  <c r="O14" i="10" s="1"/>
  <c r="K15" i="10" a="1"/>
  <c r="K15" i="10" s="1"/>
  <c r="Z15" i="10"/>
  <c r="U16" i="10" a="1"/>
  <c r="U16" i="10" s="1"/>
  <c r="Q17" i="10" a="1"/>
  <c r="Q17" i="10" s="1"/>
  <c r="M18" i="10" a="1"/>
  <c r="M18" i="10" s="1"/>
  <c r="H19" i="10"/>
  <c r="I19" i="10" s="1"/>
  <c r="W19" i="10" a="1"/>
  <c r="W19" i="10" s="1"/>
  <c r="S20" i="10" a="1"/>
  <c r="S20" i="10" s="1"/>
  <c r="O21" i="10" a="1"/>
  <c r="O21" i="10" s="1"/>
  <c r="P28" i="10"/>
  <c r="D60" i="11" a="1"/>
  <c r="D60" i="11" s="1"/>
  <c r="E106" i="15"/>
  <c r="E138" i="15" s="1"/>
  <c r="G97" i="16"/>
  <c r="J12" i="10" a="1"/>
  <c r="J12" i="10" s="1"/>
  <c r="Y12" i="10"/>
  <c r="T13" i="10" a="1"/>
  <c r="T13" i="10" s="1"/>
  <c r="P14" i="10" a="1"/>
  <c r="P14" i="10" s="1"/>
  <c r="L15" i="10" a="1"/>
  <c r="L15" i="10" s="1"/>
  <c r="F16" i="10"/>
  <c r="R17" i="10" a="1"/>
  <c r="R17" i="10" s="1"/>
  <c r="N18" i="10" a="1"/>
  <c r="N18" i="10" s="1"/>
  <c r="J19" i="10" a="1"/>
  <c r="J19" i="10" s="1"/>
  <c r="Y19" i="10"/>
  <c r="T20" i="10" a="1"/>
  <c r="T20" i="10" s="1"/>
  <c r="P21" i="10" a="1"/>
  <c r="P21" i="10" s="1"/>
  <c r="P29" i="10"/>
  <c r="G83" i="11"/>
  <c r="E107" i="15"/>
  <c r="E139" i="15" s="1"/>
  <c r="K12" i="10" a="1"/>
  <c r="K12" i="10" s="1"/>
  <c r="Z12" i="10"/>
  <c r="U13" i="10" a="1"/>
  <c r="U13" i="10" s="1"/>
  <c r="Q14" i="10" a="1"/>
  <c r="Q14" i="10" s="1"/>
  <c r="M15" i="10" a="1"/>
  <c r="M15" i="10" s="1"/>
  <c r="H16" i="10"/>
  <c r="I16" i="10" s="1"/>
  <c r="W16" i="10" a="1"/>
  <c r="W16" i="10" s="1"/>
  <c r="S17" i="10" a="1"/>
  <c r="S17" i="10" s="1"/>
  <c r="O18" i="10" a="1"/>
  <c r="O18" i="10" s="1"/>
  <c r="K19" i="10" a="1"/>
  <c r="K19" i="10" s="1"/>
  <c r="Z19" i="10"/>
  <c r="U20" i="10" a="1"/>
  <c r="U20" i="10" s="1"/>
  <c r="Q21" i="10" a="1"/>
  <c r="Q21" i="10" s="1"/>
  <c r="P30" i="10"/>
  <c r="S94" i="11"/>
  <c r="E108" i="15"/>
  <c r="E140" i="15" s="1"/>
  <c r="E137" i="15"/>
  <c r="L12" i="10" a="1"/>
  <c r="L12" i="10" s="1"/>
  <c r="F13" i="10"/>
  <c r="R14" i="10" a="1"/>
  <c r="R14" i="10" s="1"/>
  <c r="N15" i="10" a="1"/>
  <c r="N15" i="10" s="1"/>
  <c r="J16" i="10" a="1"/>
  <c r="J16" i="10" s="1"/>
  <c r="Y16" i="10"/>
  <c r="T17" i="10" a="1"/>
  <c r="T17" i="10" s="1"/>
  <c r="P18" i="10" a="1"/>
  <c r="P18" i="10" s="1"/>
  <c r="L19" i="10" a="1"/>
  <c r="L19" i="10" s="1"/>
  <c r="F20" i="10"/>
  <c r="R21" i="10" a="1"/>
  <c r="R21" i="10" s="1"/>
  <c r="P31" i="10"/>
  <c r="P113" i="11"/>
  <c r="I56" i="16"/>
  <c r="F70" i="16" s="1"/>
  <c r="I50" i="11"/>
  <c r="M12" i="10" a="1"/>
  <c r="M12" i="10" s="1"/>
  <c r="H13" i="10"/>
  <c r="I13" i="10" s="1"/>
  <c r="W13" i="10" a="1"/>
  <c r="W13" i="10" s="1"/>
  <c r="S14" i="10" a="1"/>
  <c r="S14" i="10" s="1"/>
  <c r="O15" i="10" a="1"/>
  <c r="O15" i="10" s="1"/>
  <c r="K16" i="10" a="1"/>
  <c r="K16" i="10" s="1"/>
  <c r="Z16" i="10"/>
  <c r="U17" i="10" a="1"/>
  <c r="U17" i="10" s="1"/>
  <c r="Q18" i="10" a="1"/>
  <c r="Q18" i="10" s="1"/>
  <c r="M19" i="10" a="1"/>
  <c r="M19" i="10" s="1"/>
  <c r="H20" i="10"/>
  <c r="I20" i="10" s="1"/>
  <c r="W20" i="10" a="1"/>
  <c r="W20" i="10" s="1"/>
  <c r="S21" i="10" a="1"/>
  <c r="S21" i="10" s="1"/>
  <c r="P32" i="10"/>
  <c r="D19" i="12" a="1"/>
  <c r="I125" i="15"/>
  <c r="I14" i="16"/>
  <c r="N12" i="10" a="1"/>
  <c r="N12" i="10" s="1"/>
  <c r="J13" i="10" a="1"/>
  <c r="J13" i="10" s="1"/>
  <c r="Y13" i="10"/>
  <c r="T14" i="10" a="1"/>
  <c r="T14" i="10" s="1"/>
  <c r="P15" i="10" a="1"/>
  <c r="P15" i="10" s="1"/>
  <c r="L16" i="10" a="1"/>
  <c r="L16" i="10" s="1"/>
  <c r="F17" i="10"/>
  <c r="R18" i="10" a="1"/>
  <c r="R18" i="10" s="1"/>
  <c r="N19" i="10" a="1"/>
  <c r="N19" i="10" s="1"/>
  <c r="J20" i="10" a="1"/>
  <c r="J20" i="10" s="1"/>
  <c r="Y20" i="10"/>
  <c r="P33" i="10"/>
  <c r="K39" i="20" a="1"/>
  <c r="K39" i="20" s="1"/>
  <c r="J50" i="15"/>
  <c r="O108" i="11" a="1"/>
  <c r="O108" i="11" s="1"/>
  <c r="F20" i="13" a="1"/>
  <c r="F20" i="13" s="1"/>
  <c r="G20" i="13" a="1"/>
  <c r="H51" i="8"/>
  <c r="F58" i="20"/>
  <c r="F49" i="20"/>
  <c r="F57" i="20"/>
  <c r="F46" i="20"/>
  <c r="F56" i="20"/>
  <c r="F45" i="20"/>
  <c r="F55" i="20"/>
  <c r="F44" i="20"/>
  <c r="F52" i="20"/>
  <c r="F43" i="20"/>
  <c r="F51" i="20"/>
  <c r="F50" i="20"/>
  <c r="D39" i="20"/>
  <c r="L39" i="20" s="1" a="1"/>
  <c r="L39" i="20" s="1"/>
  <c r="D42" i="20"/>
  <c r="D30" i="20"/>
  <c r="L30" i="20" s="1" a="1"/>
  <c r="L30" i="20" s="1"/>
  <c r="D37" i="20"/>
  <c r="D28" i="20"/>
  <c r="L28" i="20" s="1" a="1"/>
  <c r="L28" i="20" s="1"/>
  <c r="D35" i="20"/>
  <c r="L35" i="20" s="1" a="1"/>
  <c r="L35" i="20" s="1"/>
  <c r="D26" i="20"/>
  <c r="L26" i="20" s="1" a="1"/>
  <c r="L26" i="20" s="1"/>
  <c r="D33" i="20"/>
  <c r="D40" i="20"/>
  <c r="L40" i="20" s="1" a="1"/>
  <c r="L40" i="20" s="1"/>
  <c r="D31" i="20"/>
  <c r="L31" i="20" s="1" a="1"/>
  <c r="L31" i="20" s="1"/>
  <c r="D38" i="20"/>
  <c r="L38" i="20" s="1" a="1"/>
  <c r="L38" i="20" s="1"/>
  <c r="D48" i="20"/>
  <c r="F70" i="19"/>
  <c r="F61" i="19"/>
  <c r="F51" i="19"/>
  <c r="F69" i="19"/>
  <c r="F50" i="19"/>
  <c r="F58" i="19"/>
  <c r="F68" i="19"/>
  <c r="F49" i="19"/>
  <c r="F57" i="19"/>
  <c r="F67" i="19"/>
  <c r="F56" i="19"/>
  <c r="F46" i="19"/>
  <c r="F64" i="19"/>
  <c r="F55" i="19"/>
  <c r="F45" i="19"/>
  <c r="F63" i="19"/>
  <c r="F44" i="19"/>
  <c r="F62" i="19"/>
  <c r="F52" i="19"/>
  <c r="F43" i="19"/>
  <c r="D30" i="19"/>
  <c r="L30" i="19" s="1" a="1"/>
  <c r="L30" i="19" s="1"/>
  <c r="I20" i="18"/>
  <c r="L33" i="19" s="1" a="1"/>
  <c r="L33" i="19" s="1"/>
  <c r="D54" i="19"/>
  <c r="D29" i="19"/>
  <c r="D28" i="19"/>
  <c r="L28" i="19" s="1" a="1"/>
  <c r="L28" i="19" s="1"/>
  <c r="D32" i="19"/>
  <c r="L32" i="19" s="1" a="1"/>
  <c r="L32" i="19" s="1"/>
  <c r="D27" i="19"/>
  <c r="D36" i="19"/>
  <c r="L36" i="19" s="1" a="1"/>
  <c r="L36" i="19" s="1"/>
  <c r="I15" i="16"/>
  <c r="D31" i="19"/>
  <c r="L31" i="19" s="1" a="1"/>
  <c r="L31" i="19" s="1"/>
  <c r="D26" i="19"/>
  <c r="L26" i="19" s="1" a="1"/>
  <c r="L26" i="19" s="1"/>
  <c r="D35" i="19"/>
  <c r="L35" i="19" s="1" a="1"/>
  <c r="L35" i="19" s="1"/>
  <c r="I17" i="18"/>
  <c r="I18" i="18"/>
  <c r="L32" i="20" s="1" a="1"/>
  <c r="L32" i="20" s="1"/>
  <c r="I21" i="18"/>
  <c r="L39" i="19" s="1" a="1"/>
  <c r="L39" i="19" s="1"/>
  <c r="E141" i="15"/>
  <c r="E142" i="15"/>
  <c r="E143" i="15"/>
  <c r="G59" i="15"/>
  <c r="F78" i="12"/>
  <c r="F58" i="12"/>
  <c r="N105" i="11"/>
  <c r="F60" i="11"/>
  <c r="O110" i="11"/>
  <c r="N106" i="11"/>
  <c r="D40" i="10"/>
  <c r="J55" i="10"/>
  <c r="H48" i="8"/>
  <c r="I20" i="14" s="1"/>
  <c r="H29" i="14" s="1"/>
  <c r="J56" i="10"/>
  <c r="J54" i="10"/>
  <c r="H50" i="8"/>
  <c r="K46" i="13" s="1"/>
  <c r="E50" i="13" s="1"/>
  <c r="H53" i="8"/>
  <c r="H54" i="8"/>
  <c r="H52" i="8"/>
  <c r="H49" i="8"/>
  <c r="F72" i="16" l="1"/>
  <c r="F71" i="16"/>
  <c r="F75" i="16"/>
  <c r="F74" i="16"/>
  <c r="F69" i="16"/>
  <c r="F68" i="16"/>
  <c r="F67" i="16"/>
  <c r="F66" i="16"/>
  <c r="F65" i="16"/>
  <c r="F73" i="16"/>
  <c r="H28" i="14"/>
  <c r="H27" i="14"/>
  <c r="H26" i="14"/>
  <c r="H25" i="14"/>
  <c r="Q40" i="20"/>
  <c r="P40" i="20"/>
  <c r="O40" i="20"/>
  <c r="N40" i="20"/>
  <c r="Q39" i="20"/>
  <c r="P39" i="20"/>
  <c r="O39" i="20"/>
  <c r="N39" i="20"/>
  <c r="Q28" i="20"/>
  <c r="P28" i="20"/>
  <c r="O28" i="20"/>
  <c r="N28" i="20"/>
  <c r="O31" i="20"/>
  <c r="Q31" i="20"/>
  <c r="P31" i="20"/>
  <c r="N31" i="20"/>
  <c r="Q36" i="20"/>
  <c r="P36" i="20"/>
  <c r="O36" i="20"/>
  <c r="N36" i="20"/>
  <c r="O30" i="20"/>
  <c r="N30" i="20"/>
  <c r="P30" i="20"/>
  <c r="Q30" i="20"/>
  <c r="Q34" i="20"/>
  <c r="P34" i="20"/>
  <c r="N34" i="20"/>
  <c r="O34" i="20"/>
  <c r="Q33" i="20"/>
  <c r="P33" i="20"/>
  <c r="O33" i="20"/>
  <c r="N33" i="20"/>
  <c r="O25" i="20"/>
  <c r="Q25" i="20"/>
  <c r="P25" i="20"/>
  <c r="N25" i="20"/>
  <c r="H38" i="19" a="1"/>
  <c r="H38" i="19" s="1"/>
  <c r="I26" i="19" a="1"/>
  <c r="I26" i="19" s="1"/>
  <c r="G38" i="19" a="1"/>
  <c r="G38" i="19" s="1"/>
  <c r="O38" i="19" s="1"/>
  <c r="H26" i="19" a="1"/>
  <c r="H26" i="19" s="1"/>
  <c r="J38" i="19" a="1"/>
  <c r="J38" i="19" s="1"/>
  <c r="K26" i="19" a="1"/>
  <c r="K26" i="19" s="1"/>
  <c r="G37" i="19" a="1"/>
  <c r="G37" i="19" s="1"/>
  <c r="K37" i="19" a="1"/>
  <c r="K37" i="19" s="1"/>
  <c r="I37" i="19" a="1"/>
  <c r="I37" i="19" s="1"/>
  <c r="Q25" i="19"/>
  <c r="P25" i="19"/>
  <c r="O25" i="19"/>
  <c r="N25" i="19"/>
  <c r="Q30" i="19"/>
  <c r="P30" i="19"/>
  <c r="O30" i="19"/>
  <c r="N30" i="19"/>
  <c r="P29" i="19"/>
  <c r="O29" i="19"/>
  <c r="Q29" i="19"/>
  <c r="N29" i="19"/>
  <c r="Q33" i="19"/>
  <c r="E52" i="19" s="1"/>
  <c r="N33" i="19"/>
  <c r="E49" i="19" s="1"/>
  <c r="P33" i="19"/>
  <c r="E51" i="19" s="1"/>
  <c r="O33" i="19"/>
  <c r="E50" i="19" s="1"/>
  <c r="Q35" i="19"/>
  <c r="O35" i="19"/>
  <c r="N35" i="19"/>
  <c r="P35" i="19"/>
  <c r="Q27" i="19"/>
  <c r="P27" i="19"/>
  <c r="O27" i="19"/>
  <c r="N27" i="19"/>
  <c r="O31" i="19"/>
  <c r="N31" i="19"/>
  <c r="Q31" i="19"/>
  <c r="P31" i="19"/>
  <c r="P36" i="19"/>
  <c r="Q36" i="19"/>
  <c r="O36" i="19"/>
  <c r="N36" i="19"/>
  <c r="Q32" i="19"/>
  <c r="P32" i="19"/>
  <c r="O32" i="19"/>
  <c r="N32" i="19"/>
  <c r="Q39" i="19"/>
  <c r="P39" i="19"/>
  <c r="O39" i="19"/>
  <c r="N39" i="19"/>
  <c r="Q28" i="19"/>
  <c r="O28" i="19"/>
  <c r="N28" i="19"/>
  <c r="P28" i="19"/>
  <c r="Q34" i="19"/>
  <c r="P34" i="19"/>
  <c r="O34" i="19"/>
  <c r="N34" i="19"/>
  <c r="X14" i="10"/>
  <c r="X12" i="10"/>
  <c r="V17" i="10"/>
  <c r="X17" i="10" s="1"/>
  <c r="X13" i="10"/>
  <c r="P21" i="11" a="1"/>
  <c r="P21" i="11" s="1"/>
  <c r="V15" i="10"/>
  <c r="X15" i="10" s="1"/>
  <c r="K29" i="20"/>
  <c r="J29" i="20"/>
  <c r="I29" i="20"/>
  <c r="H29" i="20"/>
  <c r="G29" i="20"/>
  <c r="V12" i="10"/>
  <c r="K27" i="20"/>
  <c r="J27" i="20"/>
  <c r="I27" i="20"/>
  <c r="H27" i="20"/>
  <c r="G27" i="20"/>
  <c r="K37" i="20"/>
  <c r="J37" i="20"/>
  <c r="I37" i="20"/>
  <c r="H37" i="20"/>
  <c r="G37" i="20"/>
  <c r="V18" i="10"/>
  <c r="X18" i="10" s="1"/>
  <c r="J51" i="15"/>
  <c r="K35" i="20"/>
  <c r="J35" i="20"/>
  <c r="I35" i="20"/>
  <c r="H35" i="20"/>
  <c r="G35" i="20"/>
  <c r="K38" i="20"/>
  <c r="J38" i="20"/>
  <c r="I38" i="20"/>
  <c r="H38" i="20"/>
  <c r="G38" i="20"/>
  <c r="V13" i="10"/>
  <c r="J92" i="16"/>
  <c r="I126" i="15"/>
  <c r="F141" i="15" s="1"/>
  <c r="H37" i="19" a="1"/>
  <c r="H37" i="19" s="1"/>
  <c r="V16" i="10"/>
  <c r="X16" i="10" s="1"/>
  <c r="V19" i="10"/>
  <c r="X19" i="10" s="1"/>
  <c r="I51" i="11"/>
  <c r="D19" i="15"/>
  <c r="F19" i="15" s="1" a="1"/>
  <c r="F19" i="15" s="1"/>
  <c r="G19" i="15" s="1" a="1"/>
  <c r="G19" i="15" s="1"/>
  <c r="F36" i="15" a="1"/>
  <c r="F36" i="15" s="1"/>
  <c r="G36" i="15" s="1" a="1"/>
  <c r="G36" i="15" s="1"/>
  <c r="F29" i="15" a="1"/>
  <c r="F29" i="15" s="1"/>
  <c r="G29" i="15" s="1" a="1"/>
  <c r="G29" i="15" s="1"/>
  <c r="F22" i="15" a="1"/>
  <c r="F22" i="15" s="1"/>
  <c r="G22" i="15" s="1" a="1"/>
  <c r="G22" i="15" s="1"/>
  <c r="F35" i="15" a="1"/>
  <c r="F35" i="15" s="1"/>
  <c r="G35" i="15" s="1" a="1"/>
  <c r="G35" i="15" s="1"/>
  <c r="F28" i="15" a="1"/>
  <c r="F28" i="15" s="1"/>
  <c r="G28" i="15" s="1" a="1"/>
  <c r="G28" i="15" s="1"/>
  <c r="F21" i="15" a="1"/>
  <c r="F21" i="15" s="1"/>
  <c r="G21" i="15" s="1" a="1"/>
  <c r="G21" i="15" s="1"/>
  <c r="F34" i="15" a="1"/>
  <c r="F34" i="15" s="1"/>
  <c r="G34" i="15" s="1" a="1"/>
  <c r="G34" i="15" s="1"/>
  <c r="F27" i="15" a="1"/>
  <c r="F27" i="15" s="1"/>
  <c r="G27" i="15" s="1" a="1"/>
  <c r="G27" i="15" s="1"/>
  <c r="F20" i="15" a="1"/>
  <c r="F20" i="15" s="1"/>
  <c r="G20" i="15" s="1" a="1"/>
  <c r="G20" i="15" s="1"/>
  <c r="F33" i="15" a="1"/>
  <c r="F33" i="15" s="1"/>
  <c r="G33" i="15" s="1" a="1"/>
  <c r="G33" i="15" s="1"/>
  <c r="F26" i="15" a="1"/>
  <c r="F26" i="15" s="1"/>
  <c r="G26" i="15" s="1" a="1"/>
  <c r="G26" i="15" s="1"/>
  <c r="F32" i="15" a="1"/>
  <c r="F32" i="15" s="1"/>
  <c r="G32" i="15" s="1" a="1"/>
  <c r="G32" i="15" s="1"/>
  <c r="F25" i="15" a="1"/>
  <c r="F25" i="15" s="1"/>
  <c r="G25" i="15" s="1" a="1"/>
  <c r="G25" i="15" s="1"/>
  <c r="F31" i="15" a="1"/>
  <c r="F31" i="15" s="1"/>
  <c r="G31" i="15" s="1" a="1"/>
  <c r="G31" i="15" s="1"/>
  <c r="F24" i="15" a="1"/>
  <c r="F24" i="15" s="1"/>
  <c r="G24" i="15" s="1" a="1"/>
  <c r="G24" i="15" s="1"/>
  <c r="F37" i="15" a="1"/>
  <c r="F37" i="15" s="1"/>
  <c r="G37" i="15" s="1" a="1"/>
  <c r="G37" i="15" s="1"/>
  <c r="F30" i="15" a="1"/>
  <c r="F30" i="15" s="1"/>
  <c r="G30" i="15" s="1" a="1"/>
  <c r="G30" i="15" s="1"/>
  <c r="F23" i="15" a="1"/>
  <c r="F23" i="15" s="1"/>
  <c r="G23" i="15" s="1" a="1"/>
  <c r="G23" i="15" s="1"/>
  <c r="D19" i="12"/>
  <c r="F19" i="12" s="1" a="1"/>
  <c r="F19" i="12" s="1"/>
  <c r="F33" i="12" a="1"/>
  <c r="F33" i="12" s="1"/>
  <c r="F32" i="12" a="1"/>
  <c r="F32" i="12" s="1"/>
  <c r="F31" i="12" a="1"/>
  <c r="F31" i="12" s="1"/>
  <c r="F30" i="12" a="1"/>
  <c r="F30" i="12" s="1"/>
  <c r="F29" i="12" a="1"/>
  <c r="F29" i="12" s="1"/>
  <c r="F28" i="12" a="1"/>
  <c r="F28" i="12" s="1"/>
  <c r="F27" i="12" a="1"/>
  <c r="F27" i="12" s="1"/>
  <c r="F26" i="12" a="1"/>
  <c r="F26" i="12" s="1"/>
  <c r="F25" i="12" a="1"/>
  <c r="F25" i="12" s="1"/>
  <c r="F24" i="12" a="1"/>
  <c r="F24" i="12" s="1"/>
  <c r="F37" i="12" a="1"/>
  <c r="F37" i="12" s="1"/>
  <c r="F23" i="12" a="1"/>
  <c r="F23" i="12" s="1"/>
  <c r="F36" i="12" a="1"/>
  <c r="F36" i="12" s="1"/>
  <c r="F22" i="12" a="1"/>
  <c r="F22" i="12" s="1"/>
  <c r="F35" i="12" a="1"/>
  <c r="F35" i="12" s="1"/>
  <c r="F21" i="12" a="1"/>
  <c r="F21" i="12" s="1"/>
  <c r="F34" i="12" a="1"/>
  <c r="F34" i="12" s="1"/>
  <c r="F20" i="12" a="1"/>
  <c r="F20" i="12" s="1"/>
  <c r="L33" i="20" a="1"/>
  <c r="L33" i="20" s="1"/>
  <c r="K38" i="19" a="1"/>
  <c r="K38" i="19" s="1"/>
  <c r="V21" i="10"/>
  <c r="X21" i="10" s="1"/>
  <c r="K26" i="20"/>
  <c r="J26" i="20"/>
  <c r="I26" i="20"/>
  <c r="H26" i="20"/>
  <c r="G26" i="20"/>
  <c r="V20" i="10"/>
  <c r="X20" i="10" s="1"/>
  <c r="G26" i="19" a="1"/>
  <c r="G26" i="19" s="1"/>
  <c r="L37" i="20" a="1"/>
  <c r="L37" i="20" s="1"/>
  <c r="K32" i="20"/>
  <c r="J32" i="20"/>
  <c r="I32" i="20"/>
  <c r="H32" i="20"/>
  <c r="G32" i="20"/>
  <c r="O21" i="11" a="1"/>
  <c r="V14" i="10"/>
  <c r="G20" i="13"/>
  <c r="E35" i="12" a="1"/>
  <c r="E35" i="12" s="1"/>
  <c r="E28" i="12" a="1"/>
  <c r="E28" i="12" s="1"/>
  <c r="E21" i="12" a="1"/>
  <c r="E21" i="12" s="1"/>
  <c r="E37" i="11" a="1"/>
  <c r="E37" i="11" s="1"/>
  <c r="G37" i="11" s="1"/>
  <c r="E30" i="11" a="1"/>
  <c r="E30" i="11" s="1"/>
  <c r="G30" i="11" s="1"/>
  <c r="E23" i="11" a="1"/>
  <c r="E23" i="11" s="1"/>
  <c r="G23" i="11" s="1"/>
  <c r="E34" i="12" a="1"/>
  <c r="E34" i="12" s="1"/>
  <c r="E27" i="12" a="1"/>
  <c r="E27" i="12" s="1"/>
  <c r="E20" i="12" a="1"/>
  <c r="E20" i="12" s="1"/>
  <c r="E36" i="11" a="1"/>
  <c r="E36" i="11" s="1"/>
  <c r="G36" i="11" s="1"/>
  <c r="E29" i="11" a="1"/>
  <c r="E29" i="11" s="1"/>
  <c r="G29" i="11" s="1"/>
  <c r="E22" i="11" a="1"/>
  <c r="E22" i="11" s="1"/>
  <c r="G22" i="11" s="1"/>
  <c r="E21" i="11" a="1"/>
  <c r="E21" i="11" s="1"/>
  <c r="G21" i="11" s="1"/>
  <c r="E24" i="12" a="1"/>
  <c r="E24" i="12" s="1"/>
  <c r="E33" i="12" a="1"/>
  <c r="E33" i="12" s="1"/>
  <c r="E26" i="12" a="1"/>
  <c r="E26" i="12" s="1"/>
  <c r="E35" i="11" a="1"/>
  <c r="E35" i="11" s="1"/>
  <c r="G35" i="11" s="1"/>
  <c r="E28" i="11" a="1"/>
  <c r="E28" i="11" s="1"/>
  <c r="G28" i="11" s="1"/>
  <c r="E33" i="11" a="1"/>
  <c r="E33" i="11" s="1"/>
  <c r="G33" i="11" s="1"/>
  <c r="E32" i="12" a="1"/>
  <c r="E32" i="12" s="1"/>
  <c r="E25" i="12" a="1"/>
  <c r="E25" i="12" s="1"/>
  <c r="E34" i="11" a="1"/>
  <c r="E34" i="11" s="1"/>
  <c r="G34" i="11" s="1"/>
  <c r="E27" i="11" a="1"/>
  <c r="E27" i="11" s="1"/>
  <c r="G27" i="11" s="1"/>
  <c r="E37" i="12" a="1"/>
  <c r="E37" i="12" s="1"/>
  <c r="E30" i="12" a="1"/>
  <c r="E30" i="12" s="1"/>
  <c r="E23" i="12" a="1"/>
  <c r="E23" i="12" s="1"/>
  <c r="E32" i="11" a="1"/>
  <c r="E32" i="11" s="1"/>
  <c r="G32" i="11" s="1"/>
  <c r="E25" i="11" a="1"/>
  <c r="E25" i="11" s="1"/>
  <c r="G25" i="11" s="1"/>
  <c r="E19" i="11" a="1"/>
  <c r="E19" i="11" s="1"/>
  <c r="G19" i="11" s="1"/>
  <c r="E36" i="12" a="1"/>
  <c r="E36" i="12" s="1"/>
  <c r="E29" i="12" a="1"/>
  <c r="E29" i="12" s="1"/>
  <c r="E22" i="12" a="1"/>
  <c r="E22" i="12" s="1"/>
  <c r="E31" i="11" a="1"/>
  <c r="E31" i="11" s="1"/>
  <c r="G31" i="11" s="1"/>
  <c r="E24" i="11" a="1"/>
  <c r="E24" i="11" s="1"/>
  <c r="G24" i="11" s="1"/>
  <c r="E31" i="12" a="1"/>
  <c r="E31" i="12" s="1"/>
  <c r="E26" i="11" a="1"/>
  <c r="E26" i="11" s="1"/>
  <c r="G26" i="11" s="1"/>
  <c r="E20" i="11" a="1"/>
  <c r="E20" i="11" s="1"/>
  <c r="G20" i="11" s="1"/>
  <c r="N108" i="11"/>
  <c r="C16" i="4"/>
  <c r="C12" i="4"/>
  <c r="E31" i="14" l="1"/>
  <c r="E63" i="11"/>
  <c r="E77" i="11"/>
  <c r="E61" i="11"/>
  <c r="E68" i="11"/>
  <c r="E75" i="11"/>
  <c r="E65" i="11"/>
  <c r="E64" i="11"/>
  <c r="E74" i="11"/>
  <c r="E60" i="11"/>
  <c r="E66" i="11"/>
  <c r="E72" i="11"/>
  <c r="E71" i="11"/>
  <c r="E69" i="11"/>
  <c r="E78" i="11"/>
  <c r="F138" i="15"/>
  <c r="E76" i="11"/>
  <c r="E73" i="11"/>
  <c r="E62" i="11"/>
  <c r="F139" i="15"/>
  <c r="F144" i="15"/>
  <c r="F140" i="15"/>
  <c r="F142" i="15"/>
  <c r="F137" i="15"/>
  <c r="F143" i="15"/>
  <c r="E70" i="11"/>
  <c r="E67" i="11"/>
  <c r="Q38" i="20"/>
  <c r="P38" i="20"/>
  <c r="O38" i="20"/>
  <c r="N38" i="20"/>
  <c r="Q26" i="20"/>
  <c r="P26" i="20"/>
  <c r="O26" i="20"/>
  <c r="N26" i="20"/>
  <c r="Q32" i="20"/>
  <c r="P32" i="20"/>
  <c r="O32" i="20"/>
  <c r="N32" i="20"/>
  <c r="Q29" i="20"/>
  <c r="P29" i="20"/>
  <c r="O29" i="20"/>
  <c r="N29" i="20"/>
  <c r="O37" i="20"/>
  <c r="N37" i="20"/>
  <c r="Q37" i="20"/>
  <c r="P37" i="20"/>
  <c r="Q27" i="20"/>
  <c r="P27" i="20"/>
  <c r="O27" i="20"/>
  <c r="N27" i="20"/>
  <c r="Q35" i="20"/>
  <c r="P35" i="20"/>
  <c r="O35" i="20"/>
  <c r="N35" i="20"/>
  <c r="Q38" i="19"/>
  <c r="P38" i="19"/>
  <c r="N38" i="19"/>
  <c r="Q37" i="19"/>
  <c r="N37" i="19"/>
  <c r="P37" i="19"/>
  <c r="O37" i="19"/>
  <c r="E62" i="19" s="1"/>
  <c r="Q26" i="19"/>
  <c r="E46" i="19" s="1"/>
  <c r="N26" i="19"/>
  <c r="E43" i="19" s="1"/>
  <c r="P26" i="19"/>
  <c r="E45" i="19" s="1"/>
  <c r="O26" i="19"/>
  <c r="E44" i="19" s="1"/>
  <c r="Q29" i="11"/>
  <c r="G30" i="12"/>
  <c r="E69" i="12" s="1"/>
  <c r="G26" i="12"/>
  <c r="E65" i="12" s="1"/>
  <c r="G37" i="12"/>
  <c r="E76" i="12" s="1"/>
  <c r="G31" i="12"/>
  <c r="E70" i="12" s="1"/>
  <c r="G25" i="12"/>
  <c r="E64" i="12" s="1"/>
  <c r="G29" i="12"/>
  <c r="E68" i="12" s="1"/>
  <c r="G21" i="12"/>
  <c r="E60" i="12" s="1"/>
  <c r="G36" i="12"/>
  <c r="E75" i="12" s="1"/>
  <c r="G28" i="12"/>
  <c r="E67" i="12" s="1"/>
  <c r="G33" i="12"/>
  <c r="E72" i="12" s="1"/>
  <c r="G35" i="12"/>
  <c r="E74" i="12" s="1"/>
  <c r="G32" i="12"/>
  <c r="E71" i="12" s="1"/>
  <c r="G22" i="12"/>
  <c r="E61" i="12" s="1"/>
  <c r="G24" i="12"/>
  <c r="E63" i="12" s="1"/>
  <c r="G23" i="12"/>
  <c r="E62" i="12" s="1"/>
  <c r="G34" i="12"/>
  <c r="E73" i="12" s="1"/>
  <c r="G27" i="12"/>
  <c r="E66" i="12" s="1"/>
  <c r="Q28" i="11"/>
  <c r="Q22" i="11"/>
  <c r="Q25" i="11"/>
  <c r="Q24" i="11"/>
  <c r="Q26" i="11"/>
  <c r="G20" i="12"/>
  <c r="E59" i="12" s="1"/>
  <c r="O11" i="11" a="1"/>
  <c r="O11" i="11" s="1"/>
  <c r="Q23" i="11"/>
  <c r="P11" i="11" a="1"/>
  <c r="P11" i="11" s="1"/>
  <c r="N34" i="11" s="1"/>
  <c r="O21" i="11"/>
  <c r="Q21" i="11" s="1"/>
  <c r="Q30" i="11"/>
  <c r="Q27" i="11"/>
  <c r="E19" i="12" a="1"/>
  <c r="E19" i="12" s="1"/>
  <c r="G19" i="12" s="1"/>
  <c r="E58" i="12" s="1"/>
  <c r="E23" i="15"/>
  <c r="E27" i="16"/>
  <c r="F27" i="16" s="1"/>
  <c r="E26" i="15"/>
  <c r="E30" i="16"/>
  <c r="F30" i="16" s="1"/>
  <c r="E38" i="16"/>
  <c r="F38" i="16" s="1"/>
  <c r="E34" i="15"/>
  <c r="E24" i="15"/>
  <c r="E28" i="16"/>
  <c r="F28" i="16" s="1"/>
  <c r="E35" i="16"/>
  <c r="F35" i="16" s="1"/>
  <c r="E31" i="15"/>
  <c r="E32" i="16"/>
  <c r="F32" i="16" s="1"/>
  <c r="E28" i="15"/>
  <c r="E37" i="15"/>
  <c r="E41" i="16"/>
  <c r="F41" i="16" s="1"/>
  <c r="E23" i="16"/>
  <c r="F23" i="16" s="1"/>
  <c r="E19" i="15"/>
  <c r="E36" i="16"/>
  <c r="F36" i="16" s="1"/>
  <c r="E32" i="15"/>
  <c r="E35" i="15"/>
  <c r="E39" i="16"/>
  <c r="F39" i="16" s="1"/>
  <c r="E32" i="13"/>
  <c r="K44" i="13" s="1"/>
  <c r="G52" i="13" s="1"/>
  <c r="E55" i="13" s="1" a="1"/>
  <c r="E55" i="13" s="1"/>
  <c r="E103" i="15"/>
  <c r="E135" i="15" s="1"/>
  <c r="F135" i="15" s="1"/>
  <c r="E66" i="16"/>
  <c r="E21" i="15"/>
  <c r="E25" i="16"/>
  <c r="F25" i="16" s="1"/>
  <c r="E37" i="16"/>
  <c r="F37" i="16" s="1"/>
  <c r="E33" i="15"/>
  <c r="E36" i="15"/>
  <c r="E40" i="16"/>
  <c r="F40" i="16" s="1"/>
  <c r="E22" i="15"/>
  <c r="E26" i="16"/>
  <c r="F26" i="16" s="1"/>
  <c r="E33" i="16"/>
  <c r="F33" i="16" s="1"/>
  <c r="E29" i="15"/>
  <c r="E104" i="15"/>
  <c r="E136" i="15" s="1"/>
  <c r="F136" i="15" s="1"/>
  <c r="E67" i="16"/>
  <c r="E34" i="16"/>
  <c r="F34" i="16" s="1"/>
  <c r="E30" i="15"/>
  <c r="E29" i="16"/>
  <c r="F29" i="16" s="1"/>
  <c r="E25" i="15"/>
  <c r="E24" i="16"/>
  <c r="F24" i="16" s="1"/>
  <c r="E20" i="15"/>
  <c r="E31" i="16"/>
  <c r="F31" i="16" s="1"/>
  <c r="E27" i="15"/>
  <c r="E102" i="15"/>
  <c r="E134" i="15" s="1"/>
  <c r="F134" i="15" s="1"/>
  <c r="E65" i="16"/>
  <c r="E55" i="19"/>
  <c r="E56" i="19"/>
  <c r="E58" i="19"/>
  <c r="E57" i="19"/>
  <c r="E44" i="20" l="1"/>
  <c r="E49" i="20"/>
  <c r="E45" i="20"/>
  <c r="E46" i="20"/>
  <c r="E50" i="20"/>
  <c r="E52" i="20"/>
  <c r="E43" i="20"/>
  <c r="E51" i="20"/>
  <c r="E64" i="19"/>
  <c r="E70" i="19" s="1"/>
  <c r="E63" i="19"/>
  <c r="E69" i="19" s="1"/>
  <c r="E61" i="19"/>
  <c r="E67" i="19" s="1"/>
  <c r="Q17" i="11"/>
  <c r="Q18" i="11"/>
  <c r="Q11" i="11"/>
  <c r="H33" i="15"/>
  <c r="E73" i="15" s="1"/>
  <c r="F73" i="15" s="1"/>
  <c r="H30" i="15"/>
  <c r="E70" i="15" s="1"/>
  <c r="F70" i="15" s="1"/>
  <c r="Q12" i="11"/>
  <c r="H29" i="15"/>
  <c r="E69" i="15" s="1"/>
  <c r="F69" i="15" s="1"/>
  <c r="H24" i="15"/>
  <c r="E64" i="15" s="1"/>
  <c r="F64" i="15" s="1"/>
  <c r="Q20" i="11"/>
  <c r="H35" i="15"/>
  <c r="E75" i="15" s="1"/>
  <c r="F75" i="15" s="1"/>
  <c r="H32" i="15"/>
  <c r="E72" i="15" s="1"/>
  <c r="F72" i="15" s="1"/>
  <c r="H20" i="15"/>
  <c r="E60" i="15" s="1"/>
  <c r="F60" i="15" s="1"/>
  <c r="H37" i="15"/>
  <c r="E77" i="15" s="1"/>
  <c r="F77" i="15" s="1"/>
  <c r="H34" i="15"/>
  <c r="E74" i="15" s="1"/>
  <c r="F74" i="15" s="1"/>
  <c r="Q16" i="11"/>
  <c r="Q14" i="11"/>
  <c r="H26" i="15"/>
  <c r="E66" i="15" s="1"/>
  <c r="F66" i="15" s="1"/>
  <c r="Q13" i="11"/>
  <c r="Q15" i="11"/>
  <c r="H23" i="15"/>
  <c r="E63" i="15" s="1"/>
  <c r="F63" i="15" s="1"/>
  <c r="Q19" i="11"/>
  <c r="H36" i="15"/>
  <c r="E76" i="15" s="1"/>
  <c r="F76" i="15" s="1"/>
  <c r="H25" i="15"/>
  <c r="E65" i="15" s="1"/>
  <c r="F65" i="15" s="1"/>
  <c r="H28" i="15"/>
  <c r="E68" i="15" s="1"/>
  <c r="F68" i="15" s="1"/>
  <c r="H22" i="15"/>
  <c r="E62" i="15" s="1"/>
  <c r="F62" i="15" s="1"/>
  <c r="H19" i="15"/>
  <c r="E59" i="15" s="1"/>
  <c r="F59" i="15" s="1"/>
  <c r="H27" i="15"/>
  <c r="E67" i="15" s="1"/>
  <c r="F67" i="15" s="1"/>
  <c r="H21" i="15"/>
  <c r="E61" i="15" s="1"/>
  <c r="F61" i="15" s="1"/>
  <c r="H31" i="15"/>
  <c r="E71" i="15" s="1"/>
  <c r="F71" i="15" s="1"/>
  <c r="E77" i="16"/>
  <c r="J90" i="16" s="1"/>
  <c r="E78" i="12"/>
  <c r="E146" i="15"/>
  <c r="G148" i="15" s="1"/>
  <c r="E151" i="15" s="1" a="1"/>
  <c r="E151" i="15" s="1"/>
  <c r="E43" i="16"/>
  <c r="J89" i="16" s="1"/>
  <c r="E80" i="11"/>
  <c r="G82" i="11" s="1"/>
  <c r="E85" i="11" s="1" a="1"/>
  <c r="E85" i="11" s="1"/>
  <c r="E68" i="19"/>
  <c r="E94" i="16" l="1"/>
  <c r="G96" i="16" s="1"/>
  <c r="E99" i="16" s="1" a="1"/>
  <c r="E99" i="16" s="1"/>
  <c r="E56" i="20"/>
  <c r="E57" i="20"/>
  <c r="E55" i="20"/>
  <c r="E58" i="20"/>
  <c r="N33" i="11"/>
  <c r="N35" i="11" s="1"/>
  <c r="E79" i="15"/>
  <c r="G81" i="15" s="1"/>
  <c r="E84" i="15" s="1" a="1"/>
  <c r="E84" i="15" s="1"/>
  <c r="S92" i="11" l="1"/>
  <c r="R60" i="11"/>
  <c r="N63" i="11" s="1"/>
  <c r="O106" i="11" s="1"/>
  <c r="R76" i="11"/>
  <c r="N79" i="11" s="1"/>
  <c r="O107" i="11" s="1"/>
  <c r="R46" i="11"/>
  <c r="N49" i="11" s="1"/>
  <c r="O105" i="11" s="1"/>
  <c r="S93" i="11" s="1"/>
  <c r="N110" i="11" l="1"/>
  <c r="P112" i="11" s="1"/>
  <c r="N115" i="11" s="1" a="1"/>
  <c r="N115"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F89DCB-CD77-4E25-A615-F0CC75B80B15}" name="test-fullcam-even" type="4" refreshedVersion="0" background="1">
    <webPr xml="1" sourceData="1" url="C:\Users\PaulKotz\OneDrive - Zero Net Emissions from Agriculture CRC\Documents\test-fullcam-even.xml" htmlTables="1" htmlFormat="all"/>
  </connection>
  <connection id="2" xr16:uid="{19B58FF6-2624-4C55-B996-4F625FEA0F06}" name="test-fullcam-even1" type="4" refreshedVersion="0" background="1">
    <webPr xml="1" sourceData="1" url="C:\Users\PaulKotz\OneDrive - Zero Net Emissions from Agriculture CRC\Documents\test-fullcam-even.xml" htmlTables="1" htmlFormat="all"/>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<sst xmlns="http://schemas.openxmlformats.org/spreadsheetml/2006/main" count="2849" uniqueCount="1162">
  <si>
    <t>My cool thing</t>
  </si>
  <si>
    <t>FullCAM simulation results</t>
  </si>
  <si>
    <t>tonnes CO2</t>
  </si>
  <si>
    <t>Latitude</t>
  </si>
  <si>
    <t>Longitude</t>
  </si>
  <si>
    <t>Date planted</t>
  </si>
  <si>
    <t>Planting area in hectares</t>
  </si>
  <si>
    <t>Emissions calculation period start date</t>
  </si>
  <si>
    <t>Emissions calculation period end date</t>
  </si>
  <si>
    <t>Carbon captured per hectare</t>
  </si>
  <si>
    <t>tonnes CO2/hectare</t>
  </si>
  <si>
    <t>Total carbon captured</t>
  </si>
  <si>
    <t>Planting name</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</si>
  <si>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</si>
  <si>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</si>
  <si>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</si>
  <si>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</si>
  <si>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</si>
  <si>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</si>
  <si>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</si>
  <si>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</si>
  <si>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</si>
  <si>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</si>
  <si>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</si>
  <si>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</si>
  <si>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</si>
  <si>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</si>
  <si>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</si>
  <si>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</si>
  <si>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</si>
  <si>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</si>
  <si>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</si>
  <si>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</si>
  <si>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</si>
  <si>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</si>
  <si>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</si>
  <si>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</si>
  <si>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</si>
  <si>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</si>
  <si>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</si>
  <si>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</si>
  <si>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</si>
  <si>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</si>
  <si>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</si>
  <si>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</si>
  <si>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</si>
  <si>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</si>
  <si>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</si>
  <si>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</si>
  <si>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</si>
  <si>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</si>
  <si>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</si>
  <si>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</si>
  <si>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</si>
  <si>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</si>
  <si>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</si>
  <si>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</si>
  <si>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</si>
  <si>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</si>
  <si>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</si>
  <si>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</si>
  <si>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</si>
  <si>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</si>
  <si>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</si>
  <si>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</si>
  <si>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</si>
  <si>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</si>
  <si>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</si>
  <si>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</si>
  <si>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</si>
  <si>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</si>
  <si>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</si>
  <si>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</si>
  <si>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</si>
  <si>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</si>
  <si>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</si>
  <si>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</si>
  <si>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</si>
  <si>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</si>
  <si>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Data quality</t>
  </si>
  <si>
    <t>Input</t>
  </si>
  <si>
    <t>Temporal representativeness</t>
  </si>
  <si>
    <t>Spatial resolution</t>
  </si>
  <si>
    <t>Sample size</t>
  </si>
  <si>
    <t>Notes</t>
  </si>
  <si>
    <t>Evidence files</t>
  </si>
  <si>
    <t>Score</t>
  </si>
  <si>
    <t>Input name</t>
  </si>
  <si>
    <t>TR4</t>
  </si>
  <si>
    <t>SR5</t>
  </si>
  <si>
    <t>SS3</t>
  </si>
  <si>
    <t>APPENDICES</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</si>
  <si>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</si>
  <si>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</si>
  <si>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</si>
  <si>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</si>
  <si>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</si>
  <si>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</si>
  <si>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</si>
  <si>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</si>
  <si>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</si>
  <si>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</si>
  <si>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</si>
  <si>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</si>
  <si>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</si>
  <si>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</si>
  <si>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</si>
  <si>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</si>
  <si>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</si>
  <si>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</si>
  <si>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</si>
  <si>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</si>
  <si>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</si>
  <si>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</si>
  <si>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</si>
  <si>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</si>
  <si>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</si>
  <si>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</si>
  <si>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</si>
  <si>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</si>
  <si>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</si>
  <si>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</si>
  <si>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</si>
  <si>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</si>
  <si>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</si>
  <si>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</si>
  <si>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</si>
  <si>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</si>
  <si>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</si>
  <si>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</si>
  <si>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</si>
  <si>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</si>
  <si>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</si>
  <si>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</si>
  <si>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</si>
  <si>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</si>
  <si>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Input - Fertiliser Production System</t>
  </si>
  <si>
    <t>Production system</t>
  </si>
  <si>
    <t>Crop</t>
  </si>
  <si>
    <r>
      <rPr>
        <sz val="10"/>
        <color theme="1" tint="0.34998626667073579"/>
        <rFont val="Arial"/>
        <family val="1"/>
      </rPr>
      <t xml:space="preserve">← </t>
    </r>
    <r>
      <rPr>
        <i/>
        <sz val="10"/>
        <color theme="1" tint="0.34998626667073579"/>
        <rFont val="Arial"/>
        <family val="1"/>
      </rPr>
      <t>Please select</t>
    </r>
  </si>
  <si>
    <t>Crop type</t>
  </si>
  <si>
    <t>Maize</t>
  </si>
  <si>
    <t>Drip irrigation</t>
  </si>
  <si>
    <t>Area under cropping</t>
  </si>
  <si>
    <t>hectares</t>
  </si>
  <si>
    <t>Input - Fertiliser</t>
  </si>
  <si>
    <t>Inorganic fertiliser applied</t>
  </si>
  <si>
    <t>💡You can add more rows to tables by right-clicking on the table and selecting "Insert &gt; Table rows above/below".</t>
  </si>
  <si>
    <t>INPUTS</t>
  </si>
  <si>
    <t>💡The application area is the same as the area under pasture / cropping by default. You can edit it if the application area is different.</t>
  </si>
  <si>
    <t>Branded fertiliser products</t>
  </si>
  <si>
    <t>Product (select)</t>
  </si>
  <si>
    <r>
      <t xml:space="preserve">Amount applied </t>
    </r>
    <r>
      <rPr>
        <sz val="10"/>
        <color theme="1"/>
        <rFont val="Arial"/>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</si>
  <si>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</si>
  <si>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</si>
  <si>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</si>
  <si>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</si>
  <si>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</si>
  <si>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</si>
  <si>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</si>
  <si>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</si>
  <si>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</si>
  <si>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</si>
  <si>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</si>
  <si>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</si>
  <si>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</si>
  <si>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</si>
  <si>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</si>
  <si>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</si>
  <si>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</si>
  <si>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</si>
  <si>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</si>
  <si>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</si>
  <si>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</si>
  <si>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</si>
  <si>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CALCULATIONS</t>
  </si>
  <si>
    <t>Boost-It</t>
  </si>
  <si>
    <t>Cal-Gran 50/50</t>
  </si>
  <si>
    <t>Custom fertiliser blends</t>
  </si>
  <si>
    <t>Custom blend name</t>
  </si>
  <si>
    <r>
      <t xml:space="preserve">Amount applied </t>
    </r>
    <r>
      <rPr>
        <sz val="10"/>
        <color theme="1"/>
        <rFont val="Arial"/>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</si>
  <si>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</si>
  <si>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</si>
  <si>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</si>
  <si>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</si>
  <si>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</si>
  <si>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</si>
  <si>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</si>
  <si>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</si>
  <si>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</si>
  <si>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</si>
  <si>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</si>
  <si>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</si>
  <si>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</si>
  <si>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</si>
  <si>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Product</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</si>
  <si>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</si>
  <si>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</si>
  <si>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</si>
  <si>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</si>
  <si>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</si>
  <si>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Total</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</si>
  <si>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</si>
  <si>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</si>
  <si>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</si>
  <si>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</si>
  <si>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</si>
  <si>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</si>
  <si>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</si>
  <si>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</si>
  <si>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</si>
  <si>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</si>
  <si>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</si>
  <si>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</si>
  <si>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</si>
  <si>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</si>
  <si>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t>Method 1</t>
  </si>
  <si>
    <t>Method 2</t>
  </si>
  <si>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</si>
  <si>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</si>
  <si>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</si>
  <si>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</si>
  <si>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</si>
  <si>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kg</t>
  </si>
  <si>
    <t>Variable</t>
  </si>
  <si>
    <t>Product applied</t>
  </si>
  <si>
    <t>N Application rate</t>
  </si>
  <si>
    <t>Application area</t>
  </si>
  <si>
    <t>MN</t>
  </si>
  <si>
    <t>Unit</t>
  </si>
  <si>
    <t>Branded product</t>
  </si>
  <si>
    <t>Table_MN_j_f</t>
  </si>
  <si>
    <t>Mass of nitrogen applied</t>
  </si>
  <si>
    <t>Fertiliser type f</t>
  </si>
  <si>
    <r>
      <t>TM</t>
    </r>
    <r>
      <rPr>
        <b/>
        <vertAlign val="subscript"/>
        <sz val="10"/>
        <color rgb="FF533001"/>
        <rFont val="Arial"/>
        <family val="1"/>
      </rPr>
      <t>jf</t>
    </r>
  </si>
  <si>
    <r>
      <t>FN</t>
    </r>
    <r>
      <rPr>
        <b/>
        <vertAlign val="subscript"/>
        <sz val="10"/>
        <color rgb="FF183C1B"/>
        <rFont val="Arial"/>
        <family val="1"/>
      </rPr>
      <t>inorganic,f</t>
    </r>
  </si>
  <si>
    <r>
      <t>MN</t>
    </r>
    <r>
      <rPr>
        <b/>
        <vertAlign val="subscript"/>
        <sz val="10"/>
        <color rgb="FF533001"/>
        <rFont val="Arial"/>
        <family val="1"/>
      </rPr>
      <t>jf</t>
    </r>
  </si>
  <si>
    <t>Custom blend</t>
  </si>
  <si>
    <t>MN total</t>
  </si>
  <si>
    <t>Application area total</t>
  </si>
  <si>
    <t>N application rate</t>
  </si>
  <si>
    <t>Not used - application rate calculated per product blend application</t>
  </si>
  <si>
    <r>
      <t>EF</t>
    </r>
    <r>
      <rPr>
        <b/>
        <vertAlign val="subscript"/>
        <sz val="10"/>
        <color theme="1" tint="0.24994659260841701"/>
        <rFont val="Arial"/>
        <family val="1"/>
      </rPr>
      <t>fj=irrigatedmaizeN2O</t>
    </r>
  </si>
  <si>
    <t>M1_Table_E_N2O</t>
  </si>
  <si>
    <t>Nitrous oxide emissions from inorganic fertiliser application (Method 1)</t>
  </si>
  <si>
    <r>
      <t>E</t>
    </r>
    <r>
      <rPr>
        <b/>
        <vertAlign val="subscript"/>
        <sz val="10"/>
        <color rgb="FF183C1B"/>
        <rFont val="Arial"/>
        <family val="1"/>
      </rPr>
      <t>N2O</t>
    </r>
  </si>
  <si>
    <r>
      <t>EF</t>
    </r>
    <r>
      <rPr>
        <b/>
        <vertAlign val="subscript"/>
        <sz val="10"/>
        <color theme="1" tint="0.24994659260841701"/>
        <rFont val="Arial"/>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</si>
  <si>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</si>
  <si>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4"/>
        <color theme="1" tint="0.24994659260841701"/>
        <rFont val="Arial"/>
        <family val="1"/>
      </rPr>
      <t>N2O</t>
    </r>
  </si>
  <si>
    <r>
      <t>E</t>
    </r>
    <r>
      <rPr>
        <vertAlign val="subscript"/>
        <sz val="10"/>
        <color theme="1" tint="0.24994659260841701"/>
        <rFont val="Arial"/>
        <family val="1"/>
      </rPr>
      <t>CO2e</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</si>
  <si>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</si>
  <si>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</si>
  <si>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</si>
  <si>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</si>
  <si>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</si>
  <si>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</si>
  <si>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</si>
  <si>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</si>
  <si>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</si>
  <si>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</si>
  <si>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</si>
  <si>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</si>
  <si>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0"/>
        <color rgb="FF183C1B"/>
        <rFont val="Arial"/>
        <family val="1"/>
      </rPr>
      <t>f</t>
    </r>
  </si>
  <si>
    <r>
      <t>MU</t>
    </r>
    <r>
      <rPr>
        <b/>
        <vertAlign val="subscript"/>
        <sz val="10"/>
        <color rgb="FF533001"/>
        <rFont val="Arial"/>
        <family val="1"/>
      </rPr>
      <t>jf</t>
    </r>
  </si>
  <si>
    <t>M1_Table_E_CO2</t>
  </si>
  <si>
    <t>Carbon dioxide oxide emissions from inorganic fertiliser application (Method 1)</t>
  </si>
  <si>
    <r>
      <t>E</t>
    </r>
    <r>
      <rPr>
        <b/>
        <vertAlign val="subscript"/>
        <sz val="14"/>
        <color theme="1" tint="0.24994659260841701"/>
        <rFont val="Arial"/>
        <family val="1"/>
      </rPr>
      <t>CO2</t>
    </r>
  </si>
  <si>
    <t>5.2.1.1 1-2 Organic fertiliser application N2O emissions</t>
  </si>
  <si>
    <t>Table_MNSoil_j_f</t>
  </si>
  <si>
    <t>Mass of nitrogen in organic fertilisers</t>
  </si>
  <si>
    <t>Organic fertiliser type (f)</t>
  </si>
  <si>
    <t>Amount applied (kg/ha)</t>
  </si>
  <si>
    <r>
      <t>M</t>
    </r>
    <r>
      <rPr>
        <b/>
        <vertAlign val="subscript"/>
        <sz val="10"/>
        <color rgb="FF183C1B"/>
        <rFont val="Arial"/>
        <family val="1"/>
      </rPr>
      <t>organicjf</t>
    </r>
  </si>
  <si>
    <t>FNorganicf</t>
  </si>
  <si>
    <r>
      <t>MNSoil</t>
    </r>
    <r>
      <rPr>
        <b/>
        <vertAlign val="subscript"/>
        <sz val="10"/>
        <color rgb="FF183C1B"/>
        <rFont val="Arial"/>
        <family val="1"/>
      </rPr>
      <t>jf</t>
    </r>
  </si>
  <si>
    <r>
      <t>MNSoil</t>
    </r>
    <r>
      <rPr>
        <b/>
        <vertAlign val="subscript"/>
        <sz val="10"/>
        <color theme="1" tint="0.24994659260841701"/>
        <rFont val="Arial"/>
        <family val="1"/>
      </rPr>
      <t>jf</t>
    </r>
  </si>
  <si>
    <t>5.3.1.1 1-2 Lime application CO2</t>
  </si>
  <si>
    <t>Table_E_lime</t>
  </si>
  <si>
    <t>Element</t>
  </si>
  <si>
    <t>M</t>
  </si>
  <si>
    <t>FracLime</t>
  </si>
  <si>
    <t>FracDol</t>
  </si>
  <si>
    <t>Elime</t>
  </si>
  <si>
    <r>
      <t>E</t>
    </r>
    <r>
      <rPr>
        <b/>
        <vertAlign val="subscript"/>
        <sz val="14"/>
        <color theme="1" tint="0.24994659260841701"/>
        <rFont val="Arial"/>
        <family val="1"/>
      </rPr>
      <t>lime</t>
    </r>
  </si>
  <si>
    <t>t CO2</t>
  </si>
  <si>
    <t>5.4.1.1-4  Atmospheric deposition resulting from fertiliser application</t>
  </si>
  <si>
    <t>Table_M_vol_inorganic_j_f</t>
  </si>
  <si>
    <t>Mass of nitrogen volatilised from inorganic fertiliser application</t>
  </si>
  <si>
    <t>Chemical compound</t>
  </si>
  <si>
    <r>
      <t>MN</t>
    </r>
    <r>
      <rPr>
        <b/>
        <vertAlign val="subscript"/>
        <sz val="10"/>
        <color rgb="FF183C1B"/>
        <rFont val="Arial"/>
        <family val="1"/>
      </rPr>
      <t>jf</t>
    </r>
  </si>
  <si>
    <t>Basis</t>
  </si>
  <si>
    <r>
      <t>FracGASF</t>
    </r>
    <r>
      <rPr>
        <b/>
        <vertAlign val="subscript"/>
        <sz val="10"/>
        <color rgb="FF183C1B"/>
        <rFont val="Arial"/>
        <family val="1"/>
      </rPr>
      <t>f</t>
    </r>
  </si>
  <si>
    <r>
      <t>M</t>
    </r>
    <r>
      <rPr>
        <b/>
        <vertAlign val="subscript"/>
        <sz val="10"/>
        <color rgb="FF183C1B"/>
        <rFont val="Arial"/>
        <family val="1"/>
      </rPr>
      <t>volinorganicjf</t>
    </r>
  </si>
  <si>
    <t>Table_E_ad_inorganic</t>
  </si>
  <si>
    <t>Atmospheric deposition emissions from inorganic fertiliser</t>
  </si>
  <si>
    <r>
      <t>E</t>
    </r>
    <r>
      <rPr>
        <b/>
        <vertAlign val="subscript"/>
        <sz val="10"/>
        <color rgb="FF183C1B"/>
        <rFont val="Arial"/>
        <family val="1"/>
      </rPr>
      <t>ad,inorganic</t>
    </r>
  </si>
  <si>
    <r>
      <t>E</t>
    </r>
    <r>
      <rPr>
        <b/>
        <vertAlign val="subscript"/>
        <sz val="14"/>
        <color theme="1" tint="0.24994659260841701"/>
        <rFont val="Arial"/>
        <family val="1"/>
      </rPr>
      <t>ad,inorganic</t>
    </r>
  </si>
  <si>
    <t>Table_M_vol_organic_j_f</t>
  </si>
  <si>
    <t>Mass of nitrogen volatilised from organic fertiliser applied</t>
  </si>
  <si>
    <r>
      <t>M</t>
    </r>
    <r>
      <rPr>
        <b/>
        <vertAlign val="subscript"/>
        <sz val="10"/>
        <color rgb="FF183C1B"/>
        <rFont val="Arial"/>
        <family val="1"/>
      </rPr>
      <t>vol,organic,jf</t>
    </r>
  </si>
  <si>
    <t>Table_E_ad_organic</t>
  </si>
  <si>
    <t>Atmospheric deposition emissions from organic fertiliser</t>
  </si>
  <si>
    <r>
      <t>E</t>
    </r>
    <r>
      <rPr>
        <b/>
        <vertAlign val="subscript"/>
        <sz val="10"/>
        <color rgb="FF183C1B"/>
        <rFont val="Arial"/>
        <family val="1"/>
      </rPr>
      <t>ad,organic</t>
    </r>
  </si>
  <si>
    <r>
      <t>E</t>
    </r>
    <r>
      <rPr>
        <b/>
        <vertAlign val="subscript"/>
        <sz val="14"/>
        <color theme="1" tint="0.24994659260841701"/>
        <rFont val="Arial"/>
        <family val="1"/>
      </rPr>
      <t>ad,organic</t>
    </r>
  </si>
  <si>
    <t>5.5.1.1-2  Leaching and runoff</t>
  </si>
  <si>
    <t>Table_M_leach_inorganic_j</t>
  </si>
  <si>
    <t>Mass of nitrogen from inorganic fertiliser lost through leaching and runoff</t>
  </si>
  <si>
    <r>
      <t>M</t>
    </r>
    <r>
      <rPr>
        <b/>
        <vertAlign val="subscript"/>
        <sz val="10"/>
        <color rgb="FF183C1B"/>
        <rFont val="Arial"/>
        <family val="1"/>
      </rPr>
      <t>leach,inorganic,j</t>
    </r>
  </si>
  <si>
    <r>
      <t>M</t>
    </r>
    <r>
      <rPr>
        <b/>
        <vertAlign val="subscript"/>
        <sz val="10"/>
        <color theme="1" tint="0.24994659260841701"/>
        <rFont val="Arial"/>
        <family val="1"/>
      </rPr>
      <t>leach,inorganic,j</t>
    </r>
  </si>
  <si>
    <t>Table_M_leach_organic_j</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</si>
  <si>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</si>
  <si>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</si>
  <si>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</si>
  <si>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</si>
  <si>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Constants - Fertiliser</t>
  </si>
  <si>
    <t>FNinorganic f</t>
  </si>
  <si>
    <t>FU f</t>
  </si>
  <si>
    <t>Lifecycles Scope 3 definition</t>
  </si>
  <si>
    <t>Source</t>
  </si>
  <si>
    <t>Production systems</t>
  </si>
  <si>
    <t>Crop types</t>
  </si>
  <si>
    <t>Irrigation methods</t>
  </si>
  <si>
    <t>Organic fertiliser types</t>
  </si>
  <si>
    <t>Organic fertiliser type</t>
  </si>
  <si>
    <t>Pasture</t>
  </si>
  <si>
    <t>Not irrigated</t>
  </si>
  <si>
    <t>Manure - Cattle</t>
  </si>
  <si>
    <t>Grains</t>
  </si>
  <si>
    <t>Sprinkler irrigation</t>
  </si>
  <si>
    <t>Manure - Swine</t>
  </si>
  <si>
    <t>Surface irrigation</t>
  </si>
  <si>
    <t>Other irrigation</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</si>
  <si>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</si>
  <si>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</si>
  <si>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</si>
  <si>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</si>
  <si>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</si>
  <si>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</si>
  <si>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</si>
  <si>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</si>
  <si>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</si>
  <si>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</si>
  <si>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</si>
  <si>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</si>
  <si>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</si>
  <si>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</si>
  <si>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</si>
  <si>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</si>
  <si>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</si>
  <si>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</si>
  <si>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</si>
  <si>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</si>
  <si>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</si>
  <si>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</si>
  <si>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</si>
  <si>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</si>
  <si>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You can add more rows to the table by right-clicking on the table and selecting "Insert &gt; Table rows above/below"</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</si>
  <si>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</si>
  <si>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</si>
  <si>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</si>
  <si>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</si>
  <si>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</si>
  <si>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</si>
  <si>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</si>
  <si>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</si>
  <si>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</si>
  <si>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</si>
  <si>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</si>
  <si>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</si>
  <si>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</si>
  <si>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</si>
  <si>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</si>
  <si>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</si>
  <si>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</si>
  <si>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</si>
  <si>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</si>
  <si>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</si>
  <si>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</si>
  <si>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</si>
  <si>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</si>
  <si>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</si>
  <si>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</si>
  <si>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</si>
  <si>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</si>
  <si>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</si>
  <si>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</si>
  <si>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</si>
  <si>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</si>
  <si>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</si>
  <si>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</si>
  <si>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</si>
  <si>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</si>
  <si>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</si>
  <si>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Scope 3</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</si>
  <si>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</si>
  <si>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</si>
  <si>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</si>
  <si>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</si>
  <si>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</si>
  <si>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</si>
  <si>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</si>
  <si>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</si>
  <si>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</si>
  <si>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</si>
  <si>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</si>
  <si>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</si>
  <si>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</si>
  <si>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</si>
  <si>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</si>
  <si>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</si>
  <si>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</si>
  <si>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</si>
  <si>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</si>
  <si>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</si>
  <si>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</si>
  <si>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</si>
  <si>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</si>
  <si>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</si>
  <si>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</si>
  <si>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</si>
  <si>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</si>
  <si>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</si>
  <si>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</si>
  <si>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</si>
  <si>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</si>
  <si>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</si>
  <si>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</si>
  <si>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</si>
  <si>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</si>
  <si>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</si>
  <si>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</si>
  <si>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</si>
  <si>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</si>
  <si>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</si>
  <si>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</si>
  <si>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</si>
  <si>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</si>
  <si>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</si>
  <si>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</si>
  <si>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</si>
  <si>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</si>
  <si>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</si>
  <si>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</si>
  <si>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</si>
  <si>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</si>
  <si>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</si>
  <si>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</si>
  <si>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</si>
  <si>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</si>
  <si>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</si>
  <si>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</si>
  <si>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</si>
  <si>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</si>
  <si>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</si>
  <si>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</si>
  <si>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</si>
  <si>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</si>
  <si>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</si>
  <si>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</si>
  <si>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</si>
  <si>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</si>
  <si>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</si>
  <si>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t>Region (ABS Statistical area level 4) if state is WA</t>
  </si>
  <si>
    <t>Western Australia - Outback (South)</t>
  </si>
  <si>
    <t>Leaching zone</t>
  </si>
  <si>
    <t>YES -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</si>
  <si>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</si>
  <si>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</si>
  <si>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</si>
  <si>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</si>
  <si>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</si>
  <si>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</si>
  <si>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</si>
  <si>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</si>
  <si>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</si>
  <si>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</si>
  <si>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Mass of nitrogen in inorganic fertiliser applied to production system</t>
  </si>
  <si>
    <t>VEERG 2026: 5.1.1.1, Equation (2)</t>
  </si>
  <si>
    <t>MN_jf</t>
  </si>
  <si>
    <t>kg N</t>
  </si>
  <si>
    <t>TM_jf</t>
  </si>
  <si>
    <t>total mass of inorganic fertiliser type f applied to production system j</t>
  </si>
  <si>
    <t>FN_inorganicf</t>
  </si>
  <si>
    <t xml:space="preserve">fraction of nitrogen in inorganic fertiliser type f </t>
  </si>
  <si>
    <t>kg N/kg</t>
  </si>
  <si>
    <t>Constant</t>
  </si>
  <si>
    <t>Emission factor for nitrous oxide for irrigated maize</t>
  </si>
  <si>
    <t>VEERG 2026: 5.1.1.2, Equation (1)</t>
  </si>
  <si>
    <t>Nitrous oxide emissions from the application of all inorganic fertiliser types f to all production systems j</t>
  </si>
  <si>
    <t>VEERG 2026: 5.1.1.1, Equation (1)</t>
  </si>
  <si>
    <t>EF_fjIrrigatedMaizeN2O</t>
  </si>
  <si>
    <t>kg N2O-N/kg N applied</t>
  </si>
  <si>
    <t>N_fjIrrigatedMaize</t>
  </si>
  <si>
    <t>application rate of inorganic fertiliser type f in the irrigated maize crop</t>
  </si>
  <si>
    <t>f</t>
  </si>
  <si>
    <t>Inorganic fertiliser type</t>
  </si>
  <si>
    <t>kg N/ha</t>
  </si>
  <si>
    <t>E_N2O</t>
  </si>
  <si>
    <t>t N2O</t>
  </si>
  <si>
    <t>mass of nitrogen in inorganic fertiliser type f applied to production system j</t>
  </si>
  <si>
    <t>EF_jN2O</t>
  </si>
  <si>
    <t>emission factor for nitrous oxide for inorganic fertilisers</t>
  </si>
  <si>
    <t>C_N2O</t>
  </si>
  <si>
    <t>factor to convert elemental mass of nitrous oxide to molecular mass</t>
  </si>
  <si>
    <t>j</t>
  </si>
  <si>
    <t>ir</t>
  </si>
  <si>
    <t>irrigation method</t>
  </si>
  <si>
    <t>z</t>
  </si>
  <si>
    <t>rainfall zone</t>
  </si>
  <si>
    <t>Calculated from 5.1.1.1 (2)</t>
  </si>
  <si>
    <t>Emission factor for nitrous oxide for non-irrigated grains in high rainfall zone</t>
  </si>
  <si>
    <t>VEERG 2026: 5.1.1.2, Equation (2)</t>
  </si>
  <si>
    <t>EF_fjNonIrrigatedGrainsN2O</t>
  </si>
  <si>
    <t>N_fjNonIrrigatedGrains</t>
  </si>
  <si>
    <t>application rate of inorganic fertiliser type f in the grains crop</t>
  </si>
  <si>
    <t>Emission factor for nitrous oxide for cotton</t>
  </si>
  <si>
    <t>VEERG 2026: 5.1.1.2, Equation (3)</t>
  </si>
  <si>
    <t>EF_fjCottonN2O</t>
  </si>
  <si>
    <t>N_fjCotton</t>
  </si>
  <si>
    <t>application rate of inorganic fertiliser type f in the cotton crop</t>
  </si>
  <si>
    <t>c</t>
  </si>
  <si>
    <t>Calculated from 5.1.1.2 (1)(2)(3)</t>
  </si>
  <si>
    <t>Mass of urea applied to production system</t>
  </si>
  <si>
    <t>VEERG 2026: 5.1.1.3, Equation (2)</t>
  </si>
  <si>
    <t>MU_jf</t>
  </si>
  <si>
    <t>kg urea</t>
  </si>
  <si>
    <t>FU_f</t>
  </si>
  <si>
    <t>fraction of urea in fertiliser type f</t>
  </si>
  <si>
    <t>kg urea/kg</t>
  </si>
  <si>
    <t>Lookup</t>
  </si>
  <si>
    <t>Carbon dioxide emissions resulting from the use of all inorganic, urea-based fertilisers</t>
  </si>
  <si>
    <t>VEERG 2026: 5.1.1.3, Equation (1)</t>
  </si>
  <si>
    <t>E_CO2</t>
  </si>
  <si>
    <t>mass of urea of inorganic fertiliser type f applied to production system j</t>
  </si>
  <si>
    <t>EF_ureaCO2</t>
  </si>
  <si>
    <t>emission factor for carbon emissions from urea-based fertilisers</t>
  </si>
  <si>
    <t>C_CO2</t>
  </si>
  <si>
    <t>factor to convert elemental mass of carbon to molecular mass of carbon dioxide</t>
  </si>
  <si>
    <t>Calculated</t>
  </si>
  <si>
    <t>kg C/kg urea</t>
  </si>
  <si>
    <t>Mass of nitrogen in purchased organic fertilisers applied to production system</t>
  </si>
  <si>
    <t>VEERG 2026: 5.2.1.1, Equation (2)</t>
  </si>
  <si>
    <t>MNSoil_jf</t>
  </si>
  <si>
    <t>M_organicjf</t>
  </si>
  <si>
    <t>mass of organic fertiliser type f applied to production system j</t>
  </si>
  <si>
    <t>FN_organicf</t>
  </si>
  <si>
    <t>nitrogen fraction of organic fertiliser type f</t>
  </si>
  <si>
    <t>Nitrous oxide emissions from the application of all organic fertiliser types f to all production systems j</t>
  </si>
  <si>
    <t>VEERG 2026: 5.2.1.1, Equation (1)</t>
  </si>
  <si>
    <t>mass of nitrogen in organic fertiliser type f applied to production system j</t>
  </si>
  <si>
    <t>EF_N2Oi</t>
  </si>
  <si>
    <t>emission factor for direct nitrous oxide emissions from organic fertiliser applied to soils and aquatic systems in climate zone i</t>
  </si>
  <si>
    <t>i</t>
  </si>
  <si>
    <t>Calculated from 5.2.1.1 (2)</t>
  </si>
  <si>
    <t>kg N2O-N/kg N</t>
  </si>
  <si>
    <t>Emissions from the application of lime and dolomite to production systems</t>
  </si>
  <si>
    <t>VEERG 2026: 5.3.1.1, Equation (1)</t>
  </si>
  <si>
    <t>E_lime</t>
  </si>
  <si>
    <t>M_lime</t>
  </si>
  <si>
    <t>total mass of lime applied to production system</t>
  </si>
  <si>
    <t>fraction of lime as limestone (CaCO3)</t>
  </si>
  <si>
    <t>P_lime</t>
  </si>
  <si>
    <t>fractional purity of limestone</t>
  </si>
  <si>
    <t>EF_lime</t>
  </si>
  <si>
    <t>emission factor for limestone fraction of lime</t>
  </si>
  <si>
    <t>fraction of lime as dolomite</t>
  </si>
  <si>
    <t>P_dol</t>
  </si>
  <si>
    <t>fractional purity of dolomite</t>
  </si>
  <si>
    <t>EF_dol</t>
  </si>
  <si>
    <t>emission factor for dolomite fraction of lime</t>
  </si>
  <si>
    <t>factor to convert elemental mass of carbon dioxide to molecular mass</t>
  </si>
  <si>
    <t>fraction</t>
  </si>
  <si>
    <t>kg C/kg</t>
  </si>
  <si>
    <t>Mass of nitrogen volatilised from inorganic fertiliser applied to production system</t>
  </si>
  <si>
    <t>VEERG 2026: 5.4.1.1, Equation (2)</t>
  </si>
  <si>
    <t>M_volinorganicjf</t>
  </si>
  <si>
    <t>mass of nitrogen in inorganic fertiliser applied</t>
  </si>
  <si>
    <t>FracGASF_f</t>
  </si>
  <si>
    <t>fraction of inorganic fertiliser that volatilises</t>
  </si>
  <si>
    <t>(kg NH3-N + NOx-N)/kg N</t>
  </si>
  <si>
    <t>Nitrous oxide emissions from atmospheric deposition from all inorganic fertiliser types f and all production systems j</t>
  </si>
  <si>
    <t>VEERG 2026: 5.4.1.1, Equation (1)</t>
  </si>
  <si>
    <t>E_adinorganic</t>
  </si>
  <si>
    <t>mass of nitrogen volatilised from inorganic fertiliser applied to production system</t>
  </si>
  <si>
    <t>EF_N2Oj</t>
  </si>
  <si>
    <t>emission factor for atmospheric deposition</t>
  </si>
  <si>
    <t>r</t>
  </si>
  <si>
    <t>rainfall region</t>
  </si>
  <si>
    <t>Calculated from 5.4.1.1 (2)</t>
  </si>
  <si>
    <t>Mass of nitrogen volatilised from organic fertiliser applied to production system</t>
  </si>
  <si>
    <t>VEERG 2026: 5.4.1.3, Equation (2)</t>
  </si>
  <si>
    <t>M_volorganicjf</t>
  </si>
  <si>
    <t>FracGASM_soil</t>
  </si>
  <si>
    <t>fraction of organic fertiliser N that volatilises</t>
  </si>
  <si>
    <t>Nitrous oxide emissions from atmospheric deposition of all organic fertiliser types f and all production systems j</t>
  </si>
  <si>
    <t>VEERG 2026: 5.4.1.3, Equation (1)</t>
  </si>
  <si>
    <t>E_adorganic</t>
  </si>
  <si>
    <t>mass of nitrogen volatilised from organic fertiliser applied to production system</t>
  </si>
  <si>
    <t>emission factor for atmospheric deposition in production system j</t>
  </si>
  <si>
    <t>Calculated from 5.4.1.3 (2)</t>
  </si>
  <si>
    <t>Mass of nitrogen lost through leaching and runoff from inorganic fertiliser application in production system j</t>
  </si>
  <si>
    <t>VEERG 2026: 5.5, Equation (2)</t>
  </si>
  <si>
    <t>M_leachinorganicj</t>
  </si>
  <si>
    <t>mass of nitrogen in inorganic fertiliser</t>
  </si>
  <si>
    <t>FracWETj</t>
  </si>
  <si>
    <t>fraction of N available for leaching and runoff</t>
  </si>
  <si>
    <t>FracLEACH</t>
  </si>
  <si>
    <t>fraction of N that is lost through leaching and runoff</t>
  </si>
  <si>
    <t>location in leaching zone</t>
  </si>
  <si>
    <t>production system</t>
  </si>
  <si>
    <t>Mass of nitrogen lost through leaching and runoff from organic fertiliser application in production system j</t>
  </si>
  <si>
    <t>VEERG 2026: 5.5, Equation (3)</t>
  </si>
  <si>
    <t>M_leachorganicj</t>
  </si>
  <si>
    <t>mass of nitrogen in organic fertiliser</t>
  </si>
  <si>
    <t>Nitrous oxide emissions from nitrogen leaching and runoff from the application of all fertilisers across all production systems j</t>
  </si>
  <si>
    <t>VEERG 2026: 5.5, Equation (1)</t>
  </si>
  <si>
    <t>E_fertleach</t>
  </si>
  <si>
    <t>mass of nitrogen lost through leaching and runoff from inorganic fertiliser application in production system j</t>
  </si>
  <si>
    <t>mass of nitrogen lost through leaching and runoff from organic fertiliser application</t>
  </si>
  <si>
    <t>EF_leach</t>
  </si>
  <si>
    <t>emission factor for nitrogen leaching and runoff</t>
  </si>
  <si>
    <t>Calculated from 5.5.1.1 (2)</t>
  </si>
  <si>
    <t>Calculated from 5.5.1.1 (3)</t>
  </si>
  <si>
    <t>Emissions for each GHG from the combustion of fuels for transport energy purposes</t>
  </si>
  <si>
    <t>VEERG 2026: 8.1.1.1, Equation (1)</t>
  </si>
  <si>
    <t>Upstream emissions from scope 1 fuel use for transport purposes</t>
  </si>
  <si>
    <t>VEERG 2026: 15.11.1.1, Equation (2)</t>
  </si>
  <si>
    <t>E_g</t>
  </si>
  <si>
    <t>t CO2-e</t>
  </si>
  <si>
    <t>E_WTTtransq</t>
  </si>
  <si>
    <t>t CO2e</t>
  </si>
  <si>
    <t>Q_Transtq</t>
  </si>
  <si>
    <t>Amount of fuel type q combusted for transport energy purposes</t>
  </si>
  <si>
    <t>EC_Transq</t>
  </si>
  <si>
    <t>Energy content factor for transport energy purposes</t>
  </si>
  <si>
    <t>EF_Trans1tqg</t>
  </si>
  <si>
    <t>Scope 1 emission factor for transport energy purposes for each greenhouse gas</t>
  </si>
  <si>
    <t>q</t>
  </si>
  <si>
    <t>Trans</t>
  </si>
  <si>
    <t>Transport combustion</t>
  </si>
  <si>
    <t>g</t>
  </si>
  <si>
    <t>Greenhouse gas</t>
  </si>
  <si>
    <t>Scope 1</t>
  </si>
  <si>
    <t>Varies based on fuel type: kL, m3, GJ</t>
  </si>
  <si>
    <t>GJ / unit of fuel</t>
  </si>
  <si>
    <t>kg CO2e / GJ</t>
  </si>
  <si>
    <t>Q_Transq</t>
  </si>
  <si>
    <t>amount of fuel q combusted for transport energy purposes</t>
  </si>
  <si>
    <t>energy content factor for transport energy purposes</t>
  </si>
  <si>
    <t>EF_Trans3q</t>
  </si>
  <si>
    <t>scope 3 emission factor for transport energy purposes</t>
  </si>
  <si>
    <t>GJ/kL or GJ/m3</t>
  </si>
  <si>
    <t>kg CO2e/GJ</t>
  </si>
  <si>
    <t>Emissions for each GHG from the stationary combustion of fuels</t>
  </si>
  <si>
    <t>VEERG 2026: 8.2.1.1, Equation (1)</t>
  </si>
  <si>
    <t>Upstream emissions from scope 1 stationary combustion fuel use</t>
  </si>
  <si>
    <t>VEERG 2026: 15.11.1.1, Equation (3)</t>
  </si>
  <si>
    <t>VARIATION ON SOURCE: Added 'state' and 'metro/non-metro' arguments as gaseous scope 3 EFs are state and metro/non-metro location-based.</t>
  </si>
  <si>
    <t>E_WTTSCq</t>
  </si>
  <si>
    <t>Q_SCq</t>
  </si>
  <si>
    <t>Amount of fuel type q used for stationary combustion operations</t>
  </si>
  <si>
    <t>EC_SCq</t>
  </si>
  <si>
    <t>Energy content factor for stationary combustion operations</t>
  </si>
  <si>
    <t>EF_SC1qg</t>
  </si>
  <si>
    <t>Scope 1 emission factor for stationary combustion for each greenhouse gas</t>
  </si>
  <si>
    <t>SC</t>
  </si>
  <si>
    <t>Stationary combustion</t>
  </si>
  <si>
    <t>amount of fuel q used for stationary combustion operations</t>
  </si>
  <si>
    <t>energy content factor for stationary combustion operations</t>
  </si>
  <si>
    <t>EF_SC3q</t>
  </si>
  <si>
    <t>scope 3 emission factor for stationary combustion operations</t>
  </si>
  <si>
    <t>state</t>
  </si>
  <si>
    <t>m</t>
  </si>
  <si>
    <t>metropolitan/non-metropolitan location</t>
  </si>
  <si>
    <t>GJ/kL</t>
  </si>
  <si>
    <t>Common inorganic fertilisers</t>
  </si>
  <si>
    <t>Table A.2.2.3: Fraction of nitrogen in common inorganic fertilisers (kgN/kg) (FNorganic,f) AND Table A.2.2.4: Fraction of urea in common inorganic fertilisers (kg urea/kg) (FUf)</t>
  </si>
  <si>
    <t>VARIATION ON SOURCE</t>
  </si>
  <si>
    <t>Added 'Basis' column to allow cross-referencing with table Table A.2.2.6: Fraction of inorganic fertiliser f that volatilises as NH3 and NOx ((kg NH3-N + NOx-N)/kg N) (FracGASFf)</t>
  </si>
  <si>
    <t>Added extra fertiliser types and generic chemical compounds to allow for custom NPKS blends</t>
  </si>
  <si>
    <t>Added extra 'Scope 3 definition' column to allow mapping with scope 3 data</t>
  </si>
  <si>
    <t>Added 'Source' column</t>
  </si>
  <si>
    <t>Combined data from Table A.2.2.3 and Table A.2.2.4 into one table to aid lookup.</t>
  </si>
  <si>
    <t>Excluded 'References' column</t>
  </si>
  <si>
    <t>Excluded 'Ammonium sulfate' as it is a duplicate of 'Sulphate of ammonia (SOA)'</t>
  </si>
  <si>
    <t>Excluded 'Calcium nitrate' as no scope 3 value available.</t>
  </si>
  <si>
    <t>Set 'Nitrogen - Generic' basis as 'Urea-based fertilisers, as urea is the most commonly used form of nitrogen in Australian fertilisers</t>
  </si>
  <si>
    <t>Set 'Urea-ammonium nitrate' basis as 'Urea-based fertiliser'</t>
  </si>
  <si>
    <t>Ammonia has an FN value of 0.8235 based on (14/17)x100, where 14 is the mass of nitrogen in ammonia and 17 is the molar mass of ammonia.</t>
  </si>
  <si>
    <t>Fraction of nitrogen in common inorganic fertilisers (kgN/kg) (FNorganic,f)</t>
  </si>
  <si>
    <t>VEERG 2026: Table A.2.2.3</t>
  </si>
  <si>
    <t>Fraction of urea in common inorganic fertilisers (kg urea/kg) (FUf)</t>
  </si>
  <si>
    <t>VEERG 2026: Table A.2.2.4</t>
  </si>
  <si>
    <t>Source regions for urea and ammonia</t>
  </si>
  <si>
    <t>Lifecycles. (2026). Greenhouse Gas Emission Intensities for Material Inputs to Australian Agriculture, Fisheries and Forestry. Version 48. doi 10.5281/zenodo.19656580</t>
  </si>
  <si>
    <t>Monoammonium phosphate (MAP)</t>
  </si>
  <si>
    <t>Ammonium-based fertilisers</t>
  </si>
  <si>
    <t>VEERG</t>
  </si>
  <si>
    <t>Diammonium phosphate (DAP)</t>
  </si>
  <si>
    <t>Urea-based fertilisers</t>
  </si>
  <si>
    <t>Sulphate of ammonia (SOA)</t>
  </si>
  <si>
    <t>Urea-ammonium nitrate (UAN)</t>
  </si>
  <si>
    <t>Ammonium nitrate (AN)</t>
  </si>
  <si>
    <t>Ammonium-nitrate based fertilisers</t>
  </si>
  <si>
    <t>Calcium ammonium nitrate (CAN)</t>
  </si>
  <si>
    <t>Nitrogen - Ammoniacal</t>
  </si>
  <si>
    <t>LifeCycles</t>
  </si>
  <si>
    <t>Nitrogen - Nitrate</t>
  </si>
  <si>
    <t>Nitrate-based fertilisers</t>
  </si>
  <si>
    <t>Nitrogen from Nitrate</t>
  </si>
  <si>
    <t>Nitrogen - Generic</t>
  </si>
  <si>
    <t>Nitrogen from fertiliser</t>
  </si>
  <si>
    <t>Phosphorus - Generic</t>
  </si>
  <si>
    <t>Other fertilisers</t>
  </si>
  <si>
    <t>Phosphorus from fertiliser</t>
  </si>
  <si>
    <t>Potassium from fertiliser</t>
  </si>
  <si>
    <t>Sulfur from fertiliser</t>
  </si>
  <si>
    <t>Zinc from fertiliser</t>
  </si>
  <si>
    <t>Muriate of potash (MOP)</t>
  </si>
  <si>
    <t>Double superphosphate</t>
  </si>
  <si>
    <t>Single superphosphate (SSP)</t>
  </si>
  <si>
    <t>Ammonium Sulfate</t>
  </si>
  <si>
    <t>Calcium Nitrate</t>
  </si>
  <si>
    <t>Global</t>
  </si>
  <si>
    <t>Canada</t>
  </si>
  <si>
    <t>China</t>
  </si>
  <si>
    <t>Yemen</t>
  </si>
  <si>
    <t>Fraction of inorganic fertiliser that volatilises as NH3 and NOx</t>
  </si>
  <si>
    <t>Table A.2.2.6: Fraction of inorganic fertiliser f that volatilises as NH3 and NOx ((kg NH3-N + NOx-N)/kg N) (FracGASFf)</t>
  </si>
  <si>
    <t>Emission factor for carbon emissions from urea application</t>
  </si>
  <si>
    <t>VEERG 2026: 5.1.2.2 Constant Parameters</t>
  </si>
  <si>
    <t>EFureaCO2</t>
  </si>
  <si>
    <t>Constants for lime, dolomite and gypsum</t>
  </si>
  <si>
    <t>VEERG 2026: 5.3.2.3 Constant Parameters</t>
  </si>
  <si>
    <t>Lime (Calcium carbonate)</t>
  </si>
  <si>
    <t>Dolomite (Magnesium carbonate)</t>
  </si>
  <si>
    <t>Gypsum</t>
  </si>
  <si>
    <t>Fraction of organic fertiliser that volatilises as NH3 and NOx</t>
  </si>
  <si>
    <t>VEERG 2026: 5.4.2.3 Constant Parameters</t>
  </si>
  <si>
    <t>FracGASMsoil</t>
  </si>
  <si>
    <t>Fraction of nitrogen that is lost through leaching and runoff</t>
  </si>
  <si>
    <t>VEERG 2026: 5.5.2.3 Constant Parameters</t>
  </si>
  <si>
    <t>Emission factor for nitrogen leaching and runoff</t>
  </si>
  <si>
    <t>EFLeach</t>
  </si>
  <si>
    <t>kg N2O-N / kg N</t>
  </si>
  <si>
    <t>Campbells fertilisers Australia</t>
  </si>
  <si>
    <t>Aqua Finish</t>
  </si>
  <si>
    <t>Aqua Grow</t>
  </si>
  <si>
    <t>Aqua Nitro AN</t>
  </si>
  <si>
    <t>Aqua NitroCal</t>
  </si>
  <si>
    <t>Calcium</t>
  </si>
  <si>
    <t>Aqua NitroCal (VI)</t>
  </si>
  <si>
    <t>Aqua NitroCal Ultimate</t>
  </si>
  <si>
    <t>Aqua Start</t>
  </si>
  <si>
    <t>Aqua Thio-Complete</t>
  </si>
  <si>
    <t>Aqua Thio-Emerge</t>
  </si>
  <si>
    <t>Aqua Thio-Flourish</t>
  </si>
  <si>
    <t>Magnesium</t>
  </si>
  <si>
    <t>Zinc</t>
  </si>
  <si>
    <t>Manganese</t>
  </si>
  <si>
    <t>Iron</t>
  </si>
  <si>
    <t>Copper</t>
  </si>
  <si>
    <t>Boron</t>
  </si>
  <si>
    <t>Bronze</t>
  </si>
  <si>
    <t>Calbit C</t>
  </si>
  <si>
    <t>Compass</t>
  </si>
  <si>
    <t>CoRoN 12-0-10</t>
  </si>
  <si>
    <t>Maximum Quick-N</t>
  </si>
  <si>
    <t>SL Tec</t>
  </si>
  <si>
    <t>Crop Booster PLUS</t>
  </si>
  <si>
    <t>Risso-Chemical</t>
  </si>
  <si>
    <t>Ammonium Bicarbonate</t>
  </si>
  <si>
    <t>Ravensdown</t>
  </si>
  <si>
    <t>Ammonium Sulphate - Granular</t>
  </si>
  <si>
    <t>Impact Fertilisers</t>
  </si>
  <si>
    <t>Di-Ammonium Phosphate (DAP)</t>
  </si>
  <si>
    <t>Incitec Pivot Fertilisers</t>
  </si>
  <si>
    <t>Basalt BooSSta</t>
  </si>
  <si>
    <t>Fluoride</t>
  </si>
  <si>
    <t>Summit Fertilizers</t>
  </si>
  <si>
    <t>DAPSZC</t>
  </si>
  <si>
    <t>Easy N</t>
  </si>
  <si>
    <t>Biuret</t>
  </si>
  <si>
    <t>Calcium Ammonium nitrate</t>
  </si>
  <si>
    <t>CellCAL Plus</t>
  </si>
  <si>
    <t>CK55</t>
  </si>
  <si>
    <t>Switch Ag</t>
  </si>
  <si>
    <t>Crop K</t>
  </si>
  <si>
    <t>Crop Starter</t>
  </si>
  <si>
    <t>Gran-Am</t>
  </si>
  <si>
    <t>Encal</t>
  </si>
  <si>
    <t>Granulock SS</t>
  </si>
  <si>
    <t>Granulock Z</t>
  </si>
  <si>
    <t>Farm Ag Leichhardt</t>
  </si>
  <si>
    <t>Flexi-N NBPT</t>
  </si>
  <si>
    <t>Yes</t>
  </si>
  <si>
    <t>Gold Premium</t>
  </si>
  <si>
    <t>High NS</t>
  </si>
  <si>
    <t>Impact SSP</t>
  </si>
  <si>
    <t>In Crop</t>
  </si>
  <si>
    <t>K20</t>
  </si>
  <si>
    <t>Loveland Agriproducts</t>
  </si>
  <si>
    <t>Maximum N-Pact</t>
  </si>
  <si>
    <t>Nitro Combi TE</t>
  </si>
  <si>
    <t>Fulvic acid (organic)</t>
  </si>
  <si>
    <t>Molybdenum</t>
  </si>
  <si>
    <t>PastureMAXX</t>
  </si>
  <si>
    <t>Platinum Nergetic</t>
  </si>
  <si>
    <t>Potassium sulphate</t>
  </si>
  <si>
    <t>Glaze Extend G3 Flexi</t>
  </si>
  <si>
    <t>Mono-Ammonium Phosphate (MAP)</t>
  </si>
  <si>
    <t>Koch Fertiliser Australia</t>
  </si>
  <si>
    <t>Urea Ammonium nitrate (UAN 32-0-0)</t>
  </si>
  <si>
    <t>Polypeptide Urea</t>
  </si>
  <si>
    <t>Polypeptide (amino acids)</t>
  </si>
  <si>
    <t>Yara Australia</t>
  </si>
  <si>
    <t>YaraTera CALCINIT</t>
  </si>
  <si>
    <t>YaraLiva NITRABOR</t>
  </si>
  <si>
    <t>YaraMila COMPLEX</t>
  </si>
  <si>
    <t>YaraRega 9-0-30 (14)</t>
  </si>
  <si>
    <t>YaraRega 13-2-21</t>
  </si>
  <si>
    <t>YaraRega 15-7-13 (7S)</t>
  </si>
  <si>
    <t>YaraTera CALCINIT B</t>
  </si>
  <si>
    <t>YaraTera KRISTA MAP</t>
  </si>
  <si>
    <t>YaraTera KRISTALON RED</t>
  </si>
  <si>
    <t>YaraTera KRISTALON SPECIAL</t>
  </si>
  <si>
    <t>YaraMila 21-7-3(4)</t>
  </si>
  <si>
    <t>YaraTera KRISTALON SCARLET</t>
  </si>
  <si>
    <t>Solu-MAP</t>
  </si>
  <si>
    <t>Solu-Sam</t>
  </si>
  <si>
    <t>Rustica Plus</t>
  </si>
  <si>
    <t>Platinum Plus</t>
  </si>
  <si>
    <t>Tropika</t>
  </si>
  <si>
    <t>Rustica Nergetic</t>
  </si>
  <si>
    <t>Quick-N Nergetic</t>
  </si>
  <si>
    <t>FertPro Manufacturing Pty. Ltd.</t>
  </si>
  <si>
    <t>(SSP) Single Super Fertiliser</t>
  </si>
  <si>
    <t>ZincStar</t>
  </si>
  <si>
    <t>Baileys (Simplot) [listed as Impact]</t>
  </si>
  <si>
    <t>Apex GaIXe Low P 21-1-6</t>
  </si>
  <si>
    <t>SuPerfect</t>
  </si>
  <si>
    <t>Incitec Pivot Fertilisers [listed as Summit]</t>
  </si>
  <si>
    <t>Big N</t>
  </si>
  <si>
    <t>Entec Urea</t>
  </si>
  <si>
    <t>Incitec Pivot Fertilisers (or Ravensdown - see note)</t>
  </si>
  <si>
    <t>Flexi-N NI only</t>
  </si>
  <si>
    <t>Urease/nitrification inhibitor</t>
  </si>
  <si>
    <t>Nutri-Tech Solutions (NTS)</t>
  </si>
  <si>
    <t>Muriate Of Potash MOP</t>
  </si>
  <si>
    <t>Nuturf</t>
  </si>
  <si>
    <t>MAP NUTURF</t>
  </si>
  <si>
    <t>Quick-N</t>
  </si>
  <si>
    <t>SLTEC Fertilizers</t>
  </si>
  <si>
    <t>UAS</t>
  </si>
  <si>
    <t>Triazone Urea</t>
  </si>
  <si>
    <t>Marnco [listed as SLTEC]</t>
  </si>
  <si>
    <t>Ammo 36N</t>
  </si>
  <si>
    <t>Risso Liquid NPK (200-200-200)</t>
  </si>
  <si>
    <t>Turf Group Australia (Simplot)</t>
  </si>
  <si>
    <t>Super Cal 15-0-12</t>
  </si>
  <si>
    <t>CK 88</t>
  </si>
  <si>
    <t>CropLift 15</t>
  </si>
  <si>
    <t>NPKS 19-13-0-9</t>
  </si>
  <si>
    <t>PastureBoosta</t>
  </si>
  <si>
    <t>Greentop K</t>
  </si>
  <si>
    <t>HayBoosta</t>
  </si>
  <si>
    <t>Impact Super Potash 1&amp;1</t>
  </si>
  <si>
    <t>Impact Super Potash 2&amp;1</t>
  </si>
  <si>
    <t>Impact Super Potash 3&amp;1</t>
  </si>
  <si>
    <t>Impact Super Potash 4&amp;1</t>
  </si>
  <si>
    <t>Impact Super Potash 5&amp;1</t>
  </si>
  <si>
    <t>Pacific Fertiliser / Incitec Pivot Fertilisers</t>
  </si>
  <si>
    <t>Cal-Gran</t>
  </si>
  <si>
    <t>Cal-Gran 50/50 (S)</t>
  </si>
  <si>
    <t>Cal-Gran 130</t>
  </si>
  <si>
    <t>Cal-Gran 150</t>
  </si>
  <si>
    <t>Cal-Gran Extra K</t>
  </si>
  <si>
    <t>Dairy Pro</t>
  </si>
  <si>
    <t>YaraMila ACTYVA S</t>
  </si>
  <si>
    <t>CSBP</t>
  </si>
  <si>
    <t>Agflow Extra</t>
  </si>
  <si>
    <t>No data</t>
  </si>
  <si>
    <t>Super &amp; Potash 3:1</t>
  </si>
  <si>
    <t>Yara</t>
  </si>
  <si>
    <t>YaraBela CAN-27</t>
  </si>
  <si>
    <t>Cal-Gran Aftergraze</t>
  </si>
  <si>
    <t>Cal-Gran Prodress</t>
  </si>
  <si>
    <t>Wengfu Australia</t>
  </si>
  <si>
    <t>Wengfu PrimeZinc 10</t>
  </si>
  <si>
    <t>Wengfu Pasture King</t>
  </si>
  <si>
    <t>Wengfu SuStain</t>
  </si>
  <si>
    <t>Wengfu Slam</t>
  </si>
  <si>
    <t>Wengfu Prime MSZ</t>
  </si>
  <si>
    <t>Wengfu 9-20-0-10 MAP SuStain</t>
  </si>
  <si>
    <t>Wengfu 15-17-0-15 DAP SuStain</t>
  </si>
  <si>
    <t>Wengfu 16-18-0-10 DAP SuStain</t>
  </si>
  <si>
    <t>Wengfu 5-15-0-6 Fast Start Legume</t>
  </si>
  <si>
    <t>Wengfu 9-20-0-10 PrimeZinc</t>
  </si>
  <si>
    <t>Wengfu 12-18-0-6 PrimeZinc</t>
  </si>
  <si>
    <t>Wengfu 14-13-0-11 PrimeZinc</t>
  </si>
  <si>
    <t>Wengfu 19-13-0-7 PrimeZinc</t>
  </si>
  <si>
    <t>Wengfu Booster K</t>
  </si>
  <si>
    <t>Wengfu Booster Rich 1</t>
  </si>
  <si>
    <t>Wengfu Booster Grass DAP</t>
  </si>
  <si>
    <t>Wengfu Aftergraze</t>
  </si>
  <si>
    <t>Wengfu Sidedress</t>
  </si>
  <si>
    <t>Wengfu Pasture Booster</t>
  </si>
  <si>
    <t>Wengfu DAP Hay Booster</t>
  </si>
  <si>
    <t>Wengfu MAP Hay Booster</t>
  </si>
  <si>
    <t>Wengfu Fodder Booster</t>
  </si>
  <si>
    <t>K-Till Extra</t>
  </si>
  <si>
    <t>Agras Extra</t>
  </si>
  <si>
    <t>Cobalt</t>
  </si>
  <si>
    <t>Super Copper Zinc Moly</t>
  </si>
  <si>
    <t>Flexi-N</t>
  </si>
  <si>
    <t>Fuel scope 1 and 3 emission factors - Transport</t>
  </si>
  <si>
    <t>Direct (scope 1) and indirect (scope 3) emission factors for the consumption of transport fuels in different transport equipment</t>
  </si>
  <si>
    <t>Australian National Greenhouse Accounts Factors 2025 - Table 9</t>
  </si>
  <si>
    <t>Gasoline</t>
  </si>
  <si>
    <t>kl</t>
  </si>
  <si>
    <t>Diesel oil</t>
  </si>
  <si>
    <t>NE</t>
  </si>
  <si>
    <t>Light duty vehicles</t>
  </si>
  <si>
    <t>Compressed natural gas</t>
  </si>
  <si>
    <t>m3</t>
  </si>
  <si>
    <t>Liquefied natural gas</t>
  </si>
  <si>
    <t>Heavy duty vehicles</t>
  </si>
  <si>
    <t>Diesel oil - Euro iv or higher</t>
  </si>
  <si>
    <t>Diesel oil - Euro iii</t>
  </si>
  <si>
    <t>Diesel oil - Euro i</t>
  </si>
  <si>
    <t>Gasoline for use as fuel in an aircraft</t>
  </si>
  <si>
    <t>Kerosene for use as fuel in an aircraft</t>
  </si>
  <si>
    <t>Fuel Oil</t>
  </si>
  <si>
    <t>Fuel scope 1 and 3 emission factors - Off-road equipment and vessels</t>
  </si>
  <si>
    <t>VEERG 2026: Table A.4.2.1</t>
  </si>
  <si>
    <t>Vessel</t>
  </si>
  <si>
    <t>Fuel scope 1 and 3 emission factors - Stationary liquid fuels</t>
  </si>
  <si>
    <t>Direct (Scope 1) and indirect (scope 3) emission factors for the consumption of liquid fuels, including certain petroleum based products for stationary energy purposes.</t>
  </si>
  <si>
    <t>Australian National Greenhouse Accounts Factors 2025 - Table 8</t>
  </si>
  <si>
    <t>Petroleum based oils (other than petroleum based oil used as fuel), e.g. lubricants</t>
  </si>
  <si>
    <t>Petroleum based greases</t>
  </si>
  <si>
    <t>Crude oil including crude oil condensates</t>
  </si>
  <si>
    <t>t</t>
  </si>
  <si>
    <t>Other natural gas liquids</t>
  </si>
  <si>
    <t>Automotive gasoline / petrol (other than for use as fuel in an aircraft)</t>
  </si>
  <si>
    <t>Aviation gasoline</t>
  </si>
  <si>
    <t>Kerosene (other than for use as fuel in an aircraft)</t>
  </si>
  <si>
    <t>Aviation turbine fuel / kerosene</t>
  </si>
  <si>
    <t>Heating oil</t>
  </si>
  <si>
    <t>Liquefied aromatic hydrocarbons</t>
  </si>
  <si>
    <t>Solvents: mineral turpentine or white spirits</t>
  </si>
  <si>
    <t>Naphtha</t>
  </si>
  <si>
    <t>Petroleum coke</t>
  </si>
  <si>
    <t>Refinery gas and liquids</t>
  </si>
  <si>
    <t>Refinery coke</t>
  </si>
  <si>
    <t>Petroleum based products other than mentioned in the items above</t>
  </si>
  <si>
    <t>Ethanol for use as a fuel in an internal combustion engine</t>
  </si>
  <si>
    <t>Biofuels other than those mentioned in the items above and below</t>
  </si>
  <si>
    <t>Fuel scope 1 emission factors - Stationary gaseous fuels</t>
  </si>
  <si>
    <t xml:space="preserve">Direct (Scope 1) emission factors for the consumption of gaseous fuels including liquefied natural gas  </t>
  </si>
  <si>
    <t>Australian National Greenhouse Accounts Factors 2025 - Table 5</t>
  </si>
  <si>
    <t>Natural gas distributed in a pipeline</t>
  </si>
  <si>
    <t>Coal seam methane that is captured for combustion</t>
  </si>
  <si>
    <t>Coal mine waste gas that is captured for combustion</t>
  </si>
  <si>
    <t>Compressed natural gas(reverting to standard conditions)</t>
  </si>
  <si>
    <t>Unprocessed natural gas</t>
  </si>
  <si>
    <t>Ethane</t>
  </si>
  <si>
    <t>Coke oven gas</t>
  </si>
  <si>
    <t>Blast furnace gas</t>
  </si>
  <si>
    <t>Town gas</t>
  </si>
  <si>
    <t>Gaseous fossil fuels other than those mentioned in the items above</t>
  </si>
  <si>
    <t>Landfill biogas that is captured for combustion (methane only)</t>
  </si>
  <si>
    <t>Sludge biogas that is captured for combustion (methane only)</t>
  </si>
  <si>
    <t>A biogas that is captured for combustion, other than those mentioned in the items above</t>
  </si>
  <si>
    <t>Biomethane</t>
  </si>
  <si>
    <t>Hydrogen</t>
  </si>
  <si>
    <t>Natural gas distributed in a pipeline - Gigajoules</t>
  </si>
  <si>
    <t>Town gas - Gigajoules</t>
  </si>
  <si>
    <t>Fuel scope 3 emission factors - Stationary gaseous fuels</t>
  </si>
  <si>
    <t>Indirect (Scope 3) emission factors for the consumption of natural gas.</t>
  </si>
  <si>
    <t>Australian National Greenhouse Accounts Factors 2025 - Table 6</t>
  </si>
  <si>
    <t>New South Wales</t>
  </si>
  <si>
    <t>-</t>
  </si>
  <si>
    <t>Column1</t>
  </si>
  <si>
    <t>As Scope 3 factors are calculated at the point where natural gas is delivered to end users, it is necessary to calculate consumption at each of the load centres.</t>
  </si>
  <si>
    <t>Gas reaches end users either from the metro distribution networks or direct from the high - pressure distribution pipelines.</t>
  </si>
  <si>
    <t>Households and commercial users tend to be served by the former, and electricity generators and large industrial plants from the latter.</t>
  </si>
  <si>
    <t>Metro is defined as located on or east of the dividing range in NSW, including Canberra and Queanbeyan, Melbourne, Brisbane, Adelaide or Perth.</t>
  </si>
  <si>
    <t>Otherwise, the non - metro factor should be used.</t>
  </si>
  <si>
    <t>Factors are calculated for all natural gas distributed in a pipeline which may include coal seam methane.</t>
  </si>
  <si>
    <t>Table 6 is not applicable to ethane. See Table 7 Indirect (Scope 3) emissions from the consumption of ethane.</t>
  </si>
  <si>
    <t>C = Confidential. Scope 3 emission factors for Tasmania and the Northern Territory are not available due to confidentiality constraints that arise</t>
  </si>
  <si>
    <t>from the use of a limited number of NGER data inputs. It is suggested that for Tasmania the use of the Victorian emission factors is appropriate,</t>
  </si>
  <si>
    <t>while for Northern Territory the use of the Western Australian emission factors is appropriate.</t>
  </si>
  <si>
    <t>Scope 3 emission factors do not include fugitive emission leakage from low pressure natural gas distribution pipeline networks while those from high pressure</t>
  </si>
  <si>
    <t>gas networks are considered negligible.</t>
  </si>
  <si>
    <t>ACT</t>
  </si>
  <si>
    <t>Victoria</t>
  </si>
  <si>
    <t>Queensland</t>
  </si>
  <si>
    <t>South Australia</t>
  </si>
  <si>
    <t>Tasmania</t>
  </si>
  <si>
    <t>Northern Territory</t>
  </si>
  <si>
    <t>Australian states and territories</t>
  </si>
  <si>
    <t>NSW</t>
  </si>
  <si>
    <t>Australian Capital Territory</t>
  </si>
  <si>
    <t>VIC</t>
  </si>
  <si>
    <t>QLD</t>
  </si>
  <si>
    <t>SA</t>
  </si>
  <si>
    <t>WA</t>
  </si>
  <si>
    <t>TAS</t>
  </si>
  <si>
    <t>NT</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</si>
  <si>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</si>
  <si>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</si>
  <si>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</si>
  <si>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</si>
  <si>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</si>
  <si>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</si>
  <si>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</si>
  <si>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</si>
  <si>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</si>
  <si>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</si>
  <si>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</si>
  <si>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</si>
  <si>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</si>
  <si>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</si>
  <si>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</si>
  <si>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</si>
  <si>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</si>
  <si>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</si>
  <si>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</si>
  <si>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</si>
  <si>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</si>
  <si>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</si>
  <si>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</si>
  <si>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</si>
  <si>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</si>
  <si>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</si>
  <si>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</si>
  <si>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</si>
  <si>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</si>
  <si>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</si>
  <si>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</si>
  <si>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</si>
  <si>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</si>
  <si>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</si>
  <si>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</si>
  <si>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</si>
  <si>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</si>
  <si>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</si>
  <si>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</si>
  <si>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</si>
  <si>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</si>
  <si>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</si>
  <si>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</si>
  <si>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</si>
  <si>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</si>
  <si>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</si>
  <si>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</si>
  <si>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</si>
  <si>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</si>
  <si>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</si>
  <si>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</si>
  <si>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</si>
  <si>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</si>
  <si>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</si>
  <si>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</si>
  <si>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</si>
  <si>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</si>
  <si>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</si>
  <si>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</si>
  <si>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</si>
  <si>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</si>
  <si>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</si>
  <si>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</si>
  <si>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</si>
  <si>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</si>
  <si>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</si>
  <si>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</si>
  <si>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</si>
  <si>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</si>
  <si>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</si>
  <si>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</si>
  <si>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</si>
  <si>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</si>
  <si>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</si>
  <si>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</si>
  <si>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</si>
  <si>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</si>
  <si>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</si>
  <si>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</si>
  <si>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</si>
  <si>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</si>
  <si>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</si>
  <si>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</si>
  <si>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</si>
  <si>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</si>
  <si>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</si>
  <si>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</si>
  <si>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</si>
  <si>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</si>
  <si>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</si>
  <si>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</si>
  <si>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</si>
  <si>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</si>
  <si>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</si>
  <si>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</si>
  <si>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</si>
  <si>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</si>
  <si>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</si>
  <si>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</si>
  <si>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</si>
  <si>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</si>
  <si>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</si>
  <si>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</si>
  <si>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</si>
  <si>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</si>
  <si>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</si>
  <si>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</si>
  <si>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</si>
  <si>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</si>
  <si>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</si>
  <si>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</si>
  <si>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Non-irrigated pasture</t>
  </si>
  <si>
    <t>Non-irrigated crop (low rainfall)</t>
  </si>
  <si>
    <t>Non-irrigated crop (high rainfall)</t>
  </si>
  <si>
    <t>Sugar</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</si>
  <si>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</si>
  <si>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</si>
  <si>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</si>
  <si>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</si>
  <si>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</si>
  <si>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</si>
  <si>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</si>
  <si>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</si>
  <si>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</si>
  <si>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</si>
  <si>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</si>
  <si>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</si>
  <si>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</si>
  <si>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</si>
  <si>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</si>
  <si>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</si>
  <si>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</si>
  <si>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</si>
  <si>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</si>
  <si>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</si>
  <si>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</si>
  <si>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</si>
  <si>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</si>
  <si>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</si>
  <si>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</si>
  <si>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</si>
  <si>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</si>
  <si>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</si>
  <si>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</si>
  <si>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</si>
  <si>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</si>
  <si>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</si>
  <si>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</si>
  <si>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</si>
  <si>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Emission factor for organic fertiliser and crop residues returned to the soil</t>
  </si>
  <si>
    <t>VEERG 2026: Table A.2.1.4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</si>
</sst>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C09]dd\-mmmm\-yyyy;@"/>
    <numFmt numFmtId="165" formatCode="d/mm/yyyy;@"/>
    <numFmt numFmtId="166" formatCode="0.000000E+00"/>
    <numFmt numFmtId="167" formatCode="0.00000"/>
    <numFmt numFmtId="168" formatCode="#,##0.000"/>
    <numFmt numFmtId="169" formatCode="#,##0.000000"/>
    <numFmt numFmtId="170" formatCode="0.000"/>
    <numFmt numFmtId="171" formatCode="_-* #,##0_-;\-* #,##0_-;_-* &quot;-&quot;??_-;_-@_-"/>
  </numFmts>
  <fonts count="63" x14ac:knownFonts="1">
    <font>
      <sz val="10"/>
      <color theme="1"/>
      <name val="Arial"/>
      <family val="2"/>
    </font>
    <font>
      <b/>
      <sz val="10"/>
      <color theme="1"/>
      <name val="Arial"/>
      <family val="1"/>
    </font>
    <font>
      <i/>
      <sz val="10"/>
      <color theme="1"/>
      <name val="Arial"/>
      <family val="1"/>
    </font>
    <font>
      <b/>
      <sz val="16"/>
      <color theme="1"/>
      <name val="Arial"/>
      <family val="1"/>
    </font>
    <font>
      <b/>
      <sz val="10"/>
      <color theme="1" tint="0.14999847407452621"/>
      <name val="Arial"/>
      <family val="1"/>
    </font>
    <font>
      <sz val="10"/>
      <color theme="1" tint="0.14999847407452621"/>
      <name val="Arial"/>
      <family val="1"/>
    </font>
    <font>
      <sz val="9"/>
      <color theme="1" tint="0.34998626667073579"/>
      <name val="Arial"/>
      <family val="1"/>
    </font>
    <font>
      <b/>
      <sz val="18"/>
      <color rgb="FF183C1B"/>
      <name val="Arial"/>
      <family val="1"/>
    </font>
    <font>
      <i/>
      <sz val="10"/>
      <color theme="1" tint="0.499984740745262"/>
      <name val="Arial"/>
      <family val="1"/>
    </font>
    <font>
      <sz val="10"/>
      <color theme="1"/>
      <name val="Aptos Narrow"/>
      <family val="2"/>
      <scheme val="minor"/>
    </font>
    <font>
      <b/>
      <sz val="14"/>
      <color theme="0"/>
      <name val="Arial"/>
      <family val="1"/>
    </font>
    <font>
      <sz val="10"/>
      <color theme="1" tint="0.24994659260841701"/>
      <name val="Arial"/>
      <family val="1"/>
    </font>
    <font>
      <sz val="16"/>
      <color theme="1" tint="0.14996795556505021"/>
      <name val="Arial"/>
      <family val="1"/>
    </font>
    <font>
      <sz val="10"/>
      <color rgb="FF008000"/>
      <name val="Arial"/>
      <family val="1"/>
    </font>
    <font>
      <sz val="10"/>
      <color rgb="FFC44340"/>
      <name val="Arial"/>
      <family val="1"/>
    </font>
    <font>
      <i/>
      <sz val="10"/>
      <color theme="1" tint="0.34998626667073579"/>
      <name val="Arial"/>
      <family val="1"/>
    </font>
    <font>
      <b/>
      <sz val="18"/>
      <color rgb="FFCC6600"/>
      <name val="Arial"/>
      <family val="1"/>
    </font>
    <font>
      <b/>
      <sz val="10"/>
      <color rgb="FF533001"/>
      <name val="Arial"/>
      <family val="1"/>
    </font>
    <font>
      <sz val="9"/>
      <color theme="1" tint="0.249977111117893"/>
      <name val="Arial"/>
      <family val="1"/>
    </font>
    <font>
      <sz val="9"/>
      <color rgb="FF404040"/>
      <name val="Arial"/>
      <family val="1"/>
    </font>
    <font>
      <sz val="10"/>
      <color theme="0"/>
      <name val="Arial"/>
      <family val="1"/>
    </font>
    <font>
      <u/>
      <sz val="10"/>
      <color theme="10"/>
      <name val="Arial"/>
      <family val="2"/>
    </font>
    <font>
      <sz val="10"/>
      <color theme="1"/>
      <name val="Arial"/>
      <family val="2"/>
    </font>
    <font>
      <sz val="10"/>
      <color theme="1" tint="0.34998626667073579"/>
      <name val="Arial"/>
      <family val="1"/>
    </font>
    <font>
      <sz val="10"/>
      <color rgb="FF0070C0"/>
      <name val="Arial"/>
      <family val="1"/>
    </font>
    <font>
      <sz val="10"/>
      <name val="Arial"/>
      <family val="1"/>
    </font>
    <font>
      <sz val="9"/>
      <color rgb="FFCC6600"/>
      <name val="Arial"/>
      <family val="1"/>
    </font>
    <font>
      <sz val="12"/>
      <color theme="1" tint="0.34998626667073579"/>
      <name val="Arial"/>
      <family val="1"/>
    </font>
    <font>
      <sz val="10"/>
      <color theme="1"/>
      <name val="Arial"/>
      <family val="1"/>
    </font>
    <font>
      <sz val="9"/>
      <color rgb="FF008000"/>
      <name val="Arial"/>
      <family val="1"/>
    </font>
    <font>
      <b/>
      <sz val="9"/>
      <color theme="1" tint="0.14999847407452621"/>
      <name val="Arial"/>
      <family val="1"/>
    </font>
    <font>
      <b/>
      <sz val="10"/>
      <color theme="1" tint="0.24994659260841701"/>
      <name val="Arial"/>
      <family val="1"/>
    </font>
    <font>
      <b/>
      <sz val="10"/>
      <color rgb="FFCC6600"/>
      <name val="Arial"/>
      <family val="1"/>
    </font>
    <font>
      <b/>
      <vertAlign val="subscript"/>
      <sz val="10"/>
      <color rgb="FF533001"/>
      <name val="Arial"/>
      <family val="1"/>
    </font>
    <font>
      <b/>
      <i/>
      <sz val="10"/>
      <color rgb="FFCC6600"/>
      <name val="Arial"/>
      <family val="1"/>
    </font>
    <font>
      <sz val="9"/>
      <color theme="1" tint="0.499984740745262"/>
      <name val="Courier New"/>
      <family val="3"/>
    </font>
    <font>
      <b/>
      <sz val="10"/>
      <color theme="0" tint="-0.499984740745262"/>
      <name val="Arial"/>
      <family val="1"/>
    </font>
    <font>
      <sz val="9"/>
      <color theme="0" tint="-0.499984740745262"/>
      <name val="Arial"/>
      <family val="1"/>
    </font>
    <font>
      <b/>
      <sz val="10"/>
      <color rgb="FF183C1B"/>
      <name val="Arial"/>
      <family val="1"/>
    </font>
    <font>
      <i/>
      <sz val="9"/>
      <color theme="5" tint="-0.499984740745262"/>
      <name val="Arial"/>
      <family val="1"/>
    </font>
    <font>
      <i/>
      <sz val="9"/>
      <color theme="6" tint="-0.499984740745262"/>
      <name val="Arial"/>
      <family val="1"/>
    </font>
    <font>
      <u/>
      <sz val="9"/>
      <color theme="1" tint="0.34998626667073579"/>
      <name val="Arial"/>
      <family val="1"/>
    </font>
    <font>
      <b/>
      <vertAlign val="subscript"/>
      <sz val="10"/>
      <color rgb="FF183C1B"/>
      <name val="Arial"/>
      <family val="1"/>
    </font>
    <font>
      <b/>
      <vertAlign val="subscript"/>
      <sz val="10"/>
      <color theme="1" tint="0.24994659260841701"/>
      <name val="Arial"/>
      <family val="1"/>
    </font>
    <font>
      <b/>
      <sz val="14"/>
      <color theme="1" tint="0.24994659260841701"/>
      <name val="Arial"/>
      <family val="1"/>
    </font>
    <font>
      <b/>
      <vertAlign val="subscript"/>
      <sz val="14"/>
      <color theme="1" tint="0.24994659260841701"/>
      <name val="Arial"/>
      <family val="1"/>
    </font>
    <font>
      <sz val="14"/>
      <color theme="1" tint="0.24994659260841701"/>
      <name val="Arial"/>
      <family val="1"/>
    </font>
    <font>
      <i/>
      <sz val="14"/>
      <color theme="1" tint="0.34998626667073579"/>
      <name val="Arial"/>
      <family val="1"/>
    </font>
    <font>
      <vertAlign val="subscript"/>
      <sz val="10"/>
      <color theme="1" tint="0.24994659260841701"/>
      <name val="Arial"/>
      <family val="1"/>
    </font>
    <font>
      <sz val="9"/>
      <name val="Arial"/>
      <family val="1"/>
    </font>
    <font>
      <sz val="9"/>
      <color theme="1" tint="0.34998626667073579"/>
      <name val="Arial"/>
      <family val="2"/>
    </font>
    <font>
      <b/>
      <sz val="9"/>
      <color theme="1" tint="0.34998626667073579"/>
      <name val="Arial"/>
      <family val="1"/>
    </font>
    <font>
      <sz val="10"/>
      <color theme="0" tint="-4.9989318521683403E-2"/>
      <name val="Arial"/>
      <family val="1"/>
    </font>
    <font>
      <sz val="14"/>
      <name val="Arial"/>
      <family val="1"/>
    </font>
    <font>
      <sz val="9"/>
      <color theme="1"/>
      <name val="Arial"/>
      <family val="2"/>
    </font>
    <font>
      <b/>
      <sz val="9"/>
      <name val="Arial"/>
      <family val="1"/>
    </font>
    <font>
      <i/>
      <sz val="10"/>
      <color rgb="FFCC6600"/>
      <name val="Arial"/>
      <family val="1"/>
    </font>
    <font>
      <i/>
      <sz val="9"/>
      <color theme="1" tint="0.34998626667073579"/>
      <name val="Arial"/>
      <family val="1"/>
    </font>
    <font>
      <b/>
      <sz val="10"/>
      <color rgb="FF0070C0"/>
      <name val="Arial"/>
      <family val="1"/>
    </font>
    <font>
      <sz val="10"/>
      <color theme="1" tint="0.14996795556505021"/>
      <name val="Arial"/>
      <family val="1"/>
    </font>
    <font>
      <b/>
      <sz val="10"/>
      <color theme="1" tint="0.249977111117893"/>
      <name val="Arial"/>
      <family val="1"/>
    </font>
    <font>
      <sz val="10"/>
      <color theme="1" tint="0.249977111117893"/>
      <name val="Arial"/>
      <family val="1"/>
    </font>
    <font>
      <sz val="10"/>
      <color rgb="FF242424"/>
      <name val="Consolas"/>
      <family val="3"/>
    </font>
  </fonts>
  <fills count="15">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533001"/>
        <bgColor indexed="64"/>
      </patternFill>
    </fill>
    <fill>
      <patternFill patternType="solid">
        <fgColor rgb="FFFFCC66"/>
        <bgColor indexed="64"/>
      </patternFill>
    </fill>
    <fill>
      <gradientFill degree="90">
        <stop position="0">
          <color theme="0"/>
        </stop>
        <stop position="1">
          <color theme="0" tint="-5.0965910824915313E-2"/>
        </stop>
      </gradientFill>
    </fill>
    <fill>
      <patternFill patternType="solid">
        <fgColor theme="0"/>
        <bgColor indexed="64"/>
      </patternFill>
    </fill>
    <fill>
      <patternFill patternType="solid">
        <fgColor theme="1" tint="0.499984740745262"/>
        <bgColor indexed="64"/>
      </patternFill>
    </fill>
    <fill>
      <patternFill patternType="solid">
        <fgColor theme="3" tint="0.89996032593768116"/>
        <bgColor indexed="64"/>
      </patternFill>
    </fill>
    <fill>
      <patternFill patternType="solid">
        <fgColor rgb="FFCC6600"/>
        <bgColor indexed="64"/>
      </patternFill>
    </fill>
    <fill>
      <patternFill patternType="solid">
        <fgColor rgb="FFB2D498"/>
        <bgColor indexed="64"/>
      </patternFill>
    </fill>
    <fill>
      <patternFill patternType="solid">
        <fgColor theme="9" tint="0.59999389629810485"/>
        <bgColor indexed="64"/>
      </patternFill>
    </fill>
    <fill>
      <patternFill patternType="solid">
        <fgColor rgb="FFDCECD0"/>
        <bgColor indexed="64"/>
      </patternFill>
    </fill>
    <fill>
      <patternFill patternType="solid">
        <fgColor rgb="FF008000"/>
        <bgColor indexed="64"/>
      </patternFill>
    </fill>
  </fills>
  <borders count="2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indexed="64"/>
      </top>
      <bottom/>
      <diagonal/>
    </border>
    <border>
      <left/>
      <right/>
      <top style="thin">
        <color theme="0" tint="-0.34998626667073579"/>
      </top>
      <bottom style="thin">
        <color theme="0" tint="-0.34998626667073579"/>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1" tint="0.499984740745262"/>
      </top>
      <bottom/>
      <diagonal/>
    </border>
  </borders>
  <cellStyleXfs count="51">
    <xf numFmtId="0" fontId="0" fillId="0" borderId="0"/>
    <xf numFmtId="0" fontId="4" fillId="2" borderId="0">
      <alignment horizontal="left" vertical="center"/>
    </xf>
    <xf numFmtId="164" fontId="5" fillId="0" borderId="1">
      <alignment horizontal="center" vertical="center"/>
    </xf>
    <xf numFmtId="3" fontId="6" fillId="2" borderId="1">
      <alignment horizontal="center" vertical="center"/>
    </xf>
    <xf numFmtId="0" fontId="7" fillId="0" borderId="0"/>
    <xf numFmtId="0" fontId="8" fillId="0" borderId="0">
      <alignment vertical="center"/>
    </xf>
    <xf numFmtId="0" fontId="9" fillId="0" borderId="0"/>
    <xf numFmtId="0" fontId="10" fillId="3" borderId="0">
      <alignment vertical="center"/>
    </xf>
    <xf numFmtId="0" fontId="11" fillId="2" borderId="0">
      <alignment horizontal="left" vertical="center"/>
    </xf>
    <xf numFmtId="0" fontId="12" fillId="2" borderId="0">
      <alignment horizontal="left" vertical="center"/>
    </xf>
    <xf numFmtId="0" fontId="13" fillId="2" borderId="0">
      <alignment vertical="center"/>
    </xf>
    <xf numFmtId="0" fontId="14" fillId="2" borderId="0">
      <alignment horizontal="left" vertical="center"/>
    </xf>
    <xf numFmtId="0" fontId="15" fillId="2" borderId="0">
      <alignment horizontal="left" vertical="center"/>
    </xf>
    <xf numFmtId="0" fontId="16" fillId="0" borderId="0"/>
    <xf numFmtId="0" fontId="10" fillId="4" borderId="0">
      <alignment vertical="center"/>
    </xf>
    <xf numFmtId="0" fontId="17" fillId="5" borderId="0">
      <alignment horizontal="center" vertical="center"/>
      <protection locked="0"/>
    </xf>
    <xf numFmtId="0" fontId="5" fillId="0" borderId="1">
      <alignment horizontal="center" vertical="center"/>
    </xf>
    <xf numFmtId="0" fontId="4" fillId="6" borderId="1">
      <alignment horizontal="center" vertical="center"/>
    </xf>
    <xf numFmtId="0" fontId="6" fillId="2" borderId="1">
      <alignment horizontal="center" vertical="center"/>
    </xf>
    <xf numFmtId="0" fontId="5" fillId="0" borderId="0">
      <alignment horizontal="left" vertical="center" indent="1"/>
    </xf>
    <xf numFmtId="0" fontId="18" fillId="7" borderId="2">
      <alignment horizontal="left" vertical="center" indent="1"/>
    </xf>
    <xf numFmtId="0" fontId="20" fillId="8" borderId="0">
      <alignment horizontal="left" vertical="center" indent="1"/>
    </xf>
    <xf numFmtId="0" fontId="21" fillId="0" borderId="0" applyNumberFormat="0" applyFill="0" applyBorder="0" applyAlignment="0" applyProtection="0"/>
    <xf numFmtId="43" fontId="22" fillId="0" borderId="0" applyFont="0" applyFill="0" applyBorder="0" applyAlignment="0" applyProtection="0"/>
    <xf numFmtId="9" fontId="22" fillId="0" borderId="0" applyFont="0" applyFill="0" applyBorder="0" applyAlignment="0" applyProtection="0"/>
    <xf numFmtId="0" fontId="15" fillId="2" borderId="0">
      <alignment horizontal="left" vertical="center" indent="1"/>
    </xf>
    <xf numFmtId="0" fontId="5" fillId="0" borderId="1">
      <alignment horizontal="center" vertical="center"/>
    </xf>
    <xf numFmtId="0" fontId="24" fillId="9" borderId="3">
      <alignment horizontal="left" vertical="center"/>
    </xf>
    <xf numFmtId="0" fontId="20" fillId="10" borderId="0">
      <alignment horizontal="left" vertical="center" indent="1"/>
    </xf>
    <xf numFmtId="0" fontId="27" fillId="2" borderId="0">
      <alignment horizontal="left" vertical="center"/>
    </xf>
    <xf numFmtId="0" fontId="22" fillId="0" borderId="0"/>
    <xf numFmtId="4" fontId="5" fillId="0" borderId="1">
      <alignment horizontal="center" vertical="center"/>
    </xf>
    <xf numFmtId="0" fontId="22" fillId="0" borderId="0"/>
    <xf numFmtId="9" fontId="5" fillId="0" borderId="1">
      <alignment horizontal="center" vertical="center"/>
    </xf>
    <xf numFmtId="0" fontId="32" fillId="2" borderId="0">
      <alignment horizontal="left" vertical="center"/>
    </xf>
    <xf numFmtId="0" fontId="35" fillId="2" borderId="0">
      <alignment horizontal="left" vertical="center"/>
    </xf>
    <xf numFmtId="0" fontId="36" fillId="2" borderId="0">
      <alignment horizontal="left" vertical="center"/>
    </xf>
    <xf numFmtId="0" fontId="37" fillId="2" borderId="0">
      <alignment horizontal="left" vertical="center"/>
    </xf>
    <xf numFmtId="0" fontId="38" fillId="11" borderId="0">
      <alignment horizontal="center" vertical="center"/>
    </xf>
    <xf numFmtId="0" fontId="39" fillId="12" borderId="1">
      <alignment horizontal="center" vertical="center"/>
    </xf>
    <xf numFmtId="0" fontId="40" fillId="13" borderId="1">
      <alignment horizontal="center" vertical="center"/>
    </xf>
    <xf numFmtId="0" fontId="41" fillId="2" borderId="1">
      <alignment horizontal="left" vertical="center"/>
    </xf>
    <xf numFmtId="0" fontId="20" fillId="14" borderId="0">
      <alignment horizontal="left" vertical="center" indent="1"/>
    </xf>
    <xf numFmtId="0" fontId="6" fillId="2" borderId="1">
      <alignment horizontal="left" vertical="center"/>
    </xf>
    <xf numFmtId="0" fontId="38" fillId="11" borderId="0">
      <alignment horizontal="left" vertical="center" indent="1"/>
      <protection locked="0"/>
    </xf>
    <xf numFmtId="4" fontId="6" fillId="2" borderId="1">
      <alignment horizontal="center" vertical="center"/>
    </xf>
    <xf numFmtId="0" fontId="50" fillId="2" borderId="0" applyNumberFormat="0">
      <alignment horizontal="center" vertical="center"/>
    </xf>
    <xf numFmtId="0" fontId="52" fillId="2" borderId="0">
      <alignment horizontal="left" vertical="center"/>
    </xf>
    <xf numFmtId="0" fontId="56" fillId="2" borderId="0">
      <alignment vertical="center"/>
    </xf>
    <xf numFmtId="170" fontId="59" fillId="2" borderId="28">
      <alignment horizontal="center" vertical="center"/>
    </xf>
    <xf numFmtId="3" fontId="5" fillId="0" borderId="1">
      <alignment horizontal="center" vertical="center"/>
    </xf>
  </cellStyleXfs>
  <cellXfs count="209">
    <xf numFmtId="0" fontId="0" fillId="0" borderId="0" xfId="0"/>
    <xf numFmtId="0" fontId="1" fillId="0" borderId="0" xfId="0" applyFont="1"/>
    <xf numFmtId="0" fontId="2" fillId="0" borderId="0" xfId="0" applyFont="1"/>
    <xf numFmtId="15" fontId="0" fillId="0" borderId="0" xfId="0" applyNumberFormat="1"/>
    <xf numFmtId="0" fontId="3" fillId="0" borderId="0" xfId="0" applyFont="1"/>
    <xf numFmtId="0" fontId="5" fillId="2" borderId="0" xfId="1" applyFont="1">
      <alignment horizontal="left" vertical="center"/>
    </xf>
    <xf numFmtId="164" fontId="5" fillId="0" borderId="1" xfId="2">
      <alignment horizontal="center" vertical="center"/>
    </xf>
    <xf numFmtId="165" fontId="6" fillId="2" borderId="1" xfId="3" applyNumberFormat="1">
      <alignment horizontal="center" vertical="center"/>
    </xf>
    <xf numFmtId="0" fontId="7" fillId="0" borderId="0" xfId="4"/>
    <xf numFmtId="0" fontId="8" fillId="0" borderId="0" xfId="5">
      <alignment vertical="center"/>
    </xf>
    <xf numFmtId="0" fontId="9" fillId="0" borderId="0" xfId="6"/>
    <xf numFmtId="0" fontId="4" fillId="0" borderId="0" xfId="1" applyFill="1">
      <alignment horizontal="left" vertical="center"/>
    </xf>
    <xf numFmtId="0" fontId="10" fillId="3" borderId="0" xfId="7">
      <alignment vertical="center"/>
    </xf>
    <xf numFmtId="0" fontId="10" fillId="0" borderId="0" xfId="7" applyFill="1">
      <alignment vertical="center"/>
    </xf>
    <xf numFmtId="0" fontId="4" fillId="2" borderId="0" xfId="1">
      <alignment horizontal="left" vertical="center"/>
    </xf>
    <xf numFmtId="0" fontId="11" fillId="2" borderId="0" xfId="8">
      <alignment horizontal="left" vertical="center"/>
    </xf>
    <xf numFmtId="0" fontId="12" fillId="2" borderId="0" xfId="9">
      <alignment horizontal="left" vertical="center"/>
    </xf>
    <xf numFmtId="0" fontId="0" fillId="0" borderId="0" xfId="8" applyFont="1" applyFill="1">
      <alignment horizontal="left" vertical="center"/>
    </xf>
    <xf numFmtId="0" fontId="13" fillId="2" borderId="0" xfId="10">
      <alignment vertical="center"/>
    </xf>
    <xf numFmtId="0" fontId="14" fillId="2" borderId="0" xfId="11">
      <alignment horizontal="left" vertical="center"/>
    </xf>
    <xf numFmtId="0" fontId="15" fillId="2" borderId="0" xfId="12">
      <alignment horizontal="left" vertical="center"/>
    </xf>
    <xf numFmtId="0" fontId="9" fillId="2" borderId="0" xfId="6" applyFill="1"/>
    <xf numFmtId="0" fontId="0" fillId="0" borderId="0" xfId="1" applyFont="1" applyFill="1">
      <alignment horizontal="left" vertical="center"/>
    </xf>
    <xf numFmtId="0" fontId="16" fillId="0" borderId="0" xfId="13"/>
    <xf numFmtId="0" fontId="10" fillId="4" borderId="0" xfId="14">
      <alignment vertical="center"/>
    </xf>
    <xf numFmtId="0" fontId="17" fillId="5" borderId="0" xfId="15">
      <alignment horizontal="center" vertical="center"/>
      <protection locked="0"/>
    </xf>
    <xf numFmtId="0" fontId="0" fillId="0" borderId="0" xfId="16" applyFont="1" applyBorder="1">
      <alignment horizontal="center" vertical="center"/>
    </xf>
    <xf numFmtId="0" fontId="4" fillId="6" borderId="1" xfId="17">
      <alignment horizontal="center" vertical="center"/>
    </xf>
    <xf numFmtId="0" fontId="6" fillId="2" borderId="1" xfId="18">
      <alignment horizontal="center" vertical="center"/>
    </xf>
    <xf numFmtId="0" fontId="5" fillId="0" borderId="0" xfId="19">
      <alignment horizontal="left" vertical="center" indent="1"/>
    </xf>
    <xf numFmtId="0" fontId="19" fillId="7" borderId="2" xfId="20" applyFont="1">
      <alignment horizontal="left" vertical="center" indent="1"/>
    </xf>
    <xf numFmtId="0" fontId="20" fillId="8" borderId="0" xfId="21">
      <alignment horizontal="left" vertical="center" indent="1"/>
    </xf>
    <xf numFmtId="0" fontId="15" fillId="2" borderId="0" xfId="25">
      <alignment horizontal="left" vertical="center" indent="1"/>
    </xf>
    <xf numFmtId="0" fontId="5" fillId="0" borderId="1" xfId="26">
      <alignment horizontal="center" vertical="center"/>
    </xf>
    <xf numFmtId="0" fontId="0" fillId="2" borderId="0" xfId="0" applyFill="1"/>
    <xf numFmtId="0" fontId="24" fillId="9" borderId="4" xfId="27" applyBorder="1">
      <alignment horizontal="left" vertical="center"/>
    </xf>
    <xf numFmtId="0" fontId="24" fillId="9" borderId="5" xfId="27" applyBorder="1">
      <alignment horizontal="left" vertical="center"/>
    </xf>
    <xf numFmtId="0" fontId="24" fillId="9" borderId="6" xfId="27" applyBorder="1">
      <alignment horizontal="left" vertical="center"/>
    </xf>
    <xf numFmtId="0" fontId="25" fillId="2" borderId="0" xfId="0" applyFont="1" applyFill="1" applyAlignment="1">
      <alignment horizontal="center" vertical="center"/>
    </xf>
    <xf numFmtId="0" fontId="25" fillId="2" borderId="0" xfId="0" applyFont="1" applyFill="1"/>
    <xf numFmtId="0" fontId="26" fillId="7" borderId="2" xfId="20" applyFont="1">
      <alignment horizontal="left" vertical="center" indent="1"/>
    </xf>
    <xf numFmtId="0" fontId="24" fillId="9" borderId="7" xfId="27" applyBorder="1">
      <alignment horizontal="left" vertical="center"/>
    </xf>
    <xf numFmtId="0" fontId="24" fillId="9" borderId="8" xfId="27" applyBorder="1">
      <alignment horizontal="left" vertical="center"/>
    </xf>
    <xf numFmtId="0" fontId="24" fillId="9" borderId="9" xfId="27" applyBorder="1">
      <alignment horizontal="left" vertical="center"/>
    </xf>
    <xf numFmtId="0" fontId="20" fillId="10" borderId="0" xfId="28">
      <alignment horizontal="left" vertical="center" indent="1"/>
    </xf>
    <xf numFmtId="0" fontId="27" fillId="2" borderId="0" xfId="29">
      <alignment horizontal="left" vertical="center"/>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22" fillId="0" borderId="0" xfId="30" applyAlignment="1">
      <alignment horizontal="center" vertical="center" wrapText="1"/>
    </xf>
    <xf numFmtId="0" fontId="4" fillId="6" borderId="1" xfId="17" applyAlignment="1">
      <alignment horizontal="center" vertical="center" wrapText="1"/>
    </xf>
    <xf numFmtId="4" fontId="0" fillId="0" borderId="0" xfId="31" applyFont="1" applyBorder="1" applyAlignment="1">
      <alignment horizontal="center" vertical="center" wrapText="1"/>
    </xf>
    <xf numFmtId="0" fontId="0" fillId="2" borderId="1" xfId="18" applyFont="1" applyAlignment="1">
      <alignment horizontal="center" vertical="center" wrapText="1"/>
    </xf>
    <xf numFmtId="0" fontId="6" fillId="2" borderId="1" xfId="18" applyAlignment="1">
      <alignment horizontal="center" vertical="center" wrapText="1"/>
    </xf>
    <xf numFmtId="0" fontId="29" fillId="7" borderId="2" xfId="20" applyFont="1">
      <alignment horizontal="left" vertical="center" indent="1"/>
    </xf>
    <xf numFmtId="0" fontId="11" fillId="2" borderId="0" xfId="8" applyAlignment="1">
      <alignment horizontal="center" vertical="center" wrapText="1"/>
    </xf>
    <xf numFmtId="0" fontId="28" fillId="2" borderId="0" xfId="32" applyFont="1" applyFill="1" applyAlignment="1">
      <alignment horizontal="left" vertical="center" wrapText="1"/>
    </xf>
    <xf numFmtId="2" fontId="25" fillId="2" borderId="0" xfId="23" applyNumberFormat="1" applyFont="1" applyFill="1" applyBorder="1" applyAlignment="1" applyProtection="1">
      <alignment horizontal="center" wrapText="1"/>
      <protection locked="0"/>
    </xf>
    <xf numFmtId="1" fontId="25" fillId="2" borderId="0" xfId="23" applyNumberFormat="1" applyFont="1" applyFill="1" applyBorder="1" applyAlignment="1" applyProtection="1">
      <alignment horizontal="center" wrapText="1"/>
      <protection locked="0"/>
    </xf>
    <xf numFmtId="0" fontId="25" fillId="2" borderId="0" xfId="0" applyFont="1" applyFill="1" applyAlignment="1">
      <alignment horizontal="left" wrapText="1"/>
    </xf>
    <xf numFmtId="0" fontId="25" fillId="2" borderId="0" xfId="0" applyFont="1" applyFill="1" applyAlignment="1">
      <alignment wrapText="1"/>
    </xf>
    <xf numFmtId="0" fontId="11" fillId="2" borderId="0" xfId="8" applyAlignment="1">
      <alignment horizontal="left" vertical="center" wrapText="1"/>
    </xf>
    <xf numFmtId="0" fontId="27" fillId="2" borderId="0" xfId="29" applyAlignment="1">
      <alignment horizontal="left" vertical="center" wrapText="1"/>
    </xf>
    <xf numFmtId="0" fontId="0" fillId="2" borderId="0" xfId="0" applyFill="1" applyAlignment="1">
      <alignment wrapText="1"/>
    </xf>
    <xf numFmtId="0" fontId="22" fillId="0" borderId="0" xfId="30" applyAlignment="1" applyProtection="1">
      <alignment horizontal="center" vertical="center" wrapText="1"/>
      <protection locked="0"/>
    </xf>
    <xf numFmtId="0" fontId="5" fillId="0" borderId="1" xfId="16">
      <alignment horizontal="center" vertical="center"/>
    </xf>
    <xf numFmtId="0" fontId="30" fillId="6" borderId="1" xfId="17" applyFont="1" applyAlignment="1">
      <alignment horizontal="center" vertical="center" wrapText="1"/>
    </xf>
    <xf numFmtId="9" fontId="0" fillId="0" borderId="0" xfId="24" applyFont="1" applyFill="1" applyBorder="1" applyAlignment="1">
      <alignment horizontal="center" vertical="center" wrapText="1"/>
    </xf>
    <xf numFmtId="0" fontId="30" fillId="6" borderId="1" xfId="17" applyFont="1">
      <alignment horizontal="center" vertical="center"/>
    </xf>
    <xf numFmtId="9" fontId="5" fillId="0" borderId="1" xfId="33">
      <alignment horizontal="center" vertical="center"/>
    </xf>
    <xf numFmtId="0" fontId="31" fillId="2" borderId="0" xfId="8" applyFont="1">
      <alignment horizontal="left" vertical="center"/>
    </xf>
    <xf numFmtId="9" fontId="0" fillId="0" borderId="10" xfId="24" applyFont="1" applyFill="1" applyBorder="1" applyAlignment="1">
      <alignment horizontal="center" vertical="center" wrapText="1"/>
    </xf>
    <xf numFmtId="4" fontId="22" fillId="0" borderId="1" xfId="31" applyFont="1" applyAlignment="1">
      <alignment horizontal="center" vertical="center" wrapText="1"/>
    </xf>
    <xf numFmtId="0" fontId="24" fillId="9" borderId="11" xfId="27" applyBorder="1">
      <alignment horizontal="left" vertical="center"/>
    </xf>
    <xf numFmtId="0" fontId="24" fillId="9" borderId="0" xfId="27" applyBorder="1">
      <alignment horizontal="left" vertical="center"/>
    </xf>
    <xf numFmtId="0" fontId="24" fillId="9" borderId="12" xfId="27" applyBorder="1">
      <alignment horizontal="left" vertical="center"/>
    </xf>
    <xf numFmtId="0" fontId="0" fillId="0" borderId="0" xfId="0" applyAlignment="1">
      <alignment wrapText="1"/>
    </xf>
    <xf numFmtId="0" fontId="32" fillId="2" borderId="0" xfId="34">
      <alignment horizontal="left" vertical="center"/>
    </xf>
    <xf numFmtId="0" fontId="17" fillId="5" borderId="0" xfId="15" applyAlignment="1">
      <alignment horizontal="center" vertical="center" wrapText="1"/>
      <protection locked="0"/>
    </xf>
    <xf numFmtId="0" fontId="0" fillId="0" borderId="0" xfId="16" applyFont="1" applyBorder="1" applyAlignment="1">
      <alignment horizontal="center" vertical="center" wrapText="1"/>
    </xf>
    <xf numFmtId="9" fontId="0" fillId="0" borderId="0" xfId="33" applyFont="1" applyBorder="1" applyAlignment="1">
      <alignment horizontal="center" vertical="center" wrapText="1"/>
    </xf>
    <xf numFmtId="9" fontId="4" fillId="2" borderId="0" xfId="24" applyFont="1" applyFill="1" applyAlignment="1">
      <alignment horizontal="center" vertical="center" wrapText="1"/>
    </xf>
    <xf numFmtId="9" fontId="0" fillId="2" borderId="0" xfId="0" applyNumberFormat="1" applyFill="1"/>
    <xf numFmtId="0" fontId="24" fillId="9" borderId="3" xfId="27">
      <alignment horizontal="left" vertical="center"/>
    </xf>
    <xf numFmtId="0" fontId="35" fillId="2" borderId="0" xfId="35">
      <alignment horizontal="left" vertical="center"/>
    </xf>
    <xf numFmtId="0" fontId="36" fillId="2" borderId="0" xfId="36">
      <alignment horizontal="left" vertical="center"/>
    </xf>
    <xf numFmtId="0" fontId="37" fillId="2" borderId="0" xfId="37">
      <alignment horizontal="left" vertical="center"/>
    </xf>
    <xf numFmtId="0" fontId="15" fillId="2" borderId="0" xfId="25" applyAlignment="1">
      <alignment horizontal="center" vertical="center"/>
    </xf>
    <xf numFmtId="0" fontId="38" fillId="11" borderId="0" xfId="38">
      <alignment horizontal="center" vertical="center"/>
    </xf>
    <xf numFmtId="0" fontId="6" fillId="2" borderId="1" xfId="18" applyAlignment="1">
      <alignment horizontal="left" vertical="center"/>
    </xf>
    <xf numFmtId="0" fontId="6" fillId="2" borderId="13" xfId="18" applyBorder="1" applyAlignment="1">
      <alignment horizontal="left" vertical="center"/>
    </xf>
    <xf numFmtId="0" fontId="39" fillId="12" borderId="1" xfId="39">
      <alignment horizontal="center" vertical="center"/>
    </xf>
    <xf numFmtId="0" fontId="40" fillId="13" borderId="1" xfId="40">
      <alignment horizontal="center" vertical="center"/>
    </xf>
    <xf numFmtId="0" fontId="41" fillId="2" borderId="1" xfId="41">
      <alignment horizontal="left" vertical="center"/>
    </xf>
    <xf numFmtId="0" fontId="20" fillId="14" borderId="0" xfId="42">
      <alignment horizontal="left" vertical="center" indent="1"/>
    </xf>
    <xf numFmtId="0" fontId="6" fillId="2" borderId="14" xfId="18" applyBorder="1" applyAlignment="1">
      <alignment horizontal="left" vertical="center"/>
    </xf>
    <xf numFmtId="0" fontId="31" fillId="2" borderId="15" xfId="8" applyFont="1" applyBorder="1">
      <alignment horizontal="left" vertical="center"/>
    </xf>
    <xf numFmtId="0" fontId="11" fillId="2" borderId="15" xfId="8" applyBorder="1">
      <alignment horizontal="left" vertical="center"/>
    </xf>
    <xf numFmtId="0" fontId="6" fillId="2" borderId="16" xfId="18" applyBorder="1" applyAlignment="1">
      <alignment horizontal="left" vertical="center"/>
    </xf>
    <xf numFmtId="0" fontId="6" fillId="2" borderId="13" xfId="43" applyBorder="1">
      <alignment horizontal="left" vertical="center"/>
    </xf>
    <xf numFmtId="0" fontId="6" fillId="2" borderId="14" xfId="18" applyBorder="1">
      <alignment horizontal="center" vertical="center"/>
    </xf>
    <xf numFmtId="0" fontId="44" fillId="2" borderId="15" xfId="8" applyFont="1" applyBorder="1">
      <alignment horizontal="left" vertical="center"/>
    </xf>
    <xf numFmtId="0" fontId="46" fillId="2" borderId="15" xfId="8" applyFont="1" applyBorder="1">
      <alignment horizontal="left" vertical="center"/>
    </xf>
    <xf numFmtId="0" fontId="47" fillId="2" borderId="15" xfId="12" applyFont="1" applyBorder="1">
      <alignment horizontal="left" vertical="center"/>
    </xf>
    <xf numFmtId="0" fontId="6" fillId="2" borderId="16" xfId="18" applyBorder="1">
      <alignment horizontal="center" vertical="center"/>
    </xf>
    <xf numFmtId="0" fontId="15" fillId="2" borderId="15" xfId="12" applyBorder="1">
      <alignment horizontal="left" vertical="center"/>
    </xf>
    <xf numFmtId="0" fontId="6" fillId="2" borderId="1" xfId="43">
      <alignment horizontal="left" vertical="center"/>
    </xf>
    <xf numFmtId="166" fontId="6" fillId="2" borderId="1" xfId="18" applyNumberFormat="1">
      <alignment horizontal="center" vertical="center"/>
    </xf>
    <xf numFmtId="0" fontId="38" fillId="11" borderId="0" xfId="44">
      <alignment horizontal="left" vertical="center" indent="1"/>
      <protection locked="0"/>
    </xf>
    <xf numFmtId="4" fontId="6" fillId="2" borderId="1" xfId="18" applyNumberFormat="1">
      <alignment horizontal="center" vertical="center"/>
    </xf>
    <xf numFmtId="9" fontId="6" fillId="2" borderId="1" xfId="18" applyNumberFormat="1">
      <alignment horizontal="center" vertical="center"/>
    </xf>
    <xf numFmtId="0" fontId="49" fillId="2" borderId="0" xfId="0" applyFont="1" applyFill="1"/>
    <xf numFmtId="0" fontId="15" fillId="2" borderId="15" xfId="25" applyBorder="1">
      <alignment horizontal="left" vertical="center" indent="1"/>
    </xf>
    <xf numFmtId="0" fontId="11" fillId="2" borderId="17" xfId="8" applyBorder="1">
      <alignment horizontal="left" vertical="center"/>
    </xf>
    <xf numFmtId="0" fontId="6" fillId="2" borderId="16" xfId="43" applyBorder="1">
      <alignment horizontal="left" vertical="center"/>
    </xf>
    <xf numFmtId="0" fontId="6" fillId="2" borderId="14" xfId="43" applyBorder="1">
      <alignment horizontal="left" vertical="center"/>
    </xf>
    <xf numFmtId="3" fontId="6" fillId="2" borderId="1" xfId="18" applyNumberFormat="1">
      <alignment horizontal="center" vertical="center"/>
    </xf>
    <xf numFmtId="4" fontId="6" fillId="2" borderId="1" xfId="45">
      <alignment horizontal="center" vertical="center"/>
    </xf>
    <xf numFmtId="0" fontId="47" fillId="2" borderId="15" xfId="25" applyFont="1" applyBorder="1">
      <alignment horizontal="left" vertical="center" indent="1"/>
    </xf>
    <xf numFmtId="0" fontId="38" fillId="11" borderId="0" xfId="38" applyAlignment="1">
      <alignment horizontal="center" vertical="center" wrapText="1"/>
    </xf>
    <xf numFmtId="0" fontId="11" fillId="2" borderId="18" xfId="8" applyBorder="1">
      <alignment horizontal="left" vertical="center"/>
    </xf>
    <xf numFmtId="0" fontId="38" fillId="11" borderId="0" xfId="44"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0" fontId="0" fillId="0" borderId="0" xfId="1" applyFont="1" applyFill="1" applyAlignment="1">
      <alignment horizontal="center" vertical="center"/>
    </xf>
    <xf numFmtId="9" fontId="0" fillId="0" borderId="0" xfId="33" applyFont="1" applyBorder="1">
      <alignment horizontal="center" vertical="center"/>
    </xf>
    <xf numFmtId="9" fontId="0" fillId="0" borderId="1" xfId="33" applyFont="1">
      <alignment horizontal="center" vertical="center"/>
    </xf>
    <xf numFmtId="0" fontId="4" fillId="6" borderId="19" xfId="17" applyBorder="1">
      <alignment horizontal="center" vertical="center"/>
    </xf>
    <xf numFmtId="0" fontId="6" fillId="2" borderId="19" xfId="18" applyBorder="1">
      <alignment horizontal="center" vertical="center"/>
    </xf>
    <xf numFmtId="9" fontId="0" fillId="0" borderId="19" xfId="33" applyFont="1" applyBorder="1">
      <alignment horizontal="center" vertical="center"/>
    </xf>
    <xf numFmtId="0" fontId="50" fillId="2" borderId="0" xfId="46" applyAlignment="1">
      <alignment horizontal="left" vertical="center"/>
    </xf>
    <xf numFmtId="167" fontId="51" fillId="2" borderId="1" xfId="18" applyNumberFormat="1" applyFont="1">
      <alignment horizontal="center" vertical="center"/>
    </xf>
    <xf numFmtId="0" fontId="52" fillId="2" borderId="0" xfId="47">
      <alignment horizontal="left" vertical="center"/>
    </xf>
    <xf numFmtId="4" fontId="6" fillId="2" borderId="19" xfId="45" applyBorder="1">
      <alignment horizontal="center" vertical="center"/>
    </xf>
    <xf numFmtId="167" fontId="51" fillId="2" borderId="19" xfId="18" applyNumberFormat="1" applyFont="1" applyBorder="1">
      <alignment horizontal="center" vertical="center"/>
    </xf>
    <xf numFmtId="0" fontId="4" fillId="2" borderId="15" xfId="1" applyBorder="1">
      <alignment horizontal="left" vertical="center"/>
    </xf>
    <xf numFmtId="0" fontId="50" fillId="2" borderId="15" xfId="46" applyBorder="1" applyAlignment="1">
      <alignment horizontal="left" vertical="center"/>
    </xf>
    <xf numFmtId="0" fontId="6" fillId="2" borderId="20" xfId="18" applyBorder="1">
      <alignment horizontal="center" vertical="center"/>
    </xf>
    <xf numFmtId="0" fontId="6" fillId="2" borderId="21" xfId="18" applyBorder="1">
      <alignment horizontal="center" vertical="center"/>
    </xf>
    <xf numFmtId="4" fontId="6" fillId="2" borderId="20" xfId="45" applyBorder="1">
      <alignment horizontal="center" vertical="center"/>
    </xf>
    <xf numFmtId="4" fontId="6" fillId="2" borderId="22" xfId="45" applyBorder="1">
      <alignment horizontal="center" vertical="center"/>
    </xf>
    <xf numFmtId="167" fontId="51" fillId="2" borderId="22" xfId="18" applyNumberFormat="1" applyFont="1" applyBorder="1">
      <alignment horizontal="center" vertical="center"/>
    </xf>
    <xf numFmtId="167" fontId="51" fillId="2" borderId="20" xfId="18" applyNumberFormat="1" applyFont="1" applyBorder="1">
      <alignment horizontal="center" vertical="center"/>
    </xf>
    <xf numFmtId="0" fontId="6" fillId="2" borderId="22" xfId="18" applyBorder="1">
      <alignment horizontal="center" vertical="center"/>
    </xf>
    <xf numFmtId="0" fontId="51" fillId="2" borderId="22" xfId="18" applyFont="1" applyBorder="1">
      <alignment horizontal="center" vertical="center"/>
    </xf>
    <xf numFmtId="0" fontId="4" fillId="2" borderId="18" xfId="1" applyBorder="1">
      <alignment horizontal="left" vertical="center"/>
    </xf>
    <xf numFmtId="168" fontId="49" fillId="2" borderId="18" xfId="0" applyNumberFormat="1" applyFont="1" applyFill="1" applyBorder="1"/>
    <xf numFmtId="0" fontId="15" fillId="2" borderId="18" xfId="25" applyBorder="1">
      <alignment horizontal="left" vertical="center" indent="1"/>
    </xf>
    <xf numFmtId="169" fontId="49" fillId="2" borderId="0" xfId="0" applyNumberFormat="1" applyFont="1" applyFill="1" applyAlignment="1">
      <alignment vertical="center"/>
    </xf>
    <xf numFmtId="168" fontId="49" fillId="2" borderId="18" xfId="0" applyNumberFormat="1" applyFont="1" applyFill="1" applyBorder="1" applyAlignment="1">
      <alignment vertical="center"/>
    </xf>
    <xf numFmtId="0" fontId="49" fillId="2" borderId="0" xfId="0" applyFont="1" applyFill="1" applyAlignment="1">
      <alignment vertical="center"/>
    </xf>
    <xf numFmtId="168" fontId="53" fillId="2" borderId="18" xfId="0" applyNumberFormat="1" applyFont="1" applyFill="1" applyBorder="1" applyAlignment="1">
      <alignment vertical="center"/>
    </xf>
    <xf numFmtId="169" fontId="51" fillId="2" borderId="1" xfId="45" applyNumberFormat="1" applyFont="1">
      <alignment horizontal="center" vertical="center"/>
    </xf>
    <xf numFmtId="169" fontId="51" fillId="2" borderId="19" xfId="45" applyNumberFormat="1" applyFont="1" applyBorder="1">
      <alignment horizontal="center" vertical="center"/>
    </xf>
    <xf numFmtId="169" fontId="51" fillId="2" borderId="22" xfId="45" applyNumberFormat="1" applyFont="1" applyBorder="1">
      <alignment horizontal="center" vertical="center"/>
    </xf>
    <xf numFmtId="0" fontId="54" fillId="0" borderId="0" xfId="0" applyFont="1" applyAlignment="1">
      <alignment vertical="center" wrapText="1"/>
    </xf>
    <xf numFmtId="0" fontId="54" fillId="0" borderId="0" xfId="0" applyFont="1" applyAlignment="1">
      <alignment horizontal="left" vertical="center"/>
    </xf>
    <xf numFmtId="0" fontId="54" fillId="0" borderId="0" xfId="8" applyFont="1" applyFill="1">
      <alignment horizontal="left" vertical="center"/>
    </xf>
    <xf numFmtId="0" fontId="54" fillId="0" borderId="0" xfId="0" applyFont="1" applyAlignment="1">
      <alignment vertical="center"/>
    </xf>
    <xf numFmtId="0" fontId="0" fillId="0" borderId="0" xfId="0" applyAlignment="1">
      <alignment horizontal="left" vertical="center"/>
    </xf>
    <xf numFmtId="0" fontId="11" fillId="2" borderId="0" xfId="8" applyAlignment="1">
      <alignment horizontal="right" vertical="center"/>
    </xf>
    <xf numFmtId="0" fontId="54" fillId="2" borderId="0" xfId="0" applyFont="1" applyFill="1" applyAlignment="1">
      <alignment horizontal="left" vertical="center"/>
    </xf>
    <xf numFmtId="0" fontId="31" fillId="2" borderId="0" xfId="8" applyFont="1" applyAlignment="1">
      <alignment horizontal="right" vertical="center"/>
    </xf>
    <xf numFmtId="0" fontId="55" fillId="2" borderId="0" xfId="0" applyFont="1" applyFill="1"/>
    <xf numFmtId="0" fontId="54" fillId="0" borderId="0" xfId="0" applyFont="1"/>
    <xf numFmtId="0" fontId="54" fillId="0" borderId="0" xfId="1" applyFont="1" applyFill="1">
      <alignment horizontal="left" vertical="center"/>
    </xf>
    <xf numFmtId="0" fontId="54" fillId="2" borderId="0" xfId="0" applyFont="1" applyFill="1"/>
    <xf numFmtId="0" fontId="54" fillId="2" borderId="0" xfId="1" applyFont="1">
      <alignment horizontal="left" vertical="center"/>
    </xf>
    <xf numFmtId="0" fontId="21" fillId="0" borderId="0" xfId="22"/>
    <xf numFmtId="0" fontId="16" fillId="0" borderId="0" xfId="4" applyFont="1"/>
    <xf numFmtId="0" fontId="4" fillId="2" borderId="23" xfId="1" applyBorder="1">
      <alignment horizontal="left" vertical="center"/>
    </xf>
    <xf numFmtId="0" fontId="12" fillId="0" borderId="0" xfId="9" applyFill="1">
      <alignment horizontal="left" vertical="center"/>
    </xf>
    <xf numFmtId="0" fontId="56" fillId="2" borderId="0" xfId="48">
      <alignment vertical="center"/>
    </xf>
    <xf numFmtId="0" fontId="13" fillId="0" borderId="0" xfId="10" applyFill="1">
      <alignment vertical="center"/>
    </xf>
    <xf numFmtId="0" fontId="11" fillId="0" borderId="0" xfId="8" applyFill="1">
      <alignment horizontal="left" vertical="center"/>
    </xf>
    <xf numFmtId="0" fontId="24" fillId="9" borderId="24" xfId="27" applyBorder="1">
      <alignment horizontal="left" vertical="center"/>
    </xf>
    <xf numFmtId="0" fontId="24" fillId="9" borderId="25" xfId="27" applyBorder="1">
      <alignment horizontal="left" vertical="center"/>
    </xf>
    <xf numFmtId="0" fontId="24" fillId="9" borderId="26" xfId="27" applyBorder="1">
      <alignment horizontal="left" vertical="center"/>
    </xf>
    <xf numFmtId="0" fontId="24" fillId="9" borderId="27" xfId="27" applyBorder="1">
      <alignment horizontal="left" vertical="center"/>
    </xf>
    <xf numFmtId="0" fontId="57" fillId="0" borderId="0" xfId="25" applyFont="1" applyFill="1" applyAlignment="1">
      <alignment horizontal="left" vertical="center"/>
    </xf>
    <xf numFmtId="0" fontId="5" fillId="0" borderId="0" xfId="1" applyFont="1" applyFill="1">
      <alignment horizontal="left" vertical="center"/>
    </xf>
    <xf numFmtId="0" fontId="58" fillId="9" borderId="4" xfId="27" applyFont="1" applyBorder="1">
      <alignment horizontal="left" vertical="center"/>
    </xf>
    <xf numFmtId="4" fontId="5" fillId="2" borderId="0" xfId="31" applyFill="1" applyBorder="1">
      <alignment horizontal="center" vertical="center"/>
    </xf>
    <xf numFmtId="0" fontId="17" fillId="2" borderId="0" xfId="15" applyFill="1">
      <alignment horizontal="center" vertical="center"/>
      <protection locked="0"/>
    </xf>
    <xf numFmtId="0" fontId="28" fillId="0" borderId="0" xfId="0" applyFont="1" applyAlignment="1" applyProtection="1">
      <alignment horizontal="center" vertical="center"/>
      <protection locked="0"/>
    </xf>
    <xf numFmtId="4" fontId="28" fillId="0" borderId="0" xfId="31" applyFont="1" applyBorder="1">
      <alignment horizontal="center" vertical="center"/>
    </xf>
    <xf numFmtId="170" fontId="59" fillId="2" borderId="0" xfId="49" applyBorder="1">
      <alignment horizontal="center" vertical="center"/>
    </xf>
    <xf numFmtId="4" fontId="28" fillId="2" borderId="0" xfId="31" applyFont="1" applyFill="1" applyBorder="1">
      <alignment horizontal="center" vertical="center"/>
    </xf>
    <xf numFmtId="0" fontId="28" fillId="2" borderId="0" xfId="25" applyFont="1" applyAlignment="1">
      <alignment horizontal="center" vertical="center"/>
    </xf>
    <xf numFmtId="0" fontId="28" fillId="2" borderId="0" xfId="8" applyFont="1" applyAlignment="1">
      <alignment horizontal="center" vertical="center"/>
    </xf>
    <xf numFmtId="165" fontId="28" fillId="2" borderId="0" xfId="8" applyNumberFormat="1" applyFont="1" applyAlignment="1">
      <alignment horizontal="center" vertical="center"/>
    </xf>
    <xf numFmtId="9" fontId="28" fillId="2" borderId="0" xfId="24" applyFont="1" applyFill="1" applyBorder="1" applyAlignment="1">
      <alignment horizontal="center" vertical="center"/>
    </xf>
    <xf numFmtId="0" fontId="1" fillId="2" borderId="0" xfId="0" applyFont="1" applyFill="1" applyAlignment="1">
      <alignment horizontal="center" vertical="center"/>
    </xf>
    <xf numFmtId="0" fontId="1" fillId="2" borderId="0" xfId="0" applyFont="1" applyFill="1"/>
    <xf numFmtId="0" fontId="28" fillId="2" borderId="0" xfId="0" applyFont="1" applyFill="1"/>
    <xf numFmtId="0" fontId="28" fillId="0" borderId="0" xfId="0" applyFont="1"/>
    <xf numFmtId="0" fontId="60" fillId="2" borderId="0" xfId="1" applyFont="1" applyAlignment="1">
      <alignment horizontal="center" vertical="center"/>
    </xf>
    <xf numFmtId="0" fontId="61" fillId="2" borderId="0" xfId="1" applyFont="1" applyAlignment="1">
      <alignment horizontal="center" vertical="center"/>
    </xf>
    <xf numFmtId="165" fontId="61" fillId="2" borderId="0" xfId="1" applyNumberFormat="1" applyFont="1" applyAlignment="1">
      <alignment horizontal="center" vertical="center"/>
    </xf>
    <xf numFmtId="0" fontId="61" fillId="2" borderId="0" xfId="0" applyFont="1" applyFill="1" applyAlignment="1">
      <alignment horizontal="center" vertical="center"/>
    </xf>
    <xf numFmtId="0" fontId="60" fillId="2" borderId="0" xfId="0" applyFont="1" applyFill="1" applyAlignment="1">
      <alignment horizontal="center" vertical="center"/>
    </xf>
    <xf numFmtId="0" fontId="60" fillId="2" borderId="0" xfId="0" applyFont="1" applyFill="1" applyAlignment="1">
      <alignment horizontal="left" vertical="center"/>
    </xf>
    <xf numFmtId="14" fontId="4" fillId="2" borderId="0" xfId="1" applyNumberFormat="1">
      <alignment horizontal="left" vertical="center"/>
    </xf>
    <xf numFmtId="0" fontId="21" fillId="2" borderId="0" xfId="22" applyFill="1" applyBorder="1"/>
    <xf numFmtId="165" fontId="5" fillId="2" borderId="0" xfId="50" applyNumberFormat="1" applyFill="1" applyBorder="1">
      <alignment horizontal="center" vertical="center"/>
    </xf>
    <xf numFmtId="171" fontId="4" fillId="2" borderId="0" xfId="23" applyNumberFormat="1" applyFont="1" applyFill="1" applyBorder="1" applyAlignment="1">
      <alignment horizontal="center" vertical="center"/>
    </xf>
    <xf numFmtId="0" fontId="0" fillId="2" borderId="0" xfId="1" applyFont="1">
      <alignment horizontal="left" vertical="center"/>
    </xf>
    <xf numFmtId="0" fontId="62" fillId="2" borderId="0" xfId="0" applyFont="1" applyFill="1"/>
    <xf numFmtId="0" fontId="5" fillId="7" borderId="0" xfId="1" applyFont="1" applyFill="1" applyAlignment="1">
      <alignment horizontal="left" vertical="center" indent="1"/>
    </xf>
    <xf numFmtId="11" fontId="0" fillId="0" borderId="0" xfId="0" applyNumberFormat="1" applyAlignment="1">
      <alignment vertical="center"/>
    </xf>
  </cellXfs>
  <cellStyles count="51">
    <cellStyle name="Alert" xfId="34" xr:uid="{E3DD2833-C3C8-48F4-BBD3-E013C947AEDD}"/>
    <cellStyle name="Arguments" xfId="43" xr:uid="{6759BFBA-3BD5-46F0-8EB3-E98920449937}"/>
    <cellStyle name="Arguments hyperlink" xfId="41" xr:uid="{CF0ED5AC-D7E3-4D55-B570-73596F5B5C9A}"/>
    <cellStyle name="Block heading" xfId="9" xr:uid="{6065A2C3-09F5-4515-87ED-A07ECE03B60A}"/>
    <cellStyle name="Block subheading" xfId="29" xr:uid="{CBF10EAD-8EC3-4CB6-848C-AAD0A90CF0DC}"/>
    <cellStyle name="Code" xfId="35" xr:uid="{8A7F2B65-FD41-4D36-8ECE-A203806638F9}"/>
    <cellStyle name="Comma" xfId="23" builtinId="3"/>
    <cellStyle name="Content bold" xfId="1" xr:uid="{90EECC7A-90CF-4913-9525-0D57B2C3C25A}"/>
    <cellStyle name="Content hidden" xfId="47" xr:uid="{C09610BD-C358-4630-A5DB-89C3A6883103}"/>
    <cellStyle name="Content normal" xfId="8" xr:uid="{7064D260-35DF-4E40-B005-5927849D5F2D}"/>
    <cellStyle name="Equation column header" xfId="38" xr:uid="{5174C9CE-029C-4776-B0CC-7872BF3BF8F6}"/>
    <cellStyle name="Equation source" xfId="10" xr:uid="{A6980CD5-F033-4A4E-A310-20CA2DBA147C}"/>
    <cellStyle name="Equation table header" xfId="44" xr:uid="{B792C1BC-7EFA-4DCA-9C31-C47634362D77}"/>
    <cellStyle name="Hyperlink" xfId="22" builtinId="8"/>
    <cellStyle name="Information tip" xfId="27" xr:uid="{04DDE7E9-AD25-4150-B791-2B6CD101492E}"/>
    <cellStyle name="Information variation" xfId="11" xr:uid="{3DFDDBB8-017E-4A9E-BD36-920C2DA5EB07}"/>
    <cellStyle name="Input block subheading" xfId="48" xr:uid="{676995BE-1B91-498C-929B-043E836569DC}"/>
    <cellStyle name="Input date" xfId="2" xr:uid="{2CBAF3EB-BBB3-44B0-B98B-27C0B711C4C8}"/>
    <cellStyle name="Input number 2 decimal places" xfId="31" xr:uid="{54112DF9-6948-49E4-9352-2D18E09E0C39}"/>
    <cellStyle name="Input number 2 decimal places calculated" xfId="45" xr:uid="{C6226F7B-41F6-4D54-AC0F-6AE39A1B8626}"/>
    <cellStyle name="Input number general" xfId="26" xr:uid="{B86E63C9-6E60-4131-8115-27558FE17CF0}"/>
    <cellStyle name="Input number general calculated" xfId="18" xr:uid="{17116EAE-73FE-4584-B1D1-DA7A2E1BE7F3}"/>
    <cellStyle name="Input number no decimals" xfId="50" xr:uid="{6DD9B9D8-D23C-4181-8959-690318777338}"/>
    <cellStyle name="Input number no decimals calculated" xfId="3" xr:uid="{3E2DE6DD-181A-4A3F-B39E-0927DF0A1DA2}"/>
    <cellStyle name="Input page heading" xfId="13" xr:uid="{1040356A-2362-4675-A6C2-D285FDE9B237}"/>
    <cellStyle name="Input page section heading" xfId="14" xr:uid="{B0C6AFFF-01F0-417A-921C-B83B5F6523C6}"/>
    <cellStyle name="Input percent" xfId="33" xr:uid="{ACE75D79-0636-4E98-B569-12046B6DDAB0}"/>
    <cellStyle name="Input select" xfId="17" xr:uid="{5330A20B-6680-4771-B4C8-C6ABDA2A591E}"/>
    <cellStyle name="Input table column header" xfId="15" xr:uid="{9C39E355-B94C-4E3D-B2C2-ACCB276438BC}"/>
    <cellStyle name="Input text" xfId="16" xr:uid="{5F26ED4A-B6DD-42BD-95D5-C01AC860788C}"/>
    <cellStyle name="Input text calculated" xfId="46" xr:uid="{6B9C7F28-0791-4BA3-BC6F-2C54673BDA9B}"/>
    <cellStyle name="Menu link default" xfId="19" xr:uid="{F18E4333-B96F-4E07-90FB-6EDE21B99D41}"/>
    <cellStyle name="Menu link selected" xfId="21" xr:uid="{4D086C84-4B2C-49AA-916D-60A51A6710C6}"/>
    <cellStyle name="Menu link selected equations" xfId="42" xr:uid="{0A2FEB38-9BE4-4D43-8FFF-5A687124BC8C}"/>
    <cellStyle name="Menu link selected input" xfId="28" xr:uid="{7D701794-43FA-4C2C-BB70-BA96B58D5597}"/>
    <cellStyle name="Menu section title" xfId="20" xr:uid="{BBD1C251-AE66-410B-B804-15966527D315}"/>
    <cellStyle name="Normal" xfId="0" builtinId="0"/>
    <cellStyle name="Normal 2" xfId="6" xr:uid="{EE6542E1-CDF9-4701-B44A-AABE5F401092}"/>
    <cellStyle name="Normal 2 2" xfId="30" xr:uid="{D80387E7-EC62-4B75-B6DC-096B41297F4B}"/>
    <cellStyle name="Normal 5" xfId="32" xr:uid="{C60C8B8B-794E-4E28-8E2B-CC4F3AF059DD}"/>
    <cellStyle name="Number display decimal total" xfId="49" xr:uid="{D708C48F-055C-4265-9124-D7B98267A30B}"/>
    <cellStyle name="Page heading" xfId="4" xr:uid="{5606267B-8272-44F0-B060-3CC8D7791322}"/>
    <cellStyle name="Page section heading" xfId="7" xr:uid="{0C5541E1-B1FC-4A0E-9019-EAF0F6D84C6B}"/>
    <cellStyle name="Page source" xfId="5" xr:uid="{BDB1E337-77B0-445D-A39B-72CE8D02F2A9}"/>
    <cellStyle name="Percent" xfId="24" builtinId="5"/>
    <cellStyle name="Table description" xfId="37" xr:uid="{B9A449D1-FC89-465E-9A1C-0B2B8B081854}"/>
    <cellStyle name="Table name" xfId="36" xr:uid="{A0A29BCF-7358-4505-8099-7E1C8FA637FD}"/>
    <cellStyle name="Unit" xfId="25" xr:uid="{45241DEA-8CF9-4298-BFEC-B98108A12D91}"/>
    <cellStyle name="Unit no indent" xfId="12" xr:uid="{1E2A3F46-D52F-45EA-B250-19AA59D3DC20}"/>
    <cellStyle name="Variable type input" xfId="39" xr:uid="{241D4A99-B3F2-4D13-B39B-881B9693C121}"/>
    <cellStyle name="Variable type other" xfId="40" xr:uid="{DC0D0A3A-F3B7-400A-AC26-A4F0C8E7401A}"/>
  </cellStyles>
  <dxfs count="235">
    <dxf>
      <alignment horizontal="right" vertical="center" textRotation="0" wrapText="0" indent="0" justifyLastLine="0" shrinkToFit="0" readingOrder="0"/>
    </dxf>
    <dxf>
      <fill>
        <patternFill>
          <fgColor indexed="64"/>
          <bgColor theme="0" tint="-4.9989318521683403E-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9"/>
        <color theme="1"/>
        <name val="Arial"/>
        <family val="2"/>
      </font>
      <fill>
        <patternFill patternType="none">
          <fgColor indexed="64"/>
          <bgColor indexed="65"/>
        </patternFill>
      </fill>
    </dxf>
    <dxf>
      <font>
        <b val="0"/>
        <i val="0"/>
        <strike val="0"/>
        <condense val="0"/>
        <extend val="0"/>
        <outline val="0"/>
        <shadow val="0"/>
        <u val="none"/>
        <vertAlign val="baseline"/>
        <sz val="9"/>
        <color theme="1"/>
        <name val="Arial"/>
        <family val="2"/>
      </font>
      <fill>
        <patternFill patternType="none">
          <fgColor indexed="64"/>
          <bgColor indexed="65"/>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2" defaultTableStyle="TableStyleMedium2" defaultPivotStyle="PivotStyleLight16">
    <tableStyle name="Editable table" pivot="0" count="6" xr9:uid="{BB0715A8-E541-48D6-9C7A-67E469073C29}">
      <tableStyleElement type="wholeTable" dxfId="234"/>
      <tableStyleElement type="headerRow" dxfId="233"/>
      <tableStyleElement type="totalRow" dxfId="232"/>
      <tableStyleElement type="firstColumn" dxfId="231"/>
      <tableStyleElement type="firstRowStripe" dxfId="230"/>
      <tableStyleElement type="secondRowStripe" dxfId="229"/>
    </tableStyle>
    <tableStyle name="Equation table" pivot="0" count="6" xr9:uid="{F81B4736-567E-441A-AD84-F5C27A32236A}">
      <tableStyleElement type="wholeTable" dxfId="228"/>
      <tableStyleElement type="headerRow" dxfId="227"/>
      <tableStyleElement type="totalRow" dxfId="226"/>
      <tableStyleElement type="firstColumn" dxfId="225"/>
      <tableStyleElement type="firstRowStripe" dxfId="224"/>
      <tableStyleElement type="secondRowStripe" dxfId="2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onnections" Target="connections.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22/10/relationships/richValueRel" Target="richData/richValueRel.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microsoft.com/office/2017/06/relationships/rdRichValueTypes" Target="richData/rdRichValueTypes.xml"/><Relationship Id="rId30"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BAE777-3B3B-44F4-BE4C-1FE8E0D18DC2}"/>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F5BAE777-3B3B-44F4-BE4C-1FE8E0D18DC2}"/>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8E5DD61-3347-40E3-9822-F865FCB7753E}"/>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68E5DD61-3347-40E3-9822-F865FCB7753E}"/>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7AE7486-C369-4307-9BB1-14A01A7C3150}"/>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67AE7486-C369-4307-9BB1-14A01A7C3150}"/>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C4BAE101-44C1-4E32-9DDA-834D0B48E4AB}"/>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C4BAE101-44C1-4E32-9DDA-834D0B48E4AB}"/>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0D5AEFAE-08E6-41C6-A580-6F369C7D0D87}"/>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0D5AEFAE-08E6-41C6-A580-6F369C7D0D87}"/>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F21DDA48-6EAA-44B6-9B4F-9F8688FB5274}"/>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F21DDA48-6EAA-44B6-9B4F-9F8688FB5274}"/>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261EC81-E603-4790-87DE-FEBA82C8E5D6}"/>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D261EC81-E603-4790-87DE-FEBA82C8E5D6}"/>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18CAFD0E-1FB6-488A-8A73-A83D6E07AB3B}"/>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18CAFD0E-1FB6-488A-8A73-A83D6E07AB3B}"/>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19DF73B-33F8-4C27-A8DA-491DCDECEB61}"/>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E19DF73B-33F8-4C27-A8DA-491DCDECEB61}"/>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268B3908-C299-4475-8E4B-4DA06506C369}"/>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268B3908-C299-4475-8E4B-4DA06506C369}"/>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4E19A6E-BD0A-4FE3-A6B1-C9A291784238}"/>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34E19A6E-BD0A-4FE3-A6B1-C9A291784238}"/>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10AE2FE-5EB7-4579-8059-9D07C0C46406}"/>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710AE2FE-5EB7-4579-8059-9D07C0C46406}"/>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9592181C-CA6E-4885-9A17-69BC84DDCB79}"/>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9592181C-CA6E-4885-9A17-69BC84DDCB79}"/>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5C4A470-E48F-482C-92C5-73E2E9363EE1}"/>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85C4A470-E48F-482C-92C5-73E2E9363EE1}"/>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C8E97D3-227B-4861-B849-866B4CDA5CD9}"/>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3C8E97D3-227B-4861-B849-866B4CDA5CD9}"/>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7D37142-AC46-49F1-BEEA-C2811472CDCB}"/>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97D37142-AC46-49F1-BEEA-C2811472CDCB}"/>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C342882-BB89-416D-911D-87AF7EEE4893}"/>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DC342882-BB89-416D-911D-87AF7EEE4893}"/>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9D805D48-A5EA-4906-81BC-648B7250255C}"/>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9D805D48-A5EA-4906-81BC-648B7250255C}"/>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93E713F-CDA0-40C7-8A32-30B29D43CFF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D93E713F-CDA0-40C7-8A32-30B29D43CFF0}"/>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F1901E8-FAB4-4708-B98D-AC1687169007}"/>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8F1901E8-FAB4-4708-B98D-AC1687169007}"/>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364D228-8BFC-4243-8A8E-96A3F7CEC2D9}"/>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D364D228-8BFC-4243-8A8E-96A3F7CEC2D9}"/>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4FB070C-A49A-40E2-9F16-C5AC832D0D1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34FB070C-A49A-40E2-9F16-C5AC832D0D18}"/>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4974DAB-E4F9-44E9-B2FE-B1EDF6A37E1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74974DAB-E4F9-44E9-B2FE-B1EDF6A37E17}"/>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338E67-734A-4D8F-B647-319EC596B71B}" name="Table_Input_InorganicFertiliser_Brands" displayName="Table_Input_InorganicFertiliser_Brands" ref="D11:Z21" headerRowDxfId="222" dataDxfId="221" totalsRowDxfId="220">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863B0257-2C2C-41C1-8FC5-1C152DF60663}" name="Product (select)" dataDxfId="219" totalsRowDxfId="218" dataCellStyle="Input select"/>
    <tableColumn id="23" xr3:uid="{D33999BE-B164-4032-AFC5-079CEB04512B}" name="Amount applied per hectare" totalsRowFunction="custom" dataDxfId="217" totalsRowDxfId="216">
      <totalsRowFormula>SUM(Table_Input_InorganicFertiliser_Brands[[#Headers],[#Data],[Amount applied per hectare]])</totalsRowFormula>
    </tableColumn>
    <tableColumn id="12" xr3:uid="{E1B2044E-B2DB-4D08-9E11-DBB667625960}" name="Application unit" dataDxfId="215" totalsRowDxfId="214" dataCellStyle="Input number 2 decimal places"/>
    <tableColumn id="6" xr3:uid="{7F98E518-CEB8-4AA9-AEAE-5EF5D68D1D3F}" name="Application area (ha)" dataDxfId="213" totalsRowDxfId="212">
      <calculatedColumnFormula>X_Cell_Fertiliser_AreaUnderCropping</calculatedColumnFormula>
    </tableColumn>
    <tableColumn id="9" xr3:uid="{87BAFC86-6A12-4CAA-A324-3B87E7B8551B}" name="Density" dataDxfId="211" totalsRowDxfId="210" dataCellStyle="Input number general calculated"/>
    <tableColumn id="1" xr3:uid="{AFFB2318-FC96-4A21-A686-55B62B54A867}" name="Total applied (kg)" dataDxfId="209" totalsRowDxfId="208"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C3EAC423-6530-4CD4-87D5-60DDD93AF7C7}" name="Ingredient 1" dataDxfId="207" totalsRowDxfId="206" dataCellStyle="Input number general calculated"/>
    <tableColumn id="4" xr3:uid="{DAFA61A2-EA35-4442-B485-5441E6437200}" name="Ingredient 1 percent" dataDxfId="205" dataCellStyle="Input number general calculated"/>
    <tableColumn id="7" xr3:uid="{944DBA70-9D26-420D-BD6D-FE0E9982525A}" name="Ingredient 2" dataDxfId="204" dataCellStyle="Input number general calculated"/>
    <tableColumn id="8" xr3:uid="{3FE148DB-28F0-4751-9EC9-702B852F3BA6}" name="Ingredient 2 percent" dataDxfId="203" totalsRowDxfId="202" dataCellStyle="Input number general calculated"/>
    <tableColumn id="10" xr3:uid="{B386173D-A4D7-44D9-BC03-523468E89ACE}" name="Ingredient 3" dataDxfId="201" totalsRowDxfId="200" dataCellStyle="Input number general calculated"/>
    <tableColumn id="11" xr3:uid="{90486605-0E10-4F6B-B144-3E2B191DAC64}" name="Ingredient 3 percent" dataDxfId="199" totalsRowDxfId="198" dataCellStyle="Input number general calculated"/>
    <tableColumn id="13" xr3:uid="{B6E0DD75-A195-4B52-9ECD-D49729B12756}" name="Ingredient 4" dataDxfId="197" totalsRowDxfId="196" dataCellStyle="Input number general calculated"/>
    <tableColumn id="14" xr3:uid="{AE8CF3B0-A0B6-4F58-A067-A391DFCEA3FD}" name="Ingredient 4 percent" dataDxfId="195" dataCellStyle="Input number general calculated"/>
    <tableColumn id="16" xr3:uid="{3B13C43A-EC28-4EB0-9B90-53DB300FFD92}" name="Ingredient 5" dataDxfId="194" dataCellStyle="Input number general calculated"/>
    <tableColumn id="17" xr3:uid="{FB8F30DF-CA4E-4116-B1E6-716AAB32C9E2}" name="Ingredient 5 percent" dataDxfId="193" dataCellStyle="Input number general calculated"/>
    <tableColumn id="19" xr3:uid="{1D152192-748F-4327-A930-8F87DFF302FB}" name="Ingredient 6" dataDxfId="192" dataCellStyle="Input number general calculated"/>
    <tableColumn id="20" xr3:uid="{8337E3F5-BEBA-49BB-9D46-EC4ABE96FD28}" name="Ingredient 6 percent" dataDxfId="191" dataCellStyle="Input number general calculated"/>
    <tableColumn id="21" xr3:uid="{61C072E8-C6DB-42E6-AE77-AAB24B63E0EB}" name="% N (Ingredients)" dataDxfId="190" dataCellStyle="Input number general calculated"/>
    <tableColumn id="22" xr3:uid="{E7C614F5-9C83-4987-AC23-386199BE3CA4}" name="% N (declared)" dataDxfId="189" dataCellStyle="Content normal"/>
    <tableColumn id="5" xr3:uid="{EC2C8A8B-E57A-424B-9AF1-1001C7130958}" name="N application rate (kg/ha)" dataDxfId="188" totalsRowDxfId="187"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FEDF52EF-4FB7-47AE-A96C-A50F603E52E7}" name="Urea source" dataDxfId="186" totalsRowDxfId="185" dataCellStyle="Input number general calculated"/>
    <tableColumn id="18" xr3:uid="{3313A777-D938-46BE-B3AD-9089007BFE1E}" name="Ammonia source" dataDxfId="184" totalsRowDxfId="183" dataCellStyle="Input number general calculated"/>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BB152D-B618-4846-A869-9A2202A60E41}" name="Table_Input_InorganicFertiliser_Custom" displayName="Table_Input_InorganicFertiliser_Custom" ref="D24:R34" totalsRowShown="0" headerRowDxfId="182" dataDxfId="181">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3BCE2C39-C2AA-46CA-AD06-DFAD2A89E5B1}" name="Custom blend name" dataCellStyle="Input text"/>
    <tableColumn id="2" xr3:uid="{A6520769-2D23-4313-B2F3-E9E3103E1C93}" name="Amount applied (kg / ha)" dataDxfId="180"/>
    <tableColumn id="3" xr3:uid="{5E6BF905-87F9-462E-A86F-EA5D9776073B}" name="Application area (ha)" dataDxfId="179" dataCellStyle="Input number 2 decimal places">
      <calculatedColumnFormula>X_Cell_Fertiliser_AreaUnderCropping</calculatedColumnFormula>
    </tableColumn>
    <tableColumn id="4" xr3:uid="{71B0851C-E000-44F8-8911-2C1EEDB7807C}" name="Total applied (kg)" dataDxfId="178" dataCellStyle="Input number general calculated">
      <calculatedColumnFormula>Table_Input_InorganicFertiliser_Custom[[#This Row],[Amount applied (kg / ha)]]*Table_Input_InorganicFertiliser_Custom[[#This Row],[Application area (ha)]]</calculatedColumnFormula>
    </tableColumn>
    <tableColumn id="5" xr3:uid="{C340CC0D-ABFC-4371-8D29-06FFCDA17072}" name="Ingredient 1 (select)" dataDxfId="177" dataCellStyle="Input select"/>
    <tableColumn id="6" xr3:uid="{DDE0FF38-2472-4363-AE7C-D71D64BC5EB0}" name="Ingredient 1 percent" dataDxfId="176"/>
    <tableColumn id="8" xr3:uid="{8130188F-1446-4B7F-810B-B171ADBD52A5}" name="Ingredient 2" dataDxfId="175" dataCellStyle="Input select"/>
    <tableColumn id="9" xr3:uid="{A4D1B27E-0B44-444E-B98B-A6419E41988F}" name="Ingredient 2 percent" dataDxfId="174"/>
    <tableColumn id="11" xr3:uid="{F2A9BCC1-FAFE-4EB8-8CDA-38D6CD93D9F9}" name="Ingredient 3" dataDxfId="173" dataCellStyle="Input select"/>
    <tableColumn id="12" xr3:uid="{6D3324C0-89A6-405E-B1EE-2E25B08EEF93}" name="Ingredient 3 percent" dataDxfId="172"/>
    <tableColumn id="14" xr3:uid="{C3F47AAC-DA2D-4663-817B-B2503291057E}" name="Ingredient 4" dataDxfId="171" dataCellStyle="Input select"/>
    <tableColumn id="15" xr3:uid="{7EDAEE74-0C71-4164-B70B-AF882AC56369}" name="Ingredient 4 percent" dataCellStyle="Input percent"/>
    <tableColumn id="7" xr3:uid="{B0B809B6-B699-4875-B184-782C793859DC}" name="N application rate (kg/ha)" dataDxfId="170" dataCellStyle="Input number general calculated"/>
    <tableColumn id="10" xr3:uid="{3E6A3AE7-17FB-4AB9-9E73-091D4AA9B994}" name="Urea source (Select)" dataCellStyle="Input select"/>
    <tableColumn id="13" xr3:uid="{9E66BC56-A43F-4BF3-83BA-4C9DD9A7C479}"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8DAB6F-C14D-4742-96C2-5FD31197C06B}" name="Table_Input_Lime" displayName="Table_Input_Lime" ref="D41:K44" totalsRowShown="0" headerRowDxfId="169" dataDxfId="168"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7538648-E042-4F16-AD8A-E95D3CDCCB8F}" name="Product" dataDxfId="167"/>
    <tableColumn id="2" xr3:uid="{7CC9962A-D26D-46EA-B8D2-E79ADEA74705}" name="Amount applied (t/hectare)" dataDxfId="166"/>
    <tableColumn id="4" xr3:uid="{DE27A13C-86BE-4E74-8102-DA137A026B7D}" name="Application area (ha)" dataDxfId="165" dataCellStyle="Input number 2 decimal places">
      <calculatedColumnFormula>X_Cell_Fertiliser_AreaUnderCropping</calculatedColumnFormula>
    </tableColumn>
    <tableColumn id="3" xr3:uid="{9078367D-2723-4F83-B583-96B057FE4F98}" name="Total amount applied (t)" dataDxfId="164" dataCellStyle="Input number general calculated">
      <calculatedColumnFormula>IFERROR(Table_Input_Lime[[#This Row],[Amount applied (t/hectare)]]*Table_Input_Lime[[#This Row],[Application area (ha)]], 0)</calculatedColumnFormula>
    </tableColumn>
    <tableColumn id="6" xr3:uid="{41F91578-F01C-4008-A680-F90A28CED453}" name="Percent Lime CaCO3" dataDxfId="163"/>
    <tableColumn id="8" xr3:uid="{B9267931-257D-4FE5-8FF7-A0D1B9545A09}" name="Percent Dolomite CaMg(CO3)2" dataDxfId="162"/>
    <tableColumn id="7" xr3:uid="{8CABC9AF-DAE4-456E-9704-6E34855277EC}" name="Percent Gypsum" dataDxfId="161"/>
    <tableColumn id="10" xr3:uid="{325AF28F-DB87-42FC-995F-98042CBC7D12}" name="Total" dataDxfId="160"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21047F1-2ED4-480B-B087-6B807C887E9D}" name="Table_Input_OrganicFertiliser" displayName="Table_Input_OrganicFertiliser" ref="D53:J56" totalsRowShown="0" headerRowDxfId="159" dataDxfId="158"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80B8922-FDA0-452D-BB68-7B8D371D597A}" name="Organic fertiliser type (select)" dataDxfId="157" dataCellStyle="Input select"/>
    <tableColumn id="5" xr3:uid="{EAE4E975-2960-483D-84FB-021655F03A5A}" name="Percentage of N in fertiliser" dataDxfId="156"/>
    <tableColumn id="2" xr3:uid="{43795705-E30A-4192-BD9D-BB8123C35E71}" name="Amount applied (kg/hectare)" dataDxfId="155"/>
    <tableColumn id="11" xr3:uid="{1FDC7811-F8F2-4FA5-BE5B-6D3E129BE8FA}" name="Amount N applied (kg/hectare)" dataDxfId="154" dataCellStyle="Input number general calculated">
      <calculatedColumnFormula>Table_Input_OrganicFertiliser[[#This Row],[Amount applied (kg/hectare)]]*Table_Input_OrganicFertiliser[[#This Row],[Percentage of N in fertiliser]]</calculatedColumnFormula>
    </tableColumn>
    <tableColumn id="4" xr3:uid="{D8C9480D-249C-4065-95D4-E040390E4B6A}" name="Application area (ha)" dataDxfId="153" dataCellStyle="Input number 2 decimal places">
      <calculatedColumnFormula>X_Cell_Fertiliser_AreaUnderCropping</calculatedColumnFormula>
    </tableColumn>
    <tableColumn id="7" xr3:uid="{646A2143-B064-4DCE-B535-F2E4D66D444A}" name="Total organic fertliser applied" dataDxfId="152" dataCellStyle="Input number general calculated">
      <calculatedColumnFormula>Table_Input_OrganicFertiliser[[#This Row],[Amount applied (kg/hectare)]]*Table_Input_OrganicFertiliser[[#This Row],[Application area (ha)]]</calculatedColumnFormula>
    </tableColumn>
    <tableColumn id="3" xr3:uid="{1EC40D22-7E86-4C64-AF18-30E8D31749BF}" name="Total nitrogen applied (kg)" dataDxfId="15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B815B00-0135-4F0F-BAB5-B71CF549F24D}" name="Table_Input_Fuel" displayName="Table_Input_Fuel" ref="D16:J21" totalsRowDxfId="150"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A52CFB84-539E-4333-B440-2583AC5BAAB4}" name="Fuel use (select)" totalsRowFunction="average" totalsRowDxfId="149" dataCellStyle="Input select" totalsRowCellStyle="Input select"/>
    <tableColumn id="3" xr3:uid="{5E27524D-6D7C-4A59-A456-FAF0B7FD616A}" name="Fuel type (select)" totalsRowDxfId="148" dataCellStyle="Input select" totalsRowCellStyle="Input select"/>
    <tableColumn id="4" xr3:uid="{067CE7C0-EFF6-4C28-9FFF-FF32C7AAA2B8}" name="Amount purchased" totalsRowDxfId="147" totalsRowCellStyle="Content bold"/>
    <tableColumn id="6" xr3:uid="{A516A367-2EC4-48C5-BAF2-963B691EBC75}" name="Amount unit" totalsRowDxfId="146" dataCellStyle="Input number general calculated"/>
    <tableColumn id="5" xr3:uid="{A8F0F5A9-2ED2-428E-9E28-CAE1E61BF66C}" name="Percent consumed" totalsRowDxfId="145" totalsRowCellStyle="Input percent">
      <calculatedColumnFormula>1</calculatedColumnFormula>
    </tableColumn>
    <tableColumn id="1" xr3:uid="{8865073A-5D12-49E4-BE32-7A9B2D81D83F}" name="Amount consumed" totalsRowFunction="custom" totalsRowDxfId="144" dataCellStyle="Input number general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CA525B42-1D95-44EE-A466-AF713FBA5B44}" name="Amount consumed unit" totalsRowDxfId="143" dataCellStyle="Input number general calculated"/>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F1EDC37-FC15-46E7-9FD0-A04334A79537}"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24BEBA02-CCE1-4132-B3CD-204F07C957A2}"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1135A1DC-F49B-4AD9-8D58-CE1FD9E0BDEE}" name="FNinorganic f">
      <calculatedColumnFormula array="1">Common_InputFunctions.Utility_DisplayArrayInTable(Fertiliser_SourceData.Fertiliser_ChemicalCompoundElements_Data(),Table_Fertiliser_ChemicalCompounds[[#Headers],[Fertiliser type f]], 0)</calculatedColumnFormula>
    </tableColumn>
    <tableColumn id="3" xr3:uid="{230374B1-8AB4-44A8-B26D-2588F8E77403}" name="FU f">
      <calculatedColumnFormula array="1">Common_InputFunctions.Utility_DisplayArrayInTable(Fertiliser_SourceData.Fertiliser_ChemicalCompoundElements_Data(),Table_Fertiliser_ChemicalCompounds[[#Headers],[Fertiliser type f]], 0)</calculatedColumnFormula>
    </tableColumn>
    <tableColumn id="4" xr3:uid="{B027CC39-054F-4EDC-9ABB-E7B9142C6E70}" name="Basis">
      <calculatedColumnFormula array="1">Common_InputFunctions.Utility_DisplayArrayInTable(Fertiliser_SourceData.Fertiliser_ChemicalCompoundElements_Data(),Table_Fertiliser_ChemicalCompounds[[#Headers],[Fertiliser type f]], 0)</calculatedColumnFormula>
    </tableColumn>
    <tableColumn id="5" xr3:uid="{5F5636B3-4E6E-44B4-B6A2-C119D72511FE}"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444BEA27-F642-4E5A-B24D-C6D17C89C182}"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3684E7D-6033-46BD-9005-DD11898401B9}"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121EE516-F10E-49B4-9F88-0BD5AF4EC6C2}" name="Company" totalsRowFunction="custom" totalsRowDxfId="142">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569FE090-79D8-45B7-BA1D-B4624E889A37}"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57139939-EC0F-4E71-9C8C-D704CD291D2B}"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BF8A7ABF-E874-44DE-A1C8-07481CB1C1B0}"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66695276-E58F-4039-8A83-9A6522D7A868}"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89607CD7-0041-496C-9103-37632A2F0703}"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5C1C2113-D26E-40F4-9F49-ECFDBABB9CD0}"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2A7F4526-9833-4283-BA1E-C683DC91816A}"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3BCBEA04-BD67-4DBF-9990-0706FB8B6761}"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CEA5F3B3-B8D9-4967-9102-7D32B3B6A606}"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BCA9D27A-1112-4FAD-A410-10A195349694}"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0E571753-EE97-4E54-A234-CCFDE41334AB}" name="Ingredient 1" totalsRowFunction="custom" totalsRowCellStyle="Content normal">
      <totalsRowFormula array="1">Common_InputFunctions.Utility_DisplayArrayInTable(Fertiliser_SourceData.Fertiliser_Products_Data3(), FertiliserProducts[[#Headers],[Company]],61)</totalsRowFormula>
    </tableColumn>
    <tableColumn id="22" xr3:uid="{E83ED851-BF80-47FE-8169-04E60985E842}"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75DB740D-11C4-4A35-9577-F8189CE8E141}"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1A25B9EB-ED07-4379-92DF-83BCA9BE2C51}"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AA332D93-6CA9-4527-8667-184DC1FC1936}"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8C10E467-D80C-4657-A777-B9F95A0BCCBA}"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5CD9E1FD-25F9-474A-AC73-DE87EB0C0615}"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0EA96EDD-6B04-4835-BFF4-FD1E615DF9C1}"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15C804C0-BA72-41B3-94F7-39042AC5699C}"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E91228EC-DDC7-46F9-B6A0-CFD14E9D0BCB}"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9B556B43-9DB7-492C-ABDB-1E4058B79C06}"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0F42EBE8-2338-441E-88EE-CC4AD003EDCE}"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7A248834-CF30-4AAA-BF26-06C55050EEB3}"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5B164063-7AC6-4D6F-9593-B08BBB154ABA}"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DFB1D5CC-DBE0-4DA4-A2AA-6F00652DF3D2}"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1FD3C21F-8835-465C-867C-8F835A2D894B}"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C8D9B71F-D885-4FF1-B57E-EC63FF1164B2}"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3FB4F322-161F-499D-A0C4-FD3433086719}"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E570AAA6-8A43-404C-A006-E91313A5B9B8}"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A69B6A0D-CD62-4C10-B38F-E86C69DB5E74}" name="Ingredient 10 percent" totalsRow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FCD566-F3C3-4108-BEC5-974513CC0A26}"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DFCEC35C-827E-4C19-BA5D-C3FED9B0753B}" name="Fertiliser type f">
      <calculatedColumnFormula array="1">Common_InputFunctions.Utility_DisplayArrayInTable(Fertiliser_SourceData.Fertiliser_FracGASF_Data(), Table_SourceData_Fertiliser_FracGASF[[#Headers],[Fertiliser type f]], 0)</calculatedColumnFormula>
    </tableColumn>
    <tableColumn id="2" xr3:uid="{58F173D6-21D6-4C1F-BCE6-83437DEB8740}" name="FracGASF f" dataDxfId="141"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CCB5F03-7273-4C1A-BF29-1B56DBA31C6F}" name="Table_SourceData_Fertiliser_CropProdSystems" displayName="Table_SourceData_Fertiliser_CropProdSystems" ref="D41:D43" totalsRowShown="0">
  <autoFilter ref="D41:D43" xr:uid="{24F3A11E-40F5-4BB9-BFF4-A71FA2ADA0EF}">
    <filterColumn colId="0" hiddenButton="1"/>
  </autoFilter>
  <tableColumns count="1">
    <tableColumn id="1" xr3:uid="{A1AB1CB0-EDD2-427A-890F-9AB57E55ECCB}" name="Production system">
      <calculatedColumnFormula>#REF!</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57E87DB5-0663-467E-9BB6-A3D4FD668A43}"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1CC96B89-08C1-4AA1-8A4A-5CB37CA037E2}" name="Irrigation method"/>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E626346-7430-4DAB-91F2-71093338B7F8}" name="Table_SourceData_Fertiliser_CropTypes" displayName="Table_SourceData_Fertiliser_CropTypes" ref="F41:F45" totalsRowShown="0">
  <autoFilter ref="F41:F45" xr:uid="{CB5044B5-FA3C-4AA2-B1AB-72F7E61D072F}">
    <filterColumn colId="0" hiddenButton="1"/>
  </autoFilter>
  <tableColumns count="1">
    <tableColumn id="1" xr3:uid="{A3F483A7-4B7D-47F0-AC95-4459820389B4}" name="Production system"/>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58D0C8F-38D3-488F-8240-DFE4F65848EC}" name="Table_SourceData_OrganicFertiliserTypes" displayName="Table_SourceData_OrganicFertiliserTypes" ref="J41:J46" totalsRowShown="0">
  <autoFilter ref="J41:J46" xr:uid="{B44627B1-537E-4ABC-92C3-57282CEE5B40}">
    <filterColumn colId="0" hiddenButton="1"/>
  </autoFilter>
  <tableColumns count="1">
    <tableColumn id="1" xr3:uid="{C48FFFDC-2AD3-418B-867A-236F78EF6348}" name="Organic fertiliser type"/>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9BA5F48-6D11-482D-9CE1-D4061F71EDCB}"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D202BA6D-F0BF-4E2A-90DC-3442C48502C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0CFA8566-966D-476E-A72E-F46E6E4A3DE0}" name="P" dataDxfId="14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9C1396A9-9B27-49F2-8B84-FD8EDE84F219}" name="EF" dataDxfId="139"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49BB31C-9358-418E-B3BD-17B7DFDD393B}" name="Table2" displayName="Table2" ref="K19:L28" totalsRowShown="0" dataDxfId="138" dataCellStyle="Content normal">
  <autoFilter ref="K19:L28" xr:uid="{27B93029-EB1F-4C4A-A946-CD673A8A6C46}">
    <filterColumn colId="0" hiddenButton="1"/>
    <filterColumn colId="1" hiddenButton="1"/>
  </autoFilter>
  <tableColumns count="2">
    <tableColumn id="1" xr3:uid="{3988D91E-DEDD-40B5-8A50-5D4E50D98D9F}" name="Fertiliser type f" dataDxfId="137" dataCellStyle="Content normal">
      <calculatedColumnFormula array="1">Common_InputFunctions.Utility_DisplayArrayInTable(Fertiliser_SourceData.Fertiliser_FractionNCommonFertilisers_Data(), Table2[[#Headers],[Fertiliser type f]], 0)</calculatedColumnFormula>
    </tableColumn>
    <tableColumn id="2" xr3:uid="{1DB25DF2-CF29-415A-A562-BF124584B298}" name="FNinorganic f" dataDxfId="136"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FBC6A02-D338-4F27-A53A-0BCB557311F5}" name="Table28" displayName="Table28" ref="Q19:R28" totalsRowShown="0" dataDxfId="135" dataCellStyle="Content normal">
  <autoFilter ref="Q19:R28" xr:uid="{791CEA59-796C-47AB-86BC-41E8F699030C}">
    <filterColumn colId="0" hiddenButton="1"/>
    <filterColumn colId="1" hiddenButton="1"/>
  </autoFilter>
  <tableColumns count="2">
    <tableColumn id="1" xr3:uid="{9E5E022A-5414-44BC-B2DC-B755D00620D2}" name="Fertiliser type f" dataDxfId="134" dataCellStyle="Content normal">
      <calculatedColumnFormula array="1">Common_InputFunctions.Utility_DisplayArrayInTable(Fertiliser_SourceData.Fertiliser_FractionUreaCommonFertilisers_Data(), Table28[[#Headers],[Fertiliser type f]], 0)</calculatedColumnFormula>
    </tableColumn>
    <tableColumn id="2" xr3:uid="{6B8A08A1-B3C1-46D6-B1D6-4084FE02FE1E}" name="FNinorganic f" dataDxfId="133"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D7CC5F7-DC86-4545-95CD-1E1A2E8041BC}"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0F4D866F-CD52-4C5D-BC4D-629005105D0F}"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8E0B89D-AC01-4D85-B67D-2CF64926E8DD}" name="Table_Fuel_EFs_StationaryLiquid" displayName="Table_Fuel_EFs_StationaryLiquid" ref="D53:K77" totalsRowShown="0" headerRowDxfId="132" dataDxfId="131">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C87D02E-33BD-4B5F-913B-BDA5C91AE955}" name="Fuel combusted" dataDxfId="130">
      <calculatedColumnFormula array="1">Common_InputFunctions.Utility_DisplayArrayInTable(Fuel_SourceData.Fuel_Scope1Scope3EmissionFactorsStationaryLiquid_Data(), Table_Fuel_EFs_StationaryLiquid[[#Headers],[Fuel combusted]],0)</calculatedColumnFormula>
    </tableColumn>
    <tableColumn id="2" xr3:uid="{1FE1FC80-D243-4223-B54B-E19C8D53C8EE}" name="Energy Content Factor (GJ per unit of fuel)" dataDxfId="129">
      <calculatedColumnFormula array="1">Common_InputFunctions.Utility_DisplayArrayInTable(Fuel_SourceData.Fuel_Scope1Scope3EmissionFactorsStationaryLiquid_Data(), Table_Fuel_EFs_StationaryLiquid[[#Headers],[Fuel combusted]],0)</calculatedColumnFormula>
    </tableColumn>
    <tableColumn id="3" xr3:uid="{B15998C4-7583-4F0D-B139-BDC015A4A2E6}" name="Fuel unit" dataDxfId="128">
      <calculatedColumnFormula array="1">Common_InputFunctions.Utility_DisplayArrayInTable(Fuel_SourceData.Fuel_Scope1Scope3EmissionFactorsStationaryLiquid_Data(), Table_Fuel_EFs_StationaryLiquid[[#Headers],[Fuel combusted]],0)</calculatedColumnFormula>
    </tableColumn>
    <tableColumn id="4" xr3:uid="{44A2532B-2CD6-4907-A77D-10188637288E}" name="Scope 1 Emission Factor (kg CO2 - e / GJ) CO2" dataDxfId="127">
      <calculatedColumnFormula array="1">Common_InputFunctions.Utility_DisplayArrayInTable(Fuel_SourceData.Fuel_Scope1Scope3EmissionFactorsStationaryLiquid_Data(), Table_Fuel_EFs_StationaryLiquid[[#Headers],[Fuel combusted]],0)</calculatedColumnFormula>
    </tableColumn>
    <tableColumn id="5" xr3:uid="{01309F3B-3511-429A-A74B-E83917F13896}" name="Scope 1 Emission Factor (kg CO2 - e / GJ) CH4" dataDxfId="126">
      <calculatedColumnFormula array="1">Common_InputFunctions.Utility_DisplayArrayInTable(Fuel_SourceData.Fuel_Scope1Scope3EmissionFactorsStationaryLiquid_Data(), Table_Fuel_EFs_StationaryLiquid[[#Headers],[Fuel combusted]],0)</calculatedColumnFormula>
    </tableColumn>
    <tableColumn id="6" xr3:uid="{D6E0DCB4-22F7-46C8-A088-476F575B27E1}" name="Scope 1 Emission Factor (kg CO2 - e / GJ) N2O" dataDxfId="125">
      <calculatedColumnFormula array="1">Common_InputFunctions.Utility_DisplayArrayInTable(Fuel_SourceData.Fuel_Scope1Scope3EmissionFactorsStationaryLiquid_Data(), Table_Fuel_EFs_StationaryLiquid[[#Headers],[Fuel combusted]],0)</calculatedColumnFormula>
    </tableColumn>
    <tableColumn id="7" xr3:uid="{F5EC5BE9-CB5C-4645-AFF3-713C49489F55}" name="Scope 1 Emission Factor (kg CO2 - e / GJ) Combined gases" dataDxfId="124">
      <calculatedColumnFormula array="1">Common_InputFunctions.Utility_DisplayArrayInTable(Fuel_SourceData.Fuel_Scope1Scope3EmissionFactorsStationaryLiquid_Data(), Table_Fuel_EFs_StationaryLiquid[[#Headers],[Fuel combusted]],0)</calculatedColumnFormula>
    </tableColumn>
    <tableColumn id="8" xr3:uid="{8656AF00-E924-426F-93E6-4D423F40A87F}" name="Scope 3 Emission Factor (kg CO2 - e / GJ)" dataDxfId="123">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FE9CBE8-70EA-4470-9B0B-BB1C005CF286}" name="Table_Fuel_EFs_Transport" displayName="Table_Fuel_EFs_Transport" ref="D9:L34" totalsRowShown="0" headerRowDxfId="122" dataDxfId="121">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3D7626DC-19AA-4891-A503-F28E25FD97AE}" name="Transport type" dataDxfId="120">
      <calculatedColumnFormula array="1">Common_InputFunctions.Utility_DisplayArrayInTable(Fuel_SourceData.Fuel_Scope1Scope3EmissionFactorsTransport_Data(), Table_Fuel_EFs_Transport[[#Headers],[Transport type]], 0)</calculatedColumnFormula>
    </tableColumn>
    <tableColumn id="2" xr3:uid="{AF8B1B21-03DB-43DB-B10A-4CC8EB085BD7}" name="Fuel combusted" dataDxfId="119">
      <calculatedColumnFormula array="1">Common_InputFunctions.Utility_DisplayArrayInTable(Fuel_SourceData.Fuel_Scope1Scope3EmissionFactorsTransport_Data(), Table_Fuel_EFs_Transport[[#Headers],[Transport type]], 0)</calculatedColumnFormula>
    </tableColumn>
    <tableColumn id="3" xr3:uid="{7C11EE95-BA0F-407D-B693-7117C0DCE73B}" name="Energy Content Factor (GJ per unit of fuel)" dataDxfId="118">
      <calculatedColumnFormula array="1">Common_InputFunctions.Utility_DisplayArrayInTable(Fuel_SourceData.Fuel_Scope1Scope3EmissionFactorsTransport_Data(), Table_Fuel_EFs_Transport[[#Headers],[Transport type]], 0)</calculatedColumnFormula>
    </tableColumn>
    <tableColumn id="4" xr3:uid="{585CA456-0A46-4DD1-AB48-C73F035B5127}" name="Fuel unit" dataDxfId="117">
      <calculatedColumnFormula array="1">Common_InputFunctions.Utility_DisplayArrayInTable(Fuel_SourceData.Fuel_Scope1Scope3EmissionFactorsTransport_Data(), Table_Fuel_EFs_Transport[[#Headers],[Transport type]], 0)</calculatedColumnFormula>
    </tableColumn>
    <tableColumn id="8" xr3:uid="{3A4BD344-31FA-4BDE-9D93-32AC1B0D0427}" name="Scope 1 Emission Factor (kg CO2 - e / GJ) CO2" dataDxfId="116">
      <calculatedColumnFormula array="1">Common_InputFunctions.Utility_DisplayArrayInTable(Fuel_SourceData.Fuel_Scope1Scope3EmissionFactorsTransport_Data(), Table_Fuel_EFs_Transport[[#Headers],[Transport type]], 0)</calculatedColumnFormula>
    </tableColumn>
    <tableColumn id="9" xr3:uid="{03DAA284-AF15-4FC1-89BA-8C86721B4530}" name="Scope 1 Emission Factor (kg CO2 - e / GJ) CH4" dataDxfId="115">
      <calculatedColumnFormula array="1">Common_InputFunctions.Utility_DisplayArrayInTable(Fuel_SourceData.Fuel_Scope1Scope3EmissionFactorsTransport_Data(), Table_Fuel_EFs_Transport[[#Headers],[Transport type]], 0)</calculatedColumnFormula>
    </tableColumn>
    <tableColumn id="10" xr3:uid="{AD402542-00BA-4F24-BC8B-D4CAA30173A5}" name="Scope 1 Emission Factor (kg CO2 - e / GJ) N2O" dataDxfId="114">
      <calculatedColumnFormula array="1">Common_InputFunctions.Utility_DisplayArrayInTable(Fuel_SourceData.Fuel_Scope1Scope3EmissionFactorsTransport_Data(), Table_Fuel_EFs_Transport[[#Headers],[Transport type]], 0)</calculatedColumnFormula>
    </tableColumn>
    <tableColumn id="11" xr3:uid="{4BF6957B-920E-4A32-BF33-8B6022E87217}" name="Scope 1 Emission Factor (kg CO2 - e / GJ) Combined gases" dataDxfId="113">
      <calculatedColumnFormula array="1">Common_InputFunctions.Utility_DisplayArrayInTable(Fuel_SourceData.Fuel_Scope1Scope3EmissionFactorsTransport_Data(), Table_Fuel_EFs_Transport[[#Headers],[Transport type]], 0)</calculatedColumnFormula>
    </tableColumn>
    <tableColumn id="12" xr3:uid="{1CF59E72-BDD1-406F-949B-EF8F185C2872}" name="Scope 3 Emission Factor (kg CO2 - e / GJ)" dataDxfId="112">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9B977F15-1CB1-4CFA-8926-C2646A01CC8D}" name="Table_FuelTypesPerUse" displayName="Table_FuelTypesPerUse" ref="D130:I139" totalsRowShown="0" headerRowDxfId="111" dataDxfId="110">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BEA77669-41BB-4C6E-A6FA-3ED117337BF1}" name="Generators" dataDxfId="109"/>
    <tableColumn id="2" xr3:uid="{D3C1D5E4-620C-414A-9C74-3F1E32298E7D}" name="Power standalone machinery or heating" dataDxfId="108"/>
    <tableColumn id="3" xr3:uid="{76D0945F-BD52-409E-9ACF-E302371C6AC7}" name="Aviation" dataDxfId="107"/>
    <tableColumn id="5" xr3:uid="{07C2EE58-0996-4327-BDFD-3A63FAC8ADF8}" name="Cars and light commercial vehicles" dataDxfId="106"/>
    <tableColumn id="7" xr3:uid="{0AAC86D7-8DFC-457A-9A64-00DCBB0293DC}" name="Off-road Agriculture and forestry equipment" dataDxfId="105" dataCellStyle="Content bold"/>
    <tableColumn id="8" xr3:uid="{9F07B5CD-0AB2-4FB8-89C5-9A85D4B4DF22}" name="Vessels" dataDxfId="104" dataCellStyle="Content bold"/>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2CD8C42-4FD1-4B85-8C04-936C7F3F7E57}" name="Table_Fuel_EFs_StationaryGaseous" displayName="Table_Fuel_EFs_StationaryGaseous" ref="D86:J104" totalsRowShown="0" headerRowDxfId="103" dataDxfId="102">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B9FB755-4D2F-44F7-ABEC-98CFF3EF9ECF}" name="Fuel combusted" dataDxfId="101">
      <calculatedColumnFormula array="1">Common_InputFunctions.Utility_DisplayArrayInTable(Fuel_SourceData.Fuel_Scope1EmissionFactorsStationaryGaseous_Data(), Table_Fuel_EFs_StationaryGaseous[[#Headers],[Fuel combusted]],0)</calculatedColumnFormula>
    </tableColumn>
    <tableColumn id="2" xr3:uid="{BF12245C-2995-4BCB-8306-3C82DD91327B}" name="Energy Content Factor (GJ per unit of fuel)" dataDxfId="100">
      <calculatedColumnFormula array="1">Common_InputFunctions.Utility_DisplayArrayInTable(Fuel_SourceData.Fuel_Scope1EmissionFactorsStationaryGaseous_Data(), Table_Fuel_EFs_StationaryGaseous[[#Headers],[Fuel combusted]],0)</calculatedColumnFormula>
    </tableColumn>
    <tableColumn id="3" xr3:uid="{584A62A8-FEB7-439B-8E59-6984B1511A7D}" name="Fuel unit" dataDxfId="99">
      <calculatedColumnFormula array="1">Common_InputFunctions.Utility_DisplayArrayInTable(Fuel_SourceData.Fuel_Scope1EmissionFactorsStationaryGaseous_Data(), Table_Fuel_EFs_StationaryGaseous[[#Headers],[Fuel combusted]],0)</calculatedColumnFormula>
    </tableColumn>
    <tableColumn id="4" xr3:uid="{C003AC3F-1BA0-4AFA-8496-C09C6D3344A6}" name="Scope 1 Emission Factor (kg CO2 - e / GJ) CO2" dataDxfId="98">
      <calculatedColumnFormula array="1">Common_InputFunctions.Utility_DisplayArrayInTable(Fuel_SourceData.Fuel_Scope1EmissionFactorsStationaryGaseous_Data(), Table_Fuel_EFs_StationaryGaseous[[#Headers],[Fuel combusted]],0)</calculatedColumnFormula>
    </tableColumn>
    <tableColumn id="5" xr3:uid="{A59B7328-45EE-41A9-8AD8-7C6CCBF16C3F}" name="Scope 1 Emission Factor (kg CO2 - e / GJ) CH4" dataDxfId="97">
      <calculatedColumnFormula array="1">Common_InputFunctions.Utility_DisplayArrayInTable(Fuel_SourceData.Fuel_Scope1EmissionFactorsStationaryGaseous_Data(), Table_Fuel_EFs_StationaryGaseous[[#Headers],[Fuel combusted]],0)</calculatedColumnFormula>
    </tableColumn>
    <tableColumn id="6" xr3:uid="{67A4EF1C-A94F-4D5B-8014-BD179CBEE83E}" name="Scope 1 Emission Factor (kg CO2 - e / GJ) N2O" dataDxfId="96">
      <calculatedColumnFormula array="1">Common_InputFunctions.Utility_DisplayArrayInTable(Fuel_SourceData.Fuel_Scope1EmissionFactorsStationaryGaseous_Data(), Table_Fuel_EFs_StationaryGaseous[[#Headers],[Fuel combusted]],0)</calculatedColumnFormula>
    </tableColumn>
    <tableColumn id="7" xr3:uid="{1DE61CD0-3DA1-446F-A98C-C0CB252DDCB1}" name="Scope 1 Emission Factor (kg CO2 - e / GJ) Combined gases" dataDxfId="95">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A75AB5A2-5B0E-4A06-B639-F57390141F92}" name="Table_Fuel_EFs_StationaryGaseous34" displayName="Table_Fuel_EFs_StationaryGaseous34" ref="D112:G120" headerRowDxfId="94" totalsRowDxfId="93">
  <autoFilter ref="D112:G120" xr:uid="{7D6CE29D-2354-4FAC-9965-9A66FFA42416}">
    <filterColumn colId="0" hiddenButton="1"/>
    <filterColumn colId="1" hiddenButton="1"/>
    <filterColumn colId="2" hiddenButton="1"/>
    <filterColumn colId="3" hiddenButton="1"/>
  </autoFilter>
  <tableColumns count="4">
    <tableColumn id="1" xr3:uid="{57F3FE37-3628-4389-B2E3-8AB6DC176373}" name="State or territory" totalsRowDxfId="92">
      <calculatedColumnFormula array="1">Common_InputFunctions.Utility_DisplayArrayInTable(Fuel_SourceData.Fuel_Scope3EmissionFactorsStationaryGaseous_Data(), Table_Fuel_EFs_StationaryGaseous34[[#Headers],[State or territory]],0)</calculatedColumnFormula>
    </tableColumn>
    <tableColumn id="2" xr3:uid="{24B96C46-CE46-4569-A01E-17557D5D2F8B}" name="Metro" totalsRowDxfId="91">
      <calculatedColumnFormula array="1">Common_InputFunctions.Utility_DisplayArrayInTable(Fuel_SourceData.Fuel_Scope3EmissionFactorsStationaryGaseous_Data(), Table_Fuel_EFs_StationaryGaseous34[[#Headers],[State or territory]],0)</calculatedColumnFormula>
    </tableColumn>
    <tableColumn id="3" xr3:uid="{974A27DA-B10A-4C45-BE01-738751B68260}" name="Non-metro" totalsRowDxfId="90">
      <calculatedColumnFormula array="1">Common_InputFunctions.Utility_DisplayArrayInTable(Fuel_SourceData.Fuel_Scope3EmissionFactorsStationaryGaseous_Data(), Table_Fuel_EFs_StationaryGaseous34[[#Headers],[State or territory]],0)</calculatedColumnFormula>
    </tableColumn>
    <tableColumn id="4" xr3:uid="{E4263F22-6F0B-4819-B8C2-4EAE607B9766}" name="Column1" dataDxfId="0" totalsRowDxfId="1"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63C7CA4D-9334-4C2E-92AA-80A9735A1DAC}"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625ACFA1-6436-4C5E-9A01-15E923435F2D}" name="Fuel type"/>
    <tableColumn id="2" xr3:uid="{E6EC1627-B00E-4A63-8D23-D75F725CB33E}" name="Unit"/>
    <tableColumn id="3" xr3:uid="{8C7DEE7A-7A44-49BF-BF6A-451C0260F2FE}" name="Input Unit" dataDxfId="89"/>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E3179605-108B-4262-9D0C-99BBD461204E}"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B479D8B3-13A8-4099-B1A6-4B0B7E6273A8}"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EE9A4C64-03DC-49F1-8000-F117704330B0}" name="Fuel type q" dataDxfId="8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DE7F60F6-481C-4C3C-B500-492A875B73CF}" name="ECTrans,q (GJ/kL)" dataDxfId="8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A78DAD67-B697-4DA0-A5CB-C6A9A462978F}" name="Scope 1 CO2 EFTran,1,tqg (kg CO2-e/GJ)" dataDxfId="8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0D738EE7-639B-467D-A0B6-3DCF8CE88A06}" name="Scope 1 CH4 EFTran,1,tgg (kg CO2-e/GJ)" dataDxfId="85"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903F8A65-763E-4BA3-B13D-0DA8D496FAEC}" name="Scope 1 N2O EFTran,1,tgg (kg CO2-e/GJ)" dataDxfId="84"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6C9B5200-7AC6-45CA-81EB-411670CCF0C1}" name="Scope 3 EFTrans,3,q (kg CO2-e/GJ)" dataDxfId="83"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2DCCCF6-9623-46D4-8FAD-3F97A156B46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A37AD80-26B8-4BF8-ADF5-D6550355DD28}" name="State/Territory">
      <calculatedColumnFormula array="1">Common_InputFunctions.Utility_DisplayArrayInTable(Common_SourceData.Common_SourceData_AustralianStatesTerritories_Data(),Table_AustralianStates[[#Headers],[State/Territory]],0)</calculatedColumnFormula>
    </tableColumn>
    <tableColumn id="2" xr3:uid="{4B8C4193-DBF9-40D7-BE6F-B61A78972A19}" name="Common Name">
      <calculatedColumnFormula array="1">Common_InputFunctions.Utility_DisplayArrayInTable(Common_SourceData.Common_SourceData_AustralianStatesTerritories_Data(),Table_AustralianStates[[#Headers],[State/Territory]],0)</calculatedColumnFormula>
    </tableColumn>
    <tableColumn id="3" xr3:uid="{D734512A-DF1F-4675-84DB-6631F0B5F09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A12BF50-B2C0-4F28-B769-DF65D965FAE9}" name="Table_WASA4Areas" displayName="Table_WASA4Areas" ref="D20:D30" totalsRowShown="0">
  <autoFilter ref="D20:D30" xr:uid="{5FA81339-C6C8-4D36-BEEA-6C4AEDD9E676}">
    <filterColumn colId="0" hiddenButton="1"/>
  </autoFilter>
  <tableColumns count="1">
    <tableColumn id="1" xr3:uid="{4BF14B43-C5E4-43E5-94C6-5CC3A372759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DD775225-E136-4188-80E7-4D6D9C573916}" name="Table_GWPData" displayName="Table_GWPData" ref="D36:E43" totalsRowShown="0">
  <autoFilter ref="D36:E43" xr:uid="{B8E87A66-3E41-4AD3-925D-01EE21B43D7A}">
    <filterColumn colId="0" hiddenButton="1"/>
    <filterColumn colId="1" hiddenButton="1"/>
  </autoFilter>
  <tableColumns count="2">
    <tableColumn id="1" xr3:uid="{76E3CEEF-940D-4F96-9826-4894969F6766}" name="Gas">
      <calculatedColumnFormula array="1">Common_InputFunctions.Utility_DisplayArrayInTable(Common_SourceData.Common_SourceData_GWP_Data(), Table_GWPData[[#Headers],[Gas]], 0)</calculatedColumnFormula>
    </tableColumn>
    <tableColumn id="2" xr3:uid="{76A8CD4A-9663-4DC0-9557-E51650245E1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367B7C6-11CC-4998-A676-0EA0F8A7CB1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5AF6AFF8-7156-4068-AFA1-A05A77586EE1}" name="Gas">
      <calculatedColumnFormula array="1">Common_InputFunctions.Utility_DisplayArrayInTable(Common_SourceData.Common_SourceData_ConvertGasElementalToMolecular_Data(),Table_GasToMolecularConversionFactor[[#Headers],[Gas]], 0)</calculatedColumnFormula>
    </tableColumn>
    <tableColumn id="5" xr3:uid="{4A3CCAEC-4580-4A55-8150-10E53100F1D8}" name="Conversion factor">
      <calculatedColumnFormula array="1">Common_InputFunctions.Utility_DisplayArrayInTable(Common_SourceData.Common_SourceData_ConvertGasElementalToMolecular_Data(),Table_GasToMolecularConversionFactor[[#Headers],[Gas]], 0)</calculatedColumnFormula>
    </tableColumn>
    <tableColumn id="2" xr3:uid="{F1FE2B8A-3DB9-435C-89C3-EE2E9DD4241C}" name="Conversion factor 1">
      <calculatedColumnFormula array="1">Common_InputFunctions.Utility_DisplayArrayInTable(Common_SourceData.Common_SourceData_ConvertGasElementalToMolecular_Data(),Table_GasToMolecularConversionFactor[[#Headers],[Gas]], 0)</calculatedColumnFormula>
    </tableColumn>
    <tableColumn id="3" xr3:uid="{5131E514-D05A-475A-9713-A54EB9EB24A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AF394157-5599-422B-89CD-3C15030D9AB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5F0D4774-559F-4D21-BE5C-CCE562DDF9F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42CCBAE-686B-4EA5-A752-7B43B2E847A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CA2244E-2A25-461B-8103-77F0B17AC271}" name="MAT" totalsRowDxfId="82" totalsRowCellStyle="Content bold">
      <calculatedColumnFormula array="1">Common_InputFunctions.Utility_DisplayArrayInTable(Common_SourceData.Common_SourceData_ClimateZones_Data(), Table_SourceData_ClimateZones[[#Headers],[Climate zone]], 0)</calculatedColumnFormula>
    </tableColumn>
    <tableColumn id="3" xr3:uid="{EF3A0CD1-0E95-4732-8878-F26CFFAA5745}" name="MAP" totalsRowDxfId="81" totalsRowCellStyle="Content bold">
      <calculatedColumnFormula array="1">Common_InputFunctions.Utility_DisplayArrayInTable(Common_SourceData.Common_SourceData_ClimateZones_Data(), Table_SourceData_ClimateZones[[#Headers],[Climate zone]], 0)</calculatedColumnFormula>
    </tableColumn>
    <tableColumn id="4" xr3:uid="{5486BCB9-64F4-459D-8E1B-B9A9836223CD}" name="Frost days per year" totalsRowDxfId="80" totalsRowCellStyle="Content bold">
      <calculatedColumnFormula array="1">Common_InputFunctions.Utility_DisplayArrayInTable(Common_SourceData.Common_SourceData_ClimateZones_Data(), Table_SourceData_ClimateZones[[#Headers],[Climate zone]], 0)</calculatedColumnFormula>
    </tableColumn>
    <tableColumn id="5" xr3:uid="{D08F1118-3EE8-41F0-9822-F9358692BF2C}" name="Elevation" totalsRowDxfId="79" totalsRowCellStyle="Content bold">
      <calculatedColumnFormula array="1">Common_InputFunctions.Utility_DisplayArrayInTable(Common_SourceData.Common_SourceData_ClimateZones_Data(), Table_SourceData_ClimateZones[[#Headers],[Climate zone]], 0)</calculatedColumnFormula>
    </tableColumn>
    <tableColumn id="6" xr3:uid="{59390B9F-BBD8-4C3D-A119-7915AD070A8C}" name="MAP:PET" totalsRowDxfId="78" totalsRowCellStyle="Content bold">
      <calculatedColumnFormula array="1">Common_InputFunctions.Utility_DisplayArrayInTable(Common_SourceData.Common_SourceData_ClimateZones_Data(), Table_SourceData_ClimateZones[[#Headers],[Climate zone]], 0)</calculatedColumnFormula>
    </tableColumn>
    <tableColumn id="7" xr3:uid="{0B01CD16-6DBD-43A9-82CA-F5212C850250}" name="Min temp" totalsRowDxfId="77" totalsRowCellStyle="Content bold">
      <calculatedColumnFormula array="1">Common_InputFunctions.Utility_DisplayArrayInTable(Common_SourceData.Common_SourceData_ClimateZones_Data(), Table_SourceData_ClimateZones[[#Headers],[Climate zone]], 0)</calculatedColumnFormula>
    </tableColumn>
    <tableColumn id="8" xr3:uid="{BFAF9C24-619D-4491-9D0B-DF338BE3E5E3}" name="Max temp" totalsRowDxfId="76" totalsRowCellStyle="Content bold">
      <calculatedColumnFormula array="1">Common_InputFunctions.Utility_DisplayArrayInTable(Common_SourceData.Common_SourceData_ClimateZones_Data(), Table_SourceData_ClimateZones[[#Headers],[Climate zone]], 0)</calculatedColumnFormula>
    </tableColumn>
    <tableColumn id="9" xr3:uid="{D7F3DAD5-7145-4A67-8FC9-2D27551FD5CD}" name="Min rainfall" totalsRowDxfId="75" totalsRowCellStyle="Content bold">
      <calculatedColumnFormula array="1">Common_InputFunctions.Utility_DisplayArrayInTable(Common_SourceData.Common_SourceData_ClimateZones_Data(), Table_SourceData_ClimateZones[[#Headers],[Climate zone]], 0)</calculatedColumnFormula>
    </tableColumn>
    <tableColumn id="10" xr3:uid="{E77D8F4B-389D-4C0D-8D94-BC51C1C18896}" name="Max rainfall" totalsRowDxfId="74" totalsRowCellStyle="Content bold">
      <calculatedColumnFormula array="1">Common_InputFunctions.Utility_DisplayArrayInTable(Common_SourceData.Common_SourceData_ClimateZones_Data(), Table_SourceData_ClimateZones[[#Headers],[Climate zone]], 0)</calculatedColumnFormula>
    </tableColumn>
    <tableColumn id="11" xr3:uid="{DEFFDA3B-EDA2-42E1-9850-2492F98E80CE}" name="Min frost days" totalsRowDxfId="73" totalsRowCellStyle="Content bold">
      <calculatedColumnFormula array="1">Common_InputFunctions.Utility_DisplayArrayInTable(Common_SourceData.Common_SourceData_ClimateZones_Data(), Table_SourceData_ClimateZones[[#Headers],[Climate zone]], 0)</calculatedColumnFormula>
    </tableColumn>
    <tableColumn id="15" xr3:uid="{A6466F2B-43B8-4175-AEF1-A494CB1D1D19}" name="Max frost days" totalsRowDxfId="72" totalsRowCellStyle="Content bold">
      <calculatedColumnFormula array="1">Common_InputFunctions.Utility_DisplayArrayInTable(Common_SourceData.Common_SourceData_ClimateZones_Data(), Table_SourceData_ClimateZones[[#Headers],[Climate zone]], 0)</calculatedColumnFormula>
    </tableColumn>
    <tableColumn id="12" xr3:uid="{BC52070D-5AF4-474F-9883-B217986F2622}" name="Min elevation" totalsRowDxfId="71" totalsRowCellStyle="Content bold">
      <calculatedColumnFormula array="1">Common_InputFunctions.Utility_DisplayArrayInTable(Common_SourceData.Common_SourceData_ClimateZones_Data(), Table_SourceData_ClimateZones[[#Headers],[Climate zone]], 0)</calculatedColumnFormula>
    </tableColumn>
    <tableColumn id="16" xr3:uid="{861834F0-AF8C-4233-B4CF-01A3E8DB9BDC}" name="Max elevation" totalsRowDxfId="70" totalsRowCellStyle="Content bold">
      <calculatedColumnFormula array="1">Common_InputFunctions.Utility_DisplayArrayInTable(Common_SourceData.Common_SourceData_ClimateZones_Data(), Table_SourceData_ClimateZones[[#Headers],[Climate zone]], 0)</calculatedColumnFormula>
    </tableColumn>
    <tableColumn id="13" xr3:uid="{921A837F-DDC9-4B53-9BF3-BFDC1DFD52DD}" name="Min MAP:PET" totalsRowDxfId="69" totalsRowCellStyle="Content bold">
      <calculatedColumnFormula array="1">Common_InputFunctions.Utility_DisplayArrayInTable(Common_SourceData.Common_SourceData_ClimateZones_Data(), Table_SourceData_ClimateZones[[#Headers],[Climate zone]], 0)</calculatedColumnFormula>
    </tableColumn>
    <tableColumn id="17" xr3:uid="{67A2EF78-7EE9-4443-8505-B027EAC097D7}" name="Max MAP:PET" totalsRowDxfId="6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6624F3F-9605-4A37-9233-97F41645AA6A}"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1416A4B8-0477-4863-A2EB-08D05A0719A3}"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FBA0391C-8096-44D4-9318-58AE5A117EA6}" name="Wet or Dry Zone" totalsRowDxfId="6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B211F2B-68EE-405C-B7A4-7A621E0786D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8CBC1D43-6B70-48EA-964A-AE7905EA8045}" name="Temperature Zone">
      <calculatedColumnFormula array="1">Common_InputFunctions.Utility_DisplayArrayInTable(Common_SourceData.Common_SourceData_TemperatureZones_Data(),Table_SourceData_TemperatureZones[[#Headers],[Temperature Zone]],0)</calculatedColumnFormula>
    </tableColumn>
    <tableColumn id="2" xr3:uid="{F955B53F-9C0C-4BBF-8A27-7D26986B3892}" name="MAT">
      <calculatedColumnFormula array="1">Common_InputFunctions.Utility_DisplayArrayInTable(Common_SourceData.Common_SourceData_TemperatureZones_Data(),Table_SourceData_TemperatureZones[[#Headers],[Temperature Zone]],0)</calculatedColumnFormula>
    </tableColumn>
    <tableColumn id="3" xr3:uid="{3F76A906-5C61-497F-A5D4-E37963640E92}" name="Min MAT">
      <calculatedColumnFormula array="1">Common_InputFunctions.Utility_DisplayArrayInTable(Common_SourceData.Common_SourceData_TemperatureZones_Data(),Table_SourceData_TemperatureZones[[#Headers],[Temperature Zone]],0)</calculatedColumnFormula>
    </tableColumn>
    <tableColumn id="4" xr3:uid="{39D12633-A5DE-4059-AD8B-4A37B67A6CA1}"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B6C97AB-258B-4141-911E-681B0F45FD41}"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8F62325-70AC-4FE5-8B91-C8B0897947C8}" name="Rainfall Zone">
      <calculatedColumnFormula array="1">Common_InputFunctions.Utility_DisplayArrayInTable(Common_SourceData.Common_SourceData_RainfallZones_Data(),Table_SourceData_RainfallZones[[#Headers],[Rainfall Zone]],0)</calculatedColumnFormula>
    </tableColumn>
    <tableColumn id="2" xr3:uid="{EA8B3174-62BF-4413-A1D1-AD7F17E48855}" name="Annual rainfall">
      <calculatedColumnFormula array="1">Common_InputFunctions.Utility_DisplayArrayInTable(Common_SourceData.Common_SourceData_RainfallZones_Data(),Table_SourceData_RainfallZones[[#Headers],[Rainfall Zone]],0)</calculatedColumnFormula>
    </tableColumn>
    <tableColumn id="3" xr3:uid="{B53FD3EB-06E6-4D73-B2A4-D010E7F5AC22}" name="Min rainfall">
      <calculatedColumnFormula array="1">Common_InputFunctions.Utility_DisplayArrayInTable(Common_SourceData.Common_SourceData_RainfallZones_Data(),Table_SourceData_RainfallZones[[#Headers],[Rainfall Zone]],0)</calculatedColumnFormula>
    </tableColumn>
    <tableColumn id="4" xr3:uid="{C2A3929C-6753-4380-8588-A8AF6B353127}"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E8C75C6C-5A0F-4F18-86D2-07FDA33A7B8F}"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4C328FE0-0CC1-4AA8-8657-CCA18A9AB819}" name="Leaching Zone">
      <calculatedColumnFormula array="1">Common_InputFunctions.Utility_DisplayArrayInTable(Common_SourceData.Common_SourceData_LeachingZones_Data(), Table_SourceData_LeachingZones[[#Headers],[Leaching Zone]], 0)</calculatedColumnFormula>
    </tableColumn>
    <tableColumn id="2" xr3:uid="{B4BBC09D-25D5-48C6-8EC8-101E73DD5C6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9654206-678F-4FA3-8759-43E5E56FE33A}"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EDEBA4C-5C70-4CA5-B3ED-D58AD25021BB}" name="Data source">
      <calculatedColumnFormula array="1">Common_InputFunctions.Utility_DisplayArrayInTable(Common_SourceData.Common_SourceData_DataScores_Scope3_Data(), Table_SourceData_DataScores_Scope3[[#Headers],[Data source]], 0)</calculatedColumnFormula>
    </tableColumn>
    <tableColumn id="2" xr3:uid="{759DB2A8-829E-4DCA-B4B8-695E00D419A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AE17E78-ADE5-4F24-85E6-1AFFF21DD51F}" name="Table_SourceData_FracWET" displayName="Table_SourceData_FracWET" ref="D134:E136" totalsRowShown="0">
  <autoFilter ref="D134:E136" xr:uid="{308E99BE-FE1F-47A4-B2CA-97217277C4E9}">
    <filterColumn colId="0" hiddenButton="1"/>
    <filterColumn colId="1" hiddenButton="1"/>
  </autoFilter>
  <tableColumns count="2">
    <tableColumn id="1" xr3:uid="{71AC32D5-1F95-44E3-8A60-C83C205D0818}" name="Is in leaching zone">
      <calculatedColumnFormula array="1">Common_InputFunctions.Utility_DisplayArrayInTable(Common_SourceData.Common_SourceData_FracWET_Data(),Table_SourceData_FracWET[[#Headers],[Is in leaching zone]],0)</calculatedColumnFormula>
    </tableColumn>
    <tableColumn id="2" xr3:uid="{3A7C4543-4EFE-4C64-AD4E-C77F5BE87759}" name="FracWET" dataDxfId="6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76608166-ED7B-4FA2-871D-42591D9F82C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5A15BAC9-3A79-4F09-A7D6-8521CE1E9BF8}" name="Production system j">
      <calculatedColumnFormula array="1">Common_InputFunctions.Utility_DisplayArrayInTable(Common_SourceData.Common_SourceData_EFN2O_Data(), Table_SourceData_Common_EFN2O[[#Headers],[Production system j]], 0)</calculatedColumnFormula>
    </tableColumn>
    <tableColumn id="2" xr3:uid="{13D7BC03-63FB-4FA8-8275-F1DBB7E79167}" name="EFN2O">
      <calculatedColumnFormula array="1">Common_InputFunctions.Utility_DisplayArrayInTable(Common_SourceData.Common_SourceData_EFN2O_Data(), Table_SourceData_Common_EFN2O[[#Headers],[Production system j]], 0)</calculatedColumnFormula>
    </tableColumn>
    <tableColumn id="3" xr3:uid="{9355E005-41CB-4244-A426-F8EB6685118F}" name="Production system only">
      <calculatedColumnFormula array="1">Common_InputFunctions.Utility_DisplayArrayInTable(Common_SourceData.Common_SourceData_EFN2O_Data(), Table_SourceData_Common_EFN2O[[#Headers],[Production system j]], 0)</calculatedColumnFormula>
    </tableColumn>
    <tableColumn id="4" xr3:uid="{422AF928-8B9C-45BF-9BBF-F63CF34891ED}" name="Irrigation method">
      <calculatedColumnFormula array="1">Common_InputFunctions.Utility_DisplayArrayInTable(Common_SourceData.Common_SourceData_EFN2O_Data(), Table_SourceData_Common_EFN2O[[#Headers],[Production system j]], 0)</calculatedColumnFormula>
    </tableColumn>
    <tableColumn id="5" xr3:uid="{F9EB399F-F634-432D-BA5A-8AA76782DFBE}"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64AFF8B-A35D-44E3-BBA4-7453B49075CB}"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C01D62F-1834-40C2-9BB0-EF7883C29AFC}" name="Irrigation type i">
      <calculatedColumnFormula array="1">Common_InputFunctions.Utility_DisplayArrayInTable(Common_SourceData.Common_SourceData_FracWETIrrigation_Data(), Table_SourceData_FracWETIrrigation[[#Headers],[Irrigation type i]], 0)</calculatedColumnFormula>
    </tableColumn>
    <tableColumn id="2" xr3:uid="{B92BCEE4-C7BC-4A60-9296-D3BA7D319EA3}" name="FracWET" dataDxfId="6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C831A5D-7F53-410A-B535-C272EB0CBE7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7A61B0B2-01D4-4265-AC07-0C283A45B5F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40FBA7D-F946-42E5-8840-79709FC7DADB}" name="EFPRP" dataDxfId="6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726EC83-D820-400A-94FF-13B9640357C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721320A-BD46-462E-AED0-02D5CE592D82}" name="Month">
      <calculatedColumnFormula array="1">Common_InputFunctions.Utility_DisplayArrayInTable(Common_SourceData.Common_SourceData_MonthsToSeasons_Data(), Table_SourceData_Common_MonthToSeason[[#Headers],[Month]], 0)</calculatedColumnFormula>
    </tableColumn>
    <tableColumn id="2" xr3:uid="{F7CBC3F4-82AC-4D05-80E8-BFBA082C1C08}" name="Season" dataDxfId="6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290FBD30-3454-4C59-B8ED-87A62E67E23A}"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ECFE791-4613-4588-9A30-C29680420CF0}"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6DDCA26-F494-42AB-A341-2DC2A530F7CC}" name="MAT (ºC)" dataDxfId="6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6110C1E-C462-4548-B0C3-C8EFC0C38A75}" name="Anaerobic lagoon" dataDxfId="6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FCF1518-11A1-4DAB-8850-4699547B9209}" name="Digester / covered lagoons" dataDxfId="6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14E75798-E773-4384-9856-BEB52763DFC8}" name="Liquid systems" dataDxfId="5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1E1BAEC1-8F66-4698-B266-E544A9B86C3D}" name="Daily spread" dataDxfId="5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B59E468-F7A4-44DF-B374-097C483D5326}" name="Composting (passive windrow)" dataDxfId="5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B7F802C-0201-408A-BEF5-CD2D19A9080D}" name="Solid storage" dataDxfId="5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8143B192-6129-465D-A688-665AF0B535FE}" name="Pit storage" dataDxfId="5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E82D2E9A-41C6-445C-BFB4-E1444428C570}" name="Deep litter" dataDxfId="5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8073C9F-1A83-427D-856A-DB1534978205}" name="Poultry manure with bedding" dataDxfId="5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F593F6-8D3E-4B06-B5DB-C9209871B77B}" name="Poultry manure without bedding" dataDxfId="5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249F4794-93EE-4A09-B993-C22CAEC678F8}" name="Direct processing" dataDxfId="5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FE83EF1-4D9B-45AC-91B4-64A2E71A2F50}" name="Direct application" dataDxfId="5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4CB4EB58-FA64-44C2-AA67-6810721CAC40}" name="Pasture range and paddock" dataDxfId="4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3095F771-5FAE-48A2-AF9C-2B56CD96483C}" name="MAT raw" dataDxfId="4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9AE98D8-CC96-471E-B1D3-FB22978A6B7C}"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5AD13E31-F648-4032-B880-8C3DC06557B5}"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9FE2A71-FC7A-47D0-AA83-D3562A6EB39B}" name="EFNi &amp; EFN2Oi" dataDxfId="4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A8B56D7-73C1-4434-B635-62A4FE1B21AF}"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6441DED1-920D-4CB4-B8A8-3F0C5B739B56}" name="Description" dataDxfId="46" dataCellStyle="Content normal"/>
    <tableColumn id="1" xr3:uid="{AA1DC1FA-EB99-4596-B85B-373F7C251A0D}" name="ID"/>
    <tableColumn id="3" xr3:uid="{CEAC8412-8D56-4472-9490-372300404E71}" name="Score"/>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4AB1286-5DC9-4762-A6AA-D093231314F6}"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EBBACF02-33BC-4292-8543-F247A435C522}" name="Description"/>
    <tableColumn id="2" xr3:uid="{B310906E-1AC5-4843-9892-59B23A1D23C2}" name="ID"/>
    <tableColumn id="3" xr3:uid="{589E59E0-58F2-42CE-8617-1665EFC533CA}" name="Score"/>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86C1717-3603-49EF-9C09-DA0C4735664F}"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1BD732EC-E6B3-44AA-BFE9-9E2254CDCD8A}" name="Description"/>
    <tableColumn id="2" xr3:uid="{8DEAED7E-6A13-45F6-846B-44DE802BBE60}" name="ID"/>
    <tableColumn id="3" xr3:uid="{5C7CE100-C218-4681-9F3C-2FF959368A77}" name="Score"/>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CA567294-FA43-4897-9A33-CB51AB292826}"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5E552CA8-52EE-41D1-ABF8-8FB1356BEA62}" name="Description"/>
    <tableColumn id="2" xr3:uid="{2383AD31-3BF1-4EF2-B544-5DDF8FC65A08}" name="ID"/>
    <tableColumn id="3" xr3:uid="{10BC2248-A94C-48DC-90EC-B199EB163A27}" name="Score"/>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C4E1D2F-185E-4B56-9A04-9422B9FAEAAE}" name="Table_Input_DataQuality" displayName="Table_Input_DataQuality" ref="D6:J7" totalsRowShown="0" headerRowCellStyle="Input table column header">
  <autoFilter ref="D6:J7" xr:uid="{13023411-FAD9-40B6-9366-7826422CBF8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A5B16F9-8C3A-4E71-8E75-E40E63477857}" name="Input"/>
    <tableColumn id="2" xr3:uid="{B36C3A6D-5D2A-411F-8FDF-551B0F91C2B2}" name="Temporal representativeness" dataCellStyle="Input select"/>
    <tableColumn id="3" xr3:uid="{A6FBA595-4E78-4D43-B95A-D7307772AFEE}" name="Spatial resolution" dataCellStyle="Input select"/>
    <tableColumn id="4" xr3:uid="{A2F061E9-0C51-48C7-A233-819FE284ECD7}" name="Sample size" dataCellStyle="Input select"/>
    <tableColumn id="5" xr3:uid="{2E8B5CE6-9BDF-4858-A2F6-C5AE1E37112E}" name="Notes"/>
    <tableColumn id="6" xr3:uid="{4EADE9A3-44EC-401C-9228-5E041AD07075}" name="Evidence files"/>
    <tableColumn id="7" xr3:uid="{B03E4480-1618-4C18-9AFD-9C12B3203028}" name="Score" dataCellStyle="Input number general calculated">
      <calculatedColumnFormula>_xlfn.XLOOKUP(Table_Input_DataQuality[[#This Row],[Temporal representativeness]],Table_SourceData_DataQuality_TemporalRepresentativeness[ID],Table_SourceData_DataQuality_TemporalRepresentativeness[Score])+_xlfn.XLOOKUP(Table_Input_DataQuality[[#This Row],[Spatial resolution]],Table_SourceData_DataQuality_SpatialRepresentativeness[ID],Table_SourceData_DataQuality_SpatialRepresentativeness[Score])+_xlfn.XLOOKUP(Table_Input_DataQuality[[#This Row],[Sample size]],Table_SourceData_DataQuality_SampleSize[ID],Table_SourceData_DataQuality_SampleSize[Score])</calculatedColumnFormula>
    </tableColumn>
  </tableColumns>
  <tableStyleInfo name="Editable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AF0985D-D7F1-471F-BE9B-96EB85DEE4F5}">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CDB3165D-9942-4FD4-A356-0CB3EECA2EB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2.xml"/><Relationship Id="rId3" Type="http://schemas.openxmlformats.org/officeDocument/2006/relationships/table" Target="../tables/table7.xml"/><Relationship Id="rId7" Type="http://schemas.openxmlformats.org/officeDocument/2006/relationships/table" Target="../tables/table11.xml"/><Relationship Id="rId12" Type="http://schemas.openxmlformats.org/officeDocument/2006/relationships/table" Target="../tables/table16.xml"/><Relationship Id="rId2" Type="http://schemas.openxmlformats.org/officeDocument/2006/relationships/table" Target="../tables/table6.xml"/><Relationship Id="rId1" Type="http://schemas.openxmlformats.org/officeDocument/2006/relationships/printerSettings" Target="../printerSettings/printerSettings10.bin"/><Relationship Id="rId6" Type="http://schemas.openxmlformats.org/officeDocument/2006/relationships/table" Target="../tables/table10.xml"/><Relationship Id="rId11" Type="http://schemas.openxmlformats.org/officeDocument/2006/relationships/table" Target="../tables/table15.xml"/><Relationship Id="rId5" Type="http://schemas.openxmlformats.org/officeDocument/2006/relationships/table" Target="../tables/table9.xml"/><Relationship Id="rId10" Type="http://schemas.openxmlformats.org/officeDocument/2006/relationships/table" Target="../tables/table14.xml"/><Relationship Id="rId4" Type="http://schemas.openxmlformats.org/officeDocument/2006/relationships/table" Target="../tables/table8.xml"/><Relationship Id="rId9"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9.xml"/><Relationship Id="rId7" Type="http://schemas.openxmlformats.org/officeDocument/2006/relationships/table" Target="../tables/table23.xml"/><Relationship Id="rId2" Type="http://schemas.openxmlformats.org/officeDocument/2006/relationships/table" Target="../tables/table18.xml"/><Relationship Id="rId1" Type="http://schemas.openxmlformats.org/officeDocument/2006/relationships/table" Target="../tables/table17.xml"/><Relationship Id="rId6" Type="http://schemas.openxmlformats.org/officeDocument/2006/relationships/table" Target="../tables/table22.xml"/><Relationship Id="rId5" Type="http://schemas.openxmlformats.org/officeDocument/2006/relationships/table" Target="../tables/table21.xml"/><Relationship Id="rId4" Type="http://schemas.openxmlformats.org/officeDocument/2006/relationships/table" Target="../tables/table20.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30.xml"/><Relationship Id="rId13" Type="http://schemas.openxmlformats.org/officeDocument/2006/relationships/table" Target="../tables/table35.xml"/><Relationship Id="rId18" Type="http://schemas.openxmlformats.org/officeDocument/2006/relationships/table" Target="../tables/table40.xml"/><Relationship Id="rId3" Type="http://schemas.openxmlformats.org/officeDocument/2006/relationships/table" Target="../tables/table25.xml"/><Relationship Id="rId21" Type="http://schemas.openxmlformats.org/officeDocument/2006/relationships/table" Target="../tables/table43.xml"/><Relationship Id="rId7" Type="http://schemas.openxmlformats.org/officeDocument/2006/relationships/table" Target="../tables/table29.xml"/><Relationship Id="rId12" Type="http://schemas.openxmlformats.org/officeDocument/2006/relationships/table" Target="../tables/table34.xml"/><Relationship Id="rId17" Type="http://schemas.openxmlformats.org/officeDocument/2006/relationships/table" Target="../tables/table39.xml"/><Relationship Id="rId2" Type="http://schemas.openxmlformats.org/officeDocument/2006/relationships/table" Target="../tables/table24.xml"/><Relationship Id="rId16" Type="http://schemas.openxmlformats.org/officeDocument/2006/relationships/table" Target="../tables/table38.xml"/><Relationship Id="rId20" Type="http://schemas.openxmlformats.org/officeDocument/2006/relationships/table" Target="../tables/table42.xml"/><Relationship Id="rId1" Type="http://schemas.openxmlformats.org/officeDocument/2006/relationships/printerSettings" Target="../printerSettings/printerSettings11.bin"/><Relationship Id="rId6" Type="http://schemas.openxmlformats.org/officeDocument/2006/relationships/table" Target="../tables/table28.xml"/><Relationship Id="rId11" Type="http://schemas.openxmlformats.org/officeDocument/2006/relationships/table" Target="../tables/table33.xml"/><Relationship Id="rId5" Type="http://schemas.openxmlformats.org/officeDocument/2006/relationships/table" Target="../tables/table27.xml"/><Relationship Id="rId15" Type="http://schemas.openxmlformats.org/officeDocument/2006/relationships/table" Target="../tables/table37.xml"/><Relationship Id="rId10" Type="http://schemas.openxmlformats.org/officeDocument/2006/relationships/table" Target="../tables/table32.xml"/><Relationship Id="rId19" Type="http://schemas.openxmlformats.org/officeDocument/2006/relationships/table" Target="../tables/table41.xml"/><Relationship Id="rId4" Type="http://schemas.openxmlformats.org/officeDocument/2006/relationships/table" Target="../tables/table26.xml"/><Relationship Id="rId9" Type="http://schemas.openxmlformats.org/officeDocument/2006/relationships/table" Target="../tables/table31.xml"/><Relationship Id="rId14" Type="http://schemas.openxmlformats.org/officeDocument/2006/relationships/table" Target="../tables/table36.xml"/><Relationship Id="rId22" Type="http://schemas.openxmlformats.org/officeDocument/2006/relationships/table" Target="../tables/table4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4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5CD6C-A492-40D3-8DFC-20552A4EEB83}">
  <sheetPr>
    <tabColor rgb="FF0C769E"/>
  </sheetPr>
  <dimension ref="A1:A29"/>
  <sheetViews>
    <sheetView zoomScaleNormal="100" workbookViewId="0">
      <pane xSplit="1" topLeftCell="B1" activePane="topRight" state="frozenSplit"/>
      <selection pane="topRight" activeCell="A28" sqref="A28"/>
    </sheetView>
  </sheetViews>
  <sheetFormatPr defaultRowHeight="20.100000000000001" customHeight="1" x14ac:dyDescent="0.2"/>
  <cols>
    <col min="1" max="1" width="36.7109375" customWidth="1"/>
  </cols>
  <sheetData>
    <row r="1" spans="1:1" ht="30" customHeight="1" x14ac:dyDescent="0.35">
      <c r="A1" s="23" t="e" vm="1">
        <v>#VALUE!</v>
      </c>
    </row>
    <row r="3" spans="1:1" ht="20.100000000000001" customHeight="1" x14ac:dyDescent="0.2">
      <c r="A3" s="167" t="str">
        <f>HYPERLINK("#'Home'!A1", "Home")</f>
        <v>Home</v>
      </c>
    </row>
    <row r="6" spans="1:1" ht="20.100000000000001" customHeight="1" x14ac:dyDescent="0.2">
      <c r="A6" s="40" t="s">
        <v>148</v>
      </c>
    </row>
    <row r="7" spans="1:1" ht="20.100000000000001" customHeight="1" x14ac:dyDescent="0.2">
      <c r="A7" s="29" t="str">
        <f>HYPERLINK("#'Input - Planting'!A1", "Planting")</f>
        <v>Planting</v>
      </c>
    </row>
    <row r="8" spans="1:1" ht="20.100000000000001" customHeight="1" x14ac:dyDescent="0.2">
      <c r="A8" s="29" t="str">
        <f>HYPERLINK("#'Input - Fertiliser'!A1", "Fertiliser")</f>
        <v>Fertiliser</v>
      </c>
    </row>
    <row r="9" spans="1:1" ht="20.100000000000001" customHeight="1" x14ac:dyDescent="0.2">
      <c r="A9" s="29" t="str">
        <f>HYPERLINK("#'Input - Fuel'!A1", "Fuel")</f>
        <v>Fuel</v>
      </c>
    </row>
    <row r="10" spans="1:1" ht="20.100000000000001" customHeight="1" x14ac:dyDescent="0.2">
      <c r="A10" s="29" t="str">
        <f>HYPERLINK("#'Input - Fert Prod System'!A1", "Fert Prod System")</f>
        <v>Fert Prod System</v>
      </c>
    </row>
    <row r="11" spans="1:1" ht="20.100000000000001" customHeight="1" x14ac:dyDescent="0.2">
      <c r="A11" s="29" t="str">
        <f>HYPERLINK("#'Input - Site'!A1", "Site")</f>
        <v>Site</v>
      </c>
    </row>
    <row r="12" spans="1:1" ht="20.100000000000001" customHeight="1" x14ac:dyDescent="0.2">
      <c r="A12" s="29" t="str">
        <f>HYPERLINK("#'Input - Data quality'!A1", "Data quality")</f>
        <v>Data quality</v>
      </c>
    </row>
    <row r="15" spans="1:1" ht="20.100000000000001" customHeight="1" x14ac:dyDescent="0.2">
      <c r="A15" s="53" t="s">
        <v>175</v>
      </c>
    </row>
    <row r="16" spans="1:1" ht="20.100000000000001" customHeight="1" x14ac:dyDescent="0.2">
      <c r="A16" s="29" t="str">
        <f>HYPERLINK("#'5.1.1.1-2 Inorganic fert N2O'!A1", "5.1.1.1-2 Inorganic fert N2O")</f>
        <v>5.1.1.1-2 Inorganic fert N2O</v>
      </c>
    </row>
    <row r="17" spans="1:1" ht="20.100000000000001" customHeight="1" x14ac:dyDescent="0.2">
      <c r="A17" s="29" t="str">
        <f>HYPERLINK("#'5.1.1.3-4 Inorganic fert CO2'!A1", "5.1.1.3-4 Inorganic fert CO2")</f>
        <v>5.1.1.3-4 Inorganic fert CO2</v>
      </c>
    </row>
    <row r="18" spans="1:1" ht="20.100000000000001" customHeight="1" x14ac:dyDescent="0.2">
      <c r="A18" s="29" t="str">
        <f>HYPERLINK("#'5.2.1.1-2 Organic Fert N2O'!A1", "5.2.1.1-2 Organic fert N2O")</f>
        <v>5.2.1.1-2 Organic fert N2O</v>
      </c>
    </row>
    <row r="19" spans="1:1" ht="20.100000000000001" customHeight="1" x14ac:dyDescent="0.2">
      <c r="A19" s="29" t="str">
        <f>HYPERLINK("#'5.3.1.1-2 Lime CO2'!A1", "5.3.1.1-2 Lime CO2")</f>
        <v>5.3.1.1-2 Lime CO2</v>
      </c>
    </row>
    <row r="20" spans="1:1" ht="20.100000000000001" customHeight="1" x14ac:dyDescent="0.2">
      <c r="A20" s="29" t="str">
        <f>HYPERLINK("#'5.4.1.1-4 Atmos deposition'!A1", "5.4.1.1-4 Atmos. deposition")</f>
        <v>5.4.1.1-4 Atmos. deposition</v>
      </c>
    </row>
    <row r="21" spans="1:1" ht="20.100000000000001" customHeight="1" x14ac:dyDescent="0.2">
      <c r="A21" s="29" t="str">
        <f>HYPERLINK("#'5.5.1.1-2 Leaching and runoff'!A1", "5.5.1.1-2 Leaching &amp; runoff")</f>
        <v>5.5.1.1-2 Leaching &amp; runoff</v>
      </c>
    </row>
    <row r="22" spans="1:1" ht="20.100000000000001" customHeight="1" x14ac:dyDescent="0.2">
      <c r="A22" s="29" t="str">
        <f>HYPERLINK("#'8.1.1.1-2 Transport fuel'!A1", "8.1.1.1-2 Transport fuel")</f>
        <v>8.1.1.1-2 Transport fuel</v>
      </c>
    </row>
    <row r="23" spans="1:1" ht="20.100000000000001" customHeight="1" x14ac:dyDescent="0.2">
      <c r="A23" s="29" t="str">
        <f>HYPERLINK("#'8.2.1.1-2 Stationary fuel'!A1", "8.2.1.1-2 Stationary fuel")</f>
        <v>8.2.1.1-2 Stationary fuel</v>
      </c>
    </row>
    <row r="26" spans="1:1" ht="20.100000000000001" customHeight="1" x14ac:dyDescent="0.2">
      <c r="A26" s="30" t="s">
        <v>91</v>
      </c>
    </row>
    <row r="27" spans="1:1" ht="20.100000000000001" customHeight="1" x14ac:dyDescent="0.2">
      <c r="A27" s="29" t="str">
        <f>HYPERLINK("#'Constants - Fertiliser'!A1", "Constants - Fertiliser")</f>
        <v>Constants - Fertiliser</v>
      </c>
    </row>
    <row r="28" spans="1:1" ht="20.100000000000001" customHeight="1" x14ac:dyDescent="0.2">
      <c r="A28" s="29" t="str">
        <f>HYPERLINK("#'Constants - Fuel'!A1", "Constants - Fuel")</f>
        <v>Constants - Fuel</v>
      </c>
    </row>
    <row r="29" spans="1:1" ht="20.100000000000001" customHeight="1" x14ac:dyDescent="0.2">
      <c r="A29" s="29"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2BE2-6618-4872-A066-84342C0AF67F}">
  <dimension ref="A1:D29"/>
  <sheetViews>
    <sheetView zoomScaleNormal="100" workbookViewId="0">
      <pane xSplit="1" topLeftCell="B1" activePane="topRight" state="frozenSplit"/>
      <selection pane="topRight" activeCell="A28" sqref="A28"/>
    </sheetView>
  </sheetViews>
  <sheetFormatPr defaultRowHeight="20.100000000000001" customHeight="1" x14ac:dyDescent="0.2"/>
  <cols>
    <col min="1" max="1" width="36.7109375" customWidth="1"/>
    <col min="2" max="2" width="41.7109375" style="1" customWidth="1"/>
    <col min="3" max="3" width="39.7109375" customWidth="1"/>
    <col min="4" max="4" width="22.28515625" customWidth="1"/>
    <col min="5" max="5" width="30.28515625" customWidth="1"/>
  </cols>
  <sheetData>
    <row r="1" spans="1:4" ht="30" customHeight="1" x14ac:dyDescent="0.35">
      <c r="A1" s="23" t="e" vm="1">
        <v>#VALUE!</v>
      </c>
    </row>
    <row r="3" spans="1:4" ht="20.100000000000001" customHeight="1" x14ac:dyDescent="0.2">
      <c r="A3" s="29" t="str">
        <f>HYPERLINK("#'Home'!A1", "Home")</f>
        <v>Home</v>
      </c>
      <c r="B3" s="1" t="s">
        <v>3</v>
      </c>
      <c r="C3">
        <v>-33.8688</v>
      </c>
    </row>
    <row r="4" spans="1:4" ht="20.100000000000001" customHeight="1" x14ac:dyDescent="0.2">
      <c r="B4" s="1" t="s">
        <v>4</v>
      </c>
      <c r="C4">
        <v>151.20930000000001</v>
      </c>
    </row>
    <row r="5" spans="1:4" ht="20.100000000000001" customHeight="1" x14ac:dyDescent="0.2">
      <c r="B5" s="1" t="s">
        <v>5</v>
      </c>
      <c r="C5" s="3">
        <v>43831</v>
      </c>
    </row>
    <row r="6" spans="1:4" ht="20.100000000000001" customHeight="1" x14ac:dyDescent="0.2">
      <c r="A6" s="40" t="s">
        <v>148</v>
      </c>
      <c r="B6" s="1" t="s">
        <v>12</v>
      </c>
      <c r="C6" t="s">
        <v>0</v>
      </c>
    </row>
    <row r="7" spans="1:4" ht="20.100000000000001" customHeight="1" x14ac:dyDescent="0.2">
      <c r="A7" s="44" t="str">
        <f>HYPERLINK("#'Input - Planting'!A1", "Planting")</f>
        <v>Planting</v>
      </c>
    </row>
    <row r="8" spans="1:4" ht="20.100000000000001" customHeight="1" x14ac:dyDescent="0.2">
      <c r="A8" s="29" t="str">
        <f>HYPERLINK("#'Input - Fertiliser'!A1", "Fertiliser")</f>
        <v>Fertiliser</v>
      </c>
      <c r="B8" s="1" t="s">
        <v>6</v>
      </c>
      <c r="C8">
        <v>100</v>
      </c>
    </row>
    <row r="9" spans="1:4" ht="20.100000000000001" customHeight="1" x14ac:dyDescent="0.2">
      <c r="A9" s="29" t="str">
        <f>HYPERLINK("#'Input - Fuel'!A1", "Fuel")</f>
        <v>Fuel</v>
      </c>
    </row>
    <row r="10" spans="1:4" ht="20.100000000000001" customHeight="1" x14ac:dyDescent="0.2">
      <c r="A10" s="29" t="str">
        <f>HYPERLINK("#'Input - Fert Prod System'!A1", "Fert Prod System")</f>
        <v>Fert Prod System</v>
      </c>
    </row>
    <row r="11" spans="1:4" ht="20.100000000000001" customHeight="1" x14ac:dyDescent="0.2">
      <c r="A11" s="29" t="str">
        <f>HYPERLINK("#'Input - Site'!A1", "Site")</f>
        <v>Site</v>
      </c>
      <c r="B11" s="5" t="s">
        <v>7</v>
      </c>
      <c r="C11" s="6">
        <v>45292</v>
      </c>
    </row>
    <row r="12" spans="1:4" ht="20.100000000000001" customHeight="1" x14ac:dyDescent="0.2">
      <c r="A12" s="29" t="str">
        <f>HYPERLINK("#'Input - Data quality'!A1", "Data quality")</f>
        <v>Data quality</v>
      </c>
      <c r="B12" s="5" t="s">
        <v>8</v>
      </c>
      <c r="C12" s="7">
        <f>DATE(YEAR(C11)+1,MONTH(C11),DAY(C11))-1</f>
        <v>45657</v>
      </c>
    </row>
    <row r="14" spans="1:4" ht="20.100000000000001" customHeight="1" x14ac:dyDescent="0.3">
      <c r="B14" s="4" t="s">
        <v>1</v>
      </c>
    </row>
    <row r="15" spans="1:4" ht="20.100000000000001" customHeight="1" x14ac:dyDescent="0.2">
      <c r="A15" s="53" t="s">
        <v>175</v>
      </c>
      <c r="B15" s="1" t="s">
        <v>9</v>
      </c>
      <c r="C15">
        <v>123</v>
      </c>
      <c r="D15" s="2" t="s">
        <v>10</v>
      </c>
    </row>
    <row r="16" spans="1:4" ht="20.100000000000001" customHeight="1" x14ac:dyDescent="0.2">
      <c r="A16" s="29" t="str">
        <f>HYPERLINK("#'5.1.1.1-2 Inorganic fert N2O'!A1", "5.1.1.1-2 Inorganic fert N2O")</f>
        <v>5.1.1.1-2 Inorganic fert N2O</v>
      </c>
      <c r="B16" s="1" t="s">
        <v>11</v>
      </c>
      <c r="C16">
        <f>C8*X_Result_Planting_CarbonCapturedPerHectare</f>
        <v>12300</v>
      </c>
      <c r="D16" s="2" t="s">
        <v>2</v>
      </c>
    </row>
    <row r="17" spans="1:1" ht="20.100000000000001" customHeight="1" x14ac:dyDescent="0.2">
      <c r="A17" s="29" t="str">
        <f>HYPERLINK("#'5.1.1.3-4 Inorganic fert CO2'!A1", "5.1.1.3-4 Inorganic fert CO2")</f>
        <v>5.1.1.3-4 Inorganic fert CO2</v>
      </c>
    </row>
    <row r="18" spans="1:1" ht="20.100000000000001" customHeight="1" x14ac:dyDescent="0.2">
      <c r="A18" s="29" t="str">
        <f>HYPERLINK("#'5.2.1.1-2 Organic Fert N2O'!A1", "5.2.1.1-2 Organic fert N2O")</f>
        <v>5.2.1.1-2 Organic fert N2O</v>
      </c>
    </row>
    <row r="19" spans="1:1" ht="20.100000000000001" customHeight="1" x14ac:dyDescent="0.2">
      <c r="A19" s="29" t="str">
        <f>HYPERLINK("#'5.3.1.1-2 Lime CO2'!A1", "5.3.1.1-2 Lime CO2")</f>
        <v>5.3.1.1-2 Lime CO2</v>
      </c>
    </row>
    <row r="20" spans="1:1" ht="20.100000000000001" customHeight="1" x14ac:dyDescent="0.2">
      <c r="A20" s="29" t="str">
        <f>HYPERLINK("#'5.4.1.1-4 Atmos deposition'!A1", "5.4.1.1-4 Atmos. deposition")</f>
        <v>5.4.1.1-4 Atmos. deposition</v>
      </c>
    </row>
    <row r="21" spans="1:1" ht="20.100000000000001" customHeight="1" x14ac:dyDescent="0.2">
      <c r="A21" s="29" t="str">
        <f>HYPERLINK("#'5.5.1.1-2 Leaching and runoff'!A1", "5.5.1.1-2 Leaching &amp; runoff")</f>
        <v>5.5.1.1-2 Leaching &amp; runoff</v>
      </c>
    </row>
    <row r="22" spans="1:1" ht="20.100000000000001" customHeight="1" x14ac:dyDescent="0.2">
      <c r="A22" s="29" t="str">
        <f>HYPERLINK("#'8.1.1.1-2 Transport fuel'!A1", "8.1.1.1-2 Transport fuel")</f>
        <v>8.1.1.1-2 Transport fuel</v>
      </c>
    </row>
    <row r="23" spans="1:1" ht="20.100000000000001" customHeight="1" x14ac:dyDescent="0.2">
      <c r="A23" s="29" t="str">
        <f>HYPERLINK("#'8.2.1.1-2 Stationary fuel'!A1", "8.2.1.1-2 Stationary fuel")</f>
        <v>8.2.1.1-2 Stationary fuel</v>
      </c>
    </row>
    <row r="26" spans="1:1" ht="20.100000000000001" customHeight="1" x14ac:dyDescent="0.2">
      <c r="A26" s="30" t="s">
        <v>91</v>
      </c>
    </row>
    <row r="27" spans="1:1" ht="20.100000000000001" customHeight="1" x14ac:dyDescent="0.2">
      <c r="A27" s="29" t="str">
        <f>HYPERLINK("#'Constants - Fertiliser'!A1", "Constants - Fertiliser")</f>
        <v>Constants - Fertiliser</v>
      </c>
    </row>
    <row r="28" spans="1:1" ht="20.100000000000001" customHeight="1" x14ac:dyDescent="0.2">
      <c r="A28" s="29" t="str">
        <f>HYPERLINK("#'Constants - Fuel'!A1", "Constants - Fuel")</f>
        <v>Constants - Fuel</v>
      </c>
    </row>
    <row r="29" spans="1:1" ht="20.100000000000001" customHeight="1" x14ac:dyDescent="0.2">
      <c r="A29" s="29" t="str">
        <f>HYPERLINK("#'Constants - Common'!A1", "Constants - Common")</f>
        <v>Constants - Common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0ECD2-7406-4164-873F-BDFA99820205}">
  <sheetPr>
    <tabColor theme="5" tint="-0.249977111117893"/>
  </sheetPr>
  <dimension ref="A1:AA378"/>
  <sheetViews>
    <sheetView showGridLines="0" zoomScaleNormal="100" workbookViewId="0">
      <pane xSplit="1" topLeftCell="B1" activePane="topRight" state="frozenSplit"/>
      <selection pane="topRight" activeCell="A28" sqref="A28"/>
    </sheetView>
  </sheetViews>
  <sheetFormatPr defaultRowHeight="20.100000000000001" customHeight="1" x14ac:dyDescent="0.2"/>
  <cols>
    <col min="1" max="1" width="36.7109375" customWidth="1"/>
    <col min="2" max="2" width="4.7109375" customWidth="1"/>
    <col min="3" max="3" width="4.7109375" style="15" customWidth="1"/>
    <col min="4" max="4" width="52.140625" style="15" customWidth="1"/>
    <col min="5" max="24" width="30.7109375" style="15" customWidth="1"/>
    <col min="25" max="26" width="20.7109375" style="15" customWidth="1"/>
    <col min="27" max="27" width="4.7109375" style="15" customWidth="1"/>
  </cols>
  <sheetData>
    <row r="1" spans="1:27" s="23" customFormat="1" ht="30" customHeight="1" x14ac:dyDescent="0.35">
      <c r="A1" s="23" t="e" vm="1">
        <v>#VALUE!</v>
      </c>
      <c r="C1" s="23" t="s">
        <v>145</v>
      </c>
    </row>
    <row r="2" spans="1:27" s="9" customFormat="1" ht="20.100000000000001" customHeight="1" x14ac:dyDescent="0.2">
      <c r="A2"/>
    </row>
    <row r="3" spans="1:27" ht="20.100000000000001" customHeight="1" x14ac:dyDescent="0.2">
      <c r="A3" s="29" t="str">
        <f>HYPERLINK("#'Home'!A1", "Home")</f>
        <v>Home</v>
      </c>
      <c r="C3" s="24"/>
      <c r="D3" s="24"/>
      <c r="E3" s="24"/>
      <c r="F3" s="24"/>
      <c r="G3" s="24"/>
      <c r="H3" s="24"/>
      <c r="I3" s="24"/>
      <c r="J3" s="24"/>
      <c r="K3" s="24"/>
      <c r="L3" s="24"/>
      <c r="M3" s="24"/>
      <c r="N3" s="24"/>
      <c r="O3" s="24"/>
      <c r="P3" s="24"/>
      <c r="Q3" s="24"/>
      <c r="R3" s="24"/>
      <c r="S3" s="24"/>
      <c r="T3" s="24"/>
      <c r="U3" s="24"/>
      <c r="V3" s="24"/>
      <c r="W3" s="24"/>
      <c r="X3" s="24"/>
      <c r="Y3" s="24"/>
      <c r="Z3" s="24"/>
      <c r="AA3" s="24"/>
    </row>
    <row r="5" spans="1:27" ht="20.100000000000001" customHeight="1" x14ac:dyDescent="0.2">
      <c r="D5" s="16" t="s">
        <v>146</v>
      </c>
      <c r="E5" s="14"/>
      <c r="F5" s="14"/>
      <c r="G5" s="14"/>
      <c r="H5" s="14"/>
      <c r="I5" s="14"/>
      <c r="J5" s="14"/>
      <c r="K5" s="14"/>
      <c r="L5" s="14"/>
      <c r="M5" s="14"/>
    </row>
    <row r="6" spans="1:27" ht="20.100000000000001" customHeight="1" x14ac:dyDescent="0.2">
      <c r="A6" s="40" t="s">
        <v>148</v>
      </c>
      <c r="D6" s="34"/>
      <c r="E6" s="34"/>
      <c r="F6" s="34"/>
      <c r="G6" s="34"/>
      <c r="H6" s="34"/>
      <c r="I6" s="34"/>
      <c r="J6" s="34"/>
      <c r="K6" s="34"/>
      <c r="L6" s="34"/>
      <c r="M6" s="34"/>
    </row>
    <row r="7" spans="1:27" ht="20.100000000000001" customHeight="1" x14ac:dyDescent="0.2">
      <c r="A7" s="29" t="str">
        <f>HYPERLINK("#'Input - Planting'!A1", "Planting")</f>
        <v>Planting</v>
      </c>
      <c r="D7" s="35" t="s">
        <v>147</v>
      </c>
      <c r="E7" s="36"/>
      <c r="F7" s="36"/>
      <c r="G7" s="36"/>
      <c r="H7" s="37"/>
      <c r="I7" s="38"/>
      <c r="J7" s="39"/>
      <c r="K7" s="39"/>
      <c r="L7" s="39"/>
      <c r="M7" s="39"/>
    </row>
    <row r="8" spans="1:27" ht="20.100000000000001" customHeight="1" x14ac:dyDescent="0.2">
      <c r="A8" s="44" t="str">
        <f>HYPERLINK("#'Input - Fertiliser'!A1", "Fertiliser")</f>
        <v>Fertiliser</v>
      </c>
      <c r="D8" s="41" t="s">
        <v>149</v>
      </c>
      <c r="E8" s="42"/>
      <c r="F8" s="42"/>
      <c r="G8" s="42"/>
      <c r="H8" s="43"/>
      <c r="I8" s="34"/>
      <c r="J8" s="34"/>
      <c r="K8" s="34"/>
      <c r="L8" s="34"/>
      <c r="M8" s="34"/>
    </row>
    <row r="9" spans="1:27" ht="20.100000000000001" customHeight="1" x14ac:dyDescent="0.2">
      <c r="A9" s="29" t="str">
        <f>HYPERLINK("#'Input - Fuel'!A1", "Fuel")</f>
        <v>Fuel</v>
      </c>
      <c r="D9" s="34"/>
      <c r="E9" s="34"/>
      <c r="F9" s="34"/>
      <c r="G9" s="34"/>
      <c r="H9" s="34"/>
      <c r="I9" s="34"/>
      <c r="J9" s="34"/>
      <c r="K9" s="34"/>
      <c r="L9" s="34"/>
      <c r="M9" s="34"/>
    </row>
    <row r="10" spans="1:27" ht="20.100000000000001" customHeight="1" x14ac:dyDescent="0.2">
      <c r="A10" s="29" t="str">
        <f>HYPERLINK("#'Input - Fert Prod System'!A1", "Fert Prod System")</f>
        <v>Fert Prod System</v>
      </c>
      <c r="D10" s="45" t="s">
        <v>150</v>
      </c>
      <c r="E10" s="34"/>
      <c r="F10" s="34"/>
      <c r="G10" s="34"/>
      <c r="H10" s="34"/>
      <c r="I10" s="34"/>
      <c r="J10" s="34"/>
      <c r="K10" s="34"/>
      <c r="L10" s="34"/>
      <c r="M10" s="34"/>
    </row>
    <row r="11" spans="1:27" ht="20.100000000000001" customHeight="1" x14ac:dyDescent="0.2">
      <c r="A11" s="29" t="str">
        <f>HYPERLINK("#'Input - Site'!A1", "Site")</f>
        <v>Site</v>
      </c>
      <c r="D11" s="46" t="s">
        <v>151</v>
      </c>
      <c r="E11" s="47" t="s">
        <v>152</v>
      </c>
      <c r="F11" s="48" t="s">
        <v>153</v>
      </c>
      <c r="G11" s="47" t="s">
        <v>154</v>
      </c>
      <c r="H11" s="48" t="s">
        <v>155</v>
      </c>
      <c r="I11" s="47" t="s">
        <v>156</v>
      </c>
      <c r="J11" s="46" t="s">
        <v>157</v>
      </c>
      <c r="K11" s="46" t="s">
        <v>158</v>
      </c>
      <c r="L11" s="46" t="s">
        <v>159</v>
      </c>
      <c r="M11" s="46" t="s">
        <v>160</v>
      </c>
      <c r="N11" s="46" t="s">
        <v>161</v>
      </c>
      <c r="O11" s="46" t="s">
        <v>162</v>
      </c>
      <c r="P11" s="46" t="s">
        <v>163</v>
      </c>
      <c r="Q11" s="46" t="s">
        <v>164</v>
      </c>
      <c r="R11" s="46" t="s">
        <v>165</v>
      </c>
      <c r="S11" s="46" t="s">
        <v>166</v>
      </c>
      <c r="T11" s="46" t="s">
        <v>167</v>
      </c>
      <c r="U11" s="46" t="s">
        <v>168</v>
      </c>
      <c r="V11" s="46" t="s">
        <v>169</v>
      </c>
      <c r="W11" s="46" t="s">
        <v>170</v>
      </c>
      <c r="X11" s="46" t="s">
        <v>171</v>
      </c>
      <c r="Y11" s="46" t="s">
        <v>172</v>
      </c>
      <c r="Z11" s="46" t="s">
        <v>173</v>
      </c>
    </row>
    <row r="12" spans="1:27" ht="20.100000000000001" customHeight="1" x14ac:dyDescent="0.2">
      <c r="A12" s="29" t="str">
        <f>HYPERLINK("#'Input - Data quality'!A1", "Data quality")</f>
        <v>Data quality</v>
      </c>
      <c r="D12" s="49" t="s">
        <v>174</v>
      </c>
      <c r="E12" s="50">
        <v>100</v>
      </c>
      <c r="F12" s="28" t="str">
        <f>IFERROR(_xlfn.XLOOKUP(Table_Input_InorganicFertiliser_Brands[[#This Row],[Product (select)]],FertiliserProducts[Product],FertiliserProducts[Unit]), "kg")</f>
        <v>kg</v>
      </c>
      <c r="G12" s="50">
        <f t="shared" ref="G12" si="0">X_Cell_Fertiliser_AreaUnderCropping</f>
        <v>100</v>
      </c>
      <c r="H12" s="51">
        <f>IFERROR(_xlfn.XLOOKUP(Table_Input_InorganicFertiliser_Brands[[#This Row],[Product (select)]],FertiliserProducts[Product],FertiliserProducts[Density]), 1)</f>
        <v>1</v>
      </c>
      <c r="I12" s="52">
        <f>(Table_Input_InorganicFertiliser_Brands[[#This Row],[Amount applied per hectare]]*Table_Input_InorganicFertiliser_Brands[[#This Row],[Density]])*Table_Input_InorganicFertiliser_Brands[[#This Row],[Application area (ha)]]</f>
        <v>10000</v>
      </c>
      <c r="J12" s="52"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52"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52" cm="1">
        <f t="array" ref="L12">Fertiliser_InputFunctions.Fertiliser_FertiliserProductLookup(Table_Input_InorganicFertiliser_Brands[[#This Row],[Product (select)]], Table_Input_InorganicFertiliser_Brands[[#Headers],[Ingredient 2]], FertiliserProducts[#Data], FertiliserProducts[Product], FertiliserProducts[#Headers])</f>
        <v>0</v>
      </c>
      <c r="M12" s="52"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0</v>
      </c>
      <c r="N12" s="52" cm="1">
        <f t="array" ref="N12">Fertiliser_InputFunctions.Fertiliser_FertiliserProductLookup(Table_Input_InorganicFertiliser_Brands[[#This Row],[Product (select)]], Table_Input_InorganicFertiliser_Brands[[#Headers],[Ingredient 3]], FertiliserProducts[#Data], FertiliserProducts[Product], FertiliserProducts[#Headers])</f>
        <v>0</v>
      </c>
      <c r="O12" s="52"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0</v>
      </c>
      <c r="P12" s="52" cm="1">
        <f t="array" ref="P12">Fertiliser_InputFunctions.Fertiliser_FertiliserProductLookup(Table_Input_InorganicFertiliser_Brands[[#This Row],[Product (select)]], Table_Input_InorganicFertiliser_Brands[[#Headers],[Ingredient 4]], FertiliserProducts[#Data], FertiliserProducts[Product], FertiliserProducts[#Headers])</f>
        <v>0</v>
      </c>
      <c r="Q12" s="52"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0</v>
      </c>
      <c r="R12" s="52" cm="1">
        <f t="array" ref="R12">Fertiliser_InputFunctions.Fertiliser_FertiliserProductLookup(Table_Input_InorganicFertiliser_Brands[[#This Row],[Product (select)]], Table_Input_InorganicFertiliser_Brands[[#Headers],[Ingredient 5]], FertiliserProducts[#Data], FertiliserProducts[Product], FertiliserProducts[#Headers])</f>
        <v>0</v>
      </c>
      <c r="S12" s="52"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0</v>
      </c>
      <c r="T12" s="52" cm="1">
        <f t="array" ref="T12">Fertiliser_InputFunctions.Fertiliser_FertiliserProductLookup(Table_Input_InorganicFertiliser_Brands[[#This Row],[Product (select)]], Table_Input_InorganicFertiliser_Brands[[#Headers],[Ingredient 6]], FertiliserProducts[#Data], FertiliserProducts[Product], FertiliserProducts[#Headers])</f>
        <v>0</v>
      </c>
      <c r="U12" s="52"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0</v>
      </c>
      <c r="V12"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52" cm="1">
        <f t="array" ref="W12">IFERROR(Fertiliser_InputFunctions.Fertiliser_FertiliserProductLookup(Table_Input_InorganicFertiliser_Brands[[#This Row],[Product (select)]], "N declared", FertiliserProducts[#Data], FertiliserProducts[Product], FertiliserProducts[#Headers])*0.01, 0)</f>
        <v>0.46</v>
      </c>
      <c r="X12"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52">
        <f>IFERROR(_xlfn.XLOOKUP(Table_Input_InorganicFertiliser_Brands[[#This Row],[Product (select)]],FertiliserProducts[Product],FertiliserProducts[Urea source]), "")</f>
        <v>0</v>
      </c>
      <c r="Z12" s="52">
        <f>IFERROR(_xlfn.XLOOKUP(Table_Input_InorganicFertiliser_Brands[[#This Row],[Product (select)]],FertiliserProducts[Product],FertiliserProducts[Ammonia source]), "")</f>
        <v>0</v>
      </c>
    </row>
    <row r="13" spans="1:27" ht="20.100000000000001" customHeight="1" x14ac:dyDescent="0.2">
      <c r="D13" s="49" t="s">
        <v>176</v>
      </c>
      <c r="E13" s="50">
        <v>100</v>
      </c>
      <c r="F13" s="28" t="str">
        <f>IFERROR(_xlfn.XLOOKUP(Table_Input_InorganicFertiliser_Brands[[#This Row],[Product (select)]],FertiliserProducts[Product],FertiliserProducts[Unit]), "kg")</f>
        <v>kg</v>
      </c>
      <c r="G13" s="50">
        <f t="shared" ref="G13" si="1">X_Cell_Fertiliser_AreaUnderCropping</f>
        <v>100</v>
      </c>
      <c r="H13" s="51">
        <f>IFERROR(_xlfn.XLOOKUP(Table_Input_InorganicFertiliser_Brands[[#This Row],[Product (select)]],FertiliserProducts[Product],FertiliserProducts[Density]), 1)</f>
        <v>1</v>
      </c>
      <c r="I13" s="52">
        <f>(Table_Input_InorganicFertiliser_Brands[[#This Row],[Amount applied per hectare]]*Table_Input_InorganicFertiliser_Brands[[#This Row],[Density]])*Table_Input_InorganicFertiliser_Brands[[#This Row],[Application area (ha)]]</f>
        <v>10000</v>
      </c>
      <c r="J13" s="52"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52"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52"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52"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52"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52"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52"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52"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52"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52"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52"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52"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54" cm="1">
        <f t="array" ref="W13">IFERROR(Fertiliser_InputFunctions.Fertiliser_FertiliserProductLookup(Table_Input_InorganicFertiliser_Brands[[#This Row],[Product (select)]], "N declared", FertiliserProducts[#Data], FertiliserProducts[Product], FertiliserProducts[#Headers])*0.01, 0)</f>
        <v>0.24</v>
      </c>
      <c r="X13"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52">
        <f>IFERROR(_xlfn.XLOOKUP(Table_Input_InorganicFertiliser_Brands[[#This Row],[Product (select)]],FertiliserProducts[Product],FertiliserProducts[Urea source]), "")</f>
        <v>0</v>
      </c>
      <c r="Z13" s="52">
        <f>IFERROR(_xlfn.XLOOKUP(Table_Input_InorganicFertiliser_Brands[[#This Row],[Product (select)]],FertiliserProducts[Product],FertiliserProducts[Ammonia source]), "")</f>
        <v>0</v>
      </c>
    </row>
    <row r="14" spans="1:27" ht="20.100000000000001" customHeight="1" x14ac:dyDescent="0.2">
      <c r="D14" s="49" t="s">
        <v>177</v>
      </c>
      <c r="E14" s="50">
        <v>100</v>
      </c>
      <c r="F14" s="28" t="str">
        <f>IFERROR(_xlfn.XLOOKUP(Table_Input_InorganicFertiliser_Brands[[#This Row],[Product (select)]],FertiliserProducts[Product],FertiliserProducts[Unit]), "kg")</f>
        <v>kg</v>
      </c>
      <c r="G14" s="50">
        <f t="shared" ref="G14" si="2">X_Cell_Fertiliser_AreaUnderCropping</f>
        <v>100</v>
      </c>
      <c r="H14" s="51">
        <f>IFERROR(_xlfn.XLOOKUP(Table_Input_InorganicFertiliser_Brands[[#This Row],[Product (select)]],FertiliserProducts[Product],FertiliserProducts[Density]), 1)</f>
        <v>1</v>
      </c>
      <c r="I14" s="52">
        <f>(Table_Input_InorganicFertiliser_Brands[[#This Row],[Amount applied per hectare]]*Table_Input_InorganicFertiliser_Brands[[#This Row],[Density]])*Table_Input_InorganicFertiliser_Brands[[#This Row],[Application area (ha)]]</f>
        <v>10000</v>
      </c>
      <c r="J14" s="52"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52"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52"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52"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52"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52"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52"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52"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52"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52"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52" cm="1">
        <f t="array" ref="T14">Fertiliser_InputFunctions.Fertiliser_FertiliserProductLookup(Table_Input_InorganicFertiliser_Brands[[#This Row],[Product (select)]], Table_Input_InorganicFertiliser_Brands[[#Headers],[Ingredient 6]], FertiliserProducts[#Data], FertiliserProducts[Product], FertiliserProducts[#Headers])</f>
        <v>0</v>
      </c>
      <c r="U14" s="52"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0</v>
      </c>
      <c r="V14"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54" cm="1">
        <f t="array" ref="W14">IFERROR(Fertiliser_InputFunctions.Fertiliser_FertiliserProductLookup(Table_Input_InorganicFertiliser_Brands[[#This Row],[Product (select)]], "N declared", FertiliserProducts[#Data], FertiliserProducts[Product], FertiliserProducts[#Headers])*0.01, 0)</f>
        <v>0.17899999999999999</v>
      </c>
      <c r="X14"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52">
        <f>IFERROR(_xlfn.XLOOKUP(Table_Input_InorganicFertiliser_Brands[[#This Row],[Product (select)]],FertiliserProducts[Product],FertiliserProducts[Urea source]), "")</f>
        <v>0</v>
      </c>
      <c r="Z14" s="52">
        <f>IFERROR(_xlfn.XLOOKUP(Table_Input_InorganicFertiliser_Brands[[#This Row],[Product (select)]],FertiliserProducts[Product],FertiliserProducts[Ammonia source]), "")</f>
        <v>0</v>
      </c>
    </row>
    <row r="15" spans="1:27" ht="20.100000000000001" customHeight="1" x14ac:dyDescent="0.2">
      <c r="A15" s="53" t="s">
        <v>175</v>
      </c>
      <c r="D15" s="49"/>
      <c r="E15" s="50"/>
      <c r="F15" s="28" t="str">
        <f>IFERROR(_xlfn.XLOOKUP(Table_Input_InorganicFertiliser_Brands[[#This Row],[Product (select)]],FertiliserProducts[Product],FertiliserProducts[Unit]), "kg")</f>
        <v>kg</v>
      </c>
      <c r="G15" s="50">
        <f t="shared" ref="G15" si="3">X_Cell_Fertiliser_AreaUnderCropping</f>
        <v>100</v>
      </c>
      <c r="H15" s="51">
        <f>IFERROR(_xlfn.XLOOKUP(Table_Input_InorganicFertiliser_Brands[[#This Row],[Product (select)]],FertiliserProducts[Product],FertiliserProducts[Density]), 1)</f>
        <v>1</v>
      </c>
      <c r="I15" s="52">
        <f>(Table_Input_InorganicFertiliser_Brands[[#This Row],[Amount applied per hectare]]*Table_Input_InorganicFertiliser_Brands[[#This Row],[Density]])*Table_Input_InorganicFertiliser_Brands[[#This Row],[Application area (ha)]]</f>
        <v>0</v>
      </c>
      <c r="J15" s="52"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52"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52"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52"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52"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52"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52"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52"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52"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52"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52"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52"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54" cm="1">
        <f t="array" ref="W15">IFERROR(Fertiliser_InputFunctions.Fertiliser_FertiliserProductLookup(Table_Input_InorganicFertiliser_Brands[[#This Row],[Product (select)]], "N declared", FertiliserProducts[#Data], FertiliserProducts[Product], FertiliserProducts[#Headers])*0.01, 0)</f>
        <v>0</v>
      </c>
      <c r="X15"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52" t="str">
        <f>IFERROR(_xlfn.XLOOKUP(Table_Input_InorganicFertiliser_Brands[[#This Row],[Product (select)]],FertiliserProducts[Product],FertiliserProducts[Urea source]), "")</f>
        <v/>
      </c>
      <c r="Z15" s="52" t="str">
        <f>IFERROR(_xlfn.XLOOKUP(Table_Input_InorganicFertiliser_Brands[[#This Row],[Product (select)]],FertiliserProducts[Product],FertiliserProducts[Ammonia source]), "")</f>
        <v/>
      </c>
    </row>
    <row r="16" spans="1:27" ht="20.100000000000001" customHeight="1" x14ac:dyDescent="0.2">
      <c r="A16" s="29" t="str">
        <f>HYPERLINK("#'5.1.1.1-2 Inorganic fert N2O'!A1", "5.1.1.1-2 Inorganic fert N2O")</f>
        <v>5.1.1.1-2 Inorganic fert N2O</v>
      </c>
      <c r="D16" s="49"/>
      <c r="E16" s="50"/>
      <c r="F16" s="28" t="str">
        <f>IFERROR(_xlfn.XLOOKUP(Table_Input_InorganicFertiliser_Brands[[#This Row],[Product (select)]],FertiliserProducts[Product],FertiliserProducts[Unit]), "kg")</f>
        <v>kg</v>
      </c>
      <c r="G16" s="50">
        <f t="shared" ref="G16" si="4">X_Cell_Fertiliser_AreaUnderCropping</f>
        <v>100</v>
      </c>
      <c r="H16" s="51">
        <f>IFERROR(_xlfn.XLOOKUP(Table_Input_InorganicFertiliser_Brands[[#This Row],[Product (select)]],FertiliserProducts[Product],FertiliserProducts[Density]), 1)</f>
        <v>1</v>
      </c>
      <c r="I16" s="52">
        <f>(Table_Input_InorganicFertiliser_Brands[[#This Row],[Amount applied per hectare]]*Table_Input_InorganicFertiliser_Brands[[#This Row],[Density]])*Table_Input_InorganicFertiliser_Brands[[#This Row],[Application area (ha)]]</f>
        <v>0</v>
      </c>
      <c r="J16" s="52"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52"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52"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52"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52"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52"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52"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52"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52"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52"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52"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52"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54" cm="1">
        <f t="array" ref="W16">IFERROR(Fertiliser_InputFunctions.Fertiliser_FertiliserProductLookup(Table_Input_InorganicFertiliser_Brands[[#This Row],[Product (select)]], "N declared", FertiliserProducts[#Data], FertiliserProducts[Product], FertiliserProducts[#Headers])*0.01, 0)</f>
        <v>0</v>
      </c>
      <c r="X16"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52" t="str">
        <f>IFERROR(_xlfn.XLOOKUP(Table_Input_InorganicFertiliser_Brands[[#This Row],[Product (select)]],FertiliserProducts[Product],FertiliserProducts[Urea source]), "")</f>
        <v/>
      </c>
      <c r="Z16" s="52" t="str">
        <f>IFERROR(_xlfn.XLOOKUP(Table_Input_InorganicFertiliser_Brands[[#This Row],[Product (select)]],FertiliserProducts[Product],FertiliserProducts[Ammonia source]), "")</f>
        <v/>
      </c>
    </row>
    <row r="17" spans="1:26" ht="20.100000000000001" customHeight="1" x14ac:dyDescent="0.2">
      <c r="A17" s="29" t="str">
        <f>HYPERLINK("#'5.1.1.3-4 Inorganic fert CO2'!A1", "5.1.1.3-4 Inorganic fert CO2")</f>
        <v>5.1.1.3-4 Inorganic fert CO2</v>
      </c>
      <c r="D17" s="49"/>
      <c r="E17" s="50"/>
      <c r="F17" s="28" t="str">
        <f>IFERROR(_xlfn.XLOOKUP(Table_Input_InorganicFertiliser_Brands[[#This Row],[Product (select)]],FertiliserProducts[Product],FertiliserProducts[Unit]), "kg")</f>
        <v>kg</v>
      </c>
      <c r="G17" s="50">
        <f t="shared" ref="G17" si="5">X_Cell_Fertiliser_AreaUnderCropping</f>
        <v>100</v>
      </c>
      <c r="H17" s="51">
        <f>IFERROR(_xlfn.XLOOKUP(Table_Input_InorganicFertiliser_Brands[[#This Row],[Product (select)]],FertiliserProducts[Product],FertiliserProducts[Density]), 1)</f>
        <v>1</v>
      </c>
      <c r="I17" s="52">
        <f>(Table_Input_InorganicFertiliser_Brands[[#This Row],[Amount applied per hectare]]*Table_Input_InorganicFertiliser_Brands[[#This Row],[Density]])*Table_Input_InorganicFertiliser_Brands[[#This Row],[Application area (ha)]]</f>
        <v>0</v>
      </c>
      <c r="J17" s="52"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52"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52"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52"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52"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52"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52"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52"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52"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52"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52"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52"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54" cm="1">
        <f t="array" ref="W17">IFERROR(Fertiliser_InputFunctions.Fertiliser_FertiliserProductLookup(Table_Input_InorganicFertiliser_Brands[[#This Row],[Product (select)]], "N declared", FertiliserProducts[#Data], FertiliserProducts[Product], FertiliserProducts[#Headers])*0.01, 0)</f>
        <v>0</v>
      </c>
      <c r="X17"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52" t="str">
        <f>IFERROR(_xlfn.XLOOKUP(Table_Input_InorganicFertiliser_Brands[[#This Row],[Product (select)]],FertiliserProducts[Product],FertiliserProducts[Urea source]), "")</f>
        <v/>
      </c>
      <c r="Z17" s="52" t="str">
        <f>IFERROR(_xlfn.XLOOKUP(Table_Input_InorganicFertiliser_Brands[[#This Row],[Product (select)]],FertiliserProducts[Product],FertiliserProducts[Ammonia source]), "")</f>
        <v/>
      </c>
    </row>
    <row r="18" spans="1:26" ht="20.100000000000001" customHeight="1" x14ac:dyDescent="0.2">
      <c r="A18" s="29" t="str">
        <f>HYPERLINK("#'5.2.1.1-2 Organic Fert N2O'!A1", "5.2.1.1-2 Organic fert N2O")</f>
        <v>5.2.1.1-2 Organic fert N2O</v>
      </c>
      <c r="D18" s="49"/>
      <c r="E18" s="50"/>
      <c r="F18" s="28" t="str">
        <f>IFERROR(_xlfn.XLOOKUP(Table_Input_InorganicFertiliser_Brands[[#This Row],[Product (select)]],FertiliserProducts[Product],FertiliserProducts[Unit]), "kg")</f>
        <v>kg</v>
      </c>
      <c r="G18" s="50">
        <f t="shared" ref="G18" si="6">X_Cell_Fertiliser_AreaUnderCropping</f>
        <v>100</v>
      </c>
      <c r="H18" s="51">
        <f>IFERROR(_xlfn.XLOOKUP(Table_Input_InorganicFertiliser_Brands[[#This Row],[Product (select)]],FertiliserProducts[Product],FertiliserProducts[Density]), 1)</f>
        <v>1</v>
      </c>
      <c r="I18" s="52">
        <f>(Table_Input_InorganicFertiliser_Brands[[#This Row],[Amount applied per hectare]]*Table_Input_InorganicFertiliser_Brands[[#This Row],[Density]])*Table_Input_InorganicFertiliser_Brands[[#This Row],[Application area (ha)]]</f>
        <v>0</v>
      </c>
      <c r="J18" s="52"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52"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52"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52"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52"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52"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52"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52"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52"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52"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52"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52"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54" cm="1">
        <f t="array" ref="W18">IFERROR(Fertiliser_InputFunctions.Fertiliser_FertiliserProductLookup(Table_Input_InorganicFertiliser_Brands[[#This Row],[Product (select)]], "N declared", FertiliserProducts[#Data], FertiliserProducts[Product], FertiliserProducts[#Headers])*0.01, 0)</f>
        <v>0</v>
      </c>
      <c r="X18"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52" t="str">
        <f>IFERROR(_xlfn.XLOOKUP(Table_Input_InorganicFertiliser_Brands[[#This Row],[Product (select)]],FertiliserProducts[Product],FertiliserProducts[Urea source]), "")</f>
        <v/>
      </c>
      <c r="Z18" s="52" t="str">
        <f>IFERROR(_xlfn.XLOOKUP(Table_Input_InorganicFertiliser_Brands[[#This Row],[Product (select)]],FertiliserProducts[Product],FertiliserProducts[Ammonia source]), "")</f>
        <v/>
      </c>
    </row>
    <row r="19" spans="1:26" ht="20.100000000000001" customHeight="1" x14ac:dyDescent="0.2">
      <c r="A19" s="29" t="str">
        <f>HYPERLINK("#'5.3.1.1-2 Lime CO2'!A1", "5.3.1.1-2 Lime CO2")</f>
        <v>5.3.1.1-2 Lime CO2</v>
      </c>
      <c r="D19" s="49"/>
      <c r="E19" s="50"/>
      <c r="F19" s="28" t="str">
        <f>IFERROR(_xlfn.XLOOKUP(Table_Input_InorganicFertiliser_Brands[[#This Row],[Product (select)]],FertiliserProducts[Product],FertiliserProducts[Unit]), "kg")</f>
        <v>kg</v>
      </c>
      <c r="G19" s="50">
        <f t="shared" ref="G19" si="7">X_Cell_Fertiliser_AreaUnderCropping</f>
        <v>100</v>
      </c>
      <c r="H19" s="51">
        <f>IFERROR(_xlfn.XLOOKUP(Table_Input_InorganicFertiliser_Brands[[#This Row],[Product (select)]],FertiliserProducts[Product],FertiliserProducts[Density]), 1)</f>
        <v>1</v>
      </c>
      <c r="I19" s="52">
        <f>(Table_Input_InorganicFertiliser_Brands[[#This Row],[Amount applied per hectare]]*Table_Input_InorganicFertiliser_Brands[[#This Row],[Density]])*Table_Input_InorganicFertiliser_Brands[[#This Row],[Application area (ha)]]</f>
        <v>0</v>
      </c>
      <c r="J19" s="52"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52"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52"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52"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52"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52"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52"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52"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52"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52"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52"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52"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54" cm="1">
        <f t="array" ref="W19">IFERROR(Fertiliser_InputFunctions.Fertiliser_FertiliserProductLookup(Table_Input_InorganicFertiliser_Brands[[#This Row],[Product (select)]], "N declared", FertiliserProducts[#Data], FertiliserProducts[Product], FertiliserProducts[#Headers])*0.01, 0)</f>
        <v>0</v>
      </c>
      <c r="X19"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52" t="str">
        <f>IFERROR(_xlfn.XLOOKUP(Table_Input_InorganicFertiliser_Brands[[#This Row],[Product (select)]],FertiliserProducts[Product],FertiliserProducts[Urea source]), "")</f>
        <v/>
      </c>
      <c r="Z19" s="52" t="str">
        <f>IFERROR(_xlfn.XLOOKUP(Table_Input_InorganicFertiliser_Brands[[#This Row],[Product (select)]],FertiliserProducts[Product],FertiliserProducts[Ammonia source]), "")</f>
        <v/>
      </c>
    </row>
    <row r="20" spans="1:26" ht="20.100000000000001" customHeight="1" x14ac:dyDescent="0.2">
      <c r="A20" s="29" t="str">
        <f>HYPERLINK("#'5.4.1.1-4 Atmos deposition'!A1", "5.4.1.1-4 Atmos. deposition")</f>
        <v>5.4.1.1-4 Atmos. deposition</v>
      </c>
      <c r="D20" s="49"/>
      <c r="E20" s="50"/>
      <c r="F20" s="28" t="str">
        <f>IFERROR(_xlfn.XLOOKUP(Table_Input_InorganicFertiliser_Brands[[#This Row],[Product (select)]],FertiliserProducts[Product],FertiliserProducts[Unit]), "kg")</f>
        <v>kg</v>
      </c>
      <c r="G20" s="50">
        <f t="shared" ref="G20" si="8">X_Cell_Fertiliser_AreaUnderCropping</f>
        <v>100</v>
      </c>
      <c r="H20" s="51">
        <f>IFERROR(_xlfn.XLOOKUP(Table_Input_InorganicFertiliser_Brands[[#This Row],[Product (select)]],FertiliserProducts[Product],FertiliserProducts[Density]), 1)</f>
        <v>1</v>
      </c>
      <c r="I20" s="52">
        <f>(Table_Input_InorganicFertiliser_Brands[[#This Row],[Amount applied per hectare]]*Table_Input_InorganicFertiliser_Brands[[#This Row],[Density]])*Table_Input_InorganicFertiliser_Brands[[#This Row],[Application area (ha)]]</f>
        <v>0</v>
      </c>
      <c r="J20" s="52"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52"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52"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52"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52"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52"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52"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52"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52"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52"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52"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52"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54" cm="1">
        <f t="array" ref="W20">IFERROR(Fertiliser_InputFunctions.Fertiliser_FertiliserProductLookup(Table_Input_InorganicFertiliser_Brands[[#This Row],[Product (select)]], "N declared", FertiliserProducts[#Data], FertiliserProducts[Product], FertiliserProducts[#Headers])*0.01, 0)</f>
        <v>0</v>
      </c>
      <c r="X20"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52" t="str">
        <f>IFERROR(_xlfn.XLOOKUP(Table_Input_InorganicFertiliser_Brands[[#This Row],[Product (select)]],FertiliserProducts[Product],FertiliserProducts[Urea source]), "")</f>
        <v/>
      </c>
      <c r="Z20" s="52" t="str">
        <f>IFERROR(_xlfn.XLOOKUP(Table_Input_InorganicFertiliser_Brands[[#This Row],[Product (select)]],FertiliserProducts[Product],FertiliserProducts[Ammonia source]), "")</f>
        <v/>
      </c>
    </row>
    <row r="21" spans="1:26" ht="20.100000000000001" customHeight="1" x14ac:dyDescent="0.2">
      <c r="A21" s="29" t="str">
        <f>HYPERLINK("#'5.5.1.1-2 Leaching and runoff'!A1", "5.5.1.1-2 Leaching &amp; runoff")</f>
        <v>5.5.1.1-2 Leaching &amp; runoff</v>
      </c>
      <c r="D21" s="49"/>
      <c r="E21" s="50"/>
      <c r="F21" s="28" t="str">
        <f>IFERROR(_xlfn.XLOOKUP(Table_Input_InorganicFertiliser_Brands[[#This Row],[Product (select)]],FertiliserProducts[Product],FertiliserProducts[Unit]), "kg")</f>
        <v>kg</v>
      </c>
      <c r="G21" s="50">
        <f t="shared" ref="G21" si="9">X_Cell_Fertiliser_AreaUnderCropping</f>
        <v>100</v>
      </c>
      <c r="H21" s="51">
        <f>IFERROR(_xlfn.XLOOKUP(Table_Input_InorganicFertiliser_Brands[[#This Row],[Product (select)]],FertiliserProducts[Product],FertiliserProducts[Density]), 1)</f>
        <v>1</v>
      </c>
      <c r="I21" s="52">
        <f>(Table_Input_InorganicFertiliser_Brands[[#This Row],[Amount applied per hectare]]*Table_Input_InorganicFertiliser_Brands[[#This Row],[Density]])*Table_Input_InorganicFertiliser_Brands[[#This Row],[Application area (ha)]]</f>
        <v>0</v>
      </c>
      <c r="J21" s="52"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52"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52"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52"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52"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52"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52"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52"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52"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52"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52"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52"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52">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54" cm="1">
        <f t="array" ref="W21">IFERROR(Fertiliser_InputFunctions.Fertiliser_FertiliserProductLookup(Table_Input_InorganicFertiliser_Brands[[#This Row],[Product (select)]], "N declared", FertiliserProducts[#Data], FertiliserProducts[Product], FertiliserProducts[#Headers])*0.01, 0)</f>
        <v>0</v>
      </c>
      <c r="X21" s="52">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52" t="str">
        <f>IFERROR(_xlfn.XLOOKUP(Table_Input_InorganicFertiliser_Brands[[#This Row],[Product (select)]],FertiliserProducts[Product],FertiliserProducts[Urea source]), "")</f>
        <v/>
      </c>
      <c r="Z21" s="52" t="str">
        <f>IFERROR(_xlfn.XLOOKUP(Table_Input_InorganicFertiliser_Brands[[#This Row],[Product (select)]],FertiliserProducts[Product],FertiliserProducts[Ammonia source]), "")</f>
        <v/>
      </c>
    </row>
    <row r="22" spans="1:26" ht="20.100000000000001" customHeight="1" x14ac:dyDescent="0.2">
      <c r="A22" s="29" t="str">
        <f>HYPERLINK("#'8.1.1.1-2 Transport fuel'!A1", "8.1.1.1-2 Transport fuel")</f>
        <v>8.1.1.1-2 Transport fuel</v>
      </c>
      <c r="D22" s="55"/>
      <c r="E22" s="56"/>
      <c r="F22" s="57"/>
      <c r="G22" s="57"/>
      <c r="H22" s="57"/>
      <c r="I22" s="57"/>
      <c r="J22" s="58"/>
      <c r="K22" s="58"/>
      <c r="L22" s="59"/>
      <c r="M22" s="59"/>
      <c r="N22" s="60"/>
      <c r="O22" s="60"/>
      <c r="P22" s="60"/>
      <c r="Q22" s="60"/>
      <c r="R22" s="60"/>
      <c r="S22" s="60"/>
      <c r="T22" s="60"/>
      <c r="U22" s="60"/>
      <c r="V22" s="60"/>
      <c r="W22" s="60"/>
      <c r="X22" s="60"/>
    </row>
    <row r="23" spans="1:26" ht="20.100000000000001" customHeight="1" x14ac:dyDescent="0.2">
      <c r="A23" s="29" t="str">
        <f>HYPERLINK("#'8.2.1.1-2 Stationary fuel'!A1", "8.2.1.1-2 Stationary fuel")</f>
        <v>8.2.1.1-2 Stationary fuel</v>
      </c>
      <c r="D23" s="61" t="s">
        <v>178</v>
      </c>
      <c r="E23" s="62"/>
      <c r="F23" s="62"/>
      <c r="G23" s="62"/>
      <c r="H23" s="62"/>
      <c r="I23" s="62"/>
      <c r="J23" s="62"/>
      <c r="K23" s="62"/>
      <c r="L23" s="62"/>
      <c r="M23" s="62"/>
      <c r="N23" s="60"/>
      <c r="O23" s="60"/>
      <c r="P23" s="60"/>
      <c r="Q23" s="60"/>
      <c r="R23" s="60"/>
      <c r="S23" s="60"/>
      <c r="T23" s="60"/>
      <c r="V23" s="60"/>
      <c r="W23" s="60"/>
      <c r="X23" s="60"/>
    </row>
    <row r="24" spans="1:26" ht="20.100000000000001" customHeight="1" x14ac:dyDescent="0.2">
      <c r="D24" s="47" t="s">
        <v>179</v>
      </c>
      <c r="E24" s="47" t="s">
        <v>180</v>
      </c>
      <c r="F24" s="47" t="s">
        <v>154</v>
      </c>
      <c r="G24" s="47" t="s">
        <v>156</v>
      </c>
      <c r="H24" s="47" t="s">
        <v>181</v>
      </c>
      <c r="I24" s="47" t="s">
        <v>158</v>
      </c>
      <c r="J24" s="47" t="s">
        <v>159</v>
      </c>
      <c r="K24" s="47" t="s">
        <v>160</v>
      </c>
      <c r="L24" s="47" t="s">
        <v>161</v>
      </c>
      <c r="M24" s="47" t="s">
        <v>162</v>
      </c>
      <c r="N24" s="47" t="s">
        <v>163</v>
      </c>
      <c r="O24" s="47" t="s">
        <v>164</v>
      </c>
      <c r="P24" s="47" t="s">
        <v>171</v>
      </c>
      <c r="Q24" s="63" t="s">
        <v>182</v>
      </c>
      <c r="R24" s="63" t="s">
        <v>183</v>
      </c>
      <c r="S24" s="60"/>
      <c r="T24" s="60"/>
      <c r="V24" s="60"/>
      <c r="W24" s="60"/>
      <c r="X24" s="60"/>
    </row>
    <row r="25" spans="1:26" ht="20.100000000000001" customHeight="1" x14ac:dyDescent="0.2">
      <c r="D25" s="64" t="s">
        <v>184</v>
      </c>
      <c r="E25" s="47">
        <v>100</v>
      </c>
      <c r="F25" s="50">
        <f t="shared" ref="F25:F34" si="10">X_Cell_Fertiliser_AreaUnderCropping</f>
        <v>100</v>
      </c>
      <c r="G25" s="52">
        <f>Table_Input_InorganicFertiliser_Custom[[#This Row],[Amount applied (kg / ha)]]*Table_Input_InorganicFertiliser_Custom[[#This Row],[Application area (ha)]]</f>
        <v>10000</v>
      </c>
      <c r="H25" s="65" t="s">
        <v>185</v>
      </c>
      <c r="I25" s="66">
        <v>0.5</v>
      </c>
      <c r="J25" s="65" t="s">
        <v>186</v>
      </c>
      <c r="K25" s="66">
        <v>0.2</v>
      </c>
      <c r="L25" s="65" t="s">
        <v>187</v>
      </c>
      <c r="M25" s="66">
        <v>0.2</v>
      </c>
      <c r="N25" s="67" t="s">
        <v>188</v>
      </c>
      <c r="O25" s="68">
        <v>0.1</v>
      </c>
      <c r="P25"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27"/>
      <c r="R25" s="27"/>
      <c r="T25" s="69"/>
      <c r="V25" s="60"/>
    </row>
    <row r="26" spans="1:26" ht="20.100000000000001" customHeight="1" x14ac:dyDescent="0.2">
      <c r="A26" s="30" t="s">
        <v>91</v>
      </c>
      <c r="D26" s="64" t="s">
        <v>189</v>
      </c>
      <c r="E26" s="47">
        <v>100</v>
      </c>
      <c r="F26" s="50">
        <f t="shared" si="10"/>
        <v>100</v>
      </c>
      <c r="G26" s="52">
        <f>Table_Input_InorganicFertiliser_Custom[[#This Row],[Amount applied (kg / ha)]]*Table_Input_InorganicFertiliser_Custom[[#This Row],[Application area (ha)]]</f>
        <v>10000</v>
      </c>
      <c r="H26" s="65" t="s">
        <v>174</v>
      </c>
      <c r="I26" s="70">
        <v>1</v>
      </c>
      <c r="J26" s="65"/>
      <c r="K26" s="70"/>
      <c r="L26" s="65"/>
      <c r="M26" s="70"/>
      <c r="N26" s="67"/>
      <c r="O26" s="68"/>
      <c r="P26"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27"/>
      <c r="R26" s="27"/>
      <c r="V26" s="60"/>
      <c r="W26" s="69"/>
    </row>
    <row r="27" spans="1:26" ht="20.100000000000001" customHeight="1" x14ac:dyDescent="0.2">
      <c r="A27" s="29" t="str">
        <f>HYPERLINK("#'Constants - Fertiliser'!A1", "Constants - Fertiliser")</f>
        <v>Constants - Fertiliser</v>
      </c>
      <c r="D27" s="64" t="s">
        <v>190</v>
      </c>
      <c r="E27" s="47">
        <v>100</v>
      </c>
      <c r="F27" s="50">
        <f t="shared" si="10"/>
        <v>100</v>
      </c>
      <c r="G27" s="52">
        <f>Table_Input_InorganicFertiliser_Custom[[#This Row],[Amount applied (kg / ha)]]*Table_Input_InorganicFertiliser_Custom[[#This Row],[Application area (ha)]]</f>
        <v>10000</v>
      </c>
      <c r="H27" s="65" t="s">
        <v>191</v>
      </c>
      <c r="I27" s="70">
        <v>0.5</v>
      </c>
      <c r="J27" s="65"/>
      <c r="K27" s="70"/>
      <c r="L27" s="65"/>
      <c r="M27" s="70"/>
      <c r="N27" s="67"/>
      <c r="O27" s="68"/>
      <c r="P27"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27"/>
      <c r="R27" s="27"/>
      <c r="V27" s="60"/>
    </row>
    <row r="28" spans="1:26" ht="20.100000000000001" customHeight="1" x14ac:dyDescent="0.2">
      <c r="A28" s="29" t="str">
        <f>HYPERLINK("#'Constants - Fuel'!A1", "Constants - Fuel")</f>
        <v>Constants - Fuel</v>
      </c>
      <c r="D28" s="64"/>
      <c r="E28" s="47"/>
      <c r="F28" s="71">
        <f t="shared" si="10"/>
        <v>100</v>
      </c>
      <c r="G28" s="52">
        <f>Table_Input_InorganicFertiliser_Custom[[#This Row],[Amount applied (kg / ha)]]*Table_Input_InorganicFertiliser_Custom[[#This Row],[Application area (ha)]]</f>
        <v>0</v>
      </c>
      <c r="H28" s="65"/>
      <c r="I28" s="70"/>
      <c r="J28" s="65"/>
      <c r="K28" s="70"/>
      <c r="L28" s="65"/>
      <c r="M28" s="70"/>
      <c r="N28" s="67"/>
      <c r="O28" s="68"/>
      <c r="P28"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27"/>
      <c r="R28" s="27"/>
      <c r="V28" s="69"/>
    </row>
    <row r="29" spans="1:26" ht="20.100000000000001" customHeight="1" x14ac:dyDescent="0.2">
      <c r="A29" s="29" t="str">
        <f>HYPERLINK("#'Constants - Common'!A1", "Constants - Common")</f>
        <v>Constants - Common</v>
      </c>
      <c r="D29" s="64"/>
      <c r="E29" s="47"/>
      <c r="F29" s="71">
        <f t="shared" si="10"/>
        <v>100</v>
      </c>
      <c r="G29" s="52">
        <f>Table_Input_InorganicFertiliser_Custom[[#This Row],[Amount applied (kg / ha)]]*Table_Input_InorganicFertiliser_Custom[[#This Row],[Application area (ha)]]</f>
        <v>0</v>
      </c>
      <c r="H29" s="65"/>
      <c r="I29" s="70"/>
      <c r="J29" s="65"/>
      <c r="K29" s="70"/>
      <c r="L29" s="65"/>
      <c r="M29" s="70"/>
      <c r="N29" s="67"/>
      <c r="O29" s="68"/>
      <c r="P29"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27"/>
      <c r="R29" s="27"/>
    </row>
    <row r="30" spans="1:26" ht="20.100000000000001" customHeight="1" x14ac:dyDescent="0.2">
      <c r="D30" s="64"/>
      <c r="E30" s="47"/>
      <c r="F30" s="71">
        <f t="shared" si="10"/>
        <v>100</v>
      </c>
      <c r="G30" s="52">
        <f>Table_Input_InorganicFertiliser_Custom[[#This Row],[Amount applied (kg / ha)]]*Table_Input_InorganicFertiliser_Custom[[#This Row],[Application area (ha)]]</f>
        <v>0</v>
      </c>
      <c r="H30" s="65"/>
      <c r="I30" s="70"/>
      <c r="J30" s="65"/>
      <c r="K30" s="70"/>
      <c r="L30" s="65"/>
      <c r="M30" s="70"/>
      <c r="N30" s="67"/>
      <c r="O30" s="68"/>
      <c r="P30"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27"/>
      <c r="R30" s="27"/>
    </row>
    <row r="31" spans="1:26" ht="20.100000000000001" customHeight="1" x14ac:dyDescent="0.2">
      <c r="D31" s="64"/>
      <c r="E31" s="47"/>
      <c r="F31" s="71">
        <f t="shared" si="10"/>
        <v>100</v>
      </c>
      <c r="G31" s="52">
        <f>Table_Input_InorganicFertiliser_Custom[[#This Row],[Amount applied (kg / ha)]]*Table_Input_InorganicFertiliser_Custom[[#This Row],[Application area (ha)]]</f>
        <v>0</v>
      </c>
      <c r="H31" s="65"/>
      <c r="I31" s="70"/>
      <c r="J31" s="65"/>
      <c r="K31" s="70"/>
      <c r="L31" s="65"/>
      <c r="M31" s="70"/>
      <c r="N31" s="67"/>
      <c r="O31" s="68"/>
      <c r="P31"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27"/>
      <c r="R31" s="27"/>
    </row>
    <row r="32" spans="1:26" ht="20.100000000000001" customHeight="1" x14ac:dyDescent="0.2">
      <c r="D32" s="64"/>
      <c r="E32" s="47"/>
      <c r="F32" s="71">
        <f t="shared" si="10"/>
        <v>100</v>
      </c>
      <c r="G32" s="52">
        <f>Table_Input_InorganicFertiliser_Custom[[#This Row],[Amount applied (kg / ha)]]*Table_Input_InorganicFertiliser_Custom[[#This Row],[Application area (ha)]]</f>
        <v>0</v>
      </c>
      <c r="H32" s="65"/>
      <c r="I32" s="70"/>
      <c r="J32" s="65"/>
      <c r="K32" s="70"/>
      <c r="L32" s="65"/>
      <c r="M32" s="70"/>
      <c r="N32" s="67"/>
      <c r="O32" s="68"/>
      <c r="P32"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27"/>
      <c r="R32" s="27"/>
    </row>
    <row r="33" spans="1:27" ht="20.100000000000001" customHeight="1" x14ac:dyDescent="0.2">
      <c r="D33" s="64"/>
      <c r="E33" s="47"/>
      <c r="F33" s="71">
        <f t="shared" si="10"/>
        <v>100</v>
      </c>
      <c r="G33" s="52">
        <f>Table_Input_InorganicFertiliser_Custom[[#This Row],[Amount applied (kg / ha)]]*Table_Input_InorganicFertiliser_Custom[[#This Row],[Application area (ha)]]</f>
        <v>0</v>
      </c>
      <c r="H33" s="65"/>
      <c r="I33" s="70"/>
      <c r="J33" s="65"/>
      <c r="K33" s="70"/>
      <c r="L33" s="65"/>
      <c r="M33" s="70"/>
      <c r="N33" s="67"/>
      <c r="O33" s="68"/>
      <c r="P33"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27"/>
      <c r="R33" s="27"/>
    </row>
    <row r="34" spans="1:27" ht="20.100000000000001" customHeight="1" x14ac:dyDescent="0.2">
      <c r="D34" s="64"/>
      <c r="E34" s="47"/>
      <c r="F34" s="71">
        <f t="shared" si="10"/>
        <v>100</v>
      </c>
      <c r="G34" s="52">
        <f>Table_Input_InorganicFertiliser_Custom[[#This Row],[Amount applied (kg / ha)]]*Table_Input_InorganicFertiliser_Custom[[#This Row],[Application area (ha)]]</f>
        <v>0</v>
      </c>
      <c r="H34" s="65"/>
      <c r="I34" s="70"/>
      <c r="J34" s="65"/>
      <c r="K34" s="70"/>
      <c r="L34" s="65"/>
      <c r="M34" s="70"/>
      <c r="N34" s="67"/>
      <c r="O34" s="68"/>
      <c r="P34" s="5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27"/>
      <c r="R34" s="27"/>
    </row>
    <row r="36" spans="1:27" ht="20.100000000000001" customHeight="1" x14ac:dyDescent="0.2">
      <c r="D36" s="16" t="s">
        <v>192</v>
      </c>
      <c r="E36" s="14"/>
      <c r="F36" s="14"/>
      <c r="G36" s="14"/>
      <c r="H36" s="14"/>
      <c r="I36" s="14"/>
      <c r="J36" s="14"/>
      <c r="K36" s="34"/>
      <c r="L36" s="34"/>
      <c r="M36" s="34"/>
    </row>
    <row r="37" spans="1:27" ht="20.100000000000001" customHeight="1" x14ac:dyDescent="0.2">
      <c r="D37" s="35" t="s">
        <v>193</v>
      </c>
      <c r="E37" s="36"/>
      <c r="F37" s="37"/>
      <c r="G37" s="35"/>
      <c r="H37" s="37"/>
      <c r="I37" s="14"/>
      <c r="J37" s="14"/>
      <c r="K37" s="34"/>
      <c r="L37" s="34"/>
      <c r="M37" s="14"/>
    </row>
    <row r="38" spans="1:27" ht="20.100000000000001" customHeight="1" x14ac:dyDescent="0.2">
      <c r="C38" s="60"/>
      <c r="D38" s="72" t="s">
        <v>194</v>
      </c>
      <c r="E38" s="73"/>
      <c r="F38" s="74"/>
      <c r="G38" s="72"/>
      <c r="H38" s="74"/>
      <c r="I38" s="34"/>
      <c r="J38" s="34"/>
      <c r="K38" s="34"/>
      <c r="L38" s="34"/>
      <c r="M38" s="34"/>
    </row>
    <row r="39" spans="1:27" ht="20.100000000000001" customHeight="1" x14ac:dyDescent="0.2">
      <c r="C39" s="60"/>
      <c r="D39" s="41" t="s">
        <v>149</v>
      </c>
      <c r="E39" s="42"/>
      <c r="F39" s="42"/>
      <c r="G39" s="42"/>
      <c r="H39" s="43"/>
      <c r="I39" s="34"/>
      <c r="J39" s="34"/>
      <c r="K39" s="34"/>
      <c r="L39" s="34"/>
      <c r="M39" s="14"/>
    </row>
    <row r="40" spans="1:27" s="75" customFormat="1" ht="20.100000000000001" customHeight="1" x14ac:dyDescent="0.2">
      <c r="A40" s="167" t="str">
        <f>HYPERLINK("#A1", "▲ Back to top")</f>
        <v>▲ Back to top</v>
      </c>
      <c r="C40" s="15"/>
      <c r="D40" s="76" t="str">
        <f>IF(MAX(Table_Input_Lime[Total]) &gt; 1, "There can not be more than 100% ingredients in a product. Check the table below.", "")</f>
        <v/>
      </c>
      <c r="E40" s="15"/>
      <c r="F40" s="15"/>
      <c r="G40" s="15"/>
      <c r="H40" s="15"/>
      <c r="I40" s="15"/>
      <c r="J40" s="15"/>
      <c r="K40" s="15"/>
      <c r="L40" s="34"/>
      <c r="M40" s="14"/>
      <c r="N40" s="15"/>
      <c r="O40" s="15"/>
      <c r="P40" s="15"/>
      <c r="Q40" s="15"/>
      <c r="R40" s="15"/>
      <c r="S40" s="15"/>
      <c r="T40" s="15"/>
      <c r="U40" s="15"/>
      <c r="V40" s="15"/>
      <c r="W40" s="15"/>
      <c r="X40" s="15"/>
      <c r="Y40" s="15"/>
      <c r="Z40" s="15"/>
      <c r="AA40" s="15"/>
    </row>
    <row r="41" spans="1:27" s="75" customFormat="1" ht="20.100000000000001" customHeight="1" x14ac:dyDescent="0.2">
      <c r="A41"/>
      <c r="C41" s="15"/>
      <c r="D41" s="77" t="s">
        <v>195</v>
      </c>
      <c r="E41" s="77" t="s">
        <v>196</v>
      </c>
      <c r="F41" s="77" t="s">
        <v>154</v>
      </c>
      <c r="G41" s="77" t="s">
        <v>197</v>
      </c>
      <c r="H41" s="77" t="s">
        <v>198</v>
      </c>
      <c r="I41" s="77" t="s">
        <v>199</v>
      </c>
      <c r="J41" s="77" t="s">
        <v>200</v>
      </c>
      <c r="K41" s="77" t="s">
        <v>201</v>
      </c>
      <c r="L41" s="15"/>
      <c r="M41" s="15"/>
      <c r="N41" s="15"/>
      <c r="O41" s="15"/>
      <c r="P41" s="15"/>
      <c r="Q41" s="15"/>
      <c r="R41" s="15"/>
      <c r="S41" s="60"/>
      <c r="T41" s="15"/>
      <c r="U41" s="15"/>
      <c r="V41" s="15"/>
      <c r="W41" s="15"/>
      <c r="X41" s="15"/>
      <c r="Y41" s="15"/>
      <c r="Z41" s="15"/>
      <c r="AA41" s="15"/>
    </row>
    <row r="42" spans="1:27" ht="20.100000000000001" customHeight="1" x14ac:dyDescent="0.2">
      <c r="D42" s="78" t="s">
        <v>202</v>
      </c>
      <c r="E42" s="50">
        <v>1</v>
      </c>
      <c r="F42" s="50">
        <f>X_Cell_Fertiliser_AreaUnderCropping</f>
        <v>100</v>
      </c>
      <c r="G42" s="52">
        <f>IFERROR(Table_Input_Lime[[#This Row],[Amount applied (t/hectare)]]*Table_Input_Lime[[#This Row],[Application area (ha)]], 0)</f>
        <v>100</v>
      </c>
      <c r="H42" s="79">
        <v>0.8</v>
      </c>
      <c r="I42" s="79">
        <v>0.1</v>
      </c>
      <c r="J42" s="79">
        <v>0.1</v>
      </c>
      <c r="K42" s="80">
        <f>SUM(Table_Input_Lime[[#This Row],[Percent Lime CaCO3]:[Percent Gypsum]])</f>
        <v>1</v>
      </c>
      <c r="S42" s="60"/>
    </row>
    <row r="43" spans="1:27" ht="20.100000000000001" customHeight="1" x14ac:dyDescent="0.2">
      <c r="D43" s="78" t="s">
        <v>203</v>
      </c>
      <c r="E43" s="50">
        <v>1</v>
      </c>
      <c r="F43" s="50">
        <f>X_Cell_Fertiliser_AreaUnderCropping</f>
        <v>100</v>
      </c>
      <c r="G43" s="52">
        <f>IFERROR(Table_Input_Lime[[#This Row],[Amount applied (t/hectare)]]*Table_Input_Lime[[#This Row],[Application area (ha)]], 0)</f>
        <v>100</v>
      </c>
      <c r="H43" s="79">
        <v>1</v>
      </c>
      <c r="I43" s="79"/>
      <c r="J43" s="79"/>
      <c r="K43" s="80">
        <f>SUM(Table_Input_Lime[[#This Row],[Percent Lime CaCO3]:[Percent Gypsum]])</f>
        <v>1</v>
      </c>
    </row>
    <row r="44" spans="1:27" ht="20.100000000000001" customHeight="1" x14ac:dyDescent="0.2">
      <c r="D44" s="78" t="s">
        <v>204</v>
      </c>
      <c r="E44" s="50">
        <v>1</v>
      </c>
      <c r="F44" s="50">
        <f>X_Cell_Fertiliser_AreaUnderCropping</f>
        <v>100</v>
      </c>
      <c r="G44" s="52">
        <f>IFERROR(Table_Input_Lime[[#This Row],[Amount applied (t/hectare)]]*Table_Input_Lime[[#This Row],[Application area (ha)]], 0)</f>
        <v>100</v>
      </c>
      <c r="H44" s="79">
        <v>0</v>
      </c>
      <c r="I44" s="79"/>
      <c r="J44" s="79">
        <v>1</v>
      </c>
      <c r="K44" s="80">
        <f>SUM(Table_Input_Lime[[#This Row],[Percent Lime CaCO3]:[Percent Gypsum]])</f>
        <v>1</v>
      </c>
      <c r="L44" s="14"/>
    </row>
    <row r="45" spans="1:27" ht="20.100000000000001" customHeight="1" x14ac:dyDescent="0.2">
      <c r="L45" s="14"/>
      <c r="M45" s="14"/>
    </row>
    <row r="46" spans="1:27" ht="20.100000000000001" customHeight="1" x14ac:dyDescent="0.2">
      <c r="D46" s="34"/>
      <c r="E46" s="34"/>
      <c r="F46" s="34"/>
      <c r="G46" s="34"/>
      <c r="H46" s="34"/>
      <c r="I46" s="34"/>
      <c r="J46" s="34"/>
      <c r="L46" s="34"/>
      <c r="M46" s="14"/>
    </row>
    <row r="47" spans="1:27" ht="20.100000000000001" customHeight="1" x14ac:dyDescent="0.2">
      <c r="D47" s="34"/>
      <c r="E47" s="34"/>
      <c r="F47" s="34"/>
      <c r="G47" s="34"/>
      <c r="H47" s="34"/>
      <c r="I47" s="34"/>
      <c r="J47" s="81"/>
      <c r="K47" s="14"/>
      <c r="L47" s="34"/>
      <c r="M47" s="34"/>
    </row>
    <row r="48" spans="1:27" ht="20.100000000000001" customHeight="1" x14ac:dyDescent="0.2">
      <c r="D48" s="16" t="s">
        <v>205</v>
      </c>
      <c r="E48" s="14"/>
      <c r="F48" s="14"/>
      <c r="G48" s="14"/>
      <c r="H48" s="34"/>
      <c r="I48" s="34"/>
      <c r="J48" s="34"/>
      <c r="K48" s="34"/>
      <c r="L48" s="34"/>
      <c r="M48" s="34"/>
    </row>
    <row r="49" spans="4:18" ht="20.100000000000001" customHeight="1" x14ac:dyDescent="0.2">
      <c r="D49" s="34"/>
      <c r="E49" s="34"/>
      <c r="F49" s="34"/>
      <c r="G49" s="34"/>
      <c r="H49" s="34"/>
      <c r="I49" s="34"/>
      <c r="J49" s="34"/>
      <c r="K49" s="34"/>
      <c r="L49" s="34"/>
      <c r="M49" s="34"/>
      <c r="Q49" s="60"/>
      <c r="R49" s="60"/>
    </row>
    <row r="50" spans="4:18" ht="20.100000000000001" customHeight="1" x14ac:dyDescent="0.2">
      <c r="D50" s="35" t="s">
        <v>193</v>
      </c>
      <c r="E50" s="36"/>
      <c r="F50" s="36"/>
      <c r="G50" s="36"/>
      <c r="H50" s="37"/>
      <c r="I50" s="34"/>
      <c r="J50" s="34"/>
      <c r="K50" s="34"/>
      <c r="L50" s="34"/>
      <c r="M50" s="34"/>
      <c r="O50" s="60"/>
      <c r="P50" s="60"/>
      <c r="Q50" s="60"/>
      <c r="R50" s="60"/>
    </row>
    <row r="51" spans="4:18" ht="20.100000000000001" customHeight="1" x14ac:dyDescent="0.2">
      <c r="D51" s="41" t="s">
        <v>149</v>
      </c>
      <c r="E51" s="42"/>
      <c r="F51" s="42"/>
      <c r="G51" s="42"/>
      <c r="H51" s="43"/>
      <c r="I51" s="34"/>
      <c r="J51" s="34"/>
      <c r="K51" s="34"/>
      <c r="L51" s="62"/>
      <c r="M51" s="60"/>
      <c r="N51" s="60"/>
      <c r="O51" s="60"/>
      <c r="P51" s="60"/>
    </row>
    <row r="52" spans="4:18" ht="20.100000000000001" customHeight="1" x14ac:dyDescent="0.2">
      <c r="D52" s="34"/>
      <c r="E52" s="34"/>
      <c r="F52" s="34"/>
      <c r="G52" s="34"/>
      <c r="H52" s="34"/>
      <c r="I52" s="34"/>
      <c r="J52" s="34"/>
      <c r="K52" s="34"/>
      <c r="L52" s="62"/>
      <c r="M52" s="60"/>
      <c r="N52" s="60"/>
    </row>
    <row r="53" spans="4:18" ht="20.100000000000001" customHeight="1" x14ac:dyDescent="0.2">
      <c r="D53" s="77" t="s">
        <v>206</v>
      </c>
      <c r="E53" s="77" t="s">
        <v>207</v>
      </c>
      <c r="F53" s="77" t="s">
        <v>208</v>
      </c>
      <c r="G53" s="77" t="s">
        <v>209</v>
      </c>
      <c r="H53" s="77" t="s">
        <v>154</v>
      </c>
      <c r="I53" s="77" t="s">
        <v>210</v>
      </c>
      <c r="J53" s="77" t="s">
        <v>211</v>
      </c>
      <c r="K53" s="62"/>
    </row>
    <row r="54" spans="4:18" ht="20.100000000000001" customHeight="1" x14ac:dyDescent="0.2">
      <c r="D54" s="49" t="s">
        <v>212</v>
      </c>
      <c r="E54" s="79">
        <v>0.3</v>
      </c>
      <c r="F54" s="50">
        <v>10</v>
      </c>
      <c r="G54" s="52">
        <f>Table_Input_OrganicFertiliser[[#This Row],[Amount applied (kg/hectare)]]*Table_Input_OrganicFertiliser[[#This Row],[Percentage of N in fertiliser]]</f>
        <v>3</v>
      </c>
      <c r="H54" s="50">
        <f>X_Cell_Fertiliser_AreaUnderCropping</f>
        <v>100</v>
      </c>
      <c r="I54" s="52">
        <f>Table_Input_OrganicFertiliser[[#This Row],[Amount applied (kg/hectare)]]*Table_Input_OrganicFertiliser[[#This Row],[Application area (ha)]]</f>
        <v>1000</v>
      </c>
      <c r="J54" s="52">
        <f>IFERROR(Table_Input_OrganicFertiliser[[#This Row],[Amount N applied (kg/hectare)]]*Table_Input_OrganicFertiliser[[#This Row],[Application area (ha)]], 0)</f>
        <v>300</v>
      </c>
      <c r="K54" s="62"/>
    </row>
    <row r="55" spans="4:18" ht="20.100000000000001" customHeight="1" x14ac:dyDescent="0.2">
      <c r="D55" s="49" t="s">
        <v>213</v>
      </c>
      <c r="E55" s="79">
        <v>0.25</v>
      </c>
      <c r="F55" s="50">
        <v>10</v>
      </c>
      <c r="G55" s="52">
        <f>Table_Input_OrganicFertiliser[[#This Row],[Amount applied (kg/hectare)]]*Table_Input_OrganicFertiliser[[#This Row],[Percentage of N in fertiliser]]</f>
        <v>2.5</v>
      </c>
      <c r="H55" s="50">
        <f>X_Cell_Fertiliser_AreaUnderCropping</f>
        <v>100</v>
      </c>
      <c r="I55" s="52">
        <f>Table_Input_OrganicFertiliser[[#This Row],[Amount applied (kg/hectare)]]*Table_Input_OrganicFertiliser[[#This Row],[Application area (ha)]]</f>
        <v>1000</v>
      </c>
      <c r="J55" s="52">
        <f>IFERROR(Table_Input_OrganicFertiliser[[#This Row],[Amount N applied (kg/hectare)]]*Table_Input_OrganicFertiliser[[#This Row],[Application area (ha)]], 0)</f>
        <v>250</v>
      </c>
    </row>
    <row r="56" spans="4:18" ht="20.100000000000001" customHeight="1" x14ac:dyDescent="0.2">
      <c r="D56" s="49" t="s">
        <v>214</v>
      </c>
      <c r="E56" s="79">
        <v>0.16</v>
      </c>
      <c r="F56" s="50">
        <v>10</v>
      </c>
      <c r="G56" s="52">
        <f>Table_Input_OrganicFertiliser[[#This Row],[Amount applied (kg/hectare)]]*Table_Input_OrganicFertiliser[[#This Row],[Percentage of N in fertiliser]]</f>
        <v>1.6</v>
      </c>
      <c r="H56" s="50">
        <f>X_Cell_Fertiliser_AreaUnderCropping</f>
        <v>100</v>
      </c>
      <c r="I56" s="52">
        <f>Table_Input_OrganicFertiliser[[#This Row],[Amount applied (kg/hectare)]]*Table_Input_OrganicFertiliser[[#This Row],[Application area (ha)]]</f>
        <v>1000</v>
      </c>
      <c r="J56" s="52">
        <f>IFERROR(Table_Input_OrganicFertiliser[[#This Row],[Amount N applied (kg/hectare)]]*Table_Input_OrganicFertiliser[[#This Row],[Application area (ha)]], 0)</f>
        <v>160</v>
      </c>
    </row>
    <row r="126" spans="13:13" ht="20.100000000000001" customHeight="1" x14ac:dyDescent="0.2">
      <c r="M126" s="14"/>
    </row>
    <row r="127" spans="13:13" ht="20.100000000000001" customHeight="1" x14ac:dyDescent="0.2">
      <c r="M127" s="14"/>
    </row>
    <row r="128" spans="13:13" ht="20.100000000000001" customHeight="1" x14ac:dyDescent="0.2">
      <c r="M128" s="14"/>
    </row>
    <row r="129" spans="13:13" ht="20.100000000000001" customHeight="1" x14ac:dyDescent="0.2">
      <c r="M129" s="14"/>
    </row>
    <row r="130" spans="13:13" ht="20.100000000000001" customHeight="1" x14ac:dyDescent="0.2">
      <c r="M130" s="14"/>
    </row>
    <row r="131" spans="13:13" ht="20.100000000000001" customHeight="1" x14ac:dyDescent="0.2">
      <c r="M131" s="14"/>
    </row>
    <row r="132" spans="13:13" ht="20.100000000000001" customHeight="1" x14ac:dyDescent="0.2">
      <c r="M132" s="14"/>
    </row>
    <row r="133" spans="13:13" ht="20.100000000000001" customHeight="1" x14ac:dyDescent="0.2">
      <c r="M133" s="14"/>
    </row>
    <row r="134" spans="13:13" ht="20.100000000000001" customHeight="1" x14ac:dyDescent="0.2">
      <c r="M134" s="14"/>
    </row>
    <row r="135" spans="13:13" ht="20.100000000000001" customHeight="1" x14ac:dyDescent="0.2">
      <c r="M135" s="14"/>
    </row>
    <row r="136" spans="13:13" ht="20.100000000000001" customHeight="1" x14ac:dyDescent="0.2">
      <c r="M136" s="14"/>
    </row>
    <row r="137" spans="13:13" ht="20.100000000000001" customHeight="1" x14ac:dyDescent="0.2">
      <c r="M137" s="14"/>
    </row>
    <row r="138" spans="13:13" ht="20.100000000000001" customHeight="1" x14ac:dyDescent="0.2">
      <c r="M138" s="14"/>
    </row>
    <row r="139" spans="13:13" ht="20.100000000000001" customHeight="1" x14ac:dyDescent="0.2">
      <c r="M139" s="14"/>
    </row>
    <row r="140" spans="13:13" ht="20.100000000000001" customHeight="1" x14ac:dyDescent="0.2">
      <c r="M140" s="14"/>
    </row>
    <row r="141" spans="13:13" ht="20.100000000000001" customHeight="1" x14ac:dyDescent="0.2">
      <c r="M141" s="14"/>
    </row>
    <row r="142" spans="13:13" ht="20.100000000000001" customHeight="1" x14ac:dyDescent="0.2">
      <c r="M142" s="14"/>
    </row>
    <row r="143" spans="13:13" ht="20.100000000000001" customHeight="1" x14ac:dyDescent="0.2">
      <c r="M143" s="14"/>
    </row>
    <row r="144" spans="13:13" ht="20.100000000000001" customHeight="1" x14ac:dyDescent="0.2">
      <c r="M144" s="14"/>
    </row>
    <row r="145" spans="13:13" ht="20.100000000000001" customHeight="1" x14ac:dyDescent="0.2">
      <c r="M145" s="14"/>
    </row>
    <row r="146" spans="13:13" ht="20.100000000000001" customHeight="1" x14ac:dyDescent="0.2">
      <c r="M146" s="14"/>
    </row>
    <row r="147" spans="13:13" ht="20.100000000000001" customHeight="1" x14ac:dyDescent="0.2">
      <c r="M147" s="14"/>
    </row>
    <row r="224" spans="12:12" ht="20.100000000000001" customHeight="1" x14ac:dyDescent="0.2">
      <c r="L224" s="32"/>
    </row>
    <row r="225" spans="12:12" ht="20.100000000000001" customHeight="1" x14ac:dyDescent="0.2">
      <c r="L225" s="32"/>
    </row>
    <row r="226" spans="12:12" ht="20.100000000000001" customHeight="1" x14ac:dyDescent="0.2">
      <c r="L226" s="32"/>
    </row>
    <row r="227" spans="12:12" ht="20.100000000000001" customHeight="1" x14ac:dyDescent="0.2">
      <c r="L227" s="32"/>
    </row>
    <row r="228" spans="12:12" ht="20.100000000000001" customHeight="1" x14ac:dyDescent="0.2">
      <c r="L228" s="32"/>
    </row>
    <row r="230" spans="12:12" ht="20.100000000000001" customHeight="1" x14ac:dyDescent="0.2">
      <c r="L230" s="32"/>
    </row>
    <row r="232" spans="12:12" ht="20.100000000000001" customHeight="1" x14ac:dyDescent="0.2">
      <c r="L232" s="32"/>
    </row>
    <row r="233" spans="12:12" ht="20.100000000000001" customHeight="1" x14ac:dyDescent="0.2">
      <c r="L233" s="32"/>
    </row>
    <row r="234" spans="12:12" ht="20.100000000000001" customHeight="1" x14ac:dyDescent="0.2">
      <c r="L234" s="32"/>
    </row>
    <row r="235" spans="12:12" ht="20.100000000000001" customHeight="1" x14ac:dyDescent="0.2">
      <c r="L235" s="32"/>
    </row>
    <row r="237" spans="12:12" ht="20.100000000000001" customHeight="1" x14ac:dyDescent="0.2">
      <c r="L237" s="32"/>
    </row>
    <row r="245" spans="12:12" ht="20.100000000000001" customHeight="1" x14ac:dyDescent="0.2">
      <c r="L245" s="32"/>
    </row>
    <row r="246" spans="12:12" ht="20.100000000000001" customHeight="1" x14ac:dyDescent="0.2">
      <c r="L246" s="32"/>
    </row>
    <row r="247" spans="12:12" ht="20.100000000000001" customHeight="1" x14ac:dyDescent="0.2">
      <c r="L247" s="32"/>
    </row>
    <row r="250" spans="12:12" ht="20.100000000000001" customHeight="1" x14ac:dyDescent="0.2">
      <c r="L250" s="32"/>
    </row>
    <row r="251" spans="12:12" ht="20.100000000000001" customHeight="1" x14ac:dyDescent="0.2">
      <c r="L251" s="32"/>
    </row>
    <row r="252" spans="12:12" ht="20.100000000000001" customHeight="1" x14ac:dyDescent="0.2">
      <c r="L252" s="32"/>
    </row>
    <row r="255" spans="12:12" ht="20.100000000000001" customHeight="1" x14ac:dyDescent="0.2">
      <c r="L255" s="32"/>
    </row>
    <row r="256" spans="12:12" ht="20.100000000000001" customHeight="1" x14ac:dyDescent="0.2">
      <c r="L256" s="32"/>
    </row>
    <row r="257" spans="11:12" ht="20.100000000000001" customHeight="1" x14ac:dyDescent="0.2">
      <c r="L257" s="32"/>
    </row>
    <row r="260" spans="11:12" ht="20.100000000000001" customHeight="1" x14ac:dyDescent="0.2">
      <c r="L260" s="32"/>
    </row>
    <row r="261" spans="11:12" ht="20.100000000000001" customHeight="1" x14ac:dyDescent="0.2">
      <c r="L261" s="32"/>
    </row>
    <row r="262" spans="11:12" ht="20.100000000000001" customHeight="1" x14ac:dyDescent="0.2">
      <c r="L262" s="32"/>
    </row>
    <row r="263" spans="11:12" ht="20.100000000000001" customHeight="1" x14ac:dyDescent="0.2">
      <c r="K263" s="32"/>
    </row>
    <row r="268" spans="11:12" ht="20.100000000000001" customHeight="1" x14ac:dyDescent="0.2">
      <c r="K268" s="32"/>
    </row>
    <row r="269" spans="11:12" ht="20.100000000000001" customHeight="1" x14ac:dyDescent="0.2">
      <c r="L269" s="32"/>
    </row>
    <row r="270" spans="11:12" ht="20.100000000000001" customHeight="1" x14ac:dyDescent="0.2">
      <c r="L270" s="32"/>
    </row>
    <row r="271" spans="11:12" ht="20.100000000000001" customHeight="1" x14ac:dyDescent="0.2">
      <c r="L271" s="32"/>
    </row>
    <row r="273" spans="11:12" ht="20.100000000000001" customHeight="1" x14ac:dyDescent="0.2">
      <c r="K273" s="32"/>
    </row>
    <row r="274" spans="11:12" ht="20.100000000000001" customHeight="1" x14ac:dyDescent="0.2">
      <c r="L274" s="32"/>
    </row>
    <row r="275" spans="11:12" ht="20.100000000000001" customHeight="1" x14ac:dyDescent="0.2">
      <c r="L275" s="32"/>
    </row>
    <row r="276" spans="11:12" ht="20.100000000000001" customHeight="1" x14ac:dyDescent="0.2">
      <c r="L276" s="32"/>
    </row>
    <row r="278" spans="11:12" ht="20.100000000000001" customHeight="1" x14ac:dyDescent="0.2">
      <c r="K278" s="32"/>
    </row>
    <row r="279" spans="11:12" ht="20.100000000000001" customHeight="1" x14ac:dyDescent="0.2">
      <c r="K279" s="32"/>
      <c r="L279" s="32"/>
    </row>
    <row r="280" spans="11:12" ht="20.100000000000001" customHeight="1" x14ac:dyDescent="0.2">
      <c r="K280" s="32"/>
      <c r="L280" s="32"/>
    </row>
    <row r="281" spans="11:12" ht="20.100000000000001" customHeight="1" x14ac:dyDescent="0.2">
      <c r="K281" s="32"/>
      <c r="L281" s="32"/>
    </row>
    <row r="282" spans="11:12" ht="20.100000000000001" customHeight="1" x14ac:dyDescent="0.2">
      <c r="K282" s="32"/>
    </row>
    <row r="284" spans="11:12" ht="20.100000000000001" customHeight="1" x14ac:dyDescent="0.2">
      <c r="K284" s="32"/>
      <c r="L284" s="32"/>
    </row>
    <row r="285" spans="11:12" ht="20.100000000000001" customHeight="1" x14ac:dyDescent="0.2">
      <c r="L285" s="32"/>
    </row>
    <row r="286" spans="11:12" ht="20.100000000000001" customHeight="1" x14ac:dyDescent="0.2">
      <c r="K286" s="32"/>
      <c r="L286" s="32"/>
    </row>
    <row r="287" spans="11:12" ht="20.100000000000001" customHeight="1" x14ac:dyDescent="0.2">
      <c r="K287" s="32"/>
    </row>
    <row r="288" spans="11:12" ht="20.100000000000001" customHeight="1" x14ac:dyDescent="0.2">
      <c r="K288" s="32"/>
    </row>
    <row r="289" spans="11:11" ht="20.100000000000001" customHeight="1" x14ac:dyDescent="0.2">
      <c r="K289" s="32"/>
    </row>
    <row r="291" spans="11:11" ht="20.100000000000001" customHeight="1" x14ac:dyDescent="0.2">
      <c r="K291" s="32"/>
    </row>
    <row r="297" spans="11:11" ht="20.100000000000001" customHeight="1" x14ac:dyDescent="0.2">
      <c r="K297" s="32"/>
    </row>
    <row r="302" spans="11:11" ht="20.100000000000001" customHeight="1" x14ac:dyDescent="0.2">
      <c r="K302" s="32"/>
    </row>
    <row r="307" spans="11:11" ht="20.100000000000001" customHeight="1" x14ac:dyDescent="0.2">
      <c r="K307" s="32"/>
    </row>
    <row r="312" spans="11:11" ht="20.100000000000001" customHeight="1" x14ac:dyDescent="0.2">
      <c r="K312" s="32"/>
    </row>
    <row r="313" spans="11:11" ht="20.100000000000001" customHeight="1" x14ac:dyDescent="0.2">
      <c r="K313" s="32"/>
    </row>
    <row r="314" spans="11:11" ht="20.100000000000001" customHeight="1" x14ac:dyDescent="0.2">
      <c r="K314" s="32"/>
    </row>
    <row r="315" spans="11:11" ht="20.100000000000001" customHeight="1" x14ac:dyDescent="0.2">
      <c r="K315" s="32"/>
    </row>
    <row r="316" spans="11:11" ht="20.100000000000001" customHeight="1" x14ac:dyDescent="0.2">
      <c r="K316" s="32"/>
    </row>
    <row r="318" spans="11:11" ht="20.100000000000001" customHeight="1" x14ac:dyDescent="0.2">
      <c r="K318" s="32"/>
    </row>
    <row r="320" spans="11:11" ht="20.100000000000001" customHeight="1" x14ac:dyDescent="0.2">
      <c r="K320" s="32"/>
    </row>
    <row r="321" spans="11:11" ht="20.100000000000001" customHeight="1" x14ac:dyDescent="0.2">
      <c r="K321" s="32"/>
    </row>
    <row r="322" spans="11:11" ht="20.100000000000001" customHeight="1" x14ac:dyDescent="0.2">
      <c r="K322" s="32"/>
    </row>
    <row r="323" spans="11:11" ht="20.100000000000001" customHeight="1" x14ac:dyDescent="0.2">
      <c r="K323" s="32"/>
    </row>
    <row r="325" spans="11:11" ht="20.100000000000001" customHeight="1" x14ac:dyDescent="0.2">
      <c r="K325" s="32"/>
    </row>
    <row r="333" spans="11:11" ht="20.100000000000001" customHeight="1" x14ac:dyDescent="0.2">
      <c r="K333" s="32"/>
    </row>
    <row r="334" spans="11:11" ht="20.100000000000001" customHeight="1" x14ac:dyDescent="0.2">
      <c r="K334" s="32"/>
    </row>
    <row r="335" spans="11:11" ht="20.100000000000001" customHeight="1" x14ac:dyDescent="0.2">
      <c r="K335" s="32"/>
    </row>
    <row r="338" spans="11:11" ht="20.100000000000001" customHeight="1" x14ac:dyDescent="0.2">
      <c r="K338" s="32"/>
    </row>
    <row r="339" spans="11:11" ht="20.100000000000001" customHeight="1" x14ac:dyDescent="0.2">
      <c r="K339" s="32"/>
    </row>
    <row r="340" spans="11:11" ht="20.100000000000001" customHeight="1" x14ac:dyDescent="0.2">
      <c r="K340" s="32"/>
    </row>
    <row r="343" spans="11:11" ht="20.100000000000001" customHeight="1" x14ac:dyDescent="0.2">
      <c r="K343" s="32"/>
    </row>
    <row r="344" spans="11:11" ht="20.100000000000001" customHeight="1" x14ac:dyDescent="0.2">
      <c r="K344" s="32"/>
    </row>
    <row r="345" spans="11:11" ht="20.100000000000001" customHeight="1" x14ac:dyDescent="0.2">
      <c r="K345" s="32"/>
    </row>
    <row r="348" spans="11:11" ht="20.100000000000001" customHeight="1" x14ac:dyDescent="0.2">
      <c r="K348" s="32"/>
    </row>
    <row r="349" spans="11:11" ht="20.100000000000001" customHeight="1" x14ac:dyDescent="0.2">
      <c r="K349" s="32"/>
    </row>
    <row r="350" spans="11:11" ht="20.100000000000001" customHeight="1" x14ac:dyDescent="0.2">
      <c r="K350" s="32"/>
    </row>
    <row r="357" spans="11:11" ht="20.100000000000001" customHeight="1" x14ac:dyDescent="0.2">
      <c r="K357" s="32"/>
    </row>
    <row r="358" spans="11:11" ht="20.100000000000001" customHeight="1" x14ac:dyDescent="0.2">
      <c r="K358" s="32"/>
    </row>
    <row r="359" spans="11:11" ht="20.100000000000001" customHeight="1" x14ac:dyDescent="0.2">
      <c r="K359" s="32"/>
    </row>
    <row r="362" spans="11:11" ht="20.100000000000001" customHeight="1" x14ac:dyDescent="0.2">
      <c r="K362" s="32"/>
    </row>
    <row r="363" spans="11:11" ht="20.100000000000001" customHeight="1" x14ac:dyDescent="0.2">
      <c r="K363" s="32"/>
    </row>
    <row r="364" spans="11:11" ht="20.100000000000001" customHeight="1" x14ac:dyDescent="0.2">
      <c r="K364" s="32"/>
    </row>
    <row r="367" spans="11:11" ht="20.100000000000001" customHeight="1" x14ac:dyDescent="0.2">
      <c r="K367" s="32"/>
    </row>
    <row r="368" spans="11:11" ht="20.100000000000001" customHeight="1" x14ac:dyDescent="0.2">
      <c r="K368" s="32"/>
    </row>
    <row r="369" spans="4:11" ht="20.100000000000001" customHeight="1" x14ac:dyDescent="0.2">
      <c r="K369" s="32"/>
    </row>
    <row r="372" spans="4:11" ht="20.100000000000001" customHeight="1" x14ac:dyDescent="0.2">
      <c r="K372" s="32"/>
    </row>
    <row r="373" spans="4:11" ht="20.100000000000001" customHeight="1" x14ac:dyDescent="0.2">
      <c r="K373" s="32"/>
    </row>
    <row r="374" spans="4:11" ht="20.100000000000001" customHeight="1" x14ac:dyDescent="0.2">
      <c r="K374" s="32"/>
    </row>
    <row r="378" spans="4:11" ht="20.100000000000001" customHeight="1" x14ac:dyDescent="0.2">
      <c r="D378" s="76"/>
    </row>
  </sheetData>
  <conditionalFormatting sqref="F155:F156">
    <cfRule type="cellIs" dxfId="45" priority="15" operator="lessThan">
      <formula>0</formula>
    </cfRule>
  </conditionalFormatting>
  <conditionalFormatting sqref="F167:F168">
    <cfRule type="cellIs" dxfId="44" priority="14" operator="lessThan">
      <formula>0</formula>
    </cfRule>
  </conditionalFormatting>
  <conditionalFormatting sqref="F179:F180">
    <cfRule type="cellIs" dxfId="43" priority="13" operator="lessThan">
      <formula>0</formula>
    </cfRule>
  </conditionalFormatting>
  <conditionalFormatting sqref="F267:F268">
    <cfRule type="cellIs" dxfId="42" priority="26" operator="lessThan">
      <formula>0</formula>
    </cfRule>
  </conditionalFormatting>
  <conditionalFormatting sqref="F272:F273">
    <cfRule type="cellIs" dxfId="41" priority="25" operator="lessThan">
      <formula>0</formula>
    </cfRule>
  </conditionalFormatting>
  <conditionalFormatting sqref="F277:F278">
    <cfRule type="cellIs" dxfId="40" priority="24" operator="lessThan">
      <formula>0</formula>
    </cfRule>
  </conditionalFormatting>
  <conditionalFormatting sqref="F301:F302">
    <cfRule type="cellIs" dxfId="39" priority="23" operator="lessThan">
      <formula>0</formula>
    </cfRule>
  </conditionalFormatting>
  <conditionalFormatting sqref="F306:F307">
    <cfRule type="cellIs" dxfId="38" priority="22" operator="lessThan">
      <formula>0</formula>
    </cfRule>
  </conditionalFormatting>
  <conditionalFormatting sqref="F311:F312">
    <cfRule type="cellIs" dxfId="37" priority="21" operator="lessThan">
      <formula>0</formula>
    </cfRule>
  </conditionalFormatting>
  <conditionalFormatting sqref="H53 F143:F144">
    <cfRule type="cellIs" dxfId="36"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35" priority="20" operator="lessThan">
      <formula>0</formula>
    </cfRule>
  </conditionalFormatting>
  <conditionalFormatting sqref="I41:I44 I46:I47 F58 I75:I78 L198 K200 L202:L203 K204:K205 L206:L207 K208:K209 L212:L213 K214:K215 L216:L217 K218:K219 L223:L228 K225">
    <cfRule type="cellIs" dxfId="34" priority="18" operator="lessThan">
      <formula>0</formula>
    </cfRule>
  </conditionalFormatting>
  <conditionalFormatting sqref="I82 M119 I141:J141">
    <cfRule type="cellIs" dxfId="33" priority="19" operator="lessThan">
      <formula>0</formula>
    </cfRule>
  </conditionalFormatting>
  <conditionalFormatting sqref="I93:I95">
    <cfRule type="cellIs" dxfId="32" priority="3" operator="lessThan">
      <formula>0</formula>
    </cfRule>
  </conditionalFormatting>
  <conditionalFormatting sqref="I99:I102">
    <cfRule type="cellIs" dxfId="31" priority="2" operator="lessThan">
      <formula>0</formula>
    </cfRule>
  </conditionalFormatting>
  <conditionalFormatting sqref="I106:I110">
    <cfRule type="cellIs" dxfId="30" priority="1" operator="lessThan">
      <formula>0</formula>
    </cfRule>
  </conditionalFormatting>
  <conditionalFormatting sqref="J169">
    <cfRule type="cellIs" dxfId="29" priority="17" operator="lessThan">
      <formula>0</formula>
    </cfRule>
  </conditionalFormatting>
  <conditionalFormatting sqref="L131:L134">
    <cfRule type="cellIs" dxfId="28" priority="7" operator="lessThan">
      <formula>0</formula>
    </cfRule>
  </conditionalFormatting>
  <conditionalFormatting sqref="L137">
    <cfRule type="cellIs" dxfId="27" priority="12" operator="lessThan">
      <formula>0</formula>
    </cfRule>
  </conditionalFormatting>
  <conditionalFormatting sqref="L143:L146">
    <cfRule type="cellIs" dxfId="26" priority="6" operator="lessThan">
      <formula>0</formula>
    </cfRule>
  </conditionalFormatting>
  <conditionalFormatting sqref="L149">
    <cfRule type="cellIs" dxfId="25" priority="11" operator="lessThan">
      <formula>0</formula>
    </cfRule>
  </conditionalFormatting>
  <conditionalFormatting sqref="L155:L158">
    <cfRule type="cellIs" dxfId="24" priority="5" operator="lessThan">
      <formula>0</formula>
    </cfRule>
  </conditionalFormatting>
  <conditionalFormatting sqref="L161">
    <cfRule type="cellIs" dxfId="23" priority="10" operator="lessThan">
      <formula>0</formula>
    </cfRule>
  </conditionalFormatting>
  <conditionalFormatting sqref="L167:L170">
    <cfRule type="cellIs" dxfId="22" priority="4" operator="lessThan">
      <formula>0</formula>
    </cfRule>
  </conditionalFormatting>
  <conditionalFormatting sqref="L173">
    <cfRule type="cellIs" dxfId="21" priority="9" operator="lessThan">
      <formula>0</formula>
    </cfRule>
  </conditionalFormatting>
  <conditionalFormatting sqref="L177:L178">
    <cfRule type="cellIs" dxfId="20" priority="8" operator="lessThan">
      <formula>0</formula>
    </cfRule>
  </conditionalFormatting>
  <conditionalFormatting sqref="L230 L232:L235 L237 J245:J247 J250:J252">
    <cfRule type="cellIs" dxfId="19" priority="27" operator="lessThan">
      <formula>0</formula>
    </cfRule>
  </conditionalFormatting>
  <dataValidations count="9">
    <dataValidation type="list" allowBlank="1" showInputMessage="1" showErrorMessage="1" sqref="D12:D21" xr:uid="{54FA979F-7710-4143-90A8-7BA2C9DED6BA}">
      <formula1>INDIRECT("FertiliserProducts[Product]")</formula1>
    </dataValidation>
    <dataValidation type="list" allowBlank="1" showInputMessage="1" showErrorMessage="1" sqref="Q25:R34" xr:uid="{1DA0E2AA-BF08-4247-BF0F-348A01392899}">
      <formula1>INDIRECT("Table_SourceData_Fertiliser_UreaAmmoniaSources[Source]")</formula1>
    </dataValidation>
    <dataValidation type="list" allowBlank="1" showInputMessage="1" showErrorMessage="1" sqref="D54:D56" xr:uid="{E5B9FDD5-4A94-442B-9D37-9F894D8DB71F}">
      <formula1>INDIRECT("Table_SourceData_OrganicFertiliserTypes[Organic fertiliser type]")</formula1>
    </dataValidation>
    <dataValidation type="list" allowBlank="1" showInputMessage="1" showErrorMessage="1" sqref="H25:H34 J25:J34 L25:L34 N25:N34" xr:uid="{527E11CA-D947-496A-A90F-DD11605025C2}">
      <formula1>INDIRECT("Table_Fertiliser_ChemicalCompounds[Fertiliser type f]")</formula1>
    </dataValidation>
    <dataValidation type="list" allowBlank="1" showInputMessage="1" showErrorMessage="1" sqref="E81" xr:uid="{146F59AA-2704-4DF8-868D-8BF6DD61172D}">
      <formula1>INDIRECT("Table_SourceData_Swine_CropProdSystems[Production system]")</formula1>
    </dataValidation>
    <dataValidation type="list" allowBlank="1" showInputMessage="1" showErrorMessage="1" sqref="E82" xr:uid="{22235B58-990C-416E-80F2-EF2DC0471DD1}">
      <formula1>INDIRECT("Table_SourceData_Swine_IrrigationMethods[Irrigation method]")</formula1>
    </dataValidation>
    <dataValidation type="list" allowBlank="1" showInputMessage="1" showErrorMessage="1" sqref="E266 E271 E276 E310 E305 E300 E178 E166 E142 E154" xr:uid="{F715CC30-91EA-4A5B-84BA-3A1924C13E24}">
      <formula1>"Yes, No"</formula1>
    </dataValidation>
    <dataValidation type="list" allowBlank="1" showInputMessage="1" showErrorMessage="1" sqref="E242" xr:uid="{CEB33E1B-E084-4EEF-BBB0-52E97C451850}">
      <formula1>INDIRECT("Table_SourceData_Dairy_ProductionSystemTemplates[Area]")</formula1>
    </dataValidation>
    <dataValidation type="list" allowBlank="1" showInputMessage="1" showErrorMessage="1" sqref="D294" xr:uid="{79967253-209F-4A29-AE54-DC85F50992F7}">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53267-6E74-4139-B356-86F20B2F1D96}">
  <sheetPr>
    <tabColor theme="5" tint="-0.249977111117893"/>
  </sheetPr>
  <dimension ref="A1:K346"/>
  <sheetViews>
    <sheetView showGridLines="0" zoomScaleNormal="100" workbookViewId="0">
      <pane xSplit="1" topLeftCell="B1" activePane="topRight" state="frozenSplit"/>
      <selection pane="topRight" activeCell="A28" sqref="A28"/>
    </sheetView>
  </sheetViews>
  <sheetFormatPr defaultRowHeight="20.100000000000001" customHeight="1" x14ac:dyDescent="0.2"/>
  <cols>
    <col min="1" max="1" width="36.7109375" customWidth="1"/>
    <col min="2" max="2" width="4.7109375" customWidth="1"/>
    <col min="3" max="3" width="4.7109375" style="15" customWidth="1"/>
    <col min="4" max="4" width="52.140625" style="15" customWidth="1"/>
    <col min="5" max="5" width="47" style="15" customWidth="1"/>
    <col min="6" max="10" width="24.85546875" style="15" customWidth="1"/>
    <col min="11" max="11" width="4.7109375" style="15" customWidth="1"/>
    <col min="12" max="12" width="4.7109375" customWidth="1"/>
  </cols>
  <sheetData>
    <row r="1" spans="1:11" s="23" customFormat="1" ht="30" customHeight="1" x14ac:dyDescent="0.35">
      <c r="A1" s="23" t="e" vm="1">
        <v>#VALUE!</v>
      </c>
      <c r="C1" s="23" t="s">
        <v>349</v>
      </c>
    </row>
    <row r="2" spans="1:11" s="9" customFormat="1" ht="20.100000000000001" customHeight="1" x14ac:dyDescent="0.2">
      <c r="A2"/>
    </row>
    <row r="3" spans="1:11" ht="20.100000000000001" customHeight="1" x14ac:dyDescent="0.2">
      <c r="A3" s="29" t="str">
        <f>HYPERLINK("#'Home'!A1", "Home")</f>
        <v>Home</v>
      </c>
      <c r="C3" s="24"/>
      <c r="D3" s="24"/>
      <c r="E3" s="24"/>
      <c r="F3" s="24"/>
      <c r="G3" s="24"/>
      <c r="H3" s="24"/>
      <c r="I3" s="24"/>
      <c r="J3" s="24"/>
      <c r="K3" s="24"/>
    </row>
    <row r="5" spans="1:11" ht="20.100000000000001" customHeight="1" x14ac:dyDescent="0.2">
      <c r="D5" s="16" t="s">
        <v>350</v>
      </c>
      <c r="E5" s="14"/>
      <c r="F5" s="14"/>
      <c r="G5" s="14"/>
      <c r="H5" s="14"/>
    </row>
    <row r="6" spans="1:11" ht="20.100000000000001" customHeight="1" x14ac:dyDescent="0.2">
      <c r="A6" s="40" t="s">
        <v>148</v>
      </c>
      <c r="D6" s="34"/>
      <c r="E6" s="34"/>
      <c r="F6" s="34"/>
      <c r="G6" s="34"/>
      <c r="H6" s="34"/>
      <c r="I6" s="34"/>
      <c r="J6" s="34"/>
    </row>
    <row r="7" spans="1:11" ht="20.100000000000001" customHeight="1" x14ac:dyDescent="0.2">
      <c r="A7" s="29" t="str">
        <f>HYPERLINK("#'Input - Planting'!A1", "Planting")</f>
        <v>Planting</v>
      </c>
      <c r="D7" s="15" t="s">
        <v>351</v>
      </c>
    </row>
    <row r="8" spans="1:11" ht="20.100000000000001" customHeight="1" x14ac:dyDescent="0.2">
      <c r="A8" s="29" t="str">
        <f>HYPERLINK("#'Input - Fertiliser'!A1", "Fertiliser")</f>
        <v>Fertiliser</v>
      </c>
      <c r="D8" s="15" t="s">
        <v>352</v>
      </c>
    </row>
    <row r="9" spans="1:11" ht="20.100000000000001" customHeight="1" x14ac:dyDescent="0.2">
      <c r="A9" s="44" t="str">
        <f>HYPERLINK("#'Input - Fuel'!A1", "Fuel")</f>
        <v>Fuel</v>
      </c>
      <c r="D9" s="15" t="s">
        <v>353</v>
      </c>
    </row>
    <row r="10" spans="1:11" ht="20.100000000000001" customHeight="1" x14ac:dyDescent="0.2">
      <c r="A10" s="29" t="str">
        <f>HYPERLINK("#'Input - Fert Prod System'!A1", "Fert Prod System")</f>
        <v>Fert Prod System</v>
      </c>
    </row>
    <row r="11" spans="1:11" ht="20.100000000000001" customHeight="1" x14ac:dyDescent="0.2">
      <c r="A11" s="29" t="str">
        <f>HYPERLINK("#'Input - Site'!A1", "Site")</f>
        <v>Site</v>
      </c>
      <c r="D11" s="15" t="s">
        <v>354</v>
      </c>
      <c r="E11" s="27" t="s">
        <v>355</v>
      </c>
      <c r="F11" s="32" t="s">
        <v>139</v>
      </c>
    </row>
    <row r="12" spans="1:11" ht="20.100000000000001" customHeight="1" x14ac:dyDescent="0.2">
      <c r="A12" s="29" t="str">
        <f>HYPERLINK("#'Input - Data quality'!A1", "Data quality")</f>
        <v>Data quality</v>
      </c>
    </row>
    <row r="13" spans="1:11" ht="20.100000000000001" customHeight="1" x14ac:dyDescent="0.2">
      <c r="D13" s="35" t="s">
        <v>356</v>
      </c>
      <c r="E13" s="36"/>
      <c r="F13" s="36"/>
      <c r="G13" s="36"/>
      <c r="H13" s="37"/>
    </row>
    <row r="14" spans="1:11" ht="20.100000000000001" customHeight="1" x14ac:dyDescent="0.2">
      <c r="D14" s="41" t="s">
        <v>357</v>
      </c>
      <c r="E14" s="42"/>
      <c r="F14" s="42"/>
      <c r="G14" s="42"/>
      <c r="H14" s="43"/>
    </row>
    <row r="15" spans="1:11" ht="20.100000000000001" customHeight="1" x14ac:dyDescent="0.2">
      <c r="A15" s="53" t="s">
        <v>175</v>
      </c>
      <c r="D15" s="34"/>
      <c r="E15" s="34"/>
      <c r="F15" s="34"/>
      <c r="G15" s="34"/>
      <c r="H15" s="34"/>
      <c r="I15" s="34"/>
      <c r="J15" s="34"/>
    </row>
    <row r="16" spans="1:11" ht="20.100000000000001" customHeight="1" x14ac:dyDescent="0.2">
      <c r="A16" s="29" t="str">
        <f>HYPERLINK("#'5.1.1.1-2 Inorganic fert N2O'!A1", "5.1.1.1-2 Inorganic fert N2O")</f>
        <v>5.1.1.1-2 Inorganic fert N2O</v>
      </c>
      <c r="D16" s="25" t="s">
        <v>358</v>
      </c>
      <c r="E16" s="25" t="s">
        <v>359</v>
      </c>
      <c r="F16" s="25" t="s">
        <v>360</v>
      </c>
      <c r="G16" s="25" t="s">
        <v>361</v>
      </c>
      <c r="H16" s="25" t="s">
        <v>362</v>
      </c>
      <c r="I16" s="25" t="s">
        <v>363</v>
      </c>
      <c r="J16" s="25" t="s">
        <v>364</v>
      </c>
    </row>
    <row r="17" spans="1:10" ht="20.100000000000001" customHeight="1" x14ac:dyDescent="0.2">
      <c r="A17" s="29" t="str">
        <f>HYPERLINK("#'5.1.1.3-4 Inorganic fert CO2'!A1", "5.1.1.3-4 Inorganic fert CO2")</f>
        <v>5.1.1.3-4 Inorganic fert CO2</v>
      </c>
      <c r="D17" s="27" t="s">
        <v>365</v>
      </c>
      <c r="E17" s="27" t="s">
        <v>366</v>
      </c>
      <c r="F17" s="123">
        <v>100</v>
      </c>
      <c r="G17" s="28" t="str" cm="1">
        <f t="array" ref="G17">Common_InputFunctions.Utility_LookupValueInTable(Table_Input_Fuel[[#This Row],[Fuel type (select)]],Table_FuelTypes_Units[Fuel type], Table_FuelTypes_Units[Input Unit])</f>
        <v>GJ</v>
      </c>
      <c r="H17" s="124">
        <f>1</f>
        <v>1</v>
      </c>
      <c r="I17" s="28">
        <f>Table_Input_Fuel[[#This Row],[Amount purchased]]*Table_Input_Fuel[[#This Row],[Percent consumed]]*IF(Table_Input_Fuel[[#This Row],[Amount unit]]="L", 10^-3, 1)</f>
        <v>100</v>
      </c>
      <c r="J17" s="28" t="str" cm="1">
        <f t="array" ref="J17">Common_InputFunctions.Utility_LookupValueInTable(Table_Input_Fuel[[#This Row],[Fuel type (select)]],Table_FuelTypes_Units[Fuel type], Table_FuelTypes_Units[Unit])</f>
        <v>GJ</v>
      </c>
    </row>
    <row r="18" spans="1:10" ht="20.100000000000001" customHeight="1" x14ac:dyDescent="0.2">
      <c r="A18" s="29" t="str">
        <f>HYPERLINK("#'5.2.1.1-2 Organic Fert N2O'!A1", "5.2.1.1-2 Organic fert N2O")</f>
        <v>5.2.1.1-2 Organic fert N2O</v>
      </c>
      <c r="D18" s="27" t="s">
        <v>365</v>
      </c>
      <c r="E18" s="27" t="s">
        <v>367</v>
      </c>
      <c r="F18" s="123">
        <v>10000</v>
      </c>
      <c r="G18" s="28" t="str" cm="1">
        <f t="array" ref="G18">Common_InputFunctions.Utility_LookupValueInTable(Table_Input_Fuel[[#This Row],[Fuel type (select)]],Table_FuelTypes_Units[Fuel type], Table_FuelTypes_Units[Input Unit])</f>
        <v>L</v>
      </c>
      <c r="H18" s="125">
        <f>1</f>
        <v>1</v>
      </c>
      <c r="I18" s="28">
        <f>Table_Input_Fuel[[#This Row],[Amount purchased]]*Table_Input_Fuel[[#This Row],[Percent consumed]]*IF(Table_Input_Fuel[[#This Row],[Amount unit]]="L", 10^-3, 1)</f>
        <v>10</v>
      </c>
      <c r="J18" s="28" t="str" cm="1">
        <f t="array" ref="J18">Common_InputFunctions.Utility_LookupValueInTable(Table_Input_Fuel[[#This Row],[Fuel type (select)]],Table_FuelTypes_Units[Fuel type], Table_FuelTypes_Units[Unit])</f>
        <v>kL</v>
      </c>
    </row>
    <row r="19" spans="1:10" ht="20.100000000000001" customHeight="1" x14ac:dyDescent="0.2">
      <c r="A19" s="29" t="str">
        <f>HYPERLINK("#'5.3.1.1-2 Lime CO2'!A1", "5.3.1.1-2 Lime CO2")</f>
        <v>5.3.1.1-2 Lime CO2</v>
      </c>
      <c r="D19" s="27" t="s">
        <v>368</v>
      </c>
      <c r="E19" s="27" t="s">
        <v>369</v>
      </c>
      <c r="F19" s="123">
        <v>10000</v>
      </c>
      <c r="G19" s="28" t="str" cm="1">
        <f t="array" ref="G19">Common_InputFunctions.Utility_LookupValueInTable(Table_Input_Fuel[[#This Row],[Fuel type (select)]],Table_FuelTypes_Units[Fuel type], Table_FuelTypes_Units[Input Unit])</f>
        <v>L</v>
      </c>
      <c r="H19" s="125">
        <f>1</f>
        <v>1</v>
      </c>
      <c r="I19" s="28">
        <f>Table_Input_Fuel[[#This Row],[Amount purchased]]*Table_Input_Fuel[[#This Row],[Percent consumed]]*IF(Table_Input_Fuel[[#This Row],[Amount unit]]="L", 10^-3, 1)</f>
        <v>10</v>
      </c>
      <c r="J19" s="28" t="str" cm="1">
        <f t="array" ref="J19">Common_InputFunctions.Utility_LookupValueInTable(Table_Input_Fuel[[#This Row],[Fuel type (select)]],Table_FuelTypes_Units[Fuel type], Table_FuelTypes_Units[Unit])</f>
        <v>kL</v>
      </c>
    </row>
    <row r="20" spans="1:10" ht="20.100000000000001" customHeight="1" x14ac:dyDescent="0.2">
      <c r="A20" s="29" t="str">
        <f>HYPERLINK("#'5.4.1.1-4 Atmos deposition'!A1", "5.4.1.1-4 Atmos. deposition")</f>
        <v>5.4.1.1-4 Atmos. deposition</v>
      </c>
      <c r="D20" s="27" t="s">
        <v>370</v>
      </c>
      <c r="E20" s="27" t="s">
        <v>369</v>
      </c>
      <c r="F20" s="123">
        <v>10000</v>
      </c>
      <c r="G20" s="28" t="str" cm="1">
        <f t="array" ref="G20">Common_InputFunctions.Utility_LookupValueInTable(Table_Input_Fuel[[#This Row],[Fuel type (select)]],Table_FuelTypes_Units[Fuel type], Table_FuelTypes_Units[Input Unit])</f>
        <v>L</v>
      </c>
      <c r="H20" s="125">
        <f>1</f>
        <v>1</v>
      </c>
      <c r="I20" s="28">
        <f>Table_Input_Fuel[[#This Row],[Amount purchased]]*Table_Input_Fuel[[#This Row],[Percent consumed]]*IF(Table_Input_Fuel[[#This Row],[Amount unit]]="L", 10^-3, 1)</f>
        <v>10</v>
      </c>
      <c r="J20" s="28" t="str" cm="1">
        <f t="array" ref="J20">Common_InputFunctions.Utility_LookupValueInTable(Table_Input_Fuel[[#This Row],[Fuel type (select)]],Table_FuelTypes_Units[Fuel type], Table_FuelTypes_Units[Unit])</f>
        <v>kL</v>
      </c>
    </row>
    <row r="21" spans="1:10" ht="20.100000000000001" customHeight="1" x14ac:dyDescent="0.2">
      <c r="A21" s="29" t="str">
        <f>HYPERLINK("#'5.5.1.1-2 Leaching and runoff'!A1", "5.5.1.1-2 Leaching &amp; runoff")</f>
        <v>5.5.1.1-2 Leaching &amp; runoff</v>
      </c>
      <c r="D21" s="126" t="s">
        <v>371</v>
      </c>
      <c r="E21" s="126" t="s">
        <v>372</v>
      </c>
      <c r="F21" s="123">
        <v>10000</v>
      </c>
      <c r="G21" s="127" t="str" cm="1">
        <f t="array" ref="G21">Common_InputFunctions.Utility_LookupValueInTable(Table_Input_Fuel[[#This Row],[Fuel type (select)]],Table_FuelTypes_Units[Fuel type], Table_FuelTypes_Units[Input Unit])</f>
        <v>L</v>
      </c>
      <c r="H21" s="128">
        <f>1</f>
        <v>1</v>
      </c>
      <c r="I21" s="127">
        <f>Table_Input_Fuel[[#This Row],[Amount purchased]]*Table_Input_Fuel[[#This Row],[Percent consumed]]*IF(Table_Input_Fuel[[#This Row],[Amount unit]]="L", 10^-3, 1)</f>
        <v>10</v>
      </c>
      <c r="J21" s="28" t="str" cm="1">
        <f t="array" ref="J21">Common_InputFunctions.Utility_LookupValueInTable(Table_Input_Fuel[[#This Row],[Fuel type (select)]],Table_FuelTypes_Units[Fuel type], Table_FuelTypes_Units[Unit])</f>
        <v>kL</v>
      </c>
    </row>
    <row r="22" spans="1:10" ht="20.100000000000001" customHeight="1" x14ac:dyDescent="0.2">
      <c r="A22" s="29" t="str">
        <f>HYPERLINK("#'8.1.1.1-2 Transport fuel'!A1", "8.1.1.1-2 Transport fuel")</f>
        <v>8.1.1.1-2 Transport fuel</v>
      </c>
    </row>
    <row r="23" spans="1:10" ht="20.100000000000001" customHeight="1" x14ac:dyDescent="0.2">
      <c r="A23" s="29" t="str">
        <f>HYPERLINK("#'8.2.1.1-2 Stationary fuel'!A1", "8.2.1.1-2 Stationary fuel")</f>
        <v>8.2.1.1-2 Stationary fuel</v>
      </c>
    </row>
    <row r="26" spans="1:10" ht="20.100000000000001" customHeight="1" x14ac:dyDescent="0.2">
      <c r="A26" s="30" t="s">
        <v>91</v>
      </c>
    </row>
    <row r="27" spans="1:10" ht="20.100000000000001" customHeight="1" x14ac:dyDescent="0.2">
      <c r="A27" s="29" t="str">
        <f>HYPERLINK("#'Constants - Fertiliser'!A1", "Constants - Fertiliser")</f>
        <v>Constants - Fertiliser</v>
      </c>
    </row>
    <row r="28" spans="1:10" ht="20.100000000000001" customHeight="1" x14ac:dyDescent="0.2">
      <c r="A28" s="29" t="str">
        <f>HYPERLINK("#'Constants - Fuel'!A1", "Constants - Fuel")</f>
        <v>Constants - Fuel</v>
      </c>
    </row>
    <row r="29" spans="1:10" ht="20.100000000000001" customHeight="1" x14ac:dyDescent="0.2">
      <c r="A29" s="29" t="str">
        <f>HYPERLINK("#'Constants - Common'!A1", "Constants - Common")</f>
        <v>Constants - Common</v>
      </c>
    </row>
    <row r="38" spans="1:11" ht="20.100000000000001" customHeight="1" x14ac:dyDescent="0.2">
      <c r="C38" s="60"/>
      <c r="K38" s="60"/>
    </row>
    <row r="39" spans="1:11" ht="20.100000000000001" customHeight="1" x14ac:dyDescent="0.2">
      <c r="C39" s="60"/>
      <c r="K39" s="60"/>
    </row>
    <row r="40" spans="1:11" s="75" customFormat="1" ht="20.100000000000001" customHeight="1" x14ac:dyDescent="0.2">
      <c r="A40"/>
      <c r="C40" s="15"/>
      <c r="D40" s="15"/>
      <c r="E40" s="15"/>
      <c r="F40" s="15"/>
      <c r="G40" s="15"/>
      <c r="H40" s="15"/>
      <c r="I40" s="15"/>
      <c r="J40" s="15"/>
      <c r="K40" s="15"/>
    </row>
    <row r="41" spans="1:11" s="75" customFormat="1" ht="20.100000000000001" customHeight="1" x14ac:dyDescent="0.2">
      <c r="A41"/>
      <c r="C41" s="15"/>
      <c r="D41" s="15"/>
      <c r="E41" s="15"/>
      <c r="F41" s="15"/>
      <c r="G41" s="15"/>
      <c r="H41" s="15"/>
      <c r="I41" s="15"/>
      <c r="J41" s="15"/>
      <c r="K41" s="15"/>
    </row>
    <row r="346" spans="4:4" ht="20.100000000000001" customHeight="1" x14ac:dyDescent="0.2">
      <c r="D346" s="76"/>
    </row>
  </sheetData>
  <conditionalFormatting sqref="F32">
    <cfRule type="cellIs" dxfId="18" priority="9" operator="lessThan">
      <formula>0</formula>
    </cfRule>
  </conditionalFormatting>
  <conditionalFormatting sqref="F111:F112">
    <cfRule type="cellIs" dxfId="17" priority="8" operator="lessThan">
      <formula>0</formula>
    </cfRule>
  </conditionalFormatting>
  <conditionalFormatting sqref="F123:F124">
    <cfRule type="cellIs" dxfId="16" priority="7" operator="lessThan">
      <formula>0</formula>
    </cfRule>
  </conditionalFormatting>
  <conditionalFormatting sqref="F135:F136">
    <cfRule type="cellIs" dxfId="15" priority="6" operator="lessThan">
      <formula>0</formula>
    </cfRule>
  </conditionalFormatting>
  <conditionalFormatting sqref="F147:F148">
    <cfRule type="cellIs" dxfId="14" priority="5" operator="lessThan">
      <formula>0</formula>
    </cfRule>
  </conditionalFormatting>
  <conditionalFormatting sqref="F235:F236">
    <cfRule type="cellIs" dxfId="13" priority="17" operator="lessThan">
      <formula>0</formula>
    </cfRule>
  </conditionalFormatting>
  <conditionalFormatting sqref="F240:F241">
    <cfRule type="cellIs" dxfId="12" priority="16" operator="lessThan">
      <formula>0</formula>
    </cfRule>
  </conditionalFormatting>
  <conditionalFormatting sqref="F245:F246">
    <cfRule type="cellIs" dxfId="11" priority="15" operator="lessThan">
      <formula>0</formula>
    </cfRule>
  </conditionalFormatting>
  <conditionalFormatting sqref="F269:F270">
    <cfRule type="cellIs" dxfId="10" priority="14" operator="lessThan">
      <formula>0</formula>
    </cfRule>
  </conditionalFormatting>
  <conditionalFormatting sqref="F274:F275">
    <cfRule type="cellIs" dxfId="9" priority="13" operator="lessThan">
      <formula>0</formula>
    </cfRule>
  </conditionalFormatting>
  <conditionalFormatting sqref="F279:F280">
    <cfRule type="cellIs" dxfId="8" priority="12" operator="lessThan">
      <formula>0</formula>
    </cfRule>
  </conditionalFormatting>
  <conditionalFormatting sqref="I26:J27 H28:H30 I31:J31 I33:J35 I37:J38 I189:J189 E195:G195 I195:J195">
    <cfRule type="cellIs" dxfId="7" priority="11" operator="lessThan">
      <formula>0</formula>
    </cfRule>
  </conditionalFormatting>
  <conditionalFormatting sqref="I42:J46">
    <cfRule type="cellIs" dxfId="6" priority="4" operator="lessThan">
      <formula>0</formula>
    </cfRule>
  </conditionalFormatting>
  <conditionalFormatting sqref="I50:J50 I109:J109">
    <cfRule type="cellIs" dxfId="5" priority="10" operator="lessThan">
      <formula>0</formula>
    </cfRule>
  </conditionalFormatting>
  <conditionalFormatting sqref="I61:J63">
    <cfRule type="cellIs" dxfId="4" priority="3" operator="lessThan">
      <formula>0</formula>
    </cfRule>
  </conditionalFormatting>
  <conditionalFormatting sqref="I67:J70">
    <cfRule type="cellIs" dxfId="3" priority="2" operator="lessThan">
      <formula>0</formula>
    </cfRule>
  </conditionalFormatting>
  <conditionalFormatting sqref="I74:J78">
    <cfRule type="cellIs" dxfId="2" priority="1" operator="lessThan">
      <formula>0</formula>
    </cfRule>
  </conditionalFormatting>
  <dataValidations count="9">
    <dataValidation type="list" allowBlank="1" showInputMessage="1" showErrorMessage="1" sqref="E17:E21" xr:uid="{D2A84DDC-3E30-4170-AE16-B0B1BEB3F01B}">
      <formula1>_xlfn.TRIMRANGE(INDIRECT("Table_FuelTypesPerUse["&amp;D17&amp;"]"))</formula1>
    </dataValidation>
    <dataValidation type="list" allowBlank="1" showInputMessage="1" showErrorMessage="1" sqref="D17:D21" xr:uid="{51C0C612-C16C-46B1-BB16-65EBD64AD236}">
      <formula1>INDIRECT("Table_FuelTypesPerUse[#Headers]")</formula1>
    </dataValidation>
    <dataValidation type="list" allowBlank="1" showInputMessage="1" showErrorMessage="1" sqref="E11" xr:uid="{628CF4E7-D9F0-4817-A984-8E283E0B3AD6}">
      <formula1>"Metro, Non-metro"</formula1>
    </dataValidation>
    <dataValidation type="list" allowBlank="1" showInputMessage="1" showErrorMessage="1" sqref="D29:D30" xr:uid="{1F121047-00B1-4DE1-895F-ACE9A50F42F1}">
      <formula1>INDIRECT("Table_SourceData_OrganicFertiliserTypes[Organic fertiliser type]")</formula1>
    </dataValidation>
    <dataValidation type="list" allowBlank="1" showInputMessage="1" showErrorMessage="1" sqref="E49" xr:uid="{1AA6D6F3-66D0-4525-A799-84EE2FD29504}">
      <formula1>INDIRECT("Table_SourceData_Swine_CropProdSystems[Production system]")</formula1>
    </dataValidation>
    <dataValidation type="list" allowBlank="1" showInputMessage="1" showErrorMessage="1" sqref="E50" xr:uid="{7EDE8C32-A090-4045-BA25-ED41E90EDAF3}">
      <formula1>INDIRECT("Table_SourceData_Swine_IrrigationMethods[Irrigation method]")</formula1>
    </dataValidation>
    <dataValidation type="list" allowBlank="1" showInputMessage="1" showErrorMessage="1" sqref="E234 E239 E244 E278 E273 E268 E146 E134 E110 E122" xr:uid="{6131B6BF-9E2D-466E-93ED-2E36BB37A375}">
      <formula1>"Yes, No"</formula1>
    </dataValidation>
    <dataValidation type="list" allowBlank="1" showInputMessage="1" showErrorMessage="1" sqref="E210" xr:uid="{A0DB62F5-A1DA-41E0-9B09-5601B1143781}">
      <formula1>INDIRECT("Table_SourceData_Dairy_ProductionSystemTemplates[Area]")</formula1>
    </dataValidation>
    <dataValidation type="list" allowBlank="1" showInputMessage="1" showErrorMessage="1" sqref="D262" xr:uid="{F53B786F-EEC9-448A-8569-78871A039C86}">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DF6D-158A-4C3C-9329-492E4BAA6ED8}">
  <sheetPr>
    <tabColor rgb="FF008000"/>
  </sheetPr>
  <dimension ref="A1:X342"/>
  <sheetViews>
    <sheetView showGridLines="0" zoomScaleNormal="100" workbookViewId="0">
      <pane xSplit="1" topLeftCell="B1" activePane="topRight" state="frozenSplit"/>
      <selection pane="topRight" activeCell="A28" sqref="A28"/>
    </sheetView>
  </sheetViews>
  <sheetFormatPr defaultRowHeight="20.100000000000001" customHeight="1" x14ac:dyDescent="0.2"/>
  <cols>
    <col min="1" max="1" width="36.7109375" customWidth="1"/>
    <col min="2" max="2" width="4.7109375" customWidth="1"/>
    <col min="3" max="3" width="4.7109375" style="15" customWidth="1"/>
    <col min="4" max="9" width="30.7109375" style="15" customWidth="1"/>
    <col min="10" max="10" width="25.28515625" style="15" customWidth="1"/>
    <col min="11" max="11" width="4.7109375" customWidth="1"/>
    <col min="12" max="12" width="4.7109375" style="15" customWidth="1"/>
    <col min="13" max="23" width="30.7109375" style="15" customWidth="1"/>
    <col min="24" max="24" width="4.7109375" style="15" customWidth="1"/>
  </cols>
  <sheetData>
    <row r="1" spans="1:24" s="8" customFormat="1" ht="30" customHeight="1" x14ac:dyDescent="0.35">
      <c r="A1" s="23" t="e" vm="1">
        <v>#VALUE!</v>
      </c>
      <c r="C1" s="8" t="s">
        <v>215</v>
      </c>
      <c r="K1"/>
    </row>
    <row r="2" spans="1:24" s="9" customFormat="1" ht="20.100000000000001" customHeight="1" x14ac:dyDescent="0.2">
      <c r="A2"/>
      <c r="K2"/>
    </row>
    <row r="3" spans="1:24" ht="20.100000000000001" customHeight="1" x14ac:dyDescent="0.2">
      <c r="A3" s="29" t="str">
        <f>HYPERLINK("#'Home'!A1", "Home")</f>
        <v>Home</v>
      </c>
      <c r="C3" s="12"/>
      <c r="D3" s="12" t="s">
        <v>216</v>
      </c>
      <c r="E3" s="12"/>
      <c r="F3" s="12"/>
      <c r="G3" s="12"/>
      <c r="H3" s="12"/>
      <c r="I3" s="12"/>
      <c r="J3" s="12"/>
      <c r="L3" s="12"/>
      <c r="M3" s="12" t="s">
        <v>217</v>
      </c>
      <c r="N3" s="12"/>
      <c r="O3" s="12"/>
      <c r="P3" s="12"/>
      <c r="Q3" s="12"/>
      <c r="R3" s="12"/>
      <c r="S3" s="12"/>
      <c r="T3" s="12"/>
      <c r="U3" s="12"/>
      <c r="V3" s="12"/>
      <c r="W3" s="12"/>
      <c r="X3" s="12"/>
    </row>
    <row r="5" spans="1:24" ht="20.100000000000001" customHeight="1" x14ac:dyDescent="0.2">
      <c r="D5" s="16" t="s">
        <v>476</v>
      </c>
      <c r="M5" s="76" t="s">
        <v>218</v>
      </c>
    </row>
    <row r="6" spans="1:24" ht="20.100000000000001" customHeight="1" x14ac:dyDescent="0.2">
      <c r="A6" s="40" t="s">
        <v>148</v>
      </c>
      <c r="D6" s="18" t="s">
        <v>477</v>
      </c>
      <c r="M6" s="82" t="s">
        <v>219</v>
      </c>
      <c r="N6" s="82"/>
      <c r="O6" s="82"/>
      <c r="P6" s="82"/>
      <c r="Q6" s="82"/>
      <c r="R6" s="82"/>
      <c r="S6" s="82"/>
    </row>
    <row r="7" spans="1:24" ht="20.100000000000001" customHeight="1" x14ac:dyDescent="0.2">
      <c r="A7" s="29" t="str">
        <f>HYPERLINK("#'Input - Planting'!A1", "Planting")</f>
        <v>Planting</v>
      </c>
      <c r="D7" s="83"/>
      <c r="E7" s="83"/>
      <c r="M7" s="84" t="s">
        <v>220</v>
      </c>
    </row>
    <row r="8" spans="1:24" ht="20.100000000000001" customHeight="1" x14ac:dyDescent="0.2">
      <c r="A8" s="29" t="str">
        <f>HYPERLINK("#'Input - Fertiliser'!A1", "Fertiliser")</f>
        <v>Fertiliser</v>
      </c>
      <c r="M8" s="85" t="s">
        <v>221</v>
      </c>
    </row>
    <row r="9" spans="1:24" ht="20.100000000000001" customHeight="1" x14ac:dyDescent="0.2">
      <c r="A9" s="29" t="str">
        <f>HYPERLINK("#'Input - Fuel'!A1", "Fuel")</f>
        <v>Fuel</v>
      </c>
      <c r="O9" s="86" t="s">
        <v>222</v>
      </c>
      <c r="P9" s="86" t="s">
        <v>144</v>
      </c>
      <c r="Q9" s="86" t="s">
        <v>223</v>
      </c>
    </row>
    <row r="10" spans="1:24" ht="20.100000000000001" customHeight="1" x14ac:dyDescent="0.2">
      <c r="A10" s="29" t="str">
        <f>HYPERLINK("#'Input - Fert Prod System'!A1", "Fert Prod System")</f>
        <v>Fert Prod System</v>
      </c>
      <c r="D10" s="69" t="s">
        <v>224</v>
      </c>
      <c r="E10" s="15" t="s">
        <v>478</v>
      </c>
      <c r="M10" s="87" t="s">
        <v>225</v>
      </c>
      <c r="N10" s="25" t="s">
        <v>225</v>
      </c>
      <c r="O10" s="25" t="s">
        <v>226</v>
      </c>
      <c r="P10" s="25" t="s">
        <v>227</v>
      </c>
      <c r="Q10" s="87" t="s">
        <v>228</v>
      </c>
    </row>
    <row r="11" spans="1:24" ht="20.100000000000001" customHeight="1" x14ac:dyDescent="0.2">
      <c r="A11" s="29" t="str">
        <f>HYPERLINK("#'Input - Site'!A1", "Site")</f>
        <v>Site</v>
      </c>
      <c r="D11" s="69" t="s">
        <v>229</v>
      </c>
      <c r="E11" s="20" t="s">
        <v>479</v>
      </c>
      <c r="M11" s="28" t="s">
        <v>230</v>
      </c>
      <c r="N11" s="28" t="str" cm="1">
        <f t="array" ref="N11:N20">Table_Input_InorganicFertiliser_Brands[Product (select)]</f>
        <v>Urea</v>
      </c>
      <c r="O11" s="28" cm="1">
        <f t="array" ref="O11:O20">Table_Input_InorganicFertiliser_Brands[N application rate (kg/ha)]</f>
        <v>46</v>
      </c>
      <c r="P11" s="28" cm="1">
        <f t="array" ref="P11:P20">IF(Table_Input_InorganicFertiliser_Brands[N application rate (kg/ha)]&gt;0, Table_Input_InorganicFertiliser_Brands[Application area (ha)], 0)</f>
        <v>100</v>
      </c>
      <c r="Q11" s="28">
        <f>O11*P11</f>
        <v>4600</v>
      </c>
    </row>
    <row r="12" spans="1:24" ht="20.100000000000001" customHeight="1" x14ac:dyDescent="0.2">
      <c r="A12" s="29" t="str">
        <f>HYPERLINK("#'Input - Data quality'!A1", "Data quality")</f>
        <v>Data quality</v>
      </c>
      <c r="M12" s="28" t="s">
        <v>230</v>
      </c>
      <c r="N12" s="28" t="str">
        <v>Boost-It</v>
      </c>
      <c r="O12" s="28">
        <v>24</v>
      </c>
      <c r="P12" s="28">
        <v>100</v>
      </c>
      <c r="Q12" s="28">
        <f>O12*P12</f>
        <v>2400</v>
      </c>
    </row>
    <row r="13" spans="1:24" ht="20.100000000000001" customHeight="1" x14ac:dyDescent="0.2">
      <c r="D13" s="88" t="s">
        <v>480</v>
      </c>
      <c r="E13" s="88" t="s">
        <v>481</v>
      </c>
      <c r="F13" s="88"/>
      <c r="G13" s="88" t="s">
        <v>223</v>
      </c>
      <c r="H13" s="90" t="s">
        <v>80</v>
      </c>
      <c r="I13" s="92" t="str" cm="1">
        <f t="array" aca="1" ref="I13" ca="1">HYPERLINK(Common_InputFunctions.Utility_SourceHyperlink($D$16), $D$16)</f>
        <v>Table_MN_j_f</v>
      </c>
      <c r="M13" s="28" t="s">
        <v>230</v>
      </c>
      <c r="N13" s="28" t="str">
        <v>Cal-Gran 50/50</v>
      </c>
      <c r="O13" s="28">
        <v>17.899999999999999</v>
      </c>
      <c r="P13" s="28">
        <v>100</v>
      </c>
      <c r="Q13" s="28">
        <f t="shared" ref="Q13:Q20" si="0">O13*P13</f>
        <v>1789.9999999999998</v>
      </c>
    </row>
    <row r="14" spans="1:24" ht="20.100000000000001" customHeight="1" x14ac:dyDescent="0.2">
      <c r="D14" s="88" t="s">
        <v>482</v>
      </c>
      <c r="E14" s="89" t="s">
        <v>483</v>
      </c>
      <c r="F14" s="94"/>
      <c r="G14" s="88" t="s">
        <v>484</v>
      </c>
      <c r="H14" s="91" t="s">
        <v>485</v>
      </c>
      <c r="I14" s="92" t="str" cm="1">
        <f t="array" aca="1" ref="I14" ca="1">HYPERLINK(Common_InputFunctions.Utility_SourceHyperlink($D$16), $D$16)</f>
        <v>Table_MN_j_f</v>
      </c>
      <c r="M14" s="28" t="s">
        <v>230</v>
      </c>
      <c r="N14" s="28">
        <v>0</v>
      </c>
      <c r="O14" s="28">
        <v>0</v>
      </c>
      <c r="P14" s="28">
        <v>0</v>
      </c>
      <c r="Q14" s="28">
        <f t="shared" si="0"/>
        <v>0</v>
      </c>
    </row>
    <row r="15" spans="1:24" ht="20.100000000000001" customHeight="1" x14ac:dyDescent="0.2">
      <c r="A15" s="53" t="s">
        <v>175</v>
      </c>
      <c r="M15" s="28" t="s">
        <v>230</v>
      </c>
      <c r="N15" s="28">
        <v>0</v>
      </c>
      <c r="O15" s="28">
        <v>0</v>
      </c>
      <c r="P15" s="28">
        <v>0</v>
      </c>
      <c r="Q15" s="28">
        <f t="shared" si="0"/>
        <v>0</v>
      </c>
    </row>
    <row r="16" spans="1:24" ht="20.100000000000001" customHeight="1" x14ac:dyDescent="0.2">
      <c r="A16" s="93" t="str">
        <f>HYPERLINK("#'5.1.1.1-2 Inorganic fert N2O'!A1", "5.1.1.1-2 Inorganic fert N2O")</f>
        <v>5.1.1.1-2 Inorganic fert N2O</v>
      </c>
      <c r="D16" s="84" t="s">
        <v>231</v>
      </c>
      <c r="M16" s="28" t="s">
        <v>230</v>
      </c>
      <c r="N16" s="28">
        <v>0</v>
      </c>
      <c r="O16" s="28">
        <v>0</v>
      </c>
      <c r="P16" s="28">
        <v>0</v>
      </c>
      <c r="Q16" s="28">
        <f t="shared" si="0"/>
        <v>0</v>
      </c>
    </row>
    <row r="17" spans="1:17" ht="20.100000000000001" customHeight="1" x14ac:dyDescent="0.2">
      <c r="A17" s="29" t="str">
        <f>HYPERLINK("#'5.1.1.3-4 Inorganic fert CO2'!A1", "5.1.1.3-4 Inorganic fert CO2")</f>
        <v>5.1.1.3-4 Inorganic fert CO2</v>
      </c>
      <c r="D17" s="85" t="s">
        <v>232</v>
      </c>
      <c r="M17" s="28" t="s">
        <v>230</v>
      </c>
      <c r="N17" s="28">
        <v>0</v>
      </c>
      <c r="O17" s="28">
        <v>0</v>
      </c>
      <c r="P17" s="28">
        <v>0</v>
      </c>
      <c r="Q17" s="28">
        <f t="shared" si="0"/>
        <v>0</v>
      </c>
    </row>
    <row r="18" spans="1:17" ht="20.100000000000001" customHeight="1" x14ac:dyDescent="0.2">
      <c r="A18" s="29" t="str">
        <f>HYPERLINK("#'5.2.1.1-2 Organic Fert N2O'!A1", "5.2.1.1-2 Organic fert N2O")</f>
        <v>5.2.1.1-2 Organic fert N2O</v>
      </c>
      <c r="D18" s="87" t="s">
        <v>233</v>
      </c>
      <c r="E18" s="25" t="s">
        <v>234</v>
      </c>
      <c r="F18" s="87" t="s">
        <v>235</v>
      </c>
      <c r="G18" s="87" t="s">
        <v>236</v>
      </c>
      <c r="M18" s="28" t="s">
        <v>230</v>
      </c>
      <c r="N18" s="28">
        <v>0</v>
      </c>
      <c r="O18" s="28">
        <v>0</v>
      </c>
      <c r="P18" s="28">
        <v>0</v>
      </c>
      <c r="Q18" s="28">
        <f t="shared" si="0"/>
        <v>0</v>
      </c>
    </row>
    <row r="19" spans="1:17" ht="20.100000000000001" customHeight="1" x14ac:dyDescent="0.2">
      <c r="A19" s="29" t="str">
        <f>HYPERLINK("#'5.3.1.1-2 Lime CO2'!A1", "5.3.1.1-2 Lime CO2")</f>
        <v>5.3.1.1-2 Lime CO2</v>
      </c>
      <c r="D19" s="28" t="str" cm="1">
        <f t="array" ref="D19:D37">Table_Fertiliser_ChemicalCompounds[Fertiliser type f]</f>
        <v>Monoammonium phosphate (MAP)</v>
      </c>
      <c r="E19" s="28"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8" cm="1">
        <f t="array" ref="F19">Common_InputFunctions.Utility_LookupValueInTableNumber(D19,Table_Fertiliser_ChemicalCompounds[Fertiliser type f],Table_Fertiliser_ChemicalCompounds[FNinorganic f])</f>
        <v>0.1</v>
      </c>
      <c r="G19" s="28">
        <f>(E19 * F19)</f>
        <v>0</v>
      </c>
      <c r="M19" s="28" t="s">
        <v>230</v>
      </c>
      <c r="N19" s="28">
        <v>0</v>
      </c>
      <c r="O19" s="28">
        <v>0</v>
      </c>
      <c r="P19" s="28">
        <v>0</v>
      </c>
      <c r="Q19" s="28">
        <f t="shared" si="0"/>
        <v>0</v>
      </c>
    </row>
    <row r="20" spans="1:17" ht="20.100000000000001" customHeight="1" x14ac:dyDescent="0.2">
      <c r="A20" s="29" t="str">
        <f>HYPERLINK("#'5.4.1.1-4 Atmos deposition'!A1", "5.4.1.1-4 Atmos. deposition")</f>
        <v>5.4.1.1-4 Atmos. deposition</v>
      </c>
      <c r="D20" s="28" t="str">
        <v>Diammonium phosphate (DAP)</v>
      </c>
      <c r="E20" s="28"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8" cm="1">
        <f t="array" ref="F20">Common_InputFunctions.Utility_LookupValueInTableNumber(D20,Table_Fertiliser_ChemicalCompounds[Fertiliser type f],Table_Fertiliser_ChemicalCompounds[FNinorganic f])</f>
        <v>0.18</v>
      </c>
      <c r="G20" s="28">
        <f>(E20 * F20)</f>
        <v>0</v>
      </c>
      <c r="M20" s="28" t="s">
        <v>230</v>
      </c>
      <c r="N20" s="28">
        <v>0</v>
      </c>
      <c r="O20" s="28">
        <v>0</v>
      </c>
      <c r="P20" s="28">
        <v>0</v>
      </c>
      <c r="Q20" s="28">
        <f t="shared" si="0"/>
        <v>0</v>
      </c>
    </row>
    <row r="21" spans="1:17" ht="20.100000000000001" customHeight="1" x14ac:dyDescent="0.2">
      <c r="A21" s="29" t="str">
        <f>HYPERLINK("#'5.5.1.1-2 Leaching and runoff'!A1", "5.5.1.1-2 Leaching &amp; runoff")</f>
        <v>5.5.1.1-2 Leaching &amp; runoff</v>
      </c>
      <c r="D21" s="28" t="str">
        <v>Urea</v>
      </c>
      <c r="E21" s="28"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28" cm="1">
        <f t="array" ref="F21">Common_InputFunctions.Utility_LookupValueInTableNumber(D21,Table_Fertiliser_ChemicalCompounds[Fertiliser type f],Table_Fertiliser_ChemicalCompounds[FNinorganic f])</f>
        <v>0.46</v>
      </c>
      <c r="G21" s="28">
        <f>(E21 * F21)</f>
        <v>11599.999400000001</v>
      </c>
      <c r="M21" s="28" t="s">
        <v>237</v>
      </c>
      <c r="N21" s="28" t="str" cm="1">
        <f t="array" ref="N21:N30">Table_Input_InorganicFertiliser_Custom[Custom blend name]</f>
        <v>My first custom blend</v>
      </c>
      <c r="O21" s="28" cm="1">
        <f t="array" ref="O21:O30">Table_Input_InorganicFertiliser_Custom[N application rate (kg/ha)]</f>
        <v>7.75</v>
      </c>
      <c r="P21" s="28" cm="1">
        <f t="array" ref="P21:P30">IF(Table_Input_InorganicFertiliser_Custom[N application rate (kg/ha)]&gt;0, Table_Input_InorganicFertiliser_Custom[Application area (ha)],0)</f>
        <v>100</v>
      </c>
      <c r="Q21" s="28">
        <f>O21*P21</f>
        <v>775</v>
      </c>
    </row>
    <row r="22" spans="1:17" ht="20.100000000000001" customHeight="1" x14ac:dyDescent="0.2">
      <c r="A22" s="29" t="str">
        <f>HYPERLINK("#'8.1.1.1-2 Transport fuel'!A1", "8.1.1.1-2 Transport fuel")</f>
        <v>8.1.1.1-2 Transport fuel</v>
      </c>
      <c r="D22" s="28" t="str">
        <v>Sulphate of ammonia (SOA)</v>
      </c>
      <c r="E22" s="28"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8" cm="1">
        <f t="array" ref="F22">Common_InputFunctions.Utility_LookupValueInTableNumber(D22,Table_Fertiliser_ChemicalCompounds[Fertiliser type f],Table_Fertiliser_ChemicalCompounds[FNinorganic f])</f>
        <v>0.21</v>
      </c>
      <c r="G22" s="28">
        <f>(E22 * F22)</f>
        <v>0</v>
      </c>
      <c r="M22" s="28" t="s">
        <v>237</v>
      </c>
      <c r="N22" s="28" t="str">
        <v>My second custom blend</v>
      </c>
      <c r="O22" s="28">
        <v>46</v>
      </c>
      <c r="P22" s="28">
        <v>100</v>
      </c>
      <c r="Q22" s="28">
        <f>O22*P22</f>
        <v>4600</v>
      </c>
    </row>
    <row r="23" spans="1:17" ht="20.100000000000001" customHeight="1" x14ac:dyDescent="0.2">
      <c r="A23" s="29" t="str">
        <f>HYPERLINK("#'8.2.1.1-2 Stationary fuel'!A1", "8.2.1.1-2 Stationary fuel")</f>
        <v>8.2.1.1-2 Stationary fuel</v>
      </c>
      <c r="D23" s="28" t="str">
        <v>Urea-ammonium nitrate (UAN)</v>
      </c>
      <c r="E23" s="28"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8" cm="1">
        <f t="array" ref="F23">Common_InputFunctions.Utility_LookupValueInTableNumber(D23,Table_Fertiliser_ChemicalCompounds[Fertiliser type f],Table_Fertiliser_ChemicalCompounds[FNinorganic f])</f>
        <v>0.32</v>
      </c>
      <c r="G23" s="28">
        <f>(E23 * F23)</f>
        <v>0</v>
      </c>
      <c r="M23" s="28" t="s">
        <v>237</v>
      </c>
      <c r="N23" s="28" t="str">
        <v>My third custom blend</v>
      </c>
      <c r="O23" s="28">
        <v>41.174999999999997</v>
      </c>
      <c r="P23" s="28">
        <v>100</v>
      </c>
      <c r="Q23" s="28">
        <f>O23*P23</f>
        <v>4117.5</v>
      </c>
    </row>
    <row r="24" spans="1:17" ht="20.100000000000001" customHeight="1" x14ac:dyDescent="0.2">
      <c r="D24" s="28" t="str">
        <v>Ammonium nitrate (AN)</v>
      </c>
      <c r="E24" s="28"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8" cm="1">
        <f t="array" ref="F24">Common_InputFunctions.Utility_LookupValueInTableNumber(D24,Table_Fertiliser_ChemicalCompounds[Fertiliser type f],Table_Fertiliser_ChemicalCompounds[FNinorganic f])</f>
        <v>0.33700000000000002</v>
      </c>
      <c r="G24" s="28">
        <f>(E24 * F24)</f>
        <v>0</v>
      </c>
      <c r="J24" s="32"/>
      <c r="M24" s="28" t="s">
        <v>237</v>
      </c>
      <c r="N24" s="28">
        <v>0</v>
      </c>
      <c r="O24" s="28">
        <v>0</v>
      </c>
      <c r="P24" s="28">
        <v>0</v>
      </c>
      <c r="Q24" s="28">
        <f>O24*P24</f>
        <v>0</v>
      </c>
    </row>
    <row r="25" spans="1:17" ht="20.100000000000001" customHeight="1" x14ac:dyDescent="0.2">
      <c r="D25" s="28" t="str">
        <v>Calcium ammonium nitrate (CAN)</v>
      </c>
      <c r="E25" s="28"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8" cm="1">
        <f t="array" ref="F25">Common_InputFunctions.Utility_LookupValueInTableNumber(D25,Table_Fertiliser_ChemicalCompounds[Fertiliser type f],Table_Fertiliser_ChemicalCompounds[FNinorganic f])</f>
        <v>0.27</v>
      </c>
      <c r="G25" s="28">
        <f>(E25 * F25)</f>
        <v>0</v>
      </c>
      <c r="J25" s="32"/>
      <c r="M25" s="28" t="s">
        <v>237</v>
      </c>
      <c r="N25" s="28">
        <v>0</v>
      </c>
      <c r="O25" s="28">
        <v>0</v>
      </c>
      <c r="P25" s="28">
        <v>0</v>
      </c>
      <c r="Q25" s="28">
        <f>O25*P25</f>
        <v>0</v>
      </c>
    </row>
    <row r="26" spans="1:17" ht="20.100000000000001" customHeight="1" x14ac:dyDescent="0.2">
      <c r="A26" s="30" t="s">
        <v>91</v>
      </c>
      <c r="D26" s="28" t="str">
        <v>Nitrogen - Ammoniacal</v>
      </c>
      <c r="E26" s="28"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28" cm="1">
        <f t="array" ref="F26">Common_InputFunctions.Utility_LookupValueInTableNumber(D26,Table_Fertiliser_ChemicalCompounds[Fertiliser type f],Table_Fertiliser_ChemicalCompounds[FNinorganic f])</f>
        <v>1</v>
      </c>
      <c r="G26" s="28">
        <f>(E26 * F26)</f>
        <v>1240</v>
      </c>
      <c r="M26" s="28" t="s">
        <v>237</v>
      </c>
      <c r="N26" s="28">
        <v>0</v>
      </c>
      <c r="O26" s="28">
        <v>0</v>
      </c>
      <c r="P26" s="28">
        <v>0</v>
      </c>
      <c r="Q26" s="28">
        <f t="shared" ref="Q26:Q30" si="1">O26*P26</f>
        <v>0</v>
      </c>
    </row>
    <row r="27" spans="1:17" ht="20.100000000000001" customHeight="1" x14ac:dyDescent="0.2">
      <c r="A27" s="29" t="str">
        <f>HYPERLINK("#'Constants - Fertiliser'!A1", "Constants - Fertiliser")</f>
        <v>Constants - Fertiliser</v>
      </c>
      <c r="D27" s="28" t="str">
        <v>Nitrogen - Nitrate</v>
      </c>
      <c r="E27" s="28"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28" cm="1">
        <f t="array" ref="F27">Common_InputFunctions.Utility_LookupValueInTableNumber(D27,Table_Fertiliser_ChemicalCompounds[Fertiliser type f],Table_Fertiliser_ChemicalCompounds[FNinorganic f])</f>
        <v>1</v>
      </c>
      <c r="G27" s="28">
        <f>(E27 * F27)</f>
        <v>550</v>
      </c>
      <c r="M27" s="28" t="s">
        <v>237</v>
      </c>
      <c r="N27" s="28">
        <v>0</v>
      </c>
      <c r="O27" s="28">
        <v>0</v>
      </c>
      <c r="P27" s="28">
        <v>0</v>
      </c>
      <c r="Q27" s="28">
        <f t="shared" si="1"/>
        <v>0</v>
      </c>
    </row>
    <row r="28" spans="1:17" ht="20.100000000000001" customHeight="1" x14ac:dyDescent="0.2">
      <c r="A28" s="29" t="str">
        <f>HYPERLINK("#'Constants - Fuel'!A1", "Constants - Fuel")</f>
        <v>Constants - Fuel</v>
      </c>
      <c r="D28" s="28" t="str">
        <v>Nitrogen - Generic</v>
      </c>
      <c r="E28" s="28"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28" cm="1">
        <f t="array" ref="F28">Common_InputFunctions.Utility_LookupValueInTableNumber(D28,Table_Fertiliser_ChemicalCompounds[Fertiliser type f],Table_Fertiliser_ChemicalCompounds[FNinorganic f])</f>
        <v>1</v>
      </c>
      <c r="G28" s="28">
        <f>(E28 * F28)</f>
        <v>0</v>
      </c>
      <c r="M28" s="28" t="s">
        <v>237</v>
      </c>
      <c r="N28" s="28">
        <v>0</v>
      </c>
      <c r="O28" s="28">
        <v>0</v>
      </c>
      <c r="P28" s="28">
        <v>0</v>
      </c>
      <c r="Q28" s="28">
        <f t="shared" si="1"/>
        <v>0</v>
      </c>
    </row>
    <row r="29" spans="1:17" ht="20.100000000000001" customHeight="1" x14ac:dyDescent="0.2">
      <c r="A29" s="29" t="str">
        <f>HYPERLINK("#'Constants - Common'!A1", "Constants - Common")</f>
        <v>Constants - Common</v>
      </c>
      <c r="D29" s="28" t="str">
        <v>Phosphorus - Generic</v>
      </c>
      <c r="E29" s="28"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28" cm="1">
        <f t="array" ref="F29">Common_InputFunctions.Utility_LookupValueInTableNumber(D29,Table_Fertiliser_ChemicalCompounds[Fertiliser type f],Table_Fertiliser_ChemicalCompounds[FNinorganic f])</f>
        <v>0</v>
      </c>
      <c r="G29" s="28">
        <f>(E29 * F29)</f>
        <v>0</v>
      </c>
      <c r="M29" s="28" t="s">
        <v>237</v>
      </c>
      <c r="N29" s="28">
        <v>0</v>
      </c>
      <c r="O29" s="28">
        <v>0</v>
      </c>
      <c r="P29" s="28">
        <v>0</v>
      </c>
      <c r="Q29" s="28">
        <f t="shared" si="1"/>
        <v>0</v>
      </c>
    </row>
    <row r="30" spans="1:17" ht="20.100000000000001" customHeight="1" x14ac:dyDescent="0.2">
      <c r="D30" s="28" t="str">
        <v>Potassium - Generic</v>
      </c>
      <c r="E30" s="28"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28" cm="1">
        <f t="array" ref="F30">Common_InputFunctions.Utility_LookupValueInTableNumber(D30,Table_Fertiliser_ChemicalCompounds[Fertiliser type f],Table_Fertiliser_ChemicalCompounds[FNinorganic f])</f>
        <v>0</v>
      </c>
      <c r="G30" s="28">
        <f>(E30 * F30)</f>
        <v>0</v>
      </c>
      <c r="M30" s="28" t="s">
        <v>237</v>
      </c>
      <c r="N30" s="28">
        <v>0</v>
      </c>
      <c r="O30" s="28">
        <v>0</v>
      </c>
      <c r="P30" s="28">
        <v>0</v>
      </c>
      <c r="Q30" s="28">
        <f t="shared" si="1"/>
        <v>0</v>
      </c>
    </row>
    <row r="31" spans="1:17" ht="20.100000000000001" customHeight="1" x14ac:dyDescent="0.2">
      <c r="D31" s="28" t="str">
        <v>Sulfur - Generic</v>
      </c>
      <c r="E31" s="28"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28" cm="1">
        <f t="array" ref="F31">Common_InputFunctions.Utility_LookupValueInTableNumber(D31,Table_Fertiliser_ChemicalCompounds[Fertiliser type f],Table_Fertiliser_ChemicalCompounds[FNinorganic f])</f>
        <v>0</v>
      </c>
      <c r="G31" s="28">
        <f>(E31 * F31)</f>
        <v>0</v>
      </c>
    </row>
    <row r="32" spans="1:17" ht="20.100000000000001" customHeight="1" x14ac:dyDescent="0.2">
      <c r="D32" s="28" t="str">
        <v>Zinc - Generic</v>
      </c>
      <c r="E32" s="28"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28" cm="1">
        <f t="array" ref="F32">Common_InputFunctions.Utility_LookupValueInTableNumber(D32,Table_Fertiliser_ChemicalCompounds[Fertiliser type f],Table_Fertiliser_ChemicalCompounds[FNinorganic f])</f>
        <v>0</v>
      </c>
      <c r="G32" s="28">
        <f>(E32 * F32)</f>
        <v>0</v>
      </c>
    </row>
    <row r="33" spans="1:24" ht="20.100000000000001" customHeight="1" x14ac:dyDescent="0.2">
      <c r="D33" s="28" t="str">
        <v>Muriate of potash (MOP)</v>
      </c>
      <c r="E33" s="28"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8" cm="1">
        <f t="array" ref="F33">Common_InputFunctions.Utility_LookupValueInTableNumber(D33,Table_Fertiliser_ChemicalCompounds[Fertiliser type f],Table_Fertiliser_ChemicalCompounds[FNinorganic f])</f>
        <v>0</v>
      </c>
      <c r="G33" s="28">
        <f>(E33 * F33)</f>
        <v>0</v>
      </c>
      <c r="M33" s="95" t="s">
        <v>238</v>
      </c>
      <c r="N33" s="96">
        <f>SUM(Q11:Q30)</f>
        <v>18282.5</v>
      </c>
    </row>
    <row r="34" spans="1:24" ht="20.100000000000001" customHeight="1" x14ac:dyDescent="0.2">
      <c r="D34" s="28" t="str">
        <v>Double superphosphate</v>
      </c>
      <c r="E34" s="28"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8" cm="1">
        <f t="array" ref="F34">Common_InputFunctions.Utility_LookupValueInTableNumber(D34,Table_Fertiliser_ChemicalCompounds[Fertiliser type f],Table_Fertiliser_ChemicalCompounds[FNinorganic f])</f>
        <v>0</v>
      </c>
      <c r="G34" s="28">
        <f>(E34 * F34)</f>
        <v>0</v>
      </c>
      <c r="M34" s="69" t="s">
        <v>239</v>
      </c>
      <c r="N34" s="15">
        <f>MAX(P11:P30)</f>
        <v>100</v>
      </c>
    </row>
    <row r="35" spans="1:24" ht="20.100000000000001" customHeight="1" x14ac:dyDescent="0.2">
      <c r="D35" s="28" t="str">
        <v>Single superphosphate (SSP)</v>
      </c>
      <c r="E35" s="28"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8" cm="1">
        <f t="array" ref="F35">Common_InputFunctions.Utility_LookupValueInTableNumber(D35,Table_Fertiliser_ChemicalCompounds[Fertiliser type f],Table_Fertiliser_ChemicalCompounds[FNinorganic f])</f>
        <v>0</v>
      </c>
      <c r="G35" s="28">
        <f>(E35 * F35)</f>
        <v>0</v>
      </c>
      <c r="M35" s="69" t="s">
        <v>240</v>
      </c>
      <c r="N35" s="15">
        <f>N33/N34</f>
        <v>182.82499999999999</v>
      </c>
    </row>
    <row r="36" spans="1:24" ht="20.100000000000001" customHeight="1" x14ac:dyDescent="0.2">
      <c r="D36" s="28" t="str">
        <v>Ammonia</v>
      </c>
      <c r="E36" s="28"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28" cm="1">
        <f t="array" ref="F36">Common_InputFunctions.Utility_LookupValueInTableNumber(D36,Table_Fertiliser_ChemicalCompounds[Fertiliser type f],Table_Fertiliser_ChemicalCompounds[FNinorganic f])</f>
        <v>0.82350000000000001</v>
      </c>
      <c r="G36" s="28">
        <f>(E36 * F36)</f>
        <v>4117.5</v>
      </c>
    </row>
    <row r="37" spans="1:24" ht="20.100000000000001" customHeight="1" x14ac:dyDescent="0.2">
      <c r="D37" s="28" t="str">
        <v>Calcium nitrate</v>
      </c>
      <c r="E37" s="28"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28" cm="1">
        <f t="array" ref="F37">Common_InputFunctions.Utility_LookupValueInTableNumber(D37,Table_Fertiliser_ChemicalCompounds[Fertiliser type f],Table_Fertiliser_ChemicalCompounds[FNinorganic f])</f>
        <v>0.155</v>
      </c>
      <c r="G37" s="28">
        <f>(E37 * F37)</f>
        <v>775</v>
      </c>
      <c r="L37" s="96"/>
      <c r="M37" s="96"/>
      <c r="N37" s="96"/>
      <c r="O37" s="96"/>
      <c r="P37" s="96"/>
      <c r="Q37" s="96"/>
      <c r="R37" s="96"/>
      <c r="S37" s="96"/>
      <c r="T37" s="96"/>
      <c r="U37" s="96"/>
      <c r="V37" s="96"/>
      <c r="W37" s="96"/>
      <c r="X37" s="96"/>
    </row>
    <row r="39" spans="1:24" ht="20.100000000000001" customHeight="1" x14ac:dyDescent="0.2">
      <c r="C39" s="96"/>
      <c r="D39" s="96"/>
      <c r="E39" s="96"/>
      <c r="F39" s="96"/>
      <c r="G39" s="96"/>
      <c r="H39" s="96"/>
      <c r="I39" s="96"/>
      <c r="J39" s="96"/>
      <c r="M39" s="16" t="s">
        <v>486</v>
      </c>
    </row>
    <row r="40" spans="1:24" ht="20.100000000000001" customHeight="1" x14ac:dyDescent="0.2">
      <c r="A40" s="167" t="str">
        <f>HYPERLINK("#A1", "▲ Back to top")</f>
        <v>▲ Back to top</v>
      </c>
      <c r="D40" s="16" t="s">
        <v>488</v>
      </c>
      <c r="M40" s="18" t="s">
        <v>487</v>
      </c>
    </row>
    <row r="41" spans="1:24" ht="20.100000000000001" customHeight="1" x14ac:dyDescent="0.2">
      <c r="D41" s="18" t="s">
        <v>489</v>
      </c>
    </row>
    <row r="42" spans="1:24" ht="20.100000000000001" customHeight="1" x14ac:dyDescent="0.2">
      <c r="D42" s="83"/>
      <c r="E42" s="83"/>
      <c r="F42" s="32"/>
    </row>
    <row r="43" spans="1:24" ht="20.100000000000001" customHeight="1" x14ac:dyDescent="0.2">
      <c r="F43" s="32"/>
      <c r="M43" s="69" t="s">
        <v>224</v>
      </c>
      <c r="N43" s="15" t="s">
        <v>490</v>
      </c>
    </row>
    <row r="44" spans="1:24" ht="20.100000000000001" customHeight="1" x14ac:dyDescent="0.2">
      <c r="F44" s="32"/>
      <c r="M44" s="69" t="s">
        <v>229</v>
      </c>
      <c r="N44" s="20" t="s">
        <v>491</v>
      </c>
    </row>
    <row r="45" spans="1:24" ht="20.100000000000001" customHeight="1" x14ac:dyDescent="0.2">
      <c r="F45" s="32"/>
    </row>
    <row r="46" spans="1:24" ht="20.100000000000001" customHeight="1" x14ac:dyDescent="0.2">
      <c r="D46" s="69" t="s">
        <v>224</v>
      </c>
      <c r="E46" s="15" t="s">
        <v>497</v>
      </c>
      <c r="F46" s="32"/>
      <c r="M46" s="88" t="s">
        <v>492</v>
      </c>
      <c r="N46" s="89" t="s">
        <v>493</v>
      </c>
      <c r="O46" s="97"/>
      <c r="P46" s="88" t="s">
        <v>496</v>
      </c>
      <c r="Q46" s="90" t="s">
        <v>80</v>
      </c>
      <c r="R46" s="98">
        <f>$N$35</f>
        <v>182.82499999999999</v>
      </c>
      <c r="S46" s="99"/>
    </row>
    <row r="47" spans="1:24" ht="20.100000000000001" customHeight="1" x14ac:dyDescent="0.2">
      <c r="D47" s="69" t="s">
        <v>229</v>
      </c>
      <c r="E47" s="20" t="s">
        <v>498</v>
      </c>
      <c r="F47" s="32"/>
      <c r="M47" s="88" t="s">
        <v>494</v>
      </c>
      <c r="N47" s="89" t="s">
        <v>495</v>
      </c>
      <c r="O47" s="97"/>
      <c r="P47" s="88"/>
      <c r="Q47" s="91" t="s">
        <v>485</v>
      </c>
      <c r="R47" s="89" t="s">
        <v>241</v>
      </c>
      <c r="S47" s="99"/>
    </row>
    <row r="48" spans="1:24" ht="20.100000000000001" customHeight="1" x14ac:dyDescent="0.2">
      <c r="F48" s="32"/>
    </row>
    <row r="49" spans="4:19" ht="20.100000000000001" customHeight="1" x14ac:dyDescent="0.2">
      <c r="D49" s="88" t="s">
        <v>478</v>
      </c>
      <c r="E49" s="89" t="s">
        <v>499</v>
      </c>
      <c r="F49" s="97"/>
      <c r="G49" s="88" t="s">
        <v>479</v>
      </c>
      <c r="H49" s="91" t="s">
        <v>509</v>
      </c>
      <c r="I49" s="92" t="str" cm="1">
        <f t="array" aca="1" ref="I49" ca="1">HYPERLINK(Common_InputFunctions.Utility_SourceHyperlink(D16), D16)</f>
        <v>Table_MN_j_f</v>
      </c>
      <c r="M49" s="15" t="s">
        <v>242</v>
      </c>
      <c r="N49" s="15">
        <f>((-0.1474 + (0.0061 * R46)) * 10 ^ -2)</f>
        <v>9.6783250000000015E-3</v>
      </c>
      <c r="O49" s="20" t="str">
        <f>N44</f>
        <v>kg N2O-N/kg N applied</v>
      </c>
    </row>
    <row r="50" spans="4:19" ht="20.100000000000001" customHeight="1" x14ac:dyDescent="0.2">
      <c r="D50" s="88" t="s">
        <v>500</v>
      </c>
      <c r="E50" s="89" t="s">
        <v>501</v>
      </c>
      <c r="F50" s="97"/>
      <c r="G50" s="88" t="s">
        <v>491</v>
      </c>
      <c r="H50" s="91" t="s">
        <v>485</v>
      </c>
      <c r="I50" s="88">
        <f>Common_InputFunctions.Utility_LookupN2OEFFromProdIrrigationRainfall(I52,I54,I55,Table_SourceData_Common_EFN2O[Production system only],Table_SourceData_Common_EFN2O[Irrigation method],Table_SourceData_Common_EFN2O[Rainfall zone],Table_SourceData_Common_EFN2O[EFN2O])</f>
        <v>7.0000000000000001E-3</v>
      </c>
    </row>
    <row r="51" spans="4:19" ht="20.100000000000001" customHeight="1" x14ac:dyDescent="0.2">
      <c r="D51" s="88" t="s">
        <v>502</v>
      </c>
      <c r="E51" s="89" t="s">
        <v>503</v>
      </c>
      <c r="F51" s="97"/>
      <c r="G51" s="88"/>
      <c r="H51" s="91" t="s">
        <v>485</v>
      </c>
      <c r="I51" s="88">
        <f>Common_InputFunctions.Utility_LookupValueInTableNumber("N2O",Table_GasToMolecularConversionFactor[Gas],Table_GasToMolecularConversionFactor[Conversion factor combined])</f>
        <v>1.5714285714285714</v>
      </c>
    </row>
    <row r="52" spans="4:19" ht="20.100000000000001" customHeight="1" x14ac:dyDescent="0.2">
      <c r="D52" s="88" t="s">
        <v>504</v>
      </c>
      <c r="E52" s="89" t="s">
        <v>137</v>
      </c>
      <c r="F52" s="97"/>
      <c r="G52" s="88"/>
      <c r="H52" s="90" t="s">
        <v>80</v>
      </c>
      <c r="I52" s="88" t="str">
        <f>X_Cell_Fertiliser_ProductionSystem</f>
        <v>Crop</v>
      </c>
    </row>
    <row r="53" spans="4:19" ht="20.100000000000001" customHeight="1" x14ac:dyDescent="0.2">
      <c r="D53" s="88" t="s">
        <v>494</v>
      </c>
      <c r="E53" s="89" t="s">
        <v>495</v>
      </c>
      <c r="F53" s="97"/>
      <c r="G53" s="88"/>
      <c r="H53" s="91" t="s">
        <v>485</v>
      </c>
      <c r="I53" s="88" t="str">
        <f>"See " &amp; D57</f>
        <v>See M1_Table_E_N2O</v>
      </c>
      <c r="M53" s="16" t="s">
        <v>510</v>
      </c>
    </row>
    <row r="54" spans="4:19" ht="20.100000000000001" customHeight="1" x14ac:dyDescent="0.2">
      <c r="D54" s="88" t="s">
        <v>505</v>
      </c>
      <c r="E54" s="89" t="s">
        <v>506</v>
      </c>
      <c r="F54" s="97"/>
      <c r="G54" s="88"/>
      <c r="H54" s="90" t="s">
        <v>80</v>
      </c>
      <c r="I54" s="88" t="str">
        <f>X_Cell_Fertiliser_IrrigationMethod</f>
        <v>Drip irrigation</v>
      </c>
      <c r="M54" s="18" t="s">
        <v>511</v>
      </c>
    </row>
    <row r="55" spans="4:19" ht="20.100000000000001" customHeight="1" x14ac:dyDescent="0.2">
      <c r="D55" s="88" t="s">
        <v>507</v>
      </c>
      <c r="E55" s="89" t="s">
        <v>508</v>
      </c>
      <c r="F55" s="97"/>
      <c r="G55" s="88"/>
      <c r="H55" s="90" t="s">
        <v>80</v>
      </c>
      <c r="I55" s="88" t="str">
        <f>X_Cell_Site_RainfallZone</f>
        <v>Low rainfall</v>
      </c>
    </row>
    <row r="56" spans="4:19" ht="20.100000000000001" customHeight="1" x14ac:dyDescent="0.2">
      <c r="F56" s="32"/>
    </row>
    <row r="57" spans="4:19" ht="20.100000000000001" customHeight="1" x14ac:dyDescent="0.2">
      <c r="D57" s="84" t="s">
        <v>243</v>
      </c>
      <c r="F57" s="32"/>
      <c r="M57" s="69" t="s">
        <v>224</v>
      </c>
      <c r="N57" s="15" t="s">
        <v>512</v>
      </c>
    </row>
    <row r="58" spans="4:19" ht="20.100000000000001" customHeight="1" x14ac:dyDescent="0.2">
      <c r="D58" s="85" t="s">
        <v>244</v>
      </c>
      <c r="F58" s="32"/>
      <c r="M58" s="69" t="s">
        <v>229</v>
      </c>
      <c r="N58" s="20" t="s">
        <v>491</v>
      </c>
    </row>
    <row r="59" spans="4:19" ht="20.100000000000001" customHeight="1" x14ac:dyDescent="0.2">
      <c r="D59" s="87" t="s">
        <v>233</v>
      </c>
      <c r="E59" s="87" t="s">
        <v>245</v>
      </c>
    </row>
    <row r="60" spans="4:19" ht="20.100000000000001" customHeight="1" x14ac:dyDescent="0.2">
      <c r="D60" s="28" t="str" cm="1">
        <f t="array" ref="D60:D78">Table_Fertiliser_ChemicalCompounds[Fertiliser type f]</f>
        <v>Monoammonium phosphate (MAP)</v>
      </c>
      <c r="E60" s="28">
        <f>((G19 * $I$50 * $I$51) * 10 ^ -3)</f>
        <v>0</v>
      </c>
      <c r="F60" s="32" t="str">
        <f>E47</f>
        <v>t N2O</v>
      </c>
      <c r="M60" s="88" t="s">
        <v>513</v>
      </c>
      <c r="N60" s="89" t="s">
        <v>514</v>
      </c>
      <c r="O60" s="97"/>
      <c r="P60" s="88" t="s">
        <v>496</v>
      </c>
      <c r="Q60" s="90" t="s">
        <v>80</v>
      </c>
      <c r="R60" s="98">
        <f>$N$35</f>
        <v>182.82499999999999</v>
      </c>
      <c r="S60" s="99"/>
    </row>
    <row r="61" spans="4:19" ht="20.100000000000001" customHeight="1" x14ac:dyDescent="0.2">
      <c r="D61" s="28" t="str">
        <v>Diammonium phosphate (DAP)</v>
      </c>
      <c r="E61" s="28">
        <f>((G20 * $I$50 * $I$51) * 10 ^ -3)</f>
        <v>0</v>
      </c>
      <c r="M61" s="88" t="s">
        <v>494</v>
      </c>
      <c r="N61" s="89" t="s">
        <v>495</v>
      </c>
      <c r="O61" s="97"/>
      <c r="P61" s="88"/>
      <c r="Q61" s="91" t="s">
        <v>485</v>
      </c>
      <c r="R61" s="89" t="s">
        <v>241</v>
      </c>
      <c r="S61" s="94"/>
    </row>
    <row r="62" spans="4:19" ht="20.100000000000001" customHeight="1" x14ac:dyDescent="0.2">
      <c r="D62" s="28" t="str">
        <v>Urea</v>
      </c>
      <c r="E62" s="28">
        <f>((G21 * $I$50 * $I$51) * 10 ^ -3)</f>
        <v>0.12759999340000003</v>
      </c>
    </row>
    <row r="63" spans="4:19" ht="20.100000000000001" customHeight="1" x14ac:dyDescent="0.2">
      <c r="D63" s="28" t="str">
        <v>Sulphate of ammonia (SOA)</v>
      </c>
      <c r="E63" s="28">
        <f>((G22 * $I$50 * $I$51) * 10 ^ -3)</f>
        <v>0</v>
      </c>
      <c r="M63" s="69" t="s">
        <v>246</v>
      </c>
      <c r="N63" s="15">
        <f>((0.0781 + (0.0075 * R60)) * 10 ^ -2)</f>
        <v>1.4492874999999999E-2</v>
      </c>
      <c r="O63" s="20" t="str">
        <f>N58</f>
        <v>kg N2O-N/kg N applied</v>
      </c>
    </row>
    <row r="64" spans="4:19" ht="20.100000000000001" customHeight="1" x14ac:dyDescent="0.2">
      <c r="D64" s="28" t="str">
        <v>Urea-ammonium nitrate (UAN)</v>
      </c>
      <c r="E64" s="28">
        <f>((G23 * $I$50 * $I$51) * 10 ^ -3)</f>
        <v>0</v>
      </c>
    </row>
    <row r="65" spans="1:20" ht="20.100000000000001" customHeight="1" x14ac:dyDescent="0.2">
      <c r="D65" s="28" t="str">
        <v>Ammonium nitrate (AN)</v>
      </c>
      <c r="E65" s="28">
        <f>((G24 * $I$50 * $I$51) * 10 ^ -3)</f>
        <v>0</v>
      </c>
    </row>
    <row r="66" spans="1:20" ht="20.100000000000001" customHeight="1" x14ac:dyDescent="0.2">
      <c r="D66" s="28" t="str">
        <v>Calcium ammonium nitrate (CAN)</v>
      </c>
      <c r="E66" s="28">
        <f>((G25 * $I$50 * $I$51) * 10 ^ -3)</f>
        <v>0</v>
      </c>
      <c r="M66" s="16" t="s">
        <v>515</v>
      </c>
    </row>
    <row r="67" spans="1:20" ht="20.100000000000001" customHeight="1" x14ac:dyDescent="0.2">
      <c r="D67" s="28" t="str">
        <v>Nitrogen - Ammoniacal</v>
      </c>
      <c r="E67" s="28">
        <f>((G26 * $I$50 * $I$51) * 10 ^ -3)</f>
        <v>1.3639999999999999E-2</v>
      </c>
      <c r="M67" s="18" t="s">
        <v>516</v>
      </c>
    </row>
    <row r="68" spans="1:20" ht="20.100000000000001" customHeight="1" x14ac:dyDescent="0.2">
      <c r="D68" s="28" t="str">
        <v>Nitrogen - Nitrate</v>
      </c>
      <c r="E68" s="28">
        <f>((G27 * $I$50 * $I$51) * 10 ^ -3)</f>
        <v>6.0499999999999998E-3</v>
      </c>
    </row>
    <row r="69" spans="1:20" ht="20.100000000000001" customHeight="1" x14ac:dyDescent="0.2">
      <c r="D69" s="28" t="str">
        <v>Nitrogen - Generic</v>
      </c>
      <c r="E69" s="28">
        <f>((G28 * $I$50 * $I$51) * 10 ^ -3)</f>
        <v>0</v>
      </c>
    </row>
    <row r="70" spans="1:20" ht="20.100000000000001" customHeight="1" x14ac:dyDescent="0.2">
      <c r="A70" s="167" t="str">
        <f>HYPERLINK("#A1", "▲ Back to top")</f>
        <v>▲ Back to top</v>
      </c>
      <c r="D70" s="28" t="str">
        <v>Phosphorus - Generic</v>
      </c>
      <c r="E70" s="28">
        <f>((G29 * $I$50 * $I$51) * 10 ^ -3)</f>
        <v>0</v>
      </c>
    </row>
    <row r="71" spans="1:20" ht="20.100000000000001" customHeight="1" x14ac:dyDescent="0.2">
      <c r="D71" s="28" t="str">
        <v>Potassium - Generic</v>
      </c>
      <c r="E71" s="28">
        <f>((G30 * $I$50 * $I$51) * 10 ^ -3)</f>
        <v>0</v>
      </c>
      <c r="M71" s="69" t="s">
        <v>224</v>
      </c>
      <c r="N71" s="15" t="s">
        <v>517</v>
      </c>
    </row>
    <row r="72" spans="1:20" ht="20.100000000000001" customHeight="1" x14ac:dyDescent="0.2">
      <c r="D72" s="28" t="str">
        <v>Sulfur - Generic</v>
      </c>
      <c r="E72" s="28">
        <f>((G31 * $I$50 * $I$51) * 10 ^ -3)</f>
        <v>0</v>
      </c>
      <c r="M72" s="69" t="s">
        <v>229</v>
      </c>
      <c r="N72" s="20" t="s">
        <v>491</v>
      </c>
    </row>
    <row r="73" spans="1:20" ht="20.100000000000001" customHeight="1" x14ac:dyDescent="0.2">
      <c r="D73" s="28" t="str">
        <v>Zinc - Generic</v>
      </c>
      <c r="E73" s="28">
        <f>((G32 * $I$50 * $I$51) * 10 ^ -3)</f>
        <v>0</v>
      </c>
    </row>
    <row r="74" spans="1:20" ht="20.100000000000001" customHeight="1" x14ac:dyDescent="0.2">
      <c r="D74" s="28" t="str">
        <v>Muriate of potash (MOP)</v>
      </c>
      <c r="E74" s="28">
        <f>((G33 * $I$50 * $I$51) * 10 ^ -3)</f>
        <v>0</v>
      </c>
      <c r="M74" s="82" t="s">
        <v>247</v>
      </c>
      <c r="N74" s="82"/>
      <c r="O74" s="82"/>
      <c r="P74" s="82"/>
      <c r="Q74" s="82"/>
      <c r="R74" s="82"/>
      <c r="S74" s="82"/>
      <c r="T74" s="82"/>
    </row>
    <row r="75" spans="1:20" ht="20.100000000000001" customHeight="1" x14ac:dyDescent="0.2">
      <c r="D75" s="28" t="str">
        <v>Double superphosphate</v>
      </c>
      <c r="E75" s="28">
        <f>((G34 * $I$50 * $I$51) * 10 ^ -3)</f>
        <v>0</v>
      </c>
    </row>
    <row r="76" spans="1:20" ht="20.100000000000001" customHeight="1" x14ac:dyDescent="0.2">
      <c r="D76" s="28" t="str">
        <v>Single superphosphate (SSP)</v>
      </c>
      <c r="E76" s="28">
        <f>((G35 * $I$50 * $I$51) * 10 ^ -3)</f>
        <v>0</v>
      </c>
      <c r="M76" s="88" t="s">
        <v>518</v>
      </c>
      <c r="N76" s="89" t="s">
        <v>519</v>
      </c>
      <c r="O76" s="97"/>
      <c r="P76" s="89" t="s">
        <v>496</v>
      </c>
      <c r="Q76" s="90" t="s">
        <v>80</v>
      </c>
      <c r="R76" s="98">
        <f>MIN(300, $N$35)</f>
        <v>182.82499999999999</v>
      </c>
      <c r="S76" s="99"/>
    </row>
    <row r="77" spans="1:20" ht="20.100000000000001" customHeight="1" x14ac:dyDescent="0.2">
      <c r="D77" s="28" t="str">
        <v>Ammonia</v>
      </c>
      <c r="E77" s="28">
        <f>((G36 * $I$50 * $I$51) * 10 ^ -3)</f>
        <v>4.5292500000000006E-2</v>
      </c>
      <c r="M77" s="88" t="s">
        <v>494</v>
      </c>
      <c r="N77" s="89" t="s">
        <v>495</v>
      </c>
      <c r="O77" s="97"/>
      <c r="P77" s="89"/>
      <c r="Q77" s="91" t="s">
        <v>485</v>
      </c>
      <c r="R77" s="89" t="s">
        <v>241</v>
      </c>
      <c r="S77" s="94"/>
    </row>
    <row r="78" spans="1:20" ht="20.100000000000001" customHeight="1" x14ac:dyDescent="0.2">
      <c r="D78" s="28" t="str">
        <v>Calcium nitrate</v>
      </c>
      <c r="E78" s="28">
        <f>((G37 * $I$50 * $I$51) * 10 ^ -3)</f>
        <v>8.5250000000000013E-3</v>
      </c>
    </row>
    <row r="79" spans="1:20" ht="20.100000000000001" customHeight="1" x14ac:dyDescent="0.2">
      <c r="M79" s="69" t="s">
        <v>246</v>
      </c>
      <c r="N79" s="15">
        <f>((0.01 * (0.29 + ((0.007 * (EXP(0.037 * R76) - 1)) / R76))) * 10 ^ -2)</f>
        <v>3.231403335233797E-5</v>
      </c>
      <c r="O79" s="20" t="str">
        <f>N72</f>
        <v>kg N2O-N/kg N applied</v>
      </c>
    </row>
    <row r="80" spans="1:20" ht="20.100000000000001" customHeight="1" x14ac:dyDescent="0.2">
      <c r="D80" s="100" t="s">
        <v>248</v>
      </c>
      <c r="E80" s="101">
        <f>SUM(E60:E78)</f>
        <v>0.20110749340000006</v>
      </c>
      <c r="F80" s="102" t="str">
        <f>$E$47</f>
        <v>t N2O</v>
      </c>
    </row>
    <row r="82" spans="4:24" ht="20.100000000000001" customHeight="1" x14ac:dyDescent="0.2">
      <c r="D82" s="88" t="str" cm="1">
        <f t="array" ref="D82:E83">Common_Equations.Common_ConvertN2OToCO2e_Arguments()</f>
        <v>EN2O</v>
      </c>
      <c r="E82" s="89" t="str">
        <v>Nitrous oxide emissions (t N2O)</v>
      </c>
      <c r="F82" s="103"/>
      <c r="G82" s="28">
        <f>VEERG_5_1_1_1__1_InorganicFertiliserApplicationN2OEmissions_Result_Method1</f>
        <v>0.20110749340000006</v>
      </c>
      <c r="L82" s="96"/>
      <c r="M82" s="96"/>
      <c r="N82" s="96"/>
      <c r="O82" s="96"/>
      <c r="P82" s="96"/>
      <c r="Q82" s="96"/>
      <c r="R82" s="96"/>
      <c r="S82" s="96"/>
      <c r="T82" s="96"/>
      <c r="U82" s="96"/>
      <c r="V82" s="96"/>
      <c r="W82" s="96"/>
      <c r="X82" s="96"/>
    </row>
    <row r="83" spans="4:24" ht="20.100000000000001" customHeight="1" x14ac:dyDescent="0.2">
      <c r="D83" s="88" t="str">
        <v>GWPN2O</v>
      </c>
      <c r="E83" s="89" t="str">
        <v>Global warming potential for nitrous oxide (t CO2-e / t N2O)</v>
      </c>
      <c r="F83" s="103"/>
      <c r="G83" s="28">
        <f>Common_InputFunctions.Utility_LookupValueInTableNumber("N2O",Table_GWPData[Gas],Table_GWPData[CO2-e factor])</f>
        <v>265</v>
      </c>
      <c r="M83" s="16" t="s">
        <v>488</v>
      </c>
    </row>
    <row r="84" spans="4:24" ht="20.100000000000001" customHeight="1" x14ac:dyDescent="0.2">
      <c r="M84" s="18" t="s">
        <v>489</v>
      </c>
    </row>
    <row r="85" spans="4:24" ht="20.100000000000001" customHeight="1" x14ac:dyDescent="0.2">
      <c r="D85" s="96" t="s">
        <v>249</v>
      </c>
      <c r="E85" s="96" cm="1">
        <f t="array" ref="E85">Common_Equations.Common_ConvertN2OToCO2e(G82,G83)</f>
        <v>53.293485751000013</v>
      </c>
      <c r="F85" s="104" t="str" cm="1">
        <f t="array" ref="F85">Common_Equations.Common_ConvertN2OToCO2e_Unit()</f>
        <v>t CO2e</v>
      </c>
      <c r="M85" s="83"/>
      <c r="N85" s="83"/>
    </row>
    <row r="89" spans="4:24" ht="20.100000000000001" customHeight="1" x14ac:dyDescent="0.2">
      <c r="M89" s="69" t="s">
        <v>224</v>
      </c>
      <c r="N89" s="15" t="s">
        <v>497</v>
      </c>
    </row>
    <row r="90" spans="4:24" ht="20.100000000000001" customHeight="1" x14ac:dyDescent="0.2">
      <c r="M90" s="69" t="s">
        <v>229</v>
      </c>
      <c r="N90" s="20" t="s">
        <v>498</v>
      </c>
    </row>
    <row r="92" spans="4:24" ht="20.100000000000001" customHeight="1" x14ac:dyDescent="0.2">
      <c r="M92" s="88" t="s">
        <v>478</v>
      </c>
      <c r="N92" s="89" t="s">
        <v>499</v>
      </c>
      <c r="O92" s="97"/>
      <c r="P92" s="94"/>
      <c r="Q92" s="88" t="s">
        <v>479</v>
      </c>
      <c r="R92" s="91" t="s">
        <v>509</v>
      </c>
      <c r="S92" s="105">
        <f>N33</f>
        <v>18282.5</v>
      </c>
    </row>
    <row r="93" spans="4:24" ht="20.100000000000001" customHeight="1" x14ac:dyDescent="0.2">
      <c r="M93" s="88" t="s">
        <v>500</v>
      </c>
      <c r="N93" s="89" t="s">
        <v>501</v>
      </c>
      <c r="O93" s="97"/>
      <c r="P93" s="94"/>
      <c r="Q93" s="88" t="s">
        <v>491</v>
      </c>
      <c r="R93" s="91" t="s">
        <v>521</v>
      </c>
      <c r="S93" s="105">
        <f>_xlfn.XLOOKUP(TRUE,N105:N108,O105:O108)</f>
        <v>9.6783250000000015E-3</v>
      </c>
    </row>
    <row r="94" spans="4:24" ht="20.100000000000001" customHeight="1" x14ac:dyDescent="0.2">
      <c r="M94" s="88" t="s">
        <v>502</v>
      </c>
      <c r="N94" s="89" t="s">
        <v>503</v>
      </c>
      <c r="O94" s="97"/>
      <c r="P94" s="94"/>
      <c r="Q94" s="88"/>
      <c r="R94" s="91" t="s">
        <v>485</v>
      </c>
      <c r="S94" s="88">
        <f>Common_InputFunctions.Utility_LookupValueInTableNumber("N2O",Table_GasToMolecularConversionFactor[Gas],Table_GasToMolecularConversionFactor[Conversion factor combined])</f>
        <v>1.5714285714285714</v>
      </c>
    </row>
    <row r="95" spans="4:24" ht="20.100000000000001" customHeight="1" x14ac:dyDescent="0.2">
      <c r="M95" s="88" t="s">
        <v>504</v>
      </c>
      <c r="N95" s="89" t="s">
        <v>137</v>
      </c>
      <c r="O95" s="97"/>
      <c r="P95" s="94"/>
      <c r="Q95" s="88"/>
      <c r="R95" s="90" t="s">
        <v>80</v>
      </c>
      <c r="S95" s="88" t="str">
        <f>X_Cell_Fertiliser_ProductionSystem</f>
        <v>Crop</v>
      </c>
    </row>
    <row r="96" spans="4:24" ht="20.100000000000001" customHeight="1" x14ac:dyDescent="0.2">
      <c r="M96" s="88" t="s">
        <v>520</v>
      </c>
      <c r="N96" s="89" t="s">
        <v>140</v>
      </c>
      <c r="O96" s="97"/>
      <c r="P96" s="94"/>
      <c r="Q96" s="88"/>
      <c r="R96" s="90" t="s">
        <v>80</v>
      </c>
      <c r="S96" s="88" t="str">
        <f>X_Cell_Fertiliser_CropType</f>
        <v>Maize</v>
      </c>
    </row>
    <row r="97" spans="1:19" ht="20.100000000000001" customHeight="1" x14ac:dyDescent="0.2">
      <c r="M97" s="88" t="s">
        <v>494</v>
      </c>
      <c r="N97" s="89" t="s">
        <v>495</v>
      </c>
      <c r="O97" s="97"/>
      <c r="P97" s="94"/>
      <c r="Q97" s="88"/>
      <c r="R97" s="91" t="s">
        <v>485</v>
      </c>
      <c r="S97" s="88" t="s">
        <v>250</v>
      </c>
    </row>
    <row r="98" spans="1:19" ht="20.100000000000001" customHeight="1" x14ac:dyDescent="0.2">
      <c r="M98" s="88" t="s">
        <v>505</v>
      </c>
      <c r="N98" s="89" t="s">
        <v>506</v>
      </c>
      <c r="O98" s="97"/>
      <c r="P98" s="94"/>
      <c r="Q98" s="88"/>
      <c r="R98" s="90" t="s">
        <v>80</v>
      </c>
      <c r="S98" s="88" t="str">
        <f>X_Cell_Fertiliser_IrrigationMethod</f>
        <v>Drip irrigation</v>
      </c>
    </row>
    <row r="99" spans="1:19" ht="20.100000000000001" customHeight="1" x14ac:dyDescent="0.2">
      <c r="M99" s="89" t="s">
        <v>507</v>
      </c>
      <c r="N99" s="89" t="s">
        <v>508</v>
      </c>
      <c r="O99" s="97"/>
      <c r="P99" s="97"/>
      <c r="Q99" s="88"/>
      <c r="R99" s="90" t="s">
        <v>80</v>
      </c>
      <c r="S99" s="88" t="str">
        <f>X_Cell_Site_RainfallZone</f>
        <v>Low rainfall</v>
      </c>
    </row>
    <row r="100" spans="1:19" ht="20.100000000000001" customHeight="1" x14ac:dyDescent="0.2">
      <c r="A100" s="167" t="str">
        <f>HYPERLINK("#A1", "▲ Back to top")</f>
        <v>▲ Back to top</v>
      </c>
    </row>
    <row r="102" spans="1:19" ht="20.100000000000001" customHeight="1" x14ac:dyDescent="0.2">
      <c r="M102" s="84" t="s">
        <v>251</v>
      </c>
    </row>
    <row r="103" spans="1:19" ht="20.100000000000001" customHeight="1" x14ac:dyDescent="0.2">
      <c r="M103" s="85" t="s">
        <v>252</v>
      </c>
    </row>
    <row r="104" spans="1:19" ht="20.100000000000001" customHeight="1" x14ac:dyDescent="0.2">
      <c r="M104" s="87" t="s">
        <v>137</v>
      </c>
      <c r="N104" s="87" t="s">
        <v>253</v>
      </c>
      <c r="O104" s="87" t="s">
        <v>254</v>
      </c>
    </row>
    <row r="105" spans="1:19" ht="20.100000000000001" customHeight="1" x14ac:dyDescent="0.2">
      <c r="M105" s="28" t="s">
        <v>255</v>
      </c>
      <c r="N105" s="28" t="b">
        <f>IF(AND(S96="Maize", NOT(S98="Not irrigated")), TRUE)</f>
        <v>1</v>
      </c>
      <c r="O105" s="28">
        <f>N49</f>
        <v>9.6783250000000015E-3</v>
      </c>
    </row>
    <row r="106" spans="1:19" ht="20.100000000000001" customHeight="1" x14ac:dyDescent="0.2">
      <c r="M106" s="28" t="s">
        <v>256</v>
      </c>
      <c r="N106" s="28" t="b">
        <f>IF(AND(S96="Grains", S98="Not irrigated", S99="High rainfall"), TRUE)</f>
        <v>0</v>
      </c>
      <c r="O106" s="28">
        <f>N63</f>
        <v>1.4492874999999999E-2</v>
      </c>
    </row>
    <row r="107" spans="1:19" ht="20.100000000000001" customHeight="1" x14ac:dyDescent="0.2">
      <c r="M107" s="28" t="s">
        <v>257</v>
      </c>
      <c r="N107" s="28" t="b">
        <f>IF(S96="Cotton", TRUE)</f>
        <v>0</v>
      </c>
      <c r="O107" s="106">
        <f>N79</f>
        <v>3.231403335233797E-5</v>
      </c>
    </row>
    <row r="108" spans="1:19" ht="20.100000000000001" customHeight="1" x14ac:dyDescent="0.2">
      <c r="M108" s="28" t="s">
        <v>258</v>
      </c>
      <c r="N108" s="28" t="b">
        <f>IF(AND(N105=FALSE, N107=FALSE, N106=FALSE),TRUE)</f>
        <v>0</v>
      </c>
      <c r="O108" s="28" cm="1">
        <f t="array" ref="O108">Common_InputFunctions.Utility_LookupN2OEFFromProdIrrigationRainfall($S$95,$S$98,$S$99,Table_SourceData_Common_EFN2O[Production system only],Table_SourceData_Common_EFN2O[Irrigation method],Table_SourceData_Common_EFN2O[Rainfall zone],Table_SourceData_Common_EFN2O[EFN2O])</f>
        <v>7.0000000000000001E-3</v>
      </c>
    </row>
    <row r="110" spans="1:19" ht="20.100000000000001" customHeight="1" x14ac:dyDescent="0.2">
      <c r="M110" s="100" t="s">
        <v>248</v>
      </c>
      <c r="N110" s="101">
        <f>((S92 * S93 * $S$94) * 10 ^ -3)</f>
        <v>0.2780548207053572</v>
      </c>
      <c r="O110" s="102" t="str">
        <f>$E$47</f>
        <v>t N2O</v>
      </c>
    </row>
    <row r="112" spans="1:19" ht="20.100000000000001" customHeight="1" x14ac:dyDescent="0.2">
      <c r="M112" s="88" t="str" cm="1">
        <f t="array" ref="M112:N113">Common_Equations.Common_ConvertN2OToCO2e_Arguments()</f>
        <v>EN2O</v>
      </c>
      <c r="N112" s="89" t="str">
        <v>Nitrous oxide emissions (t N2O)</v>
      </c>
      <c r="O112" s="103"/>
      <c r="P112" s="28">
        <f>VEERG_5_1_1_1__1_InorganicFertiliserApplicationN2OEmissions_Result_Method2</f>
        <v>0.2780548207053572</v>
      </c>
    </row>
    <row r="113" spans="13:16" ht="20.100000000000001" customHeight="1" x14ac:dyDescent="0.2">
      <c r="M113" s="88" t="str">
        <v>GWPN2O</v>
      </c>
      <c r="N113" s="89" t="str">
        <v>Global warming potential for nitrous oxide (t CO2-e / t N2O)</v>
      </c>
      <c r="O113" s="103"/>
      <c r="P113" s="28">
        <f>Common_InputFunctions.Utility_LookupValueInTableNumber("N2O",Table_GWPData[Gas],Table_GWPData[CO2-e factor])</f>
        <v>265</v>
      </c>
    </row>
    <row r="115" spans="13:16" ht="20.100000000000001" customHeight="1" x14ac:dyDescent="0.2">
      <c r="M115" s="96" t="s">
        <v>249</v>
      </c>
      <c r="N115" s="96" cm="1">
        <f t="array" ref="N115">Common_Equations.Common_ConvertN2OToCO2e(P112,P113)</f>
        <v>73.684527486919663</v>
      </c>
      <c r="O115" s="104" t="str" cm="1">
        <f t="array" ref="O115">Common_Equations.Common_ConvertN2OToCO2e_Unit()</f>
        <v>t CO2e</v>
      </c>
    </row>
    <row r="341" spans="8:8" ht="20.100000000000001" customHeight="1" x14ac:dyDescent="0.2">
      <c r="H341" s="34"/>
    </row>
    <row r="342" spans="8:8" ht="20.100000000000001" customHeight="1" x14ac:dyDescent="0.2">
      <c r="H342" s="34"/>
    </row>
  </sheetData>
  <dataValidations count="1">
    <dataValidation operator="equal" allowBlank="1" showInputMessage="1" showErrorMessage="1" sqref="N172:W172 E269 E228 R167:W167 G132 I129:I133 F134:I134 F129:F132 H128:H132 G129 F148:I148 I149 F150:I150" xr:uid="{77E8DEFD-FD13-4D50-8A6C-5E034B34B913}"/>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5BB04-B7C5-4CDB-8255-D5D617DA4044}">
  <sheetPr>
    <tabColor rgb="FF008000"/>
  </sheetPr>
  <dimension ref="A1:U78"/>
  <sheetViews>
    <sheetView showGridLines="0" zoomScaleNormal="100" workbookViewId="0">
      <pane xSplit="1" topLeftCell="B1" activePane="topRight" state="frozenSplit"/>
      <selection pane="topRight" activeCell="A28" sqref="A28"/>
    </sheetView>
  </sheetViews>
  <sheetFormatPr defaultRowHeight="20.100000000000001" customHeight="1" x14ac:dyDescent="0.2"/>
  <cols>
    <col min="1" max="1" width="36.7109375" customWidth="1"/>
    <col min="2" max="2" width="4.7109375" customWidth="1"/>
    <col min="3" max="3" width="4.7109375" style="15" customWidth="1"/>
    <col min="4" max="11" width="30.7109375" style="15" customWidth="1"/>
    <col min="12" max="12" width="4.7109375" style="15" customWidth="1"/>
    <col min="13" max="13" width="4.7109375" customWidth="1"/>
    <col min="14" max="14" width="4.7109375" style="15" customWidth="1"/>
    <col min="15" max="20" width="30.7109375" style="15" customWidth="1"/>
    <col min="21" max="21" width="4.7109375" style="15" customWidth="1"/>
  </cols>
  <sheetData>
    <row r="1" spans="1:21" s="8" customFormat="1" ht="30" customHeight="1" x14ac:dyDescent="0.35">
      <c r="A1" s="23" t="e" vm="1">
        <v>#VALUE!</v>
      </c>
      <c r="C1" s="8" t="s">
        <v>259</v>
      </c>
    </row>
    <row r="2" spans="1:21" s="9" customFormat="1" ht="20.100000000000001" customHeight="1" x14ac:dyDescent="0.2">
      <c r="A2"/>
    </row>
    <row r="3" spans="1:21" ht="20.100000000000001" customHeight="1" x14ac:dyDescent="0.2">
      <c r="A3" s="29" t="str">
        <f>HYPERLINK("#'Home'!A1", "Home")</f>
        <v>Home</v>
      </c>
      <c r="C3" s="12"/>
      <c r="D3" s="12" t="s">
        <v>216</v>
      </c>
      <c r="E3" s="12"/>
      <c r="F3" s="12"/>
      <c r="G3" s="12"/>
      <c r="H3" s="12"/>
      <c r="I3" s="12"/>
      <c r="J3" s="12"/>
      <c r="K3" s="12"/>
      <c r="L3" s="12"/>
      <c r="N3" s="12"/>
      <c r="O3" s="12" t="s">
        <v>217</v>
      </c>
      <c r="P3" s="12"/>
      <c r="Q3" s="12"/>
      <c r="R3" s="12"/>
      <c r="S3" s="12"/>
      <c r="T3" s="12"/>
      <c r="U3" s="12"/>
    </row>
    <row r="5" spans="1:21" ht="20.100000000000001" customHeight="1" x14ac:dyDescent="0.2">
      <c r="D5" s="16" t="s">
        <v>522</v>
      </c>
    </row>
    <row r="6" spans="1:21" ht="20.100000000000001" customHeight="1" x14ac:dyDescent="0.2">
      <c r="A6" s="40" t="s">
        <v>148</v>
      </c>
      <c r="D6" s="18" t="s">
        <v>523</v>
      </c>
    </row>
    <row r="7" spans="1:21" ht="20.100000000000001" customHeight="1" x14ac:dyDescent="0.2">
      <c r="A7" s="29" t="str">
        <f>HYPERLINK("#'Input - Planting'!A1", "Planting")</f>
        <v>Planting</v>
      </c>
      <c r="D7" s="83"/>
      <c r="E7" s="83"/>
    </row>
    <row r="8" spans="1:21" ht="20.100000000000001" customHeight="1" x14ac:dyDescent="0.2">
      <c r="A8" s="29" t="str">
        <f>HYPERLINK("#'Input - Fertiliser'!A1", "Fertiliser")</f>
        <v>Fertiliser</v>
      </c>
    </row>
    <row r="9" spans="1:21" ht="20.100000000000001" customHeight="1" x14ac:dyDescent="0.2">
      <c r="A9" s="29" t="str">
        <f>HYPERLINK("#'Input - Fuel'!A1", "Fuel")</f>
        <v>Fuel</v>
      </c>
    </row>
    <row r="10" spans="1:21" ht="20.100000000000001" customHeight="1" x14ac:dyDescent="0.2">
      <c r="A10" s="29" t="str">
        <f>HYPERLINK("#'Input - Fert Prod System'!A1", "Fert Prod System")</f>
        <v>Fert Prod System</v>
      </c>
      <c r="D10" s="69" t="s">
        <v>224</v>
      </c>
      <c r="E10" s="15" t="s">
        <v>524</v>
      </c>
    </row>
    <row r="11" spans="1:21" ht="20.100000000000001" customHeight="1" x14ac:dyDescent="0.2">
      <c r="A11" s="29" t="str">
        <f>HYPERLINK("#'Input - Site'!A1", "Site")</f>
        <v>Site</v>
      </c>
      <c r="D11" s="69" t="s">
        <v>229</v>
      </c>
      <c r="E11" s="20" t="s">
        <v>525</v>
      </c>
    </row>
    <row r="12" spans="1:21" ht="20.100000000000001" customHeight="1" x14ac:dyDescent="0.2">
      <c r="A12" s="29" t="str">
        <f>HYPERLINK("#'Input - Data quality'!A1", "Data quality")</f>
        <v>Data quality</v>
      </c>
    </row>
    <row r="13" spans="1:21" ht="20.100000000000001" customHeight="1" x14ac:dyDescent="0.2">
      <c r="D13" s="88" t="s">
        <v>480</v>
      </c>
      <c r="E13" s="89" t="s">
        <v>481</v>
      </c>
      <c r="F13" s="94"/>
      <c r="G13" s="88" t="s">
        <v>223</v>
      </c>
      <c r="H13" s="90" t="s">
        <v>80</v>
      </c>
      <c r="I13" s="92" t="str" cm="1">
        <f t="array" aca="1" ref="I13" ca="1">HYPERLINK(Common_InputFunctions.Utility_SourceHyperlink($D$16), $D$16)</f>
        <v>Table_MU_j_f</v>
      </c>
    </row>
    <row r="14" spans="1:21" ht="20.100000000000001" customHeight="1" x14ac:dyDescent="0.2">
      <c r="D14" s="88" t="s">
        <v>526</v>
      </c>
      <c r="E14" s="89" t="s">
        <v>527</v>
      </c>
      <c r="F14" s="94"/>
      <c r="G14" s="88" t="s">
        <v>528</v>
      </c>
      <c r="H14" s="91" t="s">
        <v>529</v>
      </c>
      <c r="I14" s="92" t="str" cm="1">
        <f t="array" aca="1" ref="I14" ca="1">HYPERLINK(Common_InputFunctions.Utility_SourceHyperlink($D$16), $D$16)</f>
        <v>Table_MU_j_f</v>
      </c>
    </row>
    <row r="15" spans="1:21" ht="20.100000000000001" customHeight="1" x14ac:dyDescent="0.2">
      <c r="A15" s="53" t="s">
        <v>175</v>
      </c>
    </row>
    <row r="16" spans="1:21" ht="20.100000000000001" customHeight="1" x14ac:dyDescent="0.2">
      <c r="A16" s="29" t="str">
        <f>HYPERLINK("#'5.1.1.1-2 Inorganic fert N2O'!A1", "5.1.1.1-2 Inorganic fert N2O")</f>
        <v>5.1.1.1-2 Inorganic fert N2O</v>
      </c>
      <c r="D16" s="84" t="s">
        <v>260</v>
      </c>
    </row>
    <row r="17" spans="1:7" ht="20.100000000000001" customHeight="1" x14ac:dyDescent="0.2">
      <c r="A17" s="93" t="str">
        <f>HYPERLINK("#'5.1.1.3-4 Inorganic fert CO2'!A1", "5.1.1.3-4 Inorganic fert CO2")</f>
        <v>5.1.1.3-4 Inorganic fert CO2</v>
      </c>
      <c r="D17" s="85" t="s">
        <v>261</v>
      </c>
    </row>
    <row r="18" spans="1:7" ht="20.100000000000001" customHeight="1" x14ac:dyDescent="0.2">
      <c r="A18" s="29" t="str">
        <f>HYPERLINK("#'5.2.1.1-2 Organic Fert N2O'!A1", "5.2.1.1-2 Organic fert N2O")</f>
        <v>5.2.1.1-2 Organic fert N2O</v>
      </c>
      <c r="D18" s="87" t="s">
        <v>233</v>
      </c>
      <c r="E18" s="25" t="s">
        <v>234</v>
      </c>
      <c r="F18" s="87" t="s">
        <v>262</v>
      </c>
      <c r="G18" s="87" t="s">
        <v>263</v>
      </c>
    </row>
    <row r="19" spans="1:7" ht="20.100000000000001" customHeight="1" x14ac:dyDescent="0.2">
      <c r="A19" s="29" t="str">
        <f>HYPERLINK("#'5.3.1.1-2 Lime CO2'!A1", "5.3.1.1-2 Lime CO2")</f>
        <v>5.3.1.1-2 Lime CO2</v>
      </c>
      <c r="D19" s="28" t="str" cm="1">
        <f t="array" ref="D19:D37">Table_Fertiliser_ChemicalCompounds[Fertiliser type f]</f>
        <v>Monoammonium phosphate (MAP)</v>
      </c>
      <c r="E19" s="28"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28" cm="1">
        <f t="array" ref="F19">Common_InputFunctions.Utility_LookupValueInTableNumber(D19,Table_Fertiliser_ChemicalCompounds[Fertiliser type f],Table_Fertiliser_ChemicalCompounds[FU f])</f>
        <v>0</v>
      </c>
      <c r="G19" s="28">
        <f>(E19 * F19)</f>
        <v>0</v>
      </c>
    </row>
    <row r="20" spans="1:7" ht="20.100000000000001" customHeight="1" x14ac:dyDescent="0.2">
      <c r="A20" s="29" t="str">
        <f>HYPERLINK("#'5.4.1.1-4 Atmos deposition'!A1", "5.4.1.1-4 Atmos. deposition")</f>
        <v>5.4.1.1-4 Atmos. deposition</v>
      </c>
      <c r="D20" s="28" t="str">
        <v>Diammonium phosphate (DAP)</v>
      </c>
      <c r="E20" s="28"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28" cm="1">
        <f t="array" ref="F20">Common_InputFunctions.Utility_LookupValueInTableNumber(D20,Table_Fertiliser_ChemicalCompounds[Fertiliser type f],Table_Fertiliser_ChemicalCompounds[FU f])</f>
        <v>0</v>
      </c>
      <c r="G20" s="28">
        <f>(E20 * F20)</f>
        <v>0</v>
      </c>
    </row>
    <row r="21" spans="1:7" ht="20.100000000000001" customHeight="1" x14ac:dyDescent="0.2">
      <c r="A21" s="29" t="str">
        <f>HYPERLINK("#'5.5.1.1-2 Leaching and runoff'!A1", "5.5.1.1-2 Leaching &amp; runoff")</f>
        <v>5.5.1.1-2 Leaching &amp; runoff</v>
      </c>
      <c r="D21" s="28" t="str">
        <v>Urea</v>
      </c>
      <c r="E21" s="28"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28" cm="1">
        <f t="array" ref="F21">Common_InputFunctions.Utility_LookupValueInTableNumber(D21,Table_Fertiliser_ChemicalCompounds[Fertiliser type f],Table_Fertiliser_ChemicalCompounds[FU f])</f>
        <v>1</v>
      </c>
      <c r="G21" s="28">
        <f>(E21 * F21)</f>
        <v>25217.39</v>
      </c>
    </row>
    <row r="22" spans="1:7" ht="20.100000000000001" customHeight="1" x14ac:dyDescent="0.2">
      <c r="A22" s="29" t="str">
        <f>HYPERLINK("#'8.1.1.1-2 Transport fuel'!A1", "8.1.1.1-2 Transport fuel")</f>
        <v>8.1.1.1-2 Transport fuel</v>
      </c>
      <c r="D22" s="28" t="str">
        <v>Sulphate of ammonia (SOA)</v>
      </c>
      <c r="E22" s="28"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28" cm="1">
        <f t="array" ref="F22">Common_InputFunctions.Utility_LookupValueInTableNumber(D22,Table_Fertiliser_ChemicalCompounds[Fertiliser type f],Table_Fertiliser_ChemicalCompounds[FU f])</f>
        <v>0</v>
      </c>
      <c r="G22" s="28">
        <f>(E22 * F22)</f>
        <v>0</v>
      </c>
    </row>
    <row r="23" spans="1:7" ht="20.100000000000001" customHeight="1" x14ac:dyDescent="0.2">
      <c r="A23" s="29" t="str">
        <f>HYPERLINK("#'8.2.1.1-2 Stationary fuel'!A1", "8.2.1.1-2 Stationary fuel")</f>
        <v>8.2.1.1-2 Stationary fuel</v>
      </c>
      <c r="D23" s="28" t="str">
        <v>Urea-ammonium nitrate (UAN)</v>
      </c>
      <c r="E23" s="28"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28" cm="1">
        <f t="array" ref="F23">Common_InputFunctions.Utility_LookupValueInTableNumber(D23,Table_Fertiliser_ChemicalCompounds[Fertiliser type f],Table_Fertiliser_ChemicalCompounds[FU f])</f>
        <v>0.35</v>
      </c>
      <c r="G23" s="28">
        <f>(E23 * F23)</f>
        <v>0</v>
      </c>
    </row>
    <row r="24" spans="1:7" ht="20.100000000000001" customHeight="1" x14ac:dyDescent="0.2">
      <c r="D24" s="28" t="str">
        <v>Ammonium nitrate (AN)</v>
      </c>
      <c r="E24" s="28"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28" cm="1">
        <f t="array" ref="F24">Common_InputFunctions.Utility_LookupValueInTableNumber(D24,Table_Fertiliser_ChemicalCompounds[Fertiliser type f],Table_Fertiliser_ChemicalCompounds[FU f])</f>
        <v>0</v>
      </c>
      <c r="G24" s="28">
        <f>(E24 * F24)</f>
        <v>0</v>
      </c>
    </row>
    <row r="25" spans="1:7" ht="20.100000000000001" customHeight="1" x14ac:dyDescent="0.2">
      <c r="D25" s="28" t="str">
        <v>Calcium ammonium nitrate (CAN)</v>
      </c>
      <c r="E25" s="28"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28" cm="1">
        <f t="array" ref="F25">Common_InputFunctions.Utility_LookupValueInTableNumber(D25,Table_Fertiliser_ChemicalCompounds[Fertiliser type f],Table_Fertiliser_ChemicalCompounds[FU f])</f>
        <v>0</v>
      </c>
      <c r="G25" s="28">
        <f>(E25 * F25)</f>
        <v>0</v>
      </c>
    </row>
    <row r="26" spans="1:7" ht="20.100000000000001" customHeight="1" x14ac:dyDescent="0.2">
      <c r="A26" s="30" t="s">
        <v>91</v>
      </c>
      <c r="D26" s="28" t="str">
        <v>Nitrogen - Ammoniacal</v>
      </c>
      <c r="E26" s="28"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v>
      </c>
      <c r="F26" s="28" cm="1">
        <f t="array" ref="F26">Common_InputFunctions.Utility_LookupValueInTableNumber(D26,Table_Fertiliser_ChemicalCompounds[Fertiliser type f],Table_Fertiliser_ChemicalCompounds[FU f])</f>
        <v>0</v>
      </c>
      <c r="G26" s="28">
        <f>(E26 * F26)</f>
        <v>0</v>
      </c>
    </row>
    <row r="27" spans="1:7" ht="20.100000000000001" customHeight="1" x14ac:dyDescent="0.2">
      <c r="A27" s="29" t="str">
        <f>HYPERLINK("#'Constants - Fertiliser'!A1", "Constants - Fertiliser")</f>
        <v>Constants - Fertiliser</v>
      </c>
      <c r="D27" s="28" t="str">
        <v>Nitrogen - Nitrate</v>
      </c>
      <c r="E27" s="28"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v>
      </c>
      <c r="F27" s="28" cm="1">
        <f t="array" ref="F27">Common_InputFunctions.Utility_LookupValueInTableNumber(D27,Table_Fertiliser_ChemicalCompounds[Fertiliser type f],Table_Fertiliser_ChemicalCompounds[FU f])</f>
        <v>0</v>
      </c>
      <c r="G27" s="28">
        <f>(E27 * F27)</f>
        <v>0</v>
      </c>
    </row>
    <row r="28" spans="1:7" ht="20.100000000000001" customHeight="1" x14ac:dyDescent="0.2">
      <c r="A28" s="29" t="str">
        <f>HYPERLINK("#'Constants - Fuel'!A1", "Constants - Fuel")</f>
        <v>Constants - Fuel</v>
      </c>
      <c r="D28" s="28" t="str">
        <v>Nitrogen - Generic</v>
      </c>
      <c r="E28" s="28"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28" cm="1">
        <f t="array" ref="F28">Common_InputFunctions.Utility_LookupValueInTableNumber(D28,Table_Fertiliser_ChemicalCompounds[Fertiliser type f],Table_Fertiliser_ChemicalCompounds[FU f])</f>
        <v>0</v>
      </c>
      <c r="G28" s="28">
        <f>(E28 * F28)</f>
        <v>0</v>
      </c>
    </row>
    <row r="29" spans="1:7" ht="20.100000000000001" customHeight="1" x14ac:dyDescent="0.2">
      <c r="A29" s="29" t="str">
        <f>HYPERLINK("#'Constants - Common'!A1", "Constants - Common")</f>
        <v>Constants - Common</v>
      </c>
      <c r="D29" s="28" t="str">
        <v>Phosphorus - Generic</v>
      </c>
      <c r="E29" s="28"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v>
      </c>
      <c r="F29" s="28" cm="1">
        <f t="array" ref="F29">Common_InputFunctions.Utility_LookupValueInTableNumber(D29,Table_Fertiliser_ChemicalCompounds[Fertiliser type f],Table_Fertiliser_ChemicalCompounds[FU f])</f>
        <v>0</v>
      </c>
      <c r="G29" s="28">
        <f>(E29 * F29)</f>
        <v>0</v>
      </c>
    </row>
    <row r="30" spans="1:7" ht="20.100000000000001" customHeight="1" x14ac:dyDescent="0.2">
      <c r="D30" s="28" t="str">
        <v>Potassium - Generic</v>
      </c>
      <c r="E30" s="28"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v>
      </c>
      <c r="F30" s="28" cm="1">
        <f t="array" ref="F30">Common_InputFunctions.Utility_LookupValueInTableNumber(D30,Table_Fertiliser_ChemicalCompounds[Fertiliser type f],Table_Fertiliser_ChemicalCompounds[FU f])</f>
        <v>0</v>
      </c>
      <c r="G30" s="28">
        <f>(E30 * F30)</f>
        <v>0</v>
      </c>
    </row>
    <row r="31" spans="1:7" ht="20.100000000000001" customHeight="1" x14ac:dyDescent="0.2">
      <c r="D31" s="28" t="str">
        <v>Sulfur - Generic</v>
      </c>
      <c r="E31" s="28"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v>
      </c>
      <c r="F31" s="28" cm="1">
        <f t="array" ref="F31">Common_InputFunctions.Utility_LookupValueInTableNumber(D31,Table_Fertiliser_ChemicalCompounds[Fertiliser type f],Table_Fertiliser_ChemicalCompounds[FU f])</f>
        <v>0</v>
      </c>
      <c r="G31" s="28">
        <f>(E31 * F31)</f>
        <v>0</v>
      </c>
    </row>
    <row r="32" spans="1:7" ht="20.100000000000001" customHeight="1" x14ac:dyDescent="0.2">
      <c r="D32" s="28" t="str">
        <v>Zinc - Generic</v>
      </c>
      <c r="E32" s="28"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28" cm="1">
        <f t="array" ref="F32">Common_InputFunctions.Utility_LookupValueInTableNumber(D32,Table_Fertiliser_ChemicalCompounds[Fertiliser type f],Table_Fertiliser_ChemicalCompounds[FU f])</f>
        <v>0</v>
      </c>
      <c r="G32" s="28">
        <f>(E32 * F32)</f>
        <v>0</v>
      </c>
    </row>
    <row r="33" spans="1:12" ht="20.100000000000001" customHeight="1" x14ac:dyDescent="0.2">
      <c r="D33" s="28" t="str">
        <v>Muriate of potash (MOP)</v>
      </c>
      <c r="E33" s="28"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28" cm="1">
        <f t="array" ref="F33">Common_InputFunctions.Utility_LookupValueInTableNumber(D33,Table_Fertiliser_ChemicalCompounds[Fertiliser type f],Table_Fertiliser_ChemicalCompounds[FU f])</f>
        <v>0</v>
      </c>
      <c r="G33" s="28">
        <f>(E33 * F33)</f>
        <v>0</v>
      </c>
    </row>
    <row r="34" spans="1:12" ht="20.100000000000001" customHeight="1" x14ac:dyDescent="0.2">
      <c r="D34" s="28" t="str">
        <v>Double superphosphate</v>
      </c>
      <c r="E34" s="28"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28" cm="1">
        <f t="array" ref="F34">Common_InputFunctions.Utility_LookupValueInTableNumber(D34,Table_Fertiliser_ChemicalCompounds[Fertiliser type f],Table_Fertiliser_ChemicalCompounds[FU f])</f>
        <v>0</v>
      </c>
      <c r="G34" s="28">
        <f>(E34 * F34)</f>
        <v>0</v>
      </c>
    </row>
    <row r="35" spans="1:12" ht="20.100000000000001" customHeight="1" x14ac:dyDescent="0.2">
      <c r="D35" s="28" t="str">
        <v>Single superphosphate (SSP)</v>
      </c>
      <c r="E35" s="28"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28" cm="1">
        <f t="array" ref="F35">Common_InputFunctions.Utility_LookupValueInTableNumber(D35,Table_Fertiliser_ChemicalCompounds[Fertiliser type f],Table_Fertiliser_ChemicalCompounds[FU f])</f>
        <v>0</v>
      </c>
      <c r="G35" s="28">
        <f>(E35 * F35)</f>
        <v>0</v>
      </c>
    </row>
    <row r="36" spans="1:12" ht="20.100000000000001" customHeight="1" x14ac:dyDescent="0.2">
      <c r="D36" s="28" t="str">
        <v>Ammonia</v>
      </c>
      <c r="E36" s="28"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28" cm="1">
        <f t="array" ref="F36">Common_InputFunctions.Utility_LookupValueInTableNumber(D36,Table_Fertiliser_ChemicalCompounds[Fertiliser type f],Table_Fertiliser_ChemicalCompounds[FU f])</f>
        <v>0</v>
      </c>
      <c r="G36" s="28">
        <f>(E36 * F36)</f>
        <v>0</v>
      </c>
    </row>
    <row r="37" spans="1:12" ht="20.100000000000001" customHeight="1" x14ac:dyDescent="0.2">
      <c r="D37" s="28" t="str">
        <v>Calcium nitrate</v>
      </c>
      <c r="E37" s="28"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28" cm="1">
        <f t="array" ref="F37">Common_InputFunctions.Utility_LookupValueInTableNumber(D37,Table_Fertiliser_ChemicalCompounds[Fertiliser type f],Table_Fertiliser_ChemicalCompounds[FU f])</f>
        <v>0</v>
      </c>
      <c r="G37" s="28">
        <f>(E37 * F37)</f>
        <v>0</v>
      </c>
    </row>
    <row r="40" spans="1:12" ht="20.100000000000001" customHeight="1" x14ac:dyDescent="0.2">
      <c r="A40" s="167" t="str">
        <f>HYPERLINK("#A1", "▲ Back to top")</f>
        <v>▲ Back to top</v>
      </c>
      <c r="C40" s="96"/>
      <c r="D40" s="96"/>
      <c r="E40" s="96"/>
      <c r="F40" s="96"/>
      <c r="G40" s="96"/>
      <c r="H40" s="96"/>
      <c r="I40" s="96"/>
      <c r="J40" s="96"/>
      <c r="K40" s="96"/>
      <c r="L40" s="96"/>
    </row>
    <row r="41" spans="1:12" ht="20.100000000000001" customHeight="1" x14ac:dyDescent="0.2">
      <c r="D41" s="16" t="s">
        <v>530</v>
      </c>
    </row>
    <row r="42" spans="1:12" ht="20.100000000000001" customHeight="1" x14ac:dyDescent="0.2">
      <c r="D42" s="18" t="s">
        <v>531</v>
      </c>
    </row>
    <row r="43" spans="1:12" ht="20.100000000000001" customHeight="1" x14ac:dyDescent="0.2">
      <c r="D43" s="83"/>
      <c r="E43" s="83"/>
    </row>
    <row r="46" spans="1:12" ht="20.100000000000001" customHeight="1" x14ac:dyDescent="0.2">
      <c r="D46" s="69" t="s">
        <v>224</v>
      </c>
      <c r="E46" s="15" t="s">
        <v>532</v>
      </c>
    </row>
    <row r="47" spans="1:12" ht="20.100000000000001" customHeight="1" x14ac:dyDescent="0.2">
      <c r="D47" s="69" t="s">
        <v>229</v>
      </c>
      <c r="E47" s="20" t="s">
        <v>284</v>
      </c>
    </row>
    <row r="49" spans="4:9" ht="20.100000000000001" customHeight="1" x14ac:dyDescent="0.2">
      <c r="D49" s="88" t="s">
        <v>524</v>
      </c>
      <c r="E49" s="89" t="s">
        <v>533</v>
      </c>
      <c r="F49" s="94"/>
      <c r="G49" s="88" t="s">
        <v>525</v>
      </c>
      <c r="H49" s="91" t="s">
        <v>538</v>
      </c>
      <c r="I49" s="92" t="str" cm="1">
        <f t="array" aca="1" ref="I49" ca="1">HYPERLINK(Common_InputFunctions.Utility_SourceHyperlink($D$16), $D$16)</f>
        <v>Table_MU_j_f</v>
      </c>
    </row>
    <row r="50" spans="4:9" ht="20.100000000000001" customHeight="1" x14ac:dyDescent="0.2">
      <c r="D50" s="88" t="s">
        <v>534</v>
      </c>
      <c r="E50" s="89" t="s">
        <v>535</v>
      </c>
      <c r="F50" s="94"/>
      <c r="G50" s="88" t="s">
        <v>539</v>
      </c>
      <c r="H50" s="91" t="s">
        <v>485</v>
      </c>
      <c r="I50" s="88">
        <f>Fertiliser_EFUreaCO2_Data</f>
        <v>0.2</v>
      </c>
    </row>
    <row r="51" spans="4:9" ht="20.100000000000001" customHeight="1" x14ac:dyDescent="0.2">
      <c r="D51" s="88" t="s">
        <v>536</v>
      </c>
      <c r="E51" s="89" t="s">
        <v>537</v>
      </c>
      <c r="F51" s="94"/>
      <c r="G51" s="88"/>
      <c r="H51" s="91" t="s">
        <v>485</v>
      </c>
      <c r="I51" s="88">
        <f>Common_InputFunctions.Utility_LookupValueInTableNumber("CO2",Table_GasToMolecularConversionFactor[Gas], Table_GasToMolecularConversionFactor[Conversion factor combined])</f>
        <v>3.6666666666666665</v>
      </c>
    </row>
    <row r="52" spans="4:9" ht="20.100000000000001" customHeight="1" x14ac:dyDescent="0.2">
      <c r="D52" s="88" t="s">
        <v>504</v>
      </c>
      <c r="E52" s="89" t="s">
        <v>137</v>
      </c>
      <c r="F52" s="94"/>
      <c r="G52" s="88"/>
      <c r="H52" s="90" t="s">
        <v>80</v>
      </c>
      <c r="I52" s="88" t="str">
        <f>X_Cell_Fertiliser_ProductionSystem</f>
        <v>Crop</v>
      </c>
    </row>
    <row r="53" spans="4:9" ht="20.100000000000001" customHeight="1" x14ac:dyDescent="0.2">
      <c r="D53" s="88" t="s">
        <v>494</v>
      </c>
      <c r="E53" s="89" t="s">
        <v>495</v>
      </c>
      <c r="F53" s="94"/>
      <c r="G53" s="88"/>
      <c r="H53" s="91" t="s">
        <v>529</v>
      </c>
      <c r="I53" s="92" t="str" cm="1">
        <f t="array" aca="1" ref="I53" ca="1">HYPERLINK(Common_InputFunctions.Utility_SourceHyperlink($D$16), $D$16)</f>
        <v>Table_MU_j_f</v>
      </c>
    </row>
    <row r="55" spans="4:9" ht="20.100000000000001" customHeight="1" x14ac:dyDescent="0.2">
      <c r="D55" s="84" t="s">
        <v>264</v>
      </c>
    </row>
    <row r="56" spans="4:9" ht="20.100000000000001" customHeight="1" x14ac:dyDescent="0.2">
      <c r="D56" s="85" t="s">
        <v>265</v>
      </c>
    </row>
    <row r="57" spans="4:9" ht="20.100000000000001" customHeight="1" x14ac:dyDescent="0.2">
      <c r="D57" s="87" t="s">
        <v>233</v>
      </c>
      <c r="E57" s="87" t="s">
        <v>245</v>
      </c>
    </row>
    <row r="58" spans="4:9" ht="20.100000000000001" customHeight="1" x14ac:dyDescent="0.2">
      <c r="D58" s="28" t="str" cm="1">
        <f t="array" ref="D58:D76">Table_Fertiliser_ChemicalCompounds[Fertiliser type f]</f>
        <v>Monoammonium phosphate (MAP)</v>
      </c>
      <c r="E58" s="28">
        <f>((G19 * $I$50 * $I$51) * 10 ^ -3)</f>
        <v>0</v>
      </c>
      <c r="F58" s="32" t="str">
        <f>$E$47</f>
        <v>t CO2</v>
      </c>
    </row>
    <row r="59" spans="4:9" ht="20.100000000000001" customHeight="1" x14ac:dyDescent="0.2">
      <c r="D59" s="28" t="str">
        <v>Diammonium phosphate (DAP)</v>
      </c>
      <c r="E59" s="28">
        <f>((G20 * $I$50 * $I$51) * 10 ^ -3)</f>
        <v>0</v>
      </c>
    </row>
    <row r="60" spans="4:9" ht="20.100000000000001" customHeight="1" x14ac:dyDescent="0.2">
      <c r="D60" s="28" t="str">
        <v>Urea</v>
      </c>
      <c r="E60" s="28">
        <f>((G21 * $I$50 * $I$51) * 10 ^ -3)</f>
        <v>18.492752666666668</v>
      </c>
    </row>
    <row r="61" spans="4:9" ht="20.100000000000001" customHeight="1" x14ac:dyDescent="0.2">
      <c r="D61" s="28" t="str">
        <v>Sulphate of ammonia (SOA)</v>
      </c>
      <c r="E61" s="28">
        <f>((G22 * $I$50 * $I$51) * 10 ^ -3)</f>
        <v>0</v>
      </c>
    </row>
    <row r="62" spans="4:9" ht="20.100000000000001" customHeight="1" x14ac:dyDescent="0.2">
      <c r="D62" s="28" t="str">
        <v>Urea-ammonium nitrate (UAN)</v>
      </c>
      <c r="E62" s="28">
        <f>((G23 * $I$50 * $I$51) * 10 ^ -3)</f>
        <v>0</v>
      </c>
    </row>
    <row r="63" spans="4:9" ht="20.100000000000001" customHeight="1" x14ac:dyDescent="0.2">
      <c r="D63" s="28" t="str">
        <v>Ammonium nitrate (AN)</v>
      </c>
      <c r="E63" s="28">
        <f>((G24 * $I$50 * $I$51) * 10 ^ -3)</f>
        <v>0</v>
      </c>
    </row>
    <row r="64" spans="4:9" ht="20.100000000000001" customHeight="1" x14ac:dyDescent="0.2">
      <c r="D64" s="28" t="str">
        <v>Calcium ammonium nitrate (CAN)</v>
      </c>
      <c r="E64" s="28">
        <f>((G25 * $I$50 * $I$51) * 10 ^ -3)</f>
        <v>0</v>
      </c>
    </row>
    <row r="65" spans="1:6" ht="20.100000000000001" customHeight="1" x14ac:dyDescent="0.2">
      <c r="D65" s="28" t="str">
        <v>Nitrogen - Ammoniacal</v>
      </c>
      <c r="E65" s="28">
        <f>((G26 * $I$50 * $I$51) * 10 ^ -3)</f>
        <v>0</v>
      </c>
    </row>
    <row r="66" spans="1:6" ht="20.100000000000001" customHeight="1" x14ac:dyDescent="0.2">
      <c r="D66" s="28" t="str">
        <v>Nitrogen - Nitrate</v>
      </c>
      <c r="E66" s="28">
        <f>((G27 * $I$50 * $I$51) * 10 ^ -3)</f>
        <v>0</v>
      </c>
    </row>
    <row r="67" spans="1:6" ht="20.100000000000001" customHeight="1" x14ac:dyDescent="0.2">
      <c r="D67" s="28" t="str">
        <v>Nitrogen - Generic</v>
      </c>
      <c r="E67" s="28">
        <f>((G28 * $I$50 * $I$51) * 10 ^ -3)</f>
        <v>0</v>
      </c>
    </row>
    <row r="68" spans="1:6" ht="20.100000000000001" customHeight="1" x14ac:dyDescent="0.2">
      <c r="D68" s="28" t="str">
        <v>Phosphorus - Generic</v>
      </c>
      <c r="E68" s="28">
        <f>((G29 * $I$50 * $I$51) * 10 ^ -3)</f>
        <v>0</v>
      </c>
    </row>
    <row r="69" spans="1:6" ht="20.100000000000001" customHeight="1" x14ac:dyDescent="0.2">
      <c r="D69" s="28" t="str">
        <v>Potassium - Generic</v>
      </c>
      <c r="E69" s="28">
        <f>((G30 * $I$50 * $I$51) * 10 ^ -3)</f>
        <v>0</v>
      </c>
    </row>
    <row r="70" spans="1:6" ht="20.100000000000001" customHeight="1" x14ac:dyDescent="0.2">
      <c r="A70" s="167" t="str">
        <f>HYPERLINK("#A1", "▲ Back to top")</f>
        <v>▲ Back to top</v>
      </c>
      <c r="D70" s="28" t="str">
        <v>Sulfur - Generic</v>
      </c>
      <c r="E70" s="28">
        <f>((G31 * $I$50 * $I$51) * 10 ^ -3)</f>
        <v>0</v>
      </c>
    </row>
    <row r="71" spans="1:6" ht="20.100000000000001" customHeight="1" x14ac:dyDescent="0.2">
      <c r="D71" s="28" t="str">
        <v>Zinc - Generic</v>
      </c>
      <c r="E71" s="28">
        <f>((G32 * $I$50 * $I$51) * 10 ^ -3)</f>
        <v>0</v>
      </c>
    </row>
    <row r="72" spans="1:6" ht="20.100000000000001" customHeight="1" x14ac:dyDescent="0.2">
      <c r="D72" s="28" t="str">
        <v>Muriate of potash (MOP)</v>
      </c>
      <c r="E72" s="28">
        <f>((G33 * $I$50 * $I$51) * 10 ^ -3)</f>
        <v>0</v>
      </c>
    </row>
    <row r="73" spans="1:6" ht="20.100000000000001" customHeight="1" x14ac:dyDescent="0.2">
      <c r="D73" s="28" t="str">
        <v>Double superphosphate</v>
      </c>
      <c r="E73" s="28">
        <f>((G34 * $I$50 * $I$51) * 10 ^ -3)</f>
        <v>0</v>
      </c>
    </row>
    <row r="74" spans="1:6" ht="20.100000000000001" customHeight="1" x14ac:dyDescent="0.2">
      <c r="D74" s="28" t="str">
        <v>Single superphosphate (SSP)</v>
      </c>
      <c r="E74" s="28">
        <f>((G35 * $I$50 * $I$51) * 10 ^ -3)</f>
        <v>0</v>
      </c>
    </row>
    <row r="75" spans="1:6" ht="20.100000000000001" customHeight="1" x14ac:dyDescent="0.2">
      <c r="D75" s="28" t="str">
        <v>Ammonia</v>
      </c>
      <c r="E75" s="28">
        <f>((G36 * $I$50 * $I$51) * 10 ^ -3)</f>
        <v>0</v>
      </c>
    </row>
    <row r="76" spans="1:6" ht="20.100000000000001" customHeight="1" x14ac:dyDescent="0.2">
      <c r="D76" s="28" t="str">
        <v>Calcium nitrate</v>
      </c>
      <c r="E76" s="28">
        <f>((G37 * $I$50 * $I$51) * 10 ^ -3)</f>
        <v>0</v>
      </c>
    </row>
    <row r="78" spans="1:6" ht="20.100000000000001" customHeight="1" x14ac:dyDescent="0.2">
      <c r="D78" s="100" t="s">
        <v>266</v>
      </c>
      <c r="E78" s="101">
        <f>SUM(E58:E76)</f>
        <v>18.492752666666668</v>
      </c>
      <c r="F78" s="102" t="str">
        <f>$E$47</f>
        <v>t CO2</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A479-4BBB-4AC6-972A-58AE112B49CE}">
  <sheetPr>
    <tabColor rgb="FF008000"/>
  </sheetPr>
  <dimension ref="A1:U55"/>
  <sheetViews>
    <sheetView showGridLines="0" zoomScaleNormal="100" workbookViewId="0">
      <pane xSplit="1" topLeftCell="B1" activePane="topRight" state="frozenSplit"/>
      <selection pane="topRight" activeCell="A28" sqref="A28"/>
    </sheetView>
  </sheetViews>
  <sheetFormatPr defaultRowHeight="20.100000000000001" customHeight="1" x14ac:dyDescent="0.2"/>
  <cols>
    <col min="1" max="1" width="36.7109375" customWidth="1"/>
    <col min="2" max="2" width="4.7109375" customWidth="1"/>
    <col min="3" max="3" width="4.7109375" style="15" customWidth="1"/>
    <col min="4" max="11" width="30.7109375" style="15" customWidth="1"/>
    <col min="12" max="12" width="4.7109375" style="15" customWidth="1"/>
    <col min="13" max="13" width="4.7109375" customWidth="1"/>
    <col min="14" max="14" width="4.7109375" style="15" customWidth="1"/>
    <col min="15" max="20" width="30.7109375" style="15" customWidth="1"/>
    <col min="21" max="21" width="4.7109375" style="15" customWidth="1"/>
  </cols>
  <sheetData>
    <row r="1" spans="1:21" s="8" customFormat="1" ht="30" customHeight="1" x14ac:dyDescent="0.35">
      <c r="A1" s="23" t="e" vm="1">
        <v>#VALUE!</v>
      </c>
      <c r="C1" s="8" t="s">
        <v>267</v>
      </c>
    </row>
    <row r="2" spans="1:21" s="9" customFormat="1" ht="20.100000000000001" customHeight="1" x14ac:dyDescent="0.2">
      <c r="A2"/>
    </row>
    <row r="3" spans="1:21" ht="20.100000000000001" customHeight="1" x14ac:dyDescent="0.2">
      <c r="A3" s="29" t="str">
        <f>HYPERLINK("#'Home'!A1", "Home")</f>
        <v>Home</v>
      </c>
      <c r="C3" s="12"/>
      <c r="D3" s="12" t="s">
        <v>216</v>
      </c>
      <c r="E3" s="12"/>
      <c r="F3" s="12"/>
      <c r="G3" s="12"/>
      <c r="H3" s="12"/>
      <c r="I3" s="12"/>
      <c r="J3" s="12"/>
      <c r="K3" s="12"/>
      <c r="L3" s="12"/>
      <c r="N3" s="12"/>
      <c r="O3" s="12" t="s">
        <v>217</v>
      </c>
      <c r="P3" s="12"/>
      <c r="Q3" s="12"/>
      <c r="R3" s="12"/>
      <c r="S3" s="12"/>
      <c r="T3" s="12"/>
      <c r="U3" s="12"/>
    </row>
    <row r="5" spans="1:21" ht="20.100000000000001" customHeight="1" x14ac:dyDescent="0.2">
      <c r="D5" s="16" t="s">
        <v>540</v>
      </c>
    </row>
    <row r="6" spans="1:21" ht="20.100000000000001" customHeight="1" x14ac:dyDescent="0.2">
      <c r="A6" s="40" t="s">
        <v>148</v>
      </c>
      <c r="D6" s="18" t="s">
        <v>541</v>
      </c>
    </row>
    <row r="7" spans="1:21" ht="20.100000000000001" customHeight="1" x14ac:dyDescent="0.2">
      <c r="A7" s="29" t="str">
        <f>HYPERLINK("#'Input - Planting'!A1", "Planting")</f>
        <v>Planting</v>
      </c>
      <c r="D7" s="83"/>
      <c r="E7" s="83"/>
    </row>
    <row r="8" spans="1:21" ht="20.100000000000001" customHeight="1" x14ac:dyDescent="0.2">
      <c r="A8" s="29" t="str">
        <f>HYPERLINK("#'Input - Fertiliser'!A1", "Fertiliser")</f>
        <v>Fertiliser</v>
      </c>
    </row>
    <row r="9" spans="1:21" ht="20.100000000000001" customHeight="1" x14ac:dyDescent="0.2">
      <c r="A9" s="29" t="str">
        <f>HYPERLINK("#'Input - Fuel'!A1", "Fuel")</f>
        <v>Fuel</v>
      </c>
    </row>
    <row r="10" spans="1:21" ht="20.100000000000001" customHeight="1" x14ac:dyDescent="0.2">
      <c r="A10" s="29" t="str">
        <f>HYPERLINK("#'Input - Fert Prod System'!A1", "Fert Prod System")</f>
        <v>Fert Prod System</v>
      </c>
      <c r="D10" s="69" t="s">
        <v>224</v>
      </c>
      <c r="E10" s="15" t="s">
        <v>542</v>
      </c>
    </row>
    <row r="11" spans="1:21" ht="20.100000000000001" customHeight="1" x14ac:dyDescent="0.2">
      <c r="A11" s="29" t="str">
        <f>HYPERLINK("#'Input - Site'!A1", "Site")</f>
        <v>Site</v>
      </c>
      <c r="D11" s="69" t="s">
        <v>229</v>
      </c>
      <c r="E11" s="20" t="s">
        <v>479</v>
      </c>
    </row>
    <row r="12" spans="1:21" ht="20.100000000000001" customHeight="1" x14ac:dyDescent="0.2">
      <c r="A12" s="29" t="str">
        <f>HYPERLINK("#'Input - Data quality'!A1", "Data quality")</f>
        <v>Data quality</v>
      </c>
    </row>
    <row r="13" spans="1:21" ht="20.100000000000001" customHeight="1" x14ac:dyDescent="0.2">
      <c r="D13" s="88" t="s">
        <v>543</v>
      </c>
      <c r="E13" s="89" t="s">
        <v>544</v>
      </c>
      <c r="F13" s="94"/>
      <c r="G13" s="105" t="s">
        <v>223</v>
      </c>
      <c r="H13" s="90" t="s">
        <v>80</v>
      </c>
      <c r="I13" s="92" t="str" cm="1">
        <f t="array" aca="1" ref="I13" ca="1">HYPERLINK(Common_InputFunctions.Utility_SourceHyperlink($D$17), $D$17)</f>
        <v>Table_MNSoil_j_f</v>
      </c>
    </row>
    <row r="14" spans="1:21" ht="20.100000000000001" customHeight="1" x14ac:dyDescent="0.2">
      <c r="D14" s="88" t="s">
        <v>545</v>
      </c>
      <c r="E14" s="89" t="s">
        <v>546</v>
      </c>
      <c r="F14" s="94"/>
      <c r="G14" s="105" t="s">
        <v>484</v>
      </c>
      <c r="H14" s="90" t="s">
        <v>80</v>
      </c>
      <c r="I14" s="92" t="str" cm="1">
        <f t="array" aca="1" ref="I14" ca="1">HYPERLINK(Common_InputFunctions.Utility_SourceHyperlink($D$17), $D$17)</f>
        <v>Table_MNSoil_j_f</v>
      </c>
    </row>
    <row r="15" spans="1:21" ht="20.100000000000001" customHeight="1" x14ac:dyDescent="0.2">
      <c r="A15" s="53" t="s">
        <v>175</v>
      </c>
      <c r="D15" s="88" t="s">
        <v>494</v>
      </c>
      <c r="E15" s="89" t="s">
        <v>323</v>
      </c>
      <c r="F15" s="94"/>
      <c r="G15" s="105"/>
      <c r="H15" s="90" t="s">
        <v>80</v>
      </c>
      <c r="I15" s="92" t="str" cm="1">
        <f t="array" aca="1" ref="I15" ca="1">HYPERLINK(Common_InputFunctions.Utility_SourceHyperlink($D$17), $D$17)</f>
        <v>Table_MNSoil_j_f</v>
      </c>
    </row>
    <row r="16" spans="1:21" ht="20.100000000000001" customHeight="1" x14ac:dyDescent="0.2">
      <c r="A16" s="29" t="str">
        <f>HYPERLINK("#'5.1.1.1-2 Inorganic fert N2O'!A1", "5.1.1.1-2 Inorganic fert N2O")</f>
        <v>5.1.1.1-2 Inorganic fert N2O</v>
      </c>
    </row>
    <row r="17" spans="1:10" ht="20.100000000000001" customHeight="1" x14ac:dyDescent="0.2">
      <c r="A17" s="29" t="str">
        <f>HYPERLINK("#'5.1.1.3-4 Inorganic fert CO2'!A1", "5.1.1.3-4 Inorganic fert CO2")</f>
        <v>5.1.1.3-4 Inorganic fert CO2</v>
      </c>
      <c r="D17" s="84" t="s">
        <v>268</v>
      </c>
    </row>
    <row r="18" spans="1:10" ht="20.100000000000001" customHeight="1" x14ac:dyDescent="0.2">
      <c r="A18" s="93" t="str">
        <f>HYPERLINK("#'5.2.1.1-2 Organic Fert N2O'!A1", "5.2.1.1-2 Organic fert N2O")</f>
        <v>5.2.1.1-2 Organic fert N2O</v>
      </c>
      <c r="D18" s="85" t="s">
        <v>269</v>
      </c>
    </row>
    <row r="19" spans="1:10" ht="20.100000000000001" customHeight="1" x14ac:dyDescent="0.2">
      <c r="A19" s="29" t="str">
        <f>HYPERLINK("#'5.3.1.1-2 Lime CO2'!A1", "5.3.1.1-2 Lime CO2")</f>
        <v>5.3.1.1-2 Lime CO2</v>
      </c>
      <c r="D19" s="25" t="s">
        <v>270</v>
      </c>
      <c r="E19" s="25" t="s">
        <v>271</v>
      </c>
      <c r="F19" s="25" t="s">
        <v>154</v>
      </c>
      <c r="G19" s="107" t="s">
        <v>272</v>
      </c>
      <c r="H19" s="25" t="s">
        <v>273</v>
      </c>
      <c r="I19" s="107" t="s">
        <v>274</v>
      </c>
    </row>
    <row r="20" spans="1:10" ht="20.100000000000001" customHeight="1" x14ac:dyDescent="0.2">
      <c r="A20" s="29" t="str">
        <f>HYPERLINK("#'5.4.1.1-4 Atmos deposition'!A1", "5.4.1.1-4 Atmos. deposition")</f>
        <v>5.4.1.1-4 Atmos. deposition</v>
      </c>
      <c r="D20" s="28" t="str" cm="1">
        <f t="array" ref="D20:D22">Table_Input_OrganicFertiliser[Organic fertiliser type (select)]</f>
        <v>Manure - Other</v>
      </c>
      <c r="E20" s="108" cm="1">
        <f t="array" ref="E20:E22">Table_Input_OrganicFertiliser[Amount applied (kg/hectare)]</f>
        <v>10</v>
      </c>
      <c r="F20" s="108" cm="1">
        <f t="array" ref="F20:F22">Table_Input_OrganicFertiliser[Application area (ha)]</f>
        <v>100</v>
      </c>
      <c r="G20" s="28" cm="1">
        <f t="array" ref="G20:G22">Table_Input_OrganicFertiliser[Amount applied (kg/hectare)]*Table_Input_OrganicFertiliser[Application area (ha)]</f>
        <v>1000</v>
      </c>
      <c r="H20" s="109" cm="1">
        <f t="array" ref="H20:H22">Table_Input_OrganicFertiliser[Percentage of N in fertiliser]</f>
        <v>0.3</v>
      </c>
      <c r="I20" s="28">
        <f>(G20 * H20)</f>
        <v>300</v>
      </c>
    </row>
    <row r="21" spans="1:10" ht="20.100000000000001" customHeight="1" x14ac:dyDescent="0.2">
      <c r="A21" s="29" t="str">
        <f>HYPERLINK("#'5.5.1.1-2 Leaching and runoff'!A1", "5.5.1.1-2 Leaching &amp; runoff")</f>
        <v>5.5.1.1-2 Leaching &amp; runoff</v>
      </c>
      <c r="D21" s="28" t="str">
        <v>Manure - Poultry</v>
      </c>
      <c r="E21" s="28">
        <v>10</v>
      </c>
      <c r="F21" s="28">
        <v>100</v>
      </c>
      <c r="G21" s="28">
        <v>1000</v>
      </c>
      <c r="H21" s="28">
        <v>0.25</v>
      </c>
      <c r="I21" s="28">
        <f>(G21 * H21)</f>
        <v>250</v>
      </c>
    </row>
    <row r="22" spans="1:10" ht="20.100000000000001" customHeight="1" x14ac:dyDescent="0.2">
      <c r="A22" s="29" t="str">
        <f>HYPERLINK("#'8.1.1.1-2 Transport fuel'!A1", "8.1.1.1-2 Transport fuel")</f>
        <v>8.1.1.1-2 Transport fuel</v>
      </c>
      <c r="D22" s="28" t="str">
        <v>Other organic fertiliser</v>
      </c>
      <c r="E22" s="28">
        <v>10</v>
      </c>
      <c r="F22" s="28">
        <v>100</v>
      </c>
      <c r="G22" s="28">
        <v>1000</v>
      </c>
      <c r="H22" s="28">
        <v>0.16</v>
      </c>
      <c r="I22" s="28">
        <f>(G22 * H22)</f>
        <v>160</v>
      </c>
    </row>
    <row r="23" spans="1:10" ht="20.100000000000001" customHeight="1" x14ac:dyDescent="0.2">
      <c r="A23" s="29" t="str">
        <f>HYPERLINK("#'8.2.1.1-2 Stationary fuel'!A1", "8.2.1.1-2 Stationary fuel")</f>
        <v>8.2.1.1-2 Stationary fuel</v>
      </c>
      <c r="D23" s="28"/>
      <c r="E23" s="28"/>
      <c r="F23" s="28"/>
      <c r="G23" s="28"/>
      <c r="H23" s="28"/>
      <c r="I23" s="28">
        <f>(G23 * H23)</f>
        <v>0</v>
      </c>
    </row>
    <row r="24" spans="1:10" ht="20.100000000000001" customHeight="1" x14ac:dyDescent="0.2">
      <c r="D24" s="28"/>
      <c r="E24" s="28"/>
      <c r="F24" s="28"/>
      <c r="G24" s="28"/>
      <c r="H24" s="28"/>
      <c r="I24" s="28">
        <f>(G24 * H24)</f>
        <v>0</v>
      </c>
    </row>
    <row r="25" spans="1:10" ht="20.100000000000001" customHeight="1" x14ac:dyDescent="0.2">
      <c r="D25" s="28"/>
      <c r="E25" s="28"/>
      <c r="F25" s="28"/>
      <c r="G25" s="28"/>
      <c r="H25" s="28"/>
      <c r="I25" s="28">
        <f>(G25 * H25)</f>
        <v>0</v>
      </c>
    </row>
    <row r="26" spans="1:10" ht="20.100000000000001" customHeight="1" x14ac:dyDescent="0.2">
      <c r="A26" s="30" t="s">
        <v>91</v>
      </c>
      <c r="D26" s="28"/>
      <c r="E26" s="28"/>
      <c r="F26" s="28"/>
      <c r="G26" s="28"/>
      <c r="H26" s="28"/>
      <c r="I26" s="28">
        <f>(G26 * H26)</f>
        <v>0</v>
      </c>
    </row>
    <row r="27" spans="1:10" ht="20.100000000000001" customHeight="1" x14ac:dyDescent="0.2">
      <c r="A27" s="29" t="str">
        <f>HYPERLINK("#'Constants - Fertiliser'!A1", "Constants - Fertiliser")</f>
        <v>Constants - Fertiliser</v>
      </c>
      <c r="D27" s="28"/>
      <c r="E27" s="28"/>
      <c r="F27" s="28"/>
      <c r="G27" s="28"/>
      <c r="H27" s="28"/>
      <c r="I27" s="28">
        <f>(G27 * H27)</f>
        <v>0</v>
      </c>
    </row>
    <row r="28" spans="1:10" ht="20.100000000000001" customHeight="1" x14ac:dyDescent="0.2">
      <c r="A28" s="29" t="str">
        <f>HYPERLINK("#'Constants - Fuel'!A1", "Constants - Fuel")</f>
        <v>Constants - Fuel</v>
      </c>
      <c r="D28" s="28"/>
      <c r="E28" s="28"/>
      <c r="F28" s="28"/>
      <c r="G28" s="28"/>
      <c r="H28" s="28"/>
      <c r="I28" s="28">
        <f>(G28 * H28)</f>
        <v>0</v>
      </c>
    </row>
    <row r="29" spans="1:10" ht="20.100000000000001" customHeight="1" x14ac:dyDescent="0.2">
      <c r="A29" s="29" t="str">
        <f>HYPERLINK("#'Constants - Common'!A1", "Constants - Common")</f>
        <v>Constants - Common</v>
      </c>
      <c r="D29" s="28"/>
      <c r="E29" s="28"/>
      <c r="F29" s="28"/>
      <c r="G29" s="28"/>
      <c r="H29" s="28"/>
      <c r="I29" s="28">
        <f>(G29 * H29)</f>
        <v>0</v>
      </c>
    </row>
    <row r="30" spans="1:10" ht="20.100000000000001" customHeight="1" x14ac:dyDescent="0.2">
      <c r="D30" s="28"/>
      <c r="E30" s="28"/>
      <c r="F30" s="28"/>
      <c r="G30" s="28"/>
      <c r="H30" s="28"/>
      <c r="I30" s="28">
        <f>(G30 * H30)</f>
        <v>0</v>
      </c>
    </row>
    <row r="31" spans="1:10" ht="20.100000000000001" customHeight="1" x14ac:dyDescent="0.2">
      <c r="D31" s="110"/>
      <c r="E31" s="110"/>
      <c r="F31" s="110"/>
      <c r="G31" s="110"/>
      <c r="H31" s="110"/>
      <c r="I31" s="110"/>
      <c r="J31" s="110"/>
    </row>
    <row r="32" spans="1:10" ht="20.100000000000001" customHeight="1" x14ac:dyDescent="0.2">
      <c r="D32" s="95" t="s">
        <v>275</v>
      </c>
      <c r="E32" s="95">
        <f>SUM(I20:I30)</f>
        <v>710</v>
      </c>
      <c r="F32" s="111" t="str">
        <f>$E$11</f>
        <v>kg N</v>
      </c>
      <c r="G32" s="110"/>
      <c r="H32" s="110"/>
      <c r="I32" s="110"/>
      <c r="J32" s="110"/>
    </row>
    <row r="35" spans="1:12" ht="20.100000000000001" customHeight="1" x14ac:dyDescent="0.2">
      <c r="C35" s="112"/>
      <c r="D35" s="112"/>
      <c r="E35" s="112"/>
      <c r="F35" s="112"/>
      <c r="G35" s="112"/>
      <c r="H35" s="112"/>
      <c r="I35" s="112"/>
      <c r="J35" s="112"/>
      <c r="K35" s="112"/>
      <c r="L35" s="112"/>
    </row>
    <row r="36" spans="1:12" ht="20.100000000000001" customHeight="1" x14ac:dyDescent="0.2">
      <c r="D36" s="16" t="s">
        <v>547</v>
      </c>
    </row>
    <row r="37" spans="1:12" ht="20.100000000000001" customHeight="1" x14ac:dyDescent="0.2">
      <c r="D37" s="18" t="s">
        <v>548</v>
      </c>
    </row>
    <row r="38" spans="1:12" ht="20.100000000000001" customHeight="1" x14ac:dyDescent="0.2">
      <c r="D38" s="83"/>
      <c r="E38" s="83"/>
    </row>
    <row r="40" spans="1:12" ht="20.100000000000001" customHeight="1" x14ac:dyDescent="0.2">
      <c r="A40" s="167" t="str">
        <f>HYPERLINK("#A1", "▲ Back to top")</f>
        <v>▲ Back to top</v>
      </c>
    </row>
    <row r="41" spans="1:12" ht="20.100000000000001" customHeight="1" x14ac:dyDescent="0.2">
      <c r="D41" s="69" t="s">
        <v>224</v>
      </c>
      <c r="E41" s="15" t="s">
        <v>497</v>
      </c>
    </row>
    <row r="42" spans="1:12" ht="20.100000000000001" customHeight="1" x14ac:dyDescent="0.2">
      <c r="D42" s="69" t="s">
        <v>229</v>
      </c>
      <c r="E42" s="20" t="s">
        <v>498</v>
      </c>
    </row>
    <row r="44" spans="1:12" ht="20.100000000000001" customHeight="1" x14ac:dyDescent="0.2">
      <c r="D44" s="105" t="s">
        <v>542</v>
      </c>
      <c r="E44" s="98" t="s">
        <v>549</v>
      </c>
      <c r="F44" s="113"/>
      <c r="G44" s="113"/>
      <c r="H44" s="114"/>
      <c r="I44" s="105" t="s">
        <v>479</v>
      </c>
      <c r="J44" s="91" t="s">
        <v>553</v>
      </c>
      <c r="K44" s="105">
        <f>$E$32</f>
        <v>710</v>
      </c>
    </row>
    <row r="45" spans="1:12" ht="20.100000000000001" customHeight="1" x14ac:dyDescent="0.2">
      <c r="D45" s="105" t="s">
        <v>550</v>
      </c>
      <c r="E45" s="98" t="s">
        <v>551</v>
      </c>
      <c r="F45" s="113"/>
      <c r="G45" s="113"/>
      <c r="H45" s="114"/>
      <c r="I45" s="105" t="s">
        <v>554</v>
      </c>
      <c r="J45" s="91" t="s">
        <v>529</v>
      </c>
      <c r="K45" s="105">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
      <c r="D46" s="105" t="s">
        <v>502</v>
      </c>
      <c r="E46" s="98" t="s">
        <v>503</v>
      </c>
      <c r="F46" s="113"/>
      <c r="G46" s="113"/>
      <c r="H46" s="114"/>
      <c r="I46" s="105"/>
      <c r="J46" s="91" t="s">
        <v>485</v>
      </c>
      <c r="K46" s="88">
        <f>Common_InputFunctions.Utility_LookupValueInTableNumber("N2O",Table_GasToMolecularConversionFactor[Gas],Table_GasToMolecularConversionFactor[Conversion factor combined])</f>
        <v>1.5714285714285714</v>
      </c>
    </row>
    <row r="47" spans="1:12" ht="20.100000000000001" customHeight="1" x14ac:dyDescent="0.2">
      <c r="D47" s="105" t="s">
        <v>504</v>
      </c>
      <c r="E47" s="98" t="s">
        <v>137</v>
      </c>
      <c r="F47" s="113"/>
      <c r="G47" s="113"/>
      <c r="H47" s="114"/>
      <c r="I47" s="105"/>
      <c r="J47" s="90" t="s">
        <v>80</v>
      </c>
      <c r="K47" s="105" t="str">
        <f>X_Cell_Fertiliser_ProductionSystem</f>
        <v>Crop</v>
      </c>
    </row>
    <row r="48" spans="1:12" ht="20.100000000000001" customHeight="1" x14ac:dyDescent="0.2">
      <c r="D48" s="105" t="s">
        <v>552</v>
      </c>
      <c r="E48" s="98" t="s">
        <v>475</v>
      </c>
      <c r="F48" s="113"/>
      <c r="G48" s="113"/>
      <c r="H48" s="114"/>
      <c r="I48" s="105"/>
      <c r="J48" s="90" t="s">
        <v>80</v>
      </c>
      <c r="K48" s="105" t="str">
        <f>X_Cell_Site_WetOrDryClimateZone</f>
        <v>Dry climate zone</v>
      </c>
    </row>
    <row r="50" spans="4:7" ht="20.100000000000001" customHeight="1" x14ac:dyDescent="0.2">
      <c r="D50" s="100" t="s">
        <v>248</v>
      </c>
      <c r="E50" s="101">
        <f>((K44 * K45 * K46) * 10 ^ -3)</f>
        <v>5.5785714285714293E-3</v>
      </c>
      <c r="F50" s="102" t="str">
        <f>$E$42</f>
        <v>t N2O</v>
      </c>
    </row>
    <row r="52" spans="4:7" ht="20.100000000000001" customHeight="1" x14ac:dyDescent="0.2">
      <c r="D52" s="88" t="str" cm="1">
        <f t="array" ref="D52:E53">Common_Equations.Common_ConvertN2OToCO2e_Arguments()</f>
        <v>EN2O</v>
      </c>
      <c r="E52" s="89" t="str">
        <v>Nitrous oxide emissions (t N2O)</v>
      </c>
      <c r="F52" s="103"/>
      <c r="G52" s="28">
        <f>VEERG_5_2_1_1__2_MassOfNitrogenInOrganicFertiliser_Result_Method1</f>
        <v>5.5785714285714293E-3</v>
      </c>
    </row>
    <row r="53" spans="4:7" ht="20.100000000000001" customHeight="1" x14ac:dyDescent="0.2">
      <c r="D53" s="88" t="str">
        <v>GWPN2O</v>
      </c>
      <c r="E53" s="89" t="str">
        <v>Global warming potential for nitrous oxide (t CO2-e / t N2O)</v>
      </c>
      <c r="F53" s="103"/>
      <c r="G53" s="28">
        <f>Common_InputFunctions.Utility_LookupValueInTableNumber("N2O",Table_GWPData[Gas],Table_GWPData[CO2-e factor])</f>
        <v>265</v>
      </c>
    </row>
    <row r="55" spans="4:7" ht="20.100000000000001" customHeight="1" x14ac:dyDescent="0.2">
      <c r="D55" s="96" t="s">
        <v>249</v>
      </c>
      <c r="E55" s="96" cm="1">
        <f t="array" ref="E55">Common_Equations.Common_ConvertN2OToCO2e(G52,G53)</f>
        <v>1.4783214285714288</v>
      </c>
      <c r="F55" s="104" t="str" cm="1">
        <f t="array" ref="F55">Common_Equations.Common_ConvertN2OToCO2e_Unit()</f>
        <v>t CO2e</v>
      </c>
    </row>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80625-FBF9-466A-B2D0-7AD5A4AB7168}">
  <sheetPr>
    <tabColor rgb="FF008000"/>
  </sheetPr>
  <dimension ref="A1:U31"/>
  <sheetViews>
    <sheetView showGridLines="0" zoomScaleNormal="100" workbookViewId="0">
      <pane xSplit="1" topLeftCell="B1" activePane="topRight" state="frozenSplit"/>
      <selection pane="topRight" activeCell="A28" sqref="A28"/>
    </sheetView>
  </sheetViews>
  <sheetFormatPr defaultRowHeight="20.100000000000001" customHeight="1" x14ac:dyDescent="0.2"/>
  <cols>
    <col min="1" max="1" width="36.7109375" customWidth="1"/>
    <col min="2" max="2" width="4.7109375" customWidth="1"/>
    <col min="3" max="3" width="4.7109375" style="15" customWidth="1"/>
    <col min="4" max="11" width="30.7109375" style="15" customWidth="1"/>
    <col min="12" max="12" width="4.7109375" style="15" customWidth="1"/>
    <col min="13" max="13" width="4.7109375" customWidth="1"/>
    <col min="14" max="14" width="4.7109375" style="15" customWidth="1"/>
    <col min="15" max="20" width="30.7109375" style="15" customWidth="1"/>
    <col min="21" max="21" width="4.7109375" style="15" customWidth="1"/>
  </cols>
  <sheetData>
    <row r="1" spans="1:21" s="8" customFormat="1" ht="30" customHeight="1" x14ac:dyDescent="0.35">
      <c r="A1" s="23" t="e" vm="1">
        <v>#VALUE!</v>
      </c>
      <c r="C1" s="8" t="s">
        <v>276</v>
      </c>
    </row>
    <row r="2" spans="1:21" s="9" customFormat="1" ht="20.100000000000001" customHeight="1" x14ac:dyDescent="0.2">
      <c r="A2"/>
    </row>
    <row r="3" spans="1:21" ht="20.100000000000001" customHeight="1" x14ac:dyDescent="0.2">
      <c r="A3" s="29" t="str">
        <f>HYPERLINK("#'Home'!A1", "Home")</f>
        <v>Home</v>
      </c>
      <c r="C3" s="12"/>
      <c r="D3" s="12" t="s">
        <v>216</v>
      </c>
      <c r="E3" s="12"/>
      <c r="F3" s="12"/>
      <c r="G3" s="12"/>
      <c r="H3" s="12"/>
      <c r="I3" s="12"/>
      <c r="J3" s="12"/>
      <c r="K3" s="12"/>
      <c r="L3" s="12"/>
      <c r="N3" s="12"/>
      <c r="O3" s="12" t="s">
        <v>217</v>
      </c>
      <c r="P3" s="12"/>
      <c r="Q3" s="12"/>
      <c r="R3" s="12"/>
      <c r="S3" s="12"/>
      <c r="T3" s="12"/>
      <c r="U3" s="12"/>
    </row>
    <row r="5" spans="1:21" ht="20.100000000000001" customHeight="1" x14ac:dyDescent="0.2">
      <c r="D5" s="16" t="s">
        <v>555</v>
      </c>
    </row>
    <row r="6" spans="1:21" ht="20.100000000000001" customHeight="1" x14ac:dyDescent="0.2">
      <c r="A6" s="40" t="s">
        <v>148</v>
      </c>
      <c r="D6" s="18" t="s">
        <v>556</v>
      </c>
    </row>
    <row r="7" spans="1:21" ht="20.100000000000001" customHeight="1" x14ac:dyDescent="0.2">
      <c r="A7" s="29" t="str">
        <f>HYPERLINK("#'Input - Planting'!A1", "Planting")</f>
        <v>Planting</v>
      </c>
      <c r="D7" s="83"/>
      <c r="E7" s="83"/>
    </row>
    <row r="8" spans="1:21" ht="20.100000000000001" customHeight="1" x14ac:dyDescent="0.2">
      <c r="A8" s="29" t="str">
        <f>HYPERLINK("#'Input - Fertiliser'!A1", "Fertiliser")</f>
        <v>Fertiliser</v>
      </c>
    </row>
    <row r="9" spans="1:21" ht="20.100000000000001" customHeight="1" x14ac:dyDescent="0.2">
      <c r="A9" s="29" t="str">
        <f>HYPERLINK("#'Input - Fuel'!A1", "Fuel")</f>
        <v>Fuel</v>
      </c>
    </row>
    <row r="10" spans="1:21" ht="20.100000000000001" customHeight="1" x14ac:dyDescent="0.2">
      <c r="A10" s="29" t="str">
        <f>HYPERLINK("#'Input - Fert Prod System'!A1", "Fert Prod System")</f>
        <v>Fert Prod System</v>
      </c>
      <c r="D10" s="69" t="s">
        <v>224</v>
      </c>
      <c r="E10" s="15" t="s">
        <v>557</v>
      </c>
    </row>
    <row r="11" spans="1:21" ht="20.100000000000001" customHeight="1" x14ac:dyDescent="0.2">
      <c r="A11" s="29" t="str">
        <f>HYPERLINK("#'Input - Site'!A1", "Site")</f>
        <v>Site</v>
      </c>
      <c r="D11" s="69" t="s">
        <v>229</v>
      </c>
      <c r="E11" s="20" t="s">
        <v>284</v>
      </c>
    </row>
    <row r="12" spans="1:21" ht="20.100000000000001" customHeight="1" x14ac:dyDescent="0.2">
      <c r="A12" s="29" t="str">
        <f>HYPERLINK("#'Input - Data quality'!A1", "Data quality")</f>
        <v>Data quality</v>
      </c>
    </row>
    <row r="13" spans="1:21" ht="20.100000000000001" customHeight="1" x14ac:dyDescent="0.2">
      <c r="D13" s="105" t="s">
        <v>558</v>
      </c>
      <c r="E13" s="98" t="s">
        <v>559</v>
      </c>
      <c r="F13" s="114"/>
      <c r="G13" s="105" t="s">
        <v>223</v>
      </c>
      <c r="H13" s="90" t="s">
        <v>80</v>
      </c>
      <c r="I13" s="92" t="str" cm="1">
        <f t="array" aca="1" ref="I13" ca="1">HYPERLINK(Common_InputFunctions.Utility_SourceHyperlink($D$22), $D$22)</f>
        <v>Table_E_lime</v>
      </c>
    </row>
    <row r="14" spans="1:21" ht="20.100000000000001" customHeight="1" x14ac:dyDescent="0.2">
      <c r="D14" s="105" t="s">
        <v>280</v>
      </c>
      <c r="E14" s="98" t="s">
        <v>560</v>
      </c>
      <c r="F14" s="114"/>
      <c r="G14" s="105" t="s">
        <v>571</v>
      </c>
      <c r="H14" s="90" t="s">
        <v>80</v>
      </c>
      <c r="I14" s="92" t="str" cm="1">
        <f t="array" aca="1" ref="I14" ca="1">HYPERLINK(Common_InputFunctions.Utility_SourceHyperlink($D$22), $D$22)</f>
        <v>Table_E_lime</v>
      </c>
    </row>
    <row r="15" spans="1:21" ht="20.100000000000001" customHeight="1" x14ac:dyDescent="0.2">
      <c r="A15" s="53" t="s">
        <v>175</v>
      </c>
      <c r="D15" s="105" t="s">
        <v>561</v>
      </c>
      <c r="E15" s="98" t="s">
        <v>562</v>
      </c>
      <c r="F15" s="114"/>
      <c r="G15" s="105" t="s">
        <v>571</v>
      </c>
      <c r="H15" s="91" t="s">
        <v>485</v>
      </c>
      <c r="I15" s="105">
        <f>'Constants - Fertiliser'!$E$66</f>
        <v>0.9</v>
      </c>
    </row>
    <row r="16" spans="1:21" ht="20.100000000000001" customHeight="1" x14ac:dyDescent="0.2">
      <c r="A16" s="29" t="str">
        <f>HYPERLINK("#'5.1.1.1-2 Inorganic fert N2O'!A1", "5.1.1.1-2 Inorganic fert N2O")</f>
        <v>5.1.1.1-2 Inorganic fert N2O</v>
      </c>
      <c r="D16" s="105" t="s">
        <v>563</v>
      </c>
      <c r="E16" s="98" t="s">
        <v>564</v>
      </c>
      <c r="F16" s="114"/>
      <c r="G16" s="105" t="s">
        <v>572</v>
      </c>
      <c r="H16" s="91" t="s">
        <v>485</v>
      </c>
      <c r="I16" s="105">
        <f>'Constants - Fertiliser'!$F$66</f>
        <v>0.12</v>
      </c>
    </row>
    <row r="17" spans="1:9" ht="20.100000000000001" customHeight="1" x14ac:dyDescent="0.2">
      <c r="A17" s="29" t="str">
        <f>HYPERLINK("#'5.1.1.3-4 Inorganic fert CO2'!A1", "5.1.1.3-4 Inorganic fert CO2")</f>
        <v>5.1.1.3-4 Inorganic fert CO2</v>
      </c>
      <c r="D17" s="105" t="s">
        <v>281</v>
      </c>
      <c r="E17" s="98" t="s">
        <v>565</v>
      </c>
      <c r="F17" s="114"/>
      <c r="G17" s="105" t="s">
        <v>571</v>
      </c>
      <c r="H17" s="90" t="s">
        <v>80</v>
      </c>
      <c r="I17" s="92" t="str" cm="1">
        <f t="array" aca="1" ref="I17" ca="1">HYPERLINK(Common_InputFunctions.Utility_SourceHyperlink($D$22), $D$22)</f>
        <v>Table_E_lime</v>
      </c>
    </row>
    <row r="18" spans="1:9" ht="20.100000000000001" customHeight="1" x14ac:dyDescent="0.2">
      <c r="A18" s="29" t="str">
        <f>HYPERLINK("#'5.2.1.1-2 Organic Fert N2O'!A1", "5.2.1.1-2 Organic fert N2O")</f>
        <v>5.2.1.1-2 Organic fert N2O</v>
      </c>
      <c r="D18" s="105" t="s">
        <v>566</v>
      </c>
      <c r="E18" s="98" t="s">
        <v>567</v>
      </c>
      <c r="F18" s="114"/>
      <c r="G18" s="105" t="s">
        <v>571</v>
      </c>
      <c r="H18" s="91" t="s">
        <v>485</v>
      </c>
      <c r="I18" s="105">
        <f>'Constants - Fertiliser'!$E$67</f>
        <v>0.95</v>
      </c>
    </row>
    <row r="19" spans="1:9" ht="20.100000000000001" customHeight="1" x14ac:dyDescent="0.2">
      <c r="A19" s="93" t="str">
        <f>HYPERLINK("#'5.3.1.1-2 Lime CO2'!A1", "5.3.1.1-2 Lime CO2")</f>
        <v>5.3.1.1-2 Lime CO2</v>
      </c>
      <c r="D19" s="105" t="s">
        <v>568</v>
      </c>
      <c r="E19" s="98" t="s">
        <v>569</v>
      </c>
      <c r="F19" s="114"/>
      <c r="G19" s="105" t="s">
        <v>572</v>
      </c>
      <c r="H19" s="91" t="s">
        <v>485</v>
      </c>
      <c r="I19" s="105">
        <f>'Constants - Fertiliser'!$F$67</f>
        <v>0.13</v>
      </c>
    </row>
    <row r="20" spans="1:9" ht="20.100000000000001" customHeight="1" x14ac:dyDescent="0.2">
      <c r="A20" s="29" t="str">
        <f>HYPERLINK("#'5.4.1.1-4 Atmos deposition'!A1", "5.4.1.1-4 Atmos. deposition")</f>
        <v>5.4.1.1-4 Atmos. deposition</v>
      </c>
      <c r="D20" s="105" t="s">
        <v>536</v>
      </c>
      <c r="E20" s="98" t="s">
        <v>570</v>
      </c>
      <c r="F20" s="114"/>
      <c r="G20" s="105"/>
      <c r="H20" s="91" t="s">
        <v>485</v>
      </c>
      <c r="I20" s="88">
        <f>Common_InputFunctions.Utility_LookupValueInTableNumber("CO2",Table_GasToMolecularConversionFactor[Gas], Table_GasToMolecularConversionFactor[Conversion factor combined])</f>
        <v>3.6666666666666665</v>
      </c>
    </row>
    <row r="21" spans="1:9" ht="20.100000000000001" customHeight="1" x14ac:dyDescent="0.2">
      <c r="A21" s="29" t="str">
        <f>HYPERLINK("#'5.5.1.1-2 Leaching and runoff'!A1", "5.5.1.1-2 Leaching &amp; runoff")</f>
        <v>5.5.1.1-2 Leaching &amp; runoff</v>
      </c>
    </row>
    <row r="22" spans="1:9" ht="20.100000000000001" customHeight="1" x14ac:dyDescent="0.2">
      <c r="A22" s="29" t="str">
        <f>HYPERLINK("#'8.1.1.1-2 Transport fuel'!A1", "8.1.1.1-2 Transport fuel")</f>
        <v>8.1.1.1-2 Transport fuel</v>
      </c>
      <c r="D22" s="84" t="s">
        <v>277</v>
      </c>
    </row>
    <row r="23" spans="1:9" ht="20.100000000000001" customHeight="1" x14ac:dyDescent="0.2">
      <c r="A23" s="29" t="str">
        <f>HYPERLINK("#'8.2.1.1-2 Stationary fuel'!A1", "8.2.1.1-2 Stationary fuel")</f>
        <v>8.2.1.1-2 Stationary fuel</v>
      </c>
      <c r="D23" s="85" t="s">
        <v>192</v>
      </c>
    </row>
    <row r="24" spans="1:9" ht="20.100000000000001" customHeight="1" x14ac:dyDescent="0.2">
      <c r="D24" s="25" t="s">
        <v>278</v>
      </c>
      <c r="E24" s="25" t="s">
        <v>279</v>
      </c>
      <c r="F24" s="25" t="s">
        <v>280</v>
      </c>
      <c r="G24" s="25" t="s">
        <v>281</v>
      </c>
      <c r="H24" s="87" t="s">
        <v>282</v>
      </c>
    </row>
    <row r="25" spans="1:9" ht="20.100000000000001" customHeight="1" x14ac:dyDescent="0.2">
      <c r="D25" s="28" t="str" cm="1">
        <f t="array" ref="D25:D27">Table_Input_Lime[Product]</f>
        <v>Lime product 1</v>
      </c>
      <c r="E25" s="115" cm="1">
        <f t="array" ref="E25:E27">Table_Input_Lime[Total amount applied (t)]*10^3</f>
        <v>100000</v>
      </c>
      <c r="F25" s="116" cm="1">
        <f t="array" ref="F25:F27">Table_Input_Lime[Percent Lime CaCO3]</f>
        <v>0.8</v>
      </c>
      <c r="G25" s="116" cm="1">
        <f t="array" ref="G25:G27">Table_Input_Lime[Percent Dolomite CaMg(CO3)2]</f>
        <v>0.1</v>
      </c>
      <c r="H25" s="28">
        <f>(((E25 * F25 * $I$15 * $I$16) + (E25 * G25 * $I$18 * $I$19)) * $I$20 * 10 ^ -3)</f>
        <v>36.208333333333329</v>
      </c>
    </row>
    <row r="26" spans="1:9" ht="20.100000000000001" customHeight="1" x14ac:dyDescent="0.2">
      <c r="A26" s="30" t="s">
        <v>91</v>
      </c>
      <c r="D26" s="28" t="str">
        <v>Lime product 2</v>
      </c>
      <c r="E26" s="28">
        <v>100000</v>
      </c>
      <c r="F26" s="28">
        <v>1</v>
      </c>
      <c r="G26" s="28">
        <v>0</v>
      </c>
      <c r="H26" s="28">
        <f>(((E26 * F26 * $I$15 * $I$16) + (E26 * G26 * $I$18 * $I$19)) * $I$20 * 10 ^ -3)</f>
        <v>39.6</v>
      </c>
    </row>
    <row r="27" spans="1:9" ht="20.100000000000001" customHeight="1" x14ac:dyDescent="0.2">
      <c r="A27" s="29" t="str">
        <f>HYPERLINK("#'Constants - Fertiliser'!A1", "Constants - Fertiliser")</f>
        <v>Constants - Fertiliser</v>
      </c>
      <c r="D27" s="28" t="str">
        <v>Lime product 3</v>
      </c>
      <c r="E27" s="28">
        <v>100000</v>
      </c>
      <c r="F27" s="28">
        <v>0</v>
      </c>
      <c r="G27" s="28">
        <v>0</v>
      </c>
      <c r="H27" s="28">
        <f>(((E27 * F27 * $I$15 * $I$16) + (E27 * G27 * $I$18 * $I$19)) * $I$20 * 10 ^ -3)</f>
        <v>0</v>
      </c>
    </row>
    <row r="28" spans="1:9" ht="20.100000000000001" customHeight="1" x14ac:dyDescent="0.2">
      <c r="A28" s="29" t="str">
        <f>HYPERLINK("#'Constants - Fuel'!A1", "Constants - Fuel")</f>
        <v>Constants - Fuel</v>
      </c>
      <c r="D28" s="28"/>
      <c r="E28" s="28"/>
      <c r="F28" s="28"/>
      <c r="G28" s="28"/>
      <c r="H28" s="28">
        <f>(((E28 * F28 * $I$15 * $I$16) + (E28 * G28 * $I$18 * $I$19)) * $I$20 * 10 ^ -3)</f>
        <v>0</v>
      </c>
    </row>
    <row r="29" spans="1:9" ht="20.100000000000001" customHeight="1" x14ac:dyDescent="0.2">
      <c r="A29" s="29" t="str">
        <f>HYPERLINK("#'Constants - Common'!A1", "Constants - Common")</f>
        <v>Constants - Common</v>
      </c>
      <c r="D29" s="28"/>
      <c r="E29" s="28"/>
      <c r="F29" s="28"/>
      <c r="G29" s="28"/>
      <c r="H29" s="28">
        <f>(((E29 * F29 * $I$15 * $I$16) + (E29 * G29 * $I$18 * $I$19)) * $I$20 * 10 ^ -3)</f>
        <v>0</v>
      </c>
    </row>
    <row r="31" spans="1:9" ht="20.100000000000001" customHeight="1" x14ac:dyDescent="0.2">
      <c r="D31" s="100" t="s">
        <v>283</v>
      </c>
      <c r="E31" s="101">
        <f>SUM(H25:H29)</f>
        <v>75.808333333333337</v>
      </c>
      <c r="F31" s="117" t="s">
        <v>284</v>
      </c>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2510F-849F-425C-BD9A-E5296AA9567E}">
  <sheetPr>
    <tabColor rgb="FF008000"/>
  </sheetPr>
  <dimension ref="A1:U151"/>
  <sheetViews>
    <sheetView showGridLines="0" zoomScaleNormal="100" workbookViewId="0">
      <pane xSplit="1" topLeftCell="B1" activePane="topRight" state="frozenSplit"/>
      <selection pane="topRight" activeCell="A28" sqref="A28"/>
    </sheetView>
  </sheetViews>
  <sheetFormatPr defaultRowHeight="20.100000000000001" customHeight="1" x14ac:dyDescent="0.2"/>
  <cols>
    <col min="1" max="1" width="36.7109375" customWidth="1"/>
    <col min="2" max="2" width="4.7109375" customWidth="1"/>
    <col min="3" max="3" width="4.7109375" style="15" customWidth="1"/>
    <col min="4" max="11" width="30.7109375" style="15" customWidth="1"/>
    <col min="12" max="12" width="4.7109375" style="15" customWidth="1"/>
    <col min="13" max="13" width="4.7109375" customWidth="1"/>
    <col min="14" max="14" width="4.7109375" style="15" customWidth="1"/>
    <col min="15" max="20" width="30.7109375" style="15" customWidth="1"/>
    <col min="21" max="21" width="4.7109375" style="15" customWidth="1"/>
  </cols>
  <sheetData>
    <row r="1" spans="1:21" s="8" customFormat="1" ht="30" customHeight="1" x14ac:dyDescent="0.35">
      <c r="A1" s="23" t="e" vm="1">
        <v>#VALUE!</v>
      </c>
      <c r="C1" s="8" t="s">
        <v>285</v>
      </c>
    </row>
    <row r="2" spans="1:21" s="9" customFormat="1" ht="20.100000000000001" customHeight="1" x14ac:dyDescent="0.2">
      <c r="A2"/>
    </row>
    <row r="3" spans="1:21" ht="20.100000000000001" customHeight="1" x14ac:dyDescent="0.2">
      <c r="A3" s="29" t="str">
        <f>HYPERLINK("#'Home'!A1", "Home")</f>
        <v>Home</v>
      </c>
      <c r="C3" s="12"/>
      <c r="D3" s="12" t="s">
        <v>216</v>
      </c>
      <c r="E3" s="12"/>
      <c r="F3" s="12"/>
      <c r="G3" s="12"/>
      <c r="H3" s="12"/>
      <c r="I3" s="12"/>
      <c r="J3" s="12"/>
      <c r="K3" s="12"/>
      <c r="L3" s="12"/>
      <c r="N3" s="12"/>
      <c r="O3" s="12" t="s">
        <v>217</v>
      </c>
      <c r="P3" s="12"/>
      <c r="Q3" s="12"/>
      <c r="R3" s="12"/>
      <c r="S3" s="12"/>
      <c r="T3" s="12"/>
      <c r="U3" s="12"/>
    </row>
    <row r="5" spans="1:21" ht="20.100000000000001" customHeight="1" x14ac:dyDescent="0.2">
      <c r="D5" s="16" t="s">
        <v>573</v>
      </c>
    </row>
    <row r="6" spans="1:21" ht="20.100000000000001" customHeight="1" x14ac:dyDescent="0.2">
      <c r="A6" s="40" t="s">
        <v>148</v>
      </c>
      <c r="D6" s="18" t="s">
        <v>574</v>
      </c>
    </row>
    <row r="7" spans="1:21" ht="20.100000000000001" customHeight="1" x14ac:dyDescent="0.2">
      <c r="A7" s="29" t="str">
        <f>HYPERLINK("#'Input - Planting'!A1", "Planting")</f>
        <v>Planting</v>
      </c>
      <c r="D7" s="83"/>
      <c r="E7" s="83"/>
    </row>
    <row r="8" spans="1:21" ht="20.100000000000001" customHeight="1" x14ac:dyDescent="0.2">
      <c r="A8" s="29" t="str">
        <f>HYPERLINK("#'Input - Fertiliser'!A1", "Fertiliser")</f>
        <v>Fertiliser</v>
      </c>
    </row>
    <row r="9" spans="1:21" ht="20.100000000000001" customHeight="1" x14ac:dyDescent="0.2">
      <c r="A9" s="29" t="str">
        <f>HYPERLINK("#'Input - Fuel'!A1", "Fuel")</f>
        <v>Fuel</v>
      </c>
    </row>
    <row r="10" spans="1:21" ht="20.100000000000001" customHeight="1" x14ac:dyDescent="0.2">
      <c r="A10" s="29" t="str">
        <f>HYPERLINK("#'Input - Fert Prod System'!A1", "Fert Prod System")</f>
        <v>Fert Prod System</v>
      </c>
      <c r="D10" s="69" t="s">
        <v>224</v>
      </c>
      <c r="E10" s="15" t="s">
        <v>575</v>
      </c>
    </row>
    <row r="11" spans="1:21" ht="20.100000000000001" customHeight="1" x14ac:dyDescent="0.2">
      <c r="A11" s="29" t="str">
        <f>HYPERLINK("#'Input - Site'!A1", "Site")</f>
        <v>Site</v>
      </c>
      <c r="D11" s="69" t="s">
        <v>229</v>
      </c>
      <c r="E11" s="20" t="s">
        <v>479</v>
      </c>
    </row>
    <row r="12" spans="1:21" ht="20.100000000000001" customHeight="1" x14ac:dyDescent="0.2">
      <c r="A12" s="29" t="str">
        <f>HYPERLINK("#'Input - Data quality'!A1", "Data quality")</f>
        <v>Data quality</v>
      </c>
    </row>
    <row r="13" spans="1:21" ht="20.100000000000001" customHeight="1" x14ac:dyDescent="0.2">
      <c r="D13" s="105" t="s">
        <v>478</v>
      </c>
      <c r="E13" s="98" t="s">
        <v>576</v>
      </c>
      <c r="F13" s="114"/>
      <c r="G13" s="105" t="s">
        <v>479</v>
      </c>
      <c r="H13" s="91" t="s">
        <v>509</v>
      </c>
      <c r="I13" s="92" t="str" cm="1">
        <f t="array" aca="1" ref="I13" ca="1">HYPERLINK(Common_InputFunctions.Utility_SourceHyperlink($D$16),$D$16)</f>
        <v>Table_M_vol_inorganic_j_f</v>
      </c>
    </row>
    <row r="14" spans="1:21" ht="20.100000000000001" customHeight="1" x14ac:dyDescent="0.2">
      <c r="D14" s="105" t="s">
        <v>577</v>
      </c>
      <c r="E14" s="98" t="s">
        <v>578</v>
      </c>
      <c r="F14" s="114"/>
      <c r="G14" s="105" t="s">
        <v>579</v>
      </c>
      <c r="H14" s="91" t="s">
        <v>485</v>
      </c>
      <c r="I14" s="92" t="str" cm="1">
        <f t="array" aca="1" ref="I14" ca="1">HYPERLINK(Common_InputFunctions.Utility_SourceHyperlink($D$16),$D$16)</f>
        <v>Table_M_vol_inorganic_j_f</v>
      </c>
    </row>
    <row r="15" spans="1:21" ht="20.100000000000001" customHeight="1" x14ac:dyDescent="0.2">
      <c r="A15" s="53" t="s">
        <v>175</v>
      </c>
    </row>
    <row r="16" spans="1:21" ht="20.100000000000001" customHeight="1" x14ac:dyDescent="0.2">
      <c r="A16" s="29" t="str">
        <f>HYPERLINK("#'5.1.1.1-2 Inorganic fert N2O'!A1", "5.1.1.1-2 Inorganic fert N2O")</f>
        <v>5.1.1.1-2 Inorganic fert N2O</v>
      </c>
      <c r="D16" s="84" t="s">
        <v>286</v>
      </c>
    </row>
    <row r="17" spans="1:8" ht="20.100000000000001" customHeight="1" x14ac:dyDescent="0.2">
      <c r="A17" s="29" t="str">
        <f>HYPERLINK("#'5.1.1.3-4 Inorganic fert CO2'!A1", "5.1.1.3-4 Inorganic fert CO2")</f>
        <v>5.1.1.3-4 Inorganic fert CO2</v>
      </c>
      <c r="D17" s="85" t="s">
        <v>287</v>
      </c>
    </row>
    <row r="18" spans="1:8" ht="20.100000000000001" customHeight="1" x14ac:dyDescent="0.2">
      <c r="A18" s="29" t="str">
        <f>HYPERLINK("#'5.2.1.1-2 Organic Fert N2O'!A1", "5.2.1.1-2 Organic fert N2O")</f>
        <v>5.2.1.1-2 Organic fert N2O</v>
      </c>
      <c r="D18" s="87" t="s">
        <v>288</v>
      </c>
      <c r="E18" s="87" t="s">
        <v>289</v>
      </c>
      <c r="F18" s="87" t="s">
        <v>290</v>
      </c>
      <c r="G18" s="118" t="s">
        <v>291</v>
      </c>
      <c r="H18" s="118" t="s">
        <v>292</v>
      </c>
    </row>
    <row r="19" spans="1:8" ht="20.100000000000001" customHeight="1" x14ac:dyDescent="0.2">
      <c r="A19" s="29" t="str">
        <f>HYPERLINK("#'5.3.1.1-2 Lime CO2'!A1", "5.3.1.1-2 Lime CO2")</f>
        <v>5.3.1.1-2 Lime CO2</v>
      </c>
      <c r="D19" s="28" t="str" cm="1">
        <f t="array" ref="D19:D37">Table_Fertiliser_ChemicalCompounds[Fertiliser type f]</f>
        <v>Monoammonium phosphate (MAP)</v>
      </c>
      <c r="E19" s="28">
        <f>INDEX(Table_MN_j_f,2,4)</f>
        <v>0</v>
      </c>
      <c r="F19" s="28" t="str" cm="1">
        <f t="array" ref="F19">Common_InputFunctions.Utility_LookupValueInTable(D19, Table_Fertiliser_ChemicalCompounds[Fertiliser type f],Table_Fertiliser_ChemicalCompounds[Basis])</f>
        <v>Ammonium-based fertilisers</v>
      </c>
      <c r="G19" s="28" cm="1">
        <f t="array" ref="G19">Common_InputFunctions.Utility_LookupValueInTableNumber(F19, Table_SourceData_Fertiliser_FracGASF[Fertiliser type f],Table_SourceData_Fertiliser_FracGASF[FracGASF f])</f>
        <v>0.08</v>
      </c>
      <c r="H19" s="28">
        <f>(E19 * G19)</f>
        <v>0</v>
      </c>
    </row>
    <row r="20" spans="1:8" ht="20.100000000000001" customHeight="1" x14ac:dyDescent="0.2">
      <c r="A20" s="93" t="str">
        <f>HYPERLINK("#'5.4.1.1-4 Atmos deposition'!A1", "5.4.1.1-4 Atmos. deposition")</f>
        <v>5.4.1.1-4 Atmos. deposition</v>
      </c>
      <c r="D20" s="28" t="str">
        <v>Diammonium phosphate (DAP)</v>
      </c>
      <c r="E20" s="28">
        <f>INDEX(Table_MN_j_f,3,4)</f>
        <v>0</v>
      </c>
      <c r="F20" s="28" t="str" cm="1">
        <f t="array" ref="F20">Common_InputFunctions.Utility_LookupValueInTable(D20, Table_Fertiliser_ChemicalCompounds[Fertiliser type f],Table_Fertiliser_ChemicalCompounds[Basis])</f>
        <v>Ammonium-based fertilisers</v>
      </c>
      <c r="G20" s="28" cm="1">
        <f t="array" ref="G20">Common_InputFunctions.Utility_LookupValueInTableNumber(F20, Table_SourceData_Fertiliser_FracGASF[Fertiliser type f],Table_SourceData_Fertiliser_FracGASF[FracGASF f])</f>
        <v>0.08</v>
      </c>
      <c r="H20" s="28">
        <f>(E20 * G20)</f>
        <v>0</v>
      </c>
    </row>
    <row r="21" spans="1:8" ht="20.100000000000001" customHeight="1" x14ac:dyDescent="0.2">
      <c r="A21" s="29" t="str">
        <f>HYPERLINK("#'5.5.1.1-2 Leaching and runoff'!A1", "5.5.1.1-2 Leaching &amp; runoff")</f>
        <v>5.5.1.1-2 Leaching &amp; runoff</v>
      </c>
      <c r="D21" s="28" t="str">
        <v>Urea</v>
      </c>
      <c r="E21" s="28">
        <f>INDEX(Table_MN_j_f,4,4)</f>
        <v>11599.999400000001</v>
      </c>
      <c r="F21" s="28" t="str" cm="1">
        <f t="array" ref="F21">Common_InputFunctions.Utility_LookupValueInTable(D21, Table_Fertiliser_ChemicalCompounds[Fertiliser type f],Table_Fertiliser_ChemicalCompounds[Basis])</f>
        <v>Urea-based fertilisers</v>
      </c>
      <c r="G21" s="28" cm="1">
        <f t="array" ref="G21">Common_InputFunctions.Utility_LookupValueInTableNumber(F21, Table_SourceData_Fertiliser_FracGASF[Fertiliser type f],Table_SourceData_Fertiliser_FracGASF[FracGASF f])</f>
        <v>0.15</v>
      </c>
      <c r="H21" s="28">
        <f>(E21 * G21)</f>
        <v>1739.99991</v>
      </c>
    </row>
    <row r="22" spans="1:8" ht="20.100000000000001" customHeight="1" x14ac:dyDescent="0.2">
      <c r="A22" s="29" t="str">
        <f>HYPERLINK("#'8.1.1.1-2 Transport fuel'!A1", "8.1.1.1-2 Transport fuel")</f>
        <v>8.1.1.1-2 Transport fuel</v>
      </c>
      <c r="D22" s="28" t="str">
        <v>Sulphate of ammonia (SOA)</v>
      </c>
      <c r="E22" s="28">
        <f>INDEX(Table_MN_j_f,5,4)</f>
        <v>0</v>
      </c>
      <c r="F22" s="28" t="str" cm="1">
        <f t="array" ref="F22">Common_InputFunctions.Utility_LookupValueInTable(D22, Table_Fertiliser_ChemicalCompounds[Fertiliser type f],Table_Fertiliser_ChemicalCompounds[Basis])</f>
        <v>Ammonium-based fertilisers</v>
      </c>
      <c r="G22" s="28" cm="1">
        <f t="array" ref="G22">Common_InputFunctions.Utility_LookupValueInTableNumber(F22, Table_SourceData_Fertiliser_FracGASF[Fertiliser type f],Table_SourceData_Fertiliser_FracGASF[FracGASF f])</f>
        <v>0.08</v>
      </c>
      <c r="H22" s="28">
        <f>(E22 * G22)</f>
        <v>0</v>
      </c>
    </row>
    <row r="23" spans="1:8" ht="20.100000000000001" customHeight="1" x14ac:dyDescent="0.2">
      <c r="A23" s="29" t="str">
        <f>HYPERLINK("#'8.2.1.1-2 Stationary fuel'!A1", "8.2.1.1-2 Stationary fuel")</f>
        <v>8.2.1.1-2 Stationary fuel</v>
      </c>
      <c r="D23" s="28" t="str">
        <v>Urea-ammonium nitrate (UAN)</v>
      </c>
      <c r="E23" s="28">
        <f>INDEX(Table_MN_j_f,6,4)</f>
        <v>0</v>
      </c>
      <c r="F23" s="28" t="str" cm="1">
        <f t="array" ref="F23">Common_InputFunctions.Utility_LookupValueInTable(D23, Table_Fertiliser_ChemicalCompounds[Fertiliser type f],Table_Fertiliser_ChemicalCompounds[Basis])</f>
        <v>Urea-based fertilisers</v>
      </c>
      <c r="G23" s="28" cm="1">
        <f t="array" ref="G23">Common_InputFunctions.Utility_LookupValueInTableNumber(F23, Table_SourceData_Fertiliser_FracGASF[Fertiliser type f],Table_SourceData_Fertiliser_FracGASF[FracGASF f])</f>
        <v>0.15</v>
      </c>
      <c r="H23" s="28">
        <f>(E23 * G23)</f>
        <v>0</v>
      </c>
    </row>
    <row r="24" spans="1:8" ht="20.100000000000001" customHeight="1" x14ac:dyDescent="0.2">
      <c r="D24" s="28" t="str">
        <v>Ammonium nitrate (AN)</v>
      </c>
      <c r="E24" s="28">
        <f>INDEX(Table_MN_j_f,7,4)</f>
        <v>0</v>
      </c>
      <c r="F24" s="28" t="str" cm="1">
        <f t="array" ref="F24">Common_InputFunctions.Utility_LookupValueInTable(D24, Table_Fertiliser_ChemicalCompounds[Fertiliser type f],Table_Fertiliser_ChemicalCompounds[Basis])</f>
        <v>Ammonium-nitrate based fertilisers</v>
      </c>
      <c r="G24" s="28" cm="1">
        <f t="array" ref="G24">Common_InputFunctions.Utility_LookupValueInTableNumber(F24, Table_SourceData_Fertiliser_FracGASF[Fertiliser type f],Table_SourceData_Fertiliser_FracGASF[FracGASF f])</f>
        <v>0.05</v>
      </c>
      <c r="H24" s="28">
        <f>(E24 * G24)</f>
        <v>0</v>
      </c>
    </row>
    <row r="25" spans="1:8" ht="20.100000000000001" customHeight="1" x14ac:dyDescent="0.2">
      <c r="D25" s="28" t="str">
        <v>Calcium ammonium nitrate (CAN)</v>
      </c>
      <c r="E25" s="28">
        <f>INDEX(Table_MN_j_f,8,4)</f>
        <v>0</v>
      </c>
      <c r="F25" s="28" t="str" cm="1">
        <f t="array" ref="F25">Common_InputFunctions.Utility_LookupValueInTable(D25, Table_Fertiliser_ChemicalCompounds[Fertiliser type f],Table_Fertiliser_ChemicalCompounds[Basis])</f>
        <v>Ammonium-nitrate based fertilisers</v>
      </c>
      <c r="G25" s="28" cm="1">
        <f t="array" ref="G25">Common_InputFunctions.Utility_LookupValueInTableNumber(F25, Table_SourceData_Fertiliser_FracGASF[Fertiliser type f],Table_SourceData_Fertiliser_FracGASF[FracGASF f])</f>
        <v>0.05</v>
      </c>
      <c r="H25" s="28">
        <f>(E25 * G25)</f>
        <v>0</v>
      </c>
    </row>
    <row r="26" spans="1:8" ht="20.100000000000001" customHeight="1" x14ac:dyDescent="0.2">
      <c r="A26" s="30" t="s">
        <v>91</v>
      </c>
      <c r="D26" s="28" t="str">
        <v>Nitrogen - Ammoniacal</v>
      </c>
      <c r="E26" s="28">
        <f>INDEX(Table_MN_j_f,9,4)</f>
        <v>1240</v>
      </c>
      <c r="F26" s="28" t="str" cm="1">
        <f t="array" ref="F26">Common_InputFunctions.Utility_LookupValueInTable(D26, Table_Fertiliser_ChemicalCompounds[Fertiliser type f],Table_Fertiliser_ChemicalCompounds[Basis])</f>
        <v>Ammonium-based fertilisers</v>
      </c>
      <c r="G26" s="28" cm="1">
        <f t="array" ref="G26">Common_InputFunctions.Utility_LookupValueInTableNumber(F26, Table_SourceData_Fertiliser_FracGASF[Fertiliser type f],Table_SourceData_Fertiliser_FracGASF[FracGASF f])</f>
        <v>0.08</v>
      </c>
      <c r="H26" s="28">
        <f>(E26 * G26)</f>
        <v>99.2</v>
      </c>
    </row>
    <row r="27" spans="1:8" ht="20.100000000000001" customHeight="1" x14ac:dyDescent="0.2">
      <c r="A27" s="29" t="str">
        <f>HYPERLINK("#'Constants - Fertiliser'!A1", "Constants - Fertiliser")</f>
        <v>Constants - Fertiliser</v>
      </c>
      <c r="D27" s="28" t="str">
        <v>Nitrogen - Nitrate</v>
      </c>
      <c r="E27" s="28">
        <f>INDEX(Table_MN_j_f,10,4)</f>
        <v>550</v>
      </c>
      <c r="F27" s="28" t="str" cm="1">
        <f t="array" ref="F27">Common_InputFunctions.Utility_LookupValueInTable(D27, Table_Fertiliser_ChemicalCompounds[Fertiliser type f],Table_Fertiliser_ChemicalCompounds[Basis])</f>
        <v>Nitrate-based fertilisers</v>
      </c>
      <c r="G27" s="28" cm="1">
        <f t="array" ref="G27">Common_InputFunctions.Utility_LookupValueInTableNumber(F27, Table_SourceData_Fertiliser_FracGASF[Fertiliser type f],Table_SourceData_Fertiliser_FracGASF[FracGASF f])</f>
        <v>0.01</v>
      </c>
      <c r="H27" s="28">
        <f>(E27 * G27)</f>
        <v>5.5</v>
      </c>
    </row>
    <row r="28" spans="1:8" ht="20.100000000000001" customHeight="1" x14ac:dyDescent="0.2">
      <c r="A28" s="29" t="str">
        <f>HYPERLINK("#'Constants - Fuel'!A1", "Constants - Fuel")</f>
        <v>Constants - Fuel</v>
      </c>
      <c r="D28" s="28" t="str">
        <v>Nitrogen - Generic</v>
      </c>
      <c r="E28" s="28">
        <f>INDEX(Table_MN_j_f,11,4)</f>
        <v>0</v>
      </c>
      <c r="F28" s="28" t="str" cm="1">
        <f t="array" ref="F28">Common_InputFunctions.Utility_LookupValueInTable(D28, Table_Fertiliser_ChemicalCompounds[Fertiliser type f],Table_Fertiliser_ChemicalCompounds[Basis])</f>
        <v>Urea-based fertilisers</v>
      </c>
      <c r="G28" s="28" cm="1">
        <f t="array" ref="G28">Common_InputFunctions.Utility_LookupValueInTableNumber(F28, Table_SourceData_Fertiliser_FracGASF[Fertiliser type f],Table_SourceData_Fertiliser_FracGASF[FracGASF f])</f>
        <v>0.15</v>
      </c>
      <c r="H28" s="28">
        <f>(E28 * G28)</f>
        <v>0</v>
      </c>
    </row>
    <row r="29" spans="1:8" ht="20.100000000000001" customHeight="1" x14ac:dyDescent="0.2">
      <c r="A29" s="29" t="str">
        <f>HYPERLINK("#'Constants - Common'!A1", "Constants - Common")</f>
        <v>Constants - Common</v>
      </c>
      <c r="D29" s="28" t="str">
        <v>Phosphorus - Generic</v>
      </c>
      <c r="E29" s="28">
        <f>INDEX(Table_MN_j_f,12,4)</f>
        <v>0</v>
      </c>
      <c r="F29" s="28" t="str" cm="1">
        <f t="array" ref="F29">Common_InputFunctions.Utility_LookupValueInTable(D29, Table_Fertiliser_ChemicalCompounds[Fertiliser type f],Table_Fertiliser_ChemicalCompounds[Basis])</f>
        <v>Other fertilisers</v>
      </c>
      <c r="G29" s="28" cm="1">
        <f t="array" ref="G29">Common_InputFunctions.Utility_LookupValueInTableNumber(F29, Table_SourceData_Fertiliser_FracGASF[Fertiliser type f],Table_SourceData_Fertiliser_FracGASF[FracGASF f])</f>
        <v>0.11</v>
      </c>
      <c r="H29" s="28">
        <f>(E29 * G29)</f>
        <v>0</v>
      </c>
    </row>
    <row r="30" spans="1:8" ht="20.100000000000001" customHeight="1" x14ac:dyDescent="0.2">
      <c r="D30" s="28" t="str">
        <v>Potassium - Generic</v>
      </c>
      <c r="E30" s="28">
        <f>INDEX(Table_MN_j_f,13,4)</f>
        <v>0</v>
      </c>
      <c r="F30" s="28" t="str" cm="1">
        <f t="array" ref="F30">Common_InputFunctions.Utility_LookupValueInTable(D30, Table_Fertiliser_ChemicalCompounds[Fertiliser type f],Table_Fertiliser_ChemicalCompounds[Basis])</f>
        <v>Other fertilisers</v>
      </c>
      <c r="G30" s="28" cm="1">
        <f t="array" ref="G30">Common_InputFunctions.Utility_LookupValueInTableNumber(F30, Table_SourceData_Fertiliser_FracGASF[Fertiliser type f],Table_SourceData_Fertiliser_FracGASF[FracGASF f])</f>
        <v>0.11</v>
      </c>
      <c r="H30" s="28">
        <f>(E30 * G30)</f>
        <v>0</v>
      </c>
    </row>
    <row r="31" spans="1:8" ht="20.100000000000001" customHeight="1" x14ac:dyDescent="0.2">
      <c r="D31" s="28" t="str">
        <v>Sulfur - Generic</v>
      </c>
      <c r="E31" s="28">
        <f>INDEX(Table_MN_j_f,14,4)</f>
        <v>0</v>
      </c>
      <c r="F31" s="28" t="str" cm="1">
        <f t="array" ref="F31">Common_InputFunctions.Utility_LookupValueInTable(D31, Table_Fertiliser_ChemicalCompounds[Fertiliser type f],Table_Fertiliser_ChemicalCompounds[Basis])</f>
        <v>Other fertilisers</v>
      </c>
      <c r="G31" s="28" cm="1">
        <f t="array" ref="G31">Common_InputFunctions.Utility_LookupValueInTableNumber(F31, Table_SourceData_Fertiliser_FracGASF[Fertiliser type f],Table_SourceData_Fertiliser_FracGASF[FracGASF f])</f>
        <v>0.11</v>
      </c>
      <c r="H31" s="28">
        <f>(E31 * G31)</f>
        <v>0</v>
      </c>
    </row>
    <row r="32" spans="1:8" ht="20.100000000000001" customHeight="1" x14ac:dyDescent="0.2">
      <c r="D32" s="28" t="str">
        <v>Zinc - Generic</v>
      </c>
      <c r="E32" s="28">
        <f>INDEX(Table_MN_j_f,15,4)</f>
        <v>0</v>
      </c>
      <c r="F32" s="28" t="str" cm="1">
        <f t="array" ref="F32">Common_InputFunctions.Utility_LookupValueInTable(D32, Table_Fertiliser_ChemicalCompounds[Fertiliser type f],Table_Fertiliser_ChemicalCompounds[Basis])</f>
        <v>Other fertilisers</v>
      </c>
      <c r="G32" s="28" cm="1">
        <f t="array" ref="G32">Common_InputFunctions.Utility_LookupValueInTableNumber(F32, Table_SourceData_Fertiliser_FracGASF[Fertiliser type f],Table_SourceData_Fertiliser_FracGASF[FracGASF f])</f>
        <v>0.11</v>
      </c>
      <c r="H32" s="28">
        <f>(E32 * G32)</f>
        <v>0</v>
      </c>
    </row>
    <row r="33" spans="1:12" ht="20.100000000000001" customHeight="1" x14ac:dyDescent="0.2">
      <c r="D33" s="28" t="str">
        <v>Muriate of potash (MOP)</v>
      </c>
      <c r="E33" s="28">
        <f>INDEX(Table_MN_j_f,16,4)</f>
        <v>0</v>
      </c>
      <c r="F33" s="28" t="str" cm="1">
        <f t="array" ref="F33">Common_InputFunctions.Utility_LookupValueInTable(D33, Table_Fertiliser_ChemicalCompounds[Fertiliser type f],Table_Fertiliser_ChemicalCompounds[Basis])</f>
        <v>Other fertilisers</v>
      </c>
      <c r="G33" s="28" cm="1">
        <f t="array" ref="G33">Common_InputFunctions.Utility_LookupValueInTableNumber(F33, Table_SourceData_Fertiliser_FracGASF[Fertiliser type f],Table_SourceData_Fertiliser_FracGASF[FracGASF f])</f>
        <v>0.11</v>
      </c>
      <c r="H33" s="28">
        <f>(E33 * G33)</f>
        <v>0</v>
      </c>
    </row>
    <row r="34" spans="1:12" ht="20.100000000000001" customHeight="1" x14ac:dyDescent="0.2">
      <c r="D34" s="28" t="str">
        <v>Double superphosphate</v>
      </c>
      <c r="E34" s="28">
        <f>INDEX(Table_MN_j_f,17,4)</f>
        <v>0</v>
      </c>
      <c r="F34" s="28" t="str" cm="1">
        <f t="array" ref="F34">Common_InputFunctions.Utility_LookupValueInTable(D34, Table_Fertiliser_ChemicalCompounds[Fertiliser type f],Table_Fertiliser_ChemicalCompounds[Basis])</f>
        <v>Other fertilisers</v>
      </c>
      <c r="G34" s="28" cm="1">
        <f t="array" ref="G34">Common_InputFunctions.Utility_LookupValueInTableNumber(F34, Table_SourceData_Fertiliser_FracGASF[Fertiliser type f],Table_SourceData_Fertiliser_FracGASF[FracGASF f])</f>
        <v>0.11</v>
      </c>
      <c r="H34" s="28">
        <f>(E34 * G34)</f>
        <v>0</v>
      </c>
    </row>
    <row r="35" spans="1:12" ht="20.100000000000001" customHeight="1" x14ac:dyDescent="0.2">
      <c r="D35" s="28" t="str">
        <v>Single superphosphate (SSP)</v>
      </c>
      <c r="E35" s="28">
        <f>INDEX(Table_MN_j_f,18,4)</f>
        <v>0</v>
      </c>
      <c r="F35" s="28" t="str" cm="1">
        <f t="array" ref="F35">Common_InputFunctions.Utility_LookupValueInTable(D35, Table_Fertiliser_ChemicalCompounds[Fertiliser type f],Table_Fertiliser_ChemicalCompounds[Basis])</f>
        <v>Other fertilisers</v>
      </c>
      <c r="G35" s="28" cm="1">
        <f t="array" ref="G35">Common_InputFunctions.Utility_LookupValueInTableNumber(F35, Table_SourceData_Fertiliser_FracGASF[Fertiliser type f],Table_SourceData_Fertiliser_FracGASF[FracGASF f])</f>
        <v>0.11</v>
      </c>
      <c r="H35" s="28">
        <f>(E35 * G35)</f>
        <v>0</v>
      </c>
    </row>
    <row r="36" spans="1:12" ht="20.100000000000001" customHeight="1" x14ac:dyDescent="0.2">
      <c r="D36" s="28" t="str">
        <v>Ammonia</v>
      </c>
      <c r="E36" s="28">
        <f>INDEX(Table_MN_j_f,19,4)</f>
        <v>4117.5</v>
      </c>
      <c r="F36" s="28" t="str" cm="1">
        <f t="array" ref="F36">Common_InputFunctions.Utility_LookupValueInTable(D36, Table_Fertiliser_ChemicalCompounds[Fertiliser type f],Table_Fertiliser_ChemicalCompounds[Basis])</f>
        <v>Ammonium-based fertilisers</v>
      </c>
      <c r="G36" s="28" cm="1">
        <f t="array" ref="G36">Common_InputFunctions.Utility_LookupValueInTableNumber(F36, Table_SourceData_Fertiliser_FracGASF[Fertiliser type f],Table_SourceData_Fertiliser_FracGASF[FracGASF f])</f>
        <v>0.08</v>
      </c>
      <c r="H36" s="28">
        <f>(E36 * G36)</f>
        <v>329.40000000000003</v>
      </c>
    </row>
    <row r="37" spans="1:12" ht="20.100000000000001" customHeight="1" x14ac:dyDescent="0.2">
      <c r="D37" s="28" t="str">
        <v>Calcium nitrate</v>
      </c>
      <c r="E37" s="28">
        <f>INDEX(Table_MN_j_f,20,4)</f>
        <v>775</v>
      </c>
      <c r="F37" s="28" t="str" cm="1">
        <f t="array" ref="F37">Common_InputFunctions.Utility_LookupValueInTable(D37, Table_Fertiliser_ChemicalCompounds[Fertiliser type f],Table_Fertiliser_ChemicalCompounds[Basis])</f>
        <v>Nitrate-based fertilisers</v>
      </c>
      <c r="G37" s="28" cm="1">
        <f t="array" ref="G37">Common_InputFunctions.Utility_LookupValueInTableNumber(F37, Table_SourceData_Fertiliser_FracGASF[Fertiliser type f],Table_SourceData_Fertiliser_FracGASF[FracGASF f])</f>
        <v>0.01</v>
      </c>
      <c r="H37" s="28">
        <f>(E37 * G37)</f>
        <v>7.75</v>
      </c>
    </row>
    <row r="40" spans="1:12" ht="20.100000000000001" customHeight="1" x14ac:dyDescent="0.2">
      <c r="A40" s="167" t="str">
        <f>HYPERLINK("#A1", "▲ Back to top")</f>
        <v>▲ Back to top</v>
      </c>
      <c r="C40" s="112"/>
      <c r="D40" s="112"/>
      <c r="E40" s="112"/>
      <c r="F40" s="112"/>
      <c r="G40" s="112"/>
      <c r="H40" s="112"/>
      <c r="I40" s="112"/>
      <c r="J40" s="112"/>
      <c r="K40" s="112"/>
      <c r="L40" s="112"/>
    </row>
    <row r="41" spans="1:12" ht="20.100000000000001" customHeight="1" x14ac:dyDescent="0.2">
      <c r="D41" s="16" t="s">
        <v>580</v>
      </c>
    </row>
    <row r="42" spans="1:12" ht="20.100000000000001" customHeight="1" x14ac:dyDescent="0.2">
      <c r="D42" s="18" t="s">
        <v>581</v>
      </c>
    </row>
    <row r="43" spans="1:12" ht="20.100000000000001" customHeight="1" x14ac:dyDescent="0.2">
      <c r="D43" s="83"/>
      <c r="E43" s="83"/>
    </row>
    <row r="46" spans="1:12" ht="20.100000000000001" customHeight="1" x14ac:dyDescent="0.2">
      <c r="D46" s="69" t="s">
        <v>224</v>
      </c>
      <c r="E46" s="15" t="s">
        <v>582</v>
      </c>
    </row>
    <row r="47" spans="1:12" ht="20.100000000000001" customHeight="1" x14ac:dyDescent="0.2">
      <c r="D47" s="69" t="s">
        <v>229</v>
      </c>
      <c r="E47" s="20" t="s">
        <v>498</v>
      </c>
    </row>
    <row r="49" spans="4:10" ht="20.100000000000001" customHeight="1" x14ac:dyDescent="0.2">
      <c r="D49" s="105" t="s">
        <v>575</v>
      </c>
      <c r="E49" s="98" t="s">
        <v>583</v>
      </c>
      <c r="F49" s="113"/>
      <c r="G49" s="114"/>
      <c r="H49" s="105" t="s">
        <v>479</v>
      </c>
      <c r="I49" s="91" t="s">
        <v>588</v>
      </c>
      <c r="J49" s="92" t="str" cm="1">
        <f t="array" aca="1" ref="J49" ca="1">HYPERLINK(Common_InputFunctions.Utility_SourceHyperlink($D$16),$D$16)</f>
        <v>Table_M_vol_inorganic_j_f</v>
      </c>
    </row>
    <row r="50" spans="4:10" ht="20.100000000000001" customHeight="1" x14ac:dyDescent="0.2">
      <c r="D50" s="105" t="s">
        <v>584</v>
      </c>
      <c r="E50" s="98" t="s">
        <v>585</v>
      </c>
      <c r="F50" s="113"/>
      <c r="G50" s="114"/>
      <c r="H50" s="105" t="s">
        <v>554</v>
      </c>
      <c r="I50" s="91" t="s">
        <v>485</v>
      </c>
      <c r="J50" s="105">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4:10" ht="20.100000000000001" customHeight="1" x14ac:dyDescent="0.2">
      <c r="D51" s="105" t="s">
        <v>502</v>
      </c>
      <c r="E51" s="98" t="s">
        <v>503</v>
      </c>
      <c r="F51" s="113"/>
      <c r="G51" s="114"/>
      <c r="H51" s="105"/>
      <c r="I51" s="91" t="s">
        <v>485</v>
      </c>
      <c r="J51" s="88">
        <f>Common_InputFunctions.Utility_LookupValueInTableNumber("N2O",Table_GasToMolecularConversionFactor[Gas],Table_GasToMolecularConversionFactor[Conversion factor combined])</f>
        <v>1.5714285714285714</v>
      </c>
    </row>
    <row r="52" spans="4:10" ht="20.100000000000001" customHeight="1" x14ac:dyDescent="0.2">
      <c r="D52" s="105" t="s">
        <v>504</v>
      </c>
      <c r="E52" s="98" t="s">
        <v>137</v>
      </c>
      <c r="F52" s="113"/>
      <c r="G52" s="114"/>
      <c r="H52" s="105"/>
      <c r="I52" s="90" t="s">
        <v>80</v>
      </c>
      <c r="J52" s="105" t="str">
        <f>X_Cell_Fertiliser_ProductionSystem</f>
        <v>Crop</v>
      </c>
    </row>
    <row r="53" spans="4:10" ht="20.100000000000001" customHeight="1" x14ac:dyDescent="0.2">
      <c r="D53" s="105" t="s">
        <v>505</v>
      </c>
      <c r="E53" s="98" t="s">
        <v>506</v>
      </c>
      <c r="F53" s="113"/>
      <c r="G53" s="114"/>
      <c r="H53" s="105"/>
      <c r="I53" s="90" t="s">
        <v>80</v>
      </c>
      <c r="J53" s="105" t="str">
        <f>X_Cell_Fertiliser_IrrigationMethod</f>
        <v>Drip irrigation</v>
      </c>
    </row>
    <row r="54" spans="4:10" ht="20.100000000000001" customHeight="1" x14ac:dyDescent="0.2">
      <c r="D54" s="105" t="s">
        <v>586</v>
      </c>
      <c r="E54" s="98" t="s">
        <v>587</v>
      </c>
      <c r="F54" s="113"/>
      <c r="G54" s="114"/>
      <c r="H54" s="105"/>
      <c r="I54" s="90" t="s">
        <v>80</v>
      </c>
      <c r="J54" s="105" t="str">
        <f>X_Cell_Site_RainfallZone</f>
        <v>Low rainfall</v>
      </c>
    </row>
    <row r="56" spans="4:10" ht="20.100000000000001" customHeight="1" x14ac:dyDescent="0.2">
      <c r="D56" s="84" t="s">
        <v>293</v>
      </c>
    </row>
    <row r="57" spans="4:10" ht="20.100000000000001" customHeight="1" x14ac:dyDescent="0.2">
      <c r="D57" s="85" t="s">
        <v>294</v>
      </c>
    </row>
    <row r="58" spans="4:10" ht="20.100000000000001" customHeight="1" x14ac:dyDescent="0.2">
      <c r="D58" s="87" t="s">
        <v>288</v>
      </c>
      <c r="E58" s="118" t="s">
        <v>292</v>
      </c>
      <c r="F58" s="118" t="s">
        <v>295</v>
      </c>
    </row>
    <row r="59" spans="4:10" ht="20.100000000000001" customHeight="1" x14ac:dyDescent="0.2">
      <c r="D59" s="28" t="str" cm="1">
        <f t="array" ref="D59:D77">Table_Fertiliser_ChemicalCompounds[Fertiliser type f]</f>
        <v>Monoammonium phosphate (MAP)</v>
      </c>
      <c r="E59" s="28">
        <f t="shared" ref="E59:E77" si="0">H19</f>
        <v>0</v>
      </c>
      <c r="F59" s="28">
        <f>((E59 * $J$50) * $J$51 * 10 ^ -3)</f>
        <v>0</v>
      </c>
      <c r="G59" s="32" t="str">
        <f>E47</f>
        <v>t N2O</v>
      </c>
    </row>
    <row r="60" spans="4:10" ht="20.100000000000001" customHeight="1" x14ac:dyDescent="0.2">
      <c r="D60" s="28" t="str">
        <v>Diammonium phosphate (DAP)</v>
      </c>
      <c r="E60" s="28">
        <f t="shared" si="0"/>
        <v>0</v>
      </c>
      <c r="F60" s="28">
        <f>((E60 * $J$50) * $J$51 * 10 ^ -3)</f>
        <v>0</v>
      </c>
    </row>
    <row r="61" spans="4:10" ht="20.100000000000001" customHeight="1" x14ac:dyDescent="0.2">
      <c r="D61" s="28" t="str">
        <v>Urea</v>
      </c>
      <c r="E61" s="28">
        <f t="shared" si="0"/>
        <v>1739.99991</v>
      </c>
      <c r="F61" s="28">
        <f>((E61 * $J$50) * $J$51 * 10 ^ -3)</f>
        <v>1.9139999010000002E-2</v>
      </c>
    </row>
    <row r="62" spans="4:10" ht="20.100000000000001" customHeight="1" x14ac:dyDescent="0.2">
      <c r="D62" s="28" t="str">
        <v>Sulphate of ammonia (SOA)</v>
      </c>
      <c r="E62" s="28">
        <f t="shared" si="0"/>
        <v>0</v>
      </c>
      <c r="F62" s="28">
        <f>((E62 * $J$50) * $J$51 * 10 ^ -3)</f>
        <v>0</v>
      </c>
    </row>
    <row r="63" spans="4:10" ht="20.100000000000001" customHeight="1" x14ac:dyDescent="0.2">
      <c r="D63" s="28" t="str">
        <v>Urea-ammonium nitrate (UAN)</v>
      </c>
      <c r="E63" s="28">
        <f t="shared" si="0"/>
        <v>0</v>
      </c>
      <c r="F63" s="28">
        <f>((E63 * $J$50) * $J$51 * 10 ^ -3)</f>
        <v>0</v>
      </c>
    </row>
    <row r="64" spans="4:10" ht="20.100000000000001" customHeight="1" x14ac:dyDescent="0.2">
      <c r="D64" s="28" t="str">
        <v>Ammonium nitrate (AN)</v>
      </c>
      <c r="E64" s="28">
        <f t="shared" si="0"/>
        <v>0</v>
      </c>
      <c r="F64" s="28">
        <f>((E64 * $J$50) * $J$51 * 10 ^ -3)</f>
        <v>0</v>
      </c>
    </row>
    <row r="65" spans="1:6" ht="20.100000000000001" customHeight="1" x14ac:dyDescent="0.2">
      <c r="D65" s="28" t="str">
        <v>Calcium ammonium nitrate (CAN)</v>
      </c>
      <c r="E65" s="28">
        <f t="shared" si="0"/>
        <v>0</v>
      </c>
      <c r="F65" s="28">
        <f>((E65 * $J$50) * $J$51 * 10 ^ -3)</f>
        <v>0</v>
      </c>
    </row>
    <row r="66" spans="1:6" ht="20.100000000000001" customHeight="1" x14ac:dyDescent="0.2">
      <c r="D66" s="28" t="str">
        <v>Nitrogen - Ammoniacal</v>
      </c>
      <c r="E66" s="28">
        <f t="shared" si="0"/>
        <v>99.2</v>
      </c>
      <c r="F66" s="28">
        <f>((E66 * $J$50) * $J$51 * 10 ^ -3)</f>
        <v>1.0912000000000001E-3</v>
      </c>
    </row>
    <row r="67" spans="1:6" ht="20.100000000000001" customHeight="1" x14ac:dyDescent="0.2">
      <c r="D67" s="28" t="str">
        <v>Nitrogen - Nitrate</v>
      </c>
      <c r="E67" s="28">
        <f t="shared" si="0"/>
        <v>5.5</v>
      </c>
      <c r="F67" s="28">
        <f>((E67 * $J$50) * $J$51 * 10 ^ -3)</f>
        <v>6.05E-5</v>
      </c>
    </row>
    <row r="68" spans="1:6" ht="20.100000000000001" customHeight="1" x14ac:dyDescent="0.2">
      <c r="D68" s="28" t="str">
        <v>Nitrogen - Generic</v>
      </c>
      <c r="E68" s="28">
        <f t="shared" si="0"/>
        <v>0</v>
      </c>
      <c r="F68" s="28">
        <f>((E68 * $J$50) * $J$51 * 10 ^ -3)</f>
        <v>0</v>
      </c>
    </row>
    <row r="69" spans="1:6" ht="20.100000000000001" customHeight="1" x14ac:dyDescent="0.2">
      <c r="D69" s="28" t="str">
        <v>Phosphorus - Generic</v>
      </c>
      <c r="E69" s="28">
        <f t="shared" si="0"/>
        <v>0</v>
      </c>
      <c r="F69" s="28">
        <f>((E69 * $J$50) * $J$51 * 10 ^ -3)</f>
        <v>0</v>
      </c>
    </row>
    <row r="70" spans="1:6" ht="20.100000000000001" customHeight="1" x14ac:dyDescent="0.2">
      <c r="A70" s="167" t="str">
        <f>HYPERLINK("#A1", "▲ Back to top")</f>
        <v>▲ Back to top</v>
      </c>
      <c r="D70" s="28" t="str">
        <v>Potassium - Generic</v>
      </c>
      <c r="E70" s="28">
        <f t="shared" si="0"/>
        <v>0</v>
      </c>
      <c r="F70" s="28">
        <f>((E70 * $J$50) * $J$51 * 10 ^ -3)</f>
        <v>0</v>
      </c>
    </row>
    <row r="71" spans="1:6" ht="20.100000000000001" customHeight="1" x14ac:dyDescent="0.2">
      <c r="D71" s="28" t="str">
        <v>Sulfur - Generic</v>
      </c>
      <c r="E71" s="28">
        <f t="shared" si="0"/>
        <v>0</v>
      </c>
      <c r="F71" s="28">
        <f>((E71 * $J$50) * $J$51 * 10 ^ -3)</f>
        <v>0</v>
      </c>
    </row>
    <row r="72" spans="1:6" ht="20.100000000000001" customHeight="1" x14ac:dyDescent="0.2">
      <c r="D72" s="28" t="str">
        <v>Zinc - Generic</v>
      </c>
      <c r="E72" s="28">
        <f t="shared" si="0"/>
        <v>0</v>
      </c>
      <c r="F72" s="28">
        <f>((E72 * $J$50) * $J$51 * 10 ^ -3)</f>
        <v>0</v>
      </c>
    </row>
    <row r="73" spans="1:6" ht="20.100000000000001" customHeight="1" x14ac:dyDescent="0.2">
      <c r="D73" s="28" t="str">
        <v>Muriate of potash (MOP)</v>
      </c>
      <c r="E73" s="28">
        <f t="shared" si="0"/>
        <v>0</v>
      </c>
      <c r="F73" s="28">
        <f>((E73 * $J$50) * $J$51 * 10 ^ -3)</f>
        <v>0</v>
      </c>
    </row>
    <row r="74" spans="1:6" ht="20.100000000000001" customHeight="1" x14ac:dyDescent="0.2">
      <c r="D74" s="28" t="str">
        <v>Double superphosphate</v>
      </c>
      <c r="E74" s="28">
        <f t="shared" si="0"/>
        <v>0</v>
      </c>
      <c r="F74" s="28">
        <f>((E74 * $J$50) * $J$51 * 10 ^ -3)</f>
        <v>0</v>
      </c>
    </row>
    <row r="75" spans="1:6" ht="20.100000000000001" customHeight="1" x14ac:dyDescent="0.2">
      <c r="D75" s="28" t="str">
        <v>Single superphosphate (SSP)</v>
      </c>
      <c r="E75" s="28">
        <f t="shared" si="0"/>
        <v>0</v>
      </c>
      <c r="F75" s="28">
        <f>((E75 * $J$50) * $J$51 * 10 ^ -3)</f>
        <v>0</v>
      </c>
    </row>
    <row r="76" spans="1:6" ht="20.100000000000001" customHeight="1" x14ac:dyDescent="0.2">
      <c r="D76" s="28" t="str">
        <v>Ammonia</v>
      </c>
      <c r="E76" s="28">
        <f t="shared" si="0"/>
        <v>329.40000000000003</v>
      </c>
      <c r="F76" s="28">
        <f>((E76 * $J$50) * $J$51 * 10 ^ -3)</f>
        <v>3.6234000000000001E-3</v>
      </c>
    </row>
    <row r="77" spans="1:6" ht="20.100000000000001" customHeight="1" x14ac:dyDescent="0.2">
      <c r="D77" s="28" t="str">
        <v>Calcium nitrate</v>
      </c>
      <c r="E77" s="28">
        <f t="shared" si="0"/>
        <v>7.75</v>
      </c>
      <c r="F77" s="28">
        <f>((E77 * $J$50) * $J$51 * 10 ^ -3)</f>
        <v>8.5249999999999999E-5</v>
      </c>
    </row>
    <row r="79" spans="1:6" ht="20.100000000000001" customHeight="1" x14ac:dyDescent="0.2">
      <c r="D79" s="100" t="s">
        <v>296</v>
      </c>
      <c r="E79" s="101">
        <f>SUM(F59:F77)</f>
        <v>2.4000349010000002E-2</v>
      </c>
      <c r="F79" s="102" t="str">
        <f>$E$47</f>
        <v>t N2O</v>
      </c>
    </row>
    <row r="81" spans="3:12" ht="20.100000000000001" customHeight="1" x14ac:dyDescent="0.2">
      <c r="D81" s="88" t="str" cm="1">
        <f t="array" ref="D81:E82">Common_Equations.Common_ConvertN2OToCO2e_Arguments()</f>
        <v>EN2O</v>
      </c>
      <c r="E81" s="89" t="str">
        <v>Nitrous oxide emissions (t N2O)</v>
      </c>
      <c r="F81" s="103"/>
      <c r="G81" s="28">
        <f>VEERG_5_4_1_1__1_InorganicFertiliserAtmosphericDepositionN2OEmissions_Result_Method1</f>
        <v>2.4000349010000002E-2</v>
      </c>
    </row>
    <row r="82" spans="3:12" ht="20.100000000000001" customHeight="1" x14ac:dyDescent="0.2">
      <c r="D82" s="88" t="str">
        <v>GWPN2O</v>
      </c>
      <c r="E82" s="89" t="str">
        <v>Global warming potential for nitrous oxide (t CO2-e / t N2O)</v>
      </c>
      <c r="F82" s="103"/>
      <c r="G82" s="28">
        <f>Common_InputFunctions.Utility_LookupValueInTableNumber("N2O",Table_GWPData[Gas],Table_GWPData[CO2-e factor])</f>
        <v>265</v>
      </c>
    </row>
    <row r="84" spans="3:12" ht="20.100000000000001" customHeight="1" x14ac:dyDescent="0.2">
      <c r="D84" s="96" t="s">
        <v>249</v>
      </c>
      <c r="E84" s="96" cm="1">
        <f t="array" ref="E84">Common_Equations.Common_ConvertN2OToCO2e(G81,G82)</f>
        <v>6.3600924876500002</v>
      </c>
      <c r="F84" s="104" t="str" cm="1">
        <f t="array" ref="F84">Common_Equations.Common_ConvertN2OToCO2e_Unit()</f>
        <v>t CO2e</v>
      </c>
    </row>
    <row r="87" spans="3:12" ht="20.100000000000001" customHeight="1" x14ac:dyDescent="0.2">
      <c r="C87" s="112"/>
      <c r="D87" s="112"/>
      <c r="E87" s="112"/>
      <c r="F87" s="112"/>
      <c r="G87" s="112"/>
      <c r="H87" s="112"/>
      <c r="I87" s="112"/>
      <c r="J87" s="112"/>
      <c r="K87" s="112"/>
      <c r="L87" s="112"/>
    </row>
    <row r="88" spans="3:12" ht="20.100000000000001" customHeight="1" x14ac:dyDescent="0.2">
      <c r="D88" s="16" t="s">
        <v>589</v>
      </c>
    </row>
    <row r="89" spans="3:12" ht="20.100000000000001" customHeight="1" x14ac:dyDescent="0.2">
      <c r="D89" s="18" t="s">
        <v>590</v>
      </c>
    </row>
    <row r="90" spans="3:12" ht="20.100000000000001" customHeight="1" x14ac:dyDescent="0.2">
      <c r="D90" s="83"/>
      <c r="E90" s="83"/>
    </row>
    <row r="93" spans="3:12" ht="20.100000000000001" customHeight="1" x14ac:dyDescent="0.2">
      <c r="D93" s="69" t="s">
        <v>224</v>
      </c>
      <c r="E93" s="15" t="s">
        <v>591</v>
      </c>
    </row>
    <row r="94" spans="3:12" ht="20.100000000000001" customHeight="1" x14ac:dyDescent="0.2">
      <c r="D94" s="69" t="s">
        <v>229</v>
      </c>
      <c r="E94" s="20" t="s">
        <v>479</v>
      </c>
    </row>
    <row r="96" spans="3:12" ht="20.100000000000001" customHeight="1" x14ac:dyDescent="0.2">
      <c r="D96" s="105" t="s">
        <v>542</v>
      </c>
      <c r="E96" s="105" t="s">
        <v>549</v>
      </c>
      <c r="F96" s="105"/>
      <c r="G96" s="105" t="s">
        <v>479</v>
      </c>
      <c r="H96" s="91" t="s">
        <v>553</v>
      </c>
      <c r="I96" s="92" t="str" cm="1">
        <f t="array" aca="1" ref="I96" ca="1">HYPERLINK(Common_InputFunctions.Utility_SourceHyperlink($D$99), $D$99)</f>
        <v>Table_M_vol_organic_j_f</v>
      </c>
    </row>
    <row r="97" spans="1:9" ht="20.100000000000001" customHeight="1" x14ac:dyDescent="0.2">
      <c r="D97" s="105" t="s">
        <v>592</v>
      </c>
      <c r="E97" s="105" t="s">
        <v>593</v>
      </c>
      <c r="F97" s="105"/>
      <c r="G97" s="105" t="s">
        <v>579</v>
      </c>
      <c r="H97" s="91" t="s">
        <v>485</v>
      </c>
      <c r="I97" s="105">
        <f>Fertiliser_FracGASMSoil_Data</f>
        <v>0.21</v>
      </c>
    </row>
    <row r="99" spans="1:9" ht="20.100000000000001" customHeight="1" x14ac:dyDescent="0.2">
      <c r="D99" s="84" t="s">
        <v>297</v>
      </c>
    </row>
    <row r="100" spans="1:9" ht="20.100000000000001" customHeight="1" x14ac:dyDescent="0.2">
      <c r="A100" s="167" t="str">
        <f>HYPERLINK("#A1", "▲ Back to top")</f>
        <v>▲ Back to top</v>
      </c>
      <c r="D100" s="85" t="s">
        <v>298</v>
      </c>
    </row>
    <row r="101" spans="1:9" ht="20.100000000000001" customHeight="1" x14ac:dyDescent="0.2">
      <c r="D101" s="25" t="s">
        <v>270</v>
      </c>
      <c r="E101" s="107" t="s">
        <v>274</v>
      </c>
      <c r="F101" s="107" t="s">
        <v>299</v>
      </c>
    </row>
    <row r="102" spans="1:9" ht="20.100000000000001" customHeight="1" x14ac:dyDescent="0.2">
      <c r="D102" s="28" t="str" cm="1">
        <f t="array" ref="D102:D104">Table_Input_OrganicFertiliser[Organic fertiliser type (select)]</f>
        <v>Manure - Other</v>
      </c>
      <c r="E102" s="28">
        <f>INDEX(Table_MNSoil_j_f,2,6)</f>
        <v>300</v>
      </c>
      <c r="F102" s="28">
        <f>(E102 * $I$97)</f>
        <v>63</v>
      </c>
      <c r="G102" s="32" t="str">
        <f>$E$94</f>
        <v>kg N</v>
      </c>
    </row>
    <row r="103" spans="1:9" ht="20.100000000000001" customHeight="1" x14ac:dyDescent="0.2">
      <c r="D103" s="28" t="str">
        <v>Manure - Poultry</v>
      </c>
      <c r="E103" s="28">
        <f>INDEX(Table_MNSoil_j_f,3,6)</f>
        <v>250</v>
      </c>
      <c r="F103" s="28">
        <f>(E103 * $I$97)</f>
        <v>52.5</v>
      </c>
    </row>
    <row r="104" spans="1:9" ht="20.100000000000001" customHeight="1" x14ac:dyDescent="0.2">
      <c r="D104" s="28" t="str">
        <v>Other organic fertiliser</v>
      </c>
      <c r="E104" s="28">
        <f>INDEX(Table_MNSoil_j_f,4,6)</f>
        <v>160</v>
      </c>
      <c r="F104" s="28">
        <f>(E104 * $I$97)</f>
        <v>33.6</v>
      </c>
    </row>
    <row r="105" spans="1:9" ht="20.100000000000001" customHeight="1" x14ac:dyDescent="0.2">
      <c r="D105" s="28"/>
      <c r="E105" s="28">
        <f>'5.2.1.1-2 Organic Fert N2O'!I23</f>
        <v>0</v>
      </c>
      <c r="F105" s="28">
        <f>(E105 * $I$97)</f>
        <v>0</v>
      </c>
    </row>
    <row r="106" spans="1:9" ht="20.100000000000001" customHeight="1" x14ac:dyDescent="0.2">
      <c r="D106" s="28"/>
      <c r="E106" s="28">
        <f>'5.2.1.1-2 Organic Fert N2O'!I24</f>
        <v>0</v>
      </c>
      <c r="F106" s="28">
        <f>(E106 * $I$97)</f>
        <v>0</v>
      </c>
    </row>
    <row r="107" spans="1:9" ht="20.100000000000001" customHeight="1" x14ac:dyDescent="0.2">
      <c r="D107" s="28"/>
      <c r="E107" s="28">
        <f>'5.2.1.1-2 Organic Fert N2O'!I25</f>
        <v>0</v>
      </c>
      <c r="F107" s="28">
        <f>(E107 * $I$97)</f>
        <v>0</v>
      </c>
    </row>
    <row r="108" spans="1:9" ht="20.100000000000001" customHeight="1" x14ac:dyDescent="0.2">
      <c r="D108" s="28"/>
      <c r="E108" s="28">
        <f>'5.2.1.1-2 Organic Fert N2O'!I26</f>
        <v>0</v>
      </c>
      <c r="F108" s="28">
        <f>(E108 * $I$97)</f>
        <v>0</v>
      </c>
    </row>
    <row r="109" spans="1:9" ht="20.100000000000001" customHeight="1" x14ac:dyDescent="0.2">
      <c r="D109" s="28"/>
      <c r="E109" s="28">
        <f>'5.2.1.1-2 Organic Fert N2O'!I27</f>
        <v>0</v>
      </c>
      <c r="F109" s="28">
        <f>(E109 * $I$97)</f>
        <v>0</v>
      </c>
    </row>
    <row r="110" spans="1:9" ht="20.100000000000001" customHeight="1" x14ac:dyDescent="0.2">
      <c r="D110" s="28"/>
      <c r="E110" s="28">
        <f>'5.2.1.1-2 Organic Fert N2O'!I28</f>
        <v>0</v>
      </c>
      <c r="F110" s="28">
        <f>(E110 * $I$97)</f>
        <v>0</v>
      </c>
    </row>
    <row r="111" spans="1:9" ht="20.100000000000001" customHeight="1" x14ac:dyDescent="0.2">
      <c r="D111" s="28"/>
      <c r="E111" s="28">
        <f>'5.2.1.1-2 Organic Fert N2O'!I29</f>
        <v>0</v>
      </c>
      <c r="F111" s="28">
        <f>(E111 * $I$97)</f>
        <v>0</v>
      </c>
    </row>
    <row r="112" spans="1:9" ht="20.100000000000001" customHeight="1" x14ac:dyDescent="0.2">
      <c r="D112" s="28"/>
      <c r="E112" s="28">
        <f>'5.2.1.1-2 Organic Fert N2O'!I30</f>
        <v>0</v>
      </c>
      <c r="F112" s="28">
        <f>(E112 * $I$97)</f>
        <v>0</v>
      </c>
    </row>
    <row r="115" spans="3:12" ht="20.100000000000001" customHeight="1" x14ac:dyDescent="0.2">
      <c r="C115" s="112"/>
      <c r="D115" s="112"/>
      <c r="E115" s="112"/>
      <c r="F115" s="112"/>
      <c r="G115" s="112"/>
      <c r="H115" s="112"/>
      <c r="I115" s="112"/>
      <c r="J115" s="112"/>
      <c r="K115" s="112"/>
      <c r="L115" s="112"/>
    </row>
    <row r="116" spans="3:12" ht="20.100000000000001" customHeight="1" x14ac:dyDescent="0.2">
      <c r="D116" s="16" t="s">
        <v>594</v>
      </c>
    </row>
    <row r="117" spans="3:12" ht="20.100000000000001" customHeight="1" x14ac:dyDescent="0.2">
      <c r="D117" s="18" t="s">
        <v>595</v>
      </c>
    </row>
    <row r="118" spans="3:12" ht="20.100000000000001" customHeight="1" x14ac:dyDescent="0.2">
      <c r="D118" s="83"/>
      <c r="E118" s="83"/>
    </row>
    <row r="121" spans="3:12" ht="20.100000000000001" customHeight="1" x14ac:dyDescent="0.2">
      <c r="D121" s="69" t="s">
        <v>224</v>
      </c>
      <c r="E121" s="15" t="s">
        <v>596</v>
      </c>
    </row>
    <row r="122" spans="3:12" ht="20.100000000000001" customHeight="1" x14ac:dyDescent="0.2">
      <c r="D122" s="69" t="s">
        <v>229</v>
      </c>
      <c r="E122" s="20" t="s">
        <v>498</v>
      </c>
    </row>
    <row r="124" spans="3:12" ht="20.100000000000001" customHeight="1" x14ac:dyDescent="0.2">
      <c r="D124" s="105" t="s">
        <v>591</v>
      </c>
      <c r="E124" s="98" t="s">
        <v>597</v>
      </c>
      <c r="F124" s="114"/>
      <c r="G124" s="105" t="s">
        <v>479</v>
      </c>
      <c r="H124" s="91" t="s">
        <v>599</v>
      </c>
      <c r="I124" s="92" t="str" cm="1">
        <f t="array" aca="1" ref="I124" ca="1">HYPERLINK(Common_InputFunctions.Utility_SourceHyperlink($D$99), $D$99)</f>
        <v>Table_M_vol_organic_j_f</v>
      </c>
    </row>
    <row r="125" spans="3:12" ht="20.100000000000001" customHeight="1" x14ac:dyDescent="0.2">
      <c r="D125" s="105" t="s">
        <v>584</v>
      </c>
      <c r="E125" s="98" t="s">
        <v>598</v>
      </c>
      <c r="F125" s="114"/>
      <c r="G125" s="105" t="s">
        <v>554</v>
      </c>
      <c r="H125" s="91" t="s">
        <v>485</v>
      </c>
      <c r="I125" s="105">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
      <c r="D126" s="105" t="s">
        <v>502</v>
      </c>
      <c r="E126" s="98" t="s">
        <v>503</v>
      </c>
      <c r="F126" s="114"/>
      <c r="G126" s="105"/>
      <c r="H126" s="91" t="s">
        <v>485</v>
      </c>
      <c r="I126" s="88">
        <f>Common_InputFunctions.Utility_LookupValueInTableNumber("N2O",Table_GasToMolecularConversionFactor[Gas],Table_GasToMolecularConversionFactor[Conversion factor combined])</f>
        <v>1.5714285714285714</v>
      </c>
    </row>
    <row r="127" spans="3:12" ht="20.100000000000001" customHeight="1" x14ac:dyDescent="0.2">
      <c r="D127" s="105" t="s">
        <v>504</v>
      </c>
      <c r="E127" s="98" t="s">
        <v>137</v>
      </c>
      <c r="F127" s="114"/>
      <c r="G127" s="105"/>
      <c r="H127" s="90" t="s">
        <v>80</v>
      </c>
      <c r="I127" s="105" t="str">
        <f>X_Cell_Fertiliser_ProductionSystem</f>
        <v>Crop</v>
      </c>
    </row>
    <row r="128" spans="3:12" ht="20.100000000000001" customHeight="1" x14ac:dyDescent="0.2">
      <c r="D128" s="105" t="s">
        <v>505</v>
      </c>
      <c r="E128" s="98" t="s">
        <v>506</v>
      </c>
      <c r="F128" s="114"/>
      <c r="G128" s="105"/>
      <c r="H128" s="90" t="s">
        <v>80</v>
      </c>
      <c r="I128" s="105" t="str">
        <f>X_Cell_Fertiliser_IrrigationMethod</f>
        <v>Drip irrigation</v>
      </c>
    </row>
    <row r="129" spans="1:9" ht="20.100000000000001" customHeight="1" x14ac:dyDescent="0.2">
      <c r="D129" s="105" t="s">
        <v>586</v>
      </c>
      <c r="E129" s="98" t="s">
        <v>587</v>
      </c>
      <c r="F129" s="114"/>
      <c r="G129" s="105"/>
      <c r="H129" s="90" t="s">
        <v>80</v>
      </c>
      <c r="I129" s="105" t="str">
        <f>X_Cell_Site_RainfallZone</f>
        <v>Low rainfall</v>
      </c>
    </row>
    <row r="130" spans="1:9" ht="20.100000000000001" customHeight="1" x14ac:dyDescent="0.2">
      <c r="A130" s="167" t="str">
        <f>HYPERLINK("#A1", "▲ Back to top")</f>
        <v>▲ Back to top</v>
      </c>
    </row>
    <row r="131" spans="1:9" ht="20.100000000000001" customHeight="1" x14ac:dyDescent="0.2">
      <c r="D131" s="84" t="s">
        <v>300</v>
      </c>
    </row>
    <row r="132" spans="1:9" ht="20.100000000000001" customHeight="1" x14ac:dyDescent="0.2">
      <c r="D132" s="85" t="s">
        <v>301</v>
      </c>
    </row>
    <row r="133" spans="1:9" ht="20.100000000000001" customHeight="1" x14ac:dyDescent="0.2">
      <c r="D133" s="25" t="s">
        <v>270</v>
      </c>
      <c r="E133" s="107" t="s">
        <v>299</v>
      </c>
      <c r="F133" s="107" t="s">
        <v>302</v>
      </c>
    </row>
    <row r="134" spans="1:9" ht="20.100000000000001" customHeight="1" x14ac:dyDescent="0.2">
      <c r="D134" s="28" t="str" cm="1">
        <f t="array" ref="D134:D136">Table_Input_OrganicFertiliser[Organic fertiliser type (select)]</f>
        <v>Manure - Other</v>
      </c>
      <c r="E134" s="28">
        <f>F102</f>
        <v>63</v>
      </c>
      <c r="F134" s="28">
        <f>((E134 * $I$125) * $I$126 * 10 ^ -3)</f>
        <v>6.9299999999999993E-4</v>
      </c>
    </row>
    <row r="135" spans="1:9" ht="20.100000000000001" customHeight="1" x14ac:dyDescent="0.2">
      <c r="D135" s="28" t="str">
        <v>Manure - Poultry</v>
      </c>
      <c r="E135" s="28">
        <f t="shared" ref="E135:E144" si="1">F103</f>
        <v>52.5</v>
      </c>
      <c r="F135" s="28">
        <f>((E135 * $I$125) * $I$126 * 10 ^ -3)</f>
        <v>5.775E-4</v>
      </c>
    </row>
    <row r="136" spans="1:9" ht="20.100000000000001" customHeight="1" x14ac:dyDescent="0.2">
      <c r="D136" s="28" t="str">
        <v>Other organic fertiliser</v>
      </c>
      <c r="E136" s="28">
        <f t="shared" si="1"/>
        <v>33.6</v>
      </c>
      <c r="F136" s="28">
        <f>((E136 * $I$125) * $I$126 * 10 ^ -3)</f>
        <v>3.6960000000000004E-4</v>
      </c>
    </row>
    <row r="137" spans="1:9" ht="20.100000000000001" customHeight="1" x14ac:dyDescent="0.2">
      <c r="D137" s="28"/>
      <c r="E137" s="28">
        <f t="shared" si="1"/>
        <v>0</v>
      </c>
      <c r="F137" s="28">
        <f>((E137 * $I$125) * $I$126 * 10 ^ -3)</f>
        <v>0</v>
      </c>
    </row>
    <row r="138" spans="1:9" ht="20.100000000000001" customHeight="1" x14ac:dyDescent="0.2">
      <c r="D138" s="28"/>
      <c r="E138" s="28">
        <f t="shared" si="1"/>
        <v>0</v>
      </c>
      <c r="F138" s="28">
        <f>((E138 * $I$125) * $I$126 * 10 ^ -3)</f>
        <v>0</v>
      </c>
    </row>
    <row r="139" spans="1:9" ht="20.100000000000001" customHeight="1" x14ac:dyDescent="0.2">
      <c r="D139" s="28"/>
      <c r="E139" s="28">
        <f t="shared" si="1"/>
        <v>0</v>
      </c>
      <c r="F139" s="28">
        <f>((E139 * $I$125) * $I$126 * 10 ^ -3)</f>
        <v>0</v>
      </c>
    </row>
    <row r="140" spans="1:9" ht="20.100000000000001" customHeight="1" x14ac:dyDescent="0.2">
      <c r="D140" s="28"/>
      <c r="E140" s="28">
        <f t="shared" si="1"/>
        <v>0</v>
      </c>
      <c r="F140" s="28">
        <f>((E140 * $I$125) * $I$126 * 10 ^ -3)</f>
        <v>0</v>
      </c>
    </row>
    <row r="141" spans="1:9" ht="20.100000000000001" customHeight="1" x14ac:dyDescent="0.2">
      <c r="D141" s="28"/>
      <c r="E141" s="28">
        <f t="shared" si="1"/>
        <v>0</v>
      </c>
      <c r="F141" s="28">
        <f>((E141 * $I$125) * $I$126 * 10 ^ -3)</f>
        <v>0</v>
      </c>
    </row>
    <row r="142" spans="1:9" ht="20.100000000000001" customHeight="1" x14ac:dyDescent="0.2">
      <c r="D142" s="28"/>
      <c r="E142" s="28">
        <f t="shared" si="1"/>
        <v>0</v>
      </c>
      <c r="F142" s="28">
        <f>((E142 * $I$125) * $I$126 * 10 ^ -3)</f>
        <v>0</v>
      </c>
    </row>
    <row r="143" spans="1:9" ht="20.100000000000001" customHeight="1" x14ac:dyDescent="0.2">
      <c r="D143" s="28"/>
      <c r="E143" s="28">
        <f t="shared" si="1"/>
        <v>0</v>
      </c>
      <c r="F143" s="28">
        <f>((E143 * $I$125) * $I$126 * 10 ^ -3)</f>
        <v>0</v>
      </c>
    </row>
    <row r="144" spans="1:9" ht="20.100000000000001" customHeight="1" x14ac:dyDescent="0.2">
      <c r="D144" s="28"/>
      <c r="E144" s="28">
        <f t="shared" si="1"/>
        <v>0</v>
      </c>
      <c r="F144" s="28">
        <f>((E144 * $I$125) * $I$126 * 10 ^ -3)</f>
        <v>0</v>
      </c>
    </row>
    <row r="146" spans="4:7" ht="20.100000000000001" customHeight="1" x14ac:dyDescent="0.2">
      <c r="D146" s="100" t="s">
        <v>303</v>
      </c>
      <c r="E146" s="101">
        <f>SUM(F134:F144)</f>
        <v>1.6401E-3</v>
      </c>
      <c r="F146" s="102" t="str">
        <f>$E$122</f>
        <v>t N2O</v>
      </c>
    </row>
    <row r="148" spans="4:7" ht="20.100000000000001" customHeight="1" x14ac:dyDescent="0.2">
      <c r="D148" s="88" t="str" cm="1">
        <f t="array" ref="D148:E149">Common_Equations.Common_ConvertN2OToCO2e_Arguments()</f>
        <v>EN2O</v>
      </c>
      <c r="E148" s="89" t="str">
        <v>Nitrous oxide emissions (t N2O)</v>
      </c>
      <c r="F148" s="103"/>
      <c r="G148" s="28">
        <f>VEERG_5_4_1_3__1_OrganicFertiliserAtmosphericDepositionN2OEmissions_Result_Method1</f>
        <v>1.6401E-3</v>
      </c>
    </row>
    <row r="149" spans="4:7" ht="20.100000000000001" customHeight="1" x14ac:dyDescent="0.2">
      <c r="D149" s="88" t="str">
        <v>GWPN2O</v>
      </c>
      <c r="E149" s="89" t="str">
        <v>Global warming potential for nitrous oxide (t CO2-e / t N2O)</v>
      </c>
      <c r="F149" s="103"/>
      <c r="G149" s="28">
        <f>Common_InputFunctions.Utility_LookupValueInTableNumber("N2O",Table_GWPData[Gas],Table_GWPData[CO2-e factor])</f>
        <v>265</v>
      </c>
    </row>
    <row r="151" spans="4:7" ht="20.100000000000001" customHeight="1" x14ac:dyDescent="0.2">
      <c r="D151" s="96" t="s">
        <v>249</v>
      </c>
      <c r="E151" s="96" cm="1">
        <f t="array" ref="E151">Common_Equations.Common_ConvertN2OToCO2e(G148,G149)</f>
        <v>0.43462650000000003</v>
      </c>
      <c r="F151" s="104" t="str" cm="1">
        <f t="array" ref="F151">Common_Equations.Common_ConvertN2OToCO2e_Unit()</f>
        <v>t CO2e</v>
      </c>
    </row>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6490C-387C-456E-92A4-3D721374FE40}">
  <sheetPr>
    <tabColor rgb="FF008000"/>
  </sheetPr>
  <dimension ref="A1:T99"/>
  <sheetViews>
    <sheetView showGridLines="0" zoomScaleNormal="100" workbookViewId="0">
      <pane xSplit="1" topLeftCell="B1" activePane="topRight" state="frozenSplit"/>
      <selection pane="topRight" activeCell="A28" sqref="A28"/>
    </sheetView>
  </sheetViews>
  <sheetFormatPr defaultRowHeight="20.100000000000001" customHeight="1" x14ac:dyDescent="0.2"/>
  <cols>
    <col min="1" max="1" width="36.7109375" customWidth="1"/>
    <col min="2" max="2" width="4.7109375" customWidth="1"/>
    <col min="3" max="3" width="4.7109375" style="15" customWidth="1"/>
    <col min="4" max="10" width="30.7109375" style="15" customWidth="1"/>
    <col min="11" max="11" width="4.7109375" style="15" customWidth="1"/>
    <col min="12" max="12" width="4.7109375" customWidth="1"/>
    <col min="13" max="13" width="4.7109375" style="15" customWidth="1"/>
    <col min="14" max="19" width="30.7109375" style="15" customWidth="1"/>
    <col min="20" max="20" width="4.7109375" style="15" customWidth="1"/>
  </cols>
  <sheetData>
    <row r="1" spans="1:20" s="8" customFormat="1" ht="30" customHeight="1" x14ac:dyDescent="0.35">
      <c r="A1" s="23" t="e" vm="1">
        <v>#VALUE!</v>
      </c>
      <c r="C1" s="8" t="s">
        <v>304</v>
      </c>
    </row>
    <row r="2" spans="1:20" s="9" customFormat="1" ht="20.100000000000001" customHeight="1" x14ac:dyDescent="0.2">
      <c r="A2"/>
    </row>
    <row r="3" spans="1:20" ht="20.100000000000001" customHeight="1" x14ac:dyDescent="0.2">
      <c r="A3" s="29" t="str">
        <f>HYPERLINK("#'Home'!A1", "Home")</f>
        <v>Home</v>
      </c>
      <c r="C3" s="12"/>
      <c r="D3" s="12" t="s">
        <v>216</v>
      </c>
      <c r="E3" s="12"/>
      <c r="F3" s="12"/>
      <c r="G3" s="12"/>
      <c r="H3" s="12"/>
      <c r="I3" s="12"/>
      <c r="J3" s="12"/>
      <c r="K3" s="12"/>
      <c r="M3" s="12"/>
      <c r="N3" s="12" t="s">
        <v>217</v>
      </c>
      <c r="O3" s="12"/>
      <c r="P3" s="12"/>
      <c r="Q3" s="12"/>
      <c r="R3" s="12"/>
      <c r="S3" s="12"/>
      <c r="T3" s="12"/>
    </row>
    <row r="5" spans="1:20" ht="20.100000000000001" customHeight="1" x14ac:dyDescent="0.2">
      <c r="D5" s="16" t="s">
        <v>600</v>
      </c>
    </row>
    <row r="6" spans="1:20" ht="20.100000000000001" customHeight="1" x14ac:dyDescent="0.2">
      <c r="A6" s="40" t="s">
        <v>148</v>
      </c>
      <c r="D6" s="18" t="s">
        <v>601</v>
      </c>
    </row>
    <row r="7" spans="1:20" ht="20.100000000000001" customHeight="1" x14ac:dyDescent="0.2">
      <c r="A7" s="29" t="str">
        <f>HYPERLINK("#'Input - Planting'!A1", "Planting")</f>
        <v>Planting</v>
      </c>
      <c r="D7" s="83"/>
      <c r="E7" s="83"/>
    </row>
    <row r="8" spans="1:20" ht="20.100000000000001" customHeight="1" x14ac:dyDescent="0.2">
      <c r="A8" s="29" t="str">
        <f>HYPERLINK("#'Input - Fertiliser'!A1", "Fertiliser")</f>
        <v>Fertiliser</v>
      </c>
    </row>
    <row r="9" spans="1:20" ht="20.100000000000001" customHeight="1" x14ac:dyDescent="0.2">
      <c r="A9" s="29" t="str">
        <f>HYPERLINK("#'Input - Fuel'!A1", "Fuel")</f>
        <v>Fuel</v>
      </c>
    </row>
    <row r="10" spans="1:20" ht="20.100000000000001" customHeight="1" x14ac:dyDescent="0.2">
      <c r="A10" s="29" t="str">
        <f>HYPERLINK("#'Input - Fert Prod System'!A1", "Fert Prod System")</f>
        <v>Fert Prod System</v>
      </c>
      <c r="D10" s="69" t="s">
        <v>224</v>
      </c>
      <c r="E10" s="15" t="s">
        <v>602</v>
      </c>
    </row>
    <row r="11" spans="1:20" ht="20.100000000000001" customHeight="1" x14ac:dyDescent="0.2">
      <c r="A11" s="29" t="str">
        <f>HYPERLINK("#'Input - Site'!A1", "Site")</f>
        <v>Site</v>
      </c>
      <c r="D11" s="69" t="s">
        <v>229</v>
      </c>
      <c r="E11" s="20" t="s">
        <v>479</v>
      </c>
    </row>
    <row r="12" spans="1:20" ht="20.100000000000001" customHeight="1" x14ac:dyDescent="0.2">
      <c r="A12" s="29" t="str">
        <f>HYPERLINK("#'Input - Data quality'!A1", "Data quality")</f>
        <v>Data quality</v>
      </c>
    </row>
    <row r="13" spans="1:20" ht="20.100000000000001" customHeight="1" x14ac:dyDescent="0.2">
      <c r="D13" s="105" t="s">
        <v>478</v>
      </c>
      <c r="E13" s="98" t="s">
        <v>603</v>
      </c>
      <c r="F13" s="114"/>
      <c r="G13" s="105" t="s">
        <v>479</v>
      </c>
      <c r="H13" s="91" t="s">
        <v>509</v>
      </c>
      <c r="I13" s="92" t="str" cm="1">
        <f t="array" aca="1" ref="I13" ca="1">HYPERLINK(Common_InputFunctions.Utility_SourceHyperlink(D20), D20)</f>
        <v>Table_M_leach_inorganic_j</v>
      </c>
    </row>
    <row r="14" spans="1:20" ht="20.100000000000001" customHeight="1" x14ac:dyDescent="0.2">
      <c r="D14" s="105" t="s">
        <v>604</v>
      </c>
      <c r="E14" s="98" t="s">
        <v>605</v>
      </c>
      <c r="F14" s="114"/>
      <c r="G14" s="105" t="s">
        <v>571</v>
      </c>
      <c r="H14" s="91" t="s">
        <v>485</v>
      </c>
      <c r="I14" s="105">
        <f>Common_InputFunctions.CommonCropping_GetFracWET(I16,I18,Table_SourceData_FracWET[Is in leaching zone],Table_SourceData_FracWET[FracWET],Table_SourceData_FracWETIrrigation[Irrigation type i],Table_SourceData_FracWETIrrigation[FracWET])</f>
        <v>1</v>
      </c>
    </row>
    <row r="15" spans="1:20" ht="20.100000000000001" customHeight="1" x14ac:dyDescent="0.2">
      <c r="A15" s="53" t="s">
        <v>175</v>
      </c>
      <c r="D15" s="105" t="s">
        <v>606</v>
      </c>
      <c r="E15" s="98" t="s">
        <v>607</v>
      </c>
      <c r="F15" s="114"/>
      <c r="G15" s="105" t="s">
        <v>571</v>
      </c>
      <c r="H15" s="91" t="s">
        <v>485</v>
      </c>
      <c r="I15" s="105">
        <f>Fertiliser_FracLEACH_Data</f>
        <v>0.24</v>
      </c>
    </row>
    <row r="16" spans="1:20" ht="20.100000000000001" customHeight="1" x14ac:dyDescent="0.2">
      <c r="A16" s="29" t="str">
        <f>HYPERLINK("#'5.1.1.1-2 Inorganic fert N2O'!A1", "5.1.1.1-2 Inorganic fert N2O")</f>
        <v>5.1.1.1-2 Inorganic fert N2O</v>
      </c>
      <c r="D16" s="105" t="s">
        <v>507</v>
      </c>
      <c r="E16" s="98" t="s">
        <v>608</v>
      </c>
      <c r="F16" s="114"/>
      <c r="G16" s="105"/>
      <c r="H16" s="90" t="s">
        <v>80</v>
      </c>
      <c r="I16" s="105" t="str">
        <f>X_Cell_Site_LeachingZone</f>
        <v>YES - In leaching zone</v>
      </c>
    </row>
    <row r="17" spans="1:9" ht="20.100000000000001" customHeight="1" x14ac:dyDescent="0.2">
      <c r="A17" s="29" t="str">
        <f>HYPERLINK("#'5.1.1.3-4 Inorganic fert CO2'!A1", "5.1.1.3-4 Inorganic fert CO2")</f>
        <v>5.1.1.3-4 Inorganic fert CO2</v>
      </c>
      <c r="D17" s="105" t="s">
        <v>504</v>
      </c>
      <c r="E17" s="98" t="s">
        <v>609</v>
      </c>
      <c r="F17" s="114"/>
      <c r="G17" s="105"/>
      <c r="H17" s="90" t="s">
        <v>80</v>
      </c>
      <c r="I17" s="105" t="str">
        <f>X_Cell_Fertiliser_ProductionSystem</f>
        <v>Crop</v>
      </c>
    </row>
    <row r="18" spans="1:9" ht="20.100000000000001" customHeight="1" x14ac:dyDescent="0.2">
      <c r="A18" s="29" t="str">
        <f>HYPERLINK("#'5.2.1.1-2 Organic Fert N2O'!A1", "5.2.1.1-2 Organic fert N2O")</f>
        <v>5.2.1.1-2 Organic fert N2O</v>
      </c>
      <c r="D18" s="105" t="s">
        <v>505</v>
      </c>
      <c r="E18" s="98" t="s">
        <v>506</v>
      </c>
      <c r="F18" s="114"/>
      <c r="G18" s="105"/>
      <c r="H18" s="90" t="s">
        <v>80</v>
      </c>
      <c r="I18" s="105" t="str">
        <f>X_Cell_Fertiliser_IrrigationMethod</f>
        <v>Drip irrigation</v>
      </c>
    </row>
    <row r="19" spans="1:9" ht="20.100000000000001" customHeight="1" x14ac:dyDescent="0.2">
      <c r="A19" s="29" t="str">
        <f>HYPERLINK("#'5.3.1.1-2 Lime CO2'!A1", "5.3.1.1-2 Lime CO2")</f>
        <v>5.3.1.1-2 Lime CO2</v>
      </c>
    </row>
    <row r="20" spans="1:9" ht="20.100000000000001" customHeight="1" x14ac:dyDescent="0.2">
      <c r="A20" s="29" t="str">
        <f>HYPERLINK("#'5.4.1.1-4 Atmos deposition'!A1", "5.4.1.1-4 Atmos. deposition")</f>
        <v>5.4.1.1-4 Atmos. deposition</v>
      </c>
      <c r="D20" s="84" t="s">
        <v>305</v>
      </c>
    </row>
    <row r="21" spans="1:9" ht="20.100000000000001" customHeight="1" x14ac:dyDescent="0.2">
      <c r="A21" s="93" t="str">
        <f>HYPERLINK("#'5.5.1.1-2 Leaching and runoff'!A1", "5.5.1.1-2 Leaching &amp; runoff")</f>
        <v>5.5.1.1-2 Leaching &amp; runoff</v>
      </c>
      <c r="D21" s="85" t="s">
        <v>306</v>
      </c>
    </row>
    <row r="22" spans="1:9" ht="20.100000000000001" customHeight="1" x14ac:dyDescent="0.2">
      <c r="A22" s="29" t="str">
        <f>HYPERLINK("#'8.1.1.1-2 Transport fuel'!A1", "8.1.1.1-2 Transport fuel")</f>
        <v>8.1.1.1-2 Transport fuel</v>
      </c>
      <c r="D22" s="87" t="s">
        <v>233</v>
      </c>
      <c r="E22" s="87" t="s">
        <v>289</v>
      </c>
      <c r="F22" s="87" t="s">
        <v>307</v>
      </c>
    </row>
    <row r="23" spans="1:9" ht="20.100000000000001" customHeight="1" x14ac:dyDescent="0.2">
      <c r="A23" s="29" t="str">
        <f>HYPERLINK("#'8.2.1.1-2 Stationary fuel'!A1", "8.2.1.1-2 Stationary fuel")</f>
        <v>8.2.1.1-2 Stationary fuel</v>
      </c>
      <c r="D23" s="28" t="str" cm="1">
        <f t="array" ref="D23:D41">Table_Fertiliser_ChemicalCompounds[Fertiliser type f]</f>
        <v>Monoammonium phosphate (MAP)</v>
      </c>
      <c r="E23" s="28">
        <f>INDEX(Table_MN_j_f,2,4)</f>
        <v>0</v>
      </c>
      <c r="F23" s="28">
        <f>(E23 * $I$14 * $I$15)</f>
        <v>0</v>
      </c>
    </row>
    <row r="24" spans="1:9" ht="20.100000000000001" customHeight="1" x14ac:dyDescent="0.2">
      <c r="D24" s="28" t="str">
        <v>Diammonium phosphate (DAP)</v>
      </c>
      <c r="E24" s="28">
        <f>INDEX(Table_MN_j_f,3,4)</f>
        <v>0</v>
      </c>
      <c r="F24" s="28">
        <f>(E24 * $I$14 * $I$15)</f>
        <v>0</v>
      </c>
    </row>
    <row r="25" spans="1:9" ht="20.100000000000001" customHeight="1" x14ac:dyDescent="0.2">
      <c r="D25" s="28" t="str">
        <v>Urea</v>
      </c>
      <c r="E25" s="28">
        <f>INDEX(Table_MN_j_f,4,4)</f>
        <v>11599.999400000001</v>
      </c>
      <c r="F25" s="28">
        <f>(E25 * $I$14 * $I$15)</f>
        <v>2783.9998559999999</v>
      </c>
    </row>
    <row r="26" spans="1:9" ht="20.100000000000001" customHeight="1" x14ac:dyDescent="0.2">
      <c r="A26" s="30" t="s">
        <v>91</v>
      </c>
      <c r="D26" s="28" t="str">
        <v>Sulphate of ammonia (SOA)</v>
      </c>
      <c r="E26" s="28">
        <f>INDEX(Table_MN_j_f,5,4)</f>
        <v>0</v>
      </c>
      <c r="F26" s="28">
        <f>(E26 * $I$14 * $I$15)</f>
        <v>0</v>
      </c>
    </row>
    <row r="27" spans="1:9" ht="20.100000000000001" customHeight="1" x14ac:dyDescent="0.2">
      <c r="A27" s="29" t="str">
        <f>HYPERLINK("#'Constants - Fertiliser'!A1", "Constants - Fertiliser")</f>
        <v>Constants - Fertiliser</v>
      </c>
      <c r="D27" s="28" t="str">
        <v>Urea-ammonium nitrate (UAN)</v>
      </c>
      <c r="E27" s="28">
        <f>INDEX(Table_MN_j_f,6,4)</f>
        <v>0</v>
      </c>
      <c r="F27" s="28">
        <f>(E27 * $I$14 * $I$15)</f>
        <v>0</v>
      </c>
    </row>
    <row r="28" spans="1:9" ht="20.100000000000001" customHeight="1" x14ac:dyDescent="0.2">
      <c r="A28" s="29" t="str">
        <f>HYPERLINK("#'Constants - Fuel'!A1", "Constants - Fuel")</f>
        <v>Constants - Fuel</v>
      </c>
      <c r="D28" s="28" t="str">
        <v>Ammonium nitrate (AN)</v>
      </c>
      <c r="E28" s="28">
        <f>INDEX(Table_MN_j_f,7,4)</f>
        <v>0</v>
      </c>
      <c r="F28" s="28">
        <f>(E28 * $I$14 * $I$15)</f>
        <v>0</v>
      </c>
    </row>
    <row r="29" spans="1:9" ht="20.100000000000001" customHeight="1" x14ac:dyDescent="0.2">
      <c r="A29" s="29" t="str">
        <f>HYPERLINK("#'Constants - Common'!A1", "Constants - Common")</f>
        <v>Constants - Common</v>
      </c>
      <c r="D29" s="28" t="str">
        <v>Calcium ammonium nitrate (CAN)</v>
      </c>
      <c r="E29" s="28">
        <f>INDEX(Table_MN_j_f,8,4)</f>
        <v>0</v>
      </c>
      <c r="F29" s="28">
        <f>(E29 * $I$14 * $I$15)</f>
        <v>0</v>
      </c>
    </row>
    <row r="30" spans="1:9" ht="20.100000000000001" customHeight="1" x14ac:dyDescent="0.2">
      <c r="D30" s="28" t="str">
        <v>Nitrogen - Ammoniacal</v>
      </c>
      <c r="E30" s="28">
        <f>INDEX(Table_MN_j_f,9,4)</f>
        <v>1240</v>
      </c>
      <c r="F30" s="28">
        <f>(E30 * $I$14 * $I$15)</f>
        <v>297.59999999999997</v>
      </c>
    </row>
    <row r="31" spans="1:9" ht="20.100000000000001" customHeight="1" x14ac:dyDescent="0.2">
      <c r="D31" s="28" t="str">
        <v>Nitrogen - Nitrate</v>
      </c>
      <c r="E31" s="28">
        <f>INDEX(Table_MN_j_f,10,4)</f>
        <v>550</v>
      </c>
      <c r="F31" s="28">
        <f>(E31 * $I$14 * $I$15)</f>
        <v>132</v>
      </c>
    </row>
    <row r="32" spans="1:9" ht="20.100000000000001" customHeight="1" x14ac:dyDescent="0.2">
      <c r="D32" s="28" t="str">
        <v>Nitrogen - Generic</v>
      </c>
      <c r="E32" s="28">
        <f>INDEX(Table_MN_j_f,11,4)</f>
        <v>0</v>
      </c>
      <c r="F32" s="28">
        <f>(E32 * $I$14 * $I$15)</f>
        <v>0</v>
      </c>
    </row>
    <row r="33" spans="1:11" ht="20.100000000000001" customHeight="1" x14ac:dyDescent="0.2">
      <c r="D33" s="28" t="str">
        <v>Phosphorus - Generic</v>
      </c>
      <c r="E33" s="28">
        <f>INDEX(Table_MN_j_f,12,4)</f>
        <v>0</v>
      </c>
      <c r="F33" s="28">
        <f>(E33 * $I$14 * $I$15)</f>
        <v>0</v>
      </c>
    </row>
    <row r="34" spans="1:11" ht="20.100000000000001" customHeight="1" x14ac:dyDescent="0.2">
      <c r="D34" s="28" t="str">
        <v>Potassium - Generic</v>
      </c>
      <c r="E34" s="28">
        <f>INDEX(Table_MN_j_f,13,4)</f>
        <v>0</v>
      </c>
      <c r="F34" s="28">
        <f>(E34 * $I$14 * $I$15)</f>
        <v>0</v>
      </c>
    </row>
    <row r="35" spans="1:11" ht="20.100000000000001" customHeight="1" x14ac:dyDescent="0.2">
      <c r="D35" s="28" t="str">
        <v>Sulfur - Generic</v>
      </c>
      <c r="E35" s="28">
        <f>INDEX(Table_MN_j_f,14,4)</f>
        <v>0</v>
      </c>
      <c r="F35" s="28">
        <f>(E35 * $I$14 * $I$15)</f>
        <v>0</v>
      </c>
    </row>
    <row r="36" spans="1:11" ht="20.100000000000001" customHeight="1" x14ac:dyDescent="0.2">
      <c r="D36" s="28" t="str">
        <v>Zinc - Generic</v>
      </c>
      <c r="E36" s="28">
        <f>INDEX(Table_MN_j_f,15,4)</f>
        <v>0</v>
      </c>
      <c r="F36" s="28">
        <f>(E36 * $I$14 * $I$15)</f>
        <v>0</v>
      </c>
    </row>
    <row r="37" spans="1:11" ht="20.100000000000001" customHeight="1" x14ac:dyDescent="0.2">
      <c r="D37" s="28" t="str">
        <v>Muriate of potash (MOP)</v>
      </c>
      <c r="E37" s="28">
        <f>INDEX(Table_MN_j_f,16,4)</f>
        <v>0</v>
      </c>
      <c r="F37" s="28">
        <f>(E37 * $I$14 * $I$15)</f>
        <v>0</v>
      </c>
    </row>
    <row r="38" spans="1:11" ht="20.100000000000001" customHeight="1" x14ac:dyDescent="0.2">
      <c r="D38" s="28" t="str">
        <v>Double superphosphate</v>
      </c>
      <c r="E38" s="28">
        <f>INDEX(Table_MN_j_f,17,4)</f>
        <v>0</v>
      </c>
      <c r="F38" s="28">
        <f>(E38 * $I$14 * $I$15)</f>
        <v>0</v>
      </c>
    </row>
    <row r="39" spans="1:11" ht="20.100000000000001" customHeight="1" x14ac:dyDescent="0.2">
      <c r="D39" s="28" t="str">
        <v>Single superphosphate (SSP)</v>
      </c>
      <c r="E39" s="28">
        <f>INDEX(Table_MN_j_f,18,4)</f>
        <v>0</v>
      </c>
      <c r="F39" s="28">
        <f>(E39 * $I$14 * $I$15)</f>
        <v>0</v>
      </c>
    </row>
    <row r="40" spans="1:11" ht="20.100000000000001" customHeight="1" x14ac:dyDescent="0.2">
      <c r="A40" s="167" t="str">
        <f>HYPERLINK("#A1", "▲ Back to top")</f>
        <v>▲ Back to top</v>
      </c>
      <c r="D40" s="28" t="str">
        <v>Ammonia</v>
      </c>
      <c r="E40" s="28">
        <f>INDEX(Table_MN_j_f,19,4)</f>
        <v>4117.5</v>
      </c>
      <c r="F40" s="28">
        <f>(E40 * $I$14 * $I$15)</f>
        <v>988.19999999999993</v>
      </c>
    </row>
    <row r="41" spans="1:11" ht="20.100000000000001" customHeight="1" x14ac:dyDescent="0.2">
      <c r="D41" s="28" t="str">
        <v>Calcium nitrate</v>
      </c>
      <c r="E41" s="28">
        <f>INDEX(Table_MN_j_f,20,4)</f>
        <v>775</v>
      </c>
      <c r="F41" s="28">
        <f>(E41 * $I$14 * $I$15)</f>
        <v>186</v>
      </c>
    </row>
    <row r="43" spans="1:11" ht="20.100000000000001" customHeight="1" x14ac:dyDescent="0.2">
      <c r="D43" s="95" t="s">
        <v>308</v>
      </c>
      <c r="E43" s="96">
        <f>SUM(F23:F41)</f>
        <v>4387.7998559999996</v>
      </c>
      <c r="F43" s="104" t="str">
        <f>$E$11</f>
        <v>kg N</v>
      </c>
    </row>
    <row r="45" spans="1:11" ht="20.100000000000001" customHeight="1" x14ac:dyDescent="0.2">
      <c r="C45" s="119"/>
      <c r="D45" s="119"/>
      <c r="E45" s="119"/>
      <c r="F45" s="119"/>
      <c r="G45" s="119"/>
      <c r="H45" s="119"/>
      <c r="I45" s="119"/>
      <c r="J45" s="119"/>
      <c r="K45" s="119"/>
    </row>
    <row r="47" spans="1:11" ht="20.100000000000001" customHeight="1" x14ac:dyDescent="0.2">
      <c r="D47" s="16" t="s">
        <v>610</v>
      </c>
    </row>
    <row r="48" spans="1:11" ht="20.100000000000001" customHeight="1" x14ac:dyDescent="0.2">
      <c r="D48" s="18" t="s">
        <v>611</v>
      </c>
    </row>
    <row r="49" spans="4:9" ht="20.100000000000001" customHeight="1" x14ac:dyDescent="0.2">
      <c r="D49" s="83"/>
      <c r="E49" s="83"/>
    </row>
    <row r="52" spans="4:9" ht="20.100000000000001" customHeight="1" x14ac:dyDescent="0.2">
      <c r="D52" s="69" t="s">
        <v>224</v>
      </c>
      <c r="E52" s="15" t="s">
        <v>612</v>
      </c>
    </row>
    <row r="53" spans="4:9" ht="20.100000000000001" customHeight="1" x14ac:dyDescent="0.2">
      <c r="D53" s="69" t="s">
        <v>229</v>
      </c>
      <c r="E53" s="20" t="s">
        <v>479</v>
      </c>
    </row>
    <row r="55" spans="4:9" ht="20.100000000000001" customHeight="1" x14ac:dyDescent="0.2">
      <c r="D55" s="105" t="s">
        <v>542</v>
      </c>
      <c r="E55" s="98" t="s">
        <v>613</v>
      </c>
      <c r="F55" s="114"/>
      <c r="G55" s="105" t="s">
        <v>479</v>
      </c>
      <c r="H55" s="91" t="s">
        <v>553</v>
      </c>
      <c r="I55" s="92" t="str" cm="1">
        <f t="array" aca="1" ref="I55" ca="1">HYPERLINK(Common_InputFunctions.Utility_SourceHyperlink(D62), D62)</f>
        <v>Table_M_leach_organic_j</v>
      </c>
    </row>
    <row r="56" spans="4:9" ht="20.100000000000001" customHeight="1" x14ac:dyDescent="0.2">
      <c r="D56" s="105" t="s">
        <v>604</v>
      </c>
      <c r="E56" s="98" t="s">
        <v>605</v>
      </c>
      <c r="F56" s="114"/>
      <c r="G56" s="105" t="s">
        <v>571</v>
      </c>
      <c r="H56" s="91" t="s">
        <v>485</v>
      </c>
      <c r="I56" s="105">
        <f>Common_InputFunctions.CommonCropping_GetFracWET(I58,I60,Table_SourceData_FracWET[Is in leaching zone],Table_SourceData_FracWET[FracWET],Table_SourceData_FracWETIrrigation[Irrigation type i],Table_SourceData_FracWETIrrigation[FracWET])</f>
        <v>1</v>
      </c>
    </row>
    <row r="57" spans="4:9" ht="20.100000000000001" customHeight="1" x14ac:dyDescent="0.2">
      <c r="D57" s="105" t="s">
        <v>606</v>
      </c>
      <c r="E57" s="98" t="s">
        <v>607</v>
      </c>
      <c r="F57" s="114"/>
      <c r="G57" s="105" t="s">
        <v>571</v>
      </c>
      <c r="H57" s="91" t="s">
        <v>485</v>
      </c>
      <c r="I57" s="105">
        <f>Fertiliser_FracLEACH_Data</f>
        <v>0.24</v>
      </c>
    </row>
    <row r="58" spans="4:9" ht="20.100000000000001" customHeight="1" x14ac:dyDescent="0.2">
      <c r="D58" s="105" t="s">
        <v>507</v>
      </c>
      <c r="E58" s="98" t="s">
        <v>608</v>
      </c>
      <c r="F58" s="114"/>
      <c r="G58" s="105"/>
      <c r="H58" s="90" t="s">
        <v>80</v>
      </c>
      <c r="I58" s="105" t="str">
        <f>X_Cell_Site_LeachingZone</f>
        <v>YES - In leaching zone</v>
      </c>
    </row>
    <row r="59" spans="4:9" ht="20.100000000000001" customHeight="1" x14ac:dyDescent="0.2">
      <c r="D59" s="105" t="s">
        <v>504</v>
      </c>
      <c r="E59" s="98" t="s">
        <v>609</v>
      </c>
      <c r="F59" s="114"/>
      <c r="G59" s="105"/>
      <c r="H59" s="90" t="s">
        <v>80</v>
      </c>
      <c r="I59" s="105" t="str">
        <f>X_Cell_Fertiliser_ProductionSystem</f>
        <v>Crop</v>
      </c>
    </row>
    <row r="60" spans="4:9" ht="20.100000000000001" customHeight="1" x14ac:dyDescent="0.2">
      <c r="D60" s="105" t="s">
        <v>505</v>
      </c>
      <c r="E60" s="98" t="s">
        <v>506</v>
      </c>
      <c r="F60" s="114"/>
      <c r="G60" s="105"/>
      <c r="H60" s="90" t="s">
        <v>80</v>
      </c>
      <c r="I60" s="105" t="str">
        <f>X_Cell_Fertiliser_IrrigationMethod</f>
        <v>Drip irrigation</v>
      </c>
    </row>
    <row r="62" spans="4:9" ht="20.100000000000001" customHeight="1" x14ac:dyDescent="0.2">
      <c r="D62" s="84" t="s">
        <v>309</v>
      </c>
    </row>
    <row r="63" spans="4:9" ht="20.100000000000001" customHeight="1" x14ac:dyDescent="0.2">
      <c r="D63" s="85" t="s">
        <v>310</v>
      </c>
    </row>
    <row r="64" spans="4:9" ht="20.100000000000001" customHeight="1" x14ac:dyDescent="0.2">
      <c r="D64" s="25" t="s">
        <v>270</v>
      </c>
      <c r="E64" s="120" t="s">
        <v>274</v>
      </c>
      <c r="F64" s="87" t="s">
        <v>311</v>
      </c>
    </row>
    <row r="65" spans="1:11" ht="20.100000000000001" customHeight="1" x14ac:dyDescent="0.2">
      <c r="D65" s="28" t="str">
        <f>INDEX(Table_MNSoil_j_f,2,1)</f>
        <v>Manure - Other</v>
      </c>
      <c r="E65" s="28">
        <f>INDEX(Table_MNSoil_j_f,2,6)</f>
        <v>300</v>
      </c>
      <c r="F65" s="28">
        <f>(E65 * $I$56 * $I$57)</f>
        <v>72</v>
      </c>
    </row>
    <row r="66" spans="1:11" ht="20.100000000000001" customHeight="1" x14ac:dyDescent="0.2">
      <c r="D66" s="28" t="str">
        <f>INDEX(Table_MNSoil_j_f,3,1)</f>
        <v>Manure - Poultry</v>
      </c>
      <c r="E66" s="28">
        <f>INDEX(Table_MNSoil_j_f,3,6)</f>
        <v>250</v>
      </c>
      <c r="F66" s="28">
        <f>(E66 * $I$56 * $I$57)</f>
        <v>60</v>
      </c>
    </row>
    <row r="67" spans="1:11" ht="20.100000000000001" customHeight="1" x14ac:dyDescent="0.2">
      <c r="D67" s="28" t="str">
        <f>INDEX(Table_MNSoil_j_f,4,1)</f>
        <v>Other organic fertiliser</v>
      </c>
      <c r="E67" s="28">
        <f>INDEX(Table_MNSoil_j_f,4,6)</f>
        <v>160</v>
      </c>
      <c r="F67" s="28">
        <f>(E67 * $I$56 * $I$57)</f>
        <v>38.4</v>
      </c>
    </row>
    <row r="68" spans="1:11" ht="20.100000000000001" customHeight="1" x14ac:dyDescent="0.2">
      <c r="D68" s="28">
        <f>'5.2.1.1-2 Organic Fert N2O'!D23</f>
        <v>0</v>
      </c>
      <c r="E68" s="28">
        <f>'5.2.1.1-2 Organic Fert N2O'!I23</f>
        <v>0</v>
      </c>
      <c r="F68" s="28">
        <f>(E68 * $I$56 * $I$57)</f>
        <v>0</v>
      </c>
    </row>
    <row r="69" spans="1:11" ht="20.100000000000001" customHeight="1" x14ac:dyDescent="0.2">
      <c r="D69" s="28">
        <f>'5.2.1.1-2 Organic Fert N2O'!D24</f>
        <v>0</v>
      </c>
      <c r="E69" s="28">
        <f>'5.2.1.1-2 Organic Fert N2O'!I24</f>
        <v>0</v>
      </c>
      <c r="F69" s="28">
        <f>(E69 * $I$56 * $I$57)</f>
        <v>0</v>
      </c>
    </row>
    <row r="70" spans="1:11" ht="20.100000000000001" customHeight="1" x14ac:dyDescent="0.2">
      <c r="A70" s="167" t="str">
        <f>HYPERLINK("#A1", "▲ Back to top")</f>
        <v>▲ Back to top</v>
      </c>
      <c r="D70" s="28">
        <f>'5.2.1.1-2 Organic Fert N2O'!D25</f>
        <v>0</v>
      </c>
      <c r="E70" s="28">
        <f>'5.2.1.1-2 Organic Fert N2O'!I25</f>
        <v>0</v>
      </c>
      <c r="F70" s="28">
        <f>(E70 * $I$56 * $I$57)</f>
        <v>0</v>
      </c>
    </row>
    <row r="71" spans="1:11" ht="20.100000000000001" customHeight="1" x14ac:dyDescent="0.2">
      <c r="D71" s="28">
        <f>'5.2.1.1-2 Organic Fert N2O'!D26</f>
        <v>0</v>
      </c>
      <c r="E71" s="28">
        <f>'5.2.1.1-2 Organic Fert N2O'!I26</f>
        <v>0</v>
      </c>
      <c r="F71" s="28">
        <f>(E71 * $I$56 * $I$57)</f>
        <v>0</v>
      </c>
    </row>
    <row r="72" spans="1:11" ht="20.100000000000001" customHeight="1" x14ac:dyDescent="0.2">
      <c r="D72" s="28">
        <f>'5.2.1.1-2 Organic Fert N2O'!D27</f>
        <v>0</v>
      </c>
      <c r="E72" s="28">
        <f>'5.2.1.1-2 Organic Fert N2O'!I27</f>
        <v>0</v>
      </c>
      <c r="F72" s="28">
        <f>(E72 * $I$56 * $I$57)</f>
        <v>0</v>
      </c>
    </row>
    <row r="73" spans="1:11" ht="20.100000000000001" customHeight="1" x14ac:dyDescent="0.2">
      <c r="D73" s="28">
        <f>'5.2.1.1-2 Organic Fert N2O'!D28</f>
        <v>0</v>
      </c>
      <c r="E73" s="28">
        <f>'5.2.1.1-2 Organic Fert N2O'!I28</f>
        <v>0</v>
      </c>
      <c r="F73" s="28">
        <f>(E73 * $I$56 * $I$57)</f>
        <v>0</v>
      </c>
    </row>
    <row r="74" spans="1:11" ht="20.100000000000001" customHeight="1" x14ac:dyDescent="0.2">
      <c r="D74" s="28">
        <f>'5.2.1.1-2 Organic Fert N2O'!D29</f>
        <v>0</v>
      </c>
      <c r="E74" s="28">
        <f>'5.2.1.1-2 Organic Fert N2O'!I29</f>
        <v>0</v>
      </c>
      <c r="F74" s="28">
        <f>(E74 * $I$56 * $I$57)</f>
        <v>0</v>
      </c>
    </row>
    <row r="75" spans="1:11" ht="20.100000000000001" customHeight="1" x14ac:dyDescent="0.2">
      <c r="D75" s="28">
        <f>'5.2.1.1-2 Organic Fert N2O'!D30</f>
        <v>0</v>
      </c>
      <c r="E75" s="28">
        <f>'5.2.1.1-2 Organic Fert N2O'!I30</f>
        <v>0</v>
      </c>
      <c r="F75" s="28">
        <f>(E75 * $I$56 * $I$57)</f>
        <v>0</v>
      </c>
    </row>
    <row r="77" spans="1:11" ht="20.100000000000001" customHeight="1" x14ac:dyDescent="0.2">
      <c r="D77" s="95" t="s">
        <v>312</v>
      </c>
      <c r="E77" s="96">
        <f>SUM(F65:F75)</f>
        <v>170.4</v>
      </c>
      <c r="F77" s="104" t="str">
        <f>$E$53</f>
        <v>kg N</v>
      </c>
    </row>
    <row r="79" spans="1:11" ht="20.100000000000001" customHeight="1" x14ac:dyDescent="0.2">
      <c r="C79" s="119"/>
      <c r="D79" s="119"/>
      <c r="E79" s="119"/>
      <c r="F79" s="119"/>
      <c r="G79" s="119"/>
      <c r="H79" s="119"/>
      <c r="I79" s="119"/>
      <c r="J79" s="119"/>
      <c r="K79" s="119"/>
    </row>
    <row r="81" spans="4:10" ht="20.100000000000001" customHeight="1" x14ac:dyDescent="0.2">
      <c r="D81" s="16" t="s">
        <v>614</v>
      </c>
    </row>
    <row r="82" spans="4:10" ht="20.100000000000001" customHeight="1" x14ac:dyDescent="0.2">
      <c r="D82" s="18" t="s">
        <v>615</v>
      </c>
    </row>
    <row r="83" spans="4:10" ht="20.100000000000001" customHeight="1" x14ac:dyDescent="0.2">
      <c r="D83" s="83"/>
      <c r="E83" s="83"/>
    </row>
    <row r="86" spans="4:10" ht="20.100000000000001" customHeight="1" x14ac:dyDescent="0.2">
      <c r="D86" s="69" t="s">
        <v>224</v>
      </c>
      <c r="E86" s="15" t="s">
        <v>616</v>
      </c>
    </row>
    <row r="87" spans="4:10" ht="20.100000000000001" customHeight="1" x14ac:dyDescent="0.2">
      <c r="D87" s="69" t="s">
        <v>229</v>
      </c>
      <c r="E87" s="20" t="s">
        <v>498</v>
      </c>
    </row>
    <row r="89" spans="4:10" ht="20.100000000000001" customHeight="1" x14ac:dyDescent="0.2">
      <c r="D89" s="105" t="s">
        <v>602</v>
      </c>
      <c r="E89" s="98" t="s">
        <v>617</v>
      </c>
      <c r="F89" s="113"/>
      <c r="G89" s="114"/>
      <c r="H89" s="105" t="s">
        <v>479</v>
      </c>
      <c r="I89" s="91" t="s">
        <v>621</v>
      </c>
      <c r="J89" s="105">
        <f>$E$43</f>
        <v>4387.7998559999996</v>
      </c>
    </row>
    <row r="90" spans="4:10" ht="20.100000000000001" customHeight="1" x14ac:dyDescent="0.2">
      <c r="D90" s="105" t="s">
        <v>612</v>
      </c>
      <c r="E90" s="98" t="s">
        <v>618</v>
      </c>
      <c r="F90" s="113"/>
      <c r="G90" s="114"/>
      <c r="H90" s="105" t="s">
        <v>479</v>
      </c>
      <c r="I90" s="91" t="s">
        <v>622</v>
      </c>
      <c r="J90" s="105">
        <f>$E$77</f>
        <v>170.4</v>
      </c>
    </row>
    <row r="91" spans="4:10" ht="20.100000000000001" customHeight="1" x14ac:dyDescent="0.2">
      <c r="D91" s="105" t="s">
        <v>619</v>
      </c>
      <c r="E91" s="98" t="s">
        <v>620</v>
      </c>
      <c r="F91" s="113"/>
      <c r="G91" s="114"/>
      <c r="H91" s="105" t="s">
        <v>554</v>
      </c>
      <c r="I91" s="91" t="s">
        <v>485</v>
      </c>
      <c r="J91" s="105">
        <f>Fertiliser_EFLeach_Data</f>
        <v>1.0999999999999999E-2</v>
      </c>
    </row>
    <row r="92" spans="4:10" ht="20.100000000000001" customHeight="1" x14ac:dyDescent="0.2">
      <c r="D92" s="105" t="s">
        <v>502</v>
      </c>
      <c r="E92" s="98" t="s">
        <v>503</v>
      </c>
      <c r="F92" s="113"/>
      <c r="G92" s="114"/>
      <c r="H92" s="105"/>
      <c r="I92" s="91" t="s">
        <v>485</v>
      </c>
      <c r="J92" s="88">
        <f>Common_InputFunctions.Utility_LookupValueInTableNumber("N2O",Table_GasToMolecularConversionFactor[Gas],Table_GasToMolecularConversionFactor[Conversion factor combined])</f>
        <v>1.5714285714285714</v>
      </c>
    </row>
    <row r="94" spans="4:10" ht="20.100000000000001" customHeight="1" x14ac:dyDescent="0.2">
      <c r="D94" s="100" t="s">
        <v>313</v>
      </c>
      <c r="E94" s="101">
        <f>((J89 + J90) * J91 * J92 * 10 ^ -3)</f>
        <v>7.8791740367999977E-2</v>
      </c>
      <c r="F94" s="102" t="str">
        <f>$E$87</f>
        <v>t N2O</v>
      </c>
    </row>
    <row r="96" spans="4:10" ht="20.100000000000001" customHeight="1" x14ac:dyDescent="0.2">
      <c r="D96" s="88" t="str" cm="1">
        <f t="array" ref="D96:E97">Common_Equations.Common_ConvertN2OToCO2e_Arguments()</f>
        <v>EN2O</v>
      </c>
      <c r="E96" s="89" t="str">
        <v>Nitrous oxide emissions (t N2O)</v>
      </c>
      <c r="F96" s="103"/>
      <c r="G96" s="28">
        <f>VEERG_5_5_1_1__1_FertiliserLeachingAndRunoffN2OEmissions_Result_Method1</f>
        <v>7.8791740367999977E-2</v>
      </c>
    </row>
    <row r="97" spans="4:7" ht="20.100000000000001" customHeight="1" x14ac:dyDescent="0.2">
      <c r="D97" s="88" t="str">
        <v>GWPN2O</v>
      </c>
      <c r="E97" s="89" t="str">
        <v>Global warming potential for nitrous oxide (t CO2-e / t N2O)</v>
      </c>
      <c r="F97" s="103"/>
      <c r="G97" s="28">
        <f>Common_InputFunctions.Utility_LookupValueInTableNumber("N2O",Table_GWPData[Gas],Table_GWPData[CO2-e factor])</f>
        <v>265</v>
      </c>
    </row>
    <row r="99" spans="4:7" ht="20.100000000000001" customHeight="1" x14ac:dyDescent="0.2">
      <c r="D99" s="96" t="s">
        <v>249</v>
      </c>
      <c r="E99" s="96" cm="1">
        <f t="array" ref="E99">Common_Equations.Common_ConvertN2OToCO2e(G96,G97)</f>
        <v>20.879811197519995</v>
      </c>
      <c r="F99" s="104" t="str" cm="1">
        <f t="array" ref="F99">Common_Equations.Common_ConvertN2OToCO2e_Unit()</f>
        <v>t CO2e</v>
      </c>
    </row>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E30C-A6D8-4CBF-B2E3-932625EA34D1}">
  <sheetPr>
    <tabColor rgb="FF008000"/>
  </sheetPr>
  <dimension ref="A1:R342"/>
  <sheetViews>
    <sheetView showGridLines="0" zoomScaleNormal="100" workbookViewId="0">
      <pane xSplit="1" topLeftCell="B1" activePane="topRight" state="frozenSplit"/>
      <selection pane="topRight" activeCell="A28" sqref="A28"/>
    </sheetView>
  </sheetViews>
  <sheetFormatPr defaultRowHeight="20.100000000000001" customHeight="1" x14ac:dyDescent="0.2"/>
  <cols>
    <col min="1" max="1" width="36.7109375" customWidth="1"/>
    <col min="2" max="2" width="4.7109375" customWidth="1"/>
    <col min="3" max="3" width="4.7109375" style="15" customWidth="1"/>
    <col min="4" max="4" width="46.28515625" style="15" customWidth="1"/>
    <col min="5" max="17" width="30.7109375" style="15" customWidth="1"/>
    <col min="18" max="18" width="4.7109375" style="15" customWidth="1"/>
  </cols>
  <sheetData>
    <row r="1" spans="1:18" s="8" customFormat="1" ht="30" customHeight="1" x14ac:dyDescent="0.35">
      <c r="A1" s="23" t="e" vm="1">
        <v>#VALUE!</v>
      </c>
      <c r="C1" s="8" t="s">
        <v>373</v>
      </c>
    </row>
    <row r="2" spans="1:18" s="9" customFormat="1" ht="20.100000000000001" customHeight="1" x14ac:dyDescent="0.2">
      <c r="A2"/>
    </row>
    <row r="3" spans="1:18" ht="20.100000000000001" customHeight="1" x14ac:dyDescent="0.2">
      <c r="A3" s="29" t="str">
        <f>HYPERLINK("#'Home'!A1", "Home")</f>
        <v>Home</v>
      </c>
      <c r="C3" s="12"/>
      <c r="D3" s="12" t="s">
        <v>216</v>
      </c>
      <c r="E3" s="12"/>
      <c r="F3" s="12"/>
      <c r="G3" s="12"/>
      <c r="H3" s="12"/>
      <c r="I3" s="12"/>
      <c r="J3" s="12"/>
      <c r="K3" s="12"/>
      <c r="L3" s="12"/>
      <c r="M3" s="12"/>
      <c r="N3" s="12"/>
      <c r="O3" s="12"/>
      <c r="P3" s="12"/>
      <c r="Q3" s="12"/>
      <c r="R3" s="12"/>
    </row>
    <row r="5" spans="1:18" ht="20.100000000000001" customHeight="1" x14ac:dyDescent="0.2">
      <c r="D5" s="16" t="s">
        <v>623</v>
      </c>
      <c r="K5" s="16" t="s">
        <v>625</v>
      </c>
      <c r="O5" s="110"/>
      <c r="P5" s="110"/>
      <c r="Q5" s="110"/>
    </row>
    <row r="6" spans="1:18" ht="20.100000000000001" customHeight="1" x14ac:dyDescent="0.2">
      <c r="A6" s="40" t="s">
        <v>148</v>
      </c>
      <c r="D6" s="18" t="s">
        <v>624</v>
      </c>
      <c r="K6" s="18" t="s">
        <v>626</v>
      </c>
      <c r="O6" s="110"/>
      <c r="P6" s="110"/>
      <c r="Q6" s="110"/>
    </row>
    <row r="7" spans="1:18" ht="20.100000000000001" customHeight="1" x14ac:dyDescent="0.2">
      <c r="A7" s="29" t="str">
        <f>HYPERLINK("#'Input - Planting'!A1", "Planting")</f>
        <v>Planting</v>
      </c>
      <c r="D7" s="83"/>
      <c r="E7" s="83"/>
      <c r="K7" s="83"/>
      <c r="L7" s="83"/>
      <c r="O7" s="110"/>
      <c r="P7" s="110"/>
      <c r="Q7" s="110"/>
    </row>
    <row r="8" spans="1:18" ht="20.100000000000001" customHeight="1" x14ac:dyDescent="0.2">
      <c r="A8" s="29" t="str">
        <f>HYPERLINK("#'Input - Fertiliser'!A1", "Fertiliser")</f>
        <v>Fertiliser</v>
      </c>
      <c r="E8" s="83"/>
      <c r="L8" s="83"/>
      <c r="O8" s="110"/>
      <c r="P8" s="110"/>
      <c r="Q8" s="110"/>
    </row>
    <row r="9" spans="1:18" ht="20.100000000000001" customHeight="1" x14ac:dyDescent="0.2">
      <c r="A9" s="29" t="str">
        <f>HYPERLINK("#'Input - Fuel'!A1", "Fuel")</f>
        <v>Fuel</v>
      </c>
      <c r="G9" s="18"/>
      <c r="O9" s="110"/>
      <c r="P9" s="110"/>
      <c r="Q9" s="110"/>
    </row>
    <row r="10" spans="1:18" ht="20.100000000000001" customHeight="1" x14ac:dyDescent="0.2">
      <c r="A10" s="29" t="str">
        <f>HYPERLINK("#'Input - Fert Prod System'!A1", "Fert Prod System")</f>
        <v>Fert Prod System</v>
      </c>
      <c r="O10" s="110"/>
      <c r="P10" s="110"/>
      <c r="Q10" s="110"/>
    </row>
    <row r="11" spans="1:18" ht="20.100000000000001" customHeight="1" x14ac:dyDescent="0.2">
      <c r="A11" s="29" t="str">
        <f>HYPERLINK("#'Input - Site'!A1", "Site")</f>
        <v>Site</v>
      </c>
      <c r="D11" s="69" t="s">
        <v>224</v>
      </c>
      <c r="E11" s="15" t="s">
        <v>627</v>
      </c>
      <c r="K11" s="69" t="s">
        <v>224</v>
      </c>
      <c r="L11" s="15" t="s">
        <v>629</v>
      </c>
      <c r="O11" s="110"/>
      <c r="P11" s="110"/>
      <c r="Q11" s="110"/>
    </row>
    <row r="12" spans="1:18" ht="20.100000000000001" customHeight="1" x14ac:dyDescent="0.2">
      <c r="A12" s="29" t="str">
        <f>HYPERLINK("#'Input - Data quality'!A1", "Data quality")</f>
        <v>Data quality</v>
      </c>
      <c r="D12" s="69" t="s">
        <v>229</v>
      </c>
      <c r="E12" s="20" t="s">
        <v>628</v>
      </c>
      <c r="K12" s="69" t="s">
        <v>229</v>
      </c>
      <c r="L12" s="20" t="s">
        <v>630</v>
      </c>
    </row>
    <row r="14" spans="1:18" ht="20.100000000000001" customHeight="1" x14ac:dyDescent="0.2">
      <c r="D14" s="105" t="s">
        <v>631</v>
      </c>
      <c r="E14" s="98" t="s">
        <v>632</v>
      </c>
      <c r="F14" s="114"/>
      <c r="G14" s="105" t="s">
        <v>643</v>
      </c>
      <c r="H14" s="90" t="s">
        <v>80</v>
      </c>
      <c r="I14" s="92" t="str" cm="1">
        <f t="array" aca="1" ref="I14" ca="1">HYPERLINK(Common_InputFunctions.Utility_SourceHyperlink($D$22), $D$22)</f>
        <v>Table_E_g</v>
      </c>
      <c r="K14" s="105" t="s">
        <v>646</v>
      </c>
      <c r="L14" s="105" t="s">
        <v>647</v>
      </c>
      <c r="M14" s="105"/>
      <c r="N14" s="105" t="s">
        <v>429</v>
      </c>
      <c r="O14" s="90" t="s">
        <v>80</v>
      </c>
      <c r="P14" s="92" t="str" cm="1">
        <f t="array" aca="1" ref="P14" ca="1">HYPERLINK(Common_InputFunctions.Utility_SourceHyperlink($D$22), $D$22)</f>
        <v>Table_E_g</v>
      </c>
      <c r="Q14" s="110"/>
    </row>
    <row r="15" spans="1:18" ht="20.100000000000001" customHeight="1" x14ac:dyDescent="0.2">
      <c r="A15" s="53" t="s">
        <v>175</v>
      </c>
      <c r="D15" s="105" t="s">
        <v>633</v>
      </c>
      <c r="E15" s="98" t="s">
        <v>634</v>
      </c>
      <c r="F15" s="114"/>
      <c r="G15" s="105" t="s">
        <v>644</v>
      </c>
      <c r="H15" s="91" t="s">
        <v>485</v>
      </c>
      <c r="I15" s="92" t="str" cm="1">
        <f t="array" aca="1" ref="I15" ca="1">HYPERLINK(Common_InputFunctions.Utility_SourceHyperlink($D$22), $D$22)</f>
        <v>Table_E_g</v>
      </c>
      <c r="K15" s="105" t="s">
        <v>633</v>
      </c>
      <c r="L15" s="105" t="s">
        <v>648</v>
      </c>
      <c r="M15" s="105"/>
      <c r="N15" s="105" t="s">
        <v>651</v>
      </c>
      <c r="O15" s="91" t="s">
        <v>485</v>
      </c>
      <c r="P15" s="92" t="str" cm="1">
        <f t="array" aca="1" ref="P15" ca="1">HYPERLINK(Common_InputFunctions.Utility_SourceHyperlink($D$22), $D$22)</f>
        <v>Table_E_g</v>
      </c>
      <c r="Q15" s="110"/>
    </row>
    <row r="16" spans="1:18" ht="20.100000000000001" customHeight="1" x14ac:dyDescent="0.2">
      <c r="A16" s="29" t="str">
        <f>HYPERLINK("#'5.1.1.1-2 Inorganic fert N2O'!A1", "5.1.1.1-2 Inorganic fert N2O")</f>
        <v>5.1.1.1-2 Inorganic fert N2O</v>
      </c>
      <c r="D16" s="105" t="s">
        <v>635</v>
      </c>
      <c r="E16" s="98" t="s">
        <v>636</v>
      </c>
      <c r="F16" s="114"/>
      <c r="G16" s="105" t="s">
        <v>645</v>
      </c>
      <c r="H16" s="91" t="s">
        <v>485</v>
      </c>
      <c r="I16" s="92" t="str" cm="1">
        <f t="array" aca="1" ref="I16" ca="1">HYPERLINK(Common_InputFunctions.Utility_SourceHyperlink($D$22), $D$22)</f>
        <v>Table_E_g</v>
      </c>
      <c r="K16" s="105" t="s">
        <v>649</v>
      </c>
      <c r="L16" s="105" t="s">
        <v>650</v>
      </c>
      <c r="M16" s="105"/>
      <c r="N16" s="105" t="s">
        <v>652</v>
      </c>
      <c r="O16" s="91" t="s">
        <v>485</v>
      </c>
      <c r="P16" s="92" t="str" cm="1">
        <f t="array" aca="1" ref="P16" ca="1">HYPERLINK(Common_InputFunctions.Utility_SourceHyperlink($D$22), $D$22)</f>
        <v>Table_E_g</v>
      </c>
      <c r="Q16" s="110"/>
    </row>
    <row r="17" spans="1:17" ht="20.100000000000001" customHeight="1" x14ac:dyDescent="0.2">
      <c r="A17" s="29" t="str">
        <f>HYPERLINK("#'5.1.1.3-4 Inorganic fert CO2'!A1", "5.1.1.3-4 Inorganic fert CO2")</f>
        <v>5.1.1.3-4 Inorganic fert CO2</v>
      </c>
      <c r="D17" s="105" t="s">
        <v>637</v>
      </c>
      <c r="E17" s="98" t="s">
        <v>427</v>
      </c>
      <c r="F17" s="114"/>
      <c r="G17" s="105"/>
      <c r="H17" s="91" t="s">
        <v>485</v>
      </c>
      <c r="I17" s="92"/>
      <c r="J17" s="110"/>
      <c r="P17" s="110"/>
      <c r="Q17" s="110"/>
    </row>
    <row r="18" spans="1:17" ht="20.100000000000001" customHeight="1" x14ac:dyDescent="0.2">
      <c r="A18" s="29" t="str">
        <f>HYPERLINK("#'5.2.1.1-2 Organic Fert N2O'!A1", "5.2.1.1-2 Organic fert N2O")</f>
        <v>5.2.1.1-2 Organic fert N2O</v>
      </c>
      <c r="D18" s="105" t="s">
        <v>638</v>
      </c>
      <c r="E18" s="98" t="s">
        <v>639</v>
      </c>
      <c r="F18" s="114"/>
      <c r="G18" s="105"/>
      <c r="H18" s="91" t="s">
        <v>485</v>
      </c>
      <c r="I18" s="92"/>
      <c r="J18" s="110"/>
      <c r="L18" s="110"/>
      <c r="M18" s="110"/>
      <c r="N18" s="110"/>
      <c r="O18" s="110"/>
      <c r="P18" s="110"/>
      <c r="Q18" s="110"/>
    </row>
    <row r="19" spans="1:17" ht="20.100000000000001" customHeight="1" x14ac:dyDescent="0.2">
      <c r="A19" s="29" t="str">
        <f>HYPERLINK("#'5.3.1.1-2 Lime CO2'!A1", "5.3.1.1-2 Lime CO2")</f>
        <v>5.3.1.1-2 Lime CO2</v>
      </c>
      <c r="D19" s="105" t="s">
        <v>640</v>
      </c>
      <c r="E19" s="98" t="s">
        <v>641</v>
      </c>
      <c r="F19" s="114"/>
      <c r="G19" s="105"/>
      <c r="H19" s="91" t="s">
        <v>485</v>
      </c>
      <c r="I19" s="92"/>
      <c r="J19" s="110"/>
      <c r="L19" s="110"/>
      <c r="M19" s="110"/>
      <c r="N19" s="110"/>
      <c r="O19" s="110"/>
      <c r="P19" s="110"/>
      <c r="Q19" s="110"/>
    </row>
    <row r="20" spans="1:17" ht="20.100000000000001" customHeight="1" x14ac:dyDescent="0.2">
      <c r="A20" s="29" t="str">
        <f>HYPERLINK("#'5.4.1.1-4 Atmos deposition'!A1", "5.4.1.1-4 Atmos. deposition")</f>
        <v>5.4.1.1-4 Atmos. deposition</v>
      </c>
      <c r="D20" s="105">
        <v>1</v>
      </c>
      <c r="E20" s="98" t="s">
        <v>642</v>
      </c>
      <c r="F20" s="114"/>
      <c r="G20" s="105"/>
      <c r="H20" s="91" t="s">
        <v>485</v>
      </c>
      <c r="I20" s="92"/>
      <c r="J20" s="110"/>
      <c r="L20" s="110"/>
      <c r="M20" s="110"/>
      <c r="N20" s="110"/>
      <c r="O20" s="110"/>
      <c r="P20" s="110"/>
      <c r="Q20" s="110"/>
    </row>
    <row r="21" spans="1:17" ht="20.100000000000001" customHeight="1" x14ac:dyDescent="0.2">
      <c r="A21" s="29" t="str">
        <f>HYPERLINK("#'5.5.1.1-2 Leaching and runoff'!A1", "5.5.1.1-2 Leaching &amp; runoff")</f>
        <v>5.5.1.1-2 Leaching &amp; runoff</v>
      </c>
      <c r="O21" s="110"/>
      <c r="P21" s="110"/>
      <c r="Q21" s="110"/>
    </row>
    <row r="22" spans="1:17" ht="20.100000000000001" customHeight="1" x14ac:dyDescent="0.2">
      <c r="A22" s="93" t="str">
        <f>HYPERLINK("#'8.1.1.1-2 Transport fuel'!A1", "8.1.1.1-2 Transport fuel")</f>
        <v>8.1.1.1-2 Transport fuel</v>
      </c>
      <c r="D22" s="84" t="s">
        <v>374</v>
      </c>
    </row>
    <row r="23" spans="1:17" ht="20.100000000000001" customHeight="1" x14ac:dyDescent="0.2">
      <c r="A23" s="29" t="str">
        <f>HYPERLINK("#'8.2.1.1-2 Stationary fuel'!A1", "8.2.1.1-2 Stationary fuel")</f>
        <v>8.2.1.1-2 Stationary fuel</v>
      </c>
      <c r="D23" s="85" t="s">
        <v>375</v>
      </c>
    </row>
    <row r="24" spans="1:17" ht="20.100000000000001" customHeight="1" x14ac:dyDescent="0.2">
      <c r="D24" s="87" t="s">
        <v>376</v>
      </c>
      <c r="E24" s="87" t="s">
        <v>377</v>
      </c>
      <c r="F24" s="87" t="s">
        <v>378</v>
      </c>
      <c r="G24" s="87" t="s">
        <v>379</v>
      </c>
      <c r="H24" s="87" t="s">
        <v>380</v>
      </c>
      <c r="I24" s="87" t="s">
        <v>381</v>
      </c>
      <c r="J24" s="87" t="s">
        <v>382</v>
      </c>
      <c r="K24" s="87" t="s">
        <v>383</v>
      </c>
      <c r="L24" s="25" t="s">
        <v>384</v>
      </c>
      <c r="M24" s="87" t="s">
        <v>385</v>
      </c>
      <c r="N24" s="87" t="s">
        <v>386</v>
      </c>
      <c r="O24" s="87" t="s">
        <v>387</v>
      </c>
      <c r="P24" s="87" t="s">
        <v>388</v>
      </c>
      <c r="Q24" s="87" t="s">
        <v>389</v>
      </c>
    </row>
    <row r="25" spans="1:17" ht="20.100000000000001" customHeight="1" x14ac:dyDescent="0.2">
      <c r="D25" s="14" t="str">
        <f>Table_FuelTypesPerUse[[#Headers],[Cars and light commercial vehicles]]</f>
        <v>Cars and light commercial vehicles</v>
      </c>
      <c r="E25" s="129" t="str">
        <f>'Constants - Fuel'!$E$10</f>
        <v>Gasoline</v>
      </c>
      <c r="F25" s="129" t="str">
        <f>'Constants - Fuel'!G131</f>
        <v>Petrol</v>
      </c>
      <c r="G25" s="28" cm="1">
        <f t="array" ref="G25">IFERROR(_xlfn.XLOOKUP(1, (Table_Fuel_EFs_Transport[Fuel combusted]=$E25)*(Table_Fuel_EFs_Transport[Transport type]=$D$25), Table_Fuel_EFs_Transport[Energy Content Factor (GJ per unit of fuel)]), 0)</f>
        <v>34.200000000000003</v>
      </c>
      <c r="H25" s="28" cm="1">
        <f t="array" ref="H25">IFERROR(_xlfn.XLOOKUP(1, (Table_Fuel_EFs_Transport[Fuel combusted]=$E25)*(Table_Fuel_EFs_Transport[Transport type]=$D$25), Table_Fuel_EFs_Transport[Scope 1 Emission Factor (kg CO2 - e / GJ) CO2]), 0)</f>
        <v>67.400000000000006</v>
      </c>
      <c r="I25" s="28" cm="1">
        <f t="array" ref="I25">IFERROR(_xlfn.XLOOKUP(1, (Table_Fuel_EFs_Transport[Fuel combusted]=$E25)*(Table_Fuel_EFs_Transport[Transport type]=$D$25), Table_Fuel_EFs_Transport[Scope 1 Emission Factor (kg CO2 - e / GJ) CH4]), 0)</f>
        <v>0.02</v>
      </c>
      <c r="J25" s="28" cm="1">
        <f t="array" ref="J25">IFERROR(_xlfn.XLOOKUP(1, (Table_Fuel_EFs_Transport[Fuel combusted]=$E25)*(Table_Fuel_EFs_Transport[Transport type]=$D$25), Table_Fuel_EFs_Transport[Scope 1 Emission Factor (kg CO2 - e / GJ) N2O]), 0)</f>
        <v>0.2</v>
      </c>
      <c r="K25" s="28" cm="1">
        <f t="array" ref="K25">IFERROR(_xlfn.XLOOKUP(1, (Table_Fuel_EFs_Transport[Fuel combusted]=$E25)*(Table_Fuel_EFs_Transport[Transport type]=$D$25), Table_Fuel_EFs_Transport[Scope 3 Emission Factor (kg CO2 - e / GJ)]), 0)</f>
        <v>17.2</v>
      </c>
      <c r="L25" s="116" cm="1">
        <f t="array" ref="L25">Fuel_InputFunctions.Fuel_TotalConsumption(Table_Input_Fuel[Amount consumed], Table_Input_Fuel[Fuel use (select)], D25, Table_Input_Fuel[Fuel type (select)],F25)</f>
        <v>0</v>
      </c>
      <c r="M25" s="116" t="str" cm="1">
        <f t="array" ref="M25">Common_InputFunctions.Utility_LookupValueInTable(F25,Table_FuelTypes_Units[Fuel type],Table_FuelTypes_Units[Unit])</f>
        <v>kL</v>
      </c>
      <c r="N25" s="130">
        <f>((($L25 * $G25 * $H25) * 10 ^ -3))</f>
        <v>0</v>
      </c>
      <c r="O25" s="130">
        <f>((($L25 * $G25 * $I25) * 10 ^ -3))</f>
        <v>0</v>
      </c>
      <c r="P25" s="130">
        <f>((($L25 * $G25 * $J25) * 10 ^ -3))</f>
        <v>0</v>
      </c>
      <c r="Q25" s="130">
        <f>((L25 * G25 * K25) * 10 ^ -3)</f>
        <v>0</v>
      </c>
    </row>
    <row r="26" spans="1:17" ht="20.100000000000001" customHeight="1" x14ac:dyDescent="0.2">
      <c r="A26" s="30" t="s">
        <v>91</v>
      </c>
      <c r="D26" s="131" t="str">
        <f t="shared" ref="D26:D32" si="0">$D$25</f>
        <v>Cars and light commercial vehicles</v>
      </c>
      <c r="E26" s="129" t="str">
        <f>'Constants - Fuel'!$E$11</f>
        <v>Diesel oil</v>
      </c>
      <c r="F26" s="129" t="str">
        <f>'Constants - Fuel'!G132</f>
        <v>Diesel</v>
      </c>
      <c r="G26" s="28" cm="1">
        <f t="array" ref="G26">IFERROR(_xlfn.XLOOKUP(1, (Table_Fuel_EFs_Transport[Fuel combusted]=$E26)*(Table_Fuel_EFs_Transport[Transport type]=$D$25), Table_Fuel_EFs_Transport[Energy Content Factor (GJ per unit of fuel)]), 0)</f>
        <v>38.6</v>
      </c>
      <c r="H26" s="28" cm="1">
        <f t="array" ref="H26">IFERROR(_xlfn.XLOOKUP(1, (Table_Fuel_EFs_Transport[Fuel combusted]=$E26)*(Table_Fuel_EFs_Transport[Transport type]=$D$25), Table_Fuel_EFs_Transport[Scope 1 Emission Factor (kg CO2 - e / GJ) CO2]), 0)</f>
        <v>69.900000000000006</v>
      </c>
      <c r="I26" s="28" cm="1">
        <f t="array" ref="I26">IFERROR(_xlfn.XLOOKUP(1, (Table_Fuel_EFs_Transport[Fuel combusted]=$E26)*(Table_Fuel_EFs_Transport[Transport type]=$D$25), Table_Fuel_EFs_Transport[Scope 1 Emission Factor (kg CO2 - e / GJ) CH4]), 0)</f>
        <v>0.01</v>
      </c>
      <c r="J26" s="28" cm="1">
        <f t="array" ref="J26">IFERROR(_xlfn.XLOOKUP(1, (Table_Fuel_EFs_Transport[Fuel combusted]=$E26)*(Table_Fuel_EFs_Transport[Transport type]=$D$25), Table_Fuel_EFs_Transport[Scope 1 Emission Factor (kg CO2 - e / GJ) N2O]), 0)</f>
        <v>0.5</v>
      </c>
      <c r="K26" s="28" cm="1">
        <f t="array" ref="K26">IFERROR(_xlfn.XLOOKUP(1, (Table_Fuel_EFs_Transport[Fuel combusted]=$E26)*(Table_Fuel_EFs_Transport[Transport type]=$D$25), Table_Fuel_EFs_Transport[Scope 3 Emission Factor (kg CO2 - e / GJ)]), 0)</f>
        <v>17.3</v>
      </c>
      <c r="L26" s="116" cm="1">
        <f t="array" ref="L26">Fuel_InputFunctions.Fuel_TotalConsumption(Table_Input_Fuel[Amount consumed], Table_Input_Fuel[Fuel use (select)], D26, Table_Input_Fuel[Fuel type (select)],F26)</f>
        <v>10</v>
      </c>
      <c r="M26" s="116" t="str" cm="1">
        <f t="array" ref="M26">Common_InputFunctions.Utility_LookupValueInTable(F26,Table_FuelTypes_Units[Fuel type],Table_FuelTypes_Units[Unit])</f>
        <v>kL</v>
      </c>
      <c r="N26" s="130">
        <f>((($L26 * $G26 * $H26) * 10 ^ -3))</f>
        <v>26.981400000000001</v>
      </c>
      <c r="O26" s="130">
        <f>((($L26 * $G26 * $I26) * 10 ^ -3))</f>
        <v>3.8600000000000001E-3</v>
      </c>
      <c r="P26" s="130">
        <f>((($L26 * $G26 * $J26) * 10 ^ -3))</f>
        <v>0.193</v>
      </c>
      <c r="Q26" s="130">
        <f>((L26 * G26 * K26) * 10 ^ -3)</f>
        <v>6.6778000000000004</v>
      </c>
    </row>
    <row r="27" spans="1:17" ht="20.100000000000001" customHeight="1" x14ac:dyDescent="0.2">
      <c r="A27" s="29" t="str">
        <f>HYPERLINK("#'Constants - Fertiliser'!A1", "Constants - Fertiliser")</f>
        <v>Constants - Fertiliser</v>
      </c>
      <c r="D27" s="131" t="str">
        <f t="shared" si="0"/>
        <v>Cars and light commercial vehicles</v>
      </c>
      <c r="E27" s="129" t="str">
        <f>'Constants - Fuel'!$E$12</f>
        <v>Liquefied petroleum gas (LPG)</v>
      </c>
      <c r="F27" s="129" t="str">
        <f>'Constants - Fuel'!G133</f>
        <v>Liquefied petroleum gas (LPG)</v>
      </c>
      <c r="G27" s="28" cm="1">
        <f t="array" ref="G27">IFERROR(_xlfn.XLOOKUP(1, (Table_Fuel_EFs_Transport[Fuel combusted]=$E27)*(Table_Fuel_EFs_Transport[Transport type]=$D$25), Table_Fuel_EFs_Transport[Energy Content Factor (GJ per unit of fuel)]), 0)</f>
        <v>26.2</v>
      </c>
      <c r="H27" s="28" cm="1">
        <f t="array" ref="H27">IFERROR(_xlfn.XLOOKUP(1, (Table_Fuel_EFs_Transport[Fuel combusted]=$E27)*(Table_Fuel_EFs_Transport[Transport type]=$D$25), Table_Fuel_EFs_Transport[Scope 1 Emission Factor (kg CO2 - e / GJ) CO2]), 0)</f>
        <v>60.2</v>
      </c>
      <c r="I27" s="28" cm="1">
        <f t="array" ref="I27">IFERROR(_xlfn.XLOOKUP(1, (Table_Fuel_EFs_Transport[Fuel combusted]=$E27)*(Table_Fuel_EFs_Transport[Transport type]=$D$25), Table_Fuel_EFs_Transport[Scope 1 Emission Factor (kg CO2 - e / GJ) CH4]), 0)</f>
        <v>0.5</v>
      </c>
      <c r="J27" s="28" cm="1">
        <f t="array" ref="J27">IFERROR(_xlfn.XLOOKUP(1, (Table_Fuel_EFs_Transport[Fuel combusted]=$E27)*(Table_Fuel_EFs_Transport[Transport type]=$D$25), Table_Fuel_EFs_Transport[Scope 1 Emission Factor (kg CO2 - e / GJ) N2O]), 0)</f>
        <v>0.3</v>
      </c>
      <c r="K27" s="28" cm="1">
        <f t="array" ref="K27">IFERROR(_xlfn.XLOOKUP(1, (Table_Fuel_EFs_Transport[Fuel combusted]=$E27)*(Table_Fuel_EFs_Transport[Transport type]=$D$25), Table_Fuel_EFs_Transport[Scope 3 Emission Factor (kg CO2 - e / GJ)]), 0)</f>
        <v>20.2</v>
      </c>
      <c r="L27" s="116" cm="1">
        <f t="array" ref="L27">Fuel_InputFunctions.Fuel_TotalConsumption(Table_Input_Fuel[Amount consumed], Table_Input_Fuel[Fuel use (select)], D27, Table_Input_Fuel[Fuel type (select)],F27)</f>
        <v>0</v>
      </c>
      <c r="M27" s="116" t="str" cm="1">
        <f t="array" ref="M27">Common_InputFunctions.Utility_LookupValueInTable(F27,Table_FuelTypes_Units[Fuel type],Table_FuelTypes_Units[Unit])</f>
        <v>kL</v>
      </c>
      <c r="N27" s="130">
        <f>((($L27 * $G27 * $H27) * 10 ^ -3))</f>
        <v>0</v>
      </c>
      <c r="O27" s="130">
        <f>((($L27 * $G27 * $I27) * 10 ^ -3))</f>
        <v>0</v>
      </c>
      <c r="P27" s="130">
        <f>((($L27 * $G27 * $J27) * 10 ^ -3))</f>
        <v>0</v>
      </c>
      <c r="Q27" s="130">
        <f>((L27 * G27 * K27) * 10 ^ -3)</f>
        <v>0</v>
      </c>
    </row>
    <row r="28" spans="1:17" ht="20.100000000000001" customHeight="1" x14ac:dyDescent="0.2">
      <c r="A28" s="29" t="str">
        <f>HYPERLINK("#'Constants - Fuel'!A1", "Constants - Fuel")</f>
        <v>Constants - Fuel</v>
      </c>
      <c r="D28" s="131" t="str">
        <f t="shared" si="0"/>
        <v>Cars and light commercial vehicles</v>
      </c>
      <c r="E28" s="129" t="str">
        <f>'Constants - Fuel'!$E$13</f>
        <v>Fuel oil</v>
      </c>
      <c r="F28" s="129" t="str">
        <f>'Constants - Fuel'!G134</f>
        <v>Fuel oil</v>
      </c>
      <c r="G28" s="28" cm="1">
        <f t="array" ref="G28">IFERROR(_xlfn.XLOOKUP(1, (Table_Fuel_EFs_Transport[Fuel combusted]=$E28)*(Table_Fuel_EFs_Transport[Transport type]=$D$25), Table_Fuel_EFs_Transport[Energy Content Factor (GJ per unit of fuel)]), 0)</f>
        <v>39.700000000000003</v>
      </c>
      <c r="H28" s="28" cm="1">
        <f t="array" ref="H28">IFERROR(_xlfn.XLOOKUP(1, (Table_Fuel_EFs_Transport[Fuel combusted]=$E28)*(Table_Fuel_EFs_Transport[Transport type]=$D$25), Table_Fuel_EFs_Transport[Scope 1 Emission Factor (kg CO2 - e / GJ) CO2]), 0)</f>
        <v>73.599999999999994</v>
      </c>
      <c r="I28" s="28" cm="1">
        <f t="array" ref="I28">IFERROR(_xlfn.XLOOKUP(1, (Table_Fuel_EFs_Transport[Fuel combusted]=$E28)*(Table_Fuel_EFs_Transport[Transport type]=$D$25), Table_Fuel_EFs_Transport[Scope 1 Emission Factor (kg CO2 - e / GJ) CH4]), 0)</f>
        <v>0.08</v>
      </c>
      <c r="J28" s="28" cm="1">
        <f t="array" ref="J28">IFERROR(_xlfn.XLOOKUP(1, (Table_Fuel_EFs_Transport[Fuel combusted]=$E28)*(Table_Fuel_EFs_Transport[Transport type]=$D$25), Table_Fuel_EFs_Transport[Scope 1 Emission Factor (kg CO2 - e / GJ) N2O]), 0)</f>
        <v>0.5</v>
      </c>
      <c r="K28" s="28" cm="1">
        <f t="array" ref="K28">IFERROR(_xlfn.XLOOKUP(1, (Table_Fuel_EFs_Transport[Fuel combusted]=$E28)*(Table_Fuel_EFs_Transport[Transport type]=$D$25), Table_Fuel_EFs_Transport[Scope 3 Emission Factor (kg CO2 - e / GJ)]), 0)</f>
        <v>18</v>
      </c>
      <c r="L28" s="116" cm="1">
        <f t="array" ref="L28">Fuel_InputFunctions.Fuel_TotalConsumption(Table_Input_Fuel[Amount consumed], Table_Input_Fuel[Fuel use (select)], D28, Table_Input_Fuel[Fuel type (select)],F28)</f>
        <v>0</v>
      </c>
      <c r="M28" s="116" t="str" cm="1">
        <f t="array" ref="M28">Common_InputFunctions.Utility_LookupValueInTable(F28,Table_FuelTypes_Units[Fuel type],Table_FuelTypes_Units[Unit])</f>
        <v>kL</v>
      </c>
      <c r="N28" s="130">
        <f>((($L28 * $G28 * $H28) * 10 ^ -3))</f>
        <v>0</v>
      </c>
      <c r="O28" s="130">
        <f>((($L28 * $G28 * $I28) * 10 ^ -3))</f>
        <v>0</v>
      </c>
      <c r="P28" s="130">
        <f>((($L28 * $G28 * $J28) * 10 ^ -3))</f>
        <v>0</v>
      </c>
      <c r="Q28" s="130">
        <f>((L28 * G28 * K28) * 10 ^ -3)</f>
        <v>0</v>
      </c>
    </row>
    <row r="29" spans="1:17" ht="20.100000000000001" customHeight="1" x14ac:dyDescent="0.2">
      <c r="A29" s="29" t="str">
        <f>HYPERLINK("#'Constants - Common'!A1", "Constants - Common")</f>
        <v>Constants - Common</v>
      </c>
      <c r="D29" s="131" t="str">
        <f t="shared" si="0"/>
        <v>Cars and light commercial vehicles</v>
      </c>
      <c r="E29" s="129" t="str">
        <f>'Constants - Fuel'!$E$14</f>
        <v>Ethanol</v>
      </c>
      <c r="F29" s="129" t="str">
        <f>'Constants - Fuel'!G135</f>
        <v>Ethanol</v>
      </c>
      <c r="G29" s="28" cm="1">
        <f t="array" ref="G29">IFERROR(_xlfn.XLOOKUP(1, (Table_Fuel_EFs_Transport[Fuel combusted]=$E29)*(Table_Fuel_EFs_Transport[Transport type]=$D$25), Table_Fuel_EFs_Transport[Energy Content Factor (GJ per unit of fuel)]), 0)</f>
        <v>23.4</v>
      </c>
      <c r="H29" s="28" cm="1">
        <f t="array" ref="H29">IFERROR(_xlfn.XLOOKUP(1, (Table_Fuel_EFs_Transport[Fuel combusted]=$E29)*(Table_Fuel_EFs_Transport[Transport type]=$D$25), Table_Fuel_EFs_Transport[Scope 1 Emission Factor (kg CO2 - e / GJ) CO2]), 0)</f>
        <v>0</v>
      </c>
      <c r="I29" s="28" cm="1">
        <f t="array" ref="I29">IFERROR(_xlfn.XLOOKUP(1, (Table_Fuel_EFs_Transport[Fuel combusted]=$E29)*(Table_Fuel_EFs_Transport[Transport type]=$D$25), Table_Fuel_EFs_Transport[Scope 1 Emission Factor (kg CO2 - e / GJ) CH4]), 0)</f>
        <v>0.2</v>
      </c>
      <c r="J29" s="28" cm="1">
        <f t="array" ref="J29">IFERROR(_xlfn.XLOOKUP(1, (Table_Fuel_EFs_Transport[Fuel combusted]=$E29)*(Table_Fuel_EFs_Transport[Transport type]=$D$25), Table_Fuel_EFs_Transport[Scope 1 Emission Factor (kg CO2 - e / GJ) N2O]), 0)</f>
        <v>0.2</v>
      </c>
      <c r="K29" s="28" t="str" cm="1">
        <f t="array" ref="K29">IFERROR(_xlfn.XLOOKUP(1, (Table_Fuel_EFs_Transport[Fuel combusted]=$E29)*(Table_Fuel_EFs_Transport[Transport type]=$D$25), Table_Fuel_EFs_Transport[Scope 3 Emission Factor (kg CO2 - e / GJ)]), 0)</f>
        <v>NE</v>
      </c>
      <c r="L29" s="116" cm="1">
        <f t="array" ref="L29">Fuel_InputFunctions.Fuel_TotalConsumption(Table_Input_Fuel[Amount consumed], Table_Input_Fuel[Fuel use (select)], D29, Table_Input_Fuel[Fuel type (select)],F29)</f>
        <v>0</v>
      </c>
      <c r="M29" s="116" t="str" cm="1">
        <f t="array" ref="M29">Common_InputFunctions.Utility_LookupValueInTable(F29,Table_FuelTypes_Units[Fuel type],Table_FuelTypes_Units[Unit])</f>
        <v>kL</v>
      </c>
      <c r="N29" s="130">
        <f>((($L29 * $G29 * $H29) * 10 ^ -3))</f>
        <v>0</v>
      </c>
      <c r="O29" s="130">
        <f>((($L29 * $G29 * $I29) * 10 ^ -3))</f>
        <v>0</v>
      </c>
      <c r="P29" s="130">
        <f>((($L29 * $G29 * $J29) * 10 ^ -3))</f>
        <v>0</v>
      </c>
      <c r="Q29" s="130">
        <f>((L29 * G29 * (IF(ISNUMBER(K29),K29,0))) * 10 ^ -3)</f>
        <v>0</v>
      </c>
    </row>
    <row r="30" spans="1:17" ht="20.100000000000001" customHeight="1" x14ac:dyDescent="0.2">
      <c r="D30" s="131" t="str">
        <f t="shared" si="0"/>
        <v>Cars and light commercial vehicles</v>
      </c>
      <c r="E30" s="129" t="str">
        <f>'Constants - Fuel'!$E$15</f>
        <v>Biodiesel</v>
      </c>
      <c r="F30" s="129" t="str">
        <f>'Constants - Fuel'!G136</f>
        <v>Biodiesel</v>
      </c>
      <c r="G30" s="28" cm="1">
        <f t="array" ref="G30">IFERROR(_xlfn.XLOOKUP(1, (Table_Fuel_EFs_Transport[Fuel combusted]=$E30)*(Table_Fuel_EFs_Transport[Transport type]=$D$25), Table_Fuel_EFs_Transport[Energy Content Factor (GJ per unit of fuel)]), 0)</f>
        <v>34.6</v>
      </c>
      <c r="H30" s="28" cm="1">
        <f t="array" ref="H30">IFERROR(_xlfn.XLOOKUP(1, (Table_Fuel_EFs_Transport[Fuel combusted]=$E30)*(Table_Fuel_EFs_Transport[Transport type]=$D$25), Table_Fuel_EFs_Transport[Scope 1 Emission Factor (kg CO2 - e / GJ) CO2]), 0)</f>
        <v>0</v>
      </c>
      <c r="I30" s="28" cm="1">
        <f t="array" ref="I30">IFERROR(_xlfn.XLOOKUP(1, (Table_Fuel_EFs_Transport[Fuel combusted]=$E30)*(Table_Fuel_EFs_Transport[Transport type]=$D$25), Table_Fuel_EFs_Transport[Scope 1 Emission Factor (kg CO2 - e / GJ) CH4]), 0)</f>
        <v>0.8</v>
      </c>
      <c r="J30" s="28" cm="1">
        <f t="array" ref="J30">IFERROR(_xlfn.XLOOKUP(1, (Table_Fuel_EFs_Transport[Fuel combusted]=$E30)*(Table_Fuel_EFs_Transport[Transport type]=$D$25), Table_Fuel_EFs_Transport[Scope 1 Emission Factor (kg CO2 - e / GJ) N2O]), 0)</f>
        <v>1.7</v>
      </c>
      <c r="K30" s="28" t="str" cm="1">
        <f t="array" ref="K30">IFERROR(_xlfn.XLOOKUP(1, (Table_Fuel_EFs_Transport[Fuel combusted]=$E30)*(Table_Fuel_EFs_Transport[Transport type]=$D$25), Table_Fuel_EFs_Transport[Scope 3 Emission Factor (kg CO2 - e / GJ)]), 0)</f>
        <v>NE</v>
      </c>
      <c r="L30" s="116" cm="1">
        <f t="array" ref="L30">Fuel_InputFunctions.Fuel_TotalConsumption(Table_Input_Fuel[Amount consumed], Table_Input_Fuel[Fuel use (select)], D30, Table_Input_Fuel[Fuel type (select)],F30)</f>
        <v>0</v>
      </c>
      <c r="M30" s="116" t="str" cm="1">
        <f t="array" ref="M30">Common_InputFunctions.Utility_LookupValueInTable(F30,Table_FuelTypes_Units[Fuel type],Table_FuelTypes_Units[Unit])</f>
        <v>kL</v>
      </c>
      <c r="N30" s="130">
        <f>((($L30 * $G30 * $H30) * 10 ^ -3))</f>
        <v>0</v>
      </c>
      <c r="O30" s="130">
        <f>((($L30 * $G30 * $I30) * 10 ^ -3))</f>
        <v>0</v>
      </c>
      <c r="P30" s="130">
        <f>((($L30 * $G30 * $J30) * 10 ^ -3))</f>
        <v>0</v>
      </c>
      <c r="Q30" s="130">
        <f>((L30 * G30 * (IF(ISNUMBER(K30),K30,0))) * 10 ^ -3)</f>
        <v>0</v>
      </c>
    </row>
    <row r="31" spans="1:17" ht="20.100000000000001" customHeight="1" x14ac:dyDescent="0.2">
      <c r="D31" s="131" t="str">
        <f t="shared" si="0"/>
        <v>Cars and light commercial vehicles</v>
      </c>
      <c r="E31" s="129" t="str">
        <f>'Constants - Fuel'!$E$16</f>
        <v>Renewable diesel</v>
      </c>
      <c r="F31" s="129" t="str">
        <f>'Constants - Fuel'!G137</f>
        <v>Renewable diesel</v>
      </c>
      <c r="G31" s="28" cm="1">
        <f t="array" ref="G31">IFERROR(_xlfn.XLOOKUP(1, (Table_Fuel_EFs_Transport[Fuel combusted]=$E31)*(Table_Fuel_EFs_Transport[Transport type]=$D$25), Table_Fuel_EFs_Transport[Energy Content Factor (GJ per unit of fuel)]), 0)</f>
        <v>38.6</v>
      </c>
      <c r="H31" s="28" cm="1">
        <f t="array" ref="H31">IFERROR(_xlfn.XLOOKUP(1, (Table_Fuel_EFs_Transport[Fuel combusted]=$E31)*(Table_Fuel_EFs_Transport[Transport type]=$D$25), Table_Fuel_EFs_Transport[Scope 1 Emission Factor (kg CO2 - e / GJ) CO2]), 0)</f>
        <v>0</v>
      </c>
      <c r="I31" s="28" cm="1">
        <f t="array" ref="I31">IFERROR(_xlfn.XLOOKUP(1, (Table_Fuel_EFs_Transport[Fuel combusted]=$E31)*(Table_Fuel_EFs_Transport[Transport type]=$D$25), Table_Fuel_EFs_Transport[Scope 1 Emission Factor (kg CO2 - e / GJ) CH4]), 0)</f>
        <v>0.01</v>
      </c>
      <c r="J31" s="28" cm="1">
        <f t="array" ref="J31">IFERROR(_xlfn.XLOOKUP(1, (Table_Fuel_EFs_Transport[Fuel combusted]=$E31)*(Table_Fuel_EFs_Transport[Transport type]=$D$25), Table_Fuel_EFs_Transport[Scope 1 Emission Factor (kg CO2 - e / GJ) N2O]), 0)</f>
        <v>0.5</v>
      </c>
      <c r="K31" s="28" t="str" cm="1">
        <f t="array" ref="K31">IFERROR(_xlfn.XLOOKUP(1, (Table_Fuel_EFs_Transport[Fuel combusted]=$E31)*(Table_Fuel_EFs_Transport[Transport type]=$D$25), Table_Fuel_EFs_Transport[Scope 3 Emission Factor (kg CO2 - e / GJ)]), 0)</f>
        <v>NE</v>
      </c>
      <c r="L31" s="116" cm="1">
        <f t="array" ref="L31">Fuel_InputFunctions.Fuel_TotalConsumption(Table_Input_Fuel[Amount consumed], Table_Input_Fuel[Fuel use (select)], D31, Table_Input_Fuel[Fuel type (select)],F31)</f>
        <v>0</v>
      </c>
      <c r="M31" s="116" t="str" cm="1">
        <f t="array" ref="M31">Common_InputFunctions.Utility_LookupValueInTable(F31,Table_FuelTypes_Units[Fuel type],Table_FuelTypes_Units[Unit])</f>
        <v>kL</v>
      </c>
      <c r="N31" s="130">
        <f>((($L31 * $G31 * $H31) * 10 ^ -3))</f>
        <v>0</v>
      </c>
      <c r="O31" s="130">
        <f>((($L31 * $G31 * $I31) * 10 ^ -3))</f>
        <v>0</v>
      </c>
      <c r="P31" s="130">
        <f>((($L31 * $G31 * $J31) * 10 ^ -3))</f>
        <v>0</v>
      </c>
      <c r="Q31" s="130">
        <f>((L31 * G31 * (IF(ISNUMBER(K31),K31,0))) * 10 ^ -3)</f>
        <v>0</v>
      </c>
    </row>
    <row r="32" spans="1:17" ht="20.100000000000001" customHeight="1" x14ac:dyDescent="0.2">
      <c r="D32" s="131" t="str">
        <f t="shared" si="0"/>
        <v>Cars and light commercial vehicles</v>
      </c>
      <c r="E32" s="129" t="str">
        <f>'Constants - Fuel'!$E$17</f>
        <v>Other biofuels</v>
      </c>
      <c r="F32" s="129" t="str">
        <f>'Constants - Fuel'!G138</f>
        <v>Other biofuels</v>
      </c>
      <c r="G32" s="28" cm="1">
        <f t="array" ref="G32">IFERROR(_xlfn.XLOOKUP(1, (Table_Fuel_EFs_Transport[Fuel combusted]=$E32)*(Table_Fuel_EFs_Transport[Transport type]=$D$25), Table_Fuel_EFs_Transport[Energy Content Factor (GJ per unit of fuel)]), 0)</f>
        <v>23.4</v>
      </c>
      <c r="H32" s="28" cm="1">
        <f t="array" ref="H32">IFERROR(_xlfn.XLOOKUP(1, (Table_Fuel_EFs_Transport[Fuel combusted]=$E32)*(Table_Fuel_EFs_Transport[Transport type]=$D$25), Table_Fuel_EFs_Transport[Scope 1 Emission Factor (kg CO2 - e / GJ) CO2]), 0)</f>
        <v>0</v>
      </c>
      <c r="I32" s="28" cm="1">
        <f t="array" ref="I32">IFERROR(_xlfn.XLOOKUP(1, (Table_Fuel_EFs_Transport[Fuel combusted]=$E32)*(Table_Fuel_EFs_Transport[Transport type]=$D$25), Table_Fuel_EFs_Transport[Scope 1 Emission Factor (kg CO2 - e / GJ) CH4]), 0)</f>
        <v>0.8</v>
      </c>
      <c r="J32" s="28" cm="1">
        <f t="array" ref="J32">IFERROR(_xlfn.XLOOKUP(1, (Table_Fuel_EFs_Transport[Fuel combusted]=$E32)*(Table_Fuel_EFs_Transport[Transport type]=$D$25), Table_Fuel_EFs_Transport[Scope 1 Emission Factor (kg CO2 - e / GJ) N2O]), 0)</f>
        <v>1.7</v>
      </c>
      <c r="K32" s="127" t="str" cm="1">
        <f t="array" ref="K32">IFERROR(_xlfn.XLOOKUP(1, (Table_Fuel_EFs_Transport[Fuel combusted]=$E32)*(Table_Fuel_EFs_Transport[Transport type]=$D$25), Table_Fuel_EFs_Transport[Scope 3 Emission Factor (kg CO2 - e / GJ)]), 0)</f>
        <v>NE</v>
      </c>
      <c r="L32" s="132" cm="1">
        <f t="array" ref="L32">Fuel_InputFunctions.Fuel_TotalConsumption(Table_Input_Fuel[Amount consumed], Table_Input_Fuel[Fuel use (select)], D32, Table_Input_Fuel[Fuel type (select)],F32)</f>
        <v>0</v>
      </c>
      <c r="M32" s="116" t="str" cm="1">
        <f t="array" ref="M32">Common_InputFunctions.Utility_LookupValueInTable(F32,Table_FuelTypes_Units[Fuel type],Table_FuelTypes_Units[Unit])</f>
        <v>kL</v>
      </c>
      <c r="N32" s="133">
        <f>((($L32 * $G32 * $H32) * 10 ^ -3))</f>
        <v>0</v>
      </c>
      <c r="O32" s="133">
        <f>((($L32 * $G32 * $I32) * 10 ^ -3))</f>
        <v>0</v>
      </c>
      <c r="P32" s="133">
        <f>((($L32 * $G32 * $J32) * 10 ^ -3))</f>
        <v>0</v>
      </c>
      <c r="Q32" s="130">
        <f>((L32 * G32 * (IF(ISNUMBER(K32),K32,0))) * 10 ^ -3)</f>
        <v>0</v>
      </c>
    </row>
    <row r="33" spans="1:17" ht="20.100000000000001" customHeight="1" x14ac:dyDescent="0.2">
      <c r="D33" s="134" t="str">
        <f>Table_FuelTypesPerUse[[#Headers],[Off-road Agriculture and forestry equipment]]</f>
        <v>Off-road Agriculture and forestry equipment</v>
      </c>
      <c r="E33" s="135" t="str">
        <f>'Constants - Fuel'!$E$11</f>
        <v>Diesel oil</v>
      </c>
      <c r="F33" s="135" t="str">
        <f>'Constants - Fuel'!H131</f>
        <v>Diesel</v>
      </c>
      <c r="G33" s="136" cm="1">
        <f t="array" ref="G33">IFERROR(_xlfn.XLOOKUP(1, (Table_Fuel_EFs_Transport[Fuel combusted]=$E33)*(Table_Fuel_EFs_Transport[Transport type]=$D$33), Table_Fuel_EFs_Transport[Energy Content Factor (GJ per unit of fuel)]), 0)</f>
        <v>38.6</v>
      </c>
      <c r="H33" s="136" cm="1">
        <f t="array" ref="H33">IFERROR(_xlfn.XLOOKUP(1, (Table_Fuel_EFs_Transport[Fuel combusted]=$E33)*(Table_Fuel_EFs_Transport[Transport type]=$D$33), Table_Fuel_EFs_Transport[Scope 1 Emission Factor (kg CO2 - e / GJ) CO2]), 0)</f>
        <v>69.900000000000006</v>
      </c>
      <c r="I33" s="136" cm="1">
        <f t="array" ref="I33">IFERROR(_xlfn.XLOOKUP(1, (Table_Fuel_EFs_Transport[Fuel combusted]=$E33)*(Table_Fuel_EFs_Transport[Transport type]=$D$33), Table_Fuel_EFs_Transport[Scope 1 Emission Factor (kg CO2 - e / GJ) CH4]), 0)</f>
        <v>0.3</v>
      </c>
      <c r="J33" s="136" cm="1">
        <f t="array" ref="J33">IFERROR(_xlfn.XLOOKUP(1, (Table_Fuel_EFs_Transport[Fuel combusted]=$E33)*(Table_Fuel_EFs_Transport[Transport type]=$D$33), Table_Fuel_EFs_Transport[Scope 1 Emission Factor (kg CO2 - e / GJ) N2O]), 0)</f>
        <v>0.5</v>
      </c>
      <c r="K33" s="137" cm="1">
        <f t="array" ref="K33">IFERROR(_xlfn.XLOOKUP(1, (Table_Fuel_EFs_Transport[Fuel combusted]=$E33)*(Table_Fuel_EFs_Transport[Transport type]=$D$25), Table_Fuel_EFs_Transport[Scope 3 Emission Factor (kg CO2 - e / GJ)]), 0)</f>
        <v>17.3</v>
      </c>
      <c r="L33" s="138" cm="1">
        <f t="array" ref="L33">Fuel_InputFunctions.Fuel_TotalConsumption(Table_Input_Fuel[Amount consumed], Table_Input_Fuel[Fuel use (select)], D33, Table_Input_Fuel[Fuel type (select)],F33)</f>
        <v>10</v>
      </c>
      <c r="M33" s="139" t="str" cm="1">
        <f t="array" ref="M33">Common_InputFunctions.Utility_LookupValueInTable(F33,Table_FuelTypes_Units[Fuel type],Table_FuelTypes_Units[Unit])</f>
        <v>kL</v>
      </c>
      <c r="N33" s="140">
        <f>((($L33 * $G33 * $H33) * 10 ^ -3))</f>
        <v>26.981400000000001</v>
      </c>
      <c r="O33" s="140">
        <f>((($L33 * $G33 * $I33) * 10 ^ -3))</f>
        <v>0.1158</v>
      </c>
      <c r="P33" s="140">
        <f>((($L33 * $G33 * $J33) * 10 ^ -3))</f>
        <v>0.193</v>
      </c>
      <c r="Q33" s="141">
        <f>((L33 * G33 * K33) * 10 ^ -3)</f>
        <v>6.6778000000000004</v>
      </c>
    </row>
    <row r="34" spans="1:17" ht="20.100000000000001" customHeight="1" x14ac:dyDescent="0.2">
      <c r="D34" s="134" t="str">
        <f>Table_FuelTypesPerUse[[#Headers],[Aviation]]</f>
        <v>Aviation</v>
      </c>
      <c r="E34" s="135" t="str">
        <f>'Constants - Fuel'!$E$28</f>
        <v>Gasoline for use as fuel in an aircraft</v>
      </c>
      <c r="F34" s="135" t="str">
        <f>'Constants - Fuel'!$F$131</f>
        <v>Avgas</v>
      </c>
      <c r="G34" s="142" cm="1">
        <f t="array" ref="G34">IFERROR(_xlfn.XLOOKUP(1, (Table_Fuel_EFs_Transport[Fuel combusted]=$E34)*(Table_Fuel_EFs_Transport[Transport type]=$D$34), Table_Fuel_EFs_Transport[Energy Content Factor (GJ per unit of fuel)]), 0)</f>
        <v>33.1</v>
      </c>
      <c r="H34" s="142" cm="1">
        <f t="array" ref="H34">IFERROR(_xlfn.XLOOKUP(1, (Table_Fuel_EFs_Transport[Fuel combusted]=$E34)*(Table_Fuel_EFs_Transport[Transport type]=$D$34), Table_Fuel_EFs_Transport[Scope 1 Emission Factor (kg CO2 - e / GJ) CO2]), 0)</f>
        <v>67</v>
      </c>
      <c r="I34" s="142" cm="1">
        <f t="array" ref="I34">IFERROR(_xlfn.XLOOKUP(1, (Table_Fuel_EFs_Transport[Fuel combusted]=$E34)*(Table_Fuel_EFs_Transport[Transport type]=$D$34), Table_Fuel_EFs_Transport[Scope 1 Emission Factor (kg CO2 - e / GJ) CH4]), 0)</f>
        <v>0.06</v>
      </c>
      <c r="J34" s="142" cm="1">
        <f t="array" ref="J34">IFERROR(_xlfn.XLOOKUP(1, (Table_Fuel_EFs_Transport[Fuel combusted]=$E34)*(Table_Fuel_EFs_Transport[Transport type]=$D$34), Table_Fuel_EFs_Transport[Scope 1 Emission Factor (kg CO2 - e / GJ) N2O]), 0)</f>
        <v>0.6</v>
      </c>
      <c r="K34" s="142" cm="1">
        <f t="array" ref="K34">IFERROR(_xlfn.XLOOKUP(1, (Table_Fuel_EFs_Transport[Fuel combusted]=$E34)*(Table_Fuel_EFs_Transport[Transport type]=$D$25), Table_Fuel_EFs_Transport[Scope 3 Emission Factor (kg CO2 - e / GJ)]), 0)</f>
        <v>0</v>
      </c>
      <c r="L34" s="139" cm="1">
        <f t="array" ref="L34">Fuel_InputFunctions.Fuel_TotalConsumption(Table_Input_Fuel[Amount consumed], Table_Input_Fuel[Fuel use (select)], D34, Table_Input_Fuel[Fuel type (select)],F34)</f>
        <v>0</v>
      </c>
      <c r="M34" s="139" t="str" cm="1">
        <f t="array" ref="M34">Common_InputFunctions.Utility_LookupValueInTable(F34,Table_FuelTypes_Units[Fuel type],Table_FuelTypes_Units[Unit])</f>
        <v>kL</v>
      </c>
      <c r="N34" s="140">
        <f>((($L34 * $G34 * $H34) * 10 ^ -3))</f>
        <v>0</v>
      </c>
      <c r="O34" s="140">
        <f>((($L34 * $G34 * $I34) * 10 ^ -3))</f>
        <v>0</v>
      </c>
      <c r="P34" s="140">
        <f>((($L34 * $G34 * $J34) * 10 ^ -3))</f>
        <v>0</v>
      </c>
      <c r="Q34" s="140">
        <f>((L34 * G34 * K34) * 10 ^ -3)</f>
        <v>0</v>
      </c>
    </row>
    <row r="35" spans="1:17" ht="20.100000000000001" customHeight="1" x14ac:dyDescent="0.2">
      <c r="D35" s="131" t="str">
        <f>$D$34</f>
        <v>Aviation</v>
      </c>
      <c r="E35" s="129" t="str">
        <f>'Constants - Fuel'!$E$29</f>
        <v>Kerosene for use as fuel in an aircraft</v>
      </c>
      <c r="F35" s="129" t="str">
        <f>'Constants - Fuel'!$F$132</f>
        <v>Jet A1, Jet B</v>
      </c>
      <c r="G35" s="28" cm="1">
        <f t="array" ref="G35">IFERROR(_xlfn.XLOOKUP(1, (Table_Fuel_EFs_Transport[Fuel combusted]=$E35)*(Table_Fuel_EFs_Transport[Transport type]=$D$34), Table_Fuel_EFs_Transport[Energy Content Factor (GJ per unit of fuel)]), 0)</f>
        <v>36.799999999999997</v>
      </c>
      <c r="H35" s="28" cm="1">
        <f t="array" ref="H35">IFERROR(_xlfn.XLOOKUP(1, (Table_Fuel_EFs_Transport[Fuel combusted]=$E35)*(Table_Fuel_EFs_Transport[Transport type]=$D$34), Table_Fuel_EFs_Transport[Scope 1 Emission Factor (kg CO2 - e / GJ) CO2]), 0)</f>
        <v>69.599999999999994</v>
      </c>
      <c r="I35" s="28" cm="1">
        <f t="array" ref="I35">IFERROR(_xlfn.XLOOKUP(1, (Table_Fuel_EFs_Transport[Fuel combusted]=$E35)*(Table_Fuel_EFs_Transport[Transport type]=$D$34), Table_Fuel_EFs_Transport[Scope 1 Emission Factor (kg CO2 - e / GJ) CH4]), 0)</f>
        <v>0.01</v>
      </c>
      <c r="J35" s="28" cm="1">
        <f t="array" ref="J35">IFERROR(_xlfn.XLOOKUP(1, (Table_Fuel_EFs_Transport[Fuel combusted]=$E35)*(Table_Fuel_EFs_Transport[Transport type]=$D$34), Table_Fuel_EFs_Transport[Scope 1 Emission Factor (kg CO2 - e / GJ) N2O]), 0)</f>
        <v>0.6</v>
      </c>
      <c r="K35" s="28" cm="1">
        <f t="array" ref="K35">IFERROR(_xlfn.XLOOKUP(1, (Table_Fuel_EFs_Transport[Fuel combusted]=$E35)*(Table_Fuel_EFs_Transport[Transport type]=$D$25), Table_Fuel_EFs_Transport[Scope 3 Emission Factor (kg CO2 - e / GJ)]), 0)</f>
        <v>0</v>
      </c>
      <c r="L35" s="116" cm="1">
        <f t="array" ref="L35">Fuel_InputFunctions.Fuel_TotalConsumption(Table_Input_Fuel[Amount consumed], Table_Input_Fuel[Fuel use (select)], D35, Table_Input_Fuel[Fuel type (select)],F35)</f>
        <v>0</v>
      </c>
      <c r="M35" s="116" t="str" cm="1">
        <f t="array" ref="M35">Common_InputFunctions.Utility_LookupValueInTable(F35,Table_FuelTypes_Units[Fuel type],Table_FuelTypes_Units[Unit])</f>
        <v>kL</v>
      </c>
      <c r="N35" s="130">
        <f>((($L35 * $G35 * $H35) * 10 ^ -3))</f>
        <v>0</v>
      </c>
      <c r="O35" s="130">
        <f>((($L35 * $G35 * $I35) * 10 ^ -3))</f>
        <v>0</v>
      </c>
      <c r="P35" s="130">
        <f>((($L35 * $G35 * $J35) * 10 ^ -3))</f>
        <v>0</v>
      </c>
      <c r="Q35" s="130">
        <f>((L35 * G35 * K35) * 10 ^ -3)</f>
        <v>0</v>
      </c>
    </row>
    <row r="36" spans="1:17" ht="20.100000000000001" customHeight="1" x14ac:dyDescent="0.2">
      <c r="D36" s="131" t="str">
        <f>$D$34</f>
        <v>Aviation</v>
      </c>
      <c r="E36" s="129" t="str">
        <f>'Constants - Fuel'!$E$30</f>
        <v>Renewable aviation kerosene</v>
      </c>
      <c r="F36" s="129" t="str">
        <f>'Constants - Fuel'!$F$133</f>
        <v>Renewable aviation kerosene</v>
      </c>
      <c r="G36" s="127" cm="1">
        <f t="array" ref="G36">IFERROR(_xlfn.XLOOKUP(1, (Table_Fuel_EFs_Transport[Fuel combusted]=$E36)*(Table_Fuel_EFs_Transport[Transport type]=$D$34), Table_Fuel_EFs_Transport[Energy Content Factor (GJ per unit of fuel)]), 0)</f>
        <v>36.799999999999997</v>
      </c>
      <c r="H36" s="127" cm="1">
        <f t="array" ref="H36">IFERROR(_xlfn.XLOOKUP(1, (Table_Fuel_EFs_Transport[Fuel combusted]=$E36)*(Table_Fuel_EFs_Transport[Transport type]=$D$34), Table_Fuel_EFs_Transport[Scope 1 Emission Factor (kg CO2 - e / GJ) CO2]), 0)</f>
        <v>0</v>
      </c>
      <c r="I36" s="127" cm="1">
        <f t="array" ref="I36">IFERROR(_xlfn.XLOOKUP(1, (Table_Fuel_EFs_Transport[Fuel combusted]=$E36)*(Table_Fuel_EFs_Transport[Transport type]=$D$34), Table_Fuel_EFs_Transport[Scope 1 Emission Factor (kg CO2 - e / GJ) CH4]), 0)</f>
        <v>0.01</v>
      </c>
      <c r="J36" s="127" cm="1">
        <f t="array" ref="J36">IFERROR(_xlfn.XLOOKUP(1, (Table_Fuel_EFs_Transport[Fuel combusted]=$E36)*(Table_Fuel_EFs_Transport[Transport type]=$D$34), Table_Fuel_EFs_Transport[Scope 1 Emission Factor (kg CO2 - e / GJ) N2O]), 0)</f>
        <v>0.6</v>
      </c>
      <c r="K36" s="127" cm="1">
        <f t="array" ref="K36">IFERROR(_xlfn.XLOOKUP(1, (Table_Fuel_EFs_Transport[Fuel combusted]=$E36)*(Table_Fuel_EFs_Transport[Transport type]=$D$25), Table_Fuel_EFs_Transport[Scope 3 Emission Factor (kg CO2 - e / GJ)]), 0)</f>
        <v>0</v>
      </c>
      <c r="L36" s="132" cm="1">
        <f t="array" ref="L36">Fuel_InputFunctions.Fuel_TotalConsumption(Table_Input_Fuel[Amount consumed], Table_Input_Fuel[Fuel use (select)], D36, Table_Input_Fuel[Fuel type (select)],F36)</f>
        <v>0</v>
      </c>
      <c r="M36" s="116" t="str" cm="1">
        <f t="array" ref="M36">Common_InputFunctions.Utility_LookupValueInTable(F36,Table_FuelTypes_Units[Fuel type],Table_FuelTypes_Units[Unit])</f>
        <v>kL</v>
      </c>
      <c r="N36" s="130">
        <f>((($L36 * $G36 * $H36) * 10 ^ -3))</f>
        <v>0</v>
      </c>
      <c r="O36" s="130">
        <f>((($L36 * $G36 * $I36) * 10 ^ -3))</f>
        <v>0</v>
      </c>
      <c r="P36" s="130">
        <f>((($L36 * $G36 * $J36) * 10 ^ -3))</f>
        <v>0</v>
      </c>
      <c r="Q36" s="133">
        <f>((L36 * G36 * K36) * 10 ^ -3)</f>
        <v>0</v>
      </c>
    </row>
    <row r="37" spans="1:17" ht="20.100000000000001" customHeight="1" x14ac:dyDescent="0.2">
      <c r="D37" s="134" t="str">
        <f>Table_FuelTypesPerUse[[#Headers],[Vessels]]</f>
        <v>Vessels</v>
      </c>
      <c r="E37" s="135" t="str">
        <f>'Constants - Fuel'!$E$10</f>
        <v>Gasoline</v>
      </c>
      <c r="F37" s="135" t="str">
        <f>'Constants - Fuel'!$I$131</f>
        <v>Petrol</v>
      </c>
      <c r="G37" s="142" cm="1">
        <f t="array" ref="G37">IFERROR(_xlfn.XLOOKUP(1, (Table_Fuel_EFs_Transport[Fuel combusted]=$E37)*(Table_Fuel_EFs_Transport[Transport type]=$D$37), Table_Fuel_EFs_Transport[Energy Content Factor (GJ per unit of fuel)]), 0)</f>
        <v>34.200000000000003</v>
      </c>
      <c r="H37" s="142" cm="1">
        <f t="array" ref="H37">IFERROR(_xlfn.XLOOKUP(1, (Table_Fuel_EFs_Transport[Fuel combusted]=$E37)*(Table_Fuel_EFs_Transport[Transport type]=$D$37), Table_Fuel_EFs_Transport[Scope 1 Emission Factor (kg CO2 - e / GJ) CO2]), 0)</f>
        <v>67.400000000000006</v>
      </c>
      <c r="I37" s="142" cm="1">
        <f t="array" ref="I37">IFERROR(_xlfn.XLOOKUP(1, (Table_Fuel_EFs_Transport[Fuel combusted]=$E37)*(Table_Fuel_EFs_Transport[Transport type]=$D$37), Table_Fuel_EFs_Transport[Scope 1 Emission Factor (kg CO2 - e / GJ) CH4]), 0)</f>
        <v>10.1</v>
      </c>
      <c r="J37" s="142" cm="1">
        <f t="array" ref="J37">IFERROR(_xlfn.XLOOKUP(1, (Table_Fuel_EFs_Transport[Fuel combusted]=$E37)*(Table_Fuel_EFs_Transport[Transport type]=$D$37), Table_Fuel_EFs_Transport[Scope 1 Emission Factor (kg CO2 - e / GJ) N2O]), 0)</f>
        <v>0.3</v>
      </c>
      <c r="K37" s="142" cm="1">
        <f t="array" ref="K37">IFERROR(_xlfn.XLOOKUP(1, (Table_Fuel_EFs_Transport[Fuel combusted]=$E37)*(Table_Fuel_EFs_Transport[Transport type]=$D$25), Table_Fuel_EFs_Transport[Scope 3 Emission Factor (kg CO2 - e / GJ)]), 0)</f>
        <v>17.2</v>
      </c>
      <c r="L37" s="139" cm="1">
        <f t="array" ref="L37">Fuel_InputFunctions.Fuel_TotalConsumption(Table_Input_Fuel[Amount consumed], Table_Input_Fuel[Fuel use (select)], D37, Table_Input_Fuel[Fuel type (select)],F37)</f>
        <v>0</v>
      </c>
      <c r="M37" s="143" t="str" cm="1">
        <f t="array" ref="M37">Common_InputFunctions.Utility_LookupValueInTable(F37,Table_FuelTypes_Units[Fuel type],Table_FuelTypes_Units[Unit])</f>
        <v>kL</v>
      </c>
      <c r="N37" s="140">
        <f>((($L37 * $G37 * $H37) * 10 ^ -3))</f>
        <v>0</v>
      </c>
      <c r="O37" s="140">
        <f>((($L37 * $G37 * $I37) * 10 ^ -3))</f>
        <v>0</v>
      </c>
      <c r="P37" s="140">
        <f>((($L37 * $G37 * $J37) * 10 ^ -3))</f>
        <v>0</v>
      </c>
      <c r="Q37" s="140">
        <f>((L37 * G37 * K37) * 10 ^ -3)</f>
        <v>0</v>
      </c>
    </row>
    <row r="38" spans="1:17" ht="20.100000000000001" customHeight="1" x14ac:dyDescent="0.2">
      <c r="D38" s="131" t="str">
        <f>$D$37</f>
        <v>Vessels</v>
      </c>
      <c r="E38" s="129" t="str">
        <f>'Constants - Fuel'!$E$11</f>
        <v>Diesel oil</v>
      </c>
      <c r="F38" s="129" t="str">
        <f>'Constants - Fuel'!$I$132</f>
        <v>Diesel</v>
      </c>
      <c r="G38" s="28" cm="1">
        <f t="array" ref="G38">IFERROR(_xlfn.XLOOKUP(1, (Table_Fuel_EFs_Transport[Fuel combusted]=$E38)*(Table_Fuel_EFs_Transport[Transport type]=$D$37), Table_Fuel_EFs_Transport[Energy Content Factor (GJ per unit of fuel)]), 0)</f>
        <v>38.6</v>
      </c>
      <c r="H38" s="28" cm="1">
        <f t="array" ref="H38">IFERROR(_xlfn.XLOOKUP(1, (Table_Fuel_EFs_Transport[Fuel combusted]=$E38)*(Table_Fuel_EFs_Transport[Transport type]=$D$37), Table_Fuel_EFs_Transport[Scope 1 Emission Factor (kg CO2 - e / GJ) CO2]), 0)</f>
        <v>69.900000000000006</v>
      </c>
      <c r="I38" s="28" cm="1">
        <f t="array" ref="I38">IFERROR(_xlfn.XLOOKUP(1, (Table_Fuel_EFs_Transport[Fuel combusted]=$E38)*(Table_Fuel_EFs_Transport[Transport type]=$D$37), Table_Fuel_EFs_Transport[Scope 1 Emission Factor (kg CO2 - e / GJ) CH4]), 0)</f>
        <v>0.2</v>
      </c>
      <c r="J38" s="28" cm="1">
        <f t="array" ref="J38">IFERROR(_xlfn.XLOOKUP(1, (Table_Fuel_EFs_Transport[Fuel combusted]=$E38)*(Table_Fuel_EFs_Transport[Transport type]=$D$37), Table_Fuel_EFs_Transport[Scope 1 Emission Factor (kg CO2 - e / GJ) N2O]), 0)</f>
        <v>0.5</v>
      </c>
      <c r="K38" s="28" cm="1">
        <f t="array" ref="K38">IFERROR(_xlfn.XLOOKUP(1, (Table_Fuel_EFs_Transport[Fuel combusted]=$E38)*(Table_Fuel_EFs_Transport[Transport type]=$D$25), Table_Fuel_EFs_Transport[Scope 3 Emission Factor (kg CO2 - e / GJ)]), 0)</f>
        <v>17.3</v>
      </c>
      <c r="L38" s="116" cm="1">
        <f t="array" ref="L38">Fuel_InputFunctions.Fuel_TotalConsumption(Table_Input_Fuel[Amount consumed], Table_Input_Fuel[Fuel use (select)], D38, Table_Input_Fuel[Fuel type (select)],F38)</f>
        <v>0</v>
      </c>
      <c r="M38" s="116" t="str" cm="1">
        <f t="array" ref="M38">Common_InputFunctions.Utility_LookupValueInTable(F38,Table_FuelTypes_Units[Fuel type],Table_FuelTypes_Units[Unit])</f>
        <v>kL</v>
      </c>
      <c r="N38" s="130">
        <f>((($L38 * $G38 * $H38) * 10 ^ -3))</f>
        <v>0</v>
      </c>
      <c r="O38" s="130">
        <f>((($L38 * $G38 * $I38) * 10 ^ -3))</f>
        <v>0</v>
      </c>
      <c r="P38" s="130">
        <f>((($L38 * $G38 * $J38) * 10 ^ -3))</f>
        <v>0</v>
      </c>
      <c r="Q38" s="130">
        <f>((L38 * G38 * K38) * 10 ^ -3)</f>
        <v>0</v>
      </c>
    </row>
    <row r="39" spans="1:17" ht="20.100000000000001" customHeight="1" x14ac:dyDescent="0.2">
      <c r="D39" s="131" t="str">
        <f>$D$37</f>
        <v>Vessels</v>
      </c>
      <c r="E39" s="129" t="str">
        <f>'Constants - Fuel'!E33</f>
        <v>Fuel Oil</v>
      </c>
      <c r="F39" s="129" t="str">
        <f>'Constants - Fuel'!$I$133</f>
        <v>Fuel oil</v>
      </c>
      <c r="G39" s="28" cm="1">
        <f t="array" ref="G39">IFERROR(_xlfn.XLOOKUP(1, (Table_Fuel_EFs_Transport[Fuel combusted]=$E39)*(Table_Fuel_EFs_Transport[Transport type]=$D$37), Table_Fuel_EFs_Transport[Energy Content Factor (GJ per unit of fuel)]), 0)</f>
        <v>39.700000000000003</v>
      </c>
      <c r="H39" s="28" cm="1">
        <f t="array" ref="H39">IFERROR(_xlfn.XLOOKUP(1, (Table_Fuel_EFs_Transport[Fuel combusted]=$E39)*(Table_Fuel_EFs_Transport[Transport type]=$D$37), Table_Fuel_EFs_Transport[Scope 1 Emission Factor (kg CO2 - e / GJ) CO2]), 0)</f>
        <v>73.599999999999994</v>
      </c>
      <c r="I39" s="28" cm="1">
        <f t="array" ref="I39">IFERROR(_xlfn.XLOOKUP(1, (Table_Fuel_EFs_Transport[Fuel combusted]=$E39)*(Table_Fuel_EFs_Transport[Transport type]=$D$37), Table_Fuel_EFs_Transport[Scope 1 Emission Factor (kg CO2 - e / GJ) CH4]), 0)</f>
        <v>0.2</v>
      </c>
      <c r="J39" s="28" cm="1">
        <f t="array" ref="J39">IFERROR(_xlfn.XLOOKUP(1, (Table_Fuel_EFs_Transport[Fuel combusted]=$E39)*(Table_Fuel_EFs_Transport[Transport type]=$D$37), Table_Fuel_EFs_Transport[Scope 1 Emission Factor (kg CO2 - e / GJ) N2O]), 0)</f>
        <v>0.5</v>
      </c>
      <c r="K39" s="28" cm="1">
        <f t="array" ref="K39">IFERROR(_xlfn.XLOOKUP(1, (Table_Fuel_EFs_Transport[Fuel combusted]=$E39)*(Table_Fuel_EFs_Transport[Transport type]=$D$25), Table_Fuel_EFs_Transport[Scope 3 Emission Factor (kg CO2 - e / GJ)]), 0)</f>
        <v>18</v>
      </c>
      <c r="L39" s="116" cm="1">
        <f t="array" ref="L39">Fuel_InputFunctions.Fuel_TotalConsumption(Table_Input_Fuel[Amount consumed], Table_Input_Fuel[Fuel use (select)], D39, Table_Input_Fuel[Fuel type (select)],F39)</f>
        <v>10</v>
      </c>
      <c r="M39" s="116" t="str" cm="1">
        <f t="array" ref="M39">Common_InputFunctions.Utility_LookupValueInTable(F39,Table_FuelTypes_Units[Fuel type],Table_FuelTypes_Units[Unit])</f>
        <v>kL</v>
      </c>
      <c r="N39" s="130">
        <f>((($L39 * $G39 * $H39) * 10 ^ -3))</f>
        <v>29.219199999999997</v>
      </c>
      <c r="O39" s="130">
        <f>((($L39 * $G39 * $I39) * 10 ^ -3))</f>
        <v>7.9400000000000012E-2</v>
      </c>
      <c r="P39" s="130">
        <f>((($L39 * $G39 * $J39) * 10 ^ -3))</f>
        <v>0.19850000000000001</v>
      </c>
      <c r="Q39" s="130">
        <f>((L39 * G39 * K39) * 10 ^ -3)</f>
        <v>7.1459999999999999</v>
      </c>
    </row>
    <row r="40" spans="1:17" ht="20.100000000000001" customHeight="1" x14ac:dyDescent="0.2">
      <c r="A40" s="167" t="str">
        <f>HYPERLINK("#A1", "▲ Back to top")</f>
        <v>▲ Back to top</v>
      </c>
      <c r="H40" s="110"/>
      <c r="I40" s="110"/>
      <c r="J40" s="110"/>
      <c r="L40" s="110"/>
      <c r="M40" s="110"/>
      <c r="N40" s="110"/>
      <c r="O40" s="110"/>
      <c r="P40" s="110"/>
      <c r="Q40" s="110"/>
    </row>
    <row r="41" spans="1:17" ht="20.100000000000001" customHeight="1" x14ac:dyDescent="0.2">
      <c r="H41" s="110"/>
      <c r="I41" s="110"/>
      <c r="J41" s="110"/>
      <c r="L41" s="110"/>
      <c r="M41" s="110"/>
      <c r="N41" s="110"/>
      <c r="O41" s="110"/>
      <c r="P41" s="110"/>
      <c r="Q41" s="110"/>
    </row>
    <row r="42" spans="1:17" ht="20.100000000000001" customHeight="1" x14ac:dyDescent="0.2">
      <c r="D42" s="144" t="str">
        <f>"Total scope 1 - " &amp; D25</f>
        <v>Total scope 1 - Cars and light commercial vehicles</v>
      </c>
      <c r="E42" s="145"/>
      <c r="F42" s="146"/>
    </row>
    <row r="43" spans="1:17" ht="20.100000000000001" customHeight="1" x14ac:dyDescent="0.2">
      <c r="D43" s="14" t="s">
        <v>390</v>
      </c>
      <c r="E43" s="147">
        <f>SUM(N25:N32)+N("Partial sum")</f>
        <v>26.981400000000001</v>
      </c>
      <c r="F43" s="32" t="str">
        <f>$E$12</f>
        <v>t CO2-e</v>
      </c>
    </row>
    <row r="44" spans="1:17" ht="20.100000000000001" customHeight="1" x14ac:dyDescent="0.2">
      <c r="D44" s="14" t="s">
        <v>391</v>
      </c>
      <c r="E44" s="147">
        <f>SUM(O25:O32)+N("Partial sum")</f>
        <v>3.8600000000000001E-3</v>
      </c>
      <c r="F44" s="32" t="str">
        <f t="shared" ref="F44:F46" si="1">$E$12</f>
        <v>t CO2-e</v>
      </c>
    </row>
    <row r="45" spans="1:17" ht="20.100000000000001" customHeight="1" x14ac:dyDescent="0.2">
      <c r="D45" s="14" t="s">
        <v>392</v>
      </c>
      <c r="E45" s="147">
        <f>SUM(P25:P32)+N("Partial sum")</f>
        <v>0.193</v>
      </c>
      <c r="F45" s="32" t="str">
        <f t="shared" si="1"/>
        <v>t CO2-e</v>
      </c>
    </row>
    <row r="46" spans="1:17" ht="20.100000000000001" customHeight="1" x14ac:dyDescent="0.2">
      <c r="D46" s="14" t="s">
        <v>393</v>
      </c>
      <c r="E46" s="147">
        <f>SUM(Q25:Q32)+N("Partial sum")</f>
        <v>6.6778000000000004</v>
      </c>
      <c r="F46" s="32" t="str">
        <f t="shared" si="1"/>
        <v>t CO2-e</v>
      </c>
    </row>
    <row r="47" spans="1:17" ht="20.100000000000001" customHeight="1" x14ac:dyDescent="0.2">
      <c r="D47" s="110"/>
      <c r="E47" s="110"/>
      <c r="F47" s="110"/>
    </row>
    <row r="48" spans="1:17" ht="20.100000000000001" customHeight="1" x14ac:dyDescent="0.2">
      <c r="D48" s="144" t="str">
        <f>"Total scope 1 - " &amp; D33</f>
        <v>Total scope 1 - Off-road Agriculture and forestry equipment</v>
      </c>
      <c r="E48" s="148"/>
      <c r="F48" s="146"/>
      <c r="H48" s="110"/>
      <c r="I48" s="110"/>
      <c r="J48" s="110"/>
      <c r="L48" s="110"/>
      <c r="M48" s="110"/>
      <c r="N48" s="110"/>
      <c r="O48" s="110"/>
      <c r="P48" s="110"/>
      <c r="Q48" s="110"/>
    </row>
    <row r="49" spans="4:17" ht="20.100000000000001" customHeight="1" x14ac:dyDescent="0.2">
      <c r="D49" s="14" t="s">
        <v>390</v>
      </c>
      <c r="E49" s="147">
        <f>SUM(N33:N33)+N("Partial sum")</f>
        <v>26.981400000000001</v>
      </c>
      <c r="F49" s="32" t="str">
        <f t="shared" ref="F49:F52" si="2">$E$12</f>
        <v>t CO2-e</v>
      </c>
      <c r="H49" s="110"/>
      <c r="I49" s="110"/>
      <c r="J49" s="110"/>
      <c r="L49" s="110"/>
      <c r="M49" s="110"/>
      <c r="N49" s="110"/>
      <c r="O49" s="110"/>
      <c r="P49" s="110"/>
      <c r="Q49" s="110"/>
    </row>
    <row r="50" spans="4:17" ht="20.100000000000001" customHeight="1" x14ac:dyDescent="0.2">
      <c r="D50" s="14" t="s">
        <v>391</v>
      </c>
      <c r="E50" s="147">
        <f>SUM(O33:O33)+N("Partial sum")</f>
        <v>0.1158</v>
      </c>
      <c r="F50" s="32" t="str">
        <f t="shared" si="2"/>
        <v>t CO2-e</v>
      </c>
      <c r="H50" s="110"/>
      <c r="I50" s="110"/>
      <c r="J50" s="110"/>
      <c r="L50" s="110"/>
      <c r="M50" s="110"/>
      <c r="N50" s="110"/>
      <c r="O50" s="110"/>
      <c r="P50" s="110"/>
      <c r="Q50" s="110"/>
    </row>
    <row r="51" spans="4:17" ht="20.100000000000001" customHeight="1" x14ac:dyDescent="0.2">
      <c r="D51" s="14" t="s">
        <v>392</v>
      </c>
      <c r="E51" s="147">
        <f>SUM(P33:P33)+N("Partial sum")</f>
        <v>0.193</v>
      </c>
      <c r="F51" s="32" t="str">
        <f t="shared" si="2"/>
        <v>t CO2-e</v>
      </c>
      <c r="H51" s="110"/>
      <c r="I51" s="110"/>
      <c r="J51" s="110"/>
      <c r="L51" s="110"/>
      <c r="M51" s="110"/>
      <c r="N51" s="110"/>
      <c r="O51" s="110"/>
      <c r="P51" s="110"/>
      <c r="Q51" s="110"/>
    </row>
    <row r="52" spans="4:17" ht="20.100000000000001" customHeight="1" x14ac:dyDescent="0.2">
      <c r="D52" s="14" t="s">
        <v>393</v>
      </c>
      <c r="E52" s="147">
        <f>SUM(Q33)+N("Partial sum")</f>
        <v>6.6778000000000004</v>
      </c>
      <c r="F52" s="32" t="str">
        <f t="shared" si="2"/>
        <v>t CO2-e</v>
      </c>
      <c r="H52" s="110"/>
      <c r="I52" s="110"/>
      <c r="J52" s="110"/>
      <c r="L52" s="110"/>
      <c r="M52" s="110"/>
      <c r="N52" s="110"/>
      <c r="O52" s="110"/>
      <c r="P52" s="110"/>
      <c r="Q52" s="110"/>
    </row>
    <row r="53" spans="4:17" ht="20.100000000000001" customHeight="1" x14ac:dyDescent="0.2">
      <c r="D53" s="110"/>
      <c r="E53" s="149"/>
      <c r="F53" s="110"/>
      <c r="G53" s="110"/>
      <c r="H53" s="110"/>
      <c r="I53" s="110"/>
      <c r="J53" s="110"/>
      <c r="L53" s="110"/>
      <c r="M53" s="110"/>
      <c r="N53" s="110"/>
      <c r="O53" s="110"/>
      <c r="P53" s="110"/>
      <c r="Q53" s="110"/>
    </row>
    <row r="54" spans="4:17" ht="20.100000000000001" customHeight="1" x14ac:dyDescent="0.2">
      <c r="D54" s="144" t="str">
        <f>"Total scope 1 - " &amp; D34</f>
        <v>Total scope 1 - Aviation</v>
      </c>
      <c r="E54" s="148"/>
      <c r="F54" s="146"/>
      <c r="G54" s="110"/>
      <c r="H54" s="110"/>
      <c r="I54" s="110"/>
      <c r="J54" s="110"/>
      <c r="L54" s="110"/>
      <c r="M54" s="110"/>
      <c r="N54" s="110"/>
      <c r="O54" s="110"/>
      <c r="P54" s="110"/>
      <c r="Q54" s="110"/>
    </row>
    <row r="55" spans="4:17" ht="20.100000000000001" customHeight="1" x14ac:dyDescent="0.2">
      <c r="D55" s="14" t="s">
        <v>390</v>
      </c>
      <c r="E55" s="147">
        <f>SUM(N34:N36)+N("Partial sum")</f>
        <v>0</v>
      </c>
      <c r="F55" s="32" t="str">
        <f t="shared" ref="F55:F58" si="3">$E$12</f>
        <v>t CO2-e</v>
      </c>
      <c r="G55" s="110"/>
      <c r="H55" s="110"/>
      <c r="I55" s="110"/>
      <c r="J55" s="110"/>
      <c r="L55" s="110"/>
      <c r="M55" s="110"/>
      <c r="N55" s="110"/>
      <c r="O55" s="110"/>
      <c r="P55" s="110"/>
      <c r="Q55" s="110"/>
    </row>
    <row r="56" spans="4:17" ht="20.100000000000001" customHeight="1" x14ac:dyDescent="0.2">
      <c r="D56" s="14" t="s">
        <v>391</v>
      </c>
      <c r="E56" s="147">
        <f>SUM(O34:O36)+N("Partial sum")</f>
        <v>0</v>
      </c>
      <c r="F56" s="32" t="str">
        <f t="shared" si="3"/>
        <v>t CO2-e</v>
      </c>
      <c r="G56" s="110"/>
      <c r="H56" s="110"/>
      <c r="I56" s="110"/>
      <c r="J56" s="110"/>
      <c r="L56" s="110"/>
      <c r="M56" s="110"/>
      <c r="N56" s="110"/>
      <c r="O56" s="110"/>
      <c r="P56" s="110"/>
      <c r="Q56" s="110"/>
    </row>
    <row r="57" spans="4:17" ht="20.100000000000001" customHeight="1" x14ac:dyDescent="0.2">
      <c r="D57" s="14" t="s">
        <v>392</v>
      </c>
      <c r="E57" s="147">
        <f>SUM(P34:P36)+N("Partial sum")</f>
        <v>0</v>
      </c>
      <c r="F57" s="32" t="str">
        <f t="shared" si="3"/>
        <v>t CO2-e</v>
      </c>
      <c r="G57" s="110"/>
      <c r="H57" s="110"/>
      <c r="I57" s="110"/>
      <c r="J57" s="110"/>
      <c r="L57" s="110"/>
      <c r="M57" s="110"/>
      <c r="N57" s="110"/>
      <c r="O57" s="110"/>
      <c r="P57" s="110"/>
      <c r="Q57" s="110"/>
    </row>
    <row r="58" spans="4:17" ht="20.100000000000001" customHeight="1" x14ac:dyDescent="0.2">
      <c r="D58" s="14" t="s">
        <v>393</v>
      </c>
      <c r="E58" s="147">
        <f>SUM(Q34:Q36)+N("Partial sum")</f>
        <v>0</v>
      </c>
      <c r="F58" s="32" t="str">
        <f t="shared" si="3"/>
        <v>t CO2-e</v>
      </c>
      <c r="G58" s="110"/>
      <c r="H58" s="110"/>
      <c r="I58" s="110"/>
      <c r="J58" s="110"/>
      <c r="L58" s="110"/>
      <c r="M58" s="110"/>
      <c r="N58" s="110"/>
      <c r="O58" s="110"/>
      <c r="P58" s="110"/>
      <c r="Q58" s="110"/>
    </row>
    <row r="59" spans="4:17" ht="20.100000000000001" customHeight="1" x14ac:dyDescent="0.2">
      <c r="D59" s="110"/>
      <c r="E59" s="149"/>
      <c r="F59" s="110"/>
      <c r="G59" s="110"/>
      <c r="H59" s="110"/>
      <c r="I59" s="110"/>
      <c r="J59" s="110"/>
      <c r="L59" s="110"/>
      <c r="M59" s="110"/>
      <c r="N59" s="110"/>
      <c r="O59" s="110"/>
      <c r="P59" s="110"/>
      <c r="Q59" s="110"/>
    </row>
    <row r="60" spans="4:17" ht="20.100000000000001" customHeight="1" x14ac:dyDescent="0.2">
      <c r="D60" s="144" t="str">
        <f>"Total scope 1 - " &amp; D37</f>
        <v>Total scope 1 - Vessels</v>
      </c>
      <c r="E60" s="148"/>
      <c r="F60" s="146"/>
      <c r="G60" s="110"/>
      <c r="H60" s="110"/>
      <c r="I60" s="110"/>
      <c r="J60" s="110"/>
      <c r="L60" s="110"/>
      <c r="M60" s="110"/>
      <c r="N60" s="110"/>
      <c r="O60" s="110"/>
      <c r="P60" s="110"/>
      <c r="Q60" s="110"/>
    </row>
    <row r="61" spans="4:17" ht="20.100000000000001" customHeight="1" x14ac:dyDescent="0.2">
      <c r="D61" s="14" t="s">
        <v>390</v>
      </c>
      <c r="E61" s="147">
        <f>SUM(N37:N39)+N("Partial sum")</f>
        <v>29.219199999999997</v>
      </c>
      <c r="F61" s="32" t="str">
        <f t="shared" ref="F61:F64" si="4">$E$12</f>
        <v>t CO2-e</v>
      </c>
      <c r="G61" s="110"/>
      <c r="H61" s="110"/>
      <c r="I61" s="110"/>
      <c r="J61" s="110"/>
      <c r="L61" s="110"/>
      <c r="M61" s="110"/>
      <c r="N61" s="110"/>
      <c r="O61" s="110"/>
      <c r="P61" s="110"/>
      <c r="Q61" s="110"/>
    </row>
    <row r="62" spans="4:17" ht="20.100000000000001" customHeight="1" x14ac:dyDescent="0.2">
      <c r="D62" s="14" t="s">
        <v>391</v>
      </c>
      <c r="E62" s="147">
        <f>SUM(O37:O39)+N("Partial sum")</f>
        <v>7.9400000000000012E-2</v>
      </c>
      <c r="F62" s="32" t="str">
        <f t="shared" si="4"/>
        <v>t CO2-e</v>
      </c>
      <c r="G62" s="110"/>
      <c r="H62" s="110"/>
      <c r="I62" s="110"/>
      <c r="J62" s="110"/>
      <c r="L62" s="110"/>
      <c r="M62" s="110"/>
      <c r="N62" s="110"/>
      <c r="O62" s="110"/>
      <c r="P62" s="110"/>
      <c r="Q62" s="110"/>
    </row>
    <row r="63" spans="4:17" ht="20.100000000000001" customHeight="1" x14ac:dyDescent="0.2">
      <c r="D63" s="14" t="s">
        <v>392</v>
      </c>
      <c r="E63" s="147">
        <f>SUM(P37:P39)+N("Partial sum")</f>
        <v>0.19850000000000001</v>
      </c>
      <c r="F63" s="32" t="str">
        <f t="shared" si="4"/>
        <v>t CO2-e</v>
      </c>
      <c r="G63" s="110"/>
      <c r="H63" s="110"/>
      <c r="I63" s="110"/>
      <c r="J63" s="110"/>
      <c r="L63" s="110"/>
      <c r="M63" s="110"/>
      <c r="N63" s="110"/>
      <c r="O63" s="110"/>
      <c r="P63" s="110"/>
      <c r="Q63" s="110"/>
    </row>
    <row r="64" spans="4:17" ht="20.100000000000001" customHeight="1" x14ac:dyDescent="0.2">
      <c r="D64" s="14" t="s">
        <v>393</v>
      </c>
      <c r="E64" s="147">
        <f>SUM(Q37:Q39)+N("Partial sum")</f>
        <v>7.1459999999999999</v>
      </c>
      <c r="F64" s="32" t="str">
        <f t="shared" si="4"/>
        <v>t CO2-e</v>
      </c>
      <c r="G64" s="110"/>
      <c r="H64" s="110"/>
      <c r="I64" s="110"/>
      <c r="J64" s="110"/>
      <c r="L64" s="110"/>
      <c r="M64" s="110"/>
      <c r="N64" s="110"/>
      <c r="O64" s="110"/>
      <c r="P64" s="110"/>
      <c r="Q64" s="110"/>
    </row>
    <row r="65" spans="4:17" ht="20.100000000000001" customHeight="1" x14ac:dyDescent="0.2">
      <c r="G65" s="110"/>
      <c r="H65" s="110"/>
      <c r="I65" s="110"/>
      <c r="J65" s="110"/>
      <c r="L65" s="110"/>
      <c r="M65" s="110"/>
      <c r="N65" s="110"/>
      <c r="O65" s="110"/>
      <c r="P65" s="110"/>
      <c r="Q65" s="110"/>
    </row>
    <row r="66" spans="4:17" ht="20.100000000000001" customHeight="1" x14ac:dyDescent="0.2">
      <c r="D66" s="144" t="s">
        <v>394</v>
      </c>
      <c r="E66" s="150"/>
      <c r="F66" s="146"/>
      <c r="G66" s="110"/>
      <c r="H66" s="110"/>
      <c r="I66" s="110"/>
      <c r="J66" s="110"/>
      <c r="L66" s="110"/>
      <c r="M66" s="110"/>
      <c r="N66" s="110"/>
      <c r="O66" s="110"/>
      <c r="P66" s="110"/>
      <c r="Q66" s="110"/>
    </row>
    <row r="67" spans="4:17" ht="20.100000000000001" customHeight="1" x14ac:dyDescent="0.2">
      <c r="D67" s="14" t="s">
        <v>390</v>
      </c>
      <c r="E67" s="147">
        <f>E43+E49+E55+E61</f>
        <v>83.182000000000002</v>
      </c>
      <c r="F67" s="32" t="str">
        <f t="shared" ref="F67:F70" si="5">$E$12</f>
        <v>t CO2-e</v>
      </c>
      <c r="G67" s="110"/>
    </row>
    <row r="68" spans="4:17" ht="20.100000000000001" customHeight="1" x14ac:dyDescent="0.2">
      <c r="D68" s="14" t="s">
        <v>391</v>
      </c>
      <c r="E68" s="147">
        <f t="shared" ref="E68:E70" si="6">E44+E50+E56+E62</f>
        <v>0.19906000000000001</v>
      </c>
      <c r="F68" s="32" t="str">
        <f t="shared" si="5"/>
        <v>t CO2-e</v>
      </c>
      <c r="G68" s="110"/>
    </row>
    <row r="69" spans="4:17" ht="20.100000000000001" customHeight="1" x14ac:dyDescent="0.2">
      <c r="D69" s="14" t="s">
        <v>392</v>
      </c>
      <c r="E69" s="147">
        <f t="shared" si="6"/>
        <v>0.58450000000000002</v>
      </c>
      <c r="F69" s="32" t="str">
        <f t="shared" si="5"/>
        <v>t CO2-e</v>
      </c>
      <c r="G69" s="110"/>
    </row>
    <row r="70" spans="4:17" ht="20.100000000000001" customHeight="1" x14ac:dyDescent="0.2">
      <c r="D70" s="14" t="s">
        <v>393</v>
      </c>
      <c r="E70" s="147">
        <f t="shared" si="6"/>
        <v>20.5016</v>
      </c>
      <c r="F70" s="32" t="str">
        <f t="shared" si="5"/>
        <v>t CO2-e</v>
      </c>
      <c r="G70" s="110"/>
    </row>
    <row r="71" spans="4:17" ht="20.100000000000001" customHeight="1" x14ac:dyDescent="0.2">
      <c r="G71" s="110"/>
    </row>
    <row r="341" spans="8:8" ht="20.100000000000001" customHeight="1" x14ac:dyDescent="0.2">
      <c r="H341" s="34"/>
    </row>
    <row r="342" spans="8:8" ht="20.100000000000001" customHeight="1" x14ac:dyDescent="0.2">
      <c r="H342" s="34"/>
    </row>
  </sheetData>
  <dataValidations count="1">
    <dataValidation operator="equal" allowBlank="1" showInputMessage="1" showErrorMessage="1" sqref="N172:Q172 O150:Q150 E269 N166:Q166 O143:Q144 E228 O167:Q167 G132 I129:I133 F134:I134 F129:F132 H128:H132 G129 F148:I148 I149 F150:I150" xr:uid="{94807844-185A-4591-9857-30511A94B34F}"/>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0288E-3229-4773-BEBE-AE7634E7422B}">
  <sheetPr>
    <tabColor rgb="FF008000"/>
  </sheetPr>
  <dimension ref="A1:R71"/>
  <sheetViews>
    <sheetView showGridLines="0" zoomScaleNormal="100" workbookViewId="0">
      <pane xSplit="1" topLeftCell="B1" activePane="topRight" state="frozenSplit"/>
      <selection pane="topRight" activeCell="A28" sqref="A28"/>
    </sheetView>
  </sheetViews>
  <sheetFormatPr defaultRowHeight="20.100000000000001" customHeight="1" x14ac:dyDescent="0.2"/>
  <cols>
    <col min="1" max="1" width="36.7109375" customWidth="1"/>
    <col min="2" max="2" width="4.7109375" customWidth="1"/>
    <col min="3" max="3" width="4.7109375" style="15" customWidth="1"/>
    <col min="4" max="4" width="40.42578125" style="15" customWidth="1"/>
    <col min="5" max="17" width="30.7109375" style="15" customWidth="1"/>
    <col min="18" max="18" width="4.7109375" style="15" customWidth="1"/>
  </cols>
  <sheetData>
    <row r="1" spans="1:18" s="8" customFormat="1" ht="30" customHeight="1" x14ac:dyDescent="0.35">
      <c r="A1" s="23" t="e" vm="1">
        <v>#VALUE!</v>
      </c>
      <c r="C1" s="8" t="s">
        <v>395</v>
      </c>
    </row>
    <row r="2" spans="1:18" s="9" customFormat="1" ht="20.100000000000001" customHeight="1" x14ac:dyDescent="0.2">
      <c r="A2"/>
    </row>
    <row r="3" spans="1:18" ht="20.100000000000001" customHeight="1" x14ac:dyDescent="0.2">
      <c r="A3" s="29" t="str">
        <f>HYPERLINK("#'Home'!A1", "Home")</f>
        <v>Home</v>
      </c>
      <c r="C3" s="12"/>
      <c r="D3" s="12" t="s">
        <v>216</v>
      </c>
      <c r="E3" s="12"/>
      <c r="F3" s="12"/>
      <c r="G3" s="12"/>
      <c r="H3" s="12"/>
      <c r="I3" s="12"/>
      <c r="J3" s="12"/>
      <c r="K3" s="12"/>
      <c r="L3" s="12"/>
      <c r="M3" s="12"/>
      <c r="N3" s="12"/>
      <c r="O3" s="12"/>
      <c r="P3" s="12"/>
      <c r="Q3" s="12"/>
      <c r="R3" s="12"/>
    </row>
    <row r="5" spans="1:18" ht="20.100000000000001" customHeight="1" x14ac:dyDescent="0.2">
      <c r="D5" s="16" t="s">
        <v>653</v>
      </c>
      <c r="K5" s="16" t="s">
        <v>655</v>
      </c>
      <c r="O5" s="110"/>
      <c r="P5" s="110"/>
      <c r="Q5" s="110"/>
      <c r="R5" s="110"/>
    </row>
    <row r="6" spans="1:18" ht="20.100000000000001" customHeight="1" x14ac:dyDescent="0.2">
      <c r="A6" s="40" t="s">
        <v>148</v>
      </c>
      <c r="D6" s="18" t="s">
        <v>654</v>
      </c>
      <c r="K6" s="18" t="s">
        <v>656</v>
      </c>
      <c r="O6" s="110"/>
      <c r="P6" s="110"/>
      <c r="Q6" s="110"/>
      <c r="R6" s="110"/>
    </row>
    <row r="7" spans="1:18" ht="20.100000000000001" customHeight="1" x14ac:dyDescent="0.2">
      <c r="A7" s="29" t="str">
        <f>HYPERLINK("#'Input - Planting'!A1", "Planting")</f>
        <v>Planting</v>
      </c>
      <c r="D7" s="83"/>
      <c r="E7" s="83"/>
      <c r="K7" s="19" t="s">
        <v>657</v>
      </c>
      <c r="O7" s="110"/>
      <c r="P7" s="110"/>
      <c r="Q7" s="110"/>
      <c r="R7" s="110"/>
    </row>
    <row r="8" spans="1:18" ht="20.100000000000001" customHeight="1" x14ac:dyDescent="0.2">
      <c r="A8" s="29" t="str">
        <f>HYPERLINK("#'Input - Fertiliser'!A1", "Fertiliser")</f>
        <v>Fertiliser</v>
      </c>
      <c r="K8" s="83"/>
      <c r="L8" s="83"/>
      <c r="O8" s="110"/>
      <c r="P8" s="110"/>
      <c r="Q8" s="110"/>
      <c r="R8" s="110"/>
    </row>
    <row r="9" spans="1:18" ht="20.100000000000001" customHeight="1" x14ac:dyDescent="0.2">
      <c r="A9" s="29" t="str">
        <f>HYPERLINK("#'Input - Fuel'!A1", "Fuel")</f>
        <v>Fuel</v>
      </c>
      <c r="G9" s="18"/>
      <c r="O9" s="110"/>
      <c r="P9" s="110"/>
      <c r="Q9" s="110"/>
      <c r="R9" s="110"/>
    </row>
    <row r="10" spans="1:18" ht="20.100000000000001" customHeight="1" x14ac:dyDescent="0.2">
      <c r="A10" s="29" t="str">
        <f>HYPERLINK("#'Input - Fert Prod System'!A1", "Fert Prod System")</f>
        <v>Fert Prod System</v>
      </c>
      <c r="O10" s="110"/>
      <c r="P10" s="110"/>
      <c r="Q10" s="110"/>
      <c r="R10" s="110"/>
    </row>
    <row r="11" spans="1:18" ht="20.100000000000001" customHeight="1" x14ac:dyDescent="0.2">
      <c r="A11" s="29" t="str">
        <f>HYPERLINK("#'Input - Site'!A1", "Site")</f>
        <v>Site</v>
      </c>
      <c r="D11" s="69" t="s">
        <v>224</v>
      </c>
      <c r="E11" s="15" t="s">
        <v>627</v>
      </c>
      <c r="K11" s="69" t="s">
        <v>224</v>
      </c>
      <c r="L11" s="15" t="s">
        <v>658</v>
      </c>
      <c r="O11" s="110"/>
      <c r="P11" s="110"/>
      <c r="Q11" s="110"/>
      <c r="R11" s="110"/>
    </row>
    <row r="12" spans="1:18" ht="20.100000000000001" customHeight="1" x14ac:dyDescent="0.2">
      <c r="A12" s="29" t="str">
        <f>HYPERLINK("#'Input - Data quality'!A1", "Data quality")</f>
        <v>Data quality</v>
      </c>
      <c r="D12" s="69" t="s">
        <v>229</v>
      </c>
      <c r="E12" s="20" t="s">
        <v>628</v>
      </c>
      <c r="K12" s="69" t="s">
        <v>229</v>
      </c>
      <c r="L12" s="20" t="s">
        <v>630</v>
      </c>
    </row>
    <row r="14" spans="1:18" ht="20.100000000000001" customHeight="1" x14ac:dyDescent="0.2">
      <c r="D14" s="105" t="s">
        <v>659</v>
      </c>
      <c r="E14" s="98" t="s">
        <v>660</v>
      </c>
      <c r="F14" s="114"/>
      <c r="G14" s="105" t="s">
        <v>643</v>
      </c>
      <c r="H14" s="90" t="s">
        <v>80</v>
      </c>
      <c r="I14" s="92" t="str" cm="1">
        <f t="array" aca="1" ref="I14" ca="1">HYPERLINK(Common_InputFunctions.Utility_SourceHyperlink($D$22), $D$22)</f>
        <v>Table_E_g</v>
      </c>
      <c r="K14" s="105" t="s">
        <v>659</v>
      </c>
      <c r="L14" s="105" t="s">
        <v>667</v>
      </c>
      <c r="M14" s="105"/>
      <c r="N14" s="105" t="s">
        <v>429</v>
      </c>
      <c r="O14" s="90" t="s">
        <v>80</v>
      </c>
      <c r="P14" s="92" t="str" cm="1">
        <f t="array" aca="1" ref="P14" ca="1">HYPERLINK(Common_InputFunctions.Utility_SourceHyperlink($D$22), $D$22)</f>
        <v>Table_E_g</v>
      </c>
      <c r="Q14" s="110"/>
    </row>
    <row r="15" spans="1:18" ht="20.100000000000001" customHeight="1" x14ac:dyDescent="0.2">
      <c r="A15" s="53" t="s">
        <v>175</v>
      </c>
      <c r="D15" s="105" t="s">
        <v>661</v>
      </c>
      <c r="E15" s="98" t="s">
        <v>662</v>
      </c>
      <c r="F15" s="114"/>
      <c r="G15" s="105" t="s">
        <v>644</v>
      </c>
      <c r="H15" s="91" t="s">
        <v>485</v>
      </c>
      <c r="I15" s="92" t="str" cm="1">
        <f t="array" aca="1" ref="I15" ca="1">HYPERLINK(Common_InputFunctions.Utility_SourceHyperlink($D$22), $D$22)</f>
        <v>Table_E_g</v>
      </c>
      <c r="K15" s="105" t="s">
        <v>661</v>
      </c>
      <c r="L15" s="105" t="s">
        <v>668</v>
      </c>
      <c r="M15" s="105"/>
      <c r="N15" s="105" t="s">
        <v>674</v>
      </c>
      <c r="O15" s="91" t="s">
        <v>485</v>
      </c>
      <c r="P15" s="92" t="str" cm="1">
        <f t="array" aca="1" ref="P15" ca="1">HYPERLINK(Common_InputFunctions.Utility_SourceHyperlink($D$22), $D$22)</f>
        <v>Table_E_g</v>
      </c>
      <c r="Q15" s="110"/>
    </row>
    <row r="16" spans="1:18" ht="20.100000000000001" customHeight="1" x14ac:dyDescent="0.2">
      <c r="A16" s="29" t="str">
        <f>HYPERLINK("#'5.1.1.1-2 Inorganic fert N2O'!A1", "5.1.1.1-2 Inorganic fert N2O")</f>
        <v>5.1.1.1-2 Inorganic fert N2O</v>
      </c>
      <c r="D16" s="105" t="s">
        <v>663</v>
      </c>
      <c r="E16" s="98" t="s">
        <v>664</v>
      </c>
      <c r="F16" s="114"/>
      <c r="G16" s="105" t="s">
        <v>645</v>
      </c>
      <c r="H16" s="91" t="s">
        <v>485</v>
      </c>
      <c r="I16" s="92" t="str" cm="1">
        <f t="array" aca="1" ref="I16" ca="1">HYPERLINK(Common_InputFunctions.Utility_SourceHyperlink($D$22), $D$22)</f>
        <v>Table_E_g</v>
      </c>
      <c r="K16" s="105" t="s">
        <v>669</v>
      </c>
      <c r="L16" s="105" t="s">
        <v>670</v>
      </c>
      <c r="M16" s="105"/>
      <c r="N16" s="105" t="s">
        <v>652</v>
      </c>
      <c r="O16" s="91" t="s">
        <v>485</v>
      </c>
      <c r="P16" s="92" t="str" cm="1">
        <f t="array" aca="1" ref="P16" ca="1">HYPERLINK(Common_InputFunctions.Utility_SourceHyperlink($D$22), $D$22)</f>
        <v>Table_E_g</v>
      </c>
      <c r="Q16" s="110"/>
    </row>
    <row r="17" spans="1:17" ht="20.100000000000001" customHeight="1" x14ac:dyDescent="0.2">
      <c r="A17" s="29" t="str">
        <f>HYPERLINK("#'5.1.1.3-4 Inorganic fert CO2'!A1", "5.1.1.3-4 Inorganic fert CO2")</f>
        <v>5.1.1.3-4 Inorganic fert CO2</v>
      </c>
      <c r="D17" s="105" t="s">
        <v>637</v>
      </c>
      <c r="E17" s="98" t="s">
        <v>427</v>
      </c>
      <c r="F17" s="114"/>
      <c r="G17" s="105"/>
      <c r="H17" s="91" t="s">
        <v>485</v>
      </c>
      <c r="I17" s="92"/>
      <c r="J17" s="110"/>
      <c r="K17" s="105" t="s">
        <v>552</v>
      </c>
      <c r="L17" s="98" t="s">
        <v>671</v>
      </c>
      <c r="M17" s="114"/>
      <c r="N17" s="105"/>
      <c r="O17" s="90" t="s">
        <v>80</v>
      </c>
      <c r="P17" s="105" t="str">
        <f>X_Cell_Site_State</f>
        <v>Western Australia</v>
      </c>
      <c r="Q17" s="110"/>
    </row>
    <row r="18" spans="1:17" ht="20.100000000000001" customHeight="1" x14ac:dyDescent="0.2">
      <c r="A18" s="29" t="str">
        <f>HYPERLINK("#'5.2.1.1-2 Organic Fert N2O'!A1", "5.2.1.1-2 Organic fert N2O")</f>
        <v>5.2.1.1-2 Organic fert N2O</v>
      </c>
      <c r="D18" s="105" t="s">
        <v>665</v>
      </c>
      <c r="E18" s="98" t="s">
        <v>666</v>
      </c>
      <c r="F18" s="114"/>
      <c r="G18" s="105"/>
      <c r="H18" s="91" t="s">
        <v>485</v>
      </c>
      <c r="I18" s="92"/>
      <c r="J18" s="110"/>
      <c r="K18" s="105" t="s">
        <v>672</v>
      </c>
      <c r="L18" s="98" t="s">
        <v>673</v>
      </c>
      <c r="M18" s="114"/>
      <c r="N18" s="105"/>
      <c r="O18" s="90" t="s">
        <v>80</v>
      </c>
      <c r="P18" s="105" t="str">
        <f>X_Cell_Fuel_IsMetroLocation</f>
        <v>Metro</v>
      </c>
      <c r="Q18" s="110"/>
    </row>
    <row r="19" spans="1:17" ht="20.100000000000001" customHeight="1" x14ac:dyDescent="0.2">
      <c r="A19" s="29" t="str">
        <f>HYPERLINK("#'5.3.1.1-2 Lime CO2'!A1", "5.3.1.1-2 Lime CO2")</f>
        <v>5.3.1.1-2 Lime CO2</v>
      </c>
      <c r="D19" s="105" t="s">
        <v>640</v>
      </c>
      <c r="E19" s="98" t="s">
        <v>641</v>
      </c>
      <c r="F19" s="114"/>
      <c r="G19" s="105"/>
      <c r="H19" s="91" t="s">
        <v>485</v>
      </c>
      <c r="I19" s="92"/>
      <c r="J19" s="110"/>
      <c r="L19" s="110"/>
      <c r="N19" s="110"/>
      <c r="O19" s="110"/>
      <c r="P19" s="110"/>
      <c r="Q19" s="110"/>
    </row>
    <row r="20" spans="1:17" ht="20.100000000000001" customHeight="1" x14ac:dyDescent="0.2">
      <c r="A20" s="29" t="str">
        <f>HYPERLINK("#'5.4.1.1-4 Atmos deposition'!A1", "5.4.1.1-4 Atmos. deposition")</f>
        <v>5.4.1.1-4 Atmos. deposition</v>
      </c>
      <c r="D20" s="105">
        <v>1</v>
      </c>
      <c r="E20" s="98" t="s">
        <v>642</v>
      </c>
      <c r="F20" s="114"/>
      <c r="G20" s="105"/>
      <c r="H20" s="91" t="s">
        <v>485</v>
      </c>
      <c r="I20" s="92"/>
      <c r="J20" s="110"/>
      <c r="L20" s="110"/>
      <c r="N20" s="110"/>
      <c r="O20" s="110"/>
      <c r="P20" s="110"/>
      <c r="Q20" s="110"/>
    </row>
    <row r="21" spans="1:17" ht="20.100000000000001" customHeight="1" x14ac:dyDescent="0.2">
      <c r="A21" s="29" t="str">
        <f>HYPERLINK("#'5.5.1.1-2 Leaching and runoff'!A1", "5.5.1.1-2 Leaching &amp; runoff")</f>
        <v>5.5.1.1-2 Leaching &amp; runoff</v>
      </c>
      <c r="O21" s="110"/>
      <c r="P21" s="110"/>
      <c r="Q21" s="110"/>
    </row>
    <row r="22" spans="1:17" ht="20.100000000000001" customHeight="1" x14ac:dyDescent="0.2">
      <c r="A22" s="29" t="str">
        <f>HYPERLINK("#'8.1.1.1-2 Transport fuel'!A1", "8.1.1.1-2 Transport fuel")</f>
        <v>8.1.1.1-2 Transport fuel</v>
      </c>
      <c r="D22" s="84" t="s">
        <v>374</v>
      </c>
    </row>
    <row r="23" spans="1:17" ht="20.100000000000001" customHeight="1" x14ac:dyDescent="0.2">
      <c r="A23" s="93" t="str">
        <f>HYPERLINK("#'8.2.1.1-2 Stationary fuel'!A1", "8.2.1.1-2 Stationary fuel")</f>
        <v>8.2.1.1-2 Stationary fuel</v>
      </c>
      <c r="D23" s="85" t="s">
        <v>396</v>
      </c>
    </row>
    <row r="24" spans="1:17" ht="20.100000000000001" customHeight="1" x14ac:dyDescent="0.2">
      <c r="D24" s="87" t="s">
        <v>376</v>
      </c>
      <c r="E24" s="87" t="s">
        <v>377</v>
      </c>
      <c r="F24" s="87" t="s">
        <v>378</v>
      </c>
      <c r="G24" s="87" t="s">
        <v>397</v>
      </c>
      <c r="H24" s="87" t="s">
        <v>398</v>
      </c>
      <c r="I24" s="87" t="s">
        <v>399</v>
      </c>
      <c r="J24" s="87" t="s">
        <v>400</v>
      </c>
      <c r="K24" s="87" t="s">
        <v>401</v>
      </c>
      <c r="L24" s="25" t="s">
        <v>402</v>
      </c>
      <c r="M24" s="87" t="s">
        <v>385</v>
      </c>
      <c r="N24" s="87" t="s">
        <v>386</v>
      </c>
      <c r="O24" s="87" t="s">
        <v>387</v>
      </c>
      <c r="P24" s="87" t="s">
        <v>388</v>
      </c>
      <c r="Q24" s="87" t="s">
        <v>403</v>
      </c>
    </row>
    <row r="25" spans="1:17" ht="20.100000000000001" customHeight="1" x14ac:dyDescent="0.2">
      <c r="D25" s="14" t="str">
        <f>Table_FuelTypesPerUse[[#Headers],[Generators]]</f>
        <v>Generators</v>
      </c>
      <c r="E25" s="129" t="str">
        <f>'Constants - Fuel'!$D$58</f>
        <v>Automotive gasoline / petrol (other than for use as fuel in an aircraft)</v>
      </c>
      <c r="F25" s="129" t="str">
        <f>'Constants - Fuel'!D131</f>
        <v>Petrol</v>
      </c>
      <c r="G25" s="28">
        <f>IFERROR(_xlfn.XLOOKUP($E25, Table_Fuel_EFs_StationaryLiquid[Fuel combusted], Table_Fuel_EFs_StationaryLiquid[Energy Content Factor (GJ per unit of fuel)]),0)</f>
        <v>34.200000000000003</v>
      </c>
      <c r="H25" s="28">
        <f>IFERROR(_xlfn.XLOOKUP($E25, Table_Fuel_EFs_StationaryLiquid[Fuel combusted], Table_Fuel_EFs_StationaryLiquid[Scope 1 Emission Factor (kg CO2 - e / GJ) CO2]),0)</f>
        <v>67.400000000000006</v>
      </c>
      <c r="I25" s="28">
        <f>IFERROR(_xlfn.XLOOKUP($E25, Table_Fuel_EFs_StationaryLiquid[Fuel combusted], Table_Fuel_EFs_StationaryLiquid[Scope 1 Emission Factor (kg CO2 - e / GJ) CH4]),0)</f>
        <v>0.2</v>
      </c>
      <c r="J25" s="28">
        <f>IFERROR(_xlfn.XLOOKUP($E25, Table_Fuel_EFs_StationaryLiquid[Fuel combusted], Table_Fuel_EFs_StationaryLiquid[Scope 1 Emission Factor (kg CO2 - e / GJ) N2O]),0)</f>
        <v>0.2</v>
      </c>
      <c r="K25" s="28">
        <f>IFERROR(_xlfn.XLOOKUP($E25, Table_Fuel_EFs_StationaryLiquid[Fuel combusted], Table_Fuel_EFs_StationaryLiquid[Scope 3 Emission Factor (kg CO2 - e / GJ)]),0)</f>
        <v>17.2</v>
      </c>
      <c r="L25" s="116" cm="1">
        <f t="array" ref="L25">Fuel_InputFunctions.Fuel_TotalConsumption(Table_Input_Fuel[Amount consumed], Table_Input_Fuel[Fuel use (select)], D25, Table_Input_Fuel[Fuel type (select)],F25)</f>
        <v>0</v>
      </c>
      <c r="M25" s="116" t="str" cm="1">
        <f t="array" ref="M25">Common_InputFunctions.Utility_LookupValueInTable(F25,Table_FuelTypes_Units[Fuel type],Table_FuelTypes_Units[Unit])</f>
        <v>kL</v>
      </c>
      <c r="N25" s="151">
        <f>((($L25 * $G25 * H25) * 10 ^ -3))</f>
        <v>0</v>
      </c>
      <c r="O25" s="151">
        <f>((($L25 * $G25 * I25) * 10 ^ -3))</f>
        <v>0</v>
      </c>
      <c r="P25" s="151">
        <f>((($L25 * $G25 * J25) * 10 ^ -3))</f>
        <v>0</v>
      </c>
      <c r="Q25" s="151">
        <f>((($L25 * $G25 * ((IF(ISNUMBER(K25), K25, 0)))) * 10 ^ -3))</f>
        <v>0</v>
      </c>
    </row>
    <row r="26" spans="1:17" ht="20.100000000000001" customHeight="1" x14ac:dyDescent="0.2">
      <c r="A26" s="30" t="s">
        <v>91</v>
      </c>
      <c r="D26" s="131" t="str">
        <f t="shared" ref="D26:D31" si="0">$D$25</f>
        <v>Generators</v>
      </c>
      <c r="E26" s="129" t="str">
        <f>'Constants - Fuel'!$D$63</f>
        <v>Diesel oil</v>
      </c>
      <c r="F26" s="129" t="str">
        <f>'Constants - Fuel'!D132</f>
        <v>Diesel</v>
      </c>
      <c r="G26" s="28">
        <f>IFERROR(_xlfn.XLOOKUP($E26, Table_Fuel_EFs_StationaryLiquid[Fuel combusted], Table_Fuel_EFs_StationaryLiquid[Energy Content Factor (GJ per unit of fuel)]),0)</f>
        <v>38.6</v>
      </c>
      <c r="H26" s="28">
        <f>IFERROR(_xlfn.XLOOKUP($E26, Table_Fuel_EFs_StationaryLiquid[Fuel combusted], Table_Fuel_EFs_StationaryLiquid[Scope 1 Emission Factor (kg CO2 - e / GJ) CO2]),0)</f>
        <v>69.900000000000006</v>
      </c>
      <c r="I26" s="28">
        <f>IFERROR(_xlfn.XLOOKUP($E26, Table_Fuel_EFs_StationaryLiquid[Fuel combusted], Table_Fuel_EFs_StationaryLiquid[Scope 1 Emission Factor (kg CO2 - e / GJ) CH4]),0)</f>
        <v>0.1</v>
      </c>
      <c r="J26" s="28">
        <f>IFERROR(_xlfn.XLOOKUP($E26, Table_Fuel_EFs_StationaryLiquid[Fuel combusted], Table_Fuel_EFs_StationaryLiquid[Scope 1 Emission Factor (kg CO2 - e / GJ) N2O]),0)</f>
        <v>0.2</v>
      </c>
      <c r="K26" s="28">
        <f>IFERROR(_xlfn.XLOOKUP($E26, Table_Fuel_EFs_StationaryLiquid[Fuel combusted], Table_Fuel_EFs_StationaryLiquid[Scope 3 Emission Factor (kg CO2 - e / GJ)]),0)</f>
        <v>17.3</v>
      </c>
      <c r="L26" s="116" cm="1">
        <f t="array" ref="L26">Fuel_InputFunctions.Fuel_TotalConsumption(Table_Input_Fuel[Amount consumed], Table_Input_Fuel[Fuel use (select)], D26, Table_Input_Fuel[Fuel type (select)],F26)</f>
        <v>0</v>
      </c>
      <c r="M26" s="116" t="str" cm="1">
        <f t="array" ref="M26">Common_InputFunctions.Utility_LookupValueInTable(F26,Table_FuelTypes_Units[Fuel type],Table_FuelTypes_Units[Unit])</f>
        <v>kL</v>
      </c>
      <c r="N26" s="151">
        <f>((($L26 * $G26 * H26) * 10 ^ -3))</f>
        <v>0</v>
      </c>
      <c r="O26" s="151">
        <f>((($L26 * $G26 * I26) * 10 ^ -3))</f>
        <v>0</v>
      </c>
      <c r="P26" s="151">
        <f>((($L26 * $G26 * J26) * 10 ^ -3))</f>
        <v>0</v>
      </c>
      <c r="Q26" s="151">
        <f>((($L26 * $G26 * ((IF(ISNUMBER(K26), K26, 0)))) * 10 ^ -3))</f>
        <v>0</v>
      </c>
    </row>
    <row r="27" spans="1:17" ht="20.100000000000001" customHeight="1" x14ac:dyDescent="0.2">
      <c r="A27" s="29" t="str">
        <f>HYPERLINK("#'Constants - Fertiliser'!A1", "Constants - Fertiliser")</f>
        <v>Constants - Fertiliser</v>
      </c>
      <c r="D27" s="131" t="str">
        <f t="shared" si="0"/>
        <v>Generators</v>
      </c>
      <c r="E27" s="129" t="str">
        <f>'Constants - Fuel'!$D$67</f>
        <v>Liquefied petroleum gas (LPG)</v>
      </c>
      <c r="F27" s="129" t="str">
        <f>'Constants - Fuel'!D133</f>
        <v>Liquefied petroleum gas (LPG)</v>
      </c>
      <c r="G27" s="28">
        <f>IFERROR(_xlfn.XLOOKUP($E27, Table_Fuel_EFs_StationaryLiquid[Fuel combusted], Table_Fuel_EFs_StationaryLiquid[Energy Content Factor (GJ per unit of fuel)]),0)</f>
        <v>25.7</v>
      </c>
      <c r="H27" s="28">
        <f>IFERROR(_xlfn.XLOOKUP($E27, Table_Fuel_EFs_StationaryLiquid[Fuel combusted], Table_Fuel_EFs_StationaryLiquid[Scope 1 Emission Factor (kg CO2 - e / GJ) CO2]),0)</f>
        <v>60.2</v>
      </c>
      <c r="I27" s="28">
        <f>IFERROR(_xlfn.XLOOKUP($E27, Table_Fuel_EFs_StationaryLiquid[Fuel combusted], Table_Fuel_EFs_StationaryLiquid[Scope 1 Emission Factor (kg CO2 - e / GJ) CH4]),0)</f>
        <v>0.2</v>
      </c>
      <c r="J27" s="28">
        <f>IFERROR(_xlfn.XLOOKUP($E27, Table_Fuel_EFs_StationaryLiquid[Fuel combusted], Table_Fuel_EFs_StationaryLiquid[Scope 1 Emission Factor (kg CO2 - e / GJ) N2O]),0)</f>
        <v>0.2</v>
      </c>
      <c r="K27" s="28">
        <f>IFERROR(_xlfn.XLOOKUP($E27, Table_Fuel_EFs_StationaryLiquid[Fuel combusted], Table_Fuel_EFs_StationaryLiquid[Scope 3 Emission Factor (kg CO2 - e / GJ)]),0)</f>
        <v>20.2</v>
      </c>
      <c r="L27" s="116" cm="1">
        <f t="array" ref="L27">Fuel_InputFunctions.Fuel_TotalConsumption(Table_Input_Fuel[Amount consumed], Table_Input_Fuel[Fuel use (select)], D27, Table_Input_Fuel[Fuel type (select)],F27)</f>
        <v>0</v>
      </c>
      <c r="M27" s="116" t="str" cm="1">
        <f t="array" ref="M27">Common_InputFunctions.Utility_LookupValueInTable(F27,Table_FuelTypes_Units[Fuel type],Table_FuelTypes_Units[Unit])</f>
        <v>kL</v>
      </c>
      <c r="N27" s="151">
        <f>((($L27 * $G27 * H27) * 10 ^ -3))</f>
        <v>0</v>
      </c>
      <c r="O27" s="151">
        <f>((($L27 * $G27 * I27) * 10 ^ -3))</f>
        <v>0</v>
      </c>
      <c r="P27" s="151">
        <f>((($L27 * $G27 * J27) * 10 ^ -3))</f>
        <v>0</v>
      </c>
      <c r="Q27" s="151">
        <f>((($L27 * $G27 * ((IF(ISNUMBER(K27), K27, 0)))) * 10 ^ -3))</f>
        <v>0</v>
      </c>
    </row>
    <row r="28" spans="1:17" ht="20.100000000000001" customHeight="1" x14ac:dyDescent="0.2">
      <c r="A28" s="29" t="str">
        <f>HYPERLINK("#'Constants - Fuel'!A1", "Constants - Fuel")</f>
        <v>Constants - Fuel</v>
      </c>
      <c r="D28" s="131" t="str">
        <f t="shared" si="0"/>
        <v>Generators</v>
      </c>
      <c r="E28" s="129" t="str">
        <f>'Constants - Fuel'!$D$73</f>
        <v>Biodiesel</v>
      </c>
      <c r="F28" s="129" t="str">
        <f>'Constants - Fuel'!D134</f>
        <v>Biodiesel</v>
      </c>
      <c r="G28" s="28">
        <f>IFERROR(_xlfn.XLOOKUP($E28, Table_Fuel_EFs_StationaryLiquid[Fuel combusted], Table_Fuel_EFs_StationaryLiquid[Energy Content Factor (GJ per unit of fuel)]),0)</f>
        <v>34.6</v>
      </c>
      <c r="H28" s="28">
        <f>IFERROR(_xlfn.XLOOKUP($E28, Table_Fuel_EFs_StationaryLiquid[Fuel combusted], Table_Fuel_EFs_StationaryLiquid[Scope 1 Emission Factor (kg CO2 - e / GJ) CO2]),0)</f>
        <v>0</v>
      </c>
      <c r="I28" s="28">
        <f>IFERROR(_xlfn.XLOOKUP($E28, Table_Fuel_EFs_StationaryLiquid[Fuel combusted], Table_Fuel_EFs_StationaryLiquid[Scope 1 Emission Factor (kg CO2 - e / GJ) CH4]),0)</f>
        <v>0.08</v>
      </c>
      <c r="J28" s="28">
        <f>IFERROR(_xlfn.XLOOKUP($E28, Table_Fuel_EFs_StationaryLiquid[Fuel combusted], Table_Fuel_EFs_StationaryLiquid[Scope 1 Emission Factor (kg CO2 - e / GJ) N2O]),0)</f>
        <v>0.2</v>
      </c>
      <c r="K28" s="28" t="str">
        <f>IFERROR(_xlfn.XLOOKUP($E28, Table_Fuel_EFs_StationaryLiquid[Fuel combusted], Table_Fuel_EFs_StationaryLiquid[Scope 3 Emission Factor (kg CO2 - e / GJ)]),0)</f>
        <v>NE</v>
      </c>
      <c r="L28" s="116" cm="1">
        <f t="array" ref="L28">Fuel_InputFunctions.Fuel_TotalConsumption(Table_Input_Fuel[Amount consumed], Table_Input_Fuel[Fuel use (select)], D28, Table_Input_Fuel[Fuel type (select)],F28)</f>
        <v>0</v>
      </c>
      <c r="M28" s="116" t="str" cm="1">
        <f t="array" ref="M28">Common_InputFunctions.Utility_LookupValueInTable(F28,Table_FuelTypes_Units[Fuel type],Table_FuelTypes_Units[Unit])</f>
        <v>kL</v>
      </c>
      <c r="N28" s="151">
        <f>((($L28 * $G28 * H28) * 10 ^ -3))</f>
        <v>0</v>
      </c>
      <c r="O28" s="151">
        <f>((($L28 * $G28 * I28) * 10 ^ -3))</f>
        <v>0</v>
      </c>
      <c r="P28" s="151">
        <f>((($L28 * $G28 * J28) * 10 ^ -3))</f>
        <v>0</v>
      </c>
      <c r="Q28" s="151">
        <f>((($L28 * $G28 * ((IF(ISNUMBER(K28), K28, 0)))) * 10 ^ -3))</f>
        <v>0</v>
      </c>
    </row>
    <row r="29" spans="1:17" ht="20.100000000000001" customHeight="1" x14ac:dyDescent="0.2">
      <c r="A29" s="29" t="str">
        <f>HYPERLINK("#'Constants - Common'!A1", "Constants - Common")</f>
        <v>Constants - Common</v>
      </c>
      <c r="D29" s="131" t="str">
        <f t="shared" si="0"/>
        <v>Generators</v>
      </c>
      <c r="E29" s="129" t="str">
        <f>'Constants - Fuel'!$D$74</f>
        <v>Ethanol for use as a fuel in an internal combustion engine</v>
      </c>
      <c r="F29" s="129" t="str">
        <f>'Constants - Fuel'!D135</f>
        <v>Ethanol</v>
      </c>
      <c r="G29" s="28">
        <f>IFERROR(_xlfn.XLOOKUP($E29, Table_Fuel_EFs_StationaryLiquid[Fuel combusted], Table_Fuel_EFs_StationaryLiquid[Energy Content Factor (GJ per unit of fuel)]),0)</f>
        <v>23.4</v>
      </c>
      <c r="H29" s="28">
        <f>IFERROR(_xlfn.XLOOKUP($E29, Table_Fuel_EFs_StationaryLiquid[Fuel combusted], Table_Fuel_EFs_StationaryLiquid[Scope 1 Emission Factor (kg CO2 - e / GJ) CO2]),0)</f>
        <v>0</v>
      </c>
      <c r="I29" s="28">
        <f>IFERROR(_xlfn.XLOOKUP($E29, Table_Fuel_EFs_StationaryLiquid[Fuel combusted], Table_Fuel_EFs_StationaryLiquid[Scope 1 Emission Factor (kg CO2 - e / GJ) CH4]),0)</f>
        <v>0.08</v>
      </c>
      <c r="J29" s="28">
        <f>IFERROR(_xlfn.XLOOKUP($E29, Table_Fuel_EFs_StationaryLiquid[Fuel combusted], Table_Fuel_EFs_StationaryLiquid[Scope 1 Emission Factor (kg CO2 - e / GJ) N2O]),0)</f>
        <v>0.2</v>
      </c>
      <c r="K29" s="28" t="str">
        <f>IFERROR(_xlfn.XLOOKUP($E29, Table_Fuel_EFs_StationaryLiquid[Fuel combusted], Table_Fuel_EFs_StationaryLiquid[Scope 3 Emission Factor (kg CO2 - e / GJ)]),0)</f>
        <v>NE</v>
      </c>
      <c r="L29" s="116" cm="1">
        <f t="array" ref="L29">Fuel_InputFunctions.Fuel_TotalConsumption(Table_Input_Fuel[Amount consumed], Table_Input_Fuel[Fuel use (select)], D29, Table_Input_Fuel[Fuel type (select)],F29)</f>
        <v>0</v>
      </c>
      <c r="M29" s="116" t="str" cm="1">
        <f t="array" ref="M29">Common_InputFunctions.Utility_LookupValueInTable(F29,Table_FuelTypes_Units[Fuel type],Table_FuelTypes_Units[Unit])</f>
        <v>kL</v>
      </c>
      <c r="N29" s="151">
        <f>((($L29 * $G29 * H29) * 10 ^ -3))</f>
        <v>0</v>
      </c>
      <c r="O29" s="151">
        <f>((($L29 * $G29 * I29) * 10 ^ -3))</f>
        <v>0</v>
      </c>
      <c r="P29" s="151">
        <f>((($L29 * $G29 * J29) * 10 ^ -3))</f>
        <v>0</v>
      </c>
      <c r="Q29" s="151">
        <f>((($L29 * $G29 * ((IF(ISNUMBER(K29), K29, 0)))) * 10 ^ -3))</f>
        <v>0</v>
      </c>
    </row>
    <row r="30" spans="1:17" ht="20.100000000000001" customHeight="1" x14ac:dyDescent="0.2">
      <c r="D30" s="131" t="str">
        <f t="shared" si="0"/>
        <v>Generators</v>
      </c>
      <c r="E30" s="129" t="str">
        <f>'Constants - Fuel'!$D$75</f>
        <v>Biofuels other than those mentioned in the items above and below</v>
      </c>
      <c r="F30" s="129" t="str">
        <f>'Constants - Fuel'!D136</f>
        <v>Other biofuels</v>
      </c>
      <c r="G30" s="28">
        <f>IFERROR(_xlfn.XLOOKUP($E30, Table_Fuel_EFs_StationaryLiquid[Fuel combusted], Table_Fuel_EFs_StationaryLiquid[Energy Content Factor (GJ per unit of fuel)]),0)</f>
        <v>23.4</v>
      </c>
      <c r="H30" s="28">
        <f>IFERROR(_xlfn.XLOOKUP($E30, Table_Fuel_EFs_StationaryLiquid[Fuel combusted], Table_Fuel_EFs_StationaryLiquid[Scope 1 Emission Factor (kg CO2 - e / GJ) CO2]),0)</f>
        <v>0</v>
      </c>
      <c r="I30" s="28">
        <f>IFERROR(_xlfn.XLOOKUP($E30, Table_Fuel_EFs_StationaryLiquid[Fuel combusted], Table_Fuel_EFs_StationaryLiquid[Scope 1 Emission Factor (kg CO2 - e / GJ) CH4]),0)</f>
        <v>0.08</v>
      </c>
      <c r="J30" s="28">
        <f>IFERROR(_xlfn.XLOOKUP($E30, Table_Fuel_EFs_StationaryLiquid[Fuel combusted], Table_Fuel_EFs_StationaryLiquid[Scope 1 Emission Factor (kg CO2 - e / GJ) N2O]),0)</f>
        <v>0.2</v>
      </c>
      <c r="K30" s="28" t="str">
        <f>IFERROR(_xlfn.XLOOKUP($E30, Table_Fuel_EFs_StationaryLiquid[Fuel combusted], Table_Fuel_EFs_StationaryLiquid[Scope 3 Emission Factor (kg CO2 - e / GJ)]),0)</f>
        <v>NE</v>
      </c>
      <c r="L30" s="116" cm="1">
        <f t="array" ref="L30">Fuel_InputFunctions.Fuel_TotalConsumption(Table_Input_Fuel[Amount consumed], Table_Input_Fuel[Fuel use (select)], D30, Table_Input_Fuel[Fuel type (select)],F30)</f>
        <v>0</v>
      </c>
      <c r="M30" s="116" t="str" cm="1">
        <f t="array" ref="M30">Common_InputFunctions.Utility_LookupValueInTable(F30,Table_FuelTypes_Units[Fuel type],Table_FuelTypes_Units[Unit])</f>
        <v>kL</v>
      </c>
      <c r="N30" s="151">
        <f>((($L30 * $G30 * H30) * 10 ^ -3))</f>
        <v>0</v>
      </c>
      <c r="O30" s="151">
        <f>((($L30 * $G30 * I30) * 10 ^ -3))</f>
        <v>0</v>
      </c>
      <c r="P30" s="151">
        <f>((($L30 * $G30 * J30) * 10 ^ -3))</f>
        <v>0</v>
      </c>
      <c r="Q30" s="151">
        <f>((($L30 * $G30 * ((IF(ISNUMBER(K30), K30, 0)))) * 10 ^ -3))</f>
        <v>0</v>
      </c>
    </row>
    <row r="31" spans="1:17" ht="20.100000000000001" customHeight="1" x14ac:dyDescent="0.2">
      <c r="D31" s="131" t="str">
        <f t="shared" si="0"/>
        <v>Generators</v>
      </c>
      <c r="E31" s="129" t="str">
        <f>'Constants - Fuel'!$D$77</f>
        <v>Renewable diesel</v>
      </c>
      <c r="F31" s="129" t="str">
        <f>'Constants - Fuel'!D137</f>
        <v>Renewable diesel</v>
      </c>
      <c r="G31" s="127">
        <f>IFERROR(_xlfn.XLOOKUP($E31, Table_Fuel_EFs_StationaryLiquid[Fuel combusted], Table_Fuel_EFs_StationaryLiquid[Energy Content Factor (GJ per unit of fuel)]),0)</f>
        <v>38.6</v>
      </c>
      <c r="H31" s="127">
        <f>IFERROR(_xlfn.XLOOKUP($E31, Table_Fuel_EFs_StationaryLiquid[Fuel combusted], Table_Fuel_EFs_StationaryLiquid[Scope 1 Emission Factor (kg CO2 - e / GJ) CO2]),0)</f>
        <v>0</v>
      </c>
      <c r="I31" s="127">
        <f>IFERROR(_xlfn.XLOOKUP($E31, Table_Fuel_EFs_StationaryLiquid[Fuel combusted], Table_Fuel_EFs_StationaryLiquid[Scope 1 Emission Factor (kg CO2 - e / GJ) CH4]),0)</f>
        <v>0.1</v>
      </c>
      <c r="J31" s="127">
        <f>IFERROR(_xlfn.XLOOKUP($E31, Table_Fuel_EFs_StationaryLiquid[Fuel combusted], Table_Fuel_EFs_StationaryLiquid[Scope 1 Emission Factor (kg CO2 - e / GJ) N2O]),0)</f>
        <v>0.2</v>
      </c>
      <c r="K31" s="127" t="str">
        <f>IFERROR(_xlfn.XLOOKUP($E31, Table_Fuel_EFs_StationaryLiquid[Fuel combusted], Table_Fuel_EFs_StationaryLiquid[Scope 3 Emission Factor (kg CO2 - e / GJ)]),0)</f>
        <v>NE</v>
      </c>
      <c r="L31" s="132" cm="1">
        <f t="array" ref="L31">Fuel_InputFunctions.Fuel_TotalConsumption(Table_Input_Fuel[Amount consumed], Table_Input_Fuel[Fuel use (select)], D31, Table_Input_Fuel[Fuel type (select)],F31)</f>
        <v>0</v>
      </c>
      <c r="M31" s="132" t="str" cm="1">
        <f t="array" ref="M31">Common_InputFunctions.Utility_LookupValueInTable(F31,Table_FuelTypes_Units[Fuel type],Table_FuelTypes_Units[Unit])</f>
        <v>kL</v>
      </c>
      <c r="N31" s="152">
        <f>((($L31 * $G31 * H31) * 10 ^ -3))</f>
        <v>0</v>
      </c>
      <c r="O31" s="152">
        <f>((($L31 * $G31 * I31) * 10 ^ -3))</f>
        <v>0</v>
      </c>
      <c r="P31" s="152">
        <f>((($L31 * $G31 * J31) * 10 ^ -3))</f>
        <v>0</v>
      </c>
      <c r="Q31" s="152">
        <f>((($L31 * $G31 * ((IF(ISNUMBER(K31), K31, 0)))) * 10 ^ -3))</f>
        <v>0</v>
      </c>
    </row>
    <row r="32" spans="1:17" ht="20.100000000000001" customHeight="1" x14ac:dyDescent="0.2">
      <c r="D32" s="134" t="str">
        <f>Table_FuelTypesPerUse[[#Headers],[Power standalone machinery or heating]]</f>
        <v>Power standalone machinery or heating</v>
      </c>
      <c r="E32" s="135" t="str">
        <f>'Constants - Fuel'!$D$58</f>
        <v>Automotive gasoline / petrol (other than for use as fuel in an aircraft)</v>
      </c>
      <c r="F32" s="135" t="str">
        <f>'Constants - Fuel'!E131</f>
        <v>Petrol</v>
      </c>
      <c r="G32" s="142">
        <f>IFERROR(_xlfn.XLOOKUP($E32, Table_Fuel_EFs_StationaryLiquid[Fuel combusted], Table_Fuel_EFs_StationaryLiquid[Energy Content Factor (GJ per unit of fuel)]),0)</f>
        <v>34.200000000000003</v>
      </c>
      <c r="H32" s="142">
        <f>IFERROR(_xlfn.XLOOKUP($E32, Table_Fuel_EFs_StationaryLiquid[Fuel combusted], Table_Fuel_EFs_StationaryLiquid[Scope 1 Emission Factor (kg CO2 - e / GJ) CO2]),0)</f>
        <v>67.400000000000006</v>
      </c>
      <c r="I32" s="142">
        <f>IFERROR(_xlfn.XLOOKUP($E32, Table_Fuel_EFs_StationaryLiquid[Fuel combusted], Table_Fuel_EFs_StationaryLiquid[Scope 1 Emission Factor (kg CO2 - e / GJ) CH4]),0)</f>
        <v>0.2</v>
      </c>
      <c r="J32" s="142">
        <f>IFERROR(_xlfn.XLOOKUP($E32, Table_Fuel_EFs_StationaryLiquid[Fuel combusted], Table_Fuel_EFs_StationaryLiquid[Scope 1 Emission Factor (kg CO2 - e / GJ) N2O]),0)</f>
        <v>0.2</v>
      </c>
      <c r="K32" s="142">
        <f>IFERROR(_xlfn.XLOOKUP($E32, Table_Fuel_EFs_StationaryLiquid[Fuel combusted], Table_Fuel_EFs_StationaryLiquid[Scope 3 Emission Factor (kg CO2 - e / GJ)]),0)</f>
        <v>17.2</v>
      </c>
      <c r="L32" s="138" cm="1">
        <f t="array" ref="L32">Fuel_InputFunctions.Fuel_TotalConsumption(Table_Input_Fuel[Amount consumed], Table_Input_Fuel[Fuel use (select)], D32, Table_Input_Fuel[Fuel type (select)],F32)</f>
        <v>10</v>
      </c>
      <c r="M32" s="139" t="str" cm="1">
        <f t="array" ref="M32">Common_InputFunctions.Utility_LookupValueInTable(F32,Table_FuelTypes_Units[Fuel type],Table_FuelTypes_Units[Unit])</f>
        <v>kL</v>
      </c>
      <c r="N32" s="153">
        <f>((($L32 * $G32 * H32) * 10 ^ -3))</f>
        <v>23.050800000000002</v>
      </c>
      <c r="O32" s="153">
        <f>((($L32 * $G32 * I32) * 10 ^ -3))</f>
        <v>6.8400000000000002E-2</v>
      </c>
      <c r="P32" s="153">
        <f>((($L32 * $G32 * J32) * 10 ^ -3))</f>
        <v>6.8400000000000002E-2</v>
      </c>
      <c r="Q32" s="153">
        <f>((($L32 * $G32 * ((IF(ISNUMBER(K32), K32, 0)))) * 10 ^ -3))</f>
        <v>5.8823999999999996</v>
      </c>
    </row>
    <row r="33" spans="1:17" ht="20.100000000000001" customHeight="1" x14ac:dyDescent="0.2">
      <c r="D33" s="131" t="str">
        <f t="shared" ref="D33:D40" si="1">$D$32</f>
        <v>Power standalone machinery or heating</v>
      </c>
      <c r="E33" s="129" t="str">
        <f>'Constants - Fuel'!$D$63</f>
        <v>Diesel oil</v>
      </c>
      <c r="F33" s="129" t="str">
        <f>'Constants - Fuel'!E132</f>
        <v>Diesel</v>
      </c>
      <c r="G33" s="28">
        <f>IFERROR(_xlfn.XLOOKUP($E33, Table_Fuel_EFs_StationaryLiquid[Fuel combusted], Table_Fuel_EFs_StationaryLiquid[Energy Content Factor (GJ per unit of fuel)]),0)</f>
        <v>38.6</v>
      </c>
      <c r="H33" s="28">
        <f>IFERROR(_xlfn.XLOOKUP($E33, Table_Fuel_EFs_StationaryLiquid[Fuel combusted], Table_Fuel_EFs_StationaryLiquid[Scope 1 Emission Factor (kg CO2 - e / GJ) CO2]),0)</f>
        <v>69.900000000000006</v>
      </c>
      <c r="I33" s="28">
        <f>IFERROR(_xlfn.XLOOKUP($E33, Table_Fuel_EFs_StationaryLiquid[Fuel combusted], Table_Fuel_EFs_StationaryLiquid[Scope 1 Emission Factor (kg CO2 - e / GJ) CH4]),0)</f>
        <v>0.1</v>
      </c>
      <c r="J33" s="28">
        <f>IFERROR(_xlfn.XLOOKUP($E33, Table_Fuel_EFs_StationaryLiquid[Fuel combusted], Table_Fuel_EFs_StationaryLiquid[Scope 1 Emission Factor (kg CO2 - e / GJ) N2O]),0)</f>
        <v>0.2</v>
      </c>
      <c r="K33" s="28">
        <f>IFERROR(_xlfn.XLOOKUP($E33, Table_Fuel_EFs_StationaryLiquid[Fuel combusted], Table_Fuel_EFs_StationaryLiquid[Scope 3 Emission Factor (kg CO2 - e / GJ)]),0)</f>
        <v>17.3</v>
      </c>
      <c r="L33" s="28" cm="1">
        <f t="array" ref="L33">Fuel_InputFunctions.Fuel_TotalConsumption(Table_Input_Fuel[Amount consumed], Table_Input_Fuel[Fuel use (select)], D33, Table_Input_Fuel[Fuel type (select)],F33)</f>
        <v>0</v>
      </c>
      <c r="M33" s="28" t="str" cm="1">
        <f t="array" ref="M33">Common_InputFunctions.Utility_LookupValueInTable(F33,Table_FuelTypes_Units[Fuel type],Table_FuelTypes_Units[Unit])</f>
        <v>kL</v>
      </c>
      <c r="N33" s="151">
        <f>((($L33 * $G33 * H33) * 10 ^ -3))</f>
        <v>0</v>
      </c>
      <c r="O33" s="151">
        <f>((($L33 * $G33 * I33) * 10 ^ -3))</f>
        <v>0</v>
      </c>
      <c r="P33" s="151">
        <f>((($L33 * $G33 * J33) * 10 ^ -3))</f>
        <v>0</v>
      </c>
      <c r="Q33" s="151">
        <f>((($L33 * $G33 * ((IF(ISNUMBER(K33), K33, 0)))) * 10 ^ -3))</f>
        <v>0</v>
      </c>
    </row>
    <row r="34" spans="1:17" ht="20.100000000000001" customHeight="1" x14ac:dyDescent="0.2">
      <c r="D34" s="131" t="str">
        <f t="shared" si="1"/>
        <v>Power standalone machinery or heating</v>
      </c>
      <c r="E34" s="129" t="str">
        <f>'Constants - Fuel'!$D$67</f>
        <v>Liquefied petroleum gas (LPG)</v>
      </c>
      <c r="F34" s="129" t="str">
        <f>'Constants - Fuel'!E133</f>
        <v>Liquefied petroleum gas (LPG)</v>
      </c>
      <c r="G34" s="28">
        <f>IFERROR(_xlfn.XLOOKUP($E34, Table_Fuel_EFs_StationaryLiquid[Fuel combusted], Table_Fuel_EFs_StationaryLiquid[Energy Content Factor (GJ per unit of fuel)]),0)</f>
        <v>25.7</v>
      </c>
      <c r="H34" s="28">
        <f>IFERROR(_xlfn.XLOOKUP($E34, Table_Fuel_EFs_StationaryLiquid[Fuel combusted], Table_Fuel_EFs_StationaryLiquid[Scope 1 Emission Factor (kg CO2 - e / GJ) CO2]),0)</f>
        <v>60.2</v>
      </c>
      <c r="I34" s="28">
        <f>IFERROR(_xlfn.XLOOKUP($E34, Table_Fuel_EFs_StationaryLiquid[Fuel combusted], Table_Fuel_EFs_StationaryLiquid[Scope 1 Emission Factor (kg CO2 - e / GJ) CH4]),0)</f>
        <v>0.2</v>
      </c>
      <c r="J34" s="28">
        <f>IFERROR(_xlfn.XLOOKUP($E34, Table_Fuel_EFs_StationaryLiquid[Fuel combusted], Table_Fuel_EFs_StationaryLiquid[Scope 1 Emission Factor (kg CO2 - e / GJ) N2O]),0)</f>
        <v>0.2</v>
      </c>
      <c r="K34" s="28">
        <f>IFERROR(_xlfn.XLOOKUP($E34, Table_Fuel_EFs_StationaryLiquid[Fuel combusted], Table_Fuel_EFs_StationaryLiquid[Scope 3 Emission Factor (kg CO2 - e / GJ)]),0)</f>
        <v>20.2</v>
      </c>
      <c r="L34" s="28" cm="1">
        <f t="array" ref="L34">Fuel_InputFunctions.Fuel_TotalConsumption(Table_Input_Fuel[Amount consumed], Table_Input_Fuel[Fuel use (select)], D34, Table_Input_Fuel[Fuel type (select)],F34)</f>
        <v>0</v>
      </c>
      <c r="M34" s="28" t="str" cm="1">
        <f t="array" ref="M34">Common_InputFunctions.Utility_LookupValueInTable(F34,Table_FuelTypes_Units[Fuel type],Table_FuelTypes_Units[Unit])</f>
        <v>kL</v>
      </c>
      <c r="N34" s="151">
        <f>((($L34 * $G34 * H34) * 10 ^ -3))</f>
        <v>0</v>
      </c>
      <c r="O34" s="151">
        <f>((($L34 * $G34 * I34) * 10 ^ -3))</f>
        <v>0</v>
      </c>
      <c r="P34" s="151">
        <f>((($L34 * $G34 * J34) * 10 ^ -3))</f>
        <v>0</v>
      </c>
      <c r="Q34" s="151">
        <f>((($L34 * $G34 * ((IF(ISNUMBER(K34), K34, 0)))) * 10 ^ -3))</f>
        <v>0</v>
      </c>
    </row>
    <row r="35" spans="1:17" ht="20.100000000000001" customHeight="1" x14ac:dyDescent="0.2">
      <c r="D35" s="131" t="str">
        <f t="shared" si="1"/>
        <v>Power standalone machinery or heating</v>
      </c>
      <c r="E35" s="129" t="str">
        <f>'Constants - Fuel'!$D$73</f>
        <v>Biodiesel</v>
      </c>
      <c r="F35" s="129" t="str">
        <f>'Constants - Fuel'!E134</f>
        <v>Biodiesel</v>
      </c>
      <c r="G35" s="28">
        <f>IFERROR(_xlfn.XLOOKUP($E35, Table_Fuel_EFs_StationaryLiquid[Fuel combusted], Table_Fuel_EFs_StationaryLiquid[Energy Content Factor (GJ per unit of fuel)]),0)</f>
        <v>34.6</v>
      </c>
      <c r="H35" s="28">
        <f>IFERROR(_xlfn.XLOOKUP($E35, Table_Fuel_EFs_StationaryLiquid[Fuel combusted], Table_Fuel_EFs_StationaryLiquid[Scope 1 Emission Factor (kg CO2 - e / GJ) CO2]),0)</f>
        <v>0</v>
      </c>
      <c r="I35" s="28">
        <f>IFERROR(_xlfn.XLOOKUP($E35, Table_Fuel_EFs_StationaryLiquid[Fuel combusted], Table_Fuel_EFs_StationaryLiquid[Scope 1 Emission Factor (kg CO2 - e / GJ) CH4]),0)</f>
        <v>0.08</v>
      </c>
      <c r="J35" s="28">
        <f>IFERROR(_xlfn.XLOOKUP($E35, Table_Fuel_EFs_StationaryLiquid[Fuel combusted], Table_Fuel_EFs_StationaryLiquid[Scope 1 Emission Factor (kg CO2 - e / GJ) N2O]),0)</f>
        <v>0.2</v>
      </c>
      <c r="K35" s="28" t="str">
        <f>IFERROR(_xlfn.XLOOKUP($E35, Table_Fuel_EFs_StationaryLiquid[Fuel combusted], Table_Fuel_EFs_StationaryLiquid[Scope 3 Emission Factor (kg CO2 - e / GJ)]),0)</f>
        <v>NE</v>
      </c>
      <c r="L35" s="28" cm="1">
        <f t="array" ref="L35">Fuel_InputFunctions.Fuel_TotalConsumption(Table_Input_Fuel[Amount consumed], Table_Input_Fuel[Fuel use (select)], D35, Table_Input_Fuel[Fuel type (select)],F35)</f>
        <v>0</v>
      </c>
      <c r="M35" s="28" t="str" cm="1">
        <f t="array" ref="M35">Common_InputFunctions.Utility_LookupValueInTable(F35,Table_FuelTypes_Units[Fuel type],Table_FuelTypes_Units[Unit])</f>
        <v>kL</v>
      </c>
      <c r="N35" s="151">
        <f>((($L35 * $G35 * H35) * 10 ^ -3))</f>
        <v>0</v>
      </c>
      <c r="O35" s="151">
        <f>((($L35 * $G35 * I35) * 10 ^ -3))</f>
        <v>0</v>
      </c>
      <c r="P35" s="151">
        <f>((($L35 * $G35 * J35) * 10 ^ -3))</f>
        <v>0</v>
      </c>
      <c r="Q35" s="151">
        <f>((($L35 * $G35 * ((IF(ISNUMBER(K35), K35, 0)))) * 10 ^ -3))</f>
        <v>0</v>
      </c>
    </row>
    <row r="36" spans="1:17" ht="20.100000000000001" customHeight="1" x14ac:dyDescent="0.2">
      <c r="D36" s="131" t="str">
        <f t="shared" si="1"/>
        <v>Power standalone machinery or heating</v>
      </c>
      <c r="E36" s="129" t="str">
        <f>'Constants - Fuel'!$D$74</f>
        <v>Ethanol for use as a fuel in an internal combustion engine</v>
      </c>
      <c r="F36" s="129" t="str">
        <f>'Constants - Fuel'!E135</f>
        <v>Ethanol</v>
      </c>
      <c r="G36" s="28">
        <f>IFERROR(_xlfn.XLOOKUP($E36, Table_Fuel_EFs_StationaryLiquid[Fuel combusted], Table_Fuel_EFs_StationaryLiquid[Energy Content Factor (GJ per unit of fuel)]),0)</f>
        <v>23.4</v>
      </c>
      <c r="H36" s="28">
        <f>IFERROR(_xlfn.XLOOKUP($E36, Table_Fuel_EFs_StationaryLiquid[Fuel combusted], Table_Fuel_EFs_StationaryLiquid[Scope 1 Emission Factor (kg CO2 - e / GJ) CO2]),0)</f>
        <v>0</v>
      </c>
      <c r="I36" s="28">
        <f>IFERROR(_xlfn.XLOOKUP($E36, Table_Fuel_EFs_StationaryLiquid[Fuel combusted], Table_Fuel_EFs_StationaryLiquid[Scope 1 Emission Factor (kg CO2 - e / GJ) CH4]),0)</f>
        <v>0.08</v>
      </c>
      <c r="J36" s="28">
        <f>IFERROR(_xlfn.XLOOKUP($E36, Table_Fuel_EFs_StationaryLiquid[Fuel combusted], Table_Fuel_EFs_StationaryLiquid[Scope 1 Emission Factor (kg CO2 - e / GJ) N2O]),0)</f>
        <v>0.2</v>
      </c>
      <c r="K36" s="28" t="str">
        <f>IFERROR(_xlfn.XLOOKUP($E36, Table_Fuel_EFs_StationaryLiquid[Fuel combusted], Table_Fuel_EFs_StationaryLiquid[Scope 3 Emission Factor (kg CO2 - e / GJ)]),0)</f>
        <v>NE</v>
      </c>
      <c r="L36" s="28" cm="1">
        <f t="array" ref="L36">Fuel_InputFunctions.Fuel_TotalConsumption(Table_Input_Fuel[Amount consumed], Table_Input_Fuel[Fuel use (select)], D36, Table_Input_Fuel[Fuel type (select)],F36)</f>
        <v>0</v>
      </c>
      <c r="M36" s="28" t="str" cm="1">
        <f t="array" ref="M36">Common_InputFunctions.Utility_LookupValueInTable(F36,Table_FuelTypes_Units[Fuel type],Table_FuelTypes_Units[Unit])</f>
        <v>kL</v>
      </c>
      <c r="N36" s="151">
        <f>((($L36 * $G36 * H36) * 10 ^ -3))</f>
        <v>0</v>
      </c>
      <c r="O36" s="151">
        <f>((($L36 * $G36 * I36) * 10 ^ -3))</f>
        <v>0</v>
      </c>
      <c r="P36" s="151">
        <f>((($L36 * $G36 * J36) * 10 ^ -3))</f>
        <v>0</v>
      </c>
      <c r="Q36" s="151">
        <f>((($L36 * $G36 * ((IF(ISNUMBER(K36), K36, 0)))) * 10 ^ -3))</f>
        <v>0</v>
      </c>
    </row>
    <row r="37" spans="1:17" ht="20.100000000000001" customHeight="1" x14ac:dyDescent="0.2">
      <c r="D37" s="131" t="str">
        <f t="shared" si="1"/>
        <v>Power standalone machinery or heating</v>
      </c>
      <c r="E37" s="129" t="str">
        <f>'Constants - Fuel'!$D$75</f>
        <v>Biofuels other than those mentioned in the items above and below</v>
      </c>
      <c r="F37" s="129" t="str">
        <f>'Constants - Fuel'!E136</f>
        <v>Other biofuels</v>
      </c>
      <c r="G37" s="28">
        <f>IFERROR(_xlfn.XLOOKUP($E37, Table_Fuel_EFs_StationaryLiquid[Fuel combusted], Table_Fuel_EFs_StationaryLiquid[Energy Content Factor (GJ per unit of fuel)]),0)</f>
        <v>23.4</v>
      </c>
      <c r="H37" s="28">
        <f>IFERROR(_xlfn.XLOOKUP($E37, Table_Fuel_EFs_StationaryLiquid[Fuel combusted], Table_Fuel_EFs_StationaryLiquid[Scope 1 Emission Factor (kg CO2 - e / GJ) CO2]),0)</f>
        <v>0</v>
      </c>
      <c r="I37" s="28">
        <f>IFERROR(_xlfn.XLOOKUP($E37, Table_Fuel_EFs_StationaryLiquid[Fuel combusted], Table_Fuel_EFs_StationaryLiquid[Scope 1 Emission Factor (kg CO2 - e / GJ) CH4]),0)</f>
        <v>0.08</v>
      </c>
      <c r="J37" s="28">
        <f>IFERROR(_xlfn.XLOOKUP($E37, Table_Fuel_EFs_StationaryLiquid[Fuel combusted], Table_Fuel_EFs_StationaryLiquid[Scope 1 Emission Factor (kg CO2 - e / GJ) N2O]),0)</f>
        <v>0.2</v>
      </c>
      <c r="K37" s="28" t="str">
        <f>IFERROR(_xlfn.XLOOKUP($E37, Table_Fuel_EFs_StationaryLiquid[Fuel combusted], Table_Fuel_EFs_StationaryLiquid[Scope 3 Emission Factor (kg CO2 - e / GJ)]),0)</f>
        <v>NE</v>
      </c>
      <c r="L37" s="28" cm="1">
        <f t="array" ref="L37">Fuel_InputFunctions.Fuel_TotalConsumption(Table_Input_Fuel[Amount consumed], Table_Input_Fuel[Fuel use (select)], D37, Table_Input_Fuel[Fuel type (select)],F37)</f>
        <v>0</v>
      </c>
      <c r="M37" s="28" t="str" cm="1">
        <f t="array" ref="M37">Common_InputFunctions.Utility_LookupValueInTable(F37,Table_FuelTypes_Units[Fuel type],Table_FuelTypes_Units[Unit])</f>
        <v>kL</v>
      </c>
      <c r="N37" s="151">
        <f>((($L37 * $G37 * H37) * 10 ^ -3))</f>
        <v>0</v>
      </c>
      <c r="O37" s="151">
        <f>((($L37 * $G37 * I37) * 10 ^ -3))</f>
        <v>0</v>
      </c>
      <c r="P37" s="151">
        <f>((($L37 * $G37 * J37) * 10 ^ -3))</f>
        <v>0</v>
      </c>
      <c r="Q37" s="151">
        <f>((($L37 * $G37 * ((IF(ISNUMBER(K37), K37, 0)))) * 10 ^ -3))</f>
        <v>0</v>
      </c>
    </row>
    <row r="38" spans="1:17" ht="20.100000000000001" customHeight="1" x14ac:dyDescent="0.2">
      <c r="D38" s="131" t="str">
        <f t="shared" si="1"/>
        <v>Power standalone machinery or heating</v>
      </c>
      <c r="E38" s="129" t="str">
        <f>'Constants - Fuel'!$D$77</f>
        <v>Renewable diesel</v>
      </c>
      <c r="F38" s="129" t="str">
        <f>'Constants - Fuel'!E137</f>
        <v>Renewable diesel</v>
      </c>
      <c r="G38" s="28">
        <f>IFERROR(_xlfn.XLOOKUP($E38, Table_Fuel_EFs_StationaryLiquid[Fuel combusted], Table_Fuel_EFs_StationaryLiquid[Energy Content Factor (GJ per unit of fuel)]),0)</f>
        <v>38.6</v>
      </c>
      <c r="H38" s="28">
        <f>IFERROR(_xlfn.XLOOKUP($E38, Table_Fuel_EFs_StationaryLiquid[Fuel combusted], Table_Fuel_EFs_StationaryLiquid[Scope 1 Emission Factor (kg CO2 - e / GJ) CO2]),0)</f>
        <v>0</v>
      </c>
      <c r="I38" s="28">
        <f>IFERROR(_xlfn.XLOOKUP($E38, Table_Fuel_EFs_StationaryLiquid[Fuel combusted], Table_Fuel_EFs_StationaryLiquid[Scope 1 Emission Factor (kg CO2 - e / GJ) CH4]),0)</f>
        <v>0.1</v>
      </c>
      <c r="J38" s="28">
        <f>IFERROR(_xlfn.XLOOKUP($E38, Table_Fuel_EFs_StationaryLiquid[Fuel combusted], Table_Fuel_EFs_StationaryLiquid[Scope 1 Emission Factor (kg CO2 - e / GJ) N2O]),0)</f>
        <v>0.2</v>
      </c>
      <c r="K38" s="28" t="str">
        <f>IFERROR(_xlfn.XLOOKUP($E38, Table_Fuel_EFs_StationaryLiquid[Fuel combusted], Table_Fuel_EFs_StationaryLiquid[Scope 3 Emission Factor (kg CO2 - e / GJ)]),0)</f>
        <v>NE</v>
      </c>
      <c r="L38" s="28" cm="1">
        <f t="array" ref="L38">Fuel_InputFunctions.Fuel_TotalConsumption(Table_Input_Fuel[Amount consumed], Table_Input_Fuel[Fuel use (select)], D38, Table_Input_Fuel[Fuel type (select)],F38)</f>
        <v>0</v>
      </c>
      <c r="M38" s="28" t="str" cm="1">
        <f t="array" ref="M38">Common_InputFunctions.Utility_LookupValueInTable(F38,Table_FuelTypes_Units[Fuel type],Table_FuelTypes_Units[Unit])</f>
        <v>kL</v>
      </c>
      <c r="N38" s="151">
        <f>((($L38 * $G38 * H38) * 10 ^ -3))</f>
        <v>0</v>
      </c>
      <c r="O38" s="151">
        <f>((($L38 * $G38 * I38) * 10 ^ -3))</f>
        <v>0</v>
      </c>
      <c r="P38" s="151">
        <f>((($L38 * $G38 * J38) * 10 ^ -3))</f>
        <v>0</v>
      </c>
      <c r="Q38" s="151">
        <f>((($L38 * $G38 * ((IF(ISNUMBER(K38), K38, 0)))) * 10 ^ -3))</f>
        <v>0</v>
      </c>
    </row>
    <row r="39" spans="1:17" ht="20.100000000000001" customHeight="1" x14ac:dyDescent="0.2">
      <c r="D39" s="131" t="str">
        <f t="shared" si="1"/>
        <v>Power standalone machinery or heating</v>
      </c>
      <c r="E39" s="129" t="str">
        <f>'Constants - Fuel'!$D$103</f>
        <v>Natural gas distributed in a pipeline - Gigajoules</v>
      </c>
      <c r="F39" s="129" t="str">
        <f>'Constants - Fuel'!E138</f>
        <v>Natural gas (via pipeline) in GJ</v>
      </c>
      <c r="G39" s="28">
        <f>IFERROR(_xlfn.XLOOKUP($E39, Table_Fuel_EFs_StationaryGaseous[Fuel combusted], Table_Fuel_EFs_StationaryGaseous[Energy Content Factor (GJ per unit of fuel)]),0)</f>
        <v>1</v>
      </c>
      <c r="H39" s="28">
        <f>IFERROR(_xlfn.XLOOKUP($E39, Table_Fuel_EFs_StationaryGaseous[Fuel combusted], Table_Fuel_EFs_StationaryGaseous[Scope 1 Emission Factor (kg CO2 - e / GJ) CO2]),0)</f>
        <v>51.4</v>
      </c>
      <c r="I39" s="28">
        <f>IFERROR(_xlfn.XLOOKUP($E39, Table_Fuel_EFs_StationaryGaseous[Fuel combusted], Table_Fuel_EFs_StationaryGaseous[Scope 1 Emission Factor (kg CO2 - e / GJ) CH4]),0)</f>
        <v>0.1</v>
      </c>
      <c r="J39" s="28">
        <f>IFERROR(_xlfn.XLOOKUP($E39, Table_Fuel_EFs_StationaryGaseous[Fuel combusted], Table_Fuel_EFs_StationaryGaseous[Scope 1 Emission Factor (kg CO2 - e / GJ) N2O]),0)</f>
        <v>0.03</v>
      </c>
      <c r="K39" s="28" cm="1">
        <f t="array" ref="K39">IFERROR(Common_InputFunctions.Utility_LookupValueInTableOneColumnAndHeader($P$17,$P$18,Table_Fuel_EFs_StationaryGaseous34[State or territory],Table_Fuel_EFs_StationaryGaseous34[#Headers],Table_Fuel_EFs_StationaryGaseous34[#Data]),0)</f>
        <v>4.0999999999999996</v>
      </c>
      <c r="L39" s="116" cm="1">
        <f t="array" ref="L39">Fuel_InputFunctions.Fuel_TotalConsumption(Table_Input_Fuel[Amount consumed], Table_Input_Fuel[Fuel use (select)], D39, Table_Input_Fuel[Fuel type (select)],F39)</f>
        <v>0</v>
      </c>
      <c r="M39" s="116" t="str" cm="1">
        <f t="array" ref="M39">Common_InputFunctions.Utility_LookupValueInTable(F39,Table_FuelTypes_Units[Fuel type],Table_FuelTypes_Units[Unit])</f>
        <v>GJ</v>
      </c>
      <c r="N39" s="151">
        <f>((($L39 * $G39 * H39) * 10 ^ -3))</f>
        <v>0</v>
      </c>
      <c r="O39" s="151">
        <f>((($L39 * $G39 * I39) * 10 ^ -3))</f>
        <v>0</v>
      </c>
      <c r="P39" s="151">
        <f>((($L39 * $G39 * J39) * 10 ^ -3))</f>
        <v>0</v>
      </c>
      <c r="Q39" s="151">
        <f>((($L39 * $G39 * ((IF(ISNUMBER(K39), K39, 0)))) * 10 ^ -3))</f>
        <v>0</v>
      </c>
    </row>
    <row r="40" spans="1:17" ht="20.100000000000001" customHeight="1" x14ac:dyDescent="0.2">
      <c r="A40" s="167" t="str">
        <f>HYPERLINK("#A1", "▲ Back to top")</f>
        <v>▲ Back to top</v>
      </c>
      <c r="D40" s="131" t="str">
        <f t="shared" si="1"/>
        <v>Power standalone machinery or heating</v>
      </c>
      <c r="E40" s="129" t="str">
        <f>'Constants - Fuel'!$D$104</f>
        <v>Town gas - Gigajoules</v>
      </c>
      <c r="F40" s="129" t="str">
        <f>'Constants - Fuel'!E139</f>
        <v>Town gas in GJ</v>
      </c>
      <c r="G40" s="28">
        <f>IFERROR(_xlfn.XLOOKUP($E40, Table_Fuel_EFs_StationaryGaseous[Fuel combusted], Table_Fuel_EFs_StationaryGaseous[Energy Content Factor (GJ per unit of fuel)]),0)</f>
        <v>1</v>
      </c>
      <c r="H40" s="28">
        <f>IFERROR(_xlfn.XLOOKUP($E40, Table_Fuel_EFs_StationaryGaseous[Fuel combusted], Table_Fuel_EFs_StationaryGaseous[Scope 1 Emission Factor (kg CO2 - e / GJ) CO2]),0)</f>
        <v>60.2</v>
      </c>
      <c r="I40" s="28">
        <f>IFERROR(_xlfn.XLOOKUP($E40, Table_Fuel_EFs_StationaryGaseous[Fuel combusted], Table_Fuel_EFs_StationaryGaseous[Scope 1 Emission Factor (kg CO2 - e / GJ) CH4]),0)</f>
        <v>0.04</v>
      </c>
      <c r="J40" s="28">
        <f>IFERROR(_xlfn.XLOOKUP($E40, Table_Fuel_EFs_StationaryGaseous[Fuel combusted], Table_Fuel_EFs_StationaryGaseous[Scope 1 Emission Factor (kg CO2 - e / GJ) N2O]),0)</f>
        <v>0.03</v>
      </c>
      <c r="K40" s="28" cm="1">
        <f t="array" ref="K40">IFERROR(Common_InputFunctions.Utility_LookupValueInTableOneColumnAndHeader($P$17,$P$18,Table_Fuel_EFs_StationaryGaseous34[State or territory],Table_Fuel_EFs_StationaryGaseous34[#Headers],Table_Fuel_EFs_StationaryGaseous34[#Data]),0)</f>
        <v>4.0999999999999996</v>
      </c>
      <c r="L40" s="116" cm="1">
        <f t="array" ref="L40">Fuel_InputFunctions.Fuel_TotalConsumption(Table_Input_Fuel[Amount consumed], Table_Input_Fuel[Fuel use (select)], D40, Table_Input_Fuel[Fuel type (select)],F40)</f>
        <v>100</v>
      </c>
      <c r="M40" s="116" t="str" cm="1">
        <f t="array" ref="M40">Common_InputFunctions.Utility_LookupValueInTable(F40,Table_FuelTypes_Units[Fuel type],Table_FuelTypes_Units[Unit])</f>
        <v>GJ</v>
      </c>
      <c r="N40" s="151">
        <f>((($L40 * $G40 * H40) * 10 ^ -3))</f>
        <v>6.0200000000000005</v>
      </c>
      <c r="O40" s="151">
        <f>((($L40 * $G40 * I40) * 10 ^ -3))</f>
        <v>4.0000000000000001E-3</v>
      </c>
      <c r="P40" s="151">
        <f>((($L40 * $G40 * J40) * 10 ^ -3))</f>
        <v>3.0000000000000001E-3</v>
      </c>
      <c r="Q40" s="151">
        <f>((($L40 * $G40 * ((IF(ISNUMBER(K40), K40, 0)))) * 10 ^ -3))</f>
        <v>0.41</v>
      </c>
    </row>
    <row r="42" spans="1:17" ht="20.100000000000001" customHeight="1" x14ac:dyDescent="0.2">
      <c r="D42" s="144" t="str">
        <f>"Total scope 1 - " &amp; D25</f>
        <v>Total scope 1 - Generators</v>
      </c>
      <c r="E42" s="145"/>
      <c r="F42" s="146"/>
    </row>
    <row r="43" spans="1:17" ht="20.100000000000001" customHeight="1" x14ac:dyDescent="0.2">
      <c r="D43" s="14" t="s">
        <v>390</v>
      </c>
      <c r="E43" s="147">
        <f>SUM(N25:N31)+N("Partial sum")</f>
        <v>0</v>
      </c>
      <c r="F43" s="32" t="str">
        <f>$E$12</f>
        <v>t CO2-e</v>
      </c>
    </row>
    <row r="44" spans="1:17" ht="20.100000000000001" customHeight="1" x14ac:dyDescent="0.2">
      <c r="D44" s="14" t="s">
        <v>391</v>
      </c>
      <c r="E44" s="147">
        <f>SUM(O25:O31)+N("Partial sum")</f>
        <v>0</v>
      </c>
      <c r="F44" s="32" t="str">
        <f t="shared" ref="F44:F46" si="2">$E$12</f>
        <v>t CO2-e</v>
      </c>
    </row>
    <row r="45" spans="1:17" ht="20.100000000000001" customHeight="1" x14ac:dyDescent="0.2">
      <c r="D45" s="14" t="s">
        <v>392</v>
      </c>
      <c r="E45" s="147">
        <f>SUM(P25:P31)+N("Partial sum")</f>
        <v>0</v>
      </c>
      <c r="F45" s="32" t="str">
        <f t="shared" si="2"/>
        <v>t CO2-e</v>
      </c>
    </row>
    <row r="46" spans="1:17" ht="20.100000000000001" customHeight="1" x14ac:dyDescent="0.2">
      <c r="D46" s="14" t="s">
        <v>393</v>
      </c>
      <c r="E46" s="147">
        <f>SUM(Q25:Q31)+N("Partial sum")</f>
        <v>0</v>
      </c>
      <c r="F46" s="32" t="str">
        <f t="shared" si="2"/>
        <v>t CO2-e</v>
      </c>
    </row>
    <row r="47" spans="1:17" ht="20.100000000000001" customHeight="1" x14ac:dyDescent="0.2">
      <c r="H47" s="110"/>
      <c r="I47" s="110"/>
      <c r="J47" s="110"/>
      <c r="L47" s="110"/>
      <c r="N47" s="110"/>
      <c r="O47" s="110"/>
      <c r="P47" s="110"/>
      <c r="Q47" s="110"/>
    </row>
    <row r="48" spans="1:17" ht="20.100000000000001" customHeight="1" x14ac:dyDescent="0.2">
      <c r="D48" s="144" t="str">
        <f>"Total scope 1 - " &amp; D32</f>
        <v>Total scope 1 - Power standalone machinery or heating</v>
      </c>
      <c r="E48" s="148"/>
      <c r="F48" s="146"/>
      <c r="H48" s="110"/>
      <c r="I48" s="110"/>
      <c r="J48" s="110"/>
      <c r="L48" s="110"/>
      <c r="N48" s="110"/>
      <c r="O48" s="110"/>
      <c r="P48" s="110"/>
      <c r="Q48" s="110"/>
    </row>
    <row r="49" spans="4:17" ht="20.100000000000001" customHeight="1" x14ac:dyDescent="0.2">
      <c r="D49" s="14" t="s">
        <v>390</v>
      </c>
      <c r="E49" s="147">
        <f>SUM(N32:N40)+N("Partial sum")</f>
        <v>29.070800000000002</v>
      </c>
      <c r="F49" s="32" t="str">
        <f t="shared" ref="F49:F52" si="3">$E$12</f>
        <v>t CO2-e</v>
      </c>
      <c r="H49" s="110"/>
      <c r="I49" s="110"/>
      <c r="J49" s="110"/>
      <c r="L49" s="110"/>
      <c r="N49" s="110"/>
      <c r="O49" s="110"/>
      <c r="P49" s="110"/>
      <c r="Q49" s="110"/>
    </row>
    <row r="50" spans="4:17" ht="20.100000000000001" customHeight="1" x14ac:dyDescent="0.2">
      <c r="D50" s="14" t="s">
        <v>391</v>
      </c>
      <c r="E50" s="147">
        <f>SUM(O32:O40)+N("Partial sum")</f>
        <v>7.2400000000000006E-2</v>
      </c>
      <c r="F50" s="32" t="str">
        <f t="shared" si="3"/>
        <v>t CO2-e</v>
      </c>
      <c r="H50" s="110"/>
      <c r="I50" s="110"/>
      <c r="J50" s="110"/>
      <c r="L50" s="110"/>
      <c r="N50" s="110"/>
      <c r="O50" s="110"/>
      <c r="P50" s="110"/>
      <c r="Q50" s="110"/>
    </row>
    <row r="51" spans="4:17" ht="20.100000000000001" customHeight="1" x14ac:dyDescent="0.2">
      <c r="D51" s="14" t="s">
        <v>392</v>
      </c>
      <c r="E51" s="147">
        <f>SUM(P32:P40)+N("Partial sum")</f>
        <v>7.1400000000000005E-2</v>
      </c>
      <c r="F51" s="32" t="str">
        <f t="shared" si="3"/>
        <v>t CO2-e</v>
      </c>
      <c r="H51" s="110"/>
      <c r="I51" s="110"/>
      <c r="J51" s="110"/>
      <c r="L51" s="110"/>
      <c r="N51" s="110"/>
      <c r="O51" s="110"/>
      <c r="P51" s="110"/>
      <c r="Q51" s="110"/>
    </row>
    <row r="52" spans="4:17" ht="20.100000000000001" customHeight="1" x14ac:dyDescent="0.2">
      <c r="D52" s="14" t="s">
        <v>393</v>
      </c>
      <c r="E52" s="147">
        <f>SUM(Q32:Q40)+N("Partial sum")</f>
        <v>6.2923999999999998</v>
      </c>
      <c r="F52" s="32" t="str">
        <f t="shared" si="3"/>
        <v>t CO2-e</v>
      </c>
      <c r="G52" s="110"/>
      <c r="H52" s="110"/>
      <c r="I52" s="110"/>
      <c r="J52" s="110"/>
      <c r="L52" s="110"/>
      <c r="N52" s="110"/>
      <c r="O52" s="110"/>
      <c r="P52" s="110"/>
      <c r="Q52" s="110"/>
    </row>
    <row r="53" spans="4:17" ht="20.100000000000001" customHeight="1" x14ac:dyDescent="0.2">
      <c r="G53" s="110"/>
      <c r="H53" s="110"/>
      <c r="I53" s="110"/>
      <c r="J53" s="110"/>
      <c r="L53" s="110"/>
      <c r="N53" s="110"/>
      <c r="O53" s="110"/>
      <c r="P53" s="110"/>
      <c r="Q53" s="110"/>
    </row>
    <row r="54" spans="4:17" ht="20.100000000000001" customHeight="1" x14ac:dyDescent="0.2">
      <c r="D54" s="144" t="s">
        <v>404</v>
      </c>
      <c r="E54" s="148"/>
      <c r="F54" s="146"/>
      <c r="G54" s="110"/>
      <c r="H54" s="110"/>
      <c r="I54" s="110"/>
      <c r="J54" s="110"/>
      <c r="L54" s="110"/>
      <c r="N54" s="110"/>
      <c r="O54" s="110"/>
      <c r="P54" s="110"/>
      <c r="Q54" s="110"/>
    </row>
    <row r="55" spans="4:17" ht="20.100000000000001" customHeight="1" x14ac:dyDescent="0.2">
      <c r="D55" s="14" t="s">
        <v>390</v>
      </c>
      <c r="E55" s="147">
        <f>E43+E49</f>
        <v>29.070800000000002</v>
      </c>
      <c r="F55" s="32" t="str">
        <f t="shared" ref="F55:F58" si="4">$E$12</f>
        <v>t CO2-e</v>
      </c>
      <c r="G55" s="110"/>
      <c r="H55" s="110"/>
      <c r="I55" s="110"/>
      <c r="J55" s="110"/>
      <c r="L55" s="110"/>
      <c r="N55" s="110"/>
      <c r="O55" s="110"/>
      <c r="P55" s="110"/>
      <c r="Q55" s="110"/>
    </row>
    <row r="56" spans="4:17" ht="20.100000000000001" customHeight="1" x14ac:dyDescent="0.2">
      <c r="D56" s="14" t="s">
        <v>391</v>
      </c>
      <c r="E56" s="147">
        <f>E44+E50</f>
        <v>7.2400000000000006E-2</v>
      </c>
      <c r="F56" s="32" t="str">
        <f t="shared" si="4"/>
        <v>t CO2-e</v>
      </c>
      <c r="H56" s="110"/>
    </row>
    <row r="57" spans="4:17" ht="20.100000000000001" customHeight="1" x14ac:dyDescent="0.2">
      <c r="D57" s="14" t="s">
        <v>392</v>
      </c>
      <c r="E57" s="147">
        <f>E45+E51</f>
        <v>7.1400000000000005E-2</v>
      </c>
      <c r="F57" s="32" t="str">
        <f t="shared" si="4"/>
        <v>t CO2-e</v>
      </c>
      <c r="G57" s="110"/>
      <c r="H57" s="110"/>
      <c r="I57" s="110"/>
      <c r="J57" s="110"/>
      <c r="L57" s="110"/>
      <c r="N57" s="110"/>
      <c r="O57" s="110"/>
      <c r="P57" s="110"/>
      <c r="Q57" s="110"/>
    </row>
    <row r="58" spans="4:17" ht="20.100000000000001" customHeight="1" x14ac:dyDescent="0.2">
      <c r="D58" s="14" t="s">
        <v>393</v>
      </c>
      <c r="E58" s="147">
        <f>E46+E52</f>
        <v>6.2923999999999998</v>
      </c>
      <c r="F58" s="32" t="str">
        <f t="shared" si="4"/>
        <v>t CO2-e</v>
      </c>
      <c r="G58" s="110"/>
      <c r="H58" s="110"/>
      <c r="I58" s="110"/>
      <c r="J58" s="110"/>
      <c r="L58" s="110"/>
      <c r="N58" s="110"/>
      <c r="O58" s="110"/>
      <c r="P58" s="110"/>
      <c r="Q58" s="110"/>
    </row>
    <row r="59" spans="4:17" ht="20.100000000000001" customHeight="1" x14ac:dyDescent="0.2">
      <c r="G59" s="110"/>
      <c r="H59" s="110"/>
      <c r="I59" s="110"/>
      <c r="J59" s="110"/>
      <c r="L59" s="110"/>
      <c r="N59" s="110"/>
      <c r="O59" s="110"/>
      <c r="P59" s="110"/>
      <c r="Q59" s="110"/>
    </row>
    <row r="60" spans="4:17" ht="20.100000000000001" customHeight="1" x14ac:dyDescent="0.2">
      <c r="G60" s="110"/>
      <c r="H60" s="110"/>
      <c r="I60" s="110"/>
      <c r="J60" s="110"/>
      <c r="L60" s="110"/>
      <c r="N60" s="110"/>
      <c r="O60" s="110"/>
      <c r="P60" s="110"/>
      <c r="Q60" s="110"/>
    </row>
    <row r="61" spans="4:17" ht="20.100000000000001" customHeight="1" x14ac:dyDescent="0.2">
      <c r="G61" s="110"/>
      <c r="H61" s="110"/>
      <c r="I61" s="110"/>
      <c r="J61" s="110"/>
      <c r="L61" s="110"/>
      <c r="N61" s="110"/>
      <c r="O61" s="110"/>
      <c r="P61" s="110"/>
      <c r="Q61" s="110"/>
    </row>
    <row r="62" spans="4:17" ht="20.100000000000001" customHeight="1" x14ac:dyDescent="0.2">
      <c r="G62" s="110"/>
      <c r="H62" s="110"/>
      <c r="I62" s="110"/>
      <c r="J62" s="110"/>
      <c r="L62" s="110"/>
      <c r="N62" s="110"/>
      <c r="O62" s="110"/>
      <c r="P62" s="110"/>
      <c r="Q62" s="110"/>
    </row>
    <row r="63" spans="4:17" ht="20.100000000000001" customHeight="1" x14ac:dyDescent="0.2">
      <c r="G63" s="110"/>
      <c r="H63" s="110"/>
      <c r="I63" s="110"/>
      <c r="J63" s="110"/>
      <c r="L63" s="110"/>
      <c r="N63" s="110"/>
      <c r="O63" s="110"/>
      <c r="P63" s="110"/>
      <c r="Q63" s="110"/>
    </row>
    <row r="64" spans="4:17" ht="20.100000000000001" customHeight="1" x14ac:dyDescent="0.2">
      <c r="G64" s="110"/>
      <c r="H64" s="110"/>
      <c r="I64" s="110"/>
      <c r="J64" s="110"/>
      <c r="L64" s="110"/>
      <c r="N64" s="110"/>
      <c r="O64" s="110"/>
      <c r="P64" s="110"/>
      <c r="Q64" s="110"/>
    </row>
    <row r="65" spans="7:17" ht="20.100000000000001" customHeight="1" x14ac:dyDescent="0.2">
      <c r="G65" s="110"/>
      <c r="H65" s="110"/>
      <c r="I65" s="110"/>
      <c r="J65" s="110"/>
      <c r="L65" s="110"/>
      <c r="N65" s="110"/>
      <c r="O65" s="110"/>
      <c r="P65" s="110"/>
      <c r="Q65" s="110"/>
    </row>
    <row r="66" spans="7:17" ht="20.100000000000001" customHeight="1" x14ac:dyDescent="0.2">
      <c r="G66" s="110"/>
      <c r="H66" s="110"/>
      <c r="I66" s="110"/>
      <c r="J66" s="110"/>
      <c r="L66" s="110"/>
      <c r="N66" s="110"/>
      <c r="O66" s="110"/>
      <c r="P66" s="110"/>
      <c r="Q66" s="110"/>
    </row>
    <row r="67" spans="7:17" ht="20.100000000000001" customHeight="1" x14ac:dyDescent="0.2">
      <c r="G67" s="110"/>
    </row>
    <row r="68" spans="7:17" ht="20.100000000000001" customHeight="1" x14ac:dyDescent="0.2">
      <c r="G68" s="110"/>
    </row>
    <row r="69" spans="7:17" ht="20.100000000000001" customHeight="1" x14ac:dyDescent="0.2">
      <c r="G69" s="110"/>
    </row>
    <row r="70" spans="7:17" ht="20.100000000000001" customHeight="1" x14ac:dyDescent="0.2">
      <c r="G70" s="110"/>
    </row>
    <row r="71" spans="7:17" ht="20.100000000000001" customHeight="1" x14ac:dyDescent="0.2">
      <c r="G71" s="110"/>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F0B5A-0518-4518-AB21-773C92E29FD7}">
  <dimension ref="A1:AM223"/>
  <sheetViews>
    <sheetView showGridLines="0" zoomScaleNormal="100" workbookViewId="0">
      <pane xSplit="1" topLeftCell="B1" activePane="topRight" state="frozenSplit"/>
      <selection pane="topRight" activeCell="A28" sqref="A28"/>
    </sheetView>
  </sheetViews>
  <sheetFormatPr defaultRowHeight="20.100000000000001" customHeight="1" x14ac:dyDescent="0.2"/>
  <cols>
    <col min="1" max="1" width="36.7109375" customWidth="1"/>
    <col min="2" max="2" width="4.7109375" customWidth="1"/>
    <col min="3" max="3" width="4.7109375" style="15" customWidth="1"/>
    <col min="4" max="9" width="20.7109375" style="15" customWidth="1"/>
    <col min="10" max="10" width="26.28515625" style="15" customWidth="1"/>
    <col min="11" max="34" width="20.7109375" style="15" customWidth="1"/>
    <col min="35" max="36" width="9.140625" style="15"/>
  </cols>
  <sheetData>
    <row r="1" spans="1:36" s="8" customFormat="1" ht="30" customHeight="1" x14ac:dyDescent="0.35">
      <c r="A1" s="23" t="e" vm="1">
        <v>#VALUE!</v>
      </c>
      <c r="C1" s="8" t="s">
        <v>314</v>
      </c>
      <c r="AF1" s="15"/>
      <c r="AG1" s="15"/>
      <c r="AH1" s="15"/>
      <c r="AI1" s="15"/>
      <c r="AJ1" s="15"/>
    </row>
    <row r="2" spans="1:36" s="9" customFormat="1" ht="20.100000000000001" customHeight="1" x14ac:dyDescent="0.2">
      <c r="A2"/>
      <c r="AF2" s="15"/>
      <c r="AG2" s="15"/>
      <c r="AH2" s="15"/>
      <c r="AI2" s="15"/>
      <c r="AJ2" s="15"/>
    </row>
    <row r="3" spans="1:36" ht="20.100000000000001" customHeight="1" x14ac:dyDescent="0.2">
      <c r="A3" s="29" t="str">
        <f>HYPERLINK("#'Home'!A1", "Home")</f>
        <v>Home</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row>
    <row r="5" spans="1:36" ht="20.100000000000001" customHeight="1" x14ac:dyDescent="0.2">
      <c r="D5" s="16" t="s">
        <v>675</v>
      </c>
      <c r="E5" s="110"/>
      <c r="F5" s="110"/>
      <c r="G5" s="110"/>
      <c r="H5" s="110"/>
      <c r="I5" s="110"/>
      <c r="J5" s="110"/>
    </row>
    <row r="6" spans="1:36" ht="20.100000000000001" customHeight="1" x14ac:dyDescent="0.2">
      <c r="A6" s="40" t="s">
        <v>148</v>
      </c>
      <c r="D6" s="18" t="s">
        <v>676</v>
      </c>
    </row>
    <row r="7" spans="1:36" ht="20.100000000000001" customHeight="1" x14ac:dyDescent="0.2">
      <c r="A7" s="29" t="str">
        <f>HYPERLINK("#'Input - Planting'!A1", "Planting")</f>
        <v>Planting</v>
      </c>
      <c r="D7" s="19" t="s">
        <v>677</v>
      </c>
    </row>
    <row r="8" spans="1:36" ht="20.100000000000001" customHeight="1" x14ac:dyDescent="0.2">
      <c r="A8" s="29" t="str">
        <f>HYPERLINK("#'Input - Fertiliser'!A1", "Fertiliser")</f>
        <v>Fertiliser</v>
      </c>
      <c r="D8" s="19" t="s">
        <v>678</v>
      </c>
    </row>
    <row r="9" spans="1:36" ht="20.100000000000001" customHeight="1" x14ac:dyDescent="0.2">
      <c r="A9" s="29" t="str">
        <f>HYPERLINK("#'Input - Fuel'!A1", "Fuel")</f>
        <v>Fuel</v>
      </c>
      <c r="D9" s="19" t="s">
        <v>679</v>
      </c>
    </row>
    <row r="10" spans="1:36" ht="20.100000000000001" customHeight="1" x14ac:dyDescent="0.2">
      <c r="A10" s="29" t="str">
        <f>HYPERLINK("#'Input - Fert Prod System'!A1", "Fert Prod System")</f>
        <v>Fert Prod System</v>
      </c>
      <c r="D10" s="19" t="s">
        <v>680</v>
      </c>
    </row>
    <row r="11" spans="1:36" ht="20.100000000000001" customHeight="1" x14ac:dyDescent="0.2">
      <c r="A11" s="29" t="str">
        <f>HYPERLINK("#'Input - Site'!A1", "Site")</f>
        <v>Site</v>
      </c>
      <c r="D11" s="19" t="s">
        <v>681</v>
      </c>
    </row>
    <row r="12" spans="1:36" ht="20.100000000000001" customHeight="1" x14ac:dyDescent="0.2">
      <c r="A12" s="29" t="str">
        <f>HYPERLINK("#'Input - Data quality'!A1", "Data quality")</f>
        <v>Data quality</v>
      </c>
      <c r="D12" s="19" t="s">
        <v>682</v>
      </c>
    </row>
    <row r="13" spans="1:36" ht="20.100000000000001" customHeight="1" x14ac:dyDescent="0.2">
      <c r="D13" s="19" t="s">
        <v>683</v>
      </c>
    </row>
    <row r="14" spans="1:36" ht="20.100000000000001" customHeight="1" x14ac:dyDescent="0.2">
      <c r="D14" s="19" t="s">
        <v>684</v>
      </c>
    </row>
    <row r="15" spans="1:36" ht="20.100000000000001" customHeight="1" x14ac:dyDescent="0.2">
      <c r="A15" s="53" t="s">
        <v>175</v>
      </c>
      <c r="D15" s="19" t="s">
        <v>685</v>
      </c>
    </row>
    <row r="16" spans="1:36" ht="20.100000000000001" customHeight="1" x14ac:dyDescent="0.2">
      <c r="A16" s="29" t="str">
        <f>HYPERLINK("#'5.1.1.1-2 Inorganic fert N2O'!A1", "5.1.1.1-2 Inorganic fert N2O")</f>
        <v>5.1.1.1-2 Inorganic fert N2O</v>
      </c>
      <c r="D16" s="19" t="s">
        <v>686</v>
      </c>
    </row>
    <row r="17" spans="1:22" ht="20.100000000000001" customHeight="1" x14ac:dyDescent="0.2">
      <c r="A17" s="29" t="str">
        <f>HYPERLINK("#'5.1.1.3-4 Inorganic fert CO2'!A1", "5.1.1.3-4 Inorganic fert CO2")</f>
        <v>5.1.1.3-4 Inorganic fert CO2</v>
      </c>
      <c r="D17" s="19" t="s">
        <v>687</v>
      </c>
      <c r="K17" s="16" t="s">
        <v>689</v>
      </c>
      <c r="Q17" s="16" t="s">
        <v>691</v>
      </c>
      <c r="V17" s="16" t="s">
        <v>693</v>
      </c>
    </row>
    <row r="18" spans="1:22" ht="20.100000000000001" customHeight="1" x14ac:dyDescent="0.2">
      <c r="A18" s="29" t="str">
        <f>HYPERLINK("#'5.2.1.1-2 Organic Fert N2O'!A1", "5.2.1.1-2 Organic fert N2O")</f>
        <v>5.2.1.1-2 Organic fert N2O</v>
      </c>
      <c r="D18" s="19" t="s">
        <v>688</v>
      </c>
      <c r="K18" s="18" t="s">
        <v>690</v>
      </c>
      <c r="Q18" s="18" t="s">
        <v>692</v>
      </c>
      <c r="V18" s="18" t="s">
        <v>694</v>
      </c>
    </row>
    <row r="19" spans="1:22" ht="20.100000000000001" customHeight="1" x14ac:dyDescent="0.2">
      <c r="A19" s="29" t="str">
        <f>HYPERLINK("#'5.3.1.1-2 Lime CO2'!A1", "5.3.1.1-2 Lime CO2")</f>
        <v>5.3.1.1-2 Lime CO2</v>
      </c>
      <c r="D19" t="s">
        <v>233</v>
      </c>
      <c r="E19" t="s">
        <v>315</v>
      </c>
      <c r="F19" t="s">
        <v>316</v>
      </c>
      <c r="G19" t="s">
        <v>290</v>
      </c>
      <c r="H19" t="s">
        <v>317</v>
      </c>
      <c r="I19" t="s">
        <v>318</v>
      </c>
      <c r="K19" s="17" t="s">
        <v>233</v>
      </c>
      <c r="L19" s="17" t="s">
        <v>315</v>
      </c>
      <c r="Q19" s="17" t="s">
        <v>233</v>
      </c>
      <c r="R19" s="17" t="s">
        <v>315</v>
      </c>
      <c r="V19" s="17" t="s">
        <v>318</v>
      </c>
    </row>
    <row r="20" spans="1:22" ht="20.100000000000001" customHeight="1" x14ac:dyDescent="0.2">
      <c r="A20" s="29" t="str">
        <f>HYPERLINK("#'5.4.1.1-4 Atmos deposition'!A1", "5.4.1.1-4 Atmos. deposition")</f>
        <v>5.4.1.1-4 Atmos. deposition</v>
      </c>
      <c r="D20" s="121" t="s">
        <v>695</v>
      </c>
      <c r="E20" s="121">
        <v>0.1</v>
      </c>
      <c r="F20" s="121">
        <v>0</v>
      </c>
      <c r="G20" s="121" t="s">
        <v>696</v>
      </c>
      <c r="H20" s="121" t="s">
        <v>695</v>
      </c>
      <c r="I20" s="121" t="s">
        <v>697</v>
      </c>
      <c r="K20" s="17" t="s">
        <v>695</v>
      </c>
      <c r="L20" s="17">
        <v>0.1</v>
      </c>
      <c r="Q20" s="17" t="s">
        <v>695</v>
      </c>
      <c r="R20" s="17">
        <v>0</v>
      </c>
      <c r="V20" s="17" t="s">
        <v>723</v>
      </c>
    </row>
    <row r="21" spans="1:22" ht="20.100000000000001" customHeight="1" x14ac:dyDescent="0.2">
      <c r="A21" s="29" t="str">
        <f>HYPERLINK("#'5.5.1.1-2 Leaching and runoff'!A1", "5.5.1.1-2 Leaching &amp; runoff")</f>
        <v>5.5.1.1-2 Leaching &amp; runoff</v>
      </c>
      <c r="D21" s="121" t="s">
        <v>698</v>
      </c>
      <c r="E21" s="121">
        <v>0.18</v>
      </c>
      <c r="F21" s="121">
        <v>0</v>
      </c>
      <c r="G21" s="121" t="s">
        <v>696</v>
      </c>
      <c r="H21" s="121" t="s">
        <v>698</v>
      </c>
      <c r="I21" s="121" t="s">
        <v>697</v>
      </c>
      <c r="K21" s="17" t="s">
        <v>698</v>
      </c>
      <c r="L21" s="17">
        <v>0.18</v>
      </c>
      <c r="Q21" s="17" t="s">
        <v>698</v>
      </c>
      <c r="R21" s="17">
        <v>0</v>
      </c>
      <c r="V21" s="17" t="s">
        <v>724</v>
      </c>
    </row>
    <row r="22" spans="1:22" ht="20.100000000000001" customHeight="1" x14ac:dyDescent="0.2">
      <c r="A22" s="29" t="str">
        <f>HYPERLINK("#'8.1.1.1-2 Transport fuel'!A1", "8.1.1.1-2 Transport fuel")</f>
        <v>8.1.1.1-2 Transport fuel</v>
      </c>
      <c r="D22" s="121" t="s">
        <v>174</v>
      </c>
      <c r="E22" s="121">
        <v>0.46</v>
      </c>
      <c r="F22" s="121">
        <v>1</v>
      </c>
      <c r="G22" s="121" t="s">
        <v>699</v>
      </c>
      <c r="H22" s="121" t="s">
        <v>174</v>
      </c>
      <c r="I22" s="121" t="s">
        <v>697</v>
      </c>
      <c r="K22" s="17" t="s">
        <v>174</v>
      </c>
      <c r="L22" s="17">
        <v>0.46</v>
      </c>
      <c r="Q22" s="17" t="s">
        <v>174</v>
      </c>
      <c r="R22" s="17">
        <v>1</v>
      </c>
      <c r="V22" s="17" t="s">
        <v>725</v>
      </c>
    </row>
    <row r="23" spans="1:22" ht="20.100000000000001" customHeight="1" x14ac:dyDescent="0.2">
      <c r="A23" s="29" t="str">
        <f>HYPERLINK("#'8.2.1.1-2 Stationary fuel'!A1", "8.2.1.1-2 Stationary fuel")</f>
        <v>8.2.1.1-2 Stationary fuel</v>
      </c>
      <c r="D23" s="121" t="s">
        <v>700</v>
      </c>
      <c r="E23" s="121">
        <v>0.21</v>
      </c>
      <c r="F23" s="121">
        <v>0</v>
      </c>
      <c r="G23" s="121" t="s">
        <v>696</v>
      </c>
      <c r="H23" s="121" t="s">
        <v>700</v>
      </c>
      <c r="I23" s="121" t="s">
        <v>697</v>
      </c>
      <c r="K23" s="17" t="s">
        <v>700</v>
      </c>
      <c r="L23" s="17">
        <v>0.21</v>
      </c>
      <c r="Q23" s="17" t="s">
        <v>700</v>
      </c>
      <c r="R23" s="17">
        <v>0</v>
      </c>
      <c r="V23" s="17" t="s">
        <v>726</v>
      </c>
    </row>
    <row r="24" spans="1:22" ht="20.100000000000001" customHeight="1" x14ac:dyDescent="0.2">
      <c r="D24" s="121" t="s">
        <v>701</v>
      </c>
      <c r="E24" s="121">
        <v>0.32</v>
      </c>
      <c r="F24" s="121">
        <v>0.35</v>
      </c>
      <c r="G24" s="121" t="s">
        <v>699</v>
      </c>
      <c r="H24" s="121" t="s">
        <v>701</v>
      </c>
      <c r="I24" s="121" t="s">
        <v>697</v>
      </c>
      <c r="K24" s="17" t="s">
        <v>701</v>
      </c>
      <c r="L24" s="17">
        <v>0.32</v>
      </c>
      <c r="Q24" s="17" t="s">
        <v>701</v>
      </c>
      <c r="R24" s="17">
        <v>0.35</v>
      </c>
    </row>
    <row r="25" spans="1:22" ht="20.100000000000001" customHeight="1" x14ac:dyDescent="0.2">
      <c r="D25" s="121" t="s">
        <v>702</v>
      </c>
      <c r="E25" s="121">
        <v>0.33700000000000002</v>
      </c>
      <c r="F25" s="121">
        <v>0</v>
      </c>
      <c r="G25" s="121" t="s">
        <v>703</v>
      </c>
      <c r="H25" s="121" t="s">
        <v>702</v>
      </c>
      <c r="I25" s="121" t="s">
        <v>697</v>
      </c>
      <c r="K25" s="17" t="s">
        <v>702</v>
      </c>
      <c r="L25" s="17">
        <v>0.33700000000000002</v>
      </c>
      <c r="Q25" s="17" t="s">
        <v>702</v>
      </c>
      <c r="R25" s="17">
        <v>0</v>
      </c>
    </row>
    <row r="26" spans="1:22" ht="20.100000000000001" customHeight="1" x14ac:dyDescent="0.2">
      <c r="A26" s="30" t="s">
        <v>91</v>
      </c>
      <c r="D26" s="121" t="s">
        <v>704</v>
      </c>
      <c r="E26" s="121">
        <v>0.27</v>
      </c>
      <c r="F26" s="121">
        <v>0</v>
      </c>
      <c r="G26" s="121" t="s">
        <v>703</v>
      </c>
      <c r="H26" s="121" t="s">
        <v>704</v>
      </c>
      <c r="I26" s="121" t="s">
        <v>697</v>
      </c>
      <c r="K26" s="17" t="s">
        <v>704</v>
      </c>
      <c r="L26" s="17">
        <v>0.27</v>
      </c>
      <c r="Q26" s="17" t="s">
        <v>704</v>
      </c>
      <c r="R26" s="17">
        <v>0</v>
      </c>
    </row>
    <row r="27" spans="1:22" ht="20.100000000000001" customHeight="1" x14ac:dyDescent="0.2">
      <c r="A27" s="31" t="str">
        <f>HYPERLINK("#'Constants - Fertiliser'!A1", "Constants - Fertiliser")</f>
        <v>Constants - Fertiliser</v>
      </c>
      <c r="D27" s="121" t="s">
        <v>705</v>
      </c>
      <c r="E27" s="121">
        <v>1</v>
      </c>
      <c r="F27" s="121">
        <v>0</v>
      </c>
      <c r="G27" s="121" t="s">
        <v>696</v>
      </c>
      <c r="H27" s="121" t="s">
        <v>705</v>
      </c>
      <c r="I27" s="121" t="s">
        <v>706</v>
      </c>
      <c r="K27" s="17" t="s">
        <v>721</v>
      </c>
      <c r="L27" s="17">
        <v>0.21</v>
      </c>
      <c r="Q27" s="17" t="s">
        <v>721</v>
      </c>
      <c r="R27" s="17">
        <v>0</v>
      </c>
    </row>
    <row r="28" spans="1:22" ht="20.100000000000001" customHeight="1" x14ac:dyDescent="0.2">
      <c r="A28" s="29" t="str">
        <f>HYPERLINK("#'Constants - Fuel'!A1", "Constants - Fuel")</f>
        <v>Constants - Fuel</v>
      </c>
      <c r="D28" s="121" t="s">
        <v>707</v>
      </c>
      <c r="E28" s="121">
        <v>1</v>
      </c>
      <c r="F28" s="121">
        <v>0</v>
      </c>
      <c r="G28" s="121" t="s">
        <v>708</v>
      </c>
      <c r="H28" s="121" t="s">
        <v>709</v>
      </c>
      <c r="I28" s="121" t="s">
        <v>706</v>
      </c>
      <c r="K28" s="17" t="s">
        <v>722</v>
      </c>
      <c r="L28" s="17">
        <v>0.155</v>
      </c>
      <c r="Q28" s="17" t="s">
        <v>722</v>
      </c>
      <c r="R28" s="17">
        <v>0</v>
      </c>
    </row>
    <row r="29" spans="1:22" ht="20.100000000000001" customHeight="1" x14ac:dyDescent="0.2">
      <c r="A29" s="29" t="str">
        <f>HYPERLINK("#'Constants - Common'!A1", "Constants - Common")</f>
        <v>Constants - Common</v>
      </c>
      <c r="D29" s="121" t="s">
        <v>710</v>
      </c>
      <c r="E29" s="121">
        <v>1</v>
      </c>
      <c r="F29" s="121">
        <v>0</v>
      </c>
      <c r="G29" s="121" t="s">
        <v>699</v>
      </c>
      <c r="H29" s="121" t="s">
        <v>711</v>
      </c>
      <c r="I29" s="121" t="s">
        <v>706</v>
      </c>
    </row>
    <row r="30" spans="1:22" ht="20.100000000000001" customHeight="1" x14ac:dyDescent="0.2">
      <c r="D30" s="121" t="s">
        <v>712</v>
      </c>
      <c r="E30" s="121">
        <v>0</v>
      </c>
      <c r="F30" s="121">
        <v>0</v>
      </c>
      <c r="G30" s="121" t="s">
        <v>713</v>
      </c>
      <c r="H30" s="121" t="s">
        <v>714</v>
      </c>
      <c r="I30" s="121" t="s">
        <v>706</v>
      </c>
    </row>
    <row r="31" spans="1:22" ht="20.100000000000001" customHeight="1" x14ac:dyDescent="0.2">
      <c r="D31" s="121" t="s">
        <v>187</v>
      </c>
      <c r="E31" s="121">
        <v>0</v>
      </c>
      <c r="F31" s="121">
        <v>0</v>
      </c>
      <c r="G31" s="121" t="s">
        <v>713</v>
      </c>
      <c r="H31" s="121" t="s">
        <v>715</v>
      </c>
      <c r="I31" s="121" t="s">
        <v>706</v>
      </c>
    </row>
    <row r="32" spans="1:22" ht="20.100000000000001" customHeight="1" x14ac:dyDescent="0.2">
      <c r="D32" s="121" t="s">
        <v>188</v>
      </c>
      <c r="E32" s="121">
        <v>0</v>
      </c>
      <c r="F32" s="121">
        <v>0</v>
      </c>
      <c r="G32" s="121" t="s">
        <v>713</v>
      </c>
      <c r="H32" s="121" t="s">
        <v>716</v>
      </c>
      <c r="I32" s="121" t="s">
        <v>706</v>
      </c>
    </row>
    <row r="33" spans="1:10" ht="20.100000000000001" customHeight="1" x14ac:dyDescent="0.2">
      <c r="D33" s="121" t="s">
        <v>186</v>
      </c>
      <c r="E33" s="121">
        <v>0</v>
      </c>
      <c r="F33" s="121">
        <v>0</v>
      </c>
      <c r="G33" s="121" t="s">
        <v>713</v>
      </c>
      <c r="H33" s="121" t="s">
        <v>717</v>
      </c>
      <c r="I33" s="121" t="s">
        <v>706</v>
      </c>
    </row>
    <row r="34" spans="1:10" ht="20.100000000000001" customHeight="1" x14ac:dyDescent="0.2">
      <c r="D34" s="121" t="s">
        <v>718</v>
      </c>
      <c r="E34" s="121">
        <v>0</v>
      </c>
      <c r="F34" s="121">
        <v>0</v>
      </c>
      <c r="G34" s="121" t="s">
        <v>713</v>
      </c>
      <c r="H34" s="121" t="s">
        <v>718</v>
      </c>
      <c r="I34" s="121" t="s">
        <v>706</v>
      </c>
    </row>
    <row r="35" spans="1:10" ht="20.100000000000001" customHeight="1" x14ac:dyDescent="0.2">
      <c r="D35" s="121" t="s">
        <v>719</v>
      </c>
      <c r="E35" s="121">
        <v>0</v>
      </c>
      <c r="F35" s="121">
        <v>0</v>
      </c>
      <c r="G35" s="121" t="s">
        <v>713</v>
      </c>
      <c r="H35" s="121" t="s">
        <v>719</v>
      </c>
      <c r="I35" s="121" t="s">
        <v>706</v>
      </c>
    </row>
    <row r="36" spans="1:10" ht="20.100000000000001" customHeight="1" x14ac:dyDescent="0.2">
      <c r="D36" s="121" t="s">
        <v>720</v>
      </c>
      <c r="E36" s="121">
        <v>0</v>
      </c>
      <c r="F36" s="121">
        <v>0</v>
      </c>
      <c r="G36" s="121" t="s">
        <v>713</v>
      </c>
      <c r="H36" s="121" t="s">
        <v>720</v>
      </c>
      <c r="I36" s="121" t="s">
        <v>706</v>
      </c>
    </row>
    <row r="37" spans="1:10" ht="20.100000000000001" customHeight="1" x14ac:dyDescent="0.2">
      <c r="D37" s="121" t="s">
        <v>191</v>
      </c>
      <c r="E37" s="121">
        <v>0.82350000000000001</v>
      </c>
      <c r="F37" s="121">
        <v>0</v>
      </c>
      <c r="G37" s="121" t="s">
        <v>696</v>
      </c>
      <c r="H37" s="121" t="s">
        <v>191</v>
      </c>
      <c r="I37" s="121" t="s">
        <v>706</v>
      </c>
    </row>
    <row r="38" spans="1:10" ht="20.100000000000001" customHeight="1" x14ac:dyDescent="0.2">
      <c r="D38" s="17" t="s">
        <v>185</v>
      </c>
      <c r="E38" s="17">
        <v>0.155</v>
      </c>
      <c r="F38" s="17">
        <v>0</v>
      </c>
      <c r="G38" s="17" t="s">
        <v>708</v>
      </c>
      <c r="H38" s="17" t="s">
        <v>185</v>
      </c>
      <c r="I38" s="17" t="s">
        <v>697</v>
      </c>
    </row>
    <row r="40" spans="1:10" ht="20.100000000000001" customHeight="1" x14ac:dyDescent="0.2">
      <c r="A40" s="167" t="str">
        <f>HYPERLINK("#A1", "▲ Back to top")</f>
        <v>▲ Back to top</v>
      </c>
      <c r="D40" s="16" t="s">
        <v>319</v>
      </c>
      <c r="F40" s="16" t="s">
        <v>320</v>
      </c>
      <c r="H40" s="16" t="s">
        <v>321</v>
      </c>
      <c r="J40" s="16" t="s">
        <v>322</v>
      </c>
    </row>
    <row r="41" spans="1:10" ht="20.100000000000001" customHeight="1" x14ac:dyDescent="0.2">
      <c r="D41" s="17" t="s">
        <v>137</v>
      </c>
      <c r="F41" s="17" t="s">
        <v>137</v>
      </c>
      <c r="H41" s="17" t="s">
        <v>56</v>
      </c>
      <c r="J41" s="17" t="s">
        <v>323</v>
      </c>
    </row>
    <row r="42" spans="1:10" ht="20.100000000000001" customHeight="1" x14ac:dyDescent="0.2">
      <c r="D42" s="17" t="s">
        <v>324</v>
      </c>
      <c r="F42" s="17" t="s">
        <v>324</v>
      </c>
      <c r="H42" s="17" t="s">
        <v>325</v>
      </c>
      <c r="J42" s="17" t="s">
        <v>326</v>
      </c>
    </row>
    <row r="43" spans="1:10" ht="20.100000000000001" customHeight="1" x14ac:dyDescent="0.2">
      <c r="D43" s="15" t="s">
        <v>138</v>
      </c>
      <c r="F43" s="15" t="s">
        <v>327</v>
      </c>
      <c r="H43" s="17" t="s">
        <v>142</v>
      </c>
      <c r="J43" s="15" t="s">
        <v>213</v>
      </c>
    </row>
    <row r="44" spans="1:10" ht="20.100000000000001" customHeight="1" x14ac:dyDescent="0.2">
      <c r="F44" s="15" t="s">
        <v>141</v>
      </c>
      <c r="H44" s="15" t="s">
        <v>328</v>
      </c>
      <c r="J44" s="15" t="s">
        <v>329</v>
      </c>
    </row>
    <row r="45" spans="1:10" ht="20.100000000000001" customHeight="1" x14ac:dyDescent="0.2">
      <c r="F45" s="15" t="s">
        <v>257</v>
      </c>
      <c r="H45" s="15" t="s">
        <v>330</v>
      </c>
      <c r="J45" s="15" t="s">
        <v>212</v>
      </c>
    </row>
    <row r="46" spans="1:10" ht="20.100000000000001" customHeight="1" x14ac:dyDescent="0.2">
      <c r="H46" s="15" t="s">
        <v>331</v>
      </c>
      <c r="J46" s="15" t="s">
        <v>214</v>
      </c>
    </row>
    <row r="48" spans="1:10" ht="20.100000000000001" customHeight="1" x14ac:dyDescent="0.2">
      <c r="D48" s="16" t="s">
        <v>727</v>
      </c>
      <c r="G48" s="110"/>
    </row>
    <row r="49" spans="4:8" ht="20.100000000000001" customHeight="1" x14ac:dyDescent="0.2">
      <c r="D49" s="18" t="s">
        <v>728</v>
      </c>
      <c r="G49" s="110"/>
    </row>
    <row r="50" spans="4:8" ht="20.100000000000001" customHeight="1" x14ac:dyDescent="0.2">
      <c r="D50" s="17" t="s">
        <v>233</v>
      </c>
      <c r="E50" s="17" t="s">
        <v>332</v>
      </c>
      <c r="G50" s="110"/>
    </row>
    <row r="51" spans="4:8" ht="20.100000000000001" customHeight="1" x14ac:dyDescent="0.2">
      <c r="D51" s="17" t="s">
        <v>699</v>
      </c>
      <c r="E51" s="17">
        <v>0.15</v>
      </c>
      <c r="G51" s="110"/>
    </row>
    <row r="52" spans="4:8" ht="20.100000000000001" customHeight="1" x14ac:dyDescent="0.2">
      <c r="D52" s="15" t="s">
        <v>696</v>
      </c>
      <c r="E52" s="17">
        <v>0.08</v>
      </c>
      <c r="G52" s="110"/>
    </row>
    <row r="53" spans="4:8" ht="20.100000000000001" customHeight="1" x14ac:dyDescent="0.2">
      <c r="D53" s="15" t="s">
        <v>708</v>
      </c>
      <c r="E53" s="17">
        <v>0.01</v>
      </c>
      <c r="G53" s="110"/>
    </row>
    <row r="54" spans="4:8" ht="20.100000000000001" customHeight="1" x14ac:dyDescent="0.2">
      <c r="D54" s="15" t="s">
        <v>703</v>
      </c>
      <c r="E54" s="17">
        <v>0.05</v>
      </c>
      <c r="G54" s="110"/>
      <c r="H54" s="110"/>
    </row>
    <row r="55" spans="4:8" ht="20.100000000000001" customHeight="1" x14ac:dyDescent="0.2">
      <c r="D55" s="15" t="s">
        <v>713</v>
      </c>
      <c r="E55" s="17">
        <v>0.11</v>
      </c>
      <c r="G55" s="110"/>
      <c r="H55" s="110"/>
    </row>
    <row r="58" spans="4:8" ht="20.100000000000001" customHeight="1" x14ac:dyDescent="0.2">
      <c r="D58" s="16" t="s">
        <v>729</v>
      </c>
    </row>
    <row r="59" spans="4:8" ht="20.100000000000001" customHeight="1" x14ac:dyDescent="0.2">
      <c r="D59" s="18" t="s">
        <v>730</v>
      </c>
    </row>
    <row r="60" spans="4:8" ht="20.100000000000001" customHeight="1" x14ac:dyDescent="0.2">
      <c r="D60" s="69" t="s">
        <v>731</v>
      </c>
      <c r="E60" s="15">
        <v>0.2</v>
      </c>
      <c r="F60" s="20" t="s">
        <v>539</v>
      </c>
    </row>
    <row r="63" spans="4:8" ht="20.100000000000001" customHeight="1" x14ac:dyDescent="0.2">
      <c r="D63" s="16" t="s">
        <v>732</v>
      </c>
    </row>
    <row r="64" spans="4:8" ht="20.100000000000001" customHeight="1" x14ac:dyDescent="0.2">
      <c r="D64" s="18" t="s">
        <v>733</v>
      </c>
    </row>
    <row r="65" spans="1:6" ht="20.100000000000001" customHeight="1" x14ac:dyDescent="0.2">
      <c r="D65" s="17" t="s">
        <v>278</v>
      </c>
      <c r="E65" s="17" t="s">
        <v>333</v>
      </c>
      <c r="F65" s="17" t="s">
        <v>254</v>
      </c>
    </row>
    <row r="66" spans="1:6" ht="20.100000000000001" customHeight="1" x14ac:dyDescent="0.2">
      <c r="D66" s="17" t="s">
        <v>734</v>
      </c>
      <c r="E66" s="17">
        <v>0.9</v>
      </c>
      <c r="F66" s="17">
        <v>0.12</v>
      </c>
    </row>
    <row r="67" spans="1:6" ht="20.100000000000001" customHeight="1" x14ac:dyDescent="0.2">
      <c r="D67" s="15" t="s">
        <v>735</v>
      </c>
      <c r="E67" s="17">
        <v>0.95</v>
      </c>
      <c r="F67" s="17">
        <v>0.13</v>
      </c>
    </row>
    <row r="68" spans="1:6" ht="20.100000000000001" customHeight="1" x14ac:dyDescent="0.2">
      <c r="D68" s="15" t="s">
        <v>736</v>
      </c>
      <c r="E68" s="17">
        <v>0</v>
      </c>
      <c r="F68" s="17">
        <v>0</v>
      </c>
    </row>
    <row r="70" spans="1:6" ht="20.100000000000001" customHeight="1" x14ac:dyDescent="0.2">
      <c r="A70" s="167" t="str">
        <f>HYPERLINK("#A1", "▲ Back to top")</f>
        <v>▲ Back to top</v>
      </c>
    </row>
    <row r="71" spans="1:6" ht="20.100000000000001" customHeight="1" x14ac:dyDescent="0.2">
      <c r="D71" s="16" t="s">
        <v>737</v>
      </c>
    </row>
    <row r="72" spans="1:6" ht="20.100000000000001" customHeight="1" x14ac:dyDescent="0.2">
      <c r="D72" s="18" t="s">
        <v>738</v>
      </c>
    </row>
    <row r="73" spans="1:6" ht="20.100000000000001" customHeight="1" x14ac:dyDescent="0.2">
      <c r="D73" s="69" t="s">
        <v>739</v>
      </c>
      <c r="E73" s="15">
        <v>0.21</v>
      </c>
      <c r="F73" s="20" t="s">
        <v>579</v>
      </c>
    </row>
    <row r="76" spans="1:6" ht="20.100000000000001" customHeight="1" x14ac:dyDescent="0.2">
      <c r="D76" s="16" t="s">
        <v>740</v>
      </c>
    </row>
    <row r="77" spans="1:6" ht="20.100000000000001" customHeight="1" x14ac:dyDescent="0.2">
      <c r="D77" s="18" t="s">
        <v>741</v>
      </c>
    </row>
    <row r="78" spans="1:6" ht="20.100000000000001" customHeight="1" x14ac:dyDescent="0.2">
      <c r="D78" s="69" t="s">
        <v>606</v>
      </c>
      <c r="E78" s="15">
        <v>0.24</v>
      </c>
      <c r="F78" s="20" t="s">
        <v>571</v>
      </c>
    </row>
    <row r="81" spans="4:39" ht="20.100000000000001" customHeight="1" x14ac:dyDescent="0.2">
      <c r="D81" s="16" t="s">
        <v>742</v>
      </c>
    </row>
    <row r="82" spans="4:39" ht="20.100000000000001" customHeight="1" x14ac:dyDescent="0.2">
      <c r="D82" s="18" t="s">
        <v>741</v>
      </c>
    </row>
    <row r="83" spans="4:39" ht="20.100000000000001" customHeight="1" x14ac:dyDescent="0.2">
      <c r="D83" s="69" t="s">
        <v>743</v>
      </c>
      <c r="E83" s="15">
        <v>1.0999999999999999E-2</v>
      </c>
      <c r="F83" s="20" t="s">
        <v>744</v>
      </c>
    </row>
    <row r="87" spans="4:39" ht="20.100000000000001" customHeight="1" x14ac:dyDescent="0.2">
      <c r="D87" s="16" t="s">
        <v>334</v>
      </c>
      <c r="E87" s="110"/>
      <c r="F87" s="110"/>
      <c r="G87" s="110"/>
      <c r="H87" s="110"/>
      <c r="I87" s="110"/>
      <c r="J87" s="110"/>
      <c r="K87" s="110"/>
      <c r="L87" s="110"/>
      <c r="N87" s="110"/>
      <c r="O87" s="110"/>
      <c r="P87" s="110"/>
      <c r="Q87" s="110"/>
      <c r="R87" s="110"/>
      <c r="S87" s="110"/>
      <c r="T87" s="110"/>
      <c r="U87" s="110"/>
    </row>
    <row r="88" spans="4:39" ht="20.100000000000001" customHeight="1" x14ac:dyDescent="0.2">
      <c r="D88" s="110"/>
    </row>
    <row r="89" spans="4:39" ht="20.100000000000001" customHeight="1" x14ac:dyDescent="0.2">
      <c r="D89" s="122" t="s">
        <v>335</v>
      </c>
      <c r="E89" s="17" t="s">
        <v>195</v>
      </c>
      <c r="F89" s="17" t="s">
        <v>229</v>
      </c>
      <c r="G89" s="47" t="s">
        <v>155</v>
      </c>
      <c r="H89" s="47" t="s">
        <v>336</v>
      </c>
      <c r="I89" s="47" t="s">
        <v>172</v>
      </c>
      <c r="J89" s="47" t="s">
        <v>173</v>
      </c>
      <c r="K89" s="47" t="s">
        <v>337</v>
      </c>
      <c r="L89" s="47" t="s">
        <v>338</v>
      </c>
      <c r="M89" s="47" t="s">
        <v>339</v>
      </c>
      <c r="N89" s="47" t="s">
        <v>340</v>
      </c>
      <c r="O89" s="47" t="s">
        <v>157</v>
      </c>
      <c r="P89" s="47" t="s">
        <v>158</v>
      </c>
      <c r="Q89" s="17" t="s">
        <v>159</v>
      </c>
      <c r="R89" s="17" t="s">
        <v>160</v>
      </c>
      <c r="S89" s="17" t="s">
        <v>161</v>
      </c>
      <c r="T89" s="17" t="s">
        <v>162</v>
      </c>
      <c r="U89" s="47" t="s">
        <v>163</v>
      </c>
      <c r="V89" s="47" t="s">
        <v>164</v>
      </c>
      <c r="W89" s="17" t="s">
        <v>165</v>
      </c>
      <c r="X89" s="47" t="s">
        <v>166</v>
      </c>
      <c r="Y89" s="47" t="s">
        <v>167</v>
      </c>
      <c r="Z89" s="47" t="s">
        <v>168</v>
      </c>
      <c r="AA89" s="47" t="s">
        <v>341</v>
      </c>
      <c r="AB89" s="47" t="s">
        <v>342</v>
      </c>
      <c r="AC89" s="17" t="s">
        <v>343</v>
      </c>
      <c r="AD89" s="17" t="s">
        <v>344</v>
      </c>
      <c r="AE89" s="17" t="s">
        <v>345</v>
      </c>
      <c r="AF89" s="17" t="s">
        <v>346</v>
      </c>
      <c r="AG89" s="17" t="s">
        <v>347</v>
      </c>
      <c r="AH89" s="17" t="s">
        <v>348</v>
      </c>
      <c r="AK89" s="15"/>
      <c r="AL89" s="15"/>
      <c r="AM89" s="15"/>
    </row>
    <row r="90" spans="4:39" ht="20.100000000000001" customHeight="1" x14ac:dyDescent="0.2">
      <c r="D90" s="121" t="s">
        <v>745</v>
      </c>
      <c r="E90" s="121" t="s">
        <v>746</v>
      </c>
      <c r="F90" s="121" t="s">
        <v>430</v>
      </c>
      <c r="G90" s="121">
        <v>1.26</v>
      </c>
      <c r="H90" s="121"/>
      <c r="I90" s="121"/>
      <c r="J90" s="121"/>
      <c r="K90" s="121">
        <v>2.6</v>
      </c>
      <c r="L90" s="121">
        <v>4</v>
      </c>
      <c r="M90" s="121">
        <v>22.5</v>
      </c>
      <c r="N90" s="121"/>
      <c r="O90" s="121" t="s">
        <v>187</v>
      </c>
      <c r="P90" s="121">
        <v>0.22500000000000001</v>
      </c>
      <c r="Q90" s="121" t="s">
        <v>712</v>
      </c>
      <c r="R90" s="121">
        <v>0.04</v>
      </c>
      <c r="S90" s="121" t="s">
        <v>710</v>
      </c>
      <c r="T90" s="121">
        <v>2.5999999999999999E-2</v>
      </c>
      <c r="U90" s="121"/>
      <c r="V90" s="121"/>
      <c r="W90" s="121"/>
      <c r="X90" s="121"/>
      <c r="Y90" s="121"/>
      <c r="Z90" s="121"/>
      <c r="AA90" s="121"/>
      <c r="AB90" s="121"/>
      <c r="AC90" s="121"/>
      <c r="AD90" s="121"/>
      <c r="AE90" s="121"/>
      <c r="AF90" s="121"/>
      <c r="AG90" s="121"/>
      <c r="AH90" s="121"/>
      <c r="AK90" s="15"/>
      <c r="AL90" s="15"/>
      <c r="AM90" s="15"/>
    </row>
    <row r="91" spans="4:39" ht="20.100000000000001" customHeight="1" x14ac:dyDescent="0.2">
      <c r="D91" s="121" t="s">
        <v>745</v>
      </c>
      <c r="E91" s="121" t="s">
        <v>747</v>
      </c>
      <c r="F91" s="121" t="s">
        <v>430</v>
      </c>
      <c r="G91" s="121">
        <v>1.26</v>
      </c>
      <c r="H91" s="121"/>
      <c r="I91" s="121"/>
      <c r="J91" s="121"/>
      <c r="K91" s="121">
        <v>9.6</v>
      </c>
      <c r="L91" s="121">
        <v>5</v>
      </c>
      <c r="M91" s="121">
        <v>10.5</v>
      </c>
      <c r="N91" s="121"/>
      <c r="O91" s="121" t="s">
        <v>187</v>
      </c>
      <c r="P91" s="121">
        <v>0.105</v>
      </c>
      <c r="Q91" s="121" t="s">
        <v>710</v>
      </c>
      <c r="R91" s="121">
        <v>9.6000000000000002E-2</v>
      </c>
      <c r="S91" s="121" t="s">
        <v>712</v>
      </c>
      <c r="T91" s="121">
        <v>0.05</v>
      </c>
      <c r="U91" s="121"/>
      <c r="V91" s="121"/>
      <c r="W91" s="121"/>
      <c r="X91" s="121"/>
      <c r="Y91" s="121"/>
      <c r="Z91" s="121"/>
      <c r="AA91" s="121"/>
      <c r="AB91" s="121"/>
      <c r="AC91" s="121"/>
      <c r="AD91" s="121"/>
      <c r="AE91" s="121"/>
      <c r="AF91" s="121"/>
      <c r="AG91" s="121"/>
      <c r="AH91" s="121"/>
      <c r="AK91" s="15"/>
      <c r="AL91" s="15"/>
      <c r="AM91" s="15"/>
    </row>
    <row r="92" spans="4:39" ht="20.100000000000001" customHeight="1" x14ac:dyDescent="0.2">
      <c r="D92" s="121" t="s">
        <v>745</v>
      </c>
      <c r="E92" s="121" t="s">
        <v>748</v>
      </c>
      <c r="F92" s="121" t="s">
        <v>430</v>
      </c>
      <c r="G92" s="121">
        <v>1.24</v>
      </c>
      <c r="H92" s="121"/>
      <c r="I92" s="121"/>
      <c r="J92" s="121"/>
      <c r="K92" s="121">
        <v>22.3</v>
      </c>
      <c r="L92" s="121"/>
      <c r="M92" s="121"/>
      <c r="N92" s="121"/>
      <c r="O92" s="121" t="s">
        <v>705</v>
      </c>
      <c r="P92" s="121">
        <v>0.223</v>
      </c>
      <c r="Q92" s="121"/>
      <c r="R92" s="121"/>
      <c r="S92" s="121"/>
      <c r="T92" s="121"/>
      <c r="U92" s="121"/>
      <c r="V92" s="121"/>
      <c r="W92" s="121"/>
      <c r="X92" s="121"/>
      <c r="Y92" s="121"/>
      <c r="Z92" s="121"/>
      <c r="AA92" s="121"/>
      <c r="AB92" s="121"/>
      <c r="AC92" s="121"/>
      <c r="AD92" s="121"/>
      <c r="AE92" s="121"/>
      <c r="AF92" s="121"/>
      <c r="AG92" s="121"/>
      <c r="AH92" s="121"/>
      <c r="AK92" s="15"/>
      <c r="AL92" s="15"/>
      <c r="AM92" s="15"/>
    </row>
    <row r="93" spans="4:39" ht="20.100000000000001" customHeight="1" x14ac:dyDescent="0.2">
      <c r="D93" s="121" t="s">
        <v>745</v>
      </c>
      <c r="E93" s="121" t="s">
        <v>749</v>
      </c>
      <c r="F93" s="121" t="s">
        <v>430</v>
      </c>
      <c r="G93" s="121">
        <v>1.5</v>
      </c>
      <c r="H93" s="121"/>
      <c r="I93" s="121"/>
      <c r="J93" s="121"/>
      <c r="K93" s="121">
        <v>13.2</v>
      </c>
      <c r="L93" s="121"/>
      <c r="M93" s="121"/>
      <c r="N93" s="121"/>
      <c r="O93" s="121" t="s">
        <v>750</v>
      </c>
      <c r="P93" s="121">
        <v>0.16200000000000001</v>
      </c>
      <c r="Q93" s="121" t="s">
        <v>707</v>
      </c>
      <c r="R93" s="121">
        <v>0.13200000000000001</v>
      </c>
      <c r="S93" s="121"/>
      <c r="T93" s="121"/>
      <c r="U93" s="121"/>
      <c r="V93" s="121"/>
      <c r="W93" s="121"/>
      <c r="X93" s="121"/>
      <c r="Y93" s="121"/>
      <c r="Z93" s="121"/>
      <c r="AA93" s="121"/>
      <c r="AB93" s="121"/>
      <c r="AC93" s="121"/>
      <c r="AD93" s="121"/>
      <c r="AE93" s="121"/>
      <c r="AF93" s="121"/>
      <c r="AG93" s="121"/>
      <c r="AH93" s="121"/>
      <c r="AK93" s="15"/>
      <c r="AL93" s="15"/>
      <c r="AM93" s="15"/>
    </row>
    <row r="94" spans="4:39" ht="20.100000000000001" customHeight="1" x14ac:dyDescent="0.2">
      <c r="D94" s="121" t="s">
        <v>745</v>
      </c>
      <c r="E94" s="121" t="s">
        <v>751</v>
      </c>
      <c r="F94" s="121" t="s">
        <v>430</v>
      </c>
      <c r="G94" s="121">
        <v>1.5</v>
      </c>
      <c r="H94" s="121"/>
      <c r="I94" s="121"/>
      <c r="J94" s="121"/>
      <c r="K94" s="121">
        <v>13.2</v>
      </c>
      <c r="L94" s="121"/>
      <c r="M94" s="121"/>
      <c r="N94" s="121"/>
      <c r="O94" s="121" t="s">
        <v>750</v>
      </c>
      <c r="P94" s="121">
        <v>0.187</v>
      </c>
      <c r="Q94" s="121" t="s">
        <v>707</v>
      </c>
      <c r="R94" s="121">
        <v>0.13200000000000001</v>
      </c>
      <c r="S94" s="121"/>
      <c r="T94" s="121"/>
      <c r="U94" s="121"/>
      <c r="V94" s="121"/>
      <c r="W94" s="121"/>
      <c r="X94" s="121"/>
      <c r="Y94" s="121"/>
      <c r="Z94" s="121"/>
      <c r="AA94" s="121"/>
      <c r="AB94" s="121"/>
      <c r="AC94" s="121"/>
      <c r="AD94" s="121"/>
      <c r="AE94" s="121"/>
      <c r="AF94" s="121"/>
      <c r="AG94" s="121"/>
      <c r="AH94" s="121"/>
      <c r="AK94" s="15"/>
      <c r="AL94" s="15"/>
      <c r="AM94" s="15"/>
    </row>
    <row r="95" spans="4:39" ht="20.100000000000001" customHeight="1" x14ac:dyDescent="0.2">
      <c r="D95" s="121" t="s">
        <v>745</v>
      </c>
      <c r="E95" s="121" t="s">
        <v>752</v>
      </c>
      <c r="F95" s="121" t="s">
        <v>430</v>
      </c>
      <c r="G95" s="121">
        <v>1.5</v>
      </c>
      <c r="H95" s="121"/>
      <c r="I95" s="121"/>
      <c r="J95" s="121"/>
      <c r="K95" s="121">
        <v>13.2</v>
      </c>
      <c r="L95" s="121"/>
      <c r="M95" s="121"/>
      <c r="N95" s="121"/>
      <c r="O95" s="121" t="s">
        <v>750</v>
      </c>
      <c r="P95" s="121">
        <v>0.183</v>
      </c>
      <c r="Q95" s="121" t="s">
        <v>707</v>
      </c>
      <c r="R95" s="121">
        <v>0.13200000000000001</v>
      </c>
      <c r="S95" s="121"/>
      <c r="T95" s="121"/>
      <c r="U95" s="121"/>
      <c r="V95" s="121"/>
      <c r="W95" s="121"/>
      <c r="X95" s="121"/>
      <c r="Y95" s="121"/>
      <c r="Z95" s="121"/>
      <c r="AA95" s="121"/>
      <c r="AB95" s="121"/>
      <c r="AC95" s="121"/>
      <c r="AD95" s="121"/>
      <c r="AE95" s="121"/>
      <c r="AF95" s="121"/>
      <c r="AG95" s="121"/>
      <c r="AH95" s="121"/>
      <c r="AK95" s="15"/>
      <c r="AL95" s="15"/>
      <c r="AM95" s="15"/>
    </row>
    <row r="96" spans="4:39" ht="20.100000000000001" customHeight="1" x14ac:dyDescent="0.2">
      <c r="D96" s="121" t="s">
        <v>745</v>
      </c>
      <c r="E96" s="121" t="s">
        <v>753</v>
      </c>
      <c r="F96" s="121" t="s">
        <v>430</v>
      </c>
      <c r="G96" s="121">
        <v>1.25</v>
      </c>
      <c r="H96" s="121"/>
      <c r="I96" s="121"/>
      <c r="J96" s="121"/>
      <c r="K96" s="121">
        <v>10.3</v>
      </c>
      <c r="L96" s="121">
        <v>10</v>
      </c>
      <c r="M96" s="121">
        <v>3.4</v>
      </c>
      <c r="N96" s="121"/>
      <c r="O96" s="121" t="s">
        <v>710</v>
      </c>
      <c r="P96" s="121">
        <v>0.10299999999999999</v>
      </c>
      <c r="Q96" s="121" t="s">
        <v>712</v>
      </c>
      <c r="R96" s="121">
        <v>0.1</v>
      </c>
      <c r="S96" s="121" t="s">
        <v>187</v>
      </c>
      <c r="T96" s="121">
        <v>3.4000000000000002E-2</v>
      </c>
      <c r="U96" s="121"/>
      <c r="V96" s="121"/>
      <c r="W96" s="121"/>
      <c r="X96" s="121"/>
      <c r="Y96" s="121"/>
      <c r="Z96" s="121"/>
      <c r="AA96" s="121"/>
      <c r="AB96" s="121"/>
      <c r="AC96" s="121"/>
      <c r="AD96" s="121"/>
      <c r="AE96" s="121"/>
      <c r="AF96" s="121"/>
      <c r="AG96" s="121"/>
      <c r="AH96" s="121"/>
      <c r="AK96" s="15"/>
      <c r="AL96" s="15"/>
      <c r="AM96" s="15"/>
    </row>
    <row r="97" spans="1:39" ht="20.100000000000001" customHeight="1" x14ac:dyDescent="0.2">
      <c r="D97" s="121" t="s">
        <v>745</v>
      </c>
      <c r="E97" s="121" t="s">
        <v>754</v>
      </c>
      <c r="F97" s="121" t="s">
        <v>430</v>
      </c>
      <c r="G97" s="121">
        <v>1.43</v>
      </c>
      <c r="H97" s="121"/>
      <c r="I97" s="121"/>
      <c r="J97" s="121"/>
      <c r="K97" s="121">
        <v>2.5</v>
      </c>
      <c r="L97" s="121">
        <v>3.8</v>
      </c>
      <c r="M97" s="121">
        <v>22.5</v>
      </c>
      <c r="N97" s="121"/>
      <c r="O97" s="121" t="s">
        <v>187</v>
      </c>
      <c r="P97" s="121">
        <v>0.22500000000000001</v>
      </c>
      <c r="Q97" s="121" t="s">
        <v>712</v>
      </c>
      <c r="R97" s="121">
        <v>3.7999999999999999E-2</v>
      </c>
      <c r="S97" s="121" t="s">
        <v>710</v>
      </c>
      <c r="T97" s="121">
        <v>2.5000000000000001E-2</v>
      </c>
      <c r="U97" s="121"/>
      <c r="V97" s="121"/>
      <c r="W97" s="121"/>
      <c r="X97" s="121"/>
      <c r="Y97" s="121"/>
      <c r="Z97" s="121"/>
      <c r="AA97" s="121"/>
      <c r="AB97" s="121"/>
      <c r="AC97" s="121"/>
      <c r="AD97" s="121"/>
      <c r="AE97" s="121"/>
      <c r="AF97" s="121"/>
      <c r="AG97" s="121"/>
      <c r="AH97" s="121"/>
      <c r="AK97" s="15"/>
      <c r="AL97" s="15"/>
      <c r="AM97" s="15"/>
    </row>
    <row r="98" spans="1:39" ht="20.100000000000001" customHeight="1" x14ac:dyDescent="0.2">
      <c r="D98" s="121" t="s">
        <v>745</v>
      </c>
      <c r="E98" s="121" t="s">
        <v>755</v>
      </c>
      <c r="F98" s="121" t="s">
        <v>430</v>
      </c>
      <c r="G98" s="121">
        <v>1.29</v>
      </c>
      <c r="H98" s="121"/>
      <c r="I98" s="121"/>
      <c r="J98" s="121"/>
      <c r="K98" s="121">
        <v>10.5</v>
      </c>
      <c r="L98" s="121">
        <v>9.4</v>
      </c>
      <c r="M98" s="121">
        <v>4</v>
      </c>
      <c r="N98" s="121">
        <v>3</v>
      </c>
      <c r="O98" s="121" t="s">
        <v>710</v>
      </c>
      <c r="P98" s="121">
        <v>0.105</v>
      </c>
      <c r="Q98" s="121" t="s">
        <v>712</v>
      </c>
      <c r="R98" s="121">
        <v>9.4E-2</v>
      </c>
      <c r="S98" s="121" t="s">
        <v>187</v>
      </c>
      <c r="T98" s="121">
        <v>0.04</v>
      </c>
      <c r="U98" s="121" t="s">
        <v>188</v>
      </c>
      <c r="V98" s="121">
        <v>0.03</v>
      </c>
      <c r="W98" s="121"/>
      <c r="X98" s="121"/>
      <c r="Y98" s="121"/>
      <c r="Z98" s="121"/>
      <c r="AA98" s="121"/>
      <c r="AB98" s="121"/>
      <c r="AC98" s="121"/>
      <c r="AD98" s="121"/>
      <c r="AE98" s="121"/>
      <c r="AF98" s="121"/>
      <c r="AG98" s="121"/>
      <c r="AH98" s="121"/>
      <c r="AK98" s="15"/>
      <c r="AL98" s="15"/>
      <c r="AM98" s="15"/>
    </row>
    <row r="99" spans="1:39" ht="20.100000000000001" customHeight="1" x14ac:dyDescent="0.2">
      <c r="D99" s="121" t="s">
        <v>745</v>
      </c>
      <c r="E99" s="121" t="s">
        <v>756</v>
      </c>
      <c r="F99" s="121" t="s">
        <v>430</v>
      </c>
      <c r="G99" s="121">
        <v>1.32</v>
      </c>
      <c r="H99" s="121"/>
      <c r="I99" s="121"/>
      <c r="J99" s="121"/>
      <c r="K99" s="121">
        <v>9.5</v>
      </c>
      <c r="L99" s="121">
        <v>4.7</v>
      </c>
      <c r="M99" s="121">
        <v>10.8</v>
      </c>
      <c r="N99" s="121">
        <v>8.1</v>
      </c>
      <c r="O99" s="121" t="s">
        <v>187</v>
      </c>
      <c r="P99" s="121">
        <v>0.108</v>
      </c>
      <c r="Q99" s="121" t="s">
        <v>710</v>
      </c>
      <c r="R99" s="121">
        <v>9.5000000000000001E-2</v>
      </c>
      <c r="S99" s="121" t="s">
        <v>188</v>
      </c>
      <c r="T99" s="121">
        <v>8.1000000000000003E-2</v>
      </c>
      <c r="U99" s="121" t="s">
        <v>712</v>
      </c>
      <c r="V99" s="121">
        <v>4.7E-2</v>
      </c>
      <c r="W99" s="121"/>
      <c r="X99" s="121"/>
      <c r="Y99" s="121"/>
      <c r="Z99" s="121"/>
      <c r="AA99" s="121"/>
      <c r="AB99" s="121"/>
      <c r="AC99" s="121"/>
      <c r="AD99" s="121"/>
      <c r="AE99" s="121"/>
      <c r="AF99" s="121"/>
      <c r="AG99" s="121"/>
      <c r="AH99" s="121"/>
      <c r="AK99" s="15"/>
      <c r="AL99" s="15"/>
      <c r="AM99" s="15"/>
    </row>
    <row r="100" spans="1:39" ht="20.100000000000001" customHeight="1" x14ac:dyDescent="0.2">
      <c r="A100" s="167" t="str">
        <f>HYPERLINK("#A1", "▲ Back to top")</f>
        <v>▲ Back to top</v>
      </c>
      <c r="D100" s="121" t="s">
        <v>745</v>
      </c>
      <c r="E100" s="121" t="s">
        <v>176</v>
      </c>
      <c r="F100" s="121" t="s">
        <v>223</v>
      </c>
      <c r="G100" s="121">
        <v>1</v>
      </c>
      <c r="H100" s="121"/>
      <c r="I100" s="121"/>
      <c r="J100" s="121"/>
      <c r="K100" s="121">
        <v>24</v>
      </c>
      <c r="L100" s="121">
        <v>5.2</v>
      </c>
      <c r="M100" s="121">
        <v>8</v>
      </c>
      <c r="N100" s="121">
        <v>5.3</v>
      </c>
      <c r="O100" s="121" t="s">
        <v>174</v>
      </c>
      <c r="P100" s="121">
        <v>0.52173899999999995</v>
      </c>
      <c r="Q100" s="121" t="s">
        <v>187</v>
      </c>
      <c r="R100" s="121">
        <v>0.08</v>
      </c>
      <c r="S100" s="121" t="s">
        <v>188</v>
      </c>
      <c r="T100" s="121">
        <v>5.2999999999999999E-2</v>
      </c>
      <c r="U100" s="121" t="s">
        <v>712</v>
      </c>
      <c r="V100" s="121">
        <v>5.1999999999999998E-2</v>
      </c>
      <c r="W100" s="121" t="s">
        <v>757</v>
      </c>
      <c r="X100" s="121">
        <v>1.2999999999999999E-2</v>
      </c>
      <c r="Y100" s="121" t="s">
        <v>758</v>
      </c>
      <c r="Z100" s="121">
        <v>2E-3</v>
      </c>
      <c r="AA100" s="121" t="s">
        <v>759</v>
      </c>
      <c r="AB100" s="121">
        <v>3.5000000000000001E-3</v>
      </c>
      <c r="AC100" s="121" t="s">
        <v>760</v>
      </c>
      <c r="AD100" s="121">
        <v>1.2999999999999999E-3</v>
      </c>
      <c r="AE100" s="121" t="s">
        <v>761</v>
      </c>
      <c r="AF100" s="121">
        <v>6.9999999999999999E-4</v>
      </c>
      <c r="AG100" s="121" t="s">
        <v>762</v>
      </c>
      <c r="AH100" s="121">
        <v>6.9999999999999999E-4</v>
      </c>
      <c r="AK100" s="15"/>
      <c r="AL100" s="15"/>
      <c r="AM100" s="15"/>
    </row>
    <row r="101" spans="1:39" ht="20.100000000000001" customHeight="1" x14ac:dyDescent="0.2">
      <c r="D101" s="121" t="s">
        <v>745</v>
      </c>
      <c r="E101" s="121" t="s">
        <v>763</v>
      </c>
      <c r="F101" s="121" t="s">
        <v>223</v>
      </c>
      <c r="G101" s="121">
        <v>1</v>
      </c>
      <c r="H101" s="121"/>
      <c r="I101" s="121"/>
      <c r="J101" s="121"/>
      <c r="K101" s="121">
        <v>17</v>
      </c>
      <c r="L101" s="121">
        <v>0.04</v>
      </c>
      <c r="M101" s="121">
        <v>11.6</v>
      </c>
      <c r="N101" s="121">
        <v>0.5</v>
      </c>
      <c r="O101" s="121" t="s">
        <v>718</v>
      </c>
      <c r="P101" s="121">
        <v>0.23200000000000001</v>
      </c>
      <c r="Q101" s="121" t="s">
        <v>710</v>
      </c>
      <c r="R101" s="121">
        <v>0.17</v>
      </c>
      <c r="S101" s="121" t="s">
        <v>188</v>
      </c>
      <c r="T101" s="121">
        <v>5.0000000000000001E-3</v>
      </c>
      <c r="U101" s="121" t="s">
        <v>757</v>
      </c>
      <c r="V101" s="121">
        <v>2.3999999999999998E-3</v>
      </c>
      <c r="W101" s="121" t="s">
        <v>712</v>
      </c>
      <c r="X101" s="121">
        <v>4.0000000000000002E-4</v>
      </c>
      <c r="Y101" s="121"/>
      <c r="Z101" s="121"/>
      <c r="AA101" s="121"/>
      <c r="AB101" s="121"/>
      <c r="AC101" s="121"/>
      <c r="AD101" s="121"/>
      <c r="AE101" s="121"/>
      <c r="AF101" s="121"/>
      <c r="AG101" s="121"/>
      <c r="AH101" s="121"/>
      <c r="AK101" s="15"/>
      <c r="AL101" s="15"/>
      <c r="AM101" s="15"/>
    </row>
    <row r="102" spans="1:39" ht="20.100000000000001" customHeight="1" x14ac:dyDescent="0.2">
      <c r="D102" s="121" t="s">
        <v>745</v>
      </c>
      <c r="E102" s="121" t="s">
        <v>764</v>
      </c>
      <c r="F102" s="121" t="s">
        <v>430</v>
      </c>
      <c r="G102" s="121">
        <v>1.45</v>
      </c>
      <c r="H102" s="121"/>
      <c r="I102" s="121"/>
      <c r="J102" s="121"/>
      <c r="K102" s="121"/>
      <c r="L102" s="121"/>
      <c r="M102" s="121"/>
      <c r="N102" s="121"/>
      <c r="O102" s="121" t="s">
        <v>750</v>
      </c>
      <c r="P102" s="121">
        <v>0.107</v>
      </c>
      <c r="Q102" s="121"/>
      <c r="R102" s="121"/>
      <c r="S102" s="121"/>
      <c r="T102" s="121"/>
      <c r="U102" s="121"/>
      <c r="V102" s="121"/>
      <c r="W102" s="121"/>
      <c r="X102" s="121"/>
      <c r="Y102" s="121"/>
      <c r="Z102" s="121"/>
      <c r="AA102" s="121"/>
      <c r="AB102" s="121"/>
      <c r="AC102" s="121"/>
      <c r="AD102" s="121"/>
      <c r="AE102" s="121"/>
      <c r="AF102" s="121"/>
      <c r="AG102" s="121"/>
      <c r="AH102" s="121"/>
      <c r="AK102" s="15"/>
      <c r="AL102" s="15"/>
      <c r="AM102" s="15"/>
    </row>
    <row r="103" spans="1:39" ht="20.100000000000001" customHeight="1" x14ac:dyDescent="0.2">
      <c r="D103" s="121" t="s">
        <v>745</v>
      </c>
      <c r="E103" s="121" t="s">
        <v>765</v>
      </c>
      <c r="F103" s="121" t="s">
        <v>223</v>
      </c>
      <c r="G103" s="121">
        <v>1</v>
      </c>
      <c r="H103" s="121"/>
      <c r="I103" s="121"/>
      <c r="J103" s="121"/>
      <c r="K103" s="121">
        <v>15</v>
      </c>
      <c r="L103" s="121">
        <v>6.5</v>
      </c>
      <c r="M103" s="121">
        <v>12.5</v>
      </c>
      <c r="N103" s="121">
        <v>6</v>
      </c>
      <c r="O103" s="121" t="s">
        <v>705</v>
      </c>
      <c r="P103" s="121">
        <v>7.4999999999999997E-2</v>
      </c>
      <c r="Q103" s="121" t="s">
        <v>707</v>
      </c>
      <c r="R103" s="121">
        <v>7.4999999999999997E-2</v>
      </c>
      <c r="S103" s="121" t="s">
        <v>187</v>
      </c>
      <c r="T103" s="121">
        <v>0.125</v>
      </c>
      <c r="U103" s="121" t="s">
        <v>712</v>
      </c>
      <c r="V103" s="121">
        <v>6.5000000000000002E-2</v>
      </c>
      <c r="W103" s="121" t="s">
        <v>188</v>
      </c>
      <c r="X103" s="121">
        <v>0.06</v>
      </c>
      <c r="Y103" s="121"/>
      <c r="Z103" s="121"/>
      <c r="AA103" s="121"/>
      <c r="AB103" s="121"/>
      <c r="AC103" s="121"/>
      <c r="AD103" s="121"/>
      <c r="AE103" s="121"/>
      <c r="AF103" s="121"/>
      <c r="AG103" s="121"/>
      <c r="AH103" s="121"/>
      <c r="AK103" s="15"/>
      <c r="AL103" s="15"/>
      <c r="AM103" s="15"/>
    </row>
    <row r="104" spans="1:39" ht="20.100000000000001" customHeight="1" x14ac:dyDescent="0.2">
      <c r="D104" s="121" t="s">
        <v>745</v>
      </c>
      <c r="E104" s="121" t="s">
        <v>766</v>
      </c>
      <c r="F104" s="121" t="s">
        <v>430</v>
      </c>
      <c r="G104" s="121">
        <v>1.2150000000000001</v>
      </c>
      <c r="H104" s="121"/>
      <c r="I104" s="121"/>
      <c r="J104" s="121"/>
      <c r="K104" s="121">
        <v>12</v>
      </c>
      <c r="L104" s="121"/>
      <c r="M104" s="121">
        <v>10</v>
      </c>
      <c r="N104" s="121"/>
      <c r="O104" s="121" t="s">
        <v>174</v>
      </c>
      <c r="P104" s="121">
        <v>0.19565199999999999</v>
      </c>
      <c r="Q104" s="121" t="s">
        <v>187</v>
      </c>
      <c r="R104" s="121">
        <v>0.1</v>
      </c>
      <c r="S104" s="121" t="s">
        <v>710</v>
      </c>
      <c r="T104" s="121">
        <v>0.03</v>
      </c>
      <c r="U104" s="121" t="s">
        <v>762</v>
      </c>
      <c r="V104" s="121">
        <v>5.0000000000000001E-3</v>
      </c>
      <c r="W104" s="121"/>
      <c r="X104" s="121"/>
      <c r="Y104" s="121"/>
      <c r="Z104" s="121"/>
      <c r="AA104" s="121"/>
      <c r="AB104" s="121"/>
      <c r="AC104" s="121"/>
      <c r="AD104" s="121"/>
      <c r="AE104" s="121"/>
      <c r="AF104" s="121"/>
      <c r="AG104" s="121"/>
      <c r="AH104" s="121"/>
      <c r="AK104" s="15"/>
      <c r="AL104" s="15"/>
      <c r="AM104" s="15"/>
    </row>
    <row r="105" spans="1:39" ht="20.100000000000001" customHeight="1" x14ac:dyDescent="0.2">
      <c r="D105" s="121" t="s">
        <v>745</v>
      </c>
      <c r="E105" s="121" t="s">
        <v>767</v>
      </c>
      <c r="F105" s="121" t="s">
        <v>223</v>
      </c>
      <c r="G105" s="121">
        <v>1</v>
      </c>
      <c r="H105" s="121"/>
      <c r="I105" s="121"/>
      <c r="J105" s="121"/>
      <c r="K105" s="121">
        <v>21.66</v>
      </c>
      <c r="L105" s="121"/>
      <c r="M105" s="121"/>
      <c r="N105" s="121">
        <v>13.2</v>
      </c>
      <c r="O105" s="121" t="s">
        <v>700</v>
      </c>
      <c r="P105" s="121">
        <v>0.55000000000000004</v>
      </c>
      <c r="Q105" s="121" t="s">
        <v>702</v>
      </c>
      <c r="R105" s="121">
        <v>0.3</v>
      </c>
      <c r="S105" s="121"/>
      <c r="T105" s="121"/>
      <c r="U105" s="121"/>
      <c r="V105" s="121"/>
      <c r="W105" s="121"/>
      <c r="X105" s="121"/>
      <c r="Y105" s="121"/>
      <c r="Z105" s="121"/>
      <c r="AA105" s="121"/>
      <c r="AB105" s="121"/>
      <c r="AC105" s="121"/>
      <c r="AD105" s="121"/>
      <c r="AE105" s="121"/>
      <c r="AF105" s="121"/>
      <c r="AG105" s="121"/>
      <c r="AH105" s="121"/>
      <c r="AK105" s="15"/>
      <c r="AL105" s="15"/>
      <c r="AM105" s="15"/>
    </row>
    <row r="106" spans="1:39" ht="20.100000000000001" customHeight="1" x14ac:dyDescent="0.2">
      <c r="D106" s="121" t="s">
        <v>768</v>
      </c>
      <c r="E106" s="121" t="s">
        <v>769</v>
      </c>
      <c r="F106" s="121" t="s">
        <v>430</v>
      </c>
      <c r="G106" s="121">
        <v>1.319</v>
      </c>
      <c r="H106" s="121"/>
      <c r="I106" s="121"/>
      <c r="J106" s="121"/>
      <c r="K106" s="121">
        <v>5</v>
      </c>
      <c r="L106" s="121">
        <v>15</v>
      </c>
      <c r="M106" s="121">
        <v>2.1</v>
      </c>
      <c r="N106" s="121"/>
      <c r="O106" s="121" t="s">
        <v>712</v>
      </c>
      <c r="P106" s="121">
        <v>0.15</v>
      </c>
      <c r="Q106" s="121" t="s">
        <v>750</v>
      </c>
      <c r="R106" s="121">
        <v>0.04</v>
      </c>
      <c r="S106" s="121" t="s">
        <v>705</v>
      </c>
      <c r="T106" s="121">
        <v>2.9000000000000001E-2</v>
      </c>
      <c r="U106" s="121" t="s">
        <v>707</v>
      </c>
      <c r="V106" s="121">
        <v>2.1000000000000001E-2</v>
      </c>
      <c r="W106" s="121" t="s">
        <v>187</v>
      </c>
      <c r="X106" s="121">
        <v>2.1000000000000001E-2</v>
      </c>
      <c r="Y106" s="121" t="s">
        <v>761</v>
      </c>
      <c r="Z106" s="121">
        <v>5.0000000000000001E-3</v>
      </c>
      <c r="AA106" s="121" t="s">
        <v>758</v>
      </c>
      <c r="AB106" s="121">
        <v>4.0000000000000001E-3</v>
      </c>
      <c r="AC106" s="121" t="s">
        <v>759</v>
      </c>
      <c r="AD106" s="121">
        <v>4.0000000000000001E-3</v>
      </c>
      <c r="AE106" s="121" t="s">
        <v>757</v>
      </c>
      <c r="AF106" s="121">
        <v>2E-3</v>
      </c>
      <c r="AG106" s="121"/>
      <c r="AH106" s="121"/>
      <c r="AK106" s="15"/>
      <c r="AL106" s="15"/>
      <c r="AM106" s="15"/>
    </row>
    <row r="107" spans="1:39" ht="20.100000000000001" customHeight="1" x14ac:dyDescent="0.2">
      <c r="D107" s="121" t="s">
        <v>770</v>
      </c>
      <c r="E107" s="121" t="s">
        <v>771</v>
      </c>
      <c r="F107" s="121" t="s">
        <v>223</v>
      </c>
      <c r="G107" s="121">
        <v>1</v>
      </c>
      <c r="H107" s="121"/>
      <c r="I107" s="121"/>
      <c r="J107" s="121" t="s">
        <v>725</v>
      </c>
      <c r="K107" s="121">
        <v>17.7</v>
      </c>
      <c r="L107" s="121"/>
      <c r="M107" s="121"/>
      <c r="N107" s="121"/>
      <c r="O107" s="121" t="s">
        <v>705</v>
      </c>
      <c r="P107" s="121">
        <v>0.17699999999999999</v>
      </c>
      <c r="Q107" s="121"/>
      <c r="R107" s="121"/>
      <c r="S107" s="121"/>
      <c r="T107" s="121"/>
      <c r="U107" s="121"/>
      <c r="V107" s="121"/>
      <c r="W107" s="121"/>
      <c r="X107" s="121"/>
      <c r="Y107" s="121"/>
      <c r="Z107" s="121"/>
      <c r="AA107" s="121"/>
      <c r="AB107" s="121"/>
      <c r="AC107" s="121"/>
      <c r="AD107" s="121"/>
      <c r="AE107" s="121"/>
      <c r="AF107" s="121"/>
      <c r="AG107" s="121"/>
      <c r="AH107" s="121"/>
      <c r="AK107" s="15"/>
      <c r="AL107" s="15"/>
      <c r="AM107" s="15"/>
    </row>
    <row r="108" spans="1:39" ht="20.100000000000001" customHeight="1" x14ac:dyDescent="0.2">
      <c r="D108" s="121" t="s">
        <v>770</v>
      </c>
      <c r="E108" s="121" t="s">
        <v>721</v>
      </c>
      <c r="F108" s="121" t="s">
        <v>223</v>
      </c>
      <c r="G108" s="121">
        <v>1</v>
      </c>
      <c r="H108" s="121"/>
      <c r="I108" s="121"/>
      <c r="J108" s="121" t="s">
        <v>725</v>
      </c>
      <c r="K108" s="121">
        <v>21</v>
      </c>
      <c r="L108" s="121"/>
      <c r="M108" s="121"/>
      <c r="N108" s="121">
        <v>24</v>
      </c>
      <c r="O108" s="121" t="s">
        <v>188</v>
      </c>
      <c r="P108" s="121">
        <v>0.24</v>
      </c>
      <c r="Q108" s="121" t="s">
        <v>705</v>
      </c>
      <c r="R108" s="121">
        <v>0.21</v>
      </c>
      <c r="S108" s="121"/>
      <c r="T108" s="121"/>
      <c r="U108" s="121"/>
      <c r="V108" s="121"/>
      <c r="W108" s="121"/>
      <c r="X108" s="121"/>
      <c r="Y108" s="121"/>
      <c r="Z108" s="121"/>
      <c r="AA108" s="121"/>
      <c r="AB108" s="121"/>
      <c r="AC108" s="121"/>
      <c r="AD108" s="121"/>
      <c r="AE108" s="121"/>
      <c r="AF108" s="121"/>
      <c r="AG108" s="121"/>
      <c r="AH108" s="121"/>
      <c r="AK108" s="15"/>
      <c r="AL108" s="15"/>
      <c r="AM108" s="15"/>
    </row>
    <row r="109" spans="1:39" ht="20.100000000000001" customHeight="1" x14ac:dyDescent="0.2">
      <c r="D109" s="121" t="s">
        <v>772</v>
      </c>
      <c r="E109" s="121" t="s">
        <v>773</v>
      </c>
      <c r="F109" s="121" t="s">
        <v>223</v>
      </c>
      <c r="G109" s="121">
        <v>1</v>
      </c>
      <c r="H109" s="121"/>
      <c r="I109" s="121"/>
      <c r="J109" s="121"/>
      <c r="K109" s="121">
        <v>21</v>
      </c>
      <c r="L109" s="121"/>
      <c r="M109" s="121"/>
      <c r="N109" s="121">
        <v>24</v>
      </c>
      <c r="O109" s="121" t="s">
        <v>700</v>
      </c>
      <c r="P109" s="121">
        <v>1</v>
      </c>
      <c r="Q109" s="121"/>
      <c r="R109" s="121"/>
      <c r="S109" s="121"/>
      <c r="T109" s="121"/>
      <c r="U109" s="121"/>
      <c r="V109" s="121"/>
      <c r="W109" s="121"/>
      <c r="X109" s="121"/>
      <c r="Y109" s="121"/>
      <c r="Z109" s="121"/>
      <c r="AA109" s="121"/>
      <c r="AB109" s="121"/>
      <c r="AC109" s="121"/>
      <c r="AD109" s="121"/>
      <c r="AE109" s="121"/>
      <c r="AF109" s="121"/>
      <c r="AG109" s="121"/>
      <c r="AH109" s="121"/>
      <c r="AK109" s="15"/>
      <c r="AL109" s="15"/>
      <c r="AM109" s="15"/>
    </row>
    <row r="110" spans="1:39" ht="20.100000000000001" customHeight="1" x14ac:dyDescent="0.2">
      <c r="D110" s="121" t="s">
        <v>774</v>
      </c>
      <c r="E110" s="121" t="s">
        <v>775</v>
      </c>
      <c r="F110" s="121" t="s">
        <v>223</v>
      </c>
      <c r="G110" s="121">
        <v>1</v>
      </c>
      <c r="H110" s="121"/>
      <c r="I110" s="121"/>
      <c r="J110" s="121"/>
      <c r="K110" s="121">
        <v>18</v>
      </c>
      <c r="L110" s="121">
        <v>20</v>
      </c>
      <c r="M110" s="121"/>
      <c r="N110" s="121"/>
      <c r="O110" s="121" t="s">
        <v>698</v>
      </c>
      <c r="P110" s="121">
        <v>1</v>
      </c>
      <c r="Q110" s="121"/>
      <c r="R110" s="121"/>
      <c r="S110" s="121"/>
      <c r="T110" s="121"/>
      <c r="U110" s="121"/>
      <c r="V110" s="121"/>
      <c r="W110" s="121"/>
      <c r="X110" s="121"/>
      <c r="Y110" s="121"/>
      <c r="Z110" s="121"/>
      <c r="AA110" s="121"/>
      <c r="AB110" s="121"/>
      <c r="AC110" s="121"/>
      <c r="AD110" s="121"/>
      <c r="AE110" s="121"/>
      <c r="AF110" s="121"/>
      <c r="AG110" s="121"/>
      <c r="AH110" s="121"/>
      <c r="AK110" s="15"/>
      <c r="AL110" s="15"/>
      <c r="AM110" s="15"/>
    </row>
    <row r="111" spans="1:39" ht="20.100000000000001" customHeight="1" x14ac:dyDescent="0.2">
      <c r="D111" s="121" t="s">
        <v>776</v>
      </c>
      <c r="E111" s="121" t="s">
        <v>777</v>
      </c>
      <c r="F111" s="121" t="s">
        <v>223</v>
      </c>
      <c r="G111" s="121">
        <v>1</v>
      </c>
      <c r="H111" s="121"/>
      <c r="I111" s="121"/>
      <c r="J111" s="121"/>
      <c r="K111" s="121">
        <v>8</v>
      </c>
      <c r="L111" s="121">
        <v>14</v>
      </c>
      <c r="M111" s="121"/>
      <c r="N111" s="121">
        <v>27.6</v>
      </c>
      <c r="O111" s="121" t="s">
        <v>188</v>
      </c>
      <c r="P111" s="121">
        <v>0.27600000000000002</v>
      </c>
      <c r="Q111" s="121" t="s">
        <v>712</v>
      </c>
      <c r="R111" s="121">
        <v>0.14000000000000001</v>
      </c>
      <c r="S111" s="121" t="s">
        <v>710</v>
      </c>
      <c r="T111" s="121">
        <v>0.08</v>
      </c>
      <c r="U111" s="121" t="s">
        <v>778</v>
      </c>
      <c r="V111" s="121">
        <v>2.4E-2</v>
      </c>
      <c r="W111" s="121"/>
      <c r="X111" s="121"/>
      <c r="Y111" s="121"/>
      <c r="Z111" s="121"/>
      <c r="AA111" s="121"/>
      <c r="AB111" s="121"/>
      <c r="AC111" s="121"/>
      <c r="AD111" s="121"/>
      <c r="AE111" s="121"/>
      <c r="AF111" s="121"/>
      <c r="AG111" s="121"/>
      <c r="AH111" s="121"/>
      <c r="AK111" s="15"/>
      <c r="AL111" s="15"/>
      <c r="AM111" s="15"/>
    </row>
    <row r="112" spans="1:39" ht="20.100000000000001" customHeight="1" x14ac:dyDescent="0.2">
      <c r="D112" s="121" t="s">
        <v>779</v>
      </c>
      <c r="E112" s="121" t="s">
        <v>780</v>
      </c>
      <c r="F112" s="121" t="s">
        <v>223</v>
      </c>
      <c r="G112" s="121">
        <v>1</v>
      </c>
      <c r="H112" s="121"/>
      <c r="I112" s="121"/>
      <c r="J112" s="121"/>
      <c r="K112" s="121">
        <v>16.899999999999999</v>
      </c>
      <c r="L112" s="121">
        <v>18.2</v>
      </c>
      <c r="M112" s="121"/>
      <c r="N112" s="121">
        <v>8</v>
      </c>
      <c r="O112" s="121" t="s">
        <v>712</v>
      </c>
      <c r="P112" s="121">
        <v>0.182</v>
      </c>
      <c r="Q112" s="121" t="s">
        <v>710</v>
      </c>
      <c r="R112" s="121">
        <v>0.16900000000000001</v>
      </c>
      <c r="S112" s="121" t="s">
        <v>188</v>
      </c>
      <c r="T112" s="121">
        <v>0.08</v>
      </c>
      <c r="U112" s="121" t="s">
        <v>758</v>
      </c>
      <c r="V112" s="121">
        <v>2E-3</v>
      </c>
      <c r="W112" s="121" t="s">
        <v>761</v>
      </c>
      <c r="X112" s="121">
        <v>1E-3</v>
      </c>
      <c r="Y112" s="121"/>
      <c r="Z112" s="121"/>
      <c r="AA112" s="121"/>
      <c r="AB112" s="121"/>
      <c r="AC112" s="121"/>
      <c r="AD112" s="121"/>
      <c r="AE112" s="121"/>
      <c r="AF112" s="121"/>
      <c r="AG112" s="121"/>
      <c r="AH112" s="121"/>
      <c r="AK112" s="15"/>
      <c r="AL112" s="15"/>
      <c r="AM112" s="15"/>
    </row>
    <row r="113" spans="4:39" ht="20.100000000000001" customHeight="1" x14ac:dyDescent="0.2">
      <c r="D113" s="121" t="s">
        <v>776</v>
      </c>
      <c r="E113" s="121" t="s">
        <v>781</v>
      </c>
      <c r="F113" s="121" t="s">
        <v>430</v>
      </c>
      <c r="G113" s="121">
        <v>1.32</v>
      </c>
      <c r="H113" s="121"/>
      <c r="I113" s="121"/>
      <c r="J113" s="121"/>
      <c r="K113" s="121">
        <v>42.5</v>
      </c>
      <c r="L113" s="121"/>
      <c r="M113" s="121"/>
      <c r="N113" s="121"/>
      <c r="O113" s="121" t="s">
        <v>174</v>
      </c>
      <c r="P113" s="121">
        <v>0.467391</v>
      </c>
      <c r="Q113" s="121" t="s">
        <v>707</v>
      </c>
      <c r="R113" s="121">
        <v>0.105</v>
      </c>
      <c r="S113" s="121" t="s">
        <v>705</v>
      </c>
      <c r="T113" s="121">
        <v>0.105</v>
      </c>
      <c r="U113" s="121" t="s">
        <v>782</v>
      </c>
      <c r="V113" s="121">
        <v>6.0000000000000001E-3</v>
      </c>
      <c r="W113" s="121"/>
      <c r="X113" s="121"/>
      <c r="Y113" s="121"/>
      <c r="Z113" s="121"/>
      <c r="AA113" s="121"/>
      <c r="AB113" s="121"/>
      <c r="AC113" s="121"/>
      <c r="AD113" s="121"/>
      <c r="AE113" s="121"/>
      <c r="AF113" s="121"/>
      <c r="AG113" s="121"/>
      <c r="AH113" s="121"/>
      <c r="AK113" s="15"/>
      <c r="AL113" s="15"/>
      <c r="AM113" s="15"/>
    </row>
    <row r="114" spans="4:39" ht="20.100000000000001" customHeight="1" x14ac:dyDescent="0.2">
      <c r="D114" s="121" t="s">
        <v>770</v>
      </c>
      <c r="E114" s="121" t="s">
        <v>783</v>
      </c>
      <c r="F114" s="121" t="s">
        <v>223</v>
      </c>
      <c r="G114" s="121">
        <v>1</v>
      </c>
      <c r="H114" s="121"/>
      <c r="I114" s="121"/>
      <c r="J114" s="121" t="s">
        <v>725</v>
      </c>
      <c r="K114" s="121">
        <v>40.5</v>
      </c>
      <c r="L114" s="121"/>
      <c r="M114" s="121"/>
      <c r="N114" s="121"/>
      <c r="O114" s="121" t="s">
        <v>705</v>
      </c>
      <c r="P114" s="121">
        <v>0.27</v>
      </c>
      <c r="Q114" s="121" t="s">
        <v>707</v>
      </c>
      <c r="R114" s="121">
        <v>0.13500000000000001</v>
      </c>
      <c r="S114" s="121" t="s">
        <v>750</v>
      </c>
      <c r="T114" s="121">
        <v>0.12</v>
      </c>
      <c r="U114" s="121"/>
      <c r="V114" s="121"/>
      <c r="W114" s="121"/>
      <c r="X114" s="121"/>
      <c r="Y114" s="121"/>
      <c r="Z114" s="121"/>
      <c r="AA114" s="121"/>
      <c r="AB114" s="121"/>
      <c r="AC114" s="121"/>
      <c r="AD114" s="121"/>
      <c r="AE114" s="121"/>
      <c r="AF114" s="121"/>
      <c r="AG114" s="121"/>
      <c r="AH114" s="121"/>
      <c r="AK114" s="15"/>
      <c r="AL114" s="15"/>
      <c r="AM114" s="15"/>
    </row>
    <row r="115" spans="4:39" ht="20.100000000000001" customHeight="1" x14ac:dyDescent="0.2">
      <c r="D115" s="121" t="s">
        <v>768</v>
      </c>
      <c r="E115" s="121" t="s">
        <v>784</v>
      </c>
      <c r="F115" s="121" t="s">
        <v>430</v>
      </c>
      <c r="G115" s="121">
        <v>1.1379999999999999</v>
      </c>
      <c r="H115" s="121"/>
      <c r="I115" s="121"/>
      <c r="J115" s="121"/>
      <c r="K115" s="121"/>
      <c r="L115" s="121"/>
      <c r="M115" s="121"/>
      <c r="N115" s="121"/>
      <c r="O115" s="121" t="s">
        <v>750</v>
      </c>
      <c r="P115" s="121">
        <v>5.8999999999999997E-2</v>
      </c>
      <c r="Q115" s="121" t="s">
        <v>761</v>
      </c>
      <c r="R115" s="121">
        <v>3.0000000000000001E-3</v>
      </c>
      <c r="S115" s="121" t="s">
        <v>762</v>
      </c>
      <c r="T115" s="121">
        <v>1E-3</v>
      </c>
      <c r="U115" s="121"/>
      <c r="V115" s="121"/>
      <c r="W115" s="121"/>
      <c r="X115" s="121"/>
      <c r="Y115" s="121"/>
      <c r="Z115" s="121"/>
      <c r="AA115" s="121"/>
      <c r="AB115" s="121"/>
      <c r="AC115" s="121"/>
      <c r="AD115" s="121"/>
      <c r="AE115" s="121"/>
      <c r="AF115" s="121"/>
      <c r="AG115" s="121"/>
      <c r="AH115" s="121"/>
      <c r="AK115" s="15"/>
      <c r="AL115" s="15"/>
      <c r="AM115" s="15"/>
    </row>
    <row r="116" spans="4:39" ht="20.100000000000001" customHeight="1" x14ac:dyDescent="0.2">
      <c r="D116" s="121" t="s">
        <v>776</v>
      </c>
      <c r="E116" s="121" t="s">
        <v>785</v>
      </c>
      <c r="F116" s="121" t="s">
        <v>223</v>
      </c>
      <c r="G116" s="121">
        <v>1</v>
      </c>
      <c r="H116" s="121"/>
      <c r="I116" s="121"/>
      <c r="J116" s="121"/>
      <c r="K116" s="121">
        <v>13.5</v>
      </c>
      <c r="L116" s="121">
        <v>15</v>
      </c>
      <c r="M116" s="121">
        <v>6.25</v>
      </c>
      <c r="N116" s="121">
        <v>1.2</v>
      </c>
      <c r="O116" s="121" t="s">
        <v>712</v>
      </c>
      <c r="P116" s="121">
        <v>0.15</v>
      </c>
      <c r="Q116" s="121" t="s">
        <v>705</v>
      </c>
      <c r="R116" s="121">
        <v>0.13500000000000001</v>
      </c>
      <c r="S116" s="121" t="s">
        <v>718</v>
      </c>
      <c r="T116" s="121">
        <v>0.125</v>
      </c>
      <c r="U116" s="121" t="s">
        <v>778</v>
      </c>
      <c r="V116" s="121">
        <v>2.3E-2</v>
      </c>
      <c r="W116" s="121" t="s">
        <v>188</v>
      </c>
      <c r="X116" s="121">
        <v>1.2E-2</v>
      </c>
      <c r="Y116" s="121"/>
      <c r="Z116" s="121"/>
      <c r="AA116" s="121"/>
      <c r="AB116" s="121"/>
      <c r="AC116" s="121"/>
      <c r="AD116" s="121"/>
      <c r="AE116" s="121"/>
      <c r="AF116" s="121"/>
      <c r="AG116" s="121"/>
      <c r="AH116" s="121"/>
      <c r="AK116" s="15"/>
      <c r="AL116" s="15"/>
      <c r="AM116" s="15"/>
    </row>
    <row r="117" spans="4:39" ht="20.100000000000001" customHeight="1" x14ac:dyDescent="0.2">
      <c r="D117" s="121" t="s">
        <v>786</v>
      </c>
      <c r="E117" s="121" t="s">
        <v>787</v>
      </c>
      <c r="F117" s="121" t="s">
        <v>430</v>
      </c>
      <c r="G117" s="121">
        <v>1.25</v>
      </c>
      <c r="H117" s="121"/>
      <c r="I117" s="121"/>
      <c r="J117" s="121"/>
      <c r="K117" s="121">
        <v>3</v>
      </c>
      <c r="L117" s="121"/>
      <c r="M117" s="121">
        <v>21</v>
      </c>
      <c r="N117" s="121"/>
      <c r="O117" s="121" t="s">
        <v>187</v>
      </c>
      <c r="P117" s="121">
        <v>0.21</v>
      </c>
      <c r="Q117" s="121" t="s">
        <v>710</v>
      </c>
      <c r="R117" s="121">
        <v>0.03</v>
      </c>
      <c r="S117" s="121"/>
      <c r="T117" s="121"/>
      <c r="U117" s="121"/>
      <c r="V117" s="121"/>
      <c r="W117" s="121"/>
      <c r="X117" s="121"/>
      <c r="Y117" s="121"/>
      <c r="Z117" s="121"/>
      <c r="AA117" s="121"/>
      <c r="AB117" s="121"/>
      <c r="AC117" s="121"/>
      <c r="AD117" s="121"/>
      <c r="AE117" s="121"/>
      <c r="AF117" s="121"/>
      <c r="AG117" s="121"/>
      <c r="AH117" s="121"/>
      <c r="AK117" s="15"/>
      <c r="AL117" s="15"/>
      <c r="AM117" s="15"/>
    </row>
    <row r="118" spans="4:39" ht="20.100000000000001" customHeight="1" x14ac:dyDescent="0.2">
      <c r="D118" s="121" t="s">
        <v>786</v>
      </c>
      <c r="E118" s="121" t="s">
        <v>788</v>
      </c>
      <c r="F118" s="121" t="s">
        <v>430</v>
      </c>
      <c r="G118" s="121">
        <v>1.2</v>
      </c>
      <c r="H118" s="121"/>
      <c r="I118" s="121"/>
      <c r="J118" s="121"/>
      <c r="K118" s="121">
        <v>5</v>
      </c>
      <c r="L118" s="121">
        <v>3</v>
      </c>
      <c r="M118" s="121">
        <v>8</v>
      </c>
      <c r="N118" s="121"/>
      <c r="O118" s="121" t="s">
        <v>187</v>
      </c>
      <c r="P118" s="121">
        <v>0.08</v>
      </c>
      <c r="Q118" s="121" t="s">
        <v>710</v>
      </c>
      <c r="R118" s="121">
        <v>0.05</v>
      </c>
      <c r="S118" s="121" t="s">
        <v>712</v>
      </c>
      <c r="T118" s="121">
        <v>0.03</v>
      </c>
      <c r="U118" s="121"/>
      <c r="V118" s="121"/>
      <c r="W118" s="121"/>
      <c r="X118" s="121"/>
      <c r="Y118" s="121"/>
      <c r="Z118" s="121"/>
      <c r="AA118" s="121"/>
      <c r="AB118" s="121"/>
      <c r="AC118" s="121"/>
      <c r="AD118" s="121"/>
      <c r="AE118" s="121"/>
      <c r="AF118" s="121"/>
      <c r="AG118" s="121"/>
      <c r="AH118" s="121"/>
      <c r="AK118" s="15"/>
      <c r="AL118" s="15"/>
      <c r="AM118" s="15"/>
    </row>
    <row r="119" spans="4:39" ht="20.100000000000001" customHeight="1" x14ac:dyDescent="0.2">
      <c r="D119" s="121" t="s">
        <v>776</v>
      </c>
      <c r="E119" s="121" t="s">
        <v>789</v>
      </c>
      <c r="F119" s="121" t="s">
        <v>223</v>
      </c>
      <c r="G119" s="121">
        <v>1</v>
      </c>
      <c r="H119" s="121"/>
      <c r="I119" s="121"/>
      <c r="J119" s="121"/>
      <c r="K119" s="121">
        <v>21</v>
      </c>
      <c r="L119" s="121"/>
      <c r="M119" s="121"/>
      <c r="N119" s="121">
        <v>24</v>
      </c>
      <c r="O119" s="121" t="s">
        <v>700</v>
      </c>
      <c r="P119" s="121">
        <v>1</v>
      </c>
      <c r="Q119" s="121"/>
      <c r="R119" s="121"/>
      <c r="S119" s="121"/>
      <c r="T119" s="121"/>
      <c r="U119" s="121"/>
      <c r="V119" s="121"/>
      <c r="W119" s="121"/>
      <c r="X119" s="121"/>
      <c r="Y119" s="121"/>
      <c r="Z119" s="121"/>
      <c r="AA119" s="121"/>
      <c r="AB119" s="121"/>
      <c r="AC119" s="121"/>
      <c r="AD119" s="121"/>
      <c r="AE119" s="121"/>
      <c r="AF119" s="121"/>
      <c r="AG119" s="121"/>
      <c r="AH119" s="121"/>
      <c r="AK119" s="15"/>
      <c r="AL119" s="15"/>
      <c r="AM119" s="15"/>
    </row>
    <row r="120" spans="4:39" ht="20.100000000000001" customHeight="1" x14ac:dyDescent="0.2">
      <c r="D120" s="121" t="s">
        <v>745</v>
      </c>
      <c r="E120" s="121" t="s">
        <v>790</v>
      </c>
      <c r="F120" s="121" t="s">
        <v>430</v>
      </c>
      <c r="G120" s="121">
        <v>1.5</v>
      </c>
      <c r="H120" s="121"/>
      <c r="I120" s="121"/>
      <c r="J120" s="121"/>
      <c r="K120" s="121">
        <v>9</v>
      </c>
      <c r="L120" s="121"/>
      <c r="M120" s="121"/>
      <c r="N120" s="121">
        <v>13.94</v>
      </c>
      <c r="O120" s="121" t="s">
        <v>700</v>
      </c>
      <c r="P120" s="121">
        <v>0.58064499999999997</v>
      </c>
      <c r="Q120" s="121" t="s">
        <v>757</v>
      </c>
      <c r="R120" s="121">
        <v>1.2E-2</v>
      </c>
      <c r="S120" s="121"/>
      <c r="T120" s="121"/>
      <c r="U120" s="121"/>
      <c r="V120" s="121"/>
      <c r="W120" s="121"/>
      <c r="X120" s="121"/>
      <c r="Y120" s="121"/>
      <c r="Z120" s="121"/>
      <c r="AA120" s="121"/>
      <c r="AB120" s="121"/>
      <c r="AC120" s="121"/>
      <c r="AD120" s="121"/>
      <c r="AE120" s="121"/>
      <c r="AF120" s="121"/>
      <c r="AG120" s="121"/>
      <c r="AH120" s="121"/>
      <c r="AK120" s="15"/>
      <c r="AL120" s="15"/>
      <c r="AM120" s="15"/>
    </row>
    <row r="121" spans="4:39" ht="20.100000000000001" customHeight="1" x14ac:dyDescent="0.2">
      <c r="D121" s="121" t="s">
        <v>776</v>
      </c>
      <c r="E121" s="121" t="s">
        <v>791</v>
      </c>
      <c r="F121" s="121" t="s">
        <v>223</v>
      </c>
      <c r="G121" s="121">
        <v>1</v>
      </c>
      <c r="H121" s="121"/>
      <c r="I121" s="121"/>
      <c r="J121" s="121"/>
      <c r="K121" s="121">
        <v>10</v>
      </c>
      <c r="L121" s="121">
        <v>17.5</v>
      </c>
      <c r="M121" s="121"/>
      <c r="N121" s="121">
        <v>12</v>
      </c>
      <c r="O121" s="121" t="s">
        <v>712</v>
      </c>
      <c r="P121" s="121">
        <v>0.17499999999999999</v>
      </c>
      <c r="Q121" s="121" t="s">
        <v>188</v>
      </c>
      <c r="R121" s="121">
        <v>0.12</v>
      </c>
      <c r="S121" s="121" t="s">
        <v>705</v>
      </c>
      <c r="T121" s="121">
        <v>0.1</v>
      </c>
      <c r="U121" s="121" t="s">
        <v>778</v>
      </c>
      <c r="V121" s="121">
        <v>0.03</v>
      </c>
      <c r="W121" s="121"/>
      <c r="X121" s="121"/>
      <c r="Y121" s="121"/>
      <c r="Z121" s="121"/>
      <c r="AA121" s="121"/>
      <c r="AB121" s="121"/>
      <c r="AC121" s="121"/>
      <c r="AD121" s="121"/>
      <c r="AE121" s="121"/>
      <c r="AF121" s="121"/>
      <c r="AG121" s="121"/>
      <c r="AH121" s="121"/>
      <c r="AK121" s="15"/>
      <c r="AL121" s="15"/>
      <c r="AM121" s="15"/>
    </row>
    <row r="122" spans="4:39" ht="20.100000000000001" customHeight="1" x14ac:dyDescent="0.2">
      <c r="D122" s="121" t="s">
        <v>776</v>
      </c>
      <c r="E122" s="121" t="s">
        <v>792</v>
      </c>
      <c r="F122" s="121" t="s">
        <v>223</v>
      </c>
      <c r="G122" s="121">
        <v>1</v>
      </c>
      <c r="H122" s="121"/>
      <c r="I122" s="121"/>
      <c r="J122" s="121"/>
      <c r="K122" s="121">
        <v>11</v>
      </c>
      <c r="L122" s="121">
        <v>21.8</v>
      </c>
      <c r="M122" s="121"/>
      <c r="N122" s="121">
        <v>4</v>
      </c>
      <c r="O122" s="121" t="s">
        <v>712</v>
      </c>
      <c r="P122" s="121">
        <v>0.218</v>
      </c>
      <c r="Q122" s="121" t="s">
        <v>710</v>
      </c>
      <c r="R122" s="121">
        <v>0.11</v>
      </c>
      <c r="S122" s="121" t="s">
        <v>188</v>
      </c>
      <c r="T122" s="121">
        <v>0.04</v>
      </c>
      <c r="U122" s="121" t="s">
        <v>778</v>
      </c>
      <c r="V122" s="121">
        <v>0.03</v>
      </c>
      <c r="W122" s="121" t="s">
        <v>758</v>
      </c>
      <c r="X122" s="121">
        <v>0.01</v>
      </c>
      <c r="Y122" s="121"/>
      <c r="Z122" s="121"/>
      <c r="AA122" s="121"/>
      <c r="AB122" s="121"/>
      <c r="AC122" s="121"/>
      <c r="AD122" s="121"/>
      <c r="AE122" s="121"/>
      <c r="AF122" s="121"/>
      <c r="AG122" s="121"/>
      <c r="AH122" s="121"/>
      <c r="AK122" s="15"/>
      <c r="AL122" s="15"/>
      <c r="AM122" s="15"/>
    </row>
    <row r="123" spans="4:39" ht="20.100000000000001" customHeight="1" x14ac:dyDescent="0.2">
      <c r="D123" s="121" t="s">
        <v>776</v>
      </c>
      <c r="E123" s="121" t="s">
        <v>793</v>
      </c>
      <c r="F123" s="121" t="s">
        <v>223</v>
      </c>
      <c r="G123" s="121">
        <v>1</v>
      </c>
      <c r="H123" s="121"/>
      <c r="I123" s="121"/>
      <c r="J123" s="121"/>
      <c r="K123" s="121">
        <v>32.5</v>
      </c>
      <c r="L123" s="121">
        <v>5.4</v>
      </c>
      <c r="M123" s="121">
        <v>6.25</v>
      </c>
      <c r="N123" s="121"/>
      <c r="O123" s="121" t="s">
        <v>174</v>
      </c>
      <c r="P123" s="121">
        <v>0.6</v>
      </c>
      <c r="Q123" s="121" t="s">
        <v>705</v>
      </c>
      <c r="R123" s="121">
        <v>4.9000000000000002E-2</v>
      </c>
      <c r="S123" s="121" t="s">
        <v>712</v>
      </c>
      <c r="T123" s="121">
        <v>5.3999999999999999E-2</v>
      </c>
      <c r="U123" s="121" t="s">
        <v>718</v>
      </c>
      <c r="V123" s="121">
        <v>0.125</v>
      </c>
      <c r="W123" s="121"/>
      <c r="X123" s="121"/>
      <c r="Y123" s="121"/>
      <c r="Z123" s="121"/>
      <c r="AA123" s="121"/>
      <c r="AB123" s="121"/>
      <c r="AC123" s="121"/>
      <c r="AD123" s="121"/>
      <c r="AE123" s="121"/>
      <c r="AF123" s="121"/>
      <c r="AG123" s="121"/>
      <c r="AH123" s="121"/>
      <c r="AK123" s="15"/>
      <c r="AL123" s="15"/>
      <c r="AM123" s="15"/>
    </row>
    <row r="124" spans="4:39" ht="20.100000000000001" customHeight="1" x14ac:dyDescent="0.2">
      <c r="D124" s="121" t="s">
        <v>772</v>
      </c>
      <c r="E124" s="121" t="s">
        <v>794</v>
      </c>
      <c r="F124" s="121" t="s">
        <v>223</v>
      </c>
      <c r="G124" s="121">
        <v>1</v>
      </c>
      <c r="H124" s="121" t="s">
        <v>795</v>
      </c>
      <c r="I124" s="121"/>
      <c r="J124" s="121"/>
      <c r="K124" s="121">
        <v>45.54</v>
      </c>
      <c r="L124" s="121"/>
      <c r="M124" s="121"/>
      <c r="N124" s="121"/>
      <c r="O124" s="121" t="s">
        <v>174</v>
      </c>
      <c r="P124" s="121">
        <v>0.99</v>
      </c>
      <c r="Q124" s="121"/>
      <c r="R124" s="121"/>
      <c r="S124" s="121"/>
      <c r="T124" s="121"/>
      <c r="U124" s="121"/>
      <c r="V124" s="121"/>
      <c r="W124" s="121"/>
      <c r="X124" s="121"/>
      <c r="Y124" s="121"/>
      <c r="Z124" s="121"/>
      <c r="AA124" s="121"/>
      <c r="AB124" s="121"/>
      <c r="AC124" s="121"/>
      <c r="AD124" s="121"/>
      <c r="AE124" s="121"/>
      <c r="AF124" s="121"/>
      <c r="AG124" s="121"/>
      <c r="AH124" s="121"/>
      <c r="AK124" s="15"/>
      <c r="AL124" s="15"/>
      <c r="AM124" s="15"/>
    </row>
    <row r="125" spans="4:39" ht="20.100000000000001" customHeight="1" x14ac:dyDescent="0.2">
      <c r="D125" s="121" t="s">
        <v>745</v>
      </c>
      <c r="E125" s="121" t="s">
        <v>796</v>
      </c>
      <c r="F125" s="121" t="s">
        <v>223</v>
      </c>
      <c r="G125" s="121">
        <v>1</v>
      </c>
      <c r="H125" s="121"/>
      <c r="I125" s="121"/>
      <c r="J125" s="121"/>
      <c r="K125" s="121">
        <v>14.87</v>
      </c>
      <c r="L125" s="121">
        <v>2.2000000000000002</v>
      </c>
      <c r="M125" s="121">
        <v>16.600000000000001</v>
      </c>
      <c r="N125" s="121">
        <v>8</v>
      </c>
      <c r="O125" s="121" t="s">
        <v>702</v>
      </c>
      <c r="P125" s="121">
        <v>0.44117600000000001</v>
      </c>
      <c r="Q125" s="121" t="s">
        <v>187</v>
      </c>
      <c r="R125" s="121">
        <v>0.16600000000000001</v>
      </c>
      <c r="S125" s="121" t="s">
        <v>188</v>
      </c>
      <c r="T125" s="121">
        <v>0.08</v>
      </c>
      <c r="U125" s="121" t="s">
        <v>712</v>
      </c>
      <c r="V125" s="121">
        <v>2.1999999999999999E-2</v>
      </c>
      <c r="W125" s="121" t="s">
        <v>757</v>
      </c>
      <c r="X125" s="121">
        <v>1.2E-2</v>
      </c>
      <c r="Y125" s="121" t="s">
        <v>762</v>
      </c>
      <c r="Z125" s="121">
        <v>2.0000000000000001E-4</v>
      </c>
      <c r="AA125" s="121" t="s">
        <v>758</v>
      </c>
      <c r="AB125" s="121">
        <v>1E-4</v>
      </c>
      <c r="AC125" s="121"/>
      <c r="AD125" s="121"/>
      <c r="AE125" s="121"/>
      <c r="AF125" s="121"/>
      <c r="AG125" s="121"/>
      <c r="AH125" s="121"/>
      <c r="AK125" s="15"/>
      <c r="AL125" s="15"/>
      <c r="AM125" s="15"/>
    </row>
    <row r="126" spans="4:39" ht="20.100000000000001" customHeight="1" x14ac:dyDescent="0.2">
      <c r="D126" s="121" t="s">
        <v>768</v>
      </c>
      <c r="E126" s="121" t="s">
        <v>797</v>
      </c>
      <c r="F126" s="121" t="s">
        <v>430</v>
      </c>
      <c r="G126" s="121">
        <v>1.2989999999999999</v>
      </c>
      <c r="H126" s="121"/>
      <c r="I126" s="121"/>
      <c r="J126" s="121"/>
      <c r="K126" s="121">
        <v>38</v>
      </c>
      <c r="L126" s="121"/>
      <c r="M126" s="121"/>
      <c r="N126" s="121">
        <v>2</v>
      </c>
      <c r="O126" s="121" t="s">
        <v>174</v>
      </c>
      <c r="P126" s="121">
        <v>0.46087</v>
      </c>
      <c r="Q126" s="121" t="s">
        <v>705</v>
      </c>
      <c r="R126" s="121">
        <v>9.1999999999999998E-2</v>
      </c>
      <c r="S126" s="121" t="s">
        <v>707</v>
      </c>
      <c r="T126" s="121">
        <v>7.5999999999999998E-2</v>
      </c>
      <c r="U126" s="121" t="s">
        <v>188</v>
      </c>
      <c r="V126" s="121">
        <v>0.02</v>
      </c>
      <c r="W126" s="121"/>
      <c r="X126" s="121"/>
      <c r="Y126" s="121"/>
      <c r="Z126" s="121"/>
      <c r="AA126" s="121"/>
      <c r="AB126" s="121"/>
      <c r="AC126" s="121"/>
      <c r="AD126" s="121"/>
      <c r="AE126" s="121"/>
      <c r="AF126" s="121"/>
      <c r="AG126" s="121"/>
      <c r="AH126" s="121"/>
      <c r="AK126" s="15"/>
      <c r="AL126" s="15"/>
      <c r="AM126" s="15"/>
    </row>
    <row r="127" spans="4:39" ht="20.100000000000001" customHeight="1" x14ac:dyDescent="0.2">
      <c r="D127" s="121" t="s">
        <v>774</v>
      </c>
      <c r="E127" s="121" t="s">
        <v>798</v>
      </c>
      <c r="F127" s="121" t="s">
        <v>223</v>
      </c>
      <c r="G127" s="121">
        <v>1</v>
      </c>
      <c r="H127" s="121"/>
      <c r="I127" s="121"/>
      <c r="J127" s="121"/>
      <c r="K127" s="121"/>
      <c r="L127" s="121">
        <v>8.8000000000000007</v>
      </c>
      <c r="M127" s="121"/>
      <c r="N127" s="121">
        <v>11</v>
      </c>
      <c r="O127" s="121" t="s">
        <v>720</v>
      </c>
      <c r="P127" s="121">
        <v>1</v>
      </c>
      <c r="Q127" s="121"/>
      <c r="R127" s="121"/>
      <c r="S127" s="121"/>
      <c r="T127" s="121"/>
      <c r="U127" s="121"/>
      <c r="V127" s="121"/>
      <c r="W127" s="121"/>
      <c r="X127" s="121"/>
      <c r="Y127" s="121"/>
      <c r="Z127" s="121"/>
      <c r="AA127" s="121"/>
      <c r="AB127" s="121"/>
      <c r="AC127" s="121"/>
      <c r="AD127" s="121"/>
      <c r="AE127" s="121"/>
      <c r="AF127" s="121"/>
      <c r="AG127" s="121"/>
      <c r="AH127" s="121"/>
      <c r="AK127" s="15"/>
      <c r="AL127" s="15"/>
      <c r="AM127" s="15"/>
    </row>
    <row r="128" spans="4:39" ht="20.100000000000001" customHeight="1" x14ac:dyDescent="0.2">
      <c r="D128" s="121" t="s">
        <v>786</v>
      </c>
      <c r="E128" s="121" t="s">
        <v>799</v>
      </c>
      <c r="F128" s="121" t="s">
        <v>430</v>
      </c>
      <c r="G128" s="121">
        <v>1.2</v>
      </c>
      <c r="H128" s="121"/>
      <c r="I128" s="121"/>
      <c r="J128" s="121"/>
      <c r="K128" s="121">
        <v>10</v>
      </c>
      <c r="L128" s="121">
        <v>1</v>
      </c>
      <c r="M128" s="121">
        <v>11</v>
      </c>
      <c r="N128" s="121"/>
      <c r="O128" s="121" t="s">
        <v>187</v>
      </c>
      <c r="P128" s="121">
        <v>0.11</v>
      </c>
      <c r="Q128" s="121" t="s">
        <v>710</v>
      </c>
      <c r="R128" s="121">
        <v>0.1</v>
      </c>
      <c r="S128" s="121" t="s">
        <v>712</v>
      </c>
      <c r="T128" s="121">
        <v>0.01</v>
      </c>
      <c r="U128" s="121"/>
      <c r="V128" s="121"/>
      <c r="W128" s="121"/>
      <c r="X128" s="121"/>
      <c r="Y128" s="121"/>
      <c r="Z128" s="121"/>
      <c r="AA128" s="121"/>
      <c r="AB128" s="121"/>
      <c r="AC128" s="121"/>
      <c r="AD128" s="121"/>
      <c r="AE128" s="121"/>
      <c r="AF128" s="121"/>
      <c r="AG128" s="121"/>
      <c r="AH128" s="121"/>
      <c r="AK128" s="15"/>
      <c r="AL128" s="15"/>
      <c r="AM128" s="15"/>
    </row>
    <row r="129" spans="1:39" ht="20.100000000000001" customHeight="1" x14ac:dyDescent="0.2">
      <c r="D129" s="121" t="s">
        <v>786</v>
      </c>
      <c r="E129" s="121" t="s">
        <v>800</v>
      </c>
      <c r="F129" s="121" t="s">
        <v>430</v>
      </c>
      <c r="G129" s="121">
        <v>1.3</v>
      </c>
      <c r="H129" s="121"/>
      <c r="I129" s="121"/>
      <c r="J129" s="121"/>
      <c r="K129" s="121">
        <v>3</v>
      </c>
      <c r="L129" s="121"/>
      <c r="M129" s="121">
        <v>22</v>
      </c>
      <c r="N129" s="121"/>
      <c r="O129" s="121" t="s">
        <v>187</v>
      </c>
      <c r="P129" s="121">
        <v>0.22</v>
      </c>
      <c r="Q129" s="121" t="s">
        <v>710</v>
      </c>
      <c r="R129" s="121">
        <v>0.03</v>
      </c>
      <c r="S129" s="121"/>
      <c r="T129" s="121"/>
      <c r="U129" s="121"/>
      <c r="V129" s="121"/>
      <c r="W129" s="121"/>
      <c r="X129" s="121"/>
      <c r="Y129" s="121"/>
      <c r="Z129" s="121"/>
      <c r="AA129" s="121"/>
      <c r="AB129" s="121"/>
      <c r="AC129" s="121"/>
      <c r="AD129" s="121"/>
      <c r="AE129" s="121"/>
      <c r="AF129" s="121"/>
      <c r="AG129" s="121"/>
      <c r="AH129" s="121"/>
      <c r="AK129" s="15"/>
      <c r="AL129" s="15"/>
      <c r="AM129" s="15"/>
    </row>
    <row r="130" spans="1:39" ht="20.100000000000001" customHeight="1" x14ac:dyDescent="0.2">
      <c r="A130" s="167" t="str">
        <f>HYPERLINK("#A1", "▲ Back to top")</f>
        <v>▲ Back to top</v>
      </c>
      <c r="D130" s="121" t="s">
        <v>801</v>
      </c>
      <c r="E130" s="121" t="s">
        <v>802</v>
      </c>
      <c r="F130" s="121" t="s">
        <v>430</v>
      </c>
      <c r="G130" s="121">
        <v>1.1850000000000001</v>
      </c>
      <c r="H130" s="121"/>
      <c r="I130" s="121"/>
      <c r="J130" s="121"/>
      <c r="K130" s="121">
        <v>23.8</v>
      </c>
      <c r="L130" s="121"/>
      <c r="M130" s="121"/>
      <c r="N130" s="121"/>
      <c r="O130" s="121" t="s">
        <v>174</v>
      </c>
      <c r="P130" s="121">
        <v>0.51739100000000005</v>
      </c>
      <c r="Q130" s="121"/>
      <c r="R130" s="121"/>
      <c r="S130" s="121"/>
      <c r="T130" s="121"/>
      <c r="U130" s="121"/>
      <c r="V130" s="121"/>
      <c r="W130" s="121"/>
      <c r="X130" s="121"/>
      <c r="Y130" s="121"/>
      <c r="Z130" s="121"/>
      <c r="AA130" s="121"/>
      <c r="AB130" s="121"/>
      <c r="AC130" s="121"/>
      <c r="AD130" s="121"/>
      <c r="AE130" s="121"/>
      <c r="AF130" s="121"/>
      <c r="AG130" s="121"/>
      <c r="AH130" s="121"/>
      <c r="AK130" s="15"/>
      <c r="AL130" s="15"/>
      <c r="AM130" s="15"/>
    </row>
    <row r="131" spans="1:39" ht="20.100000000000001" customHeight="1" x14ac:dyDescent="0.2">
      <c r="D131" s="121" t="s">
        <v>768</v>
      </c>
      <c r="E131" s="121" t="s">
        <v>803</v>
      </c>
      <c r="F131" s="121" t="s">
        <v>430</v>
      </c>
      <c r="G131" s="121">
        <v>1.2549999999999999</v>
      </c>
      <c r="H131" s="121"/>
      <c r="I131" s="121"/>
      <c r="J131" s="121"/>
      <c r="K131" s="121"/>
      <c r="L131" s="121"/>
      <c r="M131" s="121">
        <v>0.1</v>
      </c>
      <c r="N131" s="121">
        <v>4.4000000000000004</v>
      </c>
      <c r="O131" s="121" t="s">
        <v>188</v>
      </c>
      <c r="P131" s="121">
        <v>4.3999999999999997E-2</v>
      </c>
      <c r="Q131" s="121" t="s">
        <v>758</v>
      </c>
      <c r="R131" s="121">
        <v>2.1999999999999999E-2</v>
      </c>
      <c r="S131" s="121" t="s">
        <v>760</v>
      </c>
      <c r="T131" s="121">
        <v>2.1999999999999999E-2</v>
      </c>
      <c r="U131" s="121" t="s">
        <v>759</v>
      </c>
      <c r="V131" s="121">
        <v>1.6E-2</v>
      </c>
      <c r="W131" s="121" t="s">
        <v>762</v>
      </c>
      <c r="X131" s="121">
        <v>8.0000000000000002E-3</v>
      </c>
      <c r="Y131" s="121" t="s">
        <v>757</v>
      </c>
      <c r="Z131" s="121">
        <v>7.0000000000000001E-3</v>
      </c>
      <c r="AA131" s="121" t="s">
        <v>804</v>
      </c>
      <c r="AB131" s="121">
        <v>5.0000000000000001E-3</v>
      </c>
      <c r="AC131" s="121" t="s">
        <v>761</v>
      </c>
      <c r="AD131" s="121">
        <v>3.0000000000000001E-3</v>
      </c>
      <c r="AE131" s="121" t="s">
        <v>187</v>
      </c>
      <c r="AF131" s="121">
        <v>1E-3</v>
      </c>
      <c r="AG131" s="121" t="s">
        <v>805</v>
      </c>
      <c r="AH131" s="121">
        <v>2.9999999999999997E-4</v>
      </c>
      <c r="AK131" s="15"/>
      <c r="AL131" s="15"/>
      <c r="AM131" s="15"/>
    </row>
    <row r="132" spans="1:39" ht="20.100000000000001" customHeight="1" x14ac:dyDescent="0.2">
      <c r="D132" s="121" t="s">
        <v>786</v>
      </c>
      <c r="E132" s="121" t="s">
        <v>806</v>
      </c>
      <c r="F132" s="121" t="s">
        <v>430</v>
      </c>
      <c r="G132" s="121">
        <v>1.23</v>
      </c>
      <c r="H132" s="121"/>
      <c r="I132" s="121"/>
      <c r="J132" s="121"/>
      <c r="K132" s="121">
        <v>9.7100000000000009</v>
      </c>
      <c r="L132" s="121"/>
      <c r="M132" s="121">
        <v>3.25</v>
      </c>
      <c r="N132" s="121">
        <v>2.11</v>
      </c>
      <c r="O132" s="121" t="s">
        <v>710</v>
      </c>
      <c r="P132" s="121">
        <v>9.7100000000000006E-2</v>
      </c>
      <c r="Q132" s="121" t="s">
        <v>187</v>
      </c>
      <c r="R132" s="121">
        <v>3.2500000000000001E-2</v>
      </c>
      <c r="S132" s="121" t="s">
        <v>188</v>
      </c>
      <c r="T132" s="121">
        <v>2.1100000000000001E-2</v>
      </c>
      <c r="U132" s="121" t="s">
        <v>758</v>
      </c>
      <c r="V132" s="121">
        <v>1.4999999999999999E-2</v>
      </c>
      <c r="W132" s="121" t="s">
        <v>760</v>
      </c>
      <c r="X132" s="121">
        <v>1.11E-2</v>
      </c>
      <c r="Y132" s="121" t="s">
        <v>759</v>
      </c>
      <c r="Z132" s="121">
        <v>1.15E-2</v>
      </c>
      <c r="AA132" s="121" t="s">
        <v>757</v>
      </c>
      <c r="AB132" s="121">
        <v>4.4999999999999997E-3</v>
      </c>
      <c r="AC132" s="121" t="s">
        <v>762</v>
      </c>
      <c r="AD132" s="121">
        <v>2E-3</v>
      </c>
      <c r="AE132" s="121"/>
      <c r="AF132" s="121"/>
      <c r="AG132" s="121"/>
      <c r="AH132" s="121"/>
      <c r="AK132" s="15"/>
      <c r="AL132" s="15"/>
      <c r="AM132" s="15"/>
    </row>
    <row r="133" spans="1:39" ht="20.100000000000001" customHeight="1" x14ac:dyDescent="0.2">
      <c r="D133" s="121" t="s">
        <v>745</v>
      </c>
      <c r="E133" s="121" t="s">
        <v>807</v>
      </c>
      <c r="F133" s="121" t="s">
        <v>223</v>
      </c>
      <c r="G133" s="121">
        <v>1</v>
      </c>
      <c r="H133" s="121"/>
      <c r="I133" s="121"/>
      <c r="J133" s="121"/>
      <c r="K133" s="121">
        <v>10</v>
      </c>
      <c r="L133" s="121">
        <v>10.9</v>
      </c>
      <c r="M133" s="121">
        <v>10</v>
      </c>
      <c r="N133" s="121">
        <v>4.34</v>
      </c>
      <c r="O133" s="121" t="s">
        <v>695</v>
      </c>
      <c r="P133" s="121">
        <v>0.4178</v>
      </c>
      <c r="Q133" s="121" t="s">
        <v>702</v>
      </c>
      <c r="R133" s="121">
        <v>0.17280000000000001</v>
      </c>
      <c r="S133" s="121" t="s">
        <v>808</v>
      </c>
      <c r="T133" s="121">
        <v>0.24096400000000001</v>
      </c>
      <c r="U133" s="121" t="s">
        <v>719</v>
      </c>
      <c r="V133" s="121">
        <v>0.1</v>
      </c>
      <c r="W133" s="121" t="s">
        <v>757</v>
      </c>
      <c r="X133" s="121">
        <v>1.2E-2</v>
      </c>
      <c r="Y133" s="121" t="s">
        <v>758</v>
      </c>
      <c r="Z133" s="121">
        <v>3.5999999999999999E-3</v>
      </c>
      <c r="AA133" s="121" t="s">
        <v>762</v>
      </c>
      <c r="AB133" s="121">
        <v>1E-3</v>
      </c>
      <c r="AC133" s="121" t="s">
        <v>809</v>
      </c>
      <c r="AD133" s="121">
        <v>5.1900000000000002E-2</v>
      </c>
      <c r="AE133" s="121"/>
      <c r="AF133" s="121"/>
      <c r="AG133" s="121"/>
      <c r="AH133" s="121"/>
      <c r="AK133" s="15"/>
      <c r="AL133" s="15"/>
      <c r="AM133" s="15"/>
    </row>
    <row r="134" spans="1:39" ht="20.100000000000001" customHeight="1" x14ac:dyDescent="0.2">
      <c r="D134" s="121" t="s">
        <v>774</v>
      </c>
      <c r="E134" s="121" t="s">
        <v>700</v>
      </c>
      <c r="F134" s="121" t="s">
        <v>223</v>
      </c>
      <c r="G134" s="121">
        <v>1</v>
      </c>
      <c r="H134" s="121"/>
      <c r="I134" s="121"/>
      <c r="J134" s="121"/>
      <c r="K134" s="121">
        <v>21</v>
      </c>
      <c r="L134" s="121"/>
      <c r="M134" s="121"/>
      <c r="N134" s="121">
        <v>24</v>
      </c>
      <c r="O134" s="121" t="s">
        <v>700</v>
      </c>
      <c r="P134" s="121">
        <v>1</v>
      </c>
      <c r="Q134" s="121"/>
      <c r="R134" s="121"/>
      <c r="S134" s="121"/>
      <c r="T134" s="121"/>
      <c r="U134" s="121"/>
      <c r="V134" s="121"/>
      <c r="W134" s="121"/>
      <c r="X134" s="121"/>
      <c r="Y134" s="121"/>
      <c r="Z134" s="121"/>
      <c r="AA134" s="121"/>
      <c r="AB134" s="121"/>
      <c r="AC134" s="121"/>
      <c r="AD134" s="121"/>
      <c r="AE134" s="121"/>
      <c r="AF134" s="121"/>
      <c r="AG134" s="121"/>
      <c r="AH134" s="121"/>
      <c r="AK134" s="15"/>
      <c r="AL134" s="15"/>
      <c r="AM134" s="15"/>
    </row>
    <row r="135" spans="1:39" ht="20.100000000000001" customHeight="1" x14ac:dyDescent="0.2">
      <c r="D135" s="121" t="s">
        <v>774</v>
      </c>
      <c r="E135" s="121" t="s">
        <v>810</v>
      </c>
      <c r="F135" s="121" t="s">
        <v>223</v>
      </c>
      <c r="G135" s="121">
        <v>1</v>
      </c>
      <c r="H135" s="121"/>
      <c r="I135" s="121"/>
      <c r="J135" s="121"/>
      <c r="K135" s="121">
        <v>10</v>
      </c>
      <c r="L135" s="121">
        <v>21.9</v>
      </c>
      <c r="M135" s="121"/>
      <c r="N135" s="121">
        <v>1.5</v>
      </c>
      <c r="O135" s="121" t="s">
        <v>695</v>
      </c>
      <c r="P135" s="121">
        <v>1</v>
      </c>
      <c r="Q135" s="121"/>
      <c r="R135" s="121"/>
      <c r="S135" s="121"/>
      <c r="T135" s="121"/>
      <c r="U135" s="121"/>
      <c r="V135" s="121"/>
      <c r="W135" s="121"/>
      <c r="X135" s="121"/>
      <c r="Y135" s="121"/>
      <c r="Z135" s="121"/>
      <c r="AA135" s="121"/>
      <c r="AB135" s="121"/>
      <c r="AC135" s="121"/>
      <c r="AD135" s="121"/>
      <c r="AE135" s="121"/>
      <c r="AF135" s="121"/>
      <c r="AG135" s="121"/>
      <c r="AH135" s="121"/>
      <c r="AK135" s="15"/>
      <c r="AL135" s="15"/>
      <c r="AM135" s="15"/>
    </row>
    <row r="136" spans="1:39" ht="20.100000000000001" customHeight="1" x14ac:dyDescent="0.2">
      <c r="D136" s="121" t="s">
        <v>774</v>
      </c>
      <c r="E136" s="121" t="s">
        <v>174</v>
      </c>
      <c r="F136" s="121" t="s">
        <v>223</v>
      </c>
      <c r="G136" s="121">
        <v>1</v>
      </c>
      <c r="H136" s="121"/>
      <c r="I136" s="121"/>
      <c r="J136" s="121"/>
      <c r="K136" s="121">
        <v>46</v>
      </c>
      <c r="L136" s="121"/>
      <c r="M136" s="121"/>
      <c r="N136" s="121"/>
      <c r="O136" s="121" t="s">
        <v>174</v>
      </c>
      <c r="P136" s="121">
        <v>1</v>
      </c>
      <c r="Q136" s="121"/>
      <c r="R136" s="121"/>
      <c r="S136" s="121"/>
      <c r="T136" s="121"/>
      <c r="U136" s="121"/>
      <c r="V136" s="121"/>
      <c r="W136" s="121"/>
      <c r="X136" s="121"/>
      <c r="Y136" s="121"/>
      <c r="Z136" s="121"/>
      <c r="AA136" s="121"/>
      <c r="AB136" s="121"/>
      <c r="AC136" s="121"/>
      <c r="AD136" s="121"/>
      <c r="AE136" s="121"/>
      <c r="AF136" s="121"/>
      <c r="AG136" s="121"/>
      <c r="AH136" s="121"/>
      <c r="AK136" s="15"/>
      <c r="AL136" s="15"/>
      <c r="AM136" s="15"/>
    </row>
    <row r="137" spans="1:39" ht="20.100000000000001" customHeight="1" x14ac:dyDescent="0.2">
      <c r="D137" s="121" t="s">
        <v>811</v>
      </c>
      <c r="E137" s="121" t="s">
        <v>718</v>
      </c>
      <c r="F137" s="121" t="s">
        <v>223</v>
      </c>
      <c r="G137" s="121">
        <v>1</v>
      </c>
      <c r="H137" s="121"/>
      <c r="I137" s="121"/>
      <c r="J137" s="121"/>
      <c r="K137" s="121"/>
      <c r="L137" s="121"/>
      <c r="M137" s="121">
        <v>50</v>
      </c>
      <c r="N137" s="121"/>
      <c r="O137" s="121" t="s">
        <v>718</v>
      </c>
      <c r="P137" s="121">
        <v>1</v>
      </c>
      <c r="Q137" s="121"/>
      <c r="R137" s="121"/>
      <c r="S137" s="121"/>
      <c r="T137" s="121"/>
      <c r="U137" s="121"/>
      <c r="V137" s="121"/>
      <c r="W137" s="121"/>
      <c r="X137" s="121"/>
      <c r="Y137" s="121"/>
      <c r="Z137" s="121"/>
      <c r="AA137" s="121"/>
      <c r="AB137" s="121"/>
      <c r="AC137" s="121"/>
      <c r="AD137" s="121"/>
      <c r="AE137" s="121"/>
      <c r="AF137" s="121"/>
      <c r="AG137" s="121"/>
      <c r="AH137" s="121"/>
      <c r="AK137" s="15"/>
      <c r="AL137" s="15"/>
      <c r="AM137" s="15"/>
    </row>
    <row r="138" spans="1:39" ht="20.100000000000001" customHeight="1" x14ac:dyDescent="0.2">
      <c r="D138" s="121" t="s">
        <v>770</v>
      </c>
      <c r="E138" s="121" t="s">
        <v>812</v>
      </c>
      <c r="F138" s="121" t="s">
        <v>430</v>
      </c>
      <c r="G138" s="121">
        <v>1.32</v>
      </c>
      <c r="H138" s="121"/>
      <c r="I138" s="121" t="s">
        <v>725</v>
      </c>
      <c r="J138" s="121" t="s">
        <v>725</v>
      </c>
      <c r="K138" s="121">
        <v>32</v>
      </c>
      <c r="L138" s="121"/>
      <c r="M138" s="121"/>
      <c r="N138" s="121"/>
      <c r="O138" s="121" t="s">
        <v>701</v>
      </c>
      <c r="P138" s="121">
        <v>1</v>
      </c>
      <c r="Q138" s="121"/>
      <c r="R138" s="121"/>
      <c r="S138" s="121"/>
      <c r="T138" s="121"/>
      <c r="U138" s="121"/>
      <c r="V138" s="121"/>
      <c r="W138" s="121"/>
      <c r="X138" s="121"/>
      <c r="Y138" s="121"/>
      <c r="Z138" s="121"/>
      <c r="AA138" s="121"/>
      <c r="AB138" s="121"/>
      <c r="AC138" s="121"/>
      <c r="AD138" s="121"/>
      <c r="AE138" s="121"/>
      <c r="AF138" s="121"/>
      <c r="AG138" s="121"/>
      <c r="AH138" s="121"/>
      <c r="AK138" s="15"/>
      <c r="AL138" s="15"/>
      <c r="AM138" s="15"/>
    </row>
    <row r="139" spans="1:39" ht="20.100000000000001" customHeight="1" x14ac:dyDescent="0.2">
      <c r="D139" s="121" t="s">
        <v>770</v>
      </c>
      <c r="E139" s="121" t="s">
        <v>813</v>
      </c>
      <c r="F139" s="121" t="s">
        <v>223</v>
      </c>
      <c r="G139" s="121">
        <v>1</v>
      </c>
      <c r="H139" s="121"/>
      <c r="I139" s="121" t="s">
        <v>725</v>
      </c>
      <c r="J139" s="121"/>
      <c r="K139" s="121">
        <v>46</v>
      </c>
      <c r="L139" s="121"/>
      <c r="M139" s="121"/>
      <c r="N139" s="121"/>
      <c r="O139" s="121" t="s">
        <v>174</v>
      </c>
      <c r="P139" s="121">
        <v>1</v>
      </c>
      <c r="Q139" s="121" t="s">
        <v>814</v>
      </c>
      <c r="R139" s="121">
        <v>0</v>
      </c>
      <c r="S139" s="121"/>
      <c r="T139" s="121"/>
      <c r="U139" s="121"/>
      <c r="V139" s="121"/>
      <c r="W139" s="121"/>
      <c r="X139" s="121"/>
      <c r="Y139" s="121"/>
      <c r="Z139" s="121"/>
      <c r="AA139" s="121"/>
      <c r="AB139" s="121"/>
      <c r="AC139" s="121"/>
      <c r="AD139" s="121"/>
      <c r="AE139" s="121"/>
      <c r="AF139" s="121"/>
      <c r="AG139" s="121"/>
      <c r="AH139" s="121"/>
      <c r="AK139" s="15"/>
      <c r="AL139" s="15"/>
      <c r="AM139" s="15"/>
    </row>
    <row r="140" spans="1:39" ht="20.100000000000001" customHeight="1" x14ac:dyDescent="0.2">
      <c r="D140" s="121" t="s">
        <v>815</v>
      </c>
      <c r="E140" s="121" t="s">
        <v>816</v>
      </c>
      <c r="F140" s="121" t="s">
        <v>223</v>
      </c>
      <c r="G140" s="121">
        <v>1</v>
      </c>
      <c r="H140" s="121"/>
      <c r="I140" s="121"/>
      <c r="J140" s="121"/>
      <c r="K140" s="121">
        <v>15.5</v>
      </c>
      <c r="L140" s="121"/>
      <c r="M140" s="121"/>
      <c r="N140" s="121"/>
      <c r="O140" s="121" t="s">
        <v>185</v>
      </c>
      <c r="P140" s="121">
        <v>1</v>
      </c>
      <c r="Q140" s="121"/>
      <c r="R140" s="121"/>
      <c r="S140" s="121"/>
      <c r="T140" s="121"/>
      <c r="U140" s="121"/>
      <c r="V140" s="121"/>
      <c r="W140" s="121"/>
      <c r="X140" s="121"/>
      <c r="Y140" s="121"/>
      <c r="Z140" s="121"/>
      <c r="AA140" s="121"/>
      <c r="AB140" s="121"/>
      <c r="AC140" s="121"/>
      <c r="AD140" s="121"/>
      <c r="AE140" s="121"/>
      <c r="AF140" s="121"/>
      <c r="AG140" s="121"/>
      <c r="AH140" s="121"/>
      <c r="AK140" s="15"/>
      <c r="AL140" s="15"/>
      <c r="AM140" s="15"/>
    </row>
    <row r="141" spans="1:39" ht="20.100000000000001" customHeight="1" x14ac:dyDescent="0.2">
      <c r="D141" s="121" t="s">
        <v>815</v>
      </c>
      <c r="E141" s="121" t="s">
        <v>817</v>
      </c>
      <c r="F141" s="121" t="s">
        <v>223</v>
      </c>
      <c r="G141" s="121">
        <v>1</v>
      </c>
      <c r="H141" s="121"/>
      <c r="I141" s="121"/>
      <c r="J141" s="121"/>
      <c r="K141" s="121">
        <v>15.4</v>
      </c>
      <c r="L141" s="121"/>
      <c r="M141" s="121"/>
      <c r="N141" s="121"/>
      <c r="O141" s="121" t="s">
        <v>185</v>
      </c>
      <c r="P141" s="121">
        <v>0.99354799999999999</v>
      </c>
      <c r="Q141" s="121" t="s">
        <v>762</v>
      </c>
      <c r="R141" s="121">
        <v>3.0000000000000001E-3</v>
      </c>
      <c r="S141" s="121"/>
      <c r="T141" s="121"/>
      <c r="U141" s="121"/>
      <c r="V141" s="121"/>
      <c r="W141" s="121"/>
      <c r="X141" s="121"/>
      <c r="Y141" s="121"/>
      <c r="Z141" s="121"/>
      <c r="AA141" s="121"/>
      <c r="AB141" s="121"/>
      <c r="AC141" s="121"/>
      <c r="AD141" s="121"/>
      <c r="AE141" s="121"/>
      <c r="AF141" s="121"/>
      <c r="AG141" s="121"/>
      <c r="AH141" s="121"/>
      <c r="AK141" s="15"/>
      <c r="AL141" s="15"/>
      <c r="AM141" s="15"/>
    </row>
    <row r="142" spans="1:39" ht="20.100000000000001" customHeight="1" x14ac:dyDescent="0.2">
      <c r="D142" s="121" t="s">
        <v>815</v>
      </c>
      <c r="E142" s="121" t="s">
        <v>818</v>
      </c>
      <c r="F142" s="121" t="s">
        <v>223</v>
      </c>
      <c r="G142" s="121">
        <v>1</v>
      </c>
      <c r="H142" s="121"/>
      <c r="I142" s="121"/>
      <c r="J142" s="121"/>
      <c r="K142" s="121">
        <v>12</v>
      </c>
      <c r="L142" s="121">
        <v>5</v>
      </c>
      <c r="M142" s="121">
        <v>15</v>
      </c>
      <c r="N142" s="121">
        <v>8</v>
      </c>
      <c r="O142" s="121" t="s">
        <v>707</v>
      </c>
      <c r="P142" s="121">
        <v>0.05</v>
      </c>
      <c r="Q142" s="121" t="s">
        <v>705</v>
      </c>
      <c r="R142" s="121">
        <v>7.0000000000000007E-2</v>
      </c>
      <c r="S142" s="121" t="s">
        <v>712</v>
      </c>
      <c r="T142" s="121">
        <v>0.05</v>
      </c>
      <c r="U142" s="121" t="s">
        <v>187</v>
      </c>
      <c r="V142" s="121">
        <v>0.15</v>
      </c>
      <c r="W142" s="121" t="s">
        <v>188</v>
      </c>
      <c r="X142" s="121">
        <v>0.08</v>
      </c>
      <c r="Y142" s="121" t="s">
        <v>757</v>
      </c>
      <c r="Z142" s="121">
        <v>1.6E-2</v>
      </c>
      <c r="AA142" s="121" t="s">
        <v>758</v>
      </c>
      <c r="AB142" s="121">
        <v>2.0000000000000001E-4</v>
      </c>
      <c r="AC142" s="121" t="s">
        <v>762</v>
      </c>
      <c r="AD142" s="121">
        <v>1.4999999999999999E-4</v>
      </c>
      <c r="AE142" s="121"/>
      <c r="AF142" s="121"/>
      <c r="AG142" s="121"/>
      <c r="AH142" s="121"/>
      <c r="AK142" s="15"/>
      <c r="AL142" s="15"/>
      <c r="AM142" s="15"/>
    </row>
    <row r="143" spans="1:39" ht="20.100000000000001" customHeight="1" x14ac:dyDescent="0.2">
      <c r="D143" s="121" t="s">
        <v>815</v>
      </c>
      <c r="E143" s="121" t="s">
        <v>819</v>
      </c>
      <c r="F143" s="121" t="s">
        <v>223</v>
      </c>
      <c r="G143" s="121">
        <v>1</v>
      </c>
      <c r="H143" s="121"/>
      <c r="I143" s="121"/>
      <c r="J143" s="121"/>
      <c r="K143" s="121">
        <v>9</v>
      </c>
      <c r="L143" s="121"/>
      <c r="M143" s="121">
        <v>30</v>
      </c>
      <c r="N143" s="121">
        <v>14</v>
      </c>
      <c r="O143" s="121" t="s">
        <v>187</v>
      </c>
      <c r="P143" s="121">
        <v>0.3</v>
      </c>
      <c r="Q143" s="121" t="s">
        <v>188</v>
      </c>
      <c r="R143" s="121">
        <v>0.14000000000000001</v>
      </c>
      <c r="S143" s="121" t="s">
        <v>707</v>
      </c>
      <c r="T143" s="121">
        <v>4.4999999999999998E-2</v>
      </c>
      <c r="U143" s="121" t="s">
        <v>705</v>
      </c>
      <c r="V143" s="121">
        <v>4.4999999999999998E-2</v>
      </c>
      <c r="W143" s="121"/>
      <c r="X143" s="121"/>
      <c r="Y143" s="121"/>
      <c r="Z143" s="121"/>
      <c r="AA143" s="121"/>
      <c r="AB143" s="121"/>
      <c r="AC143" s="121"/>
      <c r="AD143" s="121"/>
      <c r="AE143" s="121"/>
      <c r="AF143" s="121"/>
      <c r="AG143" s="121"/>
      <c r="AH143" s="121"/>
      <c r="AK143" s="15"/>
      <c r="AL143" s="15"/>
      <c r="AM143" s="15"/>
    </row>
    <row r="144" spans="1:39" ht="20.100000000000001" customHeight="1" x14ac:dyDescent="0.2">
      <c r="D144" s="121" t="s">
        <v>815</v>
      </c>
      <c r="E144" s="121" t="s">
        <v>820</v>
      </c>
      <c r="F144" s="121" t="s">
        <v>223</v>
      </c>
      <c r="G144" s="121">
        <v>1</v>
      </c>
      <c r="H144" s="121"/>
      <c r="I144" s="121"/>
      <c r="J144" s="121"/>
      <c r="K144" s="121">
        <v>13</v>
      </c>
      <c r="L144" s="121">
        <v>1.75</v>
      </c>
      <c r="M144" s="121">
        <v>21</v>
      </c>
      <c r="N144" s="121">
        <v>10.8</v>
      </c>
      <c r="O144" s="121" t="s">
        <v>187</v>
      </c>
      <c r="P144" s="121">
        <v>0.21</v>
      </c>
      <c r="Q144" s="121" t="s">
        <v>188</v>
      </c>
      <c r="R144" s="121">
        <v>0.108</v>
      </c>
      <c r="S144" s="121" t="s">
        <v>705</v>
      </c>
      <c r="T144" s="121">
        <v>7.6999999999999999E-2</v>
      </c>
      <c r="U144" s="121" t="s">
        <v>707</v>
      </c>
      <c r="V144" s="121">
        <v>5.2999999999999999E-2</v>
      </c>
      <c r="W144" s="121" t="s">
        <v>712</v>
      </c>
      <c r="X144" s="121">
        <v>1.7500000000000002E-2</v>
      </c>
      <c r="Y144" s="121" t="s">
        <v>757</v>
      </c>
      <c r="Z144" s="121">
        <v>4.0000000000000001E-3</v>
      </c>
      <c r="AA144" s="121" t="s">
        <v>758</v>
      </c>
      <c r="AB144" s="121">
        <v>8.0000000000000004E-4</v>
      </c>
      <c r="AC144" s="121" t="s">
        <v>762</v>
      </c>
      <c r="AD144" s="121">
        <v>8.0000000000000004E-4</v>
      </c>
      <c r="AE144" s="121"/>
      <c r="AF144" s="121"/>
      <c r="AG144" s="121"/>
      <c r="AH144" s="121"/>
      <c r="AK144" s="15"/>
      <c r="AL144" s="15"/>
      <c r="AM144" s="15"/>
    </row>
    <row r="145" spans="1:39" ht="20.100000000000001" customHeight="1" x14ac:dyDescent="0.2">
      <c r="D145" s="121" t="s">
        <v>815</v>
      </c>
      <c r="E145" s="121" t="s">
        <v>821</v>
      </c>
      <c r="F145" s="121" t="s">
        <v>223</v>
      </c>
      <c r="G145" s="121">
        <v>1</v>
      </c>
      <c r="H145" s="121"/>
      <c r="I145" s="121"/>
      <c r="J145" s="121"/>
      <c r="K145" s="121">
        <v>15</v>
      </c>
      <c r="L145" s="121">
        <v>6.5</v>
      </c>
      <c r="M145" s="121">
        <v>12.5</v>
      </c>
      <c r="N145" s="121">
        <v>7.2</v>
      </c>
      <c r="O145" s="121" t="s">
        <v>707</v>
      </c>
      <c r="P145" s="121">
        <v>9.5000000000000001E-2</v>
      </c>
      <c r="Q145" s="121" t="s">
        <v>187</v>
      </c>
      <c r="R145" s="121">
        <v>0.125</v>
      </c>
      <c r="S145" s="121" t="s">
        <v>188</v>
      </c>
      <c r="T145" s="121">
        <v>7.1999999999999995E-2</v>
      </c>
      <c r="U145" s="121" t="s">
        <v>712</v>
      </c>
      <c r="V145" s="121">
        <v>6.5000000000000002E-2</v>
      </c>
      <c r="W145" s="121" t="s">
        <v>705</v>
      </c>
      <c r="X145" s="121">
        <v>5.5E-2</v>
      </c>
      <c r="Y145" s="121" t="s">
        <v>757</v>
      </c>
      <c r="Z145" s="121">
        <v>6.6E-3</v>
      </c>
      <c r="AA145" s="121" t="s">
        <v>762</v>
      </c>
      <c r="AB145" s="121">
        <v>1E-3</v>
      </c>
      <c r="AC145" s="121" t="s">
        <v>758</v>
      </c>
      <c r="AD145" s="121">
        <v>5.9999999999999995E-4</v>
      </c>
      <c r="AE145" s="121"/>
      <c r="AF145" s="121"/>
      <c r="AG145" s="121"/>
      <c r="AH145" s="121"/>
      <c r="AK145" s="15"/>
      <c r="AL145" s="15"/>
      <c r="AM145" s="15"/>
    </row>
    <row r="146" spans="1:39" ht="20.100000000000001" customHeight="1" x14ac:dyDescent="0.2">
      <c r="D146" s="121" t="s">
        <v>815</v>
      </c>
      <c r="E146" s="121" t="s">
        <v>822</v>
      </c>
      <c r="F146" s="121" t="s">
        <v>223</v>
      </c>
      <c r="G146" s="121">
        <v>1</v>
      </c>
      <c r="H146" s="121"/>
      <c r="I146" s="121"/>
      <c r="J146" s="121"/>
      <c r="K146" s="121">
        <v>15.5</v>
      </c>
      <c r="L146" s="121"/>
      <c r="M146" s="121"/>
      <c r="N146" s="121"/>
      <c r="O146" s="121" t="s">
        <v>185</v>
      </c>
      <c r="P146" s="121">
        <v>1</v>
      </c>
      <c r="Q146" s="121" t="s">
        <v>762</v>
      </c>
      <c r="R146" s="121">
        <v>1E-3</v>
      </c>
      <c r="S146" s="121"/>
      <c r="T146" s="121"/>
      <c r="U146" s="121"/>
      <c r="V146" s="121"/>
      <c r="W146" s="121"/>
      <c r="X146" s="121"/>
      <c r="Y146" s="121"/>
      <c r="Z146" s="121"/>
      <c r="AA146" s="121"/>
      <c r="AB146" s="121"/>
      <c r="AC146" s="121"/>
      <c r="AD146" s="121"/>
      <c r="AE146" s="121"/>
      <c r="AF146" s="121"/>
      <c r="AG146" s="121"/>
      <c r="AH146" s="121"/>
      <c r="AK146" s="15"/>
      <c r="AL146" s="15"/>
      <c r="AM146" s="15"/>
    </row>
    <row r="147" spans="1:39" ht="20.100000000000001" customHeight="1" x14ac:dyDescent="0.2">
      <c r="D147" s="121" t="s">
        <v>815</v>
      </c>
      <c r="E147" s="121" t="s">
        <v>823</v>
      </c>
      <c r="F147" s="121" t="s">
        <v>223</v>
      </c>
      <c r="G147" s="121">
        <v>1</v>
      </c>
      <c r="H147" s="121"/>
      <c r="I147" s="121"/>
      <c r="J147" s="121"/>
      <c r="K147" s="121">
        <v>10</v>
      </c>
      <c r="L147" s="121">
        <v>21.9</v>
      </c>
      <c r="M147" s="121"/>
      <c r="N147" s="121"/>
      <c r="O147" s="121" t="s">
        <v>695</v>
      </c>
      <c r="P147" s="121">
        <v>1</v>
      </c>
      <c r="Q147" s="121"/>
      <c r="R147" s="121"/>
      <c r="S147" s="121"/>
      <c r="T147" s="121"/>
      <c r="U147" s="121"/>
      <c r="V147" s="121"/>
      <c r="W147" s="121"/>
      <c r="X147" s="121"/>
      <c r="Y147" s="121"/>
      <c r="Z147" s="121"/>
      <c r="AA147" s="121"/>
      <c r="AB147" s="121"/>
      <c r="AC147" s="121"/>
      <c r="AD147" s="121"/>
      <c r="AE147" s="121"/>
      <c r="AF147" s="121"/>
      <c r="AG147" s="121"/>
      <c r="AH147" s="121"/>
      <c r="AK147" s="15"/>
      <c r="AL147" s="15"/>
      <c r="AM147" s="15"/>
    </row>
    <row r="148" spans="1:39" ht="20.100000000000001" customHeight="1" x14ac:dyDescent="0.2">
      <c r="D148" s="121" t="s">
        <v>815</v>
      </c>
      <c r="E148" s="121" t="s">
        <v>824</v>
      </c>
      <c r="F148" s="121" t="s">
        <v>223</v>
      </c>
      <c r="G148" s="121">
        <v>1</v>
      </c>
      <c r="H148" s="121"/>
      <c r="I148" s="121"/>
      <c r="J148" s="121"/>
      <c r="K148" s="121">
        <v>12</v>
      </c>
      <c r="L148" s="121">
        <v>5.2</v>
      </c>
      <c r="M148" s="121">
        <v>29.9</v>
      </c>
      <c r="N148" s="121">
        <v>1</v>
      </c>
      <c r="O148" s="121" t="s">
        <v>187</v>
      </c>
      <c r="P148" s="121">
        <v>0.29899999999999999</v>
      </c>
      <c r="Q148" s="121" t="s">
        <v>707</v>
      </c>
      <c r="R148" s="121">
        <v>0.10100000000000001</v>
      </c>
      <c r="S148" s="121" t="s">
        <v>712</v>
      </c>
      <c r="T148" s="121">
        <v>5.1999999999999998E-2</v>
      </c>
      <c r="U148" s="121" t="s">
        <v>705</v>
      </c>
      <c r="V148" s="121">
        <v>1.9E-2</v>
      </c>
      <c r="W148" s="121" t="s">
        <v>188</v>
      </c>
      <c r="X148" s="121">
        <v>0.01</v>
      </c>
      <c r="Y148" s="121" t="s">
        <v>757</v>
      </c>
      <c r="Z148" s="121">
        <v>6.0000000000000001E-3</v>
      </c>
      <c r="AA148" s="121" t="s">
        <v>760</v>
      </c>
      <c r="AB148" s="121">
        <v>6.9999999999999999E-4</v>
      </c>
      <c r="AC148" s="121" t="s">
        <v>759</v>
      </c>
      <c r="AD148" s="121">
        <v>4.0000000000000002E-4</v>
      </c>
      <c r="AE148" s="121" t="s">
        <v>758</v>
      </c>
      <c r="AF148" s="121">
        <v>2.5000000000000001E-4</v>
      </c>
      <c r="AG148" s="121" t="s">
        <v>762</v>
      </c>
      <c r="AH148" s="121">
        <v>2.5000000000000001E-4</v>
      </c>
      <c r="AK148" s="15"/>
      <c r="AL148" s="15"/>
      <c r="AM148" s="15"/>
    </row>
    <row r="149" spans="1:39" ht="20.100000000000001" customHeight="1" x14ac:dyDescent="0.2">
      <c r="D149" s="121" t="s">
        <v>815</v>
      </c>
      <c r="E149" s="121" t="s">
        <v>825</v>
      </c>
      <c r="F149" s="121" t="s">
        <v>223</v>
      </c>
      <c r="G149" s="121">
        <v>1</v>
      </c>
      <c r="H149" s="121"/>
      <c r="I149" s="121"/>
      <c r="J149" s="121"/>
      <c r="K149" s="121">
        <v>18</v>
      </c>
      <c r="L149" s="121">
        <v>7.9</v>
      </c>
      <c r="M149" s="121">
        <v>14.9</v>
      </c>
      <c r="N149" s="121">
        <v>2</v>
      </c>
      <c r="O149" s="121" t="s">
        <v>187</v>
      </c>
      <c r="P149" s="121">
        <v>0.14899999999999999</v>
      </c>
      <c r="Q149" s="121" t="s">
        <v>174</v>
      </c>
      <c r="R149" s="121">
        <v>0.21304300000000001</v>
      </c>
      <c r="S149" s="121" t="s">
        <v>712</v>
      </c>
      <c r="T149" s="121">
        <v>7.9000000000000001E-2</v>
      </c>
      <c r="U149" s="121" t="s">
        <v>707</v>
      </c>
      <c r="V149" s="121">
        <v>4.9000000000000002E-2</v>
      </c>
      <c r="W149" s="121" t="s">
        <v>705</v>
      </c>
      <c r="X149" s="121">
        <v>3.3000000000000002E-2</v>
      </c>
      <c r="Y149" s="121" t="s">
        <v>188</v>
      </c>
      <c r="Z149" s="121">
        <v>0.02</v>
      </c>
      <c r="AA149" s="121" t="s">
        <v>757</v>
      </c>
      <c r="AB149" s="121">
        <v>1.7999999999999999E-2</v>
      </c>
      <c r="AC149" s="121" t="s">
        <v>760</v>
      </c>
      <c r="AD149" s="121">
        <v>6.9999999999999999E-4</v>
      </c>
      <c r="AE149" s="121" t="s">
        <v>759</v>
      </c>
      <c r="AF149" s="121">
        <v>4.0000000000000002E-4</v>
      </c>
      <c r="AG149" s="121" t="s">
        <v>758</v>
      </c>
      <c r="AH149" s="121">
        <v>2.5000000000000001E-4</v>
      </c>
      <c r="AK149" s="15"/>
      <c r="AL149" s="15"/>
      <c r="AM149" s="15"/>
    </row>
    <row r="150" spans="1:39" ht="20.100000000000001" customHeight="1" x14ac:dyDescent="0.2">
      <c r="D150" s="121" t="s">
        <v>815</v>
      </c>
      <c r="E150" s="121" t="s">
        <v>826</v>
      </c>
      <c r="F150" s="121" t="s">
        <v>223</v>
      </c>
      <c r="G150" s="121">
        <v>1</v>
      </c>
      <c r="H150" s="121"/>
      <c r="I150" s="121"/>
      <c r="J150" s="121"/>
      <c r="K150" s="121">
        <v>21</v>
      </c>
      <c r="L150" s="121">
        <v>7.4</v>
      </c>
      <c r="M150" s="121">
        <v>2.5</v>
      </c>
      <c r="N150" s="121">
        <v>4</v>
      </c>
      <c r="O150" s="121" t="s">
        <v>707</v>
      </c>
      <c r="P150" s="121">
        <v>0.105</v>
      </c>
      <c r="Q150" s="121" t="s">
        <v>705</v>
      </c>
      <c r="R150" s="121">
        <v>0.105</v>
      </c>
      <c r="S150" s="121" t="s">
        <v>712</v>
      </c>
      <c r="T150" s="121">
        <v>7.3999999999999996E-2</v>
      </c>
      <c r="U150" s="121" t="s">
        <v>188</v>
      </c>
      <c r="V150" s="121">
        <v>0.04</v>
      </c>
      <c r="W150" s="121" t="s">
        <v>187</v>
      </c>
      <c r="X150" s="121">
        <v>2.5000000000000001E-2</v>
      </c>
      <c r="Y150" s="121" t="s">
        <v>757</v>
      </c>
      <c r="Z150" s="121">
        <v>4.0000000000000001E-3</v>
      </c>
      <c r="AA150" s="121" t="s">
        <v>758</v>
      </c>
      <c r="AB150" s="121">
        <v>1.5E-3</v>
      </c>
      <c r="AC150" s="121"/>
      <c r="AD150" s="121"/>
      <c r="AE150" s="121"/>
      <c r="AF150" s="121"/>
      <c r="AG150" s="121"/>
      <c r="AH150" s="121"/>
      <c r="AK150" s="15"/>
      <c r="AL150" s="15"/>
      <c r="AM150" s="15"/>
    </row>
    <row r="151" spans="1:39" ht="20.100000000000001" customHeight="1" x14ac:dyDescent="0.2">
      <c r="D151" s="121" t="s">
        <v>815</v>
      </c>
      <c r="E151" s="121" t="s">
        <v>827</v>
      </c>
      <c r="F151" s="121" t="s">
        <v>223</v>
      </c>
      <c r="G151" s="121">
        <v>1</v>
      </c>
      <c r="H151" s="121"/>
      <c r="I151" s="121"/>
      <c r="J151" s="121"/>
      <c r="K151" s="121">
        <v>7.5</v>
      </c>
      <c r="L151" s="121"/>
      <c r="M151" s="121">
        <v>29.9</v>
      </c>
      <c r="N151" s="121">
        <v>4</v>
      </c>
      <c r="O151" s="121" t="s">
        <v>187</v>
      </c>
      <c r="P151" s="121">
        <v>0.29899999999999999</v>
      </c>
      <c r="Q151" s="121" t="s">
        <v>707</v>
      </c>
      <c r="R151" s="121">
        <v>5.1999999999999998E-2</v>
      </c>
      <c r="S151" s="121" t="s">
        <v>188</v>
      </c>
      <c r="T151" s="121">
        <v>0.04</v>
      </c>
      <c r="U151" s="121" t="s">
        <v>757</v>
      </c>
      <c r="V151" s="121">
        <v>2.7E-2</v>
      </c>
      <c r="W151" s="121" t="s">
        <v>705</v>
      </c>
      <c r="X151" s="121">
        <v>2.3E-2</v>
      </c>
      <c r="Y151" s="121"/>
      <c r="Z151" s="121"/>
      <c r="AA151" s="121"/>
      <c r="AB151" s="121"/>
      <c r="AC151" s="121"/>
      <c r="AD151" s="121"/>
      <c r="AE151" s="121"/>
      <c r="AF151" s="121"/>
      <c r="AG151" s="121"/>
      <c r="AH151" s="121"/>
      <c r="AK151" s="15"/>
      <c r="AL151" s="15"/>
      <c r="AM151" s="15"/>
    </row>
    <row r="152" spans="1:39" ht="20.100000000000001" customHeight="1" x14ac:dyDescent="0.2">
      <c r="D152" s="121" t="s">
        <v>745</v>
      </c>
      <c r="E152" s="121" t="s">
        <v>828</v>
      </c>
      <c r="F152" s="121" t="s">
        <v>223</v>
      </c>
      <c r="G152" s="121">
        <v>1</v>
      </c>
      <c r="H152" s="121"/>
      <c r="I152" s="121"/>
      <c r="J152" s="121"/>
      <c r="K152" s="121">
        <v>10</v>
      </c>
      <c r="L152" s="121">
        <v>21.9</v>
      </c>
      <c r="M152" s="121"/>
      <c r="N152" s="121"/>
      <c r="O152" s="121" t="s">
        <v>695</v>
      </c>
      <c r="P152" s="121">
        <v>1</v>
      </c>
      <c r="Q152" s="121"/>
      <c r="R152" s="121"/>
      <c r="S152" s="121"/>
      <c r="T152" s="121"/>
      <c r="U152" s="121"/>
      <c r="V152" s="121"/>
      <c r="W152" s="121"/>
      <c r="X152" s="121"/>
      <c r="Y152" s="121"/>
      <c r="Z152" s="121"/>
      <c r="AA152" s="121"/>
      <c r="AB152" s="121"/>
      <c r="AC152" s="121"/>
      <c r="AD152" s="121"/>
      <c r="AE152" s="121"/>
      <c r="AF152" s="121"/>
      <c r="AG152" s="121"/>
      <c r="AH152" s="121"/>
      <c r="AK152" s="15"/>
      <c r="AL152" s="15"/>
      <c r="AM152" s="15"/>
    </row>
    <row r="153" spans="1:39" ht="20.100000000000001" customHeight="1" x14ac:dyDescent="0.2">
      <c r="D153" s="121" t="s">
        <v>745</v>
      </c>
      <c r="E153" s="121" t="s">
        <v>829</v>
      </c>
      <c r="F153" s="121" t="s">
        <v>223</v>
      </c>
      <c r="G153" s="121">
        <v>1</v>
      </c>
      <c r="H153" s="121"/>
      <c r="I153" s="121"/>
      <c r="J153" s="121"/>
      <c r="K153" s="121">
        <v>21</v>
      </c>
      <c r="L153" s="121"/>
      <c r="M153" s="121"/>
      <c r="N153" s="121">
        <v>24</v>
      </c>
      <c r="O153" s="121" t="s">
        <v>700</v>
      </c>
      <c r="P153" s="121">
        <v>1</v>
      </c>
      <c r="Q153" s="121"/>
      <c r="R153" s="121"/>
      <c r="S153" s="121"/>
      <c r="T153" s="121"/>
      <c r="U153" s="121"/>
      <c r="V153" s="121"/>
      <c r="W153" s="121"/>
      <c r="X153" s="121"/>
      <c r="Y153" s="121"/>
      <c r="Z153" s="121"/>
      <c r="AA153" s="121"/>
      <c r="AB153" s="121"/>
      <c r="AC153" s="121"/>
      <c r="AD153" s="121"/>
      <c r="AE153" s="121"/>
      <c r="AF153" s="121"/>
      <c r="AG153" s="121"/>
      <c r="AH153" s="121"/>
      <c r="AK153" s="15"/>
      <c r="AL153" s="15"/>
      <c r="AM153" s="15"/>
    </row>
    <row r="154" spans="1:39" ht="20.100000000000001" customHeight="1" x14ac:dyDescent="0.2">
      <c r="D154" s="121" t="s">
        <v>745</v>
      </c>
      <c r="E154" s="121" t="s">
        <v>830</v>
      </c>
      <c r="F154" s="121" t="s">
        <v>223</v>
      </c>
      <c r="G154" s="121">
        <v>1</v>
      </c>
      <c r="H154" s="121"/>
      <c r="I154" s="121"/>
      <c r="J154" s="121"/>
      <c r="K154" s="121">
        <v>12</v>
      </c>
      <c r="L154" s="121">
        <v>5</v>
      </c>
      <c r="M154" s="121">
        <v>14</v>
      </c>
      <c r="N154" s="121">
        <v>9.6999999999999993</v>
      </c>
      <c r="O154" s="121" t="s">
        <v>187</v>
      </c>
      <c r="P154" s="121">
        <v>0.14000000000000001</v>
      </c>
      <c r="Q154" s="121" t="s">
        <v>188</v>
      </c>
      <c r="R154" s="121">
        <v>9.7000000000000003E-2</v>
      </c>
      <c r="S154" s="121" t="s">
        <v>707</v>
      </c>
      <c r="T154" s="121">
        <v>0.06</v>
      </c>
      <c r="U154" s="121" t="s">
        <v>705</v>
      </c>
      <c r="V154" s="121">
        <v>0.06</v>
      </c>
      <c r="W154" s="121" t="s">
        <v>712</v>
      </c>
      <c r="X154" s="121">
        <v>0.05</v>
      </c>
      <c r="Y154" s="121" t="s">
        <v>750</v>
      </c>
      <c r="Z154" s="121">
        <v>3.1E-2</v>
      </c>
      <c r="AA154" s="121" t="s">
        <v>757</v>
      </c>
      <c r="AB154" s="121">
        <v>1.2E-2</v>
      </c>
      <c r="AC154" s="121" t="s">
        <v>758</v>
      </c>
      <c r="AD154" s="121">
        <v>1E-3</v>
      </c>
      <c r="AE154" s="121" t="s">
        <v>762</v>
      </c>
      <c r="AF154" s="121">
        <v>2.0000000000000001E-4</v>
      </c>
      <c r="AG154" s="121"/>
      <c r="AH154" s="121"/>
      <c r="AK154" s="15"/>
    </row>
    <row r="155" spans="1:39" ht="20.100000000000001" customHeight="1" x14ac:dyDescent="0.2">
      <c r="D155" s="121" t="s">
        <v>745</v>
      </c>
      <c r="E155" s="121" t="s">
        <v>831</v>
      </c>
      <c r="F155" s="121" t="s">
        <v>223</v>
      </c>
      <c r="G155" s="121">
        <v>1</v>
      </c>
      <c r="H155" s="121"/>
      <c r="I155" s="121"/>
      <c r="J155" s="121"/>
      <c r="K155" s="121">
        <v>10</v>
      </c>
      <c r="L155" s="121">
        <v>11</v>
      </c>
      <c r="M155" s="121">
        <v>10</v>
      </c>
      <c r="N155" s="121">
        <v>6</v>
      </c>
      <c r="O155" s="121" t="s">
        <v>712</v>
      </c>
      <c r="P155" s="121">
        <v>0.11</v>
      </c>
      <c r="Q155" s="121" t="s">
        <v>187</v>
      </c>
      <c r="R155" s="121">
        <v>0.1</v>
      </c>
      <c r="S155" s="121" t="s">
        <v>188</v>
      </c>
      <c r="T155" s="121">
        <v>0.06</v>
      </c>
      <c r="U155" s="121" t="s">
        <v>707</v>
      </c>
      <c r="V155" s="121">
        <v>0.05</v>
      </c>
      <c r="W155" s="121" t="s">
        <v>705</v>
      </c>
      <c r="X155" s="121">
        <v>0.05</v>
      </c>
      <c r="Y155" s="121" t="s">
        <v>750</v>
      </c>
      <c r="Z155" s="121">
        <v>4.2999999999999997E-2</v>
      </c>
      <c r="AA155" s="121" t="s">
        <v>757</v>
      </c>
      <c r="AB155" s="121">
        <v>1.2E-2</v>
      </c>
      <c r="AC155" s="121" t="s">
        <v>758</v>
      </c>
      <c r="AD155" s="121">
        <v>3.5999999999999999E-3</v>
      </c>
      <c r="AE155" s="121" t="s">
        <v>762</v>
      </c>
      <c r="AF155" s="121">
        <v>1E-3</v>
      </c>
      <c r="AG155" s="121"/>
      <c r="AH155" s="121"/>
      <c r="AK155" s="15"/>
    </row>
    <row r="156" spans="1:39" ht="20.100000000000001" customHeight="1" x14ac:dyDescent="0.2">
      <c r="D156" s="121" t="s">
        <v>745</v>
      </c>
      <c r="E156" s="121" t="s">
        <v>832</v>
      </c>
      <c r="F156" s="121" t="s">
        <v>223</v>
      </c>
      <c r="G156" s="121">
        <v>1</v>
      </c>
      <c r="H156" s="121"/>
      <c r="I156" s="121"/>
      <c r="J156" s="121"/>
      <c r="K156" s="121">
        <v>11</v>
      </c>
      <c r="L156" s="121">
        <v>2.6</v>
      </c>
      <c r="M156" s="121">
        <v>20.8</v>
      </c>
      <c r="N156" s="121">
        <v>4</v>
      </c>
      <c r="O156" s="121" t="s">
        <v>707</v>
      </c>
      <c r="P156" s="121">
        <v>5.5E-2</v>
      </c>
      <c r="Q156" s="121" t="s">
        <v>705</v>
      </c>
      <c r="R156" s="121">
        <v>5.5E-2</v>
      </c>
      <c r="S156" s="121" t="s">
        <v>712</v>
      </c>
      <c r="T156" s="121">
        <v>2.5999999999999999E-2</v>
      </c>
      <c r="U156" s="121" t="s">
        <v>187</v>
      </c>
      <c r="V156" s="121">
        <v>0.20799999999999999</v>
      </c>
      <c r="W156" s="121" t="s">
        <v>188</v>
      </c>
      <c r="X156" s="121">
        <v>0.04</v>
      </c>
      <c r="Y156" s="121" t="s">
        <v>757</v>
      </c>
      <c r="Z156" s="121">
        <v>2.4E-2</v>
      </c>
      <c r="AA156" s="121"/>
      <c r="AB156" s="121"/>
      <c r="AC156" s="121"/>
      <c r="AD156" s="121"/>
      <c r="AE156" s="121"/>
      <c r="AF156" s="121"/>
      <c r="AG156" s="121"/>
      <c r="AH156" s="121"/>
      <c r="AK156" s="15"/>
    </row>
    <row r="157" spans="1:39" ht="20.100000000000001" customHeight="1" x14ac:dyDescent="0.2">
      <c r="D157" s="121" t="s">
        <v>745</v>
      </c>
      <c r="E157" s="121" t="s">
        <v>833</v>
      </c>
      <c r="F157" s="121" t="s">
        <v>223</v>
      </c>
      <c r="G157" s="121">
        <v>1</v>
      </c>
      <c r="H157" s="121"/>
      <c r="I157" s="121"/>
      <c r="J157" s="121"/>
      <c r="K157" s="121">
        <v>12</v>
      </c>
      <c r="L157" s="121">
        <v>5.2</v>
      </c>
      <c r="M157" s="121">
        <v>14.1</v>
      </c>
      <c r="N157" s="121">
        <v>9.6</v>
      </c>
      <c r="O157" s="121" t="s">
        <v>187</v>
      </c>
      <c r="P157" s="121">
        <v>0.14099999999999999</v>
      </c>
      <c r="Q157" s="121" t="s">
        <v>188</v>
      </c>
      <c r="R157" s="121">
        <v>9.6000000000000002E-2</v>
      </c>
      <c r="S157" s="121" t="s">
        <v>707</v>
      </c>
      <c r="T157" s="121">
        <v>0.06</v>
      </c>
      <c r="U157" s="121" t="s">
        <v>705</v>
      </c>
      <c r="V157" s="121">
        <v>0.06</v>
      </c>
      <c r="W157" s="121" t="s">
        <v>712</v>
      </c>
      <c r="X157" s="121">
        <v>5.1999999999999998E-2</v>
      </c>
      <c r="Y157" s="121" t="s">
        <v>757</v>
      </c>
      <c r="Z157" s="121">
        <v>1.2E-2</v>
      </c>
      <c r="AA157" s="121" t="s">
        <v>758</v>
      </c>
      <c r="AB157" s="121">
        <v>8.0000000000000004E-4</v>
      </c>
      <c r="AC157" s="121" t="s">
        <v>760</v>
      </c>
      <c r="AD157" s="121">
        <v>6.9999999999999999E-4</v>
      </c>
      <c r="AE157" s="121" t="s">
        <v>759</v>
      </c>
      <c r="AF157" s="121">
        <v>5.9999999999999995E-4</v>
      </c>
      <c r="AG157" s="121" t="s">
        <v>762</v>
      </c>
      <c r="AH157" s="121">
        <v>2.0000000000000001E-4</v>
      </c>
      <c r="AK157" s="15"/>
    </row>
    <row r="158" spans="1:39" ht="20.100000000000001" customHeight="1" x14ac:dyDescent="0.2">
      <c r="D158" s="121" t="s">
        <v>745</v>
      </c>
      <c r="E158" s="121" t="s">
        <v>834</v>
      </c>
      <c r="F158" s="121" t="s">
        <v>223</v>
      </c>
      <c r="G158" s="121">
        <v>1</v>
      </c>
      <c r="H158" s="121"/>
      <c r="I158" s="121"/>
      <c r="J158" s="121"/>
      <c r="K158" s="121">
        <v>25</v>
      </c>
      <c r="L158" s="121"/>
      <c r="M158" s="121"/>
      <c r="N158" s="121">
        <v>12.8</v>
      </c>
      <c r="O158" s="121" t="s">
        <v>700</v>
      </c>
      <c r="P158" s="121">
        <v>0.53333299999999995</v>
      </c>
      <c r="Q158" s="121" t="s">
        <v>702</v>
      </c>
      <c r="R158" s="121">
        <v>0.40949600000000003</v>
      </c>
      <c r="S158" s="121" t="s">
        <v>758</v>
      </c>
      <c r="T158" s="121">
        <v>1E-3</v>
      </c>
      <c r="U158" s="121" t="s">
        <v>759</v>
      </c>
      <c r="V158" s="121">
        <v>1E-3</v>
      </c>
      <c r="W158" s="121" t="s">
        <v>762</v>
      </c>
      <c r="X158" s="121">
        <v>1E-4</v>
      </c>
      <c r="Y158" s="121" t="s">
        <v>805</v>
      </c>
      <c r="Z158" s="208">
        <v>1.0000000000000001E-5</v>
      </c>
      <c r="AA158" s="121"/>
      <c r="AB158" s="121"/>
      <c r="AC158" s="121"/>
      <c r="AD158" s="121"/>
      <c r="AE158" s="121"/>
      <c r="AF158" s="121"/>
      <c r="AG158" s="121"/>
      <c r="AH158" s="121"/>
      <c r="AK158" s="15"/>
    </row>
    <row r="159" spans="1:39" ht="20.100000000000001" customHeight="1" x14ac:dyDescent="0.2">
      <c r="D159" s="121" t="s">
        <v>835</v>
      </c>
      <c r="E159" s="121" t="s">
        <v>836</v>
      </c>
      <c r="F159" s="121" t="s">
        <v>223</v>
      </c>
      <c r="G159" s="121">
        <v>1</v>
      </c>
      <c r="H159" s="121"/>
      <c r="I159" s="121"/>
      <c r="J159" s="121"/>
      <c r="K159" s="121"/>
      <c r="L159" s="121">
        <v>8.8000000000000007</v>
      </c>
      <c r="M159" s="121"/>
      <c r="N159" s="121">
        <v>11</v>
      </c>
      <c r="O159" s="121" t="s">
        <v>720</v>
      </c>
      <c r="P159" s="121">
        <v>1</v>
      </c>
      <c r="Q159" s="121"/>
      <c r="R159" s="121"/>
      <c r="S159" s="121"/>
      <c r="T159" s="121"/>
      <c r="U159" s="121"/>
      <c r="V159" s="121"/>
      <c r="W159" s="121"/>
      <c r="X159" s="121"/>
      <c r="Y159" s="121"/>
      <c r="Z159" s="121"/>
      <c r="AA159" s="121"/>
      <c r="AB159" s="121"/>
      <c r="AC159" s="121"/>
      <c r="AD159" s="121"/>
      <c r="AE159" s="121"/>
      <c r="AF159" s="121"/>
      <c r="AG159" s="121"/>
      <c r="AH159" s="121"/>
      <c r="AK159" s="15"/>
    </row>
    <row r="160" spans="1:39" ht="20.100000000000001" customHeight="1" x14ac:dyDescent="0.2">
      <c r="A160" s="167" t="str">
        <f>HYPERLINK("#A1", "▲ Back to top")</f>
        <v>▲ Back to top</v>
      </c>
      <c r="D160" s="121" t="s">
        <v>774</v>
      </c>
      <c r="E160" s="121" t="s">
        <v>837</v>
      </c>
      <c r="F160" s="121" t="s">
        <v>223</v>
      </c>
      <c r="G160" s="121">
        <v>1</v>
      </c>
      <c r="H160" s="121"/>
      <c r="I160" s="121"/>
      <c r="J160" s="121"/>
      <c r="K160" s="121">
        <v>10</v>
      </c>
      <c r="L160" s="121">
        <v>21.9</v>
      </c>
      <c r="M160" s="121">
        <v>0</v>
      </c>
      <c r="N160" s="121">
        <v>2</v>
      </c>
      <c r="O160" s="121" t="s">
        <v>695</v>
      </c>
      <c r="P160" s="121">
        <v>1</v>
      </c>
      <c r="Q160" s="121" t="s">
        <v>758</v>
      </c>
      <c r="R160" s="121">
        <v>0.01</v>
      </c>
      <c r="S160" s="121"/>
      <c r="T160" s="121"/>
      <c r="U160" s="121"/>
      <c r="V160" s="121"/>
      <c r="W160" s="121"/>
      <c r="X160" s="121"/>
      <c r="Y160" s="121"/>
      <c r="Z160" s="121"/>
      <c r="AA160" s="121"/>
      <c r="AB160" s="121"/>
      <c r="AC160" s="121"/>
      <c r="AD160" s="121"/>
      <c r="AE160" s="121"/>
      <c r="AF160" s="121"/>
      <c r="AG160" s="121"/>
      <c r="AH160" s="121"/>
      <c r="AK160" s="15"/>
    </row>
    <row r="161" spans="4:37" ht="20.100000000000001" customHeight="1" x14ac:dyDescent="0.2">
      <c r="D161" s="121" t="s">
        <v>838</v>
      </c>
      <c r="E161" s="121" t="s">
        <v>839</v>
      </c>
      <c r="F161" s="121" t="s">
        <v>223</v>
      </c>
      <c r="G161" s="121">
        <v>1</v>
      </c>
      <c r="H161" s="121"/>
      <c r="I161" s="121"/>
      <c r="J161" s="121"/>
      <c r="K161" s="121">
        <v>21</v>
      </c>
      <c r="L161" s="121">
        <v>0.86</v>
      </c>
      <c r="M161" s="121">
        <v>5.8</v>
      </c>
      <c r="N161" s="121">
        <v>4.2</v>
      </c>
      <c r="O161" s="121" t="s">
        <v>710</v>
      </c>
      <c r="P161" s="121">
        <v>0.21</v>
      </c>
      <c r="Q161" s="121" t="s">
        <v>187</v>
      </c>
      <c r="R161" s="121">
        <v>5.8000000000000003E-2</v>
      </c>
      <c r="S161" s="121" t="s">
        <v>188</v>
      </c>
      <c r="T161" s="121">
        <v>4.2000000000000003E-2</v>
      </c>
      <c r="U161" s="121" t="s">
        <v>712</v>
      </c>
      <c r="V161" s="121">
        <v>8.6E-3</v>
      </c>
      <c r="W161" s="121"/>
      <c r="X161" s="121"/>
      <c r="Y161" s="121"/>
      <c r="Z161" s="121"/>
      <c r="AA161" s="121"/>
      <c r="AB161" s="121"/>
      <c r="AC161" s="121"/>
      <c r="AD161" s="121"/>
      <c r="AE161" s="121"/>
      <c r="AF161" s="121"/>
      <c r="AG161" s="121"/>
      <c r="AH161" s="121"/>
      <c r="AK161" s="15"/>
    </row>
    <row r="162" spans="4:37" ht="20.100000000000001" customHeight="1" x14ac:dyDescent="0.2">
      <c r="D162" s="121" t="s">
        <v>776</v>
      </c>
      <c r="E162" s="121" t="s">
        <v>840</v>
      </c>
      <c r="F162" s="121" t="s">
        <v>223</v>
      </c>
      <c r="G162" s="121">
        <v>1</v>
      </c>
      <c r="H162" s="121"/>
      <c r="I162" s="121"/>
      <c r="J162" s="121"/>
      <c r="K162" s="121"/>
      <c r="L162" s="121">
        <v>8.8000000000000007</v>
      </c>
      <c r="M162" s="121"/>
      <c r="N162" s="121">
        <v>11</v>
      </c>
      <c r="O162" s="121" t="s">
        <v>720</v>
      </c>
      <c r="P162" s="121">
        <v>1</v>
      </c>
      <c r="Q162" s="121"/>
      <c r="R162" s="121"/>
      <c r="S162" s="121"/>
      <c r="T162" s="121"/>
      <c r="U162" s="121"/>
      <c r="V162" s="121"/>
      <c r="W162" s="121"/>
      <c r="X162" s="121"/>
      <c r="Y162" s="121"/>
      <c r="Z162" s="121"/>
      <c r="AA162" s="121"/>
      <c r="AB162" s="121"/>
      <c r="AC162" s="121"/>
      <c r="AD162" s="121"/>
      <c r="AE162" s="121"/>
      <c r="AF162" s="121"/>
      <c r="AG162" s="121"/>
      <c r="AH162" s="121"/>
      <c r="AK162" s="15"/>
    </row>
    <row r="163" spans="4:37" ht="20.100000000000001" customHeight="1" x14ac:dyDescent="0.2">
      <c r="D163" s="121" t="s">
        <v>841</v>
      </c>
      <c r="E163" s="121" t="s">
        <v>842</v>
      </c>
      <c r="F163" s="121" t="s">
        <v>223</v>
      </c>
      <c r="G163" s="121">
        <v>1</v>
      </c>
      <c r="H163" s="121"/>
      <c r="I163" s="121"/>
      <c r="J163" s="121"/>
      <c r="K163" s="121">
        <v>82.35</v>
      </c>
      <c r="L163" s="121"/>
      <c r="M163" s="121"/>
      <c r="N163" s="121"/>
      <c r="O163" s="121" t="s">
        <v>191</v>
      </c>
      <c r="P163" s="121">
        <v>1</v>
      </c>
      <c r="Q163" s="121"/>
      <c r="R163" s="121"/>
      <c r="S163" s="121"/>
      <c r="T163" s="121"/>
      <c r="U163" s="121"/>
      <c r="V163" s="121"/>
      <c r="W163" s="121"/>
      <c r="X163" s="121"/>
      <c r="Y163" s="121"/>
      <c r="Z163" s="121"/>
      <c r="AA163" s="121"/>
      <c r="AB163" s="121"/>
      <c r="AC163" s="121"/>
      <c r="AD163" s="121"/>
      <c r="AE163" s="121"/>
      <c r="AF163" s="121"/>
      <c r="AG163" s="121"/>
      <c r="AH163" s="121"/>
      <c r="AK163" s="15"/>
    </row>
    <row r="164" spans="4:37" ht="20.100000000000001" customHeight="1" x14ac:dyDescent="0.2">
      <c r="D164" s="121" t="s">
        <v>776</v>
      </c>
      <c r="E164" s="121" t="s">
        <v>843</v>
      </c>
      <c r="F164" s="121" t="s">
        <v>223</v>
      </c>
      <c r="G164" s="121">
        <v>1</v>
      </c>
      <c r="H164" s="121" t="s">
        <v>795</v>
      </c>
      <c r="I164" s="121"/>
      <c r="J164" s="121"/>
      <c r="K164" s="121">
        <v>46</v>
      </c>
      <c r="L164" s="121"/>
      <c r="M164" s="121"/>
      <c r="N164" s="121"/>
      <c r="O164" s="121" t="s">
        <v>174</v>
      </c>
      <c r="P164" s="121">
        <v>1</v>
      </c>
      <c r="Q164" s="121"/>
      <c r="R164" s="121"/>
      <c r="S164" s="121"/>
      <c r="T164" s="121"/>
      <c r="U164" s="121"/>
      <c r="V164" s="121"/>
      <c r="W164" s="121"/>
      <c r="X164" s="121"/>
      <c r="Y164" s="121"/>
      <c r="Z164" s="121"/>
      <c r="AA164" s="121"/>
      <c r="AB164" s="121"/>
      <c r="AC164" s="121"/>
      <c r="AD164" s="121"/>
      <c r="AE164" s="121"/>
      <c r="AF164" s="121"/>
      <c r="AG164" s="121"/>
      <c r="AH164" s="121"/>
      <c r="AK164" s="15"/>
    </row>
    <row r="165" spans="4:37" ht="20.100000000000001" customHeight="1" x14ac:dyDescent="0.2">
      <c r="D165" s="121" t="s">
        <v>844</v>
      </c>
      <c r="E165" s="121" t="s">
        <v>845</v>
      </c>
      <c r="F165" s="121" t="s">
        <v>223</v>
      </c>
      <c r="G165" s="121">
        <v>1</v>
      </c>
      <c r="H165" s="121" t="s">
        <v>795</v>
      </c>
      <c r="I165" s="121"/>
      <c r="J165" s="121"/>
      <c r="K165" s="121">
        <v>45.54</v>
      </c>
      <c r="L165" s="121"/>
      <c r="M165" s="121"/>
      <c r="N165" s="121"/>
      <c r="O165" s="121" t="s">
        <v>174</v>
      </c>
      <c r="P165" s="121">
        <v>0.99</v>
      </c>
      <c r="Q165" s="121" t="s">
        <v>846</v>
      </c>
      <c r="R165" s="121">
        <v>0.01</v>
      </c>
      <c r="S165" s="121"/>
      <c r="T165" s="121"/>
      <c r="U165" s="121"/>
      <c r="V165" s="121"/>
      <c r="W165" s="121"/>
      <c r="X165" s="121"/>
      <c r="Y165" s="121"/>
      <c r="Z165" s="121"/>
      <c r="AA165" s="121"/>
      <c r="AB165" s="121"/>
      <c r="AC165" s="121"/>
      <c r="AD165" s="121"/>
      <c r="AE165" s="121"/>
      <c r="AF165" s="121"/>
      <c r="AG165" s="121"/>
      <c r="AH165" s="121"/>
      <c r="AK165" s="15"/>
    </row>
    <row r="166" spans="4:37" ht="20.100000000000001" customHeight="1" x14ac:dyDescent="0.2">
      <c r="D166" s="121" t="s">
        <v>847</v>
      </c>
      <c r="E166" s="121" t="s">
        <v>848</v>
      </c>
      <c r="F166" s="121" t="s">
        <v>223</v>
      </c>
      <c r="G166" s="121">
        <v>1</v>
      </c>
      <c r="H166" s="121"/>
      <c r="I166" s="121"/>
      <c r="J166" s="121"/>
      <c r="K166" s="121"/>
      <c r="L166" s="121"/>
      <c r="M166" s="121">
        <v>50</v>
      </c>
      <c r="N166" s="121"/>
      <c r="O166" s="121" t="s">
        <v>718</v>
      </c>
      <c r="P166" s="121">
        <v>1</v>
      </c>
      <c r="Q166" s="121"/>
      <c r="R166" s="121"/>
      <c r="S166" s="121"/>
      <c r="T166" s="121"/>
      <c r="U166" s="121"/>
      <c r="V166" s="121"/>
      <c r="W166" s="121"/>
      <c r="X166" s="121"/>
      <c r="Y166" s="121"/>
      <c r="Z166" s="121"/>
      <c r="AA166" s="121"/>
      <c r="AB166" s="121"/>
      <c r="AC166" s="121"/>
      <c r="AD166" s="121"/>
      <c r="AE166" s="121"/>
      <c r="AF166" s="121"/>
      <c r="AG166" s="121"/>
      <c r="AH166" s="121"/>
      <c r="AK166" s="15"/>
    </row>
    <row r="167" spans="4:37" ht="20.100000000000001" customHeight="1" x14ac:dyDescent="0.2">
      <c r="D167" s="121" t="s">
        <v>849</v>
      </c>
      <c r="E167" s="121" t="s">
        <v>850</v>
      </c>
      <c r="F167" s="121" t="s">
        <v>223</v>
      </c>
      <c r="G167" s="121">
        <v>1</v>
      </c>
      <c r="H167" s="121"/>
      <c r="I167" s="121"/>
      <c r="J167" s="121"/>
      <c r="K167" s="121">
        <v>10</v>
      </c>
      <c r="L167" s="121">
        <v>21.9</v>
      </c>
      <c r="M167" s="121"/>
      <c r="N167" s="121"/>
      <c r="O167" s="121" t="s">
        <v>695</v>
      </c>
      <c r="P167" s="121">
        <v>1</v>
      </c>
      <c r="Q167" s="121"/>
      <c r="R167" s="121"/>
      <c r="S167" s="121"/>
      <c r="T167" s="121"/>
      <c r="U167" s="121"/>
      <c r="V167" s="121"/>
      <c r="W167" s="121"/>
      <c r="X167" s="121"/>
      <c r="Y167" s="121"/>
      <c r="Z167" s="121"/>
      <c r="AA167" s="121"/>
      <c r="AB167" s="121"/>
      <c r="AC167" s="121"/>
      <c r="AD167" s="121"/>
      <c r="AE167" s="121"/>
      <c r="AF167" s="121"/>
      <c r="AG167" s="121"/>
      <c r="AH167" s="121"/>
      <c r="AK167" s="15"/>
    </row>
    <row r="168" spans="4:37" ht="20.100000000000001" customHeight="1" x14ac:dyDescent="0.2">
      <c r="D168" s="121" t="s">
        <v>745</v>
      </c>
      <c r="E168" s="121" t="s">
        <v>851</v>
      </c>
      <c r="F168" s="121" t="s">
        <v>223</v>
      </c>
      <c r="G168" s="121">
        <v>1</v>
      </c>
      <c r="H168" s="121"/>
      <c r="I168" s="121"/>
      <c r="J168" s="121"/>
      <c r="K168" s="121">
        <v>26</v>
      </c>
      <c r="L168" s="121"/>
      <c r="M168" s="121"/>
      <c r="N168" s="121">
        <v>13</v>
      </c>
      <c r="O168" s="121" t="s">
        <v>700</v>
      </c>
      <c r="P168" s="121">
        <v>0.54166700000000001</v>
      </c>
      <c r="Q168" s="121" t="s">
        <v>702</v>
      </c>
      <c r="R168" s="121">
        <v>0.43397599999999997</v>
      </c>
      <c r="S168" s="121"/>
      <c r="T168" s="121"/>
      <c r="U168" s="121"/>
      <c r="V168" s="121"/>
      <c r="W168" s="121"/>
      <c r="X168" s="121"/>
      <c r="Y168" s="121"/>
      <c r="Z168" s="121"/>
      <c r="AA168" s="121"/>
      <c r="AB168" s="121"/>
      <c r="AC168" s="121"/>
      <c r="AD168" s="121"/>
      <c r="AE168" s="121"/>
      <c r="AF168" s="121"/>
      <c r="AG168" s="121"/>
      <c r="AH168" s="121"/>
      <c r="AK168" s="15"/>
    </row>
    <row r="169" spans="4:37" ht="20.100000000000001" customHeight="1" x14ac:dyDescent="0.2">
      <c r="D169" s="121" t="s">
        <v>852</v>
      </c>
      <c r="E169" s="121" t="s">
        <v>853</v>
      </c>
      <c r="F169" s="121" t="s">
        <v>430</v>
      </c>
      <c r="G169" s="121">
        <v>1.2350000000000001</v>
      </c>
      <c r="H169" s="121"/>
      <c r="I169" s="121"/>
      <c r="J169" s="121"/>
      <c r="K169" s="121">
        <v>26.6</v>
      </c>
      <c r="L169" s="121"/>
      <c r="M169" s="121"/>
      <c r="N169" s="121">
        <v>6.7</v>
      </c>
      <c r="O169" s="121" t="s">
        <v>174</v>
      </c>
      <c r="P169" s="121">
        <v>0.45081500000000002</v>
      </c>
      <c r="Q169" s="121" t="s">
        <v>700</v>
      </c>
      <c r="R169" s="121">
        <v>0.279167</v>
      </c>
      <c r="S169" s="121"/>
      <c r="T169" s="121"/>
      <c r="U169" s="121"/>
      <c r="V169" s="121"/>
      <c r="W169" s="121"/>
      <c r="X169" s="121"/>
      <c r="Y169" s="121"/>
      <c r="Z169" s="121"/>
      <c r="AA169" s="121"/>
      <c r="AB169" s="121"/>
      <c r="AC169" s="121"/>
      <c r="AD169" s="121"/>
      <c r="AE169" s="121"/>
      <c r="AF169" s="121"/>
      <c r="AG169" s="121"/>
      <c r="AH169" s="121"/>
      <c r="AK169" s="15"/>
    </row>
    <row r="170" spans="4:37" ht="20.100000000000001" customHeight="1" x14ac:dyDescent="0.2">
      <c r="D170" s="121" t="s">
        <v>852</v>
      </c>
      <c r="E170" s="121" t="s">
        <v>854</v>
      </c>
      <c r="F170" s="121" t="s">
        <v>430</v>
      </c>
      <c r="G170" s="121">
        <v>1.28</v>
      </c>
      <c r="H170" s="121"/>
      <c r="I170" s="121"/>
      <c r="J170" s="121"/>
      <c r="K170" s="121">
        <v>0</v>
      </c>
      <c r="L170" s="121"/>
      <c r="M170" s="121"/>
      <c r="N170" s="121"/>
      <c r="O170" s="121" t="s">
        <v>174</v>
      </c>
      <c r="P170" s="121">
        <v>0.65217400000000003</v>
      </c>
      <c r="Q170" s="121"/>
      <c r="R170" s="121"/>
      <c r="S170" s="121"/>
      <c r="T170" s="121"/>
      <c r="U170" s="121"/>
      <c r="V170" s="121"/>
      <c r="W170" s="121"/>
      <c r="X170" s="121"/>
      <c r="Y170" s="121"/>
      <c r="Z170" s="121"/>
      <c r="AA170" s="121"/>
      <c r="AB170" s="121"/>
      <c r="AC170" s="121"/>
      <c r="AD170" s="121"/>
      <c r="AE170" s="121"/>
      <c r="AF170" s="121"/>
      <c r="AG170" s="121"/>
      <c r="AH170" s="121"/>
      <c r="AK170" s="15"/>
    </row>
    <row r="171" spans="4:37" ht="20.100000000000001" customHeight="1" x14ac:dyDescent="0.2">
      <c r="D171" s="121" t="s">
        <v>855</v>
      </c>
      <c r="E171" s="121" t="s">
        <v>856</v>
      </c>
      <c r="F171" s="121" t="s">
        <v>223</v>
      </c>
      <c r="G171" s="121">
        <v>1</v>
      </c>
      <c r="H171" s="121"/>
      <c r="I171" s="121"/>
      <c r="J171" s="121"/>
      <c r="K171" s="121">
        <v>36</v>
      </c>
      <c r="L171" s="121"/>
      <c r="M171" s="121"/>
      <c r="N171" s="121">
        <v>9.6</v>
      </c>
      <c r="O171" s="121" t="s">
        <v>710</v>
      </c>
      <c r="P171" s="121">
        <v>0.36</v>
      </c>
      <c r="Q171" s="121" t="s">
        <v>188</v>
      </c>
      <c r="R171" s="121">
        <v>9.6000000000000002E-2</v>
      </c>
      <c r="S171" s="121"/>
      <c r="T171" s="121"/>
      <c r="U171" s="121"/>
      <c r="V171" s="121"/>
      <c r="W171" s="121"/>
      <c r="X171" s="121"/>
      <c r="Y171" s="121"/>
      <c r="Z171" s="121"/>
      <c r="AA171" s="121"/>
      <c r="AB171" s="121"/>
      <c r="AC171" s="121"/>
      <c r="AD171" s="121"/>
      <c r="AE171" s="121"/>
      <c r="AF171" s="121"/>
      <c r="AG171" s="121"/>
      <c r="AH171" s="121"/>
      <c r="AK171" s="15"/>
    </row>
    <row r="172" spans="4:37" ht="20.100000000000001" customHeight="1" x14ac:dyDescent="0.2">
      <c r="D172" s="121" t="s">
        <v>770</v>
      </c>
      <c r="E172" s="121" t="s">
        <v>857</v>
      </c>
      <c r="F172" s="121" t="s">
        <v>430</v>
      </c>
      <c r="G172" s="121">
        <v>1.3</v>
      </c>
      <c r="H172" s="121"/>
      <c r="I172" s="121"/>
      <c r="J172" s="121"/>
      <c r="K172" s="121">
        <v>20</v>
      </c>
      <c r="L172" s="121">
        <v>8.73</v>
      </c>
      <c r="M172" s="121">
        <v>16.600000000000001</v>
      </c>
      <c r="N172" s="121"/>
      <c r="O172" s="121" t="s">
        <v>710</v>
      </c>
      <c r="P172" s="121">
        <v>0.2</v>
      </c>
      <c r="Q172" s="121" t="s">
        <v>712</v>
      </c>
      <c r="R172" s="121">
        <v>8.7279999999999996E-2</v>
      </c>
      <c r="S172" s="121" t="s">
        <v>187</v>
      </c>
      <c r="T172" s="121">
        <v>0.16602</v>
      </c>
      <c r="U172" s="121"/>
      <c r="V172" s="121"/>
      <c r="W172" s="121"/>
      <c r="X172" s="121"/>
      <c r="Y172" s="121"/>
      <c r="Z172" s="121"/>
      <c r="AA172" s="121"/>
      <c r="AB172" s="121"/>
      <c r="AC172" s="121"/>
      <c r="AD172" s="121"/>
      <c r="AE172" s="121"/>
      <c r="AF172" s="121"/>
      <c r="AG172" s="121"/>
      <c r="AH172" s="121"/>
      <c r="AK172" s="15"/>
    </row>
    <row r="173" spans="4:37" ht="20.100000000000001" customHeight="1" x14ac:dyDescent="0.2">
      <c r="D173" s="121" t="s">
        <v>858</v>
      </c>
      <c r="E173" s="121" t="s">
        <v>859</v>
      </c>
      <c r="F173" s="121" t="s">
        <v>223</v>
      </c>
      <c r="G173" s="121">
        <v>1</v>
      </c>
      <c r="H173" s="121"/>
      <c r="I173" s="121"/>
      <c r="J173" s="121"/>
      <c r="K173" s="121">
        <v>15</v>
      </c>
      <c r="L173" s="121"/>
      <c r="M173" s="121">
        <v>9.9600000000000009</v>
      </c>
      <c r="N173" s="121"/>
      <c r="O173" s="121" t="s">
        <v>707</v>
      </c>
      <c r="P173" s="121">
        <v>8.4737000000000007E-2</v>
      </c>
      <c r="Q173" s="121" t="s">
        <v>187</v>
      </c>
      <c r="R173" s="121">
        <v>9.9612000000000006E-2</v>
      </c>
      <c r="S173" s="121" t="s">
        <v>185</v>
      </c>
      <c r="T173" s="121">
        <v>0.42105300000000001</v>
      </c>
      <c r="U173" s="121" t="s">
        <v>757</v>
      </c>
      <c r="V173" s="121">
        <v>5.0000000000000001E-3</v>
      </c>
      <c r="W173" s="121" t="s">
        <v>762</v>
      </c>
      <c r="X173" s="121">
        <v>2.0000000000000001E-4</v>
      </c>
      <c r="Y173" s="121"/>
      <c r="Z173" s="121"/>
      <c r="AA173" s="121"/>
      <c r="AB173" s="121"/>
      <c r="AC173" s="121"/>
      <c r="AD173" s="121"/>
      <c r="AE173" s="121"/>
      <c r="AF173" s="121"/>
      <c r="AG173" s="121"/>
      <c r="AH173" s="121"/>
      <c r="AK173" s="15"/>
    </row>
    <row r="174" spans="4:37" ht="20.100000000000001" customHeight="1" x14ac:dyDescent="0.2">
      <c r="D174" s="121" t="s">
        <v>776</v>
      </c>
      <c r="E174" s="121" t="s">
        <v>860</v>
      </c>
      <c r="F174" s="121" t="s">
        <v>223</v>
      </c>
      <c r="G174" s="121">
        <v>1</v>
      </c>
      <c r="H174" s="121"/>
      <c r="I174" s="121"/>
      <c r="J174" s="121"/>
      <c r="K174" s="121">
        <v>15.1</v>
      </c>
      <c r="L174" s="121">
        <v>4.4000000000000004</v>
      </c>
      <c r="M174" s="121">
        <v>11.5</v>
      </c>
      <c r="N174" s="121">
        <v>13.6</v>
      </c>
      <c r="O174" s="121" t="s">
        <v>710</v>
      </c>
      <c r="P174" s="121">
        <v>0.151</v>
      </c>
      <c r="Q174" s="121" t="s">
        <v>712</v>
      </c>
      <c r="R174" s="121">
        <v>4.3999999999999997E-2</v>
      </c>
      <c r="S174" s="121" t="s">
        <v>187</v>
      </c>
      <c r="T174" s="121">
        <v>0.115</v>
      </c>
      <c r="U174" s="121" t="s">
        <v>188</v>
      </c>
      <c r="V174" s="121">
        <v>0.13600000000000001</v>
      </c>
      <c r="W174" s="121"/>
      <c r="X174" s="121"/>
      <c r="Y174" s="121"/>
      <c r="Z174" s="121"/>
      <c r="AA174" s="121"/>
      <c r="AB174" s="121"/>
      <c r="AC174" s="121"/>
      <c r="AD174" s="121"/>
      <c r="AE174" s="121"/>
      <c r="AF174" s="121"/>
      <c r="AG174" s="121"/>
      <c r="AH174" s="121"/>
      <c r="AK174" s="15"/>
    </row>
    <row r="175" spans="4:37" ht="20.100000000000001" customHeight="1" x14ac:dyDescent="0.2">
      <c r="D175" s="121" t="s">
        <v>776</v>
      </c>
      <c r="E175" s="121" t="s">
        <v>861</v>
      </c>
      <c r="F175" s="121" t="s">
        <v>223</v>
      </c>
      <c r="G175" s="121">
        <v>1</v>
      </c>
      <c r="H175" s="121"/>
      <c r="I175" s="121"/>
      <c r="J175" s="121"/>
      <c r="K175" s="121">
        <v>14.6</v>
      </c>
      <c r="L175" s="121">
        <v>12.1</v>
      </c>
      <c r="M175" s="121"/>
      <c r="N175" s="121">
        <v>11.6</v>
      </c>
      <c r="O175" s="121" t="s">
        <v>710</v>
      </c>
      <c r="P175" s="121">
        <v>0.14599999999999999</v>
      </c>
      <c r="Q175" s="121" t="s">
        <v>712</v>
      </c>
      <c r="R175" s="121">
        <v>0.121</v>
      </c>
      <c r="S175" s="121" t="s">
        <v>188</v>
      </c>
      <c r="T175" s="121">
        <v>0.11600000000000001</v>
      </c>
      <c r="U175" s="121"/>
      <c r="V175" s="121"/>
      <c r="W175" s="121"/>
      <c r="X175" s="121"/>
      <c r="Y175" s="121"/>
      <c r="Z175" s="121"/>
      <c r="AA175" s="121"/>
      <c r="AB175" s="121"/>
      <c r="AC175" s="121"/>
      <c r="AD175" s="121"/>
      <c r="AE175" s="121"/>
      <c r="AF175" s="121"/>
      <c r="AG175" s="121"/>
      <c r="AH175" s="121"/>
      <c r="AK175" s="15"/>
    </row>
    <row r="176" spans="4:37" ht="20.100000000000001" customHeight="1" x14ac:dyDescent="0.2">
      <c r="D176" s="121" t="s">
        <v>776</v>
      </c>
      <c r="E176" s="121" t="s">
        <v>862</v>
      </c>
      <c r="F176" s="121" t="s">
        <v>223</v>
      </c>
      <c r="G176" s="121">
        <v>1</v>
      </c>
      <c r="H176" s="121"/>
      <c r="I176" s="121"/>
      <c r="J176" s="121"/>
      <c r="K176" s="121">
        <v>19</v>
      </c>
      <c r="L176" s="121">
        <v>13</v>
      </c>
      <c r="M176" s="121">
        <v>0</v>
      </c>
      <c r="N176" s="121">
        <v>9</v>
      </c>
      <c r="O176" s="121" t="s">
        <v>710</v>
      </c>
      <c r="P176" s="121">
        <v>0.19</v>
      </c>
      <c r="Q176" s="121" t="s">
        <v>712</v>
      </c>
      <c r="R176" s="121">
        <v>0.13</v>
      </c>
      <c r="S176" s="121" t="s">
        <v>188</v>
      </c>
      <c r="T176" s="121">
        <v>0.09</v>
      </c>
      <c r="U176" s="121"/>
      <c r="V176" s="121"/>
      <c r="W176" s="121"/>
      <c r="X176" s="121"/>
      <c r="Y176" s="121"/>
      <c r="Z176" s="121"/>
      <c r="AA176" s="121"/>
      <c r="AB176" s="121"/>
      <c r="AC176" s="121"/>
      <c r="AD176" s="121"/>
      <c r="AE176" s="121"/>
      <c r="AF176" s="121"/>
      <c r="AG176" s="121"/>
      <c r="AH176" s="121"/>
      <c r="AK176" s="15"/>
    </row>
    <row r="177" spans="1:37" ht="20.100000000000001" customHeight="1" x14ac:dyDescent="0.2">
      <c r="D177" s="121" t="s">
        <v>776</v>
      </c>
      <c r="E177" s="121" t="s">
        <v>863</v>
      </c>
      <c r="F177" s="121" t="s">
        <v>223</v>
      </c>
      <c r="G177" s="121">
        <v>1</v>
      </c>
      <c r="H177" s="121"/>
      <c r="I177" s="121"/>
      <c r="J177" s="121"/>
      <c r="K177" s="121">
        <v>23.8</v>
      </c>
      <c r="L177" s="121">
        <v>3.7</v>
      </c>
      <c r="M177" s="121">
        <v>13</v>
      </c>
      <c r="N177" s="121">
        <v>4.0999999999999996</v>
      </c>
      <c r="O177" s="121" t="s">
        <v>710</v>
      </c>
      <c r="P177" s="121">
        <v>0.23799999999999999</v>
      </c>
      <c r="Q177" s="121" t="s">
        <v>712</v>
      </c>
      <c r="R177" s="121">
        <v>3.6999999999999998E-2</v>
      </c>
      <c r="S177" s="121" t="s">
        <v>187</v>
      </c>
      <c r="T177" s="121">
        <v>0.13</v>
      </c>
      <c r="U177" s="121" t="s">
        <v>188</v>
      </c>
      <c r="V177" s="121">
        <v>4.1000000000000002E-2</v>
      </c>
      <c r="W177" s="121"/>
      <c r="X177" s="121"/>
      <c r="Y177" s="121"/>
      <c r="Z177" s="121"/>
      <c r="AA177" s="121"/>
      <c r="AB177" s="121"/>
      <c r="AC177" s="121"/>
      <c r="AD177" s="121"/>
      <c r="AE177" s="121"/>
      <c r="AF177" s="121"/>
      <c r="AG177" s="121"/>
      <c r="AH177" s="121"/>
      <c r="AK177" s="15"/>
    </row>
    <row r="178" spans="1:37" ht="20.100000000000001" customHeight="1" x14ac:dyDescent="0.2">
      <c r="D178" s="121" t="s">
        <v>776</v>
      </c>
      <c r="E178" s="121" t="s">
        <v>864</v>
      </c>
      <c r="F178" s="121" t="s">
        <v>223</v>
      </c>
      <c r="G178" s="121">
        <v>1</v>
      </c>
      <c r="H178" s="121"/>
      <c r="I178" s="121"/>
      <c r="J178" s="121"/>
      <c r="K178" s="121">
        <v>32.799999999999997</v>
      </c>
      <c r="L178" s="121"/>
      <c r="M178" s="121">
        <v>11</v>
      </c>
      <c r="N178" s="121">
        <v>2.9</v>
      </c>
      <c r="O178" s="121" t="s">
        <v>174</v>
      </c>
      <c r="P178" s="121">
        <v>0.66086999999999996</v>
      </c>
      <c r="Q178" s="121" t="s">
        <v>705</v>
      </c>
      <c r="R178" s="121">
        <v>2.4E-2</v>
      </c>
      <c r="S178" s="121" t="s">
        <v>187</v>
      </c>
      <c r="T178" s="121">
        <v>0.11</v>
      </c>
      <c r="U178" s="121" t="s">
        <v>188</v>
      </c>
      <c r="V178" s="121">
        <v>2.9000000000000001E-2</v>
      </c>
      <c r="W178" s="121"/>
      <c r="X178" s="121"/>
      <c r="Y178" s="121"/>
      <c r="Z178" s="121"/>
      <c r="AA178" s="121"/>
      <c r="AB178" s="121"/>
      <c r="AC178" s="121"/>
      <c r="AD178" s="121"/>
      <c r="AE178" s="121"/>
      <c r="AF178" s="121"/>
      <c r="AG178" s="121"/>
      <c r="AH178" s="121"/>
      <c r="AK178" s="15"/>
    </row>
    <row r="179" spans="1:37" ht="20.100000000000001" customHeight="1" x14ac:dyDescent="0.2">
      <c r="D179" s="121" t="s">
        <v>776</v>
      </c>
      <c r="E179" s="121" t="s">
        <v>865</v>
      </c>
      <c r="F179" s="121" t="s">
        <v>223</v>
      </c>
      <c r="G179" s="121">
        <v>1</v>
      </c>
      <c r="H179" s="121"/>
      <c r="I179" s="121"/>
      <c r="J179" s="121"/>
      <c r="K179" s="121">
        <v>11.7</v>
      </c>
      <c r="L179" s="121">
        <v>4.7</v>
      </c>
      <c r="M179" s="121">
        <v>23.9</v>
      </c>
      <c r="N179" s="121">
        <v>4.5999999999999996</v>
      </c>
      <c r="O179" s="121" t="s">
        <v>710</v>
      </c>
      <c r="P179" s="121">
        <v>0.11700000000000001</v>
      </c>
      <c r="Q179" s="121" t="s">
        <v>712</v>
      </c>
      <c r="R179" s="121">
        <v>4.7E-2</v>
      </c>
      <c r="S179" s="121" t="s">
        <v>187</v>
      </c>
      <c r="T179" s="121">
        <v>0.23899999999999999</v>
      </c>
      <c r="U179" s="121" t="s">
        <v>188</v>
      </c>
      <c r="V179" s="121">
        <v>4.5999999999999999E-2</v>
      </c>
      <c r="W179" s="121"/>
      <c r="X179" s="121"/>
      <c r="Y179" s="121"/>
      <c r="Z179" s="121"/>
      <c r="AA179" s="121"/>
      <c r="AB179" s="121"/>
      <c r="AC179" s="121"/>
      <c r="AD179" s="121"/>
      <c r="AE179" s="121"/>
      <c r="AF179" s="121"/>
      <c r="AG179" s="121"/>
      <c r="AH179" s="121"/>
      <c r="AK179" s="15"/>
    </row>
    <row r="180" spans="1:37" ht="20.100000000000001" customHeight="1" x14ac:dyDescent="0.2">
      <c r="D180" s="121" t="s">
        <v>774</v>
      </c>
      <c r="E180" s="121" t="s">
        <v>866</v>
      </c>
      <c r="F180" s="121" t="s">
        <v>223</v>
      </c>
      <c r="G180" s="121">
        <v>1</v>
      </c>
      <c r="H180" s="121"/>
      <c r="I180" s="121"/>
      <c r="J180" s="121"/>
      <c r="K180" s="121"/>
      <c r="L180" s="121">
        <v>4.4000000000000004</v>
      </c>
      <c r="M180" s="121">
        <v>25</v>
      </c>
      <c r="N180" s="121">
        <v>5.5</v>
      </c>
      <c r="O180" s="121" t="s">
        <v>720</v>
      </c>
      <c r="P180" s="121">
        <v>0.5</v>
      </c>
      <c r="Q180" s="121" t="s">
        <v>718</v>
      </c>
      <c r="R180" s="121">
        <v>0.5</v>
      </c>
      <c r="S180" s="121"/>
      <c r="T180" s="121"/>
      <c r="U180" s="121"/>
      <c r="V180" s="121"/>
      <c r="W180" s="121"/>
      <c r="X180" s="121"/>
      <c r="Y180" s="121"/>
      <c r="Z180" s="121"/>
      <c r="AA180" s="121"/>
      <c r="AB180" s="121"/>
      <c r="AC180" s="121"/>
      <c r="AD180" s="121"/>
      <c r="AE180" s="121"/>
      <c r="AF180" s="121"/>
      <c r="AG180" s="121"/>
      <c r="AH180" s="121"/>
    </row>
    <row r="181" spans="1:37" ht="20.100000000000001" customHeight="1" x14ac:dyDescent="0.2">
      <c r="D181" s="121" t="s">
        <v>774</v>
      </c>
      <c r="E181" s="121" t="s">
        <v>867</v>
      </c>
      <c r="F181" s="121" t="s">
        <v>223</v>
      </c>
      <c r="G181" s="121">
        <v>1</v>
      </c>
      <c r="H181" s="121"/>
      <c r="I181" s="121"/>
      <c r="J181" s="121"/>
      <c r="K181" s="121"/>
      <c r="L181" s="121">
        <v>5.84</v>
      </c>
      <c r="M181" s="121">
        <v>16.8</v>
      </c>
      <c r="N181" s="121">
        <v>7.29</v>
      </c>
      <c r="O181" s="121" t="s">
        <v>720</v>
      </c>
      <c r="P181" s="121">
        <v>0.66315800000000003</v>
      </c>
      <c r="Q181" s="121" t="s">
        <v>718</v>
      </c>
      <c r="R181" s="121">
        <v>0.33600000000000002</v>
      </c>
      <c r="S181" s="121"/>
      <c r="T181" s="121"/>
      <c r="U181" s="121"/>
      <c r="V181" s="121"/>
      <c r="W181" s="121"/>
      <c r="X181" s="121"/>
      <c r="Y181" s="121"/>
      <c r="Z181" s="121"/>
      <c r="AA181" s="121"/>
      <c r="AB181" s="121"/>
      <c r="AC181" s="121"/>
      <c r="AD181" s="121"/>
      <c r="AE181" s="121"/>
      <c r="AF181" s="121"/>
      <c r="AG181" s="121"/>
      <c r="AH181" s="121"/>
    </row>
    <row r="182" spans="1:37" ht="20.100000000000001" customHeight="1" x14ac:dyDescent="0.2">
      <c r="D182" s="121" t="s">
        <v>774</v>
      </c>
      <c r="E182" s="121" t="s">
        <v>868</v>
      </c>
      <c r="F182" s="121" t="s">
        <v>223</v>
      </c>
      <c r="G182" s="121">
        <v>1</v>
      </c>
      <c r="H182" s="121"/>
      <c r="I182" s="121"/>
      <c r="J182" s="121"/>
      <c r="K182" s="121"/>
      <c r="L182" s="121">
        <v>6.58</v>
      </c>
      <c r="M182" s="121">
        <v>12.5</v>
      </c>
      <c r="N182" s="121">
        <v>8.2200000000000006</v>
      </c>
      <c r="O182" s="121" t="s">
        <v>720</v>
      </c>
      <c r="P182" s="121">
        <v>0.74736800000000003</v>
      </c>
      <c r="Q182" s="121" t="s">
        <v>718</v>
      </c>
      <c r="R182" s="121">
        <v>0.25</v>
      </c>
      <c r="S182" s="121"/>
      <c r="T182" s="121"/>
      <c r="U182" s="121"/>
      <c r="V182" s="121"/>
      <c r="W182" s="121"/>
      <c r="X182" s="121"/>
      <c r="Y182" s="121"/>
      <c r="Z182" s="121"/>
      <c r="AA182" s="121"/>
      <c r="AB182" s="121"/>
      <c r="AC182" s="121"/>
      <c r="AD182" s="121"/>
      <c r="AE182" s="121"/>
      <c r="AF182" s="121"/>
      <c r="AG182" s="121"/>
      <c r="AH182" s="121"/>
    </row>
    <row r="183" spans="1:37" ht="20.100000000000001" customHeight="1" x14ac:dyDescent="0.2">
      <c r="D183" s="121" t="s">
        <v>774</v>
      </c>
      <c r="E183" s="121" t="s">
        <v>869</v>
      </c>
      <c r="F183" s="121" t="s">
        <v>223</v>
      </c>
      <c r="G183" s="121">
        <v>1</v>
      </c>
      <c r="H183" s="121"/>
      <c r="I183" s="121"/>
      <c r="J183" s="121"/>
      <c r="K183" s="121"/>
      <c r="L183" s="121">
        <v>7.04</v>
      </c>
      <c r="M183" s="121">
        <v>10</v>
      </c>
      <c r="N183" s="121">
        <v>8.8000000000000007</v>
      </c>
      <c r="O183" s="121" t="s">
        <v>720</v>
      </c>
      <c r="P183" s="121">
        <v>0.8</v>
      </c>
      <c r="Q183" s="121" t="s">
        <v>718</v>
      </c>
      <c r="R183" s="121">
        <v>0.2</v>
      </c>
      <c r="S183" s="121"/>
      <c r="T183" s="121"/>
      <c r="U183" s="121"/>
      <c r="V183" s="121"/>
      <c r="W183" s="121"/>
      <c r="X183" s="121"/>
      <c r="Y183" s="121"/>
      <c r="Z183" s="121"/>
      <c r="AA183" s="121"/>
      <c r="AB183" s="121"/>
      <c r="AC183" s="121"/>
      <c r="AD183" s="121"/>
      <c r="AE183" s="121"/>
      <c r="AF183" s="121"/>
      <c r="AG183" s="121"/>
      <c r="AH183" s="121"/>
    </row>
    <row r="184" spans="1:37" ht="20.100000000000001" customHeight="1" x14ac:dyDescent="0.2">
      <c r="D184" s="121" t="s">
        <v>774</v>
      </c>
      <c r="E184" s="121" t="s">
        <v>870</v>
      </c>
      <c r="F184" s="121" t="s">
        <v>223</v>
      </c>
      <c r="G184" s="121">
        <v>1</v>
      </c>
      <c r="H184" s="121"/>
      <c r="I184" s="121"/>
      <c r="J184" s="121"/>
      <c r="K184" s="121"/>
      <c r="L184" s="121">
        <v>7.32</v>
      </c>
      <c r="M184" s="121">
        <v>8.4</v>
      </c>
      <c r="N184" s="121">
        <v>9.15</v>
      </c>
      <c r="O184" s="121" t="s">
        <v>720</v>
      </c>
      <c r="P184" s="121">
        <v>0.83157899999999996</v>
      </c>
      <c r="Q184" s="121" t="s">
        <v>718</v>
      </c>
      <c r="R184" s="121">
        <v>0.16800000000000001</v>
      </c>
      <c r="S184" s="121"/>
      <c r="T184" s="121"/>
      <c r="U184" s="121"/>
      <c r="V184" s="121"/>
      <c r="W184" s="121"/>
      <c r="X184" s="121"/>
      <c r="Y184" s="121"/>
      <c r="Z184" s="121"/>
      <c r="AA184" s="121"/>
      <c r="AB184" s="121"/>
      <c r="AC184" s="121"/>
      <c r="AD184" s="121"/>
      <c r="AE184" s="121"/>
      <c r="AF184" s="121"/>
      <c r="AG184" s="121"/>
      <c r="AH184" s="121"/>
    </row>
    <row r="185" spans="1:37" ht="20.100000000000001" customHeight="1" x14ac:dyDescent="0.2">
      <c r="D185" s="121" t="s">
        <v>871</v>
      </c>
      <c r="E185" s="121" t="s">
        <v>872</v>
      </c>
      <c r="F185" s="121" t="s">
        <v>223</v>
      </c>
      <c r="G185" s="121">
        <v>1</v>
      </c>
      <c r="H185" s="121"/>
      <c r="I185" s="121"/>
      <c r="J185" s="121"/>
      <c r="K185" s="121">
        <v>23.9</v>
      </c>
      <c r="L185" s="121"/>
      <c r="M185" s="121"/>
      <c r="N185" s="121">
        <v>10.8</v>
      </c>
      <c r="O185" s="121" t="s">
        <v>707</v>
      </c>
      <c r="P185" s="121">
        <v>7.3999999999999996E-2</v>
      </c>
      <c r="Q185" s="121" t="s">
        <v>705</v>
      </c>
      <c r="R185" s="121">
        <v>0.16500000000000001</v>
      </c>
      <c r="S185" s="121" t="s">
        <v>188</v>
      </c>
      <c r="T185" s="121">
        <v>0.108</v>
      </c>
      <c r="U185" s="121" t="s">
        <v>750</v>
      </c>
      <c r="V185" s="121">
        <v>4.3999999999999997E-2</v>
      </c>
      <c r="W185" s="121"/>
      <c r="X185" s="121"/>
      <c r="Y185" s="121"/>
      <c r="Z185" s="121"/>
      <c r="AA185" s="121"/>
      <c r="AB185" s="121"/>
      <c r="AC185" s="121"/>
      <c r="AD185" s="121"/>
      <c r="AE185" s="121"/>
      <c r="AF185" s="121"/>
      <c r="AG185" s="121"/>
      <c r="AH185" s="121"/>
    </row>
    <row r="186" spans="1:37" ht="20.100000000000001" customHeight="1" x14ac:dyDescent="0.2">
      <c r="D186" s="121" t="s">
        <v>871</v>
      </c>
      <c r="E186" s="121" t="s">
        <v>177</v>
      </c>
      <c r="F186" s="121" t="s">
        <v>223</v>
      </c>
      <c r="G186" s="121">
        <v>1</v>
      </c>
      <c r="H186" s="121"/>
      <c r="I186" s="121"/>
      <c r="J186" s="121"/>
      <c r="K186" s="121">
        <v>17.899999999999999</v>
      </c>
      <c r="L186" s="121"/>
      <c r="M186" s="121">
        <v>15</v>
      </c>
      <c r="N186" s="121">
        <v>3.6</v>
      </c>
      <c r="O186" s="121" t="s">
        <v>707</v>
      </c>
      <c r="P186" s="121">
        <v>5.5E-2</v>
      </c>
      <c r="Q186" s="121" t="s">
        <v>705</v>
      </c>
      <c r="R186" s="121">
        <v>0.124</v>
      </c>
      <c r="S186" s="121" t="s">
        <v>187</v>
      </c>
      <c r="T186" s="121">
        <v>0.15</v>
      </c>
      <c r="U186" s="121" t="s">
        <v>188</v>
      </c>
      <c r="V186" s="121">
        <v>3.5999999999999997E-2</v>
      </c>
      <c r="W186" s="121" t="s">
        <v>750</v>
      </c>
      <c r="X186" s="121">
        <v>4.3999999999999997E-2</v>
      </c>
      <c r="Y186" s="121"/>
      <c r="Z186" s="121"/>
      <c r="AA186" s="121"/>
      <c r="AB186" s="121"/>
      <c r="AC186" s="121"/>
      <c r="AD186" s="121"/>
      <c r="AE186" s="121"/>
      <c r="AF186" s="121"/>
      <c r="AG186" s="121"/>
      <c r="AH186" s="121"/>
    </row>
    <row r="187" spans="1:37" ht="20.100000000000001" customHeight="1" x14ac:dyDescent="0.2">
      <c r="D187" s="121" t="s">
        <v>871</v>
      </c>
      <c r="E187" s="121" t="s">
        <v>873</v>
      </c>
      <c r="F187" s="121" t="s">
        <v>223</v>
      </c>
      <c r="G187" s="121">
        <v>1</v>
      </c>
      <c r="H187" s="121"/>
      <c r="I187" s="121"/>
      <c r="J187" s="121"/>
      <c r="K187" s="121">
        <v>16.899999999999999</v>
      </c>
      <c r="L187" s="121"/>
      <c r="M187" s="121">
        <v>14.4</v>
      </c>
      <c r="N187" s="121">
        <v>8.6999999999999993</v>
      </c>
      <c r="O187" s="121" t="s">
        <v>707</v>
      </c>
      <c r="P187" s="121">
        <v>5.1999999999999998E-2</v>
      </c>
      <c r="Q187" s="121" t="s">
        <v>705</v>
      </c>
      <c r="R187" s="121">
        <v>0.11700000000000001</v>
      </c>
      <c r="S187" s="121" t="s">
        <v>187</v>
      </c>
      <c r="T187" s="121">
        <v>0.14399999999999999</v>
      </c>
      <c r="U187" s="121" t="s">
        <v>188</v>
      </c>
      <c r="V187" s="121">
        <v>8.6999999999999994E-2</v>
      </c>
      <c r="W187" s="121" t="s">
        <v>750</v>
      </c>
      <c r="X187" s="121">
        <v>4.3999999999999997E-2</v>
      </c>
      <c r="Y187" s="121"/>
      <c r="Z187" s="121"/>
      <c r="AA187" s="121"/>
      <c r="AB187" s="121"/>
      <c r="AC187" s="121"/>
      <c r="AD187" s="121"/>
      <c r="AE187" s="121"/>
      <c r="AF187" s="121"/>
      <c r="AG187" s="121"/>
      <c r="AH187" s="121"/>
    </row>
    <row r="188" spans="1:37" ht="20.100000000000001" customHeight="1" x14ac:dyDescent="0.2">
      <c r="D188" s="121" t="s">
        <v>871</v>
      </c>
      <c r="E188" s="121" t="s">
        <v>874</v>
      </c>
      <c r="F188" s="121" t="s">
        <v>223</v>
      </c>
      <c r="G188" s="121">
        <v>1</v>
      </c>
      <c r="H188" s="121"/>
      <c r="I188" s="121"/>
      <c r="J188" s="121"/>
      <c r="K188" s="121">
        <v>18.8</v>
      </c>
      <c r="L188" s="121">
        <v>1</v>
      </c>
      <c r="M188" s="121">
        <v>12.5</v>
      </c>
      <c r="N188" s="121">
        <v>3.7</v>
      </c>
      <c r="O188" s="121" t="s">
        <v>707</v>
      </c>
      <c r="P188" s="121">
        <v>5.8000000000000003E-2</v>
      </c>
      <c r="Q188" s="121" t="s">
        <v>705</v>
      </c>
      <c r="R188" s="121">
        <v>0.13</v>
      </c>
      <c r="S188" s="121" t="s">
        <v>712</v>
      </c>
      <c r="T188" s="121">
        <v>0.01</v>
      </c>
      <c r="U188" s="121" t="s">
        <v>187</v>
      </c>
      <c r="V188" s="121">
        <v>0.125</v>
      </c>
      <c r="W188" s="121" t="s">
        <v>188</v>
      </c>
      <c r="X188" s="121">
        <v>3.6999999999999998E-2</v>
      </c>
      <c r="Y188" s="121" t="s">
        <v>750</v>
      </c>
      <c r="Z188" s="121">
        <v>4.3999999999999997E-2</v>
      </c>
      <c r="AA188" s="121"/>
      <c r="AB188" s="121"/>
      <c r="AC188" s="121"/>
      <c r="AD188" s="121"/>
      <c r="AE188" s="121"/>
      <c r="AF188" s="121"/>
      <c r="AG188" s="121"/>
      <c r="AH188" s="121"/>
    </row>
    <row r="189" spans="1:37" ht="20.100000000000001" customHeight="1" x14ac:dyDescent="0.2">
      <c r="D189" s="121" t="s">
        <v>871</v>
      </c>
      <c r="E189" s="121" t="s">
        <v>875</v>
      </c>
      <c r="F189" s="121" t="s">
        <v>223</v>
      </c>
      <c r="G189" s="121">
        <v>1</v>
      </c>
      <c r="H189" s="121"/>
      <c r="I189" s="121"/>
      <c r="J189" s="121"/>
      <c r="K189" s="121">
        <v>18.600000000000001</v>
      </c>
      <c r="L189" s="121">
        <v>3</v>
      </c>
      <c r="M189" s="121">
        <v>12.5</v>
      </c>
      <c r="N189" s="121">
        <v>1.4</v>
      </c>
      <c r="O189" s="121" t="s">
        <v>707</v>
      </c>
      <c r="P189" s="121">
        <v>5.8000000000000003E-2</v>
      </c>
      <c r="Q189" s="121" t="s">
        <v>705</v>
      </c>
      <c r="R189" s="121">
        <v>0.128</v>
      </c>
      <c r="S189" s="121" t="s">
        <v>712</v>
      </c>
      <c r="T189" s="121">
        <v>0.03</v>
      </c>
      <c r="U189" s="121" t="s">
        <v>187</v>
      </c>
      <c r="V189" s="121">
        <v>0.125</v>
      </c>
      <c r="W189" s="121" t="s">
        <v>188</v>
      </c>
      <c r="X189" s="121">
        <v>1.4E-2</v>
      </c>
      <c r="Y189" s="121" t="s">
        <v>750</v>
      </c>
      <c r="Z189" s="121">
        <v>4.3999999999999997E-2</v>
      </c>
      <c r="AA189" s="121"/>
      <c r="AB189" s="121"/>
      <c r="AC189" s="121"/>
      <c r="AD189" s="121"/>
      <c r="AE189" s="121"/>
      <c r="AF189" s="121"/>
      <c r="AG189" s="121"/>
      <c r="AH189" s="121"/>
    </row>
    <row r="190" spans="1:37" ht="20.100000000000001" customHeight="1" x14ac:dyDescent="0.2">
      <c r="A190" s="167" t="str">
        <f>HYPERLINK("#A1", "▲ Back to top")</f>
        <v>▲ Back to top</v>
      </c>
      <c r="D190" s="121" t="s">
        <v>871</v>
      </c>
      <c r="E190" s="121" t="s">
        <v>876</v>
      </c>
      <c r="F190" s="121" t="s">
        <v>223</v>
      </c>
      <c r="G190" s="121">
        <v>1</v>
      </c>
      <c r="H190" s="121"/>
      <c r="I190" s="121"/>
      <c r="J190" s="121"/>
      <c r="K190" s="121">
        <v>15.8</v>
      </c>
      <c r="L190" s="121"/>
      <c r="M190" s="121">
        <v>19</v>
      </c>
      <c r="N190" s="121">
        <v>3.2</v>
      </c>
      <c r="O190" s="121" t="s">
        <v>707</v>
      </c>
      <c r="P190" s="121">
        <v>4.9000000000000002E-2</v>
      </c>
      <c r="Q190" s="121" t="s">
        <v>705</v>
      </c>
      <c r="R190" s="121">
        <v>0.109</v>
      </c>
      <c r="S190" s="121" t="s">
        <v>187</v>
      </c>
      <c r="T190" s="121">
        <v>0.19</v>
      </c>
      <c r="U190" s="121" t="s">
        <v>188</v>
      </c>
      <c r="V190" s="121">
        <v>3.2000000000000001E-2</v>
      </c>
      <c r="W190" s="121" t="s">
        <v>750</v>
      </c>
      <c r="X190" s="121">
        <v>3.9E-2</v>
      </c>
      <c r="Y190" s="121"/>
      <c r="Z190" s="121"/>
      <c r="AA190" s="121"/>
      <c r="AB190" s="121"/>
      <c r="AC190" s="121"/>
      <c r="AD190" s="121"/>
      <c r="AE190" s="121"/>
      <c r="AF190" s="121"/>
      <c r="AG190" s="121"/>
      <c r="AH190" s="121"/>
    </row>
    <row r="191" spans="1:37" ht="20.100000000000001" customHeight="1" x14ac:dyDescent="0.2">
      <c r="D191" s="121" t="s">
        <v>776</v>
      </c>
      <c r="E191" s="121" t="s">
        <v>877</v>
      </c>
      <c r="F191" s="121" t="s">
        <v>223</v>
      </c>
      <c r="G191" s="121">
        <v>1</v>
      </c>
      <c r="H191" s="121"/>
      <c r="I191" s="121"/>
      <c r="J191" s="121"/>
      <c r="K191" s="121">
        <v>25.9</v>
      </c>
      <c r="L191" s="121">
        <v>3.9</v>
      </c>
      <c r="M191" s="121">
        <v>15.9</v>
      </c>
      <c r="N191" s="121">
        <v>0.3</v>
      </c>
      <c r="O191" s="121" t="s">
        <v>710</v>
      </c>
      <c r="P191" s="121">
        <v>0.25900000000000001</v>
      </c>
      <c r="Q191" s="121" t="s">
        <v>712</v>
      </c>
      <c r="R191" s="121">
        <v>3.9E-2</v>
      </c>
      <c r="S191" s="121" t="s">
        <v>187</v>
      </c>
      <c r="T191" s="121">
        <v>0.159</v>
      </c>
      <c r="U191" s="121" t="s">
        <v>188</v>
      </c>
      <c r="V191" s="121">
        <v>3.0000000000000001E-3</v>
      </c>
      <c r="W191" s="121"/>
      <c r="X191" s="121"/>
      <c r="Y191" s="121"/>
      <c r="Z191" s="121"/>
      <c r="AA191" s="121"/>
      <c r="AB191" s="121"/>
      <c r="AC191" s="121"/>
      <c r="AD191" s="121"/>
      <c r="AE191" s="121"/>
      <c r="AF191" s="121"/>
      <c r="AG191" s="121"/>
      <c r="AH191" s="121"/>
    </row>
    <row r="192" spans="1:37" ht="20.100000000000001" customHeight="1" x14ac:dyDescent="0.2">
      <c r="D192" s="121" t="s">
        <v>815</v>
      </c>
      <c r="E192" s="121" t="s">
        <v>878</v>
      </c>
      <c r="F192" s="121" t="s">
        <v>223</v>
      </c>
      <c r="G192" s="121">
        <v>1</v>
      </c>
      <c r="H192" s="121"/>
      <c r="I192" s="121"/>
      <c r="J192" s="121"/>
      <c r="K192" s="121">
        <v>15.6</v>
      </c>
      <c r="L192" s="121">
        <v>6.37</v>
      </c>
      <c r="M192" s="121">
        <v>12.45</v>
      </c>
      <c r="N192" s="121">
        <v>2.6</v>
      </c>
      <c r="O192" s="121" t="s">
        <v>707</v>
      </c>
      <c r="P192" s="121">
        <v>5.8000000000000003E-2</v>
      </c>
      <c r="Q192" s="121" t="s">
        <v>705</v>
      </c>
      <c r="R192" s="121">
        <v>9.8000000000000004E-2</v>
      </c>
      <c r="S192" s="121" t="s">
        <v>712</v>
      </c>
      <c r="T192" s="121">
        <v>6.3714000000000007E-2</v>
      </c>
      <c r="U192" s="121" t="s">
        <v>187</v>
      </c>
      <c r="V192" s="121">
        <v>0.124515</v>
      </c>
      <c r="W192" s="121" t="s">
        <v>188</v>
      </c>
      <c r="X192" s="121">
        <v>2.5999999999999999E-2</v>
      </c>
      <c r="Y192" s="121"/>
      <c r="Z192" s="121"/>
      <c r="AA192" s="121"/>
      <c r="AB192" s="121"/>
      <c r="AC192" s="121"/>
      <c r="AD192" s="121"/>
      <c r="AE192" s="121"/>
      <c r="AF192" s="121"/>
      <c r="AG192" s="121"/>
      <c r="AH192" s="121"/>
    </row>
    <row r="193" spans="4:34" ht="20.100000000000001" customHeight="1" x14ac:dyDescent="0.2">
      <c r="D193" s="121" t="s">
        <v>879</v>
      </c>
      <c r="E193" s="121" t="s">
        <v>880</v>
      </c>
      <c r="F193" s="121" t="s">
        <v>223</v>
      </c>
      <c r="G193" s="121">
        <v>1</v>
      </c>
      <c r="H193" s="121"/>
      <c r="I193" s="121"/>
      <c r="J193" s="121"/>
      <c r="K193" s="121">
        <v>11.15</v>
      </c>
      <c r="L193" s="121">
        <v>17.52</v>
      </c>
      <c r="M193" s="121"/>
      <c r="N193" s="121">
        <v>3.6</v>
      </c>
      <c r="O193" s="121" t="s">
        <v>695</v>
      </c>
      <c r="P193" s="121">
        <v>0.8</v>
      </c>
      <c r="Q193" s="121" t="s">
        <v>700</v>
      </c>
      <c r="R193" s="121">
        <v>0.15</v>
      </c>
      <c r="S193" s="121" t="s">
        <v>761</v>
      </c>
      <c r="T193" s="121" t="s">
        <v>881</v>
      </c>
      <c r="U193" s="121" t="s">
        <v>805</v>
      </c>
      <c r="V193" s="121" t="s">
        <v>881</v>
      </c>
      <c r="W193" s="121" t="s">
        <v>758</v>
      </c>
      <c r="X193" s="121" t="s">
        <v>881</v>
      </c>
      <c r="Y193" s="121"/>
      <c r="Z193" s="121"/>
      <c r="AA193" s="121"/>
      <c r="AB193" s="121"/>
      <c r="AC193" s="121"/>
      <c r="AD193" s="121"/>
      <c r="AE193" s="121"/>
      <c r="AF193" s="121"/>
      <c r="AG193" s="121"/>
      <c r="AH193" s="121"/>
    </row>
    <row r="194" spans="4:34" ht="20.100000000000001" customHeight="1" x14ac:dyDescent="0.2">
      <c r="D194" s="121" t="s">
        <v>879</v>
      </c>
      <c r="E194" s="121" t="s">
        <v>882</v>
      </c>
      <c r="F194" s="121" t="s">
        <v>223</v>
      </c>
      <c r="G194" s="121">
        <v>1</v>
      </c>
      <c r="H194" s="121"/>
      <c r="I194" s="121"/>
      <c r="J194" s="121"/>
      <c r="K194" s="121"/>
      <c r="L194" s="121">
        <v>5.5</v>
      </c>
      <c r="M194" s="121">
        <v>15</v>
      </c>
      <c r="N194" s="121">
        <v>6.88</v>
      </c>
      <c r="O194" s="121" t="s">
        <v>720</v>
      </c>
      <c r="P194" s="121">
        <v>0.625</v>
      </c>
      <c r="Q194" s="121" t="s">
        <v>718</v>
      </c>
      <c r="R194" s="121">
        <v>0.3</v>
      </c>
      <c r="S194" s="121"/>
      <c r="T194" s="121"/>
      <c r="U194" s="121"/>
      <c r="V194" s="121"/>
      <c r="W194" s="121"/>
      <c r="X194" s="121"/>
      <c r="Y194" s="121"/>
      <c r="Z194" s="121"/>
      <c r="AA194" s="121"/>
      <c r="AB194" s="121"/>
      <c r="AC194" s="121"/>
      <c r="AD194" s="121"/>
      <c r="AE194" s="121"/>
      <c r="AF194" s="121"/>
      <c r="AG194" s="121"/>
      <c r="AH194" s="121"/>
    </row>
    <row r="195" spans="4:34" ht="20.100000000000001" customHeight="1" x14ac:dyDescent="0.2">
      <c r="D195" s="121" t="s">
        <v>883</v>
      </c>
      <c r="E195" s="121" t="s">
        <v>884</v>
      </c>
      <c r="F195" s="121" t="s">
        <v>223</v>
      </c>
      <c r="G195" s="121">
        <v>1</v>
      </c>
      <c r="H195" s="121"/>
      <c r="I195" s="121"/>
      <c r="J195" s="121"/>
      <c r="K195" s="121">
        <v>27</v>
      </c>
      <c r="L195" s="121"/>
      <c r="M195" s="121"/>
      <c r="N195" s="121"/>
      <c r="O195" s="121" t="s">
        <v>704</v>
      </c>
      <c r="P195" s="121">
        <v>1</v>
      </c>
      <c r="Q195" s="121"/>
      <c r="R195" s="121"/>
      <c r="S195" s="121"/>
      <c r="T195" s="121"/>
      <c r="U195" s="121"/>
      <c r="V195" s="121"/>
      <c r="W195" s="121"/>
      <c r="X195" s="121"/>
      <c r="Y195" s="121"/>
      <c r="Z195" s="121"/>
      <c r="AA195" s="121"/>
      <c r="AB195" s="121"/>
      <c r="AC195" s="121"/>
      <c r="AD195" s="121"/>
      <c r="AE195" s="121"/>
      <c r="AF195" s="121"/>
      <c r="AG195" s="121"/>
      <c r="AH195" s="121"/>
    </row>
    <row r="196" spans="4:34" ht="20.100000000000001" customHeight="1" x14ac:dyDescent="0.2">
      <c r="D196" s="121" t="s">
        <v>776</v>
      </c>
      <c r="E196" s="121" t="s">
        <v>885</v>
      </c>
      <c r="F196" s="121" t="s">
        <v>223</v>
      </c>
      <c r="G196" s="121">
        <v>1</v>
      </c>
      <c r="H196" s="121"/>
      <c r="I196" s="121"/>
      <c r="J196" s="121"/>
      <c r="K196" s="121">
        <v>20.6</v>
      </c>
      <c r="L196" s="121">
        <v>3</v>
      </c>
      <c r="M196" s="121">
        <v>7.5</v>
      </c>
      <c r="N196" s="121">
        <v>3.8</v>
      </c>
      <c r="O196" s="121" t="s">
        <v>707</v>
      </c>
      <c r="P196" s="121">
        <v>6.4000000000000001E-2</v>
      </c>
      <c r="Q196" s="121" t="s">
        <v>705</v>
      </c>
      <c r="R196" s="121">
        <v>0.14199999999999999</v>
      </c>
      <c r="S196" s="121" t="s">
        <v>712</v>
      </c>
      <c r="T196" s="121">
        <v>0.03</v>
      </c>
      <c r="U196" s="121" t="s">
        <v>187</v>
      </c>
      <c r="V196" s="121">
        <v>7.4999999999999997E-2</v>
      </c>
      <c r="W196" s="121" t="s">
        <v>188</v>
      </c>
      <c r="X196" s="121">
        <v>3.7999999999999999E-2</v>
      </c>
      <c r="Y196" s="121" t="s">
        <v>750</v>
      </c>
      <c r="Z196" s="121">
        <v>4.3999999999999997E-2</v>
      </c>
      <c r="AA196" s="121"/>
      <c r="AB196" s="121"/>
      <c r="AC196" s="121"/>
      <c r="AD196" s="121"/>
      <c r="AE196" s="121"/>
      <c r="AF196" s="121"/>
      <c r="AG196" s="121"/>
      <c r="AH196" s="121"/>
    </row>
    <row r="197" spans="4:34" ht="20.100000000000001" customHeight="1" x14ac:dyDescent="0.2">
      <c r="D197" s="121" t="s">
        <v>776</v>
      </c>
      <c r="E197" s="121" t="s">
        <v>886</v>
      </c>
      <c r="F197" s="121" t="s">
        <v>223</v>
      </c>
      <c r="G197" s="121">
        <v>1</v>
      </c>
      <c r="H197" s="121"/>
      <c r="I197" s="121"/>
      <c r="J197" s="121"/>
      <c r="K197" s="121">
        <v>17.8</v>
      </c>
      <c r="L197" s="121">
        <v>1</v>
      </c>
      <c r="M197" s="121">
        <v>15</v>
      </c>
      <c r="N197" s="121">
        <v>2.5</v>
      </c>
      <c r="O197" s="121" t="s">
        <v>707</v>
      </c>
      <c r="P197" s="121">
        <v>5.5E-2</v>
      </c>
      <c r="Q197" s="121" t="s">
        <v>705</v>
      </c>
      <c r="R197" s="121">
        <v>0.123</v>
      </c>
      <c r="S197" s="121" t="s">
        <v>712</v>
      </c>
      <c r="T197" s="121">
        <v>0.01</v>
      </c>
      <c r="U197" s="121" t="s">
        <v>187</v>
      </c>
      <c r="V197" s="121">
        <v>0.15</v>
      </c>
      <c r="W197" s="121" t="s">
        <v>188</v>
      </c>
      <c r="X197" s="121">
        <v>2.5000000000000001E-2</v>
      </c>
      <c r="Y197" s="121" t="s">
        <v>750</v>
      </c>
      <c r="Z197" s="121">
        <v>4.3999999999999997E-2</v>
      </c>
      <c r="AA197" s="121"/>
      <c r="AB197" s="121"/>
      <c r="AC197" s="121"/>
      <c r="AD197" s="121"/>
      <c r="AE197" s="121"/>
      <c r="AF197" s="121"/>
      <c r="AG197" s="121"/>
      <c r="AH197" s="121"/>
    </row>
    <row r="198" spans="4:34" ht="20.100000000000001" customHeight="1" x14ac:dyDescent="0.2">
      <c r="D198" s="121" t="s">
        <v>887</v>
      </c>
      <c r="E198" s="121" t="s">
        <v>888</v>
      </c>
      <c r="F198" s="121" t="s">
        <v>223</v>
      </c>
      <c r="G198" s="121">
        <v>1</v>
      </c>
      <c r="H198" s="121"/>
      <c r="I198" s="121"/>
      <c r="J198" s="121"/>
      <c r="K198" s="121">
        <v>10</v>
      </c>
      <c r="L198" s="121">
        <v>22</v>
      </c>
      <c r="M198" s="121"/>
      <c r="N198" s="121">
        <v>1.5</v>
      </c>
      <c r="O198" s="121" t="s">
        <v>710</v>
      </c>
      <c r="P198" s="121">
        <v>0.1</v>
      </c>
      <c r="Q198" s="121" t="s">
        <v>712</v>
      </c>
      <c r="R198" s="121">
        <v>0.22</v>
      </c>
      <c r="S198" s="121" t="s">
        <v>188</v>
      </c>
      <c r="T198" s="121">
        <v>1.4999999999999999E-2</v>
      </c>
      <c r="U198" s="121" t="s">
        <v>758</v>
      </c>
      <c r="V198" s="121">
        <v>0.01</v>
      </c>
      <c r="W198" s="121"/>
      <c r="X198" s="121"/>
      <c r="Y198" s="121"/>
      <c r="Z198" s="121"/>
      <c r="AA198" s="121"/>
      <c r="AB198" s="121"/>
      <c r="AC198" s="121"/>
      <c r="AD198" s="121"/>
      <c r="AE198" s="121"/>
      <c r="AF198" s="121"/>
      <c r="AG198" s="121"/>
      <c r="AH198" s="121"/>
    </row>
    <row r="199" spans="4:34" ht="20.100000000000001" customHeight="1" x14ac:dyDescent="0.2">
      <c r="D199" s="121" t="s">
        <v>887</v>
      </c>
      <c r="E199" s="121" t="s">
        <v>889</v>
      </c>
      <c r="F199" s="121" t="s">
        <v>223</v>
      </c>
      <c r="G199" s="121">
        <v>1</v>
      </c>
      <c r="H199" s="121"/>
      <c r="I199" s="121"/>
      <c r="J199" s="121"/>
      <c r="K199" s="121"/>
      <c r="L199" s="121">
        <v>15.7</v>
      </c>
      <c r="M199" s="121"/>
      <c r="N199" s="121">
        <v>4.5999999999999996</v>
      </c>
      <c r="O199" s="121" t="s">
        <v>712</v>
      </c>
      <c r="P199" s="121">
        <v>0.157</v>
      </c>
      <c r="Q199" s="121" t="s">
        <v>188</v>
      </c>
      <c r="R199" s="121">
        <v>4.5999999999999999E-2</v>
      </c>
      <c r="S199" s="121" t="s">
        <v>750</v>
      </c>
      <c r="T199" s="121">
        <v>0.14000000000000001</v>
      </c>
      <c r="U199" s="121"/>
      <c r="V199" s="121"/>
      <c r="W199" s="121"/>
      <c r="X199" s="121"/>
      <c r="Y199" s="121"/>
      <c r="Z199" s="121"/>
      <c r="AA199" s="121"/>
      <c r="AB199" s="121"/>
      <c r="AC199" s="121"/>
      <c r="AD199" s="121"/>
      <c r="AE199" s="121"/>
      <c r="AF199" s="121"/>
      <c r="AG199" s="121"/>
      <c r="AH199" s="121"/>
    </row>
    <row r="200" spans="4:34" ht="20.100000000000001" customHeight="1" x14ac:dyDescent="0.2">
      <c r="D200" s="121" t="s">
        <v>887</v>
      </c>
      <c r="E200" s="121" t="s">
        <v>890</v>
      </c>
      <c r="F200" s="121" t="s">
        <v>223</v>
      </c>
      <c r="G200" s="121">
        <v>1</v>
      </c>
      <c r="H200" s="121"/>
      <c r="I200" s="121"/>
      <c r="J200" s="121"/>
      <c r="K200" s="121"/>
      <c r="L200" s="121"/>
      <c r="M200" s="121"/>
      <c r="N200" s="121">
        <v>90</v>
      </c>
      <c r="O200" s="121" t="s">
        <v>188</v>
      </c>
      <c r="P200" s="121">
        <v>0.9</v>
      </c>
      <c r="Q200" s="121"/>
      <c r="R200" s="121"/>
      <c r="S200" s="121"/>
      <c r="T200" s="121"/>
      <c r="U200" s="121"/>
      <c r="V200" s="121"/>
      <c r="W200" s="121"/>
      <c r="X200" s="121"/>
      <c r="Y200" s="121"/>
      <c r="Z200" s="121"/>
      <c r="AA200" s="121"/>
      <c r="AB200" s="121"/>
      <c r="AC200" s="121"/>
      <c r="AD200" s="121"/>
      <c r="AE200" s="121"/>
      <c r="AF200" s="121"/>
      <c r="AG200" s="121"/>
      <c r="AH200" s="121"/>
    </row>
    <row r="201" spans="4:34" ht="20.100000000000001" customHeight="1" x14ac:dyDescent="0.2">
      <c r="D201" s="121" t="s">
        <v>887</v>
      </c>
      <c r="E201" s="121" t="s">
        <v>891</v>
      </c>
      <c r="F201" s="121" t="s">
        <v>223</v>
      </c>
      <c r="G201" s="121">
        <v>1</v>
      </c>
      <c r="H201" s="121"/>
      <c r="I201" s="121"/>
      <c r="J201" s="121"/>
      <c r="K201" s="121">
        <v>19.5</v>
      </c>
      <c r="L201" s="121">
        <v>0.7</v>
      </c>
      <c r="M201" s="121"/>
      <c r="N201" s="121">
        <v>23</v>
      </c>
      <c r="O201" s="121" t="s">
        <v>710</v>
      </c>
      <c r="P201" s="121">
        <v>0.19500000000000001</v>
      </c>
      <c r="Q201" s="121" t="s">
        <v>712</v>
      </c>
      <c r="R201" s="121">
        <v>7.0000000000000001E-3</v>
      </c>
      <c r="S201" s="121" t="s">
        <v>188</v>
      </c>
      <c r="T201" s="121">
        <v>0.23</v>
      </c>
      <c r="U201" s="121"/>
      <c r="V201" s="121"/>
      <c r="W201" s="121"/>
      <c r="X201" s="121"/>
      <c r="Y201" s="121"/>
      <c r="Z201" s="121"/>
      <c r="AA201" s="121"/>
      <c r="AB201" s="121"/>
      <c r="AC201" s="121"/>
      <c r="AD201" s="121"/>
      <c r="AE201" s="121"/>
      <c r="AF201" s="121"/>
      <c r="AG201" s="121"/>
      <c r="AH201" s="121"/>
    </row>
    <row r="202" spans="4:34" ht="20.100000000000001" customHeight="1" x14ac:dyDescent="0.2">
      <c r="D202" s="121" t="s">
        <v>887</v>
      </c>
      <c r="E202" s="121" t="s">
        <v>892</v>
      </c>
      <c r="F202" s="121" t="s">
        <v>223</v>
      </c>
      <c r="G202" s="121">
        <v>1</v>
      </c>
      <c r="H202" s="121"/>
      <c r="I202" s="121"/>
      <c r="J202" s="121"/>
      <c r="K202" s="121">
        <v>10</v>
      </c>
      <c r="L202" s="121">
        <v>18</v>
      </c>
      <c r="M202" s="121"/>
      <c r="N202" s="121">
        <v>8</v>
      </c>
      <c r="O202" s="121" t="s">
        <v>710</v>
      </c>
      <c r="P202" s="121">
        <v>0.1</v>
      </c>
      <c r="Q202" s="121" t="s">
        <v>712</v>
      </c>
      <c r="R202" s="121">
        <v>0.18</v>
      </c>
      <c r="S202" s="121" t="s">
        <v>188</v>
      </c>
      <c r="T202" s="121">
        <v>0.08</v>
      </c>
      <c r="U202" s="121" t="s">
        <v>758</v>
      </c>
      <c r="V202" s="121">
        <v>5.0000000000000001E-3</v>
      </c>
      <c r="W202" s="121"/>
      <c r="X202" s="121"/>
      <c r="Y202" s="121"/>
      <c r="Z202" s="121"/>
      <c r="AA202" s="121"/>
      <c r="AB202" s="121"/>
      <c r="AC202" s="121"/>
      <c r="AD202" s="121"/>
      <c r="AE202" s="121"/>
      <c r="AF202" s="121"/>
      <c r="AG202" s="121"/>
      <c r="AH202" s="121"/>
    </row>
    <row r="203" spans="4:34" ht="20.100000000000001" customHeight="1" x14ac:dyDescent="0.2">
      <c r="D203" s="121" t="s">
        <v>887</v>
      </c>
      <c r="E203" s="121" t="s">
        <v>893</v>
      </c>
      <c r="F203" s="121" t="s">
        <v>223</v>
      </c>
      <c r="G203" s="121">
        <v>1</v>
      </c>
      <c r="H203" s="121"/>
      <c r="I203" s="121"/>
      <c r="J203" s="121"/>
      <c r="K203" s="121">
        <v>9</v>
      </c>
      <c r="L203" s="121">
        <v>19.8</v>
      </c>
      <c r="M203" s="121">
        <v>0</v>
      </c>
      <c r="N203" s="121">
        <v>10.4</v>
      </c>
      <c r="O203" s="121" t="s">
        <v>710</v>
      </c>
      <c r="P203" s="121">
        <v>0.09</v>
      </c>
      <c r="Q203" s="121" t="s">
        <v>712</v>
      </c>
      <c r="R203" s="121">
        <v>0.19800000000000001</v>
      </c>
      <c r="S203" s="121" t="s">
        <v>188</v>
      </c>
      <c r="T203" s="121">
        <v>0.104</v>
      </c>
      <c r="U203" s="121"/>
      <c r="V203" s="121"/>
      <c r="W203" s="121"/>
      <c r="X203" s="121"/>
      <c r="Y203" s="121"/>
      <c r="Z203" s="121"/>
      <c r="AA203" s="121"/>
      <c r="AB203" s="121"/>
      <c r="AC203" s="121"/>
      <c r="AD203" s="121"/>
      <c r="AE203" s="121"/>
      <c r="AF203" s="121"/>
      <c r="AG203" s="121"/>
      <c r="AH203" s="121"/>
    </row>
    <row r="204" spans="4:34" ht="20.100000000000001" customHeight="1" x14ac:dyDescent="0.2">
      <c r="D204" s="121" t="s">
        <v>887</v>
      </c>
      <c r="E204" s="121" t="s">
        <v>894</v>
      </c>
      <c r="F204" s="121" t="s">
        <v>223</v>
      </c>
      <c r="G204" s="121">
        <v>1</v>
      </c>
      <c r="H204" s="121"/>
      <c r="I204" s="121"/>
      <c r="J204" s="121"/>
      <c r="K204" s="121">
        <v>15.2</v>
      </c>
      <c r="L204" s="121">
        <v>16.899999999999999</v>
      </c>
      <c r="M204" s="121">
        <v>0</v>
      </c>
      <c r="N204" s="121">
        <v>15.2</v>
      </c>
      <c r="O204" s="121" t="s">
        <v>710</v>
      </c>
      <c r="P204" s="121">
        <v>0.152</v>
      </c>
      <c r="Q204" s="121" t="s">
        <v>712</v>
      </c>
      <c r="R204" s="121">
        <v>0.16900000000000001</v>
      </c>
      <c r="S204" s="121" t="s">
        <v>188</v>
      </c>
      <c r="T204" s="121">
        <v>0.152</v>
      </c>
      <c r="U204" s="121"/>
      <c r="V204" s="121"/>
      <c r="W204" s="121"/>
      <c r="X204" s="121"/>
      <c r="Y204" s="121"/>
      <c r="Z204" s="121"/>
      <c r="AA204" s="121"/>
      <c r="AB204" s="121"/>
      <c r="AC204" s="121"/>
      <c r="AD204" s="121"/>
      <c r="AE204" s="121"/>
      <c r="AF204" s="121"/>
      <c r="AG204" s="121"/>
      <c r="AH204" s="121"/>
    </row>
    <row r="205" spans="4:34" ht="20.100000000000001" customHeight="1" x14ac:dyDescent="0.2">
      <c r="D205" s="121" t="s">
        <v>887</v>
      </c>
      <c r="E205" s="121" t="s">
        <v>895</v>
      </c>
      <c r="F205" s="121" t="s">
        <v>223</v>
      </c>
      <c r="G205" s="121">
        <v>1</v>
      </c>
      <c r="H205" s="121"/>
      <c r="I205" s="121"/>
      <c r="J205" s="121"/>
      <c r="K205" s="121">
        <v>16.2</v>
      </c>
      <c r="L205" s="121">
        <v>18</v>
      </c>
      <c r="M205" s="121">
        <v>0</v>
      </c>
      <c r="N205" s="121">
        <v>10.4</v>
      </c>
      <c r="O205" s="121" t="s">
        <v>710</v>
      </c>
      <c r="P205" s="121">
        <v>0.16200000000000001</v>
      </c>
      <c r="Q205" s="121" t="s">
        <v>712</v>
      </c>
      <c r="R205" s="121">
        <v>0.18</v>
      </c>
      <c r="S205" s="121" t="s">
        <v>188</v>
      </c>
      <c r="T205" s="121">
        <v>0.104</v>
      </c>
      <c r="U205" s="121"/>
      <c r="V205" s="121"/>
      <c r="W205" s="121"/>
      <c r="X205" s="121"/>
      <c r="Y205" s="121"/>
      <c r="Z205" s="121"/>
      <c r="AA205" s="121"/>
      <c r="AB205" s="121"/>
      <c r="AC205" s="121"/>
      <c r="AD205" s="121"/>
      <c r="AE205" s="121"/>
      <c r="AF205" s="121"/>
      <c r="AG205" s="121"/>
      <c r="AH205" s="121"/>
    </row>
    <row r="206" spans="4:34" ht="20.100000000000001" customHeight="1" x14ac:dyDescent="0.2">
      <c r="D206" s="121" t="s">
        <v>887</v>
      </c>
      <c r="E206" s="121" t="s">
        <v>896</v>
      </c>
      <c r="F206" s="121" t="s">
        <v>223</v>
      </c>
      <c r="G206" s="121">
        <v>1</v>
      </c>
      <c r="H206" s="121"/>
      <c r="I206" s="121"/>
      <c r="J206" s="121"/>
      <c r="K206" s="121">
        <v>5</v>
      </c>
      <c r="L206" s="121">
        <v>15.4</v>
      </c>
      <c r="M206" s="121">
        <v>0</v>
      </c>
      <c r="N206" s="121">
        <v>6.3</v>
      </c>
      <c r="O206" s="121" t="s">
        <v>710</v>
      </c>
      <c r="P206" s="121">
        <v>0.05</v>
      </c>
      <c r="Q206" s="121" t="s">
        <v>712</v>
      </c>
      <c r="R206" s="121">
        <v>0.154</v>
      </c>
      <c r="S206" s="121" t="s">
        <v>188</v>
      </c>
      <c r="T206" s="121">
        <v>6.3E-2</v>
      </c>
      <c r="U206" s="121"/>
      <c r="V206" s="121"/>
      <c r="W206" s="121"/>
      <c r="X206" s="121"/>
      <c r="Y206" s="121"/>
      <c r="Z206" s="121"/>
      <c r="AA206" s="121"/>
      <c r="AB206" s="121"/>
      <c r="AC206" s="121"/>
      <c r="AD206" s="121"/>
      <c r="AE206" s="121"/>
      <c r="AF206" s="121"/>
      <c r="AG206" s="121"/>
      <c r="AH206" s="121"/>
    </row>
    <row r="207" spans="4:34" ht="20.100000000000001" customHeight="1" x14ac:dyDescent="0.2">
      <c r="D207" s="121" t="s">
        <v>887</v>
      </c>
      <c r="E207" s="121" t="s">
        <v>897</v>
      </c>
      <c r="F207" s="121" t="s">
        <v>223</v>
      </c>
      <c r="G207" s="121">
        <v>1</v>
      </c>
      <c r="H207" s="121"/>
      <c r="I207" s="121"/>
      <c r="J207" s="121"/>
      <c r="K207" s="121">
        <v>9</v>
      </c>
      <c r="L207" s="121">
        <v>19.8</v>
      </c>
      <c r="M207" s="121">
        <v>0</v>
      </c>
      <c r="N207" s="121">
        <v>10.4</v>
      </c>
      <c r="O207" s="121" t="s">
        <v>710</v>
      </c>
      <c r="P207" s="121">
        <v>0.09</v>
      </c>
      <c r="Q207" s="121" t="s">
        <v>712</v>
      </c>
      <c r="R207" s="121">
        <v>0.19800000000000001</v>
      </c>
      <c r="S207" s="121" t="s">
        <v>188</v>
      </c>
      <c r="T207" s="121">
        <v>0.104</v>
      </c>
      <c r="U207" s="121" t="s">
        <v>758</v>
      </c>
      <c r="V207" s="121">
        <v>8.9999999999999993E-3</v>
      </c>
      <c r="W207" s="121"/>
      <c r="X207" s="121"/>
      <c r="Y207" s="121"/>
      <c r="Z207" s="121"/>
      <c r="AA207" s="121"/>
      <c r="AB207" s="121"/>
      <c r="AC207" s="121"/>
      <c r="AD207" s="121"/>
      <c r="AE207" s="121"/>
      <c r="AF207" s="121"/>
      <c r="AG207" s="121"/>
      <c r="AH207" s="121"/>
    </row>
    <row r="208" spans="4:34" ht="20.100000000000001" customHeight="1" x14ac:dyDescent="0.2">
      <c r="D208" s="121" t="s">
        <v>887</v>
      </c>
      <c r="E208" s="121" t="s">
        <v>898</v>
      </c>
      <c r="F208" s="121" t="s">
        <v>223</v>
      </c>
      <c r="G208" s="121">
        <v>1</v>
      </c>
      <c r="H208" s="121"/>
      <c r="I208" s="121"/>
      <c r="J208" s="121"/>
      <c r="K208" s="121">
        <v>11.9</v>
      </c>
      <c r="L208" s="121">
        <v>17.600000000000001</v>
      </c>
      <c r="M208" s="121">
        <v>0</v>
      </c>
      <c r="N208" s="121">
        <v>5.9</v>
      </c>
      <c r="O208" s="121" t="s">
        <v>710</v>
      </c>
      <c r="P208" s="121">
        <v>0.11899999999999999</v>
      </c>
      <c r="Q208" s="121" t="s">
        <v>712</v>
      </c>
      <c r="R208" s="121">
        <v>0.17599999999999999</v>
      </c>
      <c r="S208" s="121" t="s">
        <v>188</v>
      </c>
      <c r="T208" s="121">
        <v>5.8999999999999997E-2</v>
      </c>
      <c r="U208" s="121" t="s">
        <v>758</v>
      </c>
      <c r="V208" s="121">
        <v>8.0000000000000002E-3</v>
      </c>
      <c r="W208" s="121"/>
      <c r="X208" s="121"/>
      <c r="Y208" s="121"/>
      <c r="Z208" s="121"/>
      <c r="AA208" s="121"/>
      <c r="AB208" s="121"/>
      <c r="AC208" s="121"/>
      <c r="AD208" s="121"/>
      <c r="AE208" s="121"/>
      <c r="AF208" s="121"/>
      <c r="AG208" s="121"/>
      <c r="AH208" s="121"/>
    </row>
    <row r="209" spans="1:34" ht="20.100000000000001" customHeight="1" x14ac:dyDescent="0.2">
      <c r="D209" s="121" t="s">
        <v>887</v>
      </c>
      <c r="E209" s="121" t="s">
        <v>899</v>
      </c>
      <c r="F209" s="121" t="s">
        <v>223</v>
      </c>
      <c r="G209" s="121">
        <v>1</v>
      </c>
      <c r="H209" s="121"/>
      <c r="I209" s="121"/>
      <c r="J209" s="121"/>
      <c r="K209" s="121">
        <v>14.1</v>
      </c>
      <c r="L209" s="121">
        <v>12.8</v>
      </c>
      <c r="M209" s="121">
        <v>0</v>
      </c>
      <c r="N209" s="121">
        <v>10.7</v>
      </c>
      <c r="O209" s="121" t="s">
        <v>710</v>
      </c>
      <c r="P209" s="121">
        <v>0.14099999999999999</v>
      </c>
      <c r="Q209" s="121" t="s">
        <v>712</v>
      </c>
      <c r="R209" s="121">
        <v>0.128</v>
      </c>
      <c r="S209" s="121" t="s">
        <v>188</v>
      </c>
      <c r="T209" s="121">
        <v>0.107</v>
      </c>
      <c r="U209" s="121" t="s">
        <v>758</v>
      </c>
      <c r="V209" s="121">
        <v>6.0000000000000001E-3</v>
      </c>
      <c r="W209" s="121"/>
      <c r="X209" s="121"/>
      <c r="Y209" s="121"/>
      <c r="Z209" s="121"/>
      <c r="AA209" s="121"/>
      <c r="AB209" s="121"/>
      <c r="AC209" s="121"/>
      <c r="AD209" s="121"/>
      <c r="AE209" s="121"/>
      <c r="AF209" s="121"/>
      <c r="AG209" s="121"/>
      <c r="AH209" s="121"/>
    </row>
    <row r="210" spans="1:34" ht="20.100000000000001" customHeight="1" x14ac:dyDescent="0.2">
      <c r="D210" s="121" t="s">
        <v>887</v>
      </c>
      <c r="E210" s="121" t="s">
        <v>900</v>
      </c>
      <c r="F210" s="121" t="s">
        <v>223</v>
      </c>
      <c r="G210" s="121">
        <v>1</v>
      </c>
      <c r="H210" s="121"/>
      <c r="I210" s="121"/>
      <c r="J210" s="121"/>
      <c r="K210" s="121">
        <v>18.600000000000001</v>
      </c>
      <c r="L210" s="121">
        <v>12.7</v>
      </c>
      <c r="M210" s="121">
        <v>0</v>
      </c>
      <c r="N210" s="121">
        <v>6.8</v>
      </c>
      <c r="O210" s="121" t="s">
        <v>710</v>
      </c>
      <c r="P210" s="121">
        <v>0.186</v>
      </c>
      <c r="Q210" s="121" t="s">
        <v>712</v>
      </c>
      <c r="R210" s="121">
        <v>0.127</v>
      </c>
      <c r="S210" s="121" t="s">
        <v>188</v>
      </c>
      <c r="T210" s="121">
        <v>6.8000000000000005E-2</v>
      </c>
      <c r="U210" s="121" t="s">
        <v>758</v>
      </c>
      <c r="V210" s="121">
        <v>6.0000000000000001E-3</v>
      </c>
      <c r="W210" s="121"/>
      <c r="X210" s="121"/>
      <c r="Y210" s="121"/>
      <c r="Z210" s="121"/>
      <c r="AA210" s="121"/>
      <c r="AB210" s="121"/>
      <c r="AC210" s="121"/>
      <c r="AD210" s="121"/>
      <c r="AE210" s="121"/>
      <c r="AF210" s="121"/>
      <c r="AG210" s="121"/>
      <c r="AH210" s="121"/>
    </row>
    <row r="211" spans="1:34" ht="20.100000000000001" customHeight="1" x14ac:dyDescent="0.2">
      <c r="D211" s="121" t="s">
        <v>887</v>
      </c>
      <c r="E211" s="121" t="s">
        <v>901</v>
      </c>
      <c r="F211" s="121" t="s">
        <v>223</v>
      </c>
      <c r="G211" s="121">
        <v>1</v>
      </c>
      <c r="H211" s="121"/>
      <c r="I211" s="121"/>
      <c r="J211" s="121"/>
      <c r="K211" s="121">
        <v>32</v>
      </c>
      <c r="L211" s="121">
        <v>0</v>
      </c>
      <c r="M211" s="121">
        <v>11</v>
      </c>
      <c r="N211" s="121">
        <v>3</v>
      </c>
      <c r="O211" s="121" t="s">
        <v>710</v>
      </c>
      <c r="P211" s="121">
        <v>0.32</v>
      </c>
      <c r="Q211" s="121" t="s">
        <v>187</v>
      </c>
      <c r="R211" s="121">
        <v>0.11</v>
      </c>
      <c r="S211" s="121" t="s">
        <v>188</v>
      </c>
      <c r="T211" s="121">
        <v>0.03</v>
      </c>
      <c r="U211" s="121"/>
      <c r="V211" s="121"/>
      <c r="W211" s="121"/>
      <c r="X211" s="121"/>
      <c r="Y211" s="121"/>
      <c r="Z211" s="121"/>
      <c r="AA211" s="121"/>
      <c r="AB211" s="121"/>
      <c r="AC211" s="121"/>
      <c r="AD211" s="121"/>
      <c r="AE211" s="121"/>
      <c r="AF211" s="121"/>
      <c r="AG211" s="121"/>
      <c r="AH211" s="121"/>
    </row>
    <row r="212" spans="1:34" ht="20.100000000000001" customHeight="1" x14ac:dyDescent="0.2">
      <c r="D212" s="121" t="s">
        <v>887</v>
      </c>
      <c r="E212" s="121" t="s">
        <v>902</v>
      </c>
      <c r="F212" s="121" t="s">
        <v>223</v>
      </c>
      <c r="G212" s="121">
        <v>1</v>
      </c>
      <c r="H212" s="121"/>
      <c r="I212" s="121"/>
      <c r="J212" s="121"/>
      <c r="K212" s="121">
        <v>31</v>
      </c>
      <c r="L212" s="121">
        <v>6</v>
      </c>
      <c r="M212" s="121">
        <v>0</v>
      </c>
      <c r="N212" s="121">
        <v>6</v>
      </c>
      <c r="O212" s="121" t="s">
        <v>710</v>
      </c>
      <c r="P212" s="121">
        <v>0.31</v>
      </c>
      <c r="Q212" s="121" t="s">
        <v>712</v>
      </c>
      <c r="R212" s="121">
        <v>0.06</v>
      </c>
      <c r="S212" s="121" t="s">
        <v>188</v>
      </c>
      <c r="T212" s="121">
        <v>0.06</v>
      </c>
      <c r="U212" s="121"/>
      <c r="V212" s="121"/>
      <c r="W212" s="121"/>
      <c r="X212" s="121"/>
      <c r="Y212" s="121"/>
      <c r="Z212" s="121"/>
      <c r="AA212" s="121"/>
      <c r="AB212" s="121"/>
      <c r="AC212" s="121"/>
      <c r="AD212" s="121"/>
      <c r="AE212" s="121"/>
      <c r="AF212" s="121"/>
      <c r="AG212" s="121"/>
      <c r="AH212" s="121"/>
    </row>
    <row r="213" spans="1:34" ht="20.100000000000001" customHeight="1" x14ac:dyDescent="0.2">
      <c r="D213" s="121" t="s">
        <v>887</v>
      </c>
      <c r="E213" s="121" t="s">
        <v>903</v>
      </c>
      <c r="F213" s="121" t="s">
        <v>223</v>
      </c>
      <c r="G213" s="121">
        <v>1</v>
      </c>
      <c r="H213" s="121"/>
      <c r="I213" s="121"/>
      <c r="J213" s="121"/>
      <c r="K213" s="121">
        <v>21</v>
      </c>
      <c r="L213" s="121">
        <v>4</v>
      </c>
      <c r="M213" s="121">
        <v>8</v>
      </c>
      <c r="N213" s="121">
        <v>7</v>
      </c>
      <c r="O213" s="121" t="s">
        <v>710</v>
      </c>
      <c r="P213" s="121">
        <v>0.21</v>
      </c>
      <c r="Q213" s="121" t="s">
        <v>712</v>
      </c>
      <c r="R213" s="121">
        <v>0.04</v>
      </c>
      <c r="S213" s="121" t="s">
        <v>187</v>
      </c>
      <c r="T213" s="121">
        <v>0.08</v>
      </c>
      <c r="U213" s="121" t="s">
        <v>188</v>
      </c>
      <c r="V213" s="121">
        <v>7.0000000000000007E-2</v>
      </c>
      <c r="W213" s="121"/>
      <c r="X213" s="121"/>
      <c r="Y213" s="121"/>
      <c r="Z213" s="121"/>
      <c r="AA213" s="121"/>
      <c r="AB213" s="121"/>
      <c r="AC213" s="121"/>
      <c r="AD213" s="121"/>
      <c r="AE213" s="121"/>
      <c r="AF213" s="121"/>
      <c r="AG213" s="121"/>
      <c r="AH213" s="121"/>
    </row>
    <row r="214" spans="1:34" ht="20.100000000000001" customHeight="1" x14ac:dyDescent="0.2">
      <c r="D214" s="121" t="s">
        <v>887</v>
      </c>
      <c r="E214" s="121" t="s">
        <v>904</v>
      </c>
      <c r="F214" s="121" t="s">
        <v>223</v>
      </c>
      <c r="G214" s="121">
        <v>1</v>
      </c>
      <c r="H214" s="121"/>
      <c r="I214" s="121"/>
      <c r="J214" s="121"/>
      <c r="K214" s="121">
        <v>23</v>
      </c>
      <c r="L214" s="121">
        <v>0</v>
      </c>
      <c r="M214" s="121">
        <v>25</v>
      </c>
      <c r="N214" s="121">
        <v>0</v>
      </c>
      <c r="O214" s="121" t="s">
        <v>710</v>
      </c>
      <c r="P214" s="121">
        <v>0.23</v>
      </c>
      <c r="Q214" s="121" t="s">
        <v>187</v>
      </c>
      <c r="R214" s="121">
        <v>0.25</v>
      </c>
      <c r="S214" s="121"/>
      <c r="T214" s="121"/>
      <c r="U214" s="121"/>
      <c r="V214" s="121"/>
      <c r="W214" s="121"/>
      <c r="X214" s="121"/>
      <c r="Y214" s="121"/>
      <c r="Z214" s="121"/>
      <c r="AA214" s="121"/>
      <c r="AB214" s="121"/>
      <c r="AC214" s="121"/>
      <c r="AD214" s="121"/>
      <c r="AE214" s="121"/>
      <c r="AF214" s="121"/>
      <c r="AG214" s="121"/>
      <c r="AH214" s="121"/>
    </row>
    <row r="215" spans="1:34" ht="20.100000000000001" customHeight="1" x14ac:dyDescent="0.2">
      <c r="D215" s="121" t="s">
        <v>887</v>
      </c>
      <c r="E215" s="121" t="s">
        <v>905</v>
      </c>
      <c r="F215" s="121" t="s">
        <v>223</v>
      </c>
      <c r="G215" s="121">
        <v>1</v>
      </c>
      <c r="H215" s="121"/>
      <c r="I215" s="121"/>
      <c r="J215" s="121"/>
      <c r="K215" s="121">
        <v>25</v>
      </c>
      <c r="L215" s="121">
        <v>4</v>
      </c>
      <c r="M215" s="121">
        <v>13</v>
      </c>
      <c r="N215" s="121">
        <v>4</v>
      </c>
      <c r="O215" s="121" t="s">
        <v>710</v>
      </c>
      <c r="P215" s="121">
        <v>0.25</v>
      </c>
      <c r="Q215" s="121" t="s">
        <v>712</v>
      </c>
      <c r="R215" s="121">
        <v>0.04</v>
      </c>
      <c r="S215" s="121" t="s">
        <v>187</v>
      </c>
      <c r="T215" s="121">
        <v>0.13</v>
      </c>
      <c r="U215" s="121" t="s">
        <v>188</v>
      </c>
      <c r="V215" s="121">
        <v>0.04</v>
      </c>
      <c r="W215" s="121"/>
      <c r="X215" s="121"/>
      <c r="Y215" s="121"/>
      <c r="Z215" s="121"/>
      <c r="AA215" s="121"/>
      <c r="AB215" s="121"/>
      <c r="AC215" s="121"/>
      <c r="AD215" s="121"/>
      <c r="AE215" s="121"/>
      <c r="AF215" s="121"/>
      <c r="AG215" s="121"/>
      <c r="AH215" s="121"/>
    </row>
    <row r="216" spans="1:34" ht="20.100000000000001" customHeight="1" x14ac:dyDescent="0.2">
      <c r="D216" s="121" t="s">
        <v>887</v>
      </c>
      <c r="E216" s="121" t="s">
        <v>906</v>
      </c>
      <c r="F216" s="121" t="s">
        <v>223</v>
      </c>
      <c r="G216" s="121">
        <v>1</v>
      </c>
      <c r="H216" s="121"/>
      <c r="I216" s="121"/>
      <c r="J216" s="121"/>
      <c r="K216" s="121">
        <v>13</v>
      </c>
      <c r="L216" s="121">
        <v>5</v>
      </c>
      <c r="M216" s="121">
        <v>24</v>
      </c>
      <c r="N216" s="121">
        <v>5</v>
      </c>
      <c r="O216" s="121" t="s">
        <v>710</v>
      </c>
      <c r="P216" s="121">
        <v>0.13</v>
      </c>
      <c r="Q216" s="121" t="s">
        <v>712</v>
      </c>
      <c r="R216" s="121">
        <v>0.05</v>
      </c>
      <c r="S216" s="121" t="s">
        <v>187</v>
      </c>
      <c r="T216" s="121">
        <v>0.24</v>
      </c>
      <c r="U216" s="121" t="s">
        <v>188</v>
      </c>
      <c r="V216" s="121">
        <v>0.05</v>
      </c>
      <c r="W216" s="121"/>
      <c r="X216" s="121"/>
      <c r="Y216" s="121"/>
      <c r="Z216" s="121"/>
      <c r="AA216" s="121"/>
      <c r="AB216" s="121"/>
      <c r="AC216" s="121"/>
      <c r="AD216" s="121"/>
      <c r="AE216" s="121"/>
      <c r="AF216" s="121"/>
      <c r="AG216" s="121"/>
      <c r="AH216" s="121"/>
    </row>
    <row r="217" spans="1:34" ht="20.100000000000001" customHeight="1" x14ac:dyDescent="0.2">
      <c r="D217" s="121" t="s">
        <v>887</v>
      </c>
      <c r="E217" s="121" t="s">
        <v>907</v>
      </c>
      <c r="F217" s="121" t="s">
        <v>223</v>
      </c>
      <c r="G217" s="121">
        <v>1</v>
      </c>
      <c r="H217" s="121"/>
      <c r="I217" s="121"/>
      <c r="J217" s="121"/>
      <c r="K217" s="121">
        <v>11</v>
      </c>
      <c r="L217" s="121">
        <v>5</v>
      </c>
      <c r="M217" s="121">
        <v>24</v>
      </c>
      <c r="N217" s="121">
        <v>4</v>
      </c>
      <c r="O217" s="121" t="s">
        <v>710</v>
      </c>
      <c r="P217" s="121">
        <v>0.11</v>
      </c>
      <c r="Q217" s="121" t="s">
        <v>712</v>
      </c>
      <c r="R217" s="121">
        <v>0.05</v>
      </c>
      <c r="S217" s="121" t="s">
        <v>187</v>
      </c>
      <c r="T217" s="121">
        <v>0.24</v>
      </c>
      <c r="U217" s="121" t="s">
        <v>188</v>
      </c>
      <c r="V217" s="121">
        <v>0.04</v>
      </c>
      <c r="W217" s="121"/>
      <c r="X217" s="121"/>
      <c r="Y217" s="121"/>
      <c r="Z217" s="121"/>
      <c r="AA217" s="121"/>
      <c r="AB217" s="121"/>
      <c r="AC217" s="121"/>
      <c r="AD217" s="121"/>
      <c r="AE217" s="121"/>
      <c r="AF217" s="121"/>
      <c r="AG217" s="121"/>
      <c r="AH217" s="121"/>
    </row>
    <row r="218" spans="1:34" ht="20.100000000000001" customHeight="1" x14ac:dyDescent="0.2">
      <c r="D218" s="121" t="s">
        <v>887</v>
      </c>
      <c r="E218" s="121" t="s">
        <v>908</v>
      </c>
      <c r="F218" s="121" t="s">
        <v>223</v>
      </c>
      <c r="G218" s="121">
        <v>1</v>
      </c>
      <c r="H218" s="121"/>
      <c r="I218" s="121"/>
      <c r="J218" s="121"/>
      <c r="K218" s="121">
        <v>11</v>
      </c>
      <c r="L218" s="121">
        <v>8</v>
      </c>
      <c r="M218" s="121">
        <v>20</v>
      </c>
      <c r="N218" s="121">
        <v>6</v>
      </c>
      <c r="O218" s="121" t="s">
        <v>710</v>
      </c>
      <c r="P218" s="121">
        <v>0.11</v>
      </c>
      <c r="Q218" s="121" t="s">
        <v>712</v>
      </c>
      <c r="R218" s="121">
        <v>0.08</v>
      </c>
      <c r="S218" s="121" t="s">
        <v>187</v>
      </c>
      <c r="T218" s="121">
        <v>0.2</v>
      </c>
      <c r="U218" s="121" t="s">
        <v>188</v>
      </c>
      <c r="V218" s="121">
        <v>0.06</v>
      </c>
      <c r="W218" s="121"/>
      <c r="X218" s="121"/>
      <c r="Y218" s="121"/>
      <c r="Z218" s="121"/>
      <c r="AA218" s="121"/>
      <c r="AB218" s="121"/>
      <c r="AC218" s="121"/>
      <c r="AD218" s="121"/>
      <c r="AE218" s="121"/>
      <c r="AF218" s="121"/>
      <c r="AG218" s="121"/>
      <c r="AH218" s="121"/>
    </row>
    <row r="219" spans="1:34" ht="20.100000000000001" customHeight="1" x14ac:dyDescent="0.2">
      <c r="D219" s="121" t="s">
        <v>887</v>
      </c>
      <c r="E219" s="121" t="s">
        <v>909</v>
      </c>
      <c r="F219" s="121" t="s">
        <v>223</v>
      </c>
      <c r="G219" s="121">
        <v>1</v>
      </c>
      <c r="H219" s="121"/>
      <c r="I219" s="121"/>
      <c r="J219" s="121"/>
      <c r="K219" s="121">
        <v>9</v>
      </c>
      <c r="L219" s="121">
        <v>4</v>
      </c>
      <c r="M219" s="121">
        <v>5</v>
      </c>
      <c r="N219" s="121">
        <v>15</v>
      </c>
      <c r="O219" s="121" t="s">
        <v>710</v>
      </c>
      <c r="P219" s="121">
        <v>0.09</v>
      </c>
      <c r="Q219" s="121" t="s">
        <v>712</v>
      </c>
      <c r="R219" s="121">
        <v>0.04</v>
      </c>
      <c r="S219" s="121" t="s">
        <v>187</v>
      </c>
      <c r="T219" s="121">
        <v>0.05</v>
      </c>
      <c r="U219" s="121" t="s">
        <v>188</v>
      </c>
      <c r="V219" s="121">
        <v>0.15</v>
      </c>
      <c r="W219" s="121"/>
      <c r="X219" s="121"/>
      <c r="Y219" s="121"/>
      <c r="Z219" s="121"/>
      <c r="AA219" s="121"/>
      <c r="AB219" s="121"/>
      <c r="AC219" s="121"/>
      <c r="AD219" s="121"/>
      <c r="AE219" s="121"/>
      <c r="AF219" s="121"/>
      <c r="AG219" s="121"/>
      <c r="AH219" s="121"/>
    </row>
    <row r="220" spans="1:34" ht="20.100000000000001" customHeight="1" x14ac:dyDescent="0.2">
      <c r="A220" s="167" t="str">
        <f>HYPERLINK("#A1", "▲ Back to top")</f>
        <v>▲ Back to top</v>
      </c>
      <c r="D220" s="121" t="s">
        <v>879</v>
      </c>
      <c r="E220" s="121" t="s">
        <v>910</v>
      </c>
      <c r="F220" s="121" t="s">
        <v>223</v>
      </c>
      <c r="G220" s="121">
        <v>1</v>
      </c>
      <c r="H220" s="121"/>
      <c r="I220" s="121"/>
      <c r="J220" s="121"/>
      <c r="K220" s="121">
        <v>10.73</v>
      </c>
      <c r="L220" s="121">
        <v>10.95</v>
      </c>
      <c r="M220" s="121">
        <v>11.35</v>
      </c>
      <c r="N220" s="121">
        <v>6.55</v>
      </c>
      <c r="O220" s="121" t="s">
        <v>695</v>
      </c>
      <c r="P220" s="121">
        <v>0.5</v>
      </c>
      <c r="Q220" s="121" t="s">
        <v>700</v>
      </c>
      <c r="R220" s="121">
        <v>0.27300000000000002</v>
      </c>
      <c r="S220" s="121" t="s">
        <v>718</v>
      </c>
      <c r="T220" s="121">
        <v>0.22700000000000001</v>
      </c>
      <c r="U220" s="121" t="s">
        <v>761</v>
      </c>
      <c r="V220" s="121" t="s">
        <v>881</v>
      </c>
      <c r="W220" s="121" t="s">
        <v>758</v>
      </c>
      <c r="X220" s="121" t="s">
        <v>881</v>
      </c>
      <c r="Y220" s="121"/>
      <c r="Z220" s="121"/>
      <c r="AA220" s="121"/>
      <c r="AB220" s="121"/>
      <c r="AC220" s="121"/>
      <c r="AD220" s="121"/>
      <c r="AE220" s="121"/>
      <c r="AF220" s="121"/>
      <c r="AG220" s="121"/>
      <c r="AH220" s="121"/>
    </row>
    <row r="221" spans="1:34" ht="20.100000000000001" customHeight="1" x14ac:dyDescent="0.2">
      <c r="D221" s="121" t="s">
        <v>879</v>
      </c>
      <c r="E221" s="121" t="s">
        <v>911</v>
      </c>
      <c r="F221" s="121" t="s">
        <v>223</v>
      </c>
      <c r="G221" s="121">
        <v>1</v>
      </c>
      <c r="H221" s="121"/>
      <c r="I221" s="121"/>
      <c r="J221" s="121"/>
      <c r="K221" s="121">
        <v>16.95</v>
      </c>
      <c r="L221" s="121">
        <v>8.06</v>
      </c>
      <c r="M221" s="121"/>
      <c r="N221" s="121">
        <v>15.17</v>
      </c>
      <c r="O221" s="121" t="s">
        <v>700</v>
      </c>
      <c r="P221" s="121">
        <v>0.63200000000000001</v>
      </c>
      <c r="Q221" s="121" t="s">
        <v>695</v>
      </c>
      <c r="R221" s="121">
        <v>0.36799999999999999</v>
      </c>
      <c r="S221" s="121" t="s">
        <v>758</v>
      </c>
      <c r="T221" s="121" t="s">
        <v>881</v>
      </c>
      <c r="U221" s="121" t="s">
        <v>761</v>
      </c>
      <c r="V221" s="121" t="s">
        <v>881</v>
      </c>
      <c r="W221" s="121" t="s">
        <v>805</v>
      </c>
      <c r="X221" s="121" t="s">
        <v>881</v>
      </c>
      <c r="Y221" s="121" t="s">
        <v>912</v>
      </c>
      <c r="Z221" s="121" t="s">
        <v>881</v>
      </c>
      <c r="AA221" s="121"/>
      <c r="AB221" s="121"/>
      <c r="AC221" s="121"/>
      <c r="AD221" s="121"/>
      <c r="AE221" s="121"/>
      <c r="AF221" s="121"/>
      <c r="AG221" s="121"/>
      <c r="AH221" s="121"/>
    </row>
    <row r="222" spans="1:34" ht="20.100000000000001" customHeight="1" x14ac:dyDescent="0.2">
      <c r="D222" s="121" t="s">
        <v>879</v>
      </c>
      <c r="E222" s="121" t="s">
        <v>913</v>
      </c>
      <c r="F222" s="121" t="s">
        <v>223</v>
      </c>
      <c r="G222" s="121">
        <v>1</v>
      </c>
      <c r="H222" s="121"/>
      <c r="I222" s="121"/>
      <c r="J222" s="121"/>
      <c r="K222" s="121"/>
      <c r="L222" s="121">
        <v>8.8000000000000007</v>
      </c>
      <c r="M222" s="121"/>
      <c r="N222" s="121">
        <v>11</v>
      </c>
      <c r="O222" s="121" t="s">
        <v>720</v>
      </c>
      <c r="P222" s="121">
        <v>1</v>
      </c>
      <c r="Q222" s="121" t="s">
        <v>761</v>
      </c>
      <c r="R222" s="121">
        <v>6.0000000000000001E-3</v>
      </c>
      <c r="S222" s="121" t="s">
        <v>758</v>
      </c>
      <c r="T222" s="121">
        <v>3.0000000000000001E-3</v>
      </c>
      <c r="U222" s="121" t="s">
        <v>805</v>
      </c>
      <c r="V222" s="121">
        <v>5.9999999999999995E-4</v>
      </c>
      <c r="W222" s="121"/>
      <c r="X222" s="121"/>
      <c r="Y222" s="121"/>
      <c r="Z222" s="121"/>
      <c r="AA222" s="121"/>
      <c r="AB222" s="121"/>
      <c r="AC222" s="121"/>
      <c r="AD222" s="121"/>
      <c r="AE222" s="121"/>
      <c r="AF222" s="121"/>
      <c r="AG222" s="121"/>
      <c r="AH222" s="121"/>
    </row>
    <row r="223" spans="1:34" ht="20.100000000000001" customHeight="1" x14ac:dyDescent="0.2">
      <c r="D223" s="121" t="s">
        <v>879</v>
      </c>
      <c r="E223" s="121" t="s">
        <v>914</v>
      </c>
      <c r="F223" s="121" t="s">
        <v>430</v>
      </c>
      <c r="G223" s="121">
        <v>1.32</v>
      </c>
      <c r="H223" s="121"/>
      <c r="I223" s="121"/>
      <c r="J223" s="121"/>
      <c r="K223" s="121">
        <v>32</v>
      </c>
      <c r="L223" s="121"/>
      <c r="M223" s="121"/>
      <c r="N223" s="121"/>
      <c r="O223" s="121" t="s">
        <v>701</v>
      </c>
      <c r="P223" s="121">
        <v>1</v>
      </c>
      <c r="Q223" s="121"/>
      <c r="R223" s="121"/>
      <c r="S223" s="121"/>
      <c r="T223" s="121"/>
      <c r="U223" s="121"/>
      <c r="V223" s="121"/>
      <c r="W223" s="121"/>
      <c r="X223" s="121"/>
      <c r="Y223" s="121"/>
      <c r="Z223" s="121"/>
      <c r="AA223" s="121"/>
      <c r="AB223" s="121"/>
      <c r="AC223" s="121"/>
      <c r="AD223" s="121"/>
      <c r="AE223" s="121"/>
      <c r="AF223" s="121"/>
      <c r="AG223" s="121"/>
      <c r="AH223" s="121"/>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A14D2-75EC-4B7F-87A4-DA7586D7F815}">
  <sheetPr>
    <tabColor theme="2" tint="-0.499984740745262"/>
  </sheetPr>
  <dimension ref="A1:AI162"/>
  <sheetViews>
    <sheetView showGridLines="0" zoomScaleNormal="100" workbookViewId="0">
      <pane xSplit="1" topLeftCell="B1" activePane="topRight" state="frozenSplit"/>
      <selection pane="topRight" activeCell="A28" sqref="A28"/>
    </sheetView>
  </sheetViews>
  <sheetFormatPr defaultRowHeight="20.100000000000001" customHeight="1" x14ac:dyDescent="0.2"/>
  <cols>
    <col min="1" max="1" width="36.7109375" customWidth="1"/>
    <col min="2" max="2" width="4.7109375" customWidth="1"/>
    <col min="3" max="3" width="4.7109375" style="15" customWidth="1"/>
    <col min="4" max="4" width="39.140625" style="15" customWidth="1"/>
    <col min="5" max="5" width="20.7109375" style="15" customWidth="1"/>
    <col min="6" max="6" width="21.5703125" style="15" customWidth="1"/>
    <col min="7" max="8" width="43.42578125" style="15" customWidth="1"/>
    <col min="9" max="9" width="43.5703125" style="15" customWidth="1"/>
    <col min="10" max="10" width="37.5703125" style="15" customWidth="1"/>
    <col min="11" max="11" width="33.5703125" style="15" customWidth="1"/>
    <col min="12" max="31" width="20.7109375" style="15" customWidth="1"/>
    <col min="32" max="32" width="4.7109375" style="15" customWidth="1"/>
  </cols>
  <sheetData>
    <row r="1" spans="1:35" s="8" customFormat="1" ht="30" customHeight="1" x14ac:dyDescent="0.35">
      <c r="A1" s="23" t="e" vm="1">
        <v>#VALUE!</v>
      </c>
      <c r="C1" s="8" t="s">
        <v>405</v>
      </c>
      <c r="AG1"/>
      <c r="AH1"/>
      <c r="AI1"/>
    </row>
    <row r="2" spans="1:35" s="9" customFormat="1" ht="20.100000000000001" customHeight="1" x14ac:dyDescent="0.2">
      <c r="A2"/>
      <c r="AG2"/>
      <c r="AH2"/>
      <c r="AI2"/>
    </row>
    <row r="3" spans="1:35" ht="20.100000000000001" customHeight="1" x14ac:dyDescent="0.2">
      <c r="A3" s="29" t="str">
        <f>HYPERLINK("#'Home'!A1", "Home")</f>
        <v>Home</v>
      </c>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row>
    <row r="5" spans="1:35" ht="20.100000000000001" customHeight="1" x14ac:dyDescent="0.2">
      <c r="D5" s="16" t="s">
        <v>915</v>
      </c>
      <c r="E5" s="110"/>
      <c r="F5" s="110"/>
      <c r="G5" s="110"/>
      <c r="H5" s="110"/>
      <c r="I5" s="110"/>
      <c r="J5" s="110"/>
      <c r="K5" s="110"/>
      <c r="L5" s="110"/>
    </row>
    <row r="6" spans="1:35" ht="20.100000000000001" customHeight="1" x14ac:dyDescent="0.2">
      <c r="A6" s="40" t="s">
        <v>148</v>
      </c>
      <c r="D6" s="15" t="s">
        <v>916</v>
      </c>
      <c r="E6" s="110"/>
      <c r="F6" s="110"/>
      <c r="G6" s="110"/>
      <c r="H6" s="110"/>
      <c r="I6" s="110"/>
      <c r="J6" s="110"/>
      <c r="K6" s="110"/>
      <c r="L6" s="110"/>
    </row>
    <row r="7" spans="1:35" ht="20.100000000000001" customHeight="1" x14ac:dyDescent="0.2">
      <c r="A7" s="29" t="str">
        <f>HYPERLINK("#'Input - Planting'!A1", "Planting")</f>
        <v>Planting</v>
      </c>
      <c r="D7" s="18" t="s">
        <v>917</v>
      </c>
      <c r="E7" s="110"/>
      <c r="F7" s="110"/>
      <c r="G7" s="110"/>
      <c r="H7" s="110"/>
      <c r="I7" s="110"/>
      <c r="J7" s="110"/>
      <c r="K7" s="110"/>
      <c r="L7" s="110"/>
    </row>
    <row r="8" spans="1:35" ht="20.100000000000001" customHeight="1" x14ac:dyDescent="0.2">
      <c r="A8" s="29" t="str">
        <f>HYPERLINK("#'Input - Fertiliser'!A1", "Fertiliser")</f>
        <v>Fertiliser</v>
      </c>
      <c r="D8" s="19" t="str" cm="1">
        <f t="array" ref="D8">"⚠️" &amp; Fuel_SourceData.Fuel_Scope1Scope3EmissionFactorsTransport_Variation()</f>
        <v>⚠️VARIATION OF SOURCE DATA: 'NE' values returned as zero for calculations.</v>
      </c>
      <c r="E8" s="110"/>
      <c r="F8" s="110"/>
      <c r="G8" s="110"/>
      <c r="H8" s="110"/>
      <c r="I8" s="110"/>
      <c r="J8" s="110"/>
      <c r="K8" s="110"/>
      <c r="L8" s="110"/>
    </row>
    <row r="9" spans="1:35" ht="20.100000000000001" customHeight="1" x14ac:dyDescent="0.2">
      <c r="A9" s="29" t="str">
        <f>HYPERLINK("#'Input - Fuel'!A1", "Fuel")</f>
        <v>Fuel</v>
      </c>
      <c r="D9" s="154" t="s">
        <v>406</v>
      </c>
      <c r="E9" s="154" t="s">
        <v>407</v>
      </c>
      <c r="F9" s="154" t="s">
        <v>408</v>
      </c>
      <c r="G9" s="154" t="s">
        <v>409</v>
      </c>
      <c r="H9" s="154" t="s">
        <v>410</v>
      </c>
      <c r="I9" s="154" t="s">
        <v>411</v>
      </c>
      <c r="J9" s="154" t="s">
        <v>412</v>
      </c>
      <c r="K9" s="154" t="s">
        <v>413</v>
      </c>
      <c r="L9" s="154" t="s">
        <v>414</v>
      </c>
    </row>
    <row r="10" spans="1:35" ht="20.100000000000001" customHeight="1" x14ac:dyDescent="0.2">
      <c r="A10" s="29" t="str">
        <f>HYPERLINK("#'Input - Fert Prod System'!A1", "Fert Prod System")</f>
        <v>Fert Prod System</v>
      </c>
      <c r="D10" s="155" t="s">
        <v>368</v>
      </c>
      <c r="E10" s="155" t="s">
        <v>918</v>
      </c>
      <c r="F10" s="155">
        <v>34.200000000000003</v>
      </c>
      <c r="G10" s="155" t="s">
        <v>919</v>
      </c>
      <c r="H10" s="155">
        <v>67.400000000000006</v>
      </c>
      <c r="I10" s="155">
        <v>0.02</v>
      </c>
      <c r="J10" s="155">
        <v>0.2</v>
      </c>
      <c r="K10" s="155">
        <v>67.62</v>
      </c>
      <c r="L10" s="155">
        <v>17.2</v>
      </c>
    </row>
    <row r="11" spans="1:35" ht="20.100000000000001" customHeight="1" x14ac:dyDescent="0.2">
      <c r="A11" s="29" t="str">
        <f>HYPERLINK("#'Input - Site'!A1", "Site")</f>
        <v>Site</v>
      </c>
      <c r="D11" s="155" t="s">
        <v>368</v>
      </c>
      <c r="E11" s="155" t="s">
        <v>920</v>
      </c>
      <c r="F11" s="155">
        <v>38.6</v>
      </c>
      <c r="G11" s="155" t="s">
        <v>919</v>
      </c>
      <c r="H11" s="155">
        <v>69.900000000000006</v>
      </c>
      <c r="I11" s="155">
        <v>0.01</v>
      </c>
      <c r="J11" s="155">
        <v>0.5</v>
      </c>
      <c r="K11" s="155">
        <v>70.41</v>
      </c>
      <c r="L11" s="155">
        <v>17.3</v>
      </c>
    </row>
    <row r="12" spans="1:35" ht="20.100000000000001" customHeight="1" x14ac:dyDescent="0.2">
      <c r="A12" s="29" t="str">
        <f>HYPERLINK("#'Input - Data quality'!A1", "Data quality")</f>
        <v>Data quality</v>
      </c>
      <c r="D12" s="155" t="s">
        <v>368</v>
      </c>
      <c r="E12" s="155" t="s">
        <v>431</v>
      </c>
      <c r="F12" s="155">
        <v>26.2</v>
      </c>
      <c r="G12" s="155" t="s">
        <v>919</v>
      </c>
      <c r="H12" s="155">
        <v>60.2</v>
      </c>
      <c r="I12" s="155">
        <v>0.5</v>
      </c>
      <c r="J12" s="155">
        <v>0.3</v>
      </c>
      <c r="K12" s="155">
        <v>61</v>
      </c>
      <c r="L12" s="155">
        <v>20.2</v>
      </c>
    </row>
    <row r="13" spans="1:35" ht="20.100000000000001" customHeight="1" x14ac:dyDescent="0.2">
      <c r="D13" s="155" t="s">
        <v>368</v>
      </c>
      <c r="E13" s="155" t="s">
        <v>372</v>
      </c>
      <c r="F13" s="155">
        <v>39.700000000000003</v>
      </c>
      <c r="G13" s="155" t="s">
        <v>919</v>
      </c>
      <c r="H13" s="155">
        <v>73.599999999999994</v>
      </c>
      <c r="I13" s="155">
        <v>0.08</v>
      </c>
      <c r="J13" s="155">
        <v>0.5</v>
      </c>
      <c r="K13" s="155">
        <v>74.180000000000007</v>
      </c>
      <c r="L13" s="155">
        <v>18</v>
      </c>
    </row>
    <row r="14" spans="1:35" ht="20.100000000000001" customHeight="1" x14ac:dyDescent="0.2">
      <c r="D14" s="155" t="s">
        <v>368</v>
      </c>
      <c r="E14" s="155" t="s">
        <v>433</v>
      </c>
      <c r="F14" s="155">
        <v>23.4</v>
      </c>
      <c r="G14" s="155" t="s">
        <v>919</v>
      </c>
      <c r="H14" s="155">
        <v>0</v>
      </c>
      <c r="I14" s="155">
        <v>0.2</v>
      </c>
      <c r="J14" s="155">
        <v>0.2</v>
      </c>
      <c r="K14" s="155">
        <v>0.4</v>
      </c>
      <c r="L14" s="155" t="s">
        <v>921</v>
      </c>
    </row>
    <row r="15" spans="1:35" ht="20.100000000000001" customHeight="1" x14ac:dyDescent="0.2">
      <c r="A15" s="53" t="s">
        <v>175</v>
      </c>
      <c r="D15" s="155" t="s">
        <v>368</v>
      </c>
      <c r="E15" s="155" t="s">
        <v>432</v>
      </c>
      <c r="F15" s="155">
        <v>34.6</v>
      </c>
      <c r="G15" s="155" t="s">
        <v>919</v>
      </c>
      <c r="H15" s="155">
        <v>0</v>
      </c>
      <c r="I15" s="155">
        <v>0.8</v>
      </c>
      <c r="J15" s="155">
        <v>1.7</v>
      </c>
      <c r="K15" s="155">
        <v>2.5</v>
      </c>
      <c r="L15" s="155" t="s">
        <v>921</v>
      </c>
    </row>
    <row r="16" spans="1:35" ht="20.100000000000001" customHeight="1" x14ac:dyDescent="0.2">
      <c r="A16" s="29" t="str">
        <f>HYPERLINK("#'5.1.1.1-2 Inorganic fert N2O'!A1", "5.1.1.1-2 Inorganic fert N2O")</f>
        <v>5.1.1.1-2 Inorganic fert N2O</v>
      </c>
      <c r="D16" s="155" t="s">
        <v>368</v>
      </c>
      <c r="E16" s="155" t="s">
        <v>435</v>
      </c>
      <c r="F16" s="155">
        <v>38.6</v>
      </c>
      <c r="G16" s="155" t="s">
        <v>919</v>
      </c>
      <c r="H16" s="155">
        <v>0</v>
      </c>
      <c r="I16" s="155">
        <v>0.01</v>
      </c>
      <c r="J16" s="155">
        <v>0.5</v>
      </c>
      <c r="K16" s="155">
        <v>0.51</v>
      </c>
      <c r="L16" s="155" t="s">
        <v>921</v>
      </c>
    </row>
    <row r="17" spans="1:12" ht="20.100000000000001" customHeight="1" x14ac:dyDescent="0.2">
      <c r="A17" s="29" t="str">
        <f>HYPERLINK("#'5.1.1.3-4 Inorganic fert CO2'!A1", "5.1.1.3-4 Inorganic fert CO2")</f>
        <v>5.1.1.3-4 Inorganic fert CO2</v>
      </c>
      <c r="D17" s="155" t="s">
        <v>368</v>
      </c>
      <c r="E17" s="155" t="s">
        <v>434</v>
      </c>
      <c r="F17" s="155">
        <v>23.4</v>
      </c>
      <c r="G17" s="155" t="s">
        <v>919</v>
      </c>
      <c r="H17" s="155">
        <v>0</v>
      </c>
      <c r="I17" s="155">
        <v>0.8</v>
      </c>
      <c r="J17" s="155">
        <v>1.7</v>
      </c>
      <c r="K17" s="155">
        <v>2.5</v>
      </c>
      <c r="L17" s="155" t="s">
        <v>921</v>
      </c>
    </row>
    <row r="18" spans="1:12" ht="20.100000000000001" customHeight="1" x14ac:dyDescent="0.2">
      <c r="A18" s="29" t="str">
        <f>HYPERLINK("#'5.2.1.1-2 Organic Fert N2O'!A1", "5.2.1.1-2 Organic fert N2O")</f>
        <v>5.2.1.1-2 Organic fert N2O</v>
      </c>
      <c r="D18" s="155" t="s">
        <v>922</v>
      </c>
      <c r="E18" s="155" t="s">
        <v>923</v>
      </c>
      <c r="F18" s="155">
        <v>3.9300000000000002E-2</v>
      </c>
      <c r="G18" s="155" t="s">
        <v>924</v>
      </c>
      <c r="H18" s="155">
        <v>51.4</v>
      </c>
      <c r="I18" s="155">
        <v>7.3</v>
      </c>
      <c r="J18" s="155">
        <v>0.3</v>
      </c>
      <c r="K18" s="155">
        <v>59</v>
      </c>
      <c r="L18" s="155">
        <v>18</v>
      </c>
    </row>
    <row r="19" spans="1:12" ht="20.100000000000001" customHeight="1" x14ac:dyDescent="0.2">
      <c r="A19" s="29" t="str">
        <f>HYPERLINK("#'5.3.1.1-2 Lime CO2'!A1", "5.3.1.1-2 Lime CO2")</f>
        <v>5.3.1.1-2 Lime CO2</v>
      </c>
      <c r="D19" s="155" t="s">
        <v>922</v>
      </c>
      <c r="E19" s="155" t="s">
        <v>925</v>
      </c>
      <c r="F19" s="155">
        <v>25.3</v>
      </c>
      <c r="G19" s="155" t="s">
        <v>919</v>
      </c>
      <c r="H19" s="155">
        <v>51.4</v>
      </c>
      <c r="I19" s="155">
        <v>7.3</v>
      </c>
      <c r="J19" s="155">
        <v>0.3</v>
      </c>
      <c r="K19" s="155">
        <v>59</v>
      </c>
      <c r="L19" s="155">
        <v>18</v>
      </c>
    </row>
    <row r="20" spans="1:12" ht="20.100000000000001" customHeight="1" x14ac:dyDescent="0.2">
      <c r="A20" s="29" t="str">
        <f>HYPERLINK("#'5.4.1.1-4 Atmos deposition'!A1", "5.4.1.1-4 Atmos. deposition")</f>
        <v>5.4.1.1-4 Atmos. deposition</v>
      </c>
      <c r="D20" s="155" t="s">
        <v>926</v>
      </c>
      <c r="E20" s="155" t="s">
        <v>923</v>
      </c>
      <c r="F20" s="155">
        <v>3.9300000000000002E-2</v>
      </c>
      <c r="G20" s="155" t="s">
        <v>924</v>
      </c>
      <c r="H20" s="155">
        <v>51.4</v>
      </c>
      <c r="I20" s="155">
        <v>2.8</v>
      </c>
      <c r="J20" s="155">
        <v>0.3</v>
      </c>
      <c r="K20" s="155">
        <v>54.5</v>
      </c>
      <c r="L20" s="155">
        <v>18</v>
      </c>
    </row>
    <row r="21" spans="1:12" ht="20.100000000000001" customHeight="1" x14ac:dyDescent="0.2">
      <c r="A21" s="29" t="str">
        <f>HYPERLINK("#'5.5.1.1-2 Leaching and runoff'!A1", "5.5.1.1-2 Leaching &amp; runoff")</f>
        <v>5.5.1.1-2 Leaching &amp; runoff</v>
      </c>
      <c r="D21" s="155" t="s">
        <v>926</v>
      </c>
      <c r="E21" s="155" t="s">
        <v>925</v>
      </c>
      <c r="F21" s="155">
        <v>25.3</v>
      </c>
      <c r="G21" s="155" t="s">
        <v>919</v>
      </c>
      <c r="H21" s="155">
        <v>51.4</v>
      </c>
      <c r="I21" s="155">
        <v>2.8</v>
      </c>
      <c r="J21" s="155">
        <v>0.3</v>
      </c>
      <c r="K21" s="155">
        <v>54.5</v>
      </c>
      <c r="L21" s="155">
        <v>18</v>
      </c>
    </row>
    <row r="22" spans="1:12" ht="20.100000000000001" customHeight="1" x14ac:dyDescent="0.2">
      <c r="A22" s="29" t="str">
        <f>HYPERLINK("#'8.1.1.1-2 Transport fuel'!A1", "8.1.1.1-2 Transport fuel")</f>
        <v>8.1.1.1-2 Transport fuel</v>
      </c>
      <c r="D22" s="155" t="s">
        <v>926</v>
      </c>
      <c r="E22" s="155" t="s">
        <v>927</v>
      </c>
      <c r="F22" s="155">
        <v>38.6</v>
      </c>
      <c r="G22" s="155" t="s">
        <v>919</v>
      </c>
      <c r="H22" s="155">
        <v>69.900000000000006</v>
      </c>
      <c r="I22" s="155">
        <v>7.0000000000000007E-2</v>
      </c>
      <c r="J22" s="155">
        <v>0.4</v>
      </c>
      <c r="K22" s="155">
        <v>70.37</v>
      </c>
      <c r="L22" s="155">
        <v>17.3</v>
      </c>
    </row>
    <row r="23" spans="1:12" ht="20.100000000000001" customHeight="1" x14ac:dyDescent="0.2">
      <c r="A23" s="29" t="str">
        <f>HYPERLINK("#'8.2.1.1-2 Stationary fuel'!A1", "8.2.1.1-2 Stationary fuel")</f>
        <v>8.2.1.1-2 Stationary fuel</v>
      </c>
      <c r="D23" s="155" t="s">
        <v>926</v>
      </c>
      <c r="E23" s="155" t="s">
        <v>928</v>
      </c>
      <c r="F23" s="155">
        <v>38.6</v>
      </c>
      <c r="G23" s="155" t="s">
        <v>919</v>
      </c>
      <c r="H23" s="155">
        <v>69.900000000000006</v>
      </c>
      <c r="I23" s="155">
        <v>0.1</v>
      </c>
      <c r="J23" s="155">
        <v>0.4</v>
      </c>
      <c r="K23" s="155">
        <v>70.400000000000006</v>
      </c>
      <c r="L23" s="155">
        <v>17.3</v>
      </c>
    </row>
    <row r="24" spans="1:12" ht="20.100000000000001" customHeight="1" x14ac:dyDescent="0.2">
      <c r="D24" s="155" t="s">
        <v>926</v>
      </c>
      <c r="E24" s="155" t="s">
        <v>929</v>
      </c>
      <c r="F24" s="155">
        <v>38.6</v>
      </c>
      <c r="G24" s="155" t="s">
        <v>919</v>
      </c>
      <c r="H24" s="155">
        <v>69.900000000000006</v>
      </c>
      <c r="I24" s="155">
        <v>0.2</v>
      </c>
      <c r="J24" s="155">
        <v>0.4</v>
      </c>
      <c r="K24" s="155">
        <v>70.5</v>
      </c>
      <c r="L24" s="155">
        <v>17.3</v>
      </c>
    </row>
    <row r="25" spans="1:12" ht="20.100000000000001" customHeight="1" x14ac:dyDescent="0.2">
      <c r="D25" s="155" t="s">
        <v>926</v>
      </c>
      <c r="E25" s="155" t="s">
        <v>443</v>
      </c>
      <c r="F25" s="155">
        <v>38.6</v>
      </c>
      <c r="G25" s="155" t="s">
        <v>919</v>
      </c>
      <c r="H25" s="155">
        <v>0</v>
      </c>
      <c r="I25" s="155">
        <v>7.0000000000000007E-2</v>
      </c>
      <c r="J25" s="155">
        <v>0.4</v>
      </c>
      <c r="K25" s="155">
        <v>0.47</v>
      </c>
      <c r="L25" s="155" t="s">
        <v>921</v>
      </c>
    </row>
    <row r="26" spans="1:12" ht="20.100000000000001" customHeight="1" x14ac:dyDescent="0.2">
      <c r="A26" s="30" t="s">
        <v>91</v>
      </c>
      <c r="D26" s="155" t="s">
        <v>926</v>
      </c>
      <c r="E26" s="155" t="s">
        <v>444</v>
      </c>
      <c r="F26" s="155">
        <v>38.6</v>
      </c>
      <c r="G26" s="155" t="s">
        <v>919</v>
      </c>
      <c r="H26" s="155">
        <v>0</v>
      </c>
      <c r="I26" s="155">
        <v>0.1</v>
      </c>
      <c r="J26" s="155">
        <v>0.4</v>
      </c>
      <c r="K26" s="155">
        <v>0.5</v>
      </c>
      <c r="L26" s="155" t="s">
        <v>921</v>
      </c>
    </row>
    <row r="27" spans="1:12" ht="20.100000000000001" customHeight="1" x14ac:dyDescent="0.2">
      <c r="A27" s="29" t="str">
        <f>HYPERLINK("#'Constants - Fertiliser'!A1", "Constants - Fertiliser")</f>
        <v>Constants - Fertiliser</v>
      </c>
      <c r="D27" s="155" t="s">
        <v>926</v>
      </c>
      <c r="E27" s="155" t="s">
        <v>445</v>
      </c>
      <c r="F27" s="155">
        <v>38.6</v>
      </c>
      <c r="G27" s="155" t="s">
        <v>919</v>
      </c>
      <c r="H27" s="155">
        <v>0</v>
      </c>
      <c r="I27" s="155">
        <v>0.2</v>
      </c>
      <c r="J27" s="155">
        <v>0.4</v>
      </c>
      <c r="K27" s="155">
        <v>0.6</v>
      </c>
      <c r="L27" s="155" t="s">
        <v>921</v>
      </c>
    </row>
    <row r="28" spans="1:12" ht="20.100000000000001" customHeight="1" x14ac:dyDescent="0.2">
      <c r="A28" s="31" t="str">
        <f>HYPERLINK("#'Constants - Fuel'!A1", "Constants - Fuel")</f>
        <v>Constants - Fuel</v>
      </c>
      <c r="D28" s="155" t="s">
        <v>426</v>
      </c>
      <c r="E28" s="155" t="s">
        <v>930</v>
      </c>
      <c r="F28" s="155">
        <v>33.1</v>
      </c>
      <c r="G28" s="155" t="s">
        <v>919</v>
      </c>
      <c r="H28" s="155">
        <v>67</v>
      </c>
      <c r="I28" s="155">
        <v>0.06</v>
      </c>
      <c r="J28" s="155">
        <v>0.6</v>
      </c>
      <c r="K28" s="155">
        <v>67.66</v>
      </c>
      <c r="L28" s="155">
        <v>18</v>
      </c>
    </row>
    <row r="29" spans="1:12" ht="20.100000000000001" customHeight="1" x14ac:dyDescent="0.2">
      <c r="A29" s="29" t="str">
        <f>HYPERLINK("#'Constants - Common'!A1", "Constants - Common")</f>
        <v>Constants - Common</v>
      </c>
      <c r="D29" s="155" t="s">
        <v>426</v>
      </c>
      <c r="E29" s="155" t="s">
        <v>931</v>
      </c>
      <c r="F29" s="155">
        <v>36.799999999999997</v>
      </c>
      <c r="G29" s="155" t="s">
        <v>919</v>
      </c>
      <c r="H29" s="155">
        <v>69.599999999999994</v>
      </c>
      <c r="I29" s="155">
        <v>0.01</v>
      </c>
      <c r="J29" s="155">
        <v>0.6</v>
      </c>
      <c r="K29" s="155">
        <v>70.209999999999994</v>
      </c>
      <c r="L29" s="155">
        <v>18</v>
      </c>
    </row>
    <row r="30" spans="1:12" ht="20.100000000000001" customHeight="1" x14ac:dyDescent="0.2">
      <c r="D30" s="155" t="s">
        <v>426</v>
      </c>
      <c r="E30" s="155" t="s">
        <v>438</v>
      </c>
      <c r="F30" s="155">
        <v>36.799999999999997</v>
      </c>
      <c r="G30" s="155" t="s">
        <v>919</v>
      </c>
      <c r="H30" s="155">
        <v>0</v>
      </c>
      <c r="I30" s="155">
        <v>0.01</v>
      </c>
      <c r="J30" s="155">
        <v>0.6</v>
      </c>
      <c r="K30" s="155">
        <v>0.61</v>
      </c>
      <c r="L30" s="155" t="s">
        <v>921</v>
      </c>
    </row>
    <row r="31" spans="1:12" ht="20.100000000000001" customHeight="1" x14ac:dyDescent="0.2">
      <c r="D31" s="155" t="s">
        <v>371</v>
      </c>
      <c r="E31" s="155" t="s">
        <v>918</v>
      </c>
      <c r="F31" s="155">
        <v>34.200000000000003</v>
      </c>
      <c r="G31" s="155" t="s">
        <v>429</v>
      </c>
      <c r="H31" s="155">
        <v>67.400000000000006</v>
      </c>
      <c r="I31" s="155">
        <v>10.1</v>
      </c>
      <c r="J31" s="155">
        <v>0.3</v>
      </c>
      <c r="K31" s="155"/>
      <c r="L31" s="155">
        <v>17.2</v>
      </c>
    </row>
    <row r="32" spans="1:12" ht="20.100000000000001" customHeight="1" x14ac:dyDescent="0.2">
      <c r="D32" s="156" t="s">
        <v>371</v>
      </c>
      <c r="E32" s="156" t="s">
        <v>920</v>
      </c>
      <c r="F32" s="156">
        <v>38.6</v>
      </c>
      <c r="G32" s="156" t="s">
        <v>429</v>
      </c>
      <c r="H32" s="156">
        <v>69.900000000000006</v>
      </c>
      <c r="I32" s="156">
        <v>0.2</v>
      </c>
      <c r="J32" s="156">
        <v>0.5</v>
      </c>
      <c r="K32" s="156"/>
      <c r="L32" s="156">
        <v>17.3</v>
      </c>
    </row>
    <row r="33" spans="1:12" ht="20.100000000000001" customHeight="1" x14ac:dyDescent="0.2">
      <c r="D33" s="156" t="s">
        <v>371</v>
      </c>
      <c r="E33" s="156" t="s">
        <v>932</v>
      </c>
      <c r="F33" s="156">
        <v>39.700000000000003</v>
      </c>
      <c r="G33" s="156" t="s">
        <v>429</v>
      </c>
      <c r="H33" s="156">
        <v>73.599999999999994</v>
      </c>
      <c r="I33" s="156">
        <v>0.2</v>
      </c>
      <c r="J33" s="156">
        <v>0.5</v>
      </c>
      <c r="K33" s="156"/>
      <c r="L33" s="156">
        <v>18</v>
      </c>
    </row>
    <row r="34" spans="1:12" ht="20.100000000000001" customHeight="1" x14ac:dyDescent="0.2">
      <c r="D34" s="156" t="s">
        <v>370</v>
      </c>
      <c r="E34" s="156" t="s">
        <v>920</v>
      </c>
      <c r="F34" s="156">
        <v>38.6</v>
      </c>
      <c r="G34" s="156" t="s">
        <v>429</v>
      </c>
      <c r="H34" s="156">
        <v>69.900000000000006</v>
      </c>
      <c r="I34" s="156">
        <v>0.3</v>
      </c>
      <c r="J34" s="156">
        <v>0.5</v>
      </c>
      <c r="K34" s="156"/>
      <c r="L34" s="156">
        <v>17.3</v>
      </c>
    </row>
    <row r="37" spans="1:12" ht="20.100000000000001" customHeight="1" x14ac:dyDescent="0.2">
      <c r="D37" s="16" t="s">
        <v>933</v>
      </c>
    </row>
    <row r="38" spans="1:12" ht="20.100000000000001" customHeight="1" x14ac:dyDescent="0.2">
      <c r="D38" s="18" t="s">
        <v>934</v>
      </c>
    </row>
    <row r="39" spans="1:12" ht="20.100000000000001" customHeight="1" x14ac:dyDescent="0.2">
      <c r="D39" s="17" t="s">
        <v>415</v>
      </c>
      <c r="E39" s="17" t="s">
        <v>416</v>
      </c>
      <c r="F39" s="17" t="s">
        <v>417</v>
      </c>
      <c r="G39" s="17" t="s">
        <v>418</v>
      </c>
      <c r="H39" s="17" t="s">
        <v>419</v>
      </c>
      <c r="I39" s="17" t="s">
        <v>420</v>
      </c>
      <c r="J39" s="17" t="s">
        <v>421</v>
      </c>
    </row>
    <row r="40" spans="1:12" ht="20.100000000000001" customHeight="1" x14ac:dyDescent="0.2">
      <c r="A40" s="167" t="str">
        <f>HYPERLINK("#A1", "▲ Back to top")</f>
        <v>▲ Back to top</v>
      </c>
      <c r="D40" s="17" t="s">
        <v>935</v>
      </c>
      <c r="E40" s="17" t="s">
        <v>367</v>
      </c>
      <c r="F40" s="17">
        <v>34.200000000000003</v>
      </c>
      <c r="G40" s="17">
        <v>67.400000000000006</v>
      </c>
      <c r="H40" s="17">
        <v>10.1</v>
      </c>
      <c r="I40" s="17">
        <v>0.3</v>
      </c>
      <c r="J40" s="17">
        <v>17.2</v>
      </c>
    </row>
    <row r="41" spans="1:12" ht="20.100000000000001" customHeight="1" x14ac:dyDescent="0.2">
      <c r="D41" s="15" t="s">
        <v>935</v>
      </c>
      <c r="E41" s="17" t="s">
        <v>369</v>
      </c>
      <c r="F41" s="17">
        <v>38.6</v>
      </c>
      <c r="G41" s="17">
        <v>69.900000000000006</v>
      </c>
      <c r="H41" s="17">
        <v>0.2</v>
      </c>
      <c r="I41" s="17">
        <v>0.5</v>
      </c>
      <c r="J41" s="17">
        <v>17.3</v>
      </c>
    </row>
    <row r="42" spans="1:12" ht="20.100000000000001" customHeight="1" x14ac:dyDescent="0.2">
      <c r="D42" s="15" t="s">
        <v>935</v>
      </c>
      <c r="E42" s="17" t="s">
        <v>932</v>
      </c>
      <c r="F42" s="17">
        <v>39.700000000000003</v>
      </c>
      <c r="G42" s="17">
        <v>73.599999999999994</v>
      </c>
      <c r="H42" s="17">
        <v>0.2</v>
      </c>
      <c r="I42" s="17">
        <v>0.5</v>
      </c>
      <c r="J42" s="17">
        <v>18</v>
      </c>
    </row>
    <row r="43" spans="1:12" ht="20.100000000000001" customHeight="1" x14ac:dyDescent="0.2">
      <c r="D43" s="15" t="s">
        <v>370</v>
      </c>
      <c r="E43" s="17" t="s">
        <v>369</v>
      </c>
      <c r="F43" s="17">
        <v>38.6</v>
      </c>
      <c r="G43" s="17">
        <v>69.900000000000006</v>
      </c>
      <c r="H43" s="17">
        <v>0.3</v>
      </c>
      <c r="I43" s="17">
        <v>0.5</v>
      </c>
      <c r="J43" s="17">
        <v>17.3</v>
      </c>
    </row>
    <row r="49" spans="4:12" ht="20.100000000000001" customHeight="1" x14ac:dyDescent="0.2">
      <c r="D49" s="16" t="s">
        <v>936</v>
      </c>
      <c r="E49" s="110"/>
      <c r="F49" s="110"/>
      <c r="G49" s="110"/>
      <c r="H49" s="110"/>
      <c r="I49" s="110"/>
      <c r="J49" s="110"/>
      <c r="K49" s="110"/>
      <c r="L49" s="110"/>
    </row>
    <row r="50" spans="4:12" ht="20.100000000000001" customHeight="1" x14ac:dyDescent="0.2">
      <c r="D50" s="15" t="s">
        <v>937</v>
      </c>
      <c r="E50" s="110"/>
      <c r="F50" s="110"/>
      <c r="G50" s="110"/>
      <c r="H50" s="110"/>
      <c r="I50" s="110"/>
      <c r="J50" s="110"/>
      <c r="K50" s="110"/>
      <c r="L50" s="110"/>
    </row>
    <row r="51" spans="4:12" ht="20.100000000000001" customHeight="1" x14ac:dyDescent="0.2">
      <c r="D51" s="18" t="s">
        <v>938</v>
      </c>
      <c r="E51" s="110"/>
      <c r="F51" s="110"/>
      <c r="G51" s="110"/>
      <c r="H51" s="110"/>
      <c r="I51" s="110"/>
      <c r="J51" s="110"/>
      <c r="K51" s="110"/>
      <c r="L51" s="110"/>
    </row>
    <row r="52" spans="4:12" ht="20.100000000000001" customHeight="1" x14ac:dyDescent="0.2">
      <c r="D52" s="19" t="str" cm="1">
        <f t="array" ref="D52">"⚠️" &amp; Fuel_SourceData.Fuel_Scope1Scope3EmissionFactorsStationaryLiquid_Variation()</f>
        <v>⚠️VARIATION OF SOURCE DATA: 'NE' values returned as zero for calculations.</v>
      </c>
      <c r="E52" s="110"/>
      <c r="F52" s="110"/>
      <c r="G52" s="110"/>
      <c r="H52" s="110"/>
      <c r="I52" s="110"/>
      <c r="J52" s="110"/>
      <c r="K52" s="110"/>
      <c r="L52" s="110"/>
    </row>
    <row r="53" spans="4:12" ht="20.100000000000001" customHeight="1" x14ac:dyDescent="0.2">
      <c r="D53" s="157" t="s">
        <v>407</v>
      </c>
      <c r="E53" s="154" t="s">
        <v>408</v>
      </c>
      <c r="F53" s="157" t="s">
        <v>409</v>
      </c>
      <c r="G53" s="154" t="s">
        <v>410</v>
      </c>
      <c r="H53" s="154" t="s">
        <v>411</v>
      </c>
      <c r="I53" s="154" t="s">
        <v>412</v>
      </c>
      <c r="J53" s="154" t="s">
        <v>413</v>
      </c>
      <c r="K53" s="154" t="s">
        <v>414</v>
      </c>
      <c r="L53" s="110"/>
    </row>
    <row r="54" spans="4:12" ht="20.100000000000001" customHeight="1" x14ac:dyDescent="0.2">
      <c r="D54" s="155" t="s">
        <v>939</v>
      </c>
      <c r="E54" s="155">
        <v>38.799999999999997</v>
      </c>
      <c r="F54" s="155" t="s">
        <v>919</v>
      </c>
      <c r="G54" s="155">
        <v>13.9</v>
      </c>
      <c r="H54" s="155">
        <v>0</v>
      </c>
      <c r="I54" s="155">
        <v>0</v>
      </c>
      <c r="J54" s="155">
        <v>13.9</v>
      </c>
      <c r="K54" s="155">
        <v>18</v>
      </c>
      <c r="L54" s="110"/>
    </row>
    <row r="55" spans="4:12" ht="20.100000000000001" customHeight="1" x14ac:dyDescent="0.2">
      <c r="D55" s="155" t="s">
        <v>940</v>
      </c>
      <c r="E55" s="155">
        <v>38.799999999999997</v>
      </c>
      <c r="F55" s="155" t="s">
        <v>919</v>
      </c>
      <c r="G55" s="155">
        <v>3.5</v>
      </c>
      <c r="H55" s="155">
        <v>0</v>
      </c>
      <c r="I55" s="155">
        <v>0</v>
      </c>
      <c r="J55" s="155">
        <v>3.5</v>
      </c>
      <c r="K55" s="155">
        <v>18</v>
      </c>
      <c r="L55" s="110"/>
    </row>
    <row r="56" spans="4:12" ht="20.100000000000001" customHeight="1" x14ac:dyDescent="0.2">
      <c r="D56" s="155" t="s">
        <v>941</v>
      </c>
      <c r="E56" s="155">
        <v>45.3</v>
      </c>
      <c r="F56" s="155" t="s">
        <v>942</v>
      </c>
      <c r="G56" s="155">
        <v>69.599999999999994</v>
      </c>
      <c r="H56" s="155">
        <v>0.08</v>
      </c>
      <c r="I56" s="155">
        <v>0.2</v>
      </c>
      <c r="J56" s="155">
        <v>69.88</v>
      </c>
      <c r="K56" s="155" t="s">
        <v>921</v>
      </c>
      <c r="L56" s="110"/>
    </row>
    <row r="57" spans="4:12" ht="20.100000000000001" customHeight="1" x14ac:dyDescent="0.2">
      <c r="D57" s="155" t="s">
        <v>943</v>
      </c>
      <c r="E57" s="155">
        <v>46.5</v>
      </c>
      <c r="F57" s="155" t="s">
        <v>942</v>
      </c>
      <c r="G57" s="155">
        <v>61</v>
      </c>
      <c r="H57" s="155">
        <v>0.08</v>
      </c>
      <c r="I57" s="155">
        <v>0.2</v>
      </c>
      <c r="J57" s="155">
        <v>61.28</v>
      </c>
      <c r="K57" s="155" t="s">
        <v>921</v>
      </c>
      <c r="L57" s="110"/>
    </row>
    <row r="58" spans="4:12" ht="20.100000000000001" customHeight="1" x14ac:dyDescent="0.2">
      <c r="D58" s="155" t="s">
        <v>944</v>
      </c>
      <c r="E58" s="155">
        <v>34.200000000000003</v>
      </c>
      <c r="F58" s="155" t="s">
        <v>429</v>
      </c>
      <c r="G58" s="155">
        <v>67.400000000000006</v>
      </c>
      <c r="H58" s="155">
        <v>0.2</v>
      </c>
      <c r="I58" s="155">
        <v>0.2</v>
      </c>
      <c r="J58" s="155">
        <v>67.8</v>
      </c>
      <c r="K58" s="155">
        <v>17.2</v>
      </c>
      <c r="L58" s="110"/>
    </row>
    <row r="59" spans="4:12" ht="20.100000000000001" customHeight="1" x14ac:dyDescent="0.2">
      <c r="D59" s="155" t="s">
        <v>945</v>
      </c>
      <c r="E59" s="155">
        <v>33.1</v>
      </c>
      <c r="F59" s="155" t="s">
        <v>429</v>
      </c>
      <c r="G59" s="155">
        <v>67</v>
      </c>
      <c r="H59" s="155">
        <v>0.2</v>
      </c>
      <c r="I59" s="155">
        <v>0.2</v>
      </c>
      <c r="J59" s="155">
        <v>67.400000000000006</v>
      </c>
      <c r="K59" s="155">
        <v>18</v>
      </c>
      <c r="L59" s="110"/>
    </row>
    <row r="60" spans="4:12" ht="20.100000000000001" customHeight="1" x14ac:dyDescent="0.2">
      <c r="D60" s="155" t="s">
        <v>946</v>
      </c>
      <c r="E60" s="155">
        <v>37.5</v>
      </c>
      <c r="F60" s="155" t="s">
        <v>429</v>
      </c>
      <c r="G60" s="155">
        <v>68.900000000000006</v>
      </c>
      <c r="H60" s="155">
        <v>0.01</v>
      </c>
      <c r="I60" s="155">
        <v>0.2</v>
      </c>
      <c r="J60" s="155">
        <v>69.11</v>
      </c>
      <c r="K60" s="155">
        <v>18</v>
      </c>
      <c r="L60" s="110"/>
    </row>
    <row r="61" spans="4:12" ht="20.100000000000001" customHeight="1" x14ac:dyDescent="0.2">
      <c r="D61" s="155" t="s">
        <v>947</v>
      </c>
      <c r="E61" s="155">
        <v>36.799999999999997</v>
      </c>
      <c r="F61" s="155" t="s">
        <v>429</v>
      </c>
      <c r="G61" s="155">
        <v>69.599999999999994</v>
      </c>
      <c r="H61" s="155">
        <v>0.02</v>
      </c>
      <c r="I61" s="155">
        <v>0.2</v>
      </c>
      <c r="J61" s="155">
        <v>69.819999999999993</v>
      </c>
      <c r="K61" s="155">
        <v>18</v>
      </c>
      <c r="L61" s="110"/>
    </row>
    <row r="62" spans="4:12" ht="20.100000000000001" customHeight="1" x14ac:dyDescent="0.2">
      <c r="D62" s="155" t="s">
        <v>948</v>
      </c>
      <c r="E62" s="155">
        <v>37.299999999999997</v>
      </c>
      <c r="F62" s="155" t="s">
        <v>429</v>
      </c>
      <c r="G62" s="155">
        <v>69.5</v>
      </c>
      <c r="H62" s="155">
        <v>0.03</v>
      </c>
      <c r="I62" s="155">
        <v>0.2</v>
      </c>
      <c r="J62" s="155">
        <v>69.73</v>
      </c>
      <c r="K62" s="155">
        <v>18</v>
      </c>
      <c r="L62" s="110"/>
    </row>
    <row r="63" spans="4:12" ht="20.100000000000001" customHeight="1" x14ac:dyDescent="0.2">
      <c r="D63" s="155" t="s">
        <v>920</v>
      </c>
      <c r="E63" s="155">
        <v>38.6</v>
      </c>
      <c r="F63" s="155" t="s">
        <v>429</v>
      </c>
      <c r="G63" s="155">
        <v>69.900000000000006</v>
      </c>
      <c r="H63" s="155">
        <v>0.1</v>
      </c>
      <c r="I63" s="155">
        <v>0.2</v>
      </c>
      <c r="J63" s="155">
        <v>70.2</v>
      </c>
      <c r="K63" s="155">
        <v>17.3</v>
      </c>
      <c r="L63" s="110"/>
    </row>
    <row r="64" spans="4:12" ht="20.100000000000001" customHeight="1" x14ac:dyDescent="0.2">
      <c r="D64" s="155" t="s">
        <v>372</v>
      </c>
      <c r="E64" s="155">
        <v>39.700000000000003</v>
      </c>
      <c r="F64" s="155" t="s">
        <v>429</v>
      </c>
      <c r="G64" s="155">
        <v>73.599999999999994</v>
      </c>
      <c r="H64" s="155">
        <v>0.04</v>
      </c>
      <c r="I64" s="155">
        <v>0.2</v>
      </c>
      <c r="J64" s="155">
        <v>73.84</v>
      </c>
      <c r="K64" s="155">
        <v>18</v>
      </c>
      <c r="L64" s="110"/>
    </row>
    <row r="65" spans="1:13" ht="20.100000000000001" customHeight="1" x14ac:dyDescent="0.2">
      <c r="D65" s="155" t="s">
        <v>949</v>
      </c>
      <c r="E65" s="155">
        <v>34.4</v>
      </c>
      <c r="F65" s="155" t="s">
        <v>429</v>
      </c>
      <c r="G65" s="155">
        <v>69.7</v>
      </c>
      <c r="H65" s="155">
        <v>0.03</v>
      </c>
      <c r="I65" s="155">
        <v>0.2</v>
      </c>
      <c r="J65" s="155">
        <v>69.930000000000007</v>
      </c>
      <c r="K65" s="155">
        <v>18</v>
      </c>
      <c r="L65" s="110"/>
    </row>
    <row r="66" spans="1:13" ht="20.100000000000001" customHeight="1" x14ac:dyDescent="0.2">
      <c r="D66" s="155" t="s">
        <v>950</v>
      </c>
      <c r="E66" s="155">
        <v>34.4</v>
      </c>
      <c r="F66" s="155" t="s">
        <v>429</v>
      </c>
      <c r="G66" s="155">
        <v>69.7</v>
      </c>
      <c r="H66" s="155">
        <v>0.03</v>
      </c>
      <c r="I66" s="155">
        <v>0.2</v>
      </c>
      <c r="J66" s="155">
        <v>69.930000000000007</v>
      </c>
      <c r="K66" s="155">
        <v>18</v>
      </c>
      <c r="L66" s="110"/>
    </row>
    <row r="67" spans="1:13" ht="20.100000000000001" customHeight="1" x14ac:dyDescent="0.2">
      <c r="D67" s="155" t="s">
        <v>431</v>
      </c>
      <c r="E67" s="155">
        <v>25.7</v>
      </c>
      <c r="F67" s="155" t="s">
        <v>429</v>
      </c>
      <c r="G67" s="155">
        <v>60.2</v>
      </c>
      <c r="H67" s="155">
        <v>0.2</v>
      </c>
      <c r="I67" s="155">
        <v>0.2</v>
      </c>
      <c r="J67" s="155">
        <v>60.6</v>
      </c>
      <c r="K67" s="155">
        <v>20.2</v>
      </c>
      <c r="L67" s="110"/>
    </row>
    <row r="68" spans="1:13" ht="20.100000000000001" customHeight="1" x14ac:dyDescent="0.2">
      <c r="D68" s="155" t="s">
        <v>951</v>
      </c>
      <c r="E68" s="155">
        <v>31.4</v>
      </c>
      <c r="F68" s="155" t="s">
        <v>429</v>
      </c>
      <c r="G68" s="155">
        <v>69.8</v>
      </c>
      <c r="H68" s="155">
        <v>0.01</v>
      </c>
      <c r="I68" s="155">
        <v>0.01</v>
      </c>
      <c r="J68" s="155">
        <v>69.819999999999993</v>
      </c>
      <c r="K68" s="155">
        <v>18</v>
      </c>
      <c r="L68" s="110"/>
    </row>
    <row r="69" spans="1:13" ht="20.100000000000001" customHeight="1" x14ac:dyDescent="0.2">
      <c r="D69" s="155" t="s">
        <v>952</v>
      </c>
      <c r="E69" s="155">
        <v>34.200000000000003</v>
      </c>
      <c r="F69" s="155" t="s">
        <v>942</v>
      </c>
      <c r="G69" s="155">
        <v>92.6</v>
      </c>
      <c r="H69" s="155">
        <v>0.08</v>
      </c>
      <c r="I69" s="155">
        <v>0.2</v>
      </c>
      <c r="J69" s="155">
        <v>92.88</v>
      </c>
      <c r="K69" s="155">
        <v>18</v>
      </c>
      <c r="L69" s="110"/>
    </row>
    <row r="70" spans="1:13" ht="20.100000000000001" customHeight="1" x14ac:dyDescent="0.2">
      <c r="A70" s="167" t="str">
        <f>HYPERLINK("#A1", "▲ Back to top")</f>
        <v>▲ Back to top</v>
      </c>
      <c r="D70" s="155" t="s">
        <v>953</v>
      </c>
      <c r="E70" s="155">
        <v>42.9</v>
      </c>
      <c r="F70" s="155" t="s">
        <v>942</v>
      </c>
      <c r="G70" s="155">
        <v>54.7</v>
      </c>
      <c r="H70" s="155">
        <v>0.03</v>
      </c>
      <c r="I70" s="155">
        <v>0.03</v>
      </c>
      <c r="J70" s="155">
        <v>54.76</v>
      </c>
      <c r="K70" s="155">
        <v>18</v>
      </c>
      <c r="L70" s="110"/>
    </row>
    <row r="71" spans="1:13" ht="20.100000000000001" customHeight="1" x14ac:dyDescent="0.2">
      <c r="D71" s="155" t="s">
        <v>954</v>
      </c>
      <c r="E71" s="155">
        <v>34.200000000000003</v>
      </c>
      <c r="F71" s="155" t="s">
        <v>942</v>
      </c>
      <c r="G71" s="155">
        <v>92.6</v>
      </c>
      <c r="H71" s="155">
        <v>0.08</v>
      </c>
      <c r="I71" s="155">
        <v>0.2</v>
      </c>
      <c r="J71" s="155">
        <v>92.88</v>
      </c>
      <c r="K71" s="155">
        <v>18</v>
      </c>
      <c r="L71" s="110"/>
    </row>
    <row r="72" spans="1:13" ht="20.100000000000001" customHeight="1" x14ac:dyDescent="0.2">
      <c r="D72" s="155" t="s">
        <v>955</v>
      </c>
      <c r="E72" s="155">
        <v>34.4</v>
      </c>
      <c r="F72" s="155" t="s">
        <v>429</v>
      </c>
      <c r="G72" s="155">
        <v>69.8</v>
      </c>
      <c r="H72" s="155">
        <v>0.02</v>
      </c>
      <c r="I72" s="155">
        <v>0.1</v>
      </c>
      <c r="J72" s="155">
        <v>69.92</v>
      </c>
      <c r="K72" s="155">
        <v>18</v>
      </c>
      <c r="L72" s="110"/>
    </row>
    <row r="73" spans="1:13" ht="20.100000000000001" customHeight="1" x14ac:dyDescent="0.2">
      <c r="D73" s="155" t="s">
        <v>432</v>
      </c>
      <c r="E73" s="155">
        <v>34.6</v>
      </c>
      <c r="F73" s="155" t="s">
        <v>429</v>
      </c>
      <c r="G73" s="155">
        <v>0</v>
      </c>
      <c r="H73" s="155">
        <v>0.08</v>
      </c>
      <c r="I73" s="155">
        <v>0.2</v>
      </c>
      <c r="J73" s="155">
        <v>0.28000000000000003</v>
      </c>
      <c r="K73" s="155" t="s">
        <v>921</v>
      </c>
      <c r="L73" s="110"/>
    </row>
    <row r="74" spans="1:13" ht="20.100000000000001" customHeight="1" x14ac:dyDescent="0.2">
      <c r="D74" s="155" t="s">
        <v>956</v>
      </c>
      <c r="E74" s="155">
        <v>23.4</v>
      </c>
      <c r="F74" s="155" t="s">
        <v>429</v>
      </c>
      <c r="G74" s="155">
        <v>0</v>
      </c>
      <c r="H74" s="155">
        <v>0.08</v>
      </c>
      <c r="I74" s="155">
        <v>0.2</v>
      </c>
      <c r="J74" s="155">
        <v>0.28000000000000003</v>
      </c>
      <c r="K74" s="155" t="s">
        <v>921</v>
      </c>
      <c r="L74" s="110"/>
    </row>
    <row r="75" spans="1:13" ht="20.100000000000001" customHeight="1" x14ac:dyDescent="0.2">
      <c r="D75" s="155" t="s">
        <v>957</v>
      </c>
      <c r="E75" s="155">
        <v>23.4</v>
      </c>
      <c r="F75" s="155" t="s">
        <v>429</v>
      </c>
      <c r="G75" s="155">
        <v>0</v>
      </c>
      <c r="H75" s="155">
        <v>0.08</v>
      </c>
      <c r="I75" s="155">
        <v>0.2</v>
      </c>
      <c r="J75" s="155">
        <v>0.28000000000000003</v>
      </c>
      <c r="K75" s="155" t="s">
        <v>921</v>
      </c>
      <c r="L75" s="110"/>
    </row>
    <row r="76" spans="1:13" ht="20.100000000000001" customHeight="1" x14ac:dyDescent="0.2">
      <c r="D76" s="155" t="s">
        <v>438</v>
      </c>
      <c r="E76" s="155">
        <v>36.799999999999997</v>
      </c>
      <c r="F76" s="155" t="s">
        <v>429</v>
      </c>
      <c r="G76" s="155">
        <v>0</v>
      </c>
      <c r="H76" s="155">
        <v>0.02</v>
      </c>
      <c r="I76" s="155">
        <v>0.2</v>
      </c>
      <c r="J76" s="155">
        <v>0.22</v>
      </c>
      <c r="K76" s="155" t="s">
        <v>921</v>
      </c>
      <c r="L76" s="110"/>
    </row>
    <row r="77" spans="1:13" ht="20.100000000000001" customHeight="1" x14ac:dyDescent="0.2">
      <c r="D77" s="155" t="s">
        <v>435</v>
      </c>
      <c r="E77" s="155">
        <v>38.6</v>
      </c>
      <c r="F77" s="155" t="s">
        <v>429</v>
      </c>
      <c r="G77" s="155">
        <v>0</v>
      </c>
      <c r="H77" s="155">
        <v>0.1</v>
      </c>
      <c r="I77" s="155">
        <v>0.2</v>
      </c>
      <c r="J77" s="155">
        <v>0.3</v>
      </c>
      <c r="K77" s="155" t="s">
        <v>921</v>
      </c>
      <c r="L77" s="110"/>
    </row>
    <row r="78" spans="1:13" ht="20.100000000000001" customHeight="1" x14ac:dyDescent="0.2">
      <c r="D78" s="110"/>
      <c r="E78" s="110"/>
      <c r="F78" s="110"/>
      <c r="G78" s="110"/>
      <c r="H78" s="110"/>
      <c r="I78" s="110"/>
      <c r="J78" s="110"/>
      <c r="K78" s="110"/>
      <c r="L78" s="110"/>
    </row>
    <row r="79" spans="1:13" ht="20.100000000000001" customHeight="1" x14ac:dyDescent="0.2">
      <c r="D79" s="110"/>
      <c r="E79" s="110"/>
      <c r="F79" s="110"/>
      <c r="G79" s="110"/>
      <c r="H79" s="110"/>
      <c r="I79" s="110"/>
      <c r="J79" s="110"/>
      <c r="K79" s="110"/>
      <c r="L79" s="110"/>
      <c r="M79" s="110"/>
    </row>
    <row r="80" spans="1:13" ht="20.100000000000001" customHeight="1" x14ac:dyDescent="0.2">
      <c r="D80" s="110"/>
      <c r="E80" s="110"/>
      <c r="F80" s="110"/>
      <c r="G80" s="110"/>
      <c r="H80" s="110"/>
      <c r="I80" s="110"/>
      <c r="J80" s="110"/>
      <c r="K80" s="110"/>
      <c r="L80" s="110"/>
      <c r="M80" s="110"/>
    </row>
    <row r="81" spans="4:12" ht="20.100000000000001" customHeight="1" x14ac:dyDescent="0.2">
      <c r="D81" s="16" t="s">
        <v>958</v>
      </c>
      <c r="E81" s="110"/>
      <c r="F81" s="110"/>
      <c r="G81" s="110"/>
      <c r="H81" s="110"/>
      <c r="I81" s="110"/>
      <c r="J81" s="110"/>
      <c r="K81" s="110"/>
      <c r="L81" s="110"/>
    </row>
    <row r="82" spans="4:12" ht="20.100000000000001" customHeight="1" x14ac:dyDescent="0.2">
      <c r="D82" s="15" t="s">
        <v>959</v>
      </c>
      <c r="E82" s="110"/>
      <c r="F82" s="110"/>
      <c r="G82" s="110"/>
      <c r="H82" s="110"/>
      <c r="I82" s="110"/>
      <c r="J82" s="110"/>
      <c r="K82" s="110"/>
      <c r="L82" s="110"/>
    </row>
    <row r="83" spans="4:12" ht="20.100000000000001" customHeight="1" x14ac:dyDescent="0.2">
      <c r="D83" s="18" t="s">
        <v>960</v>
      </c>
      <c r="E83" s="110"/>
      <c r="F83" s="110"/>
      <c r="G83" s="110"/>
      <c r="H83" s="110"/>
      <c r="I83" s="110"/>
      <c r="J83" s="110"/>
      <c r="K83" s="110"/>
      <c r="L83" s="110"/>
    </row>
    <row r="84" spans="4:12" ht="20.100000000000001" customHeight="1" x14ac:dyDescent="0.2">
      <c r="D84" s="19"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10"/>
      <c r="F84" s="110"/>
      <c r="G84" s="110"/>
      <c r="H84" s="110"/>
      <c r="I84" s="110"/>
      <c r="J84" s="110"/>
      <c r="K84" s="110"/>
      <c r="L84" s="110"/>
    </row>
    <row r="85" spans="4:12" ht="20.100000000000001" customHeight="1" x14ac:dyDescent="0.2">
      <c r="D85" s="110"/>
      <c r="E85" s="110"/>
      <c r="F85" s="110"/>
      <c r="G85" s="110"/>
      <c r="H85" s="110"/>
      <c r="I85" s="110"/>
      <c r="J85" s="110"/>
      <c r="K85" s="110"/>
      <c r="L85" s="110"/>
    </row>
    <row r="86" spans="4:12" ht="20.100000000000001" customHeight="1" x14ac:dyDescent="0.2">
      <c r="D86" s="157" t="s">
        <v>407</v>
      </c>
      <c r="E86" s="154" t="s">
        <v>408</v>
      </c>
      <c r="F86" s="157" t="s">
        <v>409</v>
      </c>
      <c r="G86" s="154" t="s">
        <v>410</v>
      </c>
      <c r="H86" s="154" t="s">
        <v>411</v>
      </c>
      <c r="I86" s="154" t="s">
        <v>412</v>
      </c>
      <c r="J86" s="154" t="s">
        <v>413</v>
      </c>
      <c r="K86" s="110"/>
      <c r="L86" s="110"/>
    </row>
    <row r="87" spans="4:12" ht="20.100000000000001" customHeight="1" x14ac:dyDescent="0.2">
      <c r="D87" s="155" t="s">
        <v>961</v>
      </c>
      <c r="E87" s="155">
        <v>3.9300000000000002E-2</v>
      </c>
      <c r="F87" s="155" t="s">
        <v>924</v>
      </c>
      <c r="G87" s="155">
        <v>51.4</v>
      </c>
      <c r="H87" s="155">
        <v>0.1</v>
      </c>
      <c r="I87" s="155">
        <v>0.03</v>
      </c>
      <c r="J87" s="155">
        <v>51.53</v>
      </c>
      <c r="K87" s="110"/>
      <c r="L87" s="110"/>
    </row>
    <row r="88" spans="4:12" ht="20.100000000000001" customHeight="1" x14ac:dyDescent="0.2">
      <c r="D88" s="155" t="s">
        <v>962</v>
      </c>
      <c r="E88" s="155">
        <v>3.7699999999999997E-2</v>
      </c>
      <c r="F88" s="155" t="s">
        <v>924</v>
      </c>
      <c r="G88" s="155">
        <v>51.4</v>
      </c>
      <c r="H88" s="155">
        <v>0.2</v>
      </c>
      <c r="I88" s="155">
        <v>0.03</v>
      </c>
      <c r="J88" s="155">
        <v>51.63</v>
      </c>
      <c r="K88" s="110"/>
      <c r="L88" s="110"/>
    </row>
    <row r="89" spans="4:12" ht="20.100000000000001" customHeight="1" x14ac:dyDescent="0.2">
      <c r="D89" s="155" t="s">
        <v>963</v>
      </c>
      <c r="E89" s="155">
        <v>3.7699999999999997E-2</v>
      </c>
      <c r="F89" s="155" t="s">
        <v>924</v>
      </c>
      <c r="G89" s="155">
        <v>51.9</v>
      </c>
      <c r="H89" s="155">
        <v>4.5999999999999996</v>
      </c>
      <c r="I89" s="155">
        <v>0.3</v>
      </c>
      <c r="J89" s="155">
        <v>56.8</v>
      </c>
      <c r="K89" s="110"/>
      <c r="L89" s="110"/>
    </row>
    <row r="90" spans="4:12" ht="20.100000000000001" customHeight="1" x14ac:dyDescent="0.2">
      <c r="D90" s="155" t="s">
        <v>964</v>
      </c>
      <c r="E90" s="155">
        <v>3.9300000000000002E-2</v>
      </c>
      <c r="F90" s="155" t="s">
        <v>924</v>
      </c>
      <c r="G90" s="155">
        <v>51.4</v>
      </c>
      <c r="H90" s="155">
        <v>0.1</v>
      </c>
      <c r="I90" s="155">
        <v>0.03</v>
      </c>
      <c r="J90" s="155">
        <v>51.53</v>
      </c>
      <c r="K90" s="110"/>
      <c r="L90" s="110"/>
    </row>
    <row r="91" spans="4:12" ht="20.100000000000001" customHeight="1" x14ac:dyDescent="0.2">
      <c r="D91" s="155" t="s">
        <v>965</v>
      </c>
      <c r="E91" s="155">
        <v>3.9300000000000002E-2</v>
      </c>
      <c r="F91" s="155" t="s">
        <v>924</v>
      </c>
      <c r="G91" s="155">
        <v>51.4</v>
      </c>
      <c r="H91" s="155">
        <v>0.1</v>
      </c>
      <c r="I91" s="155">
        <v>0.03</v>
      </c>
      <c r="J91" s="155">
        <v>51.53</v>
      </c>
      <c r="K91" s="110"/>
      <c r="L91" s="110"/>
    </row>
    <row r="92" spans="4:12" ht="20.100000000000001" customHeight="1" x14ac:dyDescent="0.2">
      <c r="D92" s="155" t="s">
        <v>966</v>
      </c>
      <c r="E92" s="155">
        <v>6.2899999999999998E-2</v>
      </c>
      <c r="F92" s="155" t="s">
        <v>924</v>
      </c>
      <c r="G92" s="155">
        <v>56.5</v>
      </c>
      <c r="H92" s="155">
        <v>0.03</v>
      </c>
      <c r="I92" s="155">
        <v>0.03</v>
      </c>
      <c r="J92" s="155">
        <v>56.56</v>
      </c>
      <c r="K92" s="110"/>
      <c r="L92" s="110"/>
    </row>
    <row r="93" spans="4:12" ht="20.100000000000001" customHeight="1" x14ac:dyDescent="0.2">
      <c r="D93" s="155" t="s">
        <v>967</v>
      </c>
      <c r="E93" s="155">
        <v>1.8100000000000002E-2</v>
      </c>
      <c r="F93" s="155" t="s">
        <v>924</v>
      </c>
      <c r="G93" s="155">
        <v>37</v>
      </c>
      <c r="H93" s="155">
        <v>0.03</v>
      </c>
      <c r="I93" s="155">
        <v>0.05</v>
      </c>
      <c r="J93" s="155">
        <v>37.08</v>
      </c>
      <c r="K93" s="110"/>
      <c r="L93" s="110"/>
    </row>
    <row r="94" spans="4:12" ht="20.100000000000001" customHeight="1" x14ac:dyDescent="0.2">
      <c r="D94" s="155" t="s">
        <v>968</v>
      </c>
      <c r="E94" s="155">
        <v>4.0000000000000001E-3</v>
      </c>
      <c r="F94" s="155" t="s">
        <v>924</v>
      </c>
      <c r="G94" s="155">
        <v>234</v>
      </c>
      <c r="H94" s="155">
        <v>0.03</v>
      </c>
      <c r="I94" s="155">
        <v>0.02</v>
      </c>
      <c r="J94" s="155">
        <v>234.05</v>
      </c>
      <c r="K94" s="110"/>
      <c r="L94" s="110"/>
    </row>
    <row r="95" spans="4:12" ht="20.100000000000001" customHeight="1" x14ac:dyDescent="0.2">
      <c r="D95" s="155" t="s">
        <v>969</v>
      </c>
      <c r="E95" s="155">
        <v>3.9E-2</v>
      </c>
      <c r="F95" s="155" t="s">
        <v>924</v>
      </c>
      <c r="G95" s="155">
        <v>60.2</v>
      </c>
      <c r="H95" s="155">
        <v>0.04</v>
      </c>
      <c r="I95" s="155">
        <v>0.03</v>
      </c>
      <c r="J95" s="155">
        <v>60.27</v>
      </c>
      <c r="K95" s="110"/>
      <c r="L95" s="110"/>
    </row>
    <row r="96" spans="4:12" ht="20.100000000000001" customHeight="1" x14ac:dyDescent="0.2">
      <c r="D96" s="155" t="s">
        <v>925</v>
      </c>
      <c r="E96" s="155">
        <v>25.3</v>
      </c>
      <c r="F96" s="155" t="s">
        <v>429</v>
      </c>
      <c r="G96" s="155">
        <v>51.4</v>
      </c>
      <c r="H96" s="155">
        <v>0.1</v>
      </c>
      <c r="I96" s="155">
        <v>0.03</v>
      </c>
      <c r="J96" s="155">
        <v>51.53</v>
      </c>
      <c r="K96" s="110"/>
      <c r="L96" s="110"/>
    </row>
    <row r="97" spans="1:13" ht="20.100000000000001" customHeight="1" x14ac:dyDescent="0.2">
      <c r="D97" s="155" t="s">
        <v>970</v>
      </c>
      <c r="E97" s="155">
        <v>3.9E-2</v>
      </c>
      <c r="F97" s="155" t="s">
        <v>924</v>
      </c>
      <c r="G97" s="155">
        <v>51.4</v>
      </c>
      <c r="H97" s="155">
        <v>0.1</v>
      </c>
      <c r="I97" s="155">
        <v>0.03</v>
      </c>
      <c r="J97" s="155">
        <v>51.53</v>
      </c>
      <c r="K97" s="110"/>
      <c r="L97" s="110"/>
    </row>
    <row r="98" spans="1:13" ht="20.100000000000001" customHeight="1" x14ac:dyDescent="0.2">
      <c r="D98" s="155" t="s">
        <v>971</v>
      </c>
      <c r="E98" s="155">
        <v>3.7699999999999997E-2</v>
      </c>
      <c r="F98" s="155" t="s">
        <v>924</v>
      </c>
      <c r="G98" s="155">
        <v>0</v>
      </c>
      <c r="H98" s="155">
        <v>6.4</v>
      </c>
      <c r="I98" s="155">
        <v>0.03</v>
      </c>
      <c r="J98" s="155">
        <v>6.43</v>
      </c>
      <c r="K98" s="110"/>
      <c r="L98" s="110"/>
    </row>
    <row r="99" spans="1:13" ht="20.100000000000001" customHeight="1" x14ac:dyDescent="0.2">
      <c r="D99" s="155" t="s">
        <v>972</v>
      </c>
      <c r="E99" s="155">
        <v>3.7699999999999997E-2</v>
      </c>
      <c r="F99" s="155" t="s">
        <v>924</v>
      </c>
      <c r="G99" s="155">
        <v>0</v>
      </c>
      <c r="H99" s="155">
        <v>6.4</v>
      </c>
      <c r="I99" s="155">
        <v>0.03</v>
      </c>
      <c r="J99" s="155">
        <v>6.43</v>
      </c>
      <c r="K99" s="110"/>
      <c r="L99" s="110"/>
    </row>
    <row r="100" spans="1:13" ht="20.100000000000001" customHeight="1" x14ac:dyDescent="0.2">
      <c r="A100" s="167" t="str">
        <f>HYPERLINK("#A1", "▲ Back to top")</f>
        <v>▲ Back to top</v>
      </c>
      <c r="D100" s="155" t="s">
        <v>973</v>
      </c>
      <c r="E100" s="155">
        <v>3.6999999999999998E-2</v>
      </c>
      <c r="F100" s="155" t="s">
        <v>924</v>
      </c>
      <c r="G100" s="155">
        <v>0</v>
      </c>
      <c r="H100" s="155">
        <v>6.4</v>
      </c>
      <c r="I100" s="155">
        <v>0.03</v>
      </c>
      <c r="J100" s="155">
        <v>6.43</v>
      </c>
      <c r="K100" s="110"/>
      <c r="L100" s="110"/>
    </row>
    <row r="101" spans="1:13" ht="20.100000000000001" customHeight="1" x14ac:dyDescent="0.2">
      <c r="D101" s="155" t="s">
        <v>974</v>
      </c>
      <c r="E101" s="155">
        <v>3.9300000000000002E-2</v>
      </c>
      <c r="F101" s="155" t="s">
        <v>924</v>
      </c>
      <c r="G101" s="155">
        <v>0</v>
      </c>
      <c r="H101" s="155">
        <v>0.1</v>
      </c>
      <c r="I101" s="155">
        <v>0.03</v>
      </c>
      <c r="J101" s="155">
        <v>0.13</v>
      </c>
      <c r="K101" s="110"/>
      <c r="L101" s="110"/>
    </row>
    <row r="102" spans="1:13" ht="20.100000000000001" customHeight="1" x14ac:dyDescent="0.2">
      <c r="D102" s="155" t="s">
        <v>975</v>
      </c>
      <c r="E102" s="155">
        <v>1.2200000000000001E-2</v>
      </c>
      <c r="F102" s="155" t="s">
        <v>924</v>
      </c>
      <c r="G102" s="155">
        <v>0</v>
      </c>
      <c r="H102" s="155">
        <v>0</v>
      </c>
      <c r="I102" s="155">
        <v>0.5</v>
      </c>
      <c r="J102" s="155">
        <v>0.5</v>
      </c>
      <c r="K102" s="110"/>
      <c r="L102" s="110"/>
    </row>
    <row r="103" spans="1:13" ht="20.100000000000001" customHeight="1" x14ac:dyDescent="0.2">
      <c r="D103" s="155" t="s">
        <v>976</v>
      </c>
      <c r="E103" s="155">
        <v>1</v>
      </c>
      <c r="F103" s="155" t="s">
        <v>447</v>
      </c>
      <c r="G103" s="155">
        <v>51.4</v>
      </c>
      <c r="H103" s="155">
        <v>0.1</v>
      </c>
      <c r="I103" s="155">
        <v>0.03</v>
      </c>
      <c r="J103" s="155">
        <v>51.53</v>
      </c>
      <c r="K103" s="110"/>
      <c r="L103" s="110"/>
    </row>
    <row r="104" spans="1:13" ht="20.100000000000001" customHeight="1" x14ac:dyDescent="0.2">
      <c r="D104" s="155" t="s">
        <v>977</v>
      </c>
      <c r="E104" s="155">
        <v>1</v>
      </c>
      <c r="F104" s="155" t="s">
        <v>447</v>
      </c>
      <c r="G104" s="155">
        <v>60.2</v>
      </c>
      <c r="H104" s="155">
        <v>0.04</v>
      </c>
      <c r="I104" s="155">
        <v>0.03</v>
      </c>
      <c r="J104" s="155">
        <v>60.27</v>
      </c>
      <c r="K104" s="110"/>
      <c r="L104" s="110"/>
    </row>
    <row r="105" spans="1:13" ht="20.100000000000001" customHeight="1" x14ac:dyDescent="0.2">
      <c r="D105" s="110"/>
      <c r="E105" s="110"/>
      <c r="F105" s="110"/>
      <c r="G105" s="110"/>
      <c r="H105" s="110"/>
      <c r="I105" s="110"/>
      <c r="J105" s="110"/>
      <c r="K105" s="110"/>
      <c r="L105" s="110"/>
      <c r="M105" s="110"/>
    </row>
    <row r="106" spans="1:13" ht="20.100000000000001" customHeight="1" x14ac:dyDescent="0.2">
      <c r="D106" s="110"/>
      <c r="E106" s="110"/>
      <c r="F106" s="110"/>
      <c r="G106" s="110"/>
      <c r="H106" s="110"/>
      <c r="I106" s="110"/>
      <c r="J106" s="110"/>
      <c r="K106" s="110"/>
      <c r="L106" s="110"/>
      <c r="M106" s="110"/>
    </row>
    <row r="107" spans="1:13" ht="20.100000000000001" customHeight="1" x14ac:dyDescent="0.2">
      <c r="D107" s="16" t="s">
        <v>978</v>
      </c>
      <c r="E107" s="110"/>
      <c r="F107" s="110"/>
      <c r="G107" s="110"/>
      <c r="H107" s="110"/>
      <c r="I107" s="110"/>
      <c r="J107" s="110"/>
      <c r="K107" s="110"/>
      <c r="L107" s="110"/>
    </row>
    <row r="108" spans="1:13" ht="20.100000000000001" customHeight="1" x14ac:dyDescent="0.2">
      <c r="D108" s="15" t="s">
        <v>979</v>
      </c>
      <c r="E108" s="110"/>
      <c r="F108" s="110"/>
      <c r="G108" s="110"/>
      <c r="H108" s="110"/>
      <c r="I108" s="110"/>
      <c r="J108" s="110"/>
      <c r="K108" s="110"/>
      <c r="L108" s="110"/>
    </row>
    <row r="109" spans="1:13" ht="20.100000000000001" customHeight="1" x14ac:dyDescent="0.2">
      <c r="D109" s="18" t="s">
        <v>980</v>
      </c>
      <c r="E109" s="110"/>
      <c r="F109" s="110"/>
      <c r="G109" s="110"/>
      <c r="H109" s="110"/>
      <c r="I109" s="110"/>
      <c r="J109" s="110"/>
      <c r="K109" s="110"/>
      <c r="L109" s="110"/>
    </row>
    <row r="110" spans="1:13" ht="20.100000000000001" customHeight="1" x14ac:dyDescent="0.2">
      <c r="D110" s="19"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10"/>
      <c r="F110" s="110"/>
      <c r="G110" s="110"/>
      <c r="H110" s="110"/>
      <c r="I110" s="110"/>
      <c r="J110" s="110"/>
      <c r="K110" s="110"/>
      <c r="L110" s="110"/>
    </row>
    <row r="111" spans="1:13" ht="20.100000000000001" customHeight="1" x14ac:dyDescent="0.2">
      <c r="D111" s="110"/>
      <c r="E111" s="110"/>
      <c r="F111" s="110"/>
      <c r="G111" s="110"/>
      <c r="H111" s="110"/>
      <c r="I111" s="110"/>
      <c r="J111" s="110"/>
      <c r="K111" s="110"/>
      <c r="L111" s="110"/>
    </row>
    <row r="112" spans="1:13" ht="20.100000000000001" customHeight="1" x14ac:dyDescent="0.2">
      <c r="D112" s="157" t="s">
        <v>422</v>
      </c>
      <c r="E112" s="154" t="s">
        <v>355</v>
      </c>
      <c r="F112" s="154" t="s">
        <v>423</v>
      </c>
      <c r="G112" s="165" t="s">
        <v>983</v>
      </c>
      <c r="H112" s="69" t="s">
        <v>424</v>
      </c>
      <c r="I112" s="110"/>
      <c r="J112" s="110"/>
      <c r="K112" s="110"/>
      <c r="L112" s="110"/>
    </row>
    <row r="113" spans="4:13" ht="20.100000000000001" customHeight="1" x14ac:dyDescent="0.2">
      <c r="D113" s="158" t="s">
        <v>981</v>
      </c>
      <c r="E113" s="158">
        <v>13.1</v>
      </c>
      <c r="F113" s="158">
        <v>14</v>
      </c>
      <c r="G113" s="159" t="s">
        <v>982</v>
      </c>
      <c r="H113" s="15" t="s">
        <v>984</v>
      </c>
      <c r="I113" s="110"/>
      <c r="J113" s="110"/>
      <c r="K113" s="110"/>
      <c r="L113" s="110"/>
    </row>
    <row r="114" spans="4:13" ht="20.100000000000001" customHeight="1" x14ac:dyDescent="0.2">
      <c r="D114" s="158" t="s">
        <v>996</v>
      </c>
      <c r="E114" s="158">
        <v>13.1</v>
      </c>
      <c r="F114" s="158">
        <v>14</v>
      </c>
      <c r="G114" s="159"/>
      <c r="H114" s="15" t="s">
        <v>985</v>
      </c>
      <c r="I114" s="110"/>
      <c r="J114" s="110"/>
      <c r="K114" s="110"/>
      <c r="L114" s="110"/>
    </row>
    <row r="115" spans="4:13" ht="20.100000000000001" customHeight="1" x14ac:dyDescent="0.2">
      <c r="D115" s="158" t="s">
        <v>997</v>
      </c>
      <c r="E115" s="158">
        <v>4</v>
      </c>
      <c r="F115" s="158">
        <v>4</v>
      </c>
      <c r="G115" s="159"/>
      <c r="H115" s="15" t="s">
        <v>986</v>
      </c>
      <c r="I115" s="110"/>
      <c r="J115" s="110"/>
      <c r="K115" s="110"/>
      <c r="L115" s="110"/>
    </row>
    <row r="116" spans="4:13" ht="20.100000000000001" customHeight="1" x14ac:dyDescent="0.2">
      <c r="D116" s="158" t="s">
        <v>998</v>
      </c>
      <c r="E116" s="158">
        <v>8.8000000000000007</v>
      </c>
      <c r="F116" s="158">
        <v>7.9</v>
      </c>
      <c r="G116" s="159" t="s">
        <v>982</v>
      </c>
      <c r="H116" s="15" t="s">
        <v>987</v>
      </c>
      <c r="I116" s="110"/>
      <c r="J116" s="110"/>
      <c r="K116" s="110"/>
      <c r="L116" s="110"/>
    </row>
    <row r="117" spans="4:13" ht="20.100000000000001" customHeight="1" x14ac:dyDescent="0.2">
      <c r="D117" s="158" t="s">
        <v>999</v>
      </c>
      <c r="E117" s="158">
        <v>10.7</v>
      </c>
      <c r="F117" s="158">
        <v>10.6</v>
      </c>
      <c r="G117" s="159"/>
      <c r="H117" s="15" t="s">
        <v>988</v>
      </c>
      <c r="I117" s="110"/>
      <c r="J117" s="110"/>
      <c r="K117" s="110"/>
      <c r="L117" s="110"/>
    </row>
    <row r="118" spans="4:13" ht="20.100000000000001" customHeight="1" x14ac:dyDescent="0.2">
      <c r="D118" s="158" t="s">
        <v>461</v>
      </c>
      <c r="E118" s="158">
        <v>4.0999999999999996</v>
      </c>
      <c r="F118" s="158">
        <v>4</v>
      </c>
      <c r="G118" s="159" t="s">
        <v>982</v>
      </c>
      <c r="H118" s="15" t="s">
        <v>989</v>
      </c>
      <c r="I118" s="110"/>
      <c r="J118" s="110"/>
      <c r="K118" s="110"/>
      <c r="L118" s="110"/>
    </row>
    <row r="119" spans="4:13" ht="20.100000000000001" customHeight="1" x14ac:dyDescent="0.2">
      <c r="D119" s="158" t="s">
        <v>1000</v>
      </c>
      <c r="E119" s="158">
        <v>4</v>
      </c>
      <c r="F119" s="158">
        <v>4</v>
      </c>
      <c r="G119" s="159" t="s">
        <v>982</v>
      </c>
      <c r="H119" s="15" t="s">
        <v>990</v>
      </c>
      <c r="I119" s="110"/>
      <c r="J119" s="110"/>
      <c r="K119" s="110"/>
      <c r="L119" s="110"/>
    </row>
    <row r="120" spans="4:13" ht="20.100000000000001" customHeight="1" x14ac:dyDescent="0.2">
      <c r="D120" s="158" t="s">
        <v>1001</v>
      </c>
      <c r="E120" s="158">
        <v>4.0999999999999996</v>
      </c>
      <c r="F120" s="158">
        <v>4</v>
      </c>
      <c r="G120" s="159" t="s">
        <v>982</v>
      </c>
      <c r="H120" s="15" t="s">
        <v>991</v>
      </c>
      <c r="I120" s="110"/>
      <c r="J120" s="110"/>
      <c r="K120" s="110"/>
      <c r="L120" s="110"/>
    </row>
    <row r="121" spans="4:13" ht="20.100000000000001" customHeight="1" x14ac:dyDescent="0.2">
      <c r="D121" s="34"/>
      <c r="E121" s="34"/>
      <c r="F121" s="34"/>
      <c r="G121" s="159"/>
      <c r="H121" s="15" t="s">
        <v>992</v>
      </c>
      <c r="I121" s="110"/>
      <c r="J121" s="110"/>
      <c r="K121" s="110"/>
      <c r="L121" s="110"/>
    </row>
    <row r="122" spans="4:13" ht="20.100000000000001" customHeight="1" x14ac:dyDescent="0.2">
      <c r="D122" s="110"/>
      <c r="F122" s="160"/>
      <c r="G122" s="159"/>
      <c r="H122" s="15" t="s">
        <v>993</v>
      </c>
      <c r="I122" s="110"/>
      <c r="J122" s="110"/>
      <c r="K122" s="110"/>
      <c r="L122" s="110"/>
    </row>
    <row r="123" spans="4:13" ht="20.100000000000001" customHeight="1" x14ac:dyDescent="0.2">
      <c r="D123" s="161"/>
      <c r="F123" s="160"/>
      <c r="G123" s="159" t="s">
        <v>982</v>
      </c>
      <c r="H123" s="15" t="s">
        <v>994</v>
      </c>
      <c r="I123" s="110"/>
      <c r="J123" s="110"/>
      <c r="K123" s="110"/>
      <c r="L123" s="110"/>
    </row>
    <row r="124" spans="4:13" ht="20.100000000000001" customHeight="1" x14ac:dyDescent="0.2">
      <c r="D124" s="161"/>
      <c r="F124" s="160"/>
      <c r="G124" s="110"/>
      <c r="H124" s="15" t="s">
        <v>995</v>
      </c>
      <c r="I124" s="110"/>
      <c r="J124" s="110"/>
      <c r="K124" s="110"/>
      <c r="L124" s="110"/>
    </row>
    <row r="125" spans="4:13" ht="20.100000000000001" customHeight="1" x14ac:dyDescent="0.2">
      <c r="D125" s="161"/>
      <c r="F125" s="160"/>
      <c r="G125" s="110"/>
      <c r="H125" s="110"/>
      <c r="I125" s="110"/>
      <c r="J125" s="110"/>
      <c r="K125" s="110"/>
      <c r="L125" s="110"/>
    </row>
    <row r="126" spans="4:13" ht="20.100000000000001" customHeight="1" x14ac:dyDescent="0.2">
      <c r="D126" s="110"/>
      <c r="E126" s="110"/>
      <c r="F126" s="110"/>
      <c r="G126" s="110"/>
      <c r="H126" s="110"/>
      <c r="I126" s="110"/>
      <c r="J126" s="110"/>
      <c r="K126" s="110"/>
      <c r="L126" s="110"/>
      <c r="M126" s="110"/>
    </row>
    <row r="127" spans="4:13" ht="20.100000000000001" customHeight="1" x14ac:dyDescent="0.2">
      <c r="D127" s="110"/>
      <c r="E127" s="110"/>
      <c r="F127" s="110"/>
      <c r="G127" s="110"/>
      <c r="H127" s="110"/>
      <c r="I127" s="110"/>
      <c r="J127" s="110"/>
      <c r="K127" s="110"/>
      <c r="L127" s="110"/>
      <c r="M127" s="110"/>
    </row>
    <row r="128" spans="4:13" ht="20.100000000000001" customHeight="1" x14ac:dyDescent="0.2">
      <c r="D128" s="110"/>
      <c r="E128" s="110"/>
      <c r="F128" s="110"/>
      <c r="G128" s="110"/>
      <c r="H128" s="110"/>
      <c r="I128" s="110"/>
      <c r="J128" s="110"/>
      <c r="K128" s="110"/>
      <c r="L128" s="110"/>
      <c r="M128" s="110"/>
    </row>
    <row r="129" spans="1:33" ht="20.100000000000001" customHeight="1" x14ac:dyDescent="0.2">
      <c r="D129" s="162"/>
      <c r="E129" s="110"/>
      <c r="F129" s="110"/>
      <c r="G129" s="110"/>
      <c r="H129" s="110"/>
      <c r="I129" s="110"/>
      <c r="J129" s="110"/>
      <c r="K129" s="110"/>
      <c r="L129" s="110"/>
    </row>
    <row r="130" spans="1:33" ht="20.100000000000001" customHeight="1" x14ac:dyDescent="0.2">
      <c r="A130" s="167" t="str">
        <f>HYPERLINK("#A1", "▲ Back to top")</f>
        <v>▲ Back to top</v>
      </c>
      <c r="D130" s="163" t="s">
        <v>425</v>
      </c>
      <c r="E130" s="163" t="s">
        <v>365</v>
      </c>
      <c r="F130" s="163" t="s">
        <v>426</v>
      </c>
      <c r="G130" s="163" t="s">
        <v>368</v>
      </c>
      <c r="H130" s="163" t="s">
        <v>370</v>
      </c>
      <c r="I130" s="163" t="s">
        <v>371</v>
      </c>
      <c r="J130" s="110"/>
      <c r="K130" s="110"/>
      <c r="L130" s="110"/>
    </row>
    <row r="131" spans="1:33" ht="20.100000000000001" customHeight="1" x14ac:dyDescent="0.2">
      <c r="D131" s="164" t="str">
        <f>$D$143</f>
        <v>Petrol</v>
      </c>
      <c r="E131" s="164" t="str">
        <f>$D$143</f>
        <v>Petrol</v>
      </c>
      <c r="F131" s="164" t="str">
        <f>$D$150</f>
        <v>Avgas</v>
      </c>
      <c r="G131" s="164" t="str">
        <f>$D$143</f>
        <v>Petrol</v>
      </c>
      <c r="H131" s="164" t="str">
        <f>$D$144</f>
        <v>Diesel</v>
      </c>
      <c r="I131" s="164" t="str">
        <f>$D$143</f>
        <v>Petrol</v>
      </c>
      <c r="J131" s="110"/>
      <c r="K131" s="110"/>
      <c r="L131" s="110"/>
    </row>
    <row r="132" spans="1:33" ht="20.100000000000001" customHeight="1" x14ac:dyDescent="0.2">
      <c r="D132" s="164" t="str">
        <f>$D$144</f>
        <v>Diesel</v>
      </c>
      <c r="E132" s="164" t="str">
        <f>$D$144</f>
        <v>Diesel</v>
      </c>
      <c r="F132" s="164" t="str">
        <f>$D$151</f>
        <v>Jet A1, Jet B</v>
      </c>
      <c r="G132" s="164" t="str">
        <f>$D$144</f>
        <v>Diesel</v>
      </c>
      <c r="H132" s="164"/>
      <c r="I132" s="164" t="str">
        <f>$D$144</f>
        <v>Diesel</v>
      </c>
      <c r="J132" s="110"/>
      <c r="K132" s="110"/>
      <c r="L132" s="110"/>
    </row>
    <row r="133" spans="1:33" ht="20.100000000000001" customHeight="1" x14ac:dyDescent="0.2">
      <c r="D133" s="164" t="str">
        <f>$D$145</f>
        <v>Liquefied petroleum gas (LPG)</v>
      </c>
      <c r="E133" s="164" t="str">
        <f>$D$145</f>
        <v>Liquefied petroleum gas (LPG)</v>
      </c>
      <c r="F133" s="164" t="str">
        <f>$D$152</f>
        <v>Renewable aviation kerosene</v>
      </c>
      <c r="G133" s="164" t="str">
        <f>$D$145</f>
        <v>Liquefied petroleum gas (LPG)</v>
      </c>
      <c r="H133" s="164"/>
      <c r="I133" s="164" t="s">
        <v>372</v>
      </c>
      <c r="J133" s="110"/>
      <c r="K133" s="110"/>
      <c r="L133" s="110"/>
    </row>
    <row r="134" spans="1:33" ht="20.100000000000001" customHeight="1" x14ac:dyDescent="0.2">
      <c r="D134" s="164" t="str">
        <f>$D$146</f>
        <v>Biodiesel</v>
      </c>
      <c r="E134" s="164" t="str">
        <f>$D$146</f>
        <v>Biodiesel</v>
      </c>
      <c r="F134" s="163"/>
      <c r="G134" s="164" t="str">
        <f>$D$160</f>
        <v>Fuel oil</v>
      </c>
      <c r="H134" s="164"/>
      <c r="I134" s="164"/>
      <c r="J134" s="110"/>
      <c r="K134" s="110"/>
      <c r="L134" s="110"/>
    </row>
    <row r="135" spans="1:33" ht="20.100000000000001" customHeight="1" x14ac:dyDescent="0.2">
      <c r="D135" s="164" t="str">
        <f>$D$147</f>
        <v>Ethanol</v>
      </c>
      <c r="E135" s="164" t="str">
        <f>$D$147</f>
        <v>Ethanol</v>
      </c>
      <c r="F135" s="163"/>
      <c r="G135" s="164" t="str">
        <f>$D$147</f>
        <v>Ethanol</v>
      </c>
      <c r="H135" s="164"/>
      <c r="I135" s="164"/>
      <c r="J135" s="110"/>
      <c r="K135" s="110"/>
      <c r="L135" s="110"/>
    </row>
    <row r="136" spans="1:33" ht="20.100000000000001" customHeight="1" x14ac:dyDescent="0.2">
      <c r="D136" s="164" t="str">
        <f>$D$148</f>
        <v>Other biofuels</v>
      </c>
      <c r="E136" s="164" t="str">
        <f>$D$148</f>
        <v>Other biofuels</v>
      </c>
      <c r="F136" s="163"/>
      <c r="G136" s="164" t="str">
        <f>$D$146</f>
        <v>Biodiesel</v>
      </c>
      <c r="H136" s="164"/>
      <c r="I136" s="164"/>
      <c r="J136" s="110"/>
      <c r="K136" s="110"/>
      <c r="L136" s="110"/>
    </row>
    <row r="137" spans="1:33" ht="20.100000000000001" customHeight="1" x14ac:dyDescent="0.2">
      <c r="D137" s="164" t="str">
        <f>$D$149</f>
        <v>Renewable diesel</v>
      </c>
      <c r="E137" s="164" t="str">
        <f>$D$149</f>
        <v>Renewable diesel</v>
      </c>
      <c r="F137" s="163"/>
      <c r="G137" s="164" t="str">
        <f>$D$149</f>
        <v>Renewable diesel</v>
      </c>
      <c r="H137" s="164"/>
      <c r="I137" s="164"/>
      <c r="J137" s="110"/>
      <c r="K137" s="110"/>
      <c r="L137" s="110"/>
    </row>
    <row r="138" spans="1:33" ht="20.100000000000001" customHeight="1" x14ac:dyDescent="0.2">
      <c r="D138" s="163"/>
      <c r="E138" s="165" t="str">
        <f>$D$161</f>
        <v>Natural gas (via pipeline) in GJ</v>
      </c>
      <c r="F138" s="165"/>
      <c r="G138" s="164" t="str">
        <f>$D$148</f>
        <v>Other biofuels</v>
      </c>
      <c r="H138" s="164"/>
      <c r="I138" s="164"/>
      <c r="J138" s="110"/>
      <c r="K138" s="110"/>
      <c r="L138" s="110"/>
    </row>
    <row r="139" spans="1:33" ht="20.100000000000001" customHeight="1" x14ac:dyDescent="0.2">
      <c r="D139" s="165"/>
      <c r="E139" s="165" t="str">
        <f>$D$162</f>
        <v>Town gas in GJ</v>
      </c>
      <c r="F139" s="165"/>
      <c r="G139" s="165"/>
      <c r="H139" s="165"/>
      <c r="I139" s="165"/>
      <c r="J139" s="110"/>
      <c r="K139" s="110"/>
      <c r="L139" s="110"/>
    </row>
    <row r="140" spans="1:33" ht="20.100000000000001" customHeight="1" x14ac:dyDescent="0.2">
      <c r="D140" s="110"/>
      <c r="E140" s="110"/>
      <c r="F140" s="110"/>
      <c r="G140" s="110"/>
      <c r="H140" s="110"/>
      <c r="I140" s="110"/>
      <c r="J140" s="110"/>
      <c r="K140" s="110"/>
      <c r="L140" s="110"/>
    </row>
    <row r="141" spans="1:33" ht="20.100000000000001" customHeight="1" x14ac:dyDescent="0.2">
      <c r="D141" s="110"/>
      <c r="E141" s="110"/>
      <c r="F141" s="110"/>
      <c r="G141" s="110"/>
      <c r="H141" s="110"/>
      <c r="I141" s="110"/>
      <c r="J141" s="110"/>
      <c r="K141" s="110"/>
      <c r="L141" s="110"/>
    </row>
    <row r="142" spans="1:33" ht="20.100000000000001" customHeight="1" x14ac:dyDescent="0.2">
      <c r="D142" t="s">
        <v>427</v>
      </c>
      <c r="E142" t="s">
        <v>229</v>
      </c>
      <c r="F142" t="s">
        <v>428</v>
      </c>
      <c r="G142" s="110"/>
      <c r="H142" s="110"/>
      <c r="I142" s="110"/>
      <c r="J142" s="110"/>
      <c r="K142" s="110"/>
      <c r="L142" s="110"/>
      <c r="M142" s="110"/>
      <c r="AG142" s="15"/>
    </row>
    <row r="143" spans="1:33" ht="20.100000000000001" customHeight="1" x14ac:dyDescent="0.2">
      <c r="D143" s="164" t="s">
        <v>367</v>
      </c>
      <c r="E143" t="s">
        <v>429</v>
      </c>
      <c r="F143" t="s">
        <v>430</v>
      </c>
      <c r="G143" s="110"/>
      <c r="H143" s="110"/>
      <c r="I143" s="110"/>
      <c r="J143" s="110"/>
      <c r="K143" s="110"/>
      <c r="L143" s="110"/>
      <c r="M143" s="110"/>
      <c r="AG143" s="15"/>
    </row>
    <row r="144" spans="1:33" ht="20.100000000000001" customHeight="1" x14ac:dyDescent="0.2">
      <c r="D144" s="164" t="s">
        <v>369</v>
      </c>
      <c r="E144" t="s">
        <v>429</v>
      </c>
      <c r="F144" t="s">
        <v>430</v>
      </c>
      <c r="G144" s="110"/>
      <c r="H144" s="110"/>
      <c r="I144" s="110"/>
      <c r="J144" s="110"/>
      <c r="K144" s="110"/>
      <c r="L144" s="110"/>
      <c r="M144" s="110"/>
      <c r="AG144" s="15"/>
    </row>
    <row r="145" spans="1:33" ht="20.100000000000001" customHeight="1" x14ac:dyDescent="0.2">
      <c r="D145" s="164" t="s">
        <v>431</v>
      </c>
      <c r="E145" t="s">
        <v>429</v>
      </c>
      <c r="F145" t="s">
        <v>430</v>
      </c>
      <c r="G145" s="110"/>
      <c r="H145" s="110"/>
      <c r="I145" s="110"/>
      <c r="J145" s="110"/>
      <c r="K145" s="110"/>
      <c r="L145" s="110"/>
      <c r="M145" s="110"/>
      <c r="AG145" s="15"/>
    </row>
    <row r="146" spans="1:33" ht="20.100000000000001" customHeight="1" x14ac:dyDescent="0.2">
      <c r="D146" s="164" t="s">
        <v>432</v>
      </c>
      <c r="E146" t="s">
        <v>429</v>
      </c>
      <c r="F146" t="s">
        <v>430</v>
      </c>
      <c r="G146" s="110"/>
      <c r="H146" s="110"/>
      <c r="I146" s="110"/>
      <c r="J146" s="110"/>
      <c r="K146" s="110"/>
      <c r="L146" s="110"/>
      <c r="M146" s="110"/>
      <c r="AG146" s="15"/>
    </row>
    <row r="147" spans="1:33" ht="20.100000000000001" customHeight="1" x14ac:dyDescent="0.2">
      <c r="D147" s="164" t="s">
        <v>433</v>
      </c>
      <c r="E147" t="s">
        <v>429</v>
      </c>
      <c r="F147" t="s">
        <v>430</v>
      </c>
      <c r="G147" s="110"/>
      <c r="H147" s="110"/>
      <c r="I147" s="110"/>
      <c r="J147" s="110"/>
      <c r="K147" s="110"/>
      <c r="L147" s="110"/>
      <c r="M147" s="110"/>
      <c r="AG147" s="15"/>
    </row>
    <row r="148" spans="1:33" ht="20.100000000000001" customHeight="1" x14ac:dyDescent="0.2">
      <c r="D148" s="164" t="s">
        <v>434</v>
      </c>
      <c r="E148" t="s">
        <v>429</v>
      </c>
      <c r="F148" t="s">
        <v>430</v>
      </c>
      <c r="G148" s="110"/>
      <c r="H148" s="110"/>
      <c r="I148" s="110"/>
      <c r="J148" s="110"/>
      <c r="K148" s="110"/>
      <c r="L148" s="110"/>
      <c r="M148" s="110"/>
      <c r="AG148" s="15"/>
    </row>
    <row r="149" spans="1:33" ht="20.100000000000001" customHeight="1" x14ac:dyDescent="0.2">
      <c r="D149" s="164" t="s">
        <v>435</v>
      </c>
      <c r="E149" t="s">
        <v>429</v>
      </c>
      <c r="F149" t="s">
        <v>430</v>
      </c>
      <c r="G149" s="110"/>
      <c r="H149" s="110"/>
      <c r="I149" s="110"/>
      <c r="J149" s="110"/>
      <c r="K149" s="110"/>
      <c r="L149" s="110"/>
      <c r="M149" s="110"/>
      <c r="AG149" s="15"/>
    </row>
    <row r="150" spans="1:33" ht="20.100000000000001" customHeight="1" x14ac:dyDescent="0.2">
      <c r="D150" s="164" t="s">
        <v>436</v>
      </c>
      <c r="E150" t="s">
        <v>429</v>
      </c>
      <c r="F150" t="s">
        <v>430</v>
      </c>
      <c r="G150" s="110"/>
      <c r="H150" s="110"/>
      <c r="I150" s="110"/>
      <c r="J150" s="110"/>
      <c r="K150" s="110"/>
      <c r="L150" s="110"/>
      <c r="M150" s="110"/>
      <c r="AG150" s="15"/>
    </row>
    <row r="151" spans="1:33" ht="20.100000000000001" customHeight="1" x14ac:dyDescent="0.2">
      <c r="D151" s="164" t="s">
        <v>437</v>
      </c>
      <c r="E151" t="s">
        <v>429</v>
      </c>
      <c r="F151" t="s">
        <v>430</v>
      </c>
      <c r="G151" s="110"/>
      <c r="H151" s="110"/>
      <c r="I151" s="110"/>
      <c r="J151" s="110"/>
      <c r="K151" s="110"/>
      <c r="L151" s="110"/>
      <c r="M151" s="110"/>
      <c r="AG151" s="15"/>
    </row>
    <row r="152" spans="1:33" ht="20.100000000000001" customHeight="1" x14ac:dyDescent="0.2">
      <c r="D152" s="166" t="s">
        <v>438</v>
      </c>
      <c r="E152" s="34" t="s">
        <v>429</v>
      </c>
      <c r="F152" t="s">
        <v>430</v>
      </c>
      <c r="G152" s="110"/>
      <c r="H152" s="110"/>
      <c r="I152" s="110"/>
      <c r="J152" s="110"/>
      <c r="K152" s="110"/>
      <c r="L152" s="110"/>
      <c r="M152" s="110"/>
      <c r="AG152" s="15"/>
    </row>
    <row r="153" spans="1:33" ht="20.100000000000001" customHeight="1" x14ac:dyDescent="0.2">
      <c r="D153" s="166" t="s">
        <v>439</v>
      </c>
      <c r="E153" s="34" t="s">
        <v>429</v>
      </c>
      <c r="F153" t="s">
        <v>430</v>
      </c>
      <c r="G153" s="110"/>
      <c r="H153" s="110"/>
      <c r="I153" s="110"/>
      <c r="J153" s="110"/>
      <c r="K153" s="110"/>
      <c r="L153" s="110"/>
      <c r="M153" s="110"/>
      <c r="AG153" s="15"/>
    </row>
    <row r="154" spans="1:33" ht="20.100000000000001" customHeight="1" x14ac:dyDescent="0.2">
      <c r="D154" s="166" t="s">
        <v>440</v>
      </c>
      <c r="E154" s="34" t="s">
        <v>429</v>
      </c>
      <c r="F154" t="s">
        <v>430</v>
      </c>
      <c r="G154" s="110"/>
      <c r="H154" s="110"/>
      <c r="I154" s="110"/>
      <c r="J154" s="110"/>
      <c r="K154" s="110"/>
      <c r="L154" s="110"/>
      <c r="M154" s="110"/>
      <c r="AG154" s="15"/>
    </row>
    <row r="155" spans="1:33" ht="20.100000000000001" customHeight="1" x14ac:dyDescent="0.2">
      <c r="D155" s="166" t="s">
        <v>441</v>
      </c>
      <c r="E155" s="34" t="s">
        <v>429</v>
      </c>
      <c r="F155" t="s">
        <v>430</v>
      </c>
      <c r="G155" s="110"/>
      <c r="H155" s="110"/>
      <c r="I155" s="110"/>
      <c r="J155" s="110"/>
      <c r="K155" s="110"/>
      <c r="L155" s="110"/>
      <c r="M155" s="110"/>
      <c r="AG155" s="15"/>
    </row>
    <row r="156" spans="1:33" ht="20.100000000000001" customHeight="1" x14ac:dyDescent="0.2">
      <c r="D156" s="166" t="s">
        <v>442</v>
      </c>
      <c r="E156" s="34" t="s">
        <v>429</v>
      </c>
      <c r="F156" t="s">
        <v>430</v>
      </c>
      <c r="G156" s="110"/>
      <c r="H156" s="110"/>
      <c r="I156" s="110"/>
      <c r="J156" s="110"/>
      <c r="K156" s="110"/>
      <c r="L156" s="110"/>
      <c r="M156" s="110"/>
      <c r="AG156" s="15"/>
    </row>
    <row r="157" spans="1:33" ht="20.100000000000001" customHeight="1" x14ac:dyDescent="0.2">
      <c r="D157" s="166" t="s">
        <v>443</v>
      </c>
      <c r="E157" s="34" t="s">
        <v>429</v>
      </c>
      <c r="F157" t="s">
        <v>430</v>
      </c>
      <c r="G157" s="110"/>
      <c r="H157" s="110"/>
      <c r="I157" s="110"/>
      <c r="J157" s="110"/>
      <c r="K157" s="110"/>
      <c r="L157" s="110"/>
      <c r="M157" s="110"/>
      <c r="AG157" s="15"/>
    </row>
    <row r="158" spans="1:33" ht="20.100000000000001" customHeight="1" x14ac:dyDescent="0.2">
      <c r="D158" s="166" t="s">
        <v>444</v>
      </c>
      <c r="E158" s="34" t="s">
        <v>429</v>
      </c>
      <c r="F158" t="s">
        <v>430</v>
      </c>
      <c r="G158" s="110"/>
      <c r="H158" s="110"/>
      <c r="I158" s="110"/>
      <c r="J158" s="110"/>
      <c r="K158" s="110"/>
      <c r="L158" s="110"/>
      <c r="M158" s="110"/>
      <c r="AG158" s="15"/>
    </row>
    <row r="159" spans="1:33" ht="20.100000000000001" customHeight="1" x14ac:dyDescent="0.2">
      <c r="D159" s="166" t="s">
        <v>445</v>
      </c>
      <c r="E159" s="34" t="s">
        <v>429</v>
      </c>
      <c r="F159" t="s">
        <v>430</v>
      </c>
      <c r="G159" s="110"/>
      <c r="H159" s="110"/>
      <c r="I159" s="110"/>
      <c r="J159" s="110"/>
      <c r="K159" s="110"/>
      <c r="L159" s="110"/>
      <c r="M159" s="110"/>
      <c r="AG159" s="15"/>
    </row>
    <row r="160" spans="1:33" ht="20.100000000000001" customHeight="1" x14ac:dyDescent="0.2">
      <c r="A160" s="167" t="str">
        <f>HYPERLINK("#A1", "▲ Back to top")</f>
        <v>▲ Back to top</v>
      </c>
      <c r="D160" s="166" t="s">
        <v>372</v>
      </c>
      <c r="E160" s="34" t="s">
        <v>429</v>
      </c>
      <c r="F160" t="s">
        <v>430</v>
      </c>
      <c r="G160" s="110"/>
      <c r="H160" s="110"/>
      <c r="I160" s="110"/>
      <c r="J160" s="110"/>
      <c r="K160" s="110"/>
      <c r="L160" s="110"/>
      <c r="M160" s="110"/>
      <c r="AG160" s="15"/>
    </row>
    <row r="161" spans="4:33" ht="20.100000000000001" customHeight="1" x14ac:dyDescent="0.2">
      <c r="D161" s="165" t="s">
        <v>446</v>
      </c>
      <c r="E161" s="110" t="s">
        <v>447</v>
      </c>
      <c r="F161" s="110" t="s">
        <v>447</v>
      </c>
      <c r="G161" s="110"/>
      <c r="H161" s="110"/>
      <c r="I161" s="110"/>
      <c r="J161" s="110"/>
      <c r="K161" s="110"/>
      <c r="L161" s="110"/>
      <c r="M161" s="110"/>
      <c r="AG161" s="15"/>
    </row>
    <row r="162" spans="4:33" ht="20.100000000000001" customHeight="1" x14ac:dyDescent="0.2">
      <c r="D162" s="110" t="s">
        <v>366</v>
      </c>
      <c r="E162" s="110" t="s">
        <v>447</v>
      </c>
      <c r="F162" s="110" t="s">
        <v>447</v>
      </c>
      <c r="G162" s="110"/>
      <c r="H162" s="110"/>
      <c r="I162" s="110"/>
      <c r="J162" s="110"/>
      <c r="K162" s="110"/>
      <c r="L162" s="110"/>
      <c r="M162" s="110"/>
      <c r="AG162" s="15"/>
    </row>
  </sheetData>
  <pageMargins left="0.7" right="0.7" top="0.75" bottom="0.75" header="0.3" footer="0.3"/>
  <tableParts count="7">
    <tablePart r:id="rId1"/>
    <tablePart r:id="rId2"/>
    <tablePart r:id="rId3"/>
    <tablePart r:id="rId4"/>
    <tablePart r:id="rId5"/>
    <tablePart r:id="rId6"/>
    <tablePart r:id="rId7"/>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87D1F-70E7-47A5-BFDD-AB62CDFC8688}">
  <sheetPr>
    <tabColor theme="2" tint="-0.499984740745262"/>
  </sheetPr>
  <dimension ref="A1:BY332"/>
  <sheetViews>
    <sheetView showGridLines="0" zoomScaleNormal="100" workbookViewId="0">
      <pane xSplit="1" topLeftCell="B1" activePane="topRight" state="frozenSplit"/>
      <selection pane="topRight" activeCell="A28" sqref="A28"/>
    </sheetView>
  </sheetViews>
  <sheetFormatPr defaultColWidth="8" defaultRowHeight="20.100000000000001" customHeight="1" x14ac:dyDescent="0.2"/>
  <cols>
    <col min="1" max="1" width="36.7109375" style="11" customWidth="1"/>
    <col min="2" max="2" width="2.42578125" style="11" customWidth="1"/>
    <col min="3" max="3" width="4.140625" style="15" customWidth="1"/>
    <col min="4" max="4" width="42" style="15" customWidth="1"/>
    <col min="5" max="6" width="18.140625" style="15" customWidth="1"/>
    <col min="7" max="7" width="26.42578125" style="15" customWidth="1"/>
    <col min="8" max="9" width="18.140625" style="15" customWidth="1"/>
    <col min="10" max="10" width="30" style="15" customWidth="1"/>
    <col min="11" max="13" width="18.140625" style="15" customWidth="1"/>
    <col min="14" max="14" width="29" style="15" customWidth="1"/>
    <col min="15" max="15" width="31.85546875" style="15" customWidth="1"/>
    <col min="16" max="16" width="18.42578125" style="15" customWidth="1"/>
    <col min="17" max="17" width="18.5703125" style="15" customWidth="1"/>
    <col min="18" max="18" width="27.28515625" style="15" customWidth="1"/>
    <col min="19" max="20" width="18.140625" style="15" customWidth="1"/>
    <col min="21" max="21" width="4.140625" style="15" customWidth="1"/>
    <col min="22" max="33" width="18.140625" style="11" customWidth="1"/>
    <col min="34" max="39" width="19.140625" style="11" customWidth="1"/>
    <col min="40" max="44" width="18.140625" style="11" customWidth="1"/>
    <col min="45" max="65" width="8" style="11"/>
    <col min="66" max="16384" width="8" style="14"/>
  </cols>
  <sheetData>
    <row r="1" spans="1:65" s="8" customFormat="1" ht="30" customHeight="1" x14ac:dyDescent="0.35">
      <c r="A1" s="23" t="e" vm="1">
        <v>#VALUE!</v>
      </c>
      <c r="C1" s="8" t="s">
        <v>13</v>
      </c>
    </row>
    <row r="2" spans="1:65" s="9" customFormat="1" ht="20.100000000000001" customHeight="1" x14ac:dyDescent="0.2">
      <c r="A2"/>
    </row>
    <row r="3" spans="1:65" ht="20.100000000000001" customHeight="1" x14ac:dyDescent="0.2">
      <c r="A3" s="29" t="str">
        <f>HYPERLINK("#'Home'!A1", "Home")</f>
        <v>Home</v>
      </c>
      <c r="C3" s="12"/>
      <c r="D3" s="12"/>
      <c r="E3" s="12"/>
      <c r="F3" s="12"/>
      <c r="G3" s="12"/>
      <c r="H3" s="12"/>
      <c r="I3" s="12"/>
      <c r="J3" s="12"/>
      <c r="K3" s="12"/>
      <c r="L3" s="12"/>
      <c r="M3" s="12"/>
      <c r="N3" s="12"/>
      <c r="O3" s="12"/>
      <c r="P3" s="12"/>
      <c r="Q3" s="12"/>
      <c r="R3" s="12"/>
      <c r="S3" s="12"/>
      <c r="T3" s="12"/>
      <c r="U3" s="12"/>
      <c r="V3" s="13"/>
      <c r="W3" s="13"/>
    </row>
    <row r="4" spans="1:65" ht="20.100000000000001" customHeight="1" x14ac:dyDescent="0.2">
      <c r="A4"/>
      <c r="BM4" s="14"/>
    </row>
    <row r="5" spans="1:65" ht="20.100000000000001" customHeight="1" x14ac:dyDescent="0.2">
      <c r="A5"/>
      <c r="D5" s="16" t="s">
        <v>1002</v>
      </c>
      <c r="BM5" s="14"/>
    </row>
    <row r="6" spans="1:65" ht="20.100000000000001" customHeight="1" x14ac:dyDescent="0.2">
      <c r="A6" s="40" t="s">
        <v>148</v>
      </c>
      <c r="D6" s="17" t="s">
        <v>14</v>
      </c>
      <c r="E6" s="17" t="s">
        <v>15</v>
      </c>
      <c r="F6" s="17" t="s">
        <v>16</v>
      </c>
    </row>
    <row r="7" spans="1:65" ht="20.100000000000001" customHeight="1" x14ac:dyDescent="0.2">
      <c r="A7" s="29" t="str">
        <f>HYPERLINK("#'Input - Planting'!A1", "Planting")</f>
        <v>Planting</v>
      </c>
      <c r="D7" s="17" t="s">
        <v>981</v>
      </c>
      <c r="E7" s="17" t="s">
        <v>981</v>
      </c>
      <c r="F7" s="17" t="s">
        <v>1003</v>
      </c>
    </row>
    <row r="8" spans="1:65" ht="20.100000000000001" customHeight="1" x14ac:dyDescent="0.2">
      <c r="A8" s="29" t="str">
        <f>HYPERLINK("#'Input - Fertiliser'!A1", "Fertiliser")</f>
        <v>Fertiliser</v>
      </c>
      <c r="D8" s="17" t="s">
        <v>1004</v>
      </c>
      <c r="E8" s="17" t="s">
        <v>996</v>
      </c>
      <c r="F8" s="17" t="s">
        <v>996</v>
      </c>
    </row>
    <row r="9" spans="1:65" ht="20.100000000000001" customHeight="1" x14ac:dyDescent="0.2">
      <c r="A9" s="29" t="str">
        <f>HYPERLINK("#'Input - Fuel'!A1", "Fuel")</f>
        <v>Fuel</v>
      </c>
      <c r="D9" s="17" t="s">
        <v>997</v>
      </c>
      <c r="E9" s="17" t="s">
        <v>997</v>
      </c>
      <c r="F9" s="17" t="s">
        <v>1005</v>
      </c>
    </row>
    <row r="10" spans="1:65" ht="20.100000000000001" customHeight="1" x14ac:dyDescent="0.2">
      <c r="A10" s="29" t="str">
        <f>HYPERLINK("#'Input - Fert Prod System'!A1", "Fert Prod System")</f>
        <v>Fert Prod System</v>
      </c>
      <c r="D10" s="17" t="s">
        <v>998</v>
      </c>
      <c r="E10" s="17" t="s">
        <v>998</v>
      </c>
      <c r="F10" s="17" t="s">
        <v>1006</v>
      </c>
    </row>
    <row r="11" spans="1:65" ht="20.100000000000001" customHeight="1" x14ac:dyDescent="0.2">
      <c r="A11" s="29" t="str">
        <f>HYPERLINK("#'Input - Site'!A1", "Site")</f>
        <v>Site</v>
      </c>
      <c r="D11" s="17" t="s">
        <v>999</v>
      </c>
      <c r="E11" s="17" t="s">
        <v>999</v>
      </c>
      <c r="F11" s="17" t="s">
        <v>1007</v>
      </c>
      <c r="BM11" s="14"/>
    </row>
    <row r="12" spans="1:65" ht="20.100000000000001" customHeight="1" x14ac:dyDescent="0.2">
      <c r="A12" s="29" t="str">
        <f>HYPERLINK("#'Input - Data quality'!A1", "Data quality")</f>
        <v>Data quality</v>
      </c>
      <c r="D12" s="17" t="s">
        <v>461</v>
      </c>
      <c r="E12" s="17" t="s">
        <v>461</v>
      </c>
      <c r="F12" s="17" t="s">
        <v>1008</v>
      </c>
      <c r="BM12" s="14"/>
    </row>
    <row r="13" spans="1:65" ht="20.100000000000001" customHeight="1" x14ac:dyDescent="0.2">
      <c r="A13"/>
      <c r="D13" s="17" t="s">
        <v>1000</v>
      </c>
      <c r="E13" s="17" t="s">
        <v>1000</v>
      </c>
      <c r="F13" s="17" t="s">
        <v>1009</v>
      </c>
    </row>
    <row r="14" spans="1:65" ht="20.100000000000001" customHeight="1" x14ac:dyDescent="0.2">
      <c r="A14"/>
      <c r="D14" s="17" t="s">
        <v>1001</v>
      </c>
      <c r="E14" s="17" t="s">
        <v>1001</v>
      </c>
      <c r="F14" s="17" t="s">
        <v>1010</v>
      </c>
    </row>
    <row r="15" spans="1:65" ht="20.100000000000001" customHeight="1" x14ac:dyDescent="0.2">
      <c r="A15" s="53" t="s">
        <v>175</v>
      </c>
    </row>
    <row r="16" spans="1:65" ht="20.100000000000001" customHeight="1" x14ac:dyDescent="0.2">
      <c r="A16" s="29" t="str">
        <f>HYPERLINK("#'5.1.1.1-2 Inorganic fert N2O'!A1", "5.1.1.1-2 Inorganic fert N2O")</f>
        <v>5.1.1.1-2 Inorganic fert N2O</v>
      </c>
    </row>
    <row r="17" spans="1:4" ht="20.100000000000001" customHeight="1" x14ac:dyDescent="0.2">
      <c r="A17" s="29" t="str">
        <f>HYPERLINK("#'5.1.1.3-4 Inorganic fert CO2'!A1", "5.1.1.3-4 Inorganic fert CO2")</f>
        <v>5.1.1.3-4 Inorganic fert CO2</v>
      </c>
    </row>
    <row r="18" spans="1:4" ht="20.100000000000001" customHeight="1" x14ac:dyDescent="0.2">
      <c r="A18" s="29" t="str">
        <f>HYPERLINK("#'5.2.1.1-2 Organic Fert N2O'!A1", "5.2.1.1-2 Organic fert N2O")</f>
        <v>5.2.1.1-2 Organic fert N2O</v>
      </c>
      <c r="D18" s="16" t="s">
        <v>1011</v>
      </c>
    </row>
    <row r="19" spans="1:4" ht="20.100000000000001" customHeight="1" x14ac:dyDescent="0.2">
      <c r="A19" s="29" t="str">
        <f>HYPERLINK("#'5.3.1.1-2 Lime CO2'!A1", "5.3.1.1-2 Lime CO2")</f>
        <v>5.3.1.1-2 Lime CO2</v>
      </c>
      <c r="D19" s="18" t="s">
        <v>1012</v>
      </c>
    </row>
    <row r="20" spans="1:4" ht="20.100000000000001" customHeight="1" x14ac:dyDescent="0.2">
      <c r="A20" s="29" t="str">
        <f>HYPERLINK("#'5.4.1.1-4 Atmos deposition'!A1", "5.4.1.1-4 Atmos. deposition")</f>
        <v>5.4.1.1-4 Atmos. deposition</v>
      </c>
      <c r="D20" s="17" t="s">
        <v>17</v>
      </c>
    </row>
    <row r="21" spans="1:4" ht="20.100000000000001" customHeight="1" x14ac:dyDescent="0.2">
      <c r="A21" s="29" t="str">
        <f>HYPERLINK("#'5.5.1.1-2 Leaching and runoff'!A1", "5.5.1.1-2 Leaching &amp; runoff")</f>
        <v>5.5.1.1-2 Leaching &amp; runoff</v>
      </c>
      <c r="D21" s="17" t="s">
        <v>1013</v>
      </c>
    </row>
    <row r="22" spans="1:4" ht="20.100000000000001" customHeight="1" x14ac:dyDescent="0.2">
      <c r="A22" s="29" t="str">
        <f>HYPERLINK("#'8.1.1.1-2 Transport fuel'!A1", "8.1.1.1-2 Transport fuel")</f>
        <v>8.1.1.1-2 Transport fuel</v>
      </c>
      <c r="D22" s="17" t="s">
        <v>1014</v>
      </c>
    </row>
    <row r="23" spans="1:4" ht="20.100000000000001" customHeight="1" x14ac:dyDescent="0.2">
      <c r="A23" s="29" t="str">
        <f>HYPERLINK("#'8.2.1.1-2 Stationary fuel'!A1", "8.2.1.1-2 Stationary fuel")</f>
        <v>8.2.1.1-2 Stationary fuel</v>
      </c>
      <c r="D23" s="17" t="s">
        <v>1015</v>
      </c>
    </row>
    <row r="24" spans="1:4" ht="20.100000000000001" customHeight="1" x14ac:dyDescent="0.2">
      <c r="A24"/>
      <c r="D24" s="17" t="s">
        <v>1016</v>
      </c>
    </row>
    <row r="25" spans="1:4" ht="20.100000000000001" customHeight="1" x14ac:dyDescent="0.2">
      <c r="A25"/>
      <c r="D25" s="17" t="s">
        <v>1017</v>
      </c>
    </row>
    <row r="26" spans="1:4" ht="20.100000000000001" customHeight="1" x14ac:dyDescent="0.2">
      <c r="A26" s="30" t="s">
        <v>91</v>
      </c>
      <c r="D26" s="17" t="s">
        <v>1018</v>
      </c>
    </row>
    <row r="27" spans="1:4" ht="20.100000000000001" customHeight="1" x14ac:dyDescent="0.2">
      <c r="A27" s="29" t="str">
        <f>HYPERLINK("#'Constants - Fertiliser'!A1", "Constants - Fertiliser")</f>
        <v>Constants - Fertiliser</v>
      </c>
      <c r="D27" s="17" t="s">
        <v>1019</v>
      </c>
    </row>
    <row r="28" spans="1:4" ht="20.100000000000001" customHeight="1" x14ac:dyDescent="0.2">
      <c r="A28" s="29" t="str">
        <f>HYPERLINK("#'Constants - Fuel'!A1", "Constants - Fuel")</f>
        <v>Constants - Fuel</v>
      </c>
      <c r="D28" s="17" t="s">
        <v>1020</v>
      </c>
    </row>
    <row r="29" spans="1:4" ht="20.100000000000001" customHeight="1" x14ac:dyDescent="0.2">
      <c r="A29" s="31" t="str">
        <f>HYPERLINK("#'Constants - Common'!A1", "Constants - Common")</f>
        <v>Constants - Common</v>
      </c>
      <c r="D29" s="17" t="s">
        <v>1021</v>
      </c>
    </row>
    <row r="30" spans="1:4" ht="20.100000000000001" customHeight="1" x14ac:dyDescent="0.2">
      <c r="A30"/>
      <c r="D30" s="17" t="s">
        <v>463</v>
      </c>
    </row>
    <row r="31" spans="1:4" ht="20.100000000000001" customHeight="1" x14ac:dyDescent="0.2">
      <c r="A31"/>
    </row>
    <row r="32" spans="1:4" ht="20.100000000000001" customHeight="1" x14ac:dyDescent="0.2">
      <c r="A32"/>
    </row>
    <row r="33" spans="1:8" ht="20.100000000000001" customHeight="1" x14ac:dyDescent="0.2">
      <c r="A33"/>
    </row>
    <row r="34" spans="1:8" ht="20.100000000000001" customHeight="1" x14ac:dyDescent="0.2">
      <c r="A34"/>
      <c r="D34" s="16" t="s">
        <v>1022</v>
      </c>
    </row>
    <row r="35" spans="1:8" ht="20.100000000000001" customHeight="1" x14ac:dyDescent="0.2">
      <c r="A35"/>
      <c r="D35" s="18" t="s">
        <v>1023</v>
      </c>
    </row>
    <row r="36" spans="1:8" ht="20.100000000000001" customHeight="1" x14ac:dyDescent="0.2">
      <c r="A36"/>
      <c r="D36" s="17" t="s">
        <v>18</v>
      </c>
      <c r="E36" s="17" t="s">
        <v>19</v>
      </c>
    </row>
    <row r="37" spans="1:8" ht="20.100000000000001" customHeight="1" x14ac:dyDescent="0.2">
      <c r="A37"/>
      <c r="D37" s="17" t="s">
        <v>390</v>
      </c>
      <c r="E37" s="17">
        <v>1</v>
      </c>
    </row>
    <row r="38" spans="1:8" ht="20.100000000000001" customHeight="1" x14ac:dyDescent="0.2">
      <c r="A38"/>
      <c r="D38" s="17" t="s">
        <v>391</v>
      </c>
      <c r="E38" s="17">
        <v>28</v>
      </c>
    </row>
    <row r="39" spans="1:8" ht="20.100000000000001" customHeight="1" x14ac:dyDescent="0.2">
      <c r="A39"/>
      <c r="D39" s="17" t="s">
        <v>392</v>
      </c>
      <c r="E39" s="17">
        <v>265</v>
      </c>
    </row>
    <row r="40" spans="1:8" ht="20.100000000000001" customHeight="1" x14ac:dyDescent="0.2">
      <c r="A40" s="167" t="str">
        <f>HYPERLINK("#A1", "▲ Back to top")</f>
        <v>▲ Back to top</v>
      </c>
      <c r="D40" s="17" t="s">
        <v>1024</v>
      </c>
      <c r="E40" s="17">
        <v>6630</v>
      </c>
    </row>
    <row r="41" spans="1:8" ht="20.100000000000001" customHeight="1" x14ac:dyDescent="0.2">
      <c r="A41"/>
      <c r="D41" s="17" t="s">
        <v>1025</v>
      </c>
      <c r="E41" s="17">
        <v>12200</v>
      </c>
    </row>
    <row r="42" spans="1:8" ht="20.100000000000001" customHeight="1" x14ac:dyDescent="0.2">
      <c r="A42"/>
      <c r="D42" s="17" t="s">
        <v>1026</v>
      </c>
      <c r="E42" s="17">
        <v>22800</v>
      </c>
    </row>
    <row r="43" spans="1:8" ht="20.100000000000001" customHeight="1" x14ac:dyDescent="0.2">
      <c r="A43"/>
      <c r="D43" s="17" t="s">
        <v>1027</v>
      </c>
      <c r="E43" s="17">
        <v>17200</v>
      </c>
    </row>
    <row r="44" spans="1:8" ht="20.100000000000001" customHeight="1" x14ac:dyDescent="0.2">
      <c r="A44"/>
    </row>
    <row r="45" spans="1:8" ht="20.100000000000001" customHeight="1" x14ac:dyDescent="0.2">
      <c r="A45"/>
      <c r="D45" s="16" t="s">
        <v>1028</v>
      </c>
    </row>
    <row r="46" spans="1:8" ht="20.100000000000001" customHeight="1" x14ac:dyDescent="0.2">
      <c r="A46"/>
      <c r="D46" s="18" t="s">
        <v>1023</v>
      </c>
    </row>
    <row r="47" spans="1:8" ht="20.100000000000001" customHeight="1" x14ac:dyDescent="0.2">
      <c r="A47"/>
      <c r="D47" s="17" t="s">
        <v>18</v>
      </c>
      <c r="E47" s="17" t="s">
        <v>20</v>
      </c>
      <c r="F47" s="17" t="s">
        <v>21</v>
      </c>
      <c r="G47" s="17" t="s">
        <v>22</v>
      </c>
      <c r="H47" s="17" t="s">
        <v>23</v>
      </c>
    </row>
    <row r="48" spans="1:8" ht="20.100000000000001" customHeight="1" x14ac:dyDescent="0.2">
      <c r="A48"/>
      <c r="D48" s="17" t="s">
        <v>390</v>
      </c>
      <c r="E48" s="17" t="s">
        <v>1029</v>
      </c>
      <c r="F48" s="17">
        <v>44</v>
      </c>
      <c r="G48" s="17">
        <v>12</v>
      </c>
      <c r="H48" s="17">
        <f>Table_GasToMolecularConversionFactor[[#This Row],[Conversion factor 1]]/Table_GasToMolecularConversionFactor[[#This Row],[Conversion factor 2]]</f>
        <v>3.6666666666666665</v>
      </c>
    </row>
    <row r="49" spans="1:8" ht="20.100000000000001" customHeight="1" x14ac:dyDescent="0.2">
      <c r="A49"/>
      <c r="D49" s="17" t="s">
        <v>391</v>
      </c>
      <c r="E49" s="17" t="s">
        <v>1030</v>
      </c>
      <c r="F49" s="17">
        <v>16</v>
      </c>
      <c r="G49" s="17">
        <v>12</v>
      </c>
      <c r="H49" s="17">
        <f>Table_GasToMolecularConversionFactor[[#This Row],[Conversion factor 1]]/Table_GasToMolecularConversionFactor[[#This Row],[Conversion factor 2]]</f>
        <v>1.3333333333333333</v>
      </c>
    </row>
    <row r="50" spans="1:8" ht="20.100000000000001" customHeight="1" x14ac:dyDescent="0.2">
      <c r="A50"/>
      <c r="D50" s="17" t="s">
        <v>392</v>
      </c>
      <c r="E50" s="17" t="s">
        <v>1031</v>
      </c>
      <c r="F50" s="17">
        <v>44</v>
      </c>
      <c r="G50" s="17">
        <v>28</v>
      </c>
      <c r="H50" s="17">
        <f>Table_GasToMolecularConversionFactor[[#This Row],[Conversion factor 1]]/Table_GasToMolecularConversionFactor[[#This Row],[Conversion factor 2]]</f>
        <v>1.5714285714285714</v>
      </c>
    </row>
    <row r="51" spans="1:8" ht="20.100000000000001" customHeight="1" x14ac:dyDescent="0.2">
      <c r="A51"/>
      <c r="D51" s="17" t="s">
        <v>1032</v>
      </c>
      <c r="E51" s="17" t="s">
        <v>1033</v>
      </c>
      <c r="F51" s="17">
        <v>46</v>
      </c>
      <c r="G51" s="17">
        <v>14</v>
      </c>
      <c r="H51" s="17">
        <f>Table_GasToMolecularConversionFactor[[#This Row],[Conversion factor 1]]/Table_GasToMolecularConversionFactor[[#This Row],[Conversion factor 2]]</f>
        <v>3.2857142857142856</v>
      </c>
    </row>
    <row r="52" spans="1:8" ht="20.100000000000001" customHeight="1" x14ac:dyDescent="0.2">
      <c r="A52"/>
      <c r="D52" s="17" t="s">
        <v>1034</v>
      </c>
      <c r="E52" s="17" t="s">
        <v>1035</v>
      </c>
      <c r="F52" s="17">
        <v>28</v>
      </c>
      <c r="G52" s="17">
        <v>12</v>
      </c>
      <c r="H52" s="17">
        <f>Table_GasToMolecularConversionFactor[[#This Row],[Conversion factor 1]]/Table_GasToMolecularConversionFactor[[#This Row],[Conversion factor 2]]</f>
        <v>2.3333333333333335</v>
      </c>
    </row>
    <row r="53" spans="1:8" ht="20.100000000000001" customHeight="1" x14ac:dyDescent="0.2">
      <c r="A53"/>
      <c r="D53" s="17" t="s">
        <v>1036</v>
      </c>
      <c r="E53" s="17" t="s">
        <v>1029</v>
      </c>
      <c r="F53" s="17">
        <v>44</v>
      </c>
      <c r="G53" s="17">
        <v>12</v>
      </c>
      <c r="H53" s="17">
        <f>Table_GasToMolecularConversionFactor[[#This Row],[Conversion factor 1]]/Table_GasToMolecularConversionFactor[[#This Row],[Conversion factor 2]]</f>
        <v>3.6666666666666665</v>
      </c>
    </row>
    <row r="54" spans="1:8" ht="20.100000000000001" customHeight="1" x14ac:dyDescent="0.2">
      <c r="A54"/>
      <c r="D54" s="17" t="s">
        <v>1037</v>
      </c>
      <c r="E54" s="17" t="s">
        <v>1038</v>
      </c>
      <c r="F54" s="17">
        <v>14</v>
      </c>
      <c r="G54" s="17">
        <v>12</v>
      </c>
      <c r="H54" s="17">
        <f>Table_GasToMolecularConversionFactor[[#This Row],[Conversion factor 1]]/Table_GasToMolecularConversionFactor[[#This Row],[Conversion factor 2]]</f>
        <v>1.1666666666666667</v>
      </c>
    </row>
    <row r="55" spans="1:8" ht="20.100000000000001" customHeight="1" x14ac:dyDescent="0.2">
      <c r="A55"/>
    </row>
    <row r="56" spans="1:8" ht="20.100000000000001" customHeight="1" x14ac:dyDescent="0.2">
      <c r="A56"/>
    </row>
    <row r="57" spans="1:8" ht="20.100000000000001" customHeight="1" x14ac:dyDescent="0.2">
      <c r="A57"/>
      <c r="D57" s="16" t="s">
        <v>1039</v>
      </c>
    </row>
    <row r="58" spans="1:8" ht="20.100000000000001" customHeight="1" x14ac:dyDescent="0.2">
      <c r="A58"/>
      <c r="D58" s="18" t="s">
        <v>1040</v>
      </c>
    </row>
    <row r="59" spans="1:8" ht="20.100000000000001" customHeight="1" x14ac:dyDescent="0.2">
      <c r="A59"/>
      <c r="D59" s="19" t="str" cm="1">
        <f t="array" ref="D59:D61">"⚠️" &amp; Common_SourceData.Common_SourceData_WetAndDryZones_Variation()</f>
        <v>⚠️VARIATION OF SOURCE DATA:</v>
      </c>
    </row>
    <row r="60" spans="1:8" ht="20.100000000000001" customHeight="1" x14ac:dyDescent="0.2">
      <c r="A60"/>
      <c r="D60" s="19" t="str">
        <v>⚠️Added warm / cool temperate moist / dry - low frost and high temp classes to accommodate climate scenarios excluded by VEERG criteria.</v>
      </c>
    </row>
    <row r="61" spans="1:8" ht="20.100000000000001" customHeight="1" x14ac:dyDescent="0.2">
      <c r="A61"/>
      <c r="D61" s="19" t="str">
        <v>⚠️Fixed typo - Changed 'Fry' to 'Dry'.</v>
      </c>
    </row>
    <row r="62" spans="1:8" ht="20.100000000000001" customHeight="1" x14ac:dyDescent="0.2">
      <c r="A62"/>
    </row>
    <row r="63" spans="1:8" ht="20.100000000000001" customHeight="1" x14ac:dyDescent="0.2">
      <c r="A63"/>
      <c r="D63" s="17" t="s">
        <v>24</v>
      </c>
      <c r="E63" s="17" t="s">
        <v>25</v>
      </c>
    </row>
    <row r="64" spans="1:8" ht="20.100000000000001" customHeight="1" x14ac:dyDescent="0.2">
      <c r="A64"/>
      <c r="D64" s="17" t="s">
        <v>1041</v>
      </c>
      <c r="E64" s="17" t="s">
        <v>1042</v>
      </c>
    </row>
    <row r="65" spans="1:5" ht="20.100000000000001" customHeight="1" x14ac:dyDescent="0.2">
      <c r="A65"/>
      <c r="D65" s="17" t="s">
        <v>1043</v>
      </c>
      <c r="E65" s="17" t="s">
        <v>1042</v>
      </c>
    </row>
    <row r="66" spans="1:5" ht="20.100000000000001" customHeight="1" x14ac:dyDescent="0.2">
      <c r="A66"/>
      <c r="D66" s="17" t="s">
        <v>1044</v>
      </c>
      <c r="E66" s="17" t="s">
        <v>1042</v>
      </c>
    </row>
    <row r="67" spans="1:5" ht="20.100000000000001" customHeight="1" x14ac:dyDescent="0.2">
      <c r="A67"/>
      <c r="D67" s="17" t="s">
        <v>1045</v>
      </c>
      <c r="E67" s="17" t="s">
        <v>1046</v>
      </c>
    </row>
    <row r="68" spans="1:5" ht="20.100000000000001" customHeight="1" x14ac:dyDescent="0.2">
      <c r="A68"/>
      <c r="D68" s="17" t="s">
        <v>1047</v>
      </c>
      <c r="E68" s="17" t="s">
        <v>1042</v>
      </c>
    </row>
    <row r="69" spans="1:5" ht="20.100000000000001" customHeight="1" x14ac:dyDescent="0.2">
      <c r="A69"/>
      <c r="D69" s="17" t="s">
        <v>1048</v>
      </c>
      <c r="E69" s="17" t="s">
        <v>1046</v>
      </c>
    </row>
    <row r="70" spans="1:5" ht="20.100000000000001" customHeight="1" x14ac:dyDescent="0.2">
      <c r="A70" s="167" t="str">
        <f>HYPERLINK("#A1", "▲ Back to top")</f>
        <v>▲ Back to top</v>
      </c>
      <c r="D70" s="17" t="s">
        <v>1049</v>
      </c>
      <c r="E70" s="17" t="s">
        <v>1042</v>
      </c>
    </row>
    <row r="71" spans="1:5" ht="20.100000000000001" customHeight="1" x14ac:dyDescent="0.2">
      <c r="A71"/>
      <c r="D71" s="17" t="s">
        <v>1050</v>
      </c>
      <c r="E71" s="17" t="s">
        <v>1046</v>
      </c>
    </row>
    <row r="72" spans="1:5" ht="20.100000000000001" customHeight="1" x14ac:dyDescent="0.2">
      <c r="A72"/>
      <c r="D72" s="17" t="s">
        <v>1051</v>
      </c>
      <c r="E72" s="17" t="s">
        <v>1042</v>
      </c>
    </row>
    <row r="73" spans="1:5" ht="20.100000000000001" customHeight="1" x14ac:dyDescent="0.2">
      <c r="A73"/>
      <c r="D73" s="17" t="s">
        <v>1052</v>
      </c>
      <c r="E73" s="17" t="s">
        <v>1046</v>
      </c>
    </row>
    <row r="74" spans="1:5" ht="20.100000000000001" customHeight="1" x14ac:dyDescent="0.2">
      <c r="A74"/>
      <c r="D74" s="17" t="s">
        <v>1053</v>
      </c>
      <c r="E74" s="17" t="s">
        <v>1042</v>
      </c>
    </row>
    <row r="75" spans="1:5" ht="20.100000000000001" customHeight="1" x14ac:dyDescent="0.2">
      <c r="A75"/>
      <c r="D75" s="17" t="s">
        <v>1054</v>
      </c>
      <c r="E75" s="17" t="s">
        <v>1046</v>
      </c>
    </row>
    <row r="76" spans="1:5" ht="20.100000000000001" customHeight="1" x14ac:dyDescent="0.2">
      <c r="A76"/>
      <c r="D76" s="17" t="s">
        <v>1055</v>
      </c>
      <c r="E76" s="17" t="s">
        <v>1042</v>
      </c>
    </row>
    <row r="77" spans="1:5" ht="20.100000000000001" customHeight="1" x14ac:dyDescent="0.2">
      <c r="A77"/>
      <c r="D77" s="17" t="s">
        <v>1056</v>
      </c>
      <c r="E77" s="17" t="s">
        <v>1046</v>
      </c>
    </row>
    <row r="78" spans="1:5" ht="20.100000000000001" customHeight="1" x14ac:dyDescent="0.2">
      <c r="A78"/>
    </row>
    <row r="79" spans="1:5" ht="20.100000000000001" customHeight="1" x14ac:dyDescent="0.2">
      <c r="A79"/>
    </row>
    <row r="80" spans="1:5" ht="20.100000000000001" customHeight="1" x14ac:dyDescent="0.2">
      <c r="A80"/>
    </row>
    <row r="81" spans="1:20" ht="20.100000000000001" customHeight="1" x14ac:dyDescent="0.2">
      <c r="A81"/>
      <c r="D81" s="16" t="s">
        <v>1057</v>
      </c>
    </row>
    <row r="82" spans="1:20" ht="20.100000000000001" customHeight="1" x14ac:dyDescent="0.2">
      <c r="A82"/>
      <c r="D82" s="18" t="s">
        <v>1058</v>
      </c>
    </row>
    <row r="83" spans="1:20" ht="20.100000000000001" customHeight="1" x14ac:dyDescent="0.2">
      <c r="A83"/>
      <c r="D83" s="19" t="str" cm="1">
        <f t="array" ref="D83:D87">"⚠️" &amp; Common_SourceData.Common_SourceData_ClimateZones_Variation()</f>
        <v>⚠️VARIATION OF SOURCE DATA:</v>
      </c>
    </row>
    <row r="84" spans="1:20" ht="20.100000000000001" customHeight="1" x14ac:dyDescent="0.2">
      <c r="A84"/>
      <c r="D84" s="19" t="str">
        <v>⚠️Added warm / cool temperate moist / dry - low frost and high temp classes to accommodate climate scenarios excluded by VEERG criteria.</v>
      </c>
    </row>
    <row r="85" spans="1:20" ht="20.100000000000001" customHeight="1" x14ac:dyDescent="0.2">
      <c r="A85"/>
      <c r="D85" s="19" t="str">
        <v>⚠️Fixed typo in MAT value for warm temperate dry - changed 10 to 11.</v>
      </c>
    </row>
    <row r="86" spans="1:20" ht="20.100000000000001" customHeight="1" x14ac:dyDescent="0.2">
      <c r="A86"/>
      <c r="D86" s="19" t="str">
        <v>⚠️Added min and max columns for MAT, MAP, frost days per year, elevation, MAP:PET to calculate zones from real climate data.</v>
      </c>
    </row>
    <row r="87" spans="1:20" ht="20.100000000000001" customHeight="1" x14ac:dyDescent="0.2">
      <c r="A87"/>
      <c r="D87" s="19" t="str">
        <v>⚠️GAF accepts rainfall as a proxy for precipitation.</v>
      </c>
    </row>
    <row r="88" spans="1:20" ht="20.100000000000001" customHeight="1" x14ac:dyDescent="0.2">
      <c r="A88"/>
    </row>
    <row r="89" spans="1:20" ht="20.100000000000001" customHeight="1" x14ac:dyDescent="0.2">
      <c r="A89"/>
      <c r="D89" s="17" t="s">
        <v>24</v>
      </c>
      <c r="E89" s="17" t="s">
        <v>26</v>
      </c>
      <c r="F89" s="17" t="s">
        <v>27</v>
      </c>
      <c r="G89" s="17" t="s">
        <v>28</v>
      </c>
      <c r="H89" s="17" t="s">
        <v>29</v>
      </c>
      <c r="I89" s="17" t="s">
        <v>30</v>
      </c>
      <c r="J89" s="17" t="s">
        <v>31</v>
      </c>
      <c r="K89" s="17" t="s">
        <v>32</v>
      </c>
      <c r="L89" s="17" t="s">
        <v>33</v>
      </c>
      <c r="M89" s="17" t="s">
        <v>34</v>
      </c>
      <c r="N89" s="17" t="s">
        <v>35</v>
      </c>
      <c r="O89" s="17" t="s">
        <v>36</v>
      </c>
      <c r="P89" s="17" t="s">
        <v>37</v>
      </c>
      <c r="Q89" s="17" t="s">
        <v>38</v>
      </c>
      <c r="R89" s="17" t="s">
        <v>39</v>
      </c>
      <c r="S89" s="17" t="s">
        <v>40</v>
      </c>
      <c r="T89" s="17"/>
    </row>
    <row r="90" spans="1:20" ht="20.100000000000001" customHeight="1" x14ac:dyDescent="0.2">
      <c r="A90"/>
      <c r="D90" s="17" t="s">
        <v>1041</v>
      </c>
      <c r="E90" s="17" t="s">
        <v>1059</v>
      </c>
      <c r="F90" s="17" t="s">
        <v>1060</v>
      </c>
      <c r="G90" s="17" t="s">
        <v>1061</v>
      </c>
      <c r="H90" s="17" t="s">
        <v>1062</v>
      </c>
      <c r="I90" s="17" t="s">
        <v>1060</v>
      </c>
      <c r="J90" s="17">
        <v>18.001000000000001</v>
      </c>
      <c r="K90" s="17">
        <v>999999</v>
      </c>
      <c r="L90" s="17">
        <v>-999999</v>
      </c>
      <c r="M90" s="17">
        <v>999999</v>
      </c>
      <c r="N90" s="17">
        <v>-999999</v>
      </c>
      <c r="O90" s="17">
        <v>7</v>
      </c>
      <c r="P90" s="17">
        <v>1000</v>
      </c>
      <c r="Q90" s="17">
        <v>999999</v>
      </c>
      <c r="R90" s="17">
        <v>-999999</v>
      </c>
      <c r="S90" s="17">
        <v>999999</v>
      </c>
      <c r="T90" s="17"/>
    </row>
    <row r="91" spans="1:20" ht="20.100000000000001" customHeight="1" x14ac:dyDescent="0.2">
      <c r="A91"/>
      <c r="D91" s="17" t="s">
        <v>1043</v>
      </c>
      <c r="E91" s="17" t="s">
        <v>1059</v>
      </c>
      <c r="F91" s="17" t="s">
        <v>1063</v>
      </c>
      <c r="G91" s="17" t="s">
        <v>1061</v>
      </c>
      <c r="H91" s="17" t="s">
        <v>1064</v>
      </c>
      <c r="I91" s="17" t="s">
        <v>1060</v>
      </c>
      <c r="J91" s="17">
        <v>18.001000000000001</v>
      </c>
      <c r="K91" s="17">
        <v>999999</v>
      </c>
      <c r="L91" s="17">
        <v>2000.001</v>
      </c>
      <c r="M91" s="17">
        <v>999999</v>
      </c>
      <c r="N91" s="17">
        <v>-999999</v>
      </c>
      <c r="O91" s="17">
        <v>7</v>
      </c>
      <c r="P91" s="17">
        <v>-999999</v>
      </c>
      <c r="Q91" s="17">
        <v>999.99900000000002</v>
      </c>
      <c r="R91" s="17">
        <v>-999999</v>
      </c>
      <c r="S91" s="17">
        <v>999999</v>
      </c>
      <c r="T91" s="17"/>
    </row>
    <row r="92" spans="1:20" ht="20.100000000000001" customHeight="1" x14ac:dyDescent="0.2">
      <c r="A92"/>
      <c r="D92" s="17" t="s">
        <v>1044</v>
      </c>
      <c r="E92" s="17" t="s">
        <v>1059</v>
      </c>
      <c r="F92" s="17" t="s">
        <v>1065</v>
      </c>
      <c r="G92" s="17" t="s">
        <v>1061</v>
      </c>
      <c r="H92" s="17" t="s">
        <v>1064</v>
      </c>
      <c r="I92" s="17" t="s">
        <v>1060</v>
      </c>
      <c r="J92" s="17">
        <v>18.001000000000001</v>
      </c>
      <c r="K92" s="17">
        <v>999999</v>
      </c>
      <c r="L92" s="17">
        <v>1000.001</v>
      </c>
      <c r="M92" s="17">
        <v>2000</v>
      </c>
      <c r="N92" s="17">
        <v>-999999</v>
      </c>
      <c r="O92" s="17">
        <v>7</v>
      </c>
      <c r="P92" s="17">
        <v>-999999</v>
      </c>
      <c r="Q92" s="17">
        <v>999.99900000000002</v>
      </c>
      <c r="R92" s="17">
        <v>-999999</v>
      </c>
      <c r="S92" s="17">
        <v>999999</v>
      </c>
      <c r="T92" s="17"/>
    </row>
    <row r="93" spans="1:20" ht="20.100000000000001" customHeight="1" x14ac:dyDescent="0.2">
      <c r="A93"/>
      <c r="D93" s="17" t="s">
        <v>1045</v>
      </c>
      <c r="E93" s="17" t="s">
        <v>1059</v>
      </c>
      <c r="F93" s="17" t="s">
        <v>1066</v>
      </c>
      <c r="G93" s="17" t="s">
        <v>1061</v>
      </c>
      <c r="H93" s="17" t="s">
        <v>1064</v>
      </c>
      <c r="I93" s="17" t="s">
        <v>1060</v>
      </c>
      <c r="J93" s="17">
        <v>18.001000000000001</v>
      </c>
      <c r="K93" s="17">
        <v>999999</v>
      </c>
      <c r="L93" s="17">
        <v>-999999</v>
      </c>
      <c r="M93" s="17">
        <v>1000</v>
      </c>
      <c r="N93" s="17">
        <v>-999999</v>
      </c>
      <c r="O93" s="17">
        <v>7</v>
      </c>
      <c r="P93" s="17">
        <v>-999999</v>
      </c>
      <c r="Q93" s="17">
        <v>999.99900000000002</v>
      </c>
      <c r="R93" s="17">
        <v>-999999</v>
      </c>
      <c r="S93" s="17">
        <v>999999</v>
      </c>
      <c r="T93" s="17"/>
    </row>
    <row r="94" spans="1:20" ht="20.100000000000001" customHeight="1" x14ac:dyDescent="0.2">
      <c r="A94"/>
      <c r="D94" s="17" t="s">
        <v>1047</v>
      </c>
      <c r="E94" s="17" t="s">
        <v>1067</v>
      </c>
      <c r="F94" s="17" t="s">
        <v>1060</v>
      </c>
      <c r="G94" s="17" t="s">
        <v>1060</v>
      </c>
      <c r="H94" s="17" t="s">
        <v>1060</v>
      </c>
      <c r="I94" s="17" t="s">
        <v>1068</v>
      </c>
      <c r="J94" s="17">
        <v>10.000999999999999</v>
      </c>
      <c r="K94" s="17">
        <v>999999</v>
      </c>
      <c r="L94" s="17">
        <v>-999999</v>
      </c>
      <c r="M94" s="17">
        <v>999999</v>
      </c>
      <c r="N94" s="17">
        <v>-999999</v>
      </c>
      <c r="O94" s="17">
        <v>999999</v>
      </c>
      <c r="P94" s="17">
        <v>-999999</v>
      </c>
      <c r="Q94" s="17">
        <v>999999</v>
      </c>
      <c r="R94" s="17">
        <v>1.0009999999999999</v>
      </c>
      <c r="S94" s="17">
        <v>999999</v>
      </c>
      <c r="T94" s="17"/>
    </row>
    <row r="95" spans="1:20" ht="20.100000000000001" customHeight="1" x14ac:dyDescent="0.2">
      <c r="A95"/>
      <c r="D95" s="17" t="s">
        <v>1048</v>
      </c>
      <c r="E95" s="17" t="s">
        <v>1067</v>
      </c>
      <c r="F95" s="17" t="s">
        <v>1060</v>
      </c>
      <c r="G95" s="17" t="s">
        <v>1060</v>
      </c>
      <c r="H95" s="17" t="s">
        <v>1060</v>
      </c>
      <c r="I95" s="17" t="s">
        <v>1069</v>
      </c>
      <c r="J95" s="17">
        <v>10.000999999999999</v>
      </c>
      <c r="K95" s="17">
        <v>999999</v>
      </c>
      <c r="L95" s="17">
        <v>-999999</v>
      </c>
      <c r="M95" s="17">
        <v>999999</v>
      </c>
      <c r="N95" s="17">
        <v>-999999</v>
      </c>
      <c r="O95" s="17">
        <v>999999</v>
      </c>
      <c r="P95" s="17">
        <v>-999999</v>
      </c>
      <c r="Q95" s="17">
        <v>999999</v>
      </c>
      <c r="R95" s="17">
        <v>-999999</v>
      </c>
      <c r="S95" s="17">
        <v>1</v>
      </c>
      <c r="T95" s="17"/>
    </row>
    <row r="96" spans="1:20" ht="20.100000000000001" customHeight="1" x14ac:dyDescent="0.2">
      <c r="A96"/>
      <c r="D96" s="17" t="s">
        <v>1049</v>
      </c>
      <c r="E96" s="17" t="s">
        <v>1070</v>
      </c>
      <c r="F96" s="17" t="s">
        <v>1060</v>
      </c>
      <c r="G96" s="17" t="s">
        <v>1060</v>
      </c>
      <c r="H96" s="17" t="s">
        <v>1060</v>
      </c>
      <c r="I96" s="17" t="s">
        <v>1068</v>
      </c>
      <c r="J96" s="17">
        <v>-999999</v>
      </c>
      <c r="K96" s="17">
        <v>10</v>
      </c>
      <c r="L96" s="17">
        <v>-999999</v>
      </c>
      <c r="M96" s="17">
        <v>999999</v>
      </c>
      <c r="N96" s="17">
        <v>-999999</v>
      </c>
      <c r="O96" s="17">
        <v>999999</v>
      </c>
      <c r="P96" s="17">
        <v>-999999</v>
      </c>
      <c r="Q96" s="17">
        <v>999999</v>
      </c>
      <c r="R96" s="17">
        <v>1.0009999999999999</v>
      </c>
      <c r="S96" s="17">
        <v>999999</v>
      </c>
      <c r="T96" s="17"/>
    </row>
    <row r="97" spans="1:20" ht="20.100000000000001" customHeight="1" x14ac:dyDescent="0.2">
      <c r="A97"/>
      <c r="D97" s="17" t="s">
        <v>1050</v>
      </c>
      <c r="E97" s="17" t="s">
        <v>1070</v>
      </c>
      <c r="F97" s="17" t="s">
        <v>1060</v>
      </c>
      <c r="G97" s="17" t="s">
        <v>1060</v>
      </c>
      <c r="H97" s="17" t="s">
        <v>1060</v>
      </c>
      <c r="I97" s="17" t="s">
        <v>1069</v>
      </c>
      <c r="J97" s="17">
        <v>-999999</v>
      </c>
      <c r="K97" s="17">
        <v>10</v>
      </c>
      <c r="L97" s="17">
        <v>-999999</v>
      </c>
      <c r="M97" s="17">
        <v>999999</v>
      </c>
      <c r="N97" s="17">
        <v>-999999</v>
      </c>
      <c r="O97" s="17">
        <v>999999</v>
      </c>
      <c r="P97" s="17">
        <v>-999999</v>
      </c>
      <c r="Q97" s="17">
        <v>999999</v>
      </c>
      <c r="R97" s="17">
        <v>-999999</v>
      </c>
      <c r="S97" s="17">
        <v>1</v>
      </c>
      <c r="T97" s="17"/>
    </row>
    <row r="98" spans="1:20" ht="20.100000000000001" customHeight="1" x14ac:dyDescent="0.2">
      <c r="A98"/>
    </row>
    <row r="99" spans="1:20" ht="20.100000000000001" customHeight="1" x14ac:dyDescent="0.2">
      <c r="A99"/>
      <c r="D99" s="20" t="s">
        <v>1071</v>
      </c>
    </row>
    <row r="100" spans="1:20" ht="20.100000000000001" customHeight="1" x14ac:dyDescent="0.2">
      <c r="A100" s="167" t="str">
        <f>HYPERLINK("#A1", "▲ Back to top")</f>
        <v>▲ Back to top</v>
      </c>
      <c r="D100" s="20" t="s">
        <v>1072</v>
      </c>
    </row>
    <row r="101" spans="1:20" ht="20.100000000000001" customHeight="1" x14ac:dyDescent="0.2">
      <c r="A101"/>
      <c r="D101" s="20" t="s">
        <v>1073</v>
      </c>
    </row>
    <row r="102" spans="1:20" ht="20.100000000000001" customHeight="1" x14ac:dyDescent="0.2">
      <c r="A102"/>
      <c r="D102" s="20" t="s">
        <v>1074</v>
      </c>
    </row>
    <row r="103" spans="1:20" ht="20.100000000000001" customHeight="1" x14ac:dyDescent="0.2">
      <c r="A103"/>
      <c r="D103" s="20"/>
    </row>
    <row r="104" spans="1:20" ht="20.100000000000001" customHeight="1" x14ac:dyDescent="0.2">
      <c r="A104"/>
    </row>
    <row r="105" spans="1:20" ht="20.100000000000001" customHeight="1" x14ac:dyDescent="0.2">
      <c r="A105"/>
      <c r="D105" s="16" t="s">
        <v>1075</v>
      </c>
    </row>
    <row r="106" spans="1:20" ht="20.100000000000001" customHeight="1" x14ac:dyDescent="0.2">
      <c r="A106"/>
      <c r="D106" s="18" t="s">
        <v>1058</v>
      </c>
    </row>
    <row r="107" spans="1:20" ht="20.100000000000001" customHeight="1" x14ac:dyDescent="0.2">
      <c r="A107"/>
      <c r="D107" s="19"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
      <c r="A108"/>
    </row>
    <row r="109" spans="1:20" ht="20.100000000000001" customHeight="1" x14ac:dyDescent="0.2">
      <c r="A109"/>
      <c r="D109" s="17" t="s">
        <v>41</v>
      </c>
      <c r="E109" s="17" t="s">
        <v>26</v>
      </c>
      <c r="F109" s="17" t="s">
        <v>42</v>
      </c>
      <c r="G109" s="17" t="s">
        <v>43</v>
      </c>
    </row>
    <row r="110" spans="1:20" ht="20.100000000000001" customHeight="1" x14ac:dyDescent="0.2">
      <c r="A110"/>
      <c r="D110" s="17" t="s">
        <v>1076</v>
      </c>
      <c r="E110" s="17" t="s">
        <v>1077</v>
      </c>
      <c r="F110" s="17">
        <v>26</v>
      </c>
      <c r="G110" s="17">
        <v>999999</v>
      </c>
    </row>
    <row r="111" spans="1:20" ht="20.100000000000001" customHeight="1" x14ac:dyDescent="0.2">
      <c r="A111"/>
      <c r="D111" s="17" t="s">
        <v>1078</v>
      </c>
      <c r="E111" s="17" t="s">
        <v>1079</v>
      </c>
      <c r="F111" s="17">
        <v>15</v>
      </c>
      <c r="G111" s="17">
        <v>25.998999999999999</v>
      </c>
    </row>
    <row r="112" spans="1:20" ht="20.100000000000001" customHeight="1" x14ac:dyDescent="0.2">
      <c r="A112"/>
      <c r="D112" s="17" t="s">
        <v>1080</v>
      </c>
      <c r="E112" s="17" t="s">
        <v>1081</v>
      </c>
      <c r="F112" s="17">
        <v>-999999</v>
      </c>
      <c r="G112" s="17">
        <v>14.999000000000001</v>
      </c>
    </row>
    <row r="113" spans="1:66" ht="20.100000000000001" customHeight="1" x14ac:dyDescent="0.2">
      <c r="A113"/>
    </row>
    <row r="114" spans="1:66" ht="20.100000000000001" customHeight="1" x14ac:dyDescent="0.2">
      <c r="A114"/>
    </row>
    <row r="115" spans="1:66" ht="20.100000000000001" customHeight="1" x14ac:dyDescent="0.2">
      <c r="A115"/>
      <c r="D115" s="16" t="s">
        <v>1082</v>
      </c>
      <c r="BN115" s="11"/>
    </row>
    <row r="116" spans="1:66" ht="20.100000000000001" customHeight="1" x14ac:dyDescent="0.2">
      <c r="A116"/>
      <c r="D116" s="18" t="s">
        <v>1058</v>
      </c>
      <c r="BN116" s="11"/>
    </row>
    <row r="117" spans="1:66" ht="20.100000000000001" customHeight="1" x14ac:dyDescent="0.2">
      <c r="A117"/>
      <c r="D117" s="19" t="str" cm="1">
        <f t="array" ref="D117">"⚠️" &amp; Common_SourceData.Common_SourceData_RainfallZones_Variation()</f>
        <v>⚠️VARIATION OF SOURCE DATA: Added extra Rainfall min and Rainfall max columns to calculate zone from real rainfall data.</v>
      </c>
      <c r="BN117" s="11"/>
    </row>
    <row r="118" spans="1:66" ht="20.100000000000001" customHeight="1" x14ac:dyDescent="0.2">
      <c r="A118"/>
      <c r="BN118" s="11"/>
    </row>
    <row r="119" spans="1:66" ht="20.100000000000001" customHeight="1" x14ac:dyDescent="0.2">
      <c r="A119"/>
      <c r="D119" s="17" t="s">
        <v>44</v>
      </c>
      <c r="E119" s="17" t="s">
        <v>45</v>
      </c>
      <c r="F119" s="17" t="s">
        <v>33</v>
      </c>
      <c r="G119" s="17" t="s">
        <v>34</v>
      </c>
      <c r="BN119" s="11"/>
    </row>
    <row r="120" spans="1:66" ht="20.100000000000001" customHeight="1" x14ac:dyDescent="0.2">
      <c r="A120"/>
      <c r="D120" s="17" t="s">
        <v>1083</v>
      </c>
      <c r="E120" s="17" t="s">
        <v>1084</v>
      </c>
      <c r="F120" s="17">
        <v>600.00099999999998</v>
      </c>
      <c r="G120" s="17">
        <v>999999</v>
      </c>
      <c r="BN120" s="11"/>
    </row>
    <row r="121" spans="1:66" ht="20.100000000000001" customHeight="1" x14ac:dyDescent="0.2">
      <c r="A121"/>
      <c r="D121" s="17" t="s">
        <v>1085</v>
      </c>
      <c r="E121" s="17" t="s">
        <v>1086</v>
      </c>
      <c r="F121" s="17">
        <v>-999999</v>
      </c>
      <c r="G121" s="17">
        <v>600</v>
      </c>
      <c r="BN121" s="11"/>
    </row>
    <row r="122" spans="1:66" ht="20.100000000000001" customHeight="1" x14ac:dyDescent="0.2">
      <c r="A122"/>
      <c r="BN122" s="11"/>
    </row>
    <row r="123" spans="1:66" ht="20.100000000000001" customHeight="1" x14ac:dyDescent="0.2">
      <c r="A123"/>
    </row>
    <row r="124" spans="1:66" ht="20.100000000000001" customHeight="1" x14ac:dyDescent="0.2">
      <c r="A124"/>
      <c r="D124" s="16" t="s">
        <v>1087</v>
      </c>
    </row>
    <row r="125" spans="1:66" ht="20.100000000000001" customHeight="1" x14ac:dyDescent="0.2">
      <c r="A125"/>
      <c r="D125" s="18" t="s">
        <v>1058</v>
      </c>
    </row>
    <row r="126" spans="1:66" ht="20.100000000000001" customHeight="1" x14ac:dyDescent="0.2">
      <c r="A126"/>
    </row>
    <row r="127" spans="1:66" ht="20.100000000000001" customHeight="1" x14ac:dyDescent="0.2">
      <c r="A127"/>
      <c r="D127" s="17" t="s">
        <v>46</v>
      </c>
      <c r="E127" s="17" t="s">
        <v>47</v>
      </c>
    </row>
    <row r="128" spans="1:66" ht="20.100000000000001" customHeight="1" x14ac:dyDescent="0.2">
      <c r="A128"/>
      <c r="D128" s="17" t="s">
        <v>1088</v>
      </c>
      <c r="E128" s="17" t="s">
        <v>1089</v>
      </c>
    </row>
    <row r="129" spans="1:77" ht="20.100000000000001" customHeight="1" x14ac:dyDescent="0.2">
      <c r="A129"/>
      <c r="D129" s="17" t="s">
        <v>1090</v>
      </c>
      <c r="E129" s="17" t="s">
        <v>1091</v>
      </c>
    </row>
    <row r="130" spans="1:77" ht="20.100000000000001" customHeight="1" x14ac:dyDescent="0.2">
      <c r="A130" s="167" t="str">
        <f>HYPERLINK("#A1", "▲ Back to top")</f>
        <v>▲ Back to top</v>
      </c>
    </row>
    <row r="131" spans="1:77" ht="20.100000000000001" customHeight="1" x14ac:dyDescent="0.2">
      <c r="A131"/>
    </row>
    <row r="132" spans="1:77" ht="20.100000000000001" customHeight="1" x14ac:dyDescent="0.25">
      <c r="A132"/>
      <c r="D132" s="16" t="s">
        <v>1092</v>
      </c>
      <c r="E132" s="21"/>
    </row>
    <row r="133" spans="1:77" ht="20.100000000000001" customHeight="1" x14ac:dyDescent="0.25">
      <c r="A133"/>
      <c r="D133" s="18" t="s">
        <v>1093</v>
      </c>
      <c r="E133" s="21"/>
    </row>
    <row r="134" spans="1:77" ht="20.100000000000001" customHeight="1" x14ac:dyDescent="0.25">
      <c r="A134"/>
      <c r="D134" s="10" t="s">
        <v>48</v>
      </c>
      <c r="E134" s="10" t="s">
        <v>49</v>
      </c>
    </row>
    <row r="135" spans="1:77" ht="20.100000000000001" customHeight="1" x14ac:dyDescent="0.25">
      <c r="A135"/>
      <c r="D135" s="10" t="s">
        <v>1094</v>
      </c>
      <c r="E135" s="10">
        <v>1</v>
      </c>
    </row>
    <row r="136" spans="1:77" ht="20.100000000000001" customHeight="1" x14ac:dyDescent="0.2">
      <c r="A136"/>
      <c r="D136" s="15" t="s">
        <v>1095</v>
      </c>
      <c r="E136" s="17">
        <v>0</v>
      </c>
    </row>
    <row r="137" spans="1:77" ht="20.100000000000001" customHeight="1" x14ac:dyDescent="0.2">
      <c r="A137"/>
    </row>
    <row r="138" spans="1:77" ht="20.100000000000001" customHeight="1" x14ac:dyDescent="0.2">
      <c r="A138"/>
      <c r="BN138" s="11"/>
      <c r="BO138" s="11"/>
      <c r="BP138" s="11"/>
      <c r="BQ138" s="11"/>
      <c r="BR138" s="11"/>
      <c r="BS138" s="11"/>
      <c r="BT138" s="11"/>
      <c r="BU138" s="11"/>
      <c r="BV138" s="11"/>
      <c r="BW138" s="11"/>
      <c r="BX138" s="11"/>
      <c r="BY138" s="11"/>
    </row>
    <row r="139" spans="1:77" ht="20.100000000000001" customHeight="1" x14ac:dyDescent="0.2">
      <c r="A139"/>
      <c r="D139" s="16" t="s">
        <v>1096</v>
      </c>
      <c r="BN139" s="11"/>
      <c r="BO139" s="11"/>
      <c r="BP139" s="11"/>
      <c r="BQ139" s="11"/>
      <c r="BR139" s="11"/>
      <c r="BS139" s="11"/>
      <c r="BT139" s="11"/>
      <c r="BU139" s="11"/>
      <c r="BV139" s="11"/>
      <c r="BW139" s="11"/>
      <c r="BX139" s="11"/>
      <c r="BY139" s="11"/>
    </row>
    <row r="140" spans="1:77" ht="20.100000000000001" customHeight="1" x14ac:dyDescent="0.2">
      <c r="A140"/>
      <c r="D140" s="18" t="s">
        <v>1097</v>
      </c>
      <c r="BN140" s="11"/>
      <c r="BO140" s="11"/>
      <c r="BP140" s="11"/>
      <c r="BQ140" s="11"/>
      <c r="BR140" s="11"/>
      <c r="BS140" s="11"/>
      <c r="BT140" s="11"/>
      <c r="BU140" s="11"/>
      <c r="BV140" s="11"/>
      <c r="BW140" s="11"/>
      <c r="BX140" s="11"/>
      <c r="BY140" s="11"/>
    </row>
    <row r="141" spans="1:77" ht="20.100000000000001" customHeight="1" x14ac:dyDescent="0.2">
      <c r="A141"/>
      <c r="D141" s="19" t="s">
        <v>1098</v>
      </c>
      <c r="BN141" s="11"/>
    </row>
    <row r="142" spans="1:77" ht="20.100000000000001" customHeight="1" x14ac:dyDescent="0.2">
      <c r="A142"/>
      <c r="D142" s="17" t="s">
        <v>50</v>
      </c>
      <c r="E142" s="17" t="s">
        <v>49</v>
      </c>
      <c r="BN142" s="11"/>
    </row>
    <row r="143" spans="1:77" ht="20.100000000000001" customHeight="1" x14ac:dyDescent="0.2">
      <c r="A143"/>
      <c r="D143" s="17" t="s">
        <v>325</v>
      </c>
      <c r="E143" s="17">
        <v>0</v>
      </c>
      <c r="BN143" s="11"/>
    </row>
    <row r="144" spans="1:77" ht="20.100000000000001" customHeight="1" x14ac:dyDescent="0.2">
      <c r="A144"/>
      <c r="D144" s="15" t="s">
        <v>142</v>
      </c>
      <c r="E144" s="17">
        <v>0</v>
      </c>
      <c r="BN144" s="11"/>
    </row>
    <row r="145" spans="1:66" ht="20.100000000000001" customHeight="1" x14ac:dyDescent="0.2">
      <c r="A145"/>
      <c r="D145" s="15" t="s">
        <v>328</v>
      </c>
      <c r="E145" s="17">
        <v>1</v>
      </c>
      <c r="BN145" s="11"/>
    </row>
    <row r="146" spans="1:66" ht="20.100000000000001" customHeight="1" x14ac:dyDescent="0.2">
      <c r="A146"/>
      <c r="D146" s="15" t="s">
        <v>330</v>
      </c>
      <c r="E146" s="17">
        <v>1</v>
      </c>
      <c r="BN146" s="11"/>
    </row>
    <row r="147" spans="1:66" ht="20.100000000000001" customHeight="1" x14ac:dyDescent="0.2">
      <c r="A147"/>
      <c r="D147" s="15" t="s">
        <v>331</v>
      </c>
      <c r="E147" s="17">
        <v>1</v>
      </c>
      <c r="BN147" s="11"/>
    </row>
    <row r="148" spans="1:66" ht="20.100000000000001" customHeight="1" x14ac:dyDescent="0.2">
      <c r="A148"/>
      <c r="BN148" s="11"/>
    </row>
    <row r="149" spans="1:66" ht="20.100000000000001" customHeight="1" x14ac:dyDescent="0.2">
      <c r="A149"/>
      <c r="BN149" s="11"/>
    </row>
    <row r="150" spans="1:66" ht="20.100000000000001" customHeight="1" x14ac:dyDescent="0.2">
      <c r="A150"/>
      <c r="D150" s="16" t="s">
        <v>1099</v>
      </c>
      <c r="BN150" s="11"/>
    </row>
    <row r="151" spans="1:66" ht="20.100000000000001" customHeight="1" x14ac:dyDescent="0.2">
      <c r="A151"/>
      <c r="D151" s="18" t="s">
        <v>1100</v>
      </c>
      <c r="BN151" s="11"/>
    </row>
    <row r="152" spans="1:66" ht="20.100000000000001" customHeight="1" x14ac:dyDescent="0.2">
      <c r="A152"/>
      <c r="BN152" s="11"/>
    </row>
    <row r="153" spans="1:66" ht="20.100000000000001" customHeight="1" x14ac:dyDescent="0.2">
      <c r="A153"/>
      <c r="D153" s="17" t="s">
        <v>51</v>
      </c>
      <c r="E153" s="17" t="s">
        <v>52</v>
      </c>
      <c r="BC153" s="14"/>
      <c r="BD153" s="14"/>
      <c r="BE153" s="14"/>
      <c r="BF153" s="14"/>
      <c r="BG153" s="14"/>
      <c r="BH153" s="14"/>
      <c r="BI153" s="14"/>
      <c r="BJ153" s="14"/>
      <c r="BK153" s="14"/>
      <c r="BL153" s="14"/>
      <c r="BM153" s="14"/>
    </row>
    <row r="154" spans="1:66" ht="20.100000000000001" customHeight="1" x14ac:dyDescent="0.2">
      <c r="A154"/>
      <c r="D154" s="17" t="s">
        <v>1101</v>
      </c>
      <c r="E154" s="17">
        <v>1</v>
      </c>
      <c r="BC154" s="14"/>
      <c r="BD154" s="14"/>
      <c r="BE154" s="14"/>
      <c r="BF154" s="14"/>
      <c r="BG154" s="14"/>
      <c r="BH154" s="14"/>
      <c r="BI154" s="14"/>
      <c r="BJ154" s="14"/>
      <c r="BK154" s="14"/>
      <c r="BL154" s="14"/>
      <c r="BM154" s="14"/>
    </row>
    <row r="155" spans="1:66" ht="20.100000000000001" customHeight="1" x14ac:dyDescent="0.2">
      <c r="A155"/>
      <c r="D155" s="17" t="s">
        <v>1102</v>
      </c>
      <c r="E155" s="17">
        <v>2</v>
      </c>
      <c r="BC155" s="14"/>
      <c r="BD155" s="14"/>
      <c r="BE155" s="14"/>
      <c r="BF155" s="14"/>
      <c r="BG155" s="14"/>
      <c r="BH155" s="14"/>
      <c r="BI155" s="14"/>
      <c r="BJ155" s="14"/>
      <c r="BK155" s="14"/>
      <c r="BL155" s="14"/>
      <c r="BM155" s="14"/>
    </row>
    <row r="156" spans="1:66" ht="20.100000000000001" customHeight="1" x14ac:dyDescent="0.2">
      <c r="A156"/>
      <c r="D156" s="17" t="s">
        <v>1103</v>
      </c>
      <c r="E156" s="17">
        <v>3</v>
      </c>
    </row>
    <row r="157" spans="1:66" ht="20.100000000000001" customHeight="1" x14ac:dyDescent="0.2">
      <c r="A157"/>
      <c r="D157" s="17" t="s">
        <v>1104</v>
      </c>
      <c r="E157" s="17">
        <v>4</v>
      </c>
    </row>
    <row r="158" spans="1:66" ht="20.100000000000001" customHeight="1" x14ac:dyDescent="0.2">
      <c r="A158"/>
      <c r="D158" s="17" t="s">
        <v>1105</v>
      </c>
      <c r="E158" s="17">
        <v>5</v>
      </c>
    </row>
    <row r="159" spans="1:66" ht="20.100000000000001" customHeight="1" x14ac:dyDescent="0.2">
      <c r="A159"/>
    </row>
    <row r="160" spans="1:66" ht="20.100000000000001" customHeight="1" x14ac:dyDescent="0.2">
      <c r="A160" s="167" t="str">
        <f>HYPERLINK("#A1", "▲ Back to top")</f>
        <v>▲ Back to top</v>
      </c>
    </row>
    <row r="161" spans="1:68" ht="20.100000000000001" customHeight="1" x14ac:dyDescent="0.25">
      <c r="A161"/>
      <c r="D161" s="16" t="s">
        <v>1092</v>
      </c>
      <c r="E161" s="21"/>
    </row>
    <row r="162" spans="1:68" ht="20.100000000000001" customHeight="1" x14ac:dyDescent="0.25">
      <c r="A162"/>
      <c r="D162" s="18" t="s">
        <v>1093</v>
      </c>
      <c r="E162" s="21"/>
    </row>
    <row r="163" spans="1:68" ht="20.100000000000001" customHeight="1" x14ac:dyDescent="0.25">
      <c r="A163"/>
      <c r="D163" s="18" t="s">
        <v>1106</v>
      </c>
      <c r="E163" s="21"/>
    </row>
    <row r="164" spans="1:68" ht="20.100000000000001" customHeight="1" x14ac:dyDescent="0.25">
      <c r="A164"/>
      <c r="D164" s="21" t="s">
        <v>606</v>
      </c>
      <c r="E164" s="21">
        <v>0.24</v>
      </c>
    </row>
    <row r="165" spans="1:68" ht="20.100000000000001" customHeight="1" x14ac:dyDescent="0.2">
      <c r="A165"/>
      <c r="BN165" s="11"/>
      <c r="BO165" s="11"/>
      <c r="BP165" s="11"/>
    </row>
    <row r="166" spans="1:68" ht="20.100000000000001" customHeight="1" x14ac:dyDescent="0.2">
      <c r="A166"/>
      <c r="BN166" s="11"/>
      <c r="BO166" s="11"/>
      <c r="BP166" s="11"/>
    </row>
    <row r="167" spans="1:68" ht="20.100000000000001" customHeight="1" x14ac:dyDescent="0.2">
      <c r="A167"/>
      <c r="D167" s="16" t="s">
        <v>742</v>
      </c>
      <c r="BN167" s="11"/>
      <c r="BO167" s="11"/>
      <c r="BP167" s="11"/>
    </row>
    <row r="168" spans="1:68" ht="20.100000000000001" customHeight="1" x14ac:dyDescent="0.2">
      <c r="A168"/>
      <c r="D168" s="18" t="s">
        <v>1093</v>
      </c>
      <c r="BN168" s="11"/>
      <c r="BO168" s="11"/>
      <c r="BP168" s="11"/>
    </row>
    <row r="169" spans="1:68" ht="20.100000000000001" customHeight="1" x14ac:dyDescent="0.2">
      <c r="A169"/>
      <c r="D169" s="18" t="s">
        <v>1107</v>
      </c>
      <c r="BN169" s="11"/>
      <c r="BO169" s="11"/>
      <c r="BP169" s="11"/>
    </row>
    <row r="170" spans="1:68" ht="20.100000000000001" customHeight="1" x14ac:dyDescent="0.2">
      <c r="A170"/>
      <c r="D170" s="15" t="s">
        <v>1108</v>
      </c>
      <c r="E170" s="15">
        <v>1.0999999999999999E-2</v>
      </c>
      <c r="BN170" s="11"/>
      <c r="BO170" s="11"/>
      <c r="BP170" s="11"/>
    </row>
    <row r="171" spans="1:68" ht="20.100000000000001" customHeight="1" x14ac:dyDescent="0.2">
      <c r="A171"/>
      <c r="BN171" s="11"/>
      <c r="BO171" s="11"/>
      <c r="BP171" s="11"/>
    </row>
    <row r="172" spans="1:68" ht="20.100000000000001" customHeight="1" x14ac:dyDescent="0.2">
      <c r="A172"/>
      <c r="BN172" s="11"/>
      <c r="BO172" s="11"/>
      <c r="BP172" s="11"/>
    </row>
    <row r="173" spans="1:68" ht="20.100000000000001" customHeight="1" x14ac:dyDescent="0.2">
      <c r="A173"/>
      <c r="D173" s="16" t="s">
        <v>1109</v>
      </c>
      <c r="BN173" s="11"/>
      <c r="BO173" s="11"/>
      <c r="BP173" s="11"/>
    </row>
    <row r="174" spans="1:68" ht="20.100000000000001" customHeight="1" x14ac:dyDescent="0.2">
      <c r="A174"/>
      <c r="D174" s="18" t="s">
        <v>1110</v>
      </c>
      <c r="BN174" s="11"/>
      <c r="BO174" s="11"/>
      <c r="BP174" s="11"/>
    </row>
    <row r="175" spans="1:68" ht="20.100000000000001" customHeight="1" x14ac:dyDescent="0.2">
      <c r="A175"/>
      <c r="D175" s="15">
        <v>0.6784</v>
      </c>
      <c r="E175" s="20" t="s">
        <v>1111</v>
      </c>
      <c r="BN175" s="11"/>
      <c r="BO175" s="11"/>
      <c r="BP175" s="11"/>
    </row>
    <row r="176" spans="1:68" ht="20.100000000000001" customHeight="1" x14ac:dyDescent="0.2">
      <c r="A176"/>
      <c r="BN176" s="11"/>
      <c r="BO176" s="11"/>
      <c r="BP176" s="11"/>
    </row>
    <row r="177" spans="1:68" ht="20.100000000000001" customHeight="1" x14ac:dyDescent="0.2">
      <c r="A177"/>
      <c r="BN177" s="11"/>
      <c r="BO177" s="11"/>
      <c r="BP177" s="11"/>
    </row>
    <row r="178" spans="1:68" ht="20.100000000000001" customHeight="1" x14ac:dyDescent="0.2">
      <c r="A178"/>
      <c r="D178" s="16" t="s">
        <v>1112</v>
      </c>
      <c r="BN178" s="11"/>
      <c r="BO178" s="11"/>
      <c r="BP178" s="11"/>
    </row>
    <row r="179" spans="1:68" ht="20.100000000000001" customHeight="1" x14ac:dyDescent="0.2">
      <c r="A179"/>
      <c r="D179" s="18" t="s">
        <v>1113</v>
      </c>
      <c r="BN179" s="11"/>
      <c r="BO179" s="11"/>
      <c r="BP179" s="11"/>
    </row>
    <row r="180" spans="1:68" ht="20.100000000000001" customHeight="1" x14ac:dyDescent="0.2">
      <c r="A180"/>
      <c r="D180" s="20" t="s">
        <v>1114</v>
      </c>
    </row>
    <row r="181" spans="1:68" ht="20.100000000000001" customHeight="1" x14ac:dyDescent="0.2">
      <c r="A181"/>
      <c r="D181" s="19" t="s">
        <v>1115</v>
      </c>
    </row>
    <row r="182" spans="1:68" ht="20.100000000000001" customHeight="1" x14ac:dyDescent="0.2">
      <c r="A182"/>
      <c r="D182" s="19" t="s">
        <v>1116</v>
      </c>
    </row>
    <row r="183" spans="1:68" ht="20.100000000000001" customHeight="1" x14ac:dyDescent="0.2">
      <c r="A183"/>
      <c r="D183" s="19" t="s">
        <v>1117</v>
      </c>
    </row>
    <row r="184" spans="1:68" ht="20.100000000000001" customHeight="1" x14ac:dyDescent="0.2">
      <c r="A184"/>
      <c r="D184" s="19" t="s">
        <v>1118</v>
      </c>
    </row>
    <row r="185" spans="1:68" ht="20.100000000000001" customHeight="1" x14ac:dyDescent="0.2">
      <c r="A185"/>
      <c r="D185" s="19" t="s">
        <v>1119</v>
      </c>
    </row>
    <row r="186" spans="1:68" ht="20.100000000000001" customHeight="1" x14ac:dyDescent="0.2">
      <c r="A186"/>
      <c r="D186" s="17" t="s">
        <v>53</v>
      </c>
      <c r="E186" s="17" t="s">
        <v>54</v>
      </c>
      <c r="F186" s="17" t="s">
        <v>55</v>
      </c>
      <c r="G186" s="17" t="s">
        <v>56</v>
      </c>
      <c r="H186" s="17" t="s">
        <v>57</v>
      </c>
    </row>
    <row r="187" spans="1:68" ht="20.100000000000001" customHeight="1" x14ac:dyDescent="0.2">
      <c r="A187"/>
      <c r="D187" s="17" t="s">
        <v>1120</v>
      </c>
      <c r="E187" s="17">
        <v>5.8999999999999999E-3</v>
      </c>
      <c r="F187" s="17" t="s">
        <v>324</v>
      </c>
      <c r="G187" s="17" t="s">
        <v>1060</v>
      </c>
      <c r="H187" s="17" t="s">
        <v>1060</v>
      </c>
    </row>
    <row r="188" spans="1:68" ht="20.100000000000001" customHeight="1" x14ac:dyDescent="0.2">
      <c r="A188"/>
      <c r="D188" s="17" t="s">
        <v>1121</v>
      </c>
      <c r="E188" s="17">
        <v>7.0000000000000001E-3</v>
      </c>
      <c r="F188" s="17" t="s">
        <v>138</v>
      </c>
      <c r="G188" s="17" t="s">
        <v>1060</v>
      </c>
      <c r="H188" s="17" t="s">
        <v>1060</v>
      </c>
    </row>
    <row r="189" spans="1:68" ht="20.100000000000001" customHeight="1" x14ac:dyDescent="0.2">
      <c r="A189"/>
      <c r="D189" s="17" t="s">
        <v>1122</v>
      </c>
      <c r="E189" s="17">
        <v>1.8E-3</v>
      </c>
      <c r="F189" s="17" t="s">
        <v>324</v>
      </c>
      <c r="G189" s="17" t="s">
        <v>325</v>
      </c>
      <c r="H189" s="17" t="s">
        <v>1085</v>
      </c>
    </row>
    <row r="190" spans="1:68" ht="20.100000000000001" customHeight="1" x14ac:dyDescent="0.2">
      <c r="A190" s="167" t="str">
        <f>HYPERLINK("#A1", "▲ Back to top")</f>
        <v>▲ Back to top</v>
      </c>
      <c r="D190" s="17" t="s">
        <v>1122</v>
      </c>
      <c r="E190" s="17">
        <v>1.8E-3</v>
      </c>
      <c r="F190" s="17" t="s">
        <v>324</v>
      </c>
      <c r="G190" s="17" t="s">
        <v>325</v>
      </c>
      <c r="H190" s="17" t="s">
        <v>1083</v>
      </c>
    </row>
    <row r="191" spans="1:68" ht="20.100000000000001" customHeight="1" x14ac:dyDescent="0.2">
      <c r="A191"/>
      <c r="D191" s="17" t="s">
        <v>1123</v>
      </c>
      <c r="E191" s="17">
        <v>2.8999999999999998E-3</v>
      </c>
      <c r="F191" s="17" t="s">
        <v>138</v>
      </c>
      <c r="G191" s="17" t="s">
        <v>325</v>
      </c>
      <c r="H191" s="17" t="s">
        <v>1085</v>
      </c>
    </row>
    <row r="192" spans="1:68" ht="20.100000000000001" customHeight="1" x14ac:dyDescent="0.2">
      <c r="A192"/>
      <c r="D192" s="17" t="s">
        <v>1124</v>
      </c>
      <c r="E192" s="17">
        <v>8.0000000000000002E-3</v>
      </c>
      <c r="F192" s="17" t="s">
        <v>138</v>
      </c>
      <c r="G192" s="17" t="s">
        <v>325</v>
      </c>
      <c r="H192" s="17" t="s">
        <v>1083</v>
      </c>
    </row>
    <row r="193" spans="1:8" ht="20.100000000000001" customHeight="1" x14ac:dyDescent="0.2">
      <c r="A193"/>
      <c r="D193" s="17" t="s">
        <v>1125</v>
      </c>
      <c r="E193" s="17">
        <v>1.9900000000000001E-2</v>
      </c>
      <c r="F193" s="17" t="s">
        <v>1125</v>
      </c>
      <c r="G193" s="17" t="s">
        <v>1060</v>
      </c>
      <c r="H193" s="17" t="s">
        <v>1060</v>
      </c>
    </row>
    <row r="194" spans="1:8" ht="20.100000000000001" customHeight="1" x14ac:dyDescent="0.2">
      <c r="A194"/>
      <c r="D194" s="17" t="s">
        <v>257</v>
      </c>
      <c r="E194" s="17">
        <v>5.3E-3</v>
      </c>
      <c r="F194" s="17" t="s">
        <v>257</v>
      </c>
      <c r="G194" s="17" t="s">
        <v>1060</v>
      </c>
      <c r="H194" s="17" t="s">
        <v>1060</v>
      </c>
    </row>
    <row r="195" spans="1:8" ht="20.100000000000001" customHeight="1" x14ac:dyDescent="0.2">
      <c r="A195"/>
      <c r="D195" s="17" t="s">
        <v>1126</v>
      </c>
      <c r="E195" s="17">
        <v>6.4000000000000003E-3</v>
      </c>
      <c r="F195" s="17" t="s">
        <v>1126</v>
      </c>
      <c r="G195" s="17" t="s">
        <v>1060</v>
      </c>
      <c r="H195" s="17" t="s">
        <v>1060</v>
      </c>
    </row>
    <row r="196" spans="1:8" ht="20.100000000000001" customHeight="1" x14ac:dyDescent="0.2">
      <c r="A196"/>
      <c r="D196" s="17" t="s">
        <v>1127</v>
      </c>
      <c r="E196" s="17">
        <v>3.0000000000000001E-3</v>
      </c>
      <c r="F196" s="17" t="s">
        <v>1128</v>
      </c>
      <c r="G196" s="17" t="s">
        <v>1129</v>
      </c>
      <c r="H196" s="17" t="s">
        <v>1060</v>
      </c>
    </row>
    <row r="197" spans="1:8" ht="20.100000000000001" customHeight="1" x14ac:dyDescent="0.2">
      <c r="A197"/>
      <c r="D197" s="17" t="s">
        <v>1130</v>
      </c>
      <c r="E197" s="17">
        <v>5.0000000000000001E-3</v>
      </c>
      <c r="F197" s="17" t="s">
        <v>1128</v>
      </c>
      <c r="G197" s="17" t="s">
        <v>1131</v>
      </c>
      <c r="H197" s="17" t="s">
        <v>1060</v>
      </c>
    </row>
    <row r="198" spans="1:8" ht="20.100000000000001" customHeight="1" x14ac:dyDescent="0.2">
      <c r="A198"/>
      <c r="D198" s="17" t="s">
        <v>1132</v>
      </c>
      <c r="E198" s="17">
        <v>2.5999999999999999E-3</v>
      </c>
      <c r="F198" s="17" t="s">
        <v>1132</v>
      </c>
      <c r="G198" s="17" t="s">
        <v>1060</v>
      </c>
      <c r="H198" s="17" t="s">
        <v>1060</v>
      </c>
    </row>
    <row r="199" spans="1:8" ht="20.100000000000001" customHeight="1" x14ac:dyDescent="0.2">
      <c r="A199"/>
      <c r="D199" s="17" t="s">
        <v>1133</v>
      </c>
      <c r="E199" s="17">
        <v>1.8E-3</v>
      </c>
      <c r="F199" s="17" t="s">
        <v>1133</v>
      </c>
      <c r="G199" s="17" t="s">
        <v>1060</v>
      </c>
      <c r="H199" s="17" t="s">
        <v>1060</v>
      </c>
    </row>
    <row r="200" spans="1:8" ht="20.100000000000001" customHeight="1" x14ac:dyDescent="0.2">
      <c r="A200"/>
    </row>
    <row r="201" spans="1:8" ht="20.100000000000001" customHeight="1" x14ac:dyDescent="0.2">
      <c r="A201"/>
    </row>
    <row r="202" spans="1:8" ht="20.100000000000001" customHeight="1" x14ac:dyDescent="0.2">
      <c r="A202"/>
      <c r="D202" s="16" t="s">
        <v>1134</v>
      </c>
    </row>
    <row r="203" spans="1:8" ht="20.100000000000001" customHeight="1" x14ac:dyDescent="0.2">
      <c r="A203"/>
      <c r="D203" s="18" t="s">
        <v>1135</v>
      </c>
    </row>
    <row r="204" spans="1:8" ht="20.100000000000001" customHeight="1" x14ac:dyDescent="0.2">
      <c r="A204"/>
      <c r="D204" s="19" t="s">
        <v>1136</v>
      </c>
    </row>
    <row r="205" spans="1:8" ht="20.100000000000001" customHeight="1" x14ac:dyDescent="0.2">
      <c r="A205"/>
      <c r="D205" s="20" t="s">
        <v>1137</v>
      </c>
    </row>
    <row r="206" spans="1:8" ht="20.100000000000001" customHeight="1" x14ac:dyDescent="0.2">
      <c r="A206"/>
      <c r="D206" s="17" t="s">
        <v>24</v>
      </c>
      <c r="E206" s="17" t="s">
        <v>58</v>
      </c>
    </row>
    <row r="207" spans="1:8" ht="20.100000000000001" customHeight="1" x14ac:dyDescent="0.2">
      <c r="A207"/>
      <c r="D207" s="17" t="s">
        <v>1042</v>
      </c>
      <c r="E207" s="17">
        <v>6.0000000000000001E-3</v>
      </c>
    </row>
    <row r="208" spans="1:8" ht="20.100000000000001" customHeight="1" x14ac:dyDescent="0.2">
      <c r="A208"/>
      <c r="D208" s="15" t="s">
        <v>1046</v>
      </c>
      <c r="E208" s="17">
        <v>2E-3</v>
      </c>
    </row>
    <row r="209" spans="1:5" ht="20.100000000000001" customHeight="1" x14ac:dyDescent="0.2">
      <c r="A209"/>
    </row>
    <row r="210" spans="1:5" ht="20.100000000000001" customHeight="1" x14ac:dyDescent="0.2">
      <c r="A210"/>
    </row>
    <row r="211" spans="1:5" ht="20.100000000000001" customHeight="1" x14ac:dyDescent="0.2">
      <c r="A211"/>
      <c r="D211" s="15" t="s">
        <v>1138</v>
      </c>
    </row>
    <row r="212" spans="1:5" ht="20.100000000000001" customHeight="1" x14ac:dyDescent="0.2">
      <c r="A212"/>
      <c r="D212" s="17" t="s">
        <v>59</v>
      </c>
      <c r="E212" s="17" t="s">
        <v>60</v>
      </c>
    </row>
    <row r="213" spans="1:5" ht="20.100000000000001" customHeight="1" x14ac:dyDescent="0.2">
      <c r="A213"/>
      <c r="D213" s="17" t="s">
        <v>1139</v>
      </c>
      <c r="E213" s="17" t="s">
        <v>1140</v>
      </c>
    </row>
    <row r="214" spans="1:5" ht="20.100000000000001" customHeight="1" x14ac:dyDescent="0.2">
      <c r="A214"/>
      <c r="D214" s="15" t="s">
        <v>1141</v>
      </c>
      <c r="E214" s="17" t="s">
        <v>1140</v>
      </c>
    </row>
    <row r="215" spans="1:5" ht="20.100000000000001" customHeight="1" x14ac:dyDescent="0.2">
      <c r="A215"/>
      <c r="D215" s="15" t="s">
        <v>1142</v>
      </c>
      <c r="E215" s="17" t="s">
        <v>1143</v>
      </c>
    </row>
    <row r="216" spans="1:5" ht="20.100000000000001" customHeight="1" x14ac:dyDescent="0.2">
      <c r="A216"/>
      <c r="D216" s="15" t="s">
        <v>1144</v>
      </c>
      <c r="E216" s="17" t="s">
        <v>1143</v>
      </c>
    </row>
    <row r="217" spans="1:5" ht="20.100000000000001" customHeight="1" x14ac:dyDescent="0.2">
      <c r="A217"/>
      <c r="D217" s="15" t="s">
        <v>1145</v>
      </c>
      <c r="E217" s="17" t="s">
        <v>1143</v>
      </c>
    </row>
    <row r="218" spans="1:5" ht="20.100000000000001" customHeight="1" x14ac:dyDescent="0.2">
      <c r="A218"/>
      <c r="D218" s="15" t="s">
        <v>1146</v>
      </c>
      <c r="E218" s="17" t="s">
        <v>1147</v>
      </c>
    </row>
    <row r="219" spans="1:5" ht="20.100000000000001" customHeight="1" x14ac:dyDescent="0.2">
      <c r="A219"/>
      <c r="D219" s="15" t="s">
        <v>1148</v>
      </c>
      <c r="E219" s="17" t="s">
        <v>1147</v>
      </c>
    </row>
    <row r="220" spans="1:5" ht="20.100000000000001" customHeight="1" x14ac:dyDescent="0.2">
      <c r="A220" s="167" t="str">
        <f>HYPERLINK("#A1", "▲ Back to top")</f>
        <v>▲ Back to top</v>
      </c>
      <c r="D220" s="15" t="s">
        <v>1149</v>
      </c>
      <c r="E220" s="17" t="s">
        <v>1147</v>
      </c>
    </row>
    <row r="221" spans="1:5" ht="20.100000000000001" customHeight="1" x14ac:dyDescent="0.2">
      <c r="A221"/>
      <c r="D221" s="15" t="s">
        <v>1150</v>
      </c>
      <c r="E221" s="17" t="s">
        <v>1151</v>
      </c>
    </row>
    <row r="222" spans="1:5" ht="20.100000000000001" customHeight="1" x14ac:dyDescent="0.2">
      <c r="A222"/>
      <c r="D222" s="15" t="s">
        <v>1152</v>
      </c>
      <c r="E222" s="17" t="s">
        <v>1151</v>
      </c>
    </row>
    <row r="223" spans="1:5" ht="20.100000000000001" customHeight="1" x14ac:dyDescent="0.2">
      <c r="A223"/>
      <c r="D223" s="15" t="s">
        <v>1153</v>
      </c>
      <c r="E223" s="17" t="s">
        <v>1151</v>
      </c>
    </row>
    <row r="224" spans="1:5" ht="20.100000000000001" customHeight="1" x14ac:dyDescent="0.2">
      <c r="A224"/>
      <c r="D224" s="15" t="s">
        <v>1154</v>
      </c>
      <c r="E224" s="17" t="s">
        <v>1140</v>
      </c>
    </row>
    <row r="225" spans="1:19" ht="20.100000000000001" customHeight="1" x14ac:dyDescent="0.2">
      <c r="A225"/>
    </row>
    <row r="226" spans="1:19" ht="20.100000000000001" customHeight="1" x14ac:dyDescent="0.2">
      <c r="A226"/>
    </row>
    <row r="227" spans="1:19" ht="20.100000000000001" customHeight="1" x14ac:dyDescent="0.2">
      <c r="A227"/>
      <c r="D227" s="16" t="s">
        <v>1155</v>
      </c>
    </row>
    <row r="228" spans="1:19" ht="20.100000000000001" customHeight="1" x14ac:dyDescent="0.2">
      <c r="A228"/>
      <c r="D228" s="18" t="s">
        <v>1156</v>
      </c>
    </row>
    <row r="229" spans="1:19" ht="20.100000000000001" customHeight="1" x14ac:dyDescent="0.2">
      <c r="A229"/>
      <c r="D229" s="19" t="s">
        <v>1157</v>
      </c>
    </row>
    <row r="230" spans="1:19" ht="20.100000000000001" customHeight="1" x14ac:dyDescent="0.2">
      <c r="A230"/>
    </row>
    <row r="231" spans="1:19" ht="20.100000000000001" customHeight="1" x14ac:dyDescent="0.2">
      <c r="A231"/>
      <c r="D231" s="17" t="s">
        <v>61</v>
      </c>
      <c r="E231" s="17" t="s">
        <v>62</v>
      </c>
      <c r="F231" s="22" t="s">
        <v>63</v>
      </c>
      <c r="G231" s="17" t="s">
        <v>64</v>
      </c>
      <c r="H231" s="17" t="s">
        <v>65</v>
      </c>
      <c r="I231" s="17" t="s">
        <v>66</v>
      </c>
      <c r="J231" s="17" t="s">
        <v>67</v>
      </c>
      <c r="K231" s="17" t="s">
        <v>68</v>
      </c>
      <c r="L231" s="17" t="s">
        <v>69</v>
      </c>
      <c r="M231" s="17" t="s">
        <v>70</v>
      </c>
      <c r="N231" s="17" t="s">
        <v>71</v>
      </c>
      <c r="O231" s="17" t="s">
        <v>72</v>
      </c>
      <c r="P231" s="17" t="s">
        <v>73</v>
      </c>
      <c r="Q231" s="17" t="s">
        <v>74</v>
      </c>
      <c r="R231" s="17" t="s">
        <v>75</v>
      </c>
      <c r="S231" s="17" t="s">
        <v>76</v>
      </c>
    </row>
    <row r="232" spans="1:19" ht="20.100000000000001" customHeight="1" x14ac:dyDescent="0.2">
      <c r="A232"/>
      <c r="D232" s="17" t="s">
        <v>1080</v>
      </c>
      <c r="E232" s="17" t="s">
        <v>1158</v>
      </c>
      <c r="F232" s="17">
        <v>0.66</v>
      </c>
      <c r="G232" s="17">
        <v>0.1</v>
      </c>
      <c r="H232" s="17">
        <v>0.1</v>
      </c>
      <c r="I232" s="17">
        <v>1E-3</v>
      </c>
      <c r="J232" s="17">
        <v>5.0000000000000001E-3</v>
      </c>
      <c r="K232" s="17">
        <v>0.02</v>
      </c>
      <c r="L232" s="17">
        <v>0.03</v>
      </c>
      <c r="M232" s="17">
        <v>0.04</v>
      </c>
      <c r="N232" s="17">
        <v>1.4999999999999999E-2</v>
      </c>
      <c r="O232" s="17">
        <v>1.4999999999999999E-2</v>
      </c>
      <c r="P232" s="17">
        <v>0</v>
      </c>
      <c r="Q232" s="17">
        <v>0</v>
      </c>
      <c r="R232" s="17">
        <v>4.7000000000000002E-3</v>
      </c>
      <c r="S232" s="17">
        <v>10</v>
      </c>
    </row>
    <row r="233" spans="1:19" ht="20.100000000000001" customHeight="1" x14ac:dyDescent="0.2">
      <c r="A233"/>
      <c r="D233" s="15" t="s">
        <v>1080</v>
      </c>
      <c r="E233" s="17">
        <v>11</v>
      </c>
      <c r="F233" s="17">
        <v>0.68</v>
      </c>
      <c r="G233" s="17">
        <v>0.1</v>
      </c>
      <c r="H233" s="17">
        <v>0.11</v>
      </c>
      <c r="I233" s="17">
        <v>1E-3</v>
      </c>
      <c r="J233" s="17">
        <v>5.0000000000000001E-3</v>
      </c>
      <c r="K233" s="17">
        <v>0.02</v>
      </c>
      <c r="L233" s="17">
        <v>0.03</v>
      </c>
      <c r="M233" s="17">
        <v>0.04</v>
      </c>
      <c r="N233" s="17">
        <v>1.4999999999999999E-2</v>
      </c>
      <c r="O233" s="17">
        <v>1.4999999999999999E-2</v>
      </c>
      <c r="P233" s="17">
        <v>0</v>
      </c>
      <c r="Q233" s="17">
        <v>0</v>
      </c>
      <c r="R233" s="17">
        <v>4.7000000000000002E-3</v>
      </c>
      <c r="S233" s="17">
        <v>11</v>
      </c>
    </row>
    <row r="234" spans="1:19" ht="20.100000000000001" customHeight="1" x14ac:dyDescent="0.2">
      <c r="A234"/>
      <c r="D234" s="15" t="s">
        <v>1080</v>
      </c>
      <c r="E234" s="17">
        <v>12</v>
      </c>
      <c r="F234" s="17">
        <v>0.7</v>
      </c>
      <c r="G234" s="17">
        <v>0.1</v>
      </c>
      <c r="H234" s="17">
        <v>0.13</v>
      </c>
      <c r="I234" s="17">
        <v>1E-3</v>
      </c>
      <c r="J234" s="17">
        <v>5.0000000000000001E-3</v>
      </c>
      <c r="K234" s="17">
        <v>0.02</v>
      </c>
      <c r="L234" s="17">
        <v>0.03</v>
      </c>
      <c r="M234" s="17">
        <v>0.04</v>
      </c>
      <c r="N234" s="17">
        <v>1.4999999999999999E-2</v>
      </c>
      <c r="O234" s="17">
        <v>1.4999999999999999E-2</v>
      </c>
      <c r="P234" s="17">
        <v>0</v>
      </c>
      <c r="Q234" s="17">
        <v>0</v>
      </c>
      <c r="R234" s="17">
        <v>4.7000000000000002E-3</v>
      </c>
      <c r="S234" s="17">
        <v>12</v>
      </c>
    </row>
    <row r="235" spans="1:19" ht="20.100000000000001" customHeight="1" x14ac:dyDescent="0.2">
      <c r="A235"/>
      <c r="D235" s="15" t="s">
        <v>1080</v>
      </c>
      <c r="E235" s="17">
        <v>13</v>
      </c>
      <c r="F235" s="17">
        <v>0.71</v>
      </c>
      <c r="G235" s="17">
        <v>0.1</v>
      </c>
      <c r="H235" s="17">
        <v>0.14000000000000001</v>
      </c>
      <c r="I235" s="17">
        <v>1E-3</v>
      </c>
      <c r="J235" s="17">
        <v>5.0000000000000001E-3</v>
      </c>
      <c r="K235" s="17">
        <v>0.02</v>
      </c>
      <c r="L235" s="17">
        <v>0.03</v>
      </c>
      <c r="M235" s="17">
        <v>0.04</v>
      </c>
      <c r="N235" s="17">
        <v>1.4999999999999999E-2</v>
      </c>
      <c r="O235" s="17">
        <v>1.4999999999999999E-2</v>
      </c>
      <c r="P235" s="17">
        <v>0</v>
      </c>
      <c r="Q235" s="17">
        <v>0</v>
      </c>
      <c r="R235" s="17">
        <v>4.7000000000000002E-3</v>
      </c>
      <c r="S235" s="17">
        <v>13</v>
      </c>
    </row>
    <row r="236" spans="1:19" ht="20.100000000000001" customHeight="1" x14ac:dyDescent="0.2">
      <c r="A236"/>
      <c r="D236" s="15" t="s">
        <v>1080</v>
      </c>
      <c r="E236" s="17">
        <v>14</v>
      </c>
      <c r="F236" s="17">
        <v>0.73</v>
      </c>
      <c r="G236" s="17">
        <v>0.1</v>
      </c>
      <c r="H236" s="17">
        <v>0.15</v>
      </c>
      <c r="I236" s="17">
        <v>1E-3</v>
      </c>
      <c r="J236" s="17">
        <v>5.0000000000000001E-3</v>
      </c>
      <c r="K236" s="17">
        <v>0.02</v>
      </c>
      <c r="L236" s="17">
        <v>0.03</v>
      </c>
      <c r="M236" s="17">
        <v>0.04</v>
      </c>
      <c r="N236" s="17">
        <v>1.4999999999999999E-2</v>
      </c>
      <c r="O236" s="17">
        <v>1.4999999999999999E-2</v>
      </c>
      <c r="P236" s="17">
        <v>0</v>
      </c>
      <c r="Q236" s="17">
        <v>0</v>
      </c>
      <c r="R236" s="17">
        <v>4.7000000000000002E-3</v>
      </c>
      <c r="S236" s="17">
        <v>14</v>
      </c>
    </row>
    <row r="237" spans="1:19" ht="20.100000000000001" customHeight="1" x14ac:dyDescent="0.2">
      <c r="A237"/>
      <c r="D237" s="15" t="s">
        <v>1078</v>
      </c>
      <c r="E237" s="17">
        <v>15</v>
      </c>
      <c r="F237" s="17">
        <v>0.74</v>
      </c>
      <c r="G237" s="17">
        <v>0.1</v>
      </c>
      <c r="H237" s="17">
        <v>0.17</v>
      </c>
      <c r="I237" s="17">
        <v>5.0000000000000001E-3</v>
      </c>
      <c r="J237" s="17">
        <v>0.01</v>
      </c>
      <c r="K237" s="17">
        <v>0.02</v>
      </c>
      <c r="L237" s="17">
        <v>0.03</v>
      </c>
      <c r="M237" s="17">
        <v>0.04</v>
      </c>
      <c r="N237" s="17">
        <v>1.4999999999999999E-2</v>
      </c>
      <c r="O237" s="17">
        <v>1.4999999999999999E-2</v>
      </c>
      <c r="P237" s="17">
        <v>0</v>
      </c>
      <c r="Q237" s="17">
        <v>0</v>
      </c>
      <c r="R237" s="17">
        <v>4.7000000000000002E-3</v>
      </c>
      <c r="S237" s="17">
        <v>15</v>
      </c>
    </row>
    <row r="238" spans="1:19" ht="20.100000000000001" customHeight="1" x14ac:dyDescent="0.2">
      <c r="A238"/>
      <c r="D238" s="15" t="s">
        <v>1078</v>
      </c>
      <c r="E238" s="17">
        <v>16</v>
      </c>
      <c r="F238" s="17">
        <v>0.75</v>
      </c>
      <c r="G238" s="17">
        <v>0.1</v>
      </c>
      <c r="H238" s="17">
        <v>0.18</v>
      </c>
      <c r="I238" s="17">
        <v>5.0000000000000001E-3</v>
      </c>
      <c r="J238" s="17">
        <v>0.01</v>
      </c>
      <c r="K238" s="17">
        <v>0.02</v>
      </c>
      <c r="L238" s="17">
        <v>0.03</v>
      </c>
      <c r="M238" s="17">
        <v>0.04</v>
      </c>
      <c r="N238" s="17">
        <v>1.4999999999999999E-2</v>
      </c>
      <c r="O238" s="17">
        <v>1.4999999999999999E-2</v>
      </c>
      <c r="P238" s="17">
        <v>0</v>
      </c>
      <c r="Q238" s="17">
        <v>0</v>
      </c>
      <c r="R238" s="17">
        <v>4.7000000000000002E-3</v>
      </c>
      <c r="S238" s="17">
        <v>16</v>
      </c>
    </row>
    <row r="239" spans="1:19" ht="20.100000000000001" customHeight="1" x14ac:dyDescent="0.2">
      <c r="A239"/>
      <c r="D239" s="15" t="s">
        <v>1078</v>
      </c>
      <c r="E239" s="17">
        <v>17</v>
      </c>
      <c r="F239" s="17">
        <v>0.76</v>
      </c>
      <c r="G239" s="17">
        <v>0.1</v>
      </c>
      <c r="H239" s="17">
        <v>0.2</v>
      </c>
      <c r="I239" s="17">
        <v>5.0000000000000001E-3</v>
      </c>
      <c r="J239" s="17">
        <v>0.01</v>
      </c>
      <c r="K239" s="17">
        <v>0.02</v>
      </c>
      <c r="L239" s="17">
        <v>0.03</v>
      </c>
      <c r="M239" s="17">
        <v>0.04</v>
      </c>
      <c r="N239" s="17">
        <v>1.4999999999999999E-2</v>
      </c>
      <c r="O239" s="17">
        <v>1.4999999999999999E-2</v>
      </c>
      <c r="P239" s="17">
        <v>0</v>
      </c>
      <c r="Q239" s="17">
        <v>0</v>
      </c>
      <c r="R239" s="17">
        <v>4.7000000000000002E-3</v>
      </c>
      <c r="S239" s="17">
        <v>17</v>
      </c>
    </row>
    <row r="240" spans="1:19" ht="20.100000000000001" customHeight="1" x14ac:dyDescent="0.2">
      <c r="A240"/>
      <c r="D240" s="15" t="s">
        <v>1078</v>
      </c>
      <c r="E240" s="17">
        <v>18</v>
      </c>
      <c r="F240" s="17">
        <v>0.77</v>
      </c>
      <c r="G240" s="17">
        <v>0.1</v>
      </c>
      <c r="H240" s="17">
        <v>0.22</v>
      </c>
      <c r="I240" s="17">
        <v>5.0000000000000001E-3</v>
      </c>
      <c r="J240" s="17">
        <v>0.01</v>
      </c>
      <c r="K240" s="17">
        <v>0.02</v>
      </c>
      <c r="L240" s="17">
        <v>0.03</v>
      </c>
      <c r="M240" s="17">
        <v>0.04</v>
      </c>
      <c r="N240" s="17">
        <v>1.4999999999999999E-2</v>
      </c>
      <c r="O240" s="17">
        <v>1.4999999999999999E-2</v>
      </c>
      <c r="P240" s="17">
        <v>0</v>
      </c>
      <c r="Q240" s="17">
        <v>0</v>
      </c>
      <c r="R240" s="17">
        <v>4.7000000000000002E-3</v>
      </c>
      <c r="S240" s="17">
        <v>18</v>
      </c>
    </row>
    <row r="241" spans="1:19" ht="20.100000000000001" customHeight="1" x14ac:dyDescent="0.2">
      <c r="A241"/>
      <c r="D241" s="15" t="s">
        <v>1078</v>
      </c>
      <c r="E241" s="17">
        <v>19</v>
      </c>
      <c r="F241" s="17">
        <v>0.77</v>
      </c>
      <c r="G241" s="17">
        <v>0.1</v>
      </c>
      <c r="H241" s="17">
        <v>0.24</v>
      </c>
      <c r="I241" s="17">
        <v>5.0000000000000001E-3</v>
      </c>
      <c r="J241" s="17">
        <v>0.01</v>
      </c>
      <c r="K241" s="17">
        <v>0.02</v>
      </c>
      <c r="L241" s="17">
        <v>0.03</v>
      </c>
      <c r="M241" s="17">
        <v>0.04</v>
      </c>
      <c r="N241" s="17">
        <v>1.4999999999999999E-2</v>
      </c>
      <c r="O241" s="17">
        <v>1.4999999999999999E-2</v>
      </c>
      <c r="P241" s="17">
        <v>0</v>
      </c>
      <c r="Q241" s="17">
        <v>0</v>
      </c>
      <c r="R241" s="17">
        <v>4.7000000000000002E-3</v>
      </c>
      <c r="S241" s="17">
        <v>19</v>
      </c>
    </row>
    <row r="242" spans="1:19" ht="20.100000000000001" customHeight="1" x14ac:dyDescent="0.2">
      <c r="A242"/>
      <c r="D242" s="15" t="s">
        <v>1078</v>
      </c>
      <c r="E242" s="17">
        <v>20</v>
      </c>
      <c r="F242" s="17">
        <v>0.78</v>
      </c>
      <c r="G242" s="17">
        <v>0.1</v>
      </c>
      <c r="H242" s="17">
        <v>0.26</v>
      </c>
      <c r="I242" s="17">
        <v>5.0000000000000001E-3</v>
      </c>
      <c r="J242" s="17">
        <v>0.01</v>
      </c>
      <c r="K242" s="17">
        <v>0.02</v>
      </c>
      <c r="L242" s="17">
        <v>0.03</v>
      </c>
      <c r="M242" s="17">
        <v>0.04</v>
      </c>
      <c r="N242" s="17">
        <v>1.4999999999999999E-2</v>
      </c>
      <c r="O242" s="17">
        <v>1.4999999999999999E-2</v>
      </c>
      <c r="P242" s="17">
        <v>0</v>
      </c>
      <c r="Q242" s="17">
        <v>0</v>
      </c>
      <c r="R242" s="17">
        <v>4.7000000000000002E-3</v>
      </c>
      <c r="S242" s="17">
        <v>20</v>
      </c>
    </row>
    <row r="243" spans="1:19" ht="20.100000000000001" customHeight="1" x14ac:dyDescent="0.2">
      <c r="A243"/>
      <c r="D243" s="15" t="s">
        <v>1078</v>
      </c>
      <c r="E243" s="17">
        <v>21</v>
      </c>
      <c r="F243" s="17">
        <v>0.78</v>
      </c>
      <c r="G243" s="17">
        <v>0.1</v>
      </c>
      <c r="H243" s="17">
        <v>0.28999999999999998</v>
      </c>
      <c r="I243" s="17">
        <v>5.0000000000000001E-3</v>
      </c>
      <c r="J243" s="17">
        <v>0.01</v>
      </c>
      <c r="K243" s="17">
        <v>0.02</v>
      </c>
      <c r="L243" s="17">
        <v>0.03</v>
      </c>
      <c r="M243" s="17">
        <v>0.04</v>
      </c>
      <c r="N243" s="17">
        <v>1.4999999999999999E-2</v>
      </c>
      <c r="O243" s="17">
        <v>1.4999999999999999E-2</v>
      </c>
      <c r="P243" s="17">
        <v>0</v>
      </c>
      <c r="Q243" s="17">
        <v>0</v>
      </c>
      <c r="R243" s="17">
        <v>4.7000000000000002E-3</v>
      </c>
      <c r="S243" s="17">
        <v>21</v>
      </c>
    </row>
    <row r="244" spans="1:19" ht="20.100000000000001" customHeight="1" x14ac:dyDescent="0.2">
      <c r="A244"/>
      <c r="D244" s="15" t="s">
        <v>1078</v>
      </c>
      <c r="E244" s="17">
        <v>22</v>
      </c>
      <c r="F244" s="17">
        <v>0.78</v>
      </c>
      <c r="G244" s="17">
        <v>0.1</v>
      </c>
      <c r="H244" s="17">
        <v>0.31</v>
      </c>
      <c r="I244" s="17">
        <v>5.0000000000000001E-3</v>
      </c>
      <c r="J244" s="17">
        <v>0.01</v>
      </c>
      <c r="K244" s="17">
        <v>0.02</v>
      </c>
      <c r="L244" s="17">
        <v>0.03</v>
      </c>
      <c r="M244" s="17">
        <v>0.04</v>
      </c>
      <c r="N244" s="17">
        <v>1.4999999999999999E-2</v>
      </c>
      <c r="O244" s="17">
        <v>1.4999999999999999E-2</v>
      </c>
      <c r="P244" s="17">
        <v>0</v>
      </c>
      <c r="Q244" s="17">
        <v>0</v>
      </c>
      <c r="R244" s="17">
        <v>4.7000000000000002E-3</v>
      </c>
      <c r="S244" s="17">
        <v>22</v>
      </c>
    </row>
    <row r="245" spans="1:19" ht="20.100000000000001" customHeight="1" x14ac:dyDescent="0.2">
      <c r="A245"/>
      <c r="D245" s="15" t="s">
        <v>1078</v>
      </c>
      <c r="E245" s="17">
        <v>23</v>
      </c>
      <c r="F245" s="17">
        <v>0.79</v>
      </c>
      <c r="G245" s="17">
        <v>0.1</v>
      </c>
      <c r="H245" s="17">
        <v>0.34</v>
      </c>
      <c r="I245" s="17">
        <v>5.0000000000000001E-3</v>
      </c>
      <c r="J245" s="17">
        <v>0.01</v>
      </c>
      <c r="K245" s="17">
        <v>0.02</v>
      </c>
      <c r="L245" s="17">
        <v>0.03</v>
      </c>
      <c r="M245" s="17">
        <v>0.04</v>
      </c>
      <c r="N245" s="17">
        <v>1.4999999999999999E-2</v>
      </c>
      <c r="O245" s="17">
        <v>1.4999999999999999E-2</v>
      </c>
      <c r="P245" s="17">
        <v>0</v>
      </c>
      <c r="Q245" s="17">
        <v>0</v>
      </c>
      <c r="R245" s="17">
        <v>4.7000000000000002E-3</v>
      </c>
      <c r="S245" s="17">
        <v>23</v>
      </c>
    </row>
    <row r="246" spans="1:19" ht="20.100000000000001" customHeight="1" x14ac:dyDescent="0.2">
      <c r="A246"/>
      <c r="D246" s="15" t="s">
        <v>1078</v>
      </c>
      <c r="E246" s="17">
        <v>24</v>
      </c>
      <c r="F246" s="17">
        <v>0.79</v>
      </c>
      <c r="G246" s="17">
        <v>0.1</v>
      </c>
      <c r="H246" s="17">
        <v>0.37</v>
      </c>
      <c r="I246" s="17">
        <v>5.0000000000000001E-3</v>
      </c>
      <c r="J246" s="17">
        <v>0.01</v>
      </c>
      <c r="K246" s="17">
        <v>0.02</v>
      </c>
      <c r="L246" s="17">
        <v>0.03</v>
      </c>
      <c r="M246" s="17">
        <v>0.04</v>
      </c>
      <c r="N246" s="17">
        <v>1.4999999999999999E-2</v>
      </c>
      <c r="O246" s="17">
        <v>1.4999999999999999E-2</v>
      </c>
      <c r="P246" s="17">
        <v>0</v>
      </c>
      <c r="Q246" s="17">
        <v>0</v>
      </c>
      <c r="R246" s="17">
        <v>4.7000000000000002E-3</v>
      </c>
      <c r="S246" s="17">
        <v>24</v>
      </c>
    </row>
    <row r="247" spans="1:19" ht="20.100000000000001" customHeight="1" x14ac:dyDescent="0.2">
      <c r="A247"/>
      <c r="D247" s="15" t="s">
        <v>1078</v>
      </c>
      <c r="E247" s="17">
        <v>25</v>
      </c>
      <c r="F247" s="17">
        <v>0.79</v>
      </c>
      <c r="G247" s="17">
        <v>0.1</v>
      </c>
      <c r="H247" s="17">
        <v>0.41</v>
      </c>
      <c r="I247" s="17">
        <v>5.0000000000000001E-3</v>
      </c>
      <c r="J247" s="17">
        <v>0.01</v>
      </c>
      <c r="K247" s="17">
        <v>0.02</v>
      </c>
      <c r="L247" s="17">
        <v>0.03</v>
      </c>
      <c r="M247" s="17">
        <v>0.04</v>
      </c>
      <c r="N247" s="17">
        <v>1.4999999999999999E-2</v>
      </c>
      <c r="O247" s="17">
        <v>1.4999999999999999E-2</v>
      </c>
      <c r="P247" s="17">
        <v>0</v>
      </c>
      <c r="Q247" s="17">
        <v>0</v>
      </c>
      <c r="R247" s="17">
        <v>4.7000000000000002E-3</v>
      </c>
      <c r="S247" s="17">
        <v>25</v>
      </c>
    </row>
    <row r="248" spans="1:19" ht="20.100000000000001" customHeight="1" x14ac:dyDescent="0.2">
      <c r="A248"/>
      <c r="D248" s="15" t="s">
        <v>1076</v>
      </c>
      <c r="E248" s="17">
        <v>26</v>
      </c>
      <c r="F248" s="17">
        <v>0.79</v>
      </c>
      <c r="G248" s="17">
        <v>0.1</v>
      </c>
      <c r="H248" s="17">
        <v>0.44</v>
      </c>
      <c r="I248" s="17">
        <v>0.01</v>
      </c>
      <c r="J248" s="17">
        <v>1.4999999999999999E-2</v>
      </c>
      <c r="K248" s="17">
        <v>0.02</v>
      </c>
      <c r="L248" s="17">
        <v>0.03</v>
      </c>
      <c r="M248" s="17">
        <v>0.04</v>
      </c>
      <c r="N248" s="17">
        <v>1.4999999999999999E-2</v>
      </c>
      <c r="O248" s="17">
        <v>1.4999999999999999E-2</v>
      </c>
      <c r="P248" s="17">
        <v>0</v>
      </c>
      <c r="Q248" s="17">
        <v>0</v>
      </c>
      <c r="R248" s="17">
        <v>4.7000000000000002E-3</v>
      </c>
      <c r="S248" s="17">
        <v>26</v>
      </c>
    </row>
    <row r="249" spans="1:19" ht="20.100000000000001" customHeight="1" x14ac:dyDescent="0.2">
      <c r="A249"/>
      <c r="D249" s="15" t="s">
        <v>1076</v>
      </c>
      <c r="E249" s="17">
        <v>27</v>
      </c>
      <c r="F249" s="17">
        <v>0.8</v>
      </c>
      <c r="G249" s="17">
        <v>0.1</v>
      </c>
      <c r="H249" s="17">
        <v>0.48</v>
      </c>
      <c r="I249" s="17">
        <v>0.01</v>
      </c>
      <c r="J249" s="17">
        <v>1.4999999999999999E-2</v>
      </c>
      <c r="K249" s="17">
        <v>0.02</v>
      </c>
      <c r="L249" s="17">
        <v>0.03</v>
      </c>
      <c r="M249" s="17">
        <v>0.04</v>
      </c>
      <c r="N249" s="17">
        <v>1.4999999999999999E-2</v>
      </c>
      <c r="O249" s="17">
        <v>1.4999999999999999E-2</v>
      </c>
      <c r="P249" s="17">
        <v>0</v>
      </c>
      <c r="Q249" s="17">
        <v>0</v>
      </c>
      <c r="R249" s="17">
        <v>4.7000000000000002E-3</v>
      </c>
      <c r="S249" s="17">
        <v>27</v>
      </c>
    </row>
    <row r="250" spans="1:19" ht="20.100000000000001" customHeight="1" x14ac:dyDescent="0.2">
      <c r="A250" s="167" t="str">
        <f>HYPERLINK("#A1", "▲ Back to top")</f>
        <v>▲ Back to top</v>
      </c>
      <c r="D250" s="15" t="s">
        <v>1076</v>
      </c>
      <c r="E250" s="17" t="s">
        <v>1159</v>
      </c>
      <c r="F250" s="17">
        <v>0.8</v>
      </c>
      <c r="G250" s="17">
        <v>0.1</v>
      </c>
      <c r="H250" s="17">
        <v>0.5</v>
      </c>
      <c r="I250" s="17">
        <v>0.01</v>
      </c>
      <c r="J250" s="17">
        <v>1.4999999999999999E-2</v>
      </c>
      <c r="K250" s="17">
        <v>0.02</v>
      </c>
      <c r="L250" s="17">
        <v>0.03</v>
      </c>
      <c r="M250" s="17">
        <v>0.04</v>
      </c>
      <c r="N250" s="17">
        <v>1.4999999999999999E-2</v>
      </c>
      <c r="O250" s="17">
        <v>1.4999999999999999E-2</v>
      </c>
      <c r="P250" s="17">
        <v>0</v>
      </c>
      <c r="Q250" s="17">
        <v>0</v>
      </c>
      <c r="R250" s="17">
        <v>4.7000000000000002E-3</v>
      </c>
      <c r="S250" s="17">
        <v>28</v>
      </c>
    </row>
    <row r="251" spans="1:19" ht="20.100000000000001" customHeight="1" x14ac:dyDescent="0.2">
      <c r="A251"/>
    </row>
    <row r="252" spans="1:19" ht="20.100000000000001" customHeight="1" x14ac:dyDescent="0.2">
      <c r="A252"/>
    </row>
    <row r="253" spans="1:19" ht="20.100000000000001" customHeight="1" x14ac:dyDescent="0.2">
      <c r="A253"/>
      <c r="D253" s="16" t="s">
        <v>1160</v>
      </c>
    </row>
    <row r="254" spans="1:19" ht="20.100000000000001" customHeight="1" x14ac:dyDescent="0.2">
      <c r="A254"/>
      <c r="D254" s="18" t="s">
        <v>1161</v>
      </c>
    </row>
    <row r="255" spans="1:19" ht="20.100000000000001" customHeight="1" x14ac:dyDescent="0.2">
      <c r="A255"/>
      <c r="D255" s="15" t="s">
        <v>78</v>
      </c>
    </row>
    <row r="256" spans="1:19" ht="20.100000000000001" customHeight="1" x14ac:dyDescent="0.2">
      <c r="A256"/>
      <c r="D256" s="20" t="s">
        <v>1137</v>
      </c>
    </row>
    <row r="257" spans="1:6" ht="20.100000000000001" customHeight="1" x14ac:dyDescent="0.2">
      <c r="A257"/>
      <c r="D257" s="17" t="s">
        <v>77</v>
      </c>
      <c r="E257" s="17" t="s">
        <v>78</v>
      </c>
    </row>
    <row r="258" spans="1:6" ht="20.100000000000001" customHeight="1" x14ac:dyDescent="0.2">
      <c r="A258"/>
      <c r="D258" s="17" t="s">
        <v>1042</v>
      </c>
      <c r="E258" s="17">
        <v>6.0000000000000001E-3</v>
      </c>
    </row>
    <row r="259" spans="1:6" ht="20.100000000000001" customHeight="1" x14ac:dyDescent="0.2">
      <c r="A259"/>
      <c r="D259" s="15" t="s">
        <v>1046</v>
      </c>
      <c r="E259" s="17">
        <v>5.0000000000000001E-3</v>
      </c>
    </row>
    <row r="260" spans="1:6" ht="20.100000000000001" customHeight="1" x14ac:dyDescent="0.2">
      <c r="A260"/>
    </row>
    <row r="261" spans="1:6" ht="20.100000000000001" customHeight="1" x14ac:dyDescent="0.2">
      <c r="A261"/>
    </row>
    <row r="262" spans="1:6" ht="20.100000000000001" customHeight="1" x14ac:dyDescent="0.2">
      <c r="A262"/>
    </row>
    <row r="263" spans="1:6" ht="20.100000000000001" customHeight="1" x14ac:dyDescent="0.2">
      <c r="A263"/>
      <c r="D263" s="16" t="s">
        <v>92</v>
      </c>
    </row>
    <row r="264" spans="1:6" ht="20.100000000000001" customHeight="1" x14ac:dyDescent="0.2">
      <c r="A264"/>
      <c r="D264" s="15" t="s">
        <v>93</v>
      </c>
    </row>
    <row r="265" spans="1:6" ht="20.100000000000001" customHeight="1" x14ac:dyDescent="0.2">
      <c r="A265"/>
      <c r="D265" s="17" t="s">
        <v>94</v>
      </c>
      <c r="E265" s="17" t="s">
        <v>95</v>
      </c>
      <c r="F265" s="17" t="s">
        <v>86</v>
      </c>
    </row>
    <row r="266" spans="1:6" ht="20.100000000000001" customHeight="1" x14ac:dyDescent="0.2">
      <c r="A266"/>
      <c r="D266" s="17" t="s">
        <v>96</v>
      </c>
      <c r="E266" s="17" t="s">
        <v>97</v>
      </c>
      <c r="F266" s="17">
        <v>5</v>
      </c>
    </row>
    <row r="267" spans="1:6" ht="20.100000000000001" customHeight="1" x14ac:dyDescent="0.2">
      <c r="A267"/>
      <c r="D267" s="17" t="s">
        <v>98</v>
      </c>
      <c r="E267" s="17" t="s">
        <v>88</v>
      </c>
      <c r="F267" s="17">
        <v>4</v>
      </c>
    </row>
    <row r="268" spans="1:6" ht="20.100000000000001" customHeight="1" x14ac:dyDescent="0.2">
      <c r="A268"/>
      <c r="D268" s="17" t="s">
        <v>99</v>
      </c>
      <c r="E268" s="17" t="s">
        <v>100</v>
      </c>
      <c r="F268" s="17">
        <v>3</v>
      </c>
    </row>
    <row r="269" spans="1:6" ht="20.100000000000001" customHeight="1" x14ac:dyDescent="0.2">
      <c r="A269"/>
      <c r="D269" s="17" t="s">
        <v>101</v>
      </c>
      <c r="E269" s="17" t="s">
        <v>102</v>
      </c>
      <c r="F269" s="17">
        <v>2</v>
      </c>
    </row>
    <row r="270" spans="1:6" ht="20.100000000000001" customHeight="1" x14ac:dyDescent="0.2">
      <c r="A270"/>
      <c r="D270" s="17" t="s">
        <v>103</v>
      </c>
      <c r="E270" s="17" t="s">
        <v>104</v>
      </c>
      <c r="F270" s="17">
        <v>1</v>
      </c>
    </row>
    <row r="271" spans="1:6" ht="20.100000000000001" customHeight="1" x14ac:dyDescent="0.2">
      <c r="A271"/>
    </row>
    <row r="272" spans="1:6" ht="20.100000000000001" customHeight="1" x14ac:dyDescent="0.2">
      <c r="A272"/>
    </row>
    <row r="273" spans="1:6" ht="20.100000000000001" customHeight="1" x14ac:dyDescent="0.2">
      <c r="A273"/>
      <c r="D273" s="15" t="s">
        <v>105</v>
      </c>
    </row>
    <row r="274" spans="1:6" ht="20.100000000000001" customHeight="1" x14ac:dyDescent="0.2">
      <c r="A274"/>
      <c r="D274" s="17" t="s">
        <v>94</v>
      </c>
      <c r="E274" s="17" t="s">
        <v>95</v>
      </c>
      <c r="F274" s="17" t="s">
        <v>86</v>
      </c>
    </row>
    <row r="275" spans="1:6" ht="20.100000000000001" customHeight="1" x14ac:dyDescent="0.2">
      <c r="A275"/>
      <c r="D275" s="17" t="s">
        <v>106</v>
      </c>
      <c r="E275" s="17" t="s">
        <v>89</v>
      </c>
      <c r="F275" s="17">
        <v>5</v>
      </c>
    </row>
    <row r="276" spans="1:6" ht="20.100000000000001" customHeight="1" x14ac:dyDescent="0.2">
      <c r="A276"/>
      <c r="D276" s="17" t="s">
        <v>107</v>
      </c>
      <c r="E276" s="17" t="s">
        <v>108</v>
      </c>
      <c r="F276" s="17">
        <v>4</v>
      </c>
    </row>
    <row r="277" spans="1:6" ht="20.100000000000001" customHeight="1" x14ac:dyDescent="0.2">
      <c r="A277"/>
      <c r="D277" s="17" t="s">
        <v>109</v>
      </c>
      <c r="E277" s="17" t="s">
        <v>110</v>
      </c>
      <c r="F277" s="17">
        <v>3</v>
      </c>
    </row>
    <row r="278" spans="1:6" ht="20.100000000000001" customHeight="1" x14ac:dyDescent="0.2">
      <c r="A278"/>
      <c r="D278" s="17" t="s">
        <v>111</v>
      </c>
      <c r="E278" s="17" t="s">
        <v>112</v>
      </c>
      <c r="F278" s="17">
        <v>2</v>
      </c>
    </row>
    <row r="279" spans="1:6" ht="20.100000000000001" customHeight="1" x14ac:dyDescent="0.2">
      <c r="A279"/>
      <c r="D279" s="17" t="s">
        <v>113</v>
      </c>
      <c r="E279" s="17" t="s">
        <v>114</v>
      </c>
      <c r="F279" s="17">
        <v>1</v>
      </c>
    </row>
    <row r="280" spans="1:6" ht="20.100000000000001" customHeight="1" x14ac:dyDescent="0.2">
      <c r="A280" s="167" t="str">
        <f>HYPERLINK("#A1", "▲ Back to top")</f>
        <v>▲ Back to top</v>
      </c>
    </row>
    <row r="281" spans="1:6" ht="20.100000000000001" customHeight="1" x14ac:dyDescent="0.2">
      <c r="A281"/>
    </row>
    <row r="282" spans="1:6" ht="20.100000000000001" customHeight="1" x14ac:dyDescent="0.2">
      <c r="A282"/>
      <c r="D282" s="15" t="s">
        <v>115</v>
      </c>
    </row>
    <row r="283" spans="1:6" ht="20.100000000000001" customHeight="1" x14ac:dyDescent="0.2">
      <c r="A283"/>
      <c r="D283" s="17" t="s">
        <v>94</v>
      </c>
      <c r="E283" s="17" t="s">
        <v>95</v>
      </c>
      <c r="F283" s="17" t="s">
        <v>86</v>
      </c>
    </row>
    <row r="284" spans="1:6" ht="20.100000000000001" customHeight="1" x14ac:dyDescent="0.2">
      <c r="A284"/>
      <c r="D284" s="17" t="s">
        <v>116</v>
      </c>
      <c r="E284" s="17" t="s">
        <v>117</v>
      </c>
      <c r="F284" s="17">
        <v>5</v>
      </c>
    </row>
    <row r="285" spans="1:6" ht="20.100000000000001" customHeight="1" x14ac:dyDescent="0.2">
      <c r="A285"/>
      <c r="D285" s="17" t="s">
        <v>118</v>
      </c>
      <c r="E285" s="17" t="s">
        <v>119</v>
      </c>
      <c r="F285" s="17">
        <v>4</v>
      </c>
    </row>
    <row r="286" spans="1:6" ht="20.100000000000001" customHeight="1" x14ac:dyDescent="0.2">
      <c r="A286"/>
      <c r="D286" s="17" t="s">
        <v>120</v>
      </c>
      <c r="E286" s="17" t="s">
        <v>90</v>
      </c>
      <c r="F286" s="17">
        <v>3</v>
      </c>
    </row>
    <row r="287" spans="1:6" ht="20.100000000000001" customHeight="1" x14ac:dyDescent="0.2">
      <c r="A287"/>
      <c r="D287" s="17" t="s">
        <v>121</v>
      </c>
      <c r="E287" s="17" t="s">
        <v>122</v>
      </c>
      <c r="F287" s="17">
        <v>2</v>
      </c>
    </row>
    <row r="288" spans="1:6" ht="20.100000000000001" customHeight="1" x14ac:dyDescent="0.2">
      <c r="A288"/>
      <c r="D288" s="17" t="s">
        <v>123</v>
      </c>
      <c r="E288" s="17" t="s">
        <v>124</v>
      </c>
      <c r="F288" s="17">
        <v>1</v>
      </c>
    </row>
    <row r="289" spans="1:6" ht="20.100000000000001" customHeight="1" x14ac:dyDescent="0.2">
      <c r="A289"/>
    </row>
    <row r="290" spans="1:6" ht="20.100000000000001" customHeight="1" x14ac:dyDescent="0.2">
      <c r="A290"/>
    </row>
    <row r="291" spans="1:6" ht="20.100000000000001" customHeight="1" x14ac:dyDescent="0.2">
      <c r="A291"/>
      <c r="D291" s="15" t="s">
        <v>125</v>
      </c>
    </row>
    <row r="292" spans="1:6" ht="20.100000000000001" customHeight="1" x14ac:dyDescent="0.2">
      <c r="A292"/>
      <c r="D292" s="17" t="s">
        <v>94</v>
      </c>
      <c r="E292" s="17" t="s">
        <v>95</v>
      </c>
      <c r="F292" s="17" t="s">
        <v>86</v>
      </c>
    </row>
    <row r="293" spans="1:6" ht="20.100000000000001" customHeight="1" x14ac:dyDescent="0.2">
      <c r="A293"/>
      <c r="D293" s="17" t="s">
        <v>126</v>
      </c>
      <c r="E293" s="17" t="s">
        <v>127</v>
      </c>
      <c r="F293" s="17">
        <v>5</v>
      </c>
    </row>
    <row r="294" spans="1:6" ht="20.100000000000001" customHeight="1" x14ac:dyDescent="0.2">
      <c r="A294"/>
      <c r="D294" s="17" t="s">
        <v>128</v>
      </c>
      <c r="E294" s="17" t="s">
        <v>129</v>
      </c>
      <c r="F294" s="17">
        <v>4</v>
      </c>
    </row>
    <row r="295" spans="1:6" ht="20.100000000000001" customHeight="1" x14ac:dyDescent="0.2">
      <c r="A295"/>
      <c r="D295" s="17" t="s">
        <v>130</v>
      </c>
      <c r="E295" s="17" t="s">
        <v>131</v>
      </c>
      <c r="F295" s="17">
        <v>3</v>
      </c>
    </row>
    <row r="296" spans="1:6" ht="20.100000000000001" customHeight="1" x14ac:dyDescent="0.2">
      <c r="A296"/>
      <c r="D296" s="17" t="s">
        <v>132</v>
      </c>
      <c r="E296" s="17" t="s">
        <v>133</v>
      </c>
      <c r="F296" s="17">
        <v>2</v>
      </c>
    </row>
    <row r="297" spans="1:6" ht="20.100000000000001" customHeight="1" x14ac:dyDescent="0.2">
      <c r="A297"/>
      <c r="D297" s="17" t="s">
        <v>134</v>
      </c>
      <c r="E297" s="17" t="s">
        <v>135</v>
      </c>
      <c r="F297" s="17">
        <v>1</v>
      </c>
    </row>
    <row r="298" spans="1:6" ht="20.100000000000001" customHeight="1" x14ac:dyDescent="0.2">
      <c r="A298"/>
    </row>
    <row r="299" spans="1:6" ht="20.100000000000001" customHeight="1" x14ac:dyDescent="0.2">
      <c r="A299"/>
    </row>
    <row r="300" spans="1:6" ht="20.100000000000001" customHeight="1" x14ac:dyDescent="0.2">
      <c r="A300"/>
    </row>
    <row r="301" spans="1:6" ht="20.100000000000001" customHeight="1" x14ac:dyDescent="0.2">
      <c r="A301"/>
    </row>
    <row r="302" spans="1:6" ht="20.100000000000001" customHeight="1" x14ac:dyDescent="0.2">
      <c r="A302"/>
    </row>
    <row r="303" spans="1:6" ht="20.100000000000001" customHeight="1" x14ac:dyDescent="0.2">
      <c r="A303"/>
    </row>
    <row r="304" spans="1:6" ht="20.100000000000001" customHeight="1" x14ac:dyDescent="0.2">
      <c r="A304"/>
    </row>
    <row r="305" spans="1:1" ht="20.100000000000001" customHeight="1" x14ac:dyDescent="0.2">
      <c r="A305"/>
    </row>
    <row r="306" spans="1:1" ht="20.100000000000001" customHeight="1" x14ac:dyDescent="0.2">
      <c r="A306"/>
    </row>
    <row r="307" spans="1:1" ht="20.100000000000001" customHeight="1" x14ac:dyDescent="0.2">
      <c r="A307"/>
    </row>
    <row r="308" spans="1:1" ht="20.100000000000001" customHeight="1" x14ac:dyDescent="0.2">
      <c r="A308"/>
    </row>
    <row r="309" spans="1:1" ht="20.100000000000001" customHeight="1" x14ac:dyDescent="0.2">
      <c r="A309"/>
    </row>
    <row r="310" spans="1:1" ht="20.100000000000001" customHeight="1" x14ac:dyDescent="0.2">
      <c r="A310"/>
    </row>
    <row r="311" spans="1:1" ht="20.100000000000001" customHeight="1" x14ac:dyDescent="0.2">
      <c r="A311"/>
    </row>
    <row r="312" spans="1:1" ht="20.100000000000001" customHeight="1" x14ac:dyDescent="0.2">
      <c r="A312"/>
    </row>
    <row r="313" spans="1:1" ht="20.100000000000001" customHeight="1" x14ac:dyDescent="0.2">
      <c r="A313"/>
    </row>
    <row r="314" spans="1:1" ht="20.100000000000001" customHeight="1" x14ac:dyDescent="0.2">
      <c r="A314"/>
    </row>
    <row r="315" spans="1:1" ht="20.100000000000001" customHeight="1" x14ac:dyDescent="0.2">
      <c r="A315"/>
    </row>
    <row r="316" spans="1:1" ht="20.100000000000001" customHeight="1" x14ac:dyDescent="0.2">
      <c r="A316"/>
    </row>
    <row r="317" spans="1:1" ht="20.100000000000001" customHeight="1" x14ac:dyDescent="0.2">
      <c r="A317"/>
    </row>
    <row r="318" spans="1:1" ht="20.100000000000001" customHeight="1" x14ac:dyDescent="0.2">
      <c r="A318"/>
    </row>
    <row r="319" spans="1:1" ht="20.100000000000001" customHeight="1" x14ac:dyDescent="0.2">
      <c r="A319"/>
    </row>
    <row r="320" spans="1:1" ht="20.100000000000001" customHeight="1" x14ac:dyDescent="0.2">
      <c r="A320"/>
    </row>
    <row r="321" spans="1:1" ht="20.100000000000001" customHeight="1" x14ac:dyDescent="0.2">
      <c r="A321"/>
    </row>
    <row r="322" spans="1:1" ht="20.100000000000001" customHeight="1" x14ac:dyDescent="0.2">
      <c r="A322"/>
    </row>
    <row r="323" spans="1:1" ht="20.100000000000001" customHeight="1" x14ac:dyDescent="0.2">
      <c r="A323"/>
    </row>
    <row r="324" spans="1:1" ht="20.100000000000001" customHeight="1" x14ac:dyDescent="0.2">
      <c r="A324"/>
    </row>
    <row r="325" spans="1:1" ht="20.100000000000001" customHeight="1" x14ac:dyDescent="0.2">
      <c r="A325"/>
    </row>
    <row r="326" spans="1:1" ht="20.100000000000001" customHeight="1" x14ac:dyDescent="0.2">
      <c r="A326"/>
    </row>
    <row r="327" spans="1:1" ht="20.100000000000001" customHeight="1" x14ac:dyDescent="0.2">
      <c r="A327"/>
    </row>
    <row r="328" spans="1:1" ht="20.100000000000001" customHeight="1" x14ac:dyDescent="0.2">
      <c r="A328"/>
    </row>
    <row r="329" spans="1:1" ht="20.100000000000001" customHeight="1" x14ac:dyDescent="0.2">
      <c r="A329"/>
    </row>
    <row r="330" spans="1:1" ht="20.100000000000001" customHeight="1" x14ac:dyDescent="0.2">
      <c r="A330"/>
    </row>
    <row r="331" spans="1:1" ht="20.100000000000001" customHeight="1" x14ac:dyDescent="0.2">
      <c r="A331"/>
    </row>
    <row r="332" spans="1:1" ht="20.100000000000001" customHeight="1" x14ac:dyDescent="0.2">
      <c r="A33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804A3-5BD0-4559-9AC5-D36102E5F3EE}">
  <sheetPr>
    <tabColor theme="5" tint="-0.249977111117893"/>
  </sheetPr>
  <dimension ref="A1:K29"/>
  <sheetViews>
    <sheetView showGridLines="0" zoomScaleNormal="100" workbookViewId="0">
      <pane xSplit="1" topLeftCell="B1" activePane="topRight" state="frozenSplit"/>
      <selection pane="topRight" activeCell="A28" sqref="A28"/>
    </sheetView>
  </sheetViews>
  <sheetFormatPr defaultRowHeight="20.100000000000001" customHeight="1" x14ac:dyDescent="0.2"/>
  <cols>
    <col min="1" max="1" width="36.7109375" customWidth="1"/>
    <col min="2" max="2" width="4.7109375" customWidth="1"/>
    <col min="3" max="3" width="4.7109375" style="15" customWidth="1"/>
    <col min="4" max="10" width="30.7109375" style="15" customWidth="1"/>
    <col min="11" max="11" width="4.7109375" style="15" customWidth="1"/>
  </cols>
  <sheetData>
    <row r="1" spans="1:11" s="23" customFormat="1" ht="30" customHeight="1" x14ac:dyDescent="0.35">
      <c r="A1" s="23" t="e" vm="1">
        <v>#VALUE!</v>
      </c>
      <c r="C1" s="23" t="s">
        <v>136</v>
      </c>
    </row>
    <row r="2" spans="1:11" s="9" customFormat="1" ht="20.100000000000001" customHeight="1" x14ac:dyDescent="0.2">
      <c r="A2"/>
    </row>
    <row r="3" spans="1:11" ht="20.100000000000001" customHeight="1" x14ac:dyDescent="0.2">
      <c r="A3" s="29" t="str">
        <f>HYPERLINK("#'Home'!A1", "Home")</f>
        <v>Home</v>
      </c>
      <c r="C3" s="24"/>
      <c r="D3" s="24"/>
      <c r="E3" s="24"/>
      <c r="F3" s="24"/>
      <c r="G3" s="24"/>
      <c r="H3" s="24"/>
      <c r="I3" s="24"/>
      <c r="J3" s="24"/>
      <c r="K3" s="24"/>
    </row>
    <row r="5" spans="1:11" ht="20.100000000000001" customHeight="1" x14ac:dyDescent="0.2">
      <c r="D5" s="15" t="s">
        <v>137</v>
      </c>
      <c r="E5" s="27" t="s">
        <v>138</v>
      </c>
      <c r="F5" s="32" t="s">
        <v>139</v>
      </c>
    </row>
    <row r="6" spans="1:11" ht="20.100000000000001" customHeight="1" x14ac:dyDescent="0.2">
      <c r="A6" s="40" t="s">
        <v>148</v>
      </c>
      <c r="D6" s="15" t="s">
        <v>140</v>
      </c>
      <c r="E6" s="27" t="s">
        <v>141</v>
      </c>
      <c r="F6" s="32" t="s">
        <v>139</v>
      </c>
    </row>
    <row r="7" spans="1:11" ht="20.100000000000001" customHeight="1" x14ac:dyDescent="0.2">
      <c r="A7" s="29" t="str">
        <f>HYPERLINK("#'Input - Planting'!A1", "Planting")</f>
        <v>Planting</v>
      </c>
      <c r="D7" s="15" t="s">
        <v>56</v>
      </c>
      <c r="E7" s="27" t="s">
        <v>142</v>
      </c>
      <c r="F7" s="32" t="s">
        <v>139</v>
      </c>
    </row>
    <row r="8" spans="1:11" ht="20.100000000000001" customHeight="1" x14ac:dyDescent="0.2">
      <c r="A8" s="29" t="str">
        <f>HYPERLINK("#'Input - Fertiliser'!A1", "Fertiliser")</f>
        <v>Fertiliser</v>
      </c>
      <c r="D8" s="15" t="s">
        <v>143</v>
      </c>
      <c r="E8" s="33">
        <v>100</v>
      </c>
      <c r="F8" s="32" t="s">
        <v>144</v>
      </c>
    </row>
    <row r="9" spans="1:11" ht="20.100000000000001" customHeight="1" x14ac:dyDescent="0.2">
      <c r="A9" s="29" t="str">
        <f>HYPERLINK("#'Input - Fuel'!A1", "Fuel")</f>
        <v>Fuel</v>
      </c>
    </row>
    <row r="10" spans="1:11" ht="20.100000000000001" customHeight="1" x14ac:dyDescent="0.2">
      <c r="A10" s="44" t="str">
        <f>HYPERLINK("#'Input - Fert Prod System'!A1", "Fert Prod System")</f>
        <v>Fert Prod System</v>
      </c>
    </row>
    <row r="11" spans="1:11" ht="20.100000000000001" customHeight="1" x14ac:dyDescent="0.2">
      <c r="A11" s="29" t="str">
        <f>HYPERLINK("#'Input - Site'!A1", "Site")</f>
        <v>Site</v>
      </c>
    </row>
    <row r="12" spans="1:11" ht="20.100000000000001" customHeight="1" x14ac:dyDescent="0.2">
      <c r="A12" s="29" t="str">
        <f>HYPERLINK("#'Input - Data quality'!A1", "Data quality")</f>
        <v>Data quality</v>
      </c>
    </row>
    <row r="15" spans="1:11" ht="20.100000000000001" customHeight="1" x14ac:dyDescent="0.2">
      <c r="A15" s="53" t="s">
        <v>175</v>
      </c>
    </row>
    <row r="16" spans="1:11" ht="20.100000000000001" customHeight="1" x14ac:dyDescent="0.2">
      <c r="A16" s="29" t="str">
        <f>HYPERLINK("#'5.1.1.1-2 Inorganic fert N2O'!A1", "5.1.1.1-2 Inorganic fert N2O")</f>
        <v>5.1.1.1-2 Inorganic fert N2O</v>
      </c>
    </row>
    <row r="17" spans="1:1" ht="20.100000000000001" customHeight="1" x14ac:dyDescent="0.2">
      <c r="A17" s="29" t="str">
        <f>HYPERLINK("#'5.1.1.3-4 Inorganic fert CO2'!A1", "5.1.1.3-4 Inorganic fert CO2")</f>
        <v>5.1.1.3-4 Inorganic fert CO2</v>
      </c>
    </row>
    <row r="18" spans="1:1" ht="20.100000000000001" customHeight="1" x14ac:dyDescent="0.2">
      <c r="A18" s="29" t="str">
        <f>HYPERLINK("#'5.2.1.1-2 Organic Fert N2O'!A1", "5.2.1.1-2 Organic fert N2O")</f>
        <v>5.2.1.1-2 Organic fert N2O</v>
      </c>
    </row>
    <row r="19" spans="1:1" ht="20.100000000000001" customHeight="1" x14ac:dyDescent="0.2">
      <c r="A19" s="29" t="str">
        <f>HYPERLINK("#'5.3.1.1-2 Lime CO2'!A1", "5.3.1.1-2 Lime CO2")</f>
        <v>5.3.1.1-2 Lime CO2</v>
      </c>
    </row>
    <row r="20" spans="1:1" ht="20.100000000000001" customHeight="1" x14ac:dyDescent="0.2">
      <c r="A20" s="29" t="str">
        <f>HYPERLINK("#'5.4.1.1-4 Atmos deposition'!A1", "5.4.1.1-4 Atmos. deposition")</f>
        <v>5.4.1.1-4 Atmos. deposition</v>
      </c>
    </row>
    <row r="21" spans="1:1" ht="20.100000000000001" customHeight="1" x14ac:dyDescent="0.2">
      <c r="A21" s="29" t="str">
        <f>HYPERLINK("#'5.5.1.1-2 Leaching and runoff'!A1", "5.5.1.1-2 Leaching &amp; runoff")</f>
        <v>5.5.1.1-2 Leaching &amp; runoff</v>
      </c>
    </row>
    <row r="22" spans="1:1" ht="20.100000000000001" customHeight="1" x14ac:dyDescent="0.2">
      <c r="A22" s="29" t="str">
        <f>HYPERLINK("#'8.1.1.1-2 Transport fuel'!A1", "8.1.1.1-2 Transport fuel")</f>
        <v>8.1.1.1-2 Transport fuel</v>
      </c>
    </row>
    <row r="23" spans="1:1" ht="20.100000000000001" customHeight="1" x14ac:dyDescent="0.2">
      <c r="A23" s="29" t="str">
        <f>HYPERLINK("#'8.2.1.1-2 Stationary fuel'!A1", "8.2.1.1-2 Stationary fuel")</f>
        <v>8.2.1.1-2 Stationary fuel</v>
      </c>
    </row>
    <row r="26" spans="1:1" ht="20.100000000000001" customHeight="1" x14ac:dyDescent="0.2">
      <c r="A26" s="30" t="s">
        <v>91</v>
      </c>
    </row>
    <row r="27" spans="1:1" ht="20.100000000000001" customHeight="1" x14ac:dyDescent="0.2">
      <c r="A27" s="29" t="str">
        <f>HYPERLINK("#'Constants - Fertiliser'!A1", "Constants - Fertiliser")</f>
        <v>Constants - Fertiliser</v>
      </c>
    </row>
    <row r="28" spans="1:1" ht="20.100000000000001" customHeight="1" x14ac:dyDescent="0.2">
      <c r="A28" s="29" t="str">
        <f>HYPERLINK("#'Constants - Fuel'!A1", "Constants - Fuel")</f>
        <v>Constants - Fuel</v>
      </c>
    </row>
    <row r="29" spans="1:1" ht="20.100000000000001" customHeight="1" x14ac:dyDescent="0.2">
      <c r="A29" s="29" t="str">
        <f>HYPERLINK("#'Constants - Common'!A1", "Constants - Common")</f>
        <v>Constants - Common</v>
      </c>
    </row>
  </sheetData>
  <dataValidations count="3">
    <dataValidation type="list" allowBlank="1" showInputMessage="1" showErrorMessage="1" sqref="E5" xr:uid="{89939A6E-48CB-4C52-96AA-64728B692082}">
      <formula1>INDIRECT("Table_SourceData_Fertiliser_CropProdSystems[Production system]")</formula1>
    </dataValidation>
    <dataValidation type="list" allowBlank="1" showInputMessage="1" showErrorMessage="1" sqref="E7" xr:uid="{606BB0B1-4CDA-42F0-B415-4C6C18875039}">
      <formula1>INDIRECT("Table_SourceData_Fertiliser_IrrigationMethods[Irrigation method]")</formula1>
    </dataValidation>
    <dataValidation type="list" allowBlank="1" showInputMessage="1" showErrorMessage="1" sqref="E6" xr:uid="{51847C27-EAFD-4B4A-8495-C63BED9F7F40}">
      <formula1>INDIRECT("Table_SourceData_Fertiliser_CropTypes[Production system]")</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6364B-AA0B-46BE-88F5-41AF7C9A0381}">
  <sheetPr>
    <tabColor theme="5" tint="-0.249977111117893"/>
    <pageSetUpPr autoPageBreaks="0"/>
  </sheetPr>
  <dimension ref="A1:AA195"/>
  <sheetViews>
    <sheetView showGridLines="0" zoomScaleNormal="100" workbookViewId="0">
      <pane xSplit="1" topLeftCell="B1" activePane="topRight" state="frozenSplit"/>
      <selection pane="topRight" activeCell="A28" sqref="A28"/>
    </sheetView>
  </sheetViews>
  <sheetFormatPr defaultColWidth="9.140625" defaultRowHeight="20.100000000000001" customHeight="1" x14ac:dyDescent="0.2"/>
  <cols>
    <col min="1" max="1" width="36.7109375" style="207" customWidth="1"/>
    <col min="2" max="2" width="4.7109375" style="11" customWidth="1"/>
    <col min="3" max="3" width="4.7109375" style="14" customWidth="1"/>
    <col min="4" max="4" width="60.7109375" style="14" customWidth="1"/>
    <col min="5" max="5" width="50.7109375" style="14" customWidth="1"/>
    <col min="6" max="11" width="28.7109375" style="14" customWidth="1"/>
    <col min="12" max="25" width="28.7109375" style="11" customWidth="1"/>
    <col min="26" max="27" width="9.140625" style="11"/>
    <col min="28" max="16384" width="9.140625" style="14"/>
  </cols>
  <sheetData>
    <row r="1" spans="1:24" s="11" customFormat="1" ht="30" customHeight="1" x14ac:dyDescent="0.35">
      <c r="A1" s="23" t="e" vm="1">
        <v>#VALUE!</v>
      </c>
      <c r="C1" s="168" t="s">
        <v>448</v>
      </c>
    </row>
    <row r="2" spans="1:24" s="11" customFormat="1" ht="20.100000000000001" customHeight="1" x14ac:dyDescent="0.2">
      <c r="A2"/>
      <c r="C2" s="9"/>
      <c r="D2" s="9"/>
      <c r="E2" s="9"/>
      <c r="F2" s="9"/>
      <c r="G2" s="9"/>
      <c r="H2" s="9"/>
      <c r="I2" s="9"/>
      <c r="J2" s="9"/>
    </row>
    <row r="3" spans="1:24" ht="20.100000000000001" customHeight="1" x14ac:dyDescent="0.2">
      <c r="A3" s="29" t="str">
        <f>HYPERLINK("#'Home'!A1", "Home")</f>
        <v>Home</v>
      </c>
      <c r="C3" s="24"/>
      <c r="D3" s="24"/>
      <c r="E3" s="24"/>
      <c r="F3" s="24"/>
      <c r="G3" s="24"/>
      <c r="H3" s="24"/>
      <c r="I3" s="24"/>
      <c r="J3" s="24"/>
      <c r="K3" s="24"/>
      <c r="M3" s="13"/>
      <c r="N3" s="13"/>
      <c r="O3" s="13"/>
      <c r="P3" s="13"/>
      <c r="Q3" s="13"/>
      <c r="R3" s="13"/>
      <c r="S3" s="13"/>
      <c r="T3" s="13"/>
      <c r="U3" s="13"/>
      <c r="V3" s="13"/>
      <c r="W3" s="13"/>
      <c r="X3" s="13"/>
    </row>
    <row r="4" spans="1:24" ht="20.100000000000001" customHeight="1" x14ac:dyDescent="0.2">
      <c r="A4"/>
      <c r="C4" s="169"/>
      <c r="D4" s="169"/>
      <c r="E4" s="169"/>
      <c r="F4" s="169"/>
      <c r="G4" s="169"/>
      <c r="H4" s="169"/>
      <c r="I4" s="169"/>
      <c r="J4" s="169"/>
      <c r="K4" s="169"/>
    </row>
    <row r="5" spans="1:24" ht="20.100000000000001" customHeight="1" x14ac:dyDescent="0.2">
      <c r="A5"/>
      <c r="D5" s="16" t="s">
        <v>449</v>
      </c>
      <c r="N5" s="170"/>
    </row>
    <row r="6" spans="1:24" ht="20.100000000000001" customHeight="1" x14ac:dyDescent="0.2">
      <c r="A6" s="40" t="s">
        <v>148</v>
      </c>
      <c r="D6" s="171"/>
      <c r="N6" s="172"/>
    </row>
    <row r="7" spans="1:24" ht="20.100000000000001" customHeight="1" x14ac:dyDescent="0.2">
      <c r="A7" s="29" t="str">
        <f>HYPERLINK("#'Input - Planting'!A1", "Planting")</f>
        <v>Planting</v>
      </c>
      <c r="D7" s="15" t="s">
        <v>450</v>
      </c>
      <c r="E7" s="64" t="s">
        <v>451</v>
      </c>
      <c r="F7" s="32"/>
    </row>
    <row r="8" spans="1:24" ht="20.100000000000001" customHeight="1" x14ac:dyDescent="0.2">
      <c r="A8" s="29" t="str">
        <f>HYPERLINK("#'Input - Fertiliser'!A1", "Fertiliser")</f>
        <v>Fertiliser</v>
      </c>
      <c r="D8" s="5" t="s">
        <v>452</v>
      </c>
      <c r="E8" s="64" t="s">
        <v>453</v>
      </c>
    </row>
    <row r="9" spans="1:24" ht="20.100000000000001" customHeight="1" x14ac:dyDescent="0.2">
      <c r="A9" s="29" t="str">
        <f>HYPERLINK("#'Input - Fuel'!A1", "Fuel")</f>
        <v>Fuel</v>
      </c>
      <c r="N9" s="173"/>
    </row>
    <row r="10" spans="1:24" ht="20.100000000000001" customHeight="1" x14ac:dyDescent="0.2">
      <c r="A10" s="29" t="str">
        <f>HYPERLINK("#'Input - Fert Prod System'!A1", "Fert Prod System")</f>
        <v>Fert Prod System</v>
      </c>
      <c r="D10" s="174" t="s">
        <v>454</v>
      </c>
      <c r="E10" s="175"/>
      <c r="F10" s="176"/>
      <c r="G10" s="177"/>
      <c r="N10" s="173"/>
    </row>
    <row r="11" spans="1:24" ht="20.100000000000001" customHeight="1" x14ac:dyDescent="0.2">
      <c r="A11" s="44" t="str">
        <f>HYPERLINK("#'Input - Site'!A1", "Site")</f>
        <v>Site</v>
      </c>
      <c r="N11" s="178"/>
    </row>
    <row r="12" spans="1:24" ht="20.100000000000001" customHeight="1" x14ac:dyDescent="0.2">
      <c r="A12" s="29" t="str">
        <f>HYPERLINK("#'Input - Data quality'!A1", "Data quality")</f>
        <v>Data quality</v>
      </c>
      <c r="D12" s="5" t="s">
        <v>7</v>
      </c>
      <c r="E12" s="6">
        <v>45292</v>
      </c>
      <c r="F12" s="32" t="s">
        <v>455</v>
      </c>
    </row>
    <row r="13" spans="1:24" ht="20.100000000000001" customHeight="1" x14ac:dyDescent="0.2">
      <c r="A13"/>
      <c r="D13" s="5" t="s">
        <v>8</v>
      </c>
      <c r="E13" s="7">
        <f>DATE(YEAR(X_Cell_Site_StartDate)+1,MONTH(X_Cell_Site_StartDate),DAY(X_Cell_Site_StartDate))-1</f>
        <v>45657</v>
      </c>
      <c r="F13" s="32" t="s">
        <v>456</v>
      </c>
      <c r="N13" s="179"/>
      <c r="O13" s="179"/>
    </row>
    <row r="14" spans="1:24" ht="20.100000000000001" customHeight="1" x14ac:dyDescent="0.2">
      <c r="A14"/>
      <c r="N14" s="179"/>
      <c r="O14" s="179"/>
    </row>
    <row r="15" spans="1:24" ht="20.100000000000001" customHeight="1" x14ac:dyDescent="0.2">
      <c r="A15" s="53" t="s">
        <v>175</v>
      </c>
      <c r="N15" s="179"/>
      <c r="O15" s="179"/>
    </row>
    <row r="16" spans="1:24" ht="20.100000000000001" customHeight="1" x14ac:dyDescent="0.2">
      <c r="A16" s="29" t="str">
        <f>HYPERLINK("#'5.1.1.1-2 Inorganic fert N2O'!A1", "5.1.1.1-2 Inorganic fert N2O")</f>
        <v>5.1.1.1-2 Inorganic fert N2O</v>
      </c>
      <c r="D16" s="16" t="s">
        <v>457</v>
      </c>
      <c r="N16" s="179"/>
      <c r="O16" s="179"/>
    </row>
    <row r="17" spans="1:25" ht="20.100000000000001" customHeight="1" x14ac:dyDescent="0.2">
      <c r="A17" s="29" t="str">
        <f>HYPERLINK("#'5.1.1.3-4 Inorganic fert CO2'!A1", "5.1.1.3-4 Inorganic fert CO2")</f>
        <v>5.1.1.3-4 Inorganic fert CO2</v>
      </c>
    </row>
    <row r="18" spans="1:25" ht="20.100000000000001" customHeight="1" x14ac:dyDescent="0.2">
      <c r="A18" s="29" t="str">
        <f>HYPERLINK("#'5.2.1.1-2 Organic Fert N2O'!A1", "5.2.1.1-2 Organic fert N2O")</f>
        <v>5.2.1.1-2 Organic fert N2O</v>
      </c>
      <c r="D18" s="180" t="s">
        <v>458</v>
      </c>
      <c r="E18" s="36"/>
      <c r="F18" s="36"/>
      <c r="G18" s="37"/>
    </row>
    <row r="19" spans="1:25" ht="20.100000000000001" customHeight="1" x14ac:dyDescent="0.2">
      <c r="A19" s="29" t="str">
        <f>HYPERLINK("#'5.3.1.1-2 Lime CO2'!A1", "5.3.1.1-2 Lime CO2")</f>
        <v>5.3.1.1-2 Lime CO2</v>
      </c>
      <c r="D19" s="41" t="s">
        <v>459</v>
      </c>
      <c r="E19" s="42"/>
      <c r="F19" s="42"/>
      <c r="G19" s="43"/>
      <c r="N19" s="170"/>
    </row>
    <row r="20" spans="1:25" ht="20.100000000000001" customHeight="1" x14ac:dyDescent="0.2">
      <c r="A20" s="29" t="str">
        <f>HYPERLINK("#'5.4.1.1-4 Atmos deposition'!A1", "5.4.1.1-4 Atmos. deposition")</f>
        <v>5.4.1.1-4 Atmos. deposition</v>
      </c>
      <c r="D20" s="15"/>
      <c r="E20" s="181"/>
      <c r="F20" s="32"/>
      <c r="N20" s="172"/>
    </row>
    <row r="21" spans="1:25" ht="20.100000000000001" customHeight="1" x14ac:dyDescent="0.2">
      <c r="A21" s="29" t="str">
        <f>HYPERLINK("#'5.5.1.1-2 Leaching and runoff'!A1", "5.5.1.1-2 Leaching &amp; runoff")</f>
        <v>5.5.1.1-2 Leaching &amp; runoff</v>
      </c>
      <c r="D21" s="15" t="s">
        <v>460</v>
      </c>
      <c r="E21" s="27" t="s">
        <v>461</v>
      </c>
      <c r="F21" s="32" t="s">
        <v>139</v>
      </c>
    </row>
    <row r="22" spans="1:25" ht="20.100000000000001" customHeight="1" x14ac:dyDescent="0.2">
      <c r="A22" s="29" t="str">
        <f>HYPERLINK("#'8.1.1.1-2 Transport fuel'!A1", "8.1.1.1-2 Transport fuel")</f>
        <v>8.1.1.1-2 Transport fuel</v>
      </c>
      <c r="D22" s="15" t="s">
        <v>462</v>
      </c>
      <c r="E22" s="27" t="s">
        <v>463</v>
      </c>
      <c r="F22" s="32" t="s">
        <v>139</v>
      </c>
      <c r="G22" s="15"/>
    </row>
    <row r="23" spans="1:25" ht="20.100000000000001" customHeight="1" x14ac:dyDescent="0.2">
      <c r="A23" s="29" t="str">
        <f>HYPERLINK("#'8.2.1.1-2 Stationary fuel'!A1", "8.2.1.1-2 Stationary fuel")</f>
        <v>8.2.1.1-2 Stationary fuel</v>
      </c>
      <c r="D23" s="15" t="s">
        <v>464</v>
      </c>
      <c r="E23" s="27" t="s">
        <v>465</v>
      </c>
      <c r="F23" s="32" t="s">
        <v>139</v>
      </c>
    </row>
    <row r="24" spans="1:25" ht="20.100000000000001" customHeight="1" x14ac:dyDescent="0.2">
      <c r="A24"/>
      <c r="D24" s="15" t="s">
        <v>29</v>
      </c>
      <c r="E24" s="64">
        <v>307.7</v>
      </c>
      <c r="F24" s="32" t="s">
        <v>466</v>
      </c>
    </row>
    <row r="25" spans="1:25" ht="20.100000000000001" customHeight="1" x14ac:dyDescent="0.2">
      <c r="A25"/>
      <c r="D25" s="15" t="s">
        <v>467</v>
      </c>
      <c r="E25" s="64">
        <v>18</v>
      </c>
      <c r="F25" s="32" t="s">
        <v>468</v>
      </c>
      <c r="N25" s="172"/>
    </row>
    <row r="26" spans="1:25" ht="20.100000000000001" customHeight="1" x14ac:dyDescent="0.2">
      <c r="A26" s="30" t="s">
        <v>91</v>
      </c>
      <c r="D26" s="15" t="s">
        <v>469</v>
      </c>
      <c r="E26" s="64">
        <v>599</v>
      </c>
      <c r="F26" s="32" t="s">
        <v>470</v>
      </c>
    </row>
    <row r="27" spans="1:25" ht="20.100000000000001" customHeight="1" x14ac:dyDescent="0.2">
      <c r="A27" s="29" t="str">
        <f>HYPERLINK("#'Constants - Fertiliser'!A1", "Constants - Fertiliser")</f>
        <v>Constants - Fertiliser</v>
      </c>
      <c r="D27" s="5" t="s">
        <v>471</v>
      </c>
      <c r="E27" s="64">
        <v>1326</v>
      </c>
      <c r="F27" s="32" t="s">
        <v>470</v>
      </c>
    </row>
    <row r="28" spans="1:25" ht="20.100000000000001" customHeight="1" x14ac:dyDescent="0.2">
      <c r="A28" s="29" t="str">
        <f>HYPERLINK("#'Constants - Fuel'!A1", "Constants - Fuel")</f>
        <v>Constants - Fuel</v>
      </c>
      <c r="D28" s="15" t="s">
        <v>472</v>
      </c>
      <c r="E28" s="64">
        <v>7</v>
      </c>
      <c r="F28" s="32" t="s">
        <v>473</v>
      </c>
    </row>
    <row r="29" spans="1:25" ht="20.100000000000001" customHeight="1" x14ac:dyDescent="0.2">
      <c r="A29" s="29" t="str">
        <f>HYPERLINK("#'Constants - Common'!A1", "Constants - Common")</f>
        <v>Constants - Common</v>
      </c>
      <c r="D29" s="5" t="s">
        <v>474</v>
      </c>
      <c r="E29" s="28">
        <f>X_Cell_Site_TotalRainfall/X_Cell_Site_PotentialEvapotranspiration</f>
        <v>0.45173453996983409</v>
      </c>
      <c r="F29" s="32"/>
    </row>
    <row r="30" spans="1:25" ht="20.100000000000001" customHeight="1" x14ac:dyDescent="0.2">
      <c r="A30"/>
      <c r="D30" s="5" t="s">
        <v>57</v>
      </c>
      <c r="E30" s="28" t="str">
        <f>Common_InputFunctions.Utility_LookupItemFromMinMax(X_Cell_Site_TotalRainfall,Table_SourceData_RainfallZones[Min rainfall],Table_SourceData_RainfallZones[Max rainfall],Table_SourceData_RainfallZones[Rainfall Zone])</f>
        <v>Low rainfall</v>
      </c>
      <c r="G30" s="182"/>
      <c r="L30" s="183"/>
      <c r="M30" s="183"/>
      <c r="N30" s="183"/>
      <c r="O30" s="183"/>
      <c r="P30" s="183"/>
      <c r="Q30" s="183"/>
      <c r="R30" s="183"/>
      <c r="S30" s="183"/>
      <c r="T30" s="183"/>
      <c r="U30" s="183"/>
      <c r="V30" s="183"/>
      <c r="W30" s="183"/>
      <c r="X30" s="183"/>
      <c r="Y30" s="183"/>
    </row>
    <row r="31" spans="1:25" ht="20.100000000000001" customHeight="1" x14ac:dyDescent="0.2">
      <c r="A31"/>
      <c r="D31" s="15" t="s">
        <v>24</v>
      </c>
      <c r="E31" s="28"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5"/>
      <c r="G31" s="181"/>
      <c r="L31" s="184"/>
      <c r="M31" s="184"/>
      <c r="N31" s="184"/>
      <c r="O31" s="184"/>
      <c r="P31" s="184"/>
      <c r="Q31" s="184"/>
      <c r="R31" s="184"/>
      <c r="S31" s="184"/>
      <c r="T31" s="184"/>
      <c r="U31" s="184"/>
      <c r="V31" s="184"/>
      <c r="W31" s="184"/>
      <c r="X31" s="184"/>
      <c r="Y31" s="184"/>
    </row>
    <row r="32" spans="1:25" ht="20.100000000000001" customHeight="1" x14ac:dyDescent="0.2">
      <c r="A32"/>
      <c r="D32" s="15" t="s">
        <v>475</v>
      </c>
      <c r="E32" s="28" t="str">
        <f>Common_InputFunctions.Utility_LookupValueInTable(X_Cell_Site_ClimateZone,Table_SourceData_WetDryZones[Climate zone],Table_SourceData_WetDryZones[Wet or Dry Zone])</f>
        <v>Dry climate zone</v>
      </c>
      <c r="F32" s="15"/>
      <c r="G32" s="181"/>
      <c r="L32" s="184"/>
      <c r="M32" s="184"/>
      <c r="N32" s="184"/>
      <c r="O32" s="184"/>
      <c r="P32" s="184"/>
      <c r="Q32" s="184"/>
      <c r="R32" s="184"/>
      <c r="S32" s="184"/>
      <c r="T32" s="184"/>
      <c r="U32" s="184"/>
      <c r="V32" s="184"/>
      <c r="W32" s="184"/>
      <c r="X32" s="184"/>
      <c r="Y32" s="184"/>
    </row>
    <row r="33" spans="1:25" ht="20.100000000000001" customHeight="1" x14ac:dyDescent="0.2">
      <c r="A33"/>
      <c r="D33" s="15" t="s">
        <v>61</v>
      </c>
      <c r="E33" s="28" t="str">
        <f>Common_InputFunctions.Utility_LookupItemFromMinMax(X_Cell_Site_AverageTemperature,Table_SourceData_TemperatureZones[Min MAT],Table_SourceData_TemperatureZones[Max MAT],Table_SourceData_TemperatureZones[Temperature Zone])</f>
        <v>Temperate</v>
      </c>
      <c r="G33" s="185"/>
      <c r="L33" s="184"/>
      <c r="M33" s="184"/>
      <c r="N33" s="184"/>
      <c r="O33" s="184"/>
      <c r="P33" s="184"/>
      <c r="Q33" s="184"/>
      <c r="R33" s="184"/>
      <c r="S33" s="184"/>
      <c r="T33" s="184"/>
      <c r="U33" s="184"/>
      <c r="V33" s="184"/>
      <c r="W33" s="184"/>
      <c r="X33" s="184"/>
      <c r="Y33" s="184"/>
    </row>
    <row r="34" spans="1:25" ht="20.100000000000001" customHeight="1" x14ac:dyDescent="0.2">
      <c r="A34"/>
      <c r="J34" s="186"/>
      <c r="K34" s="187"/>
      <c r="L34" s="184"/>
      <c r="M34" s="184"/>
      <c r="N34" s="184"/>
      <c r="O34" s="184"/>
      <c r="P34" s="184"/>
      <c r="Q34" s="184"/>
      <c r="R34" s="184"/>
      <c r="S34" s="184"/>
      <c r="T34" s="184"/>
      <c r="U34" s="184"/>
      <c r="V34" s="184"/>
      <c r="W34" s="184"/>
      <c r="X34" s="184"/>
      <c r="Y34" s="184"/>
    </row>
    <row r="35" spans="1:25" ht="20.100000000000001" customHeight="1" x14ac:dyDescent="0.2">
      <c r="A35"/>
      <c r="J35" s="186"/>
      <c r="K35" s="187"/>
      <c r="L35" s="184"/>
      <c r="M35" s="184"/>
      <c r="N35" s="184"/>
      <c r="O35" s="184"/>
      <c r="P35" s="184"/>
      <c r="Q35" s="184"/>
      <c r="R35" s="184"/>
      <c r="S35" s="184"/>
      <c r="T35" s="184"/>
      <c r="U35" s="184"/>
      <c r="V35" s="184"/>
      <c r="W35" s="184"/>
      <c r="X35" s="184"/>
      <c r="Y35" s="184"/>
    </row>
    <row r="36" spans="1:25" ht="20.100000000000001" customHeight="1" x14ac:dyDescent="0.2">
      <c r="A36"/>
      <c r="D36" s="188"/>
      <c r="E36" s="188"/>
      <c r="F36" s="189"/>
      <c r="G36" s="186"/>
      <c r="H36" s="186"/>
      <c r="I36" s="190"/>
      <c r="J36" s="186"/>
      <c r="K36" s="187"/>
      <c r="L36" s="184"/>
      <c r="M36" s="184"/>
      <c r="N36" s="184"/>
      <c r="O36" s="184"/>
      <c r="P36" s="184"/>
      <c r="Q36" s="184"/>
      <c r="R36" s="184"/>
      <c r="S36" s="184"/>
      <c r="T36" s="184"/>
      <c r="U36" s="184"/>
      <c r="V36" s="184"/>
      <c r="W36" s="184"/>
      <c r="X36" s="184"/>
      <c r="Y36" s="184"/>
    </row>
    <row r="37" spans="1:25" ht="20.100000000000001" customHeight="1" x14ac:dyDescent="0.2">
      <c r="A37"/>
      <c r="D37" s="188"/>
      <c r="E37" s="188"/>
      <c r="F37" s="189"/>
      <c r="G37" s="186"/>
      <c r="H37" s="186"/>
      <c r="I37" s="190"/>
      <c r="J37" s="186"/>
      <c r="K37" s="187"/>
      <c r="L37" s="184"/>
      <c r="M37" s="184"/>
      <c r="N37" s="184"/>
      <c r="O37" s="184"/>
      <c r="P37" s="184"/>
      <c r="Q37" s="184"/>
      <c r="R37" s="184"/>
      <c r="S37" s="184"/>
      <c r="T37" s="184"/>
      <c r="U37" s="184"/>
      <c r="V37" s="184"/>
      <c r="W37" s="184"/>
      <c r="X37" s="184"/>
      <c r="Y37" s="184"/>
    </row>
    <row r="38" spans="1:25" ht="20.100000000000001" customHeight="1" x14ac:dyDescent="0.2">
      <c r="A38"/>
      <c r="D38" s="188"/>
      <c r="E38" s="188"/>
      <c r="F38" s="189"/>
      <c r="G38" s="186"/>
      <c r="H38" s="186"/>
      <c r="I38" s="190"/>
      <c r="J38" s="186"/>
      <c r="K38" s="187"/>
      <c r="L38" s="184"/>
      <c r="M38" s="184"/>
      <c r="N38" s="184"/>
      <c r="O38" s="184"/>
      <c r="P38" s="184"/>
      <c r="Q38" s="184"/>
      <c r="R38" s="184"/>
      <c r="S38" s="184"/>
      <c r="T38" s="184"/>
      <c r="U38" s="184"/>
      <c r="V38" s="184"/>
      <c r="W38" s="184"/>
      <c r="X38" s="184"/>
      <c r="Y38" s="184"/>
    </row>
    <row r="39" spans="1:25" ht="20.100000000000001" customHeight="1" x14ac:dyDescent="0.2">
      <c r="A39"/>
      <c r="D39" s="188"/>
      <c r="E39" s="188"/>
      <c r="F39" s="189"/>
      <c r="G39" s="186"/>
      <c r="H39" s="186"/>
      <c r="I39" s="190"/>
      <c r="J39" s="186"/>
      <c r="K39" s="187"/>
      <c r="L39" s="184"/>
      <c r="M39" s="184"/>
      <c r="N39" s="184"/>
      <c r="O39" s="184"/>
      <c r="P39" s="184"/>
      <c r="Q39" s="184"/>
      <c r="R39" s="184"/>
      <c r="S39" s="184"/>
      <c r="T39" s="184"/>
      <c r="U39" s="184"/>
      <c r="V39" s="184"/>
      <c r="W39" s="184"/>
      <c r="X39" s="184"/>
      <c r="Y39" s="184"/>
    </row>
    <row r="40" spans="1:25" ht="20.100000000000001" customHeight="1" x14ac:dyDescent="0.2">
      <c r="A40"/>
      <c r="D40" s="191"/>
      <c r="E40" s="191"/>
      <c r="F40" s="191"/>
      <c r="G40" s="192"/>
      <c r="H40" s="193"/>
      <c r="I40" s="193"/>
      <c r="J40" s="193"/>
      <c r="K40" s="193"/>
      <c r="L40" s="194"/>
      <c r="M40" s="194"/>
      <c r="N40" s="194"/>
      <c r="O40" s="194"/>
      <c r="P40" s="194"/>
      <c r="Q40" s="194"/>
      <c r="R40" s="194"/>
      <c r="S40" s="194"/>
      <c r="T40" s="194"/>
      <c r="U40" s="194"/>
      <c r="V40" s="194"/>
      <c r="W40" s="194"/>
      <c r="X40" s="194"/>
      <c r="Y40" s="194"/>
    </row>
    <row r="41" spans="1:25" ht="20.100000000000001" customHeight="1" x14ac:dyDescent="0.2">
      <c r="A41"/>
    </row>
    <row r="42" spans="1:25" ht="20.100000000000001" customHeight="1" x14ac:dyDescent="0.2">
      <c r="A42"/>
    </row>
    <row r="43" spans="1:25" ht="20.100000000000001" customHeight="1" x14ac:dyDescent="0.2">
      <c r="A43"/>
    </row>
    <row r="44" spans="1:25" ht="20.100000000000001" customHeight="1" x14ac:dyDescent="0.2">
      <c r="A44"/>
    </row>
    <row r="45" spans="1:25" ht="20.100000000000001" customHeight="1" x14ac:dyDescent="0.2">
      <c r="A45"/>
      <c r="D45" s="16"/>
    </row>
    <row r="46" spans="1:25" ht="20.100000000000001" customHeight="1" x14ac:dyDescent="0.2">
      <c r="A46"/>
      <c r="D46" s="16"/>
    </row>
    <row r="47" spans="1:25" ht="20.100000000000001" customHeight="1" x14ac:dyDescent="0.2">
      <c r="A47"/>
      <c r="D47" s="195"/>
      <c r="E47" s="195"/>
      <c r="F47" s="195"/>
      <c r="G47" s="195"/>
      <c r="H47" s="195"/>
    </row>
    <row r="48" spans="1:25" ht="20.100000000000001" customHeight="1" x14ac:dyDescent="0.2">
      <c r="A48"/>
      <c r="D48" s="196"/>
      <c r="E48" s="196"/>
      <c r="F48" s="197"/>
      <c r="G48" s="197"/>
      <c r="H48" s="196"/>
    </row>
    <row r="49" spans="1:8" ht="20.100000000000001" customHeight="1" x14ac:dyDescent="0.2">
      <c r="A49"/>
      <c r="D49" s="196"/>
      <c r="E49" s="196"/>
      <c r="F49" s="197"/>
      <c r="G49" s="197"/>
      <c r="H49" s="196"/>
    </row>
    <row r="50" spans="1:8" ht="20.100000000000001" customHeight="1" x14ac:dyDescent="0.2">
      <c r="A50"/>
      <c r="D50" s="196"/>
      <c r="E50" s="196"/>
      <c r="F50" s="197"/>
      <c r="G50" s="197"/>
      <c r="H50" s="196"/>
    </row>
    <row r="51" spans="1:8" ht="20.100000000000001" customHeight="1" x14ac:dyDescent="0.2">
      <c r="A51"/>
      <c r="D51" s="198"/>
      <c r="E51" s="199"/>
      <c r="F51" s="199"/>
      <c r="G51" s="199"/>
      <c r="H51" s="200"/>
    </row>
    <row r="52" spans="1:8" ht="20.100000000000001" customHeight="1" x14ac:dyDescent="0.2">
      <c r="A52"/>
    </row>
    <row r="53" spans="1:8" ht="20.100000000000001" customHeight="1" x14ac:dyDescent="0.2">
      <c r="A53"/>
    </row>
    <row r="54" spans="1:8" ht="20.100000000000001" customHeight="1" x14ac:dyDescent="0.2">
      <c r="A54"/>
      <c r="G54" s="201"/>
    </row>
    <row r="55" spans="1:8" ht="20.100000000000001" customHeight="1" x14ac:dyDescent="0.2">
      <c r="A55"/>
      <c r="D55" s="16"/>
    </row>
    <row r="56" spans="1:8" ht="20.100000000000001" customHeight="1" x14ac:dyDescent="0.2">
      <c r="A56"/>
    </row>
    <row r="57" spans="1:8" ht="20.100000000000001" customHeight="1" x14ac:dyDescent="0.2">
      <c r="A57"/>
      <c r="D57" s="82"/>
      <c r="F57" s="202"/>
    </row>
    <row r="58" spans="1:8" ht="20.100000000000001" customHeight="1" x14ac:dyDescent="0.2">
      <c r="A58"/>
      <c r="D58" s="15"/>
      <c r="E58" s="203"/>
    </row>
    <row r="59" spans="1:8" ht="20.100000000000001" customHeight="1" x14ac:dyDescent="0.2">
      <c r="A59"/>
      <c r="D59" s="15"/>
      <c r="E59" s="203"/>
    </row>
    <row r="60" spans="1:8" ht="20.100000000000001" customHeight="1" x14ac:dyDescent="0.2">
      <c r="A60"/>
      <c r="D60" s="15"/>
      <c r="E60" s="204"/>
    </row>
    <row r="61" spans="1:8" ht="20.100000000000001" customHeight="1" x14ac:dyDescent="0.2">
      <c r="A61"/>
      <c r="D61" s="15"/>
    </row>
    <row r="62" spans="1:8" ht="20.100000000000001" customHeight="1" x14ac:dyDescent="0.2">
      <c r="A62"/>
    </row>
    <row r="63" spans="1:8" ht="20.100000000000001" customHeight="1" x14ac:dyDescent="0.2">
      <c r="A63"/>
      <c r="D63" s="82"/>
    </row>
    <row r="64" spans="1:8" ht="20.100000000000001" customHeight="1" x14ac:dyDescent="0.2">
      <c r="A64"/>
      <c r="D64" s="15"/>
      <c r="E64" s="203"/>
    </row>
    <row r="65" spans="1:9" ht="20.100000000000001" customHeight="1" x14ac:dyDescent="0.2">
      <c r="A65"/>
      <c r="D65" s="15"/>
      <c r="E65" s="203"/>
    </row>
    <row r="66" spans="1:9" ht="20.100000000000001" customHeight="1" x14ac:dyDescent="0.2">
      <c r="A66"/>
      <c r="D66" s="15"/>
      <c r="E66" s="204"/>
    </row>
    <row r="67" spans="1:9" ht="20.100000000000001" customHeight="1" x14ac:dyDescent="0.2">
      <c r="A67"/>
    </row>
    <row r="68" spans="1:9" ht="20.100000000000001" customHeight="1" x14ac:dyDescent="0.2">
      <c r="A68"/>
    </row>
    <row r="69" spans="1:9" ht="20.100000000000001" customHeight="1" x14ac:dyDescent="0.2">
      <c r="A69"/>
      <c r="D69" s="205"/>
      <c r="E69" s="205"/>
      <c r="F69" s="205"/>
      <c r="G69" s="205"/>
      <c r="H69" s="205"/>
      <c r="I69" s="205"/>
    </row>
    <row r="70" spans="1:9" ht="20.100000000000001" customHeight="1" x14ac:dyDescent="0.2">
      <c r="A70"/>
      <c r="D70" s="205"/>
      <c r="E70" s="205"/>
      <c r="F70" s="205"/>
      <c r="G70" s="205"/>
      <c r="H70" s="205"/>
      <c r="I70" s="205"/>
    </row>
    <row r="71" spans="1:9" ht="20.100000000000001" customHeight="1" x14ac:dyDescent="0.2">
      <c r="A71"/>
      <c r="D71" s="205"/>
      <c r="E71" s="205"/>
      <c r="F71" s="205"/>
      <c r="G71" s="205"/>
      <c r="H71" s="205"/>
      <c r="I71" s="205"/>
    </row>
    <row r="72" spans="1:9" ht="20.100000000000001" customHeight="1" x14ac:dyDescent="0.2">
      <c r="A72"/>
      <c r="D72" s="205"/>
      <c r="E72" s="205"/>
      <c r="F72" s="205"/>
      <c r="G72" s="205"/>
      <c r="H72" s="205"/>
      <c r="I72" s="205"/>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206"/>
    </row>
    <row r="79" spans="1:9" ht="20.100000000000001" customHeight="1" x14ac:dyDescent="0.2">
      <c r="A79"/>
      <c r="D79" s="206"/>
    </row>
    <row r="80" spans="1:9" ht="20.100000000000001" customHeight="1" x14ac:dyDescent="0.2">
      <c r="A80"/>
      <c r="D80" s="206"/>
    </row>
    <row r="81" spans="1:4" ht="20.100000000000001" customHeight="1" x14ac:dyDescent="0.2">
      <c r="A81"/>
      <c r="D81" s="206"/>
    </row>
    <row r="82" spans="1:4" ht="20.100000000000001" customHeight="1" x14ac:dyDescent="0.2">
      <c r="A82"/>
      <c r="D82" s="206"/>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 ht="20.100000000000001" customHeight="1" x14ac:dyDescent="0.2">
      <c r="A161"/>
    </row>
    <row r="162" spans="1:1" ht="20.100000000000001" customHeight="1" x14ac:dyDescent="0.2">
      <c r="A162"/>
    </row>
    <row r="163" spans="1:1" ht="20.100000000000001" customHeight="1" x14ac:dyDescent="0.2">
      <c r="A163"/>
    </row>
    <row r="164" spans="1:1" ht="20.100000000000001" customHeight="1" x14ac:dyDescent="0.2">
      <c r="A164"/>
    </row>
    <row r="165" spans="1:1" ht="20.100000000000001" customHeight="1" x14ac:dyDescent="0.2">
      <c r="A165"/>
    </row>
    <row r="166" spans="1:1" ht="20.100000000000001" customHeight="1" x14ac:dyDescent="0.2">
      <c r="A166"/>
    </row>
    <row r="167" spans="1:1" ht="20.100000000000001" customHeight="1" x14ac:dyDescent="0.2">
      <c r="A167"/>
    </row>
    <row r="168" spans="1:1" ht="20.100000000000001" customHeight="1" x14ac:dyDescent="0.2">
      <c r="A168"/>
    </row>
    <row r="169" spans="1:1" ht="20.100000000000001" customHeight="1" x14ac:dyDescent="0.2">
      <c r="A169"/>
    </row>
    <row r="170" spans="1:1" ht="20.100000000000001" customHeight="1" x14ac:dyDescent="0.2">
      <c r="A170"/>
    </row>
    <row r="171" spans="1:1" ht="20.100000000000001" customHeight="1" x14ac:dyDescent="0.2">
      <c r="A171"/>
    </row>
    <row r="172" spans="1:1" ht="20.100000000000001" customHeight="1" x14ac:dyDescent="0.2">
      <c r="A172"/>
    </row>
    <row r="173" spans="1:1" ht="20.100000000000001" customHeight="1" x14ac:dyDescent="0.2">
      <c r="A173"/>
    </row>
    <row r="174" spans="1:1" ht="20.100000000000001" customHeight="1" x14ac:dyDescent="0.2">
      <c r="A174"/>
    </row>
    <row r="175" spans="1:1" ht="20.100000000000001" customHeight="1" x14ac:dyDescent="0.2">
      <c r="A175"/>
    </row>
    <row r="176" spans="1:1" ht="20.100000000000001" customHeight="1" x14ac:dyDescent="0.2">
      <c r="A176"/>
    </row>
    <row r="177" spans="1:1" ht="20.100000000000001" customHeight="1" x14ac:dyDescent="0.2">
      <c r="A177"/>
    </row>
    <row r="178" spans="1:1" ht="20.100000000000001" customHeight="1" x14ac:dyDescent="0.2">
      <c r="A178"/>
    </row>
    <row r="179" spans="1:1" ht="20.100000000000001" customHeight="1" x14ac:dyDescent="0.2">
      <c r="A179"/>
    </row>
    <row r="180" spans="1:1" ht="20.100000000000001" customHeight="1" x14ac:dyDescent="0.2">
      <c r="A180"/>
    </row>
    <row r="181" spans="1:1" ht="20.100000000000001" customHeight="1" x14ac:dyDescent="0.2">
      <c r="A181"/>
    </row>
    <row r="182" spans="1:1" ht="20.100000000000001" customHeight="1" x14ac:dyDescent="0.2">
      <c r="A182"/>
    </row>
    <row r="183" spans="1:1" ht="20.100000000000001" customHeight="1" x14ac:dyDescent="0.2">
      <c r="A183"/>
    </row>
    <row r="184" spans="1:1" ht="20.100000000000001" customHeight="1" x14ac:dyDescent="0.2">
      <c r="A184"/>
    </row>
    <row r="185" spans="1:1" ht="20.100000000000001" customHeight="1" x14ac:dyDescent="0.2">
      <c r="A185"/>
    </row>
    <row r="186" spans="1:1" ht="20.100000000000001" customHeight="1" x14ac:dyDescent="0.2">
      <c r="A186"/>
    </row>
    <row r="187" spans="1:1" ht="20.100000000000001" customHeight="1" x14ac:dyDescent="0.2">
      <c r="A187"/>
    </row>
    <row r="188" spans="1:1" ht="20.100000000000001" customHeight="1" x14ac:dyDescent="0.2">
      <c r="A188"/>
    </row>
    <row r="189" spans="1:1" ht="20.100000000000001" customHeight="1" x14ac:dyDescent="0.2">
      <c r="A189"/>
    </row>
    <row r="190" spans="1:1" ht="20.100000000000001" customHeight="1" x14ac:dyDescent="0.2">
      <c r="A190"/>
    </row>
    <row r="191" spans="1:1" ht="20.100000000000001" customHeight="1" x14ac:dyDescent="0.2">
      <c r="A191"/>
    </row>
    <row r="192" spans="1:1"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4">
    <dataValidation type="list" allowBlank="1" showInputMessage="1" showErrorMessage="1" sqref="E23" xr:uid="{DBA68743-9CF7-4B83-846C-7ECB38671A91}">
      <formula1>"YES - In leaching zone, NO - Not in leaching zone"</formula1>
    </dataValidation>
    <dataValidation type="list" allowBlank="1" showInputMessage="1" showErrorMessage="1" sqref="G36:G39" xr:uid="{9567FD9E-6043-456C-92D8-B0A21021AA40}">
      <formula1>$D$41:$D$43</formula1>
    </dataValidation>
    <dataValidation type="list" allowBlank="1" showInputMessage="1" showErrorMessage="1" sqref="E22" xr:uid="{247C3347-0CB4-4B9A-9395-F5D6F5DAE6EC}">
      <formula1>INDIRECT("Table_WASA4Areas[SA 4 Name]")</formula1>
    </dataValidation>
    <dataValidation type="list" allowBlank="1" showInputMessage="1" showErrorMessage="1" sqref="E21" xr:uid="{671C53DB-4020-4CE3-8DDC-CA4CA63105BB}">
      <formula1>INDIRECT("Table_AustralianStates[Common Name]")</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0AF6D-9069-486F-86F8-B38023044376}">
  <sheetPr>
    <tabColor rgb="FFCC6600"/>
  </sheetPr>
  <dimension ref="A1:M195"/>
  <sheetViews>
    <sheetView showGridLines="0" tabSelected="1" zoomScaleNormal="100" workbookViewId="0">
      <pane xSplit="1" topLeftCell="B1" activePane="topRight" state="frozenSplit"/>
      <selection pane="topRight" activeCell="B1" sqref="B1"/>
    </sheetView>
  </sheetViews>
  <sheetFormatPr defaultColWidth="9" defaultRowHeight="20.100000000000001" customHeight="1" x14ac:dyDescent="0.25"/>
  <cols>
    <col min="1" max="1" width="36.7109375" style="10" customWidth="1"/>
    <col min="2" max="2" width="4.140625" style="10" customWidth="1"/>
    <col min="3" max="3" width="4.140625" style="15" customWidth="1"/>
    <col min="4" max="4" width="42.85546875" style="15" customWidth="1"/>
    <col min="5" max="7" width="26.85546875" style="15" customWidth="1"/>
    <col min="8" max="8" width="88.5703125" style="15" customWidth="1"/>
    <col min="9" max="9" width="65.28515625" style="15" customWidth="1"/>
    <col min="10" max="13" width="26.85546875" style="15" customWidth="1"/>
    <col min="14" max="14" width="26.85546875" style="10" customWidth="1"/>
    <col min="15" max="16384" width="9" style="10"/>
  </cols>
  <sheetData>
    <row r="1" spans="1:13" s="23" customFormat="1" ht="30" customHeight="1" x14ac:dyDescent="0.35">
      <c r="C1" s="23" t="s">
        <v>79</v>
      </c>
    </row>
    <row r="2" spans="1:13" s="9" customFormat="1" ht="20.100000000000001" customHeight="1" x14ac:dyDescent="0.2">
      <c r="A2"/>
    </row>
    <row r="3" spans="1:13" ht="20.100000000000001" customHeight="1" x14ac:dyDescent="0.25">
      <c r="A3" s="29" t="str">
        <f>HYPERLINK("#'Home'!A1", "Home")</f>
        <v>Home</v>
      </c>
      <c r="C3" s="24"/>
      <c r="D3" s="24"/>
      <c r="E3" s="24"/>
      <c r="F3" s="24"/>
      <c r="G3" s="24"/>
      <c r="H3" s="24"/>
      <c r="I3" s="24"/>
      <c r="J3" s="24"/>
      <c r="K3" s="24"/>
      <c r="L3" s="24"/>
      <c r="M3" s="24"/>
    </row>
    <row r="4" spans="1:13" ht="20.100000000000001" customHeight="1" x14ac:dyDescent="0.25">
      <c r="A4"/>
    </row>
    <row r="5" spans="1:13" ht="20.100000000000001" customHeight="1" x14ac:dyDescent="0.25">
      <c r="A5"/>
    </row>
    <row r="6" spans="1:13" ht="20.100000000000001" customHeight="1" x14ac:dyDescent="0.25">
      <c r="A6" s="40" t="s">
        <v>148</v>
      </c>
      <c r="D6" s="25" t="s">
        <v>80</v>
      </c>
      <c r="E6" s="25" t="s">
        <v>81</v>
      </c>
      <c r="F6" s="25" t="s">
        <v>82</v>
      </c>
      <c r="G6" s="25" t="s">
        <v>83</v>
      </c>
      <c r="H6" s="25" t="s">
        <v>84</v>
      </c>
      <c r="I6" s="25" t="s">
        <v>85</v>
      </c>
      <c r="J6" s="25" t="s">
        <v>86</v>
      </c>
    </row>
    <row r="7" spans="1:13" ht="20.100000000000001" customHeight="1" x14ac:dyDescent="0.25">
      <c r="A7" s="29" t="str">
        <f>HYPERLINK("#'Input - Planting'!A1", "Planting")</f>
        <v>Planting</v>
      </c>
      <c r="D7" s="26" t="s">
        <v>87</v>
      </c>
      <c r="E7" s="27" t="s">
        <v>88</v>
      </c>
      <c r="F7" s="27" t="s">
        <v>89</v>
      </c>
      <c r="G7" s="27" t="s">
        <v>90</v>
      </c>
      <c r="H7" s="26"/>
      <c r="I7" s="26"/>
      <c r="J7" s="28">
        <f>_xlfn.XLOOKUP(Table_Input_DataQuality[[#This Row],[Temporal representativeness]],Table_SourceData_DataQuality_TemporalRepresentativeness[ID],Table_SourceData_DataQuality_TemporalRepresentativeness[Score])+_xlfn.XLOOKUP(Table_Input_DataQuality[[#This Row],[Spatial resolution]],Table_SourceData_DataQuality_SpatialRepresentativeness[ID],Table_SourceData_DataQuality_SpatialRepresentativeness[Score])+_xlfn.XLOOKUP(Table_Input_DataQuality[[#This Row],[Sample size]],Table_SourceData_DataQuality_SampleSize[ID],Table_SourceData_DataQuality_SampleSize[Score])</f>
        <v>12</v>
      </c>
    </row>
    <row r="8" spans="1:13" ht="20.100000000000001" customHeight="1" x14ac:dyDescent="0.25">
      <c r="A8" s="29" t="str">
        <f>HYPERLINK("#'Input - Fertiliser'!A1", "Fertiliser")</f>
        <v>Fertiliser</v>
      </c>
    </row>
    <row r="9" spans="1:13" ht="20.100000000000001" customHeight="1" x14ac:dyDescent="0.25">
      <c r="A9" s="29" t="str">
        <f>HYPERLINK("#'Input - Fuel'!A1", "Fuel")</f>
        <v>Fuel</v>
      </c>
    </row>
    <row r="10" spans="1:13" ht="20.100000000000001" customHeight="1" x14ac:dyDescent="0.25">
      <c r="A10" s="29" t="str">
        <f>HYPERLINK("#'Input - Fert Prod System'!A1", "Fert Prod System")</f>
        <v>Fert Prod System</v>
      </c>
    </row>
    <row r="11" spans="1:13" ht="20.100000000000001" customHeight="1" x14ac:dyDescent="0.25">
      <c r="A11" s="29" t="str">
        <f>HYPERLINK("#'Input - Site'!A1", "Site")</f>
        <v>Site</v>
      </c>
    </row>
    <row r="12" spans="1:13" ht="20.100000000000001" customHeight="1" x14ac:dyDescent="0.25">
      <c r="A12" s="44" t="str">
        <f>HYPERLINK("#'Input - Data quality'!A1", "Data quality")</f>
        <v>Data quality</v>
      </c>
    </row>
    <row r="13" spans="1:13" ht="20.100000000000001" customHeight="1" x14ac:dyDescent="0.25">
      <c r="A13"/>
    </row>
    <row r="14" spans="1:13" ht="20.100000000000001" customHeight="1" x14ac:dyDescent="0.25">
      <c r="A14"/>
    </row>
    <row r="15" spans="1:13" ht="20.100000000000001" customHeight="1" x14ac:dyDescent="0.25">
      <c r="A15" s="53" t="s">
        <v>175</v>
      </c>
    </row>
    <row r="16" spans="1:13" ht="20.100000000000001" customHeight="1" x14ac:dyDescent="0.25">
      <c r="A16" s="29" t="str">
        <f>HYPERLINK("#'5.1.1.1-2 Inorganic fert N2O'!A1", "5.1.1.1-2 Inorganic fert N2O")</f>
        <v>5.1.1.1-2 Inorganic fert N2O</v>
      </c>
    </row>
    <row r="17" spans="1:1" ht="20.100000000000001" customHeight="1" x14ac:dyDescent="0.25">
      <c r="A17" s="29" t="str">
        <f>HYPERLINK("#'5.1.1.3-4 Inorganic fert CO2'!A1", "5.1.1.3-4 Inorganic fert CO2")</f>
        <v>5.1.1.3-4 Inorganic fert CO2</v>
      </c>
    </row>
    <row r="18" spans="1:1" ht="20.100000000000001" customHeight="1" x14ac:dyDescent="0.25">
      <c r="A18" s="29" t="str">
        <f>HYPERLINK("#'5.2.1.1-2 Organic Fert N2O'!A1", "5.2.1.1-2 Organic fert N2O")</f>
        <v>5.2.1.1-2 Organic fert N2O</v>
      </c>
    </row>
    <row r="19" spans="1:1" ht="20.100000000000001" customHeight="1" x14ac:dyDescent="0.25">
      <c r="A19" s="29" t="str">
        <f>HYPERLINK("#'5.3.1.1-2 Lime CO2'!A1", "5.3.1.1-2 Lime CO2")</f>
        <v>5.3.1.1-2 Lime CO2</v>
      </c>
    </row>
    <row r="20" spans="1:1" ht="20.100000000000001" customHeight="1" x14ac:dyDescent="0.25">
      <c r="A20" s="29" t="str">
        <f>HYPERLINK("#'5.4.1.1-4 Atmos deposition'!A1", "5.4.1.1-4 Atmos. deposition")</f>
        <v>5.4.1.1-4 Atmos. deposition</v>
      </c>
    </row>
    <row r="21" spans="1:1" ht="20.100000000000001" customHeight="1" x14ac:dyDescent="0.25">
      <c r="A21" s="29" t="str">
        <f>HYPERLINK("#'5.5.1.1-2 Leaching and runoff'!A1", "5.5.1.1-2 Leaching &amp; runoff")</f>
        <v>5.5.1.1-2 Leaching &amp; runoff</v>
      </c>
    </row>
    <row r="22" spans="1:1" ht="20.100000000000001" customHeight="1" x14ac:dyDescent="0.25">
      <c r="A22" s="29" t="str">
        <f>HYPERLINK("#'8.1.1.1-2 Transport fuel'!A1", "8.1.1.1-2 Transport fuel")</f>
        <v>8.1.1.1-2 Transport fuel</v>
      </c>
    </row>
    <row r="23" spans="1:1" ht="20.100000000000001" customHeight="1" x14ac:dyDescent="0.25">
      <c r="A23" s="29" t="str">
        <f>HYPERLINK("#'8.2.1.1-2 Stationary fuel'!A1", "8.2.1.1-2 Stationary fuel")</f>
        <v>8.2.1.1-2 Stationary fuel</v>
      </c>
    </row>
    <row r="24" spans="1:1" ht="20.100000000000001" customHeight="1" x14ac:dyDescent="0.25">
      <c r="A24"/>
    </row>
    <row r="25" spans="1:1" ht="20.100000000000001" customHeight="1" x14ac:dyDescent="0.25">
      <c r="A25"/>
    </row>
    <row r="26" spans="1:1" ht="20.100000000000001" customHeight="1" x14ac:dyDescent="0.25">
      <c r="A26" s="30" t="s">
        <v>91</v>
      </c>
    </row>
    <row r="27" spans="1:1" ht="20.100000000000001" customHeight="1" x14ac:dyDescent="0.25">
      <c r="A27" s="29" t="str">
        <f>HYPERLINK("#'Constants - Fertiliser'!A1", "Constants - Fertiliser")</f>
        <v>Constants - Fertiliser</v>
      </c>
    </row>
    <row r="28" spans="1:1" ht="20.100000000000001" customHeight="1" x14ac:dyDescent="0.25">
      <c r="A28" s="29" t="str">
        <f>HYPERLINK("#'Constants - Fuel'!A1", "Constants - Fuel")</f>
        <v>Constants - Fuel</v>
      </c>
    </row>
    <row r="29" spans="1:1" ht="20.100000000000001" customHeight="1" x14ac:dyDescent="0.25">
      <c r="A29" s="29" t="str">
        <f>HYPERLINK("#'Constants - Common'!A1", "Constants - Common")</f>
        <v>Constants - Common</v>
      </c>
    </row>
    <row r="30" spans="1:1" ht="20.100000000000001" customHeight="1" x14ac:dyDescent="0.25">
      <c r="A30"/>
    </row>
    <row r="31" spans="1:1" ht="20.100000000000001" customHeight="1" x14ac:dyDescent="0.25">
      <c r="A31"/>
    </row>
    <row r="32" spans="1:1" ht="20.100000000000001" customHeight="1" x14ac:dyDescent="0.25">
      <c r="A32"/>
    </row>
    <row r="33" spans="1:1" ht="20.100000000000001" customHeight="1" x14ac:dyDescent="0.25">
      <c r="A33"/>
    </row>
    <row r="34" spans="1:1" ht="20.100000000000001" customHeight="1" x14ac:dyDescent="0.25">
      <c r="A34"/>
    </row>
    <row r="35" spans="1:1" ht="20.100000000000001" customHeight="1" x14ac:dyDescent="0.25">
      <c r="A35"/>
    </row>
    <row r="36" spans="1:1" ht="20.100000000000001" customHeight="1" x14ac:dyDescent="0.25">
      <c r="A36"/>
    </row>
    <row r="37" spans="1:1" ht="20.100000000000001" customHeight="1" x14ac:dyDescent="0.25">
      <c r="A37"/>
    </row>
    <row r="38" spans="1:1" ht="20.100000000000001" customHeight="1" x14ac:dyDescent="0.25">
      <c r="A38"/>
    </row>
    <row r="39" spans="1:1" ht="20.100000000000001" customHeight="1" x14ac:dyDescent="0.25">
      <c r="A39"/>
    </row>
    <row r="40" spans="1:1" ht="20.100000000000001" customHeight="1" x14ac:dyDescent="0.25">
      <c r="A40"/>
    </row>
    <row r="41" spans="1:1" ht="20.100000000000001" customHeight="1" x14ac:dyDescent="0.25">
      <c r="A41"/>
    </row>
    <row r="42" spans="1:1" ht="20.100000000000001" customHeight="1" x14ac:dyDescent="0.25">
      <c r="A42"/>
    </row>
    <row r="43" spans="1:1" ht="20.100000000000001" customHeight="1" x14ac:dyDescent="0.25">
      <c r="A43"/>
    </row>
    <row r="44" spans="1:1" ht="20.100000000000001" customHeight="1" x14ac:dyDescent="0.25">
      <c r="A44"/>
    </row>
    <row r="45" spans="1:1" ht="20.100000000000001" customHeight="1" x14ac:dyDescent="0.25">
      <c r="A45"/>
    </row>
    <row r="46" spans="1:1" ht="20.100000000000001" customHeight="1" x14ac:dyDescent="0.25">
      <c r="A46"/>
    </row>
    <row r="47" spans="1:1" ht="20.100000000000001" customHeight="1" x14ac:dyDescent="0.25">
      <c r="A47"/>
    </row>
    <row r="48" spans="1:1" ht="20.100000000000001" customHeight="1" x14ac:dyDescent="0.25">
      <c r="A48"/>
    </row>
    <row r="49" spans="1:1" ht="20.100000000000001" customHeight="1" x14ac:dyDescent="0.25">
      <c r="A49"/>
    </row>
    <row r="50" spans="1:1" ht="20.100000000000001" customHeight="1" x14ac:dyDescent="0.25">
      <c r="A50"/>
    </row>
    <row r="51" spans="1:1" ht="20.100000000000001" customHeight="1" x14ac:dyDescent="0.25">
      <c r="A51"/>
    </row>
    <row r="52" spans="1:1" ht="20.100000000000001" customHeight="1" x14ac:dyDescent="0.25">
      <c r="A52"/>
    </row>
    <row r="53" spans="1:1" ht="20.100000000000001" customHeight="1" x14ac:dyDescent="0.25">
      <c r="A53"/>
    </row>
    <row r="54" spans="1:1" ht="20.100000000000001" customHeight="1" x14ac:dyDescent="0.25">
      <c r="A54"/>
    </row>
    <row r="55" spans="1:1" ht="20.100000000000001" customHeight="1" x14ac:dyDescent="0.25">
      <c r="A55"/>
    </row>
    <row r="56" spans="1:1" ht="20.100000000000001" customHeight="1" x14ac:dyDescent="0.25">
      <c r="A56"/>
    </row>
    <row r="57" spans="1:1" ht="20.100000000000001" customHeight="1" x14ac:dyDescent="0.25">
      <c r="A57"/>
    </row>
    <row r="58" spans="1:1" ht="20.100000000000001" customHeight="1" x14ac:dyDescent="0.25">
      <c r="A58"/>
    </row>
    <row r="59" spans="1:1" ht="20.100000000000001" customHeight="1" x14ac:dyDescent="0.25">
      <c r="A59"/>
    </row>
    <row r="60" spans="1:1" ht="20.100000000000001" customHeight="1" x14ac:dyDescent="0.25">
      <c r="A60"/>
    </row>
    <row r="61" spans="1:1" ht="20.100000000000001" customHeight="1" x14ac:dyDescent="0.25">
      <c r="A61"/>
    </row>
    <row r="62" spans="1:1" ht="20.100000000000001" customHeight="1" x14ac:dyDescent="0.25">
      <c r="A62"/>
    </row>
    <row r="63" spans="1:1" ht="20.100000000000001" customHeight="1" x14ac:dyDescent="0.25">
      <c r="A63"/>
    </row>
    <row r="64" spans="1:1" ht="20.100000000000001" customHeight="1" x14ac:dyDescent="0.25">
      <c r="A64"/>
    </row>
    <row r="65" spans="1:1" ht="20.100000000000001" customHeight="1" x14ac:dyDescent="0.25">
      <c r="A65"/>
    </row>
    <row r="66" spans="1:1" ht="20.100000000000001" customHeight="1" x14ac:dyDescent="0.25">
      <c r="A66"/>
    </row>
    <row r="67" spans="1:1" ht="20.100000000000001" customHeight="1" x14ac:dyDescent="0.25">
      <c r="A67"/>
    </row>
    <row r="68" spans="1:1" ht="20.100000000000001" customHeight="1" x14ac:dyDescent="0.25">
      <c r="A68"/>
    </row>
    <row r="69" spans="1:1" ht="20.100000000000001" customHeight="1" x14ac:dyDescent="0.25">
      <c r="A69"/>
    </row>
    <row r="70" spans="1:1" ht="20.100000000000001" customHeight="1" x14ac:dyDescent="0.25">
      <c r="A70"/>
    </row>
    <row r="71" spans="1:1" ht="20.100000000000001" customHeight="1" x14ac:dyDescent="0.25">
      <c r="A71"/>
    </row>
    <row r="72" spans="1:1" ht="20.100000000000001" customHeight="1" x14ac:dyDescent="0.25">
      <c r="A72"/>
    </row>
    <row r="73" spans="1:1" ht="20.100000000000001" customHeight="1" x14ac:dyDescent="0.25">
      <c r="A73"/>
    </row>
    <row r="74" spans="1:1" ht="20.100000000000001" customHeight="1" x14ac:dyDescent="0.25">
      <c r="A74"/>
    </row>
    <row r="75" spans="1:1" ht="20.100000000000001" customHeight="1" x14ac:dyDescent="0.25">
      <c r="A75"/>
    </row>
    <row r="76" spans="1:1" ht="20.100000000000001" customHeight="1" x14ac:dyDescent="0.25">
      <c r="A76"/>
    </row>
    <row r="77" spans="1:1" ht="20.100000000000001" customHeight="1" x14ac:dyDescent="0.25">
      <c r="A77"/>
    </row>
    <row r="78" spans="1:1" ht="20.100000000000001" customHeight="1" x14ac:dyDescent="0.25">
      <c r="A78"/>
    </row>
    <row r="79" spans="1:1" ht="20.100000000000001" customHeight="1" x14ac:dyDescent="0.25">
      <c r="A79"/>
    </row>
    <row r="80" spans="1:1" ht="20.100000000000001" customHeight="1" x14ac:dyDescent="0.25">
      <c r="A80"/>
    </row>
    <row r="81" spans="1:1" ht="20.100000000000001" customHeight="1" x14ac:dyDescent="0.25">
      <c r="A81"/>
    </row>
    <row r="82" spans="1:1" ht="20.100000000000001" customHeight="1" x14ac:dyDescent="0.25">
      <c r="A82"/>
    </row>
    <row r="83" spans="1:1" ht="20.100000000000001" customHeight="1" x14ac:dyDescent="0.25">
      <c r="A83"/>
    </row>
    <row r="84" spans="1:1" ht="20.100000000000001" customHeight="1" x14ac:dyDescent="0.25">
      <c r="A84"/>
    </row>
    <row r="85" spans="1:1" ht="20.100000000000001" customHeight="1" x14ac:dyDescent="0.25">
      <c r="A85"/>
    </row>
    <row r="86" spans="1:1" ht="20.100000000000001" customHeight="1" x14ac:dyDescent="0.25">
      <c r="A86"/>
    </row>
    <row r="87" spans="1:1" ht="20.100000000000001" customHeight="1" x14ac:dyDescent="0.25">
      <c r="A87"/>
    </row>
    <row r="88" spans="1:1" ht="20.100000000000001" customHeight="1" x14ac:dyDescent="0.25">
      <c r="A88"/>
    </row>
    <row r="89" spans="1:1" ht="20.100000000000001" customHeight="1" x14ac:dyDescent="0.25">
      <c r="A89"/>
    </row>
    <row r="90" spans="1:1" ht="20.100000000000001" customHeight="1" x14ac:dyDescent="0.25">
      <c r="A90"/>
    </row>
    <row r="91" spans="1:1" ht="20.100000000000001" customHeight="1" x14ac:dyDescent="0.25">
      <c r="A91"/>
    </row>
    <row r="92" spans="1:1" ht="20.100000000000001" customHeight="1" x14ac:dyDescent="0.25">
      <c r="A92"/>
    </row>
    <row r="93" spans="1:1" ht="20.100000000000001" customHeight="1" x14ac:dyDescent="0.25">
      <c r="A93"/>
    </row>
    <row r="94" spans="1:1" ht="20.100000000000001" customHeight="1" x14ac:dyDescent="0.25">
      <c r="A94"/>
    </row>
    <row r="95" spans="1:1" ht="20.100000000000001" customHeight="1" x14ac:dyDescent="0.25">
      <c r="A95"/>
    </row>
    <row r="96" spans="1:1"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ht="20.100000000000001" customHeight="1" x14ac:dyDescent="0.25">
      <c r="A116"/>
    </row>
    <row r="117" spans="1:1" ht="20.100000000000001" customHeight="1" x14ac:dyDescent="0.25">
      <c r="A117"/>
    </row>
    <row r="118" spans="1:1" ht="20.100000000000001" customHeight="1" x14ac:dyDescent="0.25">
      <c r="A118"/>
    </row>
    <row r="119" spans="1:1" ht="20.100000000000001" customHeight="1" x14ac:dyDescent="0.25">
      <c r="A119"/>
    </row>
    <row r="120" spans="1:1" ht="20.100000000000001" customHeight="1" x14ac:dyDescent="0.25">
      <c r="A120"/>
    </row>
    <row r="121" spans="1:1" ht="20.100000000000001" customHeight="1" x14ac:dyDescent="0.25">
      <c r="A121"/>
    </row>
    <row r="122" spans="1:1" ht="20.100000000000001" customHeight="1" x14ac:dyDescent="0.25">
      <c r="A122"/>
    </row>
    <row r="123" spans="1:1" ht="20.100000000000001" customHeight="1" x14ac:dyDescent="0.25">
      <c r="A123"/>
    </row>
    <row r="124" spans="1:1" ht="20.100000000000001" customHeight="1" x14ac:dyDescent="0.25">
      <c r="A124"/>
    </row>
    <row r="125" spans="1:1" ht="20.100000000000001" customHeight="1" x14ac:dyDescent="0.25">
      <c r="A125"/>
    </row>
    <row r="126" spans="1:1" ht="20.100000000000001" customHeight="1" x14ac:dyDescent="0.25">
      <c r="A126"/>
    </row>
    <row r="127" spans="1:1" ht="20.100000000000001" customHeight="1" x14ac:dyDescent="0.25">
      <c r="A127"/>
    </row>
    <row r="128" spans="1:1" ht="20.100000000000001" customHeight="1" x14ac:dyDescent="0.25">
      <c r="A128"/>
    </row>
    <row r="129" spans="1:1" ht="20.100000000000001" customHeight="1" x14ac:dyDescent="0.25">
      <c r="A129"/>
    </row>
    <row r="130" spans="1:1" ht="20.100000000000001" customHeight="1" x14ac:dyDescent="0.25">
      <c r="A130"/>
    </row>
    <row r="131" spans="1:1" ht="20.100000000000001" customHeight="1" x14ac:dyDescent="0.25">
      <c r="A131"/>
    </row>
    <row r="132" spans="1:1" ht="20.100000000000001" customHeight="1" x14ac:dyDescent="0.25">
      <c r="A132"/>
    </row>
    <row r="133" spans="1:1" ht="20.100000000000001" customHeight="1" x14ac:dyDescent="0.25">
      <c r="A133"/>
    </row>
    <row r="134" spans="1:1" ht="20.100000000000001" customHeight="1" x14ac:dyDescent="0.25">
      <c r="A134"/>
    </row>
    <row r="135" spans="1:1" ht="20.100000000000001" customHeight="1" x14ac:dyDescent="0.25">
      <c r="A135"/>
    </row>
    <row r="136" spans="1:1" ht="20.100000000000001" customHeight="1" x14ac:dyDescent="0.25">
      <c r="A136"/>
    </row>
    <row r="137" spans="1:1" ht="20.100000000000001" customHeight="1" x14ac:dyDescent="0.25">
      <c r="A137"/>
    </row>
    <row r="138" spans="1:1" ht="20.100000000000001" customHeight="1" x14ac:dyDescent="0.25">
      <c r="A138"/>
    </row>
    <row r="139" spans="1:1" ht="20.100000000000001" customHeight="1" x14ac:dyDescent="0.25">
      <c r="A139"/>
    </row>
    <row r="140" spans="1:1" ht="20.100000000000001" customHeight="1" x14ac:dyDescent="0.25">
      <c r="A140"/>
    </row>
    <row r="141" spans="1:1" ht="20.100000000000001" customHeight="1" x14ac:dyDescent="0.25">
      <c r="A141"/>
    </row>
    <row r="142" spans="1:1" ht="20.100000000000001" customHeight="1" x14ac:dyDescent="0.25">
      <c r="A142"/>
    </row>
    <row r="143" spans="1:1" ht="20.100000000000001" customHeight="1" x14ac:dyDescent="0.25">
      <c r="A143"/>
    </row>
    <row r="144" spans="1:1" ht="20.100000000000001" customHeight="1" x14ac:dyDescent="0.25">
      <c r="A144"/>
    </row>
    <row r="145" spans="1:1" ht="20.100000000000001" customHeight="1" x14ac:dyDescent="0.25">
      <c r="A145"/>
    </row>
    <row r="146" spans="1:1" ht="20.100000000000001" customHeight="1" x14ac:dyDescent="0.25">
      <c r="A146"/>
    </row>
    <row r="147" spans="1:1" ht="20.100000000000001" customHeight="1" x14ac:dyDescent="0.25">
      <c r="A147"/>
    </row>
    <row r="148" spans="1:1" ht="20.100000000000001" customHeight="1" x14ac:dyDescent="0.25">
      <c r="A148"/>
    </row>
    <row r="149" spans="1:1" ht="20.100000000000001" customHeight="1" x14ac:dyDescent="0.25">
      <c r="A149"/>
    </row>
    <row r="150" spans="1:1" ht="20.100000000000001" customHeight="1" x14ac:dyDescent="0.25">
      <c r="A150"/>
    </row>
    <row r="151" spans="1:1" ht="20.100000000000001" customHeight="1" x14ac:dyDescent="0.25">
      <c r="A151"/>
    </row>
    <row r="152" spans="1:1" ht="20.100000000000001" customHeight="1" x14ac:dyDescent="0.25">
      <c r="A152"/>
    </row>
    <row r="153" spans="1:1" ht="20.100000000000001" customHeight="1" x14ac:dyDescent="0.25">
      <c r="A153"/>
    </row>
    <row r="154" spans="1:1" ht="20.100000000000001" customHeight="1" x14ac:dyDescent="0.25">
      <c r="A154"/>
    </row>
    <row r="155" spans="1:1" ht="20.100000000000001" customHeight="1" x14ac:dyDescent="0.25">
      <c r="A155"/>
    </row>
    <row r="156" spans="1:1" ht="20.100000000000001" customHeight="1" x14ac:dyDescent="0.25">
      <c r="A156"/>
    </row>
    <row r="157" spans="1:1" ht="20.100000000000001" customHeight="1" x14ac:dyDescent="0.25">
      <c r="A157"/>
    </row>
    <row r="158" spans="1:1" ht="20.100000000000001" customHeight="1" x14ac:dyDescent="0.25">
      <c r="A158"/>
    </row>
    <row r="159" spans="1:1" ht="20.100000000000001" customHeight="1" x14ac:dyDescent="0.25">
      <c r="A159"/>
    </row>
    <row r="160" spans="1:1" ht="20.100000000000001" customHeight="1" x14ac:dyDescent="0.25">
      <c r="A160"/>
    </row>
    <row r="161" spans="1:1" ht="20.100000000000001" customHeight="1" x14ac:dyDescent="0.25">
      <c r="A161"/>
    </row>
    <row r="162" spans="1:1" ht="20.100000000000001" customHeight="1" x14ac:dyDescent="0.25">
      <c r="A162"/>
    </row>
    <row r="163" spans="1:1" ht="20.100000000000001" customHeight="1" x14ac:dyDescent="0.25">
      <c r="A163"/>
    </row>
    <row r="164" spans="1:1" ht="20.100000000000001" customHeight="1" x14ac:dyDescent="0.25">
      <c r="A164"/>
    </row>
    <row r="165" spans="1:1" ht="20.100000000000001" customHeight="1" x14ac:dyDescent="0.25">
      <c r="A165"/>
    </row>
    <row r="166" spans="1:1" ht="20.100000000000001" customHeight="1" x14ac:dyDescent="0.25">
      <c r="A166"/>
    </row>
    <row r="167" spans="1:1" ht="20.100000000000001" customHeight="1" x14ac:dyDescent="0.25">
      <c r="A167"/>
    </row>
    <row r="168" spans="1:1" ht="20.100000000000001" customHeight="1" x14ac:dyDescent="0.25">
      <c r="A168"/>
    </row>
    <row r="169" spans="1:1" ht="20.100000000000001" customHeight="1" x14ac:dyDescent="0.25">
      <c r="A169"/>
    </row>
    <row r="170" spans="1:1" ht="20.100000000000001" customHeight="1" x14ac:dyDescent="0.25">
      <c r="A170"/>
    </row>
    <row r="171" spans="1:1" ht="20.100000000000001" customHeight="1" x14ac:dyDescent="0.25">
      <c r="A171"/>
    </row>
    <row r="172" spans="1:1" ht="20.100000000000001" customHeight="1" x14ac:dyDescent="0.25">
      <c r="A172"/>
    </row>
    <row r="173" spans="1:1" ht="20.100000000000001" customHeight="1" x14ac:dyDescent="0.25">
      <c r="A173"/>
    </row>
    <row r="174" spans="1:1" ht="20.100000000000001" customHeight="1" x14ac:dyDescent="0.25">
      <c r="A174"/>
    </row>
    <row r="175" spans="1:1" ht="20.100000000000001" customHeight="1" x14ac:dyDescent="0.25">
      <c r="A175"/>
    </row>
    <row r="176" spans="1:1" ht="20.100000000000001" customHeight="1" x14ac:dyDescent="0.25">
      <c r="A176"/>
    </row>
    <row r="177" spans="1:1" ht="20.100000000000001" customHeight="1" x14ac:dyDescent="0.25">
      <c r="A177"/>
    </row>
    <row r="178" spans="1:1" ht="20.100000000000001" customHeight="1" x14ac:dyDescent="0.25">
      <c r="A178"/>
    </row>
    <row r="179" spans="1:1" ht="20.100000000000001" customHeight="1" x14ac:dyDescent="0.25">
      <c r="A179"/>
    </row>
    <row r="180" spans="1:1" ht="20.100000000000001" customHeight="1" x14ac:dyDescent="0.25">
      <c r="A180"/>
    </row>
    <row r="181" spans="1:1" ht="20.100000000000001" customHeight="1" x14ac:dyDescent="0.25">
      <c r="A181"/>
    </row>
    <row r="182" spans="1:1" ht="20.100000000000001" customHeight="1" x14ac:dyDescent="0.25">
      <c r="A182"/>
    </row>
    <row r="183" spans="1:1" ht="20.100000000000001" customHeight="1" x14ac:dyDescent="0.25">
      <c r="A183"/>
    </row>
    <row r="184" spans="1:1" ht="20.100000000000001" customHeight="1" x14ac:dyDescent="0.25">
      <c r="A184"/>
    </row>
    <row r="185" spans="1:1" ht="20.100000000000001" customHeight="1" x14ac:dyDescent="0.25">
      <c r="A185"/>
    </row>
    <row r="186" spans="1:1" ht="20.100000000000001" customHeight="1" x14ac:dyDescent="0.25">
      <c r="A186"/>
    </row>
    <row r="187" spans="1:1" ht="20.100000000000001" customHeight="1" x14ac:dyDescent="0.25">
      <c r="A187"/>
    </row>
    <row r="188" spans="1:1" ht="20.100000000000001" customHeight="1" x14ac:dyDescent="0.25">
      <c r="A188"/>
    </row>
    <row r="189" spans="1:1" ht="20.100000000000001" customHeight="1" x14ac:dyDescent="0.25">
      <c r="A189"/>
    </row>
    <row r="190" spans="1:1" ht="20.100000000000001" customHeight="1" x14ac:dyDescent="0.25">
      <c r="A190"/>
    </row>
    <row r="191" spans="1:1" ht="20.100000000000001" customHeight="1" x14ac:dyDescent="0.25">
      <c r="A191"/>
    </row>
    <row r="192" spans="1:1" ht="20.100000000000001" customHeight="1" x14ac:dyDescent="0.25">
      <c r="A192"/>
    </row>
    <row r="193" spans="1:1" ht="20.100000000000001" customHeight="1" x14ac:dyDescent="0.25">
      <c r="A193"/>
    </row>
    <row r="194" spans="1:1" ht="20.100000000000001" customHeight="1" x14ac:dyDescent="0.25">
      <c r="A194"/>
    </row>
    <row r="195" spans="1:1" ht="20.100000000000001" customHeight="1" x14ac:dyDescent="0.25">
      <c r="A195"/>
    </row>
  </sheetData>
  <dataValidations count="3">
    <dataValidation type="list" allowBlank="1" showInputMessage="1" showErrorMessage="1" sqref="G7" xr:uid="{55B06BCC-92EE-40E9-96B5-52BD30A8679E}">
      <formula1>INDIRECT("Table_SourceData_DataQuality_SampleSize[ID]")</formula1>
    </dataValidation>
    <dataValidation type="list" allowBlank="1" showInputMessage="1" showErrorMessage="1" sqref="F7" xr:uid="{31066E02-D9AC-4AF9-AA7B-2A1D321E9C14}">
      <formula1>INDIRECT("Table_SourceData_DataQuality_SpatialRepresentativeness[ID]")</formula1>
    </dataValidation>
    <dataValidation type="list" allowBlank="1" showInputMessage="1" showErrorMessage="1" sqref="E7" xr:uid="{D7E1FE23-F157-4ED2-B848-454A8FC55D46}">
      <formula1>INDIRECT("Table_SourceData_DataQuality_TemporalRepresentativeness[ID]")</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LAAiAGYAaQBsAGUAcwAiADoAWwB7ACIAcABhAHQAaAAiADoAIgAvAHAAcgBvAGoAZQBjAHQAcwAvAFcAbwByAGsAYgBvAG8AawAiACwAIgB0AGUAeAB0ACIAOgAiAC8ALwAgAC0ALQAtACAAVwBvAHIAawBiAG8AbwBrACAAbQBvAGQAdQBsAGUAIAAtAC0ALQBcAG4ALwAvACAAQQAgAGYAaQBsAGUAIABvAGYAIABuAGEAbQBlACAAZABlAGYAaQBuAGkAdABpAG8AbgBzACAAbwBmACAAdABoAGUAIABmAG8AcgBtADoAXABuAC8ALwAgACAAIAAgAG4AYQBtAGUAIAA9ACAAZABlAGYAaQBuAGkAdABpAG8AbgA7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IABbAFYAYQBsAHUAZQBJAEYARgBhAGwAcwBlAF0ALABcAG4AIAAgACAAIABYAEwATwBPAEsAVQBQACgAMQAsACAAKABMAG8AbwBrAHUAcABBAHIAcgBhAHkAMQA9AEwAbwBvAGsAdQBwAFYAYQBsAHUAZQAxACkAKgAoAEwAbwBvAGsAdQBwAEEAcgByAGEAeQAyAD0ATABvAG8AawB1AHAAVgBhAGwAdQBlADIAKQAsACAAUgBlAHQAdQByAG4AQQByAHIAYQB5ACwAIABJAEYAKABJAFMATwBNAEkAVABUAEUARAAoAFYAYQBsAHUAZQBJAEYARgBhAGwAcwBlACkALAAgAFwAIgBcACIALAAgAFYAYQBsAHUAZQBJAEYARgBhAGwAcwBlACk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CAAWwBWAGEAbAB1AGUASQBmAEYAYQBsAHMAZQBdACwAXABuACAAIAAgACAASQBGAEUAUgBSAE8AUgAoAFwAbgAgACAAIAAgACAAIAAgACAAWABMAE8ATwBLAFUAUAAoAEwAbwBvAGsAdQBwAFYAYQBsAHUAZQAxACwAIABMAG8AbwBrAHUAcABBAHIAcgBhAHkAMQAsAFwAbgAgACAAIAAgACAAIAAgACAAIAAgACAAIABYAEwATwBPAEsAVQBQACgATABvAG8AawB1AHAAVgBhAGwAdQBlADIALAAgAEwAbwBvAGsAdQBwAEEAcgByAGEAeQAyACwAIABSAGUAdAB1AHIAbgBBAHIAcgBhAHkAKQBcAG4AIAAgACAAIAAgACAAIAAgACkALABcAG4AIAAgACAAIAAgACAAIAAgAEkARgAoAEkAUwBPAE0ASQBUAFQARQBEACgAVgBhAGwAdQBlAEkAZgBGAGEAbABzAGUAKQAsACAAXAAiAFwAIgAsACAAVgBhAGwAdQBlAEkAZgBGAGEAbABzAGUAKQBcAG4AIAAgACAAIAApAFwAbgApADsAXABuAFwAbgBVAHQAaQBsAGkAdAB5AF8AUwBwAGwAaQB0AFMAdAByAGkAbgBnAEkAbgB0AG8AQQByAHIAYQB5AFwAbgA9AEwAQQBNAEIARABBACgAXABuACAAIAAgACAAQwBlAGwAbAAsACAARABlAGwAaQBtAGkAdABlAHIALAAgAFsAQwBoAGEAcgBhAGMAdABlAHIAVABvAFIAZQBtAG8AdgBlADEAXQAsACAAWwBDAGgAYQByAGEAYwB0AGUAcgBUAG8AUgBlAG0AbwB2AGUAMgBdACwAXABuACAAIAAgACAAIAAgACAAIABGAEkATABUAEUAUgBYAE0ATAAoAFwAbgAgACAAIAAgACAAIAAgACAAXAAiAFwAdQAwADAAMwBjAHQAXAB1ADAAMAAzAGUAXAB1ADAAMAAzAGMAcwBcAHUAMAAwADMAZQBcACIAIABcAHUAMAAwADIAN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BcAHUAMAAwADMAYwAvAHMAXAB1ADAAMAAzAGUAXAB1ADAAMAAzAGMAcwBcAHUAMAAwADMAZQBcACIAXABuACAAIAAgACAAIAAgACAAIAApACAAXAB1ADAAMAAyADYAXABuACAAIAAgACAAIAAgACAAIABcACIAXAB1ADAAMAAzAGMALwBzAFwAdQAwADAAMwBlAFwAdQAwADAAMwBjAC8AdABcAHUAMAAwADMAZQ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XAB1ADAAMAAzAGMAPQBhAHYAZwBUAGUAbQBwACkAKgBcAG4AIAAgACAAIAAgACAAIAAgACgAVgBBAEwAVQBFACgAbQBhAHgAVABlAG0AcABBAHIAcgBhAHkAKQBcAHUAMAAwADMAZQA9AGEAdgBnAFQAZQBtAHAAKQAqAFwAbgAgACAAIAAgACAAIAAgACAAKABWAEEATABVAEUAKABtAGkAbgBSAGEAaQBuAGYAYQBsAGwAQQByAHIAYQB5ACkAXAB1ADAAMAAzAGMAPQBhAHYAZwBSAGEAaQBuACkAKgBcAG4AIAAgACAAIAAgACAAIAAgACgAVgBBAEwAVQBFACgAbQBhAHgAUgBhAGkAbgBmAGEAbABsAEEAcgByAGEAeQApAFwAdQAwADAAMwBlAD0AYQB2AGcAUgBhAGkAbgApACoAXABuACAAIAAgACAAIAAgACAAIAAoAFYAQQBMAFUARQAoAG0AaQBuAEYAcgBvAHMAdABBAHIAcgBhAHkAKQBcAHUAMAAwADMAYwA9AGYAcgBvAHMAdABEAGEAeQBzACkAKgBcAG4AIAAgACAAIAAgACAAIAAgACgAVgBBAEwAVQBFACgAbQBhAHgARgByAG8AcwB0AEEAcgByAGEAeQApAFwAdQAwADAAMwBlAD0AZgByAG8AcwB0AEQAYQB5AHMAKQAqAFwAbgAgACAAIAAgACAAIAAgACAAKABWAEEATABVAEUAKABtAGkAbgBFAGwAZQB2AGEAdABpAG8AbgBBAHIAcgBhAHkAKQBcAHUAMAAwADMAYwA9AGUAbABlAHYAKQAqAFwAbgAgACAAIAAgACAAIAAgACAAKABWAEEATABVAEUAKABtAGEAeABFAGwAZQB2AGEAdABpAG8AbgBBAHIAcgBhAHkAKQBcAHUAMAAwADMAZQA9AGUAbABlAHYAKQAqAFwAbgAgACAAIAAgACAAIAAgACAAKABWAEEATABVAEUAKABtAGkAbgBQAEUAVABBAHIAcgBhAHkAKQBcAHUAMAAwADMAYwA9AG0AYQBwAF8AcABlAHQAKQAqAFwAbgAgACAAIAAgACAAIAAgACAAKABWAEEATABVAEUAKABtAGEAeABQAEUAVABBAHIAcgBhAHkAKQBcAHUAMAAwADMAZQA9AG0AYQBwAF8AcABlAHQAKQAsAFwAbgAgACAAIAAgACAAIAAgACAAVABBAEsARQAoAFwAbgAgACAAIAAgACAAIAAgACAAIAAgACAAIABGAEkATABUAEUAUgAoAGMAbABpAG0AYQB0AGUAWgBvAG4AZQBBAHIAcgBhAHkALABtAGEAcwBrACwAIABcACIATgBvACAAbQBhAHQAYwBoAFwAIgApACwAXABuACAAIAAgACAAIAAgACAAIAAgACAAIAAgADEAXABuACAAIAAgACAAIAAgACAAIAApAFwAbgAgACAAIAAgACkAXABuACkAOwBcAG4AXABuAFUAdABpAGwAaQB0AHkAXwBMAG8AbwBrAHUAcABJAHQAZQBtAEYAcgBvAG0ATQBpAG4ATQBhAHgAXABuAD0ATABBAE0AQgBEAEEAKABcAG4AIAAgACAAIABMAG8AbwBrAHUAcABWAGEAbAB1AGUALAAgAE0AaQBuAEEAcgByAGEAeQAsACAATQBhAHgAQQByAHIAYQB5ACwAIABJAHQAZQBtAEEAcgByAGEAeQAsAFwAbgAgACAAIAAgAEwARQBUACgAXABuACAAIAAgACAAIAAgACAAIABtAGEAcwBrACwAXABuACAAIAAgACAAIAAgACAAIAAoAFYAQQBMAFUARQAoAE0AaQBuAEEAcgByAGEAeQApAFwAdQAwADAAMwBjAD0ATABvAG8AawB1AHAAVgBhAGwAdQBlACkAKgBcAG4AIAAgACAAIAAgACAAIAAgACgAVgBBAEwAVQBFACgATQBhAHgAQQByAHIAYQB5ACkAXAB1ADAAMAAzAGU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FwAdQAwADAAMwBjACAAUwApACwAXABuACAAIAAgACAAIAAgACAAIABsAGEAcwB0AFkAZQBhAHIALAB5AGIALQAoAEQAQQBUAEUAKAB5AGIALABtACwAZAApAFwAdQAwADAAMwBl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BcAHUAMAAwADIANwB0ACAAbwB2AGUAcgBsAGEAcAA7ACAAbQBvAHYAZQAgAHQAbwAgAG4AZQB4AHQAIAB5AGUAYQByACoALwBcAG4AIAAgACAAIAAgACAAIAAgAGYAaQByAHMAdABZAGUAYQByACwAeQBhACsAKABQAGUAcgBpAG8AZABFAG4AZAAoAEQAQQBUAEUAKAB5AGEALABtACwAZAApACkAXAB1ADAAMAAzAGMAUwApACwAIAAvACoAaQBmACAAdABoAGUAIABhAG4AYwBoAG8AcgAgAGYAbwByACAAeQBiACAAcwB0AGEAcgB0AHMAIABhAGYAdABlAHIAIABFACwAaQB0ACAAYwBhAG4AXAB1ADAAMAAyADcAdAAgAG8AdgBlAHIAbABhAHAAOwAgAG0AbwB2AGUAIAB0AG8AIABwAHIAZQB2AGkAbwB1AHMAIAB5AGUAYQByACoALwBcAG4AIAAgACAAIAAgACAAIAAgAGwAYQBzAHQAWQBlAGEAcgAsAHkAYgAtACgARABBAFQARQAoAHkAYgAsAG0ALABkACkAXAB1ADAAMAAzAGU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FwAdQAwADAAMgA2ACAAXAAiACAAdABvACAAXAAiACAAXAB1ADAAMAAyADYAIABlAG4AZABzAFQAZQB4AHQAIABcAHUAMAAwADIAN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dQAwADAAMgA3AFwAIgAgAFwAdQAwADAAMgA2ACAAcwBoACAAXAB1ADAAMAAyADYAIABcACIAXAB1ADAAMAAyADcAIQBcACIAIABcAHUAMAAwADIAN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XAB1ADAAMAAyAD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UgBPAFUATgBEACgAVABlAG0AcABlAHIAYQB0AHUAcgBlACwAIAAwACk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BcAHUAMAAwADIANwBCAGEAcwBpAHMAXAB1ADAAMAAyAD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BcAHUAMAAwADIANwBTAGMAbwBwAGUAIAAzACAAZABlAGYAaQBuAGkAdABpAG8AbgBcAHUAMAAwADIANwAgAGMAbwBsAHUAbQBuACAAdABvACAAYQBsAGwAbwB3ACAAbQBhAHAAcABpAG4AZwAgAHcAaQB0AGgAIABzAGMAbwBwAGUAIAAzACAAZABhAHQAYQBcACIAOwBcAG4AIAAgAFwAIgBBAGQAZABlAGQAIABcAHUAMAAwADIANwBTAG8AdQByAGMAZQBcAHUAMAAwADIAN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BcAHUAMAAwADIANwBSAGUAZgBlAHIAZQBuAGMAZQBzAFwAdQAwADAAMgA3ACAAYwBvAGwAdQBtAG4AXAAiADsAXABuACAAIABcACIARQB4AGMAbAB1AGQAZQBkACAAXAB1ADAAMAAyADcAQQBtAG0AbwBuAGkAdQBtACAAcwB1AGwAZgBhAHQAZQBcAHUAMAAwADIANwAgAGEAcwAgAGkAdAAgAGkAcwAgAGEAIABkAHUAcABsAGkAYwBhAHQAZQAgAG8AZgAgAFwAdQAwADAAMgA3AFMAdQBsAHAAaABhAHQAZQAgAG8AZgAgAGEAbQBtAG8AbgBpAGEAIAAoAFMATwBBACkAXAB1ADAAMAAyADcAXAAiADsAXABuACAAIABcACIARQB4AGMAbAB1AGQAZQBkACAAXAB1ADAAMAAyADcAQwBhAGwAYwBpAHUAbQAgAG4AaQB0AHIAYQB0AGUAXAB1ADAAMAAyADcAIABhAHMAIABuAG8AIABzAGMAbwBwAGUAIAAzACAAdgBhAGwAdQBlACAAYQB2AGEAaQBsAGEAYgBsAGUALgBcACIAOwBcAG4AIAAgAFwAIgBTAGUAdAAgAFwAdQAwADAAMgA3AE4AaQB0AHIAbwBnAGUAbgAgAC0AIABHAGUAbgBlAHIAaQBjAFwAdQAwADAAMgA3ACAAYgBhAHMAaQBzACAAYQBzACAAXAB1ADAAMAAyAD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FwAdQAwADAAMgA3AFUAcgBlAGEALQBhAG0AbQBvAG4AaQB1AG0AIABuAGkAdAByAGEAdABlAFwAdQAwADAAMgA3ACAAYgBhAHMAaQBzACAAYQBzACAAXAB1ADAAMAAyADcAVQByAGUAYQAtAGIAYQBzAGUAZAAgAGYAZQByAHQAaQBsAGkAcwBlAHIAXAB1ADAAMAAyAD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CkAKQA7AFwAbgBcAG4ARgBlAHIAdABpAGwAaQBzAGUAcgBfAEYAcgBhAGMARwBBAFMARgBfAEQAYQB0AGEAXABuAD0ATABBAE0AQgBEAEEAKABcAG4AIABNAEEASwBFAEEAUgBSAEEAWQAoADYALAAgADIALABcAG4AIABMAEEATQBCAEQAQQAoAHIALABjACwAXABuACAAIABJAE4ARABFAFgAKAB7AFwAbgAgACAAXAAiAEYAZQByAHQAaQBsAGkAcwBlAHIAIAB0AHkAcABlACAAZgBcACIALAAgAFwAIgBGAHIAYQBjAEcAQQBTAEYAZgBcACIAOwBcAG4AIAAgAFwAIgBVAHIAZQBhAC0AYgBhAHMAZQBkACAAZgBlAHIAdABpAGwAaQBzAGUAcgBzAFwAIgAsACAAMAAuADEANQA7AFwAbgAgACAAXAAiAEEAbQBtAG8AbgBpAHUAbQAtAGIAYQBzAGUAZAAgAGYAZQByAHQAaQBsAGkAcwBlAHIAcwBcACIALAAgADAALgAwADgAOwBcAG4AIAAgAFwAIgBOAGkAdAByAGEAdABlAC0AYgBhAHMAZQBkACAAZgBlAHIAdABpAGwAaQBzAGUAcgBzAFwAIgAsACAAMAAuADAAMQA7AFwAbgAgACAAXAAiAEEAbQBtAG8AbgBpAHUAbQAtAG4AaQB0AHIAYQB0AGUAIABiAGEAcwBlAGQAIABmAGUAcgB0AGkAbABpAHMAZQByAHMAXAAiACwAIAAwAC4AMAA1ADsAXABuACAAIABcACIATwB0AGgAZQByACAAZgBlAHIAdABpAGwAaQBzAGUAcgBzAFwAIgAsACAAMAAuADEAMQBcAG4AIAAgAH0ALAAgAHIALAAgAGMAKQBcAG4AKQApACkAOwBcAG4AXABuAEYAZQByAHQAaQBsAGkAcwBlAHIAXwBGAHIAYQBjAEcAQQBTAEY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MAYQByAGIAbwBuACAAZQBtAGkAcwBzAGkAbwBuAHMAIABmAHIAbwBtACAAdQByAGUAYQAgAGEAcABwAGwAaQBjAGEAdABpAG8AbgBcAG4APQA9AD0APQA9AD0APQA9AD0APQA9AD0APQA9AD0APQA9AD0APQA9AD0APQA9AD0APQA9AD0APQA9AD0APQA9AD0APQA9AD0APQA9AD0APQA9AD0APQA9AD0APQA9AD0APQA9AD0APQA9AD0APQA9AD0APQA9AD0APQA9AD0APQA9AD0APQA9AD0APQA9AD0APQA9AD0APQBcAG4AKgAvAFwAbgBcAG4ARgBlAHIAdABpAGwAaQBzAGUAcgBfAEUARgBVAHIAZQBhAEMATwAyAF8AVABpAHQAbABlAFwAbgA9AEwAQQBNAEIARABBACgAKABcACIARQBtAGkAcwBzAGkAbwBuACAAZgBhAGMAdABvAHIAIABmAG8AcgAgAGMAYQByAGIAbwBuACAAZQBtAGkAcwBzAGkAbwBuAHMAIABmAHIAbwBtACAAdQByAGUAYQAgAGEAcABwAGwAaQBjAGEAdABpAG8AbgBcACIAKQApADsAXABuAFwAbgBGAGUAcgB0AGkAbABpAHMAZQByAF8ARQBGAFUAcgBlAGEAQwBPADIAXwBTAG8AdQByAGMAZQBcAG4APQBMAEEATQBCAEQAQQAoACgAXAAiAFYARQBFAFIARwAgADIAMAAyADYAOgAgADUALgAxAC4AMgAuADIAIABDAG8AbgBzAHQAYQBuAHQAIABQAGEAcgBhAG0AZQB0AGUAcgBzAFwAIgApACkAOwBcAG4AXABuAEYAZQByAHQAaQBsAGkAcwBlAHIAXwBFAEYAVQByAGUAYQBDAE8AMgBfAFYAYQByAGkAYQBiAGwAZQBcAG4APQBMAEEATQBCAEQAQQAoACgAXAAiAEUARgB1AHIAZQBhAEMATwAyAFwAIgApACkAOwBcAG4AXABuAEYAZQByAHQAaQBsAGkAcwBlAHIAXwBFAEYAVQByAGUAYQBDAE8AMgBfAFUAbgBpAHQAXABuAD0ATABBAE0AQgBEAEEAKAAoAFwAIgBrAGcAIABDAC8AawBnACAAdQByAGUAYQBcACIAKQApADsAXABuAFwAbgBGAGUAcgB0AGkAbABpAHMAZQByAF8ARQBGAFUAcgBlAGEAQwBPADIAXwBEAGEAdABhAFwAbgA9AEwAQQBNAEIARABBACgAMAAuADIAKQA7AFwAbgBcAG4ARgBlAHIAdABpAGwAaQBzAGUAcgBfAEUARgBVAHIAZQBhAEMATwAy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YAcgBhAGMAdABpAG8AbgAgAG8AZgAgAG8AcgBnAGEAbgBpAGMAIABmAGUAcgB0AGkAbABpAHMAZQByACAAdABoAGEAdAAgAHYAbwBsAGEAdABpAGwAaQBzAGUAcwAgAGEAcwAgAE4ASAAzACAAYQBuAGQAIABOAE8AeABcAG4APQA9AD0APQA9AD0APQA9AD0APQA9AD0APQA9AD0APQA9AD0APQA9AD0APQA9AD0APQA9AD0APQA9AD0APQA9AD0APQA9AD0APQA9AD0APQA9AD0APQA9AD0APQA9AD0APQA9AD0APQA9AD0APQA9AD0APQA9AD0APQA9AD0APQA9AD0APQA9AD0APQA9AD0APQA9AD0APQBcAG4AKgAvAFwAbgBcAG4ARgBlAHIAdABpAGwAaQBzAGUAcgBfAEYAcgBhAGMARwBBAFMATQBTAG8AaQBsAF8AVABpAHQAbABlAFwAbgA9AEwAQQBNAEIARABBACgAKABcACIARgByAGEAYwB0AGkAbwBuACAAbwBmACAAbwByAGcAYQBuAGkAYwAgAGYAZQByAHQAaQBsAGkAcwBlAHIAIAB0AGgAYQB0ACAAdgBvAGwAYQB0AGkAbABpAHMAZQBzACAAYQBzACAATgBIADMAIABhAG4AZAAgAE4ATwB4AFwAIgApACkAOwBcAG4AXABuAEYAZQByAHQAaQBsAGkAcwBlAHIAXwBGAHIAYQBjAEcAQQBTAE0AUwBvAGkAbABfAFMAbwB1AHIAYwBlAFwAbgA9AEwAQQBNAEIARABBACgAKABcACIAVgBFAEUAUgBHACAAMgAwADIANgA6ACAANQAuADQALgAyAC4AMwAgAEMAbwBuAHMAdABhAG4AdAAgAFAAYQByAGEAbQBlAHQAZQByAHMAXAAiACkAKQA7AFwAbgBcAG4ARgBlAHIAdABpAGwAaQBzAGUAcgBfAEYAcgBhAGMARwBBAFMATQBTAG8AaQBsAF8AVgBhAHIAaQBhAGIAbABlAFwAbgA9AEwAQQBNAEIARABBACgAKABcACIARgByAGEAYwBHAEEAUwBNAHMAbwBpAGwAXAAiACkAKQA7AFwAbgBcAG4ARgBlAHIAdABpAGwAaQBzAGUAcgBfAEYAcgBhAGMARwBBAFMATQBTAG8AaQBsAF8AVQBuAGkAdABcAG4APQBMAEEATQBCAEQAQQAoACgAXAAiACgAawBnACAATgBIADMALQBOACAAKwAgAE4ATwB4AC0ATgApAC8AawBnACAATgBcACIAKQApADsAXABuAFwAbgBGAGUAcgB0AGkAbABpAHMAZQByAF8ARgByAGEAYwBHAEEAUwBNAFMAbwBpAGwAXwBEAGEAdABhAFwAbgA9AEwAQQBNAEIARABBACgAMAAuADIAMQApADsAXABuAFwAbgBGAGUAcgB0AGkAbABpAHMAZQByAF8ARgByAGEAYwBHAEEAUwBNAFMAbwBpAGw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dABoAGEAdAAgAGkAcwAgAGwAbwBzAHQAIAB0AGgAcgBvAHUAZwBoACAAbABlAGEAYwBoAGkAbgBnACAAYQBuAGQAIAByAHUAbgBvAGYAZgBcAG4APQA9AD0APQA9AD0APQA9AD0APQA9AD0APQA9AD0APQA9AD0APQA9AD0APQA9AD0APQA9AD0APQA9AD0APQA9AD0APQA9AD0APQA9AD0APQA9AD0APQA9AD0APQA9AD0APQA9AD0APQA9AD0APQA9AD0APQA9AD0APQA9AD0APQA9AD0APQA9AD0APQA9AD0APQA9AD0APQBcAG4AKgAvAFwAbgBcAG4ARgBlAHIAdABpAGwAaQBzAGUAcgBfAEYAcgBhAGMATABFAEEAQwBIAF8AVABpAHQAbABlAFwAbgA9AEwAQQBNAEIARABBACgAKABcACIARgByAGEAYwB0AGkAbwBuACAAbwBmACAAbgBpAHQAcgBvAGcAZQBuACAAdABoAGEAdAAgAGkAcwAgAGwAbwBzAHQAIAB0AGgAcgBvAHUAZwBoACAAbABlAGEAYwBoAGkAbgBnACAAYQBuAGQAIAByAHUAbgBvAGYAZgBcACIAKQApADsAXABuAFwAbgBGAGUAcgB0AGkAbABpAHMAZQByAF8ARgByAGEAYwBMAEUAQQBDAEgAXwBTAG8AdQByAGMAZQBcAG4APQBMAEEATQBCAEQAQQAoACgAXAAiAFYARQBFAFIARwAgADIAMAAyADYAOgAgADUALgA1AC4AMgAuADMAIABDAG8AbgBzAHQAYQBuAHQAIABQAGEAcgBhAG0AZQB0AGUAcgBzAFwAIgApACkAOwBcAG4AXABuAEYAZQByAHQAaQBsAGkAcwBlAHIAXwBGAHIAYQBjAEwARQBBAEMASABfAFYAYQByAGkAYQBiAGwAZQBcAG4APQBMAEEATQBCAEQAQQAoACgAXAAiAEYAcgBhAGMATABFAEEAQwBIAFwAIgApACkAOwBcAG4AXABuAEYAZQByAHQAaQBsAGkAcwBlAHIAXwBGAHIAYQBjAEwARQBBAEMASABfAFUAbgBpAHQAXABuAD0ATABBAE0AQgBEAEEAKAAoAFwAIgBmAHIAYQBjAHQAaQBvAG4AXAAiACkAKQA7AFwAbgBcAG4ARgBlAHIAdABpAGwAaQBzAGUAcgBfAEYAcgBhAGMATABFAEEAQwBIAF8ARABhAHQAYQBcAG4APQBMAEEATQBCAEQAQQAoADAALgAyADQAKQA7AFwAbgBcAG4ARgBlAHIAdABpAGwAaQBzAGUAcgBfAEYAcgBhAGMATABFAEEAQwBIAF8AVgBhAHIAaQBhAHQAaQBvAG4AXABuAD0ATABBAE0AQgBEAEEAKABcACIAXAAiACkAOwBcAG4AXABuAFwAbgAvACoAXABuAD0APQA9AD0APQA9AD0APQA9AD0APQA9AD0APQA9AD0APQA9AD0APQA9AD0APQA9AD0APQA9AD0APQA9AD0APQA9AD0APQA9AD0APQA9AD0APQA9AD0APQA9AD0APQA9AD0APQA9AD0APQA9AD0APQA9AD0APQA9AD0APQA9AD0APQA9AD0APQA9AD0APQA9AD0APQA9AD0AXABuAEUAbQBpAHMAcwBpAG8AbgAgAGYAYQBjAHQAbwByACAAZgBvAHIAIABuAGkAdAByAG8AZwBlAG4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QBGAEwAZQBhAGMAaABfAFQAaQB0AGwAZQBcAG4APQBMAEEATQBCAEQAQQAoACgAXAAiAEUAbQBpAHMAcwBpAG8AbgAgAGYAYQBjAHQAbwByACAAZgBvAHIAIABuAGkAdAByAG8AZwBlAG4AIABsAGUAYQBjAGgAaQBuAGcAIABhAG4AZAAgAHIAdQBuAG8AZgBmAFwAIgApACkAOwBcAG4AXABuAEYAZQByAHQAaQBsAGkAcwBlAHIAXwBFAEYATABlAGEAYwBoAF8AUwBvAHUAcgBjAGUAXABuAD0ATABBAE0AQgBEAEEAKAAoAFwAIgBWAEUARQBSAEcAIAAyADAAMgA2ADoAIAA1AC4ANQAuADIALgAzACAAQwBvAG4AcwB0AGEAbgB0ACAAUABhAHIAYQBtAGUAdABlAHIAcwBcACIAKQApADsAXABuAFwAbgBGAGUAcgB0AGkAbABpAHMAZQByAF8ARQBGAEwAZQBhAGMAaABfAFYAYQByAGkAYQBiAGwAZQBcAG4APQBMAEEATQBCAEQAQQAoACgAXAAiAEUARgBMAGUAYQBjAGgAXAAiACkAKQA7AFwAbgBcAG4ARgBlAHIAdABpAGwAaQBzAGUAcgBfAEUARgBMAGUAYQBjAGgAXwBVAG4AaQB0AFwAbgA9AEwAQQBNAEIARABBACgAKABcACIAawBnACAATgAyAE8ALQBOACAALwAgAGsAZwAgAE4AXAAiACkAKQA7AFwAbgBcAG4ARgBlAHIAdABpAGwAaQBzAGUAcgBfAEUARgBMAGUAYQBjAGgAXwBEAGEAdABhAFwAbgA9AEwAQQBNAEIARABBACgAMAAuADAAMQAxACkAOwBcAG4AXABuAEYAZQByAHQAaQBsAGkAcwBlAHIAXwBFAEYATABlAGEAYwBoAF8AVgBhAHIAaQBhAHQAaQBvAG4AXABuAD0ATABBAE0AQgBEAEEAKABcACIAXAAiACkAOwBcAG4AXABuAFwAbgBcAG4ALwAqAFwAbgA9AD0APQA9AD0APQA9AD0APQA9AD0APQA9AD0APQA9AD0APQA9AD0APQA9AD0APQA9AD0APQA9AD0APQA9AD0APQA9AD0APQA9AD0APQA9AD0APQA9AD0APQA9AD0APQA9AD0APQA9AD0APQA9AD0APQA9AD0APQA9AD0APQA9AD0APQA9AD0APQA9AD0APQA9AD0APQA9AFwAbgBMAGkAbQBlACwAIABkAG8AbABvAG0AaQB0AGUAIABhAG4AZAAgAGcAeQBwAHMAdQBtAFwAbgA9AD0APQA9AD0APQA9AD0APQA9AD0APQA9AD0APQA9AD0APQA9AD0APQA9AD0APQA9AD0APQA9AD0APQA9AD0APQA9AD0APQA9AD0APQA9AD0APQA9AD0APQA9AD0APQA9AD0APQA9AD0APQA9AD0APQA9AD0APQA9AD0APQA9AD0APQA9AD0APQA9AD0APQA9AD0APQA9AFwAbgAqAC8AXABuAFwAbgBGAGUAcgB0AGkAbABpAHMAZQByAF8ATABpAG0AZQBEAG8AbABvAG0AaQB0AGUARwB5AHAAcwB1AG0AQwBvAG4AcwB0AGEAbgB0AHMAXwBUAGkAdABsAGUAXABuAD0ATABBAE0AQgBEAEEAKAAoAFwAIgBDAG8AbgBzAHQAYQBuAHQAcwAgAGYAbwByACAAbABpAG0AZQAsACAAZABvAGwAbwBtAGkAdABlACAAYQBuAGQAIABnAHkAcABzAHUAbQBcACIAKQApADsAXABuAFwAbgBGAGUAcgB0AGkAbABpAHMAZQByAF8ATABpAG0AZQBEAG8AbABvAG0AaQB0AGUARwB5AHAAcwB1AG0AQwBvAG4AcwB0AGEAbgB0AHMAXwBEAGUAcwBjAHIAaQBwAHQAaQBvAG4AXABuAD0ATABBAE0AQgBEAEEAKAAoAFwAIgBDAG8AbgBzAHQAYQBuAHQAcwAgAGYAbwByACAAbABpAG0AZQAsACAAZABvAGwAbwBtAGkAdABlACAAYQBuAGQAIABnAHkAcABzAHUAbQBcACIAKQApADsAXABuAFwAbgBGAGUAcgB0AGkAbABpAHMAZQByAF8ATABpAG0AZQBEAG8AbABvAG0AaQB0AGUARwB5AHAAcwB1AG0AQwBvAG4AcwB0AGEAbgB0AHMAXwBTAG8AdQByAGMAZQBcAG4APQBMAEEATQBCAEQAQQAoACgAXAAiAFYARQBFAFIARwAgADIAMAAyADYAOgAgADUALgAzAC4AMgAuADMAIABDAG8AbgBzAHQAYQBuAHQAIABQAGEAcgBhAG0AZQB0AGUAcgBzAFwAIgApACkAOwBcAG4AXABuAEYAZQByAHQAaQBsAGkAcwBlAHIAXwBMAGkAbQBlAEQAbwBsAG8AbQBpAHQAZQBHAHkAcABzAHUAbQBDAG8AbgBzAHQAYQBuAHQAcwBfAEQAYQB0AGEAXABuAD0ATABBAE0AQgBEAEEAKABcAG4AIABNAEEASwBFAEEAUgBSAEEAWQAoADQALAAgADMALABcAG4AIABMAEEATQBCAEQAQQAoAHIALABjACwAXABuACAAIABJAE4ARABFAFgAKAB7AFwAbgAgACAAXAAiAEUAbABlAG0AZQBuAHQAXAAiACwAIABcACIAUABcACIALAAgAFwAIgBFAEYAXAAiADsAXABuACAAIABcACIATABpAG0AZQAgACgAQwBhAGwAYwBpAHUAbQAgAGMAYQByAGIAbwBuAGEAdABlACkAXAAiACwAIAAwAC4AOQAsACAAMAAuADEAMgA7AFwAbgAgACAAXAAiAEQAbwBsAG8AbQBpAHQAZQAgACgATQBhAGcAbgBlAHMAaQB1AG0AIABjAGEAcgBiAG8AbgBhAHQAZQApAFwAIgAsACAAMAAuADkANQAsACAAMAAuADEAMwA7AFwAbgAgACAAXAAiAEcAeQBwAHMAdQBtAFwAIgAsACAAMAAsACAAMABcAG4AIAAgAH0ALAAgAHIALAAgAGMAKQBcAG4AKQApACkAOwBcAG4AXABuAEYAZQByAHQAaQBsAGkAcwBlAHIAXwBMAGkAbQBlAEQAbwBsAG8AbQBpAHQAZQBHAHkAcABzAHUAbQBDAG8AbgBzAHQAYQBuAHQAcwBfAFYAYQByAGkAYQB0AGkAbwBuAFwAbgA9AEwAQQBNAEIARABBACgAKABcACIAVgBBAFIASQBBAFQASQBPAE4AIABGAFIATwBNACAAUwBPAFUAUgBDAEUAIABEAEEAVABBADoAIABHAHkAcABzAHUAbQAgAGgAYQBzACAAYgBlAGUAbgAgAGEAZABkAGUAZAAgAHcAaQB0AGgAIABwAGwAYQBjAGUAaABvAGwAZABlAHIAIAB2AGEAbAB1AGUAcwAgAG8AZgAgADAAIABmAG8AcgAgAFAAIABhAG4AZAAgAEUARgAuAFwAIgApACkAOwBcAG4AXABuAFwAbgAvACoAXABuAD0APQA9AD0APQA9AD0APQA9AD0APQA9AD0APQA9AD0APQA9AD0APQA9AD0APQA9AD0APQA9AD0APQA9AD0APQA9AD0APQA9AD0APQA9AD0APQA9AD0APQA9AD0APQA9AD0APQA9AD0APQA9AD0APQA9AD0APQA9AD0APQA9AD0APQA9AD0APQA9AD0APQA9AD0APQA9AD0AXABuAEYAcgBhAGMAdABpAG8AbgAgAG8AZgAgAG4AaQB0AHIAbwBnAGUAbg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TgBDAG8AbQBtAG8AbgBGAGUAcgB0AGkAbABpAHMAZQByAHMAXwBUAGkAdABsAGUAXABuAD0ATABBAE0AQgBEAEEAKAAoAFwAIgBGAHIAYQBjAHQAaQBvAG4AIABvAGYAIABuAGkAdAByAG8AZwBlAG4AIABpAG4AIABjAG8AbQBtAG8AbgAgAGkAbgBvAHIAZwBhAG4AaQBjACAAZgBlAHIAdABpAGwAaQBzAGUAcgBzACAAKABrAGcATgAvAGsAZwApACAAKABGAE4AbwByAGcAYQBuAGkAYwAsAGYAKQBcACIAKQApADsAXABuAFwAbgBGAGUAcgB0AGkAbABpAHMAZQByAF8ARgByAGEAYwB0AGkAbwBuAE4AQwBvAG0AbQBvAG4ARgBlAHIAdABpAGwAaQBzAGUAcgBzAF8AUwBvAHUAcgBjAGUAXABuAD0ATABBAE0AQgBEAEEAKAAoAFwAIgBWAEUARQBSAEcAIAAyADAAMgA2ADoAIABUAGEAYgBsAGUAIABBAC4AMgAuADIALgAzAFwAIgApACkAOwBcAG4AXABuAEYAZQByAHQAaQBsAGkAcwBlAHIAXwBGAHIAYQBjAHQAaQBvAG4ATgBDAG8AbQBtAG8AbgBGAGUAcgB0AGkAbABpAHMAZQByAHMAXwBEAGEAdABhAFwAbgA9AEwAQQBNAEIARABBACgAXABuACAATQBBAEsARQBBAFIAUgBBAFkAKAAxADAALAAgADIALABcAG4AIABMAEEATQBCAEQAQQAoAHIALABjACwAXABuACAAIABJAE4ARABFAFgAKAB7AFwAbgAgACAAXAAiAEYAZQByAHQAaQBsAGkAcwBlAHIAIABUAHkAcABlACAAZgBcACIALAAgAFwAIgBGAE4AaQBuAG8AcgBnAGEAbgBpAGMAZgBcACIAOwBcAG4AIAAgAFwAIgBNAG8AbgBvAGEAbQBtAG8AbgBpAHUAbQAgAHAAaABvAHMAcABoAGEAdABlACAAKABNAEEAUAApAFwAIgAsACAAMAAuADEAMAA7AFwAbgAgACAAXAAiAEQAaQBhAG0AbQBvAG4AaQB1AG0AIABwAGgAbwBzAHAAaABhAHQAZQAgACgARABBAFAAKQBcACIALAAgADAALgAxADgAOwBcAG4AIAAgAFwAIgBVAHIAZQBhAFwAIgAsACAAMAAuADQANgA7AFwAbgAgACAAXAAiAFMAdQBsAHAAaABhAHQAZQAgAG8AZgAgAGEAbQBtAG8AbgBpAGEAIAAoAFMATwBBACkAXAAiACwAIAAwAC4AMgAxADsAXABuACAAIABcACIAVQByAGUAYQAtAGEAbQBtAG8AbgBpAHUAbQAgAG4AaQB0AHIAYQB0AGUAIAAoAFUAQQBOACkAXAAiACwAIAAwAC4AMwAyADsAXABuACAAIABcACIAQQBtAG0AbwBuAGkAdQBtACAAbgBpAHQAcgBhAHQAZQAgACgAQQBOACkAXAAiACwAIAAwAC4AMwAzADcAOwBcAG4AIAAgAFwAIgBDAGEAbABjAGkAdQBtACAAYQBtAG0AbwBuAGkAdQBtACAAbgBpAHQAcgBhAHQAZQAgACgAQwBBAE4AKQBcACIALAAgADAALgAyADcAOwBcAG4AIAAgAFwAIgBBAG0AbQBvAG4AaQB1AG0AIABTAHUAbABmAGEAdABlAFwAIgAsACAAMAAuADIAMQA7AFwAbgAgACAAXAAiAEMAYQBsAGMAaQB1AG0AIABOAGkAdAByAGEAdABlAFwAIgAsACAAMAAuADEANQA1AFwAbgAgACAAfQAsACAAcgAsACAAYwApAFwAbgApACkAKQA7AFwAbgBcAG4ARgBlAHIAdABpAGwAaQBzAGUAcgBfAEYAcgBhAGMAdABpAG8AbgBO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dQByAGUAYQAgAGkAbgAgAGMAbwBtAG0AbwBuACAAa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EYAZQByAHQAaQBsAGkAcwBlAHIAXwBGAHIAYQBjAHQAaQBvAG4AVQByAGUAYQBDAG8AbQBtAG8AbgBGAGUAcgB0AGkAbABpAHMAZQByAHMAXwBUAGkAdABsAGUAXABuAD0ATABBAE0AQgBEAEEAKAAoAFwAIgBGAHIAYQBjAHQAaQBvAG4AIABvAGYAIAB1AHIAZQBhACAAaQBuACAAYwBvAG0AbQBvAG4AIABpAG4AbwByAGcAYQBuAGkAYwAgAGYAZQByAHQAaQBsAGkAcwBlAHIAcwAgACgAawBnACAAdQByAGUAYQAvAGsAZwApACAAKABGAFUAZgApAFwAIgApACkAOwBcAG4AXABuAEYAZQByAHQAaQBsAGkAcwBlAHIAXwBGAHIAYQBjAHQAaQBvAG4AVQByAGUAYQBDAG8AbQBtAG8AbgBGAGUAcgB0AGkAbABpAHMAZQByAHMAXwBTAG8AdQByAGMAZQBcAG4APQBMAEEATQBCAEQAQQAoACgAXAAiAFYARQBFAFIARwAgADIAMAAyADYAOgAgAFQAYQBiAGwAZQAgAEEALgAyAC4AMgAuADQAXAAiACkAKQA7AFwAbgBcAG4ARgBlAHIAdABpAGwAaQBzAGUAcgBfAEYAcgBhAGMAdABpAG8AbgBVAHIAZQBh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VQBmAFwAIgA7AFwAbgAgACAAXAAiAE0AbwBuAG8AYQBtAG0AbwBuAGkAdQBtACAAcABoAG8AcwBwAGgAYQB0AGUAIAAoAE0AQQBQACkAXAAiACwAIAAwADsAXABuACAAIABcACIARABpAGEAbQBtAG8AbgBpAHUAbQAgAHAAaABvAHMAcABoAGEAdABlACAAKABEAEEAUAApAFwAIgAsACAAMAA7AFwAbgAgACAAXAAiAFUAcgBlAGEAXAAiACwAIAAxADsAXABuACAAIABcACIAUwB1AGwAcABoAGEAdABlACAAbwBmACAAYQBtAG0AbwBuAGkAYQAgACgAUwBPAEEAKQBcACIALAAgADAAOwBcAG4AIAAgAFwAIgBVAHIAZQBhAC0AYQBtAG0AbwBuAGkAdQBtACAAbgBpAHQAcgBhAHQAZQAgACgAVQBBAE4AKQBcACIALAAgADAALgAzADUAOwBcAG4AIAAgAFwAIgBBAG0AbQBvAG4AaQB1AG0AIABuAGkAdAByAGEAdABlACAAKABBAE4AKQBcACIALAAgADAAOwBcAG4AIAAgAFwAIgBDAGEAbABjAGkAdQBtACAAYQBtAG0AbwBuAGkAdQBtACAAbgBpAHQAcgBhAHQAZQAgACgAQwBBAE4AKQBcACIALAAgADAAOwBcAG4AIAAgAFwAIgBBAG0AbQBvAG4AaQB1AG0AIABTAHUAbABmAGEAdABlAFwAIgAsACAAMAA7AFwAbgAgACAAXAAiAEMAYQBsAGMAaQB1AG0AIABOAGkAdAByAGEAdABlAFwAIgAsACAAMABcAG4AIAAgAH0ALAAgAHIALAAgAGMAKQBcAG4AKQApACkAOwBcAG4AXABuAEYAZQByAHQAaQBsAGkAcwBlAHIAXwBGAHIAYQBjAHQAaQBvAG4AVQByAGUAYQBDAG8AbQBtAG8AbgBGAGUAcgB0AGkAbABpAHMAZQByAHM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MAbwB1AHIAYwBlACAAcgBlAGcAaQBvAG4AcwAgAGYAbwByACAAdQByAGUAYQAgAGEAbgBkACAAYQBtAG0AbwBuAGkAYQBcAG4APQA9AD0APQA9AD0APQA9AD0APQA9AD0APQA9AD0APQA9AD0APQA9AD0APQA9AD0APQA9AD0APQA9AD0APQA9AD0APQA9AD0APQA9AD0APQA9AD0APQA9AD0APQA9AD0APQA9AD0APQA9AD0APQA9AD0APQA9AD0APQA9AD0APQA9AD0APQA9AD0APQA9AD0APQA9AD0APQBcAG4AKgAvAFwAbgBcAG4ARgBlAHIAdABpAGwAaQBzAGUAcgBfAFUAcgBlAGEAQQBtAG0AbwBuAGkAYQBTAG8AdQByAGMAZQBSAGUAZwBpAG8AbgBzAF8AVABpAHQAbABlAFwAbgA9AEwAQQBNAEIARABBACgAXAAiAFMAbwB1AHIAYwBlACAAcgBlAGcAaQBvAG4AcwAgAGYAbwByACAAdQByAGUAYQAgAGEAbgBkACAAYQBtAG0AbwBuAGkAYQBcACIAKQA7AFwAbgBcAG4ARgBlAHIAdABpAGwAaQBzAGUAcgBfAFUAcgBlAGEAQQBtAG0AbwBuAGkAYQBTAG8AdQByAGMAZQBSAGUAZwBpAG8AbgBzAF8AUwBvAHUAcgBjAGUAXABu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RgBlAHIAdABpAGwAaQBzAGUAcgBfAFUAcgBlAGEAQQBtAG0AbwBuAGkAYQBTAG8AdQByAGMAZQBSAGUAZwBpAG8AbgBzAF8ARABhAHQAYQBcAG4APQBMAEEATQBCAEQAQQAoAFwAbgAgAE0AQQBLAEUAQQBSAFIAQQBZACgANQAsACAAMQAsAFwAbgAgAEwAQQBNAEIARABBACgAcgAsAGMALABcAG4AIAAgAEkATgBEAEUAWAAoAHsAXABuACAAIABcACIAUwBvAHUAcgBjAGUAXAAiADsAXABuACAAIABcACIARwBsAG8AYgBhAGwAXAAiADsAXABuACAAIABcACIAQwBhAG4AYQBkAGEAXAAiADsAXABuACAAIABcACIAQwBoAGkAbgBhAFwAIgA7AFwAbgAgACAAXAAiAFkAZQBtAGUAbgBcACIAXABuACAAIAB9ACwAIAByACwAIABjACkAXABuACkAKQApADsAXABuAFwAbgAvACoAXABuAD0APQA9AD0APQA9AD0APQA9AD0APQA9AD0APQA9AD0APQA9AD0APQA9AD0APQA9AD0APQA9AD0APQA9AD0APQA9AD0APQA9AD0APQA9AD0APQA9AD0APQA9AD0APQA9AD0APQA9AD0APQA9AD0APQA9AD0APQA9AD0APQA9AD0APQA9AD0APQA9AD0APQA9AD0APQA9AD0AXABuAEIAcgBhAG4AZABlAGQAIABmAGUAcgB0AGkAbABpAHMAZQByACAAcAByAG8AZAB1AGMAdABzAFwAbgA9AD0APQA9AD0APQA9AD0APQA9AD0APQA9AD0APQA9AD0APQA9AD0APQA9AD0APQA9AD0APQA9AD0APQA9AD0APQA9AD0APQA9AD0APQA9AD0APQA9AD0APQA9AD0APQA9AD0APQA9AD0APQA9AD0APQA9AD0APQA9AD0APQA9AD0APQA9AD0APQA9AD0APQA9AD0APQA9AFwAbgAqAC8AXABuAFwAbgBGAGUAcgB0AGkAbABpAHMAZQByAF8AUAByAG8AZAB1AGMAdABzAF8AVABpAHQAbABlAFwAbgA9AEwAQQBNAEIARABBACgAKABcACIAQgByAGEAbgBkAGUAZAAgAGYAZQByAHQAaQBsAGkAcwBlAHIAIABwAHIAbwBkAHUAYwB0AHMAIABhAG4AZAAgAHQAaABlAGkAcgAgAGMAaABlAG0AaQBjAGEAbAAgAGMAbwBtAHAAbwBzAGkAdABpAG8AbgBcACIAKQApADsAXABuAFwAbgBGAGUAcgB0AGkAbABpAHMAZQByAF8AUAByAG8AZAB1AGMAdABzAF8AUwBvAHUAcgBjAGUAXABuAD0ATABBAE0AQgBEAEEAKAAoAFwAIgBcACIAKQApADsAXABuAFwAbgAvACoAXABuAEYAZQByAHQAaQBsAGkAcwBlAHIAIABwAHIAbwBkAHUAYwB0ACAAZABhAHQAYQAgAC0AIABFAHgAYwBlAGwAIABNAEEASwBFAEEAUgBSAEEAWQAgAGUAeABwAG8AcgB0AFwAbgAtAC0ALQAtAC0ALQAtAC0ALQAtAC0ALQAtAC0ALQAtAC0ALQAtAC0ALQAtAC0ALQAtAC0ALQAtAC0ALQAtAC0ALQAtAC0ALQAtAC0ALQAtAC0ALQAtAC0ALQAtAC0ALQAtAC0ALQAtAC0ALQAtAC0ALQAtAC0ALQBcAG4AUAByAG8AZAB1AGMAdABzADoAIAAxADMANAAgACgASQBuAGMAbAB1AGQAZQAgAG8AbgBsAHkAOwAgAGMAbwBtAGIAaQBuAGUAZAAgAGYAcgBvAG0AIABtAGEAaQBuACAAKwAgAGIAYQB0AGMAaAAgADEAIAArACAAYgBhAHQAYwBoACAAMgAgAHcAbwByAGsAYgBvAG8AawBzACkAXABuAEEAcgByAGEAeQBzADoAIAA1ACAAfAAgAFIAbwB3AHMAIABwAGUAcgAgAGEAcgByAGEAeQA6ACAAMwAwACAAKABmAGkAbgBhAGwAIABhAHIAcgBhAHkAOgAgADEANAApACAAfAAgAEMAbwBsAHUAbQBuAHMAOgAgADMAMQBcAG4AXABuAEUAeABjAGwAdQBkAGUAZAAgAGMAbwBsAHUAbQBuAHMAOgAgAEkAbgBjAGwAdQBkAGUAIABvAHIAIABlAHgAYwBsAHUAZABlACwAIABBAG4AYQBsAHkAcwBpAHMAIABiAGEAcwBlACwAIABBAG4AYQBsAHkAcwBpAHMAIABzAG8AdQByAGMAZQAsACAAQQBuAGEAbAB5AHMAaQBzACAAZgBsAGEAZwAsACAATgBvAHQAZQBzACwAIABMAGkAbgBrACwAIABEAGEAdABhACAAcwBvAHUAcgBjAGUALAAgAEUATgBEACAAUgBPAFcALgBcAG4ASQBuAGcAcgBlAGQAaQBlAG4AdAAgAHAAZQByAGMAZQBuAHQAIAB2AGEAbAB1AGUAcwAgAGEAcgBlACAAZQB2AGEAbAB1AGEAdABlAGQAIABkAGUAYwBpAG0AYQBsACAAZgByAGEAYwB0AGkAbwBuAHMAIAAoAD0ANAA2AC8AMQAwADAAIAAtAFwAdQAwADAAMwBlACAAMAAuADQANgApADsAIABlAG0AcAB0AHkAIABjAGUAbABsAHMAIABhAHIAZQAgAFwAIgBcACIALgBcAG4AXABuAEMAbwBsAHUAbQBuACAAbwByAGQAZQByACAAKAAzADEAKQA6AFwAbgAgACAAMQAuACAAQwBvAG0AcABhAG4AeQBcAG4AIAAgADIALgAgAFAAcgBvAGQAdQBjAHQAIABuAGEAbQBlAFwAbgAgACAAMwAuACAAVQBuAGkAdABcAG4AIAAgADQALgAgAEQAZQBuAHMAaQB0AHkAXABuACAAIAA1AC4AIABDAG8AbgB0AGEAaQBuAHMAIABpAG4AaABpAGIAaQB0AG8AcgBcAG4AIAAgADYALgAgAFUAcgBlAGEAIABzAG8AdQByAGMAZQBcAG4AIAAgADcALgAgAEEAbQBtAG8AbgBpAGEAIABzAG8AdQByAGMAZQBcAG4AIAAgADgALgAgAE4AIABkAGUAYwBsAGEAcgBlAGQAXABuACAAIAA5AC4AIABQACAAZABlAGMAbABhAHIAZQBkAFwAbgAgACAAMQAwAC4AIABLACAAZABlAGMAbABhAHIAZQBkAFwAbgAgACAAMQAxAC4AIABTACAAZABlAGMAbABhAHIAZQBkAFwAbgAgACAAMQAyAC4AIABJAG4AZwByAGUAZABpAGUAbgB0ACAAMQBcAG4AIAAgADEAMwAuACAASQBuAGcAcgBlAGQAaQBlAG4AdAAgADEAIABwAGUAcgBjAGUAbgB0AFwAbgAgACAAMQA0AC4AIABJAG4AZwByAGUAZABpAGUAbgB0ACAAMgBcAG4AIAAgADEANQAuACAASQBuAGcAcgBlAGQAaQBlAG4AdAAgADIAIABwAGUAcgBjAGUAbgB0AFwAbgAgACAAMQA2AC4AIABJAG4AZwByAGUAZABpAGUAbgB0ACAAMwBcAG4AIAAgADEANwAuACAASQBuAGcAcgBlAGQAaQBlAG4AdAAgADMAIABwAGUAcgBjAGUAbgB0AFwAbgAgACAAMQA4AC4AIABJAG4AZwByAGUAZABpAGUAbgB0ACAANABcAG4AIAAgADEAOQAuACAASQBuAGcAcgBlAGQAaQBlAG4AdAAgADQAIABwAGUAcgBjAGUAbgB0AFwAbgAgACAAMgAwAC4AIABJAG4AZwByAGUAZABpAGUAbgB0ACAANQBcAG4AIAAgADIAMQAuACAASQBuAGcAcgBlAGQAaQBlAG4AdAAgADUAIABwAGUAcgBjAGUAbgB0AFwAbgAgACAAMgAyAC4AIABJAG4AZwByAGUAZABpAGUAbgB0ACAANgBcAG4AIAAgADIAMwAuACAASQBuAGcAcgBlAGQAaQBlAG4AdAAgADYAIABwAGUAcgBjAGUAbgB0AFwAbgAgACAAMgA0AC4AIABJAG4AZwByAGUAZABpAGUAbgB0ACAANwBcAG4AIAAgADIANQAuACAASQBuAGcAcgBlAGQAaQBlAG4AdAAgADcAIABwAGUAcgBjAGUAbgB0AFwAbgAgACAAMgA2AC4AIABJAG4AZwByAGUAZABpAGUAbgB0ACAAOABcAG4AIAAgADIANwAuACAASQBuAGcAcgBlAGQAaQBlAG4AdAAgADgAIABwAGUAcgBjAGUAbgB0AFwAbgAgACAAMgA4AC4AIABJAG4AZwByAGUAZABpAGUAbgB0ACAAOQBcAG4AIAAgADIAOQAuACAASQBuAGcAcgBlAGQAaQBlAG4AdAAgADkAIABwAGUAcgBjAGUAbgB0AFwAbgAgACAAMwAwAC4AIABJAG4AZwByAGUAZABpAGUAbgB0ACAAMQAwAFwAbgAgACAAMwAxAC4AIABJAG4AZwByAGUAZABpAGUAbgB0ACAAMQAwACAAcABlAHIAYwBlAG4AdABcAG4AIAAgAFwAbgAtAC0ALQAtAC0ALQAtAC0ALQAtAC0ALQAtAC0ALQAtAC0ALQAtAC0ALQAtAC0ALQAtAC0ALQAtAC0ALQAtAC0ALQAtAC0ALQAtAC0ALQAtAC0ALQAtAC0ALQAtAC0ALQAtAC0ALQAtAC0ALQAtAC0ALQAtAC0ALQBcAG4AKgAvAFwAbgBcAG4ARgBlAHIAdABpAGwAaQBzAGUAcgBfAFAAcgBvAGQAdQBjAHQAcwBfAEQAYQB0AGEAMQBcAG4APQBMAEEATQBCAEQAQQAoAFwAbgAgAE0AQQBLAEUAQQBSAFIAQQBZACgAMwAwACwAIAAzADEALABcAG4AIABMAEEATQBCAEQAQQAoAHIALABjACwAXABuACAAIABJAE4ARABFAFgAKAB7AFwAbgBcACIAQwBhAG0AcABiAGUAbABsAHMAIABmAGUAcgB0AGkAbABpAHMAZQByAHMAIABBAHUAcwB0AHIAYQBsAGkAYQBcACIALABcACIAQQBxAHUAYQAgAEYAaQBuAGkAcwBoAFwAIgAsAFwAIgBMAFwAIgAsADEALgAyADYALABcACIAXAAiACwAXAAiAFwAIgAsAFwAIgBcACIALAAyAC4ANgAsADQALAAyADIALgA1ACwAXAAiAFwAIgAsAFwAIgBQAG8AdABhAHMAcwBpAHUAbQAgAC0AIABHAGUAbgBlAHIAaQBjAFwAIgAsADAALgAyADIANQAsAFwAIgBQAGgAbwBzAHAAaABvAHIAdQBzACAALQAgAEcAZQBuAGUAcgBpAGMAXAAiACwAMAAuADAANAAsAFwAIgBOAGkAdAByAG8AZwBlAG4AIAAtACAARwBlAG4AZQByAGkAYwBcACIALAAwAC4AMAAyADY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cAcgBvAHcAXAAiACwAXAAiAEwAXAAiACwAMQAuADIANgAsAFwAIgBcACIALABcACIAXAAiACwAXAAiAFwAIgAsADkALgA2ACwANQAsADEAMAAuADUALABcACIAXAAiACwAXAAiAFAAbwB0AGEAcwBzAGkAdQBtACAALQAgAEcAZQBuAGUAcgBpAGMAXAAiACwAMAAuADEAMAA1ACwAXAAiAE4AaQB0AHIAbwBnAGUAbgAgAC0AIABHAGUAbgBlAHIAaQBjAFwAIgAsADAALgAwADkANgAsAFwAIgBQAGgAbwBzAHAAaABvAHIAdQBzACAALQAgAEcAZQBuAGUAcgBpAGMAXAAiACwAMAAuADA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CAAQQBOAFwAIgAsAFwAIgBMAFwAIgAsADEALgAyADQALABcACIAXAAiACwAXAAiAFwAIgAsAFwAIgBcACIALAAyADIALgAzACwAXAAiAFwAIgAsAFwAIgBcACIALABcACIAXAAiACwAXAAiAE4AaQB0AHIAbwBnAGUAbgAgAC0AIABBAG0AbQBvAG4AaQBhAGMAYQBsAFwAIgAsADAALgAyADIAMw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BcACIALABcACIATABcACIALAAxAC4ANQAsAFwAIgBcACIALABcACIAXAAiACwAXAAiAFwAIgAsADEAMwAuADIALABcACIAXAAiACwAXAAiAFwAIgAsAFwAIgBcACIALABcACIAQwBhAGwAYwBpAHUAbQ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BDAGEAbAAgACgAVgBJACkAXAAiACwAXAAiAEwAXAAiACwAMQAuADUALABcACIAXAAiACwAXAAiAFwAIgAsAFwAIgBcACIALAAxADMALgAyACwAXAAiAFwAIgAsAFwAIgBcACIALABcACIAXAAiACwAXAAiAEMAYQBsAGMAaQB1AG0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BVAGwAdABpAG0AYQB0AGUAXAAiACwAXAAiAEwAXAAiACwAMQAuADUALABcACIAXAAiACwAXAAiAFwAIgAsAFwAIgBcACIALAAxADMALgAyACwAXAAiAFwAIgAsAFwAIgBcACIALABcACIAXAAiACwAXAAiAEMAYQBsAGMAaQB1AG0AXAAiACwAMAAuADEAOAAz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TAHQAYQByAHQAXAAiACwAXAAiAEwAXAAiACwAMQAuADIANQAsAFwAIgBcACIALABcACIAXAAiACwAXAAiAFwAIgAsADEAMAAuADMALAAxADAALAAzAC4ANA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MAbwBtAHAAbABlAHQAZQBcACIALABcACIATABcACIALAAxAC4ANAAzACwAXAAiAFwAIgAsAFwAIgBcACIALABcACIAXAAiACwAMgAuADUALAAzAC4AOAAsADIAMgAuADUALABcACIAXAAiACwAXAAiAFAAbwB0AGEAcwBzAGkAdQBtACAALQAgAEcAZQBuAGUAcgBpAGMAXAAiACwAMAAuADIAMgA1ACwAXAAiAFAAaABvAHMAcABoAG8AcgB1AHMAIAAtACAARwBlAG4AZQByAGkAYwBcACIALAAwAC4AMAAzADgALABcACIATgBpAHQAcgBvAGcAZQBuACAALQAgAEcAZQBuAGUAcgBpAGMAXAAiACwAMAAuADAAMgA1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QBtAGUAcgBnAGUAXAAiACwAXAAiAEwAXAAiACwAMQAuADIAOQAsAFwAIgBcACIALABcACIAXAAiACwAXAAiAFwAIgAsADEAMAAuADUALAA5AC4ANAAsADQALAAzACwAXAAiAE4AaQB0AHIAbwBnAGUAbgAgAC0AIABHAGUAbgBlAHIAaQBjAFwAIgAsADAALgAxADAANQAsAFwAIgBQAGgAbwBzAHAAaABvAHIAdQBzACAALQAgAEcAZQBuAGUAcgBpAGMAXAAiACwAMAAuADAAOQA0ACwAXAAiAFAAbwB0AGEAcwBzAGkAdQBtACAALQAgAEcAZQBuAGUAcgBpAGMAXAAiACwAMAAuADAANAAsAFwAIgBTAHUAbABmAHUAcgAgAC0AIABHAGUAbgBlAHIAaQBjAFwAIgAsADAALgAwADM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UAGgAaQBvAC0ARgBsAG8AdQByAGkAcwBoAFwAIgAsAFwAIgBMAFwAIgAsADEALgAzADIALABcACIAXAAiACwAXAAiAFwAIgAsAFwAIgBcACIALAA5AC4ANQAsADQALgA3ACwAMQAwAC4AOAAsADgALgAxACwAXAAiAFAAbwB0AGEAcwBzAGkAdQBtACAALQAgAEcAZQBuAGUAcgBpAGMAXAAiACwAMAAuADEAMAA4ACwAXAAiAE4AaQB0AHIAbwBnAGUAbgAgAC0AIABHAGUAbgBlAHIAaQBjAFwAIgAsADAALgAwADkANQAsAFwAIgBTAHUAbABmAHUAcgAgAC0AIABHAGUAbgBlAHIAaQBjAFwAIgAsADAALgAwADgAMQAsAFwAIgBQAGgAbwBzAHAAaABvAHIAdQBzACAALQAgAEcAZQBuAGUAcgBpAGMAXAAiACwAMAAuADAANAA3ACwAXAAiAFwAIgAsAFwAIgBcACIALABcACIAXAAiACwAXAAiAFwAIgAsAFwAIgBcACIALABcACIAXAAiACwAXAAiAFwAIgAsAFwAIgBcACIALABcACIAXAAiACwAXAAiAFwAIgAsAFwAIgBcACIALABcACIAXAAiADsAXABuAFwAIgBDAGEAbQBwAGIAZQBsAGwAcwAgAGYAZQByAHQAaQBsAGkAcwBlAHIAcwAgAEEAdQBzAHQAcgBhAGwAaQBhAFwAIgAsAFwAIgBCAG8AbwBzAHQALQBJAHQAXAAiACwAXAAiAGsAZwBcACIALAAxACwAXAAiAFwAIgAsAFwAIgBcACIALABcACIAXAAiACwAMgA0ACwANQAuADIALAA4ACwANQAuADMALABcACIAVQByAGUAYQBcACIALAAwAC4ANQAyADEANwAzADk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DsAXABuAFwAIgBDAGEAbQBwAGIAZQBsAGwAcwAgAGYAZQByAHQAaQBsAGkAcwBlAHIAcwAgAEEAdQBzAHQAcgBhAGwAaQBhAFwAIgAsAFwAIgBCAHIAbwBuAHoAZQBcACIALABcACIAawBnAFwAIgAsADEALABcACIAXAAiACwAXAAiAFwAIgAsAFwAIgBcACIALAAxADcALAAwAC4AMAA0ACwAMQAxAC4ANgAsADAALgA1ACwAXAAiAE0AdQByAGkAYQB0AGUAIABvAGYAIABwAG8AdABhAHMAaAAgACgATQBPAFAAKQBcACIALAAwAC4AMgAzADIALABcACIATgBpAHQAcgBvAGcAZQBuACAALQAgAEcAZQBuAGUAcgBpAGMAXAAiACwAMAAuADEANwAsAFwAIgBTAHUAbABmAHUAcgAgAC0AIABHAGUAbgBlAHIAaQBjAFwAIgAsADAALgAwADAANQAsAFwAIgBNAGEAZwBuAGUAcwBpAHUAbQBcACIALAAwAC4AMAAwADIANAAsAFwAIgBQAGgAbwBzAHAAaABvAHIAdQBzACAALQAgAEcAZQBuAGUAcgBpAGMAXAAiACwAMAAuADAAMAAwADQALABcACIAXAAiACwAXAAiAFwAIgAsAFwAIgBcACIALABcACIAXAAiACwAXAAiAFwAIgAsAFwAIgBcACIALABcACIAXAAiACwAXAAiAFwAIgAsAFwAIgBcACIALABcACIAXAAiADsAXABuAFwAIgBDAGEAbQBwAGIAZQBsAGwAcwAgAGYAZQByAHQAaQBsAGkAcwBlAHIAcwAgAEEAdQBzAHQAcgBhAGwAaQBhAFwAIgAsAFwAIgBDAGEAbABiAGkAdAAgAEMAXAAiACwAXAAiAEwAXAAiACwAMQAuADQANQAsAFwAIgBcACIALABcACIAXAAiACwAXAAiAFwAIgAsAFwAIgBcACIALABcACIAXAAiACwAXAAiAFwAIgAsAFwAIgBcACIALABcACIAQwBhAGwAYwBpAHUAbQBcACIALAAwAC4AMQAwADc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MAbwBtAHAAYQBzAHMAXAAiACwAXAAiAGsAZwBcACIALAAxACwAXAAiAFwAIgAsAFwAIgBcACIALABcACIAXAAiACwAMQA1ACwANgAuADUALAAxADIALgA1ACwANgAsAFwAIgBOAGkAdAByAG8AZwBlAG4AIAAtACAAQQBtAG0AbwBuAGkAYQBjAGEAbABcACIALAAwAC4AMAA3ADUALABcACIATgBpAHQAcgBvAGcAZQBuACAALQAgAE4AaQB0AHIAYQB0AGUAXAAiACwAMAAuADAANwA1ACwAXAAiAFAAbwB0AGEAcwBzAGkAdQBtACAALQAgAEcAZQBuAGUAcgBpAGMAXAAiACwAMAAuADEAMgA1ACwAXAAiAFAAaABvAHMAcABoAG8AcgB1AHMAIAAtACAARwBlAG4AZQByAGkAYwBcACIALAAwAC4AMAA2ADUALABcACIAUwB1AGwAZgB1AHIAIAAtACAARwBlAG4AZQByAGkAYwBcACIALAAwAC4AMAA2ACwAXAAiAFwAIgAsAFwAIgBcACIALABcACIAXAAiACwAXAAiAFwAIgAsAFwAIgBcACIALABcACIAXAAiACwAXAAiAFwAIgAsAFwAIgBcACIALABcACIAXAAiACwAXAAiAFwAIgA7AFwAbgBcACIAQwBhAG0AcABiAGUAbABsAHMAIABmAGUAcgB0AGkAbABpAHMAZQByAHMAIABBAHUAcwB0AHIAYQBsAGkAYQBcACIALABcACIAQwBvAFIAbwBOACAAMQAyAC0AMAAtADEAMABcACIALABcACIATABcACIALAAxAC4AMgAxADUALABcACIAXAAiACwAXAAiAFwAIgAsAFwAIgBcACIALAAxADIALABcACIAXAAiACwAMQAwACwAXAAiAFwAIgAsAFwAIgBVAHIAZQBhAFwAIgAsADAALgAxADkANQA2ADUAMg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7AFwAbgBcACIAQwBhAG0AcABiAGUAbABsAHMAIABmAGUAcgB0AGkAbABpAHMAZQByAHMAIABBAHUAcwB0AHIAYQBsAGkAYQBcACIALABcACIATQBhAHgAaQBtAHUAbQAgAFEAdQBpAGMAawAtAE4AXAAiACwAXAAiAGsAZwBcACIALAAxACwAXAAiAFwAIgAsAFwAIgBcACIALABcACIAXAAiACwAMgAxAC4ANgA2ACwAXAAiAFwAIgAsAFwAIgBcACIALAAxADMALgAyACwAXAAiAFMAdQBsAHAAaABhAHQAZQAgAG8AZgAgAGEAbQBtAG8AbgBpAGEAIAAoAFMATwBBACkAXAAiACwAMAAuADUANQAsAFwAIgBBAG0AbQBvAG4AaQB1AG0AIABuAGkAdAByAGEAdABlACAAKABBAE4AKQBcACIALAAwAC4AMwAsAFwAIgBcACIALABcACIAXAAiACwAXAAiAFwAIgAsAFwAIgBcACIALABcACIAXAAiACwAXAAiAFwAIgAsAFwAIgBcACIALABcACIAXAAiACwAXAAiAFwAIgAsAFwAIgBcACIALABcACIAXAAiACwAXAAiAFwAIgAsAFwAIgBcACIALABcACIAXAAiACwAXAAiAFwAIgAsAFwAIgBcACIAOwBcAG4AXAAiAFMATAAgAFQAZQBjAFwAIgAsAFwAIgBDAHIAbwBwACAAQgBvAG8AcwB0AGUAcgAgAFAATABVAFMAXAAiACwAXAAiAEwAXAAiACwAMQAuADMAMQA5ACwAXAAiAFwAIgAsAFwAIgBcACIALABcACIAXAAiACwANQAsADEANQAsADIALgAxACwAXAAiAFwAIgAsAFwAIgBQAGgAbwBzAHAAaABvAHIAdQBzACAALQAgAEcAZQBuAGUAcgBpAGMAXAAiACwAMAAuADEANQAsAFwAIgBDAGEAbABjAGkAdQBtAFwAIgAsADAALgAwADQALABcACIATgBpAHQAcgBvAGcAZQBuACAALQAgAEEAbQBtAG8AbgBpAGEAYwBhAGwAXAAiACwAMAAuADAAMgA5ACwAXAAiAE4AaQB0AHIAbwBnAGUAbgAgAC0AIABOAGkAdAByAGEAdABlAFwAIgAsADAALgAwADIAMQAsAFwAIgBQAG8AdABhAHMAcwBpAHUAbQAgAC0AIABHAGUAbgBlAHIAaQBjAFwAIgAsADAALgAwADIAMQAsAFwAIgBDAG8AcABwAGUAcgBcACIALAAwAC4AMAAwADUALABcACIAWgBpAG4AYwBcACIALAAwAC4AMAAwADQALABcACIATQBhAG4AZwBhAG4AZQBzAGUAXAAiACwAMAAuADAAMAA0ACwAXAAiAE0AYQBnAG4AZQBzAGkAdQBtAFwAIgAsADAALgAwADAAMgAsAFwAIgBcACIALABcACIAXAAiADsAXABuAFwAIgBSAGkAcwBzAG8ALQBDAGgAZQBtAGkAYwBhAGwAXAAiACwAXAAiAEEAbQBtAG8AbgBpAHUAbQAgAEIAaQBjAGEAcgBiAG8AbgBhAHQAZQBcACIALABcACIAawBnAFwAIgAsADEALABcACIAXAAiACwAXAAiAFwAIgAsAFwAIgBDAGgAaQBuAGEAXAAiACwAMQA3AC4ANwAsAFwAIgBcACIALABcACIAXAAiACwAXAAiAFwAIgAsAFwAIgBOAGkAdAByAG8AZwBlAG4AIAAtACAAQQBtAG0AbwBuAGkAYQBjAGEAbABcACIALAAwAC4AMQA3ADc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QQBtAG0AbwBuAGkAdQBtACAAUwB1AGwAZgBhAHQAZQBcACIALABcACIAawBnAFwAIgAsADEALABcACIAXAAiACwAXAAiAFwAIgAsAFwAIgBDAGgAaQBuAGEAXAAiACwAMgAxACwAXAAiAFwAIgAsAFwAIgBcACIALAAyADQ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DsAXABuAFwAIgBSAGEAdgBlAG4AcwBkAG8AdwBuAFwAIgAsAFwAIgBBAG0AbQBvAG4AaQB1AG0AIABTAHUAbABwAGgAYQB0AGUAIAAtACAARwByAGEAbgB1AGwAYQBy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QAaQAtAEEAbQBtAG8AbgBpAHUAbQAgAFAAaABvAHMAcABoAGEAdABlACAAKABEAEEAUAApAFwAIgAsAFwAIgBrAGcAXAAiACwAMQAsAFwAIgBcACIALABcACIAXAAiACwAXAAiAFwAIgAsADEAOAAsADIAMAAsAFwAIgBcACIALABcACIAXAAiACwAXAAiAEQAaQBhAG0AbQBvAG4AaQB1AG0AIABwAGgAbwBzAHAAaABhAHQAZQAgACgARABBAFA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CAGEAcwBhAGwAdAAgAEIAbwBvAFMAUwB0AGEAXAAiACwAXAAiAGsAZwBcACIALAAxACwAXAAiAFwAIgAsAFwAIgBcACIALABcACIAXAAiACwAOAAsADEANAAsAFwAIgBcACIALAAyADcALgA2ACwAXAAiAFMAdQBsAGYAdQByACAALQAgAEcAZQBuAGUAcgBpAGMAXAAiACwAMAAuADIANwA2ACwAXAAiAFAAaABvAHMAcABoAG8AcgB1AHMAIAAtACAARwBlAG4AZQByAGkAYwBcACIALAAwAC4AMQA0ACwAXAAiAE4AaQB0AHIAbwBnAGUAbgAgAC0AIABHAGUAbgBlAHIAaQBjAFwAIgAsADAALgAwADgALABcACIARgBsAHUAbwByAGkAZABlAFwAIgAsADAALgAwADIANAAsAFwAIgBcACIALABcACIAXAAiACwAXAAiAFwAIgAsAFwAIgBcACIALABcACIAXAAiACwAXAAiAFwAIgAsAFwAIgBcACIALABcACIAXAAiACwAXAAiAFwAIgAsAFwAIgBcACIALABcACIAXAAiACwAXAAiAFwAIgA7AFwAbgBcACIAUwB1AG0AbQBpAHQAIABGAGUAcgB0AGkAbABpAHoAZQByAHMAXAAiACwAXAAiAEQAQQBQAFMAWgBDAFwAIgAsAFwAIgBrAGcAXAAiACwAMQAsAFwAIgBcACIALABcACIAXAAiACwAXAAiAFwAIgAsADEANgAuADkALAAxADgALgAyACwAXAAiAFwAIgAsADgALABcACIAUABoAG8AcwBwAGgAbwByAHUAcwAgAC0AIABHAGUAbgBlAHIAaQBjAFwAIgAsADAALgAxADgAMgAsAFwAIgBOAGkAdAByAG8AZwBlAG4AIAAtACAARwBlAG4AZQByAGkAYwBcACIALAAwAC4AMQA2ADkALABcACIAUwB1AGwAZgB1AHIAIAAtACAARwBlAG4AZQByAGkAYwBcACIALAAwAC4AMAA4ACwAXAAiAFoAaQBuAGMAXAAiACwAMAAuADAAMAAyACwAXAAiAEMAbwBwAHAAZQByAFwAIgAsADAALgAwADAAMQAsAFwAIgBcACIALABcACIAXAAiACwAXAAiAFwAIgAsAFwAIgBcACIALABcACIAXAAiACwAXAAiAFwAIgAsAFwAIgBcACIALABcACIAXAAiACwAXAAiAFwAIgAsAFwAIgBcACIAOwBcAG4AXAAiAEkAbgBjAGkAdABlAGMAIABQAGkAdgBvAHQAIABGAGUAcgB0AGkAbABpAHMAZQByAHMAXAAiACwAXAAiAEUAYQBzAHkAIABOAFwAIgAsAFwAIgBMAFwAIgAsADEALgAzADIALABcACIAXAAiACwAXAAiAFwAIgAsAFwAIgBcACIALAA0ADIALgA1ACwAXAAiAFwAIgAsAFwAIgBcACIALABcACIAXAAiACwAXAAiAFUAcgBlAGEAXAAiACwAMAAuADQANgA3ADMAOQAxACwAXAAiAE4AaQB0AHIAbwBnAGUAbgAgAC0AIABOAGkAdAByAGEAdABlAFwAIgAsADAALgAxADAANQAsAFwAIgBOAGkAdAByAG8AZwBlAG4AIAAtACAAQQBtAG0AbwBuAGkAYQBjAGEAbABcACIALAAwAC4AMQAwADUALABcACIAQgBpAHUAcgBlAHQAXAAiACwAMAAuADAAMAA2ACwAXAAiAFwAIgAsAFwAIgBcACIALABcACIAXAAiACwAXAAiAFwAIgAsAFwAIgBcACIALABcACIAXAAiACwAXAAiAFwAIgAsAFwAIgBcACIALABcACIAXAAiACwAXAAiAFwAIgAsAFwAIgBcACIALABcACIAXAAiADsAXABuAFwAIgBSAGkAcwBzAG8ALQBDAGgAZQBtAGkAYwBhAGwAXAAiACwAXAAiAEMAYQBsAGMAaQB1AG0AIABBAG0AbQBvAG4AaQB1AG0AIABuAGkAdAByAGEAdABlAFwAIgAsAFwAIgBrAGcAXAAiACwAMQAsAFwAIgBcACIALABcACIAXAAiACwAXAAiAEMAaABpAG4AYQBcACIALAA0ADAALgA1ACwAXAAiAFwAIgAsAFwAIgBcACIALABcACIAXAAiACwAXAAiAE4AaQB0AHIAbwBnAGUAbgAgAC0AIABBAG0AbQBvAG4AaQBhAGMAYQBsAFwAIgAsADAALgAyADcALABcACIATgBpAHQAcgBvAGcAZQBuACAALQAgAE4AaQB0AHIAYQB0AGUAXAAiACwAMAAuADEAMwA1ACwAXAAiAEMAYQBsAGMAaQB1AG0AXAAiACwAMAAuADEAMgAsAFwAIgBcACIALABcACIAXAAiACwAXAAiAFwAIgAsAFwAIgBcACIALABcACIAXAAiACwAXAAiAFwAIgAsAFwAIgBcACIALABcACIAXAAiACwAXAAiAFwAIgAsAFwAIgBcACIALABcACIAXAAiACwAXAAiAFwAIgAsAFwAIgBcACIALABcACIAXAAiADsAXABuAFwAIgBTAEwAIABUAGUAYwBcACIALABcACIAQwBlAGwAbABDAEEATAAgAFAAbAB1AHMAXAAiACwAXAAiAEwAXAAiACwAMQAuADEAMwA4ACwAXAAiAFwAIgAsAFwAIgBcACIALABcACIAXAAiACwAXAAiAFwAIgAsAFwAIgBcACIALABcACIAXAAiACwAXAAiAFwAIgAsAFwAIgBDAGEAbABjAGkAdQBtAFwAIgAsADAALgAwADUAOQAsAFwAIgBDAG8AcABwAGUAcgBcACIALAAwAC4AMAAwADMALABcACIAQgBvAHIAbwBuAFwAIgAsADAALgAwADAAM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EsANQA1AFwAIgAsAFwAIgBrAGcAXAAiACwAMQAsAFwAIgBcACIALABcACIAXAAiACwAXAAiAFwAIgAsADEAMwAuADUALAAxADUALAA2AC4AMgA1ACwAMQAuADIALABcACIAUABoAG8AcwBwAGgAbwByAHUAcwAgAC0AIABHAGUAbgBlAHIAaQBjAFwAIgAsADAALgAxADUALABcACIATgBpAHQAcgBvAGcAZQBuACAALQAgAEEAbQBtAG8AbgBpAGEAYwBhAGwAXAAiACwAMAAuADEAMwA1ACwAXAAiAE0AdQByAGkAYQB0AGUAIABvAGYAIABwAG8AdABhAHMAaAAgACgATQBPAFAAKQBcACIALAAwAC4AMQAyADUALABcACIARgBsAHUAbwByAGkAZABlAFwAIgAsADAALgAwADIAMwAsAFwAIgBTAHUAbABmAHUAcgAgAC0AIABHAGUAbgBlAHIAaQBjAFwAIgAsADAALgAwADEAMgAsAFwAIgBcACIALABcACIAXAAiACwAXAAiAFwAIgAsAFwAIgBcACIALABcACIAXAAiACwAXAAiAFwAIgAsAFwAIgBcACIALABcACIAXAAiACwAXAAiAFwAIgAsAFwAIgBcACIAOwBcAG4AXAAiAFMAdwBpAHQAYwBoACAAQQBnAFwAIgAsAFwAIgBDAHIAbwBwACAASwBcACIALABcACIATABcACIALAAxAC4AMgA1ACwAXAAiAFwAIgAsAFwAIgBcACIALABcACIAXAAiACwAMwAsAFwAIgBcACIALAAyADEALABcACIAXAAiACwAXAAiAFAAbwB0AGEAcwBzAGkAdQBtACAALQAgAEcAZQBuAGUAcgBpAGMAXAAiACwAMAAuADIAMQAsAFwAIgBOAGkAdAByAG8AZwBlAG4AIAAtACAARwBlAG4AZQByAGkAYwBcACIALAAwAC4AMAAzACwAXAAiAFwAIgAsAFwAIgBcACIALABcACIAXAAiACwAXAAiAFwAIgAsAFwAIgBcACIALABcACIAXAAiACwAXAAiAFwAIgAsAFwAIgBcACIALABcACIAXAAiACwAXAAiAFwAIgAsAFwAIgBcACIALABcACIAXAAiACwAXAAiAFwAIgAsAFwAIgBcACIALABcACIAXAAiACwAXAAiAFwAIgA7AFwAbgBcACIAUwB3AGkAdABjAGgAIABBAGcAXAAiACwAXAAiAEMAcgBvAHAAIABTAHQAYQByAHQAZQByAFwAIgAsAFwAIgBMAFwAIgAsADEALgAyACwAXAAiAFwAIgAsAFwAIgBcACIALABcACIAXAAiACwANQAsADMALAA4ACwAXAAiAFwAIgAsAFwAIgBQAG8AdABhAHMAcwBpAHUAbQAgAC0AIABHAGUAbgBlAHIAaQBjAFwAIgAsADAALgAwADgALABcACIATgBpAHQAcgBvAGcAZQBuACAALQAgAEcAZQBuAGUAcgBpAGMAXAAiACwAMAAuADAANQAsAFwAIgBQAGgAbwBzAHAAaABvAHIAdQBzACAALQAgAEcAZQBuAGUAcgBpAGMAXAAiACwAMAAuADAAMw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HAHIAYQBuAC0AQQBtAFwAIgAsAFwAIgBrAGcAXAAiACwAMQAsAFwAIgBcACIALABcACIAXAAiACwAXAAiAFwAIgAsADIAMQAsAFwAIgBcACIALABcACIAXAAiACwAMgA0ACwAXAAiAFMAdQBsAHAAaABhAHQAZQAgAG8AZgAgAGEAbQBtAG8AbgBpAGEAIAAoAFMATwBB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BcAG4AXABuAFwAbgBGAGUAcgB0AGkAbABpAHMAZQByAF8AUAByAG8AZAB1AGMAdABzAF8ARABhAHQAYQAzAFwAbgA9AEwAQQBNAEIARABBACgAXABuACAATQBBAEsARQBBAFIAUgBBAFkAKAAzADAALAAgADMAMQAsAFwAbgAgAEwAQQBNAEIARABBACgAcgAsAGMALABcAG4AIAAgAEkATgBEAEUAWAAoAHsAXABuAFwAIgBZAGEAcgBhACAAQQB1AHMAdAByAGEAbABpAGEAXAAiACwAXAAiAFkAYQByAGEATQBpAGwAYQAgADIAMQAtADcALQAzACgANAApAFwAIgAsAFwAIgBrAGcAXAAiACwAMQAsAFwAIgBcACIALABcACIAXAAiACwAXAAiAFwAIgAsADIAMQAsADcALgA0ACwAMgAuADUALAA0ACwAXAAiAE4AaQB0AHIAbwBnAGUAbgAgAC0AIABOAGkAdAByAGEAdABlAFwAIgAsADAALgAxADAANQAsAFwAIgBOAGkAdAByAG8AZwBlAG4AIAAtACAAQQBtAG0AbwBuAGkAYQBjAGEAbABcACIALAAwAC4AMQAwADUALABcACIAUABoAG8AcwBwAGgAbwByAHUAcwAgAC0AIABHAGUAbgBlAHIAaQBjAFwAIgAsADAALgAwADcANAAsAFwAIgBTAHUAbABmAHUAcgAgAC0AIABHAGUAbgBlAHIAaQBjAFwAIgAsADAALgAwADQALABcACIAUABvAHQAYQBzAHMAaQB1AG0AIAAtACAARwBlAG4AZQByAGkAYwBcACIALAAwAC4AMAAyADUALABcACIATQBhAGcAbgBlAHMAaQB1AG0AXAAiACwAMAAuADAAMAA0ACwAXAAiAFoAaQBuAGMAXAAiACwAMAAuADAAMAAxADUALABcACIAXAAiACwAXAAiAFwAIgAsAFwAIgBcACIALABcACIAXAAiACwAXAAiAFwAIgAsAFwAIgBcACIAOwBcAG4AXAAiAFkAYQByAGEAIABBAHUAcwB0AHIAYQBsAGkAYQBcACIALABcACIAWQBhAHIAYQBUAGUAcgBhACAASwBSAEkAUwBUAEEATABPAE4AIABTAEMAQQBSAEwARQBUAFwAIgAsAFwAIgBrAGcAXAAiACwAMQAsAFwAIgBcACIALABcACIAXAAiACwAXAAiAFwAIgAsADcALgA1ACwAXAAiAFwAIgAsADIAOQAuADkALAA0ACwAXAAiAFAAbwB0AGEAcwBzAGkAdQBtACAALQAgAEcAZQBuAGUAcgBpAGMAXAAiACwAMAAuADIAOQA5ACwAXAAiAE4AaQB0AHIAbwBnAGUAbgAgAC0AIABOAGkAdAByAGEAdABlAFwAIgAsADAALgAwADUAMgAsAFwAIgBTAHUAbABmAHUAcgAgAC0AIABHAGUAbgBlAHIAaQBjAFwAIgAsADAALgAwADQALABcACIATQBhAGcAbgBlAHMAaQB1AG0AXAAiACwAMAAuADAAMgA3ACwAXAAiAE4AaQB0AHIAbwBnAGUAbgAgAC0AIABBAG0AbQBvAG4AaQBhAGMAYQBsAFwAIgAsADAALgAwADIAMwAsAFwAIgBcACIALABcACIAXAAiACwAXAAiAFwAIgAsAFwAIgBcACIALABcACIAXAAiACwAXAAiAFwAIgAsAFwAIgBcACIALABcACIAXAAiACwAXAAiAFwAIgAsAFwAIgBcACIAOwBcAG4AXAAiAEMAYQBtAHAAYgBlAGwAbABzACAAZgBlAHIAdABpAGwAaQBzAGUAcgBzACAAQQB1AHMAdAByAGEAbABpAGEAXAAiACwAXAAiAFMAbwBsAHUALQ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TAG8AbAB1AC0AUwBhAG0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SAHUAcwB0AGkAYwBhACAAUABsAHUAcwBcACIALABcACIAawBnAFwAIgAsADEALABcACIAXAAiACwAXAAiAFwAIgAsAFwAIgBcACIALAAxADIALAA1ACwAMQA0ACwAOQAuADcALABcACIAUABvAHQAYQBzAHMAaQB1AG0AIAAtACAARwBlAG4AZQByAGkAYwBcACIALAAwAC4AMQA0ACwAXAAiAFMAdQBsAGYAdQByACAALQAgAEcAZQBuAGUAcgBpAGMAXAAiACwAMAAuADAAOQA3ACwAXAAiAE4AaQB0AHIAbwBnAGUAbgAgAC0AIABOAGkAdAByAGEAdABlAFwAIgAsADAALgAwADYALABcACIATgBpAHQAcgBvAGcAZQBuACAALQAgAEEAbQBtAG8AbgBpAGEAYwBhAGwAXAAiACwAMAAuADAANgAsAFwAIgBQAGgAbwBzAHAAaABvAHIAdQBzACAALQAgAEcAZQBuAGUAcgBpAGMAXAAiACwAMAAuADAANQAsAFwAIgBDAGEAbABjAGkAdQBtAFwAIgAsADAALgAwADMAMQAsAFwAIgBNAGEAZwBuAGUAcwBpAHUAbQBcACIALAAwAC4AMAAxADIALABcACIAWgBpAG4AYwBcACIALAAwAC4AMAAwADEALABcACIAQgBvAHIAbwBuAFwAIgAsADAALgAwADAAMAAyACwAXAAiAFwAIgAsAFwAIgBcACIAOwBcAG4AXAAiAEMAYQBtAHAAYgBlAGwAbABzACAAZgBlAHIAdABpAGwAaQBzAGUAcgBzACAAQQB1AHMAdAByAGEAbABpAGEAXAAiACwAXAAiAFAAbABhAHQAaQBuAHUAbQAgAFAAbAB1AHMAXAAiACwAXAAiAGsAZwBcACIALAAxACwAXAAiAFwAIgAsAFwAIgBcACIALABcACIAXAAiACwAMQAwACwAMQAxACwAMQAwACwANgAsAFwAIgBQAGgAbwBzAHAAaABvAHIAdQBzACAALQAgAEcAZQBuAGUAcgBpAGMAXAAiACwAMAAuADEAMQAsAFwAIgBQAG8AdABhAHMAcwBpAHUAbQAgAC0AIABHAGUAbgBlAHIAaQBjAFwAIgAsADAALgAxACwAXAAiAFMAdQBsAGYAdQByACAALQAgAEcAZQBuAGUAcgBpAGMAXAAiACwAMAAuADAANgAsAFwAIgBOAGkAdAByAG8AZwBlAG4AIAAtACAATgBpAHQAcgBhAHQAZQBcACIALAAwAC4AMAA1ACwAXAAiAE4AaQB0AHIAbwBnAGUAbgAgAC0AIABBAG0AbQBvAG4AaQBhAGMAYQBsAFwAIgAsADAALgAwADUALABcACIAQwBhAGwAYwBpAHUAbQBcACIALAAwAC4AMAA0ADMALABcACIATQBhAGcAbgBlAHMAaQB1AG0AXAAiACwAMAAuADAAMQAyACwAXAAiAFoAaQBuAGMAXAAiACwAMAAuADAAMAAzADYALABcACIAQgBvAHIAbwBuAFwAIgAsADAALgAwADAAMQAsAFwAIgBcACIALABcACIAXAAiADsAXABuAFwAIgBDAGEAbQBwAGIAZQBsAGwAcwAgAGYAZQByAHQAaQBsAGkAcwBlAHIAcwAgAEEAdQBzAHQAcgBhAGwAaQBhAFwAIgAsAFwAIgBUAHIAbwBwAGkAawBhAFwAIgAsAFwAIgBrAGcAXAAiACwAMQAsAFwAIgBcACIALABcACIAXAAiACwAXAAiAFwAIgAsADEAMQAsADIALgA2ACwAMgAwAC4AOAAsADQALABcACIATgBpAHQAcgBvAGcAZQBuACAALQAgAE4AaQB0AHIAYQB0AGUAXAAiACwAMAAuADAANQA1ACwAXAAiAE4AaQB0AHIAbwBnAGUAbgAgAC0AIABBAG0AbQBvAG4AaQBhAGMAYQBsAFwAIgAsADAALgAwADUANQAsAFwAIgBQAGgAbwBzAHAAaABvAHIAdQBzACAALQAgAEcAZQBuAGUAcgBpAGMAXAAiACwAMAAuADAAMgA2ACwAXAAiAFAAbwB0AGEAcwBzAGkAdQBtACAALQAgAEcAZQBuAGUAcgBpAGMAXAAiACwAMAAuADIAMAA4ACwAXAAiAFMAdQBsAGYAdQByACAALQAgAEcAZQBuAGUAcgBpAGMAXAAiACwAMAAuADAANAAsAFwAIgBNAGEAZwBuAGUAcwBpAHUAbQBcACIALAAwAC4AMAAyADQALABcACIAXAAiACwAXAAiAFwAIgAsAFwAIgBcACIALABcACIAXAAiACwAXAAiAFwAIgAsAFwAIgBcACIALABcACIAXAAiACwAXAAiAFwAIgA7AFwAbgBcACIAQwBhAG0AcABiAGUAbABsAHMAIABmAGUAcgB0AGkAbABpAHMAZQByAHMAIABBAHUAcwB0AHIAYQBsAGkAYQBcACIALABcACIAUgB1AHMAdABpAGMAYQAgAE4AZQByAGcAZQB0AGkAYwBcACIALABcACIAawBnAFwAIgAsADEALABcACIAXAAiACwAXAAiAFwAIgAsAFwAIgBcACIALAAxADIALAA1AC4AMgAsADEANAAuADEALAA5AC4ANgAsAFwAIgBQAG8AdABhAHMAcwBpAHUAbQAgAC0AIABHAGUAbgBlAHIAaQBjAFwAIgAsADAALgAxADQAMQAsAFwAIgBTAHUAbABmAHUAcgAgAC0AIABHAGUAbgBlAHIAaQBjAFwAIgAsADAALgAwADkANgAsAFwAIgBOAGkAdAByAG8AZwBlAG4AIAAtACAATgBpAHQAcgBhAHQAZQBcACIALAAwAC4AMAA2ACwAXAAiAE4AaQB0AHIAbwBnAGUAbgAgAC0AIABBAG0AbQBvAG4AaQBhAGMAYQBsAFwAIgAsADAALgAwADYALABcACIAUABoAG8AcwBwAGgAbwByAHUAcwAgAC0AIABHAGUAbgBlAHIAaQBjAFwAIgAsADAALgAwADUAMgAsAFwAIgBNAGEAZwBuAGUAcwBpAHUAbQBcACIALAAwAC4AMAAxADIALABcACIAWgBpAG4AYwBcACIALAAwAC4AMAAwADAAOAAsAFwAIgBJAHIAbwBuAFwAIgAsADAALgAwADAAMAA3ACwAXAAiAE0AYQBuAGcAYQBuAGUAcwBlAFwAIgAsADAALgAwADAAMAA2ACwAXAAiAEIAbwByAG8AbgBcACIALAAwAC4AMAAwADAAMgA7AFwAbgBcACIAQwBhAG0AcABiAGUAbABsAHMAIABmAGUAcgB0AGkAbABpAHMAZQByAHMAIABBAHUAcwB0AHIAYQBsAGkAYQBcACIALABcACIAUQB1AGkAYwBrAC0ATgAgAE4AZQByAGcAZQB0AGkAYwBcACIALABcACIAawBnAFwAIgAsADEALABcACIAXAAiACwAXAAiAFwAIgAsAFwAIgBcACIALAAyADUALABcACIAXAAiACwAXAAiAFwAIgAsADEAMgAuADgALABcACIAUwB1AGwAcABoAGEAdABlACAAbwBmACAAYQBtAG0AbwBuAGkAYQAgACgAUwBPAEEAKQBcACIALAAwAC4ANQAzADMAMwAzADMALABcACIAQQBtAG0AbwBuAGkAdQBtACAAbgBpAHQAcgBhAHQAZQAgACgAQQBOACkAXAAiACwAMAAuADQAMAA5ADQAOQA2ACwAXAAiAFoAaQBuAGMAXAAiACwAMAAuADAAMAAxACwAXAAiAE0AYQBuAGcAYQBuAGUAcwBlAFwAIgAsADAALgAwADAAMQAsAFwAIgBCAG8AcgBvAG4AXAAiACwAMAAuADAAMAAwADEALABcACIATQBvAGwAeQBiAGQAZQBuAHUAbQBcACIALAAwAC4AMAAwADAAMAAxACwAXAAiAFwAIgAsAFwAIgBcACIALABcACIAXAAiACwAXAAiAFwAIgAsAFwAIgBcACIALABcACIAXAAiACwAXAAiAFwAIgAsAFwAIgBcACIAOwBcAG4AXAAiAEYAZQByAHQAUAByAG8AIABNAGEAbgB1AGYAYQBjAHQAdQByAGkAbgBnACAAUAB0AHkALgAgAEwAdABkAC4AXAAiACwAXAAiACgAUwBTAFAAKQAgAFMAaQBuAGcAbABlACAAUwB1AHAAZQByACAARgBlAHIAdABpAGwAaQBzAGUAcg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aAGkAbgBjAFMAdABhAHIAXAAiACwAXAAiAGsAZwBcACIALAAxACwAXAAiAFwAIgAsAFwAIgBcACIALABcACIAXAAiACwAMQAwACwAMgAxAC4AOQAsADAALAAyACwAXAAiAE0AbwBuAG8AYQBtAG0AbwBuAGkAdQBtACAAcABoAG8AcwBwAGgAYQB0AGUAIAAoAE0AQQBQACkAXAAiACwAMQAsAFwAIgBaAGkAbgBjAFwAIgAsADAALgAwADEALABcACIAXAAiACwAXAAiAFwAIgAsAFwAIgBcACIALABcACIAXAAiACwAXAAiAFwAIgAsAFwAIgBcACIALABcACIAXAAiACwAXAAiAFwAIgAsAFwAIgBcACIALABcACIAXAAiACwAXAAiAFwAIgAsAFwAIgBcACIALABcACIAXAAiACwAXAAiAFwAIgAsAFwAIgBcACIALABcACIAXAAiADsAXABuAFwAIgBCAGEAaQBsAGUAeQBzACAAKABTAGkAbQBwAGwAbwB0ACkAIABbAGwAaQBzAHQAZQBkACAAYQBzACAASQBtAHAAYQBjAHQAXQBcACIALABcACIAQQBwAGUAeAAgAEcAYQBJAFgAZQAgAEwAbwB3ACAAUAAgADIAMQAtADEALQA2AFwAIgAsAFwAIgBrAGcAXAAiACwAMQAsAFwAIgBcACIALABcACIAXAAiACwAXAAiAFwAIgAsADIAMQAsADAALgA4ADYALAA1AC4AOAAsADQALgAyACwAXAAiAE4AaQB0AHIAbwBnAGUAbgAgAC0AIABHAGUAbgBlAHIAaQBjAFwAIgAsADAALgAyADEALABcACIAUABvAHQAYQBzAHMAaQB1AG0AIAAtACAARwBlAG4AZQByAGkAYwBcACIALAAwAC4AMAA1ADgALABcACIAUwB1AGwAZgB1AHIAIAAtACAARwBlAG4AZQByAGkAYwBcACIALAAwAC4AMAA0ADIALABcACIAUABoAG8AcwBwAGgAbwByAHUAcwAgAC0AIABHAGUAbgBlAHIAaQBjAFwAIgAsADAALgAwADAAOAA2ACwAXAAiAFwAIgAsAFwAIgBcACIALABcACIAXAAiACwAXAAiAFwAIgAsAFwAIgBcACIALABcACIAXAAiACwAXAAiAFwAIgAsAFwAIgBcACIALABcACIAXAAiACwAXAAiAFwAIgAsAFwAIgBcACIALABcACIAXAAiADsAXABuAFwAIgBJAG4AYwBpAHQAZQBjACAAUABpAHYAbwB0ACAARgBlAHIAdABpAGwAaQBzAGUAcgBzAFwAIgAsAFwAIgBTAHUAUABlAHIAZgBlAGMAdABcACIALABcACIAawBnAFwAIgAsADEALABcACIAXAAiACwAXAAiAFwAIgAsAFwAIgBcACIALABcACIAXAAiACwAOAAuADgALABcACIAXAAiACwAMQAxACwAXAAiAFMAaQBuAGcAbABlACAAcwB1AHAAZQByAHAAaABvAHMAcABoAGEAdABlACAAKABTAFMAUA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IABbAGwAaQBzAHQAZQBkACAAYQBzACAAUwB1AG0AbQBpAHQAXQBcACIALABcACIAQgBpAGcAIABOAFwAIgAsAFwAIgBrAGcAXAAiACwAMQAsAFwAIgBcACIALABcACIAXAAiACwAXAAiAFwAIgAsADgAMgAuADMANQAsAFwAIgBcACIALABcACIAXAAiACwAXAAiAFwAIgAsAFwAIgBBAG0AbQBvAG4AaQBh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UAbgB0AGUAYwAgAFUAcgBlAGEAXAAiACwAXAAiAGsAZwBcACIALAAxACwAXAAiAFkAZQBzAFwAIgAsAFwAIgBcACIALABcACIAXAAiACwANAA2ACwAXAAiAFwAIgAsAFwAIgBcACIALABcACIAXAAiACwAXAAiAFUAcgBl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CgAbwByACAAUgBhAHYAZQBuAHMAZABvAHcAbgAgAC0AIABzAGUAZQAgAG4AbwB0AGUAKQBcACIALABcACIARgBsAGUAeABpAC0ATgAgAE4ASQAgAG8AbgBsAHkAXAAiACwAXAAiAGsAZwBcACIALAAxACwAXAAiAFkAZQBzAFwAIgAsAFwAIgBcACIALABcACIAXAAiACwANAA1AC4ANQA0ACwAXAAiAFwAIgAsAFwAIgBcACIALABcACIAXAAiACwAXAAiAFUAcgBlAGEAXAAiACwAMAAuADkAOQAsAFwAIgBVAHIAZQBhAHMAZQAvAG4AaQB0AHIAaQBmAGkAYwBhAHQAaQBvAG4AIABpAG4AaABpAGIAaQB0AG8AcgBcACIALAAwAC4AMAAxACwAXAAiAFwAIgAsAFwAIgBcACIALABcACIAXAAiACwAXAAiAFwAIgAsAFwAIgBcACIALABcACIAXAAiACwAXAAiAFwAIgAsAFwAIgBcACIALABcACIAXAAiACwAXAAiAFwAIgAsAFwAIgBcACIALABcACIAXAAiACwAXAAiAFwAIgAsAFwAIgBcACIALABcACIAXAAiACwAXAAiAFwAIgA7AFwAbgBcACIATgB1AHQAcgBpAC0AVABlAGMAaAAgAFMAbwBsAHUAdABpAG8AbgBzACAAKABOAFQAUwApAFwAIgAsAFwAIgBNAHUAcgBpAGEAdABlACAATwBmACAAUABvAHQAYQBzAGgAIABNAE8AUABcACIALABcACIAawBnAFwAIgAsADEALABcACIAXAAiACwAXAAiAFwAIgAsAFwAIgBcACIALABcACIAXAAiACwAXAAiAFwAIgAsADUAMAAsAFwAIgBcACIALABcACIATQB1AHIAaQBhAHQAZQAgAG8AZgAgAHAAbwB0AGEAcwBoACAAKABNAE8AUAApAFwAIgAsADEALABcACIAXAAiACwAXAAiAFwAIgAsAFwAIgBcACIALABcACIAXAAiACwAXAAiAFwAIgAsAFwAIgBcACIALABcACIAXAAiACwAXAAiAFwAIgAsAFwAIgBcACIALABcACIAXAAiACwAXAAiAFwAIgAsAFwAIgBcACIALABcACIAXAAiACwAXAAiAFwAIgAsAFwAIgBcACIALABcACIAXAAiACwAXAAiAFwAIgAsAFwAIgBcACIAOwBcAG4AXAAiAE4AdQB0AHUAcgBmAFwAIgAsAFwAIgBNAEEAUAAgAE4AVQBUAFUAUgBG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EAdQBpAGMAawAtAE4AXAAiACwAXAAiAGsAZwBcACIALAAxACwAXAAiAFwAIgAsAFwAIgBcACIALABcACIAXAAiACwAMgA2ACwAXAAiAFwAIgAsAFwAIgBcACIALAAxADMALABcACIAUwB1AGwAcABoAGEAdABlACAAbwBmACAAYQBtAG0AbwBuAGkAYQAgACgAUwBPAEEAKQBcACIALAAwAC4ANQA0ADEANgA2ADcALABcACIAQQBtAG0AbwBuAGkAdQBtACAAbgBpAHQAcgBhAHQAZQAgACgAQQBOACkAXAAiACwAMAAuADQAMwAzADkANwA2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VAEEAUwBcACIALABcACIATABcACIALAAxAC4AMgAzADUALABcACIAXAAiACwAXAAiAFwAIgAsAFwAIgBcACIALAAyADYALgA2ACwAXAAiAFwAIgAsAFwAIgBcACIALAA2AC4ANwAsAFwAIgBVAHIAZQBhAFwAIgAsADAALgA0ADUAMAA4ADEANQAsAFwAIgBTAHUAbABwAGgAYQB0AGUAIABvAGYAIABhAG0AbQBvAG4AaQBhACAAKABTAE8AQQApAFwAIgAsADAALgAyADcAOQAxADYANwAsAFwAIgBcACIALABcACIAXAAiACwAXAAiAFwAIgAsAFwAIgBcACIALABcACIAXAAiACwAXAAiAFwAIgAsAFwAIgBcACIALABcACIAXAAiACwAXAAiAFwAIgAsAFwAIgBcACIALABcACIAXAAiACwAXAAiAFwAIgAsAFwAIgBcACIALABcACIAXAAiACwAXAAiAFwAIgAsAFwAIgBcACIAOwBcAG4AXAAiAFMATABUAEUAQwAgAEYAZQByAHQAaQBsAGkAegBlAHIAcwBcACIALABcACIAVAByAGkAYQB6AG8AbgBlACAAVQByAGUAYQBcACIALABcACIATABcACIALAAxAC4AMgA4ACwAXAAiAFwAIgAsAFwAIgBcACIALABcACIAXAAiACwAMAAsAFwAIgBcACIALABcACIAXAAiACwAXAAiAFwAIgAsAFwAIgBVAHIAZQBhAFwAIgAsADAALgA2ADUAMgAxADcANAAsAFwAIgBcACIALABcACIAXAAiACwAXAAiAFwAIgAsAFwAIgBcACIALABcACIAXAAiACwAXAAiAFwAIgAsAFwAIgBcACIALABcACIAXAAiACwAXAAiAFwAIgAsAFwAIgBcACIALABcACIAXAAiACwAXAAiAFwAIgAsAFwAIgBcACIALABcACIAXAAiACwAXAAiAFwAIgAsAFwAIgBcACIALABcACIAXAAiACwAXAAiAFwAIgA7AFwAbgBcACIATQBhAHIAbgBjAG8AIABbAGwAaQBzAHQAZQBkACAAYQBzACAAUwBMAFQARQBDAF0AXAAiACwAXAAiAEEAbQBtAG8AIAAzADYATgBcACIALABcACIAawBnAFwAIgAsADEALABcACIAXAAiACwAXAAiAFwAIgAsAFwAIgBcACIALAAzADYALABcACIAXAAiACwAXAAiAFwAIgAsADkALgA2ACwAXAAiAE4AaQB0AHIAbwBnAGUAbgAgAC0AIABHAGUAbgBlAHIAaQBjAFwAIgAsADAALgAzADYALABcACIAUwB1AGwAZgB1AHIAIAAtACAARwBlAG4AZQByAGkAYwBcACIALAAwAC4AMAA5ADYALABcACIAXAAiACwAXAAiAFwAIgAsAFwAIgBcACIALABcACIAXAAiACwAXAAiAFwAIgAsAFwAIgBcACIALABcACIAXAAiACwAXAAiAFwAIgAsAFwAIgBcACIALABcACIAXAAiACwAXAAiAFwAIgAsAFwAIgBcACIALABcACIAXAAiACwAXAAiAFwAIgAsAFwAIgBcACIALABcACIAXAAiADsAXABuAFwAIgBSAGkAcwBzAG8ALQBDAGgAZQBtAGkAYwBhAGwAXAAiACwAXAAiAFIAaQBzAHMAbwAgAEwAaQBxAHUAaQBkACAATgBQAEsAIAAoADIAMAAwAC0AMgAwADAALQAyADAAMAApAFwAIgAsAFwAIgBMAFwAIgAsADEALgAzACwAXAAiAFwAIgAsAFwAIgBcACIALABcACIAXAAiACwAMgAwACwAOAAuADcAMwAsADEANgAuADYALABcACIAXAAiACwAXAAiAE4AaQB0AHIAbwBnAGUAbgAgAC0AIABHAGUAbgBlAHIAaQBjAFwAIgAsADAALgAyACwAXAAiAFAAaABvAHMAcABoAG8AcgB1AHMAIAAtACAARwBlAG4AZQByAGkAYwBcACIALAAwAC4AMAA4ADcAMgA4ACwAXAAiAFAAbwB0AGEAcwBzAGkAdQBtACAALQAgAEcAZQBuAGUAcgBpAGMAXAAiACwAMAAuADEANgA2ADAAMgAsAFwAIgBcACIALABcACIAXAAiACwAXAAiAFwAIgAsAFwAIgBcACIALABcACIAXAAiACwAXAAiAFwAIgAsAFwAIgBcACIALABcACIAXAAiACwAXAAiAFwAIgAsAFwAIgBcACIALABcACIAXAAiACwAXAAiAFwAIgAsAFwAIgBcACIALABcACIAXAAiADsAXABuAFwAIgBUAHUAcgBmACAARwByAG8AdQBwACAAQQB1AHMAdAByAGEAbABpAGEAIAAoAFMAaQBtAHAAbABvAHQAKQBcACIALABcACIAUwB1AHAAZQByACAAQwBhAGwAIAAxADUALQAwAC0AMQAyAFwAIgAsAFwAIgBrAGcAXAAiACwAMQAsAFwAIgBcACIALABcACIAXAAiACwAXAAiAFwAIgAsADEANQAsAFwAIgBcACIALAA5AC4AOQA2ACwAXAAiAFwAIgAsAFwAIgBOAGkAdAByAG8AZwBlAG4AIAAtACAATgBpAHQAcgBhAHQAZQBcACIALAAwAC4AMAA4ADQANwAzADcALABcACIAUABvAHQAYQBzAHMAaQB1AG0AIAAtACAARwBlAG4AZQByAGkAYwBcACIALAAwAC4AMAA5ADkANgAxADIALABcACIAQwBhAGwAYwBpAHUAbQAgAG4AaQB0AHIAYQB0AGUAXAAiACwAMAAuADQAMgAxADAANQAzACwAXAAiAE0AYQBnAG4AZQBzAGkAdQBtAFwAIgAsADAALgAwADAANQAsAFwAIgBCAG8AcgBvAG4AXAAiACwAMAAuADAAMAAwADIALABcACIAXAAiACwAXAAiAFwAIgAsAFwAIgBcACIALABcACIAXAAiACwAXAAiAFwAIgAsAFwAIgBcACIALABcACIAXAAiACwAXAAiAFwAIgAsAFwAIgBcACIALABcACIAXAAiADsAXABuAFwAIgBJAG4AYwBpAHQAZQBjACAAUABpAHYAbwB0ACAARgBlAHIAdABpAGwAaQBzAGUAcgBzAFwAIgAsAFwAIgBDAEsAIAA4ADgAXAAiACwAXAAiAGsAZwBcACIALAAxACwAXAAiAFwAIgAsAFwAIgBcACIALABcACIAXAAiACwAMQA1AC4AMQAsADQALgA0ACwAMQAxAC4ANQAsADEAMwAuADYALABcACIATgBpAHQAcgBvAGcAZQBuACAALQAgAEcAZQBuAGUAcgBpAGMAXAAiACwAMAAuADEANQAxACwAXAAiAFAAaABvAHMAcABoAG8AcgB1AHMAIAAtACAARwBlAG4AZQByAGkAYwBcACIALAAwAC4AMAA0ADQALABcACIAUABvAHQAYQBzAHMAaQB1AG0AIAAtACAARwBlAG4AZQByAGkAYwBcACIALAAwAC4AMQAxADUALABcACIAUwB1AGwAZgB1AHIAIAAtACAARwBlAG4AZQByAGkAYwBcACIALAAwAC4AMQAzADYALABcACIAXAAiACwAXAAiAFwAIgAsAFwAIgBcACIALABcACIAXAAiACwAXAAiAFwAIgAsAFwAIgBcACIALABcACIAXAAiACwAXAAiAFwAIgAsAFwAIgBcACIALABcACIAXAAiACwAXAAiAFwAIgAsAFwAIgBcACIAOwBcAG4AXAAiAEkAbgBjAGkAdABlAGMAIABQAGkAdgBvAHQAIABGAGUAcgB0AGkAbABpAHMAZQByAHMAXAAiACwAXAAiAEMAcgBvAHAATABpAGYAdAAgADEANQBcACIALABcACIAawBnAFwAIgAsADEALABcACIAXAAiACwAXAAiAFwAIgAsAFwAIgBcACIALAAxADQALgA2ACwAMQAyAC4AMQAsAFwAIgBcACIALAAxADEALgA2ACwAXAAiAE4AaQB0AHIAbwBnAGUAbgAgAC0AIABHAGUAbgBlAHIAaQBjAFwAIgAsADAALgAxADQANgAsAFwAIgBQAGgAbwBzAHAAaABvAHIAdQBzACAALQAgAEcAZQBuAGUAcgBpAGMAXAAiACwAMAAuADEAMgAxACwAXAAiAFMAdQBsAGYAdQByACAALQAgAEcAZQBuAGUAcgBpAGMAXAAiACwAMAAuADEAMQA2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4AUABLAFMAIAAxADkALQAxADMALQAwAC0AOQBcACIALABcACIAawBnAFwAIgAsADEALABcACIAXAAiACwAXAAiAFwAIgAsAFwAIgBcACIALAAxADkALAAxADMALAAwACwAOQAsAFwAIgBOAGkAdAByAG8AZwBlAG4AIAAtACAARwBlAG4AZQByAGkAYwBcACIALAAwAC4AMQA5ACwAXAAiAFAAaABvAHMAcABoAG8AcgB1AHMAIAAtACAARwBlAG4AZQByAGkAYwBcACIALAAwAC4AMQAzACwAXAAiAFMAdQBsAGYAdQByACAALQAgAEcAZQBuAGUAcgBpAGMAXAAiACwAMAAuADAAOQ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QAGEAcwB0AHUAcgBlAEIAbwBvAHMAdABhAFwAIgAsAFwAIgBrAGcAXAAiACwAMQAsAFwAIgBcACIALABcACIAXAAiACwAXAAiAFwAIgAsADIAMwAuADgALAAzAC4ANwAsADEAMwAsADQALgAxACwAXAAiAE4AaQB0AHIAbwBnAGUAbgAgAC0AIABHAGUAbgBlAHIAaQBjAFwAIgAsADAALgAyADMAOAAsAFwAIgBQAGgAbwBzAHAAaABvAHIAdQBzACAALQAgAEcAZQBuAGUAcgBpAGMAXAAiACwAMAAuADAAMwA3ACwAXAAiAFAAbwB0AGEAcwBzAGkAdQBtACAALQAgAEcAZQBuAGUAcgBpAGMAXAAiACwAMAAuADEAMwAsAFwAIgBTAHUAbABmAHUAcgAgAC0AIABHAGUAbgBlAHIAaQBjAFwAIgAsADAALgAwADQAMQAsAFwAIgBcACIALABcACIAXAAiACwAXAAiAFwAIgAsAFwAIgBcACIALABcACIAXAAiACwAXAAiAFwAIgAsAFwAIgBcACIALABcACIAXAAiACwAXAAiAFwAIgAsAFwAIgBcACIALABcACIAXAAiACwAXAAiAFwAIgA7AFwAbgBcACIASQBuAGMAaQB0AGUAYwAgAFAAaQB2AG8AdAAgAEYAZQByAHQAaQBsAGkAcwBlAHIAcwBcACIALABcACIARwByAGUAZQBuAHQAbwBwACAASwBcACIALABcACIAawBnAFwAIgAsADEALABcACIAXAAiACwAXAAiAFwAIgAsAFwAIgBcACIALAAzADIALgA4ACwAXAAiAFwAIgAsADEAMQAsADIALgA5ACwAXAAiAFUAcgBlAGEAXAAiACwAMAAuADYANgAwADgANwAsAFwAIgBOAGkAdAByAG8AZwBlAG4AIAAtACAAQQBtAG0AbwBuAGkAYQBjAGEAbABcACIALAAwAC4AMAAyADQALABcACIAUABvAHQAYQBzAHMAaQB1AG0AIAAtACAARwBlAG4AZQByAGkAYwBcACIALAAwAC4AMQAxACwAXAAiAFMAdQBsAGYAdQByACAALQAgAEcAZQBuAGUAcgBpAGMAXAAiACwAMAAuADAAMgA5ACwAXAAiAFwAIgAsAFwAIgBcACIALABcACIAXAAiACwAXAAiAFwAIgAsAFwAIgBcACIALABcACIAXAAiACwAXAAiAFwAIgAsAFwAIgBcACIALABcACIAXAAiACwAXAAiAFwAIgAsAFwAIgBcACIALABcACIAXAAiADsAXABuAFwAIgBJAG4AYwBpAHQAZQBjACAAUABpAHYAbwB0ACAARgBlAHIAdABpAGwAaQBzAGUAcgBzAFwAIgAsAFwAIgBIAGEAeQBCAG8AbwBzAHQAYQBcACIALABcACIAawBnAFwAIgAsADEALABcACIAXAAiACwAXAAiAFwAIgAsAFwAIgBcACIALAAxADEALgA3ACwANAAuADcALAAyADMALgA5ACwANAAuADYALABcACIATgBpAHQAcgBvAGcAZQBuACAALQAgAEcAZQBuAGUAcgBpAGMAXAAiACwAMAAuADEAMQA3ACwAXAAiAFAAaABvAHMAcABoAG8AcgB1AHMAIAAtACAARwBlAG4AZQByAGkAYwBcACIALAAwAC4AMAA0ADcALABcACIAUABvAHQAYQBzAHMAaQB1AG0AIAAtACAARwBlAG4AZQByAGkAYwBcACIALAAwAC4AMgAzADkALABcACIAUwB1AGwAZgB1AHIAIAAtACAARwBlAG4AZQByAGkAYwBcACIALAAwAC4AMAA0ADYALABcACIAXAAiACwAXAAiAFwAIgAsAFwAIgBcACIALABcACIAXAAiACwAXAAiAFwAIgAsAFwAIgBcACIALABcACIAXAAiACwAXAAiAFwAIgAsAFwAIgBcACIALABcACIAXAAiACwAXAAiAFwAIgAsAFwAIgBcACIAXABuACAAIAB9ACwAIAByACwAIABjACkAXABuACAAKQApACkAXABuAFwAbgBcAG4ARgBlAHIAdABpAGwAaQBzAGUAcgBfAFAAcgBvAGQAdQBjAHQAcwBfAEQAYQB0AGEANABcAG4APQBMAEEATQBCAEQAQQAoAFwAbgAgAE0AQQBLAEUAQQBSAFIAQQBZACgAMwAwACwAIAAzADEALABcAG4AIABMAEEATQBCAEQAQQAoAHIALABjACwAXABuACAAIABJAE4ARABFAFgAKAB7AFwAbgBcACIASQBtAHAAYQBjAHQAIABGAGUAcgB0AGkAbABpAHMAZQByAHMAXAAiACwAXAAiAEkAbQBwAGEAYwB0ACAAUwB1AHAAZQByACAAUABvAHQAYQBzAGgAIAAxAFwAdQAwADAAMgA2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FwAdQAwADAAMgA2ADEAXAAiACwAXAAiAGsAZwBcACIALAAxACwAXAAiAFwAIgAsAFwAIgBcACIALABcACIAXAAiACwAXAAiAFwAIgAsADUALgA4ADQALAAxADYALgA4ACwANwAuADIAOQAsAFwAIgBTAGkAbgBnAGwAZQAgAHMAdQBwAGUAcgBwAGgAbwBzAHAAaABhAHQAZQAgACgAUwBTAFAAKQBcACIALAAwAC4ANgA2ADMAMQA1ADgALABcACIATQB1AHIAaQBhAHQAZQAgAG8AZgAgAHAAbwB0AGEAcwBoACAAKABNAE8AUAApAFwAIgAsADAALgAzADMAN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MwBcAHUAMAAwADIANgAxAFwAIgAsAFwAIgBrAGcAXAAiACwAMQAsAFwAIgBcACIALABcACIAXAAiACwAXAAiAFwAIgAsAFwAIgBcACIALAA2AC4ANQA4ACwAMQAyAC4ANQAsADgALgAyADIALABcACIAUwBpAG4AZwBsAGUAIABzAHUAcABlAHIAcABoAG8AcwBwAGgAYQB0AGUAIAAoAFMAUwBQACkAXAAiACwAMAAuADcANAA3ADMANgA4ACwAXAAiAE0AdQByAGkAYQB0AGUAIABvAGYAIABwAG8AdABhAHMAaAAgACgATQBPAFAAKQBcACIALAAwAC4AM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0AFwAdQAwADAAMgA2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XAB1ADAAMAAyADYAMQBcACIALABcACIAawBnAFwAIgAsADEALABcACIAXAAiACwAXAAiAFwAIgAsAFwAIgBcACIALABcACIAXAAiACwANwAuADMAMgAsADgALgA0ACwAOQAuADEANQAsAFwAIgBTAGkAbgBnAGwAZQAgAHMAdQBwAGUAcgBwAGgAbwBzAHAAaABhAHQAZQAgACgAUwBTAFAAKQBcACIALAAwAC4AOAAzADEANQA3ADkALABcACIATQB1AHIAaQBhAHQAZQAgAG8AZgAgAHAAbwB0AGEAcwBoACAAKABNAE8AUAApAFwAIgAsADAALgAxADYAOAAsAFwAIgBcACIALABcACIAXAAiACwAXAAiAFwAIgAsAFwAIgBcACI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BcACIALABcACIAawBnAFwAIgAsADEALABcACIAXAAiACwAXAAiAFwAIgAsAFwAIgBcACIALAAyADMALgA5ACwAXAAiAFwAIgAsAFwAIgBcACIALAAxADAALgA4ACwAXAAiAE4AaQB0AHIAbwBnAGUAbgAgAC0AIABOAGkAdAByAGEAdABlAFwAIgAsADAALgAwADcANAAsAFwAIgBOAGkAdAByAG8AZwBlAG4AIAAtACAAQQBtAG0AbwBuAGkAYQBjAGEAbABcACIALAAwAC4AMQA2ADUALABcACIAUwB1AGwAZgB1AHIAIAAtACAARwBlAG4AZQByAGkAYwBcACIALAAwAC4AMQAwADgALABcACIAQwBhAGwAYwBpAHUAbQBcACIALAAwAC4AMAA0ADQALABcACIAXAAiACwAXAAiAFwAIg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UAMAAvADUAMABcACIALABcACIAawBnAFwAIgAsADEALABcACIAXAAiACwAXAAiAFwAIgAsAFwAIgBcACIALAAxADcALgA5ACwAXAAiAFwAIgAsADEANQAsADMALgA2ACwAXAAiAE4AaQB0AHIAbwBnAGUAbgAgAC0AIABOAGkAdAByAGEAdABlAFwAIgAsADAALgAwADUANQAsAFwAIgBOAGkAdAByAG8AZwBlAG4AIAAtACAAQQBtAG0AbwBuAGkAYQBjAGEAbABcACIALAAwAC4AMQAyADQALABcACIAUABvAHQAYQBzAHMAaQB1AG0AIAAtACAARwBlAG4AZQByAGkAYwBcACIALAAwAC4AMQA1ACwAXAAiAFMAdQBsAGYAdQByACAALQAgAEcAZQBuAGUAcgBpAGMAXAAiACwAMAAuADAAMwA2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CAAKABTACkAXAAiACwAXAAiAGsAZwBcACIALAAxACwAXAAiAFwAIgAsAFwAIgBcACIALABcACIAXAAiACwAMQA2AC4AOQAsAFwAIgBcACIALAAxADQALgA0ACwAOAAuADcALABcACIATgBpAHQAcgBvAGcAZQBuACAALQAgAE4AaQB0AHIAYQB0AGUAXAAiACwAMAAuADAANQAyACwAXAAiAE4AaQB0AHIAbwBnAGUAbgAgAC0AIABBAG0AbQBvAG4AaQBhAGMAYQBsAFwAIgAsADAALgAxADEANwAsAFwAIgBQAG8AdABhAHMAcwBpAHUAbQAgAC0AIABHAGUAbgBlAHIAaQBjAFwAIgAsADAALgAxADQANAAsAFwAIgBTAHUAbABmAHUAcgAgAC0AIABHAGUAbgBlAHIAaQBjAFwAIgAsADAALgAwADgANwAsAFwAIgBDAGEAbABjAGkAdQBtAFwAIgAsADAALgAwADQANAAsAFwAIgBcACIALABcACIAXAAi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MwAwAFwAIgAsAFwAIgBrAGcAXAAiACwAMQAsAFwAIgBcACIALABcACIAXAAiACwAXAAiAFwAIgAsADEAOAAuADgALAAxACwAMQAyAC4ANQAsADMALgA3ACwAXAAiAE4AaQB0AHIAbwBnAGUAbgAgAC0AIABOAGkAdAByAGEAdABlAFwAIgAsADAALgAwADUAOAAsAFwAIgBOAGkAdAByAG8AZwBlAG4AIAAtACAAQQBtAG0AbwBuAGkAYQBjAGEAbABcACIALAAwAC4AMQAzACwAXAAiAFAAaABvAHMAcABoAG8AcgB1AHMAIAAtACAARwBlAG4AZQByAGkAYwBcACIALAAwAC4AMAAxACwAXAAiAFAAbwB0AGEAcwBzAGkAdQBtACAALQAgAEcAZQBuAGUAcgBpAGMAXAAiACwAMAAuADEAMgA1ACwAXAAiAFMAdQBsAGYAdQByACAALQAgAEcAZQBuAGUAcgBpAGMAXAAiACwAMAAuADAAMwA3ACwAXAAiAEMAYQBsAGMAaQB1AG0AXAAiACwAMAAuADAANAA0ACwAXAAiAFwAIgAsAFwAIgBcACIALABcACIAXAAiACwAXAAiAFwAIgAsAFwAIgBcACIALABcACIAXAAiACwAXAAiAFwAIgAsAFwAIgBcACIAOwBcAG4AXAAiAFAAYQBjAGkAZgBpAGMAIABGAGUAcgB0AGkAbABpAHMAZQByACAALwAgAEkAbgBjAGkAdABlAGMAIABQAGkAdgBvAHQAIABGAGUAcgB0AGkAbABpAHMAZQByAHMAXAAiACwAXAAiAEMAYQBsAC0ARwByAGEAbgAgADEANQAwAFwAIgAsAFwAIgBrAGcAXAAiACwAMQAsAFwAIgBcACIALABcACIAXAAiACwAXAAiAFwAIgAsADEAOAAuADYALAAzACwAMQAyAC4ANQAsADEALgA0ACwAXAAiAE4AaQB0AHIAbwBnAGUAbgAgAC0AIABOAGkAdAByAGEAdABlAFwAIgAsADAALgAwADUAOAAsAFwAIgBOAGkAdAByAG8AZwBlAG4AIAAtACAAQQBtAG0AbwBuAGkAYQBjAGEAbABcACIALAAwAC4AMQAyADgALABcACIAUABoAG8AcwBwAGgAbwByAHUAcwAgAC0AIABHAGUAbgBlAHIAaQBjAFwAIgAsADAALgAwADMALABcACIAUABvAHQAYQBzAHMAaQB1AG0AIAAtACAARwBlAG4AZQByAGkAYwBcACIALAAwAC4AMQAyADUALABcACIAUwB1AGwAZgB1AHIAIAAtACAARwBlAG4AZQByAGkAYwBcACIALAAwAC4AMAAxADQ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RQB4AHQAcgBhACAASwBcACIALABcACIAawBnAFwAIgAsADEALABcACIAXAAiACwAXAAiAFwAIgAsAFwAIgBcACIALAAxADUALgA4ACwAXAAiAFwAIgAsADEAOQAsADMALgAyACwAXAAiAE4AaQB0AHIAbwBnAGUAbgAgAC0AIABOAGkAdAByAGEAdABlAFwAIgAsADAALgAwADQAOQAsAFwAIgBOAGkAdAByAG8AZwBlAG4AIAAtACAAQQBtAG0AbwBuAGkAYQBjAGEAbABcACIALAAwAC4AMQAwADkALABcACIAUABvAHQAYQBzAHMAaQB1AG0AIAAtACAARwBlAG4AZQByAGkAYwBcACIALAAwAC4AMQA5ACwAXAAiAFMAdQBsAGYAdQByACAALQAgAEcAZQBuAGUAcgBpAGMAXAAiACwAMAAuADAAMwAyACwAXAAiAEMAYQBsAGMAaQB1AG0AXAAiACwAMAAuADAAMwA5ACwAXAAiAFwAIgAsAFwAIgBcACIALABcACIAXAAiACwAXAAiAFwAIgAsAFwAIgBcACIALABcACIAXAAiACwAXAAiAFwAIgAsAFwAIgBcACIALABcACIAXAAiACwAXAAiAFwAIgA7AFwAbgBcACIASQBuAGMAaQB0AGUAYwAgAFAAaQB2AG8AdAAgAEYAZQByAHQAaQBsAGkAcwBlAHIAcwBcACIALABcACIARABhAGkAcgB5ACAAUAByAG8AXAAiACwAXAAiAGsAZwBcACIALAAxACwAXAAiAFwAIgAsAFwAIgBcACIALABcACIAXAAiACwAMgA1AC4AOQAsADMALgA5ACwAMQA1AC4AOQAsADAALgAzACwAXAAiAE4AaQB0AHIAbwBnAGUAbgAgAC0AIABHAGUAbgBlAHIAaQBjAFwAIgAsADAALgAyADUAOQAsAFwAIgBQAGgAbwBzAHAAaABvAHIAdQBzACAALQAgAEcAZQBuAGUAcgBpAGMAXAAiACwAMAAuADAAMwA5ACwAXAAiAFAAbwB0AGEAcwBzAGkAdQBtACAALQAgAEcAZQBuAGUAcgBpAGMAXAAiACwAMAAuADEANQA5ACwAXAAiAFMAdQBsAGYAdQByACAALQAgAEcAZQBuAGUAcgBpAGMAXAAiACwAMAAuADAAMAAzACwAXAAiAFwAIgAsAFwAIgBcACIALABcACIAXAAiACwAXAAiAFwAIgAsAFwAIgBcACIALABcACIAXAAiACwAXAAiAFwAIgAsAFwAIgBcACIALABcACIAXAAiACwAXAAiAFwAIgAsAFwAIgBcACIALABcACIAXAAiADsAXABuAFwAIgBZAGEAcgBhACAAQQB1AHMAdAByAGEAbABpAGEAXAAiACwAXAAiAFkAYQByAGEATQBpAGwAYQAgAEEAQwBUAFkAVgBBACAAUwBcACIALABcACIAawBnAFwAIgAsADEALABcACIAXAAiACwAXAAiAFwAIgAsAFwAIgBcACIALAAxADUALgA2ACwANgAuADMANwAsADEAMgAuADQANQAsADIALgA2ACwAXAAiAE4AaQB0AHIAbwBnAGUAbgAgAC0AIABOAGkAdAByAGEAdABlAFwAIgAsADAALgAwADUAOAAsAFwAIgBOAGkAdAByAG8AZwBlAG4AIAAtACAAQQBtAG0AbwBuAGkAYQBjAGEAbABcACIALAAwAC4AMAA5ADgALABcACIAUABoAG8AcwBwAGgAbwByAHUAcwAgAC0AIABHAGUAbgBlAHIAaQBjAFwAIgAsADAALgAwADYAMwA3ADEANAAsAFwAIgBQAG8AdABhAHMAcwBpAHUAbQAgAC0AIABHAGUAbgBlAHIAaQBjAFwAIgAsADAALgAxADIANAA1ADEANQAsAFwAIgBTAHUAbABmAHUAcgAgAC0AIABHAGUAbgBlAHIAaQBjAFwAIgAsADAALgAwADIANgAsAFwAIgBcACIALABcACIAXAAiACwAXAAiAFwAIgAsAFwAIgBcACIALABcACIAXAAiACwAXAAiAFwAIgAsAFwAIgBcACIALABcACIAXAAiACwAXAAiAFwAIgAsAFwAIgBcACIAOwBcAG4AXAAiAEMAUwBCAFAAXAAiACwAXAAiAEEAZwBmAGwAbwB3ACAARQB4AHQAcgBhAFwAIgAsAFwAIgBrAGcAXAAiACwAMQAsAFwAIgBcACIALABcACIAXAAiACwAXAAiAFwAIgAsADEAMQAuADEANQAsADEANwAuADUAMgAsAFwAIgBcACIALAAzAC4ANgAsAFwAIgBNAG8AbgBvAGEAbQBtAG8AbgBpAHUAbQAgAHAAaABvAHMAcABoAGEAdABlACAAKABNAEEAUAApAFwAIgAsADAALgA4ACwAXAAiAFMAdQBsAHAAaABhAHQAZQAgAG8AZgAgAGEAbQBtAG8AbgBpAGEAIAAoAFMATwBBACkAXAAiACwAMAAuADEANQAsAFwAIgBDAG8AcABwAGUAcgBcACIALABcACIATgBvACAAZABhAHQAYQBcACIALABcACIATQBvAGwAeQBiAGQAZQBuAHUAbQBcACIALABcACIATgBvACAAZABhAHQAYQBcACIALABcACIAWgBpAG4AYwBcACIALABcACIATgBvACAAZABhAHQAYQBcACIALABcACIAXAAiACwAXAAiAFwAIgAsAFwAIgBcACIALABcACIAXAAiACwAXAAiAFwAIgAsAFwAIgBcACIALABcACIAXAAiACwAXAAiAFwAIgAsAFwAIgBcACIALABcACIAXAAiADsAXABuAFwAIgBDAFMAQgBQAFwAIgAsAFwAIgBTAHUAcABlAHIAIABcAHUAMAAwADIANgAgAFAAbwB0AGEAcwBoACAAMwA6ADEAXAAiACwAXAAiAGsAZwBcACIALAAxACwAXAAiAFwAIgAsAFwAIgBcACIALABcACIAXAAiACwAXAAiAFwAIgAsADUALgA1ACwAMQA1ACwANgAuADgAOAAsAFwAIgBTAGkAbgBnAGwAZQAgAHMAdQBwAGUAcgBwAGgAbwBzAHAAaABhAHQAZQAgACgAUwBTAFAAKQBcACIALAAwAC4ANgAyADUALABcACIATQB1AHIAaQBhAHQAZQAgAG8AZgAgAHAAbwB0AGEAcwBoACAAKABNAE8AUAApAFwAIgAsADAALgAzACwAXAAiAFwAIgAsAFwAIgBcACIALABcACIAXAAiACwAXAAiAFwAIgAsAFwAIgBcACIALABcACIAXAAiACwAXAAiAFwAIgAsAFwAIgBcACIALABcACIAXAAiACwAXAAiAFwAIgAsAFwAIgBcACIALABcACIAXAAiACwAXAAiAFwAIgAsAFwAIgBcACIALABcACIAXAAiACwAXAAiAFwAIgA7AFwAbgBcACIAWQBhAHIAYQBcACIALABcACIAWQBhAHIAYQBCAGUAbABhACAAQwBBAE4ALQAyADcAXAAiACwAXAAiAGsAZwBcACIALAAxACwAXAAiAFwAIgAsAFwAIgBcACIALABcACIAXAAiACwAMgA3ACwAXAAiAFwAIgAsAFwAIgBcACIALABcACIAXAAiACwAXAAiAEMAYQBsAGMAaQB1AG0AIABhAG0AbQBvAG4AaQB1AG0AIABuAGkAdAByAGEAdABlACAAKABDAEEATgApAFwAIgAsADEALABcACIAXAAiACwAXAAiAFwAIgAsAFwAIgBcACIALABcACIAXAAi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EMAYQBsAC0ARwByAGEAbgAgAEEAZgB0AGUAcgBnAHIAYQB6AGUAXAAiACwAXAAiAGsAZwBcACIALAAxACwAXAAiAFwAIgAsAFwAIgBcACIALABcACIAXAAiACwAMgAwAC4ANgAsADMALAA3AC4ANQAsADMALgA4ACwAXAAiAE4AaQB0AHIAbwBnAGUAbgAgAC0AIABOAGkAdAByAGEAdABlAFwAIgAsADAALgAwADYANAAsAFwAIgBOAGkAdAByAG8AZwBlAG4AIAAtACAAQQBtAG0AbwBuAGkAYQBjAGEAbABcACIALAAwAC4AMQA0ADIALABcACIAUABoAG8AcwBwAGgAbwByAHUAcwAgAC0AIABHAGUAbgBlAHIAaQBjAFwAIgAsADAALgAwADMALABcACIAUABvAHQAYQBzAHMAaQB1AG0AIAAtACAARwBlAG4AZQByAGkAYwBcACIALAAwAC4AMAA3ADUALABcACIAUwB1AGwAZgB1AHIAIAAtACAARwBlAG4AZQByAGkAYwBcACIALAAwAC4AMAAzADgALABcACIAQwBhAGwAYwBpAHUAbQBcACIALAAwAC4AMAA0ADQALABcACIAXAAiACwAXAAiAFwAIgAsAFwAIgBcACIALABcACIAXAAiACwAXAAiAFwAIgAsAFwAIgBcACIALABcACIAXAAiACwAXAAiAFwAIgA7AFwAbgBcACIASQBuAGMAaQB0AGUAYwAgAFAAaQB2AG8AdAAgAEYAZQByAHQAaQBsAGkAcwBlAHIAcwBcACIALABcACIAQwBhAGwALQBHAHIAYQBuACAAUAByAG8AZAByAGUAcwBzAFwAIgAsAFwAIgBrAGcAXAAiACwAMQAsAFwAIgBcACIALABcACIAXAAiACwAXAAiAFwAIgAsADEANwAuADgALAAxACwAMQA1ACwAMgAuADUALABcACIATgBpAHQAcgBvAGcAZQBuACAALQAgAE4AaQB0AHIAYQB0AGUAXAAiACwAMAAuADAANQA1ACwAXAAiAE4AaQB0AHIAbwBnAGUAbgAgAC0AIABBAG0AbQBvAG4AaQBhAGMAYQBsAFwAIgAsADAALgAxADIAMwAsAFwAIgBQAGgAbwBzAHAAaABvAHIAdQBzACAALQAgAEcAZQBuAGUAcgBpAGMAXAAiACwAMAAuADAAMQAsAFwAIgBQAG8AdABhAHMAcwBpAHUAbQAgAC0AIABHAGUAbgBlAHIAaQBjAFwAIgAsADAALgAxADUALABcACIAUwB1AGwAZgB1AHIAIAAtACAARwBlAG4AZQByAGkAYwBcACIALAAwAC4AMAAyADUALABcACIAQwBhAGwAYwBpAHUAbQBcACIALAAwAC4AMAA0ADQALABcACIAXAAiACwAXAAiAFwAIgAsAFwAIgBcACIALABcACIAXAAiACwAXAAiAFwAIgAsAFwAIgBcACIALABcACIAXAAiACwAXAAiAFwAIgA7AFwAbgBcACIAVwBlAG4AZwBmAHUAIABBAHUAcwB0AHIAYQBsAGkAYQBcACIALABcACIAVwBlAG4AZwBmAHUAIABQAHIAaQBtAGUAWgBpAG4AYwAgADEAMABcACIALABcACIAawBnAFwAIgAsADEALABcACIAXAAiACwAXAAiAFwAIgAsAFwAIgBcACIALAAxADAALAAyADIALABcACIAXAAiACwAMQAuADUALABcACIATgBpAHQAcgBvAGcAZQBuACAALQAgAEcAZQBuAGUAcgBpAGMAXAAiACwAMAAuADEALABcACIAUABoAG8AcwBwAGgAbwByAHUAcwAgAC0AIABHAGUAbgBlAHIAaQBjAFwAIgAsADAALgAyADIALABcACIAUwB1AGwAZgB1AHIAIAAtACAARwBlAG4AZQByAGkAYwBcACIALAAwAC4AMAAxADUALABcACIAWgBpAG4AYwBcACIALAAwAC4AMAAxACwAXAAiAFwAIgAsAFwAIgBcACIALABcACIAXAAiACwAXAAiAFwAIgAsAFwAIgBcACIALABcACIAXAAiACwAXAAiAFwAIgAsAFwAIgBcACIALABcACIAXAAiACwAXAAiAFwAIgAsAFwAIgBcACIALABcACIAXAAiADsAXABuAFwAIgBXAGUAbgBnAGYAdQAgAEEAdQBzAHQAcgBhAGwAaQBhAFwAIgAsAFwAIgBXAGUAbgBnAGYAdQAgAFAAYQBzAHQAdQByAGUAIABLAGkAbgBnAFwAIgAsAFwAIgBrAGcAXAAiACwAMQAsAFwAIgBcACIALABcACIAXAAiACwAXAAiAFwAIgAsAFwAIgBcACIALAAxADUALgA3ACwAXAAiAFwAIgAsADQALgA2ACwAXAAiAFAAaABvAHMAcABoAG8AcgB1AHMAIAAtACAARwBlAG4AZQByAGkAYwBcACIALAAwAC4AMQA1ADcALABcACIAUwB1AGwAZgB1AHIAIAAtACAARwBlAG4AZQByAGkAYwBcACIALAAwAC4AMAA0ADYALABcACIAQwBhAGwAYwBpAHUAbQBcACIALAAwAC4AMQA0ACwAXAAiAFwAIgAsAFwAIgBcACIALABcACIAXAAiACwAXAAiAFwAIgAsAFwAIgBcACIALABcACIAXAAiACwAXAAiAFwAIgAsAFwAIgBcACIALABcACIAXAAiACwAXAAiAFwAIgAsAFwAIgBcACIALABcACIAXAAiACwAXAAiAFwAIgAsAFwAIgBcACIAOwBcAG4AXAAiAFcAZQBuAGcAZgB1ACAAQQB1AHMAdAByAGEAbABpAGEAXAAiACwAXAAiAFcAZQBuAGcAZgB1ACAAUwB1AFMAdABhAGkAbgBcACIALABcACIAawBnAFwAIgAsADEALABcACIAXAAiACwAXAAiAFwAIgAsAFwAIgBcACIALABcACIAXAAiACwAXAAiAFwAIgAsAFwAIgBcACIALAA5ADAALABcACIAUwB1AGwAZgB1AHIAIAAtACAARwBlAG4AZQByAGkAYwBcACIALAAwAC4AOQAsAFwAIgBcACIALABcACIAXAAiACwAXAAiAFwAIgAsAFwAIgBcACIALABcACIAXAAiACwAXAAiAFwAIgAsAFwAIgBcACIALABcACIAXAAiACwAXAAiAFwAIgAsAFwAIgBcACIALABcACIAXAAiACwAXAAiAFwAIgAsAFwAIgBcACIALABcACIAXAAiACwAXAAiAFwAIgAsAFwAIgBcACIALABcACIAXAAiACwAXAAiAFwAIgA7AFwAbgBcACIAVwBlAG4AZwBmAHUAIABBAHUAcwB0AHIAYQBsAGkAYQBcACIALABcACIAVwBlAG4AZwBmAHUAIABTAGwAYQBtAFwAIgAsAFwAIgBrAGcAXAAiACwAMQAsAFwAIgBcACIALABcACIAXAAiACwAXAAiAFwAIgAsADEAOQAuADUALAAwAC4ANwAsAFwAIgBcACIALAAyADMALABcACIATgBpAHQAcgBvAGcAZQBuACAALQAgAEcAZQBuAGUAcgBpAGMAXAAiACwAMAAuADEAOQA1ACwAXAAiAFAAaABvAHMAcABoAG8AcgB1AHMAIAAtACAARwBlAG4AZQByAGkAYwBcACIALAAwAC4AMAAwADcALABcACIAUwB1AGwAZgB1AHIAIAAtACAARwBlAG4AZQByAGkAYwBcACIALAAwAC4AMgAzACwAXAAiAFwAIgAsAFwAIgBcACIALABcACIAXAAiACwAXAAiAFwAIgAsAFwAIgBcACIALABcACIAXAAiACwAXAAiAFwAIgAsAFwAIgBcACIALABcACIAXAAiACwAXAAiAFwAIgAsAFwAIgBcACIALABcACIAXAAiACwAXAAiAFwAIgAsAFwAIgBcACIAOwBcAG4AXAAiAFcAZQBuAGcAZgB1ACAAQQB1AHMAdAByAGEAbABpAGEAXAAiACwAXAAiAFcAZQBuAGcAZgB1ACAAUAByAGkAbQBlACAATQBTAFoAXAAiACwAXAAiAGsAZwBcACIALAAxACwAXAAiAFwAIgAsAFwAIgBcACIALABcACIAXAAiACwAMQAwACwAMQA4ACwAXAAiAFwAIgAsADgALABcACIATgBpAHQAcgBvAGcAZQBuACAALQAgAEcAZQBuAGUAcgBpAGMAXAAiACwAMAAuADEALABcACIAUABoAG8AcwBwAGgAbwByAHUAcwAgAC0AIABHAGUAbgBlAHIAaQBjAFwAIgAsADAALgAxADgALABcACIAUwB1AGwAZgB1AHIAIAAtACAARwBlAG4AZQByAGkAYwBcACIALAAwAC4AMAA4ACwAXAAiAFoAaQBuAGMAXAAiACwAMAAuADAAMAA1ACwAXAAiAFwAIgAsAFwAIgBcACIALABcACIAXAAiACwAXAAiAFwAIgAsAFwAIgBcACIALABcACIAXAAiACwAXAAiAFwAIgAsAFwAIgBcACIALABcACIAXAAiACwAXAAiAFwAIgAsAFwAIgBcACIALABcACIAXAAiADsAXABuAFwAIgBXAGUAbgBnAGYAdQAgAEEAdQBzAHQAcgBhAGwAaQBhAFwAIgAsAFwAIgBXAGUAbgBnAGYAdQAgADkALQAyADAALQAwAC0AMQAwACAATQBBAFAAIABTAHUAUwB0AGEAaQBu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MQA1AC0AMQA3AC0AMAAtADEANQAgAEQAQQBQACAAUwB1AFMAdABhAGkAbgBcACIALABcACIAawBnAFwAIgAsADEALABcACIAXAAiACwAXAAiAFwAIgAsAFwAIgBcACIALAAxADUALgAyACwAMQA2AC4AOQAsADAALAAxADUALgAyACwAXAAiAE4AaQB0AHIAbwBnAGUAbgAgAC0AIABHAGUAbgBlAHIAaQBjAFwAIgAsADAALgAxADUAMgAsAFwAIgBQAGgAbwBzAHAAaABvAHIAdQBzACAALQAgAEcAZQBuAGUAcgBpAGMAXAAiACwAMAAuADEANgA5ACwAXAAiAFMAdQBsAGYAdQByACAALQAgAEcAZQBuAGUAcgBpAGMAXAAiACwAMAAuADEANQAyACwAXAAiAFwAIgAsAFwAIgBcACIALABcACIAXAAiACwAXAAiAFwAIgAsAFwAIgBcACIALABcACIAXAAiACwAXAAiAFwAIgAsAFwAIgBcACIALABcACIAXAAiACwAXAAiAFwAIgAsAFwAIgBcACIALABcACIAXAAiACwAXAAiAFwAIgAsAFwAIgBcACIAOwBcAG4AXAAiAFcAZQBuAGcAZgB1ACAAQQB1AHMAdAByAGEAbABpAGEAXAAiACwAXAAiAFcAZQBuAGcAZgB1ACAAMQA2AC0AMQA4AC0AMAAtADEAMAAgAEQAQQBQACAAUwB1AFMAdABhAGkAbgBcACIALABcACIAawBnAFwAIgAsADEALABcACIAXAAiACwAXAAiAFwAIgAsAFwAIgBcACIALAAxADYALgAyACwAMQA4ACwAMAAsADEAMAAuADQALABcACIATgBpAHQAcgBvAGcAZQBuACAALQAgAEcAZQBuAGUAcgBpAGMAXAAiACwAMAAuADEANgAyACwAXAAiAFAAaABvAHMAcABoAG8AcgB1AHMAIAAtACAARwBlAG4AZQByAGkAYwBcACIALAAwAC4AMQA4ACwAXAAiAFMAdQBsAGYAdQByACAALQAgAEcAZQBuAGUAcgBpAGMAXAAiACwAMAAuADEAMAA0ACwAXAAiAFwAIgAsAFwAIgBcACIALABcACIAXAAiACwAXAAiAFwAIgAsAFwAIgBcACIALABcACIAXAAiACwAXAAiAFwAIgAsAFwAIgBcACIALABcACIAXAAiACwAXAAiAFwAIgAsAFwAIgBcACIALABcACIAXAAiACwAXAAiAFwAIgAsAFwAIgBcACIAOwBcAG4AXAAiAFcAZQBuAGcAZgB1ACAAQQB1AHMAdAByAGEAbABpAGEAXAAiACwAXAAiAFcAZQBuAGcAZgB1ACAANQAtADEANQAtADAALQA2ACAARgBhAHMAdAAgAFMAdABhAHIAdAAgAEwAZQBnAHUAbQBlAFwAIgAsAFwAIgBrAGcAXAAiACwAMQAsAFwAIgBcACIALABcACIAXAAiACwAXAAiAFwAIgAsADUALAAxADUALgA0ACwAMAAsADYALgAzACwAXAAiAE4AaQB0AHIAbwBnAGUAbgAgAC0AIABHAGUAbgBlAHIAaQBjAFwAIgAsADAALgAwADUALABcACIAUABoAG8AcwBwAGgAbwByAHUAcwAgAC0AIABHAGUAbgBlAHIAaQBjAFwAIgAsADAALgAxADUANAAsAFwAIgBTAHUAbABmAHUAcgAgAC0AIABHAGUAbgBlAHIAaQBjAFwAIgAsADAALgAwADYAMwAsAFwAIgBcACIALABcACIAXAAiACwAXAAiAFwAIgAsAFwAIgBcACIALABcACIAXAAiACwAXAAiAFwAIgAsAFwAIgBcACIALABcACIAXAAiACwAXAAiAFwAIgAsAFwAIgBcACIALABcACIAXAAiACwAXAAiAFwAIgAsAFwAIgBcACIALABcACIAXAAiADsAXABuAFwAIgBXAGUAbgBnAGYAdQAgAEEAdQBzAHQAcgBhAGwAaQBhAFwAIgAsAFwAIgBXAGUAbgBnAGYAdQAgADkALQAyADAALQAwAC0AMQAwACAAUAByAGkAbQBlAFoAaQBuAGMAXAAiACwAXAAiAGsAZwBcACIALAAxACwAXAAiAFwAIgAsAFwAIgBcACIALABcACIAXAAiACwAOQAsADEAOQAuADgALAAwACwAMQAwAC4ANAAsAFwAIgBOAGkAdAByAG8AZwBlAG4AIAAtACAARwBlAG4AZQByAGkAYwBcACIALAAwAC4AMAA5ACwAXAAiAFAAaABvAHMAcABoAG8AcgB1AHMAIAAtACAARwBlAG4AZQByAGkAYwBcACIALAAwAC4AMQA5ADgALABcACIAUwB1AGwAZgB1AHIAIAAtACAARwBlAG4AZQByAGkAYwBcACIALAAwAC4AMQAwADQALABcACIAWgBpAG4AYwBcACIALAAwAC4AMAAwADkALABcACIAXAAiACwAXAAiAFwAIgAsAFwAIgBcACIALABcACIAXAAiACwAXAAiAFwAIgAsAFwAIgBcACIALABcACIAXAAiACwAXAAiAFwAIgAsAFwAIgBcACIALABcACIAXAAiACwAXAAiAFwAIgAsAFwAIgBcACIAOwBcAG4AXAAiAFcAZQBuAGcAZgB1ACAAQQB1AHMAdAByAGEAbABpAGEAXAAiACwAXAAiAFcAZQBuAGcAZgB1ACAAMQAyAC0AMQA4AC0AMAAtADYAIABQAHIAaQBtAGUAWgBpAG4AYwBcACIALABcACIAawBnAFwAIgAsADEALABcACIAXAAiACwAXAAiAFwAIgAsAFwAIgBcACIALAAxADEALgA5ACwAMQA3AC4ANgAsADAALAA1AC4AOQAsAFwAIgBOAGkAdAByAG8AZwBlAG4AIAAtACAARwBlAG4AZQByAGkAYwBcACIALAAwAC4AMQAxADkALABcACIAUABoAG8AcwBwAGgAbwByAHUAcwAgAC0AIABHAGUAbgBlAHIAaQBjAFwAIgAsADAALgAxADcANgAsAFwAIgBTAHUAbABmAHUAcgAgAC0AIABHAGUAbgBlAHIAaQBjAFwAIgAsADAALgAwADUAOQAsAFwAIgBaAGkAbgBjAFwAIgAsADAALgAwADAAOAAsAFwAIgBcACIALABcACIAXAAiACwAXAAiAFwAIgAsAFwAIgBcACIALABcACIAXAAiACwAXAAiAFwAIgAsAFwAIgBcACIALABcACIAXAAiACwAXAAiAFwAIgAsAFwAIgBcACIALABcACIAXAAiACwAXAAiAFwAIgA7AFwAbgBcACIAVwBlAG4AZwBmAHUAIABBAHUAcwB0AHIAYQBsAGkAYQBcACIALABcACIAVwBlAG4AZwBmAHUAIAAxADQALQAxADMALQAwAC0AMQAxACAAUAByAGkAbQBlAFoAaQBuAGMAXAAiACwAXAAiAGsAZwBcACIALAAxACwAXAAiAFwAIgAsAFwAIgBcACIALABcACIAXAAiACwAMQA0AC4AMQAsADEAMgAuADgALAAwACwAMQAwAC4ANwAsAFwAIgBOAGkAdAByAG8AZwBlAG4AIAAtACAARwBlAG4AZQByAGkAYwBcACIALAAwAC4AMQA0ADEALABcACIAUABoAG8AcwBwAGgAbwByAHUAcwAgAC0AIABHAGUAbgBlAHIAaQBjAFwAIgAsADAALgAxADIAOAAsAFwAIgBTAHUAbABmAHUAcgAgAC0AIABHAGUAbgBlAHIAaQBjAFwAIgAsADAALgAxADAANwAsAFwAIgBaAGkAbgBjAFwAIgAsADAALgAwADAANgAsAFwAIgBcACIALABcACIAXAAiACwAXAAiAFwAIgAsAFwAIgBcACIALABcACIAXAAiACwAXAAiAFwAIgAsAFwAIgBcACIALABcACIAXAAiACwAXAAiAFwAIgAsAFwAIgBcACIALABcACIAXAAiACwAXAAiAFwAIgBcAG4AIAAgAH0ALAAgAHIALAAgAGMAKQBcAG4AIAApACkAKQ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BcAG4AXABuAFwAbgBcAG4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BcAHUAMAAwADIANwBOAGEAdAB1AHIAYQBsACAAZwBhAHMAIABkAGkAcwB0AHIAaQBiAHUAdABlAGQAIABpAG4AIABhACAAcABpAHAAZQBsAGkAbgBlACAALQAgAEcAaQBnAGEAagBvAHUAbABlAHMAXAB1ADAAMAAyADcAIABhAG4AZAAgAFwAdQAwADAAMgA3AFQAbwB3AG4AIABnAGEAcwAgAC0AIABHAGkAZwBhAGoAbwB1AGwAZQBzAFwAdQAwADAAMgA3ACAAdwBlAHIAZQAgAGEAZABkAGUAZAAsACAAZQBhAGMAaAAgAHcAaQB0AGgAIABhAG4AIABlAG4AZQByAGcAeQAgAGMAbwBuAHQAZQBuAHQAIABmAGEAYwB0AG8AcgAgAG8AZgAgADEAIABHAEoAIABwAGUAcgAgAHUAbgBpAHQAIABvAGYAIABmAHUAZQBsAC4AIABUAGgAaQBzACAAaQBzACAAZgBvAHIAIAB1AHMAZQByAHMAIAB3AGgAbwAgAGgAYQB2AGUAIABmAHUAZQBsACAAYwBvAG4AcwB1AG0AcAB0AGkAbwBuACAAZABhAHQAYQAgAGkAbgAgAEcASgAgAHIAYQB0AGgAZQByACAAdABoAGEAbgAgAG0AMwAuAFwAIgApACkAOwBcAG4AXABuAFwAbgAvACoAXABuAD0APQA9AD0APQA9AD0APQA9AD0APQA9AD0APQA9AD0APQA9AD0APQA9AD0APQA9AD0APQA9AD0APQA9AD0APQA9AD0APQA9AD0APQA9AD0APQA9AD0APQA9AD0APQA9AD0APQA9AD0APQA9AD0APQA9AD0APQA9AD0APQA9AD0APQA9AD0APQA9AD0APQA9AD0APQA9AD0AXABuAEYAdQBlAGwAIABzAGMAbwBwAGUAIAAz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zAEUAbQBpAHMAcwBpAG8AbgBGAGEAYwB0AG8AcgBzAFMAdABhAHQAaQBvAG4AYQByAHkARwBhAHMAZQBvAHUAcwBfAFQAaQB0AGwAZQBcAG4APQBMAEEATQBCAEQAQQAoACgAXAAiAEYAdQBlAGwAIABzAGMAbwBwAGUAIAAzACAAZQBtAGkAcwBzAGkAbwBuACAAZgBhAGMAdABvAHIAcwAgAC0AIABTAHQAYQB0AGkAbwBuAGEAcgB5ACAAZwBhAHMAZQBvAHUAcwAgAGYAdQBlAGwAcwBcACIAKQApADsAXABuAFwAbgBGAHUAZQBsAF8AUwBjAG8AcABlADMARQBtAGkAcwBzAGkAbwBuAEYAYQBjAHQAbwByAHMAUwB0AGEAdABpAG8AbgBhAHIAeQBHAGEAcwBlAG8AdQBzAF8ARABlAHMAYwByAGkAcAB0AGkAbwBuAFwAbgA9AEwAQQBNAEIARABBACgAKABcACIASQBuAGQAaQByAGUAYwB0ACAAKABTAGMAbwBwAGUAIAAzACkAIABlAG0AaQBzAHMAaQBvAG4AIABmAGEAYwB0AG8AcgBzACAAZgBvAHIAIAB0AGgAZQAgAGMAbwBuAHMAdQBtAHAAdABpAG8AbgAgAG8AZgAgAG4AYQB0AHUAcgBhAGwAIABnAGEAcwAuAFwAIgApACkAOwBcAG4AXABuAEYAdQBlAGwAXwBTAGMAbwBwAGUAMw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gBcACIAKQApADsAXABuAFwAbgBGAHUAZQBsAF8AUwBjAG8AcABlADMARQBtAGkAcwBzAGkAbwBuAEYAYQBjAHQAbwByAHMAUwB0AGEAdABpAG8AbgBhAHIAeQBHAGEAcwBlAG8AdQBzAF8ARABhAHQAYQBcAG4APQBMAEEATQBCAEQAQQAoAFwAbgAgACAATQBBAEsARQBBAFIAUgBBAFkAKAA5ACwAIAAzACwAXABuACAAIAAgACAATABBAE0AQgBEAEEAKAByACwAYwAsAFwAbgAgACAAIAAgACAAIABJAE4ARABFAFgAKAB7AFwAbgAgACAAIAAgACAAIAAgACAAXAAiAFMAdABhAHQAZQAgAG8AcgAgAHQAZQByAHIAaQB0AG8AcgB5AFwAIgAsACAAXAAiAFMAYwBvAHAAZQAgADMAIABFAG0AaQBzAHMAaQBvAG4AIABGAGEAYwB0AG8AcgBzACAAZgBvAHIAIABOAGEAdAB1AHIAYQBsACAARwBhAHMAIAAoAGsAZwAgAEMATwAyACAALQAgAGUAIAAvACAARwBKACkAIABNAGUAdAByAG8AXAAiACwAIABcACIAUwBjAG8AcABlACAAMwAgAEUAbQBpAHMAcwBpAG8AbgAgAEYAYQBjAHQAbwByAHMAIABmAG8AcgAgAE4AYQB0AHUAcgBhAGwAIABHAGEAcwAgACgAawBnACAAQwBPADIAIAAtACAAZQAgAC8AIABHAEoAKQAgAE4AbwBuACAALQAgAE0AZQB0AHIAbwBcACIAOwBcAG4AIAAgACAAIAAgACAAIAAgAFwAIgBOAGUAdwAgAFMAbwB1AHQAaAAgAFcAYQBsAGUAcwBcACIALAAgADEAMwAuADEALAAgADEANAAuADAAOwBcAG4AIAAgACAAIAAgACAAIAAgAFwAIgBBAEMAVABcACIALAAgADEAMwAuADEALAAgADEANAAuADAAOwBcAG4AIAAgACAAIAAgACAAIAAgAFwAIgBWAGkAYwB0AG8AcgBpAGEAXAAiACwAIAA0AC4AMAAsACAANAAuADAAOwBcAG4AIAAgACAAIAAgACAAIAAgAFwAIgBRAHUAZQBlAG4AcwBsAGEAbgBkAFwAIgAsACAAOAAuADgALAAgADcALgA5ADsAXABuACAAIAAgACAAIAAgACAAIABcACIAUwBvAHUAdABoACAAQQB1AHMAdAByAGEAbABpAGEAXAAiACwAIAAxADAALgA3ACwAIAAxADAALgA2ADsAXABuACAAIAAgACAAIAAgACAAIABcACIAVwBlAHMAdABlAHIAbgAgAEEAdQBzAHQAcgBhAGwAaQBhAFwAIgAsACAANAAuADEALAAgADQALgAwADsAXABuACAAIAAgACAAIAAgACAAIABcACIAVABhAHMAbQBhAG4AaQBhAFwAIgAsACAANAAuADAALAAgADQALgAwADsAXABuACAAIAAgACAAIAAgACAAIABcACIATgBvAHIAdABoAGUAcgBuACAAVABlAHIAcgBpAHQAbwByAHkAXAAiACwAIAA0AC4AMQAsACAANAAuADAAXABuACAAIAAgACAAIAAgAH0ALAAgAHIALAAgAGMAKQBcAG4AKQApACkAOwBcAG4AXABuAEYAdQBlAGwAXwBTAGMAbwBwAGUAMwBFAG0AaQBzAHMAaQBvAG4ARgBhAGMAdABvAHIAcwBTAHQAYQB0AGkAbwBuAGEAcgB5AEcAYQBzAGUAbwB1AHMAXwBWAGEAcgBpAGEAdABpAG8AbgBcAG4APQBMAEEATQBCAEQAQQAoACgAXAAiAFYAQQBSAEkAQQBUAEkATwBOACAATwBGACAAUwBPAFUAUgBDAEUAIABEAEEAVABBADoAIABOAFMAVwAgAGEAbgBkACAAQQBDAFQAIABzAHAAbABpAHQAIABpAG4AdABvACAAcwBlAHAAYQByAGEAdABlACAAcgBvAHcAcwAuACAAXAB1ADAAMAAyADcAQwBcAHUAMAAwADIAN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VAByAGEAbgBzAHAAbwByAHQAXABuAD0APQA9AD0APQA9AD0APQA9AD0APQA9AD0APQA9AD0APQA9AD0APQA9AD0APQA9AD0APQA9AD0APQA9AD0APQA9AD0APQA9AD0APQA9AD0APQA9AD0APQA9AD0APQA9AD0APQA9AD0APQA9AD0APQA9AD0APQA9AD0APQA9AD0APQA9AD0APQA9AD0APQA9AD0APQA9AD0AXABuACoALwBcAG4AXABuAEYAdQBlAGwAXwBTAGMAbwBwAGUAMQBTAGMAbwBwAGUAMwBFAG0AaQBzAHMAaQBvAG4ARgBhAGMAdABvAHIAcwBUAHIAYQBuAHMAcABvAHIAdABfAFQAaQB0AGwAZQBcAG4APQBMAEEATQBCAEQAQQAoACgAXAAiAEYAdQBlAGwAIABzAGMAbwBwAGUAIAAxACAAYQBuAGQAIAAzACAAZQBtAGkAcwBzAGkAbwBuACAAZgBhAGMAdABvAHIAcwAgAC0AIABUAHIAYQBuAHMAcABvAHIAdABcACIAKQApADsAXABuAFwAbgBGAHUAZQBsAF8AUwBjAG8AcABlADEAUwBjAG8AcABlADMARQBtAGkAcwBzAGkAbwBuAEYAYQBjAHQAbwByAHMAVAByAGEAbgBzAHAAbwByAH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dAByAGEAbgBzAHAAbwByAHQAIABmAHUAZQBsAHMAIABpAG4AIABkAGkAZgBmAGUAcgBlAG4AdAAgAHQAcgBhAG4AcwBwAG8AcgB0ACAAZQBxAHUAaQBwAG0AZQBuAHQAXAAiACkAKQA7AFwAbgBcAG4ARgB1AGUAbABfAFMAYwBvAHAAZQAxAFMAYwBvAHAAZQAzAEUAbQBpAHMAcwBpAG8AbgBGAGEAYwB0AG8AcgBzAFQAcgBhAG4AcwBwAG8AcgB0AF8AUwBvAHUAcgBjAGUAXABuAD0ATABBAE0AQgBEAEEAKAAoAFwAIgBBAHUAcwB0AHIAYQBsAGkAYQBuACAATgBhAHQAaQBvAG4AYQBsACAARwByAGUAZQBuAGgAbwB1AHMAZQAgAEEAYwBjAG8AdQBuAHQAcwAgAEYAYQBjAHQAbwByAHMAIAAyADAAMgA1ACAALQAgAFQAYQBiAGwAZQAgADkAXAAiACkAKQA7AFwAbgBcAG4ARgB1AGUAbABfAFMAYwBvAHAAZQAxAFMAYwBvAHAAZQAzAEUAbQBpAHMAcwBpAG8AbgBGAGEAYwB0AG8AcgBzAFQAcgBhAG4AcwBwAG8AcgB0AF8ARABhAHQAYQBcAG4APQBMAEEATQBCAEQAQQAoAFwAbgAgACAATQBBAEsARQBBAFIAUgBBAFkAKAAyADYALAAgADEAMAAsAFwAbgAgACAAIAAgAEwAQQBNAEIARABBACgAcgAsAGMALABcAG4AIAAgACAAIAAgACAASQBOAEQARQBYACgAewBcAG4AIAAgACAAIAAgACAAIAAgAFwAIgBUAHIAYQBuAHMAcABvAHIAdAAgAHQAeQBwAGUAXAAiACwAIABcACIARgB1AGUAbAAgAGMAbwBtAGIAdQBzAHQAZQBkAFwAIgAsACAAXAAiAEUAbgBlAHIAZwB5ACAAQwBvAG4AdABlAG4AdAAgAEYAYQBjAHQAbwBy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CwAIABcACIAUwBvAHUAcgBjAGUAXAAiADsAXABuACAAIAAgACAAIAAgACAAIABcACIAQwBhAHIAcwAgAGEAbgBkACAAbABpAGcAaAB0ACAAYwBvAG0AbQBlAHIAYwBpAGEAbAAgAHYAZQBoAGkAYwBsAGUAcwBcACIALAAgAFwAIgBHAGEAcwBvAGwAaQBuAGUAXAAiACwAIAAzADQALgAyACwAIABcACIAawBsAFwAIgAsACAANgA3AC4ANAAsACAAMAAuADAAMgAsACAAMAAuADIALAAgADYANwAuADYAMgAsACAAMQA3AC4AMgAsACAAXAAiAE4ARwBBAEYAIAAyADAAMgA1ADoAIABUAGEAYgBsAGUAIAA5AFwAIgA7AFwAbgAgACAAIAAgACAAIAAgACAAXAAiAEMAYQByAHMAIABhAG4AZAAgAGwAaQBnAGgAdAAgAGMAbwBtAG0AZQByAGMAaQBhAGwAIAB2AGUAaABpAGMAbABlAHMAXAAiACwAIABcACIARABpAGUAcwBlAGwAIABvAGkAbABcACIALAAgADMAOAAuADYALAAgAFwAIgBrAGwAXAAiACwAIAA2ADkALgA5ACwAIAAwAC4AMAAxACwAIAAwAC4ANQAsACAANwAwAC4ANAAxACwAIAAxADcALgAzACwAIABcACIATgBHAEEARgAgADIAMAAyADUAOgAgAFQAYQBiAGwAZQAgADkAXAAiADsAXABuACAAIAAgACAAIAAgACAAIABcACIAQwBhAHIAcwAgAGEAbgBkACAAbABpAGcAaAB0ACAAYwBvAG0AbQBlAHIAYwBpAGEAbAAgAHYAZQBoAGkAYwBsAGUAcwBcACIALAAgAFwAIgBMAGkAcQB1AGUAZgBpAGUAZAAgAHAAZQB0AHIAbwBsAGUAdQBtACAAZwBhAHMAIAAoAEwAUABHACkAXAAiACwAIAAyADYALgAyACwAIABcACIAawBsAFwAIgAsACAANgAwAC4AMgAsACAAMAAuADUALAAgADAALgAzACwAIAA2ADEALgAwADAALAAgADIAMAAuADIALAAgAFwAIgBOAEcAQQBGACAAMgAwADIANQA6ACAAVABhAGIAbABlACAAOQBcACIAOwBcAG4AIAAgACAAIAAgACAAIAAgAFwAIgBDAGEAcgBzACAAYQBuAGQAIABsAGkAZwBoAHQAIABjAG8AbQBtAGUAcgBjAGkAYQBsACAAdgBlAGgAaQBjAGwAZQBzAFwAIgAsACAAXAAiAEYAdQBlAGwAIABvAGkAbABcACIALAAgADMAOQAuADcALAAgAFwAIgBrAGwAXAAiACwAIAA3ADMALgA2ACwAIAAwAC4AMAA4ACwAIAAwAC4ANQAsACAANwA0AC4AMQA4ACwAIAAxADgALgAwACwAIABcACIATgBHAEEARgAgADIAMAAyADUAOgAgAFQAYQBiAGwAZQAgADkAXAAiADsAXABuACAAIAAgACAAIAAgACAAIABcACIAQwBhAHIAcwAgAGEAbgBkACAAbABpAGcAaAB0ACAAYwBvAG0AbQBlAHIAYwBpAGEAbAAgAHYAZQBoAGkAYwBsAGUAcwBcACIALAAgAFwAIgBFAHQAaABhAG4AbwBsAFwAIgAsACAAMgAzAC4ANAAsACAAXAAiAGsAbABcACIALAAgADAALgAwACwAIAAwAC4AMgAsACAAMAAuADIALAAgADAALgA0ACwAIABcACIATgBFAFwAIgAsACAAXAAiAE4ARwBBAEYAIAAyADAAMgA1ADoAIABUAGEAYgBsAGUAIAA5AFwAIgA7AFwAbgAgACAAIAAgACAAIAAgACAAXAAiAEMAYQByAHMAIABhAG4AZAAgAGwAaQBnAGgAdAAgAGMAbwBtAG0AZQByAGMAaQBhAGwAIAB2AGUAaABpAGMAbABlAHMAXAAiACwAIABcACIAQgBpAG8AZABpAGUAcwBlAGwAXAAiACwAIAAzADQALgA2ACwAIABcACIAawBsAFwAIgAsACAAMAAuADAALAAgADAALgA4ACwAIAAxAC4ANwAsACAAMgAuADUALAAgAFwAIgBOAEUAXAAiACwAIABcACIATgBHAEEARgAgADIAMAAyADUAOgAgAFQAYQBiAGwAZQAgADkAXAAiADsAXABuACAAIAAgACAAIAAgACAAIABcACIAQwBhAHIAcwAgAGEAbgBkACAAbABpAGcAaAB0ACAAYwBvAG0AbQBlAHIAYwBpAGEAbAAgAHYAZQBoAGkAYwBsAGUAcwBcACIALAAgAFwAIgBSAGUAbgBlAHcAYQBiAGwAZQAgAGQAaQBlAHMAZQBsAFwAIgAsACAAMwA4AC4ANgAsACAAXAAiAGsAbABcACIALAAgADAALgAwACwAIAAwAC4AMAAxACwAIAAwAC4ANQAsACAAMAAuADUAMQAsACAAXAAiAE4ARQBcACIALAAgAFwAIgBOAEcAQQBGACAAMgAwADIANQA6ACAAVABhAGIAbABlACAAOQBcACIAOwBcAG4AIAAgACAAIAAgACAAIAAgAFwAIgBDAGEAcgBzACAAYQBuAGQAIABsAGkAZwBoAHQAIABjAG8AbQBtAGUAcgBjAGkAYQBsACAAdgBlAGgAaQBjAGwAZQBzAFwAIgAsACAAXAAiAE8AdABoAGUAcgAgAGIAaQBvAGYAdQBlAGwAcwBcACIALAAgADIAMwAuADQALAAgAFwAIgBrAGwAXAAiACwAIAAwAC4AMAAsACAAMAAuADgALAAgADEALgA3ACwAIAAyAC4ANQAsACAAXAAiAE4ARQBcACIALAAgAFwAIgBOAEcAQQBGACAAMgAwADIANQA6ACAAVABhAGIAbABlACAAOQBcACIAOwBcAG4AIAAgACAAIAAgACAAIAAgAFwAIgBMAGkAZwBoAHQAIABkAHUAdAB5ACAAdgBlAGgAaQBjAGwAZQBzAFwAIgAsACAAXAAiAEMAbwBtAHAAcgBlAHMAcwBlAGQAIABuAGEAdAB1AHIAYQBsACAAZwBhAHMAXAAiACwAIAAwAC4AMAAzADkAMwAsACAAXAAiAG0AMwBcACIALAAgADUAMQAuADQALAAgADcALgAzACwAIAAwAC4AMwAsACAANQA5AC4AMAAsACAAMQA4AC4AMAAsACAAXAAiAE4ARwBBAEYAIAAyADAAMgA1ADoAIABUAGEAYgBsAGUAIAA5AFwAIgA7AFwAbgAgACAAIAAgACAAIAAgACAAXAAiAEwAaQBnAGgAdAAgAGQAdQB0AHkAIAB2AGUAaABpAGMAbABlAHMAXAAiACwAIABcACIATABpAHEAdQBlAGYAaQBlAGQAIABuAGEAdAB1AHIAYQBsACAAZwBhAHMAXAAiACwAIAAyADUALgAzACwAIABcACIAawBsAFwAIgAsACAANQAxAC4ANAAsACAANwAuADMALAAgADAALgAzACwAIAA1ADkALgAwACwAIAAxADgALgAwACwAIABcACIATgBHAEEARgAgADIAMAAyADUAOgAgAFQAYQBiAGwAZQAgADkAXAAiADsAXABuACAAIAAgACAAIAAgACAAIABcACIASABlAGEAdgB5ACAAZAB1AHQAeQAgAHYAZQBoAGkAYwBsAGUAcwBcACIALAAgAFwAIgBDAG8AbQBwAHIAZQBzAHMAZQBkACAAbgBhAHQAdQByAGEAbAAgAGcAYQBzAFwAIgAsACAAMAAuADAAMwA5ADMALAAgAFwAIgBtADMAXAAiACwAIAA1ADEALgA0ACwAIAAyAC4AOAAsACAAMAAuADMALAAgADUANAAuADUALAAgADEAOAAuADAALAAgAFwAIgBOAEcAQQBGACAAMgAwADIANQA6ACAAVABhAGIAbABlACAAOQBcACIAOwBcAG4AIAAgACAAIAAgACAAIAAgAFwAIgBIAGUAYQB2AHkAIABkAHUAdAB5ACAAdgBlAGgAaQBjAGwAZQBzAFwAIgAsACAAXAAiAEwAaQBxAHUAZQBmAGkAZQBkACAAbgBhAHQAdQByAGEAbAAgAGcAYQBzAFwAIgAsACAAMgA1AC4AMwAsACAAXAAiAGsAbABcACIALAAgADUAMQAuADQALAAgADIALgA4ACwAIAAwAC4AMwAsACAANQA0AC4ANQAsACAAMQA4AC4AMAAsACAAXAAiAE4ARwBBAEYAIAAyADAAMgA1ADoAIABUAGEAYgBsAGUAIAA5AFwAIgA7AFwAbgAgACAAIAAgACAAIAAgACAAXAAiAEgAZQBhAHYAeQAgAGQAdQB0AHkAIAB2AGUAaABpAGMAbABlAHMAXAAiACwAIABcACIARABpAGUAcwBlAGwAIABvAGkAbAAgAC0AIABFAHUAcgBvACAAaQB2ACAAbwByACAAaABpAGcAaABlAHIAXAAiACwAIAAzADgALgA2ACwAIABcACIAawBsAFwAIgAsACAANgA5AC4AOQAsACAAMAAuADAANwAsACAAMAAuADQALAAgADcAMAAuADMANwAsACAAMQA3AC4AMwAsACAAXAAiAE4ARwBBAEYAIAAyADAAMgA1ADoAIABUAGEAYgBsAGUAIAA5AFwAIgA7AFwAbgAgACAAIAAgACAAIAAgACAAXAAiAEgAZQBhAHYAeQAgAGQAdQB0AHkAIAB2AGUAaABpAGMAbABlAHMAXAAiACwAIABcACIARABpAGUAcwBlAGwAIABvAGkAbAAgAC0AIABFAHUAcgBvACAAaQBpAGkAXAAiACwAIAAzADgALgA2ACwAIABcACIAawBsAFwAIgAsACAANgA5AC4AOQAsACAAMAAuADEALAAgADAALgA0ACwAIAA3ADAALgA0ACwAIAAxADcALgAzACwAIABcACIATgBHAEEARgAgADIAMAAyADUAOgAgAFQAYQBiAGwAZQAgADkAXAAiADsAXABuACAAIAAgACAAIAAgACAAIABcACIASABlAGEAdgB5ACAAZAB1AHQAeQAgAHYAZQBoAGkAYwBsAGUAcwBcACIALAAgAFwAIgBEAGkAZQBzAGUAbAAgAG8AaQBsACAALQAgAEUAdQByAG8AIABpAFwAIgAsACAAMwA4AC4ANgAsACAAXAAiAGsAbABcACIALAAgADYAOQAuADkALAAgADAALgAyACwAIAAwAC4ANAAsACAANwAwAC4ANQAsACAAMQA3AC4AMwAsACAAXAAiAE4ARwBBAEYAIAAyADAAMgA1ADoAIABUAGEAYgBsAGUAIAA5AFwAIgA7AFwAbgAgACAAIAAgACAAIAAgACAAXAAiAEgAZQBhAHYAeQAgAGQAdQB0AHkAIAB2AGUAaABpAGMAbABlAHMAXAAiACwAIABcACIAUgBlAG4AZQB3AGEAYgBsAGUAIABkAGkAZQBzAGUAbAAgABMgIABFAHUAcgBvACAAaQB2ACAAbwByACAAaABpAGcAaABlAHIAXAAiACwAIAAzADgALgA2ACwAIABcACIAawBsAFwAIgAsACAAMAAuADAALAAgADAALgAwADcALAAgADAALgA0ACwAIAAwAC4ANAA3ACwAIABcACIATgBFAFwAIgAsACAAXAAiAE4ARwBBAEYAIAAyADAAMgA1ADoAIABUAGEAYgBsAGUAIAA5AFwAIgA7AFwAbgAgACAAIAAgACAAIAAgACAAXAAiAEgAZQBhAHYAeQAgAGQAdQB0AHkAIAB2AGUAaABpAGMAbABlAHMAXAAiACwAIABcACIAUgBlAG4AZQB3AGEAYgBsAGUAIABkAGkAZQBzAGUAbAAgABMgIABFAHUAcgBvACAAaQBpAGkAXAAiACwAIAAzADgALgA2ACwAIABcACIAawBsAFwAIgAsACAAMAAuADAALAAgADAALgAxACwAIAAwAC4ANAAsACAAMAAuADUALAAgAFwAIgBOAEUAXAAiACwAIABcACIATgBHAEEARgAgADIAMAAyADUAOgAgAFQAYQBiAGwAZQAgADkAXAAiADsAXABuACAAIAAgACAAIAAgACAAIABcACIASABlAGEAdgB5ACAAZAB1AHQAeQAgAHYAZQBoAGkAYwBsAGUAcwBcACIALAAgAFwAIgBSAGUAbgBlAHcAYQBiAGwAZQAgAGQAaQBlAHMAZQBsACAAEyAgAEUAdQByAG8AIABpAFwAIgAsACAAMwA4AC4ANgAsACAAXAAiAGsAbABcACIALAAgADAALgAwACwAIAAwAC4AMgAsACAAMAAuADQALAAgADAALgA2ACwAIABcACIATgBFAFwAIgAsACAAXAAiAE4ARwBBAEYAIAAyADAAMgA1ADoAIABUAGEAYgBsAGUAIAA5AFwAIgA7AFwAbgAgACAAIAAgACAAIAAgACAAXAAiAEEAdgBpAGEAdABpAG8AbgBcACIALAAgAFwAIgBHAGEAcwBvAGwAaQBuAGUAIABmAG8AcgAgAHUAcwBlACAAYQBzACAAZgB1AGUAbAAgAGkAbgAgAGEAbgAgAGEAaQByAGMAcgBhAGYAdABcACIALAAgADMAMwAuADEALAAgAFwAIgBrAGwAXAAiACwAIAA2ADcALgAwACwAIAAwAC4AMAA2ACwAIAAwAC4ANgAsACAANgA3AC4ANgA2ACwAIAAxADgALgAwACwAIABcACIATgBHAEEARgAgADIAMAAyADUAOgAgAFQAYQBiAGwAZQAgADkAXAAiADsAXABuACAAIAAgACAAIAAgACAAIABcACIAQQB2AGkAYQB0AGkAbwBuAFwAIgAsACAAXAAiAEsAZQByAG8AcwBlAG4AZQAgAGYAbwByACAAdQBzAGUAIABhAHMAIABmAHUAZQBsACAAaQBuACAAYQBuACAAYQBpAHIAYwByAGEAZgB0AFwAIgAsACAAMwA2AC4AOAAsACAAXAAiAGsAbABcACIALAAgADYAOQAuADYALAAgADAALgAwADEALAAgADAALgA2ACwAIAA3ADAALgAyADEALAAgADEAOAAuADAALAAgAFwAIgBOAEcAQQBGACAAMgAwADIANQA6ACAAVABhAGIAbABlACAAOQBcACIAOwBcAG4AIAAgACAAIAAgACAAIAAgAFwAIgBBAHYAaQBhAHQAaQBvAG4AXAAiACwAIABcACIAUgBlAG4AZQB3AGEAYgBsAGUAIABhAHYAaQBhAHQAaQBvAG4AIABrAGUAcgBvAHMAZQBuAGUAXAAiACwAIAAzADYALgA4ACwAIABcACIAawBsAFwAIgAsACAAMAAuADAALAAgADAALgAwADEALAAgADAALgA2ACwAIAAwAC4ANgAxACwAIABcACIATgBFAFwAIgAsACAAXAAiAE4ARwBBAEYAIAAyADAAMgA1ADoAIABUAGEAYgBsAGUAIAA5AFwAIgA7AFwAbgAgACAAIAAgACAAIAAgACAAXAAiAFYAZQBzAHMAZQBsAHMAXAAiACwAIABcACIARwBhAHMAbwBsAGkAbgBlAFwAIgAsACAAMwA0AC4AMgAsACAAXAAiAGsATABcACIALAAgADYANwAuADQALAAgADEAMAAuADEALAAgADAALgAzACwAIABcACIAXAAiACwAIAAxADcALgAyACwAIABcACIAVgBFAEUAUgBHACAAMgAwADIANgA6ACAAVABhAGIAbABlACAAQQAuADQALgAyAC4AMQBcACIAOwBcAG4AIAAgACAAIAAgACAAIAAgAFwAIgBWAGUAcwBzAGUAbABzAFwAIgAsACAAXAAiAEQAaQBlAHMAZQBsACAAbwBpAGwAXAAiACwAIAAzADgALgA2ACwAIABcACIAawBMAFwAIgAsACAANgA5AC4AOQAsACAAMAAuADIALAAgADAALgA1ACwAIABcACIAXAAiACwAIAAxADcALgAzACwAIABcACIAVgBFAEUAUgBHACAAMgAwADIANgA6ACAAVABhAGIAbABlACAAQQAuADQALgAyAC4AMQBcACIAOwBcAG4AIAAgACAAIAAgACAAIAAgAFwAIgBWAGUAcwBzAGUAbABzAFwAIgAsACAAXAAiAEYAdQBlAGwAIABPAGkAbABcACIALAAgADMAOQAuADcALAAgAFwAIgBrAEwAXAAiACwAIAA3ADMALgA2ACwAIAAwAC4AMgAsACAAMAAuADUALAAgAFwAIgBcACIALAAgADEAOAAuADAALAAgAFwAIgBWAEUARQBSAEcAIAAyADAAMgA2ADoAIABUAGEAYgBsAGUAIABBAC4ANAAuADIALgAxAFwAIgA7AFwAbgAgACAAIAAgACAAIAAgACAAXAAiAE8AZgBmAC0AcgBvAGEAZAAgAEEAZwByAGkAYwB1AGwAdAB1AHIAZQAgAGEAbgBkACAAZgBvAHIAZQBzAHQAcgB5ACAAZQBxAHUAaQBwAG0AZQBuAHQAXAAiACwAIABcACIARABpAGUAcwBlAGwAIABvAGkAbABcACIALAAgADMAOAAuADYALAAgAFwAIgBrAEwAXAAiACwAIAA2ADkALgA5ACwAIAAwAC4AMwAsACAAMAAuADUALAAgAFwAIgBcACIALAAgADEANwAuADMALAAgAFwAIgBWAEUARQBSAEcAIAAyADAAMgA2ADoAIABUAGEAYgBsAGUAIABBAC4ANAAuADIALgAxAFwAIgBcAG4AIAAgACAAIAAgACAAfQAsACAAcgAsACAAYwApAFwAbgApACkAKQA7AFwAbgBcAG4ARgB1AGUAbABfAFMAYwBvAHAAZQAxAFMAYwBvAHAAZQAzAEUAbQBpAHMAcwBpAG8AbgBGAGEAYwB0AG8AcgBzAFQAcgBhAG4AcwBwAG8AcgB0AF8AVgBhAHIAaQBhAHQAaQBvAG4AXABuAD0ATABBAE0AQgBEAEEAKABcACIAVgBBAFIASQBBAFQASQBPAE4AIABPAEYAIABTAE8AVQBSAEMARQAgAEQAQQBUAEEAOgAgAFwAdQAwADAAMgA3AE4ARQBcAHUAMAAwADIANwAgAHYAYQBsAHUAZQBzACAAcgBlAHQAdQByAG4AZQBkACAAYQBzACAAegBlAHIAbwAgAGYAbwByACAAYwBhAGwAYwB1AGwAYQB0AGkAbwBuAHMALgBcACI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E8AZgBmAC0AcgBhAGQAIABlAHEAdQBpAHAAbQBlAG4AdAAgAGEAbgBkACAAdgBlAHMAcw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QAcgBhAG4AcwBwAG8AcgB0AE8AZgBmAFIAbwBhAGQAXwBUAGkAdABsAGUAXABuAD0ATABBAE0AQgBEAEEAKAAoAFwAIgBGAHUAZQBsACAAcwBjAG8AcABlACAAMQAgAGEAbgBkACAAMwAgAGUAbQBpAHMAcwBpAG8AbgAgAGYAYQBjAHQAbwByAHMAIAAtACAATwBmAGYALQByAG8AYQBkACAAZQBxAHUAaQBwAG0AZQBuAHQAIABhAG4AZAAgAHYAZQBzAHMAZQBsAHMAXAAiACkAKQA7AFwAbgBcAG4ARgB1AGUAbABfAFMAYwBvAHAAZQAxAFMAYwBvAHAAZQAzAEUAbQBpAHMAcwBpAG8AbgBGAGEAYwB0AG8AcgBzAFQAcgBhAG4AcwBwAG8AcgB0AE8AZgBmAFIAbwBhAGQAXwBEAGUAcwBjAHIAaQBwAHQAaQBvAG4AXABuAD0ATABBAE0AQgBEAEEAKAAoAFwAIgBEAGkAcgBlAGMAdAAgACgAcwBjAG8AcABlACAAMQApACAAYQBuAGQAIABpAG4AZABpAHIAZQBjAHQAIAAoAHMAYwBvAHAAZQAgADMAKQAgAGUAbQBpAHMAcwBpAG8AbgAgAGYAYQBjAHQAbwByAHMAIABmAG8AcgAgAHQAaABlACAAYwBvAG4AcwB1AG0AcAB0AGkAbwBuACAAbwBmACAAZgB1AGUAbABzACAAaQBuACAAbwBmAGYALQByAG8AYQBkACAAZQBxAHUAaQBwAG0AZQBuAHQAIABhAG4AZAAgAHYAZQBzAHMAZQBsAHMAXAAiACkAKQA7AFwAbgBcAG4ARgB1AGUAbABfAFMAYwBvAHAAZQAxAFMAYwBvAHAAZQAzAEUAbQBpAHMAcwBpAG8AbgBGAGEAYwB0AG8AcgBzAFQAcgBhAG4AcwBwAG8AcgB0AE8AZgBmAFIAbwBhAGQAXwBTAG8AdQByAGMAZQBcAG4APQBMAEEATQBCAEQAQQAoACgAXAAiAFYARQBFAFIARwAgADIAMAAyADYAOgAgAFQAYQBiAGwAZQAgAEEALgA0AC4AMgAuADEAXAAiACkAKQA7AFwAbgBcAG4ARgB1AGUAbABfAFMAYwBvAHAAZQAxAFMAYwBvAHAAZQAzAEUAbQBpAHMAcwBpAG8AbgBGAGEAYwB0AG8AcgBzAFQAcgBhAG4AcwBwAG8AcgB0AE8AZgBmAFIAbwBhAGQAXwBEAGEAdABhAFwAbgA9AEwAQQBNAEIARABBACgAXABuACAAIABNAEEASwBFAEEAUgBSAEEAWQAoADUALAAgADcALABcAG4AIAAgACAAIABMAEEATQBCAEQAQQAoAHIALABjACwAXABuACAAIAAgACAAIAAgAEkATgBEAEUAWAAoAHsAXABuACAAIAAgACAAIAAgACAAIABcACIAVAByAGEAbgBzAHAAbwByAHQAIAB0AHkAcABlACAAdABcACIALAAgAFwAIgBGAHUAZQBsACAAdAB5AHAAZQAgAHEAXAAiACwAIABcACIARQBDAFQAcgBhAG4AcwAsAHEAIAAoAEcASgAvAGsATAApAFwAIgAsACAAXAAiAFMAYwBvAHAAZQAgADEAIABDAE8AMgAgAEUARgBUAHIAYQBuACwAMQAsAHQAcQBnACAAKABrAGcAIABDAE8AMgAtAGUALwBHAEoAKQBcACIALAAgAFwAIgBTAGMAbwBwAGUAIAAxACAAQwBIADQAIABFAEYAVAByAGEAbgAsADEALAB0AGcAZwAgACgAawBnACAAQwBPADIALQBlAC8ARwBKACkAXAAiACwAIABcACIAUwBjAG8AcABlACAAMQAgAE4AMgBPACAARQBGAFQAcgBhAG4ALAAxACwAdABnAGcAIAAoAGsAZwAgAEMATwAyAC0AZQAvAEcASgApAFwAIgAsACAAXAAiAFMAYwBvAHAAZQAgADMAIABFAEYAVAByAGEAbgBzACwAMwAsAHEAIAAoAGsAZwAgAEMATwAyAC0AZQAvAEcASgApAFwAIgA7AFwAbgAgACAAIAAgACAAIAAgACAAXAAiAFYAZQBzAHMAZQBsAFwAIgAsACAAXAAiAFAAZQB0AHIAbwBsAFwAIgAsACAAMwA0AC4AMgAsACAANgA3AC4ANAAsACAAMQAwAC4AMQAsACAAMAAuADMALAAgADEANwAuADIAOwBcAG4AIAAgACAAIAAgACAAIAAgAFwAIgBWAGUAcwBzAGUAbABcACIALAAgAFwAIgBEAGkAZQBzAGUAbABcACIALAAgADMAOAAuADYALAAgADYAOQAuADkALAAgADAALgAyACwAIAAwAC4ANQAsACAAMQA3AC4AMwA7AFwAbgAgACAAIAAgACAAIAAgACAAXAAiAFYAZQBzAHMAZQBsAFwAIgAsACAAXAAiAEYAdQBlAGwAIABPAGkAbABcACIALAAgADMAOQAuADcALAAgADcAMwAuADYALAAgADAALgAyACwAIAAwAC4ANQAsACAAMQA4AC4AMAA7AFwAbgAgACAAIAAgACAAIAAgACAAXAAiAE8AZgBmAC0AcgBvAGEAZAAgAEEAZwByAGkAYwB1AGwAdAB1AHIAZQAgAGEAbgBkACAAZgBvAHIAZQBzAHQAcgB5ACAAZQBxAHUAaQBwAG0AZQBuAHQAXAAiACwAIABcACIARABpAGUAcwBlAGwAXAAiACwAIAAzADgALgA2ACwAIAA2ADkALgA5ACwAIAAwAC4AMwAsACAAMAAuADUALAAgADEANwAuADMAXABuACAAIAAgACAAIAAgAH0ALAAgAHIALAAgAGMAKQBcAG4AKQApACkAOwBcAG4AXABu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XQB9AA==</AFEJSONBlob>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5C6F40-9188-4CB0-AF00-56A1D1AE2E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B3165D-9942-4FD4-A356-0CB3EECA2EBA}">
  <ds:schemaRefs>
    <ds:schemaRef ds:uri="http://schemas.advancedformulaenvironment.officeapps.live.com/afejsonblob/1.0"/>
  </ds:schemaRefs>
</ds:datastoreItem>
</file>

<file path=customXml/itemProps3.xml><?xml version="1.0" encoding="utf-8"?>
<ds:datastoreItem xmlns:ds="http://schemas.openxmlformats.org/officeDocument/2006/customXml" ds:itemID="{32F9B851-3A8E-4BE9-8FD0-9CF81F575938}">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11A2AC3-1ADA-41F8-AB99-DE5FD8AAAF2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67</vt:i4>
      </vt:variant>
    </vt:vector>
  </HeadingPairs>
  <TitlesOfParts>
    <vt:vector size="85" baseType="lpstr">
      <vt:lpstr>Home</vt:lpstr>
      <vt:lpstr>Input - Planting</vt:lpstr>
      <vt:lpstr>Input - Fertiliser</vt:lpstr>
      <vt:lpstr>Input - Fuel</vt:lpstr>
      <vt:lpstr>5.1.1.1-2 Inorganic fert N2O</vt:lpstr>
      <vt:lpstr>5.1.1.3-4 Inorganic fert CO2</vt:lpstr>
      <vt:lpstr>5.2.1.1-2 Organic Fert N2O</vt:lpstr>
      <vt:lpstr>5.3.1.1-2 Lime CO2</vt:lpstr>
      <vt:lpstr>5.4.1.1-4 Atmos deposition</vt:lpstr>
      <vt:lpstr>5.5.1.1-2 Leaching and runoff</vt:lpstr>
      <vt:lpstr>8.1.1.1-2 Transport fuel</vt:lpstr>
      <vt:lpstr>8.2.1.1-2 Stationary fuel</vt:lpstr>
      <vt:lpstr>Constants - Fertiliser</vt:lpstr>
      <vt:lpstr>Constants - Fuel</vt:lpstr>
      <vt:lpstr>Constants - Common</vt:lpstr>
      <vt:lpstr>Input - Fert Prod System</vt:lpstr>
      <vt:lpstr>Input - Site</vt:lpstr>
      <vt:lpstr>Input - Data quality</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M2_Table_FertApplications</vt:lpstr>
      <vt:lpstr>Table_E_ad_inorganic</vt:lpstr>
      <vt:lpstr>Table_E_ad_organic</vt:lpstr>
      <vt:lpstr>Table_E_g</vt:lpstr>
      <vt:lpstr>Table_E_g_Consumer_1</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X_Cell_Fertiliser_AreaUnderCropping</vt:lpstr>
      <vt:lpstr>X_Cell_Fertiliser_CropType</vt:lpstr>
      <vt:lpstr>X_Cell_Fertiliser_IrrigationMethod</vt:lpstr>
      <vt:lpstr>X_Cell_Fertiliser_ProductionSystem</vt:lpstr>
      <vt:lpstr>X_Cell_Fuel_IsMetroLocation</vt:lpstr>
      <vt:lpstr>X_Cell_Planting_Latitude</vt:lpstr>
      <vt:lpstr>X_Cell_Planting_Longitude</vt:lpstr>
      <vt:lpstr>X_Cell_Planting_PlantingAreaInHectares</vt:lpstr>
      <vt:lpstr>X_Cell_Planting_PlantingDate</vt:lpstr>
      <vt:lpstr>X_Cell_Planting_PlantingName</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X_Result_Planting_CarbonCapturedPerHectare</vt:lpstr>
      <vt:lpstr>X_Result_Planting_CarbonCapturedTotalArea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2025-12-03T00:40:40Z</dcterms:created>
  <dcterms:modified xsi:type="dcterms:W3CDTF">2026-09-04T04:41:53Z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2026-09-02T18:44:20; rename=True resize=True rowheights=True scope=all</vt:lpwstr>
  </property>
</Properties>
</file>