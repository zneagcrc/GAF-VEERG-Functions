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8501919B-42D2-4F62-94EC-511FBF0A9038}" xr6:coauthVersionLast="47" xr6:coauthVersionMax="47" xr10:uidLastSave="{00000000-0000-0000-0000-000000000000}"/>
  <bookViews>
    <workbookView xWindow="2070" yWindow="2115" windowWidth="36330" windowHeight="19485" activeTab="7" xr2:uid="{992023F3-CAB7-4E5B-A348-08D563A0EF40}"/>
  </bookViews>
  <sheets>
    <sheet name="Home" sheetId="71" r:id="rId1"/>
    <sheet name="Results - Activity period" sheetId="13" r:id="rId2"/>
    <sheet name="Results - Product EI" sheetId="80" r:id="rId3"/>
    <sheet name="Input - Site" sheetId="75" r:id="rId4"/>
    <sheet name="Input - Enterprise" sheetId="72" r:id="rId5"/>
    <sheet name="Input - Livestock sales" sheetId="77" r:id="rId6"/>
    <sheet name="Input - Fert Prod System" sheetId="76" r:id="rId7"/>
    <sheet name="Input - Data quality" sheetId="78" r:id="rId8"/>
    <sheet name="Constants - Common" sheetId="79"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'Results - Activity period'!$E$99</definedName>
    <definedName name="Result_EmissionsForWholeProductionCycle_Gross_Method1">'Results - Activity period'!$E$82</definedName>
    <definedName name="Result_EmissionsForWholeProductionCycle_Gross_Method2">'Results - Activity period'!$F$82</definedName>
    <definedName name="Result_EmissionsForWholeProductionCycle_Method1">'Results - Activity period'!$E$88</definedName>
    <definedName name="Result_EmissionsForWholeProductionCycle_Method2">'Results - Activity period'!$F$88</definedName>
    <definedName name="Result_EmissionsForWholeProductionCycle_Net_Method1">'Results - Activity period'!$E$83</definedName>
    <definedName name="Result_EmissionsForWholeProductionCycle_Net_Method2">'Results - Activity period'!$F$83</definedName>
    <definedName name="Result_Enterprise_Gross_Method1">'Results - Activity period'!$E$82</definedName>
    <definedName name="Result_Enterprise_Gross_Method2">'Results - Activity period'!$F$82</definedName>
    <definedName name="Result_Enterprise_Net_Method1">'Results - Activity period'!$E$83</definedName>
    <definedName name="Result_Enterprise_Net_Method2">'Results - Activity period'!$F$82</definedName>
    <definedName name="Result_Enterprise_Removals">'Results - Activity period'!$E$76</definedName>
    <definedName name="Result_Enterprise_Scope1_Method1">'Results - Activity period'!$H$43</definedName>
    <definedName name="Result_Enterprise_Scope1_Method2">'Results - Activity period'!$I$43</definedName>
    <definedName name="Result_Enterprise_Scope2_Method1">'Results - Activity period'!$H$50</definedName>
    <definedName name="Result_Enterprise_Scope2_Method2">'Results - Activity period'!$I$50</definedName>
    <definedName name="Result_Enterprise_Scope3_Method1">'Results - Activity period'!$H$71</definedName>
    <definedName name="Result_Enterprise_Scope3_Method2">'Results - Activity period'!$I$65</definedName>
    <definedName name="Result_NetEmissions_Method1">'Results - Activity period'!$E$105</definedName>
    <definedName name="Result_NetEmissions_Method2">'Results - Activity period'!$F$105</definedName>
    <definedName name="X_Cell_Enterprise_LiveweightSold">'Input - Enterprise'!$E$22</definedName>
    <definedName name="X_Cell_Enterprise_ManureSoldTonnes">'Input - Enterprise'!$E$25</definedName>
    <definedName name="X_Cell_Enterprise_ManureUsedAsFertiliserTonnes">'Input - Enterprise'!$E$26</definedName>
    <definedName name="X_Cell_Enterprise_MilkProduced">'Input - Enterprise'!$E$24</definedName>
    <definedName name="X_Cell_Enterprise_MilkProducedUnit">'Input - Enterprise'!$E$23</definedName>
    <definedName name="X_Cell_Enterprise_PercentIncomeFromLiveweight">'Input - Enterprise'!$E$29</definedName>
    <definedName name="X_Cell_Enterprise_PercentIncomeFromManure">'Input - Enterprise'!$E$30</definedName>
    <definedName name="X_Cell_Enterprise_PercentIncomeFromMilk">'Input - Enterprise'!$E$28</definedName>
    <definedName name="X_Cell_Enterprise_ProductionTimeframeEnd">'Input - Enterprise'!$E$19</definedName>
    <definedName name="X_Cell_Enterprise_ProductionTimeframeStart">'Input - Enterprise'!$E$18</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Table_Result_CarbonRemovalsFromPlantings_RowsToCols">'Results - Activity period'!$D$93:$E$98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8" i="78" l="1"/>
  <c r="D38" i="78"/>
  <c r="D13" i="78"/>
  <c r="D9" i="78"/>
  <c r="D8" i="78"/>
  <c r="F80" i="72"/>
  <c r="F79" i="72"/>
  <c r="F78" i="72"/>
  <c r="F77" i="72"/>
  <c r="F76" i="72"/>
  <c r="E80" i="72"/>
  <c r="E79" i="72"/>
  <c r="E78" i="72"/>
  <c r="E77" i="72"/>
  <c r="E76" i="72"/>
  <c r="F42" i="13" l="1"/>
  <c r="I43" i="13"/>
  <c r="I41" i="13"/>
  <c r="I40" i="13"/>
  <c r="I39" i="13"/>
  <c r="I38" i="13"/>
  <c r="I37" i="13"/>
  <c r="I36" i="13"/>
  <c r="I35" i="13"/>
  <c r="I34" i="13"/>
  <c r="I33" i="13"/>
  <c r="I32" i="13"/>
  <c r="H41" i="13"/>
  <c r="H40" i="13"/>
  <c r="H39" i="13"/>
  <c r="H38" i="13"/>
  <c r="H37" i="13"/>
  <c r="H36" i="13"/>
  <c r="H35" i="13"/>
  <c r="H34" i="13"/>
  <c r="H33" i="13"/>
  <c r="H32" i="13"/>
  <c r="G41" i="13" a="1"/>
  <c r="G41" i="13"/>
  <c r="G40" i="13" a="1"/>
  <c r="G40" i="13" s="1"/>
  <c r="G39" i="13" a="1"/>
  <c r="G39" i="13"/>
  <c r="G38" i="13" a="1"/>
  <c r="G38" i="13" s="1"/>
  <c r="G37" i="13" a="1"/>
  <c r="G37" i="13"/>
  <c r="G36" i="13" a="1"/>
  <c r="G36" i="13" s="1"/>
  <c r="G35" i="13" a="1"/>
  <c r="G35" i="13" s="1"/>
  <c r="G34" i="13" a="1"/>
  <c r="G34" i="13" s="1"/>
  <c r="G33" i="13" a="1"/>
  <c r="G33" i="13" s="1"/>
  <c r="G32" i="13" a="1"/>
  <c r="G32" i="13"/>
  <c r="F41" i="13"/>
  <c r="F40" i="13"/>
  <c r="F39" i="13"/>
  <c r="F38" i="13"/>
  <c r="F37" i="13"/>
  <c r="F36" i="13"/>
  <c r="F35" i="13"/>
  <c r="F34" i="13"/>
  <c r="F33" i="13"/>
  <c r="F32" i="13"/>
  <c r="E41" i="13" a="1"/>
  <c r="E41" i="13"/>
  <c r="E40" i="13" a="1"/>
  <c r="E40" i="13" s="1"/>
  <c r="E39" i="13" a="1"/>
  <c r="E39" i="13" s="1"/>
  <c r="E38" i="13" a="1"/>
  <c r="E38" i="13"/>
  <c r="E37" i="13" a="1"/>
  <c r="E37" i="13"/>
  <c r="E36" i="13" a="1"/>
  <c r="E36" i="13"/>
  <c r="E35" i="13" a="1"/>
  <c r="E35" i="13" s="1"/>
  <c r="E34" i="13" a="1"/>
  <c r="E34" i="13" s="1"/>
  <c r="E33" i="13" a="1"/>
  <c r="E33" i="13"/>
  <c r="E32" i="13" a="1"/>
  <c r="E32" i="13" s="1"/>
  <c r="I42" i="13" l="1"/>
  <c r="E42" i="13" a="1"/>
  <c r="E42" i="13"/>
  <c r="H42" i="13" s="1"/>
  <c r="J78" i="78" l="1"/>
  <c r="J38" i="78" l="1"/>
  <c r="J37" i="78"/>
  <c r="J36" i="78"/>
  <c r="J35" i="78"/>
  <c r="J34" i="78"/>
  <c r="J33" i="78"/>
  <c r="J32" i="78"/>
  <c r="J79" i="78"/>
  <c r="J77" i="78"/>
  <c r="J76" i="78"/>
  <c r="J75" i="78"/>
  <c r="J68" i="78"/>
  <c r="J67" i="78"/>
  <c r="J66" i="78"/>
  <c r="J65" i="78"/>
  <c r="J59" i="78"/>
  <c r="J58" i="78"/>
  <c r="J57" i="78"/>
  <c r="J56" i="78"/>
  <c r="J50" i="78"/>
  <c r="J49" i="78"/>
  <c r="J48" i="78"/>
  <c r="J47" i="78"/>
  <c r="J46" i="78"/>
  <c r="J40" i="78"/>
  <c r="J39" i="78"/>
  <c r="J26" i="78"/>
  <c r="J25" i="78"/>
  <c r="J24" i="78"/>
  <c r="J23" i="78"/>
  <c r="J22" i="78"/>
  <c r="J21" i="78"/>
  <c r="J15" i="78"/>
  <c r="J14" i="78"/>
  <c r="J13" i="78"/>
  <c r="J12" i="78"/>
  <c r="J11" i="78"/>
  <c r="J10" i="78"/>
  <c r="J9" i="78"/>
  <c r="J8" i="78"/>
  <c r="D79" i="78" l="1"/>
  <c r="D77" i="78"/>
  <c r="D76" i="78"/>
  <c r="D75" i="78"/>
  <c r="D68" i="78"/>
  <c r="D67" i="78"/>
  <c r="D66" i="78"/>
  <c r="D65" i="78"/>
  <c r="D59" i="78"/>
  <c r="D58" i="78"/>
  <c r="D57" i="78"/>
  <c r="J61" i="78"/>
  <c r="D56" i="78"/>
  <c r="D50" i="78"/>
  <c r="D49" i="78"/>
  <c r="D48" i="78"/>
  <c r="D47" i="78"/>
  <c r="D46" i="78"/>
  <c r="D40" i="78"/>
  <c r="D39" i="78"/>
  <c r="D37" i="78"/>
  <c r="D36" i="78"/>
  <c r="D35" i="78"/>
  <c r="D34" i="78"/>
  <c r="D33" i="78"/>
  <c r="D32" i="78"/>
  <c r="D26" i="78"/>
  <c r="D25" i="78"/>
  <c r="D24" i="78"/>
  <c r="D23" i="78"/>
  <c r="D22" i="78"/>
  <c r="D21" i="78"/>
  <c r="D15" i="78"/>
  <c r="D14" i="78"/>
  <c r="D12" i="78"/>
  <c r="D11" i="78"/>
  <c r="D10" i="78"/>
  <c r="J81" i="78" l="1"/>
  <c r="J52" i="78"/>
  <c r="J28" i="78"/>
  <c r="J42" i="78"/>
  <c r="J70" i="78"/>
  <c r="J17" i="78"/>
  <c r="E83" i="78" l="1"/>
  <c r="F44" i="80"/>
  <c r="G48" i="80" s="1"/>
  <c r="G59" i="80"/>
  <c r="G58" i="80"/>
  <c r="G57" i="80"/>
  <c r="G56" i="80"/>
  <c r="G54" i="80"/>
  <c r="F60" i="80"/>
  <c r="F58" i="80"/>
  <c r="F59" i="80" s="1"/>
  <c r="F56" i="80"/>
  <c r="F57" i="80" s="1"/>
  <c r="F54" i="80"/>
  <c r="F55" i="80" s="1"/>
  <c r="F46" i="80"/>
  <c r="F50" i="80"/>
  <c r="F49" i="80"/>
  <c r="F48" i="80"/>
  <c r="E23" i="72" a="1"/>
  <c r="E23" i="72"/>
  <c r="G44" i="80" l="1"/>
  <c r="G46" i="80"/>
  <c r="G49" i="80"/>
  <c r="E76" i="13" l="1"/>
  <c r="G55" i="80" l="1"/>
  <c r="F47" i="80"/>
  <c r="F45" i="80"/>
  <c r="D39" i="80"/>
  <c r="D32" i="80"/>
  <c r="D76" i="72" a="1"/>
  <c r="D73" i="72"/>
  <c r="E69" i="72"/>
  <c r="E68" i="72"/>
  <c r="D65" i="72" a="1"/>
  <c r="E66" i="72" s="1"/>
  <c r="D62" i="72"/>
  <c r="F56" i="72"/>
  <c r="E56" i="72"/>
  <c r="F55" i="72"/>
  <c r="E55" i="72"/>
  <c r="D52" i="72" a="1"/>
  <c r="F54" i="72" s="1"/>
  <c r="D48" i="72" a="1"/>
  <c r="D48" i="72" s="1"/>
  <c r="D46" i="72"/>
  <c r="G40" i="72"/>
  <c r="D37" i="72"/>
  <c r="G45" i="80" l="1"/>
  <c r="E67" i="72"/>
  <c r="E54" i="72"/>
  <c r="G47" i="80"/>
  <c r="D52" i="72"/>
  <c r="D76" i="72"/>
  <c r="D65" i="72"/>
  <c r="E65" i="72" s="1"/>
  <c r="E70" i="72" s="1"/>
  <c r="F52" i="72" l="1"/>
  <c r="E52" i="72"/>
  <c r="D79" i="13" l="1"/>
  <c r="D74" i="13"/>
  <c r="F70" i="13" a="1"/>
  <c r="F70" i="13" s="1"/>
  <c r="I70" i="13" s="1"/>
  <c r="E70" i="13" a="1"/>
  <c r="E70" i="13" s="1"/>
  <c r="H70" i="13" s="1"/>
  <c r="E69" i="13" a="1"/>
  <c r="E69" i="13" s="1"/>
  <c r="H69" i="13" s="1"/>
  <c r="F68" i="13" a="1"/>
  <c r="F68" i="13" s="1"/>
  <c r="I68" i="13" s="1"/>
  <c r="E68" i="13" a="1"/>
  <c r="E68" i="13" s="1"/>
  <c r="H68" i="13" s="1"/>
  <c r="E67" i="13" a="1"/>
  <c r="E67" i="13" s="1"/>
  <c r="H67" i="13" s="1"/>
  <c r="D67" i="13" a="1"/>
  <c r="D67" i="13" s="1"/>
  <c r="E66" i="13" a="1"/>
  <c r="E66" i="13" s="1"/>
  <c r="F65" i="13" a="1"/>
  <c r="F65" i="13" s="1"/>
  <c r="I65" i="13" s="1"/>
  <c r="E65" i="13" a="1"/>
  <c r="E65" i="13" s="1"/>
  <c r="H65" i="13" s="1"/>
  <c r="F64" i="13" a="1"/>
  <c r="F64" i="13" s="1"/>
  <c r="I64" i="13" s="1"/>
  <c r="E64" i="13" a="1"/>
  <c r="E64" i="13" s="1"/>
  <c r="H64" i="13" s="1"/>
  <c r="F63" i="13" a="1"/>
  <c r="F63" i="13" s="1"/>
  <c r="I63" i="13" s="1"/>
  <c r="E63" i="13" a="1"/>
  <c r="E63" i="13" s="1"/>
  <c r="H63" i="13" s="1"/>
  <c r="F62" i="13" a="1"/>
  <c r="F62" i="13" s="1"/>
  <c r="I62" i="13" s="1"/>
  <c r="E62" i="13" a="1"/>
  <c r="E62" i="13" s="1"/>
  <c r="H62" i="13" s="1"/>
  <c r="F61" i="13" a="1"/>
  <c r="F61" i="13" s="1"/>
  <c r="I61" i="13" s="1"/>
  <c r="E61" i="13" a="1"/>
  <c r="E61" i="13" s="1"/>
  <c r="H61" i="13" s="1"/>
  <c r="F60" i="13" a="1"/>
  <c r="F60" i="13" s="1"/>
  <c r="I60" i="13" s="1"/>
  <c r="E60" i="13" a="1"/>
  <c r="E60" i="13" s="1"/>
  <c r="H60" i="13" s="1"/>
  <c r="F59" i="13" a="1"/>
  <c r="F59" i="13" s="1"/>
  <c r="I59" i="13" s="1"/>
  <c r="E59" i="13" a="1"/>
  <c r="E59" i="13" s="1"/>
  <c r="H59" i="13" s="1"/>
  <c r="F58" i="13" a="1"/>
  <c r="F58" i="13" s="1"/>
  <c r="I58" i="13" s="1"/>
  <c r="E58" i="13" a="1"/>
  <c r="E58" i="13" s="1"/>
  <c r="H58" i="13" s="1"/>
  <c r="F57" i="13" a="1"/>
  <c r="F57" i="13" s="1"/>
  <c r="I57" i="13" s="1"/>
  <c r="E57" i="13" a="1"/>
  <c r="E57" i="13" s="1"/>
  <c r="H57" i="13" s="1"/>
  <c r="F56" i="13" a="1"/>
  <c r="F56" i="13" s="1"/>
  <c r="I56" i="13" s="1"/>
  <c r="E56" i="13" a="1"/>
  <c r="E56" i="13" s="1"/>
  <c r="H56" i="13" s="1"/>
  <c r="F55" i="13" a="1"/>
  <c r="F55" i="13" s="1"/>
  <c r="I55" i="13" s="1"/>
  <c r="E55" i="13" a="1"/>
  <c r="E55" i="13" s="1"/>
  <c r="H55" i="13" s="1"/>
  <c r="F66" i="13" l="1"/>
  <c r="I66" i="13" s="1"/>
  <c r="H66" i="13"/>
  <c r="H71" i="13" s="1"/>
  <c r="F69" i="13"/>
  <c r="I69" i="13" s="1"/>
  <c r="F67" i="13"/>
  <c r="I67" i="13" s="1"/>
  <c r="I71" i="13" l="1"/>
  <c r="I49" i="13" l="1"/>
  <c r="I50" i="13" s="1"/>
  <c r="H49" i="13"/>
  <c r="H50" i="13" s="1"/>
  <c r="F49" i="13"/>
  <c r="E49" i="13" a="1"/>
  <c r="E49" i="13" s="1"/>
  <c r="D49" i="13" a="1"/>
  <c r="D49" i="13" s="1"/>
  <c r="E259" i="79" l="1"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70" i="79" s="1"/>
  <c r="D169" i="79" a="1"/>
  <c r="D169" i="79" s="1"/>
  <c r="D168" i="79" a="1"/>
  <c r="D168" i="79" s="1"/>
  <c r="D167" i="79" a="1"/>
  <c r="D167" i="79" s="1"/>
  <c r="D164" i="79" a="1"/>
  <c r="D164" i="79" s="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A8" i="79"/>
  <c r="F7" i="79" a="1"/>
  <c r="F7" i="79" s="1"/>
  <c r="E7" i="79" a="1"/>
  <c r="E7" i="79" s="1"/>
  <c r="D7" i="79" a="1"/>
  <c r="D7" i="79" s="1"/>
  <c r="A7" i="79"/>
  <c r="D5" i="79" a="1"/>
  <c r="D5" i="79" s="1"/>
  <c r="A3" i="79"/>
  <c r="A8" i="71"/>
  <c r="A7" i="71"/>
  <c r="A3" i="71"/>
  <c r="E19" i="75" l="1"/>
  <c r="H51" i="79"/>
  <c r="E22" i="75"/>
  <c r="E20" i="75"/>
  <c r="E21" i="75" s="1"/>
  <c r="H50" i="79"/>
  <c r="H48" i="79"/>
  <c r="H54" i="79"/>
  <c r="H49" i="79"/>
  <c r="H52" i="79"/>
  <c r="H53" i="79"/>
  <c r="E22" i="72"/>
  <c r="E24" i="72" l="1" a="1"/>
  <c r="E24" i="72" s="1"/>
  <c r="F24" i="72"/>
  <c r="I16" i="77" l="1"/>
  <c r="I15" i="77"/>
  <c r="I14" i="77"/>
  <c r="I13" i="77"/>
  <c r="I12" i="77"/>
  <c r="I11" i="77"/>
  <c r="I10" i="77"/>
  <c r="I9" i="77"/>
  <c r="I8" i="77"/>
  <c r="I7" i="77"/>
  <c r="F17" i="13" l="1" a="1"/>
  <c r="F17" i="13" s="1"/>
  <c r="I17" i="13" s="1" a="1"/>
  <c r="I17" i="13" s="1"/>
  <c r="E17" i="13" a="1"/>
  <c r="E17" i="13" s="1"/>
  <c r="H17" i="13" s="1" a="1"/>
  <c r="H17" i="13" s="1"/>
  <c r="F16" i="13" a="1"/>
  <c r="F16" i="13" s="1"/>
  <c r="I16" i="13" s="1" a="1"/>
  <c r="I16" i="13" s="1"/>
  <c r="E16" i="13" a="1"/>
  <c r="E16" i="13" s="1"/>
  <c r="H16" i="13" s="1" a="1"/>
  <c r="H16" i="13" s="1"/>
  <c r="F15" i="13" a="1"/>
  <c r="F15" i="13" s="1"/>
  <c r="I15" i="13" s="1" a="1"/>
  <c r="I15" i="13" s="1"/>
  <c r="E15" i="13" a="1"/>
  <c r="E15" i="13" s="1"/>
  <c r="H15" i="13" s="1" a="1"/>
  <c r="H15" i="13" s="1"/>
  <c r="F14" i="13" a="1"/>
  <c r="F14" i="13" s="1"/>
  <c r="I14" i="13" s="1" a="1"/>
  <c r="I14" i="13" s="1"/>
  <c r="E14" i="13" a="1"/>
  <c r="E14" i="13" s="1"/>
  <c r="H14" i="13" s="1" a="1"/>
  <c r="H14" i="13" s="1"/>
  <c r="F13" i="13" a="1"/>
  <c r="F13" i="13" s="1"/>
  <c r="I13" i="13" s="1" a="1"/>
  <c r="I13" i="13" s="1"/>
  <c r="E13" i="13" a="1"/>
  <c r="E13" i="13" s="1"/>
  <c r="H13" i="13" s="1" a="1"/>
  <c r="H13" i="13" s="1"/>
  <c r="F12" i="13" a="1"/>
  <c r="F12" i="13" s="1"/>
  <c r="I12" i="13" s="1" a="1"/>
  <c r="I12" i="13" s="1"/>
  <c r="E12" i="13" a="1"/>
  <c r="E12" i="13" s="1"/>
  <c r="H12" i="13" s="1" a="1"/>
  <c r="H12" i="13" s="1"/>
  <c r="F11" i="13" a="1"/>
  <c r="F11" i="13" s="1"/>
  <c r="I11" i="13" s="1" a="1"/>
  <c r="I11" i="13" s="1"/>
  <c r="E11" i="13" a="1"/>
  <c r="E11" i="13" s="1"/>
  <c r="H11" i="13" s="1" a="1"/>
  <c r="H11" i="13" s="1"/>
  <c r="F10" i="13" l="1" a="1"/>
  <c r="F10" i="13" s="1"/>
  <c r="I10" i="13" s="1" a="1"/>
  <c r="I10" i="13" s="1"/>
  <c r="E10" i="13" a="1"/>
  <c r="E10" i="13" s="1"/>
  <c r="H10" i="13" s="1" a="1"/>
  <c r="H10" i="13" s="1"/>
  <c r="H43" i="13" s="1"/>
  <c r="E10" i="76" l="1" a="1"/>
  <c r="E10" i="76" s="1"/>
  <c r="E9" i="76" a="1"/>
  <c r="E9" i="76" s="1"/>
  <c r="E31" i="13" l="1" a="1"/>
  <c r="E31" i="13" s="1"/>
  <c r="H31" i="13" s="1" a="1"/>
  <c r="H31" i="13" s="1"/>
  <c r="E30" i="13" a="1"/>
  <c r="E30" i="13" s="1"/>
  <c r="E29" i="13" a="1"/>
  <c r="E29" i="13" s="1"/>
  <c r="H29" i="13" s="1"/>
  <c r="E28" i="13" a="1"/>
  <c r="E28" i="13" s="1"/>
  <c r="E27" i="13" a="1"/>
  <c r="E27" i="13" s="1"/>
  <c r="H27" i="13" s="1" a="1"/>
  <c r="H27" i="13" s="1"/>
  <c r="E26" i="13" a="1"/>
  <c r="E26" i="13" s="1"/>
  <c r="H26" i="13" s="1"/>
  <c r="F25" i="13" a="1"/>
  <c r="F25" i="13" s="1"/>
  <c r="I25" i="13" s="1" a="1"/>
  <c r="I25" i="13" s="1"/>
  <c r="E25" i="13" a="1"/>
  <c r="E25" i="13" s="1"/>
  <c r="H25" i="13" s="1" a="1"/>
  <c r="H25" i="13" s="1"/>
  <c r="F24" i="13" a="1"/>
  <c r="F24" i="13" s="1"/>
  <c r="I24" i="13" s="1" a="1"/>
  <c r="I24" i="13" s="1"/>
  <c r="E24" i="13" a="1"/>
  <c r="E24" i="13" s="1"/>
  <c r="H24" i="13" s="1" a="1"/>
  <c r="H24" i="13" s="1"/>
  <c r="E23" i="13" a="1"/>
  <c r="E23" i="13" s="1"/>
  <c r="H23" i="13" s="1" a="1"/>
  <c r="H23" i="13" s="1"/>
  <c r="E22" i="13" a="1"/>
  <c r="E22" i="13" s="1"/>
  <c r="H22" i="13" s="1" a="1"/>
  <c r="H22" i="13" s="1"/>
  <c r="E21" i="13" a="1"/>
  <c r="E21" i="13" s="1"/>
  <c r="E20" i="13" a="1"/>
  <c r="E20" i="13" s="1"/>
  <c r="H20" i="13" s="1" a="1"/>
  <c r="H20" i="13" s="1"/>
  <c r="E19" i="13" a="1"/>
  <c r="E19" i="13" s="1"/>
  <c r="F19" i="13" s="1"/>
  <c r="I19" i="13" s="1"/>
  <c r="F18" i="13" a="1"/>
  <c r="F18" i="13" s="1"/>
  <c r="I18" i="13" s="1" a="1"/>
  <c r="I18" i="13" s="1"/>
  <c r="E18" i="13" a="1"/>
  <c r="E18" i="13" s="1"/>
  <c r="H18" i="13" s="1" a="1"/>
  <c r="H18" i="13" s="1"/>
  <c r="E13" i="72"/>
  <c r="D5" i="13" s="1"/>
  <c r="E18" i="75"/>
  <c r="A20" i="75"/>
  <c r="A19" i="75"/>
  <c r="A18" i="75"/>
  <c r="A17" i="75"/>
  <c r="A14" i="75"/>
  <c r="A13" i="75"/>
  <c r="A12" i="75"/>
  <c r="A11" i="75"/>
  <c r="A8" i="75"/>
  <c r="A7" i="75"/>
  <c r="A4" i="75"/>
  <c r="A3" i="75"/>
  <c r="E20" i="72"/>
  <c r="F30" i="13" l="1"/>
  <c r="I30" i="13" s="1" a="1"/>
  <c r="I30" i="13" s="1"/>
  <c r="H30" i="13" a="1"/>
  <c r="H30" i="13" s="1"/>
  <c r="F28" i="13"/>
  <c r="I28" i="13" s="1" a="1"/>
  <c r="I28" i="13" s="1"/>
  <c r="H28" i="13" a="1"/>
  <c r="H28" i="13" s="1"/>
  <c r="F26" i="13"/>
  <c r="I26" i="13" s="1"/>
  <c r="F22" i="13"/>
  <c r="I22" i="13" s="1" a="1"/>
  <c r="I22" i="13" s="1"/>
  <c r="F27" i="13"/>
  <c r="I27" i="13" s="1" a="1"/>
  <c r="I27" i="13" s="1"/>
  <c r="F21" i="13"/>
  <c r="I21" i="13" s="1"/>
  <c r="H21" i="13"/>
  <c r="F23" i="13"/>
  <c r="I23" i="13" s="1" a="1"/>
  <c r="I23" i="13" s="1"/>
  <c r="H19" i="13"/>
  <c r="F29" i="13"/>
  <c r="I29" i="13" s="1"/>
  <c r="F31" i="13"/>
  <c r="I31" i="13" s="1" a="1"/>
  <c r="I31" i="13" s="1"/>
  <c r="F20" i="13"/>
  <c r="I20" i="13" s="1" a="1"/>
  <c r="I20" i="13" s="1"/>
  <c r="F82" i="13" l="1"/>
  <c r="E82" i="13"/>
  <c r="E36" i="80" s="1"/>
  <c r="A20" i="13"/>
  <c r="A19" i="13"/>
  <c r="A18" i="13"/>
  <c r="A17" i="13"/>
  <c r="A14" i="13"/>
  <c r="A13" i="13"/>
  <c r="A12" i="13"/>
  <c r="A11" i="13"/>
  <c r="A8" i="13"/>
  <c r="A7" i="13"/>
  <c r="A4" i="13"/>
  <c r="A3" i="13"/>
  <c r="H56" i="80" l="1"/>
  <c r="H58" i="80"/>
  <c r="H48" i="80"/>
  <c r="F36" i="80"/>
  <c r="F83" i="13"/>
  <c r="F37" i="80" s="1"/>
  <c r="H54" i="80"/>
  <c r="H44" i="80"/>
  <c r="H46" i="80"/>
  <c r="E53" i="72"/>
  <c r="E83" i="13"/>
  <c r="F53" i="72"/>
  <c r="I57" i="80" l="1"/>
  <c r="I49" i="80"/>
  <c r="I59" i="80"/>
  <c r="I56" i="80"/>
  <c r="I48" i="80"/>
  <c r="I58" i="80"/>
  <c r="I44" i="80"/>
  <c r="I46" i="80"/>
  <c r="I54" i="80"/>
  <c r="I55" i="80"/>
  <c r="I47" i="80"/>
  <c r="I45" i="80"/>
  <c r="E37" i="80"/>
  <c r="F81" i="72"/>
  <c r="F57" i="72"/>
  <c r="E81" i="72"/>
  <c r="E57" i="72"/>
  <c r="H49" i="80" l="1"/>
  <c r="H57" i="80"/>
  <c r="H59" i="80"/>
  <c r="H55" i="80"/>
  <c r="H45" i="80"/>
  <c r="H47" i="8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<sst xmlns="http://schemas.openxmlformats.org/spreadsheetml/2006/main" count="687" uniqueCount="327">
  <si>
    <t>Home</t>
  </si>
  <si>
    <t>INPUTS</t>
  </si>
  <si>
    <t>APPENDICES</t>
  </si>
  <si>
    <t>CALCULATIONS</t>
  </si>
  <si>
    <t>Scope 1 source</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</si>
  <si>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</si>
  <si>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</si>
  <si>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</si>
  <si>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</si>
  <si>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</si>
  <si>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</si>
  <si>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</si>
  <si>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</si>
  <si>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</si>
  <si>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</si>
  <si>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</si>
  <si>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</si>
  <si>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</si>
  <si>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</si>
  <si>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Liveweight sold</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</si>
  <si>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</si>
  <si>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</si>
  <si>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</si>
  <si>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</si>
  <si>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</si>
  <si>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</si>
  <si>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</si>
  <si>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</si>
  <si>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</si>
  <si>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</si>
  <si>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</si>
  <si>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</si>
  <si>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</si>
  <si>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</si>
  <si>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</si>
  <si>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</si>
  <si>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</si>
  <si>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</si>
  <si>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</si>
  <si>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</si>
  <si>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</si>
  <si>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</si>
  <si>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</si>
  <si>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</si>
  <si>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</si>
  <si>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</si>
  <si>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</si>
  <si>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</si>
  <si>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</si>
  <si>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</si>
  <si>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</si>
  <si>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</si>
  <si>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</si>
  <si>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</si>
  <si>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</si>
  <si>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</si>
  <si>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</si>
  <si>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</si>
  <si>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</si>
  <si>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</si>
  <si>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</si>
  <si>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</si>
  <si>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</si>
  <si>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</si>
  <si>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</si>
  <si>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</si>
  <si>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</si>
  <si>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</si>
  <si>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</si>
  <si>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</si>
  <si>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</si>
  <si>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</si>
  <si>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</si>
  <si>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</si>
  <si>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</si>
  <si>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</si>
  <si>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</si>
  <si>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</si>
  <si>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</si>
  <si>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</si>
  <si>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</si>
  <si>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</si>
  <si>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</si>
  <si>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</si>
  <si>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</si>
  <si>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</si>
  <si>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</si>
  <si>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</si>
  <si>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</si>
  <si>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</si>
  <si>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</si>
  <si>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</si>
  <si>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</si>
  <si>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</si>
  <si>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</si>
  <si>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</si>
  <si>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</si>
  <si>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</si>
  <si>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</si>
  <si>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</si>
  <si>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</si>
  <si>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</si>
  <si>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</si>
  <si>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</si>
  <si>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</si>
  <si>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</si>
  <si>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</si>
  <si>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</si>
  <si>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</si>
  <si>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</si>
  <si>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</si>
  <si>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</si>
  <si>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</si>
  <si>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</si>
  <si>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</si>
  <si>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</si>
  <si>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</si>
  <si>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</si>
  <si>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Amount (tonnnes)</t>
  </si>
  <si>
    <t>Unit</t>
  </si>
  <si>
    <t>t co2e/t liveweight sold</t>
  </si>
  <si>
    <t>Emissions intensity (Method 1)</t>
  </si>
  <si>
    <t>Emissions intensity (Method 2)</t>
  </si>
  <si>
    <t>Product type</t>
  </si>
  <si>
    <t>Main product</t>
  </si>
  <si>
    <t>Co-product</t>
  </si>
  <si>
    <t>CO2 removed attributed to this enterprise</t>
  </si>
  <si>
    <t>t CO2</t>
  </si>
  <si>
    <t>Total emissions for production cycle</t>
  </si>
  <si>
    <t>Total carbon removals for production cycle</t>
  </si>
  <si>
    <t>Method 1</t>
  </si>
  <si>
    <t>Method 2</t>
  </si>
  <si>
    <t>Product</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</si>
  <si>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</si>
  <si>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</si>
  <si>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</si>
  <si>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</si>
  <si>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</si>
  <si>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</si>
  <si>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</si>
  <si>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</si>
  <si>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</si>
  <si>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</si>
  <si>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</si>
  <si>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</si>
  <si>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</si>
  <si>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</si>
  <si>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Input - Enterprise</t>
  </si>
  <si>
    <t>percent</t>
  </si>
  <si>
    <t>Percentage of income from liveweight sold</t>
  </si>
  <si>
    <t>Percentage of income from manure sold</t>
  </si>
  <si>
    <t>Product emissions - Mass</t>
  </si>
  <si>
    <t>Product emissions - Economic</t>
  </si>
  <si>
    <t>Mass emissions assignment</t>
  </si>
  <si>
    <t>Economic emissions assignment</t>
  </si>
  <si>
    <t>Liveweight sold - excluding removals</t>
  </si>
  <si>
    <t>Liveweight sold - net emissions</t>
  </si>
  <si>
    <t>Manure sold - excluding removals</t>
  </si>
  <si>
    <t>Manure sold - net emissions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</si>
  <si>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</si>
  <si>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</si>
  <si>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</si>
  <si>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</si>
  <si>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</si>
  <si>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</si>
  <si>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3.3.1.1-2 Enteric methane</t>
  </si>
  <si>
    <t>4.3.1.1-2 Manure methane</t>
  </si>
  <si>
    <t>4.3.1.3-4 Manure direct N2O</t>
  </si>
  <si>
    <t>4.3.1.5 Manure atmospheric deposition</t>
  </si>
  <si>
    <t>4.3.1.6-7 Manure leaching and runoff</t>
  </si>
  <si>
    <t>4.3.1.9 Soil direct N2O</t>
  </si>
  <si>
    <t>4.3.1.10-11 Soil atmospheric deposition</t>
  </si>
  <si>
    <t>4.3.1.12-13 Soil leaching and runoff</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</si>
  <si>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</si>
  <si>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</si>
  <si>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</si>
  <si>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</si>
  <si>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</si>
  <si>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</si>
  <si>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</si>
  <si>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</si>
  <si>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Milk produced</t>
  </si>
  <si>
    <t>Milk produced unit</t>
  </si>
  <si>
    <t>Percentage of income from milk sold</t>
  </si>
  <si>
    <t>Manure sold</t>
  </si>
  <si>
    <t>Milk sold - excluding removals</t>
  </si>
  <si>
    <t>Milk sold - net emissions</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</si>
  <si>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</si>
  <si>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</si>
  <si>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</si>
  <si>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</si>
  <si>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</si>
  <si>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</si>
  <si>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</si>
  <si>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</si>
  <si>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</si>
  <si>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</si>
  <si>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</si>
  <si>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</si>
  <si>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</si>
  <si>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</si>
  <si>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</si>
  <si>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</si>
  <si>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</si>
  <si>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</si>
  <si>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</si>
  <si>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</si>
  <si>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</si>
  <si>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</si>
  <si>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</si>
  <si>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</si>
  <si>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</si>
  <si>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</si>
  <si>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</si>
  <si>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</si>
  <si>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</si>
  <si>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</si>
  <si>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</si>
  <si>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</si>
  <si>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</si>
  <si>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</si>
  <si>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</si>
  <si>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</si>
  <si>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</si>
  <si>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</si>
  <si>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</si>
  <si>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</si>
  <si>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</si>
  <si>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</si>
  <si>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</si>
  <si>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</si>
  <si>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</si>
  <si>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</si>
  <si>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</si>
  <si>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</si>
  <si>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</si>
  <si>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</si>
  <si>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</si>
  <si>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Manure used as fertiliser on own farm</t>
  </si>
  <si>
    <t>Results - Activity period</t>
  </si>
  <si>
    <t>Scope 1</t>
  </si>
  <si>
    <t>Total scope 1</t>
  </si>
  <si>
    <t>Scope 2</t>
  </si>
  <si>
    <t>Scope 2 source</t>
  </si>
  <si>
    <t>Total scope 2</t>
  </si>
  <si>
    <t>Scope 3</t>
  </si>
  <si>
    <t>Scope 3 source</t>
  </si>
  <si>
    <t>15.1.1.1 Purchased livestock</t>
  </si>
  <si>
    <t>15.2.1.1 Purchased feed</t>
  </si>
  <si>
    <t>15.3.1.1 Mineral supplements</t>
  </si>
  <si>
    <t>15.4.1.1 Fertiliser</t>
  </si>
  <si>
    <t>15.5.1.1 Agrichemicals</t>
  </si>
  <si>
    <t>15.6.1.1 Lime</t>
  </si>
  <si>
    <t>15.7.1.1 Services and contractor operations</t>
  </si>
  <si>
    <t>15.10.1.1 Other: Cleaning chemicals</t>
  </si>
  <si>
    <t>15.10.1.1 Other: Pharmacy chemicals</t>
  </si>
  <si>
    <t>15.10.1.1 Other: Miscellaneous</t>
  </si>
  <si>
    <t>15.10.1.1 Other: Uncategorised</t>
  </si>
  <si>
    <t>15.11.1.1 Fuel</t>
  </si>
  <si>
    <t>15.14.1.1 Incoming freight</t>
  </si>
  <si>
    <t>15.13.1.1 Waste sent to treatment facility</t>
  </si>
  <si>
    <t>15.14.1.1 Outgoing freight</t>
  </si>
  <si>
    <t>Total scope 3</t>
  </si>
  <si>
    <t>Total removals</t>
  </si>
  <si>
    <t>Total emissions excluding removals</t>
  </si>
  <si>
    <t>t CO2-e</t>
  </si>
  <si>
    <t>Total net emissions</t>
  </si>
  <si>
    <t>Carbon removals</t>
  </si>
  <si>
    <t>Planting name</t>
  </si>
  <si>
    <t>Total removed CO2</t>
  </si>
  <si>
    <t>Percent allocated to this enterprise</t>
  </si>
  <si>
    <t>Removal allocated to this enterprise</t>
  </si>
  <si>
    <t>Production cycle emissions and removals</t>
  </si>
  <si>
    <t>Enter the method 1 and 2 CO2e emissions (excluding removals) from previous emissions calculation periods if applicable.</t>
  </si>
  <si>
    <t>Results - Product emissions intensity</t>
  </si>
  <si>
    <t>Emissions for production cycle excluding removals</t>
  </si>
  <si>
    <t>Net emissions for production cycle</t>
  </si>
  <si>
    <t>Residual product</t>
  </si>
  <si>
    <t>N/A</t>
  </si>
  <si>
    <t>Emissions intestity (Method 1)</t>
  </si>
  <si>
    <t>Emissions intestity (Method 2)</t>
  </si>
  <si>
    <t>t co2e/t milk sold</t>
  </si>
  <si>
    <t>t co2e/t manure sold</t>
  </si>
  <si>
    <t>Enterprise</t>
  </si>
  <si>
    <t>Data type</t>
  </si>
  <si>
    <t>When was the data sourced?</t>
  </si>
  <si>
    <t>Where is the data sourced from?</t>
  </si>
  <si>
    <t>How much of the data was from direct samples?</t>
  </si>
  <si>
    <t>During this emissions calculation period</t>
  </si>
  <si>
    <t>This location with spatial partitioning</t>
  </si>
  <si>
    <t>Over 90%</t>
  </si>
  <si>
    <t>Within 2 years of this emissions calculation period</t>
  </si>
  <si>
    <t>This location without spatial partitioning</t>
  </si>
  <si>
    <t>Between 51% and 90%</t>
  </si>
  <si>
    <t>Within 3 years of this emissions calculation period</t>
  </si>
  <si>
    <t>Regional-level data from a government or industry database/survey</t>
  </si>
  <si>
    <t>Within 4 years of this emissions calculation period</t>
  </si>
  <si>
    <t>State-level data from a government or industry database/survey</t>
  </si>
  <si>
    <t>Less than 20%</t>
  </si>
  <si>
    <t>Unknown, or more than 4 years of this emissions calculation period</t>
  </si>
  <si>
    <t>National-level data from a government or industry database/survey</t>
  </si>
  <si>
    <t>Unknown</t>
  </si>
  <si>
    <t>Site</t>
  </si>
  <si>
    <t>Between 21% and 50%</t>
  </si>
  <si>
    <t>Pasture management</t>
  </si>
  <si>
    <t>Fertiliser applications</t>
  </si>
  <si>
    <t>Fuel and electricity</t>
  </si>
  <si>
    <t>Farm input purchases, freight and waste outputs</t>
  </si>
  <si>
    <t>Total data quality score</t>
  </si>
  <si>
    <t>Dairy cattle</t>
  </si>
  <si>
    <t>User friendly description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</si>
  <si>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</si>
  <si>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</si>
  <si>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</si>
  <si>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</si>
  <si>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</si>
  <si>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10.1.1-2 Solid waste treatment</t>
  </si>
  <si>
    <t>9.1.1.1-2 Refrigerant leakage - Gas 1</t>
  </si>
  <si>
    <t>9.1.1.1-2 Refrigerant leakage - Gas 2</t>
  </si>
  <si>
    <t>9.1.1.1-2 Refrigerant leakage - Gas 3</t>
  </si>
  <si>
    <t>9.1.1.1-2 Refrigerant leakage - Gas 4</t>
  </si>
  <si>
    <t>9.1.1.1-2 Refrigerant leakage - Gas 5</t>
  </si>
  <si>
    <t>9.1.1.1-2 Refrigerant leakage - Gas 6</t>
  </si>
  <si>
    <t>9.1.1.1-2 Refrigerant leakage - Gas 7</t>
  </si>
  <si>
    <t>9.1.1.1-2 Refrigerant leakage - Gas 8</t>
  </si>
  <si>
    <t>9.1.1.1-2 Refrigerant leakage - Gas 9</t>
  </si>
  <si>
    <t>9.1.1.1-2 Refrigerant leakage - Gas 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</si>
</sst>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0000000000"/>
  </numFmts>
  <fonts count="5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
      <b/>
      <sz val="20"/>
      <color rgb="FF0C769E"/>
      <name val="Times New Roman"/>
      <family val="1"/>
    </font>
    <font>
      <b/>
      <sz val="16"/>
      <color theme="1" tint="0.24994659260841701"/>
      <name val="Times New Roman"/>
      <family val="1"/>
    </font>
    <font>
      <i/>
      <sz val="16"/>
      <color theme="1" tint="0.34998626667073579"/>
      <name val="Times New Roman"/>
      <family val="1"/>
    </font>
    <font>
      <sz val="16"/>
      <color theme="1" tint="0.249946592608417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5" fillId="4" borderId="0">
      <alignment horizontal="left" vertical="center"/>
    </xf>
    <xf numFmtId="0" fontId="29" fillId="4" borderId="0">
      <alignment vertical="center"/>
    </xf>
    <xf numFmtId="0" fontId="3" fillId="4" borderId="0">
      <alignment horizontal="left" vertical="center"/>
    </xf>
    <xf numFmtId="0" fontId="2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0" fillId="13" borderId="5">
      <alignment horizontal="left" vertical="center"/>
    </xf>
    <xf numFmtId="3" fontId="23" fillId="4" borderId="2">
      <alignment horizontal="center" vertical="center"/>
    </xf>
    <xf numFmtId="167" fontId="2" fillId="0" borderId="2">
      <alignment horizontal="center" vertical="center"/>
    </xf>
    <xf numFmtId="0" fontId="24" fillId="0" borderId="0"/>
    <xf numFmtId="0" fontId="9" fillId="0" borderId="0"/>
    <xf numFmtId="0" fontId="24" fillId="0" borderId="0"/>
    <xf numFmtId="166" fontId="23" fillId="4" borderId="2">
      <alignment horizontal="center" vertical="center"/>
    </xf>
    <xf numFmtId="4" fontId="23" fillId="4" borderId="2">
      <alignment horizontal="center" vertical="center"/>
    </xf>
    <xf numFmtId="0" fontId="34" fillId="4" borderId="0">
      <alignment horizontal="left" vertical="center"/>
    </xf>
    <xf numFmtId="0" fontId="26" fillId="4" borderId="0" applyNumberFormat="0">
      <alignment horizontal="center" vertical="center"/>
    </xf>
    <xf numFmtId="165" fontId="23" fillId="4" borderId="2">
      <alignment horizontal="center" vertical="center"/>
    </xf>
    <xf numFmtId="0" fontId="22" fillId="4" borderId="0">
      <alignment horizontal="left" vertical="center"/>
    </xf>
    <xf numFmtId="168" fontId="23" fillId="4" borderId="2">
      <alignment horizontal="center" vertical="center"/>
    </xf>
    <xf numFmtId="0" fontId="23" fillId="4" borderId="2">
      <alignment horizontal="center" vertical="center"/>
    </xf>
    <xf numFmtId="0" fontId="6" fillId="4" borderId="0">
      <alignment horizontal="left" vertical="center"/>
    </xf>
    <xf numFmtId="0" fontId="28" fillId="4" borderId="0">
      <alignment horizontal="left" vertical="center"/>
    </xf>
    <xf numFmtId="0" fontId="9" fillId="0" borderId="0"/>
    <xf numFmtId="0" fontId="2" fillId="0" borderId="2">
      <alignment horizontal="center" vertical="center"/>
    </xf>
    <xf numFmtId="0" fontId="32" fillId="4" borderId="0">
      <alignment horizontal="left" vertical="center"/>
    </xf>
    <xf numFmtId="0" fontId="33" fillId="4" borderId="0">
      <alignment horizontal="left" vertical="center"/>
    </xf>
    <xf numFmtId="0" fontId="35" fillId="4" borderId="0">
      <alignment horizontal="left" vertical="center"/>
    </xf>
    <xf numFmtId="0" fontId="31" fillId="11" borderId="0">
      <alignment horizontal="center" vertical="center"/>
    </xf>
    <xf numFmtId="0" fontId="20" fillId="11" borderId="0">
      <alignment horizontal="left" vertical="center" indent="1"/>
    </xf>
    <xf numFmtId="0" fontId="36" fillId="4" borderId="2">
      <alignment horizontal="left" vertical="center"/>
    </xf>
    <xf numFmtId="0" fontId="23" fillId="4" borderId="2">
      <alignment horizontal="left" vertical="center"/>
    </xf>
    <xf numFmtId="0" fontId="37" fillId="14" borderId="2">
      <alignment horizontal="center" vertical="center"/>
    </xf>
    <xf numFmtId="0" fontId="38" fillId="15" borderId="2">
      <alignment horizontal="center" vertical="center"/>
    </xf>
    <xf numFmtId="0" fontId="3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00">
    <xf numFmtId="0" fontId="0" fillId="0" borderId="0" xfId="0"/>
    <xf numFmtId="0" fontId="27" fillId="4" borderId="0" xfId="8">
      <alignment horizontal="left" vertical="center"/>
    </xf>
    <xf numFmtId="0" fontId="25"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0" fontId="6" fillId="4" borderId="0" xfId="53">
      <alignment horizontal="left" vertical="center"/>
    </xf>
    <xf numFmtId="0" fontId="10" fillId="0" borderId="0" xfId="32"/>
    <xf numFmtId="0" fontId="31" fillId="11" borderId="0" xfId="60">
      <alignment horizontal="center" vertical="center"/>
    </xf>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3" fillId="4" borderId="2" xfId="52">
      <alignment horizontal="center" vertical="center"/>
    </xf>
    <xf numFmtId="0" fontId="6" fillId="4" borderId="0" xfId="12">
      <alignment horizontal="left" vertical="center" indent="1"/>
    </xf>
    <xf numFmtId="0" fontId="29" fillId="4" borderId="0" xfId="6">
      <alignment vertical="center"/>
    </xf>
    <xf numFmtId="9" fontId="2" fillId="0" borderId="2" xfId="16">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28"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5" fillId="0" borderId="0" xfId="5" applyFill="1">
      <alignment horizontal="left" vertical="center"/>
    </xf>
    <xf numFmtId="0" fontId="11" fillId="4" borderId="0" xfId="30">
      <alignment vertical="center"/>
    </xf>
    <xf numFmtId="0" fontId="29" fillId="0" borderId="0" xfId="6" applyFill="1">
      <alignment vertical="center"/>
    </xf>
    <xf numFmtId="0" fontId="2" fillId="0" borderId="2" xfId="14">
      <alignment horizontal="center" vertical="center"/>
    </xf>
    <xf numFmtId="0" fontId="27" fillId="0" borderId="0" xfId="8" applyFill="1">
      <alignment horizontal="left" vertical="center"/>
    </xf>
    <xf numFmtId="0" fontId="30" fillId="13" borderId="7" xfId="39" applyBorder="1">
      <alignment horizontal="left" vertical="center"/>
    </xf>
    <xf numFmtId="0" fontId="30" fillId="13" borderId="8" xfId="39" applyBorder="1">
      <alignment horizontal="left" vertical="center"/>
    </xf>
    <xf numFmtId="0" fontId="30" fillId="13" borderId="9" xfId="39" applyBorder="1">
      <alignment horizontal="left" vertical="center"/>
    </xf>
    <xf numFmtId="0" fontId="30" fillId="13" borderId="10" xfId="39" applyBorder="1">
      <alignment horizontal="left" vertical="center"/>
    </xf>
    <xf numFmtId="0" fontId="41" fillId="0" borderId="0" xfId="12" applyFont="1" applyFill="1" applyAlignment="1">
      <alignment horizontal="left" vertical="center"/>
    </xf>
    <xf numFmtId="166" fontId="23" fillId="4" borderId="2" xfId="40" applyNumberFormat="1">
      <alignment horizontal="center" vertical="center"/>
    </xf>
    <xf numFmtId="0" fontId="2" fillId="0" borderId="0" xfId="7" applyFont="1" applyFill="1">
      <alignment horizontal="left" vertical="center"/>
    </xf>
    <xf numFmtId="0" fontId="42" fillId="13" borderId="11" xfId="39" applyFont="1" applyBorder="1">
      <alignment horizontal="left" vertical="center"/>
    </xf>
    <xf numFmtId="0" fontId="30" fillId="13" borderId="12" xfId="39" applyBorder="1">
      <alignment horizontal="left" vertical="center"/>
    </xf>
    <xf numFmtId="0" fontId="30" fillId="13" borderId="13" xfId="39" applyBorder="1">
      <alignment horizontal="left" vertical="center"/>
    </xf>
    <xf numFmtId="0" fontId="30" fillId="13" borderId="14" xfId="39" applyBorder="1">
      <alignment horizontal="left" vertical="center"/>
    </xf>
    <xf numFmtId="0" fontId="30" fillId="13" borderId="15" xfId="39" applyBorder="1">
      <alignment horizontal="left" vertical="center"/>
    </xf>
    <xf numFmtId="0" fontId="30"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3" fillId="0" borderId="0" xfId="0" applyFont="1" applyAlignment="1" applyProtection="1">
      <alignment horizontal="center" vertical="center"/>
      <protection locked="0"/>
    </xf>
    <xf numFmtId="4" fontId="44" fillId="0" borderId="0" xfId="17" applyFont="1" applyBorder="1">
      <alignment horizontal="center" vertical="center"/>
    </xf>
    <xf numFmtId="164" fontId="8" fillId="4" borderId="0" xfId="26" applyBorder="1">
      <alignment horizontal="center" vertical="center"/>
    </xf>
    <xf numFmtId="4" fontId="44" fillId="4" borderId="0" xfId="17" applyFont="1" applyFill="1" applyBorder="1">
      <alignment horizontal="center" vertical="center"/>
    </xf>
    <xf numFmtId="0" fontId="44" fillId="4" borderId="0" xfId="12" applyFont="1" applyAlignment="1">
      <alignment horizontal="center" vertical="center"/>
    </xf>
    <xf numFmtId="0" fontId="44" fillId="4" borderId="0" xfId="8" applyFont="1" applyAlignment="1">
      <alignment horizontal="center" vertical="center"/>
    </xf>
    <xf numFmtId="166" fontId="44" fillId="4" borderId="0" xfId="8" applyNumberFormat="1" applyFont="1" applyAlignment="1">
      <alignment horizontal="center" vertical="center"/>
    </xf>
    <xf numFmtId="9" fontId="44" fillId="4" borderId="0" xfId="68" applyFont="1" applyFill="1" applyBorder="1" applyAlignment="1">
      <alignment horizontal="center" vertical="center"/>
    </xf>
    <xf numFmtId="0" fontId="45" fillId="4" borderId="0" xfId="0" applyFont="1" applyFill="1" applyAlignment="1">
      <alignment horizontal="center" vertical="center"/>
    </xf>
    <xf numFmtId="0" fontId="45" fillId="4" borderId="0" xfId="0" applyFont="1" applyFill="1"/>
    <xf numFmtId="0" fontId="44" fillId="4" borderId="0" xfId="0" applyFont="1" applyFill="1"/>
    <xf numFmtId="0" fontId="44" fillId="0" borderId="0" xfId="0" applyFont="1"/>
    <xf numFmtId="0" fontId="46" fillId="4" borderId="0" xfId="7" applyFont="1" applyAlignment="1">
      <alignment horizontal="center" vertical="center"/>
    </xf>
    <xf numFmtId="0" fontId="47" fillId="4" borderId="0" xfId="7" applyFont="1" applyAlignment="1">
      <alignment horizontal="center" vertical="center"/>
    </xf>
    <xf numFmtId="166" fontId="47" fillId="4" borderId="0" xfId="7" applyNumberFormat="1" applyFont="1" applyAlignment="1">
      <alignment horizontal="center" vertical="center"/>
    </xf>
    <xf numFmtId="0" fontId="47" fillId="4" borderId="0" xfId="0" applyFont="1" applyFill="1" applyAlignment="1">
      <alignment horizontal="center" vertical="center"/>
    </xf>
    <xf numFmtId="0" fontId="48" fillId="4" borderId="0" xfId="0" applyFont="1" applyFill="1" applyAlignment="1">
      <alignment horizontal="center" vertical="center"/>
    </xf>
    <xf numFmtId="0" fontId="48" fillId="4" borderId="0" xfId="0" applyFont="1" applyFill="1" applyAlignment="1">
      <alignment horizontal="left" vertical="center"/>
    </xf>
    <xf numFmtId="14" fontId="3" fillId="4" borderId="0" xfId="7" applyNumberFormat="1">
      <alignment horizontal="left" vertical="center"/>
    </xf>
    <xf numFmtId="0" fontId="30" fillId="13" borderId="5" xfId="39">
      <alignment horizontal="left" vertical="center"/>
    </xf>
    <xf numFmtId="0" fontId="39"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49" fillId="4" borderId="0" xfId="0" applyFont="1" applyFill="1"/>
    <xf numFmtId="0" fontId="2" fillId="0" borderId="2" xfId="56">
      <alignment horizontal="center" vertical="center"/>
    </xf>
    <xf numFmtId="0" fontId="40" fillId="4" borderId="0" xfId="8" applyFont="1">
      <alignment horizontal="left" vertical="center"/>
    </xf>
    <xf numFmtId="0" fontId="23" fillId="4" borderId="2" xfId="52" quotePrefix="1">
      <alignment horizontal="center" vertical="center"/>
    </xf>
    <xf numFmtId="0" fontId="34" fillId="4" borderId="0" xfId="47">
      <alignment horizontal="left" vertical="center"/>
    </xf>
    <xf numFmtId="0" fontId="35" fillId="4" borderId="0" xfId="59">
      <alignment horizontal="left" vertical="center"/>
    </xf>
    <xf numFmtId="170" fontId="0" fillId="0" borderId="0" xfId="8" applyNumberFormat="1" applyFont="1" applyFill="1">
      <alignment horizontal="left" vertical="center"/>
    </xf>
    <xf numFmtId="0" fontId="12" fillId="6" borderId="0" xfId="29">
      <alignment horizontal="center" vertical="center"/>
      <protection locked="0"/>
    </xf>
    <xf numFmtId="0" fontId="39" fillId="0" borderId="0" xfId="66"/>
    <xf numFmtId="0" fontId="50" fillId="9" borderId="4" xfId="34" applyFont="1">
      <alignment horizontal="left" vertical="center" indent="1"/>
    </xf>
    <xf numFmtId="0" fontId="20" fillId="10" borderId="0" xfId="35">
      <alignment horizontal="left" vertical="center" indent="1"/>
    </xf>
    <xf numFmtId="0" fontId="51" fillId="0" borderId="0" xfId="32" applyFont="1"/>
    <xf numFmtId="0" fontId="52" fillId="4" borderId="0" xfId="8" applyFont="1">
      <alignment horizontal="left" vertical="center"/>
    </xf>
    <xf numFmtId="0" fontId="53" fillId="4" borderId="0" xfId="53" applyFont="1">
      <alignment horizontal="left" vertical="center"/>
    </xf>
    <xf numFmtId="0" fontId="52" fillId="4" borderId="1" xfId="8" applyFont="1" applyBorder="1">
      <alignment horizontal="left" vertical="center"/>
    </xf>
    <xf numFmtId="0" fontId="27" fillId="4" borderId="1" xfId="8" applyBorder="1">
      <alignment horizontal="left" vertical="center"/>
    </xf>
    <xf numFmtId="0" fontId="53" fillId="4" borderId="1" xfId="53" applyFont="1" applyBorder="1">
      <alignment horizontal="left" vertical="center"/>
    </xf>
    <xf numFmtId="0" fontId="54" fillId="4" borderId="1" xfId="8" applyFont="1" applyBorder="1">
      <alignment horizontal="left" vertical="center"/>
    </xf>
    <xf numFmtId="0" fontId="54" fillId="4" borderId="0" xfId="8" applyFont="1">
      <alignment horizontal="left" vertical="center"/>
    </xf>
    <xf numFmtId="0" fontId="40" fillId="4" borderId="1" xfId="8" applyFont="1" applyBorder="1">
      <alignment horizontal="left" vertical="center"/>
    </xf>
    <xf numFmtId="0" fontId="6" fillId="4" borderId="1" xfId="53" applyBorder="1">
      <alignment horizontal="left" vertical="center"/>
    </xf>
    <xf numFmtId="0" fontId="27" fillId="11" borderId="0" xfId="8" applyFill="1">
      <alignment horizontal="left" vertical="center"/>
    </xf>
    <xf numFmtId="171" fontId="27" fillId="4" borderId="0" xfId="8" applyNumberFormat="1">
      <alignment horizontal="left" vertical="center"/>
    </xf>
    <xf numFmtId="49" fontId="0" fillId="0" borderId="0" xfId="14" applyNumberFormat="1" applyFont="1" applyBorder="1">
      <alignment horizontal="center" vertical="center"/>
    </xf>
    <xf numFmtId="0" fontId="3" fillId="12" borderId="17" xfId="15" applyBorder="1">
      <alignment horizontal="center" vertical="center"/>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6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numFmt numFmtId="170" formatCode="[$-F800]dddd\,\ mmmm\ dd\,\ yyyy"/>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7"/>
      <tableStyleElement type="headerRow" dxfId="66"/>
      <tableStyleElement type="totalRow" dxfId="65"/>
      <tableStyleElement type="firstColumn" dxfId="64"/>
      <tableStyleElement type="firstRowStripe" dxfId="63"/>
      <tableStyleElement type="secondRowStripe" dxfId="62"/>
    </tableStyle>
    <tableStyle name="Equation table" pivot="0" count="6" xr9:uid="{B247698E-E41D-4CCD-AA0A-C14817E9DE65}">
      <tableStyleElement type="wholeTable" dxfId="61"/>
      <tableStyleElement type="headerRow" dxfId="60"/>
      <tableStyleElement type="totalRow" dxfId="59"/>
      <tableStyleElement type="firstColumn" dxfId="58"/>
      <tableStyleElement type="firstRowStripe" dxfId="57"/>
      <tableStyleElement type="secondRowStripe" dxfId="56"/>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2"/>
              </a:solidFill>
              <a:ln w="19050">
                <a:solidFill>
                  <a:schemeClr val="lt1"/>
                </a:solidFill>
              </a:ln>
              <a:effectLst/>
            </c:spPr>
            <c:extLst>
              <c:ext xmlns:c16="http://schemas.microsoft.com/office/drawing/2014/chart" uri="{C3380CC4-5D6E-409C-BE32-E72D297353CC}">
                <c16:uniqueId val="{00000000-227B-45F3-B52E-695A15E52E19}"/>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1-227B-45F3-B52E-695A15E52E19}"/>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02-227B-45F3-B52E-695A15E52E19}"/>
              </c:ext>
            </c:extLst>
          </c:dPt>
          <c:dPt>
            <c:idx val="3"/>
            <c:bubble3D val="0"/>
            <c:spPr>
              <a:solidFill>
                <a:schemeClr val="accent5"/>
              </a:solidFill>
              <a:ln w="19050">
                <a:solidFill>
                  <a:schemeClr val="lt1"/>
                </a:solidFill>
              </a:ln>
              <a:effectLst/>
            </c:spPr>
            <c:extLst>
              <c:ext xmlns:c16="http://schemas.microsoft.com/office/drawing/2014/chart" uri="{C3380CC4-5D6E-409C-BE32-E72D297353CC}">
                <c16:uniqueId val="{00000003-227B-45F3-B52E-695A15E52E19}"/>
              </c:ext>
            </c:extLst>
          </c:dPt>
          <c:dPt>
            <c:idx val="4"/>
            <c:bubble3D val="0"/>
            <c:spPr>
              <a:solidFill>
                <a:schemeClr val="accent6"/>
              </a:solidFill>
              <a:ln w="19050">
                <a:solidFill>
                  <a:schemeClr val="lt1"/>
                </a:solidFill>
              </a:ln>
              <a:effectLst/>
            </c:spPr>
            <c:extLst>
              <c:ext xmlns:c16="http://schemas.microsoft.com/office/drawing/2014/chart" uri="{C3380CC4-5D6E-409C-BE32-E72D297353CC}">
                <c16:uniqueId val="{00000004-227B-45F3-B52E-695A15E52E19}"/>
              </c:ext>
            </c:extLst>
          </c:dPt>
          <c:dPt>
            <c:idx val="5"/>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5-227B-45F3-B52E-695A15E52E19}"/>
              </c:ext>
            </c:extLst>
          </c:dPt>
          <c:dPt>
            <c:idx val="6"/>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6-227B-45F3-B52E-695A15E52E19}"/>
              </c:ext>
            </c:extLst>
          </c:dPt>
          <c:dPt>
            <c:idx val="7"/>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7-227B-45F3-B52E-695A15E52E19}"/>
              </c:ext>
            </c:extLst>
          </c:dPt>
          <c:dPt>
            <c:idx val="8"/>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8-227B-45F3-B52E-695A15E52E19}"/>
              </c:ext>
            </c:extLst>
          </c:dPt>
          <c:dPt>
            <c:idx val="9"/>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9-227B-45F3-B52E-695A15E52E19}"/>
              </c:ext>
            </c:extLst>
          </c:dPt>
          <c:dPt>
            <c:idx val="10"/>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A-227B-45F3-B52E-695A15E52E19}"/>
              </c:ext>
            </c:extLst>
          </c:dPt>
          <c:dPt>
            <c:idx val="11"/>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0B-227B-45F3-B52E-695A15E52E19}"/>
              </c:ext>
            </c:extLst>
          </c:dPt>
          <c:dPt>
            <c:idx val="12"/>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0C-227B-45F3-B52E-695A15E52E19}"/>
              </c:ext>
            </c:extLst>
          </c:dPt>
          <c:dPt>
            <c:idx val="13"/>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0D-227B-45F3-B52E-695A15E52E19}"/>
              </c:ext>
            </c:extLst>
          </c:dPt>
          <c:dPt>
            <c:idx val="14"/>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0E-227B-45F3-B52E-695A15E52E19}"/>
              </c:ext>
            </c:extLst>
          </c:dPt>
          <c:dPt>
            <c:idx val="15"/>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0F-227B-45F3-B52E-695A15E52E19}"/>
              </c:ext>
            </c:extLst>
          </c:dPt>
          <c:dPt>
            <c:idx val="16"/>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10-227B-45F3-B52E-695A15E52E19}"/>
              </c:ext>
            </c:extLst>
          </c:dPt>
          <c:dPt>
            <c:idx val="17"/>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11-227B-45F3-B52E-695A15E52E19}"/>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5-649C-4B5B-BB6E-AD84E28C25F1}"/>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7-649C-4B5B-BB6E-AD84E28C25F1}"/>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9-649C-4B5B-BB6E-AD84E28C25F1}"/>
              </c:ext>
            </c:extLst>
          </c:dPt>
          <c:dPt>
            <c:idx val="3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B-649C-4B5B-BB6E-AD84E28C25F1}"/>
              </c:ext>
            </c:extLst>
          </c:dPt>
          <c:cat>
            <c:strRef>
              <c:f>'Results - Activity period'!$D$10:$D$42</c:f>
              <c:strCache>
                <c:ptCount val="33"/>
                <c:pt idx="0">
                  <c:v>3.3.1.1-2 Enteric methane</c:v>
                </c:pt>
                <c:pt idx="1">
                  <c:v>4.3.1.1-2 Manure methane</c:v>
                </c:pt>
                <c:pt idx="2">
                  <c:v>4.3.1.3-4 Manure direct N2O</c:v>
                </c:pt>
                <c:pt idx="3">
                  <c:v>4.3.1.5 Manure atmospheric deposition</c:v>
                </c:pt>
                <c:pt idx="4">
                  <c:v>4.3.1.6-7 Manure leaching and runoff</c:v>
                </c:pt>
                <c:pt idx="5">
                  <c:v>4.3.1.9 Soil direct N2O</c:v>
                </c:pt>
                <c:pt idx="6">
                  <c:v>4.3.1.10-11 Soil atmospheric deposition</c:v>
                </c:pt>
                <c:pt idx="7">
                  <c:v>4.3.1.12-13 Soil leaching and runoff</c:v>
                </c:pt>
                <c:pt idx="8">
                  <c:v>5.1.1.1-2 Inorganic fert N2O</c:v>
                </c:pt>
                <c:pt idx="9">
                  <c:v>5.1.1.3-4 Inorganic fert CO2</c:v>
                </c:pt>
                <c:pt idx="10">
                  <c:v>5.2.1.1-2 Organic fert N2O</c:v>
                </c:pt>
                <c:pt idx="11">
                  <c:v>5.3.1.1-2 Lime CO2</c:v>
                </c:pt>
                <c:pt idx="12">
                  <c:v>5.4.1.1-4 Atmos. deposition</c:v>
                </c:pt>
                <c:pt idx="13">
                  <c:v>5.5.1.1-2 Leaching &amp; runoff</c:v>
                </c:pt>
                <c:pt idx="14">
                  <c:v>6.2.1.1-2 Pasture residue N2O</c:v>
                </c:pt>
                <c:pt idx="15">
                  <c:v>6.3.1.1-2 Leach &amp; runoff (pasture)</c:v>
                </c:pt>
                <c:pt idx="16">
                  <c:v>8.1.1.1-2 Transport fuel CO2</c:v>
                </c:pt>
                <c:pt idx="17">
                  <c:v>8.1.1.1-2 Transport fuel CH4</c:v>
                </c:pt>
                <c:pt idx="18">
                  <c:v>8.1.1.1-2 Transport fuel N2O</c:v>
                </c:pt>
                <c:pt idx="19">
                  <c:v>8.2.1.1-2 Stationary fuel CO2</c:v>
                </c:pt>
                <c:pt idx="20">
                  <c:v>8.2.1.1-2 Stationary fuel CH4</c:v>
                </c:pt>
                <c:pt idx="21">
                  <c:v>8.2.1.1-2 Stationary fuel N2O</c:v>
                </c:pt>
                <c:pt idx="22">
                  <c:v>9.1.1.1-2 Refrigerant leakage - Gas 1</c:v>
                </c:pt>
                <c:pt idx="23">
                  <c:v>9.1.1.1-2 Refrigerant leakage - Gas 2</c:v>
                </c:pt>
                <c:pt idx="24">
                  <c:v>9.1.1.1-2 Refrigerant leakage - Gas 3</c:v>
                </c:pt>
                <c:pt idx="25">
                  <c:v>9.1.1.1-2 Refrigerant leakage - Gas 4</c:v>
                </c:pt>
                <c:pt idx="26">
                  <c:v>9.1.1.1-2 Refrigerant leakage - Gas 5</c:v>
                </c:pt>
                <c:pt idx="27">
                  <c:v>9.1.1.1-2 Refrigerant leakage - Gas 6</c:v>
                </c:pt>
                <c:pt idx="28">
                  <c:v>9.1.1.1-2 Refrigerant leakage - Gas 7</c:v>
                </c:pt>
                <c:pt idx="29">
                  <c:v>9.1.1.1-2 Refrigerant leakage - Gas 8</c:v>
                </c:pt>
                <c:pt idx="30">
                  <c:v>9.1.1.1-2 Refrigerant leakage - Gas 9</c:v>
                </c:pt>
                <c:pt idx="31">
                  <c:v>9.1.1.1-2 Refrigerant leakage - Gas 10</c:v>
                </c:pt>
                <c:pt idx="32">
                  <c:v>10.1.1-2 Solid waste treatment</c:v>
                </c:pt>
              </c:strCache>
            </c:strRef>
          </c:cat>
          <c:val>
            <c:numRef>
              <c:f>'Results - Activity period'!$I$10:$I$42</c:f>
              <c:numCache>
                <c:formatCode>General</c:formatCode>
                <c:ptCount val="3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numCache>
            </c:numRef>
          </c:val>
          <c:extLst>
            <c:ext xmlns:c16="http://schemas.microsoft.com/office/drawing/2014/chart" uri="{C3380CC4-5D6E-409C-BE32-E72D297353CC}">
              <c16:uniqueId val="{00000013-227B-45F3-B52E-695A15E52E19}"/>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period'!$D$55:$D$70</c:f>
              <c:strCache>
                <c:ptCount val="16"/>
                <c:pt idx="0">
                  <c:v>15.1.1.1 Purchased livestock</c:v>
                </c:pt>
                <c:pt idx="1">
                  <c:v>15.2.1.1 Purchased feed</c:v>
                </c:pt>
                <c:pt idx="2">
                  <c:v>15.3.1.1 Mineral supplements</c:v>
                </c:pt>
                <c:pt idx="3">
                  <c:v>15.4.1.1 Fertiliser</c:v>
                </c:pt>
                <c:pt idx="4">
                  <c:v>15.5.1.1 Agrichemicals</c:v>
                </c:pt>
                <c:pt idx="5">
                  <c:v>15.6.1.1 Lime</c:v>
                </c:pt>
                <c:pt idx="6">
                  <c:v>15.7.1.1 Services and contractor operations</c:v>
                </c:pt>
                <c:pt idx="7">
                  <c:v>15.10.1.1 Other: Cleaning chemicals</c:v>
                </c:pt>
                <c:pt idx="8">
                  <c:v>15.10.1.1 Other: Pharmacy chemicals</c:v>
                </c:pt>
                <c:pt idx="9">
                  <c:v>15.10.1.1 Other: Miscellaneous</c:v>
                </c:pt>
                <c:pt idx="10">
                  <c:v>15.10.1.1 Other: Uncategorised</c:v>
                </c:pt>
                <c:pt idx="11">
                  <c:v>15.11.1.1 Fuel</c:v>
                </c:pt>
                <c:pt idx="12">
                  <c:v>#NAME?</c:v>
                </c:pt>
                <c:pt idx="13">
                  <c:v>15.14.1.1 Incoming freight</c:v>
                </c:pt>
                <c:pt idx="14">
                  <c:v>15.13.1.1 Waste sent to treatment facility</c:v>
                </c:pt>
                <c:pt idx="15">
                  <c:v>15.14.1.1 Outgoing freight</c:v>
                </c:pt>
              </c:strCache>
            </c:strRef>
          </c:cat>
          <c:val>
            <c:numRef>
              <c:f>'Results - Activity period'!$I$55:$I$70</c:f>
              <c:numCache>
                <c:formatCode>General</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0-0F29-4E9C-9E7F-06D3C7CB3D31}"/>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chart" Target="../charts/chart3.xml"/><Relationship Id="rId5" Type="http://schemas.openxmlformats.org/officeDocument/2006/relationships/image" Target="../media/image4.png"/><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11</xdr:col>
      <xdr:colOff>571500</xdr:colOff>
      <xdr:row>8</xdr:row>
      <xdr:rowOff>85725</xdr:rowOff>
    </xdr:from>
    <xdr:to>
      <xdr:col>15</xdr:col>
      <xdr:colOff>1600201</xdr:colOff>
      <xdr:row>40</xdr:row>
      <xdr:rowOff>171450</xdr:rowOff>
    </xdr:to>
    <xdr:graphicFrame macro="">
      <xdr:nvGraphicFramePr>
        <xdr:cNvPr id="2" name="Chart 1">
          <a:extLst>
            <a:ext uri="{FF2B5EF4-FFF2-40B4-BE49-F238E27FC236}">
              <a16:creationId xmlns:a16="http://schemas.microsoft.com/office/drawing/2014/main" id="{ED53CDE4-3247-4C93-861E-E7CBBFACFB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400050</xdr:colOff>
      <xdr:row>54</xdr:row>
      <xdr:rowOff>57150</xdr:rowOff>
    </xdr:from>
    <xdr:to>
      <xdr:col>15</xdr:col>
      <xdr:colOff>1428751</xdr:colOff>
      <xdr:row>76</xdr:row>
      <xdr:rowOff>38100</xdr:rowOff>
    </xdr:to>
    <xdr:graphicFrame macro="">
      <xdr:nvGraphicFramePr>
        <xdr:cNvPr id="3" name="Chart 2">
          <a:extLst>
            <a:ext uri="{FF2B5EF4-FFF2-40B4-BE49-F238E27FC236}">
              <a16:creationId xmlns:a16="http://schemas.microsoft.com/office/drawing/2014/main" id="{FC666EB7-C8F0-4B4B-B0CA-6959176D0F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44</xdr:row>
      <xdr:rowOff>200025</xdr:rowOff>
    </xdr:from>
    <xdr:to>
      <xdr:col>9</xdr:col>
      <xdr:colOff>1443037</xdr:colOff>
      <xdr:row>56</xdr:row>
      <xdr:rowOff>85725</xdr:rowOff>
    </xdr:to>
    <xdr:graphicFrame macro="">
      <xdr:nvGraphicFramePr>
        <xdr:cNvPr id="2" name="Chart 1">
          <a:extLst>
            <a:ext uri="{FF2B5EF4-FFF2-40B4-BE49-F238E27FC236}">
              <a16:creationId xmlns:a16="http://schemas.microsoft.com/office/drawing/2014/main" id="{BE232CA8-6F05-4062-8274-F6BE831232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14</xdr:row>
      <xdr:rowOff>71157</xdr:rowOff>
    </xdr:from>
    <xdr:to>
      <xdr:col>3</xdr:col>
      <xdr:colOff>1875865</xdr:colOff>
      <xdr:row>16</xdr:row>
      <xdr:rowOff>144555</xdr:rowOff>
    </xdr:to>
    <xdr:sp macro="" textlink="$H$44">
      <xdr:nvSpPr>
        <xdr:cNvPr id="3" name="TextBox 2">
          <a:extLst>
            <a:ext uri="{FF2B5EF4-FFF2-40B4-BE49-F238E27FC236}">
              <a16:creationId xmlns:a16="http://schemas.microsoft.com/office/drawing/2014/main" id="{78B0D3CB-BA4C-49D2-8AB5-FDA06BCA1A89}"/>
            </a:ext>
          </a:extLst>
        </xdr:cNvPr>
        <xdr:cNvSpPr txBox="1"/>
      </xdr:nvSpPr>
      <xdr:spPr>
        <a:xfrm>
          <a:off x="2686050" y="2995332"/>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496CA75-FED4-4E21-A81D-BDC20736B7B5}"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5</xdr:col>
      <xdr:colOff>180414</xdr:colOff>
      <xdr:row>14</xdr:row>
      <xdr:rowOff>42582</xdr:rowOff>
    </xdr:from>
    <xdr:to>
      <xdr:col>6</xdr:col>
      <xdr:colOff>43141</xdr:colOff>
      <xdr:row>16</xdr:row>
      <xdr:rowOff>144555</xdr:rowOff>
    </xdr:to>
    <xdr:sp macro="" textlink="$I$44">
      <xdr:nvSpPr>
        <xdr:cNvPr id="4" name="TextBox 3">
          <a:extLst>
            <a:ext uri="{FF2B5EF4-FFF2-40B4-BE49-F238E27FC236}">
              <a16:creationId xmlns:a16="http://schemas.microsoft.com/office/drawing/2014/main" id="{B79AC6DC-1203-4AF1-A412-AEE4BCC48FBC}"/>
            </a:ext>
          </a:extLst>
        </xdr:cNvPr>
        <xdr:cNvSpPr txBox="1"/>
      </xdr:nvSpPr>
      <xdr:spPr>
        <a:xfrm>
          <a:off x="8352864"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A778010-8EF6-4986-9F7A-ED1F5F66D6A5}"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3</xdr:col>
      <xdr:colOff>9525</xdr:colOff>
      <xdr:row>25</xdr:row>
      <xdr:rowOff>155762</xdr:rowOff>
    </xdr:from>
    <xdr:to>
      <xdr:col>3</xdr:col>
      <xdr:colOff>1961590</xdr:colOff>
      <xdr:row>28</xdr:row>
      <xdr:rowOff>108696</xdr:rowOff>
    </xdr:to>
    <xdr:sp macro="" textlink="$H$54">
      <xdr:nvSpPr>
        <xdr:cNvPr id="5" name="TextBox 4">
          <a:extLst>
            <a:ext uri="{FF2B5EF4-FFF2-40B4-BE49-F238E27FC236}">
              <a16:creationId xmlns:a16="http://schemas.microsoft.com/office/drawing/2014/main" id="{8606D01F-4738-4521-B74D-63263D45F688}"/>
            </a:ext>
          </a:extLst>
        </xdr:cNvPr>
        <xdr:cNvSpPr txBox="1"/>
      </xdr:nvSpPr>
      <xdr:spPr>
        <a:xfrm>
          <a:off x="2686050" y="5280212"/>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DC837A9-60D0-4FEE-9D60-F5F33C8747DB}"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5</xdr:col>
      <xdr:colOff>180414</xdr:colOff>
      <xdr:row>25</xdr:row>
      <xdr:rowOff>184337</xdr:rowOff>
    </xdr:from>
    <xdr:to>
      <xdr:col>6</xdr:col>
      <xdr:colOff>109816</xdr:colOff>
      <xdr:row>28</xdr:row>
      <xdr:rowOff>89646</xdr:rowOff>
    </xdr:to>
    <xdr:sp macro="" textlink="$I$54">
      <xdr:nvSpPr>
        <xdr:cNvPr id="6" name="TextBox 5">
          <a:extLst>
            <a:ext uri="{FF2B5EF4-FFF2-40B4-BE49-F238E27FC236}">
              <a16:creationId xmlns:a16="http://schemas.microsoft.com/office/drawing/2014/main" id="{4E5E4FC2-3E1B-409E-9125-222B728CB256}"/>
            </a:ext>
          </a:extLst>
        </xdr:cNvPr>
        <xdr:cNvSpPr txBox="1"/>
      </xdr:nvSpPr>
      <xdr:spPr>
        <a:xfrm>
          <a:off x="8352864"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C4261C-1106-48B4-9C10-E82D60412011}"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3</xdr:col>
      <xdr:colOff>2352115</xdr:colOff>
      <xdr:row>14</xdr:row>
      <xdr:rowOff>42582</xdr:rowOff>
    </xdr:from>
    <xdr:to>
      <xdr:col>4</xdr:col>
      <xdr:colOff>1256740</xdr:colOff>
      <xdr:row>16</xdr:row>
      <xdr:rowOff>154080</xdr:rowOff>
    </xdr:to>
    <xdr:sp macro="" textlink="$H$45">
      <xdr:nvSpPr>
        <xdr:cNvPr id="7" name="TextBox 6">
          <a:extLst>
            <a:ext uri="{FF2B5EF4-FFF2-40B4-BE49-F238E27FC236}">
              <a16:creationId xmlns:a16="http://schemas.microsoft.com/office/drawing/2014/main" id="{C4E923B1-3F7C-4408-AD1D-A000198E4E7D}"/>
            </a:ext>
          </a:extLst>
        </xdr:cNvPr>
        <xdr:cNvSpPr txBox="1"/>
      </xdr:nvSpPr>
      <xdr:spPr>
        <a:xfrm>
          <a:off x="5028640" y="3643032"/>
          <a:ext cx="2486025" cy="606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E965B10-5BD0-44CC-8118-41596A6F15E2}"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6</xdr:col>
      <xdr:colOff>617444</xdr:colOff>
      <xdr:row>14</xdr:row>
      <xdr:rowOff>61632</xdr:rowOff>
    </xdr:from>
    <xdr:to>
      <xdr:col>7</xdr:col>
      <xdr:colOff>477371</xdr:colOff>
      <xdr:row>16</xdr:row>
      <xdr:rowOff>144555</xdr:rowOff>
    </xdr:to>
    <xdr:sp macro="" textlink="$I$45">
      <xdr:nvSpPr>
        <xdr:cNvPr id="8" name="TextBox 7">
          <a:extLst>
            <a:ext uri="{FF2B5EF4-FFF2-40B4-BE49-F238E27FC236}">
              <a16:creationId xmlns:a16="http://schemas.microsoft.com/office/drawing/2014/main" id="{3A3C8740-AD3E-4747-B1C2-090EFB174033}"/>
            </a:ext>
          </a:extLst>
        </xdr:cNvPr>
        <xdr:cNvSpPr txBox="1"/>
      </xdr:nvSpPr>
      <xdr:spPr>
        <a:xfrm>
          <a:off x="10837769" y="2985807"/>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04D704D-8D75-4B25-B661-1CD4BF80A14D}"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3</xdr:col>
      <xdr:colOff>9525</xdr:colOff>
      <xdr:row>12</xdr:row>
      <xdr:rowOff>150158</xdr:rowOff>
    </xdr:from>
    <xdr:to>
      <xdr:col>3</xdr:col>
      <xdr:colOff>1542490</xdr:colOff>
      <xdr:row>14</xdr:row>
      <xdr:rowOff>33056</xdr:rowOff>
    </xdr:to>
    <xdr:sp macro="" textlink="$J$44">
      <xdr:nvSpPr>
        <xdr:cNvPr id="9" name="TextBox 8">
          <a:extLst>
            <a:ext uri="{FF2B5EF4-FFF2-40B4-BE49-F238E27FC236}">
              <a16:creationId xmlns:a16="http://schemas.microsoft.com/office/drawing/2014/main" id="{8D698C23-A440-44D6-A7A6-A5156D304D67}"/>
            </a:ext>
          </a:extLst>
        </xdr:cNvPr>
        <xdr:cNvSpPr txBox="1"/>
      </xdr:nvSpPr>
      <xdr:spPr>
        <a:xfrm>
          <a:off x="2686050" y="2674283"/>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3</xdr:col>
      <xdr:colOff>2333065</xdr:colOff>
      <xdr:row>12</xdr:row>
      <xdr:rowOff>150158</xdr:rowOff>
    </xdr:from>
    <xdr:to>
      <xdr:col>4</xdr:col>
      <xdr:colOff>1457243</xdr:colOff>
      <xdr:row>14</xdr:row>
      <xdr:rowOff>33056</xdr:rowOff>
    </xdr:to>
    <xdr:sp macro="" textlink="$J$44">
      <xdr:nvSpPr>
        <xdr:cNvPr id="10" name="TextBox 9">
          <a:extLst>
            <a:ext uri="{FF2B5EF4-FFF2-40B4-BE49-F238E27FC236}">
              <a16:creationId xmlns:a16="http://schemas.microsoft.com/office/drawing/2014/main" id="{F98F9FF4-5CB1-42A3-B4EF-6EFDBA9EDACF}"/>
            </a:ext>
          </a:extLst>
        </xdr:cNvPr>
        <xdr:cNvSpPr txBox="1"/>
      </xdr:nvSpPr>
      <xdr:spPr>
        <a:xfrm>
          <a:off x="5009590" y="2674283"/>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3</xdr:col>
      <xdr:colOff>9525</xdr:colOff>
      <xdr:row>10</xdr:row>
      <xdr:rowOff>172010</xdr:rowOff>
    </xdr:from>
    <xdr:to>
      <xdr:col>3</xdr:col>
      <xdr:colOff>1542490</xdr:colOff>
      <xdr:row>12</xdr:row>
      <xdr:rowOff>54907</xdr:rowOff>
    </xdr:to>
    <xdr:sp macro="" textlink="$J$44">
      <xdr:nvSpPr>
        <xdr:cNvPr id="11" name="TextBox 10">
          <a:extLst>
            <a:ext uri="{FF2B5EF4-FFF2-40B4-BE49-F238E27FC236}">
              <a16:creationId xmlns:a16="http://schemas.microsoft.com/office/drawing/2014/main" id="{A8F458F7-D36B-4180-9607-A56BBD8611B7}"/>
            </a:ext>
          </a:extLst>
        </xdr:cNvPr>
        <xdr:cNvSpPr txBox="1"/>
      </xdr:nvSpPr>
      <xdr:spPr>
        <a:xfrm>
          <a:off x="2686050" y="2296085"/>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3</xdr:col>
      <xdr:colOff>47625</xdr:colOff>
      <xdr:row>8</xdr:row>
      <xdr:rowOff>174812</xdr:rowOff>
    </xdr:from>
    <xdr:to>
      <xdr:col>3</xdr:col>
      <xdr:colOff>2228290</xdr:colOff>
      <xdr:row>10</xdr:row>
      <xdr:rowOff>143435</xdr:rowOff>
    </xdr:to>
    <xdr:sp macro="" textlink="">
      <xdr:nvSpPr>
        <xdr:cNvPr id="12" name="TextBox 11">
          <a:extLst>
            <a:ext uri="{FF2B5EF4-FFF2-40B4-BE49-F238E27FC236}">
              <a16:creationId xmlns:a16="http://schemas.microsoft.com/office/drawing/2014/main" id="{2D565D1A-AD43-488B-AD2B-4750EF75FBFF}"/>
            </a:ext>
          </a:extLst>
        </xdr:cNvPr>
        <xdr:cNvSpPr txBox="1"/>
      </xdr:nvSpPr>
      <xdr:spPr>
        <a:xfrm>
          <a:off x="2724150" y="1898837"/>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3</xdr:col>
      <xdr:colOff>57150</xdr:colOff>
      <xdr:row>10</xdr:row>
      <xdr:rowOff>147552</xdr:rowOff>
    </xdr:from>
    <xdr:to>
      <xdr:col>7</xdr:col>
      <xdr:colOff>949698</xdr:colOff>
      <xdr:row>10</xdr:row>
      <xdr:rowOff>162485</xdr:rowOff>
    </xdr:to>
    <xdr:cxnSp macro="">
      <xdr:nvCxnSpPr>
        <xdr:cNvPr id="13" name="Straight Connector 12">
          <a:extLst>
            <a:ext uri="{FF2B5EF4-FFF2-40B4-BE49-F238E27FC236}">
              <a16:creationId xmlns:a16="http://schemas.microsoft.com/office/drawing/2014/main" id="{0D9F4D46-A489-4DC2-A877-89E77C038142}"/>
            </a:ext>
          </a:extLst>
        </xdr:cNvPr>
        <xdr:cNvCxnSpPr/>
      </xdr:nvCxnSpPr>
      <xdr:spPr>
        <a:xfrm flipV="1">
          <a:off x="2733675" y="2271627"/>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150158</xdr:rowOff>
    </xdr:from>
    <xdr:to>
      <xdr:col>5</xdr:col>
      <xdr:colOff>1719541</xdr:colOff>
      <xdr:row>14</xdr:row>
      <xdr:rowOff>33056</xdr:rowOff>
    </xdr:to>
    <xdr:sp macro="" textlink="$J$44">
      <xdr:nvSpPr>
        <xdr:cNvPr id="14" name="TextBox 13">
          <a:extLst>
            <a:ext uri="{FF2B5EF4-FFF2-40B4-BE49-F238E27FC236}">
              <a16:creationId xmlns:a16="http://schemas.microsoft.com/office/drawing/2014/main" id="{664EA25F-A54A-41DB-B5EE-347FFC975000}"/>
            </a:ext>
          </a:extLst>
        </xdr:cNvPr>
        <xdr:cNvSpPr txBox="1"/>
      </xdr:nvSpPr>
      <xdr:spPr>
        <a:xfrm>
          <a:off x="8352864"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6</xdr:col>
      <xdr:colOff>617444</xdr:colOff>
      <xdr:row>12</xdr:row>
      <xdr:rowOff>150158</xdr:rowOff>
    </xdr:from>
    <xdr:to>
      <xdr:col>7</xdr:col>
      <xdr:colOff>1150201</xdr:colOff>
      <xdr:row>14</xdr:row>
      <xdr:rowOff>33056</xdr:rowOff>
    </xdr:to>
    <xdr:sp macro="" textlink="$J$44">
      <xdr:nvSpPr>
        <xdr:cNvPr id="15" name="TextBox 14">
          <a:extLst>
            <a:ext uri="{FF2B5EF4-FFF2-40B4-BE49-F238E27FC236}">
              <a16:creationId xmlns:a16="http://schemas.microsoft.com/office/drawing/2014/main" id="{D1330543-EAA9-429E-96B9-1D38E776272C}"/>
            </a:ext>
          </a:extLst>
        </xdr:cNvPr>
        <xdr:cNvSpPr txBox="1"/>
      </xdr:nvSpPr>
      <xdr:spPr>
        <a:xfrm>
          <a:off x="10837769" y="2674283"/>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5</xdr:col>
      <xdr:colOff>180414</xdr:colOff>
      <xdr:row>10</xdr:row>
      <xdr:rowOff>172010</xdr:rowOff>
    </xdr:from>
    <xdr:to>
      <xdr:col>5</xdr:col>
      <xdr:colOff>1719541</xdr:colOff>
      <xdr:row>12</xdr:row>
      <xdr:rowOff>54907</xdr:rowOff>
    </xdr:to>
    <xdr:sp macro="" textlink="$J$44">
      <xdr:nvSpPr>
        <xdr:cNvPr id="16" name="TextBox 15">
          <a:extLst>
            <a:ext uri="{FF2B5EF4-FFF2-40B4-BE49-F238E27FC236}">
              <a16:creationId xmlns:a16="http://schemas.microsoft.com/office/drawing/2014/main" id="{40D8909C-9A30-4D51-AE86-D78FECC4CCD5}"/>
            </a:ext>
          </a:extLst>
        </xdr:cNvPr>
        <xdr:cNvSpPr txBox="1"/>
      </xdr:nvSpPr>
      <xdr:spPr>
        <a:xfrm>
          <a:off x="8352864"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3</xdr:col>
      <xdr:colOff>9525</xdr:colOff>
      <xdr:row>12</xdr:row>
      <xdr:rowOff>73958</xdr:rowOff>
    </xdr:from>
    <xdr:to>
      <xdr:col>4</xdr:col>
      <xdr:colOff>1428190</xdr:colOff>
      <xdr:row>12</xdr:row>
      <xdr:rowOff>73958</xdr:rowOff>
    </xdr:to>
    <xdr:cxnSp macro="">
      <xdr:nvCxnSpPr>
        <xdr:cNvPr id="17" name="Straight Connector 16">
          <a:extLst>
            <a:ext uri="{FF2B5EF4-FFF2-40B4-BE49-F238E27FC236}">
              <a16:creationId xmlns:a16="http://schemas.microsoft.com/office/drawing/2014/main" id="{2906587F-0EE4-4B86-B4AC-EDFECE39F252}"/>
            </a:ext>
          </a:extLst>
        </xdr:cNvPr>
        <xdr:cNvCxnSpPr/>
      </xdr:nvCxnSpPr>
      <xdr:spPr>
        <a:xfrm>
          <a:off x="2686050" y="2598083"/>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73958</xdr:rowOff>
    </xdr:from>
    <xdr:to>
      <xdr:col>7</xdr:col>
      <xdr:colOff>968747</xdr:colOff>
      <xdr:row>12</xdr:row>
      <xdr:rowOff>73958</xdr:rowOff>
    </xdr:to>
    <xdr:cxnSp macro="">
      <xdr:nvCxnSpPr>
        <xdr:cNvPr id="18" name="Straight Connector 17">
          <a:extLst>
            <a:ext uri="{FF2B5EF4-FFF2-40B4-BE49-F238E27FC236}">
              <a16:creationId xmlns:a16="http://schemas.microsoft.com/office/drawing/2014/main" id="{D58C6125-361D-422A-8EDB-F0E2CECD4B9E}"/>
            </a:ext>
          </a:extLst>
        </xdr:cNvPr>
        <xdr:cNvCxnSpPr/>
      </xdr:nvCxnSpPr>
      <xdr:spPr>
        <a:xfrm>
          <a:off x="8352864" y="2598083"/>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xdr:colOff>
      <xdr:row>24</xdr:row>
      <xdr:rowOff>45944</xdr:rowOff>
    </xdr:from>
    <xdr:to>
      <xdr:col>3</xdr:col>
      <xdr:colOff>1542490</xdr:colOff>
      <xdr:row>25</xdr:row>
      <xdr:rowOff>127186</xdr:rowOff>
    </xdr:to>
    <xdr:sp macro="" textlink="$J$44">
      <xdr:nvSpPr>
        <xdr:cNvPr id="19" name="TextBox 18">
          <a:extLst>
            <a:ext uri="{FF2B5EF4-FFF2-40B4-BE49-F238E27FC236}">
              <a16:creationId xmlns:a16="http://schemas.microsoft.com/office/drawing/2014/main" id="{03DA92B1-C429-48F4-9458-6C91E93C5E37}"/>
            </a:ext>
          </a:extLst>
        </xdr:cNvPr>
        <xdr:cNvSpPr txBox="1"/>
      </xdr:nvSpPr>
      <xdr:spPr>
        <a:xfrm>
          <a:off x="2686050" y="4970369"/>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3</xdr:col>
      <xdr:colOff>2418312</xdr:colOff>
      <xdr:row>24</xdr:row>
      <xdr:rowOff>45944</xdr:rowOff>
    </xdr:from>
    <xdr:to>
      <xdr:col>4</xdr:col>
      <xdr:colOff>1542490</xdr:colOff>
      <xdr:row>25</xdr:row>
      <xdr:rowOff>127186</xdr:rowOff>
    </xdr:to>
    <xdr:sp macro="" textlink="$J$44">
      <xdr:nvSpPr>
        <xdr:cNvPr id="20" name="TextBox 19">
          <a:extLst>
            <a:ext uri="{FF2B5EF4-FFF2-40B4-BE49-F238E27FC236}">
              <a16:creationId xmlns:a16="http://schemas.microsoft.com/office/drawing/2014/main" id="{B6B09905-CB21-4518-9846-CBCE010398FE}"/>
            </a:ext>
          </a:extLst>
        </xdr:cNvPr>
        <xdr:cNvSpPr txBox="1"/>
      </xdr:nvSpPr>
      <xdr:spPr>
        <a:xfrm>
          <a:off x="5094837" y="4970369"/>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3</xdr:col>
      <xdr:colOff>9525</xdr:colOff>
      <xdr:row>22</xdr:row>
      <xdr:rowOff>69476</xdr:rowOff>
    </xdr:from>
    <xdr:to>
      <xdr:col>3</xdr:col>
      <xdr:colOff>1542490</xdr:colOff>
      <xdr:row>23</xdr:row>
      <xdr:rowOff>149037</xdr:rowOff>
    </xdr:to>
    <xdr:sp macro="" textlink="$J$44">
      <xdr:nvSpPr>
        <xdr:cNvPr id="21" name="TextBox 20">
          <a:extLst>
            <a:ext uri="{FF2B5EF4-FFF2-40B4-BE49-F238E27FC236}">
              <a16:creationId xmlns:a16="http://schemas.microsoft.com/office/drawing/2014/main" id="{81A42E93-BE91-4128-BBAA-459E6DA89607}"/>
            </a:ext>
          </a:extLst>
        </xdr:cNvPr>
        <xdr:cNvSpPr txBox="1"/>
      </xdr:nvSpPr>
      <xdr:spPr>
        <a:xfrm>
          <a:off x="2686050" y="4593851"/>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3</xdr:col>
      <xdr:colOff>9525</xdr:colOff>
      <xdr:row>16</xdr:row>
      <xdr:rowOff>49306</xdr:rowOff>
    </xdr:from>
    <xdr:ext cx="1641988" cy="254493"/>
    <xdr:sp macro="" textlink="">
      <xdr:nvSpPr>
        <xdr:cNvPr id="22" name="TextBox 21">
          <a:extLst>
            <a:ext uri="{FF2B5EF4-FFF2-40B4-BE49-F238E27FC236}">
              <a16:creationId xmlns:a16="http://schemas.microsoft.com/office/drawing/2014/main" id="{7845BEA1-E468-4A60-8EB3-46836D53964C}"/>
            </a:ext>
          </a:extLst>
        </xdr:cNvPr>
        <xdr:cNvSpPr txBox="1"/>
      </xdr:nvSpPr>
      <xdr:spPr>
        <a:xfrm>
          <a:off x="2686050"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3</xdr:col>
      <xdr:colOff>47625</xdr:colOff>
      <xdr:row>20</xdr:row>
      <xdr:rowOff>72277</xdr:rowOff>
    </xdr:from>
    <xdr:to>
      <xdr:col>3</xdr:col>
      <xdr:colOff>2228290</xdr:colOff>
      <xdr:row>22</xdr:row>
      <xdr:rowOff>39220</xdr:rowOff>
    </xdr:to>
    <xdr:sp macro="" textlink="">
      <xdr:nvSpPr>
        <xdr:cNvPr id="23" name="TextBox 22">
          <a:extLst>
            <a:ext uri="{FF2B5EF4-FFF2-40B4-BE49-F238E27FC236}">
              <a16:creationId xmlns:a16="http://schemas.microsoft.com/office/drawing/2014/main" id="{8AA9119C-2A3A-4AC0-9558-9CADB28E1D59}"/>
            </a:ext>
          </a:extLst>
        </xdr:cNvPr>
        <xdr:cNvSpPr txBox="1"/>
      </xdr:nvSpPr>
      <xdr:spPr>
        <a:xfrm>
          <a:off x="2724150" y="4196602"/>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3</xdr:col>
      <xdr:colOff>57150</xdr:colOff>
      <xdr:row>22</xdr:row>
      <xdr:rowOff>43269</xdr:rowOff>
    </xdr:from>
    <xdr:to>
      <xdr:col>7</xdr:col>
      <xdr:colOff>997323</xdr:colOff>
      <xdr:row>22</xdr:row>
      <xdr:rowOff>59951</xdr:rowOff>
    </xdr:to>
    <xdr:cxnSp macro="">
      <xdr:nvCxnSpPr>
        <xdr:cNvPr id="24" name="Straight Connector 23">
          <a:extLst>
            <a:ext uri="{FF2B5EF4-FFF2-40B4-BE49-F238E27FC236}">
              <a16:creationId xmlns:a16="http://schemas.microsoft.com/office/drawing/2014/main" id="{8D64E034-B0D2-4A8E-ADA8-44431DC4E0C5}"/>
            </a:ext>
          </a:extLst>
        </xdr:cNvPr>
        <xdr:cNvCxnSpPr/>
      </xdr:nvCxnSpPr>
      <xdr:spPr>
        <a:xfrm flipV="1">
          <a:off x="2733675" y="4567644"/>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24</xdr:row>
      <xdr:rowOff>45944</xdr:rowOff>
    </xdr:from>
    <xdr:to>
      <xdr:col>5</xdr:col>
      <xdr:colOff>1719541</xdr:colOff>
      <xdr:row>25</xdr:row>
      <xdr:rowOff>127186</xdr:rowOff>
    </xdr:to>
    <xdr:sp macro="" textlink="$J$44">
      <xdr:nvSpPr>
        <xdr:cNvPr id="25" name="TextBox 24">
          <a:extLst>
            <a:ext uri="{FF2B5EF4-FFF2-40B4-BE49-F238E27FC236}">
              <a16:creationId xmlns:a16="http://schemas.microsoft.com/office/drawing/2014/main" id="{35144003-582E-4774-8D3E-CD478B4A4459}"/>
            </a:ext>
          </a:extLst>
        </xdr:cNvPr>
        <xdr:cNvSpPr txBox="1"/>
      </xdr:nvSpPr>
      <xdr:spPr>
        <a:xfrm>
          <a:off x="8352864"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6</xdr:col>
      <xdr:colOff>617444</xdr:colOff>
      <xdr:row>24</xdr:row>
      <xdr:rowOff>45944</xdr:rowOff>
    </xdr:from>
    <xdr:to>
      <xdr:col>7</xdr:col>
      <xdr:colOff>1150201</xdr:colOff>
      <xdr:row>25</xdr:row>
      <xdr:rowOff>127186</xdr:rowOff>
    </xdr:to>
    <xdr:sp macro="" textlink="$J$44">
      <xdr:nvSpPr>
        <xdr:cNvPr id="26" name="TextBox 25">
          <a:extLst>
            <a:ext uri="{FF2B5EF4-FFF2-40B4-BE49-F238E27FC236}">
              <a16:creationId xmlns:a16="http://schemas.microsoft.com/office/drawing/2014/main" id="{22C9F784-E8E8-4377-87AC-2F4B911997E6}"/>
            </a:ext>
          </a:extLst>
        </xdr:cNvPr>
        <xdr:cNvSpPr txBox="1"/>
      </xdr:nvSpPr>
      <xdr:spPr>
        <a:xfrm>
          <a:off x="10837769" y="4970369"/>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5</xdr:col>
      <xdr:colOff>180414</xdr:colOff>
      <xdr:row>22</xdr:row>
      <xdr:rowOff>69476</xdr:rowOff>
    </xdr:from>
    <xdr:to>
      <xdr:col>5</xdr:col>
      <xdr:colOff>1719541</xdr:colOff>
      <xdr:row>23</xdr:row>
      <xdr:rowOff>149037</xdr:rowOff>
    </xdr:to>
    <xdr:sp macro="" textlink="$J$44">
      <xdr:nvSpPr>
        <xdr:cNvPr id="27" name="TextBox 26">
          <a:extLst>
            <a:ext uri="{FF2B5EF4-FFF2-40B4-BE49-F238E27FC236}">
              <a16:creationId xmlns:a16="http://schemas.microsoft.com/office/drawing/2014/main" id="{07D7150C-4955-44CD-9F64-B65C25394D35}"/>
            </a:ext>
          </a:extLst>
        </xdr:cNvPr>
        <xdr:cNvSpPr txBox="1"/>
      </xdr:nvSpPr>
      <xdr:spPr>
        <a:xfrm>
          <a:off x="8352864"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3</xdr:col>
      <xdr:colOff>9525</xdr:colOff>
      <xdr:row>23</xdr:row>
      <xdr:rowOff>168088</xdr:rowOff>
    </xdr:from>
    <xdr:to>
      <xdr:col>4</xdr:col>
      <xdr:colOff>1456765</xdr:colOff>
      <xdr:row>23</xdr:row>
      <xdr:rowOff>168088</xdr:rowOff>
    </xdr:to>
    <xdr:cxnSp macro="">
      <xdr:nvCxnSpPr>
        <xdr:cNvPr id="28" name="Straight Connector 27">
          <a:extLst>
            <a:ext uri="{FF2B5EF4-FFF2-40B4-BE49-F238E27FC236}">
              <a16:creationId xmlns:a16="http://schemas.microsoft.com/office/drawing/2014/main" id="{DBF57A93-D5E3-4AD1-84FE-5F5F173F1C47}"/>
            </a:ext>
          </a:extLst>
        </xdr:cNvPr>
        <xdr:cNvCxnSpPr/>
      </xdr:nvCxnSpPr>
      <xdr:spPr>
        <a:xfrm>
          <a:off x="2686050" y="4892488"/>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23</xdr:row>
      <xdr:rowOff>168088</xdr:rowOff>
    </xdr:from>
    <xdr:to>
      <xdr:col>7</xdr:col>
      <xdr:colOff>1006847</xdr:colOff>
      <xdr:row>23</xdr:row>
      <xdr:rowOff>168088</xdr:rowOff>
    </xdr:to>
    <xdr:cxnSp macro="">
      <xdr:nvCxnSpPr>
        <xdr:cNvPr id="29" name="Straight Connector 28">
          <a:extLst>
            <a:ext uri="{FF2B5EF4-FFF2-40B4-BE49-F238E27FC236}">
              <a16:creationId xmlns:a16="http://schemas.microsoft.com/office/drawing/2014/main" id="{9B909584-D1D3-48E3-B164-7CA41F1E8361}"/>
            </a:ext>
          </a:extLst>
        </xdr:cNvPr>
        <xdr:cNvCxnSpPr/>
      </xdr:nvCxnSpPr>
      <xdr:spPr>
        <a:xfrm>
          <a:off x="8352864" y="4892488"/>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2333065</xdr:colOff>
      <xdr:row>16</xdr:row>
      <xdr:rowOff>49306</xdr:rowOff>
    </xdr:from>
    <xdr:ext cx="1641988" cy="254493"/>
    <xdr:sp macro="" textlink="">
      <xdr:nvSpPr>
        <xdr:cNvPr id="30" name="TextBox 29">
          <a:extLst>
            <a:ext uri="{FF2B5EF4-FFF2-40B4-BE49-F238E27FC236}">
              <a16:creationId xmlns:a16="http://schemas.microsoft.com/office/drawing/2014/main" id="{74E84307-1461-4D97-A9BB-C6242587B450}"/>
            </a:ext>
          </a:extLst>
        </xdr:cNvPr>
        <xdr:cNvSpPr txBox="1"/>
      </xdr:nvSpPr>
      <xdr:spPr>
        <a:xfrm>
          <a:off x="5009590"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5</xdr:col>
      <xdr:colOff>180414</xdr:colOff>
      <xdr:row>16</xdr:row>
      <xdr:rowOff>49306</xdr:rowOff>
    </xdr:from>
    <xdr:ext cx="1641988" cy="254493"/>
    <xdr:sp macro="" textlink="">
      <xdr:nvSpPr>
        <xdr:cNvPr id="31" name="TextBox 30">
          <a:extLst>
            <a:ext uri="{FF2B5EF4-FFF2-40B4-BE49-F238E27FC236}">
              <a16:creationId xmlns:a16="http://schemas.microsoft.com/office/drawing/2014/main" id="{B1B70FF3-9F14-49FB-B374-784B2F16D448}"/>
            </a:ext>
          </a:extLst>
        </xdr:cNvPr>
        <xdr:cNvSpPr txBox="1"/>
      </xdr:nvSpPr>
      <xdr:spPr>
        <a:xfrm>
          <a:off x="8486214"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6</xdr:col>
      <xdr:colOff>617444</xdr:colOff>
      <xdr:row>16</xdr:row>
      <xdr:rowOff>49306</xdr:rowOff>
    </xdr:from>
    <xdr:ext cx="1641988" cy="254493"/>
    <xdr:sp macro="" textlink="">
      <xdr:nvSpPr>
        <xdr:cNvPr id="32" name="TextBox 31">
          <a:extLst>
            <a:ext uri="{FF2B5EF4-FFF2-40B4-BE49-F238E27FC236}">
              <a16:creationId xmlns:a16="http://schemas.microsoft.com/office/drawing/2014/main" id="{C245D905-3AF6-4459-AE06-18CCCC382746}"/>
            </a:ext>
          </a:extLst>
        </xdr:cNvPr>
        <xdr:cNvSpPr txBox="1"/>
      </xdr:nvSpPr>
      <xdr:spPr>
        <a:xfrm>
          <a:off x="10971119"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3</xdr:col>
      <xdr:colOff>9525</xdr:colOff>
      <xdr:row>28</xdr:row>
      <xdr:rowOff>38660</xdr:rowOff>
    </xdr:from>
    <xdr:ext cx="1641988" cy="254493"/>
    <xdr:sp macro="" textlink="">
      <xdr:nvSpPr>
        <xdr:cNvPr id="33" name="TextBox 32">
          <a:extLst>
            <a:ext uri="{FF2B5EF4-FFF2-40B4-BE49-F238E27FC236}">
              <a16:creationId xmlns:a16="http://schemas.microsoft.com/office/drawing/2014/main" id="{3F6A1A88-4FA8-4872-8AAB-BA4222F619B3}"/>
            </a:ext>
          </a:extLst>
        </xdr:cNvPr>
        <xdr:cNvSpPr txBox="1"/>
      </xdr:nvSpPr>
      <xdr:spPr>
        <a:xfrm>
          <a:off x="2686050" y="7106210"/>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3</xdr:col>
      <xdr:colOff>2342590</xdr:colOff>
      <xdr:row>28</xdr:row>
      <xdr:rowOff>38660</xdr:rowOff>
    </xdr:from>
    <xdr:ext cx="1641988" cy="254493"/>
    <xdr:sp macro="" textlink="">
      <xdr:nvSpPr>
        <xdr:cNvPr id="34" name="TextBox 33">
          <a:extLst>
            <a:ext uri="{FF2B5EF4-FFF2-40B4-BE49-F238E27FC236}">
              <a16:creationId xmlns:a16="http://schemas.microsoft.com/office/drawing/2014/main" id="{CFF100AC-8D9F-4845-80C9-97ED083ACEB1}"/>
            </a:ext>
          </a:extLst>
        </xdr:cNvPr>
        <xdr:cNvSpPr txBox="1"/>
      </xdr:nvSpPr>
      <xdr:spPr>
        <a:xfrm>
          <a:off x="5019115" y="7106210"/>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5</xdr:col>
      <xdr:colOff>180414</xdr:colOff>
      <xdr:row>28</xdr:row>
      <xdr:rowOff>38660</xdr:rowOff>
    </xdr:from>
    <xdr:ext cx="1641988" cy="254493"/>
    <xdr:sp macro="" textlink="">
      <xdr:nvSpPr>
        <xdr:cNvPr id="35" name="TextBox 34">
          <a:extLst>
            <a:ext uri="{FF2B5EF4-FFF2-40B4-BE49-F238E27FC236}">
              <a16:creationId xmlns:a16="http://schemas.microsoft.com/office/drawing/2014/main" id="{0FAE8ED8-FA5A-400C-9BC4-6689D2F1CA82}"/>
            </a:ext>
          </a:extLst>
        </xdr:cNvPr>
        <xdr:cNvSpPr txBox="1"/>
      </xdr:nvSpPr>
      <xdr:spPr>
        <a:xfrm>
          <a:off x="8486214" y="7106210"/>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6</xdr:col>
      <xdr:colOff>617444</xdr:colOff>
      <xdr:row>28</xdr:row>
      <xdr:rowOff>38660</xdr:rowOff>
    </xdr:from>
    <xdr:ext cx="1641988" cy="254493"/>
    <xdr:sp macro="" textlink="">
      <xdr:nvSpPr>
        <xdr:cNvPr id="36" name="TextBox 35">
          <a:extLst>
            <a:ext uri="{FF2B5EF4-FFF2-40B4-BE49-F238E27FC236}">
              <a16:creationId xmlns:a16="http://schemas.microsoft.com/office/drawing/2014/main" id="{BE161644-3676-4831-B2F1-BDCB060BC5A8}"/>
            </a:ext>
          </a:extLst>
        </xdr:cNvPr>
        <xdr:cNvSpPr txBox="1"/>
      </xdr:nvSpPr>
      <xdr:spPr>
        <a:xfrm>
          <a:off x="10971119" y="7106210"/>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3</xdr:col>
      <xdr:colOff>2371165</xdr:colOff>
      <xdr:row>25</xdr:row>
      <xdr:rowOff>155762</xdr:rowOff>
    </xdr:from>
    <xdr:to>
      <xdr:col>4</xdr:col>
      <xdr:colOff>875740</xdr:colOff>
      <xdr:row>28</xdr:row>
      <xdr:rowOff>108696</xdr:rowOff>
    </xdr:to>
    <xdr:sp macro="" textlink="$H$55">
      <xdr:nvSpPr>
        <xdr:cNvPr id="37" name="TextBox 36">
          <a:extLst>
            <a:ext uri="{FF2B5EF4-FFF2-40B4-BE49-F238E27FC236}">
              <a16:creationId xmlns:a16="http://schemas.microsoft.com/office/drawing/2014/main" id="{E2794362-FD00-4B0E-8CCC-73C4691E02BC}"/>
            </a:ext>
          </a:extLst>
        </xdr:cNvPr>
        <xdr:cNvSpPr txBox="1"/>
      </xdr:nvSpPr>
      <xdr:spPr>
        <a:xfrm>
          <a:off x="5047690" y="5280212"/>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25659CC-BF18-4027-9C39-6B59F0E2F578}"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6</xdr:col>
      <xdr:colOff>500341</xdr:colOff>
      <xdr:row>25</xdr:row>
      <xdr:rowOff>184337</xdr:rowOff>
    </xdr:from>
    <xdr:to>
      <xdr:col>7</xdr:col>
      <xdr:colOff>429745</xdr:colOff>
      <xdr:row>28</xdr:row>
      <xdr:rowOff>89646</xdr:rowOff>
    </xdr:to>
    <xdr:sp macro="" textlink="$I$55">
      <xdr:nvSpPr>
        <xdr:cNvPr id="38" name="TextBox 37">
          <a:extLst>
            <a:ext uri="{FF2B5EF4-FFF2-40B4-BE49-F238E27FC236}">
              <a16:creationId xmlns:a16="http://schemas.microsoft.com/office/drawing/2014/main" id="{D20C5A59-6475-4866-9AF4-C4CB44B06895}"/>
            </a:ext>
          </a:extLst>
        </xdr:cNvPr>
        <xdr:cNvSpPr txBox="1"/>
      </xdr:nvSpPr>
      <xdr:spPr>
        <a:xfrm>
          <a:off x="10720666" y="5308787"/>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9E71E38-28CF-40B4-A787-CD2A933BF092}"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8</xdr:col>
      <xdr:colOff>619125</xdr:colOff>
      <xdr:row>14</xdr:row>
      <xdr:rowOff>71157</xdr:rowOff>
    </xdr:from>
    <xdr:to>
      <xdr:col>9</xdr:col>
      <xdr:colOff>440952</xdr:colOff>
      <xdr:row>16</xdr:row>
      <xdr:rowOff>144555</xdr:rowOff>
    </xdr:to>
    <xdr:sp macro="" textlink="$H$46">
      <xdr:nvSpPr>
        <xdr:cNvPr id="39" name="TextBox 38">
          <a:extLst>
            <a:ext uri="{FF2B5EF4-FFF2-40B4-BE49-F238E27FC236}">
              <a16:creationId xmlns:a16="http://schemas.microsoft.com/office/drawing/2014/main" id="{30B44379-00BA-40AB-9D25-A93340A53236}"/>
            </a:ext>
          </a:extLst>
        </xdr:cNvPr>
        <xdr:cNvSpPr txBox="1"/>
      </xdr:nvSpPr>
      <xdr:spPr>
        <a:xfrm>
          <a:off x="14935200" y="2995332"/>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BAAA7CE-3F73-42A7-B887-E644937F7159}"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11</xdr:col>
      <xdr:colOff>156882</xdr:colOff>
      <xdr:row>14</xdr:row>
      <xdr:rowOff>42582</xdr:rowOff>
    </xdr:from>
    <xdr:to>
      <xdr:col>12</xdr:col>
      <xdr:colOff>19609</xdr:colOff>
      <xdr:row>16</xdr:row>
      <xdr:rowOff>144555</xdr:rowOff>
    </xdr:to>
    <xdr:sp macro="" textlink="$I$46">
      <xdr:nvSpPr>
        <xdr:cNvPr id="40" name="TextBox 39">
          <a:extLst>
            <a:ext uri="{FF2B5EF4-FFF2-40B4-BE49-F238E27FC236}">
              <a16:creationId xmlns:a16="http://schemas.microsoft.com/office/drawing/2014/main" id="{B40A6A85-0C67-445A-BE0B-D8EC55AB578A}"/>
            </a:ext>
          </a:extLst>
        </xdr:cNvPr>
        <xdr:cNvSpPr txBox="1"/>
      </xdr:nvSpPr>
      <xdr:spPr>
        <a:xfrm>
          <a:off x="20616582"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266E2BA-6A96-4903-9E52-5C6BCFEF9FF1}"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8</xdr:col>
      <xdr:colOff>619125</xdr:colOff>
      <xdr:row>25</xdr:row>
      <xdr:rowOff>155762</xdr:rowOff>
    </xdr:from>
    <xdr:to>
      <xdr:col>9</xdr:col>
      <xdr:colOff>526677</xdr:colOff>
      <xdr:row>28</xdr:row>
      <xdr:rowOff>108696</xdr:rowOff>
    </xdr:to>
    <xdr:sp macro="" textlink="$H$56">
      <xdr:nvSpPr>
        <xdr:cNvPr id="41" name="TextBox 40">
          <a:extLst>
            <a:ext uri="{FF2B5EF4-FFF2-40B4-BE49-F238E27FC236}">
              <a16:creationId xmlns:a16="http://schemas.microsoft.com/office/drawing/2014/main" id="{87672113-DEF9-43EF-B481-26CA4A855BF9}"/>
            </a:ext>
          </a:extLst>
        </xdr:cNvPr>
        <xdr:cNvSpPr txBox="1"/>
      </xdr:nvSpPr>
      <xdr:spPr>
        <a:xfrm>
          <a:off x="14935200" y="5280212"/>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04829A4-655E-4A93-964B-29A986B4CF47}"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11</xdr:col>
      <xdr:colOff>156882</xdr:colOff>
      <xdr:row>25</xdr:row>
      <xdr:rowOff>184337</xdr:rowOff>
    </xdr:from>
    <xdr:to>
      <xdr:col>12</xdr:col>
      <xdr:colOff>86284</xdr:colOff>
      <xdr:row>28</xdr:row>
      <xdr:rowOff>89646</xdr:rowOff>
    </xdr:to>
    <xdr:sp macro="" textlink="$I$56">
      <xdr:nvSpPr>
        <xdr:cNvPr id="42" name="TextBox 41">
          <a:extLst>
            <a:ext uri="{FF2B5EF4-FFF2-40B4-BE49-F238E27FC236}">
              <a16:creationId xmlns:a16="http://schemas.microsoft.com/office/drawing/2014/main" id="{41D3BB0D-B017-4934-86D6-FFC93C0AD3FC}"/>
            </a:ext>
          </a:extLst>
        </xdr:cNvPr>
        <xdr:cNvSpPr txBox="1"/>
      </xdr:nvSpPr>
      <xdr:spPr>
        <a:xfrm>
          <a:off x="20616582"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BBBCB15-12D1-4F38-83A0-0D71BCF1AE39}"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9</xdr:col>
      <xdr:colOff>903754</xdr:colOff>
      <xdr:row>14</xdr:row>
      <xdr:rowOff>33057</xdr:rowOff>
    </xdr:from>
    <xdr:to>
      <xdr:col>10</xdr:col>
      <xdr:colOff>1214158</xdr:colOff>
      <xdr:row>16</xdr:row>
      <xdr:rowOff>144555</xdr:rowOff>
    </xdr:to>
    <xdr:sp macro="" textlink="$H$47">
      <xdr:nvSpPr>
        <xdr:cNvPr id="43" name="TextBox 42">
          <a:extLst>
            <a:ext uri="{FF2B5EF4-FFF2-40B4-BE49-F238E27FC236}">
              <a16:creationId xmlns:a16="http://schemas.microsoft.com/office/drawing/2014/main" id="{51EF60C6-ED4F-40AB-A1E7-D320FE1526D8}"/>
            </a:ext>
          </a:extLst>
        </xdr:cNvPr>
        <xdr:cNvSpPr txBox="1"/>
      </xdr:nvSpPr>
      <xdr:spPr>
        <a:xfrm>
          <a:off x="17267704" y="2957232"/>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FBD39D1-A40C-4D41-815F-1614BABEEB25}"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12</xdr:col>
      <xdr:colOff>593912</xdr:colOff>
      <xdr:row>14</xdr:row>
      <xdr:rowOff>61632</xdr:rowOff>
    </xdr:from>
    <xdr:to>
      <xdr:col>13</xdr:col>
      <xdr:colOff>434789</xdr:colOff>
      <xdr:row>16</xdr:row>
      <xdr:rowOff>144555</xdr:rowOff>
    </xdr:to>
    <xdr:sp macro="" textlink="$I$47">
      <xdr:nvSpPr>
        <xdr:cNvPr id="44" name="TextBox 43">
          <a:extLst>
            <a:ext uri="{FF2B5EF4-FFF2-40B4-BE49-F238E27FC236}">
              <a16:creationId xmlns:a16="http://schemas.microsoft.com/office/drawing/2014/main" id="{93E7B2ED-53E2-4F5D-AE47-CDF5229A23F4}"/>
            </a:ext>
          </a:extLst>
        </xdr:cNvPr>
        <xdr:cNvSpPr txBox="1"/>
      </xdr:nvSpPr>
      <xdr:spPr>
        <a:xfrm>
          <a:off x="23101487" y="2985807"/>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8E1D669-5050-474F-B029-B219812AC417}"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8</xdr:col>
      <xdr:colOff>619125</xdr:colOff>
      <xdr:row>12</xdr:row>
      <xdr:rowOff>150158</xdr:rowOff>
    </xdr:from>
    <xdr:to>
      <xdr:col>9</xdr:col>
      <xdr:colOff>107577</xdr:colOff>
      <xdr:row>14</xdr:row>
      <xdr:rowOff>33056</xdr:rowOff>
    </xdr:to>
    <xdr:sp macro="" textlink="$J$44">
      <xdr:nvSpPr>
        <xdr:cNvPr id="45" name="TextBox 44">
          <a:extLst>
            <a:ext uri="{FF2B5EF4-FFF2-40B4-BE49-F238E27FC236}">
              <a16:creationId xmlns:a16="http://schemas.microsoft.com/office/drawing/2014/main" id="{0119FC38-7A77-48C8-9A9E-51739ECFCE68}"/>
            </a:ext>
          </a:extLst>
        </xdr:cNvPr>
        <xdr:cNvSpPr txBox="1"/>
      </xdr:nvSpPr>
      <xdr:spPr>
        <a:xfrm>
          <a:off x="14935200" y="2674283"/>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9</xdr:col>
      <xdr:colOff>903754</xdr:colOff>
      <xdr:row>12</xdr:row>
      <xdr:rowOff>150158</xdr:rowOff>
    </xdr:from>
    <xdr:to>
      <xdr:col>10</xdr:col>
      <xdr:colOff>1433711</xdr:colOff>
      <xdr:row>14</xdr:row>
      <xdr:rowOff>33056</xdr:rowOff>
    </xdr:to>
    <xdr:sp macro="" textlink="$J$44">
      <xdr:nvSpPr>
        <xdr:cNvPr id="46" name="TextBox 45">
          <a:extLst>
            <a:ext uri="{FF2B5EF4-FFF2-40B4-BE49-F238E27FC236}">
              <a16:creationId xmlns:a16="http://schemas.microsoft.com/office/drawing/2014/main" id="{A0D87528-A936-4C70-B734-8806D5941F90}"/>
            </a:ext>
          </a:extLst>
        </xdr:cNvPr>
        <xdr:cNvSpPr txBox="1"/>
      </xdr:nvSpPr>
      <xdr:spPr>
        <a:xfrm>
          <a:off x="17267704" y="2674283"/>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8</xdr:col>
      <xdr:colOff>619125</xdr:colOff>
      <xdr:row>10</xdr:row>
      <xdr:rowOff>172010</xdr:rowOff>
    </xdr:from>
    <xdr:to>
      <xdr:col>9</xdr:col>
      <xdr:colOff>107577</xdr:colOff>
      <xdr:row>12</xdr:row>
      <xdr:rowOff>54907</xdr:rowOff>
    </xdr:to>
    <xdr:sp macro="" textlink="$J$44">
      <xdr:nvSpPr>
        <xdr:cNvPr id="47" name="TextBox 46">
          <a:extLst>
            <a:ext uri="{FF2B5EF4-FFF2-40B4-BE49-F238E27FC236}">
              <a16:creationId xmlns:a16="http://schemas.microsoft.com/office/drawing/2014/main" id="{BBAA6DE7-AA21-4A37-A377-7C16A05149A8}"/>
            </a:ext>
          </a:extLst>
        </xdr:cNvPr>
        <xdr:cNvSpPr txBox="1"/>
      </xdr:nvSpPr>
      <xdr:spPr>
        <a:xfrm>
          <a:off x="14935200" y="2296085"/>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8</xdr:col>
      <xdr:colOff>657225</xdr:colOff>
      <xdr:row>8</xdr:row>
      <xdr:rowOff>174812</xdr:rowOff>
    </xdr:from>
    <xdr:to>
      <xdr:col>9</xdr:col>
      <xdr:colOff>798979</xdr:colOff>
      <xdr:row>10</xdr:row>
      <xdr:rowOff>143435</xdr:rowOff>
    </xdr:to>
    <xdr:sp macro="" textlink="">
      <xdr:nvSpPr>
        <xdr:cNvPr id="48" name="TextBox 47">
          <a:extLst>
            <a:ext uri="{FF2B5EF4-FFF2-40B4-BE49-F238E27FC236}">
              <a16:creationId xmlns:a16="http://schemas.microsoft.com/office/drawing/2014/main" id="{A12A3AE8-8EAC-43D5-82A3-214395B77E1C}"/>
            </a:ext>
          </a:extLst>
        </xdr:cNvPr>
        <xdr:cNvSpPr txBox="1"/>
      </xdr:nvSpPr>
      <xdr:spPr>
        <a:xfrm>
          <a:off x="14973300" y="1898837"/>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8</xdr:col>
      <xdr:colOff>666750</xdr:colOff>
      <xdr:row>10</xdr:row>
      <xdr:rowOff>149030</xdr:rowOff>
    </xdr:from>
    <xdr:to>
      <xdr:col>13</xdr:col>
      <xdr:colOff>1152525</xdr:colOff>
      <xdr:row>10</xdr:row>
      <xdr:rowOff>162485</xdr:rowOff>
    </xdr:to>
    <xdr:cxnSp macro="">
      <xdr:nvCxnSpPr>
        <xdr:cNvPr id="49" name="Straight Connector 48">
          <a:extLst>
            <a:ext uri="{FF2B5EF4-FFF2-40B4-BE49-F238E27FC236}">
              <a16:creationId xmlns:a16="http://schemas.microsoft.com/office/drawing/2014/main" id="{C6AD53B5-0EBC-4D2B-AC1A-8ADAABE52B72}"/>
            </a:ext>
          </a:extLst>
        </xdr:cNvPr>
        <xdr:cNvCxnSpPr/>
      </xdr:nvCxnSpPr>
      <xdr:spPr>
        <a:xfrm flipV="1">
          <a:off x="15116175" y="2758880"/>
          <a:ext cx="10725150" cy="1345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150158</xdr:rowOff>
    </xdr:from>
    <xdr:to>
      <xdr:col>11</xdr:col>
      <xdr:colOff>1696009</xdr:colOff>
      <xdr:row>14</xdr:row>
      <xdr:rowOff>33056</xdr:rowOff>
    </xdr:to>
    <xdr:sp macro="" textlink="$J$44">
      <xdr:nvSpPr>
        <xdr:cNvPr id="50" name="TextBox 49">
          <a:extLst>
            <a:ext uri="{FF2B5EF4-FFF2-40B4-BE49-F238E27FC236}">
              <a16:creationId xmlns:a16="http://schemas.microsoft.com/office/drawing/2014/main" id="{627282BF-3C86-4D34-BEFF-03C2F8DFAA65}"/>
            </a:ext>
          </a:extLst>
        </xdr:cNvPr>
        <xdr:cNvSpPr txBox="1"/>
      </xdr:nvSpPr>
      <xdr:spPr>
        <a:xfrm>
          <a:off x="20616582"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12</xdr:col>
      <xdr:colOff>593912</xdr:colOff>
      <xdr:row>12</xdr:row>
      <xdr:rowOff>150158</xdr:rowOff>
    </xdr:from>
    <xdr:to>
      <xdr:col>14</xdr:col>
      <xdr:colOff>483451</xdr:colOff>
      <xdr:row>14</xdr:row>
      <xdr:rowOff>33056</xdr:rowOff>
    </xdr:to>
    <xdr:sp macro="" textlink="$J$44">
      <xdr:nvSpPr>
        <xdr:cNvPr id="51" name="TextBox 50">
          <a:extLst>
            <a:ext uri="{FF2B5EF4-FFF2-40B4-BE49-F238E27FC236}">
              <a16:creationId xmlns:a16="http://schemas.microsoft.com/office/drawing/2014/main" id="{622F2FF7-6F0F-4B7F-9322-2581A83B66EE}"/>
            </a:ext>
          </a:extLst>
        </xdr:cNvPr>
        <xdr:cNvSpPr txBox="1"/>
      </xdr:nvSpPr>
      <xdr:spPr>
        <a:xfrm>
          <a:off x="23101487" y="2674283"/>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11</xdr:col>
      <xdr:colOff>156882</xdr:colOff>
      <xdr:row>10</xdr:row>
      <xdr:rowOff>172010</xdr:rowOff>
    </xdr:from>
    <xdr:to>
      <xdr:col>11</xdr:col>
      <xdr:colOff>1696009</xdr:colOff>
      <xdr:row>12</xdr:row>
      <xdr:rowOff>54907</xdr:rowOff>
    </xdr:to>
    <xdr:sp macro="" textlink="$J$44">
      <xdr:nvSpPr>
        <xdr:cNvPr id="52" name="TextBox 51">
          <a:extLst>
            <a:ext uri="{FF2B5EF4-FFF2-40B4-BE49-F238E27FC236}">
              <a16:creationId xmlns:a16="http://schemas.microsoft.com/office/drawing/2014/main" id="{26260320-09A3-4A85-B538-03E1C8002E0E}"/>
            </a:ext>
          </a:extLst>
        </xdr:cNvPr>
        <xdr:cNvSpPr txBox="1"/>
      </xdr:nvSpPr>
      <xdr:spPr>
        <a:xfrm>
          <a:off x="20616582"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8</xdr:col>
      <xdr:colOff>619125</xdr:colOff>
      <xdr:row>12</xdr:row>
      <xdr:rowOff>73958</xdr:rowOff>
    </xdr:from>
    <xdr:to>
      <xdr:col>10</xdr:col>
      <xdr:colOff>1404658</xdr:colOff>
      <xdr:row>12</xdr:row>
      <xdr:rowOff>73958</xdr:rowOff>
    </xdr:to>
    <xdr:cxnSp macro="">
      <xdr:nvCxnSpPr>
        <xdr:cNvPr id="53" name="Straight Connector 52">
          <a:extLst>
            <a:ext uri="{FF2B5EF4-FFF2-40B4-BE49-F238E27FC236}">
              <a16:creationId xmlns:a16="http://schemas.microsoft.com/office/drawing/2014/main" id="{6E93A7C8-1231-494D-A4B2-6435EE296095}"/>
            </a:ext>
          </a:extLst>
        </xdr:cNvPr>
        <xdr:cNvCxnSpPr/>
      </xdr:nvCxnSpPr>
      <xdr:spPr>
        <a:xfrm>
          <a:off x="14935200" y="2598083"/>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73958</xdr:rowOff>
    </xdr:from>
    <xdr:to>
      <xdr:col>13</xdr:col>
      <xdr:colOff>1114425</xdr:colOff>
      <xdr:row>12</xdr:row>
      <xdr:rowOff>73958</xdr:rowOff>
    </xdr:to>
    <xdr:cxnSp macro="">
      <xdr:nvCxnSpPr>
        <xdr:cNvPr id="54" name="Straight Connector 53">
          <a:extLst>
            <a:ext uri="{FF2B5EF4-FFF2-40B4-BE49-F238E27FC236}">
              <a16:creationId xmlns:a16="http://schemas.microsoft.com/office/drawing/2014/main" id="{A7ABEB87-732C-4110-9F49-635B9C930D9C}"/>
            </a:ext>
          </a:extLst>
        </xdr:cNvPr>
        <xdr:cNvCxnSpPr/>
      </xdr:nvCxnSpPr>
      <xdr:spPr>
        <a:xfrm>
          <a:off x="20749932" y="3179108"/>
          <a:ext cx="505329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619125</xdr:colOff>
      <xdr:row>24</xdr:row>
      <xdr:rowOff>45944</xdr:rowOff>
    </xdr:from>
    <xdr:to>
      <xdr:col>9</xdr:col>
      <xdr:colOff>107577</xdr:colOff>
      <xdr:row>25</xdr:row>
      <xdr:rowOff>127186</xdr:rowOff>
    </xdr:to>
    <xdr:sp macro="" textlink="$J$44">
      <xdr:nvSpPr>
        <xdr:cNvPr id="55" name="TextBox 54">
          <a:extLst>
            <a:ext uri="{FF2B5EF4-FFF2-40B4-BE49-F238E27FC236}">
              <a16:creationId xmlns:a16="http://schemas.microsoft.com/office/drawing/2014/main" id="{7A9DFCD6-354F-4DC0-AC0C-79D0D8176EE0}"/>
            </a:ext>
          </a:extLst>
        </xdr:cNvPr>
        <xdr:cNvSpPr txBox="1"/>
      </xdr:nvSpPr>
      <xdr:spPr>
        <a:xfrm>
          <a:off x="14935200" y="4970369"/>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9</xdr:col>
      <xdr:colOff>989001</xdr:colOff>
      <xdr:row>24</xdr:row>
      <xdr:rowOff>45944</xdr:rowOff>
    </xdr:from>
    <xdr:to>
      <xdr:col>10</xdr:col>
      <xdr:colOff>1518958</xdr:colOff>
      <xdr:row>25</xdr:row>
      <xdr:rowOff>127186</xdr:rowOff>
    </xdr:to>
    <xdr:sp macro="" textlink="$J$44">
      <xdr:nvSpPr>
        <xdr:cNvPr id="56" name="TextBox 55">
          <a:extLst>
            <a:ext uri="{FF2B5EF4-FFF2-40B4-BE49-F238E27FC236}">
              <a16:creationId xmlns:a16="http://schemas.microsoft.com/office/drawing/2014/main" id="{DFE36D00-C565-40A3-853E-49D79A8B26D6}"/>
            </a:ext>
          </a:extLst>
        </xdr:cNvPr>
        <xdr:cNvSpPr txBox="1"/>
      </xdr:nvSpPr>
      <xdr:spPr>
        <a:xfrm>
          <a:off x="17352951" y="4970369"/>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8</xdr:col>
      <xdr:colOff>619125</xdr:colOff>
      <xdr:row>22</xdr:row>
      <xdr:rowOff>69476</xdr:rowOff>
    </xdr:from>
    <xdr:to>
      <xdr:col>9</xdr:col>
      <xdr:colOff>107577</xdr:colOff>
      <xdr:row>23</xdr:row>
      <xdr:rowOff>149037</xdr:rowOff>
    </xdr:to>
    <xdr:sp macro="" textlink="$J$44">
      <xdr:nvSpPr>
        <xdr:cNvPr id="57" name="TextBox 56">
          <a:extLst>
            <a:ext uri="{FF2B5EF4-FFF2-40B4-BE49-F238E27FC236}">
              <a16:creationId xmlns:a16="http://schemas.microsoft.com/office/drawing/2014/main" id="{92AA1009-2D5B-4D65-AFB9-238713C7CDBB}"/>
            </a:ext>
          </a:extLst>
        </xdr:cNvPr>
        <xdr:cNvSpPr txBox="1"/>
      </xdr:nvSpPr>
      <xdr:spPr>
        <a:xfrm>
          <a:off x="14935200" y="4593851"/>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8</xdr:col>
      <xdr:colOff>619125</xdr:colOff>
      <xdr:row>16</xdr:row>
      <xdr:rowOff>49306</xdr:rowOff>
    </xdr:from>
    <xdr:ext cx="1978747" cy="254493"/>
    <xdr:sp macro="" textlink="">
      <xdr:nvSpPr>
        <xdr:cNvPr id="58" name="TextBox 57">
          <a:extLst>
            <a:ext uri="{FF2B5EF4-FFF2-40B4-BE49-F238E27FC236}">
              <a16:creationId xmlns:a16="http://schemas.microsoft.com/office/drawing/2014/main" id="{383F350A-F491-4B1E-8F6C-D675C3A83E4E}"/>
            </a:ext>
          </a:extLst>
        </xdr:cNvPr>
        <xdr:cNvSpPr txBox="1"/>
      </xdr:nvSpPr>
      <xdr:spPr>
        <a:xfrm>
          <a:off x="1493520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8</xdr:col>
      <xdr:colOff>657225</xdr:colOff>
      <xdr:row>20</xdr:row>
      <xdr:rowOff>72277</xdr:rowOff>
    </xdr:from>
    <xdr:to>
      <xdr:col>9</xdr:col>
      <xdr:colOff>798979</xdr:colOff>
      <xdr:row>22</xdr:row>
      <xdr:rowOff>39220</xdr:rowOff>
    </xdr:to>
    <xdr:sp macro="" textlink="">
      <xdr:nvSpPr>
        <xdr:cNvPr id="59" name="TextBox 58">
          <a:extLst>
            <a:ext uri="{FF2B5EF4-FFF2-40B4-BE49-F238E27FC236}">
              <a16:creationId xmlns:a16="http://schemas.microsoft.com/office/drawing/2014/main" id="{7646FA67-4297-4372-B223-6BD542F21F60}"/>
            </a:ext>
          </a:extLst>
        </xdr:cNvPr>
        <xdr:cNvSpPr txBox="1"/>
      </xdr:nvSpPr>
      <xdr:spPr>
        <a:xfrm>
          <a:off x="14973300" y="4196602"/>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8</xdr:col>
      <xdr:colOff>666750</xdr:colOff>
      <xdr:row>22</xdr:row>
      <xdr:rowOff>44794</xdr:rowOff>
    </xdr:from>
    <xdr:to>
      <xdr:col>13</xdr:col>
      <xdr:colOff>1285875</xdr:colOff>
      <xdr:row>22</xdr:row>
      <xdr:rowOff>59951</xdr:rowOff>
    </xdr:to>
    <xdr:cxnSp macro="">
      <xdr:nvCxnSpPr>
        <xdr:cNvPr id="60" name="Straight Connector 59">
          <a:extLst>
            <a:ext uri="{FF2B5EF4-FFF2-40B4-BE49-F238E27FC236}">
              <a16:creationId xmlns:a16="http://schemas.microsoft.com/office/drawing/2014/main" id="{F41B62DE-975E-4D07-B304-F80B7633B754}"/>
            </a:ext>
          </a:extLst>
        </xdr:cNvPr>
        <xdr:cNvCxnSpPr/>
      </xdr:nvCxnSpPr>
      <xdr:spPr>
        <a:xfrm flipV="1">
          <a:off x="15116175" y="5626444"/>
          <a:ext cx="10858500" cy="15157"/>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24</xdr:row>
      <xdr:rowOff>45944</xdr:rowOff>
    </xdr:from>
    <xdr:to>
      <xdr:col>11</xdr:col>
      <xdr:colOff>1696009</xdr:colOff>
      <xdr:row>25</xdr:row>
      <xdr:rowOff>127186</xdr:rowOff>
    </xdr:to>
    <xdr:sp macro="" textlink="$J$44">
      <xdr:nvSpPr>
        <xdr:cNvPr id="61" name="TextBox 60">
          <a:extLst>
            <a:ext uri="{FF2B5EF4-FFF2-40B4-BE49-F238E27FC236}">
              <a16:creationId xmlns:a16="http://schemas.microsoft.com/office/drawing/2014/main" id="{9651F736-7D84-4B5E-85E0-567A855476CF}"/>
            </a:ext>
          </a:extLst>
        </xdr:cNvPr>
        <xdr:cNvSpPr txBox="1"/>
      </xdr:nvSpPr>
      <xdr:spPr>
        <a:xfrm>
          <a:off x="20616582"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11</xdr:col>
      <xdr:colOff>156882</xdr:colOff>
      <xdr:row>22</xdr:row>
      <xdr:rowOff>69476</xdr:rowOff>
    </xdr:from>
    <xdr:to>
      <xdr:col>11</xdr:col>
      <xdr:colOff>1696009</xdr:colOff>
      <xdr:row>23</xdr:row>
      <xdr:rowOff>149037</xdr:rowOff>
    </xdr:to>
    <xdr:sp macro="" textlink="$J$44">
      <xdr:nvSpPr>
        <xdr:cNvPr id="62" name="TextBox 61">
          <a:extLst>
            <a:ext uri="{FF2B5EF4-FFF2-40B4-BE49-F238E27FC236}">
              <a16:creationId xmlns:a16="http://schemas.microsoft.com/office/drawing/2014/main" id="{27674019-B56E-44A5-9E02-AD4A76367199}"/>
            </a:ext>
          </a:extLst>
        </xdr:cNvPr>
        <xdr:cNvSpPr txBox="1"/>
      </xdr:nvSpPr>
      <xdr:spPr>
        <a:xfrm>
          <a:off x="20616582"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8</xdr:col>
      <xdr:colOff>619125</xdr:colOff>
      <xdr:row>23</xdr:row>
      <xdr:rowOff>168088</xdr:rowOff>
    </xdr:from>
    <xdr:to>
      <xdr:col>10</xdr:col>
      <xdr:colOff>1433233</xdr:colOff>
      <xdr:row>23</xdr:row>
      <xdr:rowOff>168088</xdr:rowOff>
    </xdr:to>
    <xdr:cxnSp macro="">
      <xdr:nvCxnSpPr>
        <xdr:cNvPr id="63" name="Straight Connector 62">
          <a:extLst>
            <a:ext uri="{FF2B5EF4-FFF2-40B4-BE49-F238E27FC236}">
              <a16:creationId xmlns:a16="http://schemas.microsoft.com/office/drawing/2014/main" id="{5EFDD5AC-6929-4EFA-B107-5A80D33BB742}"/>
            </a:ext>
          </a:extLst>
        </xdr:cNvPr>
        <xdr:cNvCxnSpPr/>
      </xdr:nvCxnSpPr>
      <xdr:spPr>
        <a:xfrm>
          <a:off x="14935200" y="48924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23</xdr:row>
      <xdr:rowOff>168088</xdr:rowOff>
    </xdr:from>
    <xdr:to>
      <xdr:col>13</xdr:col>
      <xdr:colOff>1323975</xdr:colOff>
      <xdr:row>23</xdr:row>
      <xdr:rowOff>168088</xdr:rowOff>
    </xdr:to>
    <xdr:cxnSp macro="">
      <xdr:nvCxnSpPr>
        <xdr:cNvPr id="64" name="Straight Connector 63">
          <a:extLst>
            <a:ext uri="{FF2B5EF4-FFF2-40B4-BE49-F238E27FC236}">
              <a16:creationId xmlns:a16="http://schemas.microsoft.com/office/drawing/2014/main" id="{FB61A9E9-8D02-4583-95EE-20CB78A3D6F2}"/>
            </a:ext>
          </a:extLst>
        </xdr:cNvPr>
        <xdr:cNvCxnSpPr/>
      </xdr:nvCxnSpPr>
      <xdr:spPr>
        <a:xfrm>
          <a:off x="20749932" y="5997388"/>
          <a:ext cx="526284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903754</xdr:colOff>
      <xdr:row>16</xdr:row>
      <xdr:rowOff>49306</xdr:rowOff>
    </xdr:from>
    <xdr:ext cx="1978747" cy="254493"/>
    <xdr:sp macro="" textlink="">
      <xdr:nvSpPr>
        <xdr:cNvPr id="65" name="TextBox 64">
          <a:extLst>
            <a:ext uri="{FF2B5EF4-FFF2-40B4-BE49-F238E27FC236}">
              <a16:creationId xmlns:a16="http://schemas.microsoft.com/office/drawing/2014/main" id="{49D16235-366F-41AA-86CA-221B92F7E305}"/>
            </a:ext>
          </a:extLst>
        </xdr:cNvPr>
        <xdr:cNvSpPr txBox="1"/>
      </xdr:nvSpPr>
      <xdr:spPr>
        <a:xfrm>
          <a:off x="1726770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11</xdr:col>
      <xdr:colOff>156882</xdr:colOff>
      <xdr:row>16</xdr:row>
      <xdr:rowOff>49306</xdr:rowOff>
    </xdr:from>
    <xdr:ext cx="1978747" cy="254493"/>
    <xdr:sp macro="" textlink="">
      <xdr:nvSpPr>
        <xdr:cNvPr id="66" name="TextBox 65">
          <a:extLst>
            <a:ext uri="{FF2B5EF4-FFF2-40B4-BE49-F238E27FC236}">
              <a16:creationId xmlns:a16="http://schemas.microsoft.com/office/drawing/2014/main" id="{26A80387-390D-4364-A3D1-879279F6AB3E}"/>
            </a:ext>
          </a:extLst>
        </xdr:cNvPr>
        <xdr:cNvSpPr txBox="1"/>
      </xdr:nvSpPr>
      <xdr:spPr>
        <a:xfrm>
          <a:off x="20616582"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12</xdr:col>
      <xdr:colOff>593912</xdr:colOff>
      <xdr:row>16</xdr:row>
      <xdr:rowOff>49306</xdr:rowOff>
    </xdr:from>
    <xdr:ext cx="1978747" cy="254493"/>
    <xdr:sp macro="" textlink="">
      <xdr:nvSpPr>
        <xdr:cNvPr id="67" name="TextBox 66">
          <a:extLst>
            <a:ext uri="{FF2B5EF4-FFF2-40B4-BE49-F238E27FC236}">
              <a16:creationId xmlns:a16="http://schemas.microsoft.com/office/drawing/2014/main" id="{F03A9E52-D0BB-4B90-B515-4338C98F1A3A}"/>
            </a:ext>
          </a:extLst>
        </xdr:cNvPr>
        <xdr:cNvSpPr txBox="1"/>
      </xdr:nvSpPr>
      <xdr:spPr>
        <a:xfrm>
          <a:off x="23101487"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8</xdr:col>
      <xdr:colOff>619125</xdr:colOff>
      <xdr:row>28</xdr:row>
      <xdr:rowOff>38660</xdr:rowOff>
    </xdr:from>
    <xdr:ext cx="1978747" cy="254493"/>
    <xdr:sp macro="" textlink="">
      <xdr:nvSpPr>
        <xdr:cNvPr id="68" name="TextBox 67">
          <a:extLst>
            <a:ext uri="{FF2B5EF4-FFF2-40B4-BE49-F238E27FC236}">
              <a16:creationId xmlns:a16="http://schemas.microsoft.com/office/drawing/2014/main" id="{A7154D4B-6532-4827-A858-06228134784A}"/>
            </a:ext>
          </a:extLst>
        </xdr:cNvPr>
        <xdr:cNvSpPr txBox="1"/>
      </xdr:nvSpPr>
      <xdr:spPr>
        <a:xfrm>
          <a:off x="1493520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9</xdr:col>
      <xdr:colOff>913279</xdr:colOff>
      <xdr:row>28</xdr:row>
      <xdr:rowOff>38660</xdr:rowOff>
    </xdr:from>
    <xdr:ext cx="1978747" cy="254493"/>
    <xdr:sp macro="" textlink="">
      <xdr:nvSpPr>
        <xdr:cNvPr id="69" name="TextBox 68">
          <a:extLst>
            <a:ext uri="{FF2B5EF4-FFF2-40B4-BE49-F238E27FC236}">
              <a16:creationId xmlns:a16="http://schemas.microsoft.com/office/drawing/2014/main" id="{5FC31ABD-E0E2-4051-9433-F568AF3A7F34}"/>
            </a:ext>
          </a:extLst>
        </xdr:cNvPr>
        <xdr:cNvSpPr txBox="1"/>
      </xdr:nvSpPr>
      <xdr:spPr>
        <a:xfrm>
          <a:off x="1727722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11</xdr:col>
      <xdr:colOff>156882</xdr:colOff>
      <xdr:row>28</xdr:row>
      <xdr:rowOff>38660</xdr:rowOff>
    </xdr:from>
    <xdr:ext cx="1978747" cy="254493"/>
    <xdr:sp macro="" textlink="">
      <xdr:nvSpPr>
        <xdr:cNvPr id="70" name="TextBox 69">
          <a:extLst>
            <a:ext uri="{FF2B5EF4-FFF2-40B4-BE49-F238E27FC236}">
              <a16:creationId xmlns:a16="http://schemas.microsoft.com/office/drawing/2014/main" id="{AAF44FA9-3B7E-4F00-A78C-61984CFA77C8}"/>
            </a:ext>
          </a:extLst>
        </xdr:cNvPr>
        <xdr:cNvSpPr txBox="1"/>
      </xdr:nvSpPr>
      <xdr:spPr>
        <a:xfrm>
          <a:off x="20616582"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12</xdr:col>
      <xdr:colOff>660587</xdr:colOff>
      <xdr:row>28</xdr:row>
      <xdr:rowOff>29135</xdr:rowOff>
    </xdr:from>
    <xdr:ext cx="1978747" cy="254493"/>
    <xdr:sp macro="" textlink="">
      <xdr:nvSpPr>
        <xdr:cNvPr id="71" name="TextBox 70">
          <a:extLst>
            <a:ext uri="{FF2B5EF4-FFF2-40B4-BE49-F238E27FC236}">
              <a16:creationId xmlns:a16="http://schemas.microsoft.com/office/drawing/2014/main" id="{00FF77AD-FE62-4281-9EAB-92AE0B68F507}"/>
            </a:ext>
          </a:extLst>
        </xdr:cNvPr>
        <xdr:cNvSpPr txBox="1"/>
      </xdr:nvSpPr>
      <xdr:spPr>
        <a:xfrm>
          <a:off x="23168162" y="5753660"/>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9</xdr:col>
      <xdr:colOff>941854</xdr:colOff>
      <xdr:row>25</xdr:row>
      <xdr:rowOff>155762</xdr:rowOff>
    </xdr:from>
    <xdr:to>
      <xdr:col>10</xdr:col>
      <xdr:colOff>852208</xdr:colOff>
      <xdr:row>28</xdr:row>
      <xdr:rowOff>108696</xdr:rowOff>
    </xdr:to>
    <xdr:sp macro="" textlink="$H$57">
      <xdr:nvSpPr>
        <xdr:cNvPr id="72" name="TextBox 71">
          <a:extLst>
            <a:ext uri="{FF2B5EF4-FFF2-40B4-BE49-F238E27FC236}">
              <a16:creationId xmlns:a16="http://schemas.microsoft.com/office/drawing/2014/main" id="{FDD776B0-6BD5-4A9C-A8F8-21088F62BA87}"/>
            </a:ext>
          </a:extLst>
        </xdr:cNvPr>
        <xdr:cNvSpPr txBox="1"/>
      </xdr:nvSpPr>
      <xdr:spPr>
        <a:xfrm>
          <a:off x="17305804" y="5280212"/>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85047ED-CBF8-4719-9134-5BB20C92AD4F}"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12</xdr:col>
      <xdr:colOff>651061</xdr:colOff>
      <xdr:row>25</xdr:row>
      <xdr:rowOff>174812</xdr:rowOff>
    </xdr:from>
    <xdr:to>
      <xdr:col>13</xdr:col>
      <xdr:colOff>558613</xdr:colOff>
      <xdr:row>28</xdr:row>
      <xdr:rowOff>80121</xdr:rowOff>
    </xdr:to>
    <xdr:sp macro="" textlink="$I$57">
      <xdr:nvSpPr>
        <xdr:cNvPr id="73" name="TextBox 72">
          <a:extLst>
            <a:ext uri="{FF2B5EF4-FFF2-40B4-BE49-F238E27FC236}">
              <a16:creationId xmlns:a16="http://schemas.microsoft.com/office/drawing/2014/main" id="{683A1B7D-E638-41A7-8E76-A98B56DAD3A6}"/>
            </a:ext>
          </a:extLst>
        </xdr:cNvPr>
        <xdr:cNvSpPr txBox="1"/>
      </xdr:nvSpPr>
      <xdr:spPr>
        <a:xfrm>
          <a:off x="23158636" y="5299262"/>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B499BF7-EBD0-4E79-A816-6137BC9BCCC9}"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3</xdr:col>
      <xdr:colOff>1066240</xdr:colOff>
      <xdr:row>5</xdr:row>
      <xdr:rowOff>60512</xdr:rowOff>
    </xdr:from>
    <xdr:to>
      <xdr:col>4</xdr:col>
      <xdr:colOff>1113865</xdr:colOff>
      <xdr:row>7</xdr:row>
      <xdr:rowOff>42583</xdr:rowOff>
    </xdr:to>
    <xdr:sp macro="" textlink="">
      <xdr:nvSpPr>
        <xdr:cNvPr id="74" name="TextBox 73">
          <a:extLst>
            <a:ext uri="{FF2B5EF4-FFF2-40B4-BE49-F238E27FC236}">
              <a16:creationId xmlns:a16="http://schemas.microsoft.com/office/drawing/2014/main" id="{704B110F-434F-48F6-9C99-23652D2F1A99}"/>
            </a:ext>
          </a:extLst>
        </xdr:cNvPr>
        <xdr:cNvSpPr txBox="1"/>
      </xdr:nvSpPr>
      <xdr:spPr>
        <a:xfrm>
          <a:off x="3742765" y="1184462"/>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Milk sold</a:t>
          </a:r>
        </a:p>
      </xdr:txBody>
    </xdr:sp>
    <xdr:clientData/>
  </xdr:twoCellAnchor>
  <xdr:twoCellAnchor editAs="oneCell">
    <xdr:from>
      <xdr:col>3</xdr:col>
      <xdr:colOff>113741</xdr:colOff>
      <xdr:row>4</xdr:row>
      <xdr:rowOff>38099</xdr:rowOff>
    </xdr:from>
    <xdr:to>
      <xdr:col>3</xdr:col>
      <xdr:colOff>954995</xdr:colOff>
      <xdr:row>7</xdr:row>
      <xdr:rowOff>89088</xdr:rowOff>
    </xdr:to>
    <xdr:pic>
      <xdr:nvPicPr>
        <xdr:cNvPr id="75" name="Picture 74">
          <a:extLst>
            <a:ext uri="{FF2B5EF4-FFF2-40B4-BE49-F238E27FC236}">
              <a16:creationId xmlns:a16="http://schemas.microsoft.com/office/drawing/2014/main" id="{485FBA4E-4C13-4DC8-9363-BC4F7B4E129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5449" r="5449"/>
        <a:stretch/>
      </xdr:blipFill>
      <xdr:spPr>
        <a:xfrm>
          <a:off x="2790266" y="1162049"/>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1669677</xdr:colOff>
      <xdr:row>5</xdr:row>
      <xdr:rowOff>41462</xdr:rowOff>
    </xdr:from>
    <xdr:to>
      <xdr:col>10</xdr:col>
      <xdr:colOff>1080808</xdr:colOff>
      <xdr:row>7</xdr:row>
      <xdr:rowOff>23533</xdr:rowOff>
    </xdr:to>
    <xdr:sp macro="" textlink="">
      <xdr:nvSpPr>
        <xdr:cNvPr id="76" name="TextBox 75">
          <a:extLst>
            <a:ext uri="{FF2B5EF4-FFF2-40B4-BE49-F238E27FC236}">
              <a16:creationId xmlns:a16="http://schemas.microsoft.com/office/drawing/2014/main" id="{80F76DBA-A216-4C00-9FE7-C57A9F30E72D}"/>
            </a:ext>
          </a:extLst>
        </xdr:cNvPr>
        <xdr:cNvSpPr txBox="1"/>
      </xdr:nvSpPr>
      <xdr:spPr>
        <a:xfrm>
          <a:off x="15985752" y="1165412"/>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Liveweight sold</a:t>
          </a:r>
        </a:p>
      </xdr:txBody>
    </xdr:sp>
    <xdr:clientData/>
  </xdr:twoCellAnchor>
  <xdr:twoCellAnchor editAs="oneCell">
    <xdr:from>
      <xdr:col>8</xdr:col>
      <xdr:colOff>660061</xdr:colOff>
      <xdr:row>4</xdr:row>
      <xdr:rowOff>0</xdr:rowOff>
    </xdr:from>
    <xdr:to>
      <xdr:col>8</xdr:col>
      <xdr:colOff>1587703</xdr:colOff>
      <xdr:row>7</xdr:row>
      <xdr:rowOff>136712</xdr:rowOff>
    </xdr:to>
    <xdr:pic>
      <xdr:nvPicPr>
        <xdr:cNvPr id="77" name="Picture 76">
          <a:extLst>
            <a:ext uri="{FF2B5EF4-FFF2-40B4-BE49-F238E27FC236}">
              <a16:creationId xmlns:a16="http://schemas.microsoft.com/office/drawing/2014/main" id="{FD1C4F22-2E79-4681-92AB-AFA0F61510A4}"/>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t="1444" b="1444"/>
        <a:stretch/>
      </xdr:blipFill>
      <xdr:spPr>
        <a:xfrm flipH="1">
          <a:off x="15109486" y="1123950"/>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938212</xdr:colOff>
      <xdr:row>44</xdr:row>
      <xdr:rowOff>200025</xdr:rowOff>
    </xdr:from>
    <xdr:to>
      <xdr:col>9</xdr:col>
      <xdr:colOff>1443037</xdr:colOff>
      <xdr:row>56</xdr:row>
      <xdr:rowOff>85725</xdr:rowOff>
    </xdr:to>
    <xdr:graphicFrame macro="">
      <xdr:nvGraphicFramePr>
        <xdr:cNvPr id="78" name="Chart 77">
          <a:extLst>
            <a:ext uri="{FF2B5EF4-FFF2-40B4-BE49-F238E27FC236}">
              <a16:creationId xmlns:a16="http://schemas.microsoft.com/office/drawing/2014/main" id="{A77066F2-41B1-4020-99E9-DE2BF39F85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342900</xdr:colOff>
      <xdr:row>14</xdr:row>
      <xdr:rowOff>71157</xdr:rowOff>
    </xdr:from>
    <xdr:to>
      <xdr:col>18</xdr:col>
      <xdr:colOff>383802</xdr:colOff>
      <xdr:row>16</xdr:row>
      <xdr:rowOff>144555</xdr:rowOff>
    </xdr:to>
    <xdr:sp macro="" textlink="$H$48">
      <xdr:nvSpPr>
        <xdr:cNvPr id="79" name="TextBox 78">
          <a:extLst>
            <a:ext uri="{FF2B5EF4-FFF2-40B4-BE49-F238E27FC236}">
              <a16:creationId xmlns:a16="http://schemas.microsoft.com/office/drawing/2014/main" id="{46CD06A1-BA57-445F-9255-878870A24D0A}"/>
            </a:ext>
          </a:extLst>
        </xdr:cNvPr>
        <xdr:cNvSpPr txBox="1"/>
      </xdr:nvSpPr>
      <xdr:spPr>
        <a:xfrm>
          <a:off x="27689175" y="3671607"/>
          <a:ext cx="1869702" cy="5686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36A32F4-BD19-42B1-8CDE-93F8ECA98708}"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24</xdr:col>
      <xdr:colOff>537882</xdr:colOff>
      <xdr:row>14</xdr:row>
      <xdr:rowOff>42582</xdr:rowOff>
    </xdr:from>
    <xdr:to>
      <xdr:col>28</xdr:col>
      <xdr:colOff>10084</xdr:colOff>
      <xdr:row>16</xdr:row>
      <xdr:rowOff>144555</xdr:rowOff>
    </xdr:to>
    <xdr:sp macro="" textlink="$I$48">
      <xdr:nvSpPr>
        <xdr:cNvPr id="80" name="TextBox 79">
          <a:extLst>
            <a:ext uri="{FF2B5EF4-FFF2-40B4-BE49-F238E27FC236}">
              <a16:creationId xmlns:a16="http://schemas.microsoft.com/office/drawing/2014/main" id="{59A9C64C-4C9F-4930-8C5C-FCA6CC19FB08}"/>
            </a:ext>
          </a:extLst>
        </xdr:cNvPr>
        <xdr:cNvSpPr txBox="1"/>
      </xdr:nvSpPr>
      <xdr:spPr>
        <a:xfrm>
          <a:off x="33370557" y="3643032"/>
          <a:ext cx="1910602" cy="5972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CEF4CEC7-0F56-41BE-B835-A3387B0A178D}"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15</xdr:col>
      <xdr:colOff>342900</xdr:colOff>
      <xdr:row>25</xdr:row>
      <xdr:rowOff>155762</xdr:rowOff>
    </xdr:from>
    <xdr:to>
      <xdr:col>18</xdr:col>
      <xdr:colOff>469527</xdr:colOff>
      <xdr:row>28</xdr:row>
      <xdr:rowOff>108696</xdr:rowOff>
    </xdr:to>
    <xdr:sp macro="" textlink="$H$58">
      <xdr:nvSpPr>
        <xdr:cNvPr id="81" name="TextBox 80">
          <a:extLst>
            <a:ext uri="{FF2B5EF4-FFF2-40B4-BE49-F238E27FC236}">
              <a16:creationId xmlns:a16="http://schemas.microsoft.com/office/drawing/2014/main" id="{69D9694D-840A-410C-B3E3-7B350AE17DDA}"/>
            </a:ext>
          </a:extLst>
        </xdr:cNvPr>
        <xdr:cNvSpPr txBox="1"/>
      </xdr:nvSpPr>
      <xdr:spPr>
        <a:xfrm>
          <a:off x="27689175" y="6480362"/>
          <a:ext cx="1955427" cy="6958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ABAABC5-B1F7-4C32-9DD0-5C794F2145A5}"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24</xdr:col>
      <xdr:colOff>537882</xdr:colOff>
      <xdr:row>25</xdr:row>
      <xdr:rowOff>184337</xdr:rowOff>
    </xdr:from>
    <xdr:to>
      <xdr:col>28</xdr:col>
      <xdr:colOff>76759</xdr:colOff>
      <xdr:row>28</xdr:row>
      <xdr:rowOff>89646</xdr:rowOff>
    </xdr:to>
    <xdr:sp macro="" textlink="$I$58">
      <xdr:nvSpPr>
        <xdr:cNvPr id="82" name="TextBox 81">
          <a:extLst>
            <a:ext uri="{FF2B5EF4-FFF2-40B4-BE49-F238E27FC236}">
              <a16:creationId xmlns:a16="http://schemas.microsoft.com/office/drawing/2014/main" id="{8D010C7B-D460-4F13-B132-CD0F5403F51C}"/>
            </a:ext>
          </a:extLst>
        </xdr:cNvPr>
        <xdr:cNvSpPr txBox="1"/>
      </xdr:nvSpPr>
      <xdr:spPr>
        <a:xfrm>
          <a:off x="33370557" y="6508937"/>
          <a:ext cx="1977277" cy="6482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708B152-958E-4AE8-A6E0-9E2E10D985EA}"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19</xdr:col>
      <xdr:colOff>237004</xdr:colOff>
      <xdr:row>14</xdr:row>
      <xdr:rowOff>33057</xdr:rowOff>
    </xdr:from>
    <xdr:to>
      <xdr:col>23</xdr:col>
      <xdr:colOff>156883</xdr:colOff>
      <xdr:row>16</xdr:row>
      <xdr:rowOff>144555</xdr:rowOff>
    </xdr:to>
    <xdr:sp macro="" textlink="$H$49">
      <xdr:nvSpPr>
        <xdr:cNvPr id="83" name="TextBox 82">
          <a:extLst>
            <a:ext uri="{FF2B5EF4-FFF2-40B4-BE49-F238E27FC236}">
              <a16:creationId xmlns:a16="http://schemas.microsoft.com/office/drawing/2014/main" id="{F012CDAD-1E8F-4181-AB5A-51438F8347A4}"/>
            </a:ext>
          </a:extLst>
        </xdr:cNvPr>
        <xdr:cNvSpPr txBox="1"/>
      </xdr:nvSpPr>
      <xdr:spPr>
        <a:xfrm>
          <a:off x="30021679" y="3633507"/>
          <a:ext cx="2358279" cy="606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32BBB37-F170-4DBC-94A6-AE892FE0F1A5}"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28</xdr:col>
      <xdr:colOff>584387</xdr:colOff>
      <xdr:row>14</xdr:row>
      <xdr:rowOff>61632</xdr:rowOff>
    </xdr:from>
    <xdr:to>
      <xdr:col>32</xdr:col>
      <xdr:colOff>34739</xdr:colOff>
      <xdr:row>16</xdr:row>
      <xdr:rowOff>144555</xdr:rowOff>
    </xdr:to>
    <xdr:sp macro="" textlink="$I$49">
      <xdr:nvSpPr>
        <xdr:cNvPr id="84" name="TextBox 83">
          <a:extLst>
            <a:ext uri="{FF2B5EF4-FFF2-40B4-BE49-F238E27FC236}">
              <a16:creationId xmlns:a16="http://schemas.microsoft.com/office/drawing/2014/main" id="{5338FDE5-FB46-4701-9654-B5B15C72AE61}"/>
            </a:ext>
          </a:extLst>
        </xdr:cNvPr>
        <xdr:cNvSpPr txBox="1"/>
      </xdr:nvSpPr>
      <xdr:spPr>
        <a:xfrm>
          <a:off x="35855462" y="3662082"/>
          <a:ext cx="1888752" cy="5782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3EE91C8-72A7-4D95-8E9D-1C1AA02A3B8F}"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15</xdr:col>
      <xdr:colOff>342900</xdr:colOff>
      <xdr:row>12</xdr:row>
      <xdr:rowOff>150158</xdr:rowOff>
    </xdr:from>
    <xdr:to>
      <xdr:col>18</xdr:col>
      <xdr:colOff>50427</xdr:colOff>
      <xdr:row>14</xdr:row>
      <xdr:rowOff>33056</xdr:rowOff>
    </xdr:to>
    <xdr:sp macro="" textlink="$J$44">
      <xdr:nvSpPr>
        <xdr:cNvPr id="85" name="TextBox 84">
          <a:extLst>
            <a:ext uri="{FF2B5EF4-FFF2-40B4-BE49-F238E27FC236}">
              <a16:creationId xmlns:a16="http://schemas.microsoft.com/office/drawing/2014/main" id="{5391BB71-5856-4B03-8742-80E1E8AA9E94}"/>
            </a:ext>
          </a:extLst>
        </xdr:cNvPr>
        <xdr:cNvSpPr txBox="1"/>
      </xdr:nvSpPr>
      <xdr:spPr>
        <a:xfrm>
          <a:off x="27689175" y="3255308"/>
          <a:ext cx="1536327" cy="378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19</xdr:col>
      <xdr:colOff>237004</xdr:colOff>
      <xdr:row>12</xdr:row>
      <xdr:rowOff>150158</xdr:rowOff>
    </xdr:from>
    <xdr:to>
      <xdr:col>23</xdr:col>
      <xdr:colOff>376436</xdr:colOff>
      <xdr:row>14</xdr:row>
      <xdr:rowOff>33056</xdr:rowOff>
    </xdr:to>
    <xdr:sp macro="" textlink="$J$44">
      <xdr:nvSpPr>
        <xdr:cNvPr id="86" name="TextBox 85">
          <a:extLst>
            <a:ext uri="{FF2B5EF4-FFF2-40B4-BE49-F238E27FC236}">
              <a16:creationId xmlns:a16="http://schemas.microsoft.com/office/drawing/2014/main" id="{B54BF24F-9D5E-43C8-9F08-7D00A26C76CA}"/>
            </a:ext>
          </a:extLst>
        </xdr:cNvPr>
        <xdr:cNvSpPr txBox="1"/>
      </xdr:nvSpPr>
      <xdr:spPr>
        <a:xfrm>
          <a:off x="30021679" y="3255308"/>
          <a:ext cx="2577832" cy="378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15</xdr:col>
      <xdr:colOff>342900</xdr:colOff>
      <xdr:row>10</xdr:row>
      <xdr:rowOff>172010</xdr:rowOff>
    </xdr:from>
    <xdr:to>
      <xdr:col>18</xdr:col>
      <xdr:colOff>50427</xdr:colOff>
      <xdr:row>12</xdr:row>
      <xdr:rowOff>54907</xdr:rowOff>
    </xdr:to>
    <xdr:sp macro="" textlink="$J$44">
      <xdr:nvSpPr>
        <xdr:cNvPr id="87" name="TextBox 86">
          <a:extLst>
            <a:ext uri="{FF2B5EF4-FFF2-40B4-BE49-F238E27FC236}">
              <a16:creationId xmlns:a16="http://schemas.microsoft.com/office/drawing/2014/main" id="{7632829B-D41B-444E-9066-3870BDC9881E}"/>
            </a:ext>
          </a:extLst>
        </xdr:cNvPr>
        <xdr:cNvSpPr txBox="1"/>
      </xdr:nvSpPr>
      <xdr:spPr>
        <a:xfrm>
          <a:off x="27689175" y="2781860"/>
          <a:ext cx="1536327" cy="3781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15</xdr:col>
      <xdr:colOff>381000</xdr:colOff>
      <xdr:row>8</xdr:row>
      <xdr:rowOff>174812</xdr:rowOff>
    </xdr:from>
    <xdr:to>
      <xdr:col>19</xdr:col>
      <xdr:colOff>132229</xdr:colOff>
      <xdr:row>10</xdr:row>
      <xdr:rowOff>143435</xdr:rowOff>
    </xdr:to>
    <xdr:sp macro="" textlink="">
      <xdr:nvSpPr>
        <xdr:cNvPr id="88" name="TextBox 87">
          <a:extLst>
            <a:ext uri="{FF2B5EF4-FFF2-40B4-BE49-F238E27FC236}">
              <a16:creationId xmlns:a16="http://schemas.microsoft.com/office/drawing/2014/main" id="{EC561C2C-E85A-49BC-9C21-8E8A13E269FA}"/>
            </a:ext>
          </a:extLst>
        </xdr:cNvPr>
        <xdr:cNvSpPr txBox="1"/>
      </xdr:nvSpPr>
      <xdr:spPr>
        <a:xfrm>
          <a:off x="27727275" y="2289362"/>
          <a:ext cx="2189629" cy="4639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15</xdr:col>
      <xdr:colOff>390525</xdr:colOff>
      <xdr:row>10</xdr:row>
      <xdr:rowOff>147552</xdr:rowOff>
    </xdr:from>
    <xdr:to>
      <xdr:col>35</xdr:col>
      <xdr:colOff>101973</xdr:colOff>
      <xdr:row>10</xdr:row>
      <xdr:rowOff>162485</xdr:rowOff>
    </xdr:to>
    <xdr:cxnSp macro="">
      <xdr:nvCxnSpPr>
        <xdr:cNvPr id="89" name="Straight Connector 88">
          <a:extLst>
            <a:ext uri="{FF2B5EF4-FFF2-40B4-BE49-F238E27FC236}">
              <a16:creationId xmlns:a16="http://schemas.microsoft.com/office/drawing/2014/main" id="{D9001825-93B0-4E46-A4FF-1038C6E8A343}"/>
            </a:ext>
          </a:extLst>
        </xdr:cNvPr>
        <xdr:cNvCxnSpPr/>
      </xdr:nvCxnSpPr>
      <xdr:spPr>
        <a:xfrm flipV="1">
          <a:off x="27736800" y="2757402"/>
          <a:ext cx="11903448"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537882</xdr:colOff>
      <xdr:row>12</xdr:row>
      <xdr:rowOff>150158</xdr:rowOff>
    </xdr:from>
    <xdr:to>
      <xdr:col>27</xdr:col>
      <xdr:colOff>248209</xdr:colOff>
      <xdr:row>14</xdr:row>
      <xdr:rowOff>33056</xdr:rowOff>
    </xdr:to>
    <xdr:sp macro="" textlink="$J$44">
      <xdr:nvSpPr>
        <xdr:cNvPr id="90" name="TextBox 89">
          <a:extLst>
            <a:ext uri="{FF2B5EF4-FFF2-40B4-BE49-F238E27FC236}">
              <a16:creationId xmlns:a16="http://schemas.microsoft.com/office/drawing/2014/main" id="{E4241373-4A06-4556-A0D1-119C939258E3}"/>
            </a:ext>
          </a:extLst>
        </xdr:cNvPr>
        <xdr:cNvSpPr txBox="1"/>
      </xdr:nvSpPr>
      <xdr:spPr>
        <a:xfrm>
          <a:off x="33370557" y="3255308"/>
          <a:ext cx="1539127" cy="378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28</xdr:col>
      <xdr:colOff>584387</xdr:colOff>
      <xdr:row>12</xdr:row>
      <xdr:rowOff>150158</xdr:rowOff>
    </xdr:from>
    <xdr:to>
      <xdr:col>35</xdr:col>
      <xdr:colOff>302476</xdr:colOff>
      <xdr:row>14</xdr:row>
      <xdr:rowOff>33056</xdr:rowOff>
    </xdr:to>
    <xdr:sp macro="" textlink="$J$44">
      <xdr:nvSpPr>
        <xdr:cNvPr id="91" name="TextBox 90">
          <a:extLst>
            <a:ext uri="{FF2B5EF4-FFF2-40B4-BE49-F238E27FC236}">
              <a16:creationId xmlns:a16="http://schemas.microsoft.com/office/drawing/2014/main" id="{239D08E0-0F24-463E-B7AF-121C83E03CE8}"/>
            </a:ext>
          </a:extLst>
        </xdr:cNvPr>
        <xdr:cNvSpPr txBox="1"/>
      </xdr:nvSpPr>
      <xdr:spPr>
        <a:xfrm>
          <a:off x="35855462" y="3255308"/>
          <a:ext cx="3985289" cy="378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24</xdr:col>
      <xdr:colOff>537882</xdr:colOff>
      <xdr:row>10</xdr:row>
      <xdr:rowOff>172010</xdr:rowOff>
    </xdr:from>
    <xdr:to>
      <xdr:col>27</xdr:col>
      <xdr:colOff>248209</xdr:colOff>
      <xdr:row>12</xdr:row>
      <xdr:rowOff>54907</xdr:rowOff>
    </xdr:to>
    <xdr:sp macro="" textlink="$J$44">
      <xdr:nvSpPr>
        <xdr:cNvPr id="92" name="TextBox 91">
          <a:extLst>
            <a:ext uri="{FF2B5EF4-FFF2-40B4-BE49-F238E27FC236}">
              <a16:creationId xmlns:a16="http://schemas.microsoft.com/office/drawing/2014/main" id="{5F203C7D-0BEF-4F15-A3D2-B95B02F89400}"/>
            </a:ext>
          </a:extLst>
        </xdr:cNvPr>
        <xdr:cNvSpPr txBox="1"/>
      </xdr:nvSpPr>
      <xdr:spPr>
        <a:xfrm>
          <a:off x="33370557" y="2781860"/>
          <a:ext cx="1539127" cy="3781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15</xdr:col>
      <xdr:colOff>342900</xdr:colOff>
      <xdr:row>12</xdr:row>
      <xdr:rowOff>73958</xdr:rowOff>
    </xdr:from>
    <xdr:to>
      <xdr:col>23</xdr:col>
      <xdr:colOff>347383</xdr:colOff>
      <xdr:row>12</xdr:row>
      <xdr:rowOff>73958</xdr:rowOff>
    </xdr:to>
    <xdr:cxnSp macro="">
      <xdr:nvCxnSpPr>
        <xdr:cNvPr id="93" name="Straight Connector 92">
          <a:extLst>
            <a:ext uri="{FF2B5EF4-FFF2-40B4-BE49-F238E27FC236}">
              <a16:creationId xmlns:a16="http://schemas.microsoft.com/office/drawing/2014/main" id="{A9C72E21-30F8-4FCB-859E-23668F6A490F}"/>
            </a:ext>
          </a:extLst>
        </xdr:cNvPr>
        <xdr:cNvCxnSpPr/>
      </xdr:nvCxnSpPr>
      <xdr:spPr>
        <a:xfrm>
          <a:off x="27689175" y="3179108"/>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537882</xdr:colOff>
      <xdr:row>12</xdr:row>
      <xdr:rowOff>73958</xdr:rowOff>
    </xdr:from>
    <xdr:to>
      <xdr:col>35</xdr:col>
      <xdr:colOff>121022</xdr:colOff>
      <xdr:row>12</xdr:row>
      <xdr:rowOff>73958</xdr:rowOff>
    </xdr:to>
    <xdr:cxnSp macro="">
      <xdr:nvCxnSpPr>
        <xdr:cNvPr id="94" name="Straight Connector 93">
          <a:extLst>
            <a:ext uri="{FF2B5EF4-FFF2-40B4-BE49-F238E27FC236}">
              <a16:creationId xmlns:a16="http://schemas.microsoft.com/office/drawing/2014/main" id="{EF7468C1-4820-49FE-A4F4-0BAC781E8249}"/>
            </a:ext>
          </a:extLst>
        </xdr:cNvPr>
        <xdr:cNvCxnSpPr/>
      </xdr:nvCxnSpPr>
      <xdr:spPr>
        <a:xfrm>
          <a:off x="33370557" y="3179108"/>
          <a:ext cx="6288740"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342900</xdr:colOff>
      <xdr:row>24</xdr:row>
      <xdr:rowOff>45944</xdr:rowOff>
    </xdr:from>
    <xdr:to>
      <xdr:col>18</xdr:col>
      <xdr:colOff>50427</xdr:colOff>
      <xdr:row>25</xdr:row>
      <xdr:rowOff>127186</xdr:rowOff>
    </xdr:to>
    <xdr:sp macro="" textlink="$J$44">
      <xdr:nvSpPr>
        <xdr:cNvPr id="95" name="TextBox 94">
          <a:extLst>
            <a:ext uri="{FF2B5EF4-FFF2-40B4-BE49-F238E27FC236}">
              <a16:creationId xmlns:a16="http://schemas.microsoft.com/office/drawing/2014/main" id="{F5772606-F155-416A-9B4F-2091CFA81BCA}"/>
            </a:ext>
          </a:extLst>
        </xdr:cNvPr>
        <xdr:cNvSpPr txBox="1"/>
      </xdr:nvSpPr>
      <xdr:spPr>
        <a:xfrm>
          <a:off x="27689175" y="6122894"/>
          <a:ext cx="1536327" cy="3288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19</xdr:col>
      <xdr:colOff>322251</xdr:colOff>
      <xdr:row>24</xdr:row>
      <xdr:rowOff>45944</xdr:rowOff>
    </xdr:from>
    <xdr:to>
      <xdr:col>23</xdr:col>
      <xdr:colOff>461683</xdr:colOff>
      <xdr:row>25</xdr:row>
      <xdr:rowOff>127186</xdr:rowOff>
    </xdr:to>
    <xdr:sp macro="" textlink="$J$44">
      <xdr:nvSpPr>
        <xdr:cNvPr id="96" name="TextBox 95">
          <a:extLst>
            <a:ext uri="{FF2B5EF4-FFF2-40B4-BE49-F238E27FC236}">
              <a16:creationId xmlns:a16="http://schemas.microsoft.com/office/drawing/2014/main" id="{76D00BB8-FB89-4F95-8C13-A272BCAEB3C4}"/>
            </a:ext>
          </a:extLst>
        </xdr:cNvPr>
        <xdr:cNvSpPr txBox="1"/>
      </xdr:nvSpPr>
      <xdr:spPr>
        <a:xfrm>
          <a:off x="30106926" y="6122894"/>
          <a:ext cx="2577832" cy="3288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15</xdr:col>
      <xdr:colOff>342900</xdr:colOff>
      <xdr:row>22</xdr:row>
      <xdr:rowOff>69476</xdr:rowOff>
    </xdr:from>
    <xdr:to>
      <xdr:col>18</xdr:col>
      <xdr:colOff>50427</xdr:colOff>
      <xdr:row>23</xdr:row>
      <xdr:rowOff>149037</xdr:rowOff>
    </xdr:to>
    <xdr:sp macro="" textlink="$J$44">
      <xdr:nvSpPr>
        <xdr:cNvPr id="97" name="TextBox 96">
          <a:extLst>
            <a:ext uri="{FF2B5EF4-FFF2-40B4-BE49-F238E27FC236}">
              <a16:creationId xmlns:a16="http://schemas.microsoft.com/office/drawing/2014/main" id="{F745F4DE-F863-4F2A-85DB-7FDD4701477E}"/>
            </a:ext>
          </a:extLst>
        </xdr:cNvPr>
        <xdr:cNvSpPr txBox="1"/>
      </xdr:nvSpPr>
      <xdr:spPr>
        <a:xfrm>
          <a:off x="27689175" y="5651126"/>
          <a:ext cx="1536327" cy="327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15</xdr:col>
      <xdr:colOff>342900</xdr:colOff>
      <xdr:row>16</xdr:row>
      <xdr:rowOff>49306</xdr:rowOff>
    </xdr:from>
    <xdr:ext cx="1830116" cy="254493"/>
    <xdr:sp macro="" textlink="">
      <xdr:nvSpPr>
        <xdr:cNvPr id="98" name="TextBox 97">
          <a:extLst>
            <a:ext uri="{FF2B5EF4-FFF2-40B4-BE49-F238E27FC236}">
              <a16:creationId xmlns:a16="http://schemas.microsoft.com/office/drawing/2014/main" id="{E92C48EB-3A0C-4719-9ED0-CACD0777D23A}"/>
            </a:ext>
          </a:extLst>
        </xdr:cNvPr>
        <xdr:cNvSpPr txBox="1"/>
      </xdr:nvSpPr>
      <xdr:spPr>
        <a:xfrm>
          <a:off x="27689175" y="414505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15</xdr:col>
      <xdr:colOff>381000</xdr:colOff>
      <xdr:row>20</xdr:row>
      <xdr:rowOff>72277</xdr:rowOff>
    </xdr:from>
    <xdr:to>
      <xdr:col>19</xdr:col>
      <xdr:colOff>132229</xdr:colOff>
      <xdr:row>22</xdr:row>
      <xdr:rowOff>39220</xdr:rowOff>
    </xdr:to>
    <xdr:sp macro="" textlink="">
      <xdr:nvSpPr>
        <xdr:cNvPr id="99" name="TextBox 98">
          <a:extLst>
            <a:ext uri="{FF2B5EF4-FFF2-40B4-BE49-F238E27FC236}">
              <a16:creationId xmlns:a16="http://schemas.microsoft.com/office/drawing/2014/main" id="{155960F8-0715-4417-9316-3359C79374B6}"/>
            </a:ext>
          </a:extLst>
        </xdr:cNvPr>
        <xdr:cNvSpPr txBox="1"/>
      </xdr:nvSpPr>
      <xdr:spPr>
        <a:xfrm>
          <a:off x="27727275" y="5158627"/>
          <a:ext cx="2189629" cy="4622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15</xdr:col>
      <xdr:colOff>390525</xdr:colOff>
      <xdr:row>22</xdr:row>
      <xdr:rowOff>43269</xdr:rowOff>
    </xdr:from>
    <xdr:to>
      <xdr:col>35</xdr:col>
      <xdr:colOff>149598</xdr:colOff>
      <xdr:row>22</xdr:row>
      <xdr:rowOff>59951</xdr:rowOff>
    </xdr:to>
    <xdr:cxnSp macro="">
      <xdr:nvCxnSpPr>
        <xdr:cNvPr id="100" name="Straight Connector 99">
          <a:extLst>
            <a:ext uri="{FF2B5EF4-FFF2-40B4-BE49-F238E27FC236}">
              <a16:creationId xmlns:a16="http://schemas.microsoft.com/office/drawing/2014/main" id="{ABFB6B2B-91DB-4F27-B788-9FAD8806AC75}"/>
            </a:ext>
          </a:extLst>
        </xdr:cNvPr>
        <xdr:cNvCxnSpPr/>
      </xdr:nvCxnSpPr>
      <xdr:spPr>
        <a:xfrm flipV="1">
          <a:off x="27736800" y="5624919"/>
          <a:ext cx="11951073"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537882</xdr:colOff>
      <xdr:row>24</xdr:row>
      <xdr:rowOff>45944</xdr:rowOff>
    </xdr:from>
    <xdr:to>
      <xdr:col>27</xdr:col>
      <xdr:colOff>248209</xdr:colOff>
      <xdr:row>25</xdr:row>
      <xdr:rowOff>127186</xdr:rowOff>
    </xdr:to>
    <xdr:sp macro="" textlink="$J$44">
      <xdr:nvSpPr>
        <xdr:cNvPr id="101" name="TextBox 100">
          <a:extLst>
            <a:ext uri="{FF2B5EF4-FFF2-40B4-BE49-F238E27FC236}">
              <a16:creationId xmlns:a16="http://schemas.microsoft.com/office/drawing/2014/main" id="{23BFB0F4-DC3E-473A-9579-70092E5DE5D8}"/>
            </a:ext>
          </a:extLst>
        </xdr:cNvPr>
        <xdr:cNvSpPr txBox="1"/>
      </xdr:nvSpPr>
      <xdr:spPr>
        <a:xfrm>
          <a:off x="33370557" y="6122894"/>
          <a:ext cx="1539127" cy="3288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24</xdr:col>
      <xdr:colOff>537882</xdr:colOff>
      <xdr:row>22</xdr:row>
      <xdr:rowOff>69476</xdr:rowOff>
    </xdr:from>
    <xdr:to>
      <xdr:col>27</xdr:col>
      <xdr:colOff>248209</xdr:colOff>
      <xdr:row>23</xdr:row>
      <xdr:rowOff>149037</xdr:rowOff>
    </xdr:to>
    <xdr:sp macro="" textlink="$J$44">
      <xdr:nvSpPr>
        <xdr:cNvPr id="102" name="TextBox 101">
          <a:extLst>
            <a:ext uri="{FF2B5EF4-FFF2-40B4-BE49-F238E27FC236}">
              <a16:creationId xmlns:a16="http://schemas.microsoft.com/office/drawing/2014/main" id="{5B362AAB-B3D7-4DE6-9276-72F395BDC851}"/>
            </a:ext>
          </a:extLst>
        </xdr:cNvPr>
        <xdr:cNvSpPr txBox="1"/>
      </xdr:nvSpPr>
      <xdr:spPr>
        <a:xfrm>
          <a:off x="33370557" y="5651126"/>
          <a:ext cx="1539127" cy="327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15</xdr:col>
      <xdr:colOff>342900</xdr:colOff>
      <xdr:row>23</xdr:row>
      <xdr:rowOff>168088</xdr:rowOff>
    </xdr:from>
    <xdr:to>
      <xdr:col>23</xdr:col>
      <xdr:colOff>375958</xdr:colOff>
      <xdr:row>23</xdr:row>
      <xdr:rowOff>168088</xdr:rowOff>
    </xdr:to>
    <xdr:cxnSp macro="">
      <xdr:nvCxnSpPr>
        <xdr:cNvPr id="103" name="Straight Connector 102">
          <a:extLst>
            <a:ext uri="{FF2B5EF4-FFF2-40B4-BE49-F238E27FC236}">
              <a16:creationId xmlns:a16="http://schemas.microsoft.com/office/drawing/2014/main" id="{227FFC05-A3E5-40E8-A22C-8E49944FED53}"/>
            </a:ext>
          </a:extLst>
        </xdr:cNvPr>
        <xdr:cNvCxnSpPr/>
      </xdr:nvCxnSpPr>
      <xdr:spPr>
        <a:xfrm>
          <a:off x="27689175" y="59973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537882</xdr:colOff>
      <xdr:row>23</xdr:row>
      <xdr:rowOff>168088</xdr:rowOff>
    </xdr:from>
    <xdr:to>
      <xdr:col>35</xdr:col>
      <xdr:colOff>159122</xdr:colOff>
      <xdr:row>23</xdr:row>
      <xdr:rowOff>168088</xdr:rowOff>
    </xdr:to>
    <xdr:cxnSp macro="">
      <xdr:nvCxnSpPr>
        <xdr:cNvPr id="104" name="Straight Connector 103">
          <a:extLst>
            <a:ext uri="{FF2B5EF4-FFF2-40B4-BE49-F238E27FC236}">
              <a16:creationId xmlns:a16="http://schemas.microsoft.com/office/drawing/2014/main" id="{D1742223-2B6A-49F1-AE28-A368F5C41575}"/>
            </a:ext>
          </a:extLst>
        </xdr:cNvPr>
        <xdr:cNvCxnSpPr/>
      </xdr:nvCxnSpPr>
      <xdr:spPr>
        <a:xfrm>
          <a:off x="33370557" y="5997388"/>
          <a:ext cx="632684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19</xdr:col>
      <xdr:colOff>237004</xdr:colOff>
      <xdr:row>16</xdr:row>
      <xdr:rowOff>49306</xdr:rowOff>
    </xdr:from>
    <xdr:ext cx="1830116" cy="254493"/>
    <xdr:sp macro="" textlink="">
      <xdr:nvSpPr>
        <xdr:cNvPr id="105" name="TextBox 104">
          <a:extLst>
            <a:ext uri="{FF2B5EF4-FFF2-40B4-BE49-F238E27FC236}">
              <a16:creationId xmlns:a16="http://schemas.microsoft.com/office/drawing/2014/main" id="{083E7332-BBEE-448C-B601-72ADFA8F2A47}"/>
            </a:ext>
          </a:extLst>
        </xdr:cNvPr>
        <xdr:cNvSpPr txBox="1"/>
      </xdr:nvSpPr>
      <xdr:spPr>
        <a:xfrm>
          <a:off x="30021679" y="414505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24</xdr:col>
      <xdr:colOff>537882</xdr:colOff>
      <xdr:row>16</xdr:row>
      <xdr:rowOff>49306</xdr:rowOff>
    </xdr:from>
    <xdr:ext cx="1830116" cy="254493"/>
    <xdr:sp macro="" textlink="">
      <xdr:nvSpPr>
        <xdr:cNvPr id="106" name="TextBox 105">
          <a:extLst>
            <a:ext uri="{FF2B5EF4-FFF2-40B4-BE49-F238E27FC236}">
              <a16:creationId xmlns:a16="http://schemas.microsoft.com/office/drawing/2014/main" id="{21EACE55-DEE7-45F2-9142-6E6B1B8A649F}"/>
            </a:ext>
          </a:extLst>
        </xdr:cNvPr>
        <xdr:cNvSpPr txBox="1"/>
      </xdr:nvSpPr>
      <xdr:spPr>
        <a:xfrm>
          <a:off x="33370557" y="414505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28</xdr:col>
      <xdr:colOff>584387</xdr:colOff>
      <xdr:row>16</xdr:row>
      <xdr:rowOff>49306</xdr:rowOff>
    </xdr:from>
    <xdr:ext cx="1830116" cy="254493"/>
    <xdr:sp macro="" textlink="">
      <xdr:nvSpPr>
        <xdr:cNvPr id="107" name="TextBox 106">
          <a:extLst>
            <a:ext uri="{FF2B5EF4-FFF2-40B4-BE49-F238E27FC236}">
              <a16:creationId xmlns:a16="http://schemas.microsoft.com/office/drawing/2014/main" id="{C66BDE2E-F496-471C-B820-181E005DCD3C}"/>
            </a:ext>
          </a:extLst>
        </xdr:cNvPr>
        <xdr:cNvSpPr txBox="1"/>
      </xdr:nvSpPr>
      <xdr:spPr>
        <a:xfrm>
          <a:off x="35855462" y="414505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15</xdr:col>
      <xdr:colOff>342900</xdr:colOff>
      <xdr:row>28</xdr:row>
      <xdr:rowOff>38660</xdr:rowOff>
    </xdr:from>
    <xdr:ext cx="1830116" cy="254493"/>
    <xdr:sp macro="" textlink="">
      <xdr:nvSpPr>
        <xdr:cNvPr id="108" name="TextBox 107">
          <a:extLst>
            <a:ext uri="{FF2B5EF4-FFF2-40B4-BE49-F238E27FC236}">
              <a16:creationId xmlns:a16="http://schemas.microsoft.com/office/drawing/2014/main" id="{BCB72000-0E91-4BA3-8229-639FBE3CF0AB}"/>
            </a:ext>
          </a:extLst>
        </xdr:cNvPr>
        <xdr:cNvSpPr txBox="1"/>
      </xdr:nvSpPr>
      <xdr:spPr>
        <a:xfrm>
          <a:off x="27689175" y="710621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19</xdr:col>
      <xdr:colOff>246529</xdr:colOff>
      <xdr:row>28</xdr:row>
      <xdr:rowOff>38660</xdr:rowOff>
    </xdr:from>
    <xdr:ext cx="1830116" cy="254493"/>
    <xdr:sp macro="" textlink="">
      <xdr:nvSpPr>
        <xdr:cNvPr id="109" name="TextBox 108">
          <a:extLst>
            <a:ext uri="{FF2B5EF4-FFF2-40B4-BE49-F238E27FC236}">
              <a16:creationId xmlns:a16="http://schemas.microsoft.com/office/drawing/2014/main" id="{A1228C79-9902-4037-A6ED-6D2153DF18E3}"/>
            </a:ext>
          </a:extLst>
        </xdr:cNvPr>
        <xdr:cNvSpPr txBox="1"/>
      </xdr:nvSpPr>
      <xdr:spPr>
        <a:xfrm>
          <a:off x="30031204" y="710621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24</xdr:col>
      <xdr:colOff>537882</xdr:colOff>
      <xdr:row>28</xdr:row>
      <xdr:rowOff>38660</xdr:rowOff>
    </xdr:from>
    <xdr:ext cx="1830116" cy="254493"/>
    <xdr:sp macro="" textlink="">
      <xdr:nvSpPr>
        <xdr:cNvPr id="110" name="TextBox 109">
          <a:extLst>
            <a:ext uri="{FF2B5EF4-FFF2-40B4-BE49-F238E27FC236}">
              <a16:creationId xmlns:a16="http://schemas.microsoft.com/office/drawing/2014/main" id="{0BDE2C4B-DE78-4FD1-9F51-96C18E709FC7}"/>
            </a:ext>
          </a:extLst>
        </xdr:cNvPr>
        <xdr:cNvSpPr txBox="1"/>
      </xdr:nvSpPr>
      <xdr:spPr>
        <a:xfrm>
          <a:off x="33370557" y="710621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29</xdr:col>
      <xdr:colOff>41462</xdr:colOff>
      <xdr:row>28</xdr:row>
      <xdr:rowOff>29135</xdr:rowOff>
    </xdr:from>
    <xdr:ext cx="1830116" cy="254493"/>
    <xdr:sp macro="" textlink="">
      <xdr:nvSpPr>
        <xdr:cNvPr id="111" name="TextBox 110">
          <a:extLst>
            <a:ext uri="{FF2B5EF4-FFF2-40B4-BE49-F238E27FC236}">
              <a16:creationId xmlns:a16="http://schemas.microsoft.com/office/drawing/2014/main" id="{C057059B-2CEE-4429-87D4-020C78D58DEB}"/>
            </a:ext>
          </a:extLst>
        </xdr:cNvPr>
        <xdr:cNvSpPr txBox="1"/>
      </xdr:nvSpPr>
      <xdr:spPr>
        <a:xfrm>
          <a:off x="35922137" y="70966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19</xdr:col>
      <xdr:colOff>275104</xdr:colOff>
      <xdr:row>25</xdr:row>
      <xdr:rowOff>155762</xdr:rowOff>
    </xdr:from>
    <xdr:to>
      <xdr:col>22</xdr:col>
      <xdr:colOff>404533</xdr:colOff>
      <xdr:row>28</xdr:row>
      <xdr:rowOff>108696</xdr:rowOff>
    </xdr:to>
    <xdr:sp macro="" textlink="$H$59">
      <xdr:nvSpPr>
        <xdr:cNvPr id="112" name="TextBox 111">
          <a:extLst>
            <a:ext uri="{FF2B5EF4-FFF2-40B4-BE49-F238E27FC236}">
              <a16:creationId xmlns:a16="http://schemas.microsoft.com/office/drawing/2014/main" id="{ACCB5CD1-BBB0-446E-B1A2-E700E6E171FE}"/>
            </a:ext>
          </a:extLst>
        </xdr:cNvPr>
        <xdr:cNvSpPr txBox="1"/>
      </xdr:nvSpPr>
      <xdr:spPr>
        <a:xfrm>
          <a:off x="30059779" y="6480362"/>
          <a:ext cx="1958229" cy="6958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ADDCD42-80C8-425D-BC3C-AF3BE13AEB84}"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29</xdr:col>
      <xdr:colOff>31936</xdr:colOff>
      <xdr:row>25</xdr:row>
      <xdr:rowOff>174812</xdr:rowOff>
    </xdr:from>
    <xdr:to>
      <xdr:col>32</xdr:col>
      <xdr:colOff>158563</xdr:colOff>
      <xdr:row>28</xdr:row>
      <xdr:rowOff>80121</xdr:rowOff>
    </xdr:to>
    <xdr:sp macro="" textlink="$I$59">
      <xdr:nvSpPr>
        <xdr:cNvPr id="113" name="TextBox 112">
          <a:extLst>
            <a:ext uri="{FF2B5EF4-FFF2-40B4-BE49-F238E27FC236}">
              <a16:creationId xmlns:a16="http://schemas.microsoft.com/office/drawing/2014/main" id="{AB9273A2-1E60-455E-AA2F-7814E349A57D}"/>
            </a:ext>
          </a:extLst>
        </xdr:cNvPr>
        <xdr:cNvSpPr txBox="1"/>
      </xdr:nvSpPr>
      <xdr:spPr>
        <a:xfrm>
          <a:off x="35912611" y="6499412"/>
          <a:ext cx="1955427" cy="6482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480E888-1F6E-4E99-935B-90A55A1BBFBB}"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17</xdr:col>
      <xdr:colOff>174252</xdr:colOff>
      <xdr:row>5</xdr:row>
      <xdr:rowOff>41462</xdr:rowOff>
    </xdr:from>
    <xdr:to>
      <xdr:col>23</xdr:col>
      <xdr:colOff>23533</xdr:colOff>
      <xdr:row>7</xdr:row>
      <xdr:rowOff>23533</xdr:rowOff>
    </xdr:to>
    <xdr:sp macro="" textlink="">
      <xdr:nvSpPr>
        <xdr:cNvPr id="114" name="TextBox 113">
          <a:extLst>
            <a:ext uri="{FF2B5EF4-FFF2-40B4-BE49-F238E27FC236}">
              <a16:creationId xmlns:a16="http://schemas.microsoft.com/office/drawing/2014/main" id="{7E9A1D15-040F-4459-B018-D9C3E57677DC}"/>
            </a:ext>
          </a:extLst>
        </xdr:cNvPr>
        <xdr:cNvSpPr txBox="1"/>
      </xdr:nvSpPr>
      <xdr:spPr>
        <a:xfrm>
          <a:off x="28739727" y="1413062"/>
          <a:ext cx="3506881" cy="4773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Manure sold</a:t>
          </a:r>
        </a:p>
      </xdr:txBody>
    </xdr:sp>
    <xdr:clientData/>
  </xdr:twoCellAnchor>
  <xdr:twoCellAnchor editAs="oneCell">
    <xdr:from>
      <xdr:col>15</xdr:col>
      <xdr:colOff>383836</xdr:colOff>
      <xdr:row>4</xdr:row>
      <xdr:rowOff>0</xdr:rowOff>
    </xdr:from>
    <xdr:to>
      <xdr:col>17</xdr:col>
      <xdr:colOff>92278</xdr:colOff>
      <xdr:row>7</xdr:row>
      <xdr:rowOff>136712</xdr:rowOff>
    </xdr:to>
    <xdr:pic>
      <xdr:nvPicPr>
        <xdr:cNvPr id="115" name="Picture 114">
          <a:extLst>
            <a:ext uri="{FF2B5EF4-FFF2-40B4-BE49-F238E27FC236}">
              <a16:creationId xmlns:a16="http://schemas.microsoft.com/office/drawing/2014/main" id="{FCB7C779-3C2F-41E0-B11D-4561FE82121E}"/>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t="27" b="27"/>
        <a:stretch/>
      </xdr:blipFill>
      <xdr:spPr>
        <a:xfrm flipH="1">
          <a:off x="27730111" y="1123950"/>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69A8A72-3CE5-4227-BDCD-1353ACE6C13A}" name="Table_Input_Enterprise_PlantingRemovals" displayName="Table_Input_Enterprise_PlantingRemovals" ref="D39:G40" totalsRowShown="0">
  <autoFilter ref="D39:G40" xr:uid="{069A8A72-3CE5-4227-BDCD-1353ACE6C13A}"/>
  <tableColumns count="4">
    <tableColumn id="1" xr3:uid="{5836E445-9CFC-4A97-8DDE-4C249E943537}" name="Planting name" dataCellStyle="Input text"/>
    <tableColumn id="2" xr3:uid="{365B899D-C571-4ECB-96CB-13C89774EE3C}" name="Total removed CO2" dataCellStyle="Input number general"/>
    <tableColumn id="3" xr3:uid="{13C8816C-5A9D-4FC0-AFF7-A72C96BBC8FB}" name="Percent allocated to this enterprise" dataCellStyle="Input percent"/>
    <tableColumn id="4" xr3:uid="{E46B1659-4CAC-423C-A977-D1FEDC0B6B19}"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EA1C81-FBB6-43DC-BB35-9A0347A24CF8}"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84D8E3C0-97CA-4CF1-A63F-3CF6AAE07330}" name="Transaction name" dataCellStyle="Input text"/>
    <tableColumn id="1" xr3:uid="{E41B3FA3-55C1-4BBF-A477-D8EDBC89025E}" name="Class (select)" dataCellStyle="Input select"/>
    <tableColumn id="2" xr3:uid="{3F9F09B6-E6B3-4323-AB6A-249C77DAFA51}" name="Sale date" dataDxfId="41"/>
    <tableColumn id="3" xr3:uid="{48DB24D2-2F89-4EEB-911F-2F24089C3918}" name="Head sold"/>
    <tableColumn id="4" xr3:uid="{879FC871-5C62-44BF-952F-ACBA1C3B6AE4}" name="Average weight per head (kg)"/>
    <tableColumn id="5" xr3:uid="{B8588D76-BACA-4516-8963-B7E8E5A87B93}"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8995D52-72E4-462E-AA04-9D1AA22FE12D}" name="Table_Input_DataQuality_Enterprise" displayName="Table_Input_DataQuality_Enterprise" ref="D7:J15" totalsRowShown="0" headerRowCellStyle="Input table column header">
  <autoFilter ref="D7:J15" xr:uid="{98995D52-72E4-462E-AA04-9D1AA22FE12D}"/>
  <tableColumns count="7">
    <tableColumn id="1" xr3:uid="{766414E3-927F-4281-9C0C-1A9C5011AAEE}" name="Data type" dataCellStyle="Content normal"/>
    <tableColumn id="2" xr3:uid="{7FC986B7-3E05-4518-A4BD-B7EBD33A8B15}" name="When was the data sourced?" dataCellStyle="Input select"/>
    <tableColumn id="3" xr3:uid="{16526B22-D217-46EF-BC4C-E637FCE5EC95}" name="Where is the data sourced from?" dataCellStyle="Input select"/>
    <tableColumn id="4" xr3:uid="{3AAC4A98-CAAD-40B5-A722-73508C5FB166}" name="How much of the data was from direct samples?" dataCellStyle="Input select"/>
    <tableColumn id="5" xr3:uid="{C448A810-BAE3-4F91-9F24-21BAF52A973C}" name="Notes" dataDxfId="55"/>
    <tableColumn id="6" xr3:uid="{862E9D6B-BB43-41BE-8C67-1D64A642D7F3}" name="Evidence files" dataDxfId="54"/>
    <tableColumn id="7" xr3:uid="{A9957D63-1EBA-4D14-BC67-2A0E3AA2B419}" name="Score" dataCellStyle="Input number general calculated">
      <calculatedColumnFormula>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848B1C5-D7DC-4075-A870-4540ADBE9724}" name="Table_Input_DataQuality_Site" displayName="Table_Input_DataQuality_Site" ref="D20:J26" totalsRowShown="0" headerRowCellStyle="Input table column header">
  <autoFilter ref="D20:J26" xr:uid="{2848B1C5-D7DC-4075-A870-4540ADBE9724}"/>
  <tableColumns count="7">
    <tableColumn id="1" xr3:uid="{5D856B47-8344-434C-B8C5-AE157F966229}" name="Data type" dataCellStyle="Content normal"/>
    <tableColumn id="2" xr3:uid="{D4CB6C67-0558-4F8C-A55A-4C433B91BCE6}" name="When was the data sourced?" dataCellStyle="Input select"/>
    <tableColumn id="3" xr3:uid="{6E2A6B06-3DDD-4A3D-B134-9424CA31C644}" name="Where is the data sourced from?" dataCellStyle="Input select"/>
    <tableColumn id="4" xr3:uid="{FEA1703D-1911-4DEC-82D3-85178A1D42E0}" name="How much of the data was from direct samples?" dataCellStyle="Input select"/>
    <tableColumn id="5" xr3:uid="{3337BFD3-3DF4-4A5A-A926-E755139A6157}" name="Notes" dataDxfId="53"/>
    <tableColumn id="6" xr3:uid="{12BBF343-9185-4858-889C-52CA6187F028}" name="Evidence files" dataDxfId="52"/>
    <tableColumn id="7" xr3:uid="{17DE9946-3E3E-4EC2-B523-EF7923BDEA6F}" name="Score" dataCellStyle="Input number general calculated">
      <calculatedColumnFormula>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E3F9232-DE67-4592-BB73-E46C0BFB9590}" name="Table_Input_DataQuality_PastureBeef" displayName="Table_Input_DataQuality_PastureBeef" ref="D31:J40" totalsRowShown="0" headerRowCellStyle="Input table column header">
  <autoFilter ref="D31:J40" xr:uid="{AE3F9232-DE67-4592-BB73-E46C0BFB9590}"/>
  <tableColumns count="7">
    <tableColumn id="1" xr3:uid="{D38B7C50-F506-42CE-9FB5-1C0375096DC3}" name="Data type" dataCellStyle="Content normal"/>
    <tableColumn id="2" xr3:uid="{C56260A7-FB13-4B26-8678-AAA427DA7FC6}" name="When was the data sourced?" dataCellStyle="Input select"/>
    <tableColumn id="3" xr3:uid="{2D8817D3-070C-4235-B959-84550EDF61B3}" name="Where is the data sourced from?" dataCellStyle="Input select"/>
    <tableColumn id="4" xr3:uid="{125CD8F4-EF3A-4071-B192-6795409946D8}" name="How much of the data was from direct samples?" dataCellStyle="Input select"/>
    <tableColumn id="5" xr3:uid="{8A74E42F-C35B-4BDD-9245-839C1F3C1520}" name="Notes" dataDxfId="51"/>
    <tableColumn id="6" xr3:uid="{3AB4A9DC-680B-447C-8E99-9AB65396E5A9}" name="Evidence files" dataDxfId="50"/>
    <tableColumn id="7" xr3:uid="{787C62E0-A9BD-475F-BB50-10FFADB8EB15}" name="Score" dataCellStyle="Input number general calculated">
      <calculatedColumnFormula>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B405304-2224-4461-A2AC-5C3337297B9F}" name="Table_Input_DataQuality_PastureManagement" displayName="Table_Input_DataQuality_PastureManagement" ref="D45:J50" totalsRowShown="0" headerRowCellStyle="Input table column header">
  <autoFilter ref="D45:J50" xr:uid="{0B405304-2224-4461-A2AC-5C3337297B9F}"/>
  <tableColumns count="7">
    <tableColumn id="1" xr3:uid="{FA93AB86-7F7C-49DB-BE84-942EBF4E4BF5}" name="Data type" dataCellStyle="Content normal"/>
    <tableColumn id="2" xr3:uid="{2FFB4163-E47F-407D-B4D6-9583863507A0}" name="When was the data sourced?" dataCellStyle="Input select"/>
    <tableColumn id="3" xr3:uid="{C7B0DDB8-1A90-4AB7-90CC-6CB1635601DC}" name="Where is the data sourced from?" dataCellStyle="Input select"/>
    <tableColumn id="4" xr3:uid="{1A709C61-EFE5-4D80-AA71-A79AC4D162FC}" name="How much of the data was from direct samples?" dataCellStyle="Input select"/>
    <tableColumn id="5" xr3:uid="{7212BD6B-35BD-42D8-9F09-AB4A9E21E11E}" name="Notes" dataDxfId="49"/>
    <tableColumn id="6" xr3:uid="{ED8DEFB0-F672-4B94-8A8A-08E95B94F452}" name="Evidence files" dataDxfId="48"/>
    <tableColumn id="7" xr3:uid="{EAC77EB9-8A0A-47A3-953F-56CA1EDD9E53}" name="Score" dataCellStyle="Input number general calculated">
      <calculatedColumnFormula>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730C67F-E882-4123-B8E3-AE2103E197F7}" name="Table_Input_DataQuality_FertiliserApplications" displayName="Table_Input_DataQuality_FertiliserApplications" ref="D55:J59" totalsRowShown="0" headerRowCellStyle="Input table column header">
  <autoFilter ref="D55:J59" xr:uid="{4730C67F-E882-4123-B8E3-AE2103E197F7}"/>
  <tableColumns count="7">
    <tableColumn id="1" xr3:uid="{48A9368D-67DB-49BE-ADF0-3ED3D6B6886D}" name="Data type" dataCellStyle="Content normal"/>
    <tableColumn id="2" xr3:uid="{95B12875-4F57-460D-AE75-4103EF22C913}" name="When was the data sourced?" dataCellStyle="Input select"/>
    <tableColumn id="3" xr3:uid="{0703985D-E427-4374-B543-83D0FAAE6508}" name="Where is the data sourced from?" dataCellStyle="Input select"/>
    <tableColumn id="4" xr3:uid="{F3E44A87-7F7D-45F0-9B3D-595F89897070}" name="How much of the data was from direct samples?" dataCellStyle="Input select"/>
    <tableColumn id="5" xr3:uid="{BB0AB219-76C5-4C07-8464-6A099FB6C087}" name="Notes" dataDxfId="47"/>
    <tableColumn id="6" xr3:uid="{55811535-8D98-416A-8E25-DF480443738D}" name="Evidence files" dataDxfId="46"/>
    <tableColumn id="7" xr3:uid="{8413E0FF-2043-42EC-A1B4-A58F9779C482}" name="Score" dataCellStyle="Input number general calculated">
      <calculatedColumnFormula>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E9F5BC-0B36-44D3-B860-B92B81D8BE83}" name="Table_Input_DataQuality_FuelElectricity" displayName="Table_Input_DataQuality_FuelElectricity" ref="D64:J68" totalsRowShown="0" headerRowCellStyle="Input table column header">
  <autoFilter ref="D64:J68" xr:uid="{FBE9F5BC-0B36-44D3-B860-B92B81D8BE83}"/>
  <tableColumns count="7">
    <tableColumn id="1" xr3:uid="{2316B718-5991-48B1-B750-5D2A364EE140}" name="Data type" dataCellStyle="Content normal"/>
    <tableColumn id="2" xr3:uid="{52B081B7-B268-4C29-BBBD-2ABFDFCC78C6}" name="When was the data sourced?" dataCellStyle="Input select"/>
    <tableColumn id="3" xr3:uid="{7C9ED2CA-1AB5-4318-AE1E-18BB67F2312F}" name="Where is the data sourced from?" dataCellStyle="Input select"/>
    <tableColumn id="4" xr3:uid="{85CB9257-FE0E-414E-9925-9D7DF17DA6DB}" name="How much of the data was from direct samples?" dataCellStyle="Input select"/>
    <tableColumn id="5" xr3:uid="{8C5D46E1-460B-4C34-B936-B7340702FC8A}" name="Notes" dataDxfId="45"/>
    <tableColumn id="6" xr3:uid="{6B183878-5EA9-4AA1-88D9-695C68CB6713}" name="Evidence files" dataDxfId="44"/>
    <tableColumn id="7" xr3:uid="{59AFF1C5-72B9-4397-97DE-85D9ECCFD14B}"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2EB8271-BB65-4189-90A6-6F24041663B6}" name="Table_Input_DataQuality_FarmInputsFreightWaste" displayName="Table_Input_DataQuality_FarmInputsFreightWaste" ref="D74:J79" totalsRowShown="0" headerRowCellStyle="Input table column header">
  <autoFilter ref="D74:J79" xr:uid="{E2EB8271-BB65-4189-90A6-6F24041663B6}"/>
  <tableColumns count="7">
    <tableColumn id="1" xr3:uid="{1D368DF0-B2ED-4A41-9D9C-CF6BCABEFFB3}" name="Data type" dataCellStyle="Content normal"/>
    <tableColumn id="2" xr3:uid="{2D4AFB44-5300-46F3-9156-D8EDC1DE265E}" name="When was the data sourced?" dataCellStyle="Input select"/>
    <tableColumn id="3" xr3:uid="{A1D0BD11-9716-43AD-83B6-98340DEC6B6C}" name="Where is the data sourced from?" dataCellStyle="Input select"/>
    <tableColumn id="4" xr3:uid="{810B210E-D3DD-4C2B-B6F7-D7658FAC417A}" name="How much of the data was from direct samples?" dataCellStyle="Input select"/>
    <tableColumn id="5" xr3:uid="{CF709830-6D5F-4365-B6EA-2DD643D1C7D9}" name="Notes" dataDxfId="43"/>
    <tableColumn id="6" xr3:uid="{F475BD73-7F40-4FD8-8570-BB188E6B27D1}" name="Evidence files" dataDxfId="42"/>
    <tableColumn id="7" xr3:uid="{3CC20754-630A-403A-A4B8-AE12D211F244}"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C478747-1F5D-47EE-BF4A-E425947C11C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A287FA3-800B-4A3C-B890-EE3EB2C92498}" name="State/Territory">
      <calculatedColumnFormula array="1">Common_InputFunctions.Utility_DisplayArrayInTable(Common_SourceData.Common_SourceData_AustralianStatesTerritories_Data(),Table_AustralianStates[[#Headers],[State/Territory]],0)</calculatedColumnFormula>
    </tableColumn>
    <tableColumn id="2" xr3:uid="{96370351-02C0-481B-ABA4-01406FE3BD55}" name="Common Name">
      <calculatedColumnFormula array="1">Common_InputFunctions.Utility_DisplayArrayInTable(Common_SourceData.Common_SourceData_AustralianStatesTerritories_Data(),Table_AustralianStates[[#Headers],[State/Territory]],0)</calculatedColumnFormula>
    </tableColumn>
    <tableColumn id="3" xr3:uid="{842546B1-B984-44F3-AC64-19842544880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39DC0B0-B96D-42DE-A74F-9666165298BB}" name="Table_WASA4Areas" displayName="Table_WASA4Areas" ref="D20:D30" totalsRowShown="0">
  <autoFilter ref="D20:D30" xr:uid="{5FA81339-C6C8-4D36-BEEA-6C4AEDD9E676}">
    <filterColumn colId="0" hiddenButton="1"/>
  </autoFilter>
  <tableColumns count="1">
    <tableColumn id="1" xr3:uid="{CEB26DE3-6D08-4488-BCC5-CAF66DA0743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088AC4D-D2BB-4119-86D0-5C4ECEF277E6}" name="Table_GWPData" displayName="Table_GWPData" ref="D36:E43" totalsRowShown="0">
  <autoFilter ref="D36:E43" xr:uid="{B8E87A66-3E41-4AD3-925D-01EE21B43D7A}">
    <filterColumn colId="0" hiddenButton="1"/>
    <filterColumn colId="1" hiddenButton="1"/>
  </autoFilter>
  <tableColumns count="2">
    <tableColumn id="1" xr3:uid="{8B79CC01-3ECE-4E13-BCFA-D269536A7BCE}" name="Gas">
      <calculatedColumnFormula array="1">Common_InputFunctions.Utility_DisplayArrayInTable(Common_SourceData.Common_SourceData_GWP_Data(), Table_GWPData[[#Headers],[Gas]], 0)</calculatedColumnFormula>
    </tableColumn>
    <tableColumn id="2" xr3:uid="{1429926F-63F9-41B0-922F-6ECBEB0F51C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082FF7C-D65B-40DD-A145-3895A8DB7C1F}"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4DBA2455-78CB-4D98-AA3F-09E76468921A}" name="Gas">
      <calculatedColumnFormula array="1">Common_InputFunctions.Utility_DisplayArrayInTable(Common_SourceData.Common_SourceData_ConvertGasElementalToMolecular_Data(),Table_GasToMolecularConversionFactor[[#Headers],[Gas]], 0)</calculatedColumnFormula>
    </tableColumn>
    <tableColumn id="5" xr3:uid="{847F9075-C0C3-424A-89AD-B0E0C46CC2B7}" name="Conversion factor">
      <calculatedColumnFormula array="1">Common_InputFunctions.Utility_DisplayArrayInTable(Common_SourceData.Common_SourceData_ConvertGasElementalToMolecular_Data(),Table_GasToMolecularConversionFactor[[#Headers],[Gas]], 0)</calculatedColumnFormula>
    </tableColumn>
    <tableColumn id="2" xr3:uid="{B3F423E7-5422-4AB0-8E9F-FE964D1AB28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0878C27-AF09-4C3E-AA84-4643A115F4B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AA59925-0E1E-4C81-A2FE-508039861BCA}"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D0CB345A-1C1C-4903-883E-95B118EE9D5B}"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22A5368-2115-4AFA-9E1B-55763DE89670}"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85395033-5600-477B-B2A8-F9DD6340CCA7}" name="MAT"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3" xr3:uid="{CFC93F08-2BC7-4BBC-A029-A0CEEFC4A386}" name="MAP"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4" xr3:uid="{7EEE0652-905E-4C60-9EA8-BB1B972258D1}" name="Frost days per year"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5" xr3:uid="{097C0B4C-AE79-4AEF-9D0C-8729F8FD7AE7}" name="Elevation"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6" xr3:uid="{FEB741F7-AC5C-4AEE-9552-9D4B6ECAE991}" name="MAP:PE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7" xr3:uid="{D5410FE5-B548-4931-A6AC-14C2144A60DA}" name="Min tem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8" xr3:uid="{5A1A3BF3-FC1C-49D4-864A-417D756978EB}" name="Max tem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9" xr3:uid="{2C3E4891-FDD2-45D8-9E12-D7E20AB2C942}" name="Min rainfall"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0" xr3:uid="{5C2EEE10-BE60-43AB-BD46-3D5857E233F0}" name="Max rainfall"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1" xr3:uid="{B8D4FB2A-E41F-41E4-A1B0-B50B6F4B8222}" name="Min frost days"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5" xr3:uid="{D1F195A5-29D3-4872-B840-5C2B982B31D3}" name="Max frost days"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2" xr3:uid="{D7C29537-FEDC-4D4C-ACE3-42DDEEA677B7}" name="Min elevation"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6" xr3:uid="{958174B2-155C-4F21-8FC1-CAED3FC453D2}" name="Max elevation"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3" xr3:uid="{17E613AB-F9F0-404A-8CFE-A6BE09D2A63F}" name="Min MAP:PET"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7" xr3:uid="{1E04DA75-1873-41D6-92F5-FFC40E85975A}" name="Max MAP:PET" totalsRowDxfId="2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8EA0F00-70EE-4353-B983-2572CEB0F04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8F355FA-9E18-4624-B96F-3F7C85E0C75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E23F64E-887D-4EF9-9FE8-07F603CE353D}" name="Wet or Dry Zone" totalsRowDxfId="2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3AFA370-8738-4E34-8DE5-34791278D8C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028E416-FD0D-4083-A9D9-9CDCBCBAB5EC}" name="Temperature Zone">
      <calculatedColumnFormula array="1">Common_InputFunctions.Utility_DisplayArrayInTable(Common_SourceData.Common_SourceData_TemperatureZones_Data(),Table_SourceData_TemperatureZones[[#Headers],[Temperature Zone]],0)</calculatedColumnFormula>
    </tableColumn>
    <tableColumn id="2" xr3:uid="{3213D349-5EBF-4936-AAA8-D15F4B964FB1}" name="MAT">
      <calculatedColumnFormula array="1">Common_InputFunctions.Utility_DisplayArrayInTable(Common_SourceData.Common_SourceData_TemperatureZones_Data(),Table_SourceData_TemperatureZones[[#Headers],[Temperature Zone]],0)</calculatedColumnFormula>
    </tableColumn>
    <tableColumn id="3" xr3:uid="{E0EBBFC7-A140-40A8-8E12-520D0626130C}" name="Min MAT">
      <calculatedColumnFormula array="1">Common_InputFunctions.Utility_DisplayArrayInTable(Common_SourceData.Common_SourceData_TemperatureZones_Data(),Table_SourceData_TemperatureZones[[#Headers],[Temperature Zone]],0)</calculatedColumnFormula>
    </tableColumn>
    <tableColumn id="4" xr3:uid="{D697D416-FDA5-4372-8BBC-3176E392201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04C603B-B6F6-4EF5-BD98-BFD203645EB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ADDB08F-80D5-4814-A2A0-D98870369EC7}" name="Rainfall Zone">
      <calculatedColumnFormula array="1">Common_InputFunctions.Utility_DisplayArrayInTable(Common_SourceData.Common_SourceData_RainfallZones_Data(),Table_SourceData_RainfallZones[[#Headers],[Rainfall Zone]],0)</calculatedColumnFormula>
    </tableColumn>
    <tableColumn id="2" xr3:uid="{E0DE79E3-5186-40AE-AFE3-FF55A6EEA374}" name="Annual rainfall">
      <calculatedColumnFormula array="1">Common_InputFunctions.Utility_DisplayArrayInTable(Common_SourceData.Common_SourceData_RainfallZones_Data(),Table_SourceData_RainfallZones[[#Headers],[Rainfall Zone]],0)</calculatedColumnFormula>
    </tableColumn>
    <tableColumn id="3" xr3:uid="{31804A76-4AC7-4705-A77D-2CCE1E9337BE}" name="Min rainfall">
      <calculatedColumnFormula array="1">Common_InputFunctions.Utility_DisplayArrayInTable(Common_SourceData.Common_SourceData_RainfallZones_Data(),Table_SourceData_RainfallZones[[#Headers],[Rainfall Zone]],0)</calculatedColumnFormula>
    </tableColumn>
    <tableColumn id="4" xr3:uid="{D9EF56B1-0415-4006-AE4F-4DB80FEDB32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7AA4CFA5-F9FD-4055-8934-17ECCA2F6C85}"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1F7D022-6B55-4D8B-932F-227988594410}" name="Leaching Zone">
      <calculatedColumnFormula array="1">Common_InputFunctions.Utility_DisplayArrayInTable(Common_SourceData.Common_SourceData_LeachingZones_Data(), Table_SourceData_LeachingZones[[#Headers],[Leaching Zone]], 0)</calculatedColumnFormula>
    </tableColumn>
    <tableColumn id="2" xr3:uid="{2F08230F-DF28-4379-B8D2-B1FBE7194F9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31C3C94-FBA2-41C7-A91E-9959E5819B6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3A7BCDD8-83C0-455D-9496-7FEF773FF5E2}" name="Data source">
      <calculatedColumnFormula array="1">Common_InputFunctions.Utility_DisplayArrayInTable(Common_SourceData.Common_SourceData_DataScores_Scope3_Data(), Table_SourceData_DataScores_Scope3[[#Headers],[Data source]], 0)</calculatedColumnFormula>
    </tableColumn>
    <tableColumn id="2" xr3:uid="{E2BCFC54-9252-41C2-9D03-980F90A46BF2}"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280D15C-3F73-4E88-9643-0E3B7226C575}" name="Table_SourceData_FracWET" displayName="Table_SourceData_FracWET" ref="D134:E136" totalsRowShown="0">
  <autoFilter ref="D134:E136" xr:uid="{308E99BE-FE1F-47A4-B2CA-97217277C4E9}">
    <filterColumn colId="0" hiddenButton="1"/>
    <filterColumn colId="1" hiddenButton="1"/>
  </autoFilter>
  <tableColumns count="2">
    <tableColumn id="1" xr3:uid="{52D54B98-3F5C-4DAD-91D8-47209B1CBF0F}" name="Is in leaching zone">
      <calculatedColumnFormula array="1">Common_InputFunctions.Utility_DisplayArrayInTable(Common_SourceData.Common_SourceData_FracWET_Data(),Table_SourceData_FracWET[[#Headers],[Is in leaching zone]],0)</calculatedColumnFormula>
    </tableColumn>
    <tableColumn id="2" xr3:uid="{9A57EC7B-E1C2-4105-B13E-4EB510230417}" name="FracWET" dataDxfId="2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17F96F76-16B5-4D2C-B2C0-0677F9A62AA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77D4AE1-5BBD-45EF-BFCD-46D4274DEA0D}" name="Production system j">
      <calculatedColumnFormula array="1">Common_InputFunctions.Utility_DisplayArrayInTable(Common_SourceData.Common_SourceData_EFN2O_Data(), Table_SourceData_Common_EFN2O[[#Headers],[Production system j]], 0)</calculatedColumnFormula>
    </tableColumn>
    <tableColumn id="2" xr3:uid="{C6CCA8D0-AB73-4541-AA09-167B095E7B82}" name="EFN2O">
      <calculatedColumnFormula array="1">Common_InputFunctions.Utility_DisplayArrayInTable(Common_SourceData.Common_SourceData_EFN2O_Data(), Table_SourceData_Common_EFN2O[[#Headers],[Production system j]], 0)</calculatedColumnFormula>
    </tableColumn>
    <tableColumn id="3" xr3:uid="{204083C8-C399-4D6B-B0B2-8991D4E5A8F7}" name="Production system only">
      <calculatedColumnFormula array="1">Common_InputFunctions.Utility_DisplayArrayInTable(Common_SourceData.Common_SourceData_EFN2O_Data(), Table_SourceData_Common_EFN2O[[#Headers],[Production system j]], 0)</calculatedColumnFormula>
    </tableColumn>
    <tableColumn id="4" xr3:uid="{973DD926-23DF-46A2-AD58-D64F34F24EFA}" name="Irrigation method">
      <calculatedColumnFormula array="1">Common_InputFunctions.Utility_DisplayArrayInTable(Common_SourceData.Common_SourceData_EFN2O_Data(), Table_SourceData_Common_EFN2O[[#Headers],[Production system j]], 0)</calculatedColumnFormula>
    </tableColumn>
    <tableColumn id="5" xr3:uid="{E046B314-7010-4676-A5EB-F80F38D4F3A9}"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EBC22D0-6B32-4611-AF7D-E42A8F1055F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7C001083-286C-4E7A-AD5C-B894196CEE00}" name="Irrigation type i">
      <calculatedColumnFormula array="1">Common_InputFunctions.Utility_DisplayArrayInTable(Common_SourceData.Common_SourceData_FracWETIrrigation_Data(), Table_SourceData_FracWETIrrigation[[#Headers],[Irrigation type i]], 0)</calculatedColumnFormula>
    </tableColumn>
    <tableColumn id="2" xr3:uid="{DE1A60AE-C5D5-49AC-95C8-8D0AAEB02582}" name="FracWET" dataDxfId="2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BD8BBAD-D110-4F14-9BA3-022B7AA72A94}"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9596886-0825-40AB-8B15-2DDEA3CCEB3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A08677F-AAE3-40D4-BEDE-23058A375EDA}" name="EFPRP" dataDxfId="2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C362327E-5357-47F6-8F2F-705B458BCC4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57C75E7A-19E3-47ED-8896-2766A83C634A}" name="Month">
      <calculatedColumnFormula array="1">Common_InputFunctions.Utility_DisplayArrayInTable(Common_SourceData.Common_SourceData_MonthsToSeasons_Data(), Table_SourceData_Common_MonthToSeason[[#Headers],[Month]], 0)</calculatedColumnFormula>
    </tableColumn>
    <tableColumn id="2" xr3:uid="{812BD67D-F33D-41B3-8A9B-8A4DB75F9B83}" name="Season" dataDxfId="2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1C8652F-8FA0-4F1A-AD28-C3BA994322F5}"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4C72E13-EE2E-41C7-BA47-EFB29BF9831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2CDB234B-55CD-4F04-ABCC-7C1B9BE9C5EA}" name="MAT (ºC)"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31FC9592-470C-4745-BE0C-801EDB73B364}" name="Anaerobic lagoon"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0BBADFC2-AD9E-45A1-A477-BCBE2A443483}" name="Digester / covered lagoons"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1489AD5-67B7-4E73-8CF6-B6524734B20F}" name="Liquid systems"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11525F1-D92E-45C7-9BF8-3E33E56C8730}" name="Daily spread"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24CB689-3CDB-4700-9377-C73EB2656DE1}" name="Composting (passive windrow)"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0D646B5-9BD0-4389-90A1-3149EF4602EE}" name="Solid storage"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53D8404-CF61-4D43-BB93-FA9A02F1F766}" name="Pit storage"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9A04ED5B-4BC1-4A37-9DD3-B2528AAD7D05}" name="Deep litter"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AA791DA-F3A0-4954-BB53-8C5671397221}" name="Poultry manure with bedd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0CE6F09E-7C27-49A4-B2A7-6B3A0CF05769}" name="Poultry manure without bedding"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2162768-ACCE-48D5-8771-DFE30DA7454E}" name="Direct processing"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0F00B85-C8DF-42B4-9E3D-CEE67B91738F}" name="Direct application"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9065A74-641E-40D6-BB3B-C46C0998BA8B}" name="Pasture range and paddock"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E8697876-07FA-45DD-A420-6BD64684FC66}" name="MAT raw"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4AA6F70-552D-46BB-96AE-FD3E2133B44B}"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FAA3D460-A09A-40D0-9FC4-A7902DA21DB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96FB2E9-CFF3-46A0-BF64-8B8E1F7DF6B8}" name="EFNi &amp; EFN2Oi" dataDxfId="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42CC366-20A9-444B-A561-C804E2F99D16}"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07757BA8-A751-4CC2-AE82-298486C3FD88}" name="User friendly description" dataDxfId="4" dataCellStyle="Content normal"/>
    <tableColumn id="2" xr3:uid="{7148520C-28F0-4874-9F7C-976B826B4A88}" name="Description" dataDxfId="3" dataCellStyle="Content normal"/>
    <tableColumn id="1" xr3:uid="{4E13974D-F616-49F2-8E9F-954EDBFEB1DF}" name="ID"/>
    <tableColumn id="3" xr3:uid="{D4828A0E-47E2-4749-9825-94EC16B5A930}"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AA6D4A1-4ED8-4C02-AA02-CEDDB7739BB5}"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27C9BB11-5A5E-4868-AAA0-6356A69D99D1}" name="User friendly description" dataDxfId="2" dataCellStyle="Content normal"/>
    <tableColumn id="1" xr3:uid="{5314C418-FE67-4ED2-AFCE-B99D3B3384BF}" name="Description"/>
    <tableColumn id="2" xr3:uid="{C480E577-2F78-4D53-BB14-47F2D4CB7F6B}" name="ID"/>
    <tableColumn id="3" xr3:uid="{27AA2D04-9437-4C31-9825-9D3DEF675DE3}"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EE7EF91D-C903-4E93-8374-8181D0B54E94}"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880B99BA-1D99-4F48-AD2A-ADA10026B35B}" name="User friendly description" dataDxfId="1" dataCellStyle="Content normal"/>
    <tableColumn id="1" xr3:uid="{855C20E7-2F1D-46E4-BCBB-B0560AC9FFBE}" name="Description"/>
    <tableColumn id="2" xr3:uid="{63747E18-1861-4B36-BC18-2372100BAEB5}" name="ID"/>
    <tableColumn id="3" xr3:uid="{60790537-9A08-4B5B-8242-4A2FBE180FEA}" name="Score"/>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FC3C5FC3-6328-4E26-A1B1-2FF540B251A3}"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257D70B5-1E05-48E9-9E7E-FA2D457A2143}" name="User friendly description" dataDxfId="0" dataCellStyle="Content normal"/>
    <tableColumn id="1" xr3:uid="{1E03ECF4-A79D-42E7-943F-CF1494573C20}" name="Description"/>
    <tableColumn id="2" xr3:uid="{001CA177-D95B-4CDB-8087-179AE22145B9}" name="ID"/>
    <tableColumn id="3" xr3:uid="{4F4BC539-FCC4-4BE3-BF64-C433A1418A06}"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table" Target="../tables/table3.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s>
</file>

<file path=xl/worksheets/_rels/sheet9.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21" Type="http://schemas.openxmlformats.org/officeDocument/2006/relationships/table" Target="../tables/table29.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20" Type="http://schemas.openxmlformats.org/officeDocument/2006/relationships/table" Target="../tables/table28.xml"/><Relationship Id="rId1" Type="http://schemas.openxmlformats.org/officeDocument/2006/relationships/printerSettings" Target="../printerSettings/printerSettings2.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19" Type="http://schemas.openxmlformats.org/officeDocument/2006/relationships/table" Target="../tables/table27.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 Id="rId22" Type="http://schemas.openxmlformats.org/officeDocument/2006/relationships/table" Target="../tables/table3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heetViews>
  <sheetFormatPr defaultRowHeight="15" x14ac:dyDescent="0.25"/>
  <sheetData>
    <row r="1" spans="1:1" x14ac:dyDescent="0.25">
      <c r="A1" t="s">
        <v>0</v>
      </c>
    </row>
    <row r="3" spans="1:1" x14ac:dyDescent="0.25">
      <c r="A3" s="83" t="str">
        <f>HYPERLINK("#'Home'!A1", "Home")</f>
        <v>Home</v>
      </c>
    </row>
    <row r="6" spans="1:1" x14ac:dyDescent="0.25">
      <c r="A6" s="84" t="s">
        <v>2</v>
      </c>
    </row>
    <row r="7" spans="1:1" ht="15.75" x14ac:dyDescent="0.25">
      <c r="A7" s="5" t="str">
        <f>HYPERLINK("#'Constants - Common'!A1", "Constants - Common")</f>
        <v>Constants - Common</v>
      </c>
    </row>
    <row r="8" spans="1:1" ht="15.75" x14ac:dyDescent="0.25">
      <c r="A8"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3"/>
  <sheetViews>
    <sheetView showGridLines="0" topLeftCell="A12" zoomScaleNormal="100" workbookViewId="0">
      <selection activeCell="F43" sqref="F43"/>
    </sheetView>
  </sheetViews>
  <sheetFormatPr defaultRowHeight="15.75" x14ac:dyDescent="0.25"/>
  <cols>
    <col min="1" max="1" width="30.7109375" customWidth="1"/>
    <col min="2" max="2" width="2.7109375" customWidth="1"/>
    <col min="3" max="3" width="2.7109375" style="1" customWidth="1"/>
    <col min="4" max="4" width="78.42578125" style="1" customWidth="1"/>
    <col min="5" max="10" width="30.7109375" style="1" customWidth="1"/>
    <col min="11" max="11" width="7.42578125" style="1" customWidth="1"/>
    <col min="12" max="26" width="28.7109375" customWidth="1"/>
  </cols>
  <sheetData>
    <row r="1" spans="1:11" ht="30" customHeight="1" x14ac:dyDescent="0.35">
      <c r="A1" s="11" t="e" vm="1">
        <v>#VALUE!</v>
      </c>
      <c r="C1" s="86" t="s">
        <v>239</v>
      </c>
      <c r="D1" s="86"/>
      <c r="E1" s="86"/>
      <c r="F1" s="86"/>
      <c r="G1" s="86"/>
      <c r="H1" s="86"/>
      <c r="I1" s="86"/>
      <c r="J1" s="86"/>
      <c r="K1" s="86"/>
    </row>
    <row r="2" spans="1:11" s="3" customFormat="1" ht="20.100000000000001" customHeight="1" x14ac:dyDescent="0.25"/>
    <row r="3" spans="1:11" ht="20.100000000000001" customHeight="1" x14ac:dyDescent="0.25">
      <c r="A3" s="5" t="str">
        <f>HYPERLINK("#'Home'!A1", "Home")</f>
        <v>Home</v>
      </c>
      <c r="C3" s="12"/>
      <c r="D3" s="12"/>
      <c r="E3" s="12"/>
      <c r="F3" s="12"/>
      <c r="G3" s="12"/>
      <c r="H3" s="12"/>
      <c r="I3" s="12"/>
      <c r="J3" s="12"/>
      <c r="K3" s="12"/>
    </row>
    <row r="4" spans="1:11" ht="20.100000000000001" customHeight="1" x14ac:dyDescent="0.25">
      <c r="A4" s="5" t="str">
        <f>HYPERLINK("#'Results'!A1", "Results")</f>
        <v>Results</v>
      </c>
    </row>
    <row r="5" spans="1:11" ht="20.100000000000001" customHeight="1" x14ac:dyDescent="0.25">
      <c r="A5" s="4"/>
      <c r="D5" s="2" t="str">
        <f>"Emissions breakdown for activities running between " &amp; TEXT(X_Cell_Site_StartDate, "dd mmmm yyyy") &amp; " and " &amp; TEXT('Input - Enterprise'!E13, "dd mmmm yyyy")</f>
        <v>Emissions breakdown for activities running between 01 January 2024 and 31 December 2024</v>
      </c>
    </row>
    <row r="6" spans="1:11" ht="20.100000000000001" customHeight="1" x14ac:dyDescent="0.25">
      <c r="A6" s="8" t="s">
        <v>1</v>
      </c>
    </row>
    <row r="7" spans="1:11" ht="20.100000000000001" customHeight="1" x14ac:dyDescent="0.25">
      <c r="A7" s="5" t="str">
        <f>HYPERLINK("#'Input - Site'!A1", "Site")</f>
        <v>Site</v>
      </c>
      <c r="D7" s="79" t="s">
        <v>240</v>
      </c>
    </row>
    <row r="8" spans="1:11" ht="20.100000000000001" customHeight="1" x14ac:dyDescent="0.25">
      <c r="A8" s="5" t="str">
        <f>HYPERLINK("#'Input - Pasture Beef'!A1", "Pasture Beef")</f>
        <v>Pasture Beef</v>
      </c>
    </row>
    <row r="9" spans="1:11" ht="20.100000000000001" customHeight="1" x14ac:dyDescent="0.25">
      <c r="A9" s="5"/>
      <c r="D9" s="12" t="s">
        <v>4</v>
      </c>
      <c r="E9" s="12" t="s">
        <v>8</v>
      </c>
      <c r="F9" s="12" t="s">
        <v>9</v>
      </c>
      <c r="G9" s="12" t="s">
        <v>5</v>
      </c>
      <c r="H9" s="12" t="s">
        <v>10</v>
      </c>
      <c r="I9" s="12" t="s">
        <v>11</v>
      </c>
      <c r="J9" s="12"/>
    </row>
    <row r="10" spans="1:11" ht="20.100000000000001" customHeight="1" x14ac:dyDescent="0.25">
      <c r="A10" s="7" t="s">
        <v>3</v>
      </c>
      <c r="D10" s="1" t="s">
        <v>165</v>
      </c>
      <c r="E10" s="1" t="e" cm="1">
        <f t="array" ref="E10">VEERG_3_3_1_1__1_TotalAnnualMethaneFromEntericFermentationVariation_Result_Method1</f>
        <v>#NAME?</v>
      </c>
      <c r="F10" s="1" t="e" cm="1">
        <f t="array" ref="F10">VEERG_3_3_1_1__1_TotalAnnualMethaneFromEntericFermentationVariation_Result_Method2</f>
        <v>#NAME?</v>
      </c>
      <c r="G10" s="10" t="s">
        <v>6</v>
      </c>
      <c r="H10" s="1" t="e" cm="1">
        <f t="array" ref="H10">Common_Equations.Common_ConvertCH4ToCO2e(E10,_xlfn.XLOOKUP("CH4", Table_GWPData[Gas],Table_GWPData[CO2-e factor]))</f>
        <v>#NAME?</v>
      </c>
      <c r="I10" s="1" t="e" cm="1">
        <f t="array" ref="I10">Common_Equations.Common_ConvertCH4ToCO2e(F10,_xlfn.XLOOKUP("CH4", Table_GWPData[Gas],Table_GWPData[CO2-e factor]))</f>
        <v>#NAME?</v>
      </c>
      <c r="J10" s="10" t="s">
        <v>7</v>
      </c>
    </row>
    <row r="11" spans="1:11" ht="20.100000000000001" customHeight="1" x14ac:dyDescent="0.25">
      <c r="A11" s="5" t="str">
        <f>HYPERLINK("#'4.2.1.1-2 Methane'!A1", "4.2.1.1-2 Methane")</f>
        <v>4.2.1.1-2 Methane</v>
      </c>
      <c r="D11" s="1" t="s">
        <v>166</v>
      </c>
      <c r="E11" s="1" t="e" cm="1">
        <f t="array" ref="E11">VEERG_4_3_1_1__1_TotalAnnualMethaneFromManureManagement_Result_Method1</f>
        <v>#NAME?</v>
      </c>
      <c r="F11" s="1" t="e" cm="1">
        <f t="array" ref="F11">VEERG_4_3_1_1__1_TotalAnnualMethaneFromManureManagement_Result_Method2</f>
        <v>#NAME?</v>
      </c>
      <c r="G11" s="10" t="s">
        <v>6</v>
      </c>
      <c r="H11" s="1" t="e" cm="1">
        <f t="array" ref="H11">Common_Equations.Common_ConvertCH4ToCO2e(E11,_xlfn.XLOOKUP("CH4", Table_GWPData[Gas],Table_GWPData[CO2-e factor]))</f>
        <v>#NAME?</v>
      </c>
      <c r="I11" s="1" t="e" cm="1">
        <f t="array" ref="I11">Common_Equations.Common_ConvertCH4ToCO2e(F11,_xlfn.XLOOKUP("CH4", Table_GWPData[Gas],Table_GWPData[CO2-e factor]))</f>
        <v>#NAME?</v>
      </c>
      <c r="J11" s="10" t="s">
        <v>7</v>
      </c>
    </row>
    <row r="12" spans="1:11" ht="20.100000000000001" customHeight="1" x14ac:dyDescent="0.25">
      <c r="A12" s="5" t="str">
        <f>HYPERLINK("#'4.2.1.3-4 Soil direct N2O'!A1", "4.2.1.3-4 Soil direct N2O")</f>
        <v>4.2.1.3-4 Soil direct N2O</v>
      </c>
      <c r="D12" s="1" t="s">
        <v>167</v>
      </c>
      <c r="E12" s="1" t="e" cm="1">
        <f t="array" ref="E12">VEERG_4_3_1_3__1_TotalAnnualDirectNitrousOxideEmissionsFromMMS_Result_Method1</f>
        <v>#NAME?</v>
      </c>
      <c r="F12" s="1" t="e" cm="1">
        <f t="array" ref="F12">VEERG_4_3_1_3__1_TotalAnnualDirectNitrousOxideEmissionsFromMMS_Result_Method2</f>
        <v>#NAME?</v>
      </c>
      <c r="G12" s="10" t="s">
        <v>12</v>
      </c>
      <c r="H12" s="1" t="e" cm="1">
        <f t="array" ref="H12">Common_Equations.Common_ConvertN2OToCO2e(E12,_xlfn.XLOOKUP("N2O", Table_GWPData[Gas],Table_GWPData[CO2-e factor]))</f>
        <v>#NAME?</v>
      </c>
      <c r="I12" s="1" t="e" cm="1">
        <f t="array" ref="I12">Common_Equations.Common_ConvertN2OToCO2e(F12,_xlfn.XLOOKUP("N2O", Table_GWPData[Gas],Table_GWPData[CO2-e factor]))</f>
        <v>#NAME?</v>
      </c>
      <c r="J12" s="10" t="s">
        <v>7</v>
      </c>
    </row>
    <row r="13" spans="1:11" ht="20.100000000000001" customHeight="1" x14ac:dyDescent="0.25">
      <c r="A13" s="5" t="str">
        <f>HYPERLINK("#'4.2.1.5-6 Soil Atmos Dep'!A1", "4.2.1.5-6 Soil atm. deposition")</f>
        <v>4.2.1.5-6 Soil atm. deposition</v>
      </c>
      <c r="D13" s="1" t="s">
        <v>168</v>
      </c>
      <c r="E13" s="1" t="e" cm="1">
        <f t="array" ref="E13">VEERG_4_3_1_5__1_AnnualAtmosphericDepositionEmissionsFromMMS_Result_Method1</f>
        <v>#NAME?</v>
      </c>
      <c r="F13" s="1" t="e" cm="1">
        <f t="array" ref="F13">VEERG_4_3_1_5__1_AnnualAtmosphericDepositionEmissionsFromMMS_Result_Method2</f>
        <v>#NAME?</v>
      </c>
      <c r="G13" s="10" t="s">
        <v>12</v>
      </c>
      <c r="H13" s="1" t="e" cm="1">
        <f t="array" ref="H13">Common_Equations.Common_ConvertN2OToCO2e(E13,_xlfn.XLOOKUP("N2O", Table_GWPData[Gas],Table_GWPData[CO2-e factor]))</f>
        <v>#NAME?</v>
      </c>
      <c r="I13" s="1" t="e" cm="1">
        <f t="array" ref="I13">Common_Equations.Common_ConvertN2OToCO2e(F13,_xlfn.XLOOKUP("N2O", Table_GWPData[Gas],Table_GWPData[CO2-e factor]))</f>
        <v>#NAME?</v>
      </c>
      <c r="J13" s="10" t="s">
        <v>7</v>
      </c>
    </row>
    <row r="14" spans="1:11" ht="20.100000000000001" customHeight="1" x14ac:dyDescent="0.25">
      <c r="A14" s="5" t="str">
        <f>HYPERLINK("#'4.2.1.7-8 Soil leach runoff'!A1", "4.2.1.7-8 Soil leach &amp; runoff")</f>
        <v>4.2.1.7-8 Soil leach &amp; runoff</v>
      </c>
      <c r="D14" s="1" t="s">
        <v>169</v>
      </c>
      <c r="E14" s="1" t="e" cm="1">
        <f t="array" ref="E14">VEERG_4_3_1_6__1_AnnualEmissionsFromLeachingAndRunoffFromMMS_Result_Method1</f>
        <v>#NAME?</v>
      </c>
      <c r="F14" s="1" t="e" cm="1">
        <f t="array" ref="F14">VEERG_4_3_1_6__1_AnnualEmissionsFromLeachingAndRunoffFromMMS_Result_Method2</f>
        <v>#NAME?</v>
      </c>
      <c r="G14" s="10" t="s">
        <v>12</v>
      </c>
      <c r="H14" s="1" t="e" cm="1">
        <f t="array" ref="H14">Common_Equations.Common_ConvertN2OToCO2e(E14,_xlfn.XLOOKUP("N2O", Table_GWPData[Gas],Table_GWPData[CO2-e factor]))</f>
        <v>#NAME?</v>
      </c>
      <c r="I14" s="1" t="e" cm="1">
        <f t="array" ref="I14">Common_Equations.Common_ConvertN2OToCO2e(F14,_xlfn.XLOOKUP("N2O", Table_GWPData[Gas],Table_GWPData[CO2-e factor]))</f>
        <v>#NAME?</v>
      </c>
      <c r="J14" s="10" t="s">
        <v>7</v>
      </c>
    </row>
    <row r="15" spans="1:11" ht="20.100000000000001" customHeight="1" x14ac:dyDescent="0.25">
      <c r="A15" s="5"/>
      <c r="D15" s="1" t="s">
        <v>170</v>
      </c>
      <c r="E15" s="1" t="e" cm="1">
        <f t="array" ref="E15">VEERG_4_3_1_9__1_DirectNitrousOxideEmissionsOnPasture_Result_Method1</f>
        <v>#NAME?</v>
      </c>
      <c r="F15" s="1" t="e" cm="1">
        <f t="array" ref="F15">VEERG_4_3_1_9__1_DirectNitrousOxideEmissionsOnPasture_Result_Method2</f>
        <v>#NAME?</v>
      </c>
      <c r="G15" s="10" t="s">
        <v>12</v>
      </c>
      <c r="H15" s="1" t="e" cm="1">
        <f t="array" ref="H15">Common_Equations.Common_ConvertN2OToCO2e(E15,_xlfn.XLOOKUP("N2O", Table_GWPData[Gas],Table_GWPData[CO2-e factor]))</f>
        <v>#NAME?</v>
      </c>
      <c r="I15" s="1" t="e" cm="1">
        <f t="array" ref="I15">Common_Equations.Common_ConvertN2OToCO2e(F15,_xlfn.XLOOKUP("N2O", Table_GWPData[Gas],Table_GWPData[CO2-e factor]))</f>
        <v>#NAME?</v>
      </c>
      <c r="J15" s="10" t="s">
        <v>7</v>
      </c>
    </row>
    <row r="16" spans="1:11" ht="20.100000000000001" customHeight="1" x14ac:dyDescent="0.25">
      <c r="A16" s="6" t="s">
        <v>2</v>
      </c>
      <c r="D16" s="1" t="s">
        <v>171</v>
      </c>
      <c r="E16" s="1" t="e" cm="1">
        <f t="array" ref="E16">VEERG_4_3_1_10__1_AtmosphericDepositionEmissionsFromUrineAndDungOnPasture_Result_Method1</f>
        <v>#NAME?</v>
      </c>
      <c r="F16" s="1" t="e" cm="1">
        <f t="array" ref="F16">VEERG_4_3_1_10__1_AtmosphericDepositionEmissionsFromUrineAndDungOnPasture_Result_Method2</f>
        <v>#NAME?</v>
      </c>
      <c r="G16" s="10" t="s">
        <v>12</v>
      </c>
      <c r="H16" s="1" t="e" cm="1">
        <f t="array" ref="H16">Common_Equations.Common_ConvertN2OToCO2e(E16,_xlfn.XLOOKUP("N2O", Table_GWPData[Gas],Table_GWPData[CO2-e factor]))</f>
        <v>#NAME?</v>
      </c>
      <c r="I16" s="1" t="e" cm="1">
        <f t="array" ref="I16">Common_Equations.Common_ConvertN2OToCO2e(F16,_xlfn.XLOOKUP("N2O", Table_GWPData[Gas],Table_GWPData[CO2-e factor]))</f>
        <v>#NAME?</v>
      </c>
      <c r="J16" s="10" t="s">
        <v>7</v>
      </c>
    </row>
    <row r="17" spans="1:10" ht="20.100000000000001" customHeight="1" x14ac:dyDescent="0.25">
      <c r="A17" s="5" t="str">
        <f>HYPERLINK("#'Constants - Pasture Beef'!A1", "Constants - Pasture Beef")</f>
        <v>Constants - Pasture Beef</v>
      </c>
      <c r="D17" s="1" t="s">
        <v>172</v>
      </c>
      <c r="E17" s="1" t="e" cm="1">
        <f t="array" ref="E17">VEERG_4_3_1_12__1_LeachingAndRunoffEmissionsFromUrineAndDungOnPasture_Result_Method1</f>
        <v>#NAME?</v>
      </c>
      <c r="F17" s="1" t="e" cm="1">
        <f t="array" ref="F17">VEERG_4_3_1_12__1_LeachingAndRunoffEmissionsFromUrineAndDungOnPasture_Result_Method2</f>
        <v>#NAME?</v>
      </c>
      <c r="G17" s="10" t="s">
        <v>12</v>
      </c>
      <c r="H17" s="1" t="e" cm="1">
        <f t="array" ref="H17">Common_Equations.Common_ConvertN2OToCO2e(E17,_xlfn.XLOOKUP("N2O", Table_GWPData[Gas],Table_GWPData[CO2-e factor]))</f>
        <v>#NAME?</v>
      </c>
      <c r="I17" s="1" t="e" cm="1">
        <f t="array" ref="I17">Common_Equations.Common_ConvertN2OToCO2e(F17,_xlfn.XLOOKUP("N2O", Table_GWPData[Gas],Table_GWPData[CO2-e factor]))</f>
        <v>#NAME?</v>
      </c>
      <c r="J17" s="10" t="s">
        <v>7</v>
      </c>
    </row>
    <row r="18" spans="1:10" ht="20.100000000000001" customHeight="1" x14ac:dyDescent="0.25">
      <c r="A18" s="5" t="str">
        <f>HYPERLINK("#'Constants - Livestock'!A1", "Constants - Livestock")</f>
        <v>Constants - Livestock</v>
      </c>
      <c r="D18" s="1" t="s">
        <v>133</v>
      </c>
      <c r="E18" s="1" t="e" cm="1">
        <f t="array" ref="E18">VEERG_5_1_1_1__1_InorganicFertiliserApplicationN2OEmissions_Result_Method1</f>
        <v>#NAME?</v>
      </c>
      <c r="F18" s="1" t="e" cm="1">
        <f t="array" ref="F18">VEERG_5_1_1_1__1_InorganicFertiliserApplicationN2OEmissions_Result_Method2</f>
        <v>#NAME?</v>
      </c>
      <c r="G18" s="10" t="s">
        <v>12</v>
      </c>
      <c r="H18" s="1" t="e" cm="1">
        <f t="array" ref="H18">Common_Equations.Common_ConvertN2OToCO2e(E18,_xlfn.XLOOKUP("N2O", Table_GWPData[Gas],Table_GWPData[CO2-e factor]))</f>
        <v>#NAME?</v>
      </c>
      <c r="I18" s="1" t="e" cm="1">
        <f t="array" ref="I18">Common_Equations.Common_ConvertN2OToCO2e(F18,_xlfn.XLOOKUP("N2O", Table_GWPData[Gas],Table_GWPData[CO2-e factor]))</f>
        <v>#NAME?</v>
      </c>
      <c r="J18" s="10" t="s">
        <v>7</v>
      </c>
    </row>
    <row r="19" spans="1:10" ht="20.100000000000001" customHeight="1" x14ac:dyDescent="0.25">
      <c r="A19" s="5" t="str">
        <f>HYPERLINK("#'Constants - Common'!A1", "Constants - Common")</f>
        <v>Constants - Common</v>
      </c>
      <c r="D19" s="1" t="s">
        <v>134</v>
      </c>
      <c r="E19" s="1" t="e" cm="1">
        <f t="array" ref="E19">VEERG_5_1_1_3__1_InorganicFertiliserApplicationCO2Emissions_Result_Method1</f>
        <v>#NAME?</v>
      </c>
      <c r="F19" s="1" t="e">
        <f>E19</f>
        <v>#NAME?</v>
      </c>
      <c r="G19" s="10" t="s">
        <v>127</v>
      </c>
      <c r="H19" s="1" t="e">
        <f>E19</f>
        <v>#NAME?</v>
      </c>
      <c r="I19" s="1" t="e">
        <f>F19</f>
        <v>#NAME?</v>
      </c>
      <c r="J19" s="10" t="s">
        <v>7</v>
      </c>
    </row>
    <row r="20" spans="1:10" ht="20.100000000000001" customHeight="1" x14ac:dyDescent="0.25">
      <c r="A20" s="5" t="str">
        <f>HYPERLINK("#'Acknowledgements'!A1", "Acknowledgements")</f>
        <v>Acknowledgements</v>
      </c>
      <c r="D20" s="1" t="s">
        <v>135</v>
      </c>
      <c r="E20" s="1" t="e" cm="1">
        <f t="array" ref="E20">VEERG_5_2_1_1__2_MassOfNitrogenInOrganicFertiliser_Result_Method1</f>
        <v>#NAME?</v>
      </c>
      <c r="F20" s="1" t="e">
        <f>E20</f>
        <v>#NAME?</v>
      </c>
      <c r="G20" s="10" t="s">
        <v>12</v>
      </c>
      <c r="H20" s="1" t="e" cm="1">
        <f t="array" ref="H20">Common_Equations.Common_ConvertN2OToCO2e(E20,_xlfn.XLOOKUP("N2O", Table_GWPData[Gas],Table_GWPData[CO2-e factor]))</f>
        <v>#NAME?</v>
      </c>
      <c r="I20" s="1" t="e" cm="1">
        <f t="array" ref="I20">Common_Equations.Common_ConvertN2OToCO2e(F20,_xlfn.XLOOKUP("N2O", Table_GWPData[Gas],Table_GWPData[CO2-e factor]))</f>
        <v>#NAME?</v>
      </c>
      <c r="J20" s="10" t="s">
        <v>7</v>
      </c>
    </row>
    <row r="21" spans="1:10" ht="20.100000000000001" customHeight="1" x14ac:dyDescent="0.25">
      <c r="D21" s="1" t="s">
        <v>136</v>
      </c>
      <c r="E21" s="1" t="e" cm="1">
        <f t="array" ref="E21">VEERG_5_3_1_1__1_LimeApplicationCO2Emissions_Result_Method1</f>
        <v>#NAME?</v>
      </c>
      <c r="F21" s="1" t="e">
        <f>E21</f>
        <v>#NAME?</v>
      </c>
      <c r="G21" s="10" t="s">
        <v>127</v>
      </c>
      <c r="H21" s="1" t="e">
        <f>E21</f>
        <v>#NAME?</v>
      </c>
      <c r="I21" s="1" t="e">
        <f>F21</f>
        <v>#NAME?</v>
      </c>
      <c r="J21" s="10" t="s">
        <v>7</v>
      </c>
    </row>
    <row r="22" spans="1:10" ht="20.100000000000001" customHeight="1" x14ac:dyDescent="0.25">
      <c r="A22" s="5"/>
      <c r="D22" s="1" t="s">
        <v>137</v>
      </c>
      <c r="E22" s="1" t="e" cm="1">
        <f t="array" ref="E22">VEERG_5_4_1_3__1_OrganicFertiliserAtmosphericDepositionN2OEmissions_Result_Method1</f>
        <v>#NAME?</v>
      </c>
      <c r="F22" s="1" t="e">
        <f>E22</f>
        <v>#NAME?</v>
      </c>
      <c r="G22" s="10" t="s">
        <v>12</v>
      </c>
      <c r="H22" s="1" t="e" cm="1">
        <f t="array" ref="H22">Common_Equations.Common_ConvertN2OToCO2e(E22,_xlfn.XLOOKUP("N2O", Table_GWPData[Gas],Table_GWPData[CO2-e factor]))</f>
        <v>#NAME?</v>
      </c>
      <c r="I22" s="1" t="e" cm="1">
        <f t="array" ref="I22">Common_Equations.Common_ConvertN2OToCO2e(F22,_xlfn.XLOOKUP("N2O", Table_GWPData[Gas],Table_GWPData[CO2-e factor]))</f>
        <v>#NAME?</v>
      </c>
      <c r="J22" s="10" t="s">
        <v>7</v>
      </c>
    </row>
    <row r="23" spans="1:10" ht="20.100000000000001" customHeight="1" x14ac:dyDescent="0.25">
      <c r="A23" s="5"/>
      <c r="D23" s="1" t="s">
        <v>138</v>
      </c>
      <c r="E23" s="1" t="e" cm="1">
        <f t="array" ref="E23">VEERG_5_5_1_1__1_FertiliserLeachingAndRunoffN2OEmissions_result_Method1</f>
        <v>#NAME?</v>
      </c>
      <c r="F23" s="1" t="e">
        <f>E23</f>
        <v>#NAME?</v>
      </c>
      <c r="G23" s="10" t="s">
        <v>12</v>
      </c>
      <c r="H23" s="1" t="e" cm="1">
        <f t="array" ref="H23">Common_Equations.Common_ConvertN2OToCO2e(E23,_xlfn.XLOOKUP("N2O", Table_GWPData[Gas],Table_GWPData[CO2-e factor]))</f>
        <v>#NAME?</v>
      </c>
      <c r="I23" s="1" t="e" cm="1">
        <f t="array" ref="I23">Common_Equations.Common_ConvertN2OToCO2e(F23,_xlfn.XLOOKUP("N2O", Table_GWPData[Gas],Table_GWPData[CO2-e factor]))</f>
        <v>#NAME?</v>
      </c>
      <c r="J23" s="10" t="s">
        <v>7</v>
      </c>
    </row>
    <row r="24" spans="1:10" ht="20.100000000000001" customHeight="1" x14ac:dyDescent="0.25">
      <c r="A24" s="5"/>
      <c r="D24" s="1" t="s">
        <v>139</v>
      </c>
      <c r="E24" s="1" t="e" cm="1">
        <f t="array" ref="E24">VEERG_6_2_1_1__1__NitrousOxideEmissionsFromPastureResidues_Result_Method1</f>
        <v>#NAME?</v>
      </c>
      <c r="F24" s="1" t="e" cm="1">
        <f t="array" ref="F24">VEERG_6_2_1_1__1__NitrousOxideEmissionsFromPastureResidues_Result_Method2</f>
        <v>#NAME?</v>
      </c>
      <c r="G24" s="10" t="s">
        <v>12</v>
      </c>
      <c r="H24" s="1" t="e" cm="1">
        <f t="array" ref="H24">Common_Equations.Common_ConvertN2OToCO2e(E24,_xlfn.XLOOKUP("N2O", Table_GWPData[Gas],Table_GWPData[CO2-e factor]))</f>
        <v>#NAME?</v>
      </c>
      <c r="I24" s="1" t="e" cm="1">
        <f t="array" ref="I24">Common_Equations.Common_ConvertN2OToCO2e(F24,_xlfn.XLOOKUP("N2O", Table_GWPData[Gas],Table_GWPData[CO2-e factor]))</f>
        <v>#NAME?</v>
      </c>
      <c r="J24" s="10" t="s">
        <v>7</v>
      </c>
    </row>
    <row r="25" spans="1:10" ht="20.100000000000001" customHeight="1" x14ac:dyDescent="0.25">
      <c r="D25" s="1" t="s">
        <v>140</v>
      </c>
      <c r="E25" s="1" t="e" cm="1">
        <f t="array" ref="E25">VEERG_6_3_1_1__1__LeachingAndRunoffEmissionsCropAndPastureResidue_PastureOnly_Result_Method1</f>
        <v>#NAME?</v>
      </c>
      <c r="F25" s="1" t="e" cm="1">
        <f t="array" ref="F25">VEERG_6_3_1_1__1__LeachingAndRunoffEmissionsCropAndPastureResidue_PastureOnly_Result_Method2</f>
        <v>#NAME?</v>
      </c>
      <c r="G25" s="10" t="s">
        <v>12</v>
      </c>
      <c r="H25" s="1" t="e" cm="1">
        <f t="array" ref="H25">Common_Equations.Common_ConvertN2OToCO2e(E25,_xlfn.XLOOKUP("N2O", Table_GWPData[Gas],Table_GWPData[CO2-e factor]))</f>
        <v>#NAME?</v>
      </c>
      <c r="I25" s="1" t="e" cm="1">
        <f t="array" ref="I25">Common_Equations.Common_ConvertN2OToCO2e(F25,_xlfn.XLOOKUP("N2O", Table_GWPData[Gas],Table_GWPData[CO2-e factor]))</f>
        <v>#NAME?</v>
      </c>
      <c r="J25" s="10" t="s">
        <v>7</v>
      </c>
    </row>
    <row r="26" spans="1:10" ht="20.100000000000001" customHeight="1" x14ac:dyDescent="0.25">
      <c r="D26" s="1" t="s">
        <v>141</v>
      </c>
      <c r="E26" s="1" t="e" cm="1">
        <f t="array" ref="E26">VEERG_8_1_1_1__1_FuelCombustionTransport_Result_CO2</f>
        <v>#NAME?</v>
      </c>
      <c r="F26" s="1" t="e">
        <f>E26</f>
        <v>#NAME?</v>
      </c>
      <c r="G26" s="10" t="s">
        <v>127</v>
      </c>
      <c r="H26" s="1" t="e">
        <f>E26</f>
        <v>#NAME?</v>
      </c>
      <c r="I26" s="1" t="e">
        <f>F26</f>
        <v>#NAME?</v>
      </c>
      <c r="J26" s="10" t="s">
        <v>7</v>
      </c>
    </row>
    <row r="27" spans="1:10" ht="20.100000000000001" customHeight="1" x14ac:dyDescent="0.25">
      <c r="D27" s="1" t="s">
        <v>143</v>
      </c>
      <c r="E27" s="1" t="e" cm="1">
        <f t="array" ref="E27">VEERG_8_1_1_1__1_FuelCombustionTransport_Result_CH4</f>
        <v>#NAME?</v>
      </c>
      <c r="F27" s="1" t="e">
        <f>E27</f>
        <v>#NAME?</v>
      </c>
      <c r="G27" s="10" t="s">
        <v>6</v>
      </c>
      <c r="H27" s="1" t="e" cm="1">
        <f t="array" ref="H27">Common_Equations.Common_ConvertCH4ToCO2e(E27,_xlfn.XLOOKUP("CH4", Table_GWPData[Gas],Table_GWPData[CO2-e factor]))</f>
        <v>#NAME?</v>
      </c>
      <c r="I27" s="1" t="e" cm="1">
        <f t="array" ref="I27">Common_Equations.Common_ConvertCH4ToCO2e(F27,_xlfn.XLOOKUP("CH4", Table_GWPData[Gas],Table_GWPData[CO2-e factor]))</f>
        <v>#NAME?</v>
      </c>
      <c r="J27" s="10" t="s">
        <v>7</v>
      </c>
    </row>
    <row r="28" spans="1:10" ht="20.100000000000001" customHeight="1" x14ac:dyDescent="0.25">
      <c r="D28" s="1" t="s">
        <v>142</v>
      </c>
      <c r="E28" s="1" t="e" cm="1">
        <f t="array" ref="E28">VEERG_8_1_1_1__1_FuelCombustionTransport_Result_N2O</f>
        <v>#NAME?</v>
      </c>
      <c r="F28" s="1" t="e">
        <f>E28</f>
        <v>#NAME?</v>
      </c>
      <c r="G28" s="10" t="s">
        <v>12</v>
      </c>
      <c r="H28" s="1" t="e" cm="1">
        <f t="array" ref="H28">Common_Equations.Common_ConvertN2OToCO2e(E28,_xlfn.XLOOKUP("N2O", Table_GWPData[Gas],Table_GWPData[CO2-e factor]))</f>
        <v>#NAME?</v>
      </c>
      <c r="I28" s="1" t="e" cm="1">
        <f t="array" ref="I28">Common_Equations.Common_ConvertN2OToCO2e(F28,_xlfn.XLOOKUP("N2O", Table_GWPData[Gas],Table_GWPData[CO2-e factor]))</f>
        <v>#NAME?</v>
      </c>
      <c r="J28" s="10" t="s">
        <v>7</v>
      </c>
    </row>
    <row r="29" spans="1:10" ht="20.100000000000001" customHeight="1" x14ac:dyDescent="0.25">
      <c r="D29" s="1" t="s">
        <v>144</v>
      </c>
      <c r="E29" s="1" t="e" cm="1">
        <f t="array" ref="E29">VEERG_8_2_1_1__1_FuelCombustionStationary_Result_CO2</f>
        <v>#NAME?</v>
      </c>
      <c r="F29" s="1" t="e">
        <f>E29</f>
        <v>#NAME?</v>
      </c>
      <c r="G29" s="10" t="s">
        <v>127</v>
      </c>
      <c r="H29" s="1" t="e">
        <f>E29</f>
        <v>#NAME?</v>
      </c>
      <c r="I29" s="1" t="e">
        <f>F29</f>
        <v>#NAME?</v>
      </c>
      <c r="J29" s="10" t="s">
        <v>7</v>
      </c>
    </row>
    <row r="30" spans="1:10" ht="20.100000000000001" customHeight="1" x14ac:dyDescent="0.25">
      <c r="D30" s="1" t="s">
        <v>145</v>
      </c>
      <c r="E30" s="1" t="e" cm="1">
        <f t="array" ref="E30">VEERG_8_2_1_1__1_FuelCombustionStationary_Result_CH4</f>
        <v>#NAME?</v>
      </c>
      <c r="F30" s="1" t="e">
        <f t="shared" ref="F30:F31" si="0">E30</f>
        <v>#NAME?</v>
      </c>
      <c r="G30" s="10" t="s">
        <v>6</v>
      </c>
      <c r="H30" s="1" t="e" cm="1">
        <f t="array" ref="H30">Common_Equations.Common_ConvertCH4ToCO2e(E30,_xlfn.XLOOKUP("CH4", Table_GWPData[Gas],Table_GWPData[CO2-e factor]))</f>
        <v>#NAME?</v>
      </c>
      <c r="I30" s="1" t="e" cm="1">
        <f t="array" ref="I30">Common_Equations.Common_ConvertCH4ToCO2e(F30,_xlfn.XLOOKUP("CH4", Table_GWPData[Gas],Table_GWPData[CO2-e factor]))</f>
        <v>#NAME?</v>
      </c>
      <c r="J30" s="10" t="s">
        <v>7</v>
      </c>
    </row>
    <row r="31" spans="1:10" ht="20.100000000000001" customHeight="1" x14ac:dyDescent="0.25">
      <c r="D31" s="1" t="s">
        <v>146</v>
      </c>
      <c r="E31" s="1" t="e" cm="1">
        <f t="array" ref="E31">VEERG_8_2_1_1__1_FuelCombustionStationary_Result_N2O</f>
        <v>#NAME?</v>
      </c>
      <c r="F31" s="1" t="e">
        <f t="shared" si="0"/>
        <v>#NAME?</v>
      </c>
      <c r="G31" s="10" t="s">
        <v>12</v>
      </c>
      <c r="H31" s="1" t="e" cm="1">
        <f t="array" ref="H31">Common_Equations.Common_ConvertN2OToCO2e(E31,_xlfn.XLOOKUP("N2O", Table_GWPData[Gas],Table_GWPData[CO2-e factor]))</f>
        <v>#NAME?</v>
      </c>
      <c r="I31" s="1" t="e" cm="1">
        <f t="array" ref="I31">Common_Equations.Common_ConvertN2OToCO2e(F31,_xlfn.XLOOKUP("N2O", Table_GWPData[Gas],Table_GWPData[CO2-e factor]))</f>
        <v>#NAME?</v>
      </c>
      <c r="J31" s="10" t="s">
        <v>7</v>
      </c>
    </row>
    <row r="32" spans="1:10" ht="20.100000000000001" customHeight="1" x14ac:dyDescent="0.25">
      <c r="D32" s="1" t="s">
        <v>317</v>
      </c>
      <c r="E32" s="1" t="e" cm="1">
        <f t="array" ref="E32">VEERG_9_1_1__1_RefrigerantLeaking_Result_Blend1_Value_Method1</f>
        <v>#NAME?</v>
      </c>
      <c r="F32" s="1" t="e">
        <f>E32</f>
        <v>#NAME?</v>
      </c>
      <c r="G32" s="10" t="e" cm="1">
        <f t="array" ref="G32">IF(ISBLANK(VEERG_9_1_1__1_RefrigerantLeaking_Result_Blend1_Name_Method1), "", "t " &amp; VEERG_9_1_1__1_RefrigerantLeaking_Result_Blend1_Name_Method1)</f>
        <v>#NAME?</v>
      </c>
      <c r="H32" s="1" t="e">
        <f>INDEX(Table_E_CO2e,2,4)</f>
        <v>#NAME?</v>
      </c>
      <c r="I32" s="1" t="e">
        <f>H32</f>
        <v>#NAME?</v>
      </c>
      <c r="J32" s="10" t="s">
        <v>7</v>
      </c>
    </row>
    <row r="33" spans="4:10" ht="20.100000000000001" customHeight="1" x14ac:dyDescent="0.25">
      <c r="D33" s="1" t="s">
        <v>318</v>
      </c>
      <c r="E33" s="1" t="e" cm="1">
        <f t="array" ref="E33">VEERG_9_1_1__1_RefrigerantLeaking_Result_Blend2_Value_Method1</f>
        <v>#NAME?</v>
      </c>
      <c r="F33" s="1" t="e">
        <f t="shared" ref="F33:F41" si="1">E33</f>
        <v>#NAME?</v>
      </c>
      <c r="G33" s="10" t="e" cm="1">
        <f t="array" ref="G33">IF(ISBLANK(VEERG_9_1_1__1_RefrigerantLeaking_Result_Blend2_Name_Method1), "", "t " &amp; VEERG_9_1_1__1_RefrigerantLeaking_Result_Blend2_Name_Method1)</f>
        <v>#NAME?</v>
      </c>
      <c r="H33" s="1" t="e">
        <f>INDEX(Table_E_CO2e,3,4)</f>
        <v>#NAME?</v>
      </c>
      <c r="I33" s="1" t="e">
        <f t="shared" ref="I33:I41" si="2">H33</f>
        <v>#NAME?</v>
      </c>
      <c r="J33" s="10" t="s">
        <v>7</v>
      </c>
    </row>
    <row r="34" spans="4:10" ht="20.100000000000001" customHeight="1" x14ac:dyDescent="0.25">
      <c r="D34" s="1" t="s">
        <v>319</v>
      </c>
      <c r="E34" s="1" t="e" cm="1">
        <f t="array" ref="E34">VEERG_9_1_1__1_RefrigerantLeaking_Result_Blend3_Value_Method1</f>
        <v>#NAME?</v>
      </c>
      <c r="F34" s="1" t="e">
        <f t="shared" si="1"/>
        <v>#NAME?</v>
      </c>
      <c r="G34" s="10" t="e" cm="1">
        <f t="array" ref="G34">IF(ISBLANK(VEERG_9_1_1__1_RefrigerantLeaking_Result_Blend3_Name_Method1), "", "t " &amp; VEERG_9_1_1__1_RefrigerantLeaking_Result_Blend3_Name_Method1)</f>
        <v>#NAME?</v>
      </c>
      <c r="H34" s="1" t="e">
        <f>INDEX(Table_E_CO2e,4,4)</f>
        <v>#NAME?</v>
      </c>
      <c r="I34" s="1" t="e">
        <f t="shared" si="2"/>
        <v>#NAME?</v>
      </c>
      <c r="J34" s="10" t="s">
        <v>7</v>
      </c>
    </row>
    <row r="35" spans="4:10" ht="20.100000000000001" customHeight="1" x14ac:dyDescent="0.25">
      <c r="D35" s="1" t="s">
        <v>320</v>
      </c>
      <c r="E35" s="1" t="e" cm="1">
        <f t="array" ref="E35">VEERG_9_1_1__1_RefrigerantLeaking_Result_Blend4_Value_Method1</f>
        <v>#NAME?</v>
      </c>
      <c r="F35" s="1" t="e">
        <f t="shared" si="1"/>
        <v>#NAME?</v>
      </c>
      <c r="G35" s="10" t="e" cm="1">
        <f t="array" ref="G35">IF(ISBLANK(VEERG_9_1_1__1_RefrigerantLeaking_Result_Blend4_Name_Method1), "", "t " &amp; VEERG_9_1_1__1_RefrigerantLeaking_Result_Blend4_Name_Method1)</f>
        <v>#NAME?</v>
      </c>
      <c r="H35" s="1" t="e">
        <f>INDEX(Table_E_CO2e,5,4)</f>
        <v>#NAME?</v>
      </c>
      <c r="I35" s="1" t="e">
        <f t="shared" si="2"/>
        <v>#NAME?</v>
      </c>
      <c r="J35" s="10" t="s">
        <v>7</v>
      </c>
    </row>
    <row r="36" spans="4:10" ht="20.100000000000001" customHeight="1" x14ac:dyDescent="0.25">
      <c r="D36" s="1" t="s">
        <v>321</v>
      </c>
      <c r="E36" s="1" t="e" cm="1">
        <f t="array" ref="E36">VEERG_9_1_1__1_RefrigerantLeaking_Result_Blend5_Value_Method1</f>
        <v>#NAME?</v>
      </c>
      <c r="F36" s="1" t="e">
        <f t="shared" si="1"/>
        <v>#NAME?</v>
      </c>
      <c r="G36" s="10" t="e" cm="1">
        <f t="array" ref="G36">IF(ISBLANK(VEERG_9_1_1__1_RefrigerantLeaking_Result_Blend5_Name_Method1), "", "t " &amp; VEERG_9_1_1__1_RefrigerantLeaking_Result_Blend5_Name_Method1)</f>
        <v>#NAME?</v>
      </c>
      <c r="H36" s="1" t="e">
        <f>INDEX(Table_E_CO2e,6,4)</f>
        <v>#NAME?</v>
      </c>
      <c r="I36" s="1" t="e">
        <f t="shared" si="2"/>
        <v>#NAME?</v>
      </c>
      <c r="J36" s="10" t="s">
        <v>7</v>
      </c>
    </row>
    <row r="37" spans="4:10" ht="20.100000000000001" customHeight="1" x14ac:dyDescent="0.25">
      <c r="D37" s="1" t="s">
        <v>322</v>
      </c>
      <c r="E37" s="1" t="e" cm="1">
        <f t="array" ref="E37">VEERG_9_1_1__1_RefrigerantLeaking_Result_Blend6_Value_Method1</f>
        <v>#NAME?</v>
      </c>
      <c r="F37" s="1" t="e">
        <f t="shared" si="1"/>
        <v>#NAME?</v>
      </c>
      <c r="G37" s="10" t="e" cm="1">
        <f t="array" ref="G37">IF(ISBLANK(VEERG_9_1_1__1_RefrigerantLeaking_Result_Blend6_Name_Method1), "", "t " &amp; VEERG_9_1_1__1_RefrigerantLeaking_Result_Blend6_Name_Method1)</f>
        <v>#NAME?</v>
      </c>
      <c r="H37" s="1" t="e">
        <f>INDEX(Table_E_CO2e,7,4)</f>
        <v>#NAME?</v>
      </c>
      <c r="I37" s="1" t="e">
        <f t="shared" si="2"/>
        <v>#NAME?</v>
      </c>
      <c r="J37" s="10" t="s">
        <v>7</v>
      </c>
    </row>
    <row r="38" spans="4:10" ht="20.100000000000001" customHeight="1" x14ac:dyDescent="0.25">
      <c r="D38" s="1" t="s">
        <v>323</v>
      </c>
      <c r="E38" s="1" t="e" cm="1">
        <f t="array" ref="E38">VEERG_9_1_1__1_RefrigerantLeaking_Result_Blend7_Value_Method1</f>
        <v>#NAME?</v>
      </c>
      <c r="F38" s="1" t="e">
        <f t="shared" si="1"/>
        <v>#NAME?</v>
      </c>
      <c r="G38" s="10" t="e" cm="1">
        <f t="array" ref="G38">IF(ISBLANK(VEERG_9_1_1__1_RefrigerantLeaking_Result_Blend7_Name_Method1), "", "t " &amp; VEERG_9_1_1__1_RefrigerantLeaking_Result_Blend7_Name_Method1)</f>
        <v>#NAME?</v>
      </c>
      <c r="H38" s="1" t="e">
        <f>INDEX(Table_E_CO2e,8,4)</f>
        <v>#NAME?</v>
      </c>
      <c r="I38" s="1" t="e">
        <f t="shared" si="2"/>
        <v>#NAME?</v>
      </c>
      <c r="J38" s="10" t="s">
        <v>7</v>
      </c>
    </row>
    <row r="39" spans="4:10" ht="20.100000000000001" customHeight="1" x14ac:dyDescent="0.25">
      <c r="D39" s="1" t="s">
        <v>324</v>
      </c>
      <c r="E39" s="1" t="e" cm="1">
        <f t="array" ref="E39">VEERG_9_1_1__1_RefrigerantLeaking_Result_Blend8_Value_Method1</f>
        <v>#NAME?</v>
      </c>
      <c r="F39" s="1" t="e">
        <f t="shared" si="1"/>
        <v>#NAME?</v>
      </c>
      <c r="G39" s="10" t="e" cm="1">
        <f t="array" ref="G39">IF(ISBLANK(VEERG_9_1_1__1_RefrigerantLeaking_Result_Blend8_Name_Method1), "", "t " &amp; VEERG_9_1_1__1_RefrigerantLeaking_Result_Blend8_Name_Method1)</f>
        <v>#NAME?</v>
      </c>
      <c r="H39" s="1" t="e">
        <f>INDEX(Table_E_CO2e,9,4)</f>
        <v>#NAME?</v>
      </c>
      <c r="I39" s="1" t="e">
        <f t="shared" si="2"/>
        <v>#NAME?</v>
      </c>
      <c r="J39" s="10" t="s">
        <v>7</v>
      </c>
    </row>
    <row r="40" spans="4:10" ht="20.100000000000001" customHeight="1" x14ac:dyDescent="0.25">
      <c r="D40" s="1" t="s">
        <v>325</v>
      </c>
      <c r="E40" s="1" t="e" cm="1">
        <f t="array" ref="E40">VEERG_9_1_1__1_RefrigerantLeaking_Result_Blend9_Value_Method1</f>
        <v>#NAME?</v>
      </c>
      <c r="F40" s="1" t="e">
        <f t="shared" si="1"/>
        <v>#NAME?</v>
      </c>
      <c r="G40" s="10" t="e" cm="1">
        <f t="array" ref="G40">IF(ISBLANK(VEERG_9_1_1__1_RefrigerantLeaking_Result_Blend9_Name_Method1), "", "t " &amp; VEERG_9_1_1__1_RefrigerantLeaking_Result_Blend9_Name_Method1)</f>
        <v>#NAME?</v>
      </c>
      <c r="H40" s="1" t="e">
        <f>INDEX(Table_E_CO2e,10,4)</f>
        <v>#NAME?</v>
      </c>
      <c r="I40" s="1" t="e">
        <f t="shared" si="2"/>
        <v>#NAME?</v>
      </c>
      <c r="J40" s="10" t="s">
        <v>7</v>
      </c>
    </row>
    <row r="41" spans="4:10" ht="20.100000000000001" customHeight="1" x14ac:dyDescent="0.25">
      <c r="D41" s="1" t="s">
        <v>326</v>
      </c>
      <c r="E41" s="1" t="e" cm="1">
        <f t="array" ref="E41">VEERG_9_1_1__1_RefrigerantLeaking_Result_Blend10_Value_Method1</f>
        <v>#NAME?</v>
      </c>
      <c r="F41" s="1" t="e">
        <f t="shared" si="1"/>
        <v>#NAME?</v>
      </c>
      <c r="G41" s="10" t="e" cm="1">
        <f t="array" ref="G41">IF(ISBLANK(VEERG_9_1_1__1_RefrigerantLeaking_Result_Blend10_Name_Method1), "", "t " &amp; VEERG_9_1_1__1_RefrigerantLeaking_Result_Blend10_Name_Method1)</f>
        <v>#NAME?</v>
      </c>
      <c r="H41" s="1" t="e">
        <f>INDEX(Table_E_CO2e,11,4)</f>
        <v>#NAME?</v>
      </c>
      <c r="I41" s="1" t="e">
        <f t="shared" si="2"/>
        <v>#NAME?</v>
      </c>
      <c r="J41" s="10" t="s">
        <v>7</v>
      </c>
    </row>
    <row r="42" spans="4:10" ht="20.100000000000001" customHeight="1" x14ac:dyDescent="0.25">
      <c r="D42" s="1" t="s">
        <v>316</v>
      </c>
      <c r="E42" s="1" t="e" cm="1">
        <f t="array" ref="E42">VEERG_10_1_1_1__1_EmissionsFromWasteManagement_Scope1_Result_Method1</f>
        <v>#NAME?</v>
      </c>
      <c r="F42" s="1" t="e">
        <f>E42</f>
        <v>#NAME?</v>
      </c>
      <c r="G42" s="10" t="s">
        <v>265</v>
      </c>
      <c r="H42" s="1" t="e">
        <f>E42</f>
        <v>#NAME?</v>
      </c>
      <c r="I42" s="1" t="e">
        <f>F42</f>
        <v>#NAME?</v>
      </c>
      <c r="J42" s="10" t="s">
        <v>7</v>
      </c>
    </row>
    <row r="43" spans="4:10" ht="20.100000000000001" customHeight="1" x14ac:dyDescent="0.25">
      <c r="D43" s="89" t="s">
        <v>241</v>
      </c>
      <c r="E43" s="90"/>
      <c r="F43" s="90"/>
      <c r="G43" s="90"/>
      <c r="H43" s="89" t="e">
        <f>SUM(H10:H42)</f>
        <v>#NAME?</v>
      </c>
      <c r="I43" s="89" t="e">
        <f>SUM(I10:I42)</f>
        <v>#NAME?</v>
      </c>
      <c r="J43" s="91" t="s">
        <v>7</v>
      </c>
    </row>
    <row r="44" spans="4:10" ht="20.100000000000001" customHeight="1" x14ac:dyDescent="0.25"/>
    <row r="45" spans="4:10" ht="20.100000000000001" customHeight="1" x14ac:dyDescent="0.25"/>
    <row r="46" spans="4:10" ht="20.100000000000001" customHeight="1" x14ac:dyDescent="0.25">
      <c r="D46" s="79" t="s">
        <v>242</v>
      </c>
    </row>
    <row r="47" spans="4:10" ht="20.100000000000001" customHeight="1" x14ac:dyDescent="0.25"/>
    <row r="48" spans="4:10" ht="20.100000000000001" customHeight="1" x14ac:dyDescent="0.25">
      <c r="D48" s="12" t="s">
        <v>243</v>
      </c>
      <c r="E48" s="12" t="s">
        <v>8</v>
      </c>
      <c r="F48" s="12" t="s">
        <v>9</v>
      </c>
      <c r="G48" s="12" t="s">
        <v>5</v>
      </c>
      <c r="H48" s="12" t="s">
        <v>10</v>
      </c>
      <c r="I48" s="12" t="s">
        <v>11</v>
      </c>
      <c r="J48" s="12"/>
    </row>
    <row r="49" spans="4:10" ht="20.100000000000001" customHeight="1" x14ac:dyDescent="0.25">
      <c r="D49" s="1" t="e" cm="1">
        <f t="array" ref="D49">"14.1.1-2 Purchased electricity " &amp; IF(X_Cell_Electricity_CalculationMethod="Location-based (simpler)", "(Location-based)", "(Market-based)")</f>
        <v>#NAME?</v>
      </c>
      <c r="E49" s="1" t="e" cm="1">
        <f t="array" ref="E49">IF(X_Cell_Electricity_CalculationMethod="Location-based (simpler)", VEERG_14_1_1__1_LocationBasedScopeElectricityEmissions_Result_Method1, VEERG_14_1_2__1_MarketBasedScopeElectricityEmissionsVariation_Result_Method1)</f>
        <v>#NAME?</v>
      </c>
      <c r="F49" s="1">
        <f>E43</f>
        <v>0</v>
      </c>
      <c r="G49" s="10" t="s">
        <v>7</v>
      </c>
      <c r="H49" s="1">
        <f>E43</f>
        <v>0</v>
      </c>
      <c r="I49" s="1">
        <f>F43</f>
        <v>0</v>
      </c>
      <c r="J49" s="10" t="s">
        <v>7</v>
      </c>
    </row>
    <row r="50" spans="4:10" ht="20.100000000000001" customHeight="1" x14ac:dyDescent="0.25">
      <c r="D50" s="89" t="s">
        <v>244</v>
      </c>
      <c r="E50" s="92"/>
      <c r="F50" s="92"/>
      <c r="G50" s="92"/>
      <c r="H50" s="89">
        <f>SUM(H49)</f>
        <v>0</v>
      </c>
      <c r="I50" s="89">
        <f>SUM(I49)</f>
        <v>0</v>
      </c>
      <c r="J50" s="91" t="s">
        <v>7</v>
      </c>
    </row>
    <row r="51" spans="4:10" ht="20.100000000000001" customHeight="1" x14ac:dyDescent="0.25"/>
    <row r="52" spans="4:10" ht="20.100000000000001" customHeight="1" x14ac:dyDescent="0.25"/>
    <row r="53" spans="4:10" ht="20.100000000000001" customHeight="1" x14ac:dyDescent="0.25">
      <c r="D53" s="79" t="s">
        <v>245</v>
      </c>
    </row>
    <row r="54" spans="4:10" ht="20.100000000000001" customHeight="1" x14ac:dyDescent="0.25">
      <c r="D54" s="12" t="s">
        <v>246</v>
      </c>
      <c r="E54" s="12" t="s">
        <v>8</v>
      </c>
      <c r="F54" s="12" t="s">
        <v>9</v>
      </c>
      <c r="G54" s="12" t="s">
        <v>5</v>
      </c>
      <c r="H54" s="12" t="s">
        <v>10</v>
      </c>
      <c r="I54" s="12" t="s">
        <v>11</v>
      </c>
      <c r="J54" s="12"/>
    </row>
    <row r="55" spans="4:10" ht="20.100000000000001" customHeight="1" x14ac:dyDescent="0.25">
      <c r="D55" s="1" t="s">
        <v>247</v>
      </c>
      <c r="E55" s="1" t="e" cm="1">
        <f t="array" ref="E55">VEERG_15_1_1_1__1_EmissionsFromPurchasedLivestock_Result_Method1</f>
        <v>#NAME?</v>
      </c>
      <c r="F55" s="1" t="e" cm="1">
        <f t="array" ref="F55">VEERG_15_1_1_1__1_EmissionsFromPurchasedLivestock_Result_Method2</f>
        <v>#NAME?</v>
      </c>
      <c r="G55" s="10" t="s">
        <v>7</v>
      </c>
      <c r="H55" s="1" t="e">
        <f>E55</f>
        <v>#NAME?</v>
      </c>
      <c r="I55" s="1" t="e">
        <f>F55</f>
        <v>#NAME?</v>
      </c>
      <c r="J55" s="10" t="s">
        <v>7</v>
      </c>
    </row>
    <row r="56" spans="4:10" ht="20.100000000000001" customHeight="1" x14ac:dyDescent="0.25">
      <c r="D56" s="1" t="s">
        <v>248</v>
      </c>
      <c r="E56" s="1" t="e" cm="1">
        <f t="array" ref="E56">VEERG_15_2_1_1__1_EmissionsFromPurchasedFeed_Result_Method1</f>
        <v>#NAME?</v>
      </c>
      <c r="F56" s="1" t="e" cm="1">
        <f t="array" ref="F56">VEERG_15_2_1_1__1_EmissionsFromPurchasedFeed_Result_Method2</f>
        <v>#NAME?</v>
      </c>
      <c r="G56" s="10" t="s">
        <v>7</v>
      </c>
      <c r="H56" s="1" t="e">
        <f t="shared" ref="H56:I67" si="3">E56</f>
        <v>#NAME?</v>
      </c>
      <c r="I56" s="1" t="e">
        <f t="shared" si="3"/>
        <v>#NAME?</v>
      </c>
      <c r="J56" s="10" t="s">
        <v>7</v>
      </c>
    </row>
    <row r="57" spans="4:10" ht="20.100000000000001" customHeight="1" x14ac:dyDescent="0.25">
      <c r="D57" s="1" t="s">
        <v>249</v>
      </c>
      <c r="E57" s="1" t="e" cm="1">
        <f t="array" ref="E57">VEERG_15_3_1_1__1_EmissionsFromPurchasedMineralSupplements_Result_Method1</f>
        <v>#NAME?</v>
      </c>
      <c r="F57" s="1" t="e" cm="1">
        <f t="array" ref="F57">VEERG_15_3_1_1__1_EmissionsFromPurchasedMineralSupplements_Result_Method2</f>
        <v>#NAME?</v>
      </c>
      <c r="G57" s="10" t="s">
        <v>7</v>
      </c>
      <c r="H57" s="1" t="e">
        <f t="shared" si="3"/>
        <v>#NAME?</v>
      </c>
      <c r="I57" s="1" t="e">
        <f t="shared" si="3"/>
        <v>#NAME?</v>
      </c>
      <c r="J57" s="10" t="s">
        <v>7</v>
      </c>
    </row>
    <row r="58" spans="4:10" ht="20.100000000000001" customHeight="1" x14ac:dyDescent="0.25">
      <c r="D58" s="1" t="s">
        <v>250</v>
      </c>
      <c r="E58" s="1" t="e" cm="1">
        <f t="array" ref="E58">VEERG_15_4_1_1__2_EmissionsFromPurchasedFertiliserComponentsVariation_Result_Method1</f>
        <v>#NAME?</v>
      </c>
      <c r="F58" s="1" t="e" cm="1">
        <f t="array" ref="F58">VEERG_15_4_1_1__2_EmissionsFromPurchasedFertiliserComponentsVariation_Result_Method2</f>
        <v>#NAME?</v>
      </c>
      <c r="G58" s="10" t="s">
        <v>7</v>
      </c>
      <c r="H58" s="1" t="e">
        <f t="shared" si="3"/>
        <v>#NAME?</v>
      </c>
      <c r="I58" s="1" t="e">
        <f t="shared" si="3"/>
        <v>#NAME?</v>
      </c>
      <c r="J58" s="10" t="s">
        <v>7</v>
      </c>
    </row>
    <row r="59" spans="4:10" ht="20.100000000000001" customHeight="1" x14ac:dyDescent="0.25">
      <c r="D59" s="1" t="s">
        <v>251</v>
      </c>
      <c r="E59" s="1" t="e" cm="1">
        <f t="array" ref="E59">VEERG_15_5_1_1__1_EmissionsFromPurchasedAgrichemicals_Result_Method1</f>
        <v>#NAME?</v>
      </c>
      <c r="F59" s="1" t="e" cm="1">
        <f t="array" ref="F59">VEERG_15_5_1_1__1_EmissionsFromPurchasedAgrichemicals_Result_Method2</f>
        <v>#NAME?</v>
      </c>
      <c r="G59" s="10" t="s">
        <v>7</v>
      </c>
      <c r="H59" s="1" t="e">
        <f t="shared" si="3"/>
        <v>#NAME?</v>
      </c>
      <c r="I59" s="1" t="e">
        <f t="shared" si="3"/>
        <v>#NAME?</v>
      </c>
      <c r="J59" s="10" t="s">
        <v>7</v>
      </c>
    </row>
    <row r="60" spans="4:10" ht="20.100000000000001" customHeight="1" x14ac:dyDescent="0.25">
      <c r="D60" s="1" t="s">
        <v>252</v>
      </c>
      <c r="E60" s="1" t="e" cm="1">
        <f t="array" ref="E60">VEERG_15_6_1_1__1_EmissionsFromPurchasedLime_Result_Method1</f>
        <v>#NAME?</v>
      </c>
      <c r="F60" s="1" t="e" cm="1">
        <f t="array" ref="F60">VEERG_15_6_1_1__1_EmissionsFromPurchasedLime_Result_Method2</f>
        <v>#NAME?</v>
      </c>
      <c r="G60" s="10" t="s">
        <v>7</v>
      </c>
      <c r="H60" s="1" t="e">
        <f t="shared" si="3"/>
        <v>#NAME?</v>
      </c>
      <c r="I60" s="1" t="e">
        <f t="shared" si="3"/>
        <v>#NAME?</v>
      </c>
      <c r="J60" s="10" t="s">
        <v>7</v>
      </c>
    </row>
    <row r="61" spans="4:10" ht="20.100000000000001" customHeight="1" x14ac:dyDescent="0.25">
      <c r="D61" s="1" t="s">
        <v>253</v>
      </c>
      <c r="E61" s="1" t="e" cm="1">
        <f t="array" ref="E61">VEERG_15_7_1_1__1_EmissionsFromPurchasedServices_Result_Method1</f>
        <v>#NAME?</v>
      </c>
      <c r="F61" s="1" t="e" cm="1">
        <f t="array" ref="F61">VEERG_15_7_1_1__1_EmissionsFromPurchasedServices_Result_Method2</f>
        <v>#NAME?</v>
      </c>
      <c r="G61" s="10" t="s">
        <v>7</v>
      </c>
      <c r="H61" s="1" t="e">
        <f t="shared" si="3"/>
        <v>#NAME?</v>
      </c>
      <c r="I61" s="1" t="e">
        <f t="shared" si="3"/>
        <v>#NAME?</v>
      </c>
      <c r="J61" s="10" t="s">
        <v>7</v>
      </c>
    </row>
    <row r="62" spans="4:10" ht="20.100000000000001" customHeight="1" x14ac:dyDescent="0.25">
      <c r="D62" s="1" t="s">
        <v>254</v>
      </c>
      <c r="E62" s="1" t="e" cm="1">
        <f t="array" ref="E62">VEERG_15_10_1_1__1_OtherPurchasedGoodsAndServices_CleaningChemicals_Result_Method1</f>
        <v>#NAME?</v>
      </c>
      <c r="F62" s="1" t="e" cm="1">
        <f t="array" ref="F62">VEERG_15_10_1_1__1_OtherPurchasedGoodsAndServices_CleaningChemicals_Result_Method2</f>
        <v>#NAME?</v>
      </c>
      <c r="G62" s="10" t="s">
        <v>7</v>
      </c>
      <c r="H62" s="1" t="e">
        <f t="shared" si="3"/>
        <v>#NAME?</v>
      </c>
      <c r="I62" s="1" t="e">
        <f t="shared" si="3"/>
        <v>#NAME?</v>
      </c>
      <c r="J62" s="10" t="s">
        <v>7</v>
      </c>
    </row>
    <row r="63" spans="4:10" ht="20.100000000000001" customHeight="1" x14ac:dyDescent="0.25">
      <c r="D63" s="1" t="s">
        <v>255</v>
      </c>
      <c r="E63" s="1" t="e" cm="1">
        <f t="array" ref="E63">VEERG_15_10_1_1__1_OtherPurchasedGoodsAndServices_PharmacyChemicals_Result_Method1</f>
        <v>#NAME?</v>
      </c>
      <c r="F63" s="1" t="e" cm="1">
        <f t="array" ref="F63">VEERG_15_10_1_1__1_OtherPurchasedGoodsAndServices_PharmacyChemicals_Result_Method2</f>
        <v>#NAME?</v>
      </c>
      <c r="G63" s="10" t="s">
        <v>7</v>
      </c>
      <c r="H63" s="1" t="e">
        <f t="shared" si="3"/>
        <v>#NAME?</v>
      </c>
      <c r="I63" s="1" t="e">
        <f t="shared" si="3"/>
        <v>#NAME?</v>
      </c>
      <c r="J63" s="10" t="s">
        <v>7</v>
      </c>
    </row>
    <row r="64" spans="4:10" ht="20.100000000000001" customHeight="1" x14ac:dyDescent="0.25">
      <c r="D64" s="1" t="s">
        <v>256</v>
      </c>
      <c r="E64" s="1" t="e" cm="1">
        <f t="array" ref="E64">VEERG_15_10_1_1__1_OtherPurchasedGoodsAndServices_Misc_Result_Method1</f>
        <v>#NAME?</v>
      </c>
      <c r="F64" s="1" t="e" cm="1">
        <f t="array" ref="F64">VEERG_15_10_1_1__1_OtherPurchasedGoodsAndServices_Misc_Result_Method2</f>
        <v>#NAME?</v>
      </c>
      <c r="G64" s="10" t="s">
        <v>7</v>
      </c>
      <c r="H64" s="1" t="e">
        <f t="shared" si="3"/>
        <v>#NAME?</v>
      </c>
      <c r="I64" s="1" t="e">
        <f t="shared" si="3"/>
        <v>#NAME?</v>
      </c>
      <c r="J64" s="10" t="s">
        <v>7</v>
      </c>
    </row>
    <row r="65" spans="4:10" ht="20.100000000000001" customHeight="1" x14ac:dyDescent="0.25">
      <c r="D65" s="1" t="s">
        <v>257</v>
      </c>
      <c r="E65" s="1" t="e" cm="1">
        <f t="array" ref="E65">VEERG_15_10_1_1__1_OtherPurchasedGoodsAndServices_Uncategorised_Result_Method1</f>
        <v>#NAME?</v>
      </c>
      <c r="F65" s="1" t="e" cm="1">
        <f t="array" ref="F65">VEERG_15_10_1_1__1_OtherPurchasedGoodsAndServices_Uncategorised_Result_Method2</f>
        <v>#NAME?</v>
      </c>
      <c r="G65" s="10" t="s">
        <v>7</v>
      </c>
      <c r="H65" s="1" t="e">
        <f t="shared" si="3"/>
        <v>#NAME?</v>
      </c>
      <c r="I65" s="1" t="e">
        <f t="shared" si="3"/>
        <v>#NAME?</v>
      </c>
      <c r="J65" s="10" t="s">
        <v>7</v>
      </c>
    </row>
    <row r="66" spans="4:10" ht="20.100000000000001" customHeight="1" x14ac:dyDescent="0.25">
      <c r="D66" s="1" t="s">
        <v>258</v>
      </c>
      <c r="E66" s="1" t="e" cm="1">
        <f t="array" ref="E66">VEERG_15_11_1_1__1_TotalUpstreamEmissionsFromFuel_Result</f>
        <v>#NAME?</v>
      </c>
      <c r="F66" s="1" t="e">
        <f>E66</f>
        <v>#NAME?</v>
      </c>
      <c r="G66" s="10" t="s">
        <v>7</v>
      </c>
      <c r="H66" s="1" t="e">
        <f t="shared" si="3"/>
        <v>#NAME?</v>
      </c>
      <c r="I66" s="1" t="e">
        <f t="shared" si="3"/>
        <v>#NAME?</v>
      </c>
      <c r="J66" s="10" t="s">
        <v>7</v>
      </c>
    </row>
    <row r="67" spans="4:10" ht="20.100000000000001" customHeight="1" x14ac:dyDescent="0.25">
      <c r="D67" s="1" t="e" cm="1">
        <f t="array" ref="D67">"15.12.1.1 Purchased electricity " &amp; IF(X_Cell_Electricity_CalculationMethod="Location-based (simpler)", "(Location-based)", "(Market-based)")</f>
        <v>#NAME?</v>
      </c>
      <c r="E67" s="1" t="e" cm="1">
        <f t="array" ref="E67">IF(X_Cell_Electricity_CalculationMethod="Location-based (simpler)", VEERG_15_12_1_1__1_UpstreamPurchasedElectricityLocationBased_Result, VEERG_15_12_1_1__1_UpstreamPurchasedElectricityMarketBased_Result)</f>
        <v>#NAME?</v>
      </c>
      <c r="F67" s="1" t="e">
        <f>E67</f>
        <v>#NAME?</v>
      </c>
      <c r="G67" s="10" t="s">
        <v>7</v>
      </c>
      <c r="H67" s="1" t="e">
        <f t="shared" si="3"/>
        <v>#NAME?</v>
      </c>
      <c r="I67" s="1" t="e">
        <f t="shared" si="3"/>
        <v>#NAME?</v>
      </c>
      <c r="J67" s="10" t="s">
        <v>7</v>
      </c>
    </row>
    <row r="68" spans="4:10" ht="20.100000000000001" customHeight="1" x14ac:dyDescent="0.25">
      <c r="D68" s="1" t="s">
        <v>259</v>
      </c>
      <c r="E68" s="1" t="e" cm="1">
        <f t="array" ref="E68">VEERG_15_14_1_1__1_EmbeddedEmissionsFromUpstreamFreight_Incoming_Result_Method1</f>
        <v>#NAME?</v>
      </c>
      <c r="F68" s="1" t="e" cm="1">
        <f t="array" ref="F68">VEERG_15_14_1_1__1_EmbeddedEmissionsFromUpstreamFreight_Incoming_Result_Method2</f>
        <v>#NAME?</v>
      </c>
      <c r="G68" s="10" t="s">
        <v>7</v>
      </c>
      <c r="H68" s="1" t="e">
        <f>E68</f>
        <v>#NAME?</v>
      </c>
      <c r="I68" s="1" t="e">
        <f>F68</f>
        <v>#NAME?</v>
      </c>
      <c r="J68" s="10" t="s">
        <v>7</v>
      </c>
    </row>
    <row r="69" spans="4:10" ht="20.100000000000001" customHeight="1" x14ac:dyDescent="0.25">
      <c r="D69" s="1" t="s">
        <v>260</v>
      </c>
      <c r="E69" s="1" t="e" cm="1">
        <f t="array" ref="E69">VEERG_10_1_1_1__1_EmissionsFromWasteManagement_Scope3_Result_Method1</f>
        <v>#NAME?</v>
      </c>
      <c r="F69" s="1" t="e">
        <f>E69</f>
        <v>#NAME?</v>
      </c>
      <c r="G69" s="10" t="s">
        <v>7</v>
      </c>
      <c r="H69" s="1" t="e">
        <f t="shared" ref="H69:I70" si="4">E69</f>
        <v>#NAME?</v>
      </c>
      <c r="I69" s="1" t="e">
        <f t="shared" si="4"/>
        <v>#NAME?</v>
      </c>
      <c r="J69" s="10" t="s">
        <v>7</v>
      </c>
    </row>
    <row r="70" spans="4:10" ht="20.100000000000001" customHeight="1" x14ac:dyDescent="0.25">
      <c r="D70" s="1" t="s">
        <v>261</v>
      </c>
      <c r="E70" s="1" t="e" cm="1">
        <f t="array" ref="E70">VEERG_15_14_1_1__1_EmbeddedEmissionsFromUpstreamFreight_Outgoing_Result_Method1</f>
        <v>#NAME?</v>
      </c>
      <c r="F70" s="1" t="e" cm="1">
        <f t="array" ref="F70">VEERG_15_14_1_1__1_EmbeddedEmissionsFromUpstreamFreight_Outgoing_Result_Method2</f>
        <v>#NAME?</v>
      </c>
      <c r="G70" s="10" t="s">
        <v>7</v>
      </c>
      <c r="H70" s="1" t="e">
        <f t="shared" si="4"/>
        <v>#NAME?</v>
      </c>
      <c r="I70" s="1" t="e">
        <f t="shared" si="4"/>
        <v>#NAME?</v>
      </c>
      <c r="J70" s="10" t="s">
        <v>7</v>
      </c>
    </row>
    <row r="71" spans="4:10" ht="20.100000000000001" customHeight="1" x14ac:dyDescent="0.25">
      <c r="D71" s="89" t="s">
        <v>262</v>
      </c>
      <c r="E71" s="92"/>
      <c r="F71" s="92"/>
      <c r="G71" s="92"/>
      <c r="H71" s="89" t="e">
        <f>SUM(H55:H70)</f>
        <v>#NAME?</v>
      </c>
      <c r="I71" s="89" t="e">
        <f>SUM(I55:I70)</f>
        <v>#NAME?</v>
      </c>
      <c r="J71" s="91" t="s">
        <v>7</v>
      </c>
    </row>
    <row r="72" spans="4:10" ht="20.100000000000001" customHeight="1" x14ac:dyDescent="0.25"/>
    <row r="73" spans="4:10" ht="20.100000000000001" customHeight="1" x14ac:dyDescent="0.25"/>
    <row r="74" spans="4:10" ht="20.100000000000001" customHeight="1" x14ac:dyDescent="0.25">
      <c r="D74" s="79" t="str">
        <f>"Carbon removals from plantings for the activity period " &amp; TEXT(X_Cell_Site_StartDate, "d mmmm yyyy") &amp; " and " &amp; TEXT(X_Cell_Site_EndDate, "d mmmm yyyy")</f>
        <v>Carbon removals from plantings for the activity period 1 January 2024 and 31 December 2024</v>
      </c>
    </row>
    <row r="75" spans="4:10" ht="20.100000000000001" customHeight="1" x14ac:dyDescent="0.25"/>
    <row r="76" spans="4:10" ht="20.25" x14ac:dyDescent="0.25">
      <c r="D76" s="89" t="s">
        <v>263</v>
      </c>
      <c r="E76" s="92">
        <f>SUM(Table_Input_Enterprise_PlantingRemovals[Removal allocated to this enterprise])</f>
        <v>0</v>
      </c>
      <c r="F76" s="91" t="s">
        <v>127</v>
      </c>
    </row>
    <row r="79" spans="4:10" ht="18.75" x14ac:dyDescent="0.25">
      <c r="D79" s="79" t="str">
        <f>"Net emissions for the activity period " &amp; TEXT(X_Cell_Site_StartDate, "d mmmm yyyy") &amp; " and " &amp; TEXT(X_Cell_Site_EndDate, "d mmmm yyyy")</f>
        <v>Net emissions for the activity period 1 January 2024 and 31 December 2024</v>
      </c>
    </row>
    <row r="81" spans="4:7" x14ac:dyDescent="0.25">
      <c r="D81" s="12"/>
      <c r="E81" s="12" t="s">
        <v>130</v>
      </c>
      <c r="F81" s="12" t="s">
        <v>131</v>
      </c>
    </row>
    <row r="82" spans="4:7" ht="20.25" x14ac:dyDescent="0.25">
      <c r="D82" s="87" t="s">
        <v>264</v>
      </c>
      <c r="E82" s="93" t="e">
        <f>Result_Enterprise_Scope1_Method1+Result_Enterprise_Scope2_Method1+Result_Enterprise_Scope3_Method1</f>
        <v>#NAME?</v>
      </c>
      <c r="F82" s="93" t="e">
        <f>Result_Enterprise_Scope1_Method2+Result_Enterprise_Scope2_Method2+Result_Enterprise_Scope3_Method2</f>
        <v>#NAME?</v>
      </c>
      <c r="G82" s="88" t="s">
        <v>265</v>
      </c>
    </row>
    <row r="83" spans="4:7" ht="20.25" x14ac:dyDescent="0.25">
      <c r="D83" s="87" t="s">
        <v>266</v>
      </c>
      <c r="E83" s="93" t="e">
        <f>Result_Enterprise_Gross_Method1-Result_Enterprise_Removals</f>
        <v>#NAME?</v>
      </c>
      <c r="F83" s="93" t="e">
        <f>Result_Enterprise_Gross_Method2-Result_Enterprise_Removals</f>
        <v>#NAME?</v>
      </c>
      <c r="G83" s="88" t="s">
        <v>265</v>
      </c>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8DCBC-EA61-418F-9ACB-B83379D3C733}">
  <sheetPr>
    <tabColor rgb="FF0C769E"/>
  </sheetPr>
  <dimension ref="A1:AL445"/>
  <sheetViews>
    <sheetView showGridLines="0" topLeftCell="A19" zoomScaleNormal="100" workbookViewId="0">
      <selection activeCell="O396" sqref="O396"/>
    </sheetView>
  </sheetViews>
  <sheetFormatPr defaultRowHeight="15.75" x14ac:dyDescent="0.25"/>
  <cols>
    <col min="1" max="1" width="30.7109375" customWidth="1"/>
    <col min="2" max="3" width="4.7109375" customWidth="1"/>
    <col min="4" max="4" width="53.7109375" customWidth="1"/>
    <col min="5" max="14" width="30.7109375" customWidth="1"/>
    <col min="15" max="38" width="9.140625" style="1"/>
  </cols>
  <sheetData>
    <row r="1" spans="1:38" ht="30" customHeight="1" x14ac:dyDescent="0.35">
      <c r="A1" s="11" t="e" vm="1">
        <v>#VALUE!</v>
      </c>
      <c r="C1" s="86" t="s">
        <v>274</v>
      </c>
      <c r="D1" s="86"/>
      <c r="E1" s="86"/>
      <c r="F1" s="86"/>
      <c r="G1" s="86"/>
      <c r="H1" s="86"/>
      <c r="I1" s="86"/>
      <c r="J1" s="86"/>
      <c r="K1" s="86"/>
      <c r="L1" s="86"/>
      <c r="M1" s="86"/>
      <c r="N1" s="86"/>
      <c r="O1" s="86"/>
      <c r="P1" s="86"/>
      <c r="Q1" s="86"/>
      <c r="R1" s="86"/>
      <c r="S1" s="86"/>
      <c r="T1" s="86"/>
      <c r="U1" s="86"/>
      <c r="V1" s="86"/>
      <c r="W1" s="86"/>
      <c r="X1" s="86"/>
      <c r="Y1" s="86"/>
      <c r="Z1" s="86"/>
      <c r="AA1" s="86"/>
      <c r="AB1" s="86"/>
      <c r="AC1" s="86"/>
      <c r="AD1" s="86"/>
      <c r="AE1" s="86"/>
      <c r="AF1" s="86"/>
      <c r="AG1" s="86"/>
      <c r="AH1" s="86"/>
      <c r="AI1" s="86"/>
      <c r="AJ1" s="86"/>
      <c r="AK1" s="86"/>
      <c r="AL1" s="86"/>
    </row>
    <row r="2" spans="1:38" ht="20.100000000000001" customHeight="1" x14ac:dyDescent="0.25">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row>
    <row r="3" spans="1:38" ht="20.100000000000001" customHeight="1" x14ac:dyDescent="0.25">
      <c r="C3" s="96"/>
      <c r="D3" s="96"/>
      <c r="E3" s="96"/>
      <c r="F3" s="96"/>
      <c r="G3" s="96"/>
      <c r="H3" s="96"/>
      <c r="I3" s="96"/>
      <c r="J3" s="96"/>
      <c r="K3" s="96"/>
      <c r="L3" s="96"/>
      <c r="M3" s="96"/>
      <c r="N3" s="96"/>
      <c r="O3" s="96"/>
      <c r="P3" s="96"/>
      <c r="Q3" s="96"/>
      <c r="R3" s="96"/>
      <c r="S3" s="96"/>
      <c r="T3" s="96"/>
      <c r="U3" s="96"/>
      <c r="V3" s="96"/>
      <c r="W3" s="96"/>
      <c r="X3" s="96"/>
      <c r="Y3" s="96"/>
      <c r="Z3" s="96"/>
      <c r="AA3" s="96"/>
      <c r="AB3" s="96"/>
      <c r="AC3" s="96"/>
      <c r="AD3" s="96"/>
      <c r="AE3" s="96"/>
      <c r="AF3" s="96"/>
      <c r="AG3" s="96"/>
      <c r="AH3" s="96"/>
      <c r="AI3" s="96"/>
      <c r="AJ3" s="96"/>
      <c r="AK3" s="96"/>
      <c r="AL3" s="96"/>
    </row>
    <row r="4" spans="1:38" ht="20.100000000000001" customHeight="1" x14ac:dyDescent="0.25">
      <c r="C4" s="1"/>
      <c r="D4" s="1"/>
      <c r="E4" s="1"/>
      <c r="F4" s="1"/>
      <c r="G4" s="1"/>
      <c r="H4" s="1"/>
      <c r="I4" s="1"/>
      <c r="J4" s="1"/>
      <c r="K4" s="1"/>
      <c r="L4" s="1"/>
      <c r="M4" s="1"/>
      <c r="N4" s="1"/>
    </row>
    <row r="5" spans="1:38" ht="20.100000000000001" customHeight="1" x14ac:dyDescent="0.25">
      <c r="C5" s="1"/>
      <c r="D5" s="1"/>
      <c r="E5" s="1"/>
      <c r="F5" s="1"/>
      <c r="G5" s="1"/>
      <c r="H5" s="1"/>
      <c r="I5" s="1"/>
      <c r="J5" s="1"/>
      <c r="K5" s="1"/>
      <c r="L5" s="1"/>
      <c r="M5" s="1"/>
      <c r="N5" s="1"/>
    </row>
    <row r="6" spans="1:38" ht="20.100000000000001" customHeight="1" x14ac:dyDescent="0.25">
      <c r="C6" s="1"/>
      <c r="D6" s="1"/>
      <c r="E6" s="1"/>
      <c r="F6" s="1"/>
      <c r="G6" s="1"/>
      <c r="H6" s="1"/>
      <c r="I6" s="1"/>
      <c r="J6" s="1"/>
      <c r="K6" s="1"/>
      <c r="L6" s="1"/>
      <c r="M6" s="1"/>
      <c r="N6" s="1"/>
    </row>
    <row r="7" spans="1:38" ht="20.100000000000001" customHeight="1" x14ac:dyDescent="0.25">
      <c r="C7" s="1"/>
      <c r="D7" s="1"/>
      <c r="E7" s="1"/>
      <c r="F7" s="1"/>
      <c r="G7" s="1"/>
      <c r="H7" s="1"/>
      <c r="I7" s="1"/>
      <c r="J7" s="1"/>
      <c r="K7" s="1"/>
      <c r="L7" s="1"/>
      <c r="M7" s="1"/>
      <c r="N7" s="1"/>
    </row>
    <row r="8" spans="1:38" ht="20.100000000000001" customHeight="1" x14ac:dyDescent="0.25">
      <c r="C8" s="1"/>
      <c r="D8" s="1"/>
      <c r="E8" s="1"/>
      <c r="F8" s="1"/>
      <c r="G8" s="1"/>
      <c r="H8" s="1"/>
      <c r="I8" s="1"/>
      <c r="J8" s="1"/>
      <c r="K8" s="1"/>
      <c r="L8" s="1"/>
      <c r="M8" s="1"/>
      <c r="N8" s="1"/>
    </row>
    <row r="9" spans="1:38" ht="20.100000000000001" customHeight="1" x14ac:dyDescent="0.25">
      <c r="C9" s="1"/>
      <c r="D9" s="1"/>
      <c r="E9" s="1"/>
      <c r="F9" s="1"/>
      <c r="G9" s="1"/>
      <c r="H9" s="1"/>
      <c r="I9" s="1"/>
      <c r="J9" s="1"/>
      <c r="K9" s="1"/>
      <c r="L9" s="1"/>
      <c r="M9" s="1"/>
      <c r="N9" s="1"/>
    </row>
    <row r="10" spans="1:38" ht="20.100000000000001" customHeight="1" x14ac:dyDescent="0.25">
      <c r="C10" s="1"/>
      <c r="D10" s="1"/>
      <c r="E10" s="1"/>
      <c r="F10" s="1"/>
      <c r="G10" s="1"/>
      <c r="H10" s="1"/>
      <c r="I10" s="1"/>
      <c r="J10" s="1"/>
      <c r="K10" s="1"/>
      <c r="L10" s="1"/>
      <c r="M10" s="1"/>
      <c r="N10" s="1"/>
    </row>
    <row r="11" spans="1:38" ht="20.100000000000001" customHeight="1" x14ac:dyDescent="0.25">
      <c r="C11" s="1"/>
      <c r="D11" s="1"/>
      <c r="E11" s="1"/>
      <c r="F11" s="1"/>
      <c r="G11" s="1"/>
      <c r="H11" s="1"/>
      <c r="I11" s="1"/>
      <c r="J11" s="1"/>
      <c r="K11" s="1"/>
      <c r="L11" s="1"/>
      <c r="M11" s="1"/>
      <c r="N11" s="1"/>
    </row>
    <row r="12" spans="1:38" ht="20.100000000000001" customHeight="1" x14ac:dyDescent="0.25">
      <c r="C12" s="1"/>
      <c r="D12" s="1"/>
      <c r="E12" s="1"/>
      <c r="F12" s="1"/>
      <c r="G12" s="1"/>
      <c r="H12" s="1"/>
      <c r="I12" s="1"/>
      <c r="J12" s="1"/>
      <c r="K12" s="1"/>
      <c r="L12" s="1"/>
      <c r="M12" s="1"/>
      <c r="N12" s="1"/>
    </row>
    <row r="13" spans="1:38" ht="20.100000000000001" customHeight="1" x14ac:dyDescent="0.25">
      <c r="C13" s="1"/>
      <c r="D13" s="1"/>
      <c r="E13" s="1"/>
      <c r="F13" s="1"/>
      <c r="G13" s="1"/>
      <c r="H13" s="1"/>
      <c r="I13" s="1"/>
      <c r="J13" s="1"/>
      <c r="K13" s="1"/>
      <c r="L13" s="1"/>
      <c r="M13" s="1"/>
      <c r="N13" s="1"/>
    </row>
    <row r="14" spans="1:38" ht="20.100000000000001" customHeight="1" x14ac:dyDescent="0.25">
      <c r="C14" s="1"/>
      <c r="D14" s="1"/>
      <c r="E14" s="1"/>
      <c r="F14" s="1"/>
      <c r="G14" s="1"/>
      <c r="H14" s="1"/>
      <c r="I14" s="1"/>
      <c r="J14" s="1"/>
      <c r="K14" s="1"/>
      <c r="L14" s="1"/>
      <c r="M14" s="1"/>
      <c r="N14" s="1"/>
    </row>
    <row r="15" spans="1:38" ht="20.100000000000001" customHeight="1" x14ac:dyDescent="0.25">
      <c r="C15" s="1"/>
      <c r="D15" s="1"/>
      <c r="E15" s="1"/>
      <c r="F15" s="1"/>
      <c r="G15" s="1"/>
      <c r="H15" s="1"/>
      <c r="I15" s="1"/>
      <c r="J15" s="1"/>
      <c r="K15" s="1"/>
      <c r="L15" s="1"/>
      <c r="M15" s="1"/>
      <c r="N15" s="1"/>
    </row>
    <row r="16" spans="1:38" ht="20.100000000000001" customHeight="1" x14ac:dyDescent="0.25">
      <c r="C16" s="1"/>
      <c r="D16" s="1"/>
      <c r="E16" s="1"/>
      <c r="F16" s="1"/>
      <c r="G16" s="1"/>
      <c r="H16" s="1"/>
      <c r="I16" s="1"/>
      <c r="J16" s="1"/>
      <c r="K16" s="1"/>
      <c r="L16" s="1"/>
      <c r="M16" s="1"/>
      <c r="N16" s="1"/>
    </row>
    <row r="17" spans="3:14" ht="20.100000000000001" customHeight="1" x14ac:dyDescent="0.25">
      <c r="C17" s="1"/>
      <c r="D17" s="1"/>
      <c r="E17" s="1"/>
      <c r="F17" s="1"/>
      <c r="G17" s="1"/>
      <c r="H17" s="1"/>
      <c r="I17" s="1"/>
      <c r="J17" s="1"/>
      <c r="K17" s="1"/>
      <c r="L17" s="1"/>
      <c r="M17" s="1"/>
      <c r="N17" s="1"/>
    </row>
    <row r="18" spans="3:14" ht="20.100000000000001" customHeight="1" x14ac:dyDescent="0.25">
      <c r="C18" s="1"/>
      <c r="D18" s="1"/>
      <c r="E18" s="1"/>
      <c r="F18" s="1"/>
      <c r="G18" s="1"/>
      <c r="H18" s="1"/>
      <c r="I18" s="1"/>
      <c r="J18" s="1"/>
      <c r="K18" s="1"/>
      <c r="L18" s="1"/>
      <c r="M18" s="1"/>
      <c r="N18" s="1"/>
    </row>
    <row r="19" spans="3:14" ht="20.100000000000001" customHeight="1" x14ac:dyDescent="0.25">
      <c r="C19" s="1"/>
      <c r="D19" s="1"/>
      <c r="E19" s="1"/>
      <c r="F19" s="1"/>
      <c r="G19" s="1"/>
      <c r="H19" s="1"/>
      <c r="I19" s="1"/>
      <c r="J19" s="1"/>
      <c r="K19" s="1"/>
      <c r="L19" s="1"/>
      <c r="M19" s="1"/>
      <c r="N19" s="1"/>
    </row>
    <row r="20" spans="3:14" ht="20.100000000000001" customHeight="1" x14ac:dyDescent="0.25">
      <c r="C20" s="1"/>
      <c r="D20" s="1"/>
      <c r="E20" s="1"/>
      <c r="F20" s="1"/>
      <c r="G20" s="1"/>
      <c r="H20" s="1"/>
      <c r="I20" s="1"/>
      <c r="J20" s="1"/>
      <c r="K20" s="1"/>
      <c r="L20" s="1"/>
      <c r="M20" s="1"/>
      <c r="N20" s="1"/>
    </row>
    <row r="21" spans="3:14" ht="20.100000000000001" customHeight="1" x14ac:dyDescent="0.25">
      <c r="C21" s="1"/>
      <c r="D21" s="1"/>
      <c r="E21" s="1"/>
      <c r="F21" s="1"/>
      <c r="G21" s="1"/>
      <c r="H21" s="1"/>
      <c r="I21" s="1"/>
      <c r="J21" s="1"/>
      <c r="K21" s="1"/>
      <c r="L21" s="1"/>
      <c r="M21" s="1"/>
      <c r="N21" s="1"/>
    </row>
    <row r="22" spans="3:14" ht="20.100000000000001" customHeight="1" x14ac:dyDescent="0.25">
      <c r="C22" s="1"/>
      <c r="D22" s="1"/>
      <c r="E22" s="1"/>
      <c r="F22" s="1"/>
      <c r="G22" s="1"/>
      <c r="H22" s="1"/>
      <c r="I22" s="1"/>
      <c r="J22" s="1"/>
      <c r="K22" s="1"/>
      <c r="L22" s="1"/>
      <c r="M22" s="1"/>
      <c r="N22" s="1"/>
    </row>
    <row r="23" spans="3:14" ht="20.100000000000001" customHeight="1" x14ac:dyDescent="0.25">
      <c r="C23" s="1"/>
      <c r="D23" s="1"/>
      <c r="E23" s="1"/>
      <c r="F23" s="1"/>
      <c r="G23" s="1"/>
      <c r="H23" s="1"/>
      <c r="I23" s="1"/>
      <c r="J23" s="1"/>
      <c r="K23" s="1"/>
      <c r="L23" s="1"/>
      <c r="M23" s="1"/>
      <c r="N23" s="1"/>
    </row>
    <row r="24" spans="3:14" ht="20.100000000000001" customHeight="1" x14ac:dyDescent="0.25">
      <c r="C24" s="1"/>
      <c r="D24" s="1"/>
      <c r="E24" s="1"/>
      <c r="F24" s="1"/>
      <c r="G24" s="1"/>
      <c r="H24" s="1"/>
      <c r="I24" s="1"/>
      <c r="J24" s="1"/>
      <c r="K24" s="1"/>
      <c r="L24" s="1"/>
      <c r="M24" s="1"/>
      <c r="N24" s="1"/>
    </row>
    <row r="25" spans="3:14" ht="20.100000000000001" customHeight="1" x14ac:dyDescent="0.25">
      <c r="C25" s="1"/>
      <c r="D25" s="1"/>
      <c r="E25" s="1"/>
      <c r="F25" s="1"/>
      <c r="G25" s="1"/>
      <c r="H25" s="1"/>
      <c r="I25" s="1"/>
      <c r="J25" s="1"/>
      <c r="K25" s="1"/>
      <c r="L25" s="1"/>
      <c r="M25" s="1"/>
      <c r="N25" s="1"/>
    </row>
    <row r="26" spans="3:14" ht="20.100000000000001" customHeight="1" x14ac:dyDescent="0.25">
      <c r="C26" s="1"/>
      <c r="D26" s="1"/>
      <c r="E26" s="1"/>
      <c r="F26" s="1"/>
      <c r="G26" s="1"/>
      <c r="H26" s="1"/>
      <c r="I26" s="1"/>
      <c r="J26" s="1"/>
      <c r="K26" s="1"/>
      <c r="L26" s="1"/>
      <c r="M26" s="1"/>
      <c r="N26" s="1"/>
    </row>
    <row r="27" spans="3:14" ht="20.100000000000001" customHeight="1" x14ac:dyDescent="0.25">
      <c r="C27" s="1"/>
      <c r="D27" s="1"/>
      <c r="E27" s="1"/>
      <c r="F27" s="1"/>
      <c r="G27" s="1"/>
      <c r="H27" s="1"/>
      <c r="I27" s="1"/>
      <c r="J27" s="1"/>
      <c r="K27" s="1"/>
      <c r="L27" s="1"/>
      <c r="M27" s="1"/>
      <c r="N27" s="1"/>
    </row>
    <row r="28" spans="3:14" ht="20.100000000000001" customHeight="1" x14ac:dyDescent="0.25">
      <c r="C28" s="1"/>
      <c r="D28" s="1"/>
      <c r="E28" s="1"/>
      <c r="F28" s="1"/>
      <c r="G28" s="1"/>
      <c r="H28" s="1"/>
      <c r="I28" s="1"/>
      <c r="J28" s="1"/>
      <c r="K28" s="1"/>
      <c r="L28" s="1"/>
      <c r="M28" s="1"/>
      <c r="N28" s="1"/>
    </row>
    <row r="29" spans="3:14" ht="20.100000000000001" customHeight="1" x14ac:dyDescent="0.25">
      <c r="C29" s="1"/>
      <c r="D29" s="1"/>
      <c r="E29" s="1"/>
      <c r="F29" s="1"/>
      <c r="G29" s="1"/>
      <c r="H29" s="1"/>
      <c r="I29" s="1"/>
      <c r="J29" s="1"/>
      <c r="K29" s="1"/>
      <c r="L29" s="1"/>
      <c r="M29" s="1"/>
      <c r="N29" s="1"/>
    </row>
    <row r="30" spans="3:14" ht="20.100000000000001" customHeight="1" x14ac:dyDescent="0.25">
      <c r="C30" s="1"/>
      <c r="D30" s="1"/>
      <c r="E30" s="1"/>
      <c r="F30" s="1"/>
      <c r="G30" s="1"/>
      <c r="H30" s="1"/>
      <c r="I30" s="1"/>
      <c r="J30" s="1"/>
      <c r="K30" s="1"/>
      <c r="L30" s="1"/>
      <c r="M30" s="1"/>
      <c r="N30" s="1"/>
    </row>
    <row r="31" spans="3:14" ht="20.100000000000001" customHeight="1" x14ac:dyDescent="0.25">
      <c r="C31" s="1"/>
      <c r="D31" s="1"/>
      <c r="E31" s="1"/>
      <c r="F31" s="1"/>
      <c r="G31" s="1"/>
      <c r="H31" s="1"/>
      <c r="I31" s="1"/>
      <c r="J31" s="1"/>
      <c r="K31" s="1"/>
      <c r="L31" s="1"/>
      <c r="M31" s="1"/>
      <c r="N31" s="1"/>
    </row>
    <row r="32" spans="3:14" ht="20.100000000000001" customHeight="1" x14ac:dyDescent="0.25">
      <c r="C32" s="1"/>
      <c r="D32" s="2" t="str">
        <f>"Emissions for whole production cycle running between " &amp; TEXT(X_Cell_Enterprise_ProductionTimeframeStart, "d mmmm yyyy") &amp; " and " &amp; TEXT(X_Cell_Enterprise_ProductionTimeframeEnd, "d mmmm yyyy")</f>
        <v>Emissions for whole production cycle running between 1 November 2023 and 31 March 2025</v>
      </c>
      <c r="E32" s="1"/>
      <c r="F32" s="1"/>
      <c r="G32" s="1"/>
      <c r="H32" s="1"/>
      <c r="I32" s="1"/>
      <c r="J32" s="1"/>
      <c r="K32" s="1"/>
      <c r="L32" s="1"/>
      <c r="M32" s="1"/>
      <c r="N32" s="1"/>
    </row>
    <row r="33" spans="3:14" ht="20.100000000000001" customHeight="1" x14ac:dyDescent="0.25">
      <c r="C33" s="1"/>
      <c r="D33" s="1"/>
      <c r="E33" s="1"/>
      <c r="F33" s="1"/>
      <c r="G33" s="1"/>
      <c r="H33" s="1"/>
      <c r="I33" s="1"/>
      <c r="J33" s="1"/>
      <c r="K33" s="1"/>
      <c r="L33" s="1"/>
      <c r="M33" s="1"/>
      <c r="N33" s="1"/>
    </row>
    <row r="34" spans="3:14" ht="20.100000000000001" customHeight="1" x14ac:dyDescent="0.25">
      <c r="C34" s="1"/>
      <c r="D34" s="1"/>
      <c r="E34" s="1"/>
      <c r="F34" s="1"/>
      <c r="G34" s="1"/>
      <c r="H34" s="1"/>
      <c r="I34" s="1"/>
      <c r="J34" s="1"/>
      <c r="K34" s="1"/>
      <c r="L34" s="1"/>
      <c r="M34" s="1"/>
      <c r="N34" s="1"/>
    </row>
    <row r="35" spans="3:14" ht="20.100000000000001" customHeight="1" x14ac:dyDescent="0.25">
      <c r="C35" s="1"/>
      <c r="D35" s="12"/>
      <c r="E35" s="12" t="s">
        <v>130</v>
      </c>
      <c r="F35" s="12" t="s">
        <v>131</v>
      </c>
      <c r="G35" s="12"/>
      <c r="H35" s="1"/>
      <c r="I35" s="1"/>
      <c r="J35" s="1"/>
      <c r="K35" s="1"/>
      <c r="L35" s="1"/>
      <c r="M35" s="1"/>
      <c r="N35" s="1"/>
    </row>
    <row r="36" spans="3:14" ht="20.100000000000001" customHeight="1" x14ac:dyDescent="0.25">
      <c r="C36" s="1"/>
      <c r="D36" s="77" t="s">
        <v>275</v>
      </c>
      <c r="E36" s="1" t="e">
        <f>Result_EmissionsForWholeProductionCycle_Gross_Method1</f>
        <v>#NAME?</v>
      </c>
      <c r="F36" s="1" t="e">
        <f>Result_EmissionsForWholeProductionCycle_Gross_Method2</f>
        <v>#NAME?</v>
      </c>
      <c r="G36" s="10" t="s">
        <v>7</v>
      </c>
      <c r="H36" s="1"/>
      <c r="I36" s="1"/>
      <c r="J36" s="1"/>
      <c r="K36" s="1"/>
      <c r="L36" s="1"/>
      <c r="M36" s="1"/>
      <c r="N36" s="1"/>
    </row>
    <row r="37" spans="3:14" ht="20.100000000000001" customHeight="1" x14ac:dyDescent="0.25">
      <c r="C37" s="1"/>
      <c r="D37" s="77" t="s">
        <v>276</v>
      </c>
      <c r="E37" s="1" t="e">
        <f>Result_EmissionsForWholeProductionCycle_Net_Method1</f>
        <v>#NAME?</v>
      </c>
      <c r="F37" s="1" t="e">
        <f>Result_EmissionsForWholeProductionCycle_Net_Method2</f>
        <v>#NAME?</v>
      </c>
      <c r="G37" s="10" t="s">
        <v>7</v>
      </c>
      <c r="H37" s="1"/>
      <c r="I37" s="1"/>
      <c r="J37" s="1"/>
      <c r="K37" s="1"/>
      <c r="L37" s="1"/>
      <c r="M37" s="1"/>
      <c r="N37" s="1"/>
    </row>
    <row r="38" spans="3:14" ht="20.100000000000001" customHeight="1" x14ac:dyDescent="0.25">
      <c r="C38" s="1"/>
      <c r="D38" s="1"/>
      <c r="E38" s="1"/>
      <c r="F38" s="1"/>
      <c r="G38" s="1"/>
      <c r="H38" s="1"/>
      <c r="I38" s="1"/>
      <c r="J38" s="1"/>
      <c r="K38" s="1"/>
      <c r="L38" s="1"/>
      <c r="M38" s="1"/>
      <c r="N38" s="1"/>
    </row>
    <row r="39" spans="3:14" ht="20.100000000000001" customHeight="1" x14ac:dyDescent="0.25">
      <c r="C39" s="1"/>
      <c r="D39"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2023 and 31 March 2025</v>
      </c>
      <c r="E39" s="1"/>
      <c r="F39" s="1"/>
      <c r="G39" s="1"/>
      <c r="H39" s="1"/>
      <c r="I39" s="1"/>
      <c r="J39" s="1"/>
      <c r="K39" s="1"/>
      <c r="L39" s="1"/>
      <c r="M39" s="1"/>
      <c r="N39" s="1"/>
    </row>
    <row r="40" spans="3:14" ht="20.100000000000001" customHeight="1" x14ac:dyDescent="0.25">
      <c r="C40" s="1"/>
      <c r="D40" s="1"/>
      <c r="E40" s="1"/>
      <c r="F40" s="1"/>
      <c r="G40" s="1"/>
      <c r="H40" s="1"/>
      <c r="I40" s="1"/>
      <c r="J40" s="1"/>
      <c r="K40" s="1"/>
      <c r="L40" s="1"/>
      <c r="M40" s="1"/>
      <c r="N40" s="1"/>
    </row>
    <row r="41" spans="3:14" ht="20.100000000000001" customHeight="1" x14ac:dyDescent="0.25">
      <c r="C41" s="1"/>
      <c r="D41" s="1"/>
      <c r="E41" s="1"/>
      <c r="F41" s="1"/>
      <c r="G41" s="1"/>
      <c r="H41" s="1"/>
      <c r="I41" s="1"/>
      <c r="J41" s="1"/>
      <c r="K41" s="1"/>
      <c r="L41" s="1"/>
      <c r="M41" s="1"/>
      <c r="N41" s="1"/>
    </row>
    <row r="42" spans="3:14" ht="20.100000000000001" customHeight="1" x14ac:dyDescent="0.25">
      <c r="C42" s="1"/>
      <c r="D42" s="79" t="s">
        <v>151</v>
      </c>
      <c r="E42" s="1"/>
      <c r="F42" s="1"/>
      <c r="G42" s="1"/>
      <c r="H42" s="1"/>
      <c r="I42" s="1"/>
      <c r="J42" s="1"/>
      <c r="K42" s="1"/>
      <c r="L42" s="1"/>
      <c r="M42" s="1"/>
      <c r="N42" s="1"/>
    </row>
    <row r="43" spans="3:14" ht="20.100000000000001" customHeight="1" x14ac:dyDescent="0.25">
      <c r="C43" s="1"/>
      <c r="D43" s="12" t="s">
        <v>132</v>
      </c>
      <c r="E43" s="12" t="s">
        <v>123</v>
      </c>
      <c r="F43" s="12" t="s">
        <v>118</v>
      </c>
      <c r="G43" s="12" t="s">
        <v>153</v>
      </c>
      <c r="H43" s="12" t="s">
        <v>121</v>
      </c>
      <c r="I43" s="12" t="s">
        <v>122</v>
      </c>
      <c r="J43" s="12" t="s">
        <v>119</v>
      </c>
      <c r="K43" s="1"/>
      <c r="L43" s="1"/>
      <c r="M43" s="1"/>
      <c r="N43" s="1"/>
    </row>
    <row r="44" spans="3:14" ht="20.100000000000001" customHeight="1" x14ac:dyDescent="0.25">
      <c r="C44" s="1"/>
      <c r="D44" s="1" t="s">
        <v>185</v>
      </c>
      <c r="E44" s="1" t="s">
        <v>124</v>
      </c>
      <c r="F44" s="1" t="e">
        <f>X_Cell_Enterprise_MilkProduced*(IF(X_Cell_Enterprise_MilkProducedUnit="Litres of milk", 1.03, 1))*10^-3</f>
        <v>#NAME?</v>
      </c>
      <c r="G44" s="1" t="e">
        <f>F44/(F44+F46+F48)</f>
        <v>#NAME?</v>
      </c>
      <c r="H44" s="1" t="e">
        <f>(E36/F44)*G44</f>
        <v>#NAME?</v>
      </c>
      <c r="I44" s="1" t="e">
        <f>(F36/F44)*G44</f>
        <v>#NAME?</v>
      </c>
      <c r="J44" s="10" t="s">
        <v>281</v>
      </c>
      <c r="K44" s="1"/>
      <c r="L44" s="1"/>
      <c r="M44" s="1"/>
      <c r="N44" s="1"/>
    </row>
    <row r="45" spans="3:14" ht="20.100000000000001" customHeight="1" x14ac:dyDescent="0.25">
      <c r="C45" s="1"/>
      <c r="D45" s="1" t="s">
        <v>186</v>
      </c>
      <c r="E45" s="1" t="s">
        <v>124</v>
      </c>
      <c r="F45" s="1" t="e">
        <f>F44</f>
        <v>#NAME?</v>
      </c>
      <c r="G45" s="1" t="e">
        <f>G44</f>
        <v>#NAME?</v>
      </c>
      <c r="H45" s="1" t="e">
        <f>(E37/F45)*G45</f>
        <v>#NAME?</v>
      </c>
      <c r="I45" s="1" t="e">
        <f>(F37/F45)*G45</f>
        <v>#NAME?</v>
      </c>
      <c r="J45" s="10" t="s">
        <v>281</v>
      </c>
      <c r="K45" s="1"/>
      <c r="L45" s="1"/>
      <c r="M45" s="1"/>
      <c r="N45" s="1"/>
    </row>
    <row r="46" spans="3:14" ht="20.100000000000001" customHeight="1" x14ac:dyDescent="0.25">
      <c r="C46" s="1"/>
      <c r="D46" s="1" t="s">
        <v>155</v>
      </c>
      <c r="E46" s="1" t="s">
        <v>125</v>
      </c>
      <c r="F46" s="1">
        <f>X_Cell_Enterprise_LiveweightSold</f>
        <v>5</v>
      </c>
      <c r="G46" s="1" t="e">
        <f>F46/(F44+F46+F48)</f>
        <v>#NAME?</v>
      </c>
      <c r="H46" s="1" t="e">
        <f>(E36/F46)*G46</f>
        <v>#NAME?</v>
      </c>
      <c r="I46" s="1" t="e">
        <f>(F36/F46)*G46</f>
        <v>#NAME?</v>
      </c>
      <c r="J46" s="10" t="s">
        <v>120</v>
      </c>
      <c r="K46" s="1"/>
      <c r="L46" s="1"/>
      <c r="M46" s="1"/>
      <c r="N46" s="1"/>
    </row>
    <row r="47" spans="3:14" ht="20.100000000000001" customHeight="1" x14ac:dyDescent="0.25">
      <c r="C47" s="1"/>
      <c r="D47" s="1" t="s">
        <v>156</v>
      </c>
      <c r="E47" s="1" t="s">
        <v>125</v>
      </c>
      <c r="F47" s="1">
        <f>F46</f>
        <v>5</v>
      </c>
      <c r="G47" s="1" t="e">
        <f>G46</f>
        <v>#NAME?</v>
      </c>
      <c r="H47" s="97" t="e">
        <f>(E37/F47)*G47</f>
        <v>#NAME?</v>
      </c>
      <c r="I47" s="97" t="e">
        <f>(F37/F47)*G47</f>
        <v>#NAME?</v>
      </c>
      <c r="J47" s="10" t="s">
        <v>120</v>
      </c>
      <c r="K47" s="1"/>
      <c r="L47" s="1"/>
      <c r="M47" s="1"/>
      <c r="N47" s="1"/>
    </row>
    <row r="48" spans="3:14" ht="20.100000000000001" customHeight="1" x14ac:dyDescent="0.25">
      <c r="C48" s="1"/>
      <c r="D48" s="1" t="s">
        <v>157</v>
      </c>
      <c r="E48" s="1" t="s">
        <v>125</v>
      </c>
      <c r="F48" s="1">
        <f>X_Cell_Enterprise_ManureSoldTonnes</f>
        <v>1</v>
      </c>
      <c r="G48" s="1" t="e">
        <f>F48/(F44+F46+F48)</f>
        <v>#NAME?</v>
      </c>
      <c r="H48" s="1" t="e">
        <f>(E36/F48)*G48</f>
        <v>#NAME?</v>
      </c>
      <c r="I48" s="1" t="e">
        <f>(F36/F48)*G48</f>
        <v>#NAME?</v>
      </c>
      <c r="J48" s="10" t="s">
        <v>282</v>
      </c>
      <c r="K48" s="1"/>
      <c r="L48" s="1"/>
      <c r="M48" s="1"/>
      <c r="N48" s="1"/>
    </row>
    <row r="49" spans="3:14" ht="20.100000000000001" customHeight="1" x14ac:dyDescent="0.25">
      <c r="C49" s="1"/>
      <c r="D49" s="1" t="s">
        <v>158</v>
      </c>
      <c r="E49" s="1" t="s">
        <v>125</v>
      </c>
      <c r="F49" s="1">
        <f>F48</f>
        <v>1</v>
      </c>
      <c r="G49" s="1" t="e">
        <f>G48</f>
        <v>#NAME?</v>
      </c>
      <c r="H49" s="1" t="e">
        <f>(E37/F49)*G49</f>
        <v>#NAME?</v>
      </c>
      <c r="I49" s="1" t="e">
        <f>(F37/F49)*G49</f>
        <v>#NAME?</v>
      </c>
      <c r="J49" s="10" t="s">
        <v>282</v>
      </c>
      <c r="K49" s="1"/>
      <c r="L49" s="1"/>
      <c r="M49" s="1"/>
      <c r="N49" s="1"/>
    </row>
    <row r="50" spans="3:14" ht="20.100000000000001" customHeight="1" x14ac:dyDescent="0.25">
      <c r="C50" s="1"/>
      <c r="D50" s="1" t="s">
        <v>238</v>
      </c>
      <c r="E50" s="1" t="s">
        <v>277</v>
      </c>
      <c r="F50" s="1">
        <f>X_Cell_Enterprise_ManureUsedAsFertiliserTonnes</f>
        <v>1</v>
      </c>
      <c r="G50" s="1" t="s">
        <v>278</v>
      </c>
      <c r="H50" s="1" t="s">
        <v>278</v>
      </c>
      <c r="I50" s="1" t="s">
        <v>278</v>
      </c>
      <c r="J50" s="10"/>
      <c r="K50" s="1"/>
      <c r="L50" s="1"/>
      <c r="M50" s="1"/>
      <c r="N50" s="1"/>
    </row>
    <row r="51" spans="3:14" ht="20.100000000000001" customHeight="1" x14ac:dyDescent="0.25">
      <c r="C51" s="1"/>
      <c r="D51" s="1"/>
      <c r="E51" s="1"/>
      <c r="F51" s="1"/>
      <c r="G51" s="1"/>
      <c r="H51" s="1"/>
      <c r="I51" s="1"/>
      <c r="J51" s="1"/>
      <c r="K51" s="1"/>
      <c r="L51" s="1"/>
      <c r="M51" s="1"/>
      <c r="N51" s="1"/>
    </row>
    <row r="52" spans="3:14" ht="20.100000000000001" customHeight="1" x14ac:dyDescent="0.25">
      <c r="C52" s="1"/>
      <c r="D52" s="79" t="s">
        <v>152</v>
      </c>
      <c r="E52" s="1"/>
      <c r="F52" s="1"/>
      <c r="G52" s="1"/>
      <c r="H52" s="1"/>
      <c r="I52" s="1"/>
      <c r="J52" s="1"/>
      <c r="K52" s="1"/>
      <c r="L52" s="1"/>
      <c r="M52" s="1"/>
      <c r="N52" s="1"/>
    </row>
    <row r="53" spans="3:14" ht="20.100000000000001" customHeight="1" x14ac:dyDescent="0.25">
      <c r="C53" s="1"/>
      <c r="D53" s="12" t="s">
        <v>132</v>
      </c>
      <c r="E53" s="12" t="s">
        <v>123</v>
      </c>
      <c r="F53" s="12" t="s">
        <v>118</v>
      </c>
      <c r="G53" s="12" t="s">
        <v>154</v>
      </c>
      <c r="H53" s="12" t="s">
        <v>279</v>
      </c>
      <c r="I53" s="12" t="s">
        <v>280</v>
      </c>
      <c r="J53" s="12" t="s">
        <v>119</v>
      </c>
      <c r="K53" s="1"/>
      <c r="L53" s="1"/>
      <c r="M53" s="1"/>
      <c r="N53" s="1"/>
    </row>
    <row r="54" spans="3:14" ht="20.100000000000001" customHeight="1" x14ac:dyDescent="0.25">
      <c r="C54" s="1"/>
      <c r="D54" s="1" t="s">
        <v>185</v>
      </c>
      <c r="E54" s="1" t="s">
        <v>124</v>
      </c>
      <c r="F54" s="1" t="e">
        <f>X_Cell_Enterprise_MilkProduced*(IF(X_Cell_Enterprise_MilkProducedUnit="Litres", 1.03, 1))*10^-3</f>
        <v>#NAME?</v>
      </c>
      <c r="G54" s="1">
        <f>X_Cell_Enterprise_PercentIncomeFromMilk</f>
        <v>0.8</v>
      </c>
      <c r="H54" s="1" t="e">
        <f>E36*G54/F54</f>
        <v>#NAME?</v>
      </c>
      <c r="I54" s="1" t="e">
        <f>F36*G54/F54</f>
        <v>#NAME?</v>
      </c>
      <c r="J54" s="10" t="s">
        <v>281</v>
      </c>
      <c r="K54" s="1"/>
      <c r="L54" s="1"/>
      <c r="M54" s="1"/>
      <c r="N54" s="1"/>
    </row>
    <row r="55" spans="3:14" ht="20.100000000000001" customHeight="1" x14ac:dyDescent="0.25">
      <c r="C55" s="1"/>
      <c r="D55" s="1" t="s">
        <v>186</v>
      </c>
      <c r="E55" s="1" t="s">
        <v>124</v>
      </c>
      <c r="F55" s="1" t="e">
        <f>F54</f>
        <v>#NAME?</v>
      </c>
      <c r="G55" s="1">
        <f>G54</f>
        <v>0.8</v>
      </c>
      <c r="H55" s="1" t="e">
        <f>E37*G55/F55</f>
        <v>#NAME?</v>
      </c>
      <c r="I55" s="1" t="e">
        <f>F37*G55/F55</f>
        <v>#NAME?</v>
      </c>
      <c r="J55" s="10" t="s">
        <v>281</v>
      </c>
      <c r="K55" s="1"/>
      <c r="L55" s="1"/>
      <c r="M55" s="1"/>
      <c r="N55" s="1"/>
    </row>
    <row r="56" spans="3:14" ht="20.100000000000001" customHeight="1" x14ac:dyDescent="0.25">
      <c r="C56" s="1"/>
      <c r="D56" s="1" t="s">
        <v>155</v>
      </c>
      <c r="E56" s="1" t="s">
        <v>125</v>
      </c>
      <c r="F56" s="1">
        <f>X_Cell_Enterprise_LiveweightSold</f>
        <v>5</v>
      </c>
      <c r="G56" s="1">
        <f>X_Cell_Enterprise_PercentIncomeFromLiveweight</f>
        <v>0.15</v>
      </c>
      <c r="H56" s="1" t="e">
        <f>E36*G56/F56</f>
        <v>#NAME?</v>
      </c>
      <c r="I56" s="1" t="e">
        <f>F36*G56/F56</f>
        <v>#NAME?</v>
      </c>
      <c r="J56" s="10" t="s">
        <v>120</v>
      </c>
      <c r="K56" s="1"/>
      <c r="L56" s="1"/>
      <c r="M56" s="1"/>
      <c r="N56" s="1"/>
    </row>
    <row r="57" spans="3:14" ht="20.100000000000001" customHeight="1" x14ac:dyDescent="0.25">
      <c r="C57" s="1"/>
      <c r="D57" s="1" t="s">
        <v>156</v>
      </c>
      <c r="E57" s="1" t="s">
        <v>125</v>
      </c>
      <c r="F57" s="1">
        <f>F56</f>
        <v>5</v>
      </c>
      <c r="G57" s="1">
        <f>G56</f>
        <v>0.15</v>
      </c>
      <c r="H57" s="1" t="e">
        <f>E37*G57/F57</f>
        <v>#NAME?</v>
      </c>
      <c r="I57" s="1" t="e">
        <f>F37*G57/F57</f>
        <v>#NAME?</v>
      </c>
      <c r="J57" s="10" t="s">
        <v>120</v>
      </c>
      <c r="K57" s="1"/>
      <c r="L57" s="1"/>
      <c r="M57" s="1"/>
      <c r="N57" s="1"/>
    </row>
    <row r="58" spans="3:14" ht="20.100000000000001" customHeight="1" x14ac:dyDescent="0.25">
      <c r="C58" s="1"/>
      <c r="D58" s="1" t="s">
        <v>157</v>
      </c>
      <c r="E58" s="1" t="s">
        <v>125</v>
      </c>
      <c r="F58" s="1">
        <f>X_Cell_Enterprise_ManureSoldTonnes</f>
        <v>1</v>
      </c>
      <c r="G58" s="1">
        <f>X_Cell_Enterprise_PercentIncomeFromManure</f>
        <v>0.05</v>
      </c>
      <c r="H58" s="1" t="e">
        <f>E36*G58/F58</f>
        <v>#NAME?</v>
      </c>
      <c r="I58" s="1" t="e">
        <f>F36*G58/F58</f>
        <v>#NAME?</v>
      </c>
      <c r="J58" s="10" t="s">
        <v>282</v>
      </c>
      <c r="K58" s="1"/>
      <c r="L58" s="1"/>
      <c r="M58" s="1"/>
      <c r="N58" s="1"/>
    </row>
    <row r="59" spans="3:14" ht="20.100000000000001" customHeight="1" x14ac:dyDescent="0.25">
      <c r="C59" s="1"/>
      <c r="D59" s="1" t="s">
        <v>158</v>
      </c>
      <c r="E59" s="1" t="s">
        <v>125</v>
      </c>
      <c r="F59" s="1">
        <f>F58</f>
        <v>1</v>
      </c>
      <c r="G59" s="1">
        <f>G58</f>
        <v>0.05</v>
      </c>
      <c r="H59" s="1" t="e">
        <f>E37*G59/F59</f>
        <v>#NAME?</v>
      </c>
      <c r="I59" s="1" t="e">
        <f>F37*G59/F59</f>
        <v>#NAME?</v>
      </c>
      <c r="J59" s="10" t="s">
        <v>282</v>
      </c>
      <c r="K59" s="1"/>
      <c r="L59" s="1"/>
      <c r="M59" s="1"/>
      <c r="N59" s="1"/>
    </row>
    <row r="60" spans="3:14" ht="20.100000000000001" customHeight="1" x14ac:dyDescent="0.25">
      <c r="C60" s="1"/>
      <c r="D60" s="1" t="s">
        <v>238</v>
      </c>
      <c r="E60" s="1" t="s">
        <v>277</v>
      </c>
      <c r="F60" s="1">
        <f>X_Cell_Enterprise_ManureUsedAsFertiliserTonnes</f>
        <v>1</v>
      </c>
      <c r="G60" s="1" t="s">
        <v>278</v>
      </c>
      <c r="H60" s="1" t="s">
        <v>278</v>
      </c>
      <c r="I60" s="1" t="s">
        <v>278</v>
      </c>
      <c r="J60" s="1"/>
      <c r="K60" s="1"/>
      <c r="L60" s="1"/>
      <c r="M60" s="1"/>
      <c r="N60" s="1"/>
    </row>
    <row r="61" spans="3:14" ht="20.100000000000001" customHeight="1" x14ac:dyDescent="0.25">
      <c r="C61" s="1"/>
      <c r="D61" s="1"/>
      <c r="E61" s="1"/>
      <c r="F61" s="1"/>
      <c r="G61" s="1"/>
      <c r="H61" s="1"/>
      <c r="I61" s="1"/>
      <c r="J61" s="1"/>
      <c r="K61" s="1"/>
      <c r="L61" s="1"/>
      <c r="M61" s="1"/>
      <c r="N61" s="1"/>
    </row>
    <row r="62" spans="3:14" ht="20.100000000000001" customHeight="1" x14ac:dyDescent="0.25">
      <c r="C62" s="1"/>
      <c r="D62" s="1"/>
      <c r="E62" s="1"/>
      <c r="F62" s="1"/>
      <c r="G62" s="1"/>
      <c r="H62" s="1"/>
      <c r="I62" s="1"/>
      <c r="J62" s="1"/>
      <c r="K62" s="1"/>
      <c r="L62" s="1"/>
      <c r="M62" s="1"/>
      <c r="N62" s="1"/>
    </row>
    <row r="63" spans="3:14" ht="20.100000000000001" customHeight="1" x14ac:dyDescent="0.25">
      <c r="C63" s="1"/>
      <c r="D63" s="1"/>
      <c r="E63" s="1"/>
      <c r="F63" s="1"/>
      <c r="G63" s="1"/>
      <c r="H63" s="1"/>
      <c r="I63" s="1"/>
      <c r="J63" s="1"/>
      <c r="K63" s="1"/>
      <c r="L63" s="1"/>
      <c r="M63" s="1"/>
      <c r="N63" s="1"/>
    </row>
    <row r="64" spans="3:14" ht="20.100000000000001" customHeight="1" x14ac:dyDescent="0.25">
      <c r="C64" s="1"/>
      <c r="D64" s="1"/>
      <c r="E64" s="1"/>
      <c r="F64" s="1"/>
      <c r="G64" s="1"/>
      <c r="H64" s="1"/>
      <c r="I64" s="1"/>
      <c r="J64" s="1"/>
      <c r="K64" s="1"/>
      <c r="L64" s="1"/>
      <c r="M64" s="1"/>
      <c r="N64" s="1"/>
    </row>
    <row r="65" spans="3:14" ht="20.100000000000001" customHeight="1" x14ac:dyDescent="0.25">
      <c r="C65" s="1"/>
      <c r="D65" s="1"/>
      <c r="E65" s="1"/>
      <c r="F65" s="1"/>
      <c r="G65" s="1"/>
      <c r="H65" s="1"/>
      <c r="I65" s="1"/>
      <c r="J65" s="1"/>
      <c r="K65" s="1"/>
      <c r="L65" s="1"/>
      <c r="M65" s="1"/>
      <c r="N65" s="1"/>
    </row>
    <row r="66" spans="3:14" ht="20.100000000000001" customHeight="1" x14ac:dyDescent="0.25">
      <c r="C66" s="1"/>
      <c r="D66" s="1"/>
      <c r="E66" s="1"/>
      <c r="F66" s="1"/>
      <c r="G66" s="1"/>
      <c r="H66" s="1"/>
      <c r="I66" s="1"/>
      <c r="J66" s="1"/>
      <c r="K66" s="1"/>
      <c r="L66" s="1"/>
      <c r="M66" s="1"/>
      <c r="N66" s="1"/>
    </row>
    <row r="67" spans="3:14" ht="20.100000000000001" customHeight="1" x14ac:dyDescent="0.25">
      <c r="C67" s="1"/>
      <c r="D67" s="1"/>
      <c r="E67" s="1"/>
      <c r="F67" s="1"/>
      <c r="G67" s="1"/>
      <c r="H67" s="1"/>
      <c r="I67" s="1"/>
      <c r="J67" s="1"/>
      <c r="K67" s="1"/>
      <c r="L67" s="1"/>
      <c r="M67" s="1"/>
      <c r="N67" s="1"/>
    </row>
    <row r="68" spans="3:14" ht="20.100000000000001" customHeight="1" x14ac:dyDescent="0.25">
      <c r="C68" s="1"/>
      <c r="D68" s="1"/>
      <c r="E68" s="1"/>
      <c r="F68" s="1"/>
      <c r="G68" s="1"/>
      <c r="H68" s="1"/>
      <c r="I68" s="1"/>
      <c r="J68" s="1"/>
      <c r="K68" s="1"/>
      <c r="L68" s="1"/>
      <c r="M68" s="1"/>
      <c r="N68" s="1"/>
    </row>
    <row r="69" spans="3:14" ht="20.100000000000001" customHeight="1" x14ac:dyDescent="0.25">
      <c r="C69" s="1"/>
      <c r="D69" s="1"/>
      <c r="E69" s="1"/>
      <c r="F69" s="1"/>
      <c r="G69" s="1"/>
      <c r="H69" s="1"/>
      <c r="I69" s="1"/>
      <c r="J69" s="1"/>
      <c r="K69" s="1"/>
      <c r="L69" s="1"/>
      <c r="M69" s="1"/>
      <c r="N69" s="1"/>
    </row>
    <row r="70" spans="3:14" ht="20.100000000000001" customHeight="1" x14ac:dyDescent="0.25">
      <c r="C70" s="1"/>
      <c r="D70" s="1"/>
      <c r="E70" s="1"/>
      <c r="F70" s="1"/>
      <c r="G70" s="1"/>
      <c r="H70" s="1"/>
      <c r="I70" s="1"/>
      <c r="J70" s="1"/>
      <c r="K70" s="1"/>
      <c r="L70" s="1"/>
      <c r="M70" s="1"/>
      <c r="N70" s="1"/>
    </row>
    <row r="71" spans="3:14" ht="20.100000000000001" customHeight="1" x14ac:dyDescent="0.25">
      <c r="C71" s="1"/>
      <c r="D71" s="1"/>
      <c r="E71" s="1"/>
      <c r="F71" s="1"/>
      <c r="G71" s="1"/>
      <c r="H71" s="1"/>
      <c r="I71" s="1"/>
      <c r="J71" s="1"/>
      <c r="K71" s="1"/>
      <c r="L71" s="1"/>
      <c r="M71" s="1"/>
      <c r="N71" s="1"/>
    </row>
    <row r="72" spans="3:14" ht="20.100000000000001" customHeight="1" x14ac:dyDescent="0.25">
      <c r="C72" s="1"/>
      <c r="D72" s="1"/>
      <c r="E72" s="1"/>
      <c r="F72" s="1"/>
      <c r="G72" s="1"/>
      <c r="H72" s="1"/>
      <c r="I72" s="1"/>
      <c r="J72" s="1"/>
      <c r="K72" s="1"/>
      <c r="L72" s="1"/>
      <c r="M72" s="1"/>
      <c r="N72" s="1"/>
    </row>
    <row r="73" spans="3:14" x14ac:dyDescent="0.25">
      <c r="C73" s="1"/>
      <c r="D73" s="1"/>
      <c r="E73" s="1"/>
      <c r="F73" s="1"/>
      <c r="G73" s="1"/>
      <c r="H73" s="1"/>
      <c r="I73" s="1"/>
      <c r="J73" s="1"/>
      <c r="K73" s="1"/>
      <c r="L73" s="1"/>
      <c r="M73" s="1"/>
      <c r="N73" s="1"/>
    </row>
    <row r="74" spans="3:14" x14ac:dyDescent="0.25">
      <c r="C74" s="1"/>
      <c r="D74" s="1"/>
      <c r="E74" s="1"/>
      <c r="F74" s="1"/>
      <c r="G74" s="1"/>
      <c r="H74" s="1"/>
      <c r="I74" s="1"/>
      <c r="J74" s="1"/>
      <c r="K74" s="1"/>
      <c r="L74" s="1"/>
      <c r="M74" s="1"/>
      <c r="N74" s="1"/>
    </row>
    <row r="75" spans="3:14" x14ac:dyDescent="0.25">
      <c r="C75" s="1"/>
      <c r="D75" s="1"/>
      <c r="E75" s="1"/>
      <c r="F75" s="1"/>
      <c r="G75" s="1"/>
      <c r="H75" s="1"/>
      <c r="I75" s="1"/>
      <c r="J75" s="1"/>
      <c r="K75" s="1"/>
      <c r="L75" s="1"/>
      <c r="M75" s="1"/>
      <c r="N75" s="1"/>
    </row>
    <row r="76" spans="3:14" x14ac:dyDescent="0.25">
      <c r="C76" s="1"/>
      <c r="D76" s="1"/>
      <c r="E76" s="1"/>
      <c r="F76" s="1"/>
      <c r="G76" s="1"/>
      <c r="H76" s="1"/>
      <c r="I76" s="1"/>
      <c r="J76" s="1"/>
      <c r="K76" s="1"/>
      <c r="L76" s="1"/>
      <c r="M76" s="1"/>
      <c r="N76" s="1"/>
    </row>
    <row r="77" spans="3:14" x14ac:dyDescent="0.25">
      <c r="C77" s="1"/>
      <c r="D77" s="1"/>
      <c r="E77" s="1"/>
      <c r="F77" s="1"/>
      <c r="G77" s="1"/>
      <c r="H77" s="1"/>
      <c r="I77" s="1"/>
      <c r="J77" s="1"/>
      <c r="K77" s="1"/>
      <c r="L77" s="1"/>
      <c r="M77" s="1"/>
      <c r="N77" s="1"/>
    </row>
    <row r="78" spans="3:14" x14ac:dyDescent="0.25">
      <c r="C78" s="1"/>
      <c r="D78" s="1"/>
      <c r="E78" s="1"/>
      <c r="F78" s="1"/>
      <c r="G78" s="1"/>
      <c r="H78" s="1"/>
      <c r="I78" s="1"/>
      <c r="J78" s="1"/>
      <c r="K78" s="1"/>
      <c r="L78" s="1"/>
      <c r="M78" s="1"/>
      <c r="N78" s="1"/>
    </row>
    <row r="79" spans="3:14" x14ac:dyDescent="0.25">
      <c r="C79" s="1"/>
      <c r="D79" s="1"/>
      <c r="E79" s="1"/>
      <c r="F79" s="1"/>
      <c r="G79" s="1"/>
      <c r="H79" s="1"/>
      <c r="I79" s="1"/>
      <c r="J79" s="1"/>
      <c r="K79" s="1"/>
      <c r="L79" s="1"/>
      <c r="M79" s="1"/>
      <c r="N79" s="1"/>
    </row>
    <row r="80" spans="3:14" x14ac:dyDescent="0.25">
      <c r="C80" s="1"/>
      <c r="D80" s="1"/>
      <c r="E80" s="1"/>
      <c r="F80" s="1"/>
      <c r="G80" s="1"/>
      <c r="H80" s="1"/>
      <c r="I80" s="1"/>
      <c r="J80" s="1"/>
      <c r="K80" s="1"/>
      <c r="L80" s="1"/>
      <c r="M80" s="1"/>
      <c r="N80" s="1"/>
    </row>
    <row r="81" spans="3:14" x14ac:dyDescent="0.25">
      <c r="C81" s="1"/>
      <c r="D81" s="1"/>
      <c r="E81" s="1"/>
      <c r="F81" s="1"/>
      <c r="G81" s="1"/>
      <c r="H81" s="1"/>
      <c r="I81" s="1"/>
      <c r="J81" s="1"/>
      <c r="K81" s="1"/>
      <c r="L81" s="1"/>
      <c r="M81" s="1"/>
      <c r="N81" s="1"/>
    </row>
    <row r="82" spans="3:14" x14ac:dyDescent="0.25">
      <c r="C82" s="1"/>
      <c r="D82" s="1"/>
      <c r="E82" s="1"/>
      <c r="F82" s="1"/>
      <c r="G82" s="1"/>
      <c r="H82" s="1"/>
      <c r="I82" s="1"/>
      <c r="J82" s="1"/>
      <c r="K82" s="1"/>
      <c r="L82" s="1"/>
      <c r="M82" s="1"/>
      <c r="N82" s="1"/>
    </row>
    <row r="83" spans="3:14" x14ac:dyDescent="0.25">
      <c r="C83" s="1"/>
      <c r="D83" s="1"/>
      <c r="E83" s="1"/>
      <c r="F83" s="1"/>
      <c r="G83" s="1"/>
      <c r="H83" s="1"/>
      <c r="I83" s="1"/>
      <c r="J83" s="1"/>
      <c r="K83" s="1"/>
      <c r="L83" s="1"/>
      <c r="M83" s="1"/>
      <c r="N83" s="1"/>
    </row>
    <row r="84" spans="3:14" x14ac:dyDescent="0.25">
      <c r="C84" s="1"/>
      <c r="D84" s="1"/>
      <c r="E84" s="1"/>
      <c r="F84" s="1"/>
      <c r="G84" s="1"/>
      <c r="H84" s="1"/>
      <c r="I84" s="1"/>
      <c r="J84" s="1"/>
      <c r="K84" s="1"/>
      <c r="L84" s="1"/>
      <c r="M84" s="1"/>
      <c r="N84" s="1"/>
    </row>
    <row r="85" spans="3:14" x14ac:dyDescent="0.25">
      <c r="C85" s="1"/>
      <c r="D85" s="1"/>
      <c r="E85" s="1"/>
      <c r="F85" s="1"/>
      <c r="G85" s="1"/>
      <c r="H85" s="1"/>
      <c r="I85" s="1"/>
      <c r="J85" s="1"/>
      <c r="K85" s="1"/>
      <c r="L85" s="1"/>
      <c r="M85" s="1"/>
      <c r="N85" s="1"/>
    </row>
    <row r="86" spans="3:14" x14ac:dyDescent="0.25">
      <c r="C86" s="1"/>
      <c r="D86" s="1"/>
      <c r="E86" s="1"/>
      <c r="F86" s="1"/>
      <c r="G86" s="1"/>
      <c r="H86" s="1"/>
      <c r="I86" s="1"/>
      <c r="J86" s="1"/>
      <c r="K86" s="1"/>
      <c r="L86" s="1"/>
      <c r="M86" s="1"/>
      <c r="N86" s="1"/>
    </row>
    <row r="87" spans="3:14" x14ac:dyDescent="0.25">
      <c r="C87" s="1"/>
      <c r="D87" s="1"/>
      <c r="E87" s="1"/>
      <c r="F87" s="1"/>
      <c r="G87" s="1"/>
      <c r="H87" s="1"/>
      <c r="I87" s="1"/>
      <c r="J87" s="1"/>
      <c r="K87" s="1"/>
      <c r="L87" s="1"/>
      <c r="M87" s="1"/>
      <c r="N87" s="1"/>
    </row>
    <row r="88" spans="3:14" x14ac:dyDescent="0.25">
      <c r="C88" s="1"/>
      <c r="D88" s="1"/>
      <c r="E88" s="1"/>
      <c r="F88" s="1"/>
      <c r="G88" s="1"/>
      <c r="H88" s="1"/>
      <c r="I88" s="1"/>
      <c r="J88" s="1"/>
      <c r="K88" s="1"/>
      <c r="L88" s="1"/>
      <c r="M88" s="1"/>
      <c r="N88" s="1"/>
    </row>
    <row r="89" spans="3:14" x14ac:dyDescent="0.25">
      <c r="C89" s="1"/>
      <c r="D89" s="1"/>
      <c r="E89" s="1"/>
      <c r="F89" s="1"/>
      <c r="G89" s="1"/>
      <c r="H89" s="1"/>
      <c r="I89" s="1"/>
      <c r="J89" s="1"/>
      <c r="K89" s="1"/>
      <c r="L89" s="1"/>
      <c r="M89" s="1"/>
      <c r="N89" s="1"/>
    </row>
    <row r="90" spans="3:14" x14ac:dyDescent="0.25">
      <c r="C90" s="1"/>
      <c r="D90" s="1"/>
      <c r="E90" s="1"/>
      <c r="F90" s="1"/>
      <c r="G90" s="1"/>
      <c r="H90" s="1"/>
      <c r="I90" s="1"/>
      <c r="J90" s="1"/>
      <c r="K90" s="1"/>
      <c r="L90" s="1"/>
      <c r="M90" s="1"/>
      <c r="N90" s="1"/>
    </row>
    <row r="91" spans="3:14" x14ac:dyDescent="0.25">
      <c r="C91" s="1"/>
      <c r="D91" s="1"/>
      <c r="E91" s="1"/>
      <c r="F91" s="1"/>
      <c r="G91" s="1"/>
      <c r="H91" s="1"/>
      <c r="I91" s="1"/>
      <c r="J91" s="1"/>
      <c r="K91" s="1"/>
      <c r="L91" s="1"/>
      <c r="M91" s="1"/>
      <c r="N91" s="1"/>
    </row>
    <row r="92" spans="3:14" x14ac:dyDescent="0.25">
      <c r="C92" s="1"/>
      <c r="D92" s="1"/>
      <c r="E92" s="1"/>
      <c r="F92" s="1"/>
      <c r="G92" s="1"/>
      <c r="H92" s="1"/>
      <c r="I92" s="1"/>
      <c r="J92" s="1"/>
      <c r="K92" s="1"/>
      <c r="L92" s="1"/>
      <c r="M92" s="1"/>
      <c r="N92" s="1"/>
    </row>
    <row r="93" spans="3:14" x14ac:dyDescent="0.25">
      <c r="C93" s="1"/>
      <c r="D93" s="1"/>
      <c r="E93" s="1"/>
      <c r="F93" s="1"/>
      <c r="G93" s="1"/>
      <c r="H93" s="1"/>
      <c r="I93" s="1"/>
      <c r="J93" s="1"/>
      <c r="K93" s="1"/>
      <c r="L93" s="1"/>
      <c r="M93" s="1"/>
      <c r="N93" s="1"/>
    </row>
    <row r="94" spans="3:14" x14ac:dyDescent="0.25">
      <c r="C94" s="1"/>
      <c r="D94" s="1"/>
      <c r="E94" s="1"/>
      <c r="F94" s="1"/>
      <c r="G94" s="1"/>
      <c r="H94" s="1"/>
      <c r="I94" s="1"/>
      <c r="J94" s="1"/>
      <c r="K94" s="1"/>
      <c r="L94" s="1"/>
      <c r="M94" s="1"/>
      <c r="N94" s="1"/>
    </row>
    <row r="95" spans="3:14" x14ac:dyDescent="0.25">
      <c r="C95" s="1"/>
      <c r="D95" s="1"/>
      <c r="E95" s="1"/>
      <c r="F95" s="1"/>
      <c r="G95" s="1"/>
      <c r="H95" s="1"/>
      <c r="I95" s="1"/>
      <c r="J95" s="1"/>
      <c r="K95" s="1"/>
      <c r="L95" s="1"/>
      <c r="M95" s="1"/>
      <c r="N95" s="1"/>
    </row>
    <row r="96" spans="3:14" x14ac:dyDescent="0.25">
      <c r="C96" s="1"/>
      <c r="D96" s="1"/>
      <c r="E96" s="1"/>
      <c r="F96" s="1"/>
      <c r="G96" s="1"/>
      <c r="H96" s="1"/>
      <c r="I96" s="1"/>
      <c r="J96" s="1"/>
      <c r="K96" s="1"/>
      <c r="L96" s="1"/>
      <c r="M96" s="1"/>
      <c r="N96" s="1"/>
    </row>
    <row r="97" spans="3:14" x14ac:dyDescent="0.25">
      <c r="C97" s="1"/>
      <c r="D97" s="1"/>
      <c r="E97" s="1"/>
      <c r="F97" s="1"/>
      <c r="G97" s="1"/>
      <c r="H97" s="1"/>
      <c r="I97" s="1"/>
      <c r="J97" s="1"/>
      <c r="K97" s="1"/>
      <c r="L97" s="1"/>
      <c r="M97" s="1"/>
      <c r="N97" s="1"/>
    </row>
    <row r="98" spans="3:14" x14ac:dyDescent="0.25">
      <c r="C98" s="1"/>
      <c r="D98" s="1"/>
      <c r="E98" s="1"/>
      <c r="F98" s="1"/>
      <c r="G98" s="1"/>
      <c r="H98" s="1"/>
      <c r="I98" s="1"/>
      <c r="J98" s="1"/>
      <c r="K98" s="1"/>
      <c r="L98" s="1"/>
      <c r="M98" s="1"/>
      <c r="N98" s="1"/>
    </row>
    <row r="99" spans="3:14" x14ac:dyDescent="0.25">
      <c r="C99" s="1"/>
      <c r="D99" s="1"/>
      <c r="E99" s="1"/>
      <c r="F99" s="1"/>
      <c r="G99" s="1"/>
      <c r="H99" s="1"/>
      <c r="I99" s="1"/>
      <c r="J99" s="1"/>
      <c r="K99" s="1"/>
      <c r="L99" s="1"/>
      <c r="M99" s="1"/>
      <c r="N99" s="1"/>
    </row>
    <row r="100" spans="3:14" x14ac:dyDescent="0.25">
      <c r="C100" s="1"/>
      <c r="D100" s="1"/>
      <c r="E100" s="1"/>
      <c r="F100" s="1"/>
      <c r="G100" s="1"/>
      <c r="H100" s="1"/>
      <c r="I100" s="1"/>
      <c r="J100" s="1"/>
      <c r="K100" s="1"/>
      <c r="L100" s="1"/>
      <c r="M100" s="1"/>
      <c r="N100" s="1"/>
    </row>
    <row r="101" spans="3:14" x14ac:dyDescent="0.25">
      <c r="C101" s="1"/>
      <c r="D101" s="1"/>
      <c r="E101" s="1"/>
      <c r="F101" s="1"/>
      <c r="G101" s="1"/>
      <c r="H101" s="1"/>
      <c r="I101" s="1"/>
      <c r="J101" s="1"/>
      <c r="K101" s="1"/>
      <c r="L101" s="1"/>
      <c r="M101" s="1"/>
      <c r="N101" s="1"/>
    </row>
    <row r="102" spans="3:14" x14ac:dyDescent="0.25">
      <c r="C102" s="1"/>
      <c r="D102" s="1"/>
      <c r="E102" s="1"/>
      <c r="F102" s="1"/>
      <c r="G102" s="1"/>
      <c r="H102" s="1"/>
      <c r="I102" s="1"/>
      <c r="J102" s="1"/>
      <c r="K102" s="1"/>
      <c r="L102" s="1"/>
      <c r="M102" s="1"/>
      <c r="N102" s="1"/>
    </row>
    <row r="103" spans="3:14" x14ac:dyDescent="0.25">
      <c r="C103" s="1"/>
      <c r="D103" s="1"/>
      <c r="E103" s="1"/>
      <c r="F103" s="1"/>
      <c r="G103" s="1"/>
      <c r="H103" s="1"/>
      <c r="I103" s="1"/>
      <c r="J103" s="1"/>
      <c r="K103" s="1"/>
      <c r="L103" s="1"/>
      <c r="M103" s="1"/>
      <c r="N103" s="1"/>
    </row>
    <row r="104" spans="3:14" x14ac:dyDescent="0.25">
      <c r="C104" s="1"/>
      <c r="D104" s="1"/>
      <c r="E104" s="1"/>
      <c r="F104" s="1"/>
      <c r="G104" s="1"/>
      <c r="H104" s="1"/>
      <c r="I104" s="1"/>
      <c r="J104" s="1"/>
      <c r="K104" s="1"/>
      <c r="L104" s="1"/>
      <c r="M104" s="1"/>
      <c r="N104" s="1"/>
    </row>
    <row r="105" spans="3:14" x14ac:dyDescent="0.25">
      <c r="C105" s="1"/>
      <c r="D105" s="1"/>
      <c r="E105" s="1"/>
      <c r="F105" s="1"/>
      <c r="G105" s="1"/>
      <c r="H105" s="1"/>
      <c r="I105" s="1"/>
      <c r="J105" s="1"/>
      <c r="K105" s="1"/>
      <c r="L105" s="1"/>
      <c r="M105" s="1"/>
      <c r="N105" s="1"/>
    </row>
    <row r="106" spans="3:14" x14ac:dyDescent="0.25">
      <c r="C106" s="1"/>
      <c r="D106" s="1"/>
      <c r="E106" s="1"/>
      <c r="F106" s="1"/>
      <c r="G106" s="1"/>
      <c r="H106" s="1"/>
      <c r="I106" s="1"/>
      <c r="J106" s="1"/>
      <c r="K106" s="1"/>
      <c r="L106" s="1"/>
      <c r="M106" s="1"/>
      <c r="N106" s="1"/>
    </row>
    <row r="107" spans="3:14" x14ac:dyDescent="0.25">
      <c r="C107" s="1"/>
      <c r="D107" s="1"/>
      <c r="E107" s="1"/>
      <c r="F107" s="1"/>
      <c r="G107" s="1"/>
      <c r="H107" s="1"/>
      <c r="I107" s="1"/>
      <c r="J107" s="1"/>
      <c r="K107" s="1"/>
      <c r="L107" s="1"/>
      <c r="M107" s="1"/>
      <c r="N107" s="1"/>
    </row>
    <row r="108" spans="3:14" x14ac:dyDescent="0.25">
      <c r="C108" s="1"/>
      <c r="D108" s="1"/>
      <c r="E108" s="1"/>
      <c r="F108" s="1"/>
      <c r="G108" s="1"/>
      <c r="H108" s="1"/>
      <c r="I108" s="1"/>
      <c r="J108" s="1"/>
      <c r="K108" s="1"/>
      <c r="L108" s="1"/>
      <c r="M108" s="1"/>
      <c r="N108" s="1"/>
    </row>
    <row r="109" spans="3:14" x14ac:dyDescent="0.25">
      <c r="C109" s="1"/>
      <c r="D109" s="1"/>
      <c r="E109" s="1"/>
      <c r="F109" s="1"/>
      <c r="G109" s="1"/>
      <c r="H109" s="1"/>
      <c r="I109" s="1"/>
      <c r="J109" s="1"/>
      <c r="K109" s="1"/>
      <c r="L109" s="1"/>
      <c r="M109" s="1"/>
      <c r="N109" s="1"/>
    </row>
    <row r="110" spans="3:14" x14ac:dyDescent="0.25">
      <c r="C110" s="1"/>
      <c r="D110" s="1"/>
      <c r="E110" s="1"/>
      <c r="F110" s="1"/>
      <c r="G110" s="1"/>
      <c r="H110" s="1"/>
      <c r="I110" s="1"/>
      <c r="J110" s="1"/>
      <c r="K110" s="1"/>
      <c r="L110" s="1"/>
      <c r="M110" s="1"/>
      <c r="N110" s="1"/>
    </row>
    <row r="111" spans="3:14" x14ac:dyDescent="0.25">
      <c r="C111" s="1"/>
      <c r="D111" s="1"/>
      <c r="E111" s="1"/>
      <c r="F111" s="1"/>
      <c r="G111" s="1"/>
      <c r="H111" s="1"/>
      <c r="I111" s="1"/>
      <c r="J111" s="1"/>
      <c r="K111" s="1"/>
      <c r="L111" s="1"/>
      <c r="M111" s="1"/>
      <c r="N111" s="1"/>
    </row>
    <row r="112" spans="3:14" x14ac:dyDescent="0.25">
      <c r="C112" s="1"/>
      <c r="D112" s="1"/>
      <c r="E112" s="1"/>
      <c r="F112" s="1"/>
      <c r="G112" s="1"/>
      <c r="H112" s="1"/>
      <c r="I112" s="1"/>
      <c r="J112" s="1"/>
      <c r="K112" s="1"/>
      <c r="L112" s="1"/>
      <c r="M112" s="1"/>
      <c r="N112" s="1"/>
    </row>
    <row r="113" spans="3:14" x14ac:dyDescent="0.25">
      <c r="C113" s="1"/>
      <c r="D113" s="1"/>
      <c r="E113" s="1"/>
      <c r="F113" s="1"/>
      <c r="G113" s="1"/>
      <c r="H113" s="1"/>
      <c r="I113" s="1"/>
      <c r="J113" s="1"/>
      <c r="K113" s="1"/>
      <c r="L113" s="1"/>
      <c r="M113" s="1"/>
      <c r="N113" s="1"/>
    </row>
    <row r="114" spans="3:14" x14ac:dyDescent="0.25">
      <c r="C114" s="1"/>
      <c r="D114" s="1"/>
      <c r="E114" s="1"/>
      <c r="F114" s="1"/>
      <c r="G114" s="1"/>
      <c r="H114" s="1"/>
      <c r="I114" s="1"/>
      <c r="J114" s="1"/>
      <c r="K114" s="1"/>
      <c r="L114" s="1"/>
      <c r="M114" s="1"/>
      <c r="N114" s="1"/>
    </row>
    <row r="115" spans="3:14" x14ac:dyDescent="0.25">
      <c r="C115" s="1"/>
      <c r="D115" s="1"/>
      <c r="E115" s="1"/>
      <c r="F115" s="1"/>
      <c r="G115" s="1"/>
      <c r="H115" s="1"/>
      <c r="I115" s="1"/>
      <c r="J115" s="1"/>
      <c r="K115" s="1"/>
      <c r="L115" s="1"/>
      <c r="M115" s="1"/>
      <c r="N115" s="1"/>
    </row>
    <row r="116" spans="3:14" x14ac:dyDescent="0.25">
      <c r="C116" s="1"/>
      <c r="D116" s="1"/>
      <c r="E116" s="1"/>
      <c r="F116" s="1"/>
      <c r="G116" s="1"/>
      <c r="H116" s="1"/>
      <c r="I116" s="1"/>
      <c r="J116" s="1"/>
      <c r="K116" s="1"/>
      <c r="L116" s="1"/>
      <c r="M116" s="1"/>
      <c r="N116" s="1"/>
    </row>
    <row r="117" spans="3:14" x14ac:dyDescent="0.25">
      <c r="C117" s="1"/>
      <c r="D117" s="1"/>
      <c r="E117" s="1"/>
      <c r="F117" s="1"/>
      <c r="G117" s="1"/>
      <c r="H117" s="1"/>
      <c r="I117" s="1"/>
      <c r="J117" s="1"/>
      <c r="K117" s="1"/>
      <c r="L117" s="1"/>
      <c r="M117" s="1"/>
      <c r="N117" s="1"/>
    </row>
    <row r="118" spans="3:14" x14ac:dyDescent="0.25">
      <c r="C118" s="1"/>
      <c r="D118" s="1"/>
      <c r="E118" s="1"/>
      <c r="F118" s="1"/>
      <c r="G118" s="1"/>
      <c r="H118" s="1"/>
      <c r="I118" s="1"/>
      <c r="J118" s="1"/>
      <c r="K118" s="1"/>
      <c r="L118" s="1"/>
      <c r="M118" s="1"/>
      <c r="N118" s="1"/>
    </row>
    <row r="119" spans="3:14" x14ac:dyDescent="0.25">
      <c r="C119" s="1"/>
      <c r="D119" s="1"/>
      <c r="E119" s="1"/>
      <c r="F119" s="1"/>
      <c r="G119" s="1"/>
      <c r="H119" s="1"/>
      <c r="I119" s="1"/>
      <c r="J119" s="1"/>
      <c r="K119" s="1"/>
      <c r="L119" s="1"/>
      <c r="M119" s="1"/>
      <c r="N119" s="1"/>
    </row>
    <row r="120" spans="3:14" x14ac:dyDescent="0.25">
      <c r="C120" s="1"/>
      <c r="D120" s="1"/>
      <c r="E120" s="1"/>
      <c r="F120" s="1"/>
      <c r="G120" s="1"/>
      <c r="H120" s="1"/>
      <c r="I120" s="1"/>
      <c r="J120" s="1"/>
      <c r="K120" s="1"/>
      <c r="L120" s="1"/>
      <c r="M120" s="1"/>
      <c r="N120" s="1"/>
    </row>
    <row r="121" spans="3:14" x14ac:dyDescent="0.25">
      <c r="C121" s="1"/>
      <c r="D121" s="1"/>
      <c r="E121" s="1"/>
      <c r="F121" s="1"/>
      <c r="G121" s="1"/>
      <c r="H121" s="1"/>
      <c r="I121" s="1"/>
      <c r="J121" s="1"/>
      <c r="K121" s="1"/>
      <c r="L121" s="1"/>
      <c r="M121" s="1"/>
      <c r="N121" s="1"/>
    </row>
    <row r="122" spans="3:14" x14ac:dyDescent="0.25">
      <c r="C122" s="1"/>
      <c r="D122" s="1"/>
      <c r="E122" s="1"/>
      <c r="F122" s="1"/>
      <c r="G122" s="1"/>
      <c r="H122" s="1"/>
      <c r="I122" s="1"/>
      <c r="J122" s="1"/>
      <c r="K122" s="1"/>
      <c r="L122" s="1"/>
      <c r="M122" s="1"/>
      <c r="N122" s="1"/>
    </row>
    <row r="123" spans="3:14" x14ac:dyDescent="0.25">
      <c r="C123" s="1"/>
      <c r="D123" s="1"/>
      <c r="E123" s="1"/>
      <c r="F123" s="1"/>
      <c r="G123" s="1"/>
      <c r="H123" s="1"/>
      <c r="I123" s="1"/>
      <c r="J123" s="1"/>
      <c r="K123" s="1"/>
      <c r="L123" s="1"/>
      <c r="M123" s="1"/>
      <c r="N123" s="1"/>
    </row>
    <row r="124" spans="3:14" x14ac:dyDescent="0.25">
      <c r="C124" s="1"/>
      <c r="D124" s="1"/>
      <c r="E124" s="1"/>
      <c r="F124" s="1"/>
      <c r="G124" s="1"/>
      <c r="H124" s="1"/>
      <c r="I124" s="1"/>
      <c r="J124" s="1"/>
      <c r="K124" s="1"/>
      <c r="L124" s="1"/>
      <c r="M124" s="1"/>
      <c r="N124" s="1"/>
    </row>
    <row r="125" spans="3:14" x14ac:dyDescent="0.25">
      <c r="C125" s="1"/>
      <c r="D125" s="1"/>
      <c r="E125" s="1"/>
      <c r="F125" s="1"/>
      <c r="G125" s="1"/>
      <c r="H125" s="1"/>
      <c r="I125" s="1"/>
      <c r="J125" s="1"/>
      <c r="K125" s="1"/>
      <c r="L125" s="1"/>
      <c r="M125" s="1"/>
      <c r="N125" s="1"/>
    </row>
    <row r="126" spans="3:14" x14ac:dyDescent="0.25">
      <c r="C126" s="1"/>
      <c r="D126" s="1"/>
      <c r="E126" s="1"/>
      <c r="F126" s="1"/>
      <c r="G126" s="1"/>
      <c r="H126" s="1"/>
      <c r="I126" s="1"/>
      <c r="J126" s="1"/>
      <c r="K126" s="1"/>
      <c r="L126" s="1"/>
      <c r="M126" s="1"/>
      <c r="N126" s="1"/>
    </row>
    <row r="127" spans="3:14" x14ac:dyDescent="0.25">
      <c r="C127" s="1"/>
      <c r="D127" s="1"/>
      <c r="E127" s="1"/>
      <c r="F127" s="1"/>
      <c r="G127" s="1"/>
      <c r="H127" s="1"/>
      <c r="I127" s="1"/>
      <c r="J127" s="1"/>
      <c r="K127" s="1"/>
      <c r="L127" s="1"/>
      <c r="M127" s="1"/>
      <c r="N127" s="1"/>
    </row>
    <row r="128" spans="3:14" x14ac:dyDescent="0.25">
      <c r="C128" s="1"/>
      <c r="D128" s="1"/>
      <c r="E128" s="1"/>
      <c r="F128" s="1"/>
      <c r="G128" s="1"/>
      <c r="H128" s="1"/>
      <c r="I128" s="1"/>
      <c r="J128" s="1"/>
      <c r="K128" s="1"/>
      <c r="L128" s="1"/>
      <c r="M128" s="1"/>
      <c r="N128" s="1"/>
    </row>
    <row r="129" spans="3:14" x14ac:dyDescent="0.25">
      <c r="C129" s="1"/>
      <c r="D129" s="1"/>
      <c r="E129" s="1"/>
      <c r="F129" s="1"/>
      <c r="G129" s="1"/>
      <c r="H129" s="1"/>
      <c r="I129" s="1"/>
      <c r="J129" s="1"/>
      <c r="K129" s="1"/>
      <c r="L129" s="1"/>
      <c r="M129" s="1"/>
      <c r="N129" s="1"/>
    </row>
    <row r="130" spans="3:14" x14ac:dyDescent="0.25">
      <c r="C130" s="1"/>
      <c r="D130" s="1"/>
      <c r="E130" s="1"/>
      <c r="F130" s="1"/>
      <c r="G130" s="1"/>
      <c r="H130" s="1"/>
      <c r="I130" s="1"/>
      <c r="J130" s="1"/>
      <c r="K130" s="1"/>
      <c r="L130" s="1"/>
      <c r="M130" s="1"/>
      <c r="N130" s="1"/>
    </row>
    <row r="131" spans="3:14" x14ac:dyDescent="0.25">
      <c r="C131" s="1"/>
      <c r="D131" s="1"/>
      <c r="E131" s="1"/>
      <c r="F131" s="1"/>
      <c r="G131" s="1"/>
      <c r="H131" s="1"/>
      <c r="I131" s="1"/>
      <c r="J131" s="1"/>
      <c r="K131" s="1"/>
      <c r="L131" s="1"/>
      <c r="M131" s="1"/>
      <c r="N131" s="1"/>
    </row>
    <row r="132" spans="3:14" x14ac:dyDescent="0.25">
      <c r="C132" s="1"/>
      <c r="D132" s="1"/>
      <c r="E132" s="1"/>
      <c r="F132" s="1"/>
      <c r="G132" s="1"/>
      <c r="H132" s="1"/>
      <c r="I132" s="1"/>
      <c r="J132" s="1"/>
      <c r="K132" s="1"/>
      <c r="L132" s="1"/>
      <c r="M132" s="1"/>
      <c r="N132" s="1"/>
    </row>
    <row r="133" spans="3:14" x14ac:dyDescent="0.25">
      <c r="C133" s="1"/>
      <c r="D133" s="1"/>
      <c r="E133" s="1"/>
      <c r="F133" s="1"/>
      <c r="G133" s="1"/>
      <c r="H133" s="1"/>
      <c r="I133" s="1"/>
      <c r="J133" s="1"/>
      <c r="K133" s="1"/>
      <c r="L133" s="1"/>
      <c r="M133" s="1"/>
      <c r="N133" s="1"/>
    </row>
    <row r="134" spans="3:14" x14ac:dyDescent="0.25">
      <c r="C134" s="1"/>
      <c r="D134" s="1"/>
      <c r="E134" s="1"/>
      <c r="F134" s="1"/>
      <c r="G134" s="1"/>
      <c r="H134" s="1"/>
      <c r="I134" s="1"/>
      <c r="J134" s="1"/>
      <c r="K134" s="1"/>
      <c r="L134" s="1"/>
      <c r="M134" s="1"/>
      <c r="N134" s="1"/>
    </row>
    <row r="135" spans="3:14" x14ac:dyDescent="0.25">
      <c r="C135" s="1"/>
      <c r="D135" s="1"/>
      <c r="E135" s="1"/>
      <c r="F135" s="1"/>
      <c r="G135" s="1"/>
      <c r="H135" s="1"/>
      <c r="I135" s="1"/>
      <c r="J135" s="1"/>
      <c r="K135" s="1"/>
      <c r="L135" s="1"/>
      <c r="M135" s="1"/>
      <c r="N135" s="1"/>
    </row>
    <row r="136" spans="3:14" x14ac:dyDescent="0.25">
      <c r="C136" s="1"/>
      <c r="D136" s="1"/>
      <c r="E136" s="1"/>
      <c r="F136" s="1"/>
      <c r="G136" s="1"/>
      <c r="H136" s="1"/>
      <c r="I136" s="1"/>
      <c r="J136" s="1"/>
      <c r="K136" s="1"/>
      <c r="L136" s="1"/>
      <c r="M136" s="1"/>
      <c r="N136" s="1"/>
    </row>
    <row r="137" spans="3:14" x14ac:dyDescent="0.25">
      <c r="C137" s="1"/>
      <c r="D137" s="1"/>
      <c r="E137" s="1"/>
      <c r="F137" s="1"/>
      <c r="G137" s="1"/>
      <c r="H137" s="1"/>
      <c r="I137" s="1"/>
      <c r="J137" s="1"/>
      <c r="K137" s="1"/>
      <c r="L137" s="1"/>
      <c r="M137" s="1"/>
      <c r="N137" s="1"/>
    </row>
    <row r="138" spans="3:14" x14ac:dyDescent="0.25">
      <c r="C138" s="1"/>
      <c r="D138" s="1"/>
      <c r="E138" s="1"/>
      <c r="F138" s="1"/>
      <c r="G138" s="1"/>
      <c r="H138" s="1"/>
      <c r="I138" s="1"/>
      <c r="J138" s="1"/>
      <c r="K138" s="1"/>
      <c r="L138" s="1"/>
      <c r="M138" s="1"/>
      <c r="N138" s="1"/>
    </row>
    <row r="139" spans="3:14" x14ac:dyDescent="0.25">
      <c r="C139" s="1"/>
      <c r="D139" s="1"/>
      <c r="E139" s="1"/>
      <c r="F139" s="1"/>
      <c r="G139" s="1"/>
      <c r="H139" s="1"/>
      <c r="I139" s="1"/>
      <c r="J139" s="1"/>
      <c r="K139" s="1"/>
      <c r="L139" s="1"/>
      <c r="M139" s="1"/>
      <c r="N139" s="1"/>
    </row>
    <row r="140" spans="3:14" x14ac:dyDescent="0.25">
      <c r="C140" s="1"/>
      <c r="D140" s="1"/>
      <c r="E140" s="1"/>
      <c r="F140" s="1"/>
      <c r="G140" s="1"/>
      <c r="H140" s="1"/>
      <c r="I140" s="1"/>
      <c r="J140" s="1"/>
      <c r="K140" s="1"/>
      <c r="L140" s="1"/>
      <c r="M140" s="1"/>
      <c r="N140" s="1"/>
    </row>
    <row r="141" spans="3:14" x14ac:dyDescent="0.25">
      <c r="C141" s="1"/>
      <c r="D141" s="1"/>
      <c r="E141" s="1"/>
      <c r="F141" s="1"/>
      <c r="G141" s="1"/>
      <c r="H141" s="1"/>
      <c r="I141" s="1"/>
      <c r="J141" s="1"/>
      <c r="K141" s="1"/>
      <c r="L141" s="1"/>
      <c r="M141" s="1"/>
      <c r="N141" s="1"/>
    </row>
    <row r="142" spans="3:14" x14ac:dyDescent="0.25">
      <c r="C142" s="1"/>
      <c r="D142" s="1"/>
      <c r="E142" s="1"/>
      <c r="F142" s="1"/>
      <c r="G142" s="1"/>
      <c r="H142" s="1"/>
      <c r="I142" s="1"/>
      <c r="J142" s="1"/>
      <c r="K142" s="1"/>
      <c r="L142" s="1"/>
      <c r="M142" s="1"/>
      <c r="N142" s="1"/>
    </row>
    <row r="143" spans="3:14" x14ac:dyDescent="0.25">
      <c r="C143" s="1"/>
      <c r="D143" s="1"/>
      <c r="E143" s="1"/>
      <c r="F143" s="1"/>
      <c r="G143" s="1"/>
      <c r="H143" s="1"/>
      <c r="I143" s="1"/>
      <c r="J143" s="1"/>
      <c r="K143" s="1"/>
      <c r="L143" s="1"/>
      <c r="M143" s="1"/>
      <c r="N143" s="1"/>
    </row>
    <row r="144" spans="3:14" x14ac:dyDescent="0.25">
      <c r="C144" s="1"/>
      <c r="D144" s="1"/>
      <c r="E144" s="1"/>
      <c r="F144" s="1"/>
      <c r="G144" s="1"/>
      <c r="H144" s="1"/>
      <c r="I144" s="1"/>
      <c r="J144" s="1"/>
      <c r="K144" s="1"/>
      <c r="L144" s="1"/>
      <c r="M144" s="1"/>
      <c r="N144" s="1"/>
    </row>
    <row r="145" spans="3:14" x14ac:dyDescent="0.25">
      <c r="C145" s="1"/>
      <c r="D145" s="1"/>
      <c r="E145" s="1"/>
      <c r="F145" s="1"/>
      <c r="G145" s="1"/>
      <c r="H145" s="1"/>
      <c r="I145" s="1"/>
      <c r="J145" s="1"/>
      <c r="K145" s="1"/>
      <c r="L145" s="1"/>
      <c r="M145" s="1"/>
      <c r="N145" s="1"/>
    </row>
    <row r="146" spans="3:14" x14ac:dyDescent="0.25">
      <c r="C146" s="1"/>
      <c r="D146" s="1"/>
      <c r="E146" s="1"/>
      <c r="F146" s="1"/>
      <c r="G146" s="1"/>
      <c r="H146" s="1"/>
      <c r="I146" s="1"/>
      <c r="J146" s="1"/>
      <c r="K146" s="1"/>
      <c r="L146" s="1"/>
      <c r="M146" s="1"/>
      <c r="N146" s="1"/>
    </row>
    <row r="147" spans="3:14" x14ac:dyDescent="0.25">
      <c r="C147" s="1"/>
      <c r="D147" s="1"/>
      <c r="E147" s="1"/>
      <c r="F147" s="1"/>
      <c r="G147" s="1"/>
      <c r="H147" s="1"/>
      <c r="I147" s="1"/>
      <c r="J147" s="1"/>
      <c r="K147" s="1"/>
      <c r="L147" s="1"/>
      <c r="M147" s="1"/>
      <c r="N147" s="1"/>
    </row>
    <row r="148" spans="3:14" x14ac:dyDescent="0.25">
      <c r="C148" s="1"/>
      <c r="D148" s="1"/>
      <c r="E148" s="1"/>
      <c r="F148" s="1"/>
      <c r="G148" s="1"/>
      <c r="H148" s="1"/>
      <c r="I148" s="1"/>
      <c r="J148" s="1"/>
      <c r="K148" s="1"/>
      <c r="L148" s="1"/>
      <c r="M148" s="1"/>
      <c r="N148" s="1"/>
    </row>
    <row r="149" spans="3:14" x14ac:dyDescent="0.25">
      <c r="C149" s="1"/>
      <c r="D149" s="1"/>
      <c r="E149" s="1"/>
      <c r="F149" s="1"/>
      <c r="G149" s="1"/>
      <c r="H149" s="1"/>
      <c r="I149" s="1"/>
      <c r="J149" s="1"/>
      <c r="K149" s="1"/>
      <c r="L149" s="1"/>
      <c r="M149" s="1"/>
      <c r="N149" s="1"/>
    </row>
    <row r="150" spans="3:14" x14ac:dyDescent="0.25">
      <c r="C150" s="1"/>
      <c r="D150" s="1"/>
      <c r="E150" s="1"/>
      <c r="F150" s="1"/>
      <c r="G150" s="1"/>
      <c r="H150" s="1"/>
      <c r="I150" s="1"/>
      <c r="J150" s="1"/>
      <c r="K150" s="1"/>
      <c r="L150" s="1"/>
      <c r="M150" s="1"/>
      <c r="N150" s="1"/>
    </row>
    <row r="151" spans="3:14" x14ac:dyDescent="0.25">
      <c r="C151" s="1"/>
      <c r="D151" s="1"/>
      <c r="E151" s="1"/>
      <c r="F151" s="1"/>
      <c r="G151" s="1"/>
      <c r="H151" s="1"/>
      <c r="I151" s="1"/>
      <c r="J151" s="1"/>
      <c r="K151" s="1"/>
      <c r="L151" s="1"/>
      <c r="M151" s="1"/>
      <c r="N151" s="1"/>
    </row>
    <row r="152" spans="3:14" x14ac:dyDescent="0.25">
      <c r="C152" s="1"/>
      <c r="D152" s="1"/>
      <c r="E152" s="1"/>
      <c r="F152" s="1"/>
      <c r="G152" s="1"/>
      <c r="H152" s="1"/>
      <c r="I152" s="1"/>
      <c r="J152" s="1"/>
      <c r="K152" s="1"/>
      <c r="L152" s="1"/>
      <c r="M152" s="1"/>
      <c r="N152" s="1"/>
    </row>
    <row r="153" spans="3:14" x14ac:dyDescent="0.25">
      <c r="C153" s="1"/>
      <c r="D153" s="1"/>
      <c r="E153" s="1"/>
      <c r="F153" s="1"/>
      <c r="G153" s="1"/>
      <c r="H153" s="1"/>
      <c r="I153" s="1"/>
      <c r="J153" s="1"/>
      <c r="K153" s="1"/>
      <c r="L153" s="1"/>
      <c r="M153" s="1"/>
      <c r="N153" s="1"/>
    </row>
    <row r="154" spans="3:14" x14ac:dyDescent="0.25">
      <c r="C154" s="1"/>
      <c r="D154" s="1"/>
      <c r="E154" s="1"/>
      <c r="F154" s="1"/>
      <c r="G154" s="1"/>
      <c r="H154" s="1"/>
      <c r="I154" s="1"/>
      <c r="J154" s="1"/>
      <c r="K154" s="1"/>
      <c r="L154" s="1"/>
      <c r="M154" s="1"/>
      <c r="N154" s="1"/>
    </row>
    <row r="155" spans="3:14" x14ac:dyDescent="0.25">
      <c r="C155" s="1"/>
      <c r="D155" s="1"/>
      <c r="E155" s="1"/>
      <c r="F155" s="1"/>
      <c r="G155" s="1"/>
      <c r="H155" s="1"/>
      <c r="I155" s="1"/>
      <c r="J155" s="1"/>
      <c r="K155" s="1"/>
      <c r="L155" s="1"/>
      <c r="M155" s="1"/>
      <c r="N155" s="1"/>
    </row>
    <row r="156" spans="3:14" x14ac:dyDescent="0.25">
      <c r="C156" s="1"/>
      <c r="D156" s="1"/>
      <c r="E156" s="1"/>
      <c r="F156" s="1"/>
      <c r="G156" s="1"/>
      <c r="H156" s="1"/>
      <c r="I156" s="1"/>
      <c r="J156" s="1"/>
      <c r="K156" s="1"/>
      <c r="L156" s="1"/>
      <c r="M156" s="1"/>
      <c r="N156" s="1"/>
    </row>
    <row r="157" spans="3:14" x14ac:dyDescent="0.25">
      <c r="C157" s="1"/>
      <c r="D157" s="1"/>
      <c r="E157" s="1"/>
      <c r="F157" s="1"/>
      <c r="G157" s="1"/>
      <c r="H157" s="1"/>
      <c r="I157" s="1"/>
      <c r="J157" s="1"/>
      <c r="K157" s="1"/>
      <c r="L157" s="1"/>
      <c r="M157" s="1"/>
      <c r="N157" s="1"/>
    </row>
    <row r="158" spans="3:14" x14ac:dyDescent="0.25">
      <c r="C158" s="1"/>
      <c r="D158" s="1"/>
      <c r="E158" s="1"/>
      <c r="F158" s="1"/>
      <c r="G158" s="1"/>
      <c r="H158" s="1"/>
      <c r="I158" s="1"/>
      <c r="J158" s="1"/>
      <c r="K158" s="1"/>
      <c r="L158" s="1"/>
      <c r="M158" s="1"/>
      <c r="N158" s="1"/>
    </row>
    <row r="159" spans="3:14" x14ac:dyDescent="0.25">
      <c r="C159" s="1"/>
      <c r="D159" s="1"/>
      <c r="E159" s="1"/>
      <c r="F159" s="1"/>
      <c r="G159" s="1"/>
      <c r="H159" s="1"/>
      <c r="I159" s="1"/>
      <c r="J159" s="1"/>
      <c r="K159" s="1"/>
      <c r="L159" s="1"/>
      <c r="M159" s="1"/>
      <c r="N159" s="1"/>
    </row>
    <row r="160" spans="3:14" x14ac:dyDescent="0.25">
      <c r="C160" s="1"/>
      <c r="D160" s="1"/>
      <c r="E160" s="1"/>
      <c r="F160" s="1"/>
      <c r="G160" s="1"/>
      <c r="H160" s="1"/>
      <c r="I160" s="1"/>
      <c r="J160" s="1"/>
      <c r="K160" s="1"/>
      <c r="L160" s="1"/>
      <c r="M160" s="1"/>
      <c r="N160" s="1"/>
    </row>
    <row r="161" spans="3:14" x14ac:dyDescent="0.25">
      <c r="C161" s="1"/>
      <c r="D161" s="1"/>
      <c r="E161" s="1"/>
      <c r="F161" s="1"/>
      <c r="G161" s="1"/>
      <c r="H161" s="1"/>
      <c r="I161" s="1"/>
      <c r="J161" s="1"/>
      <c r="K161" s="1"/>
      <c r="L161" s="1"/>
      <c r="M161" s="1"/>
      <c r="N161" s="1"/>
    </row>
    <row r="162" spans="3:14" x14ac:dyDescent="0.25">
      <c r="C162" s="1"/>
      <c r="D162" s="1"/>
      <c r="E162" s="1"/>
      <c r="F162" s="1"/>
      <c r="G162" s="1"/>
      <c r="H162" s="1"/>
      <c r="I162" s="1"/>
      <c r="J162" s="1"/>
      <c r="K162" s="1"/>
      <c r="L162" s="1"/>
      <c r="M162" s="1"/>
      <c r="N162" s="1"/>
    </row>
    <row r="163" spans="3:14" x14ac:dyDescent="0.25">
      <c r="C163" s="1"/>
      <c r="D163" s="1"/>
      <c r="E163" s="1"/>
      <c r="F163" s="1"/>
      <c r="G163" s="1"/>
      <c r="H163" s="1"/>
      <c r="I163" s="1"/>
      <c r="J163" s="1"/>
      <c r="K163" s="1"/>
      <c r="L163" s="1"/>
      <c r="M163" s="1"/>
      <c r="N163" s="1"/>
    </row>
    <row r="164" spans="3:14" x14ac:dyDescent="0.25">
      <c r="C164" s="1"/>
      <c r="D164" s="1"/>
      <c r="E164" s="1"/>
      <c r="F164" s="1"/>
      <c r="G164" s="1"/>
      <c r="H164" s="1"/>
      <c r="I164" s="1"/>
      <c r="J164" s="1"/>
      <c r="K164" s="1"/>
      <c r="L164" s="1"/>
      <c r="M164" s="1"/>
      <c r="N164" s="1"/>
    </row>
    <row r="165" spans="3:14" x14ac:dyDescent="0.25">
      <c r="C165" s="1"/>
      <c r="D165" s="1"/>
      <c r="E165" s="1"/>
      <c r="F165" s="1"/>
      <c r="G165" s="1"/>
      <c r="H165" s="1"/>
      <c r="I165" s="1"/>
      <c r="J165" s="1"/>
      <c r="K165" s="1"/>
      <c r="L165" s="1"/>
      <c r="M165" s="1"/>
      <c r="N165" s="1"/>
    </row>
    <row r="166" spans="3:14" x14ac:dyDescent="0.25">
      <c r="C166" s="1"/>
      <c r="D166" s="1"/>
      <c r="E166" s="1"/>
      <c r="F166" s="1"/>
      <c r="G166" s="1"/>
      <c r="H166" s="1"/>
      <c r="I166" s="1"/>
      <c r="J166" s="1"/>
      <c r="K166" s="1"/>
      <c r="L166" s="1"/>
      <c r="M166" s="1"/>
      <c r="N166" s="1"/>
    </row>
    <row r="167" spans="3:14" x14ac:dyDescent="0.25">
      <c r="C167" s="1"/>
      <c r="D167" s="1"/>
      <c r="E167" s="1"/>
      <c r="F167" s="1"/>
      <c r="G167" s="1"/>
      <c r="H167" s="1"/>
      <c r="I167" s="1"/>
      <c r="J167" s="1"/>
      <c r="K167" s="1"/>
      <c r="L167" s="1"/>
      <c r="M167" s="1"/>
      <c r="N167" s="1"/>
    </row>
    <row r="168" spans="3:14" x14ac:dyDescent="0.25">
      <c r="C168" s="1"/>
      <c r="D168" s="1"/>
      <c r="E168" s="1"/>
      <c r="F168" s="1"/>
      <c r="G168" s="1"/>
      <c r="H168" s="1"/>
      <c r="I168" s="1"/>
      <c r="J168" s="1"/>
      <c r="K168" s="1"/>
      <c r="L168" s="1"/>
      <c r="M168" s="1"/>
      <c r="N168" s="1"/>
    </row>
    <row r="169" spans="3:14" x14ac:dyDescent="0.25">
      <c r="C169" s="1"/>
      <c r="D169" s="1"/>
      <c r="E169" s="1"/>
      <c r="F169" s="1"/>
      <c r="G169" s="1"/>
      <c r="H169" s="1"/>
      <c r="I169" s="1"/>
      <c r="J169" s="1"/>
      <c r="K169" s="1"/>
      <c r="L169" s="1"/>
      <c r="M169" s="1"/>
      <c r="N169" s="1"/>
    </row>
    <row r="170" spans="3:14" x14ac:dyDescent="0.25">
      <c r="C170" s="1"/>
      <c r="D170" s="1"/>
      <c r="E170" s="1"/>
      <c r="F170" s="1"/>
      <c r="G170" s="1"/>
      <c r="H170" s="1"/>
      <c r="I170" s="1"/>
      <c r="J170" s="1"/>
      <c r="K170" s="1"/>
      <c r="L170" s="1"/>
      <c r="M170" s="1"/>
      <c r="N170" s="1"/>
    </row>
    <row r="171" spans="3:14" x14ac:dyDescent="0.25">
      <c r="C171" s="1"/>
      <c r="D171" s="1"/>
      <c r="E171" s="1"/>
      <c r="F171" s="1"/>
      <c r="G171" s="1"/>
      <c r="H171" s="1"/>
      <c r="I171" s="1"/>
      <c r="J171" s="1"/>
      <c r="K171" s="1"/>
      <c r="L171" s="1"/>
      <c r="M171" s="1"/>
      <c r="N171" s="1"/>
    </row>
    <row r="172" spans="3:14" x14ac:dyDescent="0.25">
      <c r="C172" s="1"/>
      <c r="D172" s="1"/>
      <c r="E172" s="1"/>
      <c r="F172" s="1"/>
      <c r="G172" s="1"/>
      <c r="H172" s="1"/>
      <c r="I172" s="1"/>
      <c r="J172" s="1"/>
      <c r="K172" s="1"/>
      <c r="L172" s="1"/>
      <c r="M172" s="1"/>
      <c r="N172" s="1"/>
    </row>
    <row r="173" spans="3:14" x14ac:dyDescent="0.25">
      <c r="C173" s="1"/>
      <c r="D173" s="1"/>
      <c r="E173" s="1"/>
      <c r="F173" s="1"/>
      <c r="G173" s="1"/>
      <c r="H173" s="1"/>
      <c r="I173" s="1"/>
      <c r="J173" s="1"/>
      <c r="K173" s="1"/>
      <c r="L173" s="1"/>
      <c r="M173" s="1"/>
      <c r="N173" s="1"/>
    </row>
    <row r="174" spans="3:14" x14ac:dyDescent="0.25">
      <c r="C174" s="1"/>
      <c r="D174" s="1"/>
      <c r="E174" s="1"/>
      <c r="F174" s="1"/>
      <c r="G174" s="1"/>
      <c r="H174" s="1"/>
      <c r="I174" s="1"/>
      <c r="J174" s="1"/>
      <c r="K174" s="1"/>
      <c r="L174" s="1"/>
      <c r="M174" s="1"/>
      <c r="N174" s="1"/>
    </row>
    <row r="175" spans="3:14" x14ac:dyDescent="0.25">
      <c r="C175" s="1"/>
      <c r="D175" s="1"/>
      <c r="E175" s="1"/>
      <c r="F175" s="1"/>
      <c r="G175" s="1"/>
      <c r="H175" s="1"/>
      <c r="I175" s="1"/>
      <c r="J175" s="1"/>
      <c r="K175" s="1"/>
      <c r="L175" s="1"/>
      <c r="M175" s="1"/>
      <c r="N175" s="1"/>
    </row>
    <row r="176" spans="3:14" x14ac:dyDescent="0.25">
      <c r="C176" s="1"/>
      <c r="D176" s="1"/>
      <c r="E176" s="1"/>
      <c r="F176" s="1"/>
      <c r="G176" s="1"/>
      <c r="H176" s="1"/>
      <c r="I176" s="1"/>
      <c r="J176" s="1"/>
      <c r="K176" s="1"/>
      <c r="L176" s="1"/>
      <c r="M176" s="1"/>
      <c r="N176" s="1"/>
    </row>
    <row r="177" spans="3:14" x14ac:dyDescent="0.25">
      <c r="C177" s="1"/>
      <c r="D177" s="1"/>
      <c r="E177" s="1"/>
      <c r="F177" s="1"/>
      <c r="G177" s="1"/>
      <c r="H177" s="1"/>
      <c r="I177" s="1"/>
      <c r="J177" s="1"/>
      <c r="K177" s="1"/>
      <c r="L177" s="1"/>
      <c r="M177" s="1"/>
      <c r="N177" s="1"/>
    </row>
    <row r="178" spans="3:14" x14ac:dyDescent="0.25">
      <c r="C178" s="1"/>
      <c r="D178" s="1"/>
      <c r="E178" s="1"/>
      <c r="F178" s="1"/>
      <c r="G178" s="1"/>
      <c r="H178" s="1"/>
      <c r="I178" s="1"/>
      <c r="J178" s="1"/>
      <c r="K178" s="1"/>
      <c r="L178" s="1"/>
      <c r="M178" s="1"/>
      <c r="N178" s="1"/>
    </row>
    <row r="179" spans="3:14" x14ac:dyDescent="0.25">
      <c r="C179" s="1"/>
      <c r="D179" s="1"/>
      <c r="E179" s="1"/>
      <c r="F179" s="1"/>
      <c r="G179" s="1"/>
      <c r="H179" s="1"/>
      <c r="I179" s="1"/>
      <c r="J179" s="1"/>
      <c r="K179" s="1"/>
      <c r="L179" s="1"/>
      <c r="M179" s="1"/>
      <c r="N179" s="1"/>
    </row>
    <row r="180" spans="3:14" x14ac:dyDescent="0.25">
      <c r="C180" s="1"/>
      <c r="D180" s="1"/>
      <c r="E180" s="1"/>
      <c r="F180" s="1"/>
      <c r="G180" s="1"/>
      <c r="H180" s="1"/>
      <c r="I180" s="1"/>
      <c r="J180" s="1"/>
      <c r="K180" s="1"/>
      <c r="L180" s="1"/>
      <c r="M180" s="1"/>
      <c r="N180" s="1"/>
    </row>
    <row r="181" spans="3:14" x14ac:dyDescent="0.25">
      <c r="C181" s="1"/>
      <c r="D181" s="1"/>
      <c r="E181" s="1"/>
      <c r="F181" s="1"/>
      <c r="G181" s="1"/>
      <c r="H181" s="1"/>
      <c r="I181" s="1"/>
      <c r="J181" s="1"/>
      <c r="K181" s="1"/>
      <c r="L181" s="1"/>
      <c r="M181" s="1"/>
      <c r="N181" s="1"/>
    </row>
    <row r="182" spans="3:14" x14ac:dyDescent="0.25">
      <c r="C182" s="1"/>
      <c r="D182" s="1"/>
      <c r="E182" s="1"/>
      <c r="F182" s="1"/>
      <c r="G182" s="1"/>
      <c r="H182" s="1"/>
      <c r="I182" s="1"/>
      <c r="J182" s="1"/>
      <c r="K182" s="1"/>
      <c r="L182" s="1"/>
      <c r="M182" s="1"/>
      <c r="N182" s="1"/>
    </row>
    <row r="183" spans="3:14" x14ac:dyDescent="0.25">
      <c r="C183" s="1"/>
      <c r="D183" s="1"/>
      <c r="E183" s="1"/>
      <c r="F183" s="1"/>
      <c r="G183" s="1"/>
      <c r="H183" s="1"/>
      <c r="I183" s="1"/>
      <c r="J183" s="1"/>
      <c r="K183" s="1"/>
      <c r="L183" s="1"/>
      <c r="M183" s="1"/>
      <c r="N183" s="1"/>
    </row>
    <row r="184" spans="3:14" x14ac:dyDescent="0.25">
      <c r="C184" s="1"/>
      <c r="D184" s="1"/>
      <c r="E184" s="1"/>
      <c r="F184" s="1"/>
      <c r="G184" s="1"/>
      <c r="H184" s="1"/>
      <c r="I184" s="1"/>
      <c r="J184" s="1"/>
      <c r="K184" s="1"/>
      <c r="L184" s="1"/>
      <c r="M184" s="1"/>
      <c r="N184" s="1"/>
    </row>
    <row r="185" spans="3:14" x14ac:dyDescent="0.25">
      <c r="C185" s="1"/>
      <c r="D185" s="1"/>
      <c r="E185" s="1"/>
      <c r="F185" s="1"/>
      <c r="G185" s="1"/>
      <c r="H185" s="1"/>
      <c r="I185" s="1"/>
      <c r="J185" s="1"/>
      <c r="K185" s="1"/>
      <c r="L185" s="1"/>
      <c r="M185" s="1"/>
      <c r="N185" s="1"/>
    </row>
    <row r="186" spans="3:14" x14ac:dyDescent="0.25">
      <c r="C186" s="1"/>
      <c r="D186" s="1"/>
      <c r="E186" s="1"/>
      <c r="F186" s="1"/>
      <c r="G186" s="1"/>
      <c r="H186" s="1"/>
      <c r="I186" s="1"/>
      <c r="J186" s="1"/>
      <c r="K186" s="1"/>
      <c r="L186" s="1"/>
      <c r="M186" s="1"/>
      <c r="N186" s="1"/>
    </row>
    <row r="187" spans="3:14" x14ac:dyDescent="0.25">
      <c r="C187" s="1"/>
      <c r="D187" s="1"/>
      <c r="E187" s="1"/>
      <c r="F187" s="1"/>
      <c r="G187" s="1"/>
      <c r="H187" s="1"/>
      <c r="I187" s="1"/>
      <c r="J187" s="1"/>
      <c r="K187" s="1"/>
      <c r="L187" s="1"/>
      <c r="M187" s="1"/>
      <c r="N187" s="1"/>
    </row>
    <row r="188" spans="3:14" x14ac:dyDescent="0.25">
      <c r="C188" s="1"/>
      <c r="D188" s="1"/>
      <c r="E188" s="1"/>
      <c r="F188" s="1"/>
      <c r="G188" s="1"/>
      <c r="H188" s="1"/>
      <c r="I188" s="1"/>
      <c r="J188" s="1"/>
      <c r="K188" s="1"/>
      <c r="L188" s="1"/>
      <c r="M188" s="1"/>
      <c r="N188" s="1"/>
    </row>
    <row r="189" spans="3:14" x14ac:dyDescent="0.25">
      <c r="C189" s="1"/>
      <c r="D189" s="1"/>
      <c r="E189" s="1"/>
      <c r="F189" s="1"/>
      <c r="G189" s="1"/>
      <c r="H189" s="1"/>
      <c r="I189" s="1"/>
      <c r="J189" s="1"/>
      <c r="K189" s="1"/>
      <c r="L189" s="1"/>
      <c r="M189" s="1"/>
      <c r="N189" s="1"/>
    </row>
    <row r="190" spans="3:14" x14ac:dyDescent="0.25">
      <c r="C190" s="1"/>
      <c r="D190" s="1"/>
      <c r="E190" s="1"/>
      <c r="F190" s="1"/>
      <c r="G190" s="1"/>
      <c r="H190" s="1"/>
      <c r="I190" s="1"/>
      <c r="J190" s="1"/>
      <c r="K190" s="1"/>
      <c r="L190" s="1"/>
      <c r="M190" s="1"/>
      <c r="N190" s="1"/>
    </row>
    <row r="191" spans="3:14" x14ac:dyDescent="0.25">
      <c r="C191" s="1"/>
      <c r="D191" s="1"/>
      <c r="E191" s="1"/>
      <c r="F191" s="1"/>
      <c r="G191" s="1"/>
      <c r="H191" s="1"/>
      <c r="I191" s="1"/>
      <c r="J191" s="1"/>
      <c r="K191" s="1"/>
      <c r="L191" s="1"/>
      <c r="M191" s="1"/>
      <c r="N191" s="1"/>
    </row>
    <row r="192" spans="3:14" x14ac:dyDescent="0.25">
      <c r="C192" s="1"/>
      <c r="D192" s="1"/>
      <c r="E192" s="1"/>
      <c r="F192" s="1"/>
      <c r="G192" s="1"/>
      <c r="H192" s="1"/>
      <c r="I192" s="1"/>
      <c r="J192" s="1"/>
      <c r="K192" s="1"/>
      <c r="L192" s="1"/>
      <c r="M192" s="1"/>
      <c r="N192" s="1"/>
    </row>
    <row r="193" spans="3:14" x14ac:dyDescent="0.25">
      <c r="C193" s="1"/>
      <c r="D193" s="1"/>
      <c r="E193" s="1"/>
      <c r="F193" s="1"/>
      <c r="G193" s="1"/>
      <c r="H193" s="1"/>
      <c r="I193" s="1"/>
      <c r="J193" s="1"/>
      <c r="K193" s="1"/>
      <c r="L193" s="1"/>
      <c r="M193" s="1"/>
      <c r="N193" s="1"/>
    </row>
    <row r="194" spans="3:14" x14ac:dyDescent="0.25">
      <c r="C194" s="1"/>
      <c r="D194" s="1"/>
      <c r="E194" s="1"/>
      <c r="F194" s="1"/>
      <c r="G194" s="1"/>
      <c r="H194" s="1"/>
      <c r="I194" s="1"/>
      <c r="J194" s="1"/>
      <c r="K194" s="1"/>
      <c r="L194" s="1"/>
      <c r="M194" s="1"/>
      <c r="N194" s="1"/>
    </row>
    <row r="195" spans="3:14" x14ac:dyDescent="0.25">
      <c r="C195" s="1"/>
      <c r="D195" s="1"/>
      <c r="E195" s="1"/>
      <c r="F195" s="1"/>
      <c r="G195" s="1"/>
      <c r="H195" s="1"/>
      <c r="I195" s="1"/>
      <c r="J195" s="1"/>
      <c r="K195" s="1"/>
      <c r="L195" s="1"/>
      <c r="M195" s="1"/>
      <c r="N195" s="1"/>
    </row>
    <row r="196" spans="3:14" x14ac:dyDescent="0.25">
      <c r="C196" s="1"/>
      <c r="D196" s="1"/>
      <c r="E196" s="1"/>
      <c r="F196" s="1"/>
      <c r="G196" s="1"/>
      <c r="H196" s="1"/>
      <c r="I196" s="1"/>
      <c r="J196" s="1"/>
      <c r="K196" s="1"/>
      <c r="L196" s="1"/>
      <c r="M196" s="1"/>
      <c r="N196" s="1"/>
    </row>
    <row r="197" spans="3:14" x14ac:dyDescent="0.25">
      <c r="C197" s="1"/>
      <c r="D197" s="1"/>
      <c r="E197" s="1"/>
      <c r="F197" s="1"/>
      <c r="G197" s="1"/>
      <c r="H197" s="1"/>
      <c r="I197" s="1"/>
      <c r="J197" s="1"/>
      <c r="K197" s="1"/>
      <c r="L197" s="1"/>
      <c r="M197" s="1"/>
      <c r="N197" s="1"/>
    </row>
    <row r="198" spans="3:14" x14ac:dyDescent="0.25">
      <c r="C198" s="1"/>
      <c r="D198" s="1"/>
      <c r="E198" s="1"/>
      <c r="F198" s="1"/>
      <c r="G198" s="1"/>
      <c r="H198" s="1"/>
      <c r="I198" s="1"/>
      <c r="J198" s="1"/>
      <c r="K198" s="1"/>
      <c r="L198" s="1"/>
      <c r="M198" s="1"/>
      <c r="N198" s="1"/>
    </row>
    <row r="199" spans="3:14" x14ac:dyDescent="0.25">
      <c r="C199" s="1"/>
      <c r="D199" s="1"/>
      <c r="E199" s="1"/>
      <c r="F199" s="1"/>
      <c r="G199" s="1"/>
      <c r="H199" s="1"/>
      <c r="I199" s="1"/>
      <c r="J199" s="1"/>
      <c r="K199" s="1"/>
      <c r="L199" s="1"/>
      <c r="M199" s="1"/>
      <c r="N199" s="1"/>
    </row>
    <row r="200" spans="3:14" x14ac:dyDescent="0.25">
      <c r="C200" s="1"/>
      <c r="D200" s="1"/>
      <c r="E200" s="1"/>
      <c r="F200" s="1"/>
      <c r="G200" s="1"/>
      <c r="H200" s="1"/>
      <c r="I200" s="1"/>
      <c r="J200" s="1"/>
      <c r="K200" s="1"/>
      <c r="L200" s="1"/>
      <c r="M200" s="1"/>
      <c r="N200" s="1"/>
    </row>
    <row r="201" spans="3:14" x14ac:dyDescent="0.25">
      <c r="C201" s="1"/>
      <c r="D201" s="1"/>
      <c r="E201" s="1"/>
      <c r="F201" s="1"/>
      <c r="G201" s="1"/>
      <c r="H201" s="1"/>
      <c r="I201" s="1"/>
      <c r="J201" s="1"/>
      <c r="K201" s="1"/>
      <c r="L201" s="1"/>
      <c r="M201" s="1"/>
      <c r="N201" s="1"/>
    </row>
    <row r="202" spans="3:14" x14ac:dyDescent="0.25">
      <c r="C202" s="1"/>
      <c r="D202" s="1"/>
      <c r="E202" s="1"/>
      <c r="F202" s="1"/>
      <c r="G202" s="1"/>
      <c r="H202" s="1"/>
      <c r="I202" s="1"/>
      <c r="J202" s="1"/>
      <c r="K202" s="1"/>
      <c r="L202" s="1"/>
      <c r="M202" s="1"/>
      <c r="N202" s="1"/>
    </row>
    <row r="203" spans="3:14" x14ac:dyDescent="0.25">
      <c r="C203" s="1"/>
      <c r="D203" s="1"/>
      <c r="E203" s="1"/>
      <c r="F203" s="1"/>
      <c r="G203" s="1"/>
      <c r="H203" s="1"/>
      <c r="I203" s="1"/>
      <c r="J203" s="1"/>
      <c r="K203" s="1"/>
      <c r="L203" s="1"/>
      <c r="M203" s="1"/>
      <c r="N203" s="1"/>
    </row>
    <row r="204" spans="3:14" x14ac:dyDescent="0.25">
      <c r="C204" s="1"/>
      <c r="D204" s="1"/>
      <c r="E204" s="1"/>
      <c r="F204" s="1"/>
      <c r="G204" s="1"/>
      <c r="H204" s="1"/>
      <c r="I204" s="1"/>
      <c r="J204" s="1"/>
      <c r="K204" s="1"/>
      <c r="L204" s="1"/>
      <c r="M204" s="1"/>
      <c r="N204" s="1"/>
    </row>
    <row r="205" spans="3:14" x14ac:dyDescent="0.25">
      <c r="C205" s="1"/>
      <c r="D205" s="1"/>
      <c r="E205" s="1"/>
      <c r="F205" s="1"/>
      <c r="G205" s="1"/>
      <c r="H205" s="1"/>
      <c r="I205" s="1"/>
      <c r="J205" s="1"/>
      <c r="K205" s="1"/>
      <c r="L205" s="1"/>
      <c r="M205" s="1"/>
      <c r="N205" s="1"/>
    </row>
    <row r="206" spans="3:14" x14ac:dyDescent="0.25">
      <c r="C206" s="1"/>
      <c r="D206" s="1"/>
      <c r="E206" s="1"/>
      <c r="F206" s="1"/>
      <c r="G206" s="1"/>
      <c r="H206" s="1"/>
      <c r="I206" s="1"/>
      <c r="J206" s="1"/>
      <c r="K206" s="1"/>
      <c r="L206" s="1"/>
      <c r="M206" s="1"/>
      <c r="N206" s="1"/>
    </row>
    <row r="207" spans="3:14" x14ac:dyDescent="0.25">
      <c r="C207" s="1"/>
      <c r="D207" s="1"/>
      <c r="E207" s="1"/>
      <c r="F207" s="1"/>
      <c r="G207" s="1"/>
      <c r="H207" s="1"/>
      <c r="I207" s="1"/>
      <c r="J207" s="1"/>
      <c r="K207" s="1"/>
      <c r="L207" s="1"/>
      <c r="M207" s="1"/>
      <c r="N207" s="1"/>
    </row>
    <row r="208" spans="3:14" x14ac:dyDescent="0.25">
      <c r="C208" s="1"/>
      <c r="D208" s="1"/>
      <c r="E208" s="1"/>
      <c r="F208" s="1"/>
      <c r="G208" s="1"/>
      <c r="H208" s="1"/>
      <c r="I208" s="1"/>
      <c r="J208" s="1"/>
      <c r="K208" s="1"/>
      <c r="L208" s="1"/>
      <c r="M208" s="1"/>
      <c r="N208" s="1"/>
    </row>
    <row r="209" spans="3:14" x14ac:dyDescent="0.25">
      <c r="C209" s="1"/>
      <c r="D209" s="1"/>
      <c r="E209" s="1"/>
      <c r="F209" s="1"/>
      <c r="G209" s="1"/>
      <c r="H209" s="1"/>
      <c r="I209" s="1"/>
      <c r="J209" s="1"/>
      <c r="K209" s="1"/>
      <c r="L209" s="1"/>
      <c r="M209" s="1"/>
      <c r="N209" s="1"/>
    </row>
    <row r="210" spans="3:14" x14ac:dyDescent="0.25">
      <c r="C210" s="1"/>
      <c r="D210" s="1"/>
      <c r="E210" s="1"/>
      <c r="F210" s="1"/>
      <c r="G210" s="1"/>
      <c r="H210" s="1"/>
      <c r="I210" s="1"/>
      <c r="J210" s="1"/>
      <c r="K210" s="1"/>
      <c r="L210" s="1"/>
      <c r="M210" s="1"/>
      <c r="N210" s="1"/>
    </row>
    <row r="211" spans="3:14" x14ac:dyDescent="0.25">
      <c r="C211" s="1"/>
      <c r="D211" s="1"/>
      <c r="E211" s="1"/>
      <c r="F211" s="1"/>
      <c r="G211" s="1"/>
      <c r="H211" s="1"/>
      <c r="I211" s="1"/>
      <c r="J211" s="1"/>
      <c r="K211" s="1"/>
      <c r="L211" s="1"/>
      <c r="M211" s="1"/>
      <c r="N211" s="1"/>
    </row>
    <row r="212" spans="3:14" x14ac:dyDescent="0.25">
      <c r="C212" s="1"/>
      <c r="D212" s="1"/>
      <c r="E212" s="1"/>
      <c r="F212" s="1"/>
      <c r="G212" s="1"/>
      <c r="H212" s="1"/>
      <c r="I212" s="1"/>
      <c r="J212" s="1"/>
      <c r="K212" s="1"/>
      <c r="L212" s="1"/>
      <c r="M212" s="1"/>
      <c r="N212" s="1"/>
    </row>
    <row r="213" spans="3:14" x14ac:dyDescent="0.25">
      <c r="C213" s="1"/>
      <c r="D213" s="1"/>
      <c r="E213" s="1"/>
      <c r="F213" s="1"/>
      <c r="G213" s="1"/>
      <c r="H213" s="1"/>
      <c r="I213" s="1"/>
      <c r="J213" s="1"/>
      <c r="K213" s="1"/>
      <c r="L213" s="1"/>
      <c r="M213" s="1"/>
      <c r="N213" s="1"/>
    </row>
    <row r="214" spans="3:14" x14ac:dyDescent="0.25">
      <c r="C214" s="1"/>
      <c r="D214" s="1"/>
      <c r="E214" s="1"/>
      <c r="F214" s="1"/>
      <c r="G214" s="1"/>
      <c r="H214" s="1"/>
      <c r="I214" s="1"/>
      <c r="J214" s="1"/>
      <c r="K214" s="1"/>
      <c r="L214" s="1"/>
      <c r="M214" s="1"/>
      <c r="N214" s="1"/>
    </row>
    <row r="215" spans="3:14" x14ac:dyDescent="0.25">
      <c r="C215" s="1"/>
      <c r="D215" s="1"/>
      <c r="E215" s="1"/>
      <c r="F215" s="1"/>
      <c r="G215" s="1"/>
      <c r="H215" s="1"/>
      <c r="I215" s="1"/>
      <c r="J215" s="1"/>
      <c r="K215" s="1"/>
      <c r="L215" s="1"/>
      <c r="M215" s="1"/>
      <c r="N215" s="1"/>
    </row>
    <row r="216" spans="3:14" x14ac:dyDescent="0.25">
      <c r="C216" s="1"/>
      <c r="D216" s="1"/>
      <c r="E216" s="1"/>
      <c r="F216" s="1"/>
      <c r="G216" s="1"/>
      <c r="H216" s="1"/>
      <c r="I216" s="1"/>
      <c r="J216" s="1"/>
      <c r="K216" s="1"/>
      <c r="L216" s="1"/>
      <c r="M216" s="1"/>
      <c r="N216" s="1"/>
    </row>
    <row r="217" spans="3:14" x14ac:dyDescent="0.25">
      <c r="C217" s="1"/>
      <c r="D217" s="1"/>
      <c r="E217" s="1"/>
      <c r="F217" s="1"/>
      <c r="G217" s="1"/>
      <c r="H217" s="1"/>
      <c r="I217" s="1"/>
      <c r="J217" s="1"/>
      <c r="K217" s="1"/>
      <c r="L217" s="1"/>
      <c r="M217" s="1"/>
      <c r="N217" s="1"/>
    </row>
    <row r="218" spans="3:14" x14ac:dyDescent="0.25">
      <c r="C218" s="1"/>
      <c r="D218" s="1"/>
      <c r="E218" s="1"/>
      <c r="F218" s="1"/>
      <c r="G218" s="1"/>
      <c r="H218" s="1"/>
      <c r="I218" s="1"/>
      <c r="J218" s="1"/>
      <c r="K218" s="1"/>
      <c r="L218" s="1"/>
      <c r="M218" s="1"/>
      <c r="N218" s="1"/>
    </row>
    <row r="219" spans="3:14" x14ac:dyDescent="0.25">
      <c r="C219" s="1"/>
      <c r="D219" s="1"/>
      <c r="E219" s="1"/>
      <c r="F219" s="1"/>
      <c r="G219" s="1"/>
      <c r="H219" s="1"/>
      <c r="I219" s="1"/>
      <c r="J219" s="1"/>
      <c r="K219" s="1"/>
      <c r="L219" s="1"/>
      <c r="M219" s="1"/>
      <c r="N219" s="1"/>
    </row>
    <row r="220" spans="3:14" x14ac:dyDescent="0.25">
      <c r="C220" s="1"/>
      <c r="D220" s="1"/>
      <c r="E220" s="1"/>
      <c r="F220" s="1"/>
      <c r="G220" s="1"/>
      <c r="H220" s="1"/>
      <c r="I220" s="1"/>
      <c r="J220" s="1"/>
      <c r="K220" s="1"/>
      <c r="L220" s="1"/>
      <c r="M220" s="1"/>
      <c r="N220" s="1"/>
    </row>
    <row r="221" spans="3:14" x14ac:dyDescent="0.25">
      <c r="C221" s="1"/>
      <c r="D221" s="1"/>
      <c r="E221" s="1"/>
      <c r="F221" s="1"/>
      <c r="G221" s="1"/>
      <c r="H221" s="1"/>
      <c r="I221" s="1"/>
      <c r="J221" s="1"/>
      <c r="K221" s="1"/>
      <c r="L221" s="1"/>
      <c r="M221" s="1"/>
      <c r="N221" s="1"/>
    </row>
    <row r="222" spans="3:14" x14ac:dyDescent="0.25">
      <c r="C222" s="1"/>
      <c r="D222" s="1"/>
      <c r="E222" s="1"/>
      <c r="F222" s="1"/>
      <c r="G222" s="1"/>
      <c r="H222" s="1"/>
      <c r="I222" s="1"/>
      <c r="J222" s="1"/>
      <c r="K222" s="1"/>
      <c r="L222" s="1"/>
      <c r="M222" s="1"/>
      <c r="N222" s="1"/>
    </row>
    <row r="223" spans="3:14" x14ac:dyDescent="0.25">
      <c r="C223" s="1"/>
      <c r="D223" s="1"/>
      <c r="E223" s="1"/>
      <c r="F223" s="1"/>
      <c r="G223" s="1"/>
      <c r="H223" s="1"/>
      <c r="I223" s="1"/>
      <c r="J223" s="1"/>
      <c r="K223" s="1"/>
      <c r="L223" s="1"/>
      <c r="M223" s="1"/>
      <c r="N223" s="1"/>
    </row>
    <row r="224" spans="3:14" x14ac:dyDescent="0.25">
      <c r="C224" s="1"/>
      <c r="D224" s="1"/>
      <c r="E224" s="1"/>
      <c r="F224" s="1"/>
      <c r="G224" s="1"/>
      <c r="H224" s="1"/>
      <c r="I224" s="1"/>
      <c r="J224" s="1"/>
      <c r="K224" s="1"/>
      <c r="L224" s="1"/>
      <c r="M224" s="1"/>
      <c r="N224" s="1"/>
    </row>
    <row r="225" spans="3:14" x14ac:dyDescent="0.25">
      <c r="C225" s="1"/>
      <c r="D225" s="1"/>
      <c r="E225" s="1"/>
      <c r="F225" s="1"/>
      <c r="G225" s="1"/>
      <c r="H225" s="1"/>
      <c r="I225" s="1"/>
      <c r="J225" s="1"/>
      <c r="K225" s="1"/>
      <c r="L225" s="1"/>
      <c r="M225" s="1"/>
      <c r="N225" s="1"/>
    </row>
    <row r="226" spans="3:14" x14ac:dyDescent="0.25">
      <c r="C226" s="1"/>
      <c r="D226" s="1"/>
      <c r="E226" s="1"/>
      <c r="F226" s="1"/>
      <c r="G226" s="1"/>
      <c r="H226" s="1"/>
      <c r="I226" s="1"/>
      <c r="J226" s="1"/>
      <c r="K226" s="1"/>
      <c r="L226" s="1"/>
      <c r="M226" s="1"/>
      <c r="N226" s="1"/>
    </row>
    <row r="227" spans="3:14" x14ac:dyDescent="0.25">
      <c r="C227" s="1"/>
      <c r="D227" s="1"/>
      <c r="E227" s="1"/>
      <c r="F227" s="1"/>
      <c r="G227" s="1"/>
      <c r="H227" s="1"/>
      <c r="I227" s="1"/>
      <c r="J227" s="1"/>
      <c r="K227" s="1"/>
      <c r="L227" s="1"/>
      <c r="M227" s="1"/>
      <c r="N227" s="1"/>
    </row>
    <row r="228" spans="3:14" x14ac:dyDescent="0.25">
      <c r="C228" s="1"/>
      <c r="D228" s="1"/>
      <c r="E228" s="1"/>
      <c r="F228" s="1"/>
      <c r="G228" s="1"/>
      <c r="H228" s="1"/>
      <c r="I228" s="1"/>
      <c r="J228" s="1"/>
      <c r="K228" s="1"/>
      <c r="L228" s="1"/>
      <c r="M228" s="1"/>
      <c r="N228" s="1"/>
    </row>
    <row r="229" spans="3:14" x14ac:dyDescent="0.25">
      <c r="C229" s="1"/>
      <c r="D229" s="1"/>
      <c r="E229" s="1"/>
      <c r="F229" s="1"/>
      <c r="G229" s="1"/>
      <c r="H229" s="1"/>
      <c r="I229" s="1"/>
      <c r="J229" s="1"/>
      <c r="K229" s="1"/>
      <c r="L229" s="1"/>
      <c r="M229" s="1"/>
      <c r="N229" s="1"/>
    </row>
    <row r="230" spans="3:14" x14ac:dyDescent="0.25">
      <c r="C230" s="1"/>
      <c r="D230" s="1"/>
      <c r="E230" s="1"/>
      <c r="F230" s="1"/>
      <c r="G230" s="1"/>
      <c r="H230" s="1"/>
      <c r="I230" s="1"/>
      <c r="J230" s="1"/>
      <c r="K230" s="1"/>
      <c r="L230" s="1"/>
      <c r="M230" s="1"/>
      <c r="N230" s="1"/>
    </row>
    <row r="231" spans="3:14" x14ac:dyDescent="0.25">
      <c r="C231" s="1"/>
      <c r="D231" s="1"/>
      <c r="E231" s="1"/>
      <c r="F231" s="1"/>
      <c r="G231" s="1"/>
      <c r="H231" s="1"/>
      <c r="I231" s="1"/>
      <c r="J231" s="1"/>
      <c r="K231" s="1"/>
      <c r="L231" s="1"/>
      <c r="M231" s="1"/>
      <c r="N231" s="1"/>
    </row>
    <row r="232" spans="3:14" x14ac:dyDescent="0.25">
      <c r="C232" s="1"/>
      <c r="D232" s="1"/>
      <c r="E232" s="1"/>
      <c r="F232" s="1"/>
      <c r="G232" s="1"/>
      <c r="H232" s="1"/>
      <c r="I232" s="1"/>
      <c r="J232" s="1"/>
      <c r="K232" s="1"/>
      <c r="L232" s="1"/>
      <c r="M232" s="1"/>
      <c r="N232" s="1"/>
    </row>
    <row r="233" spans="3:14" x14ac:dyDescent="0.25">
      <c r="C233" s="1"/>
      <c r="D233" s="1"/>
      <c r="E233" s="1"/>
      <c r="F233" s="1"/>
      <c r="G233" s="1"/>
      <c r="H233" s="1"/>
      <c r="I233" s="1"/>
      <c r="J233" s="1"/>
      <c r="K233" s="1"/>
      <c r="L233" s="1"/>
      <c r="M233" s="1"/>
      <c r="N233" s="1"/>
    </row>
    <row r="234" spans="3:14" x14ac:dyDescent="0.25">
      <c r="C234" s="1"/>
      <c r="D234" s="1"/>
      <c r="E234" s="1"/>
      <c r="F234" s="1"/>
      <c r="G234" s="1"/>
      <c r="H234" s="1"/>
      <c r="I234" s="1"/>
      <c r="J234" s="1"/>
      <c r="K234" s="1"/>
      <c r="L234" s="1"/>
      <c r="M234" s="1"/>
      <c r="N234" s="1"/>
    </row>
    <row r="235" spans="3:14" x14ac:dyDescent="0.25">
      <c r="C235" s="1"/>
      <c r="D235" s="1"/>
      <c r="E235" s="1"/>
      <c r="F235" s="1"/>
      <c r="G235" s="1"/>
      <c r="H235" s="1"/>
      <c r="I235" s="1"/>
      <c r="J235" s="1"/>
      <c r="K235" s="1"/>
      <c r="L235" s="1"/>
      <c r="M235" s="1"/>
      <c r="N235" s="1"/>
    </row>
    <row r="236" spans="3:14" x14ac:dyDescent="0.25">
      <c r="C236" s="1"/>
      <c r="D236" s="1"/>
      <c r="E236" s="1"/>
      <c r="F236" s="1"/>
      <c r="G236" s="1"/>
      <c r="H236" s="1"/>
      <c r="I236" s="1"/>
      <c r="J236" s="1"/>
      <c r="K236" s="1"/>
      <c r="L236" s="1"/>
      <c r="M236" s="1"/>
      <c r="N236" s="1"/>
    </row>
    <row r="237" spans="3:14" x14ac:dyDescent="0.25">
      <c r="C237" s="1"/>
      <c r="D237" s="1"/>
      <c r="E237" s="1"/>
      <c r="F237" s="1"/>
      <c r="G237" s="1"/>
      <c r="H237" s="1"/>
      <c r="I237" s="1"/>
      <c r="J237" s="1"/>
      <c r="K237" s="1"/>
      <c r="L237" s="1"/>
      <c r="M237" s="1"/>
      <c r="N237" s="1"/>
    </row>
    <row r="238" spans="3:14" x14ac:dyDescent="0.25">
      <c r="C238" s="1"/>
      <c r="D238" s="1"/>
      <c r="E238" s="1"/>
      <c r="F238" s="1"/>
      <c r="G238" s="1"/>
      <c r="H238" s="1"/>
      <c r="I238" s="1"/>
      <c r="J238" s="1"/>
      <c r="K238" s="1"/>
      <c r="L238" s="1"/>
      <c r="M238" s="1"/>
      <c r="N238" s="1"/>
    </row>
    <row r="239" spans="3:14" x14ac:dyDescent="0.25">
      <c r="C239" s="1"/>
      <c r="D239" s="1"/>
      <c r="E239" s="1"/>
      <c r="F239" s="1"/>
      <c r="G239" s="1"/>
      <c r="H239" s="1"/>
      <c r="I239" s="1"/>
      <c r="J239" s="1"/>
      <c r="K239" s="1"/>
      <c r="L239" s="1"/>
      <c r="M239" s="1"/>
      <c r="N239" s="1"/>
    </row>
    <row r="240" spans="3:14" x14ac:dyDescent="0.25">
      <c r="C240" s="1"/>
      <c r="D240" s="1"/>
      <c r="E240" s="1"/>
      <c r="F240" s="1"/>
      <c r="G240" s="1"/>
      <c r="H240" s="1"/>
      <c r="I240" s="1"/>
      <c r="J240" s="1"/>
      <c r="K240" s="1"/>
      <c r="L240" s="1"/>
      <c r="M240" s="1"/>
      <c r="N240" s="1"/>
    </row>
    <row r="241" spans="3:14" x14ac:dyDescent="0.25">
      <c r="C241" s="1"/>
      <c r="D241" s="1"/>
      <c r="E241" s="1"/>
      <c r="F241" s="1"/>
      <c r="G241" s="1"/>
      <c r="H241" s="1"/>
      <c r="I241" s="1"/>
      <c r="J241" s="1"/>
      <c r="K241" s="1"/>
      <c r="L241" s="1"/>
      <c r="M241" s="1"/>
      <c r="N241" s="1"/>
    </row>
    <row r="242" spans="3:14" x14ac:dyDescent="0.25">
      <c r="C242" s="1"/>
      <c r="D242" s="1"/>
      <c r="E242" s="1"/>
      <c r="F242" s="1"/>
      <c r="G242" s="1"/>
      <c r="H242" s="1"/>
      <c r="I242" s="1"/>
      <c r="J242" s="1"/>
      <c r="K242" s="1"/>
      <c r="L242" s="1"/>
      <c r="M242" s="1"/>
      <c r="N242" s="1"/>
    </row>
    <row r="243" spans="3:14" x14ac:dyDescent="0.25">
      <c r="C243" s="1"/>
      <c r="D243" s="1"/>
      <c r="E243" s="1"/>
      <c r="F243" s="1"/>
      <c r="G243" s="1"/>
      <c r="H243" s="1"/>
      <c r="I243" s="1"/>
      <c r="J243" s="1"/>
      <c r="K243" s="1"/>
      <c r="L243" s="1"/>
      <c r="M243" s="1"/>
      <c r="N243" s="1"/>
    </row>
    <row r="244" spans="3:14" x14ac:dyDescent="0.25">
      <c r="C244" s="1"/>
      <c r="D244" s="1"/>
      <c r="E244" s="1"/>
      <c r="F244" s="1"/>
      <c r="G244" s="1"/>
      <c r="H244" s="1"/>
      <c r="I244" s="1"/>
      <c r="J244" s="1"/>
      <c r="K244" s="1"/>
      <c r="L244" s="1"/>
      <c r="M244" s="1"/>
      <c r="N244" s="1"/>
    </row>
    <row r="245" spans="3:14" x14ac:dyDescent="0.25">
      <c r="C245" s="1"/>
      <c r="D245" s="1"/>
      <c r="E245" s="1"/>
      <c r="F245" s="1"/>
      <c r="G245" s="1"/>
      <c r="H245" s="1"/>
      <c r="I245" s="1"/>
      <c r="J245" s="1"/>
      <c r="K245" s="1"/>
      <c r="L245" s="1"/>
      <c r="M245" s="1"/>
      <c r="N245" s="1"/>
    </row>
    <row r="246" spans="3:14" x14ac:dyDescent="0.25">
      <c r="C246" s="1"/>
      <c r="D246" s="1"/>
      <c r="E246" s="1"/>
      <c r="F246" s="1"/>
      <c r="G246" s="1"/>
      <c r="H246" s="1"/>
      <c r="I246" s="1"/>
      <c r="J246" s="1"/>
      <c r="K246" s="1"/>
      <c r="L246" s="1"/>
      <c r="M246" s="1"/>
      <c r="N246" s="1"/>
    </row>
    <row r="247" spans="3:14" x14ac:dyDescent="0.25">
      <c r="C247" s="1"/>
      <c r="D247" s="1"/>
      <c r="E247" s="1"/>
      <c r="F247" s="1"/>
      <c r="G247" s="1"/>
      <c r="H247" s="1"/>
      <c r="I247" s="1"/>
      <c r="J247" s="1"/>
      <c r="K247" s="1"/>
      <c r="L247" s="1"/>
      <c r="M247" s="1"/>
      <c r="N247" s="1"/>
    </row>
    <row r="248" spans="3:14" x14ac:dyDescent="0.25">
      <c r="C248" s="1"/>
      <c r="D248" s="1"/>
      <c r="E248" s="1"/>
      <c r="F248" s="1"/>
      <c r="G248" s="1"/>
      <c r="H248" s="1"/>
      <c r="I248" s="1"/>
      <c r="J248" s="1"/>
      <c r="K248" s="1"/>
      <c r="L248" s="1"/>
      <c r="M248" s="1"/>
      <c r="N248" s="1"/>
    </row>
    <row r="249" spans="3:14" x14ac:dyDescent="0.25">
      <c r="C249" s="1"/>
      <c r="D249" s="1"/>
      <c r="E249" s="1"/>
      <c r="F249" s="1"/>
      <c r="G249" s="1"/>
      <c r="H249" s="1"/>
      <c r="I249" s="1"/>
      <c r="J249" s="1"/>
      <c r="K249" s="1"/>
      <c r="L249" s="1"/>
      <c r="M249" s="1"/>
      <c r="N249" s="1"/>
    </row>
    <row r="250" spans="3:14" x14ac:dyDescent="0.25">
      <c r="C250" s="1"/>
      <c r="D250" s="1"/>
      <c r="E250" s="1"/>
      <c r="F250" s="1"/>
      <c r="G250" s="1"/>
      <c r="H250" s="1"/>
      <c r="I250" s="1"/>
      <c r="J250" s="1"/>
      <c r="K250" s="1"/>
      <c r="L250" s="1"/>
      <c r="M250" s="1"/>
      <c r="N250" s="1"/>
    </row>
    <row r="251" spans="3:14" x14ac:dyDescent="0.25">
      <c r="C251" s="1"/>
      <c r="D251" s="1"/>
      <c r="E251" s="1"/>
      <c r="F251" s="1"/>
      <c r="G251" s="1"/>
      <c r="H251" s="1"/>
      <c r="I251" s="1"/>
      <c r="J251" s="1"/>
      <c r="K251" s="1"/>
      <c r="L251" s="1"/>
      <c r="M251" s="1"/>
      <c r="N251" s="1"/>
    </row>
    <row r="252" spans="3:14" x14ac:dyDescent="0.25">
      <c r="C252" s="1"/>
      <c r="D252" s="1"/>
      <c r="E252" s="1"/>
      <c r="F252" s="1"/>
      <c r="G252" s="1"/>
      <c r="H252" s="1"/>
      <c r="I252" s="1"/>
      <c r="J252" s="1"/>
      <c r="K252" s="1"/>
      <c r="L252" s="1"/>
      <c r="M252" s="1"/>
      <c r="N252" s="1"/>
    </row>
    <row r="253" spans="3:14" x14ac:dyDescent="0.25">
      <c r="C253" s="1"/>
      <c r="D253" s="1"/>
      <c r="E253" s="1"/>
      <c r="F253" s="1"/>
      <c r="G253" s="1"/>
      <c r="H253" s="1"/>
      <c r="I253" s="1"/>
      <c r="J253" s="1"/>
      <c r="K253" s="1"/>
      <c r="L253" s="1"/>
      <c r="M253" s="1"/>
      <c r="N253" s="1"/>
    </row>
    <row r="254" spans="3:14" x14ac:dyDescent="0.25">
      <c r="C254" s="1"/>
      <c r="D254" s="1"/>
      <c r="E254" s="1"/>
      <c r="F254" s="1"/>
      <c r="G254" s="1"/>
      <c r="H254" s="1"/>
      <c r="I254" s="1"/>
      <c r="J254" s="1"/>
      <c r="K254" s="1"/>
      <c r="L254" s="1"/>
      <c r="M254" s="1"/>
      <c r="N254" s="1"/>
    </row>
    <row r="255" spans="3:14" x14ac:dyDescent="0.25">
      <c r="C255" s="1"/>
      <c r="D255" s="1"/>
      <c r="E255" s="1"/>
      <c r="F255" s="1"/>
      <c r="G255" s="1"/>
      <c r="H255" s="1"/>
      <c r="I255" s="1"/>
      <c r="J255" s="1"/>
      <c r="K255" s="1"/>
      <c r="L255" s="1"/>
      <c r="M255" s="1"/>
      <c r="N255" s="1"/>
    </row>
    <row r="256" spans="3:14" x14ac:dyDescent="0.25">
      <c r="C256" s="1"/>
      <c r="D256" s="1"/>
      <c r="E256" s="1"/>
      <c r="F256" s="1"/>
      <c r="G256" s="1"/>
      <c r="H256" s="1"/>
      <c r="I256" s="1"/>
      <c r="J256" s="1"/>
      <c r="K256" s="1"/>
      <c r="L256" s="1"/>
      <c r="M256" s="1"/>
      <c r="N256" s="1"/>
    </row>
    <row r="257" spans="3:14" x14ac:dyDescent="0.25">
      <c r="C257" s="1"/>
      <c r="D257" s="1"/>
      <c r="E257" s="1"/>
      <c r="F257" s="1"/>
      <c r="G257" s="1"/>
      <c r="H257" s="1"/>
      <c r="I257" s="1"/>
      <c r="J257" s="1"/>
      <c r="K257" s="1"/>
      <c r="L257" s="1"/>
      <c r="M257" s="1"/>
      <c r="N257" s="1"/>
    </row>
    <row r="258" spans="3:14" x14ac:dyDescent="0.25">
      <c r="C258" s="1"/>
      <c r="D258" s="1"/>
      <c r="E258" s="1"/>
      <c r="F258" s="1"/>
      <c r="G258" s="1"/>
      <c r="H258" s="1"/>
      <c r="I258" s="1"/>
      <c r="J258" s="1"/>
      <c r="K258" s="1"/>
      <c r="L258" s="1"/>
      <c r="M258" s="1"/>
      <c r="N258" s="1"/>
    </row>
    <row r="259" spans="3:14" x14ac:dyDescent="0.25">
      <c r="C259" s="1"/>
      <c r="D259" s="1"/>
      <c r="E259" s="1"/>
      <c r="F259" s="1"/>
      <c r="G259" s="1"/>
      <c r="H259" s="1"/>
      <c r="I259" s="1"/>
      <c r="J259" s="1"/>
      <c r="K259" s="1"/>
      <c r="L259" s="1"/>
      <c r="M259" s="1"/>
      <c r="N259" s="1"/>
    </row>
    <row r="260" spans="3:14" x14ac:dyDescent="0.25">
      <c r="C260" s="1"/>
      <c r="D260" s="1"/>
      <c r="E260" s="1"/>
      <c r="F260" s="1"/>
      <c r="G260" s="1"/>
      <c r="H260" s="1"/>
      <c r="I260" s="1"/>
      <c r="J260" s="1"/>
      <c r="K260" s="1"/>
      <c r="L260" s="1"/>
      <c r="M260" s="1"/>
      <c r="N260" s="1"/>
    </row>
    <row r="261" spans="3:14" x14ac:dyDescent="0.25">
      <c r="C261" s="1"/>
      <c r="D261" s="1"/>
      <c r="E261" s="1"/>
      <c r="F261" s="1"/>
      <c r="G261" s="1"/>
      <c r="H261" s="1"/>
      <c r="I261" s="1"/>
      <c r="J261" s="1"/>
      <c r="K261" s="1"/>
      <c r="L261" s="1"/>
      <c r="M261" s="1"/>
      <c r="N261" s="1"/>
    </row>
    <row r="262" spans="3:14" x14ac:dyDescent="0.25">
      <c r="C262" s="1"/>
      <c r="D262" s="1"/>
      <c r="E262" s="1"/>
      <c r="F262" s="1"/>
      <c r="G262" s="1"/>
      <c r="H262" s="1"/>
      <c r="I262" s="1"/>
      <c r="J262" s="1"/>
      <c r="K262" s="1"/>
      <c r="L262" s="1"/>
      <c r="M262" s="1"/>
      <c r="N262" s="1"/>
    </row>
    <row r="263" spans="3:14" x14ac:dyDescent="0.25">
      <c r="C263" s="1"/>
      <c r="D263" s="1"/>
      <c r="E263" s="1"/>
      <c r="F263" s="1"/>
      <c r="G263" s="1"/>
      <c r="H263" s="1"/>
      <c r="I263" s="1"/>
      <c r="J263" s="1"/>
      <c r="K263" s="1"/>
      <c r="L263" s="1"/>
      <c r="M263" s="1"/>
      <c r="N263" s="1"/>
    </row>
    <row r="264" spans="3:14" x14ac:dyDescent="0.25">
      <c r="C264" s="1"/>
      <c r="D264" s="1"/>
      <c r="E264" s="1"/>
      <c r="F264" s="1"/>
      <c r="G264" s="1"/>
      <c r="H264" s="1"/>
      <c r="I264" s="1"/>
      <c r="J264" s="1"/>
      <c r="K264" s="1"/>
      <c r="L264" s="1"/>
      <c r="M264" s="1"/>
      <c r="N264" s="1"/>
    </row>
    <row r="265" spans="3:14" x14ac:dyDescent="0.25">
      <c r="C265" s="1"/>
      <c r="D265" s="1"/>
      <c r="E265" s="1"/>
      <c r="F265" s="1"/>
      <c r="G265" s="1"/>
      <c r="H265" s="1"/>
      <c r="I265" s="1"/>
      <c r="J265" s="1"/>
      <c r="K265" s="1"/>
      <c r="L265" s="1"/>
      <c r="M265" s="1"/>
      <c r="N265" s="1"/>
    </row>
    <row r="266" spans="3:14" x14ac:dyDescent="0.25">
      <c r="C266" s="1"/>
      <c r="D266" s="1"/>
      <c r="E266" s="1"/>
      <c r="F266" s="1"/>
      <c r="G266" s="1"/>
      <c r="H266" s="1"/>
      <c r="I266" s="1"/>
      <c r="J266" s="1"/>
      <c r="K266" s="1"/>
      <c r="L266" s="1"/>
      <c r="M266" s="1"/>
      <c r="N266" s="1"/>
    </row>
    <row r="267" spans="3:14" x14ac:dyDescent="0.25">
      <c r="C267" s="1"/>
      <c r="D267" s="1"/>
      <c r="E267" s="1"/>
      <c r="F267" s="1"/>
      <c r="G267" s="1"/>
      <c r="H267" s="1"/>
      <c r="I267" s="1"/>
      <c r="J267" s="1"/>
      <c r="K267" s="1"/>
      <c r="L267" s="1"/>
      <c r="M267" s="1"/>
      <c r="N267" s="1"/>
    </row>
    <row r="268" spans="3:14" x14ac:dyDescent="0.25">
      <c r="C268" s="1"/>
      <c r="D268" s="1"/>
      <c r="E268" s="1"/>
      <c r="F268" s="1"/>
      <c r="G268" s="1"/>
      <c r="H268" s="1"/>
      <c r="I268" s="1"/>
      <c r="J268" s="1"/>
      <c r="K268" s="1"/>
      <c r="L268" s="1"/>
      <c r="M268" s="1"/>
      <c r="N268" s="1"/>
    </row>
    <row r="269" spans="3:14" x14ac:dyDescent="0.25">
      <c r="C269" s="1"/>
      <c r="D269" s="1"/>
      <c r="E269" s="1"/>
      <c r="F269" s="1"/>
      <c r="G269" s="1"/>
      <c r="H269" s="1"/>
      <c r="I269" s="1"/>
      <c r="J269" s="1"/>
      <c r="K269" s="1"/>
      <c r="L269" s="1"/>
      <c r="M269" s="1"/>
      <c r="N269" s="1"/>
    </row>
    <row r="270" spans="3:14" x14ac:dyDescent="0.25">
      <c r="C270" s="1"/>
      <c r="D270" s="1"/>
      <c r="E270" s="1"/>
      <c r="F270" s="1"/>
      <c r="G270" s="1"/>
      <c r="H270" s="1"/>
      <c r="I270" s="1"/>
      <c r="J270" s="1"/>
      <c r="K270" s="1"/>
      <c r="L270" s="1"/>
      <c r="M270" s="1"/>
      <c r="N270" s="1"/>
    </row>
    <row r="271" spans="3:14" x14ac:dyDescent="0.25">
      <c r="C271" s="1"/>
      <c r="D271" s="1"/>
      <c r="E271" s="1"/>
      <c r="F271" s="1"/>
      <c r="G271" s="1"/>
      <c r="H271" s="1"/>
      <c r="I271" s="1"/>
      <c r="J271" s="1"/>
      <c r="K271" s="1"/>
      <c r="L271" s="1"/>
      <c r="M271" s="1"/>
      <c r="N271" s="1"/>
    </row>
    <row r="272" spans="3:14" x14ac:dyDescent="0.25">
      <c r="C272" s="1"/>
      <c r="D272" s="1"/>
      <c r="E272" s="1"/>
      <c r="F272" s="1"/>
      <c r="G272" s="1"/>
      <c r="H272" s="1"/>
      <c r="I272" s="1"/>
      <c r="J272" s="1"/>
      <c r="K272" s="1"/>
      <c r="L272" s="1"/>
      <c r="M272" s="1"/>
      <c r="N272" s="1"/>
    </row>
    <row r="273" spans="3:14" x14ac:dyDescent="0.25">
      <c r="C273" s="1"/>
      <c r="D273" s="1"/>
      <c r="E273" s="1"/>
      <c r="F273" s="1"/>
      <c r="G273" s="1"/>
      <c r="H273" s="1"/>
      <c r="I273" s="1"/>
      <c r="J273" s="1"/>
      <c r="K273" s="1"/>
      <c r="L273" s="1"/>
      <c r="M273" s="1"/>
      <c r="N273" s="1"/>
    </row>
    <row r="274" spans="3:14" x14ac:dyDescent="0.25">
      <c r="C274" s="1"/>
      <c r="D274" s="1"/>
      <c r="E274" s="1"/>
      <c r="F274" s="1"/>
      <c r="G274" s="1"/>
      <c r="H274" s="1"/>
      <c r="I274" s="1"/>
      <c r="J274" s="1"/>
      <c r="K274" s="1"/>
      <c r="L274" s="1"/>
      <c r="M274" s="1"/>
      <c r="N274" s="1"/>
    </row>
    <row r="275" spans="3:14" x14ac:dyDescent="0.25">
      <c r="C275" s="1"/>
      <c r="D275" s="1"/>
      <c r="E275" s="1"/>
      <c r="F275" s="1"/>
      <c r="G275" s="1"/>
      <c r="H275" s="1"/>
      <c r="I275" s="1"/>
      <c r="J275" s="1"/>
      <c r="K275" s="1"/>
      <c r="L275" s="1"/>
      <c r="M275" s="1"/>
      <c r="N275" s="1"/>
    </row>
    <row r="276" spans="3:14" x14ac:dyDescent="0.25">
      <c r="C276" s="1"/>
      <c r="D276" s="1"/>
      <c r="E276" s="1"/>
      <c r="F276" s="1"/>
      <c r="G276" s="1"/>
      <c r="H276" s="1"/>
      <c r="I276" s="1"/>
      <c r="J276" s="1"/>
      <c r="K276" s="1"/>
      <c r="L276" s="1"/>
      <c r="M276" s="1"/>
      <c r="N276" s="1"/>
    </row>
    <row r="277" spans="3:14" x14ac:dyDescent="0.25">
      <c r="C277" s="1"/>
      <c r="D277" s="1"/>
      <c r="E277" s="1"/>
      <c r="F277" s="1"/>
      <c r="G277" s="1"/>
      <c r="H277" s="1"/>
      <c r="I277" s="1"/>
      <c r="J277" s="1"/>
      <c r="K277" s="1"/>
      <c r="L277" s="1"/>
      <c r="M277" s="1"/>
      <c r="N277" s="1"/>
    </row>
    <row r="278" spans="3:14" x14ac:dyDescent="0.25">
      <c r="C278" s="1"/>
      <c r="D278" s="1"/>
      <c r="E278" s="1"/>
      <c r="F278" s="1"/>
      <c r="G278" s="1"/>
      <c r="H278" s="1"/>
      <c r="I278" s="1"/>
      <c r="J278" s="1"/>
      <c r="K278" s="1"/>
      <c r="L278" s="1"/>
      <c r="M278" s="1"/>
      <c r="N278" s="1"/>
    </row>
    <row r="279" spans="3:14" x14ac:dyDescent="0.25">
      <c r="C279" s="1"/>
      <c r="D279" s="1"/>
      <c r="E279" s="1"/>
      <c r="F279" s="1"/>
      <c r="G279" s="1"/>
      <c r="H279" s="1"/>
      <c r="I279" s="1"/>
      <c r="J279" s="1"/>
      <c r="K279" s="1"/>
      <c r="L279" s="1"/>
      <c r="M279" s="1"/>
      <c r="N279" s="1"/>
    </row>
    <row r="280" spans="3:14" x14ac:dyDescent="0.25">
      <c r="C280" s="1"/>
      <c r="D280" s="1"/>
      <c r="E280" s="1"/>
      <c r="F280" s="1"/>
      <c r="G280" s="1"/>
      <c r="H280" s="1"/>
      <c r="I280" s="1"/>
      <c r="J280" s="1"/>
      <c r="K280" s="1"/>
      <c r="L280" s="1"/>
      <c r="M280" s="1"/>
      <c r="N280" s="1"/>
    </row>
    <row r="281" spans="3:14" x14ac:dyDescent="0.25">
      <c r="C281" s="1"/>
      <c r="D281" s="1"/>
      <c r="E281" s="1"/>
      <c r="F281" s="1"/>
      <c r="G281" s="1"/>
      <c r="H281" s="1"/>
      <c r="I281" s="1"/>
      <c r="J281" s="1"/>
      <c r="K281" s="1"/>
      <c r="L281" s="1"/>
      <c r="M281" s="1"/>
      <c r="N281" s="1"/>
    </row>
    <row r="282" spans="3:14" x14ac:dyDescent="0.25">
      <c r="C282" s="1"/>
      <c r="D282" s="1"/>
      <c r="E282" s="1"/>
      <c r="F282" s="1"/>
      <c r="G282" s="1"/>
      <c r="H282" s="1"/>
      <c r="I282" s="1"/>
      <c r="J282" s="1"/>
      <c r="K282" s="1"/>
      <c r="L282" s="1"/>
      <c r="M282" s="1"/>
      <c r="N282" s="1"/>
    </row>
    <row r="283" spans="3:14" x14ac:dyDescent="0.25">
      <c r="C283" s="1"/>
      <c r="D283" s="1"/>
      <c r="E283" s="1"/>
      <c r="F283" s="1"/>
      <c r="G283" s="1"/>
      <c r="H283" s="1"/>
      <c r="I283" s="1"/>
      <c r="J283" s="1"/>
      <c r="K283" s="1"/>
      <c r="L283" s="1"/>
      <c r="M283" s="1"/>
      <c r="N283" s="1"/>
    </row>
    <row r="284" spans="3:14" x14ac:dyDescent="0.25">
      <c r="C284" s="1"/>
      <c r="D284" s="1"/>
      <c r="E284" s="1"/>
      <c r="F284" s="1"/>
      <c r="G284" s="1"/>
      <c r="H284" s="1"/>
      <c r="I284" s="1"/>
      <c r="J284" s="1"/>
      <c r="K284" s="1"/>
      <c r="L284" s="1"/>
      <c r="M284" s="1"/>
      <c r="N284" s="1"/>
    </row>
    <row r="285" spans="3:14" x14ac:dyDescent="0.25">
      <c r="C285" s="1"/>
      <c r="D285" s="1"/>
      <c r="E285" s="1"/>
      <c r="F285" s="1"/>
      <c r="G285" s="1"/>
      <c r="H285" s="1"/>
      <c r="I285" s="1"/>
      <c r="J285" s="1"/>
      <c r="K285" s="1"/>
      <c r="L285" s="1"/>
      <c r="M285" s="1"/>
      <c r="N285" s="1"/>
    </row>
    <row r="286" spans="3:14" x14ac:dyDescent="0.25">
      <c r="C286" s="1"/>
      <c r="D286" s="1"/>
      <c r="E286" s="1"/>
      <c r="F286" s="1"/>
      <c r="G286" s="1"/>
      <c r="H286" s="1"/>
      <c r="I286" s="1"/>
      <c r="J286" s="1"/>
      <c r="K286" s="1"/>
      <c r="L286" s="1"/>
      <c r="M286" s="1"/>
      <c r="N286" s="1"/>
    </row>
    <row r="287" spans="3:14" x14ac:dyDescent="0.25">
      <c r="C287" s="1"/>
      <c r="D287" s="1"/>
      <c r="E287" s="1"/>
      <c r="F287" s="1"/>
      <c r="G287" s="1"/>
      <c r="H287" s="1"/>
      <c r="I287" s="1"/>
      <c r="J287" s="1"/>
      <c r="K287" s="1"/>
      <c r="L287" s="1"/>
      <c r="M287" s="1"/>
      <c r="N287" s="1"/>
    </row>
    <row r="288" spans="3:14" x14ac:dyDescent="0.25">
      <c r="C288" s="1"/>
      <c r="D288" s="1"/>
      <c r="E288" s="1"/>
      <c r="F288" s="1"/>
      <c r="G288" s="1"/>
      <c r="H288" s="1"/>
      <c r="I288" s="1"/>
      <c r="J288" s="1"/>
      <c r="K288" s="1"/>
      <c r="L288" s="1"/>
      <c r="M288" s="1"/>
      <c r="N288" s="1"/>
    </row>
    <row r="289" spans="3:14" x14ac:dyDescent="0.25">
      <c r="C289" s="1"/>
      <c r="D289" s="1"/>
      <c r="E289" s="1"/>
      <c r="F289" s="1"/>
      <c r="G289" s="1"/>
      <c r="H289" s="1"/>
      <c r="I289" s="1"/>
      <c r="J289" s="1"/>
      <c r="K289" s="1"/>
      <c r="L289" s="1"/>
      <c r="M289" s="1"/>
      <c r="N289" s="1"/>
    </row>
    <row r="290" spans="3:14" x14ac:dyDescent="0.25">
      <c r="C290" s="1"/>
      <c r="D290" s="1"/>
      <c r="E290" s="1"/>
      <c r="F290" s="1"/>
      <c r="G290" s="1"/>
      <c r="H290" s="1"/>
      <c r="I290" s="1"/>
      <c r="J290" s="1"/>
      <c r="K290" s="1"/>
      <c r="L290" s="1"/>
      <c r="M290" s="1"/>
      <c r="N290" s="1"/>
    </row>
    <row r="291" spans="3:14" x14ac:dyDescent="0.25">
      <c r="C291" s="1"/>
      <c r="D291" s="1"/>
      <c r="E291" s="1"/>
      <c r="F291" s="1"/>
      <c r="G291" s="1"/>
      <c r="H291" s="1"/>
      <c r="I291" s="1"/>
      <c r="J291" s="1"/>
      <c r="K291" s="1"/>
      <c r="L291" s="1"/>
      <c r="M291" s="1"/>
      <c r="N291" s="1"/>
    </row>
    <row r="292" spans="3:14" x14ac:dyDescent="0.25">
      <c r="C292" s="1"/>
      <c r="D292" s="1"/>
      <c r="E292" s="1"/>
      <c r="F292" s="1"/>
      <c r="G292" s="1"/>
      <c r="H292" s="1"/>
      <c r="I292" s="1"/>
      <c r="J292" s="1"/>
      <c r="K292" s="1"/>
      <c r="L292" s="1"/>
      <c r="M292" s="1"/>
      <c r="N292" s="1"/>
    </row>
    <row r="293" spans="3:14" x14ac:dyDescent="0.25">
      <c r="C293" s="1"/>
      <c r="D293" s="1"/>
      <c r="E293" s="1"/>
      <c r="F293" s="1"/>
      <c r="G293" s="1"/>
      <c r="H293" s="1"/>
      <c r="I293" s="1"/>
      <c r="J293" s="1"/>
      <c r="K293" s="1"/>
      <c r="L293" s="1"/>
      <c r="M293" s="1"/>
      <c r="N293" s="1"/>
    </row>
    <row r="294" spans="3:14" x14ac:dyDescent="0.25">
      <c r="C294" s="1"/>
      <c r="D294" s="1"/>
      <c r="E294" s="1"/>
      <c r="F294" s="1"/>
      <c r="G294" s="1"/>
      <c r="H294" s="1"/>
      <c r="I294" s="1"/>
      <c r="J294" s="1"/>
      <c r="K294" s="1"/>
      <c r="L294" s="1"/>
      <c r="M294" s="1"/>
      <c r="N294" s="1"/>
    </row>
    <row r="295" spans="3:14" x14ac:dyDescent="0.25">
      <c r="C295" s="1"/>
      <c r="D295" s="1"/>
      <c r="E295" s="1"/>
      <c r="F295" s="1"/>
      <c r="G295" s="1"/>
      <c r="H295" s="1"/>
      <c r="I295" s="1"/>
      <c r="J295" s="1"/>
      <c r="K295" s="1"/>
      <c r="L295" s="1"/>
      <c r="M295" s="1"/>
      <c r="N295" s="1"/>
    </row>
    <row r="296" spans="3:14" x14ac:dyDescent="0.25">
      <c r="C296" s="1"/>
      <c r="D296" s="1"/>
      <c r="E296" s="1"/>
      <c r="F296" s="1"/>
      <c r="G296" s="1"/>
      <c r="H296" s="1"/>
      <c r="I296" s="1"/>
      <c r="J296" s="1"/>
      <c r="K296" s="1"/>
      <c r="L296" s="1"/>
      <c r="M296" s="1"/>
      <c r="N296" s="1"/>
    </row>
    <row r="297" spans="3:14" x14ac:dyDescent="0.25">
      <c r="C297" s="1"/>
      <c r="D297" s="1"/>
      <c r="E297" s="1"/>
      <c r="F297" s="1"/>
      <c r="G297" s="1"/>
      <c r="H297" s="1"/>
      <c r="I297" s="1"/>
      <c r="J297" s="1"/>
      <c r="K297" s="1"/>
      <c r="L297" s="1"/>
      <c r="M297" s="1"/>
      <c r="N297" s="1"/>
    </row>
    <row r="298" spans="3:14" x14ac:dyDescent="0.25">
      <c r="C298" s="1"/>
      <c r="D298" s="1"/>
      <c r="E298" s="1"/>
      <c r="F298" s="1"/>
      <c r="G298" s="1"/>
      <c r="H298" s="1"/>
      <c r="I298" s="1"/>
      <c r="J298" s="1"/>
      <c r="K298" s="1"/>
      <c r="L298" s="1"/>
      <c r="M298" s="1"/>
      <c r="N298" s="1"/>
    </row>
    <row r="299" spans="3:14" x14ac:dyDescent="0.25">
      <c r="C299" s="1"/>
      <c r="D299" s="1"/>
      <c r="E299" s="1"/>
      <c r="F299" s="1"/>
      <c r="G299" s="1"/>
      <c r="H299" s="1"/>
      <c r="I299" s="1"/>
      <c r="J299" s="1"/>
      <c r="K299" s="1"/>
      <c r="L299" s="1"/>
      <c r="M299" s="1"/>
      <c r="N299" s="1"/>
    </row>
    <row r="300" spans="3:14" x14ac:dyDescent="0.25">
      <c r="C300" s="1"/>
      <c r="D300" s="1"/>
      <c r="E300" s="1"/>
      <c r="F300" s="1"/>
      <c r="G300" s="1"/>
      <c r="H300" s="1"/>
      <c r="I300" s="1"/>
      <c r="J300" s="1"/>
      <c r="K300" s="1"/>
      <c r="L300" s="1"/>
      <c r="M300" s="1"/>
      <c r="N300" s="1"/>
    </row>
    <row r="301" spans="3:14" x14ac:dyDescent="0.25">
      <c r="C301" s="1"/>
      <c r="D301" s="1"/>
      <c r="E301" s="1"/>
      <c r="F301" s="1"/>
      <c r="G301" s="1"/>
      <c r="H301" s="1"/>
      <c r="I301" s="1"/>
      <c r="J301" s="1"/>
      <c r="K301" s="1"/>
      <c r="L301" s="1"/>
      <c r="M301" s="1"/>
      <c r="N301" s="1"/>
    </row>
    <row r="302" spans="3:14" x14ac:dyDescent="0.25">
      <c r="C302" s="1"/>
      <c r="D302" s="1"/>
      <c r="E302" s="1"/>
      <c r="F302" s="1"/>
      <c r="G302" s="1"/>
      <c r="H302" s="1"/>
      <c r="I302" s="1"/>
      <c r="J302" s="1"/>
      <c r="K302" s="1"/>
      <c r="L302" s="1"/>
      <c r="M302" s="1"/>
      <c r="N302" s="1"/>
    </row>
    <row r="303" spans="3:14" x14ac:dyDescent="0.25">
      <c r="C303" s="1"/>
      <c r="D303" s="1"/>
      <c r="E303" s="1"/>
      <c r="F303" s="1"/>
      <c r="G303" s="1"/>
      <c r="H303" s="1"/>
      <c r="I303" s="1"/>
      <c r="J303" s="1"/>
      <c r="K303" s="1"/>
      <c r="L303" s="1"/>
      <c r="M303" s="1"/>
      <c r="N303" s="1"/>
    </row>
    <row r="304" spans="3:14" x14ac:dyDescent="0.25">
      <c r="C304" s="1"/>
      <c r="D304" s="1"/>
      <c r="E304" s="1"/>
      <c r="F304" s="1"/>
      <c r="G304" s="1"/>
      <c r="H304" s="1"/>
      <c r="I304" s="1"/>
      <c r="J304" s="1"/>
      <c r="K304" s="1"/>
      <c r="L304" s="1"/>
      <c r="M304" s="1"/>
      <c r="N304" s="1"/>
    </row>
    <row r="305" spans="3:14" x14ac:dyDescent="0.25">
      <c r="C305" s="1"/>
      <c r="D305" s="1"/>
      <c r="E305" s="1"/>
      <c r="F305" s="1"/>
      <c r="G305" s="1"/>
      <c r="H305" s="1"/>
      <c r="I305" s="1"/>
      <c r="J305" s="1"/>
      <c r="K305" s="1"/>
      <c r="L305" s="1"/>
      <c r="M305" s="1"/>
      <c r="N305" s="1"/>
    </row>
    <row r="306" spans="3:14" x14ac:dyDescent="0.25">
      <c r="C306" s="1"/>
      <c r="D306" s="1"/>
      <c r="E306" s="1"/>
      <c r="F306" s="1"/>
      <c r="G306" s="1"/>
      <c r="H306" s="1"/>
      <c r="I306" s="1"/>
      <c r="J306" s="1"/>
      <c r="K306" s="1"/>
      <c r="L306" s="1"/>
      <c r="M306" s="1"/>
      <c r="N306" s="1"/>
    </row>
    <row r="307" spans="3:14" x14ac:dyDescent="0.25">
      <c r="C307" s="1"/>
      <c r="D307" s="1"/>
      <c r="E307" s="1"/>
      <c r="F307" s="1"/>
      <c r="G307" s="1"/>
      <c r="H307" s="1"/>
      <c r="I307" s="1"/>
      <c r="J307" s="1"/>
      <c r="K307" s="1"/>
      <c r="L307" s="1"/>
      <c r="M307" s="1"/>
      <c r="N307" s="1"/>
    </row>
    <row r="308" spans="3:14" x14ac:dyDescent="0.25">
      <c r="C308" s="1"/>
      <c r="D308" s="1"/>
      <c r="E308" s="1"/>
      <c r="F308" s="1"/>
      <c r="G308" s="1"/>
      <c r="H308" s="1"/>
      <c r="I308" s="1"/>
      <c r="J308" s="1"/>
      <c r="K308" s="1"/>
      <c r="L308" s="1"/>
      <c r="M308" s="1"/>
      <c r="N308" s="1"/>
    </row>
    <row r="309" spans="3:14" x14ac:dyDescent="0.25">
      <c r="C309" s="1"/>
      <c r="D309" s="1"/>
      <c r="E309" s="1"/>
      <c r="F309" s="1"/>
      <c r="G309" s="1"/>
      <c r="H309" s="1"/>
      <c r="I309" s="1"/>
      <c r="J309" s="1"/>
      <c r="K309" s="1"/>
      <c r="L309" s="1"/>
      <c r="M309" s="1"/>
      <c r="N309" s="1"/>
    </row>
    <row r="310" spans="3:14" x14ac:dyDescent="0.25">
      <c r="C310" s="1"/>
      <c r="D310" s="1"/>
      <c r="E310" s="1"/>
      <c r="F310" s="1"/>
      <c r="G310" s="1"/>
      <c r="H310" s="1"/>
      <c r="I310" s="1"/>
      <c r="J310" s="1"/>
      <c r="K310" s="1"/>
      <c r="L310" s="1"/>
      <c r="M310" s="1"/>
      <c r="N310" s="1"/>
    </row>
    <row r="311" spans="3:14" x14ac:dyDescent="0.25">
      <c r="C311" s="1"/>
      <c r="D311" s="1"/>
      <c r="E311" s="1"/>
      <c r="F311" s="1"/>
      <c r="G311" s="1"/>
      <c r="H311" s="1"/>
      <c r="I311" s="1"/>
      <c r="J311" s="1"/>
      <c r="K311" s="1"/>
      <c r="L311" s="1"/>
      <c r="M311" s="1"/>
      <c r="N311" s="1"/>
    </row>
    <row r="312" spans="3:14" x14ac:dyDescent="0.25">
      <c r="C312" s="1"/>
      <c r="D312" s="1"/>
      <c r="E312" s="1"/>
      <c r="F312" s="1"/>
      <c r="G312" s="1"/>
      <c r="H312" s="1"/>
      <c r="I312" s="1"/>
      <c r="J312" s="1"/>
      <c r="K312" s="1"/>
      <c r="L312" s="1"/>
      <c r="M312" s="1"/>
      <c r="N312" s="1"/>
    </row>
    <row r="313" spans="3:14" x14ac:dyDescent="0.25">
      <c r="C313" s="1"/>
      <c r="D313" s="1"/>
      <c r="E313" s="1"/>
      <c r="F313" s="1"/>
      <c r="G313" s="1"/>
      <c r="H313" s="1"/>
      <c r="I313" s="1"/>
      <c r="J313" s="1"/>
      <c r="K313" s="1"/>
      <c r="L313" s="1"/>
      <c r="M313" s="1"/>
      <c r="N313" s="1"/>
    </row>
    <row r="314" spans="3:14" x14ac:dyDescent="0.25">
      <c r="C314" s="1"/>
      <c r="D314" s="1"/>
      <c r="E314" s="1"/>
      <c r="F314" s="1"/>
      <c r="G314" s="1"/>
      <c r="H314" s="1"/>
      <c r="I314" s="1"/>
      <c r="J314" s="1"/>
      <c r="K314" s="1"/>
      <c r="L314" s="1"/>
      <c r="M314" s="1"/>
      <c r="N314" s="1"/>
    </row>
    <row r="315" spans="3:14" x14ac:dyDescent="0.25">
      <c r="C315" s="1"/>
      <c r="D315" s="1"/>
      <c r="E315" s="1"/>
      <c r="F315" s="1"/>
      <c r="G315" s="1"/>
      <c r="H315" s="1"/>
      <c r="I315" s="1"/>
      <c r="J315" s="1"/>
      <c r="K315" s="1"/>
      <c r="L315" s="1"/>
      <c r="M315" s="1"/>
      <c r="N315" s="1"/>
    </row>
    <row r="316" spans="3:14" x14ac:dyDescent="0.25">
      <c r="C316" s="1"/>
      <c r="D316" s="1"/>
      <c r="E316" s="1"/>
      <c r="F316" s="1"/>
      <c r="G316" s="1"/>
      <c r="H316" s="1"/>
      <c r="I316" s="1"/>
      <c r="J316" s="1"/>
      <c r="K316" s="1"/>
      <c r="L316" s="1"/>
      <c r="M316" s="1"/>
      <c r="N316" s="1"/>
    </row>
    <row r="317" spans="3:14" x14ac:dyDescent="0.25">
      <c r="C317" s="1"/>
      <c r="D317" s="1"/>
      <c r="E317" s="1"/>
      <c r="F317" s="1"/>
      <c r="G317" s="1"/>
      <c r="H317" s="1"/>
      <c r="I317" s="1"/>
      <c r="J317" s="1"/>
      <c r="K317" s="1"/>
      <c r="L317" s="1"/>
      <c r="M317" s="1"/>
      <c r="N317" s="1"/>
    </row>
    <row r="318" spans="3:14" x14ac:dyDescent="0.25">
      <c r="C318" s="1"/>
      <c r="D318" s="1"/>
      <c r="E318" s="1"/>
      <c r="F318" s="1"/>
      <c r="G318" s="1"/>
      <c r="H318" s="1"/>
      <c r="I318" s="1"/>
      <c r="J318" s="1"/>
      <c r="K318" s="1"/>
      <c r="L318" s="1"/>
      <c r="M318" s="1"/>
      <c r="N318" s="1"/>
    </row>
    <row r="319" spans="3:14" x14ac:dyDescent="0.25">
      <c r="C319" s="1"/>
      <c r="D319" s="1"/>
      <c r="E319" s="1"/>
      <c r="F319" s="1"/>
      <c r="G319" s="1"/>
      <c r="H319" s="1"/>
      <c r="I319" s="1"/>
      <c r="J319" s="1"/>
      <c r="K319" s="1"/>
      <c r="L319" s="1"/>
      <c r="M319" s="1"/>
      <c r="N319" s="1"/>
    </row>
    <row r="320" spans="3:14" x14ac:dyDescent="0.25">
      <c r="C320" s="1"/>
      <c r="D320" s="1"/>
      <c r="E320" s="1"/>
      <c r="F320" s="1"/>
      <c r="G320" s="1"/>
      <c r="H320" s="1"/>
      <c r="I320" s="1"/>
      <c r="J320" s="1"/>
      <c r="K320" s="1"/>
      <c r="L320" s="1"/>
      <c r="M320" s="1"/>
      <c r="N320" s="1"/>
    </row>
    <row r="321" spans="3:14" x14ac:dyDescent="0.25">
      <c r="C321" s="1"/>
      <c r="D321" s="1"/>
      <c r="E321" s="1"/>
      <c r="F321" s="1"/>
      <c r="G321" s="1"/>
      <c r="H321" s="1"/>
      <c r="I321" s="1"/>
      <c r="J321" s="1"/>
      <c r="K321" s="1"/>
      <c r="L321" s="1"/>
      <c r="M321" s="1"/>
      <c r="N321" s="1"/>
    </row>
    <row r="322" spans="3:14" x14ac:dyDescent="0.25">
      <c r="C322" s="1"/>
      <c r="D322" s="1"/>
      <c r="E322" s="1"/>
      <c r="F322" s="1"/>
      <c r="G322" s="1"/>
      <c r="H322" s="1"/>
      <c r="I322" s="1"/>
      <c r="J322" s="1"/>
      <c r="K322" s="1"/>
      <c r="L322" s="1"/>
      <c r="M322" s="1"/>
      <c r="N322" s="1"/>
    </row>
    <row r="323" spans="3:14" x14ac:dyDescent="0.25">
      <c r="C323" s="1"/>
      <c r="D323" s="1"/>
      <c r="E323" s="1"/>
      <c r="F323" s="1"/>
      <c r="G323" s="1"/>
      <c r="H323" s="1"/>
      <c r="I323" s="1"/>
      <c r="J323" s="1"/>
      <c r="K323" s="1"/>
      <c r="L323" s="1"/>
      <c r="M323" s="1"/>
      <c r="N323" s="1"/>
    </row>
    <row r="324" spans="3:14" x14ac:dyDescent="0.25">
      <c r="C324" s="1"/>
      <c r="D324" s="1"/>
      <c r="E324" s="1"/>
      <c r="F324" s="1"/>
      <c r="G324" s="1"/>
      <c r="H324" s="1"/>
      <c r="I324" s="1"/>
      <c r="J324" s="1"/>
      <c r="K324" s="1"/>
      <c r="L324" s="1"/>
      <c r="M324" s="1"/>
      <c r="N324" s="1"/>
    </row>
    <row r="325" spans="3:14" x14ac:dyDescent="0.25">
      <c r="C325" s="1"/>
      <c r="D325" s="1"/>
      <c r="E325" s="1"/>
      <c r="F325" s="1"/>
      <c r="G325" s="1"/>
      <c r="H325" s="1"/>
      <c r="I325" s="1"/>
      <c r="J325" s="1"/>
      <c r="K325" s="1"/>
      <c r="L325" s="1"/>
      <c r="M325" s="1"/>
      <c r="N325" s="1"/>
    </row>
    <row r="326" spans="3:14" x14ac:dyDescent="0.25">
      <c r="C326" s="1"/>
      <c r="D326" s="1"/>
      <c r="E326" s="1"/>
      <c r="F326" s="1"/>
      <c r="G326" s="1"/>
      <c r="H326" s="1"/>
      <c r="I326" s="1"/>
      <c r="J326" s="1"/>
      <c r="K326" s="1"/>
      <c r="L326" s="1"/>
      <c r="M326" s="1"/>
      <c r="N326" s="1"/>
    </row>
    <row r="327" spans="3:14" x14ac:dyDescent="0.25">
      <c r="C327" s="1"/>
      <c r="D327" s="1"/>
      <c r="E327" s="1"/>
      <c r="F327" s="1"/>
      <c r="G327" s="1"/>
      <c r="H327" s="1"/>
      <c r="I327" s="1"/>
      <c r="J327" s="1"/>
      <c r="K327" s="1"/>
      <c r="L327" s="1"/>
      <c r="M327" s="1"/>
      <c r="N327" s="1"/>
    </row>
    <row r="328" spans="3:14" x14ac:dyDescent="0.25">
      <c r="C328" s="1"/>
      <c r="D328" s="1"/>
      <c r="E328" s="1"/>
      <c r="F328" s="1"/>
      <c r="G328" s="1"/>
      <c r="H328" s="1"/>
      <c r="I328" s="1"/>
      <c r="J328" s="1"/>
      <c r="K328" s="1"/>
      <c r="L328" s="1"/>
      <c r="M328" s="1"/>
      <c r="N328" s="1"/>
    </row>
    <row r="329" spans="3:14" x14ac:dyDescent="0.25">
      <c r="C329" s="1"/>
      <c r="D329" s="1"/>
      <c r="E329" s="1"/>
      <c r="F329" s="1"/>
      <c r="G329" s="1"/>
      <c r="H329" s="1"/>
      <c r="I329" s="1"/>
      <c r="J329" s="1"/>
      <c r="K329" s="1"/>
      <c r="L329" s="1"/>
      <c r="M329" s="1"/>
      <c r="N329" s="1"/>
    </row>
    <row r="330" spans="3:14" x14ac:dyDescent="0.25">
      <c r="C330" s="1"/>
      <c r="D330" s="1"/>
      <c r="E330" s="1"/>
      <c r="F330" s="1"/>
      <c r="G330" s="1"/>
      <c r="H330" s="1"/>
      <c r="I330" s="1"/>
      <c r="J330" s="1"/>
      <c r="K330" s="1"/>
      <c r="L330" s="1"/>
      <c r="M330" s="1"/>
      <c r="N330" s="1"/>
    </row>
    <row r="331" spans="3:14" x14ac:dyDescent="0.25">
      <c r="C331" s="1"/>
      <c r="D331" s="1"/>
      <c r="E331" s="1"/>
      <c r="F331" s="1"/>
      <c r="G331" s="1"/>
      <c r="H331" s="1"/>
      <c r="I331" s="1"/>
      <c r="J331" s="1"/>
      <c r="K331" s="1"/>
      <c r="L331" s="1"/>
      <c r="M331" s="1"/>
      <c r="N331" s="1"/>
    </row>
    <row r="332" spans="3:14" x14ac:dyDescent="0.25">
      <c r="C332" s="1"/>
      <c r="D332" s="1"/>
      <c r="E332" s="1"/>
      <c r="F332" s="1"/>
      <c r="G332" s="1"/>
      <c r="H332" s="1"/>
      <c r="I332" s="1"/>
      <c r="J332" s="1"/>
      <c r="K332" s="1"/>
      <c r="L332" s="1"/>
      <c r="M332" s="1"/>
      <c r="N332" s="1"/>
    </row>
    <row r="333" spans="3:14" x14ac:dyDescent="0.25">
      <c r="C333" s="1"/>
      <c r="D333" s="1"/>
      <c r="E333" s="1"/>
      <c r="F333" s="1"/>
      <c r="G333" s="1"/>
      <c r="H333" s="1"/>
      <c r="I333" s="1"/>
      <c r="J333" s="1"/>
      <c r="K333" s="1"/>
      <c r="L333" s="1"/>
      <c r="M333" s="1"/>
      <c r="N333" s="1"/>
    </row>
    <row r="334" spans="3:14" x14ac:dyDescent="0.25">
      <c r="C334" s="1"/>
      <c r="D334" s="1"/>
      <c r="E334" s="1"/>
      <c r="F334" s="1"/>
      <c r="G334" s="1"/>
      <c r="H334" s="1"/>
      <c r="I334" s="1"/>
      <c r="J334" s="1"/>
      <c r="K334" s="1"/>
      <c r="L334" s="1"/>
      <c r="M334" s="1"/>
      <c r="N334" s="1"/>
    </row>
    <row r="335" spans="3:14" x14ac:dyDescent="0.25">
      <c r="C335" s="1"/>
      <c r="D335" s="1"/>
      <c r="E335" s="1"/>
      <c r="F335" s="1"/>
      <c r="G335" s="1"/>
      <c r="H335" s="1"/>
      <c r="I335" s="1"/>
      <c r="J335" s="1"/>
      <c r="K335" s="1"/>
      <c r="L335" s="1"/>
      <c r="M335" s="1"/>
      <c r="N335" s="1"/>
    </row>
    <row r="336" spans="3:14" x14ac:dyDescent="0.25">
      <c r="C336" s="1"/>
      <c r="D336" s="1"/>
      <c r="E336" s="1"/>
      <c r="F336" s="1"/>
      <c r="G336" s="1"/>
      <c r="H336" s="1"/>
      <c r="I336" s="1"/>
      <c r="J336" s="1"/>
      <c r="K336" s="1"/>
      <c r="L336" s="1"/>
      <c r="M336" s="1"/>
      <c r="N336" s="1"/>
    </row>
    <row r="337" spans="3:14" x14ac:dyDescent="0.25">
      <c r="C337" s="1"/>
      <c r="D337" s="1"/>
      <c r="E337" s="1"/>
      <c r="F337" s="1"/>
      <c r="G337" s="1"/>
      <c r="H337" s="1"/>
      <c r="I337" s="1"/>
      <c r="J337" s="1"/>
      <c r="K337" s="1"/>
      <c r="L337" s="1"/>
      <c r="M337" s="1"/>
      <c r="N337" s="1"/>
    </row>
    <row r="338" spans="3:14" x14ac:dyDescent="0.25">
      <c r="C338" s="1"/>
      <c r="D338" s="1"/>
      <c r="E338" s="1"/>
      <c r="F338" s="1"/>
      <c r="G338" s="1"/>
      <c r="H338" s="1"/>
      <c r="I338" s="1"/>
      <c r="J338" s="1"/>
      <c r="K338" s="1"/>
      <c r="L338" s="1"/>
      <c r="M338" s="1"/>
      <c r="N338" s="1"/>
    </row>
    <row r="339" spans="3:14" x14ac:dyDescent="0.25">
      <c r="C339" s="1"/>
      <c r="D339" s="1"/>
      <c r="E339" s="1"/>
      <c r="F339" s="1"/>
      <c r="G339" s="1"/>
      <c r="H339" s="1"/>
      <c r="I339" s="1"/>
      <c r="J339" s="1"/>
      <c r="K339" s="1"/>
      <c r="L339" s="1"/>
      <c r="M339" s="1"/>
      <c r="N339" s="1"/>
    </row>
    <row r="340" spans="3:14" x14ac:dyDescent="0.25">
      <c r="C340" s="1"/>
      <c r="D340" s="1"/>
      <c r="E340" s="1"/>
      <c r="F340" s="1"/>
      <c r="G340" s="1"/>
      <c r="H340" s="1"/>
      <c r="I340" s="1"/>
      <c r="J340" s="1"/>
      <c r="K340" s="1"/>
      <c r="L340" s="1"/>
      <c r="M340" s="1"/>
      <c r="N340" s="1"/>
    </row>
    <row r="341" spans="3:14" x14ac:dyDescent="0.25">
      <c r="C341" s="1"/>
      <c r="D341" s="1"/>
      <c r="E341" s="1"/>
      <c r="F341" s="1"/>
      <c r="G341" s="1"/>
      <c r="H341" s="1"/>
      <c r="I341" s="1"/>
      <c r="J341" s="1"/>
      <c r="K341" s="1"/>
      <c r="L341" s="1"/>
      <c r="M341" s="1"/>
      <c r="N341" s="1"/>
    </row>
    <row r="342" spans="3:14" x14ac:dyDescent="0.25">
      <c r="C342" s="1"/>
      <c r="D342" s="1"/>
      <c r="E342" s="1"/>
      <c r="F342" s="1"/>
      <c r="G342" s="1"/>
      <c r="H342" s="1"/>
      <c r="I342" s="1"/>
      <c r="J342" s="1"/>
      <c r="K342" s="1"/>
      <c r="L342" s="1"/>
      <c r="M342" s="1"/>
      <c r="N342" s="1"/>
    </row>
    <row r="343" spans="3:14" x14ac:dyDescent="0.25">
      <c r="C343" s="1"/>
      <c r="D343" s="1"/>
      <c r="E343" s="1"/>
      <c r="F343" s="1"/>
      <c r="G343" s="1"/>
      <c r="H343" s="1"/>
      <c r="I343" s="1"/>
      <c r="J343" s="1"/>
      <c r="K343" s="1"/>
      <c r="L343" s="1"/>
      <c r="M343" s="1"/>
      <c r="N343" s="1"/>
    </row>
    <row r="344" spans="3:14" x14ac:dyDescent="0.25">
      <c r="C344" s="1"/>
      <c r="D344" s="1"/>
      <c r="E344" s="1"/>
      <c r="F344" s="1"/>
      <c r="G344" s="1"/>
      <c r="H344" s="1"/>
      <c r="I344" s="1"/>
      <c r="J344" s="1"/>
      <c r="K344" s="1"/>
      <c r="L344" s="1"/>
      <c r="M344" s="1"/>
      <c r="N344" s="1"/>
    </row>
    <row r="345" spans="3:14" x14ac:dyDescent="0.25">
      <c r="C345" s="1"/>
      <c r="D345" s="1"/>
      <c r="E345" s="1"/>
      <c r="F345" s="1"/>
      <c r="G345" s="1"/>
      <c r="H345" s="1"/>
      <c r="I345" s="1"/>
      <c r="J345" s="1"/>
      <c r="K345" s="1"/>
      <c r="L345" s="1"/>
      <c r="M345" s="1"/>
      <c r="N345" s="1"/>
    </row>
    <row r="346" spans="3:14" x14ac:dyDescent="0.25">
      <c r="C346" s="1"/>
      <c r="D346" s="1"/>
      <c r="E346" s="1"/>
      <c r="F346" s="1"/>
      <c r="G346" s="1"/>
      <c r="H346" s="1"/>
      <c r="I346" s="1"/>
      <c r="J346" s="1"/>
      <c r="K346" s="1"/>
      <c r="L346" s="1"/>
      <c r="M346" s="1"/>
      <c r="N346" s="1"/>
    </row>
    <row r="347" spans="3:14" x14ac:dyDescent="0.25">
      <c r="C347" s="1"/>
      <c r="D347" s="1"/>
      <c r="E347" s="1"/>
      <c r="F347" s="1"/>
      <c r="G347" s="1"/>
      <c r="H347" s="1"/>
      <c r="I347" s="1"/>
      <c r="J347" s="1"/>
      <c r="K347" s="1"/>
      <c r="L347" s="1"/>
      <c r="M347" s="1"/>
      <c r="N347" s="1"/>
    </row>
    <row r="348" spans="3:14" x14ac:dyDescent="0.25">
      <c r="C348" s="1"/>
      <c r="D348" s="1"/>
      <c r="E348" s="1"/>
      <c r="F348" s="1"/>
      <c r="G348" s="1"/>
      <c r="H348" s="1"/>
      <c r="I348" s="1"/>
      <c r="J348" s="1"/>
      <c r="K348" s="1"/>
      <c r="L348" s="1"/>
      <c r="M348" s="1"/>
      <c r="N348" s="1"/>
    </row>
    <row r="349" spans="3:14" x14ac:dyDescent="0.25">
      <c r="C349" s="1"/>
      <c r="D349" s="1"/>
      <c r="E349" s="1"/>
      <c r="F349" s="1"/>
      <c r="G349" s="1"/>
      <c r="H349" s="1"/>
      <c r="I349" s="1"/>
      <c r="J349" s="1"/>
      <c r="K349" s="1"/>
      <c r="L349" s="1"/>
      <c r="M349" s="1"/>
      <c r="N349" s="1"/>
    </row>
    <row r="350" spans="3:14" x14ac:dyDescent="0.25">
      <c r="C350" s="1"/>
      <c r="D350" s="1"/>
      <c r="E350" s="1"/>
      <c r="F350" s="1"/>
      <c r="G350" s="1"/>
      <c r="H350" s="1"/>
      <c r="I350" s="1"/>
      <c r="J350" s="1"/>
      <c r="K350" s="1"/>
      <c r="L350" s="1"/>
      <c r="M350" s="1"/>
      <c r="N350" s="1"/>
    </row>
    <row r="351" spans="3:14" x14ac:dyDescent="0.25">
      <c r="C351" s="1"/>
      <c r="D351" s="1"/>
      <c r="E351" s="1"/>
      <c r="F351" s="1"/>
      <c r="G351" s="1"/>
      <c r="H351" s="1"/>
      <c r="I351" s="1"/>
      <c r="J351" s="1"/>
      <c r="K351" s="1"/>
      <c r="L351" s="1"/>
      <c r="M351" s="1"/>
      <c r="N351" s="1"/>
    </row>
    <row r="352" spans="3:14" x14ac:dyDescent="0.25">
      <c r="C352" s="1"/>
      <c r="D352" s="1"/>
      <c r="E352" s="1"/>
      <c r="F352" s="1"/>
      <c r="G352" s="1"/>
      <c r="H352" s="1"/>
      <c r="I352" s="1"/>
      <c r="J352" s="1"/>
      <c r="K352" s="1"/>
      <c r="L352" s="1"/>
      <c r="M352" s="1"/>
      <c r="N352" s="1"/>
    </row>
    <row r="353" spans="3:14" x14ac:dyDescent="0.25">
      <c r="C353" s="1"/>
      <c r="D353" s="1"/>
      <c r="E353" s="1"/>
      <c r="F353" s="1"/>
      <c r="G353" s="1"/>
      <c r="H353" s="1"/>
      <c r="I353" s="1"/>
      <c r="J353" s="1"/>
      <c r="K353" s="1"/>
      <c r="L353" s="1"/>
      <c r="M353" s="1"/>
      <c r="N353" s="1"/>
    </row>
    <row r="354" spans="3:14" x14ac:dyDescent="0.25">
      <c r="C354" s="1"/>
      <c r="D354" s="1"/>
      <c r="E354" s="1"/>
      <c r="F354" s="1"/>
      <c r="G354" s="1"/>
      <c r="H354" s="1"/>
      <c r="I354" s="1"/>
      <c r="J354" s="1"/>
      <c r="K354" s="1"/>
      <c r="L354" s="1"/>
      <c r="M354" s="1"/>
      <c r="N354" s="1"/>
    </row>
    <row r="355" spans="3:14" x14ac:dyDescent="0.25">
      <c r="C355" s="1"/>
      <c r="D355" s="1"/>
      <c r="E355" s="1"/>
      <c r="F355" s="1"/>
      <c r="G355" s="1"/>
      <c r="H355" s="1"/>
      <c r="I355" s="1"/>
      <c r="J355" s="1"/>
      <c r="K355" s="1"/>
      <c r="L355" s="1"/>
      <c r="M355" s="1"/>
      <c r="N355" s="1"/>
    </row>
    <row r="356" spans="3:14" x14ac:dyDescent="0.25">
      <c r="C356" s="1"/>
      <c r="D356" s="1"/>
      <c r="E356" s="1"/>
      <c r="F356" s="1"/>
      <c r="G356" s="1"/>
      <c r="H356" s="1"/>
      <c r="I356" s="1"/>
      <c r="J356" s="1"/>
      <c r="K356" s="1"/>
      <c r="L356" s="1"/>
      <c r="M356" s="1"/>
      <c r="N356" s="1"/>
    </row>
    <row r="357" spans="3:14" x14ac:dyDescent="0.25">
      <c r="C357" s="1"/>
      <c r="D357" s="1"/>
      <c r="E357" s="1"/>
      <c r="F357" s="1"/>
      <c r="G357" s="1"/>
      <c r="H357" s="1"/>
      <c r="I357" s="1"/>
      <c r="J357" s="1"/>
      <c r="K357" s="1"/>
      <c r="L357" s="1"/>
      <c r="M357" s="1"/>
      <c r="N357" s="1"/>
    </row>
    <row r="358" spans="3:14" x14ac:dyDescent="0.25">
      <c r="C358" s="1"/>
      <c r="D358" s="1"/>
      <c r="E358" s="1"/>
      <c r="F358" s="1"/>
      <c r="G358" s="1"/>
      <c r="H358" s="1"/>
      <c r="I358" s="1"/>
      <c r="J358" s="1"/>
      <c r="K358" s="1"/>
      <c r="L358" s="1"/>
      <c r="M358" s="1"/>
      <c r="N358" s="1"/>
    </row>
    <row r="359" spans="3:14" x14ac:dyDescent="0.25">
      <c r="C359" s="1"/>
      <c r="D359" s="1"/>
      <c r="E359" s="1"/>
      <c r="F359" s="1"/>
      <c r="G359" s="1"/>
      <c r="H359" s="1"/>
      <c r="I359" s="1"/>
      <c r="J359" s="1"/>
      <c r="K359" s="1"/>
      <c r="L359" s="1"/>
      <c r="M359" s="1"/>
      <c r="N359" s="1"/>
    </row>
    <row r="360" spans="3:14" x14ac:dyDescent="0.25">
      <c r="C360" s="1"/>
      <c r="D360" s="1"/>
      <c r="E360" s="1"/>
      <c r="F360" s="1"/>
      <c r="G360" s="1"/>
      <c r="H360" s="1"/>
      <c r="I360" s="1"/>
      <c r="J360" s="1"/>
      <c r="K360" s="1"/>
      <c r="L360" s="1"/>
      <c r="M360" s="1"/>
      <c r="N360" s="1"/>
    </row>
    <row r="361" spans="3:14" x14ac:dyDescent="0.25">
      <c r="C361" s="1"/>
      <c r="D361" s="1"/>
      <c r="E361" s="1"/>
      <c r="F361" s="1"/>
      <c r="G361" s="1"/>
      <c r="H361" s="1"/>
      <c r="I361" s="1"/>
      <c r="J361" s="1"/>
      <c r="K361" s="1"/>
      <c r="L361" s="1"/>
      <c r="M361" s="1"/>
      <c r="N361" s="1"/>
    </row>
    <row r="362" spans="3:14" x14ac:dyDescent="0.25">
      <c r="C362" s="1"/>
      <c r="D362" s="1"/>
      <c r="E362" s="1"/>
      <c r="F362" s="1"/>
      <c r="G362" s="1"/>
      <c r="H362" s="1"/>
      <c r="I362" s="1"/>
      <c r="J362" s="1"/>
      <c r="K362" s="1"/>
      <c r="L362" s="1"/>
      <c r="M362" s="1"/>
      <c r="N362" s="1"/>
    </row>
    <row r="363" spans="3:14" x14ac:dyDescent="0.25">
      <c r="C363" s="1"/>
      <c r="D363" s="1"/>
      <c r="E363" s="1"/>
      <c r="F363" s="1"/>
      <c r="G363" s="1"/>
      <c r="H363" s="1"/>
      <c r="I363" s="1"/>
      <c r="J363" s="1"/>
      <c r="K363" s="1"/>
      <c r="L363" s="1"/>
      <c r="M363" s="1"/>
      <c r="N363" s="1"/>
    </row>
    <row r="364" spans="3:14" x14ac:dyDescent="0.25">
      <c r="C364" s="1"/>
      <c r="D364" s="1"/>
      <c r="E364" s="1"/>
      <c r="F364" s="1"/>
      <c r="G364" s="1"/>
      <c r="H364" s="1"/>
      <c r="I364" s="1"/>
      <c r="J364" s="1"/>
      <c r="K364" s="1"/>
      <c r="L364" s="1"/>
      <c r="M364" s="1"/>
      <c r="N364" s="1"/>
    </row>
    <row r="365" spans="3:14" x14ac:dyDescent="0.25">
      <c r="C365" s="1"/>
      <c r="D365" s="1"/>
      <c r="E365" s="1"/>
      <c r="F365" s="1"/>
      <c r="G365" s="1"/>
      <c r="H365" s="1"/>
      <c r="I365" s="1"/>
      <c r="J365" s="1"/>
      <c r="K365" s="1"/>
      <c r="L365" s="1"/>
      <c r="M365" s="1"/>
      <c r="N365" s="1"/>
    </row>
    <row r="366" spans="3:14" x14ac:dyDescent="0.25">
      <c r="C366" s="1"/>
      <c r="D366" s="1"/>
      <c r="E366" s="1"/>
      <c r="F366" s="1"/>
      <c r="G366" s="1"/>
      <c r="H366" s="1"/>
      <c r="I366" s="1"/>
      <c r="J366" s="1"/>
      <c r="K366" s="1"/>
      <c r="L366" s="1"/>
      <c r="M366" s="1"/>
      <c r="N366" s="1"/>
    </row>
    <row r="367" spans="3:14" x14ac:dyDescent="0.25">
      <c r="C367" s="1"/>
      <c r="D367" s="1"/>
      <c r="E367" s="1"/>
      <c r="F367" s="1"/>
      <c r="G367" s="1"/>
      <c r="H367" s="1"/>
      <c r="I367" s="1"/>
      <c r="J367" s="1"/>
      <c r="K367" s="1"/>
      <c r="L367" s="1"/>
      <c r="M367" s="1"/>
      <c r="N367" s="1"/>
    </row>
    <row r="368" spans="3:14" x14ac:dyDescent="0.25">
      <c r="C368" s="1"/>
      <c r="D368" s="1"/>
      <c r="E368" s="1"/>
      <c r="F368" s="1"/>
      <c r="G368" s="1"/>
      <c r="H368" s="1"/>
      <c r="I368" s="1"/>
      <c r="J368" s="1"/>
      <c r="K368" s="1"/>
      <c r="L368" s="1"/>
      <c r="M368" s="1"/>
      <c r="N368" s="1"/>
    </row>
    <row r="369" spans="3:14" x14ac:dyDescent="0.25">
      <c r="C369" s="1"/>
      <c r="D369" s="1"/>
      <c r="E369" s="1"/>
      <c r="F369" s="1"/>
      <c r="G369" s="1"/>
      <c r="H369" s="1"/>
      <c r="I369" s="1"/>
      <c r="J369" s="1"/>
      <c r="K369" s="1"/>
      <c r="L369" s="1"/>
      <c r="M369" s="1"/>
      <c r="N369" s="1"/>
    </row>
    <row r="370" spans="3:14" x14ac:dyDescent="0.25">
      <c r="C370" s="1"/>
      <c r="D370" s="1"/>
      <c r="E370" s="1"/>
      <c r="F370" s="1"/>
      <c r="G370" s="1"/>
      <c r="H370" s="1"/>
      <c r="I370" s="1"/>
      <c r="J370" s="1"/>
      <c r="K370" s="1"/>
      <c r="L370" s="1"/>
      <c r="M370" s="1"/>
      <c r="N370" s="1"/>
    </row>
    <row r="371" spans="3:14" x14ac:dyDescent="0.25">
      <c r="C371" s="1"/>
      <c r="D371" s="1"/>
      <c r="E371" s="1"/>
      <c r="F371" s="1"/>
      <c r="G371" s="1"/>
      <c r="H371" s="1"/>
      <c r="I371" s="1"/>
      <c r="J371" s="1"/>
      <c r="K371" s="1"/>
      <c r="L371" s="1"/>
      <c r="M371" s="1"/>
      <c r="N371" s="1"/>
    </row>
    <row r="372" spans="3:14" x14ac:dyDescent="0.25">
      <c r="C372" s="1"/>
      <c r="D372" s="1"/>
      <c r="E372" s="1"/>
      <c r="F372" s="1"/>
      <c r="G372" s="1"/>
      <c r="H372" s="1"/>
      <c r="I372" s="1"/>
      <c r="J372" s="1"/>
      <c r="K372" s="1"/>
      <c r="L372" s="1"/>
      <c r="M372" s="1"/>
      <c r="N372" s="1"/>
    </row>
    <row r="373" spans="3:14" x14ac:dyDescent="0.25">
      <c r="C373" s="1"/>
      <c r="D373" s="1"/>
      <c r="E373" s="1"/>
      <c r="F373" s="1"/>
      <c r="G373" s="1"/>
      <c r="H373" s="1"/>
      <c r="I373" s="1"/>
      <c r="J373" s="1"/>
      <c r="K373" s="1"/>
      <c r="L373" s="1"/>
      <c r="M373" s="1"/>
      <c r="N373" s="1"/>
    </row>
    <row r="374" spans="3:14" x14ac:dyDescent="0.25">
      <c r="C374" s="1"/>
      <c r="D374" s="1"/>
      <c r="E374" s="1"/>
      <c r="F374" s="1"/>
      <c r="G374" s="1"/>
      <c r="H374" s="1"/>
      <c r="I374" s="1"/>
      <c r="J374" s="1"/>
      <c r="K374" s="1"/>
      <c r="L374" s="1"/>
      <c r="M374" s="1"/>
      <c r="N374" s="1"/>
    </row>
    <row r="375" spans="3:14" x14ac:dyDescent="0.25">
      <c r="C375" s="1"/>
      <c r="D375" s="1"/>
      <c r="E375" s="1"/>
      <c r="F375" s="1"/>
      <c r="G375" s="1"/>
      <c r="H375" s="1"/>
      <c r="I375" s="1"/>
      <c r="J375" s="1"/>
      <c r="K375" s="1"/>
      <c r="L375" s="1"/>
      <c r="M375" s="1"/>
      <c r="N375" s="1"/>
    </row>
    <row r="376" spans="3:14" x14ac:dyDescent="0.25">
      <c r="C376" s="1"/>
      <c r="D376" s="1"/>
      <c r="E376" s="1"/>
      <c r="F376" s="1"/>
      <c r="G376" s="1"/>
      <c r="H376" s="1"/>
      <c r="I376" s="1"/>
      <c r="J376" s="1"/>
      <c r="K376" s="1"/>
      <c r="L376" s="1"/>
      <c r="M376" s="1"/>
      <c r="N376" s="1"/>
    </row>
    <row r="377" spans="3:14" x14ac:dyDescent="0.25">
      <c r="C377" s="1"/>
      <c r="D377" s="1"/>
      <c r="E377" s="1"/>
      <c r="F377" s="1"/>
      <c r="G377" s="1"/>
      <c r="H377" s="1"/>
      <c r="I377" s="1"/>
      <c r="J377" s="1"/>
      <c r="K377" s="1"/>
      <c r="L377" s="1"/>
      <c r="M377" s="1"/>
      <c r="N377" s="1"/>
    </row>
    <row r="378" spans="3:14" x14ac:dyDescent="0.25">
      <c r="C378" s="1"/>
      <c r="D378" s="1"/>
      <c r="E378" s="1"/>
      <c r="F378" s="1"/>
      <c r="G378" s="1"/>
      <c r="H378" s="1"/>
      <c r="I378" s="1"/>
      <c r="J378" s="1"/>
      <c r="K378" s="1"/>
      <c r="L378" s="1"/>
      <c r="M378" s="1"/>
      <c r="N378" s="1"/>
    </row>
    <row r="379" spans="3:14" x14ac:dyDescent="0.25">
      <c r="C379" s="1"/>
      <c r="D379" s="1"/>
      <c r="E379" s="1"/>
      <c r="F379" s="1"/>
      <c r="G379" s="1"/>
      <c r="H379" s="1"/>
      <c r="I379" s="1"/>
      <c r="J379" s="1"/>
      <c r="K379" s="1"/>
      <c r="L379" s="1"/>
      <c r="M379" s="1"/>
      <c r="N379" s="1"/>
    </row>
    <row r="380" spans="3:14" x14ac:dyDescent="0.25">
      <c r="C380" s="1"/>
      <c r="D380" s="1"/>
      <c r="E380" s="1"/>
      <c r="F380" s="1"/>
      <c r="G380" s="1"/>
      <c r="H380" s="1"/>
      <c r="I380" s="1"/>
      <c r="J380" s="1"/>
      <c r="K380" s="1"/>
      <c r="L380" s="1"/>
      <c r="M380" s="1"/>
      <c r="N380" s="1"/>
    </row>
    <row r="381" spans="3:14" x14ac:dyDescent="0.25">
      <c r="C381" s="1"/>
      <c r="D381" s="1"/>
      <c r="E381" s="1"/>
      <c r="F381" s="1"/>
      <c r="G381" s="1"/>
      <c r="H381" s="1"/>
      <c r="I381" s="1"/>
      <c r="J381" s="1"/>
      <c r="K381" s="1"/>
      <c r="L381" s="1"/>
      <c r="M381" s="1"/>
      <c r="N381" s="1"/>
    </row>
    <row r="382" spans="3:14" x14ac:dyDescent="0.25">
      <c r="C382" s="1"/>
      <c r="D382" s="1"/>
      <c r="E382" s="1"/>
      <c r="F382" s="1"/>
      <c r="G382" s="1"/>
      <c r="H382" s="1"/>
      <c r="I382" s="1"/>
      <c r="J382" s="1"/>
      <c r="K382" s="1"/>
      <c r="L382" s="1"/>
      <c r="M382" s="1"/>
      <c r="N382" s="1"/>
    </row>
    <row r="383" spans="3:14" x14ac:dyDescent="0.25">
      <c r="C383" s="1"/>
      <c r="D383" s="1"/>
      <c r="E383" s="1"/>
      <c r="F383" s="1"/>
      <c r="G383" s="1"/>
      <c r="H383" s="1"/>
      <c r="I383" s="1"/>
      <c r="J383" s="1"/>
      <c r="K383" s="1"/>
      <c r="L383" s="1"/>
      <c r="M383" s="1"/>
      <c r="N383" s="1"/>
    </row>
    <row r="384" spans="3:14" x14ac:dyDescent="0.25">
      <c r="C384" s="1"/>
      <c r="D384" s="1"/>
      <c r="E384" s="1"/>
      <c r="F384" s="1"/>
      <c r="G384" s="1"/>
      <c r="H384" s="1"/>
      <c r="I384" s="1"/>
      <c r="J384" s="1"/>
      <c r="K384" s="1"/>
      <c r="L384" s="1"/>
      <c r="M384" s="1"/>
      <c r="N384" s="1"/>
    </row>
    <row r="385" spans="3:14" x14ac:dyDescent="0.25">
      <c r="C385" s="1"/>
      <c r="D385" s="1"/>
      <c r="E385" s="1"/>
      <c r="F385" s="1"/>
      <c r="G385" s="1"/>
      <c r="H385" s="1"/>
      <c r="I385" s="1"/>
      <c r="J385" s="1"/>
      <c r="K385" s="1"/>
      <c r="L385" s="1"/>
      <c r="M385" s="1"/>
      <c r="N385" s="1"/>
    </row>
    <row r="386" spans="3:14" x14ac:dyDescent="0.25">
      <c r="C386" s="1"/>
      <c r="D386" s="1"/>
      <c r="E386" s="1"/>
      <c r="F386" s="1"/>
      <c r="G386" s="1"/>
      <c r="H386" s="1"/>
      <c r="I386" s="1"/>
      <c r="J386" s="1"/>
      <c r="K386" s="1"/>
      <c r="L386" s="1"/>
      <c r="M386" s="1"/>
      <c r="N386" s="1"/>
    </row>
    <row r="387" spans="3:14" x14ac:dyDescent="0.25">
      <c r="C387" s="1"/>
      <c r="D387" s="1"/>
      <c r="E387" s="1"/>
      <c r="F387" s="1"/>
      <c r="G387" s="1"/>
      <c r="H387" s="1"/>
      <c r="I387" s="1"/>
      <c r="J387" s="1"/>
      <c r="K387" s="1"/>
      <c r="L387" s="1"/>
      <c r="M387" s="1"/>
      <c r="N387" s="1"/>
    </row>
    <row r="388" spans="3:14" x14ac:dyDescent="0.25">
      <c r="C388" s="1"/>
      <c r="D388" s="1"/>
      <c r="E388" s="1"/>
      <c r="F388" s="1"/>
      <c r="G388" s="1"/>
      <c r="H388" s="1"/>
      <c r="I388" s="1"/>
      <c r="J388" s="1"/>
      <c r="K388" s="1"/>
      <c r="L388" s="1"/>
      <c r="M388" s="1"/>
      <c r="N388" s="1"/>
    </row>
    <row r="389" spans="3:14" x14ac:dyDescent="0.25">
      <c r="C389" s="1"/>
      <c r="D389" s="1"/>
      <c r="E389" s="1"/>
      <c r="F389" s="1"/>
      <c r="G389" s="1"/>
      <c r="H389" s="1"/>
      <c r="I389" s="1"/>
      <c r="J389" s="1"/>
      <c r="K389" s="1"/>
      <c r="L389" s="1"/>
      <c r="M389" s="1"/>
      <c r="N389" s="1"/>
    </row>
    <row r="390" spans="3:14" x14ac:dyDescent="0.25">
      <c r="C390" s="1"/>
      <c r="D390" s="1"/>
      <c r="E390" s="1"/>
      <c r="F390" s="1"/>
      <c r="G390" s="1"/>
      <c r="H390" s="1"/>
      <c r="I390" s="1"/>
      <c r="J390" s="1"/>
      <c r="K390" s="1"/>
      <c r="L390" s="1"/>
      <c r="M390" s="1"/>
      <c r="N390" s="1"/>
    </row>
    <row r="391" spans="3:14" x14ac:dyDescent="0.25">
      <c r="C391" s="1"/>
      <c r="D391" s="1"/>
      <c r="E391" s="1"/>
      <c r="F391" s="1"/>
      <c r="G391" s="1"/>
      <c r="H391" s="1"/>
      <c r="I391" s="1"/>
      <c r="J391" s="1"/>
      <c r="K391" s="1"/>
      <c r="L391" s="1"/>
      <c r="M391" s="1"/>
      <c r="N391" s="1"/>
    </row>
    <row r="392" spans="3:14" x14ac:dyDescent="0.25">
      <c r="C392" s="1"/>
      <c r="D392" s="1"/>
      <c r="E392" s="1"/>
      <c r="F392" s="1"/>
      <c r="G392" s="1"/>
      <c r="H392" s="1"/>
      <c r="I392" s="1"/>
      <c r="J392" s="1"/>
      <c r="K392" s="1"/>
      <c r="L392" s="1"/>
      <c r="M392" s="1"/>
      <c r="N392" s="1"/>
    </row>
    <row r="393" spans="3:14" x14ac:dyDescent="0.25">
      <c r="C393" s="1"/>
      <c r="D393" s="1"/>
      <c r="E393" s="1"/>
      <c r="F393" s="1"/>
      <c r="G393" s="1"/>
      <c r="H393" s="1"/>
      <c r="I393" s="1"/>
      <c r="J393" s="1"/>
      <c r="K393" s="1"/>
      <c r="L393" s="1"/>
      <c r="M393" s="1"/>
      <c r="N393" s="1"/>
    </row>
    <row r="394" spans="3:14" x14ac:dyDescent="0.25">
      <c r="C394" s="1"/>
      <c r="D394" s="1"/>
      <c r="E394" s="1"/>
      <c r="F394" s="1"/>
      <c r="G394" s="1"/>
      <c r="H394" s="1"/>
      <c r="I394" s="1"/>
      <c r="J394" s="1"/>
      <c r="K394" s="1"/>
      <c r="L394" s="1"/>
      <c r="M394" s="1"/>
      <c r="N394" s="1"/>
    </row>
    <row r="395" spans="3:14" x14ac:dyDescent="0.25">
      <c r="C395" s="1"/>
      <c r="D395" s="1"/>
      <c r="E395" s="1"/>
      <c r="F395" s="1"/>
      <c r="G395" s="1"/>
      <c r="H395" s="1"/>
      <c r="I395" s="1"/>
      <c r="J395" s="1"/>
      <c r="K395" s="1"/>
      <c r="L395" s="1"/>
      <c r="M395" s="1"/>
      <c r="N395" s="1"/>
    </row>
    <row r="396" spans="3:14" x14ac:dyDescent="0.25">
      <c r="C396" s="1"/>
      <c r="D396" s="1"/>
      <c r="E396" s="1"/>
      <c r="F396" s="1"/>
      <c r="G396" s="1"/>
      <c r="H396" s="1"/>
      <c r="I396" s="1"/>
      <c r="J396" s="1"/>
      <c r="K396" s="1"/>
      <c r="L396" s="1"/>
      <c r="M396" s="1"/>
      <c r="N396" s="1"/>
    </row>
    <row r="397" spans="3:14" x14ac:dyDescent="0.25">
      <c r="C397" s="1"/>
      <c r="D397" s="1"/>
      <c r="E397" s="1"/>
      <c r="F397" s="1"/>
      <c r="G397" s="1"/>
      <c r="H397" s="1"/>
      <c r="I397" s="1"/>
      <c r="J397" s="1"/>
      <c r="K397" s="1"/>
      <c r="L397" s="1"/>
      <c r="M397" s="1"/>
      <c r="N397" s="1"/>
    </row>
    <row r="398" spans="3:14" x14ac:dyDescent="0.25">
      <c r="C398" s="1"/>
      <c r="D398" s="1"/>
      <c r="E398" s="1"/>
      <c r="F398" s="1"/>
      <c r="G398" s="1"/>
      <c r="H398" s="1"/>
      <c r="I398" s="1"/>
      <c r="J398" s="1"/>
      <c r="K398" s="1"/>
      <c r="L398" s="1"/>
      <c r="M398" s="1"/>
      <c r="N398" s="1"/>
    </row>
    <row r="399" spans="3:14" x14ac:dyDescent="0.25">
      <c r="C399" s="1"/>
      <c r="D399" s="1"/>
      <c r="E399" s="1"/>
      <c r="F399" s="1"/>
      <c r="G399" s="1"/>
      <c r="H399" s="1"/>
      <c r="I399" s="1"/>
      <c r="J399" s="1"/>
      <c r="K399" s="1"/>
      <c r="L399" s="1"/>
      <c r="M399" s="1"/>
      <c r="N399" s="1"/>
    </row>
    <row r="400" spans="3:14" x14ac:dyDescent="0.25">
      <c r="C400" s="1"/>
      <c r="D400" s="1"/>
      <c r="E400" s="1"/>
      <c r="F400" s="1"/>
      <c r="G400" s="1"/>
      <c r="H400" s="1"/>
      <c r="I400" s="1"/>
      <c r="J400" s="1"/>
      <c r="K400" s="1"/>
      <c r="L400" s="1"/>
      <c r="M400" s="1"/>
      <c r="N400" s="1"/>
    </row>
    <row r="401" spans="3:14" x14ac:dyDescent="0.25">
      <c r="C401" s="1"/>
      <c r="D401" s="1"/>
      <c r="E401" s="1"/>
      <c r="F401" s="1"/>
      <c r="G401" s="1"/>
      <c r="H401" s="1"/>
      <c r="I401" s="1"/>
      <c r="J401" s="1"/>
      <c r="K401" s="1"/>
      <c r="L401" s="1"/>
      <c r="M401" s="1"/>
      <c r="N401" s="1"/>
    </row>
    <row r="402" spans="3:14" x14ac:dyDescent="0.25">
      <c r="C402" s="1"/>
      <c r="D402" s="1"/>
      <c r="E402" s="1"/>
      <c r="F402" s="1"/>
      <c r="G402" s="1"/>
      <c r="H402" s="1"/>
      <c r="I402" s="1"/>
      <c r="J402" s="1"/>
      <c r="K402" s="1"/>
      <c r="L402" s="1"/>
      <c r="M402" s="1"/>
      <c r="N402" s="1"/>
    </row>
    <row r="403" spans="3:14" x14ac:dyDescent="0.25">
      <c r="C403" s="1"/>
      <c r="D403" s="1"/>
      <c r="E403" s="1"/>
      <c r="F403" s="1"/>
      <c r="G403" s="1"/>
      <c r="H403" s="1"/>
      <c r="I403" s="1"/>
      <c r="J403" s="1"/>
      <c r="K403" s="1"/>
      <c r="L403" s="1"/>
      <c r="M403" s="1"/>
      <c r="N403" s="1"/>
    </row>
    <row r="404" spans="3:14" x14ac:dyDescent="0.25">
      <c r="C404" s="1"/>
      <c r="D404" s="1"/>
      <c r="E404" s="1"/>
      <c r="F404" s="1"/>
      <c r="G404" s="1"/>
      <c r="H404" s="1"/>
      <c r="I404" s="1"/>
      <c r="J404" s="1"/>
      <c r="K404" s="1"/>
      <c r="L404" s="1"/>
      <c r="M404" s="1"/>
      <c r="N404" s="1"/>
    </row>
    <row r="405" spans="3:14" x14ac:dyDescent="0.25">
      <c r="C405" s="1"/>
      <c r="D405" s="1"/>
      <c r="E405" s="1"/>
      <c r="F405" s="1"/>
      <c r="G405" s="1"/>
      <c r="H405" s="1"/>
      <c r="I405" s="1"/>
      <c r="J405" s="1"/>
      <c r="K405" s="1"/>
      <c r="L405" s="1"/>
      <c r="M405" s="1"/>
      <c r="N405" s="1"/>
    </row>
    <row r="406" spans="3:14" x14ac:dyDescent="0.25">
      <c r="C406" s="1"/>
      <c r="D406" s="1"/>
      <c r="E406" s="1"/>
      <c r="F406" s="1"/>
      <c r="G406" s="1"/>
      <c r="H406" s="1"/>
      <c r="I406" s="1"/>
      <c r="J406" s="1"/>
      <c r="K406" s="1"/>
      <c r="L406" s="1"/>
      <c r="M406" s="1"/>
      <c r="N406" s="1"/>
    </row>
    <row r="407" spans="3:14" x14ac:dyDescent="0.25">
      <c r="C407" s="1"/>
      <c r="D407" s="1"/>
      <c r="E407" s="1"/>
      <c r="F407" s="1"/>
      <c r="G407" s="1"/>
      <c r="H407" s="1"/>
      <c r="I407" s="1"/>
      <c r="J407" s="1"/>
      <c r="K407" s="1"/>
      <c r="L407" s="1"/>
      <c r="M407" s="1"/>
      <c r="N407" s="1"/>
    </row>
    <row r="408" spans="3:14" x14ac:dyDescent="0.25">
      <c r="C408" s="1"/>
      <c r="D408" s="1"/>
      <c r="E408" s="1"/>
      <c r="F408" s="1"/>
      <c r="G408" s="1"/>
      <c r="H408" s="1"/>
      <c r="I408" s="1"/>
      <c r="J408" s="1"/>
      <c r="K408" s="1"/>
      <c r="L408" s="1"/>
      <c r="M408" s="1"/>
      <c r="N408" s="1"/>
    </row>
    <row r="409" spans="3:14" x14ac:dyDescent="0.25">
      <c r="C409" s="1"/>
      <c r="D409" s="1"/>
      <c r="E409" s="1"/>
      <c r="F409" s="1"/>
      <c r="G409" s="1"/>
      <c r="H409" s="1"/>
      <c r="I409" s="1"/>
      <c r="J409" s="1"/>
      <c r="K409" s="1"/>
      <c r="L409" s="1"/>
      <c r="M409" s="1"/>
      <c r="N409" s="1"/>
    </row>
    <row r="410" spans="3:14" x14ac:dyDescent="0.25">
      <c r="C410" s="1"/>
      <c r="D410" s="1"/>
      <c r="E410" s="1"/>
      <c r="F410" s="1"/>
      <c r="G410" s="1"/>
      <c r="H410" s="1"/>
      <c r="I410" s="1"/>
      <c r="J410" s="1"/>
      <c r="K410" s="1"/>
      <c r="L410" s="1"/>
      <c r="M410" s="1"/>
      <c r="N410" s="1"/>
    </row>
    <row r="411" spans="3:14" x14ac:dyDescent="0.25">
      <c r="C411" s="1"/>
      <c r="D411" s="1"/>
      <c r="E411" s="1"/>
      <c r="F411" s="1"/>
      <c r="G411" s="1"/>
      <c r="H411" s="1"/>
      <c r="I411" s="1"/>
      <c r="J411" s="1"/>
      <c r="K411" s="1"/>
      <c r="L411" s="1"/>
      <c r="M411" s="1"/>
      <c r="N411" s="1"/>
    </row>
    <row r="412" spans="3:14" x14ac:dyDescent="0.25">
      <c r="C412" s="1"/>
      <c r="D412" s="1"/>
      <c r="E412" s="1"/>
      <c r="F412" s="1"/>
      <c r="G412" s="1"/>
      <c r="H412" s="1"/>
      <c r="I412" s="1"/>
      <c r="J412" s="1"/>
      <c r="K412" s="1"/>
      <c r="L412" s="1"/>
      <c r="M412" s="1"/>
      <c r="N412" s="1"/>
    </row>
    <row r="413" spans="3:14" x14ac:dyDescent="0.25">
      <c r="C413" s="1"/>
      <c r="D413" s="1"/>
      <c r="E413" s="1"/>
      <c r="F413" s="1"/>
      <c r="G413" s="1"/>
      <c r="H413" s="1"/>
      <c r="I413" s="1"/>
      <c r="J413" s="1"/>
      <c r="K413" s="1"/>
      <c r="L413" s="1"/>
      <c r="M413" s="1"/>
      <c r="N413" s="1"/>
    </row>
    <row r="414" spans="3:14" x14ac:dyDescent="0.25">
      <c r="C414" s="1"/>
      <c r="D414" s="1"/>
      <c r="E414" s="1"/>
      <c r="F414" s="1"/>
      <c r="G414" s="1"/>
      <c r="H414" s="1"/>
      <c r="I414" s="1"/>
      <c r="J414" s="1"/>
      <c r="K414" s="1"/>
      <c r="L414" s="1"/>
      <c r="M414" s="1"/>
      <c r="N414" s="1"/>
    </row>
    <row r="415" spans="3:14" x14ac:dyDescent="0.25">
      <c r="C415" s="1"/>
      <c r="D415" s="1"/>
      <c r="E415" s="1"/>
      <c r="F415" s="1"/>
      <c r="G415" s="1"/>
      <c r="H415" s="1"/>
      <c r="I415" s="1"/>
      <c r="J415" s="1"/>
      <c r="K415" s="1"/>
      <c r="L415" s="1"/>
      <c r="M415" s="1"/>
      <c r="N415" s="1"/>
    </row>
    <row r="416" spans="3:14" x14ac:dyDescent="0.25">
      <c r="C416" s="1"/>
      <c r="D416" s="1"/>
      <c r="E416" s="1"/>
      <c r="F416" s="1"/>
      <c r="G416" s="1"/>
      <c r="H416" s="1"/>
      <c r="I416" s="1"/>
      <c r="J416" s="1"/>
      <c r="K416" s="1"/>
      <c r="L416" s="1"/>
      <c r="M416" s="1"/>
      <c r="N416" s="1"/>
    </row>
    <row r="417" spans="3:14" x14ac:dyDescent="0.25">
      <c r="C417" s="1"/>
      <c r="D417" s="1"/>
      <c r="E417" s="1"/>
      <c r="F417" s="1"/>
      <c r="G417" s="1"/>
      <c r="H417" s="1"/>
      <c r="I417" s="1"/>
      <c r="J417" s="1"/>
      <c r="K417" s="1"/>
      <c r="L417" s="1"/>
      <c r="M417" s="1"/>
      <c r="N417" s="1"/>
    </row>
    <row r="418" spans="3:14" x14ac:dyDescent="0.25">
      <c r="C418" s="1"/>
      <c r="D418" s="1"/>
      <c r="E418" s="1"/>
      <c r="F418" s="1"/>
      <c r="G418" s="1"/>
      <c r="H418" s="1"/>
      <c r="I418" s="1"/>
      <c r="J418" s="1"/>
      <c r="K418" s="1"/>
      <c r="L418" s="1"/>
      <c r="M418" s="1"/>
      <c r="N418" s="1"/>
    </row>
    <row r="419" spans="3:14" x14ac:dyDescent="0.25">
      <c r="C419" s="1"/>
      <c r="D419" s="1"/>
      <c r="E419" s="1"/>
      <c r="F419" s="1"/>
      <c r="G419" s="1"/>
      <c r="H419" s="1"/>
      <c r="I419" s="1"/>
      <c r="J419" s="1"/>
      <c r="K419" s="1"/>
      <c r="L419" s="1"/>
      <c r="M419" s="1"/>
      <c r="N419" s="1"/>
    </row>
    <row r="420" spans="3:14" x14ac:dyDescent="0.25">
      <c r="C420" s="1"/>
      <c r="D420" s="1"/>
      <c r="E420" s="1"/>
      <c r="F420" s="1"/>
      <c r="G420" s="1"/>
      <c r="H420" s="1"/>
      <c r="I420" s="1"/>
      <c r="J420" s="1"/>
      <c r="K420" s="1"/>
      <c r="L420" s="1"/>
      <c r="M420" s="1"/>
      <c r="N420" s="1"/>
    </row>
    <row r="421" spans="3:14" x14ac:dyDescent="0.25">
      <c r="C421" s="1"/>
      <c r="D421" s="1"/>
      <c r="E421" s="1"/>
      <c r="F421" s="1"/>
      <c r="G421" s="1"/>
      <c r="H421" s="1"/>
      <c r="I421" s="1"/>
      <c r="J421" s="1"/>
      <c r="K421" s="1"/>
      <c r="L421" s="1"/>
      <c r="M421" s="1"/>
      <c r="N421" s="1"/>
    </row>
    <row r="422" spans="3:14" x14ac:dyDescent="0.25">
      <c r="C422" s="1"/>
      <c r="D422" s="1"/>
      <c r="E422" s="1"/>
      <c r="F422" s="1"/>
      <c r="G422" s="1"/>
      <c r="H422" s="1"/>
      <c r="I422" s="1"/>
      <c r="J422" s="1"/>
      <c r="K422" s="1"/>
      <c r="L422" s="1"/>
      <c r="M422" s="1"/>
      <c r="N422" s="1"/>
    </row>
    <row r="423" spans="3:14" x14ac:dyDescent="0.25">
      <c r="C423" s="1"/>
      <c r="D423" s="1"/>
      <c r="E423" s="1"/>
      <c r="F423" s="1"/>
      <c r="G423" s="1"/>
      <c r="H423" s="1"/>
      <c r="I423" s="1"/>
      <c r="J423" s="1"/>
      <c r="K423" s="1"/>
      <c r="L423" s="1"/>
      <c r="M423" s="1"/>
      <c r="N423" s="1"/>
    </row>
    <row r="424" spans="3:14" x14ac:dyDescent="0.25">
      <c r="C424" s="1"/>
      <c r="D424" s="1"/>
      <c r="E424" s="1"/>
      <c r="F424" s="1"/>
      <c r="G424" s="1"/>
      <c r="H424" s="1"/>
      <c r="I424" s="1"/>
      <c r="J424" s="1"/>
      <c r="K424" s="1"/>
      <c r="L424" s="1"/>
      <c r="M424" s="1"/>
      <c r="N424" s="1"/>
    </row>
    <row r="425" spans="3:14" x14ac:dyDescent="0.25">
      <c r="C425" s="1"/>
      <c r="D425" s="1"/>
      <c r="E425" s="1"/>
      <c r="F425" s="1"/>
      <c r="G425" s="1"/>
      <c r="H425" s="1"/>
      <c r="I425" s="1"/>
      <c r="J425" s="1"/>
      <c r="K425" s="1"/>
      <c r="L425" s="1"/>
      <c r="M425" s="1"/>
      <c r="N425" s="1"/>
    </row>
    <row r="426" spans="3:14" x14ac:dyDescent="0.25">
      <c r="C426" s="1"/>
      <c r="D426" s="1"/>
      <c r="E426" s="1"/>
      <c r="F426" s="1"/>
      <c r="G426" s="1"/>
      <c r="H426" s="1"/>
      <c r="I426" s="1"/>
      <c r="J426" s="1"/>
      <c r="K426" s="1"/>
      <c r="L426" s="1"/>
      <c r="M426" s="1"/>
      <c r="N426" s="1"/>
    </row>
    <row r="427" spans="3:14" x14ac:dyDescent="0.25">
      <c r="C427" s="1"/>
      <c r="D427" s="1"/>
      <c r="E427" s="1"/>
      <c r="F427" s="1"/>
      <c r="G427" s="1"/>
      <c r="H427" s="1"/>
      <c r="I427" s="1"/>
      <c r="J427" s="1"/>
      <c r="K427" s="1"/>
      <c r="L427" s="1"/>
      <c r="M427" s="1"/>
      <c r="N427" s="1"/>
    </row>
    <row r="428" spans="3:14" x14ac:dyDescent="0.25">
      <c r="C428" s="1"/>
      <c r="D428" s="1"/>
      <c r="E428" s="1"/>
      <c r="F428" s="1"/>
      <c r="G428" s="1"/>
      <c r="H428" s="1"/>
      <c r="I428" s="1"/>
      <c r="J428" s="1"/>
      <c r="K428" s="1"/>
      <c r="L428" s="1"/>
      <c r="M428" s="1"/>
      <c r="N428" s="1"/>
    </row>
    <row r="429" spans="3:14" x14ac:dyDescent="0.25">
      <c r="C429" s="1"/>
      <c r="D429" s="1"/>
      <c r="E429" s="1"/>
      <c r="F429" s="1"/>
      <c r="G429" s="1"/>
      <c r="H429" s="1"/>
      <c r="I429" s="1"/>
      <c r="J429" s="1"/>
      <c r="K429" s="1"/>
      <c r="L429" s="1"/>
      <c r="M429" s="1"/>
      <c r="N429" s="1"/>
    </row>
    <row r="430" spans="3:14" x14ac:dyDescent="0.25">
      <c r="C430" s="1"/>
      <c r="D430" s="1"/>
      <c r="E430" s="1"/>
      <c r="F430" s="1"/>
      <c r="G430" s="1"/>
      <c r="H430" s="1"/>
      <c r="I430" s="1"/>
      <c r="J430" s="1"/>
      <c r="K430" s="1"/>
      <c r="L430" s="1"/>
      <c r="M430" s="1"/>
      <c r="N430" s="1"/>
    </row>
    <row r="431" spans="3:14" x14ac:dyDescent="0.25">
      <c r="C431" s="1"/>
      <c r="D431" s="1"/>
      <c r="E431" s="1"/>
      <c r="F431" s="1"/>
      <c r="G431" s="1"/>
      <c r="H431" s="1"/>
      <c r="I431" s="1"/>
      <c r="J431" s="1"/>
      <c r="K431" s="1"/>
      <c r="L431" s="1"/>
      <c r="M431" s="1"/>
      <c r="N431" s="1"/>
    </row>
    <row r="432" spans="3:14" x14ac:dyDescent="0.25">
      <c r="C432" s="1"/>
      <c r="D432" s="1"/>
      <c r="E432" s="1"/>
      <c r="F432" s="1"/>
      <c r="G432" s="1"/>
      <c r="H432" s="1"/>
      <c r="I432" s="1"/>
      <c r="J432" s="1"/>
      <c r="K432" s="1"/>
      <c r="L432" s="1"/>
      <c r="M432" s="1"/>
      <c r="N432" s="1"/>
    </row>
    <row r="433" spans="3:14" x14ac:dyDescent="0.25">
      <c r="C433" s="1"/>
      <c r="D433" s="1"/>
      <c r="E433" s="1"/>
      <c r="F433" s="1"/>
      <c r="G433" s="1"/>
      <c r="H433" s="1"/>
      <c r="I433" s="1"/>
      <c r="J433" s="1"/>
      <c r="K433" s="1"/>
      <c r="L433" s="1"/>
      <c r="M433" s="1"/>
      <c r="N433" s="1"/>
    </row>
    <row r="434" spans="3:14" x14ac:dyDescent="0.25">
      <c r="C434" s="1"/>
      <c r="D434" s="1"/>
      <c r="E434" s="1"/>
      <c r="F434" s="1"/>
      <c r="G434" s="1"/>
      <c r="H434" s="1"/>
      <c r="I434" s="1"/>
      <c r="J434" s="1"/>
      <c r="K434" s="1"/>
      <c r="L434" s="1"/>
      <c r="M434" s="1"/>
      <c r="N434" s="1"/>
    </row>
    <row r="435" spans="3:14" x14ac:dyDescent="0.25">
      <c r="C435" s="1"/>
      <c r="D435" s="1"/>
      <c r="E435" s="1"/>
      <c r="F435" s="1"/>
      <c r="G435" s="1"/>
      <c r="H435" s="1"/>
      <c r="I435" s="1"/>
      <c r="J435" s="1"/>
      <c r="K435" s="1"/>
      <c r="L435" s="1"/>
      <c r="M435" s="1"/>
      <c r="N435" s="1"/>
    </row>
    <row r="436" spans="3:14" x14ac:dyDescent="0.25">
      <c r="C436" s="1"/>
      <c r="D436" s="1"/>
      <c r="E436" s="1"/>
      <c r="F436" s="1"/>
      <c r="G436" s="1"/>
      <c r="H436" s="1"/>
      <c r="I436" s="1"/>
      <c r="J436" s="1"/>
      <c r="K436" s="1"/>
      <c r="L436" s="1"/>
      <c r="M436" s="1"/>
      <c r="N436" s="1"/>
    </row>
    <row r="437" spans="3:14" x14ac:dyDescent="0.25">
      <c r="C437" s="1"/>
      <c r="D437" s="1"/>
      <c r="E437" s="1"/>
      <c r="F437" s="1"/>
      <c r="G437" s="1"/>
      <c r="H437" s="1"/>
      <c r="I437" s="1"/>
      <c r="J437" s="1"/>
      <c r="K437" s="1"/>
      <c r="L437" s="1"/>
      <c r="M437" s="1"/>
      <c r="N437" s="1"/>
    </row>
    <row r="438" spans="3:14" x14ac:dyDescent="0.25">
      <c r="C438" s="1"/>
      <c r="D438" s="1"/>
      <c r="E438" s="1"/>
      <c r="F438" s="1"/>
      <c r="G438" s="1"/>
      <c r="H438" s="1"/>
      <c r="I438" s="1"/>
      <c r="J438" s="1"/>
      <c r="K438" s="1"/>
      <c r="L438" s="1"/>
      <c r="M438" s="1"/>
      <c r="N438" s="1"/>
    </row>
    <row r="439" spans="3:14" x14ac:dyDescent="0.25">
      <c r="C439" s="1"/>
      <c r="D439" s="1"/>
      <c r="E439" s="1"/>
      <c r="F439" s="1"/>
      <c r="G439" s="1"/>
      <c r="H439" s="1"/>
      <c r="I439" s="1"/>
      <c r="J439" s="1"/>
      <c r="K439" s="1"/>
      <c r="L439" s="1"/>
      <c r="M439" s="1"/>
      <c r="N439" s="1"/>
    </row>
    <row r="440" spans="3:14" x14ac:dyDescent="0.25">
      <c r="C440" s="1"/>
      <c r="D440" s="1"/>
      <c r="E440" s="1"/>
      <c r="F440" s="1"/>
      <c r="G440" s="1"/>
      <c r="H440" s="1"/>
      <c r="I440" s="1"/>
      <c r="J440" s="1"/>
      <c r="K440" s="1"/>
      <c r="L440" s="1"/>
      <c r="M440" s="1"/>
      <c r="N440" s="1"/>
    </row>
    <row r="441" spans="3:14" x14ac:dyDescent="0.25">
      <c r="C441" s="1"/>
      <c r="D441" s="1"/>
      <c r="E441" s="1"/>
      <c r="F441" s="1"/>
      <c r="G441" s="1"/>
      <c r="H441" s="1"/>
      <c r="I441" s="1"/>
      <c r="J441" s="1"/>
      <c r="K441" s="1"/>
      <c r="L441" s="1"/>
      <c r="M441" s="1"/>
      <c r="N441" s="1"/>
    </row>
    <row r="442" spans="3:14" x14ac:dyDescent="0.25">
      <c r="C442" s="1"/>
      <c r="D442" s="1"/>
      <c r="E442" s="1"/>
      <c r="F442" s="1"/>
      <c r="G442" s="1"/>
      <c r="H442" s="1"/>
      <c r="I442" s="1"/>
      <c r="J442" s="1"/>
      <c r="K442" s="1"/>
      <c r="L442" s="1"/>
      <c r="M442" s="1"/>
      <c r="N442" s="1"/>
    </row>
    <row r="443" spans="3:14" x14ac:dyDescent="0.25">
      <c r="C443" s="1"/>
      <c r="D443" s="1"/>
      <c r="E443" s="1"/>
      <c r="F443" s="1"/>
      <c r="G443" s="1"/>
      <c r="H443" s="1"/>
      <c r="I443" s="1"/>
      <c r="J443" s="1"/>
      <c r="K443" s="1"/>
      <c r="L443" s="1"/>
      <c r="M443" s="1"/>
      <c r="N443" s="1"/>
    </row>
    <row r="444" spans="3:14" x14ac:dyDescent="0.25">
      <c r="C444" s="1"/>
      <c r="D444" s="1"/>
      <c r="E444" s="1"/>
      <c r="F444" s="1"/>
      <c r="G444" s="1"/>
      <c r="H444" s="1"/>
      <c r="I444" s="1"/>
      <c r="J444" s="1"/>
      <c r="K444" s="1"/>
      <c r="L444" s="1"/>
      <c r="M444" s="1"/>
      <c r="N444" s="1"/>
    </row>
    <row r="445" spans="3:14" x14ac:dyDescent="0.25">
      <c r="C445" s="1"/>
      <c r="D445" s="1"/>
      <c r="E445" s="1"/>
      <c r="F445" s="1"/>
      <c r="G445" s="1"/>
      <c r="H445" s="1"/>
      <c r="I445" s="1"/>
      <c r="J445" s="1"/>
      <c r="K445" s="1"/>
      <c r="L445" s="1"/>
      <c r="M445" s="1"/>
      <c r="N445" s="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15"/>
  <sheetViews>
    <sheetView showGridLines="0" zoomScaleNormal="100" workbookViewId="0">
      <selection activeCell="E34" sqref="E34"/>
    </sheetView>
  </sheetViews>
  <sheetFormatPr defaultColWidth="9.140625" defaultRowHeight="15.75" x14ac:dyDescent="0.25"/>
  <cols>
    <col min="1" max="1" width="30.7109375" style="4" customWidth="1"/>
    <col min="2" max="2" width="4.7109375" style="22" customWidth="1"/>
    <col min="3" max="3" width="4.7109375" style="25" customWidth="1"/>
    <col min="4" max="4" width="60.7109375" style="25" customWidth="1"/>
    <col min="5" max="5" width="50.7109375" style="25" customWidth="1"/>
    <col min="6" max="11" width="28.7109375" style="25" customWidth="1"/>
    <col min="12" max="25" width="28.7109375" style="22" customWidth="1"/>
    <col min="26" max="27" width="9.140625" style="22"/>
    <col min="28" max="16384" width="9.140625" style="25"/>
  </cols>
  <sheetData>
    <row r="1" spans="1:24" s="22" customFormat="1" ht="30" customHeight="1" x14ac:dyDescent="0.35">
      <c r="A1" s="11" t="e" vm="1">
        <v>#VALUE!</v>
      </c>
      <c r="C1" s="28" t="s">
        <v>87</v>
      </c>
    </row>
    <row r="2" spans="1:24" s="22" customFormat="1" ht="20.100000000000001" customHeight="1" x14ac:dyDescent="0.25">
      <c r="A2" s="3"/>
      <c r="C2" s="3"/>
      <c r="D2" s="3"/>
      <c r="E2" s="3"/>
      <c r="F2" s="3"/>
      <c r="G2" s="3"/>
      <c r="H2" s="3"/>
      <c r="I2" s="3"/>
      <c r="J2" s="3"/>
    </row>
    <row r="3" spans="1:24" ht="20.100000000000001" customHeight="1" x14ac:dyDescent="0.25">
      <c r="A3" s="5" t="str">
        <f>HYPERLINK("#'Home'!A1", "Home")</f>
        <v>Home</v>
      </c>
      <c r="C3" s="29"/>
      <c r="D3" s="29"/>
      <c r="E3" s="29"/>
      <c r="F3" s="29"/>
      <c r="G3" s="29"/>
      <c r="H3" s="29"/>
      <c r="I3" s="29"/>
      <c r="J3" s="29"/>
      <c r="K3" s="29"/>
      <c r="M3" s="24"/>
      <c r="N3" s="24"/>
      <c r="O3" s="24"/>
      <c r="P3" s="24"/>
      <c r="Q3" s="24"/>
      <c r="R3" s="24"/>
      <c r="S3" s="24"/>
      <c r="T3" s="24"/>
      <c r="U3" s="24"/>
      <c r="V3" s="24"/>
      <c r="W3" s="24"/>
      <c r="X3" s="24"/>
    </row>
    <row r="4" spans="1:24" ht="20.100000000000001" customHeight="1" x14ac:dyDescent="0.25">
      <c r="A4" s="5" t="str">
        <f>HYPERLINK("#'Results'!A1", "Results")</f>
        <v>Results</v>
      </c>
      <c r="C4" s="30"/>
      <c r="D4" s="30"/>
      <c r="E4" s="30"/>
      <c r="F4" s="30"/>
      <c r="G4" s="30"/>
      <c r="H4" s="30"/>
      <c r="I4" s="30"/>
      <c r="J4" s="30"/>
      <c r="K4" s="30"/>
    </row>
    <row r="5" spans="1:24" ht="20.100000000000001" customHeight="1" x14ac:dyDescent="0.25">
      <c r="D5" s="2" t="s">
        <v>96</v>
      </c>
      <c r="N5" s="31"/>
    </row>
    <row r="6" spans="1:24" ht="20.100000000000001" customHeight="1" x14ac:dyDescent="0.25">
      <c r="A6" s="8" t="s">
        <v>1</v>
      </c>
      <c r="N6" s="33"/>
    </row>
    <row r="7" spans="1:24" ht="20.100000000000001" customHeight="1" x14ac:dyDescent="0.25">
      <c r="A7" s="5" t="str">
        <f>HYPERLINK("#'Input - Site'!A1", "Site")</f>
        <v>Site</v>
      </c>
      <c r="D7" s="43" t="s">
        <v>97</v>
      </c>
      <c r="E7" s="44"/>
      <c r="F7" s="44"/>
      <c r="G7" s="45"/>
    </row>
    <row r="8" spans="1:24" ht="20.100000000000001" customHeight="1" x14ac:dyDescent="0.25">
      <c r="A8" s="5" t="str">
        <f>HYPERLINK("#'Input - Pasture Beef'!A1", "Pasture Beef")</f>
        <v>Pasture Beef</v>
      </c>
      <c r="D8" s="46" t="s">
        <v>98</v>
      </c>
      <c r="E8" s="47"/>
      <c r="F8" s="47"/>
      <c r="G8" s="48"/>
    </row>
    <row r="9" spans="1:24" ht="20.100000000000001" customHeight="1" x14ac:dyDescent="0.25">
      <c r="A9" s="5"/>
      <c r="D9" s="1"/>
      <c r="E9" s="49"/>
      <c r="F9" s="17"/>
      <c r="N9" s="35"/>
    </row>
    <row r="10" spans="1:24" ht="20.100000000000001" customHeight="1" x14ac:dyDescent="0.25">
      <c r="A10" s="7" t="s">
        <v>3</v>
      </c>
      <c r="D10" s="1" t="s">
        <v>99</v>
      </c>
      <c r="E10" s="14" t="s">
        <v>100</v>
      </c>
      <c r="F10" s="17" t="s">
        <v>101</v>
      </c>
      <c r="N10" s="35"/>
    </row>
    <row r="11" spans="1:24" ht="20.100000000000001" customHeight="1" x14ac:dyDescent="0.25">
      <c r="A11" s="5" t="str">
        <f>HYPERLINK("#'4.2.1.1-2 Methane'!A1", "4.2.1.1-2 Methane")</f>
        <v>4.2.1.1-2 Methane</v>
      </c>
      <c r="D11" s="1" t="s">
        <v>102</v>
      </c>
      <c r="E11" s="14" t="s">
        <v>103</v>
      </c>
      <c r="F11" s="17" t="s">
        <v>101</v>
      </c>
      <c r="G11" s="1"/>
      <c r="N11" s="40"/>
    </row>
    <row r="12" spans="1:24" ht="20.100000000000001" customHeight="1" x14ac:dyDescent="0.25">
      <c r="A12" s="5" t="str">
        <f>HYPERLINK("#'4.2.1.3-4 Soil direct N2O'!A1", "4.2.1.3-4 Soil direct N2O")</f>
        <v>4.2.1.3-4 Soil direct N2O</v>
      </c>
      <c r="D12" s="1" t="s">
        <v>104</v>
      </c>
      <c r="E12" s="14" t="s">
        <v>105</v>
      </c>
      <c r="F12" s="17" t="s">
        <v>101</v>
      </c>
    </row>
    <row r="13" spans="1:24" ht="20.100000000000001" customHeight="1" x14ac:dyDescent="0.25">
      <c r="A13" s="5" t="str">
        <f>HYPERLINK("#'4.2.1.5-6 Soil Atmos Dep'!A1", "4.2.1.5-6 Soil atm. deposition")</f>
        <v>4.2.1.5-6 Soil atm. deposition</v>
      </c>
      <c r="D13" s="1" t="s">
        <v>37</v>
      </c>
      <c r="E13" s="34">
        <v>307.7</v>
      </c>
      <c r="F13" s="17" t="s">
        <v>106</v>
      </c>
      <c r="N13" s="42"/>
      <c r="O13" s="42"/>
    </row>
    <row r="14" spans="1:24" ht="20.100000000000001" customHeight="1" x14ac:dyDescent="0.25">
      <c r="A14" s="5" t="str">
        <f>HYPERLINK("#'4.2.1.7-8 Soil leach runoff'!A1", "4.2.1.7-8 Soil leach &amp; runoff")</f>
        <v>4.2.1.7-8 Soil leach &amp; runoff</v>
      </c>
      <c r="D14" s="1" t="s">
        <v>107</v>
      </c>
      <c r="E14" s="34">
        <v>18</v>
      </c>
      <c r="F14" s="17" t="s">
        <v>108</v>
      </c>
      <c r="N14" s="42"/>
      <c r="O14" s="42"/>
    </row>
    <row r="15" spans="1:24" ht="20.100000000000001" customHeight="1" x14ac:dyDescent="0.25">
      <c r="A15" s="5"/>
      <c r="D15" s="1" t="s">
        <v>109</v>
      </c>
      <c r="E15" s="34">
        <v>601</v>
      </c>
      <c r="F15" s="17" t="s">
        <v>110</v>
      </c>
      <c r="N15" s="42"/>
      <c r="O15" s="42"/>
    </row>
    <row r="16" spans="1:24" ht="20.100000000000001" customHeight="1" x14ac:dyDescent="0.25">
      <c r="A16" s="6" t="s">
        <v>2</v>
      </c>
      <c r="D16" s="13" t="s">
        <v>111</v>
      </c>
      <c r="E16" s="34">
        <v>1326</v>
      </c>
      <c r="F16" s="17" t="s">
        <v>110</v>
      </c>
      <c r="N16" s="42"/>
      <c r="O16" s="42"/>
    </row>
    <row r="17" spans="1:25" ht="20.100000000000001" customHeight="1" x14ac:dyDescent="0.25">
      <c r="A17" s="5" t="str">
        <f>HYPERLINK("#'Constants - Pasture Beef'!A1", "Constants - Pasture Beef")</f>
        <v>Constants - Pasture Beef</v>
      </c>
      <c r="D17" s="1" t="s">
        <v>112</v>
      </c>
      <c r="E17" s="34">
        <v>7</v>
      </c>
      <c r="F17" s="17" t="s">
        <v>113</v>
      </c>
    </row>
    <row r="18" spans="1:25" ht="20.100000000000001" customHeight="1" x14ac:dyDescent="0.25">
      <c r="A18" s="5" t="str">
        <f>HYPERLINK("#'Constants - Livestock'!A1", "Constants - Livestock")</f>
        <v>Constants - Livestock</v>
      </c>
      <c r="D18" s="13" t="s">
        <v>114</v>
      </c>
      <c r="E18" s="16">
        <f>E15/E16</f>
        <v>0.45324283559577677</v>
      </c>
      <c r="F18" s="17"/>
    </row>
    <row r="19" spans="1:25" ht="20.100000000000001" customHeight="1" x14ac:dyDescent="0.25">
      <c r="A19" s="5" t="str">
        <f>HYPERLINK("#'Constants - Common'!A1", "Constants - Common")</f>
        <v>Constants - Common</v>
      </c>
      <c r="D19" s="13" t="s">
        <v>65</v>
      </c>
      <c r="E19" s="16" t="str">
        <f>Common_InputFunctions.Utility_LookupItemFromMinMax(E15,Table_SourceData_RainfallZones[Min rainfall],Table_SourceData_RainfallZones[Max rainfall],Table_SourceData_RainfallZones[Rainfall Zone])</f>
        <v>High rainfall</v>
      </c>
      <c r="G19" s="50"/>
      <c r="N19" s="31"/>
    </row>
    <row r="20" spans="1:25" ht="20.100000000000001" customHeight="1" x14ac:dyDescent="0.25">
      <c r="A20" s="5" t="str">
        <f>HYPERLINK("#'Acknowledgements'!A1", "Acknowledgements")</f>
        <v>Acknowledgements</v>
      </c>
      <c r="D20" s="1" t="s">
        <v>32</v>
      </c>
      <c r="E20" s="1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49"/>
      <c r="N20" s="33"/>
    </row>
    <row r="21" spans="1:25" ht="20.100000000000001" customHeight="1" x14ac:dyDescent="0.25">
      <c r="A21"/>
      <c r="D21" s="1" t="s">
        <v>115</v>
      </c>
      <c r="E21" s="16" t="str">
        <f>Common_InputFunctions.Utility_LookupValueInTable($E$20,Table_SourceData_WetDryZones[Climate zone],Table_SourceData_WetDryZones[Wet or Dry Zone])</f>
        <v>Dry climate zone</v>
      </c>
      <c r="F21" s="1"/>
      <c r="G21" s="49"/>
    </row>
    <row r="22" spans="1:25" ht="20.100000000000001" customHeight="1" x14ac:dyDescent="0.25">
      <c r="A22" s="5"/>
      <c r="D22" s="1" t="s">
        <v>69</v>
      </c>
      <c r="E22" s="16" t="str">
        <f>Common_InputFunctions.Utility_LookupItemFromMinMax(E14,Table_SourceData_TemperatureZones[Min MAT],Table_SourceData_TemperatureZones[Max MAT],Table_SourceData_TemperatureZones[Temperature Zone])</f>
        <v>Temperate</v>
      </c>
      <c r="G22" s="53"/>
    </row>
    <row r="23" spans="1:25" ht="20.100000000000001" customHeight="1" x14ac:dyDescent="0.25">
      <c r="A23" s="5"/>
    </row>
    <row r="24" spans="1:25" ht="20.100000000000001" customHeight="1" x14ac:dyDescent="0.25">
      <c r="A24" s="5"/>
    </row>
    <row r="25" spans="1:25" ht="20.100000000000001" customHeight="1" x14ac:dyDescent="0.25">
      <c r="A25"/>
      <c r="N25" s="33"/>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51"/>
      <c r="M30" s="51"/>
      <c r="N30" s="51"/>
      <c r="O30" s="51"/>
      <c r="P30" s="51"/>
      <c r="Q30" s="51"/>
      <c r="R30" s="51"/>
      <c r="S30" s="51"/>
      <c r="T30" s="51"/>
      <c r="U30" s="51"/>
      <c r="V30" s="51"/>
      <c r="W30" s="51"/>
      <c r="X30" s="51"/>
      <c r="Y30" s="51"/>
    </row>
    <row r="31" spans="1:25" ht="20.100000000000001" customHeight="1" x14ac:dyDescent="0.25">
      <c r="A31"/>
      <c r="L31" s="52"/>
      <c r="M31" s="52"/>
      <c r="N31" s="52"/>
      <c r="O31" s="52"/>
      <c r="P31" s="52"/>
      <c r="Q31" s="52"/>
      <c r="R31" s="52"/>
      <c r="S31" s="52"/>
      <c r="T31" s="52"/>
      <c r="U31" s="52"/>
      <c r="V31" s="52"/>
      <c r="W31" s="52"/>
      <c r="X31" s="52"/>
      <c r="Y31" s="52"/>
    </row>
    <row r="32" spans="1:25" ht="20.100000000000001" customHeight="1" x14ac:dyDescent="0.25">
      <c r="A32"/>
      <c r="L32" s="52"/>
      <c r="M32" s="52"/>
      <c r="N32" s="52"/>
      <c r="O32" s="52"/>
      <c r="P32" s="52"/>
      <c r="Q32" s="52"/>
      <c r="R32" s="52"/>
      <c r="S32" s="52"/>
      <c r="T32" s="52"/>
      <c r="U32" s="52"/>
      <c r="V32" s="52"/>
      <c r="W32" s="52"/>
      <c r="X32" s="52"/>
      <c r="Y32" s="52"/>
    </row>
    <row r="33" spans="1:25" ht="20.100000000000001" customHeight="1" x14ac:dyDescent="0.25">
      <c r="A33"/>
      <c r="L33" s="52"/>
      <c r="M33" s="52"/>
      <c r="N33" s="52"/>
      <c r="O33" s="52"/>
      <c r="P33" s="52"/>
      <c r="Q33" s="52"/>
      <c r="R33" s="52"/>
      <c r="S33" s="52"/>
      <c r="T33" s="52"/>
      <c r="U33" s="52"/>
      <c r="V33" s="52"/>
      <c r="W33" s="52"/>
      <c r="X33" s="52"/>
      <c r="Y33" s="52"/>
    </row>
    <row r="34" spans="1:25" ht="20.100000000000001" customHeight="1" x14ac:dyDescent="0.25">
      <c r="A34"/>
      <c r="J34" s="54"/>
      <c r="K34" s="55"/>
      <c r="L34" s="52"/>
      <c r="M34" s="52"/>
      <c r="N34" s="52"/>
      <c r="O34" s="52"/>
      <c r="P34" s="52"/>
      <c r="Q34" s="52"/>
      <c r="R34" s="52"/>
      <c r="S34" s="52"/>
      <c r="T34" s="52"/>
      <c r="U34" s="52"/>
      <c r="V34" s="52"/>
      <c r="W34" s="52"/>
      <c r="X34" s="52"/>
      <c r="Y34" s="52"/>
    </row>
    <row r="35" spans="1:25" ht="20.100000000000001" customHeight="1" x14ac:dyDescent="0.25">
      <c r="A35"/>
      <c r="J35" s="54"/>
      <c r="K35" s="55"/>
      <c r="L35" s="52"/>
      <c r="M35" s="52"/>
      <c r="N35" s="52"/>
      <c r="O35" s="52"/>
      <c r="P35" s="52"/>
      <c r="Q35" s="52"/>
      <c r="R35" s="52"/>
      <c r="S35" s="52"/>
      <c r="T35" s="52"/>
      <c r="U35" s="52"/>
      <c r="V35" s="52"/>
      <c r="W35" s="52"/>
      <c r="X35" s="52"/>
      <c r="Y35" s="52"/>
    </row>
    <row r="36" spans="1:25" ht="20.100000000000001" customHeight="1" x14ac:dyDescent="0.25">
      <c r="A36"/>
      <c r="D36" s="56"/>
      <c r="E36" s="56"/>
      <c r="F36" s="57"/>
      <c r="G36" s="54"/>
      <c r="H36" s="54"/>
      <c r="I36" s="58"/>
      <c r="J36" s="54"/>
      <c r="K36" s="55"/>
      <c r="L36" s="52"/>
      <c r="M36" s="52"/>
      <c r="N36" s="52"/>
      <c r="O36" s="52"/>
      <c r="P36" s="52"/>
      <c r="Q36" s="52"/>
      <c r="R36" s="52"/>
      <c r="S36" s="52"/>
      <c r="T36" s="52"/>
      <c r="U36" s="52"/>
      <c r="V36" s="52"/>
      <c r="W36" s="52"/>
      <c r="X36" s="52"/>
      <c r="Y36" s="52"/>
    </row>
    <row r="37" spans="1:25" ht="20.100000000000001" customHeight="1" x14ac:dyDescent="0.25">
      <c r="A37"/>
      <c r="D37" s="56"/>
      <c r="E37" s="56"/>
      <c r="F37" s="57"/>
      <c r="G37" s="54"/>
      <c r="H37" s="54"/>
      <c r="I37" s="58"/>
      <c r="J37" s="54"/>
      <c r="K37" s="55"/>
      <c r="L37" s="52"/>
      <c r="M37" s="52"/>
      <c r="N37" s="52"/>
      <c r="O37" s="52"/>
      <c r="P37" s="52"/>
      <c r="Q37" s="52"/>
      <c r="R37" s="52"/>
      <c r="S37" s="52"/>
      <c r="T37" s="52"/>
      <c r="U37" s="52"/>
      <c r="V37" s="52"/>
      <c r="W37" s="52"/>
      <c r="X37" s="52"/>
      <c r="Y37" s="52"/>
    </row>
    <row r="38" spans="1:25" ht="20.100000000000001" customHeight="1" x14ac:dyDescent="0.25">
      <c r="A38"/>
      <c r="D38" s="56"/>
      <c r="E38" s="56"/>
      <c r="F38" s="57"/>
      <c r="G38" s="54"/>
      <c r="H38" s="54"/>
      <c r="I38" s="58"/>
      <c r="J38" s="54"/>
      <c r="K38" s="55"/>
      <c r="L38" s="52"/>
      <c r="M38" s="52"/>
      <c r="N38" s="52"/>
      <c r="O38" s="52"/>
      <c r="P38" s="52"/>
      <c r="Q38" s="52"/>
      <c r="R38" s="52"/>
      <c r="S38" s="52"/>
      <c r="T38" s="52"/>
      <c r="U38" s="52"/>
      <c r="V38" s="52"/>
      <c r="W38" s="52"/>
      <c r="X38" s="52"/>
      <c r="Y38" s="52"/>
    </row>
    <row r="39" spans="1:25" ht="20.100000000000001" customHeight="1" x14ac:dyDescent="0.25">
      <c r="A39"/>
      <c r="D39" s="56"/>
      <c r="E39" s="56"/>
      <c r="F39" s="57"/>
      <c r="G39" s="54"/>
      <c r="H39" s="54"/>
      <c r="I39" s="58"/>
      <c r="J39" s="54"/>
      <c r="K39" s="55"/>
      <c r="L39" s="52"/>
      <c r="M39" s="52"/>
      <c r="N39" s="52"/>
      <c r="O39" s="52"/>
      <c r="P39" s="52"/>
      <c r="Q39" s="52"/>
      <c r="R39" s="52"/>
      <c r="S39" s="52"/>
      <c r="T39" s="52"/>
      <c r="U39" s="52"/>
      <c r="V39" s="52"/>
      <c r="W39" s="52"/>
      <c r="X39" s="52"/>
      <c r="Y39" s="52"/>
    </row>
    <row r="40" spans="1:25" ht="20.100000000000001" customHeight="1" x14ac:dyDescent="0.25">
      <c r="A40"/>
      <c r="D40" s="59"/>
      <c r="E40" s="59"/>
      <c r="F40" s="59"/>
      <c r="G40" s="60"/>
      <c r="H40" s="61"/>
      <c r="I40" s="61"/>
      <c r="J40" s="61"/>
      <c r="K40" s="61"/>
      <c r="L40" s="62"/>
      <c r="M40" s="62"/>
      <c r="N40" s="62"/>
      <c r="O40" s="62"/>
      <c r="P40" s="62"/>
      <c r="Q40" s="62"/>
      <c r="R40" s="62"/>
      <c r="S40" s="62"/>
      <c r="T40" s="62"/>
      <c r="U40" s="62"/>
      <c r="V40" s="62"/>
      <c r="W40" s="62"/>
      <c r="X40" s="62"/>
      <c r="Y40" s="62"/>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63"/>
      <c r="E47" s="63"/>
      <c r="F47" s="63"/>
      <c r="G47" s="63"/>
      <c r="H47" s="63"/>
    </row>
    <row r="48" spans="1:25" ht="20.100000000000001" customHeight="1" x14ac:dyDescent="0.25">
      <c r="D48" s="64"/>
      <c r="E48" s="64"/>
      <c r="F48" s="65"/>
      <c r="G48" s="65"/>
      <c r="H48" s="64"/>
    </row>
    <row r="49" spans="4:8" ht="20.100000000000001" customHeight="1" x14ac:dyDescent="0.25">
      <c r="D49" s="64"/>
      <c r="E49" s="64"/>
      <c r="F49" s="65"/>
      <c r="G49" s="65"/>
      <c r="H49" s="64"/>
    </row>
    <row r="50" spans="4:8" ht="20.100000000000001" customHeight="1" x14ac:dyDescent="0.25">
      <c r="D50" s="64"/>
      <c r="E50" s="64"/>
      <c r="F50" s="65"/>
      <c r="G50" s="65"/>
      <c r="H50" s="64"/>
    </row>
    <row r="51" spans="4:8" ht="20.100000000000001" customHeight="1" x14ac:dyDescent="0.25">
      <c r="D51" s="66"/>
      <c r="E51" s="67"/>
      <c r="F51" s="67"/>
      <c r="G51" s="67"/>
      <c r="H51" s="68"/>
    </row>
    <row r="52" spans="4:8" ht="20.100000000000001" customHeight="1" x14ac:dyDescent="0.25"/>
    <row r="53" spans="4:8" ht="20.100000000000001" customHeight="1" x14ac:dyDescent="0.25"/>
    <row r="54" spans="4:8" ht="20.100000000000001" customHeight="1" x14ac:dyDescent="0.25">
      <c r="G54" s="69"/>
    </row>
    <row r="55" spans="4:8" ht="20.100000000000001" customHeight="1" x14ac:dyDescent="0.25">
      <c r="D55" s="2"/>
    </row>
    <row r="56" spans="4:8" ht="20.100000000000001" customHeight="1" x14ac:dyDescent="0.25"/>
    <row r="57" spans="4:8" ht="20.100000000000001" customHeight="1" x14ac:dyDescent="0.25">
      <c r="D57" s="70"/>
      <c r="F57" s="71"/>
    </row>
    <row r="58" spans="4:8" ht="20.100000000000001" customHeight="1" x14ac:dyDescent="0.25">
      <c r="D58" s="1"/>
      <c r="E58" s="72"/>
    </row>
    <row r="59" spans="4:8" ht="20.100000000000001" customHeight="1" x14ac:dyDescent="0.25">
      <c r="D59" s="1"/>
      <c r="E59" s="72"/>
    </row>
    <row r="60" spans="4:8" ht="20.100000000000001" customHeight="1" x14ac:dyDescent="0.25">
      <c r="D60" s="1"/>
      <c r="E60" s="73"/>
    </row>
    <row r="61" spans="4:8" ht="20.100000000000001" customHeight="1" x14ac:dyDescent="0.25">
      <c r="D61" s="1"/>
    </row>
    <row r="62" spans="4:8" ht="20.100000000000001" customHeight="1" x14ac:dyDescent="0.25"/>
    <row r="63" spans="4:8" ht="20.100000000000001" customHeight="1" x14ac:dyDescent="0.25">
      <c r="D63" s="70"/>
    </row>
    <row r="64" spans="4:8" ht="20.100000000000001" customHeight="1" x14ac:dyDescent="0.25">
      <c r="D64" s="1"/>
      <c r="E64" s="72"/>
    </row>
    <row r="65" spans="4:9" ht="20.100000000000001" customHeight="1" x14ac:dyDescent="0.25">
      <c r="D65" s="1"/>
      <c r="E65" s="72"/>
    </row>
    <row r="66" spans="4:9" ht="20.100000000000001" customHeight="1" x14ac:dyDescent="0.25">
      <c r="D66" s="1"/>
      <c r="E66" s="73"/>
    </row>
    <row r="67" spans="4:9" ht="20.100000000000001" customHeight="1" x14ac:dyDescent="0.25"/>
    <row r="68" spans="4:9" ht="20.100000000000001" customHeight="1" x14ac:dyDescent="0.25"/>
    <row r="69" spans="4:9" ht="20.100000000000001" customHeight="1" x14ac:dyDescent="0.25">
      <c r="D69" s="74"/>
      <c r="E69" s="74"/>
      <c r="F69" s="74"/>
      <c r="G69" s="74"/>
      <c r="H69" s="74"/>
      <c r="I69" s="74"/>
    </row>
    <row r="70" spans="4:9" ht="20.100000000000001" customHeight="1" x14ac:dyDescent="0.25">
      <c r="D70" s="74"/>
      <c r="E70" s="74"/>
      <c r="F70" s="74"/>
      <c r="G70" s="74"/>
      <c r="H70" s="74"/>
      <c r="I70" s="74"/>
    </row>
    <row r="71" spans="4:9" ht="20.100000000000001" customHeight="1" x14ac:dyDescent="0.25">
      <c r="D71" s="74"/>
      <c r="E71" s="74"/>
      <c r="F71" s="74"/>
      <c r="G71" s="74"/>
      <c r="H71" s="74"/>
      <c r="I71" s="74"/>
    </row>
    <row r="72" spans="4:9" ht="20.100000000000001" customHeight="1" x14ac:dyDescent="0.25">
      <c r="D72" s="74"/>
      <c r="E72" s="74"/>
      <c r="F72" s="74"/>
      <c r="G72" s="74"/>
      <c r="H72" s="74"/>
      <c r="I72" s="74"/>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75"/>
    </row>
    <row r="79" spans="4:9" ht="20.100000000000001" customHeight="1" x14ac:dyDescent="0.25">
      <c r="D79" s="75"/>
    </row>
    <row r="80" spans="4:9" ht="20.100000000000001" customHeight="1" x14ac:dyDescent="0.25">
      <c r="D80" s="75"/>
    </row>
    <row r="81" spans="4:4" ht="20.100000000000001" customHeight="1" x14ac:dyDescent="0.25">
      <c r="D81" s="75"/>
    </row>
    <row r="82" spans="4:4" ht="20.100000000000001" customHeight="1" x14ac:dyDescent="0.25">
      <c r="D82" s="7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C1:J81"/>
  <sheetViews>
    <sheetView showGridLines="0" topLeftCell="A53" zoomScaleNormal="100" workbookViewId="0">
      <selection activeCell="F81" sqref="F81"/>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25.5" x14ac:dyDescent="0.35">
      <c r="C1" s="28" t="s">
        <v>147</v>
      </c>
      <c r="D1" s="22"/>
      <c r="E1" s="22"/>
      <c r="F1" s="22"/>
      <c r="G1" s="22"/>
      <c r="H1" s="22"/>
      <c r="I1" s="22"/>
      <c r="J1" s="22"/>
    </row>
    <row r="2" spans="3:10" x14ac:dyDescent="0.25">
      <c r="C2" s="3"/>
      <c r="D2" s="3"/>
      <c r="E2" s="3"/>
      <c r="F2" s="3"/>
      <c r="G2" s="3"/>
      <c r="H2" s="3"/>
      <c r="I2" s="3"/>
      <c r="J2" s="3"/>
    </row>
    <row r="3" spans="3:10" ht="20.25" x14ac:dyDescent="0.25">
      <c r="C3" s="29"/>
      <c r="D3" s="29"/>
      <c r="E3" s="29"/>
      <c r="F3" s="29"/>
      <c r="G3" s="29"/>
      <c r="H3" s="29"/>
      <c r="I3" s="29"/>
      <c r="J3" s="29"/>
    </row>
    <row r="5" spans="3:10" ht="23.25" x14ac:dyDescent="0.25">
      <c r="D5" s="2" t="s">
        <v>88</v>
      </c>
      <c r="E5" s="25"/>
      <c r="F5" s="25"/>
      <c r="G5" s="25"/>
    </row>
    <row r="6" spans="3:10" x14ac:dyDescent="0.25">
      <c r="D6" s="32"/>
      <c r="E6" s="25"/>
      <c r="F6" s="25"/>
      <c r="G6" s="25"/>
    </row>
    <row r="7" spans="3:10" x14ac:dyDescent="0.25">
      <c r="D7" s="1" t="s">
        <v>89</v>
      </c>
      <c r="E7" s="34" t="s">
        <v>90</v>
      </c>
      <c r="F7" s="17"/>
      <c r="G7" s="25"/>
    </row>
    <row r="8" spans="3:10" x14ac:dyDescent="0.25">
      <c r="D8" s="13" t="s">
        <v>91</v>
      </c>
      <c r="E8" s="34" t="s">
        <v>92</v>
      </c>
      <c r="F8" s="25"/>
      <c r="G8" s="25"/>
    </row>
    <row r="9" spans="3:10" x14ac:dyDescent="0.25">
      <c r="D9" s="25"/>
      <c r="E9" s="25"/>
      <c r="F9" s="25"/>
      <c r="G9" s="25"/>
    </row>
    <row r="10" spans="3:10" x14ac:dyDescent="0.25">
      <c r="D10" s="36" t="s">
        <v>93</v>
      </c>
      <c r="E10" s="37"/>
      <c r="F10" s="38"/>
      <c r="G10" s="39"/>
    </row>
    <row r="11" spans="3:10" x14ac:dyDescent="0.25">
      <c r="D11" s="25"/>
      <c r="E11" s="25"/>
      <c r="F11" s="25"/>
      <c r="G11" s="25"/>
    </row>
    <row r="12" spans="3:10" x14ac:dyDescent="0.25">
      <c r="D12" s="13" t="s">
        <v>16</v>
      </c>
      <c r="E12" s="15">
        <v>45292</v>
      </c>
      <c r="F12" s="17" t="s">
        <v>94</v>
      </c>
      <c r="G12" s="25"/>
    </row>
    <row r="13" spans="3:10" x14ac:dyDescent="0.25">
      <c r="D13" s="13" t="s">
        <v>17</v>
      </c>
      <c r="E13" s="41">
        <f>DATE(YEAR(E12)+1,MONTH(E12),DAY(E12))-1</f>
        <v>45657</v>
      </c>
      <c r="F13" s="17" t="s">
        <v>95</v>
      </c>
      <c r="G13" s="25"/>
    </row>
    <row r="14" spans="3:10" x14ac:dyDescent="0.25">
      <c r="F14" s="25"/>
      <c r="G14" s="25"/>
    </row>
    <row r="16" spans="3:10" ht="23.25" x14ac:dyDescent="0.25">
      <c r="D16" s="2" t="s">
        <v>18</v>
      </c>
    </row>
    <row r="18" spans="4:6" x14ac:dyDescent="0.25">
      <c r="D18" s="1" t="s">
        <v>13</v>
      </c>
      <c r="E18" s="15">
        <v>45231</v>
      </c>
      <c r="F18" s="17" t="s">
        <v>94</v>
      </c>
    </row>
    <row r="19" spans="4:6" x14ac:dyDescent="0.25">
      <c r="D19" s="1" t="s">
        <v>14</v>
      </c>
      <c r="E19" s="15">
        <v>45747</v>
      </c>
      <c r="F19" s="17" t="s">
        <v>94</v>
      </c>
    </row>
    <row r="20" spans="4:6" x14ac:dyDescent="0.25">
      <c r="D20" s="1" t="s">
        <v>15</v>
      </c>
      <c r="E20" s="16">
        <f>DATEDIF(E18,E19+1,"m")</f>
        <v>17</v>
      </c>
      <c r="F20" s="17" t="s">
        <v>117</v>
      </c>
    </row>
    <row r="22" spans="4:6" x14ac:dyDescent="0.25">
      <c r="D22" s="1" t="s">
        <v>19</v>
      </c>
      <c r="E22" s="78">
        <f>SUM(Table_Input_LivestockSales[Total liveweight sold])*10^-3</f>
        <v>5</v>
      </c>
      <c r="F22" s="17" t="s">
        <v>20</v>
      </c>
    </row>
    <row r="23" spans="4:6" x14ac:dyDescent="0.25">
      <c r="D23" s="1" t="s">
        <v>182</v>
      </c>
      <c r="E23" s="78" t="e" cm="1">
        <f t="array" ref="E23">X_Cell_Dairy_MilkProductionUnit</f>
        <v>#NAME?</v>
      </c>
      <c r="F23" s="17"/>
    </row>
    <row r="24" spans="4:6" x14ac:dyDescent="0.25">
      <c r="D24" s="1" t="s">
        <v>181</v>
      </c>
      <c r="E24" s="78" t="e" cm="1">
        <f t="array" ref="E24">X_Cell_Dairy_MilkProductionAmount*365*IF(E23="Milk solds", 1, 1.03)</f>
        <v>#NAME?</v>
      </c>
      <c r="F24" s="17" t="e">
        <f>E23</f>
        <v>#NAME?</v>
      </c>
    </row>
    <row r="25" spans="4:6" x14ac:dyDescent="0.25">
      <c r="D25" s="1" t="s">
        <v>184</v>
      </c>
      <c r="E25" s="76">
        <v>1</v>
      </c>
      <c r="F25" s="17" t="s">
        <v>20</v>
      </c>
    </row>
    <row r="26" spans="4:6" x14ac:dyDescent="0.25">
      <c r="D26" s="1" t="s">
        <v>238</v>
      </c>
      <c r="E26" s="76">
        <v>1</v>
      </c>
      <c r="F26" s="17" t="s">
        <v>20</v>
      </c>
    </row>
    <row r="28" spans="4:6" x14ac:dyDescent="0.25">
      <c r="D28" s="1" t="s">
        <v>183</v>
      </c>
      <c r="E28" s="19">
        <v>0.8</v>
      </c>
      <c r="F28" s="17" t="s">
        <v>148</v>
      </c>
    </row>
    <row r="29" spans="4:6" x14ac:dyDescent="0.25">
      <c r="D29" s="1" t="s">
        <v>149</v>
      </c>
      <c r="E29" s="19">
        <v>0.15</v>
      </c>
      <c r="F29" s="17" t="s">
        <v>148</v>
      </c>
    </row>
    <row r="30" spans="4:6" x14ac:dyDescent="0.25">
      <c r="D30" s="1" t="s">
        <v>150</v>
      </c>
      <c r="E30" s="19">
        <v>0.05</v>
      </c>
      <c r="F30" s="17" t="s">
        <v>148</v>
      </c>
    </row>
    <row r="34" spans="4:7" ht="23.25" x14ac:dyDescent="0.25">
      <c r="D34" s="2" t="s">
        <v>267</v>
      </c>
    </row>
    <row r="37" spans="4:7" ht="18.75" x14ac:dyDescent="0.25">
      <c r="D37" s="79" t="str">
        <f>"Carbon captured from " &amp; TEXT(X_Cell_Site_StartDate, "d mmmm yyyy") &amp; " to " &amp; TEXT(X_Cell_Site_EndDate, "d, mmmm, yyyy") &amp; " from environmental plantings"</f>
        <v>Carbon captured from 1 January 2024 to 31, December, 2024 from environmental plantings</v>
      </c>
    </row>
    <row r="39" spans="4:7" x14ac:dyDescent="0.25">
      <c r="D39" s="20" t="s">
        <v>268</v>
      </c>
      <c r="E39" s="20" t="s">
        <v>269</v>
      </c>
      <c r="F39" s="20" t="s">
        <v>270</v>
      </c>
      <c r="G39" s="82" t="s">
        <v>271</v>
      </c>
    </row>
    <row r="40" spans="4:7" x14ac:dyDescent="0.25">
      <c r="D40" s="34"/>
      <c r="E40" s="76"/>
      <c r="F40" s="19"/>
      <c r="G40" s="1">
        <f>Table_Input_Enterprise_PlantingRemovals[[#This Row],[Total removed CO2]]*Table_Input_Enterprise_PlantingRemovals[[#This Row],[Percent allocated to this enterprise]]</f>
        <v>0</v>
      </c>
    </row>
    <row r="44" spans="4:7" ht="23.25" x14ac:dyDescent="0.25">
      <c r="D44" s="2" t="s">
        <v>272</v>
      </c>
    </row>
    <row r="46" spans="4:7" ht="18.75" x14ac:dyDescent="0.25">
      <c r="D46" s="79"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2023 to 31 March 2025</v>
      </c>
    </row>
    <row r="48" spans="4:7" x14ac:dyDescent="0.25">
      <c r="D48" s="80" t="str" cm="1">
        <f t="array" ref="D48">"There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row>
    <row r="49" spans="4:7" x14ac:dyDescent="0.25">
      <c r="D49" s="1" t="s">
        <v>273</v>
      </c>
    </row>
    <row r="51" spans="4:7" x14ac:dyDescent="0.25">
      <c r="D51" s="82" t="s">
        <v>116</v>
      </c>
      <c r="E51" s="82" t="s">
        <v>10</v>
      </c>
      <c r="F51" s="82" t="s">
        <v>11</v>
      </c>
    </row>
    <row r="52" spans="4:7" x14ac:dyDescent="0.25">
      <c r="D52" s="1" t="str" cm="1">
        <f t="array" ref="D52:D54">Common_InputFunctions.getOverlappingReportingPeriods(X_Cell_Enterprise_ProductionTimeframeStart,X_Cell_Enterprise_ProductionTimeframeEnd,X_Cell_Site_StartDate)</f>
        <v>01 Jan 2023 to 31 Dec 2023</v>
      </c>
      <c r="E52" s="76" t="str">
        <f>IF(ISBLANK($D52), 0, IF(ISNUMBER(SEARCH("reporting", $D52)), Result_Enterprise_Gross_Method1, "Enter value"))</f>
        <v>Enter value</v>
      </c>
      <c r="F52" s="76" t="str">
        <f>IF(ISBLANK($D52), 0, IF(ISNUMBER(SEARCH("reporting", $D52)), Result_Enterprise_Gross_Method2, "Enter value"))</f>
        <v>Enter value</v>
      </c>
      <c r="G52" s="10" t="s">
        <v>7</v>
      </c>
    </row>
    <row r="53" spans="4:7" x14ac:dyDescent="0.25">
      <c r="D53" s="1" t="str">
        <v>01 Jan 2024 to 31 Dec 2024 (This reporting cycle)</v>
      </c>
      <c r="E53" s="76" t="e">
        <f>IF(ISBLANK($D53), 0, IF(ISNUMBER(SEARCH("reporting", $D53)), Result_Enterprise_Gross_Method1, "Enter value"))</f>
        <v>#NAME?</v>
      </c>
      <c r="F53" s="76" t="e">
        <f>IF(ISBLANK($D53), 0, IF(ISNUMBER(SEARCH("reporting", $D53)), Result_Enterprise_Gross_Method2, "Enter value"))</f>
        <v>#NAME?</v>
      </c>
      <c r="G53" s="10" t="s">
        <v>7</v>
      </c>
    </row>
    <row r="54" spans="4:7" x14ac:dyDescent="0.25">
      <c r="D54" s="1" t="str">
        <v>01 Jan 2025 to 31 Dec 2025</v>
      </c>
      <c r="E54" s="76" t="str">
        <f>IF(ISBLANK($D54), 0, IF(ISNUMBER(SEARCH("reporting", $D54)), Result_Enterprise_Gross_Method1, "Enter value"))</f>
        <v>Enter value</v>
      </c>
      <c r="F54" s="76" t="str">
        <f>IF(ISBLANK($D54), 0, IF(ISNUMBER(SEARCH("reporting", $D54)), Result_Enterprise_Gross_Method2, "Enter value"))</f>
        <v>Enter value</v>
      </c>
      <c r="G54" s="10" t="s">
        <v>7</v>
      </c>
    </row>
    <row r="55" spans="4:7" x14ac:dyDescent="0.25">
      <c r="E55" s="76">
        <f>IF(ISBLANK($D55), 0, IF(ISNUMBER(SEARCH("reporting", $D55)), Result_Enterprise_Gross_Method1, "Enter value"))</f>
        <v>0</v>
      </c>
      <c r="F55" s="76">
        <f>IF(ISBLANK($D55), 0, IF(ISNUMBER(SEARCH("reporting", $D55)), Result_Enterprise_Gross_Method2, "Enter value"))</f>
        <v>0</v>
      </c>
      <c r="G55" s="10" t="s">
        <v>7</v>
      </c>
    </row>
    <row r="56" spans="4:7" x14ac:dyDescent="0.25">
      <c r="E56" s="76">
        <f>IF(ISBLANK($D56), 0, IF(ISNUMBER(SEARCH("reporting", $D56)), Result_Enterprise_Gross_Method1, "Enter value"))</f>
        <v>0</v>
      </c>
      <c r="F56" s="76">
        <f>IF(ISBLANK($D56), 0, IF(ISNUMBER(SEARCH("reporting", $D56)), Result_Enterprise_Gross_Method2, "Enter value"))</f>
        <v>0</v>
      </c>
      <c r="G56" s="10" t="s">
        <v>7</v>
      </c>
    </row>
    <row r="57" spans="4:7" x14ac:dyDescent="0.25">
      <c r="D57" s="94" t="s">
        <v>128</v>
      </c>
      <c r="E57" s="90" t="e">
        <f>SUM(E52:E56)</f>
        <v>#NAME?</v>
      </c>
      <c r="F57" s="90" t="e">
        <f>SUM(F52:F56)</f>
        <v>#NAME?</v>
      </c>
      <c r="G57" s="95" t="s">
        <v>7</v>
      </c>
    </row>
    <row r="62" spans="4:7" ht="18.75" x14ac:dyDescent="0.25">
      <c r="D62" s="79"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2023 and 31 March 2025</v>
      </c>
    </row>
    <row r="64" spans="4:7" x14ac:dyDescent="0.25">
      <c r="D64" s="82" t="s">
        <v>116</v>
      </c>
      <c r="E64" s="82" t="s">
        <v>126</v>
      </c>
      <c r="F64" s="82"/>
    </row>
    <row r="65" spans="4:7" x14ac:dyDescent="0.25">
      <c r="D65" s="1" t="str" cm="1">
        <f t="array" ref="D65:D67">Common_InputFunctions.getOverlappingReportingPeriods(X_Cell_Enterprise_ProductionTimeframeStart,X_Cell_Enterprise_ProductionTimeframeEnd,X_Cell_Site_StartDate)</f>
        <v>01 Jan 2023 to 31 Dec 2023</v>
      </c>
      <c r="E65" s="76" t="str">
        <f>IF(ISBLANK($D65), 0, IF(ISNUMBER(SEARCH("reporting", $D65)), SUM(Table_Input_Enterprise_PlantingRemovals[Removal allocated to this enterprise]), "Enter value"))</f>
        <v>Enter value</v>
      </c>
      <c r="F65" s="10" t="s">
        <v>127</v>
      </c>
    </row>
    <row r="66" spans="4:7" x14ac:dyDescent="0.25">
      <c r="D66" s="1" t="str">
        <v>01 Jan 2024 to 31 Dec 2024 (This reporting cycle)</v>
      </c>
      <c r="E66" s="76">
        <f>IF(ISBLANK($D66), 0, IF(ISNUMBER(SEARCH("reporting", $D66)), SUM(Table_Input_Enterprise_PlantingRemovals[Removal allocated to this enterprise]), "Enter value"))</f>
        <v>0</v>
      </c>
      <c r="F66" s="10" t="s">
        <v>127</v>
      </c>
    </row>
    <row r="67" spans="4:7" x14ac:dyDescent="0.25">
      <c r="D67" s="1" t="str">
        <v>01 Jan 2025 to 31 Dec 2025</v>
      </c>
      <c r="E67" s="76" t="str">
        <f>IF(ISBLANK($D67), 0, IF(ISNUMBER(SEARCH("reporting", $D67)), SUM(Table_Input_Enterprise_PlantingRemovals[Removal allocated to this enterprise]), "Enter value"))</f>
        <v>Enter value</v>
      </c>
      <c r="F67" s="10" t="s">
        <v>127</v>
      </c>
    </row>
    <row r="68" spans="4:7" x14ac:dyDescent="0.25">
      <c r="E68" s="76">
        <f>IF(ISBLANK($D68), 0, IF(ISNUMBER(SEARCH("reporting", $D68)), SUM(Table_Input_Enterprise_PlantingRemovals[Removal allocated to this enterprise]), "Enter value"))</f>
        <v>0</v>
      </c>
      <c r="F68" s="10" t="s">
        <v>127</v>
      </c>
    </row>
    <row r="69" spans="4:7" x14ac:dyDescent="0.25">
      <c r="E69" s="76">
        <f>IF(ISBLANK($D69), 0, IF(ISNUMBER(SEARCH("reporting", $D69)), SUM(Table_Input_Enterprise_PlantingRemovals[Removal allocated to this enterprise]), "Enter value"))</f>
        <v>0</v>
      </c>
      <c r="F69" s="10" t="s">
        <v>127</v>
      </c>
    </row>
    <row r="70" spans="4:7" x14ac:dyDescent="0.25">
      <c r="D70" s="94" t="s">
        <v>129</v>
      </c>
      <c r="E70" s="90">
        <f>SUM(E65:E69)</f>
        <v>0</v>
      </c>
      <c r="F70" s="95" t="s">
        <v>127</v>
      </c>
    </row>
    <row r="73" spans="4:7" ht="18.75" x14ac:dyDescent="0.25">
      <c r="D73" s="79"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2023 to 31 March 2025</v>
      </c>
    </row>
    <row r="75" spans="4:7" x14ac:dyDescent="0.25">
      <c r="D75" s="82" t="s">
        <v>116</v>
      </c>
      <c r="E75" s="82" t="s">
        <v>10</v>
      </c>
      <c r="F75" s="82" t="s">
        <v>11</v>
      </c>
    </row>
    <row r="76" spans="4:7" x14ac:dyDescent="0.25">
      <c r="D76" s="1" t="str" cm="1">
        <f t="array" ref="D76:D78">Common_InputFunctions.getOverlappingReportingPeriods(X_Cell_Enterprise_ProductionTimeframeStart,X_Cell_Enterprise_ProductionTimeframeEnd,X_Cell_Site_StartDate)</f>
        <v>01 Jan 2023 to 31 Dec 2023</v>
      </c>
      <c r="E76" s="76" t="str">
        <f>IF(ISBLANK($D76), 0, IF(ISNUMBER(SEARCH("reporting", $D76)), E52-$E$65, "Enter value"))</f>
        <v>Enter value</v>
      </c>
      <c r="F76" s="76" t="str">
        <f>IF(ISBLANK($D76), 0, IF(ISNUMBER(SEARCH("reporting", $D76)), F52-$E$65, "Enter value"))</f>
        <v>Enter value</v>
      </c>
      <c r="G76" s="10" t="s">
        <v>7</v>
      </c>
    </row>
    <row r="77" spans="4:7" x14ac:dyDescent="0.25">
      <c r="D77" s="1" t="str">
        <v>01 Jan 2024 to 31 Dec 2024 (This reporting cycle)</v>
      </c>
      <c r="E77" s="76" t="e">
        <f>IF(ISBLANK($D77), 0, IF(ISNUMBER(SEARCH("reporting", $D77)), E53-$E$66, "Enter value"))</f>
        <v>#NAME?</v>
      </c>
      <c r="F77" s="76" t="e">
        <f>IF(ISBLANK($D77), 0, IF(ISNUMBER(SEARCH("reporting", $D77)), F53-$E$66, "Enter value"))</f>
        <v>#NAME?</v>
      </c>
      <c r="G77" s="10" t="s">
        <v>7</v>
      </c>
    </row>
    <row r="78" spans="4:7" x14ac:dyDescent="0.25">
      <c r="D78" s="1" t="str">
        <v>01 Jan 2025 to 31 Dec 2025</v>
      </c>
      <c r="E78" s="76" t="str">
        <f>IF(ISBLANK($D78), 0, IF(ISNUMBER(SEARCH("reporting", $D78)), E54-$E$67, "Enter value"))</f>
        <v>Enter value</v>
      </c>
      <c r="F78" s="76" t="str">
        <f>IF(ISBLANK($D78), 0, IF(ISNUMBER(SEARCH("reporting", $D78)), F54-$E$67, "Enter value"))</f>
        <v>Enter value</v>
      </c>
      <c r="G78" s="10" t="s">
        <v>7</v>
      </c>
    </row>
    <row r="79" spans="4:7" x14ac:dyDescent="0.25">
      <c r="E79" s="76">
        <f>IF(ISBLANK($D79), 0, IF(ISNUMBER(SEARCH("reporting", $D79)), E55-$E$68, "Enter value"))</f>
        <v>0</v>
      </c>
      <c r="F79" s="76">
        <f>IF(ISBLANK($D79), 0, IF(ISNUMBER(SEARCH("reporting", $D79)), F55-$E$68, "Enter value"))</f>
        <v>0</v>
      </c>
      <c r="G79" s="10" t="s">
        <v>7</v>
      </c>
    </row>
    <row r="80" spans="4:7" x14ac:dyDescent="0.25">
      <c r="E80" s="76">
        <f>IF(ISBLANK($D80), 0, IF(ISNUMBER(SEARCH("reporting", $D80)), E56-$E$69, "Enter value"))</f>
        <v>0</v>
      </c>
      <c r="F80" s="76">
        <f>IF(ISBLANK($D80), 0, IF(ISNUMBER(SEARCH("reporting", $D80)), F56-$E$69, "Enter value"))</f>
        <v>0</v>
      </c>
      <c r="G80" s="10" t="s">
        <v>7</v>
      </c>
    </row>
    <row r="81" spans="4:7" x14ac:dyDescent="0.25">
      <c r="D81" s="94" t="s">
        <v>128</v>
      </c>
      <c r="E81" s="90" t="e">
        <f>SUM(E76:E80)</f>
        <v>#NAME?</v>
      </c>
      <c r="F81" s="90" t="e">
        <f>SUM(F76:F80)</f>
        <v>#NAME?</v>
      </c>
      <c r="G81" s="95" t="s">
        <v>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F1B67-59B8-47EB-891E-BAA3B5DA183C}">
  <sheetPr>
    <tabColor rgb="FFCC6600"/>
  </sheetPr>
  <dimension ref="A1:M16"/>
  <sheetViews>
    <sheetView showGridLines="0" zoomScaleNormal="100" workbookViewId="0">
      <selection activeCell="G44" sqref="G44"/>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1" customFormat="1" ht="25.5" x14ac:dyDescent="0.35">
      <c r="A1" s="11" t="e" vm="1">
        <v>#VALUE!</v>
      </c>
      <c r="C1" s="11" t="s">
        <v>173</v>
      </c>
    </row>
    <row r="2" spans="1:13" s="3" customFormat="1" x14ac:dyDescent="0.25"/>
    <row r="3" spans="1:13" ht="20.25" x14ac:dyDescent="0.25">
      <c r="C3" s="29"/>
      <c r="D3" s="29"/>
      <c r="E3" s="29"/>
      <c r="F3" s="29"/>
      <c r="G3" s="29"/>
      <c r="H3" s="29"/>
      <c r="I3" s="29"/>
      <c r="J3" s="29"/>
      <c r="K3" s="29"/>
      <c r="L3" s="29"/>
      <c r="M3" s="29"/>
    </row>
    <row r="5" spans="1:13" x14ac:dyDescent="0.25">
      <c r="D5" s="80" t="s">
        <v>174</v>
      </c>
    </row>
    <row r="6" spans="1:13" x14ac:dyDescent="0.25">
      <c r="D6" s="20" t="s">
        <v>175</v>
      </c>
      <c r="E6" s="20" t="s">
        <v>176</v>
      </c>
      <c r="F6" s="20" t="s">
        <v>177</v>
      </c>
      <c r="G6" s="20" t="s">
        <v>178</v>
      </c>
      <c r="H6" s="20" t="s">
        <v>179</v>
      </c>
      <c r="I6" s="20" t="s">
        <v>180</v>
      </c>
    </row>
    <row r="7" spans="1:13" x14ac:dyDescent="0.25">
      <c r="D7" s="34"/>
      <c r="E7" s="14"/>
      <c r="F7" s="81">
        <v>45566</v>
      </c>
      <c r="G7" s="20">
        <v>10</v>
      </c>
      <c r="H7" s="20">
        <v>500</v>
      </c>
      <c r="I7" s="16">
        <f t="shared" ref="I7:I16" si="0">G7*H7</f>
        <v>5000</v>
      </c>
    </row>
    <row r="8" spans="1:13" x14ac:dyDescent="0.25">
      <c r="D8" s="34"/>
      <c r="E8" s="14"/>
      <c r="F8" s="81"/>
      <c r="G8" s="20"/>
      <c r="H8" s="20"/>
      <c r="I8" s="16">
        <f t="shared" si="0"/>
        <v>0</v>
      </c>
    </row>
    <row r="9" spans="1:13" x14ac:dyDescent="0.25">
      <c r="D9" s="34"/>
      <c r="E9" s="14"/>
      <c r="F9" s="81"/>
      <c r="G9" s="20"/>
      <c r="H9" s="20"/>
      <c r="I9" s="16">
        <f t="shared" si="0"/>
        <v>0</v>
      </c>
    </row>
    <row r="10" spans="1:13" x14ac:dyDescent="0.25">
      <c r="D10" s="34"/>
      <c r="E10" s="14"/>
      <c r="F10" s="81"/>
      <c r="G10" s="20"/>
      <c r="H10" s="20"/>
      <c r="I10" s="16">
        <f t="shared" si="0"/>
        <v>0</v>
      </c>
    </row>
    <row r="11" spans="1:13" x14ac:dyDescent="0.25">
      <c r="D11" s="34"/>
      <c r="E11" s="14"/>
      <c r="F11" s="81"/>
      <c r="G11" s="20"/>
      <c r="H11" s="20"/>
      <c r="I11" s="16">
        <f t="shared" si="0"/>
        <v>0</v>
      </c>
    </row>
    <row r="12" spans="1:13" x14ac:dyDescent="0.25">
      <c r="D12" s="34"/>
      <c r="E12" s="14"/>
      <c r="F12" s="81"/>
      <c r="G12" s="20"/>
      <c r="H12" s="20"/>
      <c r="I12" s="16">
        <f t="shared" si="0"/>
        <v>0</v>
      </c>
    </row>
    <row r="13" spans="1:13" x14ac:dyDescent="0.25">
      <c r="D13" s="34"/>
      <c r="E13" s="14"/>
      <c r="F13" s="81"/>
      <c r="G13" s="20"/>
      <c r="H13" s="20"/>
      <c r="I13" s="16">
        <f t="shared" si="0"/>
        <v>0</v>
      </c>
    </row>
    <row r="14" spans="1:13" x14ac:dyDescent="0.25">
      <c r="D14" s="34"/>
      <c r="E14" s="14"/>
      <c r="F14" s="81"/>
      <c r="G14" s="20"/>
      <c r="H14" s="20"/>
      <c r="I14" s="16">
        <f t="shared" si="0"/>
        <v>0</v>
      </c>
    </row>
    <row r="15" spans="1:13" x14ac:dyDescent="0.25">
      <c r="D15" s="34"/>
      <c r="E15" s="14"/>
      <c r="F15" s="81"/>
      <c r="G15" s="20"/>
      <c r="H15" s="20"/>
      <c r="I15" s="16">
        <f t="shared" si="0"/>
        <v>0</v>
      </c>
    </row>
    <row r="16" spans="1:13" x14ac:dyDescent="0.25">
      <c r="D16" s="34"/>
      <c r="E16" s="14"/>
      <c r="F16" s="81"/>
      <c r="G16" s="20"/>
      <c r="H16" s="20"/>
      <c r="I16" s="16">
        <f t="shared" si="0"/>
        <v>0</v>
      </c>
    </row>
  </sheetData>
  <dataValidations disablePrompts="1" count="1">
    <dataValidation type="list" allowBlank="1" showInputMessage="1" showErrorMessage="1" sqref="E7:E16" xr:uid="{59D43099-548A-4C77-BC2D-53C0ECC78E95}">
      <formula1>INDIRECT("Table_LivestockClasses_Dairy[Livestock class]")</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10"/>
  <sheetViews>
    <sheetView showGridLines="0" zoomScaleNormal="100" workbookViewId="0">
      <selection activeCell="E11" sqref="E1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1" customFormat="1" ht="25.5" x14ac:dyDescent="0.35">
      <c r="A1" s="11" t="e" vm="1">
        <v>#VALUE!</v>
      </c>
      <c r="C1" s="11" t="s">
        <v>159</v>
      </c>
    </row>
    <row r="2" spans="1:11" s="3" customFormat="1" x14ac:dyDescent="0.25"/>
    <row r="3" spans="1:11" ht="20.25" x14ac:dyDescent="0.25">
      <c r="C3" s="29"/>
      <c r="D3" s="29"/>
      <c r="E3" s="29"/>
      <c r="F3" s="29"/>
      <c r="G3" s="29"/>
      <c r="H3" s="29"/>
      <c r="I3" s="29"/>
      <c r="J3" s="29"/>
      <c r="K3" s="29"/>
    </row>
    <row r="5" spans="1:11" x14ac:dyDescent="0.25">
      <c r="D5" s="70" t="s">
        <v>164</v>
      </c>
      <c r="E5" s="70"/>
      <c r="F5" s="70"/>
      <c r="G5" s="70"/>
    </row>
    <row r="6" spans="1:11" x14ac:dyDescent="0.25">
      <c r="F6" s="17"/>
    </row>
    <row r="7" spans="1:11" x14ac:dyDescent="0.25">
      <c r="D7" s="1" t="s">
        <v>160</v>
      </c>
      <c r="E7" s="16" t="s">
        <v>163</v>
      </c>
      <c r="F7" s="17"/>
    </row>
    <row r="8" spans="1:11" x14ac:dyDescent="0.25">
      <c r="D8" s="1" t="s">
        <v>161</v>
      </c>
      <c r="E8" s="16" t="s">
        <v>163</v>
      </c>
      <c r="F8" s="17"/>
    </row>
    <row r="9" spans="1:11" x14ac:dyDescent="0.25">
      <c r="D9" s="1" t="s">
        <v>64</v>
      </c>
      <c r="E9" s="16" t="e" cm="1">
        <f t="array" ref="E9">X_Cell_Pasture_IrrigationMethod</f>
        <v>#NAME?</v>
      </c>
    </row>
    <row r="10" spans="1:11" x14ac:dyDescent="0.25">
      <c r="D10" s="1" t="s">
        <v>162</v>
      </c>
      <c r="E10" s="16" t="e" cm="1">
        <f t="array" ref="E10">X_Cell_Pasture_AreaUnderPasture</f>
        <v>#NAME?</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532C-8540-44E5-8090-E452C3E8BF20}">
  <sheetPr>
    <tabColor rgb="FFCC6600"/>
  </sheetPr>
  <dimension ref="C1:M83"/>
  <sheetViews>
    <sheetView showGridLines="0" tabSelected="1" topLeftCell="A49" zoomScaleNormal="100" workbookViewId="0">
      <selection activeCell="D78" sqref="D78"/>
    </sheetView>
  </sheetViews>
  <sheetFormatPr defaultRowHeight="15.75" x14ac:dyDescent="0.25"/>
  <cols>
    <col min="1" max="1" width="30.7109375" customWidth="1"/>
    <col min="2" max="2" width="4.7109375" customWidth="1"/>
    <col min="3" max="3" width="4.7109375" style="1" customWidth="1"/>
    <col min="4" max="4" width="49" style="1" customWidth="1"/>
    <col min="5" max="7" width="47" style="1" customWidth="1"/>
    <col min="8" max="8" width="101.28515625" style="1" customWidth="1"/>
    <col min="9" max="9" width="74.5703125" style="1" customWidth="1"/>
    <col min="10" max="13" width="30.7109375" style="1" customWidth="1"/>
    <col min="14" max="14" width="30.7109375" customWidth="1"/>
  </cols>
  <sheetData>
    <row r="1" spans="3:13" s="11" customFormat="1" ht="25.5" x14ac:dyDescent="0.35">
      <c r="C1" s="11" t="s">
        <v>187</v>
      </c>
    </row>
    <row r="2" spans="3:13" s="3" customFormat="1" x14ac:dyDescent="0.25"/>
    <row r="3" spans="3:13" ht="20.25" x14ac:dyDescent="0.25">
      <c r="C3" s="29"/>
      <c r="D3" s="29"/>
      <c r="E3" s="29"/>
      <c r="F3" s="29"/>
      <c r="G3" s="29"/>
      <c r="H3" s="29"/>
      <c r="I3" s="29"/>
      <c r="J3" s="29"/>
      <c r="K3" s="29"/>
      <c r="L3" s="29"/>
      <c r="M3" s="29"/>
    </row>
    <row r="5" spans="3:13" ht="23.25" x14ac:dyDescent="0.25">
      <c r="D5" s="2" t="s">
        <v>283</v>
      </c>
    </row>
    <row r="7" spans="3:13" x14ac:dyDescent="0.25">
      <c r="D7" s="82" t="s">
        <v>284</v>
      </c>
      <c r="E7" s="82" t="s">
        <v>285</v>
      </c>
      <c r="F7" s="82" t="s">
        <v>286</v>
      </c>
      <c r="G7" s="82" t="s">
        <v>287</v>
      </c>
      <c r="H7" s="82" t="s">
        <v>188</v>
      </c>
      <c r="I7" s="82" t="s">
        <v>189</v>
      </c>
      <c r="J7" s="82" t="s">
        <v>190</v>
      </c>
    </row>
    <row r="8" spans="3:13" x14ac:dyDescent="0.25">
      <c r="D8" s="1" t="str">
        <f>"Milk produced"</f>
        <v>Milk produced</v>
      </c>
      <c r="E8" s="14"/>
      <c r="F8" s="14"/>
      <c r="G8" s="14"/>
      <c r="H8" s="98"/>
      <c r="I8" s="98"/>
      <c r="J8"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9" spans="3:13" x14ac:dyDescent="0.25">
      <c r="D9" s="1" t="str">
        <f>"Milk sold"</f>
        <v>Milk sold</v>
      </c>
      <c r="E9" s="14"/>
      <c r="F9" s="14"/>
      <c r="G9" s="14"/>
      <c r="H9" s="98"/>
      <c r="I9" s="98"/>
      <c r="J9"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10" spans="3:13" x14ac:dyDescent="0.25">
      <c r="D10" s="1" t="str">
        <f>"Liveweight sold"</f>
        <v>Liveweight sold</v>
      </c>
      <c r="E10" s="14" t="s">
        <v>288</v>
      </c>
      <c r="F10" s="14" t="s">
        <v>289</v>
      </c>
      <c r="G10" s="14" t="s">
        <v>290</v>
      </c>
      <c r="H10" s="98"/>
      <c r="I10" s="98"/>
      <c r="J10"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11" spans="3:13" x14ac:dyDescent="0.25">
      <c r="D11" s="1" t="str">
        <f>"Manure produced"</f>
        <v>Manure produced</v>
      </c>
      <c r="E11" s="14" t="s">
        <v>294</v>
      </c>
      <c r="F11" s="14" t="s">
        <v>295</v>
      </c>
      <c r="G11" s="14" t="s">
        <v>293</v>
      </c>
      <c r="H11" s="98"/>
      <c r="I11" s="98"/>
      <c r="J11"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2" spans="3:13" x14ac:dyDescent="0.25">
      <c r="D12" s="1" t="str">
        <f>"Manure sold"</f>
        <v>Manure sold</v>
      </c>
      <c r="E12" s="14" t="s">
        <v>296</v>
      </c>
      <c r="F12" s="14" t="s">
        <v>297</v>
      </c>
      <c r="G12" s="14" t="s">
        <v>298</v>
      </c>
      <c r="H12" s="98"/>
      <c r="I12" s="98"/>
      <c r="J12"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6</v>
      </c>
    </row>
    <row r="13" spans="3:13" x14ac:dyDescent="0.25">
      <c r="D13" s="1" t="str">
        <f>"Percent income from milk sold"</f>
        <v>Percent income from milk sold</v>
      </c>
      <c r="E13" s="14"/>
      <c r="F13" s="14"/>
      <c r="G13" s="14"/>
      <c r="H13" s="98"/>
      <c r="I13" s="98"/>
      <c r="J13"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14" spans="3:13" x14ac:dyDescent="0.25">
      <c r="D14" s="1" t="str">
        <f>"Percent income from liveweight sold"</f>
        <v>Percent income from liveweight sold</v>
      </c>
      <c r="E14" s="14" t="s">
        <v>299</v>
      </c>
      <c r="F14" s="14" t="s">
        <v>300</v>
      </c>
      <c r="G14" s="14" t="s">
        <v>301</v>
      </c>
      <c r="H14" s="98"/>
      <c r="I14" s="98"/>
      <c r="J14"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5" spans="3:13" x14ac:dyDescent="0.25">
      <c r="D15" s="1" t="str">
        <f>"Percent income from manure sold"</f>
        <v>Percent income from manure sold</v>
      </c>
      <c r="E15" s="14" t="s">
        <v>288</v>
      </c>
      <c r="F15" s="14" t="s">
        <v>292</v>
      </c>
      <c r="G15" s="14" t="s">
        <v>290</v>
      </c>
      <c r="H15" s="98"/>
      <c r="I15" s="98"/>
      <c r="J15"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7" spans="4:10" x14ac:dyDescent="0.25">
      <c r="J17" s="90">
        <f>SUM(Table_Input_DataQuality_Enterprise[Score])</f>
        <v>48</v>
      </c>
    </row>
    <row r="18" spans="4:10" ht="23.25" x14ac:dyDescent="0.25">
      <c r="D18" s="2" t="s">
        <v>302</v>
      </c>
    </row>
    <row r="20" spans="4:10" x14ac:dyDescent="0.25">
      <c r="D20" s="82" t="s">
        <v>284</v>
      </c>
      <c r="E20" s="82" t="s">
        <v>285</v>
      </c>
      <c r="F20" s="82" t="s">
        <v>286</v>
      </c>
      <c r="G20" s="82" t="s">
        <v>287</v>
      </c>
      <c r="H20" s="82" t="s">
        <v>188</v>
      </c>
      <c r="I20" s="82" t="s">
        <v>189</v>
      </c>
      <c r="J20" s="82" t="s">
        <v>190</v>
      </c>
    </row>
    <row r="21" spans="4:10" x14ac:dyDescent="0.25">
      <c r="D21" s="1" t="str">
        <f>"Leaching zone"</f>
        <v>Leaching zone</v>
      </c>
      <c r="E21" s="14" t="s">
        <v>291</v>
      </c>
      <c r="F21" s="14" t="s">
        <v>295</v>
      </c>
      <c r="G21" s="14" t="s">
        <v>290</v>
      </c>
      <c r="H21" s="98"/>
      <c r="I21" s="98"/>
      <c r="J21"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4:10" x14ac:dyDescent="0.25">
      <c r="D22" s="1" t="str">
        <f>"Elevation"</f>
        <v>Elevation</v>
      </c>
      <c r="E22" s="14" t="s">
        <v>291</v>
      </c>
      <c r="F22" s="14" t="s">
        <v>295</v>
      </c>
      <c r="G22" s="14" t="s">
        <v>290</v>
      </c>
      <c r="H22" s="98"/>
      <c r="I22" s="98"/>
      <c r="J22"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3" spans="4:10" x14ac:dyDescent="0.25">
      <c r="D23" s="1" t="str">
        <f>"Average temperature for reporting period"</f>
        <v>Average temperature for reporting period</v>
      </c>
      <c r="E23" s="14" t="s">
        <v>291</v>
      </c>
      <c r="F23" s="14" t="s">
        <v>295</v>
      </c>
      <c r="G23" s="14" t="s">
        <v>290</v>
      </c>
      <c r="H23" s="98"/>
      <c r="I23" s="98"/>
      <c r="J23"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4" spans="4:10" x14ac:dyDescent="0.25">
      <c r="D24" s="1" t="str">
        <f>"Total rainfall for reporting period"</f>
        <v>Total rainfall for reporting period</v>
      </c>
      <c r="E24" s="14" t="s">
        <v>288</v>
      </c>
      <c r="F24" s="14" t="s">
        <v>292</v>
      </c>
      <c r="G24" s="14" t="s">
        <v>290</v>
      </c>
      <c r="H24" s="98"/>
      <c r="I24" s="98"/>
      <c r="J24"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5" spans="4:10" x14ac:dyDescent="0.25">
      <c r="D25" s="1" t="str">
        <f>"Potential evapotranspiration for reporting period"</f>
        <v>Potential evapotranspiration for reporting period</v>
      </c>
      <c r="E25" s="14" t="s">
        <v>291</v>
      </c>
      <c r="F25" s="14" t="s">
        <v>295</v>
      </c>
      <c r="G25" s="14" t="s">
        <v>290</v>
      </c>
      <c r="H25" s="98"/>
      <c r="I25" s="98"/>
      <c r="J25"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6" spans="4:10" x14ac:dyDescent="0.25">
      <c r="D26" s="1" t="str">
        <f>"Number of frost days for reporting period"</f>
        <v>Number of frost days for reporting period</v>
      </c>
      <c r="E26" s="99" t="s">
        <v>294</v>
      </c>
      <c r="F26" s="99" t="s">
        <v>295</v>
      </c>
      <c r="G26" s="99" t="s">
        <v>290</v>
      </c>
      <c r="H26" s="98"/>
      <c r="I26" s="98"/>
      <c r="J26"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8" spans="4:10" x14ac:dyDescent="0.25">
      <c r="J28" s="90">
        <f>SUM(Table_Input_DataQuality_Site[Score])</f>
        <v>73</v>
      </c>
    </row>
    <row r="29" spans="4:10" ht="23.25" x14ac:dyDescent="0.25">
      <c r="D29" s="2" t="s">
        <v>309</v>
      </c>
    </row>
    <row r="31" spans="4:10" x14ac:dyDescent="0.25">
      <c r="D31" s="82" t="s">
        <v>284</v>
      </c>
      <c r="E31" s="82" t="s">
        <v>285</v>
      </c>
      <c r="F31" s="82" t="s">
        <v>286</v>
      </c>
      <c r="G31" s="82" t="s">
        <v>287</v>
      </c>
      <c r="H31" s="82" t="s">
        <v>188</v>
      </c>
      <c r="I31" s="82" t="s">
        <v>189</v>
      </c>
      <c r="J31" s="82" t="s">
        <v>190</v>
      </c>
    </row>
    <row r="32" spans="4:10" x14ac:dyDescent="0.25">
      <c r="D32" s="1" t="str">
        <f>"Cattle breed"</f>
        <v>Cattle breed</v>
      </c>
      <c r="E32" s="14" t="s">
        <v>288</v>
      </c>
      <c r="F32" s="14" t="s">
        <v>292</v>
      </c>
      <c r="G32" s="14" t="s">
        <v>290</v>
      </c>
      <c r="H32" s="98"/>
      <c r="I32" s="98"/>
      <c r="J32"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3" spans="4:10" x14ac:dyDescent="0.25">
      <c r="D33" s="1" t="str">
        <f>"Head count"</f>
        <v>Head count</v>
      </c>
      <c r="E33" s="14" t="s">
        <v>288</v>
      </c>
      <c r="F33" s="14" t="s">
        <v>292</v>
      </c>
      <c r="G33" s="14" t="s">
        <v>293</v>
      </c>
      <c r="H33" s="98"/>
      <c r="I33" s="98"/>
      <c r="J33"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4" spans="4:10" x14ac:dyDescent="0.25">
      <c r="D34" s="1" t="str">
        <f>"Liveweight"</f>
        <v>Liveweight</v>
      </c>
      <c r="E34" s="14" t="s">
        <v>288</v>
      </c>
      <c r="F34" s="14" t="s">
        <v>292</v>
      </c>
      <c r="G34" s="14" t="s">
        <v>303</v>
      </c>
      <c r="H34" s="98"/>
      <c r="I34" s="98"/>
      <c r="J34"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12</v>
      </c>
    </row>
    <row r="35" spans="4:10" x14ac:dyDescent="0.25">
      <c r="D35" s="1" t="str">
        <f>"Liveweight gain"</f>
        <v>Liveweight gain</v>
      </c>
      <c r="E35" s="14" t="s">
        <v>288</v>
      </c>
      <c r="F35" s="14" t="s">
        <v>292</v>
      </c>
      <c r="G35" s="14" t="s">
        <v>298</v>
      </c>
      <c r="H35" s="98"/>
      <c r="I35" s="98"/>
      <c r="J35"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11</v>
      </c>
    </row>
    <row r="36" spans="4:10" x14ac:dyDescent="0.25">
      <c r="D36" s="1" t="str">
        <f>"Dry matter digestibility of diet"</f>
        <v>Dry matter digestibility of diet</v>
      </c>
      <c r="E36" s="14" t="s">
        <v>288</v>
      </c>
      <c r="F36" s="99" t="s">
        <v>295</v>
      </c>
      <c r="G36" s="99" t="s">
        <v>301</v>
      </c>
      <c r="H36" s="98"/>
      <c r="I36" s="98"/>
      <c r="J36"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7" spans="4:10" x14ac:dyDescent="0.25">
      <c r="D37" s="1" t="str">
        <f>"Crude protein in diet"</f>
        <v>Crude protein in diet</v>
      </c>
      <c r="E37" s="14" t="s">
        <v>288</v>
      </c>
      <c r="F37" s="99" t="s">
        <v>295</v>
      </c>
      <c r="G37" s="99" t="s">
        <v>301</v>
      </c>
      <c r="H37" s="98"/>
      <c r="I37" s="98"/>
      <c r="J37"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8" spans="4:10" x14ac:dyDescent="0.25">
      <c r="D38" s="1" t="str">
        <f>"Production and manure management systems"</f>
        <v>Production and manure management systems</v>
      </c>
      <c r="E38" s="14" t="s">
        <v>288</v>
      </c>
      <c r="F38" s="99" t="s">
        <v>292</v>
      </c>
      <c r="G38" s="99" t="s">
        <v>290</v>
      </c>
      <c r="H38" s="98"/>
      <c r="I38" s="98"/>
      <c r="J38"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9" spans="4:10" x14ac:dyDescent="0.25">
      <c r="D39" s="1" t="str">
        <f>"Livestock sales"</f>
        <v>Livestock sales</v>
      </c>
      <c r="E39" s="14" t="s">
        <v>288</v>
      </c>
      <c r="F39" s="99" t="s">
        <v>292</v>
      </c>
      <c r="G39" s="99" t="s">
        <v>290</v>
      </c>
      <c r="H39" s="98"/>
      <c r="I39" s="98"/>
      <c r="J39"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0" spans="4:10" x14ac:dyDescent="0.25">
      <c r="D40" s="1" t="str">
        <f>"Livestock purchases"</f>
        <v>Livestock purchases</v>
      </c>
      <c r="E40" s="14" t="s">
        <v>288</v>
      </c>
      <c r="F40" s="99" t="s">
        <v>292</v>
      </c>
      <c r="G40" s="99" t="s">
        <v>290</v>
      </c>
      <c r="H40" s="98"/>
      <c r="I40" s="98"/>
      <c r="J40"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2" spans="4:10" x14ac:dyDescent="0.25">
      <c r="J42" s="90">
        <f>SUM(Table_Input_DataQuality_PastureBeef[Score])</f>
        <v>110</v>
      </c>
    </row>
    <row r="43" spans="4:10" ht="23.25" x14ac:dyDescent="0.25">
      <c r="D43" s="2" t="s">
        <v>304</v>
      </c>
    </row>
    <row r="45" spans="4:10" x14ac:dyDescent="0.25">
      <c r="D45" s="82" t="s">
        <v>284</v>
      </c>
      <c r="E45" s="82" t="s">
        <v>285</v>
      </c>
      <c r="F45" s="82" t="s">
        <v>286</v>
      </c>
      <c r="G45" s="82" t="s">
        <v>287</v>
      </c>
      <c r="H45" s="82" t="s">
        <v>188</v>
      </c>
      <c r="I45" s="82" t="s">
        <v>189</v>
      </c>
      <c r="J45" s="82" t="s">
        <v>190</v>
      </c>
    </row>
    <row r="46" spans="4:10" x14ac:dyDescent="0.25">
      <c r="D46" s="1" t="str">
        <f>"Pasture type"</f>
        <v>Pasture type</v>
      </c>
      <c r="E46" s="14" t="s">
        <v>288</v>
      </c>
      <c r="F46" s="14" t="s">
        <v>292</v>
      </c>
      <c r="G46" s="14" t="s">
        <v>290</v>
      </c>
      <c r="H46" s="98"/>
      <c r="I46" s="98"/>
      <c r="J46"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7" spans="4:10" x14ac:dyDescent="0.25">
      <c r="D47" s="1" t="str">
        <f>"Irrigation method"</f>
        <v>Irrigation method</v>
      </c>
      <c r="E47" s="14" t="s">
        <v>288</v>
      </c>
      <c r="F47" s="14" t="s">
        <v>292</v>
      </c>
      <c r="G47" s="14" t="s">
        <v>290</v>
      </c>
      <c r="H47" s="98"/>
      <c r="I47" s="98"/>
      <c r="J47"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8" spans="4:10" x14ac:dyDescent="0.25">
      <c r="D48" s="1" t="str">
        <f>"Area under pasture"</f>
        <v>Area under pasture</v>
      </c>
      <c r="E48" s="14" t="s">
        <v>288</v>
      </c>
      <c r="F48" s="14" t="s">
        <v>292</v>
      </c>
      <c r="G48" s="14" t="s">
        <v>290</v>
      </c>
      <c r="H48" s="98"/>
      <c r="I48" s="98"/>
      <c r="J48"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9" spans="4:10" x14ac:dyDescent="0.25">
      <c r="D49" s="1" t="str">
        <f>"Pasture yield"</f>
        <v>Pasture yield</v>
      </c>
      <c r="E49" s="14" t="s">
        <v>288</v>
      </c>
      <c r="F49" s="14" t="s">
        <v>297</v>
      </c>
      <c r="G49" s="14" t="s">
        <v>301</v>
      </c>
      <c r="H49" s="98"/>
      <c r="I49" s="98"/>
      <c r="J49"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8</v>
      </c>
    </row>
    <row r="50" spans="4:10" x14ac:dyDescent="0.25">
      <c r="D50" s="1" t="str">
        <f>"Area of pasture renewed or removed"</f>
        <v>Area of pasture renewed or removed</v>
      </c>
      <c r="E50" s="14" t="s">
        <v>288</v>
      </c>
      <c r="F50" s="14" t="s">
        <v>292</v>
      </c>
      <c r="G50" s="14" t="s">
        <v>290</v>
      </c>
      <c r="H50" s="98"/>
      <c r="I50" s="98"/>
      <c r="J50"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2" spans="4:10" x14ac:dyDescent="0.25">
      <c r="J52" s="90">
        <f>SUM(Table_Input_DataQuality_PastureManagement[Score])</f>
        <v>64</v>
      </c>
    </row>
    <row r="53" spans="4:10" ht="23.25" x14ac:dyDescent="0.25">
      <c r="D53" s="2" t="s">
        <v>305</v>
      </c>
    </row>
    <row r="55" spans="4:10" x14ac:dyDescent="0.25">
      <c r="D55" s="82" t="s">
        <v>284</v>
      </c>
      <c r="E55" s="82" t="s">
        <v>285</v>
      </c>
      <c r="F55" s="82" t="s">
        <v>286</v>
      </c>
      <c r="G55" s="82" t="s">
        <v>287</v>
      </c>
      <c r="H55" s="82" t="s">
        <v>188</v>
      </c>
      <c r="I55" s="82" t="s">
        <v>189</v>
      </c>
      <c r="J55" s="82" t="s">
        <v>190</v>
      </c>
    </row>
    <row r="56" spans="4:10" x14ac:dyDescent="0.25">
      <c r="D56" s="1" t="str">
        <f>"Branded inorganic fertiliser applications"</f>
        <v>Branded inorganic fertiliser applications</v>
      </c>
      <c r="E56" s="14" t="s">
        <v>288</v>
      </c>
      <c r="F56" s="14" t="s">
        <v>292</v>
      </c>
      <c r="G56" s="14" t="s">
        <v>293</v>
      </c>
      <c r="H56" s="98"/>
      <c r="I56" s="98"/>
      <c r="J56"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13</v>
      </c>
    </row>
    <row r="57" spans="4:10" x14ac:dyDescent="0.25">
      <c r="D57" s="1" t="str">
        <f>"Custom inorganic fertiliser blend applications"</f>
        <v>Custom inorganic fertiliser blend applications</v>
      </c>
      <c r="E57" s="14" t="s">
        <v>288</v>
      </c>
      <c r="F57" s="14" t="s">
        <v>292</v>
      </c>
      <c r="G57" s="14" t="s">
        <v>290</v>
      </c>
      <c r="H57" s="98"/>
      <c r="I57" s="98"/>
      <c r="J57"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58" spans="4:10" x14ac:dyDescent="0.25">
      <c r="D58" s="1" t="str">
        <f>"Lime applications"</f>
        <v>Lime applications</v>
      </c>
      <c r="E58" s="14" t="s">
        <v>288</v>
      </c>
      <c r="F58" s="14" t="s">
        <v>292</v>
      </c>
      <c r="G58" s="14" t="s">
        <v>290</v>
      </c>
      <c r="H58" s="98"/>
      <c r="I58" s="98"/>
      <c r="J58"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59" spans="4:10" x14ac:dyDescent="0.25">
      <c r="D59" s="1" t="str">
        <f>"Organic fertiliser applications"</f>
        <v>Organic fertiliser applications</v>
      </c>
      <c r="E59" s="14" t="s">
        <v>288</v>
      </c>
      <c r="F59" s="14" t="s">
        <v>292</v>
      </c>
      <c r="G59" s="14" t="s">
        <v>290</v>
      </c>
      <c r="H59" s="98"/>
      <c r="I59" s="98"/>
      <c r="J59"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1" spans="4:10" x14ac:dyDescent="0.25">
      <c r="J61" s="90">
        <f>SUM(Table_Input_DataQuality_FertiliserApplications[Score])</f>
        <v>55</v>
      </c>
    </row>
    <row r="62" spans="4:10" ht="23.25" x14ac:dyDescent="0.25">
      <c r="D62" s="2" t="s">
        <v>306</v>
      </c>
    </row>
    <row r="64" spans="4:10" x14ac:dyDescent="0.25">
      <c r="D64" s="82" t="s">
        <v>284</v>
      </c>
      <c r="E64" s="82" t="s">
        <v>285</v>
      </c>
      <c r="F64" s="82" t="s">
        <v>286</v>
      </c>
      <c r="G64" s="82" t="s">
        <v>287</v>
      </c>
      <c r="H64" s="82" t="s">
        <v>188</v>
      </c>
      <c r="I64" s="82" t="s">
        <v>189</v>
      </c>
      <c r="J64" s="82" t="s">
        <v>190</v>
      </c>
    </row>
    <row r="65" spans="4:10" x14ac:dyDescent="0.25">
      <c r="D65" s="1" t="str">
        <f>"Fuel purchases"</f>
        <v>Fuel purchases</v>
      </c>
      <c r="E65" s="14" t="s">
        <v>288</v>
      </c>
      <c r="F65" s="14" t="s">
        <v>292</v>
      </c>
      <c r="G65" s="14" t="s">
        <v>293</v>
      </c>
      <c r="H65" s="98"/>
      <c r="I65" s="98"/>
      <c r="J65"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66" spans="4:10" x14ac:dyDescent="0.25">
      <c r="D66" s="1" t="str">
        <f>"Fuel consumption"</f>
        <v>Fuel consumption</v>
      </c>
      <c r="E66" s="14" t="s">
        <v>288</v>
      </c>
      <c r="F66" s="14" t="s">
        <v>292</v>
      </c>
      <c r="G66" s="14" t="s">
        <v>290</v>
      </c>
      <c r="H66" s="98"/>
      <c r="I66" s="98"/>
      <c r="J66"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7" spans="4:10" x14ac:dyDescent="0.25">
      <c r="D67" s="1" t="str">
        <f>"Electricity consumption"</f>
        <v>Electricity consumption</v>
      </c>
      <c r="E67" s="14" t="s">
        <v>288</v>
      </c>
      <c r="F67" s="14" t="s">
        <v>292</v>
      </c>
      <c r="G67" s="14" t="s">
        <v>290</v>
      </c>
      <c r="H67" s="98"/>
      <c r="I67" s="98"/>
      <c r="J67"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8" spans="4:10" x14ac:dyDescent="0.25">
      <c r="D68" s="1" t="str">
        <f>"Electricity generation"</f>
        <v>Electricity generation</v>
      </c>
      <c r="E68" s="14" t="s">
        <v>288</v>
      </c>
      <c r="F68" s="14" t="s">
        <v>292</v>
      </c>
      <c r="G68" s="14" t="s">
        <v>290</v>
      </c>
      <c r="H68" s="98"/>
      <c r="I68" s="98"/>
      <c r="J68"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70" spans="4:10" x14ac:dyDescent="0.25">
      <c r="J70" s="90">
        <f>SUM(Table_Input_DataQuality_FuelElectricity[Score])</f>
        <v>55</v>
      </c>
    </row>
    <row r="72" spans="4:10" ht="23.25" x14ac:dyDescent="0.25">
      <c r="D72" s="2" t="s">
        <v>307</v>
      </c>
    </row>
    <row r="74" spans="4:10" x14ac:dyDescent="0.25">
      <c r="D74" s="82" t="s">
        <v>284</v>
      </c>
      <c r="E74" s="82" t="s">
        <v>285</v>
      </c>
      <c r="F74" s="82" t="s">
        <v>286</v>
      </c>
      <c r="G74" s="82" t="s">
        <v>287</v>
      </c>
      <c r="H74" s="82" t="s">
        <v>188</v>
      </c>
      <c r="I74" s="82" t="s">
        <v>189</v>
      </c>
      <c r="J74" s="82" t="s">
        <v>190</v>
      </c>
    </row>
    <row r="75" spans="4:10" x14ac:dyDescent="0.25">
      <c r="D75" s="1" t="str">
        <f>"Farm input purchases"</f>
        <v>Farm input purchases</v>
      </c>
      <c r="E75" s="14" t="s">
        <v>288</v>
      </c>
      <c r="F75" s="14" t="s">
        <v>292</v>
      </c>
      <c r="G75" s="14" t="s">
        <v>293</v>
      </c>
      <c r="H75" s="98"/>
      <c r="I75" s="98"/>
      <c r="J75"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76" spans="4:10" x14ac:dyDescent="0.25">
      <c r="D76" s="1" t="str">
        <f>"Inbound freight use"</f>
        <v>Inbound freight use</v>
      </c>
      <c r="E76" s="14" t="s">
        <v>288</v>
      </c>
      <c r="F76" s="14" t="s">
        <v>292</v>
      </c>
      <c r="G76" s="14" t="s">
        <v>290</v>
      </c>
      <c r="H76" s="98"/>
      <c r="I76" s="98"/>
      <c r="J76"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7" spans="4:10" x14ac:dyDescent="0.25">
      <c r="D77" s="1" t="str">
        <f>"Outbound freight use"</f>
        <v>Outbound freight use</v>
      </c>
      <c r="E77" s="14" t="s">
        <v>288</v>
      </c>
      <c r="F77" s="14" t="s">
        <v>292</v>
      </c>
      <c r="G77" s="14" t="s">
        <v>290</v>
      </c>
      <c r="H77" s="98"/>
      <c r="I77" s="98"/>
      <c r="J77"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8" spans="4:10" x14ac:dyDescent="0.25">
      <c r="D78" s="1" t="str">
        <f>"Use of contractors and service providers"</f>
        <v>Use of contractors and service providers</v>
      </c>
      <c r="E78" s="14"/>
      <c r="F78" s="14"/>
      <c r="G78" s="14"/>
      <c r="H78" s="98"/>
      <c r="I78" s="98"/>
      <c r="J78"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0</v>
      </c>
    </row>
    <row r="79" spans="4:10" x14ac:dyDescent="0.25">
      <c r="D79" s="1" t="str">
        <f>"Solid waste generation and treatment"</f>
        <v>Solid waste generation and treatment</v>
      </c>
      <c r="E79" s="14" t="s">
        <v>288</v>
      </c>
      <c r="F79" s="14" t="s">
        <v>292</v>
      </c>
      <c r="G79" s="14" t="s">
        <v>290</v>
      </c>
      <c r="H79" s="98"/>
      <c r="I79" s="98"/>
      <c r="J79"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81" spans="4:10" x14ac:dyDescent="0.25">
      <c r="J81" s="90">
        <f>SUM(Table_Input_DataQuality_FarmInputsFreightWaste[Score])</f>
        <v>55</v>
      </c>
    </row>
    <row r="83" spans="4:10" ht="20.25" x14ac:dyDescent="0.25">
      <c r="D83" s="89" t="s">
        <v>308</v>
      </c>
      <c r="E83" s="92" t="str">
        <f>(J17+J28+J42+J52+J61+J70+J81)&amp;" out of "&amp;((COUNT(Table_Input_DataQuality_Enterprise[Score])*15)+(COUNT(Table_Input_DataQuality_Site[Score])*15)+(COUNT(Table_Input_DataQuality_PastureBeef[Score])*15)+(COUNT(Table_Input_DataQuality_PastureManagement[Score])*15)+(COUNT(Table_Input_DataQuality_FertiliserApplications[Score])*15)+(COUNT(Table_Input_DataQuality_FuelElectricity[Score])*15)+(COUNT(Table_Input_DataQuality_FarmInputsFreightWaste[Score])*15))</f>
        <v>460 out of 615</v>
      </c>
    </row>
  </sheetData>
  <dataValidations count="3">
    <dataValidation type="list" allowBlank="1" showInputMessage="1" showErrorMessage="1" sqref="G21:G26 G46:G50 G56:G59 G65:G68 G8:G15 G32:G40 G75:G79" xr:uid="{7348BC45-1F0E-4593-B1ED-28F0AA15AB79}">
      <formula1>INDIRECT("Table_SourceData_DataQuality_SampleSize[User friendly description]")</formula1>
    </dataValidation>
    <dataValidation type="list" allowBlank="1" showInputMessage="1" showErrorMessage="1" sqref="E21:E26 E46:E50 E56:E59 E65:E68 E8:E15 E32:E40 E75:E79" xr:uid="{BE274FAF-348C-4753-980A-995BBEF645F7}">
      <formula1>INDIRECT("Table_SourceData_DataQuality_TemporalRepresentativeness[User friendly description]")</formula1>
    </dataValidation>
    <dataValidation type="list" allowBlank="1" showInputMessage="1" showErrorMessage="1" sqref="F21:F26 F46:F50 F56:F59 F65:F68 F8:F15 F32:F40 F75:F79" xr:uid="{451D8DCB-BDE7-4E2E-8470-02EAA8EBEF42}">
      <formula1>INDIRECT("Table_SourceData_DataQuality_SpatialRepresentativeness[User friendly description]")</formula1>
    </dataValidation>
  </dataValidations>
  <pageMargins left="0.7" right="0.7" top="0.75" bottom="0.75" header="0.3" footer="0.3"/>
  <tableParts count="7">
    <tablePart r:id="rId1"/>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BCD3A-3A3D-4316-924F-18DA0DDB7C4E}">
  <sheetPr>
    <tabColor theme="2" tint="-0.499984740745262"/>
  </sheetPr>
  <dimension ref="A1:BY297"/>
  <sheetViews>
    <sheetView showGridLines="0" topLeftCell="A271" zoomScaleNormal="100" workbookViewId="0">
      <selection activeCell="D292" sqref="D292:D297"/>
    </sheetView>
  </sheetViews>
  <sheetFormatPr defaultColWidth="9.140625" defaultRowHeight="15.75" x14ac:dyDescent="0.25"/>
  <cols>
    <col min="1" max="1" width="30.7109375" style="22" customWidth="1"/>
    <col min="2" max="2" width="2.7109375" style="2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2" customWidth="1"/>
    <col min="34" max="39" width="21.85546875" style="22" customWidth="1"/>
    <col min="40" max="44" width="20.7109375" style="22" customWidth="1"/>
    <col min="45" max="65" width="9.140625" style="22"/>
    <col min="66" max="16384" width="9.140625" style="25"/>
  </cols>
  <sheetData>
    <row r="1" spans="1:65" s="21" customFormat="1" ht="30" customHeight="1" x14ac:dyDescent="0.35">
      <c r="A1" s="21" t="e" vm="1">
        <v>#VALUE!</v>
      </c>
      <c r="C1" s="21" t="s">
        <v>21</v>
      </c>
    </row>
    <row r="2" spans="1:65" s="3" customFormat="1" ht="20.100000000000001" customHeight="1" x14ac:dyDescent="0.25">
      <c r="A2"/>
    </row>
    <row r="3" spans="1:65"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c r="V3" s="24"/>
      <c r="W3" s="24"/>
    </row>
    <row r="4" spans="1:65" ht="20.100000000000001" customHeight="1" x14ac:dyDescent="0.25">
      <c r="A4"/>
      <c r="BM4" s="25"/>
    </row>
    <row r="5" spans="1:65" ht="20.100000000000001" customHeight="1" x14ac:dyDescent="0.25">
      <c r="A5"/>
      <c r="D5" s="2" t="str" cm="1">
        <f t="array" ref="D5">Common_SourceData.Common_SourceData_AustralianStatesTerritories_Title()</f>
        <v>Australian states and territories</v>
      </c>
      <c r="BM5" s="25"/>
    </row>
    <row r="6" spans="1:65" ht="20.100000000000001" customHeight="1" x14ac:dyDescent="0.25">
      <c r="A6" s="84" t="s">
        <v>2</v>
      </c>
      <c r="D6" s="20" t="s">
        <v>22</v>
      </c>
      <c r="E6" s="20" t="s">
        <v>23</v>
      </c>
      <c r="F6" s="20" t="s">
        <v>24</v>
      </c>
    </row>
    <row r="7" spans="1:65" ht="20.100000000000001" customHeight="1" x14ac:dyDescent="0.25">
      <c r="A7" s="85" t="str">
        <f>HYPERLINK("#'Constants - Common'!A1", "Constants - Common")</f>
        <v>Constants - Common</v>
      </c>
      <c r="D7" s="20" t="str" cm="1">
        <f t="array" ref="D7">Common_InputFunctions.Utility_DisplayArrayInTable(Common_SourceData.Common_SourceData_AustralianStatesTerritories_Data(),Table_AustralianStates[[#Headers],[State/Territory]],0)</f>
        <v>New South Wales</v>
      </c>
      <c r="E7" s="20" t="str" cm="1">
        <f t="array" ref="E7">Common_InputFunctions.Utility_DisplayArrayInTable(Common_SourceData.Common_SourceData_AustralianStatesTerritories_Data(),Table_AustralianStates[[#Headers],[State/Territory]],0)</f>
        <v>New South Wales</v>
      </c>
      <c r="F7" s="20" t="str" cm="1">
        <f t="array" ref="F7">Common_InputFunctions.Utility_DisplayArrayInTable(Common_SourceData.Common_SourceData_AustralianStatesTerritories_Data(),Table_AustralianStates[[#Headers],[State/Territory]],0)</f>
        <v>NSW</v>
      </c>
    </row>
    <row r="8" spans="1:65" ht="20.100000000000001" customHeight="1" x14ac:dyDescent="0.25">
      <c r="A8" s="5" t="str">
        <f>HYPERLINK("#'Acknowledgements'!A1", "Acknowledgements")</f>
        <v>Acknowledgements</v>
      </c>
      <c r="D8" s="20" t="str" cm="1">
        <f t="array" ref="D8">Common_InputFunctions.Utility_DisplayArrayInTable(Common_SourceData.Common_SourceData_AustralianStatesTerritories_Data(),Table_AustralianStates[[#Headers],[State/Territory]],0)</f>
        <v>Australian Capital Territory</v>
      </c>
      <c r="E8" s="20" t="str" cm="1">
        <f t="array" ref="E8">Common_InputFunctions.Utility_DisplayArrayInTable(Common_SourceData.Common_SourceData_AustralianStatesTerritories_Data(),Table_AustralianStates[[#Headers],[State/Territory]],0)</f>
        <v>ACT</v>
      </c>
      <c r="F8" s="20" t="str" cm="1">
        <f t="array" ref="F8">Common_InputFunctions.Utility_DisplayArrayInTable(Common_SourceData.Common_SourceData_AustralianStatesTerritories_Data(),Table_AustralianStates[[#Headers],[State/Territory]],0)</f>
        <v>ACT</v>
      </c>
    </row>
    <row r="9" spans="1:65" ht="20.100000000000001" customHeight="1" x14ac:dyDescent="0.25">
      <c r="A9"/>
      <c r="D9" s="20" t="str" cm="1">
        <f t="array" ref="D9">Common_InputFunctions.Utility_DisplayArrayInTable(Common_SourceData.Common_SourceData_AustralianStatesTerritories_Data(),Table_AustralianStates[[#Headers],[State/Territory]],0)</f>
        <v>Victoria</v>
      </c>
      <c r="E9" s="20" t="str" cm="1">
        <f t="array" ref="E9">Common_InputFunctions.Utility_DisplayArrayInTable(Common_SourceData.Common_SourceData_AustralianStatesTerritories_Data(),Table_AustralianStates[[#Headers],[State/Territory]],0)</f>
        <v>Victoria</v>
      </c>
      <c r="F9" s="20"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0" t="str" cm="1">
        <f t="array" ref="D10">Common_InputFunctions.Utility_DisplayArrayInTable(Common_SourceData.Common_SourceData_AustralianStatesTerritories_Data(),Table_AustralianStates[[#Headers],[State/Territory]],0)</f>
        <v>Queensland</v>
      </c>
      <c r="E10" s="20" t="str" cm="1">
        <f t="array" ref="E10">Common_InputFunctions.Utility_DisplayArrayInTable(Common_SourceData.Common_SourceData_AustralianStatesTerritories_Data(),Table_AustralianStates[[#Headers],[State/Territory]],0)</f>
        <v>Queensland</v>
      </c>
      <c r="F10" s="20"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0" t="str" cm="1">
        <f t="array" ref="D11">Common_InputFunctions.Utility_DisplayArrayInTable(Common_SourceData.Common_SourceData_AustralianStatesTerritories_Data(),Table_AustralianStates[[#Headers],[State/Territory]],0)</f>
        <v>South Australia</v>
      </c>
      <c r="E11" s="20" t="str" cm="1">
        <f t="array" ref="E11">Common_InputFunctions.Utility_DisplayArrayInTable(Common_SourceData.Common_SourceData_AustralianStatesTerritories_Data(),Table_AustralianStates[[#Headers],[State/Territory]],0)</f>
        <v>South Australia</v>
      </c>
      <c r="F11" s="20" t="str" cm="1">
        <f t="array" ref="F11">Common_InputFunctions.Utility_DisplayArrayInTable(Common_SourceData.Common_SourceData_AustralianStatesTerritories_Data(),Table_AustralianStates[[#Headers],[State/Territory]],0)</f>
        <v>SA</v>
      </c>
      <c r="BM11" s="25"/>
    </row>
    <row r="12" spans="1:65" ht="20.100000000000001" customHeight="1" x14ac:dyDescent="0.25">
      <c r="A12"/>
      <c r="D12" s="20" t="str" cm="1">
        <f t="array" ref="D12">Common_InputFunctions.Utility_DisplayArrayInTable(Common_SourceData.Common_SourceData_AustralianStatesTerritories_Data(),Table_AustralianStates[[#Headers],[State/Territory]],0)</f>
        <v>Western Australia</v>
      </c>
      <c r="E12" s="20" t="str" cm="1">
        <f t="array" ref="E12">Common_InputFunctions.Utility_DisplayArrayInTable(Common_SourceData.Common_SourceData_AustralianStatesTerritories_Data(),Table_AustralianStates[[#Headers],[State/Territory]],0)</f>
        <v>Western Australia</v>
      </c>
      <c r="F12" s="20" t="str" cm="1">
        <f t="array" ref="F12">Common_InputFunctions.Utility_DisplayArrayInTable(Common_SourceData.Common_SourceData_AustralianStatesTerritories_Data(),Table_AustralianStates[[#Headers],[State/Territory]],0)</f>
        <v>WA</v>
      </c>
      <c r="BM12" s="25"/>
    </row>
    <row r="13" spans="1:65" ht="20.100000000000001" customHeight="1" x14ac:dyDescent="0.25">
      <c r="A13"/>
      <c r="D13" s="20" t="str" cm="1">
        <f t="array" ref="D13">Common_InputFunctions.Utility_DisplayArrayInTable(Common_SourceData.Common_SourceData_AustralianStatesTerritories_Data(),Table_AustralianStates[[#Headers],[State/Territory]],0)</f>
        <v>Tasmania</v>
      </c>
      <c r="E13" s="20" t="str" cm="1">
        <f t="array" ref="E13">Common_InputFunctions.Utility_DisplayArrayInTable(Common_SourceData.Common_SourceData_AustralianStatesTerritories_Data(),Table_AustralianStates[[#Headers],[State/Territory]],0)</f>
        <v>Tasmania</v>
      </c>
      <c r="F13" s="20"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0" t="str" cm="1">
        <f t="array" ref="D14">Common_InputFunctions.Utility_DisplayArrayInTable(Common_SourceData.Common_SourceData_AustralianStatesTerritories_Data(),Table_AustralianStates[[#Headers],[State/Territory]],0)</f>
        <v>Northern Territory</v>
      </c>
      <c r="E14" s="20" t="str" cm="1">
        <f t="array" ref="E14">Common_InputFunctions.Utility_DisplayArrayInTable(Common_SourceData.Common_SourceData_AustralianStatesTerritories_Data(),Table_AustralianStates[[#Headers],[State/Territory]],0)</f>
        <v>Northern Territory</v>
      </c>
      <c r="F14" s="20"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18" t="str" cm="1">
        <f t="array" ref="D19">Common_SourceData.Common_SourceData_WASA4Areas_Source()</f>
        <v>Australian Bureau of Statistics (ABS) - Statistical Areas Level 2 - 2021 - Shapefile</v>
      </c>
    </row>
    <row r="20" spans="1:4" ht="20.100000000000001" customHeight="1" x14ac:dyDescent="0.25">
      <c r="A20"/>
      <c r="D20" s="20" t="s">
        <v>25</v>
      </c>
    </row>
    <row r="21" spans="1:4" ht="20.100000000000001" customHeight="1" x14ac:dyDescent="0.25">
      <c r="A21"/>
      <c r="D21" s="20" t="str" cm="1">
        <f t="array" ref="D21">Common_InputFunctions.Utility_DisplayArrayInTable(Common_SourceData.Common_SourceData_WASA4Areas_Data(), Table_WASA4Areas[[#Headers],[SA 4 Name]], 0)</f>
        <v>Bunbury</v>
      </c>
    </row>
    <row r="22" spans="1:4" ht="20.100000000000001" customHeight="1" x14ac:dyDescent="0.25">
      <c r="A22"/>
      <c r="D22" s="20" t="str" cm="1">
        <f t="array" ref="D22">Common_InputFunctions.Utility_DisplayArrayInTable(Common_SourceData.Common_SourceData_WASA4Areas_Data(), Table_WASA4Areas[[#Headers],[SA 4 Name]], 0)</f>
        <v>Mandurah</v>
      </c>
    </row>
    <row r="23" spans="1:4" ht="20.100000000000001" customHeight="1" x14ac:dyDescent="0.25">
      <c r="A23"/>
      <c r="D23" s="20" t="str" cm="1">
        <f t="array" ref="D23">Common_InputFunctions.Utility_DisplayArrayInTable(Common_SourceData.Common_SourceData_WASA4Areas_Data(), Table_WASA4Areas[[#Headers],[SA 4 Name]], 0)</f>
        <v>Perth - Inner</v>
      </c>
    </row>
    <row r="24" spans="1:4" ht="20.100000000000001" customHeight="1" x14ac:dyDescent="0.25">
      <c r="A24"/>
      <c r="D24" s="20" t="str" cm="1">
        <f t="array" ref="D24">Common_InputFunctions.Utility_DisplayArrayInTable(Common_SourceData.Common_SourceData_WASA4Areas_Data(), Table_WASA4Areas[[#Headers],[SA 4 Name]], 0)</f>
        <v>Perth - North East</v>
      </c>
    </row>
    <row r="25" spans="1:4" ht="20.100000000000001" customHeight="1" x14ac:dyDescent="0.25">
      <c r="A25"/>
      <c r="D25" s="20" t="str" cm="1">
        <f t="array" ref="D25">Common_InputFunctions.Utility_DisplayArrayInTable(Common_SourceData.Common_SourceData_WASA4Areas_Data(), Table_WASA4Areas[[#Headers],[SA 4 Name]], 0)</f>
        <v>Perth - North West</v>
      </c>
    </row>
    <row r="26" spans="1:4" ht="20.100000000000001" customHeight="1" x14ac:dyDescent="0.25">
      <c r="A26"/>
      <c r="D26" s="20" t="str" cm="1">
        <f t="array" ref="D26">Common_InputFunctions.Utility_DisplayArrayInTable(Common_SourceData.Common_SourceData_WASA4Areas_Data(), Table_WASA4Areas[[#Headers],[SA 4 Name]], 0)</f>
        <v>Perth - South East</v>
      </c>
    </row>
    <row r="27" spans="1:4" ht="20.100000000000001" customHeight="1" x14ac:dyDescent="0.25">
      <c r="A27"/>
      <c r="D27" s="20" t="str" cm="1">
        <f t="array" ref="D27">Common_InputFunctions.Utility_DisplayArrayInTable(Common_SourceData.Common_SourceData_WASA4Areas_Data(), Table_WASA4Areas[[#Headers],[SA 4 Name]], 0)</f>
        <v>Perth - South West</v>
      </c>
    </row>
    <row r="28" spans="1:4" ht="20.100000000000001" customHeight="1" x14ac:dyDescent="0.25">
      <c r="A28"/>
      <c r="D28" s="20"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0"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0"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18" t="str" cm="1">
        <f t="array" ref="D35">Common_SourceData.Common_SourceData_GWP_Source()</f>
        <v>XXXXXXX</v>
      </c>
    </row>
    <row r="36" spans="1:8" ht="20.100000000000001" customHeight="1" x14ac:dyDescent="0.25">
      <c r="A36"/>
      <c r="D36" s="20" t="s">
        <v>26</v>
      </c>
      <c r="E36" s="20" t="s">
        <v>27</v>
      </c>
    </row>
    <row r="37" spans="1:8" ht="20.100000000000001" customHeight="1" x14ac:dyDescent="0.25">
      <c r="A37"/>
      <c r="D37" s="20" t="str" cm="1">
        <f t="array" ref="D37">Common_InputFunctions.Utility_DisplayArrayInTable(Common_SourceData.Common_SourceData_GWP_Data(), Table_GWPData[[#Headers],[Gas]], 0)</f>
        <v>CO2</v>
      </c>
      <c r="E37" s="20" cm="1">
        <f t="array" ref="E37">Common_InputFunctions.Utility_DisplayArrayInTable(Common_SourceData.Common_SourceData_GWP_Data(), Table_GWPData[[#Headers],[Gas]], 0)</f>
        <v>1</v>
      </c>
    </row>
    <row r="38" spans="1:8" ht="20.100000000000001" customHeight="1" x14ac:dyDescent="0.25">
      <c r="A38"/>
      <c r="D38" s="20" t="str" cm="1">
        <f t="array" ref="D38">Common_InputFunctions.Utility_DisplayArrayInTable(Common_SourceData.Common_SourceData_GWP_Data(), Table_GWPData[[#Headers],[Gas]], 0)</f>
        <v>CH4</v>
      </c>
      <c r="E38" s="20" cm="1">
        <f t="array" ref="E38">Common_InputFunctions.Utility_DisplayArrayInTable(Common_SourceData.Common_SourceData_GWP_Data(), Table_GWPData[[#Headers],[Gas]], 0)</f>
        <v>28</v>
      </c>
    </row>
    <row r="39" spans="1:8" ht="20.100000000000001" customHeight="1" x14ac:dyDescent="0.25">
      <c r="A39"/>
      <c r="D39" s="20" t="str" cm="1">
        <f t="array" ref="D39">Common_InputFunctions.Utility_DisplayArrayInTable(Common_SourceData.Common_SourceData_GWP_Data(), Table_GWPData[[#Headers],[Gas]], 0)</f>
        <v>N2O</v>
      </c>
      <c r="E39" s="20" cm="1">
        <f t="array" ref="E39">Common_InputFunctions.Utility_DisplayArrayInTable(Common_SourceData.Common_SourceData_GWP_Data(), Table_GWPData[[#Headers],[Gas]], 0)</f>
        <v>265</v>
      </c>
    </row>
    <row r="40" spans="1:8" ht="20.100000000000001" customHeight="1" x14ac:dyDescent="0.25">
      <c r="A40"/>
      <c r="D40" s="20" t="str" cm="1">
        <f t="array" ref="D40">Common_InputFunctions.Utility_DisplayArrayInTable(Common_SourceData.Common_SourceData_GWP_Data(), Table_GWPData[[#Headers],[Gas]], 0)</f>
        <v>CF4</v>
      </c>
      <c r="E40" s="20" cm="1">
        <f t="array" ref="E40">Common_InputFunctions.Utility_DisplayArrayInTable(Common_SourceData.Common_SourceData_GWP_Data(), Table_GWPData[[#Headers],[Gas]], 0)</f>
        <v>6630</v>
      </c>
    </row>
    <row r="41" spans="1:8" ht="20.100000000000001" customHeight="1" x14ac:dyDescent="0.25">
      <c r="A41"/>
      <c r="D41" s="20" t="str" cm="1">
        <f t="array" ref="D41">Common_InputFunctions.Utility_DisplayArrayInTable(Common_SourceData.Common_SourceData_GWP_Data(), Table_GWPData[[#Headers],[Gas]], 0)</f>
        <v>C2F6</v>
      </c>
      <c r="E41" s="20" cm="1">
        <f t="array" ref="E41">Common_InputFunctions.Utility_DisplayArrayInTable(Common_SourceData.Common_SourceData_GWP_Data(), Table_GWPData[[#Headers],[Gas]], 0)</f>
        <v>12200</v>
      </c>
    </row>
    <row r="42" spans="1:8" ht="20.100000000000001" customHeight="1" x14ac:dyDescent="0.25">
      <c r="A42"/>
      <c r="D42" s="20" t="str" cm="1">
        <f t="array" ref="D42">Common_InputFunctions.Utility_DisplayArrayInTable(Common_SourceData.Common_SourceData_GWP_Data(), Table_GWPData[[#Headers],[Gas]], 0)</f>
        <v>SF6</v>
      </c>
      <c r="E42" s="20" cm="1">
        <f t="array" ref="E42">Common_InputFunctions.Utility_DisplayArrayInTable(Common_SourceData.Common_SourceData_GWP_Data(), Table_GWPData[[#Headers],[Gas]], 0)</f>
        <v>22800</v>
      </c>
    </row>
    <row r="43" spans="1:8" ht="20.100000000000001" customHeight="1" x14ac:dyDescent="0.25">
      <c r="A43"/>
      <c r="D43" s="20" t="str" cm="1">
        <f t="array" ref="D43">Common_InputFunctions.Utility_DisplayArrayInTable(Common_SourceData.Common_SourceData_GWP_Data(), Table_GWPData[[#Headers],[Gas]], 0)</f>
        <v>NF3</v>
      </c>
      <c r="E43" s="20"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2" t="str" cm="1">
        <f t="array" ref="D45">Common_SourceData.Common_SourceData_ConvertGasElementalToMolecular_Title()</f>
        <v>Factor to convert elemental mass of gas to molecular mass</v>
      </c>
    </row>
    <row r="46" spans="1:8" ht="20.100000000000001" customHeight="1" x14ac:dyDescent="0.25">
      <c r="A46"/>
      <c r="D46" s="18" t="str" cm="1">
        <f t="array" ref="D46">Common_SourceData.Common_SourceData_ConvertGasElementalToMolecular_Source()</f>
        <v>XXXXXXX</v>
      </c>
    </row>
    <row r="47" spans="1:8" ht="20.100000000000001" customHeight="1" x14ac:dyDescent="0.25">
      <c r="A47"/>
      <c r="D47" s="20" t="s">
        <v>26</v>
      </c>
      <c r="E47" s="20" t="s">
        <v>28</v>
      </c>
      <c r="F47" s="20" t="s">
        <v>29</v>
      </c>
      <c r="G47" s="20" t="s">
        <v>30</v>
      </c>
      <c r="H47" s="20" t="s">
        <v>31</v>
      </c>
    </row>
    <row r="48" spans="1:8" ht="20.100000000000001" customHeight="1" x14ac:dyDescent="0.25">
      <c r="A48"/>
      <c r="D48" s="20" t="str" cm="1">
        <f t="array" ref="D48">Common_InputFunctions.Utility_DisplayArrayInTable(Common_SourceData.Common_SourceData_ConvertGasElementalToMolecular_Data(),Table_GasToMolecularConversionFactor[[#Headers],[Gas]], 0)</f>
        <v>CO2</v>
      </c>
      <c r="E48" s="20" t="str" cm="1">
        <f t="array" ref="E48">Common_InputFunctions.Utility_DisplayArrayInTable(Common_SourceData.Common_SourceData_ConvertGasElementalToMolecular_Data(),Table_GasToMolecularConversionFactor[[#Headers],[Gas]], 0)</f>
        <v>44/12</v>
      </c>
      <c r="F48" s="20" cm="1">
        <f t="array" ref="F48">Common_InputFunctions.Utility_DisplayArrayInTable(Common_SourceData.Common_SourceData_ConvertGasElementalToMolecular_Data(),Table_GasToMolecularConversionFactor[[#Headers],[Gas]], 0)</f>
        <v>44</v>
      </c>
      <c r="G48" s="20" cm="1">
        <f t="array" ref="G48">Common_InputFunctions.Utility_DisplayArrayInTable(Common_SourceData.Common_SourceData_ConvertGasElementalToMolecular_Data(),Table_GasToMolecularConversionFactor[[#Headers],[Gas]], 0)</f>
        <v>12</v>
      </c>
      <c r="H48" s="20">
        <f>Table_GasToMolecularConversionFactor[[#This Row],[Conversion factor 1]]/Table_GasToMolecularConversionFactor[[#This Row],[Conversion factor 2]]</f>
        <v>3.6666666666666665</v>
      </c>
    </row>
    <row r="49" spans="1:8" ht="20.100000000000001" customHeight="1" x14ac:dyDescent="0.25">
      <c r="A49"/>
      <c r="D49" s="20" t="str" cm="1">
        <f t="array" ref="D49">Common_InputFunctions.Utility_DisplayArrayInTable(Common_SourceData.Common_SourceData_ConvertGasElementalToMolecular_Data(),Table_GasToMolecularConversionFactor[[#Headers],[Gas]], 0)</f>
        <v>CH4</v>
      </c>
      <c r="E49" s="20" t="str" cm="1">
        <f t="array" ref="E49">Common_InputFunctions.Utility_DisplayArrayInTable(Common_SourceData.Common_SourceData_ConvertGasElementalToMolecular_Data(),Table_GasToMolecularConversionFactor[[#Headers],[Gas]], 0)</f>
        <v>16/12</v>
      </c>
      <c r="F49" s="20" cm="1">
        <f t="array" ref="F49">Common_InputFunctions.Utility_DisplayArrayInTable(Common_SourceData.Common_SourceData_ConvertGasElementalToMolecular_Data(),Table_GasToMolecularConversionFactor[[#Headers],[Gas]], 0)</f>
        <v>16</v>
      </c>
      <c r="G49" s="20" cm="1">
        <f t="array" ref="G49">Common_InputFunctions.Utility_DisplayArrayInTable(Common_SourceData.Common_SourceData_ConvertGasElementalToMolecular_Data(),Table_GasToMolecularConversionFactor[[#Headers],[Gas]], 0)</f>
        <v>12</v>
      </c>
      <c r="H49" s="20">
        <f>Table_GasToMolecularConversionFactor[[#This Row],[Conversion factor 1]]/Table_GasToMolecularConversionFactor[[#This Row],[Conversion factor 2]]</f>
        <v>1.3333333333333333</v>
      </c>
    </row>
    <row r="50" spans="1:8" ht="20.100000000000001" customHeight="1" x14ac:dyDescent="0.25">
      <c r="A50"/>
      <c r="D50" s="20" t="str" cm="1">
        <f t="array" ref="D50">Common_InputFunctions.Utility_DisplayArrayInTable(Common_SourceData.Common_SourceData_ConvertGasElementalToMolecular_Data(),Table_GasToMolecularConversionFactor[[#Headers],[Gas]], 0)</f>
        <v>N2O</v>
      </c>
      <c r="E50" s="20" t="str" cm="1">
        <f t="array" ref="E50">Common_InputFunctions.Utility_DisplayArrayInTable(Common_SourceData.Common_SourceData_ConvertGasElementalToMolecular_Data(),Table_GasToMolecularConversionFactor[[#Headers],[Gas]], 0)</f>
        <v>44/28</v>
      </c>
      <c r="F50" s="20" cm="1">
        <f t="array" ref="F50">Common_InputFunctions.Utility_DisplayArrayInTable(Common_SourceData.Common_SourceData_ConvertGasElementalToMolecular_Data(),Table_GasToMolecularConversionFactor[[#Headers],[Gas]], 0)</f>
        <v>44</v>
      </c>
      <c r="G50" s="20" cm="1">
        <f t="array" ref="G50">Common_InputFunctions.Utility_DisplayArrayInTable(Common_SourceData.Common_SourceData_ConvertGasElementalToMolecular_Data(),Table_GasToMolecularConversionFactor[[#Headers],[Gas]], 0)</f>
        <v>28</v>
      </c>
      <c r="H50" s="20">
        <f>Table_GasToMolecularConversionFactor[[#This Row],[Conversion factor 1]]/Table_GasToMolecularConversionFactor[[#This Row],[Conversion factor 2]]</f>
        <v>1.5714285714285714</v>
      </c>
    </row>
    <row r="51" spans="1:8" ht="20.100000000000001" customHeight="1" x14ac:dyDescent="0.25">
      <c r="A51"/>
      <c r="D51" s="20" t="str" cm="1">
        <f t="array" ref="D51">Common_InputFunctions.Utility_DisplayArrayInTable(Common_SourceData.Common_SourceData_ConvertGasElementalToMolecular_Data(),Table_GasToMolecularConversionFactor[[#Headers],[Gas]], 0)</f>
        <v>Nox</v>
      </c>
      <c r="E51" s="20" t="str" cm="1">
        <f t="array" ref="E51">Common_InputFunctions.Utility_DisplayArrayInTable(Common_SourceData.Common_SourceData_ConvertGasElementalToMolecular_Data(),Table_GasToMolecularConversionFactor[[#Headers],[Gas]], 0)</f>
        <v>46/14</v>
      </c>
      <c r="F51" s="20" cm="1">
        <f t="array" ref="F51">Common_InputFunctions.Utility_DisplayArrayInTable(Common_SourceData.Common_SourceData_ConvertGasElementalToMolecular_Data(),Table_GasToMolecularConversionFactor[[#Headers],[Gas]], 0)</f>
        <v>46</v>
      </c>
      <c r="G51" s="20" cm="1">
        <f t="array" ref="G51">Common_InputFunctions.Utility_DisplayArrayInTable(Common_SourceData.Common_SourceData_ConvertGasElementalToMolecular_Data(),Table_GasToMolecularConversionFactor[[#Headers],[Gas]], 0)</f>
        <v>14</v>
      </c>
      <c r="H51" s="20">
        <f>Table_GasToMolecularConversionFactor[[#This Row],[Conversion factor 1]]/Table_GasToMolecularConversionFactor[[#This Row],[Conversion factor 2]]</f>
        <v>3.2857142857142856</v>
      </c>
    </row>
    <row r="52" spans="1:8" ht="20.100000000000001" customHeight="1" x14ac:dyDescent="0.25">
      <c r="A52"/>
      <c r="D52" s="20" t="str" cm="1">
        <f t="array" ref="D52">Common_InputFunctions.Utility_DisplayArrayInTable(Common_SourceData.Common_SourceData_ConvertGasElementalToMolecular_Data(),Table_GasToMolecularConversionFactor[[#Headers],[Gas]], 0)</f>
        <v>CO</v>
      </c>
      <c r="E52" s="20" t="str" cm="1">
        <f t="array" ref="E52">Common_InputFunctions.Utility_DisplayArrayInTable(Common_SourceData.Common_SourceData_ConvertGasElementalToMolecular_Data(),Table_GasToMolecularConversionFactor[[#Headers],[Gas]], 0)</f>
        <v>28/12</v>
      </c>
      <c r="F52" s="20" cm="1">
        <f t="array" ref="F52">Common_InputFunctions.Utility_DisplayArrayInTable(Common_SourceData.Common_SourceData_ConvertGasElementalToMolecular_Data(),Table_GasToMolecularConversionFactor[[#Headers],[Gas]], 0)</f>
        <v>28</v>
      </c>
      <c r="G52" s="20" cm="1">
        <f t="array" ref="G52">Common_InputFunctions.Utility_DisplayArrayInTable(Common_SourceData.Common_SourceData_ConvertGasElementalToMolecular_Data(),Table_GasToMolecularConversionFactor[[#Headers],[Gas]], 0)</f>
        <v>12</v>
      </c>
      <c r="H52" s="20">
        <f>Table_GasToMolecularConversionFactor[[#This Row],[Conversion factor 1]]/Table_GasToMolecularConversionFactor[[#This Row],[Conversion factor 2]]</f>
        <v>2.3333333333333335</v>
      </c>
    </row>
    <row r="53" spans="1:8" ht="20.100000000000001" customHeight="1" x14ac:dyDescent="0.25">
      <c r="A53"/>
      <c r="D53" s="20" t="str" cm="1">
        <f t="array" ref="D53">Common_InputFunctions.Utility_DisplayArrayInTable(Common_SourceData.Common_SourceData_ConvertGasElementalToMolecular_Data(),Table_GasToMolecularConversionFactor[[#Headers],[Gas]], 0)</f>
        <v>CO2 Lime</v>
      </c>
      <c r="E53" s="20" t="str" cm="1">
        <f t="array" ref="E53">Common_InputFunctions.Utility_DisplayArrayInTable(Common_SourceData.Common_SourceData_ConvertGasElementalToMolecular_Data(),Table_GasToMolecularConversionFactor[[#Headers],[Gas]], 0)</f>
        <v>44/12</v>
      </c>
      <c r="F53" s="20" cm="1">
        <f t="array" ref="F53">Common_InputFunctions.Utility_DisplayArrayInTable(Common_SourceData.Common_SourceData_ConvertGasElementalToMolecular_Data(),Table_GasToMolecularConversionFactor[[#Headers],[Gas]], 0)</f>
        <v>44</v>
      </c>
      <c r="G53" s="20" cm="1">
        <f t="array" ref="G53">Common_InputFunctions.Utility_DisplayArrayInTable(Common_SourceData.Common_SourceData_ConvertGasElementalToMolecular_Data(),Table_GasToMolecularConversionFactor[[#Headers],[Gas]], 0)</f>
        <v>12</v>
      </c>
      <c r="H53" s="20">
        <f>Table_GasToMolecularConversionFactor[[#This Row],[Conversion factor 1]]/Table_GasToMolecularConversionFactor[[#This Row],[Conversion factor 2]]</f>
        <v>3.6666666666666665</v>
      </c>
    </row>
    <row r="54" spans="1:8" ht="20.100000000000001" customHeight="1" x14ac:dyDescent="0.25">
      <c r="A54"/>
      <c r="D54" s="20" t="str" cm="1">
        <f t="array" ref="D54">Common_InputFunctions.Utility_DisplayArrayInTable(Common_SourceData.Common_SourceData_ConvertGasElementalToMolecular_Data(),Table_GasToMolecularConversionFactor[[#Headers],[Gas]], 0)</f>
        <v>NMVOC</v>
      </c>
      <c r="E54" s="20" t="str" cm="1">
        <f t="array" ref="E54">Common_InputFunctions.Utility_DisplayArrayInTable(Common_SourceData.Common_SourceData_ConvertGasElementalToMolecular_Data(),Table_GasToMolecularConversionFactor[[#Headers],[Gas]], 0)</f>
        <v>14/12</v>
      </c>
      <c r="F54" s="20" cm="1">
        <f t="array" ref="F54">Common_InputFunctions.Utility_DisplayArrayInTable(Common_SourceData.Common_SourceData_ConvertGasElementalToMolecular_Data(),Table_GasToMolecularConversionFactor[[#Headers],[Gas]], 0)</f>
        <v>14</v>
      </c>
      <c r="G54" s="20" cm="1">
        <f t="array" ref="G54">Common_InputFunctions.Utility_DisplayArrayInTable(Common_SourceData.Common_SourceData_ConvertGasElementalToMolecular_Data(),Table_GasToMolecularConversionFactor[[#Headers],[Gas]], 0)</f>
        <v>12</v>
      </c>
      <c r="H54" s="2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18" t="str" cm="1">
        <f t="array" ref="D58">Common_SourceData.Common_SourceData_WetAndDryZones_Source()</f>
        <v>VEERG 2026: Table 1.2: Translating climate zones to wet and dry zones</v>
      </c>
    </row>
    <row r="59" spans="1:8" ht="20.100000000000001" customHeight="1" x14ac:dyDescent="0.25">
      <c r="A59"/>
      <c r="D59" s="26" t="str" cm="1">
        <f t="array" ref="D59:D61">"⚠️" &amp; Common_SourceData.Common_SourceData_WetAndDryZones_Variation()</f>
        <v>⚠️VARIATION OF SOURCE DATA:</v>
      </c>
    </row>
    <row r="60" spans="1:8" ht="20.100000000000001" customHeight="1" x14ac:dyDescent="0.25">
      <c r="A60"/>
      <c r="D60" s="26" t="str">
        <v>⚠️Added warm / cool temperate moist / dry - low frost and high temp classes to accommodate climate scenarios excluded by VEERG criteria.</v>
      </c>
    </row>
    <row r="61" spans="1:8" ht="20.100000000000001" customHeight="1" x14ac:dyDescent="0.25">
      <c r="A61"/>
      <c r="D61" s="26" t="str">
        <v>⚠️Fixed typo - Changed 'Fry' to 'Dry'.</v>
      </c>
    </row>
    <row r="62" spans="1:8" ht="20.100000000000001" customHeight="1" x14ac:dyDescent="0.25">
      <c r="A62"/>
    </row>
    <row r="63" spans="1:8" ht="20.100000000000001" customHeight="1" x14ac:dyDescent="0.25">
      <c r="A63"/>
      <c r="D63" s="20" t="s">
        <v>32</v>
      </c>
      <c r="E63" s="20" t="s">
        <v>33</v>
      </c>
    </row>
    <row r="64" spans="1:8" ht="20.100000000000001" customHeight="1" x14ac:dyDescent="0.25">
      <c r="A64"/>
      <c r="D64" s="20" t="str" cm="1">
        <f t="array" ref="D64">Common_InputFunctions.Utility_DisplayArrayInTable(Common_SourceData.Common_SourceData_WetAndDryZones_Data(), Table_SourceData_WetDryZones[[#Headers],[Climate zone]], 0)</f>
        <v>Tropical montane</v>
      </c>
      <c r="E64" s="2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0" t="str" cm="1">
        <f t="array" ref="D65">Common_InputFunctions.Utility_DisplayArrayInTable(Common_SourceData.Common_SourceData_WetAndDryZones_Data(), Table_SourceData_WetDryZones[[#Headers],[Climate zone]], 0)</f>
        <v>Tropical wet</v>
      </c>
      <c r="E65" s="2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0" t="str" cm="1">
        <f t="array" ref="D66">Common_InputFunctions.Utility_DisplayArrayInTable(Common_SourceData.Common_SourceData_WetAndDryZones_Data(), Table_SourceData_WetDryZones[[#Headers],[Climate zone]], 0)</f>
        <v>Tropical moist</v>
      </c>
      <c r="E66" s="2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0" t="str" cm="1">
        <f t="array" ref="D67">Common_InputFunctions.Utility_DisplayArrayInTable(Common_SourceData.Common_SourceData_WetAndDryZones_Data(), Table_SourceData_WetDryZones[[#Headers],[Climate zone]], 0)</f>
        <v>Tropical dry</v>
      </c>
      <c r="E67" s="2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0" t="str" cm="1">
        <f t="array" ref="D68">Common_InputFunctions.Utility_DisplayArrayInTable(Common_SourceData.Common_SourceData_WetAndDryZones_Data(), Table_SourceData_WetDryZones[[#Headers],[Climate zone]], 0)</f>
        <v>Warm temperate moist</v>
      </c>
      <c r="E68" s="2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0" t="str" cm="1">
        <f t="array" ref="D69">Common_InputFunctions.Utility_DisplayArrayInTable(Common_SourceData.Common_SourceData_WetAndDryZones_Data(), Table_SourceData_WetDryZones[[#Headers],[Climate zone]], 0)</f>
        <v>Warm temperate dry</v>
      </c>
      <c r="E69" s="2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0" t="str" cm="1">
        <f t="array" ref="D70">Common_InputFunctions.Utility_DisplayArrayInTable(Common_SourceData.Common_SourceData_WetAndDryZones_Data(), Table_SourceData_WetDryZones[[#Headers],[Climate zone]], 0)</f>
        <v>Cool temperate moist</v>
      </c>
      <c r="E70" s="2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0" t="str" cm="1">
        <f t="array" ref="D71">Common_InputFunctions.Utility_DisplayArrayInTable(Common_SourceData.Common_SourceData_WetAndDryZones_Data(), Table_SourceData_WetDryZones[[#Headers],[Climate zone]], 0)</f>
        <v>Cool temperate dry</v>
      </c>
      <c r="E71" s="2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0" t="str" cm="1">
        <f t="array" ref="D72">Common_InputFunctions.Utility_DisplayArrayInTable(Common_SourceData.Common_SourceData_WetAndDryZones_Data(), Table_SourceData_WetDryZones[[#Headers],[Climate zone]], 0)</f>
        <v>Warm temperate moist - low frost</v>
      </c>
      <c r="E72" s="2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0" t="str" cm="1">
        <f t="array" ref="D73">Common_InputFunctions.Utility_DisplayArrayInTable(Common_SourceData.Common_SourceData_WetAndDryZones_Data(), Table_SourceData_WetDryZones[[#Headers],[Climate zone]], 0)</f>
        <v>Warm temperate dry - low frost</v>
      </c>
      <c r="E73" s="2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0" t="str" cm="1">
        <f t="array" ref="D74">Common_InputFunctions.Utility_DisplayArrayInTable(Common_SourceData.Common_SourceData_WetAndDryZones_Data(), Table_SourceData_WetDryZones[[#Headers],[Climate zone]], 0)</f>
        <v>Warm temperate moist - high temp</v>
      </c>
      <c r="E74" s="2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0" t="str" cm="1">
        <f t="array" ref="D75">Common_InputFunctions.Utility_DisplayArrayInTable(Common_SourceData.Common_SourceData_WetAndDryZones_Data(), Table_SourceData_WetDryZones[[#Headers],[Climate zone]], 0)</f>
        <v>Warm temperate dry - high temp</v>
      </c>
      <c r="E75" s="2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0" t="str" cm="1">
        <f t="array" ref="D76">Common_InputFunctions.Utility_DisplayArrayInTable(Common_SourceData.Common_SourceData_WetAndDryZones_Data(), Table_SourceData_WetDryZones[[#Headers],[Climate zone]], 0)</f>
        <v>Cool temperate moist - low frost</v>
      </c>
      <c r="E76" s="2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0" t="str" cm="1">
        <f t="array" ref="D77">Common_InputFunctions.Utility_DisplayArrayInTable(Common_SourceData.Common_SourceData_WetAndDryZones_Data(), Table_SourceData_WetDryZones[[#Headers],[Climate zone]], 0)</f>
        <v>Cool temperate dry - low frost</v>
      </c>
      <c r="E77" s="2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18" t="str" cm="1">
        <f t="array" ref="D82">Common_SourceData.Common_SourceData_ClimateZones_Source()</f>
        <v>VEERG 2026: Table 1.3: Climate and Rainfall zone classifications and definitions</v>
      </c>
    </row>
    <row r="83" spans="1:20" ht="20.100000000000001" customHeight="1" x14ac:dyDescent="0.25">
      <c r="A83"/>
      <c r="D83" s="26" t="str" cm="1">
        <f t="array" ref="D83:D87">"⚠️" &amp; Common_SourceData.Common_SourceData_ClimateZones_Variation()</f>
        <v>⚠️VARIATION OF SOURCE DATA:</v>
      </c>
    </row>
    <row r="84" spans="1:20" ht="20.100000000000001" customHeight="1" x14ac:dyDescent="0.25">
      <c r="A84"/>
      <c r="D84" s="26" t="str">
        <v>⚠️Added warm / cool temperate moist / dry - low frost and high temp classes to accommodate climate scenarios excluded by VEERG criteria.</v>
      </c>
    </row>
    <row r="85" spans="1:20" ht="20.100000000000001" customHeight="1" x14ac:dyDescent="0.25">
      <c r="A85"/>
      <c r="D85" s="26" t="str">
        <v>⚠️Fixed typo in MAT value for warm temperate dry - changed 10 to 11.</v>
      </c>
    </row>
    <row r="86" spans="1:20" ht="20.100000000000001" customHeight="1" x14ac:dyDescent="0.25">
      <c r="A86"/>
      <c r="D86" s="26" t="str">
        <v>⚠️Added min and max columns for MAT, MAP, frost days per year, elevation, MAP:PET to calculate zones from real climate data.</v>
      </c>
    </row>
    <row r="87" spans="1:20" ht="20.100000000000001" customHeight="1" x14ac:dyDescent="0.25">
      <c r="A87"/>
      <c r="D87" s="26" t="str">
        <v>⚠️GAF accepts rainfall as a proxy for precipitation.</v>
      </c>
    </row>
    <row r="88" spans="1:20" ht="20.100000000000001" customHeight="1" x14ac:dyDescent="0.25">
      <c r="A88"/>
    </row>
    <row r="89" spans="1:20" ht="20.100000000000001" customHeight="1" x14ac:dyDescent="0.25">
      <c r="A89"/>
      <c r="D89" s="20" t="s">
        <v>32</v>
      </c>
      <c r="E89" s="20" t="s">
        <v>34</v>
      </c>
      <c r="F89" s="20" t="s">
        <v>35</v>
      </c>
      <c r="G89" s="20" t="s">
        <v>36</v>
      </c>
      <c r="H89" s="20" t="s">
        <v>37</v>
      </c>
      <c r="I89" s="20" t="s">
        <v>38</v>
      </c>
      <c r="J89" s="20" t="s">
        <v>39</v>
      </c>
      <c r="K89" s="20" t="s">
        <v>40</v>
      </c>
      <c r="L89" s="20" t="s">
        <v>41</v>
      </c>
      <c r="M89" s="20" t="s">
        <v>42</v>
      </c>
      <c r="N89" s="20" t="s">
        <v>43</v>
      </c>
      <c r="O89" s="20" t="s">
        <v>44</v>
      </c>
      <c r="P89" s="20" t="s">
        <v>45</v>
      </c>
      <c r="Q89" s="20" t="s">
        <v>46</v>
      </c>
      <c r="R89" s="20" t="s">
        <v>47</v>
      </c>
      <c r="S89" s="20" t="s">
        <v>48</v>
      </c>
      <c r="T89" s="20"/>
    </row>
    <row r="90" spans="1:20" ht="20.100000000000001" customHeight="1" x14ac:dyDescent="0.25">
      <c r="A90"/>
      <c r="D90" s="20" t="str" cm="1">
        <f t="array" ref="D90">Common_InputFunctions.Utility_DisplayArrayInTable(Common_SourceData.Common_SourceData_ClimateZones_Data(), Table_SourceData_ClimateZones[[#Headers],[Climate zone]], 0)</f>
        <v>Tropical montane</v>
      </c>
      <c r="E90" s="20" t="str" cm="1">
        <f t="array" ref="E90">Common_InputFunctions.Utility_DisplayArrayInTable(Common_SourceData.Common_SourceData_ClimateZones_Data(), Table_SourceData_ClimateZones[[#Headers],[Climate zone]], 0)</f>
        <v>&gt; 18 C</v>
      </c>
      <c r="F90" s="20" t="str" cm="1">
        <f t="array" ref="F90">Common_InputFunctions.Utility_DisplayArrayInTable(Common_SourceData.Common_SourceData_ClimateZones_Data(), Table_SourceData_ClimateZones[[#Headers],[Climate zone]], 0)</f>
        <v>Any</v>
      </c>
      <c r="G90" s="20" t="str" cm="1">
        <f t="array" ref="G90">Common_InputFunctions.Utility_DisplayArrayInTable(Common_SourceData.Common_SourceData_ClimateZones_Data(), Table_SourceData_ClimateZones[[#Headers],[Climate zone]], 0)</f>
        <v>≤ 7</v>
      </c>
      <c r="H90" s="20" t="str" cm="1">
        <f t="array" ref="H90">Common_InputFunctions.Utility_DisplayArrayInTable(Common_SourceData.Common_SourceData_ClimateZones_Data(), Table_SourceData_ClimateZones[[#Headers],[Climate zone]], 0)</f>
        <v>&gt; 1000 m</v>
      </c>
      <c r="I90" s="20" t="str" cm="1">
        <f t="array" ref="I90">Common_InputFunctions.Utility_DisplayArrayInTable(Common_SourceData.Common_SourceData_ClimateZones_Data(), Table_SourceData_ClimateZones[[#Headers],[Climate zone]], 0)</f>
        <v>Any</v>
      </c>
      <c r="J90" s="20" cm="1">
        <f t="array" ref="J90">Common_InputFunctions.Utility_DisplayArrayInTable(Common_SourceData.Common_SourceData_ClimateZones_Data(), Table_SourceData_ClimateZones[[#Headers],[Climate zone]], 0)</f>
        <v>18.001000000000001</v>
      </c>
      <c r="K90" s="20" cm="1">
        <f t="array" ref="K90">Common_InputFunctions.Utility_DisplayArrayInTable(Common_SourceData.Common_SourceData_ClimateZones_Data(), Table_SourceData_ClimateZones[[#Headers],[Climate zone]], 0)</f>
        <v>999999</v>
      </c>
      <c r="L90" s="20" cm="1">
        <f t="array" ref="L90">Common_InputFunctions.Utility_DisplayArrayInTable(Common_SourceData.Common_SourceData_ClimateZones_Data(), Table_SourceData_ClimateZones[[#Headers],[Climate zone]], 0)</f>
        <v>-999999</v>
      </c>
      <c r="M90" s="20" cm="1">
        <f t="array" ref="M90">Common_InputFunctions.Utility_DisplayArrayInTable(Common_SourceData.Common_SourceData_ClimateZones_Data(), Table_SourceData_ClimateZones[[#Headers],[Climate zone]], 0)</f>
        <v>999999</v>
      </c>
      <c r="N90" s="20" cm="1">
        <f t="array" ref="N90">Common_InputFunctions.Utility_DisplayArrayInTable(Common_SourceData.Common_SourceData_ClimateZones_Data(), Table_SourceData_ClimateZones[[#Headers],[Climate zone]], 0)</f>
        <v>-999999</v>
      </c>
      <c r="O90" s="20" cm="1">
        <f t="array" ref="O90">Common_InputFunctions.Utility_DisplayArrayInTable(Common_SourceData.Common_SourceData_ClimateZones_Data(), Table_SourceData_ClimateZones[[#Headers],[Climate zone]], 0)</f>
        <v>7</v>
      </c>
      <c r="P90" s="20" cm="1">
        <f t="array" ref="P90">Common_InputFunctions.Utility_DisplayArrayInTable(Common_SourceData.Common_SourceData_ClimateZones_Data(), Table_SourceData_ClimateZones[[#Headers],[Climate zone]], 0)</f>
        <v>1000</v>
      </c>
      <c r="Q90" s="20" cm="1">
        <f t="array" ref="Q90">Common_InputFunctions.Utility_DisplayArrayInTable(Common_SourceData.Common_SourceData_ClimateZones_Data(), Table_SourceData_ClimateZones[[#Headers],[Climate zone]], 0)</f>
        <v>999999</v>
      </c>
      <c r="R90" s="20" cm="1">
        <f t="array" ref="R90">Common_InputFunctions.Utility_DisplayArrayInTable(Common_SourceData.Common_SourceData_ClimateZones_Data(), Table_SourceData_ClimateZones[[#Headers],[Climate zone]], 0)</f>
        <v>-999999</v>
      </c>
      <c r="S90" s="20" cm="1">
        <f t="array" ref="S90">Common_InputFunctions.Utility_DisplayArrayInTable(Common_SourceData.Common_SourceData_ClimateZones_Data(), Table_SourceData_ClimateZones[[#Headers],[Climate zone]], 0)</f>
        <v>999999</v>
      </c>
      <c r="T90" s="20"/>
    </row>
    <row r="91" spans="1:20" ht="20.100000000000001" customHeight="1" x14ac:dyDescent="0.25">
      <c r="A91"/>
      <c r="D91" s="20" t="str" cm="1">
        <f t="array" ref="D91">Common_InputFunctions.Utility_DisplayArrayInTable(Common_SourceData.Common_SourceData_ClimateZones_Data(), Table_SourceData_ClimateZones[[#Headers],[Climate zone]], 0)</f>
        <v>Tropical wet</v>
      </c>
      <c r="E91" s="20" t="str" cm="1">
        <f t="array" ref="E91">Common_InputFunctions.Utility_DisplayArrayInTable(Common_SourceData.Common_SourceData_ClimateZones_Data(), Table_SourceData_ClimateZones[[#Headers],[Climate zone]], 0)</f>
        <v>&gt; 18 C</v>
      </c>
      <c r="F91" s="20" t="str" cm="1">
        <f t="array" ref="F91">Common_InputFunctions.Utility_DisplayArrayInTable(Common_SourceData.Common_SourceData_ClimateZones_Data(), Table_SourceData_ClimateZones[[#Headers],[Climate zone]], 0)</f>
        <v>&gt; 2000 mm</v>
      </c>
      <c r="G91" s="20" t="str" cm="1">
        <f t="array" ref="G91">Common_InputFunctions.Utility_DisplayArrayInTable(Common_SourceData.Common_SourceData_ClimateZones_Data(), Table_SourceData_ClimateZones[[#Headers],[Climate zone]], 0)</f>
        <v>≤ 7</v>
      </c>
      <c r="H91" s="20" t="str" cm="1">
        <f t="array" ref="H91">Common_InputFunctions.Utility_DisplayArrayInTable(Common_SourceData.Common_SourceData_ClimateZones_Data(), Table_SourceData_ClimateZones[[#Headers],[Climate zone]], 0)</f>
        <v>≤ 1000 m</v>
      </c>
      <c r="I91" s="20" t="str" cm="1">
        <f t="array" ref="I91">Common_InputFunctions.Utility_DisplayArrayInTable(Common_SourceData.Common_SourceData_ClimateZones_Data(), Table_SourceData_ClimateZones[[#Headers],[Climate zone]], 0)</f>
        <v>Any</v>
      </c>
      <c r="J91" s="20" cm="1">
        <f t="array" ref="J91">Common_InputFunctions.Utility_DisplayArrayInTable(Common_SourceData.Common_SourceData_ClimateZones_Data(), Table_SourceData_ClimateZones[[#Headers],[Climate zone]], 0)</f>
        <v>18.001000000000001</v>
      </c>
      <c r="K91" s="20" cm="1">
        <f t="array" ref="K91">Common_InputFunctions.Utility_DisplayArrayInTable(Common_SourceData.Common_SourceData_ClimateZones_Data(), Table_SourceData_ClimateZones[[#Headers],[Climate zone]], 0)</f>
        <v>999999</v>
      </c>
      <c r="L91" s="20" cm="1">
        <f t="array" ref="L91">Common_InputFunctions.Utility_DisplayArrayInTable(Common_SourceData.Common_SourceData_ClimateZones_Data(), Table_SourceData_ClimateZones[[#Headers],[Climate zone]], 0)</f>
        <v>2000.001</v>
      </c>
      <c r="M91" s="20" cm="1">
        <f t="array" ref="M91">Common_InputFunctions.Utility_DisplayArrayInTable(Common_SourceData.Common_SourceData_ClimateZones_Data(), Table_SourceData_ClimateZones[[#Headers],[Climate zone]], 0)</f>
        <v>999999</v>
      </c>
      <c r="N91" s="20" cm="1">
        <f t="array" ref="N91">Common_InputFunctions.Utility_DisplayArrayInTable(Common_SourceData.Common_SourceData_ClimateZones_Data(), Table_SourceData_ClimateZones[[#Headers],[Climate zone]], 0)</f>
        <v>-999999</v>
      </c>
      <c r="O91" s="20" cm="1">
        <f t="array" ref="O91">Common_InputFunctions.Utility_DisplayArrayInTable(Common_SourceData.Common_SourceData_ClimateZones_Data(), Table_SourceData_ClimateZones[[#Headers],[Climate zone]], 0)</f>
        <v>7</v>
      </c>
      <c r="P91" s="20" cm="1">
        <f t="array" ref="P91">Common_InputFunctions.Utility_DisplayArrayInTable(Common_SourceData.Common_SourceData_ClimateZones_Data(), Table_SourceData_ClimateZones[[#Headers],[Climate zone]], 0)</f>
        <v>-999999</v>
      </c>
      <c r="Q91" s="20" cm="1">
        <f t="array" ref="Q91">Common_InputFunctions.Utility_DisplayArrayInTable(Common_SourceData.Common_SourceData_ClimateZones_Data(), Table_SourceData_ClimateZones[[#Headers],[Climate zone]], 0)</f>
        <v>999.99900000000002</v>
      </c>
      <c r="R91" s="20" cm="1">
        <f t="array" ref="R91">Common_InputFunctions.Utility_DisplayArrayInTable(Common_SourceData.Common_SourceData_ClimateZones_Data(), Table_SourceData_ClimateZones[[#Headers],[Climate zone]], 0)</f>
        <v>-999999</v>
      </c>
      <c r="S91" s="20" cm="1">
        <f t="array" ref="S91">Common_InputFunctions.Utility_DisplayArrayInTable(Common_SourceData.Common_SourceData_ClimateZones_Data(), Table_SourceData_ClimateZones[[#Headers],[Climate zone]], 0)</f>
        <v>999999</v>
      </c>
      <c r="T91" s="20"/>
    </row>
    <row r="92" spans="1:20" ht="20.100000000000001" customHeight="1" x14ac:dyDescent="0.25">
      <c r="A92"/>
      <c r="D92" s="20" t="str" cm="1">
        <f t="array" ref="D92">Common_InputFunctions.Utility_DisplayArrayInTable(Common_SourceData.Common_SourceData_ClimateZones_Data(), Table_SourceData_ClimateZones[[#Headers],[Climate zone]], 0)</f>
        <v>Tropical moist</v>
      </c>
      <c r="E92" s="20" t="str" cm="1">
        <f t="array" ref="E92">Common_InputFunctions.Utility_DisplayArrayInTable(Common_SourceData.Common_SourceData_ClimateZones_Data(), Table_SourceData_ClimateZones[[#Headers],[Climate zone]], 0)</f>
        <v>&gt; 18 C</v>
      </c>
      <c r="F92" s="20" t="str" cm="1">
        <f t="array" ref="F92">Common_InputFunctions.Utility_DisplayArrayInTable(Common_SourceData.Common_SourceData_ClimateZones_Data(), Table_SourceData_ClimateZones[[#Headers],[Climate zone]], 0)</f>
        <v>&gt; 1000 mm - ≤ 2000 mm</v>
      </c>
      <c r="G92" s="20" t="str" cm="1">
        <f t="array" ref="G92">Common_InputFunctions.Utility_DisplayArrayInTable(Common_SourceData.Common_SourceData_ClimateZones_Data(), Table_SourceData_ClimateZones[[#Headers],[Climate zone]], 0)</f>
        <v>≤ 7</v>
      </c>
      <c r="H92" s="20" t="str" cm="1">
        <f t="array" ref="H92">Common_InputFunctions.Utility_DisplayArrayInTable(Common_SourceData.Common_SourceData_ClimateZones_Data(), Table_SourceData_ClimateZones[[#Headers],[Climate zone]], 0)</f>
        <v>≤ 1000 m</v>
      </c>
      <c r="I92" s="20" t="str" cm="1">
        <f t="array" ref="I92">Common_InputFunctions.Utility_DisplayArrayInTable(Common_SourceData.Common_SourceData_ClimateZones_Data(), Table_SourceData_ClimateZones[[#Headers],[Climate zone]], 0)</f>
        <v>Any</v>
      </c>
      <c r="J92" s="20" cm="1">
        <f t="array" ref="J92">Common_InputFunctions.Utility_DisplayArrayInTable(Common_SourceData.Common_SourceData_ClimateZones_Data(), Table_SourceData_ClimateZones[[#Headers],[Climate zone]], 0)</f>
        <v>18.001000000000001</v>
      </c>
      <c r="K92" s="20" cm="1">
        <f t="array" ref="K92">Common_InputFunctions.Utility_DisplayArrayInTable(Common_SourceData.Common_SourceData_ClimateZones_Data(), Table_SourceData_ClimateZones[[#Headers],[Climate zone]], 0)</f>
        <v>999999</v>
      </c>
      <c r="L92" s="20" cm="1">
        <f t="array" ref="L92">Common_InputFunctions.Utility_DisplayArrayInTable(Common_SourceData.Common_SourceData_ClimateZones_Data(), Table_SourceData_ClimateZones[[#Headers],[Climate zone]], 0)</f>
        <v>1000.001</v>
      </c>
      <c r="M92" s="20" cm="1">
        <f t="array" ref="M92">Common_InputFunctions.Utility_DisplayArrayInTable(Common_SourceData.Common_SourceData_ClimateZones_Data(), Table_SourceData_ClimateZones[[#Headers],[Climate zone]], 0)</f>
        <v>2000</v>
      </c>
      <c r="N92" s="20" cm="1">
        <f t="array" ref="N92">Common_InputFunctions.Utility_DisplayArrayInTable(Common_SourceData.Common_SourceData_ClimateZones_Data(), Table_SourceData_ClimateZones[[#Headers],[Climate zone]], 0)</f>
        <v>-999999</v>
      </c>
      <c r="O92" s="20" cm="1">
        <f t="array" ref="O92">Common_InputFunctions.Utility_DisplayArrayInTable(Common_SourceData.Common_SourceData_ClimateZones_Data(), Table_SourceData_ClimateZones[[#Headers],[Climate zone]], 0)</f>
        <v>7</v>
      </c>
      <c r="P92" s="20" cm="1">
        <f t="array" ref="P92">Common_InputFunctions.Utility_DisplayArrayInTable(Common_SourceData.Common_SourceData_ClimateZones_Data(), Table_SourceData_ClimateZones[[#Headers],[Climate zone]], 0)</f>
        <v>-999999</v>
      </c>
      <c r="Q92" s="20" cm="1">
        <f t="array" ref="Q92">Common_InputFunctions.Utility_DisplayArrayInTable(Common_SourceData.Common_SourceData_ClimateZones_Data(), Table_SourceData_ClimateZones[[#Headers],[Climate zone]], 0)</f>
        <v>999.99900000000002</v>
      </c>
      <c r="R92" s="20" cm="1">
        <f t="array" ref="R92">Common_InputFunctions.Utility_DisplayArrayInTable(Common_SourceData.Common_SourceData_ClimateZones_Data(), Table_SourceData_ClimateZones[[#Headers],[Climate zone]], 0)</f>
        <v>-999999</v>
      </c>
      <c r="S92" s="20" cm="1">
        <f t="array" ref="S92">Common_InputFunctions.Utility_DisplayArrayInTable(Common_SourceData.Common_SourceData_ClimateZones_Data(), Table_SourceData_ClimateZones[[#Headers],[Climate zone]], 0)</f>
        <v>999999</v>
      </c>
      <c r="T92" s="20"/>
    </row>
    <row r="93" spans="1:20" ht="20.100000000000001" customHeight="1" x14ac:dyDescent="0.25">
      <c r="A93"/>
      <c r="D93" s="20" t="str" cm="1">
        <f t="array" ref="D93">Common_InputFunctions.Utility_DisplayArrayInTable(Common_SourceData.Common_SourceData_ClimateZones_Data(), Table_SourceData_ClimateZones[[#Headers],[Climate zone]], 0)</f>
        <v>Tropical dry</v>
      </c>
      <c r="E93" s="20" t="str" cm="1">
        <f t="array" ref="E93">Common_InputFunctions.Utility_DisplayArrayInTable(Common_SourceData.Common_SourceData_ClimateZones_Data(), Table_SourceData_ClimateZones[[#Headers],[Climate zone]], 0)</f>
        <v>&gt; 18 C</v>
      </c>
      <c r="F93" s="20" t="str" cm="1">
        <f t="array" ref="F93">Common_InputFunctions.Utility_DisplayArrayInTable(Common_SourceData.Common_SourceData_ClimateZones_Data(), Table_SourceData_ClimateZones[[#Headers],[Climate zone]], 0)</f>
        <v>≤ 1000 mm</v>
      </c>
      <c r="G93" s="20" t="str" cm="1">
        <f t="array" ref="G93">Common_InputFunctions.Utility_DisplayArrayInTable(Common_SourceData.Common_SourceData_ClimateZones_Data(), Table_SourceData_ClimateZones[[#Headers],[Climate zone]], 0)</f>
        <v>≤ 7</v>
      </c>
      <c r="H93" s="20" t="str" cm="1">
        <f t="array" ref="H93">Common_InputFunctions.Utility_DisplayArrayInTable(Common_SourceData.Common_SourceData_ClimateZones_Data(), Table_SourceData_ClimateZones[[#Headers],[Climate zone]], 0)</f>
        <v>≤ 1000 m</v>
      </c>
      <c r="I93" s="20" t="str" cm="1">
        <f t="array" ref="I93">Common_InputFunctions.Utility_DisplayArrayInTable(Common_SourceData.Common_SourceData_ClimateZones_Data(), Table_SourceData_ClimateZones[[#Headers],[Climate zone]], 0)</f>
        <v>Any</v>
      </c>
      <c r="J93" s="20" cm="1">
        <f t="array" ref="J93">Common_InputFunctions.Utility_DisplayArrayInTable(Common_SourceData.Common_SourceData_ClimateZones_Data(), Table_SourceData_ClimateZones[[#Headers],[Climate zone]], 0)</f>
        <v>18.001000000000001</v>
      </c>
      <c r="K93" s="20" cm="1">
        <f t="array" ref="K93">Common_InputFunctions.Utility_DisplayArrayInTable(Common_SourceData.Common_SourceData_ClimateZones_Data(), Table_SourceData_ClimateZones[[#Headers],[Climate zone]], 0)</f>
        <v>999999</v>
      </c>
      <c r="L93" s="20" cm="1">
        <f t="array" ref="L93">Common_InputFunctions.Utility_DisplayArrayInTable(Common_SourceData.Common_SourceData_ClimateZones_Data(), Table_SourceData_ClimateZones[[#Headers],[Climate zone]], 0)</f>
        <v>-999999</v>
      </c>
      <c r="M93" s="20" cm="1">
        <f t="array" ref="M93">Common_InputFunctions.Utility_DisplayArrayInTable(Common_SourceData.Common_SourceData_ClimateZones_Data(), Table_SourceData_ClimateZones[[#Headers],[Climate zone]], 0)</f>
        <v>1000</v>
      </c>
      <c r="N93" s="20" cm="1">
        <f t="array" ref="N93">Common_InputFunctions.Utility_DisplayArrayInTable(Common_SourceData.Common_SourceData_ClimateZones_Data(), Table_SourceData_ClimateZones[[#Headers],[Climate zone]], 0)</f>
        <v>-999999</v>
      </c>
      <c r="O93" s="20" cm="1">
        <f t="array" ref="O93">Common_InputFunctions.Utility_DisplayArrayInTable(Common_SourceData.Common_SourceData_ClimateZones_Data(), Table_SourceData_ClimateZones[[#Headers],[Climate zone]], 0)</f>
        <v>7</v>
      </c>
      <c r="P93" s="20" cm="1">
        <f t="array" ref="P93">Common_InputFunctions.Utility_DisplayArrayInTable(Common_SourceData.Common_SourceData_ClimateZones_Data(), Table_SourceData_ClimateZones[[#Headers],[Climate zone]], 0)</f>
        <v>-999999</v>
      </c>
      <c r="Q93" s="20" cm="1">
        <f t="array" ref="Q93">Common_InputFunctions.Utility_DisplayArrayInTable(Common_SourceData.Common_SourceData_ClimateZones_Data(), Table_SourceData_ClimateZones[[#Headers],[Climate zone]], 0)</f>
        <v>999.99900000000002</v>
      </c>
      <c r="R93" s="20" cm="1">
        <f t="array" ref="R93">Common_InputFunctions.Utility_DisplayArrayInTable(Common_SourceData.Common_SourceData_ClimateZones_Data(), Table_SourceData_ClimateZones[[#Headers],[Climate zone]], 0)</f>
        <v>-999999</v>
      </c>
      <c r="S93" s="20" cm="1">
        <f t="array" ref="S93">Common_InputFunctions.Utility_DisplayArrayInTable(Common_SourceData.Common_SourceData_ClimateZones_Data(), Table_SourceData_ClimateZones[[#Headers],[Climate zone]], 0)</f>
        <v>999999</v>
      </c>
      <c r="T93" s="20"/>
    </row>
    <row r="94" spans="1:20" ht="20.100000000000001" customHeight="1" x14ac:dyDescent="0.25">
      <c r="A94"/>
      <c r="D94" s="20" t="str" cm="1">
        <f t="array" ref="D94">Common_InputFunctions.Utility_DisplayArrayInTable(Common_SourceData.Common_SourceData_ClimateZones_Data(), Table_SourceData_ClimateZones[[#Headers],[Climate zone]], 0)</f>
        <v>Warm temperate moist</v>
      </c>
      <c r="E94" s="20" t="str" cm="1">
        <f t="array" ref="E94">Common_InputFunctions.Utility_DisplayArrayInTable(Common_SourceData.Common_SourceData_ClimateZones_Data(), Table_SourceData_ClimateZones[[#Headers],[Climate zone]], 0)</f>
        <v>&gt; 10 C</v>
      </c>
      <c r="F94" s="20" t="str" cm="1">
        <f t="array" ref="F94">Common_InputFunctions.Utility_DisplayArrayInTable(Common_SourceData.Common_SourceData_ClimateZones_Data(), Table_SourceData_ClimateZones[[#Headers],[Climate zone]], 0)</f>
        <v>Any</v>
      </c>
      <c r="G94" s="20" t="str" cm="1">
        <f t="array" ref="G94">Common_InputFunctions.Utility_DisplayArrayInTable(Common_SourceData.Common_SourceData_ClimateZones_Data(), Table_SourceData_ClimateZones[[#Headers],[Climate zone]], 0)</f>
        <v>Any</v>
      </c>
      <c r="H94" s="20" t="str" cm="1">
        <f t="array" ref="H94">Common_InputFunctions.Utility_DisplayArrayInTable(Common_SourceData.Common_SourceData_ClimateZones_Data(), Table_SourceData_ClimateZones[[#Headers],[Climate zone]], 0)</f>
        <v>Any</v>
      </c>
      <c r="I94" s="20" t="str" cm="1">
        <f t="array" ref="I94">Common_InputFunctions.Utility_DisplayArrayInTable(Common_SourceData.Common_SourceData_ClimateZones_Data(), Table_SourceData_ClimateZones[[#Headers],[Climate zone]], 0)</f>
        <v>&gt; 1</v>
      </c>
      <c r="J94" s="20" cm="1">
        <f t="array" ref="J94">Common_InputFunctions.Utility_DisplayArrayInTable(Common_SourceData.Common_SourceData_ClimateZones_Data(), Table_SourceData_ClimateZones[[#Headers],[Climate zone]], 0)</f>
        <v>10.000999999999999</v>
      </c>
      <c r="K94" s="20" cm="1">
        <f t="array" ref="K94">Common_InputFunctions.Utility_DisplayArrayInTable(Common_SourceData.Common_SourceData_ClimateZones_Data(), Table_SourceData_ClimateZones[[#Headers],[Climate zone]], 0)</f>
        <v>999999</v>
      </c>
      <c r="L94" s="20" cm="1">
        <f t="array" ref="L94">Common_InputFunctions.Utility_DisplayArrayInTable(Common_SourceData.Common_SourceData_ClimateZones_Data(), Table_SourceData_ClimateZones[[#Headers],[Climate zone]], 0)</f>
        <v>-999999</v>
      </c>
      <c r="M94" s="20" cm="1">
        <f t="array" ref="M94">Common_InputFunctions.Utility_DisplayArrayInTable(Common_SourceData.Common_SourceData_ClimateZones_Data(), Table_SourceData_ClimateZones[[#Headers],[Climate zone]], 0)</f>
        <v>999999</v>
      </c>
      <c r="N94" s="20" cm="1">
        <f t="array" ref="N94">Common_InputFunctions.Utility_DisplayArrayInTable(Common_SourceData.Common_SourceData_ClimateZones_Data(), Table_SourceData_ClimateZones[[#Headers],[Climate zone]], 0)</f>
        <v>-999999</v>
      </c>
      <c r="O94" s="20" cm="1">
        <f t="array" ref="O94">Common_InputFunctions.Utility_DisplayArrayInTable(Common_SourceData.Common_SourceData_ClimateZones_Data(), Table_SourceData_ClimateZones[[#Headers],[Climate zone]], 0)</f>
        <v>999999</v>
      </c>
      <c r="P94" s="20" cm="1">
        <f t="array" ref="P94">Common_InputFunctions.Utility_DisplayArrayInTable(Common_SourceData.Common_SourceData_ClimateZones_Data(), Table_SourceData_ClimateZones[[#Headers],[Climate zone]], 0)</f>
        <v>-999999</v>
      </c>
      <c r="Q94" s="20" cm="1">
        <f t="array" ref="Q94">Common_InputFunctions.Utility_DisplayArrayInTable(Common_SourceData.Common_SourceData_ClimateZones_Data(), Table_SourceData_ClimateZones[[#Headers],[Climate zone]], 0)</f>
        <v>999999</v>
      </c>
      <c r="R94" s="20" cm="1">
        <f t="array" ref="R94">Common_InputFunctions.Utility_DisplayArrayInTable(Common_SourceData.Common_SourceData_ClimateZones_Data(), Table_SourceData_ClimateZones[[#Headers],[Climate zone]], 0)</f>
        <v>1.0009999999999999</v>
      </c>
      <c r="S94" s="20" cm="1">
        <f t="array" ref="S94">Common_InputFunctions.Utility_DisplayArrayInTable(Common_SourceData.Common_SourceData_ClimateZones_Data(), Table_SourceData_ClimateZones[[#Headers],[Climate zone]], 0)</f>
        <v>999999</v>
      </c>
      <c r="T94" s="20"/>
    </row>
    <row r="95" spans="1:20" ht="20.100000000000001" customHeight="1" x14ac:dyDescent="0.25">
      <c r="A95"/>
      <c r="D95" s="20" t="str" cm="1">
        <f t="array" ref="D95">Common_InputFunctions.Utility_DisplayArrayInTable(Common_SourceData.Common_SourceData_ClimateZones_Data(), Table_SourceData_ClimateZones[[#Headers],[Climate zone]], 0)</f>
        <v>Warm temperate dry</v>
      </c>
      <c r="E95" s="20" t="str" cm="1">
        <f t="array" ref="E95">Common_InputFunctions.Utility_DisplayArrayInTable(Common_SourceData.Common_SourceData_ClimateZones_Data(), Table_SourceData_ClimateZones[[#Headers],[Climate zone]], 0)</f>
        <v>&gt; 10 C</v>
      </c>
      <c r="F95" s="20" t="str" cm="1">
        <f t="array" ref="F95">Common_InputFunctions.Utility_DisplayArrayInTable(Common_SourceData.Common_SourceData_ClimateZones_Data(), Table_SourceData_ClimateZones[[#Headers],[Climate zone]], 0)</f>
        <v>Any</v>
      </c>
      <c r="G95" s="20" t="str" cm="1">
        <f t="array" ref="G95">Common_InputFunctions.Utility_DisplayArrayInTable(Common_SourceData.Common_SourceData_ClimateZones_Data(), Table_SourceData_ClimateZones[[#Headers],[Climate zone]], 0)</f>
        <v>Any</v>
      </c>
      <c r="H95" s="20" t="str" cm="1">
        <f t="array" ref="H95">Common_InputFunctions.Utility_DisplayArrayInTable(Common_SourceData.Common_SourceData_ClimateZones_Data(), Table_SourceData_ClimateZones[[#Headers],[Climate zone]], 0)</f>
        <v>Any</v>
      </c>
      <c r="I95" s="20" t="str" cm="1">
        <f t="array" ref="I95">Common_InputFunctions.Utility_DisplayArrayInTable(Common_SourceData.Common_SourceData_ClimateZones_Data(), Table_SourceData_ClimateZones[[#Headers],[Climate zone]], 0)</f>
        <v>≤ 1</v>
      </c>
      <c r="J95" s="20" cm="1">
        <f t="array" ref="J95">Common_InputFunctions.Utility_DisplayArrayInTable(Common_SourceData.Common_SourceData_ClimateZones_Data(), Table_SourceData_ClimateZones[[#Headers],[Climate zone]], 0)</f>
        <v>10.000999999999999</v>
      </c>
      <c r="K95" s="20" cm="1">
        <f t="array" ref="K95">Common_InputFunctions.Utility_DisplayArrayInTable(Common_SourceData.Common_SourceData_ClimateZones_Data(), Table_SourceData_ClimateZones[[#Headers],[Climate zone]], 0)</f>
        <v>999999</v>
      </c>
      <c r="L95" s="20" cm="1">
        <f t="array" ref="L95">Common_InputFunctions.Utility_DisplayArrayInTable(Common_SourceData.Common_SourceData_ClimateZones_Data(), Table_SourceData_ClimateZones[[#Headers],[Climate zone]], 0)</f>
        <v>-999999</v>
      </c>
      <c r="M95" s="20" cm="1">
        <f t="array" ref="M95">Common_InputFunctions.Utility_DisplayArrayInTable(Common_SourceData.Common_SourceData_ClimateZones_Data(), Table_SourceData_ClimateZones[[#Headers],[Climate zone]], 0)</f>
        <v>999999</v>
      </c>
      <c r="N95" s="20" cm="1">
        <f t="array" ref="N95">Common_InputFunctions.Utility_DisplayArrayInTable(Common_SourceData.Common_SourceData_ClimateZones_Data(), Table_SourceData_ClimateZones[[#Headers],[Climate zone]], 0)</f>
        <v>-999999</v>
      </c>
      <c r="O95" s="20" cm="1">
        <f t="array" ref="O95">Common_InputFunctions.Utility_DisplayArrayInTable(Common_SourceData.Common_SourceData_ClimateZones_Data(), Table_SourceData_ClimateZones[[#Headers],[Climate zone]], 0)</f>
        <v>999999</v>
      </c>
      <c r="P95" s="20" cm="1">
        <f t="array" ref="P95">Common_InputFunctions.Utility_DisplayArrayInTable(Common_SourceData.Common_SourceData_ClimateZones_Data(), Table_SourceData_ClimateZones[[#Headers],[Climate zone]], 0)</f>
        <v>-999999</v>
      </c>
      <c r="Q95" s="20" cm="1">
        <f t="array" ref="Q95">Common_InputFunctions.Utility_DisplayArrayInTable(Common_SourceData.Common_SourceData_ClimateZones_Data(), Table_SourceData_ClimateZones[[#Headers],[Climate zone]], 0)</f>
        <v>999999</v>
      </c>
      <c r="R95" s="20" cm="1">
        <f t="array" ref="R95">Common_InputFunctions.Utility_DisplayArrayInTable(Common_SourceData.Common_SourceData_ClimateZones_Data(), Table_SourceData_ClimateZones[[#Headers],[Climate zone]], 0)</f>
        <v>-999999</v>
      </c>
      <c r="S95" s="20" cm="1">
        <f t="array" ref="S95">Common_InputFunctions.Utility_DisplayArrayInTable(Common_SourceData.Common_SourceData_ClimateZones_Data(), Table_SourceData_ClimateZones[[#Headers],[Climate zone]], 0)</f>
        <v>1</v>
      </c>
      <c r="T95" s="20"/>
    </row>
    <row r="96" spans="1:20" ht="20.100000000000001" customHeight="1" x14ac:dyDescent="0.25">
      <c r="A96"/>
      <c r="D96" s="20" t="str" cm="1">
        <f t="array" ref="D96">Common_InputFunctions.Utility_DisplayArrayInTable(Common_SourceData.Common_SourceData_ClimateZones_Data(), Table_SourceData_ClimateZones[[#Headers],[Climate zone]], 0)</f>
        <v>Cool temperate moist</v>
      </c>
      <c r="E96" s="20" t="str" cm="1">
        <f t="array" ref="E96">Common_InputFunctions.Utility_DisplayArrayInTable(Common_SourceData.Common_SourceData_ClimateZones_Data(), Table_SourceData_ClimateZones[[#Headers],[Climate zone]], 0)</f>
        <v>&gt; 0 C - ≤ 10 C</v>
      </c>
      <c r="F96" s="20" t="str" cm="1">
        <f t="array" ref="F96">Common_InputFunctions.Utility_DisplayArrayInTable(Common_SourceData.Common_SourceData_ClimateZones_Data(), Table_SourceData_ClimateZones[[#Headers],[Climate zone]], 0)</f>
        <v>Any</v>
      </c>
      <c r="G96" s="20" t="str" cm="1">
        <f t="array" ref="G96">Common_InputFunctions.Utility_DisplayArrayInTable(Common_SourceData.Common_SourceData_ClimateZones_Data(), Table_SourceData_ClimateZones[[#Headers],[Climate zone]], 0)</f>
        <v>Any</v>
      </c>
      <c r="H96" s="20" t="str" cm="1">
        <f t="array" ref="H96">Common_InputFunctions.Utility_DisplayArrayInTable(Common_SourceData.Common_SourceData_ClimateZones_Data(), Table_SourceData_ClimateZones[[#Headers],[Climate zone]], 0)</f>
        <v>Any</v>
      </c>
      <c r="I96" s="20" t="str" cm="1">
        <f t="array" ref="I96">Common_InputFunctions.Utility_DisplayArrayInTable(Common_SourceData.Common_SourceData_ClimateZones_Data(), Table_SourceData_ClimateZones[[#Headers],[Climate zone]], 0)</f>
        <v>&gt; 1</v>
      </c>
      <c r="J96" s="20" cm="1">
        <f t="array" ref="J96">Common_InputFunctions.Utility_DisplayArrayInTable(Common_SourceData.Common_SourceData_ClimateZones_Data(), Table_SourceData_ClimateZones[[#Headers],[Climate zone]], 0)</f>
        <v>-999999</v>
      </c>
      <c r="K96" s="20" cm="1">
        <f t="array" ref="K96">Common_InputFunctions.Utility_DisplayArrayInTable(Common_SourceData.Common_SourceData_ClimateZones_Data(), Table_SourceData_ClimateZones[[#Headers],[Climate zone]], 0)</f>
        <v>10</v>
      </c>
      <c r="L96" s="20" cm="1">
        <f t="array" ref="L96">Common_InputFunctions.Utility_DisplayArrayInTable(Common_SourceData.Common_SourceData_ClimateZones_Data(), Table_SourceData_ClimateZones[[#Headers],[Climate zone]], 0)</f>
        <v>-999999</v>
      </c>
      <c r="M96" s="20" cm="1">
        <f t="array" ref="M96">Common_InputFunctions.Utility_DisplayArrayInTable(Common_SourceData.Common_SourceData_ClimateZones_Data(), Table_SourceData_ClimateZones[[#Headers],[Climate zone]], 0)</f>
        <v>999999</v>
      </c>
      <c r="N96" s="20" cm="1">
        <f t="array" ref="N96">Common_InputFunctions.Utility_DisplayArrayInTable(Common_SourceData.Common_SourceData_ClimateZones_Data(), Table_SourceData_ClimateZones[[#Headers],[Climate zone]], 0)</f>
        <v>-999999</v>
      </c>
      <c r="O96" s="20" cm="1">
        <f t="array" ref="O96">Common_InputFunctions.Utility_DisplayArrayInTable(Common_SourceData.Common_SourceData_ClimateZones_Data(), Table_SourceData_ClimateZones[[#Headers],[Climate zone]], 0)</f>
        <v>999999</v>
      </c>
      <c r="P96" s="20" cm="1">
        <f t="array" ref="P96">Common_InputFunctions.Utility_DisplayArrayInTable(Common_SourceData.Common_SourceData_ClimateZones_Data(), Table_SourceData_ClimateZones[[#Headers],[Climate zone]], 0)</f>
        <v>-999999</v>
      </c>
      <c r="Q96" s="20" cm="1">
        <f t="array" ref="Q96">Common_InputFunctions.Utility_DisplayArrayInTable(Common_SourceData.Common_SourceData_ClimateZones_Data(), Table_SourceData_ClimateZones[[#Headers],[Climate zone]], 0)</f>
        <v>999999</v>
      </c>
      <c r="R96" s="20" cm="1">
        <f t="array" ref="R96">Common_InputFunctions.Utility_DisplayArrayInTable(Common_SourceData.Common_SourceData_ClimateZones_Data(), Table_SourceData_ClimateZones[[#Headers],[Climate zone]], 0)</f>
        <v>1.0009999999999999</v>
      </c>
      <c r="S96" s="20" cm="1">
        <f t="array" ref="S96">Common_InputFunctions.Utility_DisplayArrayInTable(Common_SourceData.Common_SourceData_ClimateZones_Data(), Table_SourceData_ClimateZones[[#Headers],[Climate zone]], 0)</f>
        <v>999999</v>
      </c>
      <c r="T96" s="20"/>
    </row>
    <row r="97" spans="1:20" ht="20.100000000000001" customHeight="1" x14ac:dyDescent="0.25">
      <c r="A97"/>
      <c r="D97" s="20" t="str" cm="1">
        <f t="array" ref="D97">Common_InputFunctions.Utility_DisplayArrayInTable(Common_SourceData.Common_SourceData_ClimateZones_Data(), Table_SourceData_ClimateZones[[#Headers],[Climate zone]], 0)</f>
        <v>Cool temperate dry</v>
      </c>
      <c r="E97" s="20" t="str" cm="1">
        <f t="array" ref="E97">Common_InputFunctions.Utility_DisplayArrayInTable(Common_SourceData.Common_SourceData_ClimateZones_Data(), Table_SourceData_ClimateZones[[#Headers],[Climate zone]], 0)</f>
        <v>&gt; 0 C - ≤ 10 C</v>
      </c>
      <c r="F97" s="20" t="str" cm="1">
        <f t="array" ref="F97">Common_InputFunctions.Utility_DisplayArrayInTable(Common_SourceData.Common_SourceData_ClimateZones_Data(), Table_SourceData_ClimateZones[[#Headers],[Climate zone]], 0)</f>
        <v>Any</v>
      </c>
      <c r="G97" s="20" t="str" cm="1">
        <f t="array" ref="G97">Common_InputFunctions.Utility_DisplayArrayInTable(Common_SourceData.Common_SourceData_ClimateZones_Data(), Table_SourceData_ClimateZones[[#Headers],[Climate zone]], 0)</f>
        <v>Any</v>
      </c>
      <c r="H97" s="20" t="str" cm="1">
        <f t="array" ref="H97">Common_InputFunctions.Utility_DisplayArrayInTable(Common_SourceData.Common_SourceData_ClimateZones_Data(), Table_SourceData_ClimateZones[[#Headers],[Climate zone]], 0)</f>
        <v>Any</v>
      </c>
      <c r="I97" s="20" t="str" cm="1">
        <f t="array" ref="I97">Common_InputFunctions.Utility_DisplayArrayInTable(Common_SourceData.Common_SourceData_ClimateZones_Data(), Table_SourceData_ClimateZones[[#Headers],[Climate zone]], 0)</f>
        <v>≤ 1</v>
      </c>
      <c r="J97" s="20" cm="1">
        <f t="array" ref="J97">Common_InputFunctions.Utility_DisplayArrayInTable(Common_SourceData.Common_SourceData_ClimateZones_Data(), Table_SourceData_ClimateZones[[#Headers],[Climate zone]], 0)</f>
        <v>-999999</v>
      </c>
      <c r="K97" s="20" cm="1">
        <f t="array" ref="K97">Common_InputFunctions.Utility_DisplayArrayInTable(Common_SourceData.Common_SourceData_ClimateZones_Data(), Table_SourceData_ClimateZones[[#Headers],[Climate zone]], 0)</f>
        <v>10</v>
      </c>
      <c r="L97" s="20" cm="1">
        <f t="array" ref="L97">Common_InputFunctions.Utility_DisplayArrayInTable(Common_SourceData.Common_SourceData_ClimateZones_Data(), Table_SourceData_ClimateZones[[#Headers],[Climate zone]], 0)</f>
        <v>-999999</v>
      </c>
      <c r="M97" s="20" cm="1">
        <f t="array" ref="M97">Common_InputFunctions.Utility_DisplayArrayInTable(Common_SourceData.Common_SourceData_ClimateZones_Data(), Table_SourceData_ClimateZones[[#Headers],[Climate zone]], 0)</f>
        <v>999999</v>
      </c>
      <c r="N97" s="20" cm="1">
        <f t="array" ref="N97">Common_InputFunctions.Utility_DisplayArrayInTable(Common_SourceData.Common_SourceData_ClimateZones_Data(), Table_SourceData_ClimateZones[[#Headers],[Climate zone]], 0)</f>
        <v>-999999</v>
      </c>
      <c r="O97" s="20" cm="1">
        <f t="array" ref="O97">Common_InputFunctions.Utility_DisplayArrayInTable(Common_SourceData.Common_SourceData_ClimateZones_Data(), Table_SourceData_ClimateZones[[#Headers],[Climate zone]], 0)</f>
        <v>999999</v>
      </c>
      <c r="P97" s="20" cm="1">
        <f t="array" ref="P97">Common_InputFunctions.Utility_DisplayArrayInTable(Common_SourceData.Common_SourceData_ClimateZones_Data(), Table_SourceData_ClimateZones[[#Headers],[Climate zone]], 0)</f>
        <v>-999999</v>
      </c>
      <c r="Q97" s="20" cm="1">
        <f t="array" ref="Q97">Common_InputFunctions.Utility_DisplayArrayInTable(Common_SourceData.Common_SourceData_ClimateZones_Data(), Table_SourceData_ClimateZones[[#Headers],[Climate zone]], 0)</f>
        <v>999999</v>
      </c>
      <c r="R97" s="20" cm="1">
        <f t="array" ref="R97">Common_InputFunctions.Utility_DisplayArrayInTable(Common_SourceData.Common_SourceData_ClimateZones_Data(), Table_SourceData_ClimateZones[[#Headers],[Climate zone]], 0)</f>
        <v>-999999</v>
      </c>
      <c r="S97" s="20" cm="1">
        <f t="array" ref="S97">Common_InputFunctions.Utility_DisplayArrayInTable(Common_SourceData.Common_SourceData_ClimateZones_Data(), Table_SourceData_ClimateZones[[#Headers],[Climate zone]], 0)</f>
        <v>1</v>
      </c>
      <c r="T97" s="20"/>
    </row>
    <row r="98" spans="1:20" ht="20.100000000000001" customHeight="1" x14ac:dyDescent="0.25">
      <c r="A98"/>
    </row>
    <row r="99" spans="1:20" ht="20.100000000000001" customHeight="1" x14ac:dyDescent="0.25">
      <c r="A99"/>
      <c r="D99" s="10" t="str" cm="1">
        <f t="array" ref="D99:D102">Common_SourceData.Common_SourceData_ClimateZones_Appendices()</f>
        <v>Note:</v>
      </c>
    </row>
    <row r="100" spans="1:20" ht="20.100000000000001" customHeight="1" x14ac:dyDescent="0.25">
      <c r="A100"/>
      <c r="D100" s="10" t="str">
        <v>MAT = mean annual temperature</v>
      </c>
    </row>
    <row r="101" spans="1:20" ht="20.100000000000001" customHeight="1" x14ac:dyDescent="0.25">
      <c r="A101"/>
      <c r="D101" s="10" t="str">
        <v>MAP = mean annual precipitation</v>
      </c>
    </row>
    <row r="102" spans="1:20" ht="20.100000000000001" customHeight="1" x14ac:dyDescent="0.25">
      <c r="A102"/>
      <c r="D102" s="10" t="str">
        <v>PET = potential evapotranspiration</v>
      </c>
    </row>
    <row r="103" spans="1:20" ht="20.100000000000001" customHeight="1" x14ac:dyDescent="0.25">
      <c r="A103"/>
      <c r="D103" s="10"/>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18" t="str" cm="1">
        <f t="array" ref="D106">Common_SourceData.Common_SourceData_TemperatureZones_Source()</f>
        <v>VEERG 2026: Table 1.3: Climate and Rainfall zone classifications and definitions</v>
      </c>
    </row>
    <row r="107" spans="1:20" ht="20.100000000000001" customHeight="1" x14ac:dyDescent="0.25">
      <c r="A107"/>
      <c r="D107" s="2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0" t="s">
        <v>49</v>
      </c>
      <c r="E109" s="20" t="s">
        <v>34</v>
      </c>
      <c r="F109" s="20" t="s">
        <v>50</v>
      </c>
      <c r="G109" s="20" t="s">
        <v>51</v>
      </c>
    </row>
    <row r="110" spans="1:20" ht="20.100000000000001" customHeight="1" x14ac:dyDescent="0.25">
      <c r="A110"/>
      <c r="D110" s="20" t="str" cm="1">
        <f t="array" ref="D110">Common_InputFunctions.Utility_DisplayArrayInTable(Common_SourceData.Common_SourceData_TemperatureZones_Data(),Table_SourceData_TemperatureZones[[#Headers],[Temperature Zone]],0)</f>
        <v>Warm</v>
      </c>
      <c r="E110" s="20" t="str" cm="1">
        <f t="array" ref="E110">Common_InputFunctions.Utility_DisplayArrayInTable(Common_SourceData.Common_SourceData_TemperatureZones_Data(),Table_SourceData_TemperatureZones[[#Headers],[Temperature Zone]],0)</f>
        <v>≥ 26 C</v>
      </c>
      <c r="F110" s="20" cm="1">
        <f t="array" ref="F110">Common_InputFunctions.Utility_DisplayArrayInTable(Common_SourceData.Common_SourceData_TemperatureZones_Data(),Table_SourceData_TemperatureZones[[#Headers],[Temperature Zone]],0)</f>
        <v>26</v>
      </c>
      <c r="G110" s="2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0" t="str" cm="1">
        <f t="array" ref="D111">Common_InputFunctions.Utility_DisplayArrayInTable(Common_SourceData.Common_SourceData_TemperatureZones_Data(),Table_SourceData_TemperatureZones[[#Headers],[Temperature Zone]],0)</f>
        <v>Temperate</v>
      </c>
      <c r="E111" s="20" t="str" cm="1">
        <f t="array" ref="E111">Common_InputFunctions.Utility_DisplayArrayInTable(Common_SourceData.Common_SourceData_TemperatureZones_Data(),Table_SourceData_TemperatureZones[[#Headers],[Temperature Zone]],0)</f>
        <v>15 - 25 C</v>
      </c>
      <c r="F111" s="20" cm="1">
        <f t="array" ref="F111">Common_InputFunctions.Utility_DisplayArrayInTable(Common_SourceData.Common_SourceData_TemperatureZones_Data(),Table_SourceData_TemperatureZones[[#Headers],[Temperature Zone]],0)</f>
        <v>15</v>
      </c>
      <c r="G111" s="2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0" t="str" cm="1">
        <f t="array" ref="D112">Common_InputFunctions.Utility_DisplayArrayInTable(Common_SourceData.Common_SourceData_TemperatureZones_Data(),Table_SourceData_TemperatureZones[[#Headers],[Temperature Zone]],0)</f>
        <v>Cool</v>
      </c>
      <c r="E112" s="20" t="str" cm="1">
        <f t="array" ref="E112">Common_InputFunctions.Utility_DisplayArrayInTable(Common_SourceData.Common_SourceData_TemperatureZones_Data(),Table_SourceData_TemperatureZones[[#Headers],[Temperature Zone]],0)</f>
        <v>≤ 14 C</v>
      </c>
      <c r="F112" s="20" cm="1">
        <f t="array" ref="F112">Common_InputFunctions.Utility_DisplayArrayInTable(Common_SourceData.Common_SourceData_TemperatureZones_Data(),Table_SourceData_TemperatureZones[[#Headers],[Temperature Zone]],0)</f>
        <v>-999999</v>
      </c>
      <c r="G112" s="2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22"/>
    </row>
    <row r="116" spans="1:66" ht="20.100000000000001" customHeight="1" x14ac:dyDescent="0.25">
      <c r="A116"/>
      <c r="D116" s="18" t="str" cm="1">
        <f t="array" ref="D116">Common_SourceData.Common_SourceData_RainfallZones_Source()</f>
        <v>VEERG 2026: Table 1.3: Climate and Rainfall zone classifications and definitions</v>
      </c>
      <c r="BN116" s="22"/>
    </row>
    <row r="117" spans="1:66" ht="20.100000000000001" customHeight="1" x14ac:dyDescent="0.25">
      <c r="A117"/>
      <c r="D117" s="26" t="str" cm="1">
        <f t="array" ref="D117">"⚠️" &amp; Common_SourceData.Common_SourceData_RainfallZones_Variation()</f>
        <v>⚠️VARIATION OF SOURCE DATA: Added extra Rainfall min and Rainfall max columns to calculate zone from real rainfall data.</v>
      </c>
      <c r="BN117" s="22"/>
    </row>
    <row r="118" spans="1:66" ht="20.100000000000001" customHeight="1" x14ac:dyDescent="0.25">
      <c r="A118"/>
      <c r="BN118" s="22"/>
    </row>
    <row r="119" spans="1:66" ht="20.100000000000001" customHeight="1" x14ac:dyDescent="0.25">
      <c r="A119"/>
      <c r="D119" s="20" t="s">
        <v>52</v>
      </c>
      <c r="E119" s="20" t="s">
        <v>53</v>
      </c>
      <c r="F119" s="20" t="s">
        <v>41</v>
      </c>
      <c r="G119" s="20" t="s">
        <v>42</v>
      </c>
      <c r="BN119" s="22"/>
    </row>
    <row r="120" spans="1:66" ht="20.100000000000001" customHeight="1" x14ac:dyDescent="0.25">
      <c r="A120"/>
      <c r="D120" s="20" t="str" cm="1">
        <f t="array" ref="D120">Common_InputFunctions.Utility_DisplayArrayInTable(Common_SourceData.Common_SourceData_RainfallZones_Data(),Table_SourceData_RainfallZones[[#Headers],[Rainfall Zone]],0)</f>
        <v>High rainfall</v>
      </c>
      <c r="E120" s="20" t="str" cm="1">
        <f t="array" ref="E120">Common_InputFunctions.Utility_DisplayArrayInTable(Common_SourceData.Common_SourceData_RainfallZones_Data(),Table_SourceData_RainfallZones[[#Headers],[Rainfall Zone]],0)</f>
        <v>Annual rainfall &gt; 600mm</v>
      </c>
      <c r="F120" s="20" cm="1">
        <f t="array" ref="F120">Common_InputFunctions.Utility_DisplayArrayInTable(Common_SourceData.Common_SourceData_RainfallZones_Data(),Table_SourceData_RainfallZones[[#Headers],[Rainfall Zone]],0)</f>
        <v>600.00099999999998</v>
      </c>
      <c r="G120" s="20" cm="1">
        <f t="array" ref="G120">Common_InputFunctions.Utility_DisplayArrayInTable(Common_SourceData.Common_SourceData_RainfallZones_Data(),Table_SourceData_RainfallZones[[#Headers],[Rainfall Zone]],0)</f>
        <v>999999</v>
      </c>
      <c r="BN120" s="22"/>
    </row>
    <row r="121" spans="1:66" ht="20.100000000000001" customHeight="1" x14ac:dyDescent="0.25">
      <c r="A121"/>
      <c r="D121" s="20" t="str" cm="1">
        <f t="array" ref="D121">Common_InputFunctions.Utility_DisplayArrayInTable(Common_SourceData.Common_SourceData_RainfallZones_Data(),Table_SourceData_RainfallZones[[#Headers],[Rainfall Zone]],0)</f>
        <v>Low rainfall</v>
      </c>
      <c r="E121" s="20" t="str" cm="1">
        <f t="array" ref="E121">Common_InputFunctions.Utility_DisplayArrayInTable(Common_SourceData.Common_SourceData_RainfallZones_Data(),Table_SourceData_RainfallZones[[#Headers],[Rainfall Zone]],0)</f>
        <v>Annual rainfall ≤ 600mm</v>
      </c>
      <c r="F121" s="20" cm="1">
        <f t="array" ref="F121">Common_InputFunctions.Utility_DisplayArrayInTable(Common_SourceData.Common_SourceData_RainfallZones_Data(),Table_SourceData_RainfallZones[[#Headers],[Rainfall Zone]],0)</f>
        <v>-999999</v>
      </c>
      <c r="G121" s="20" cm="1">
        <f t="array" ref="G121">Common_InputFunctions.Utility_DisplayArrayInTable(Common_SourceData.Common_SourceData_RainfallZones_Data(),Table_SourceData_RainfallZones[[#Headers],[Rainfall Zone]],0)</f>
        <v>600</v>
      </c>
      <c r="BN121" s="22"/>
    </row>
    <row r="122" spans="1:66" ht="20.100000000000001" customHeight="1" x14ac:dyDescent="0.25">
      <c r="A122"/>
      <c r="BN122" s="2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18"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0" t="s">
        <v>54</v>
      </c>
      <c r="E127" s="20" t="s">
        <v>55</v>
      </c>
    </row>
    <row r="128" spans="1:66" ht="20.100000000000001" customHeight="1" x14ac:dyDescent="0.25">
      <c r="A128"/>
      <c r="D128" s="20" t="str" cm="1">
        <f t="array" ref="D128">Common_InputFunctions.Utility_DisplayArrayInTable(Common_SourceData.Common_SourceData_LeachingZones_Data(), Table_SourceData_LeachingZones[[#Headers],[Leaching Zone]], 0)</f>
        <v>Leaching occurs</v>
      </c>
      <c r="E128" s="2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0" t="str" cm="1">
        <f t="array" ref="D129">Common_InputFunctions.Utility_DisplayArrayInTable(Common_SourceData.Common_SourceData_LeachingZones_Data(), Table_SourceData_LeachingZones[[#Headers],[Leaching Zone]], 0)</f>
        <v>Leaching does not occur</v>
      </c>
      <c r="E129" s="2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9"/>
    </row>
    <row r="133" spans="1:77" ht="20.100000000000001" customHeight="1" x14ac:dyDescent="0.25">
      <c r="A133"/>
      <c r="D133" s="18" t="str" cm="1">
        <f t="array" ref="D133">Common_SourceData.Common_SourceData_FracWET_Source()</f>
        <v>VEERG 2026:5.5.2.3 Constant Parameters</v>
      </c>
      <c r="E133" s="9"/>
    </row>
    <row r="134" spans="1:77" ht="20.100000000000001" customHeight="1" x14ac:dyDescent="0.25">
      <c r="A134"/>
      <c r="D134" t="s">
        <v>56</v>
      </c>
      <c r="E134" t="s">
        <v>57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22"/>
      <c r="BO138" s="22"/>
      <c r="BP138" s="22"/>
      <c r="BQ138" s="22"/>
      <c r="BR138" s="22"/>
      <c r="BS138" s="22"/>
      <c r="BT138" s="22"/>
      <c r="BU138" s="22"/>
      <c r="BV138" s="22"/>
      <c r="BW138" s="22"/>
      <c r="BX138" s="22"/>
      <c r="BY138" s="22"/>
    </row>
    <row r="139" spans="1:77" ht="20.100000000000001" customHeight="1" x14ac:dyDescent="0.25">
      <c r="A139"/>
      <c r="D139" s="2" t="str" cm="1">
        <f t="array" ref="D139">Common_SourceData.Common_SourceData_FracWETIrrigation_Title()</f>
        <v>FracWET for irrigation types</v>
      </c>
      <c r="BN139" s="22"/>
      <c r="BO139" s="22"/>
      <c r="BP139" s="22"/>
      <c r="BQ139" s="22"/>
      <c r="BR139" s="22"/>
      <c r="BS139" s="22"/>
      <c r="BT139" s="22"/>
      <c r="BU139" s="22"/>
      <c r="BV139" s="22"/>
      <c r="BW139" s="22"/>
      <c r="BX139" s="22"/>
      <c r="BY139" s="22"/>
    </row>
    <row r="140" spans="1:77" ht="20.100000000000001" customHeight="1" x14ac:dyDescent="0.25">
      <c r="A140"/>
      <c r="D140" s="18" t="str" cm="1">
        <f t="array" ref="D140">Common_SourceData.Common_SourceData_FracWETIrrigation_Source()</f>
        <v>VEERG 2026: Chapter 1, section 1.8.2 Leaching, climate and rainfall zones</v>
      </c>
      <c r="BN140" s="22"/>
      <c r="BO140" s="22"/>
      <c r="BP140" s="22"/>
      <c r="BQ140" s="22"/>
      <c r="BR140" s="22"/>
      <c r="BS140" s="22"/>
      <c r="BT140" s="22"/>
      <c r="BU140" s="22"/>
      <c r="BV140" s="22"/>
      <c r="BW140" s="22"/>
      <c r="BX140" s="22"/>
      <c r="BY140" s="22"/>
    </row>
    <row r="141" spans="1:77" ht="20.100000000000001" customHeight="1" x14ac:dyDescent="0.25">
      <c r="A141"/>
      <c r="D141" s="26" t="str" cm="1">
        <f t="array" ref="D141">Common_SourceData.Common_SourceData_FracWETIrrigation_Variation()</f>
        <v>VARIATION FROM SOURCE DATA: Table created based on VEERG text 'Areas are subject to leaching (i.e., in the leaching zone) when... the land is irrigated (except drip irrigation).'</v>
      </c>
      <c r="BN141" s="22"/>
    </row>
    <row r="142" spans="1:77" ht="20.100000000000001" customHeight="1" x14ac:dyDescent="0.25">
      <c r="A142"/>
      <c r="D142" s="20" t="s">
        <v>58</v>
      </c>
      <c r="E142" s="20" t="s">
        <v>57</v>
      </c>
      <c r="BN142" s="22"/>
    </row>
    <row r="143" spans="1:77" ht="20.100000000000001" customHeight="1" x14ac:dyDescent="0.25">
      <c r="A143"/>
      <c r="D143" s="20" t="str" cm="1">
        <f t="array" ref="D143">Common_InputFunctions.Utility_DisplayArrayInTable(Common_SourceData.Common_SourceData_FracWETIrrigation_Data(), Table_SourceData_FracWETIrrigation[[#Headers],[Irrigation type i]], 0)</f>
        <v>Not irrigated</v>
      </c>
      <c r="E143" s="20" cm="1">
        <f t="array" ref="E143">Common_InputFunctions.Utility_DisplayArrayInTable(Common_SourceData.Common_SourceData_FracWETIrrigation_Data(), Table_SourceData_FracWETIrrigation[[#Headers],[Irrigation type i]], 0)</f>
        <v>0</v>
      </c>
      <c r="BN143" s="2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0" cm="1">
        <f t="array" ref="E144">Common_InputFunctions.Utility_DisplayArrayInTable(Common_SourceData.Common_SourceData_FracWETIrrigation_Data(), Table_SourceData_FracWETIrrigation[[#Headers],[Irrigation type i]], 0)</f>
        <v>0</v>
      </c>
      <c r="BN144" s="2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0" cm="1">
        <f t="array" ref="E145">Common_InputFunctions.Utility_DisplayArrayInTable(Common_SourceData.Common_SourceData_FracWETIrrigation_Data(), Table_SourceData_FracWETIrrigation[[#Headers],[Irrigation type i]], 0)</f>
        <v>1</v>
      </c>
      <c r="BN145" s="2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0" cm="1">
        <f t="array" ref="E146">Common_InputFunctions.Utility_DisplayArrayInTable(Common_SourceData.Common_SourceData_FracWETIrrigation_Data(), Table_SourceData_FracWETIrrigation[[#Headers],[Irrigation type i]], 0)</f>
        <v>1</v>
      </c>
      <c r="BN146" s="2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0" cm="1">
        <f t="array" ref="E147">Common_InputFunctions.Utility_DisplayArrayInTable(Common_SourceData.Common_SourceData_FracWETIrrigation_Data(), Table_SourceData_FracWETIrrigation[[#Headers],[Irrigation type i]], 0)</f>
        <v>1</v>
      </c>
      <c r="BN147" s="22"/>
    </row>
    <row r="148" spans="1:66" ht="20.100000000000001" customHeight="1" x14ac:dyDescent="0.25">
      <c r="A148"/>
      <c r="BN148" s="22"/>
    </row>
    <row r="149" spans="1:66" ht="20.100000000000001" customHeight="1" x14ac:dyDescent="0.25">
      <c r="A149"/>
      <c r="BN149" s="22"/>
    </row>
    <row r="150" spans="1:66" ht="20.100000000000001" customHeight="1" x14ac:dyDescent="0.25">
      <c r="A150"/>
      <c r="D150" s="2" t="str" cm="1">
        <f t="array" ref="D150">Common_SourceData.Common_SourceData_DataScores_Scope3_Title()</f>
        <v>Australian data scores for scope 3</v>
      </c>
      <c r="BN150" s="22"/>
    </row>
    <row r="151" spans="1:66" ht="20.100000000000001" customHeight="1" x14ac:dyDescent="0.25">
      <c r="A151"/>
      <c r="D151" s="18" t="str" cm="1">
        <f t="array" ref="D151">Common_SourceData.Common_SourceData_DataScores_Scope3_Source()</f>
        <v>VEERG 2026: XXXXXXXX</v>
      </c>
      <c r="BN151" s="22"/>
    </row>
    <row r="152" spans="1:66" ht="20.100000000000001" customHeight="1" x14ac:dyDescent="0.25">
      <c r="A152"/>
      <c r="BN152" s="22"/>
    </row>
    <row r="153" spans="1:66" ht="20.100000000000001" customHeight="1" x14ac:dyDescent="0.25">
      <c r="A153"/>
      <c r="D153" s="20" t="s">
        <v>59</v>
      </c>
      <c r="E153" s="20" t="s">
        <v>60</v>
      </c>
      <c r="BC153" s="25"/>
      <c r="BD153" s="25"/>
      <c r="BE153" s="25"/>
      <c r="BF153" s="25"/>
      <c r="BG153" s="25"/>
      <c r="BH153" s="25"/>
      <c r="BI153" s="25"/>
      <c r="BJ153" s="25"/>
      <c r="BK153" s="25"/>
      <c r="BL153" s="25"/>
      <c r="BM153" s="25"/>
    </row>
    <row r="154" spans="1:66" ht="20.100000000000001" customHeight="1" x14ac:dyDescent="0.25">
      <c r="A154"/>
      <c r="D154" s="20" t="str" cm="1">
        <f t="array" ref="D154">Common_InputFunctions.Utility_DisplayArrayInTable(Common_SourceData.Common_SourceData_DataScores_Scope3_Data(), Table_SourceData_DataScores_Scope3[[#Headers],[Data source]], 0)</f>
        <v>International scope 3 database</v>
      </c>
      <c r="E154" s="20" cm="1">
        <f t="array" ref="E154">Common_InputFunctions.Utility_DisplayArrayInTable(Common_SourceData.Common_SourceData_DataScores_Scope3_Data(), Table_SourceData_DataScores_Scope3[[#Headers],[Data source]], 0)</f>
        <v>1</v>
      </c>
      <c r="BC154" s="25"/>
      <c r="BD154" s="25"/>
      <c r="BE154" s="25"/>
      <c r="BF154" s="25"/>
      <c r="BG154" s="25"/>
      <c r="BH154" s="25"/>
      <c r="BI154" s="25"/>
      <c r="BJ154" s="25"/>
      <c r="BK154" s="25"/>
      <c r="BL154" s="25"/>
      <c r="BM154" s="25"/>
    </row>
    <row r="155" spans="1:66" ht="20.100000000000001" customHeight="1" x14ac:dyDescent="0.25">
      <c r="A155"/>
      <c r="D155" s="20" t="str" cm="1">
        <f t="array" ref="D155">Common_InputFunctions.Utility_DisplayArrayInTable(Common_SourceData.Common_SourceData_DataScores_Scope3_Data(), Table_SourceData_DataScores_Scope3[[#Headers],[Data source]], 0)</f>
        <v>Australian scope 3 database</v>
      </c>
      <c r="E155" s="20" cm="1">
        <f t="array" ref="E155">Common_InputFunctions.Utility_DisplayArrayInTable(Common_SourceData.Common_SourceData_DataScores_Scope3_Data(), Table_SourceData_DataScores_Scope3[[#Headers],[Data source]], 0)</f>
        <v>2</v>
      </c>
      <c r="BC155" s="25"/>
      <c r="BD155" s="25"/>
      <c r="BE155" s="25"/>
      <c r="BF155" s="25"/>
      <c r="BG155" s="25"/>
      <c r="BH155" s="25"/>
      <c r="BI155" s="25"/>
      <c r="BJ155" s="25"/>
      <c r="BK155" s="25"/>
      <c r="BL155" s="25"/>
      <c r="BM155" s="25"/>
    </row>
    <row r="156" spans="1:66" ht="20.100000000000001" customHeight="1" x14ac:dyDescent="0.25">
      <c r="A156"/>
      <c r="D156" s="20" t="str" cm="1">
        <f t="array" ref="D156">Common_InputFunctions.Utility_DisplayArrayInTable(Common_SourceData.Common_SourceData_DataScores_Scope3_Data(), Table_SourceData_DataScores_Scope3[[#Headers],[Data source]], 0)</f>
        <v>State or regional scope 3 database</v>
      </c>
      <c r="E156" s="2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0" t="str" cm="1">
        <f t="array" ref="D157">Common_InputFunctions.Utility_DisplayArrayInTable(Common_SourceData.Common_SourceData_DataScores_Scope3_Data(), Table_SourceData_DataScores_Scope3[[#Headers],[Data source]], 0)</f>
        <v>Emissions intensity calculated from approved method</v>
      </c>
      <c r="E157" s="2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0" t="str" cm="1">
        <f t="array" ref="D158">Common_InputFunctions.Utility_DisplayArrayInTable(Common_SourceData.Common_SourceData_DataScores_Scope3_Data(), Table_SourceData_DataScores_Scope3[[#Headers],[Data source]], 0)</f>
        <v>Verified credential matching ISO14067</v>
      </c>
      <c r="E158" s="2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18" t="str" cm="1">
        <f t="array" ref="D162">Common_SourceData.Common_SourceData_FracLEACH_Source()</f>
        <v>VEERG 2026:5.5.2.3 Constant Parameters</v>
      </c>
      <c r="E162" s="9"/>
    </row>
    <row r="163" spans="4:68" ht="20.100000000000001" customHeight="1" x14ac:dyDescent="0.25">
      <c r="D163" s="18"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22"/>
      <c r="BO165" s="22"/>
      <c r="BP165" s="22"/>
    </row>
    <row r="166" spans="4:68" ht="20.100000000000001" customHeight="1" x14ac:dyDescent="0.25">
      <c r="BN166" s="22"/>
      <c r="BO166" s="22"/>
      <c r="BP166" s="22"/>
    </row>
    <row r="167" spans="4:68" ht="20.100000000000001" customHeight="1" x14ac:dyDescent="0.25">
      <c r="D167" s="2" t="str" cm="1">
        <f t="array" ref="D167">Common_SourceData.Common_SourceData_EFleach_Title()</f>
        <v>Emission factor for nitrogen leaching and runoff</v>
      </c>
      <c r="BN167" s="22"/>
      <c r="BO167" s="22"/>
      <c r="BP167" s="22"/>
    </row>
    <row r="168" spans="4:68" ht="20.100000000000001" customHeight="1" x14ac:dyDescent="0.25">
      <c r="D168" s="18" t="str" cm="1">
        <f t="array" ref="D168">Common_SourceData.Common_SourceData_EFleach_Source()</f>
        <v>VEERG 2026:5.5.2.3 Constant Parameters</v>
      </c>
      <c r="BN168" s="22"/>
      <c r="BO168" s="22"/>
      <c r="BP168" s="22"/>
    </row>
    <row r="169" spans="4:68" ht="20.100000000000001" customHeight="1" x14ac:dyDescent="0.25">
      <c r="D169" s="18" t="str" cm="1">
        <f t="array" ref="D169">Common_SourceData.Common_SourceData_EFleach_NIRReference()</f>
        <v>National Inventory Report Volume 1: Equation 3.D.B_10</v>
      </c>
      <c r="BN169" s="22"/>
      <c r="BO169" s="22"/>
      <c r="BP169" s="22"/>
    </row>
    <row r="170" spans="4:68" ht="20.100000000000001" customHeight="1" x14ac:dyDescent="0.25">
      <c r="D170" s="1" t="str" cm="1">
        <f t="array" ref="D170:E170">Common_SourceData.Common_SourceData_EFleach_Data()</f>
        <v>EFleach</v>
      </c>
      <c r="E170" s="1">
        <v>1.0999999999999999E-2</v>
      </c>
      <c r="BN170" s="22"/>
      <c r="BO170" s="22"/>
      <c r="BP170" s="22"/>
    </row>
    <row r="171" spans="4:68" ht="20.100000000000001" customHeight="1" x14ac:dyDescent="0.25">
      <c r="BN171" s="22"/>
      <c r="BO171" s="22"/>
      <c r="BP171" s="22"/>
    </row>
    <row r="172" spans="4:68" ht="20.100000000000001" customHeight="1" x14ac:dyDescent="0.25">
      <c r="BN172" s="22"/>
      <c r="BO172" s="22"/>
      <c r="BP172" s="22"/>
    </row>
    <row r="173" spans="4:68" ht="20.100000000000001" customHeight="1" x14ac:dyDescent="0.25">
      <c r="D173" s="2" t="str" cm="1">
        <f t="array" ref="D173">Common_SourceData.Common_SourceData_DensityOfMethane_Title()</f>
        <v>p = density of methane</v>
      </c>
      <c r="BN173" s="22"/>
      <c r="BO173" s="22"/>
      <c r="BP173" s="22"/>
    </row>
    <row r="174" spans="4:68" ht="20.100000000000001" customHeight="1" x14ac:dyDescent="0.25">
      <c r="D174" s="18" t="str" cm="1">
        <f t="array" ref="D174">Common_SourceData.Common_SourceData_DensityOfMethane_Source()</f>
        <v>National Inventory Report 2023 Volume 1: Equations 3.B.1a_2, 3.B.1c_2, 3.B.3_1, 3.B.4g_2</v>
      </c>
      <c r="BN174" s="22"/>
      <c r="BO174" s="22"/>
      <c r="BP174" s="22"/>
    </row>
    <row r="175" spans="4:68" ht="20.100000000000001" customHeight="1" x14ac:dyDescent="0.25">
      <c r="D175" s="1" cm="1">
        <f t="array" ref="D175">Common_SourceData.Common_SourceData_DensityOfMethane_Data()</f>
        <v>0.6784</v>
      </c>
      <c r="E175" s="10" t="str" cm="1">
        <f t="array" ref="E175">Common_SourceData.Common_SourceData_DensityOfMethane_Unit()</f>
        <v>kg/m3</v>
      </c>
      <c r="BN175" s="22"/>
      <c r="BO175" s="22"/>
      <c r="BP175" s="22"/>
    </row>
    <row r="176" spans="4:68" ht="20.100000000000001" customHeight="1" x14ac:dyDescent="0.25">
      <c r="BN176" s="22"/>
      <c r="BO176" s="22"/>
      <c r="BP176" s="22"/>
    </row>
    <row r="177" spans="4:68" ht="20.100000000000001" customHeight="1" x14ac:dyDescent="0.25">
      <c r="BN177" s="22"/>
      <c r="BO177" s="22"/>
      <c r="BP177" s="22"/>
    </row>
    <row r="178" spans="4:68" ht="20.100000000000001" customHeight="1" x14ac:dyDescent="0.25">
      <c r="D178" s="2" t="str" cm="1">
        <f t="array" ref="D178">Common_SourceData.Common_SourceData_EFN2O_Title()</f>
        <v>Nitrous oxide emission factors for inorganic fertiliser application</v>
      </c>
      <c r="BN178" s="22"/>
      <c r="BO178" s="22"/>
      <c r="BP178" s="22"/>
    </row>
    <row r="179" spans="4:68" ht="20.100000000000001" customHeight="1" x14ac:dyDescent="0.25">
      <c r="D179" s="18" t="str" cm="1">
        <f t="array" ref="D179">Common_SourceData.Common_SourceData_EFN2O_Source()</f>
        <v>VEERG 2026: Table A.2.2.1</v>
      </c>
      <c r="BN179" s="22"/>
      <c r="BO179" s="22"/>
      <c r="BP179" s="22"/>
    </row>
    <row r="180" spans="4:68" ht="20.100000000000001" customHeight="1" x14ac:dyDescent="0.25">
      <c r="D180" s="10" t="str" cm="1">
        <f t="array" ref="D180">Common_SourceData.Common_SourceData_EFN2O_Unit()</f>
        <v>(kg N2O-N / kg N</v>
      </c>
    </row>
    <row r="181" spans="4:68" ht="20.100000000000001" customHeight="1" x14ac:dyDescent="0.25">
      <c r="D181" s="26" t="str" cm="1">
        <f t="array" ref="D181:D185">Common_SourceData.Common_SourceData_EFN2O_Variation()</f>
        <v>VARIATION OF SOURCE DATA:</v>
      </c>
    </row>
    <row r="182" spans="4:68" ht="20.100000000000001" customHeight="1" x14ac:dyDescent="0.25">
      <c r="D182" s="26" t="str">
        <v>Removed duplicate 'Aquaculture' row.</v>
      </c>
    </row>
    <row r="183" spans="4:68" ht="20.100000000000001" customHeight="1" x14ac:dyDescent="0.25">
      <c r="D183" s="26" t="str">
        <v>Removed asterisks to aid lookup.</v>
      </c>
    </row>
    <row r="184" spans="4:68" ht="20.100000000000001" customHeight="1" x14ac:dyDescent="0.25">
      <c r="D184" s="26" t="str">
        <v>Added 'production system only', 'rainfall zone' and 'irrigation method' columns to aid lookup.</v>
      </c>
    </row>
    <row r="185" spans="4:68" ht="20.100000000000001" customHeight="1" x14ac:dyDescent="0.25">
      <c r="D185" s="26" t="str">
        <v>Duplicated 'non-irrigated pasture' row with same EF for low and high rainfall zones to aid lookup.</v>
      </c>
    </row>
    <row r="186" spans="4:68" ht="20.100000000000001" customHeight="1" x14ac:dyDescent="0.25">
      <c r="D186" s="20" t="s">
        <v>61</v>
      </c>
      <c r="E186" s="20" t="s">
        <v>62</v>
      </c>
      <c r="F186" s="20" t="s">
        <v>63</v>
      </c>
      <c r="G186" s="20" t="s">
        <v>64</v>
      </c>
      <c r="H186" s="20" t="s">
        <v>65</v>
      </c>
    </row>
    <row r="187" spans="4:68" ht="20.100000000000001" customHeight="1" x14ac:dyDescent="0.25">
      <c r="D187" s="20" t="str" cm="1">
        <f t="array" ref="D187">Common_InputFunctions.Utility_DisplayArrayInTable(Common_SourceData.Common_SourceData_EFN2O_Data(), Table_SourceData_Common_EFN2O[[#Headers],[Production system j]], 0)</f>
        <v>Irrigated pasture</v>
      </c>
      <c r="E187" s="20" cm="1">
        <f t="array" ref="E187">Common_InputFunctions.Utility_DisplayArrayInTable(Common_SourceData.Common_SourceData_EFN2O_Data(), Table_SourceData_Common_EFN2O[[#Headers],[Production system j]], 0)</f>
        <v>5.8999999999999999E-3</v>
      </c>
      <c r="F187" s="20" t="str" cm="1">
        <f t="array" ref="F187">Common_InputFunctions.Utility_DisplayArrayInTable(Common_SourceData.Common_SourceData_EFN2O_Data(), Table_SourceData_Common_EFN2O[[#Headers],[Production system j]], 0)</f>
        <v>Pasture</v>
      </c>
      <c r="G187" s="20" t="str" cm="1">
        <f t="array" ref="G187">Common_InputFunctions.Utility_DisplayArrayInTable(Common_SourceData.Common_SourceData_EFN2O_Data(), Table_SourceData_Common_EFN2O[[#Headers],[Production system j]], 0)</f>
        <v>Any</v>
      </c>
      <c r="H187" s="20" t="str" cm="1">
        <f t="array" ref="H187">Common_InputFunctions.Utility_DisplayArrayInTable(Common_SourceData.Common_SourceData_EFN2O_Data(), Table_SourceData_Common_EFN2O[[#Headers],[Production system j]], 0)</f>
        <v>Any</v>
      </c>
    </row>
    <row r="188" spans="4:68" ht="20.100000000000001" customHeight="1" x14ac:dyDescent="0.25">
      <c r="D188" s="20" t="str" cm="1">
        <f t="array" ref="D188">Common_InputFunctions.Utility_DisplayArrayInTable(Common_SourceData.Common_SourceData_EFN2O_Data(), Table_SourceData_Common_EFN2O[[#Headers],[Production system j]], 0)</f>
        <v>Irrigated crop</v>
      </c>
      <c r="E188" s="20" cm="1">
        <f t="array" ref="E188">Common_InputFunctions.Utility_DisplayArrayInTable(Common_SourceData.Common_SourceData_EFN2O_Data(), Table_SourceData_Common_EFN2O[[#Headers],[Production system j]], 0)</f>
        <v>7.0000000000000001E-3</v>
      </c>
      <c r="F188" s="20" t="str" cm="1">
        <f t="array" ref="F188">Common_InputFunctions.Utility_DisplayArrayInTable(Common_SourceData.Common_SourceData_EFN2O_Data(), Table_SourceData_Common_EFN2O[[#Headers],[Production system j]], 0)</f>
        <v>Crop</v>
      </c>
      <c r="G188" s="20" t="str" cm="1">
        <f t="array" ref="G188">Common_InputFunctions.Utility_DisplayArrayInTable(Common_SourceData.Common_SourceData_EFN2O_Data(), Table_SourceData_Common_EFN2O[[#Headers],[Production system j]], 0)</f>
        <v>Any</v>
      </c>
      <c r="H188" s="20" t="str" cm="1">
        <f t="array" ref="H188">Common_InputFunctions.Utility_DisplayArrayInTable(Common_SourceData.Common_SourceData_EFN2O_Data(), Table_SourceData_Common_EFN2O[[#Headers],[Production system j]], 0)</f>
        <v>Any</v>
      </c>
    </row>
    <row r="189" spans="4:68" ht="20.100000000000001" customHeight="1" x14ac:dyDescent="0.25">
      <c r="D189" s="20" t="str" cm="1">
        <f t="array" ref="D189">Common_InputFunctions.Utility_DisplayArrayInTable(Common_SourceData.Common_SourceData_EFN2O_Data(), Table_SourceData_Common_EFN2O[[#Headers],[Production system j]], 0)</f>
        <v>Non-irrigated pasture</v>
      </c>
      <c r="E189" s="20" cm="1">
        <f t="array" ref="E189">Common_InputFunctions.Utility_DisplayArrayInTable(Common_SourceData.Common_SourceData_EFN2O_Data(), Table_SourceData_Common_EFN2O[[#Headers],[Production system j]], 0)</f>
        <v>1.8E-3</v>
      </c>
      <c r="F189" s="20" t="str" cm="1">
        <f t="array" ref="F189">Common_InputFunctions.Utility_DisplayArrayInTable(Common_SourceData.Common_SourceData_EFN2O_Data(), Table_SourceData_Common_EFN2O[[#Headers],[Production system j]], 0)</f>
        <v>Pasture</v>
      </c>
      <c r="G189" s="20" t="str" cm="1">
        <f t="array" ref="G189">Common_InputFunctions.Utility_DisplayArrayInTable(Common_SourceData.Common_SourceData_EFN2O_Data(), Table_SourceData_Common_EFN2O[[#Headers],[Production system j]], 0)</f>
        <v>Not irrigated</v>
      </c>
      <c r="H189" s="2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0" t="str" cm="1">
        <f t="array" ref="D190">Common_InputFunctions.Utility_DisplayArrayInTable(Common_SourceData.Common_SourceData_EFN2O_Data(), Table_SourceData_Common_EFN2O[[#Headers],[Production system j]], 0)</f>
        <v>Non-irrigated pasture</v>
      </c>
      <c r="E190" s="20" cm="1">
        <f t="array" ref="E190">Common_InputFunctions.Utility_DisplayArrayInTable(Common_SourceData.Common_SourceData_EFN2O_Data(), Table_SourceData_Common_EFN2O[[#Headers],[Production system j]], 0)</f>
        <v>1.8E-3</v>
      </c>
      <c r="F190" s="20" t="str" cm="1">
        <f t="array" ref="F190">Common_InputFunctions.Utility_DisplayArrayInTable(Common_SourceData.Common_SourceData_EFN2O_Data(), Table_SourceData_Common_EFN2O[[#Headers],[Production system j]], 0)</f>
        <v>Pasture</v>
      </c>
      <c r="G190" s="20" t="str" cm="1">
        <f t="array" ref="G190">Common_InputFunctions.Utility_DisplayArrayInTable(Common_SourceData.Common_SourceData_EFN2O_Data(), Table_SourceData_Common_EFN2O[[#Headers],[Production system j]], 0)</f>
        <v>Not irrigated</v>
      </c>
      <c r="H190" s="2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0" t="str" cm="1">
        <f t="array" ref="D191">Common_InputFunctions.Utility_DisplayArrayInTable(Common_SourceData.Common_SourceData_EFN2O_Data(), Table_SourceData_Common_EFN2O[[#Headers],[Production system j]], 0)</f>
        <v>Non-irrigated crop (low rainfall)</v>
      </c>
      <c r="E191" s="20" cm="1">
        <f t="array" ref="E191">Common_InputFunctions.Utility_DisplayArrayInTable(Common_SourceData.Common_SourceData_EFN2O_Data(), Table_SourceData_Common_EFN2O[[#Headers],[Production system j]], 0)</f>
        <v>2.8999999999999998E-3</v>
      </c>
      <c r="F191" s="20" t="str" cm="1">
        <f t="array" ref="F191">Common_InputFunctions.Utility_DisplayArrayInTable(Common_SourceData.Common_SourceData_EFN2O_Data(), Table_SourceData_Common_EFN2O[[#Headers],[Production system j]], 0)</f>
        <v>Crop</v>
      </c>
      <c r="G191" s="20" t="str" cm="1">
        <f t="array" ref="G191">Common_InputFunctions.Utility_DisplayArrayInTable(Common_SourceData.Common_SourceData_EFN2O_Data(), Table_SourceData_Common_EFN2O[[#Headers],[Production system j]], 0)</f>
        <v>Not irrigated</v>
      </c>
      <c r="H191" s="2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0" t="str" cm="1">
        <f t="array" ref="D192">Common_InputFunctions.Utility_DisplayArrayInTable(Common_SourceData.Common_SourceData_EFN2O_Data(), Table_SourceData_Common_EFN2O[[#Headers],[Production system j]], 0)</f>
        <v>Non-irrigated crop (high rainfall)</v>
      </c>
      <c r="E192" s="20" cm="1">
        <f t="array" ref="E192">Common_InputFunctions.Utility_DisplayArrayInTable(Common_SourceData.Common_SourceData_EFN2O_Data(), Table_SourceData_Common_EFN2O[[#Headers],[Production system j]], 0)</f>
        <v>8.0000000000000002E-3</v>
      </c>
      <c r="F192" s="20" t="str" cm="1">
        <f t="array" ref="F192">Common_InputFunctions.Utility_DisplayArrayInTable(Common_SourceData.Common_SourceData_EFN2O_Data(), Table_SourceData_Common_EFN2O[[#Headers],[Production system j]], 0)</f>
        <v>Crop</v>
      </c>
      <c r="G192" s="20" t="str" cm="1">
        <f t="array" ref="G192">Common_InputFunctions.Utility_DisplayArrayInTable(Common_SourceData.Common_SourceData_EFN2O_Data(), Table_SourceData_Common_EFN2O[[#Headers],[Production system j]], 0)</f>
        <v>Not irrigated</v>
      </c>
      <c r="H192" s="2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0" t="str" cm="1">
        <f t="array" ref="D193">Common_InputFunctions.Utility_DisplayArrayInTable(Common_SourceData.Common_SourceData_EFN2O_Data(), Table_SourceData_Common_EFN2O[[#Headers],[Production system j]], 0)</f>
        <v>Sugar</v>
      </c>
      <c r="E193" s="20" cm="1">
        <f t="array" ref="E193">Common_InputFunctions.Utility_DisplayArrayInTable(Common_SourceData.Common_SourceData_EFN2O_Data(), Table_SourceData_Common_EFN2O[[#Headers],[Production system j]], 0)</f>
        <v>1.9900000000000001E-2</v>
      </c>
      <c r="F193" s="20" t="str" cm="1">
        <f t="array" ref="F193">Common_InputFunctions.Utility_DisplayArrayInTable(Common_SourceData.Common_SourceData_EFN2O_Data(), Table_SourceData_Common_EFN2O[[#Headers],[Production system j]], 0)</f>
        <v>Sugar</v>
      </c>
      <c r="G193" s="20" t="str" cm="1">
        <f t="array" ref="G193">Common_InputFunctions.Utility_DisplayArrayInTable(Common_SourceData.Common_SourceData_EFN2O_Data(), Table_SourceData_Common_EFN2O[[#Headers],[Production system j]], 0)</f>
        <v>Any</v>
      </c>
      <c r="H193" s="20" t="str" cm="1">
        <f t="array" ref="H193">Common_InputFunctions.Utility_DisplayArrayInTable(Common_SourceData.Common_SourceData_EFN2O_Data(), Table_SourceData_Common_EFN2O[[#Headers],[Production system j]], 0)</f>
        <v>Any</v>
      </c>
    </row>
    <row r="194" spans="4:8" ht="20.100000000000001" customHeight="1" x14ac:dyDescent="0.25">
      <c r="D194" s="20" t="str" cm="1">
        <f t="array" ref="D194">Common_InputFunctions.Utility_DisplayArrayInTable(Common_SourceData.Common_SourceData_EFN2O_Data(), Table_SourceData_Common_EFN2O[[#Headers],[Production system j]], 0)</f>
        <v>Cotton</v>
      </c>
      <c r="E194" s="20" cm="1">
        <f t="array" ref="E194">Common_InputFunctions.Utility_DisplayArrayInTable(Common_SourceData.Common_SourceData_EFN2O_Data(), Table_SourceData_Common_EFN2O[[#Headers],[Production system j]], 0)</f>
        <v>5.3E-3</v>
      </c>
      <c r="F194" s="20" t="str" cm="1">
        <f t="array" ref="F194">Common_InputFunctions.Utility_DisplayArrayInTable(Common_SourceData.Common_SourceData_EFN2O_Data(), Table_SourceData_Common_EFN2O[[#Headers],[Production system j]], 0)</f>
        <v>Cotton</v>
      </c>
      <c r="G194" s="20" t="str" cm="1">
        <f t="array" ref="G194">Common_InputFunctions.Utility_DisplayArrayInTable(Common_SourceData.Common_SourceData_EFN2O_Data(), Table_SourceData_Common_EFN2O[[#Headers],[Production system j]], 0)</f>
        <v>Any</v>
      </c>
      <c r="H194" s="20" t="str" cm="1">
        <f t="array" ref="H194">Common_InputFunctions.Utility_DisplayArrayInTable(Common_SourceData.Common_SourceData_EFN2O_Data(), Table_SourceData_Common_EFN2O[[#Headers],[Production system j]], 0)</f>
        <v>Any</v>
      </c>
    </row>
    <row r="195" spans="4:8" ht="20.100000000000001" customHeight="1" x14ac:dyDescent="0.25">
      <c r="D195" s="20" t="str" cm="1">
        <f t="array" ref="D195">Common_InputFunctions.Utility_DisplayArrayInTable(Common_SourceData.Common_SourceData_EFN2O_Data(), Table_SourceData_Common_EFN2O[[#Headers],[Production system j]], 0)</f>
        <v>Horticultural crops</v>
      </c>
      <c r="E195" s="20" cm="1">
        <f t="array" ref="E195">Common_InputFunctions.Utility_DisplayArrayInTable(Common_SourceData.Common_SourceData_EFN2O_Data(), Table_SourceData_Common_EFN2O[[#Headers],[Production system j]], 0)</f>
        <v>6.4000000000000003E-3</v>
      </c>
      <c r="F195" s="20" t="str" cm="1">
        <f t="array" ref="F195">Common_InputFunctions.Utility_DisplayArrayInTable(Common_SourceData.Common_SourceData_EFN2O_Data(), Table_SourceData_Common_EFN2O[[#Headers],[Production system j]], 0)</f>
        <v>Horticultural crops</v>
      </c>
      <c r="G195" s="20" t="str" cm="1">
        <f t="array" ref="G195">Common_InputFunctions.Utility_DisplayArrayInTable(Common_SourceData.Common_SourceData_EFN2O_Data(), Table_SourceData_Common_EFN2O[[#Headers],[Production system j]], 0)</f>
        <v>Any</v>
      </c>
      <c r="H195" s="20" t="str" cm="1">
        <f t="array" ref="H195">Common_InputFunctions.Utility_DisplayArrayInTable(Common_SourceData.Common_SourceData_EFN2O_Data(), Table_SourceData_Common_EFN2O[[#Headers],[Production system j]], 0)</f>
        <v>Any</v>
      </c>
    </row>
    <row r="196" spans="4:8" ht="20.100000000000001" customHeight="1" x14ac:dyDescent="0.25">
      <c r="D196" s="20" t="str" cm="1">
        <f t="array" ref="D196">Common_InputFunctions.Utility_DisplayArrayInTable(Common_SourceData.Common_SourceData_EFN2O_Data(), Table_SourceData_Common_EFN2O[[#Headers],[Production system j]], 0)</f>
        <v>Rice (continuous flooding)</v>
      </c>
      <c r="E196" s="20" cm="1">
        <f t="array" ref="E196">Common_InputFunctions.Utility_DisplayArrayInTable(Common_SourceData.Common_SourceData_EFN2O_Data(), Table_SourceData_Common_EFN2O[[#Headers],[Production system j]], 0)</f>
        <v>3.0000000000000001E-3</v>
      </c>
      <c r="F196" s="20" t="str" cm="1">
        <f t="array" ref="F196">Common_InputFunctions.Utility_DisplayArrayInTable(Common_SourceData.Common_SourceData_EFN2O_Data(), Table_SourceData_Common_EFN2O[[#Headers],[Production system j]], 0)</f>
        <v>Rice</v>
      </c>
      <c r="G196" s="20" t="str" cm="1">
        <f t="array" ref="G196">Common_InputFunctions.Utility_DisplayArrayInTable(Common_SourceData.Common_SourceData_EFN2O_Data(), Table_SourceData_Common_EFN2O[[#Headers],[Production system j]], 0)</f>
        <v>Continuous flooding</v>
      </c>
      <c r="H196" s="20" t="str" cm="1">
        <f t="array" ref="H196">Common_InputFunctions.Utility_DisplayArrayInTable(Common_SourceData.Common_SourceData_EFN2O_Data(), Table_SourceData_Common_EFN2O[[#Headers],[Production system j]], 0)</f>
        <v>Any</v>
      </c>
    </row>
    <row r="197" spans="4:8" x14ac:dyDescent="0.25">
      <c r="D197" s="20" t="str" cm="1">
        <f t="array" ref="D197">Common_InputFunctions.Utility_DisplayArrayInTable(Common_SourceData.Common_SourceData_EFN2O_Data(), Table_SourceData_Common_EFN2O[[#Headers],[Production system j]], 0)</f>
        <v>Rice (single and multiple drainage, or alternate wetting and drying)</v>
      </c>
      <c r="E197" s="20" cm="1">
        <f t="array" ref="E197">Common_InputFunctions.Utility_DisplayArrayInTable(Common_SourceData.Common_SourceData_EFN2O_Data(), Table_SourceData_Common_EFN2O[[#Headers],[Production system j]], 0)</f>
        <v>5.0000000000000001E-3</v>
      </c>
      <c r="F197" s="20" t="str" cm="1">
        <f t="array" ref="F197">Common_InputFunctions.Utility_DisplayArrayInTable(Common_SourceData.Common_SourceData_EFN2O_Data(), Table_SourceData_Common_EFN2O[[#Headers],[Production system j]], 0)</f>
        <v>Rice</v>
      </c>
      <c r="G197" s="20" t="str" cm="1">
        <f t="array" ref="G197">Common_InputFunctions.Utility_DisplayArrayInTable(Common_SourceData.Common_SourceData_EFN2O_Data(), Table_SourceData_Common_EFN2O[[#Headers],[Production system j]], 0)</f>
        <v>Single and multiple drainage, or alternate wetting and drying</v>
      </c>
      <c r="H197" s="20" t="str" cm="1">
        <f t="array" ref="H197">Common_InputFunctions.Utility_DisplayArrayInTable(Common_SourceData.Common_SourceData_EFN2O_Data(), Table_SourceData_Common_EFN2O[[#Headers],[Production system j]], 0)</f>
        <v>Any</v>
      </c>
    </row>
    <row r="198" spans="4:8" x14ac:dyDescent="0.25">
      <c r="D198" s="20" t="str" cm="1">
        <f t="array" ref="D198">Common_InputFunctions.Utility_DisplayArrayInTable(Common_SourceData.Common_SourceData_EFN2O_Data(), Table_SourceData_Common_EFN2O[[#Headers],[Production system j]], 0)</f>
        <v>Aquaculture</v>
      </c>
      <c r="E198" s="20" cm="1">
        <f t="array" ref="E198">Common_InputFunctions.Utility_DisplayArrayInTable(Common_SourceData.Common_SourceData_EFN2O_Data(), Table_SourceData_Common_EFN2O[[#Headers],[Production system j]], 0)</f>
        <v>2.5999999999999999E-3</v>
      </c>
      <c r="F198" s="20" t="str" cm="1">
        <f t="array" ref="F198">Common_InputFunctions.Utility_DisplayArrayInTable(Common_SourceData.Common_SourceData_EFN2O_Data(), Table_SourceData_Common_EFN2O[[#Headers],[Production system j]], 0)</f>
        <v>Aquaculture</v>
      </c>
      <c r="G198" s="20" t="str" cm="1">
        <f t="array" ref="G198">Common_InputFunctions.Utility_DisplayArrayInTable(Common_SourceData.Common_SourceData_EFN2O_Data(), Table_SourceData_Common_EFN2O[[#Headers],[Production system j]], 0)</f>
        <v>Any</v>
      </c>
      <c r="H198" s="20" t="str" cm="1">
        <f t="array" ref="H198">Common_InputFunctions.Utility_DisplayArrayInTable(Common_SourceData.Common_SourceData_EFN2O_Data(), Table_SourceData_Common_EFN2O[[#Headers],[Production system j]], 0)</f>
        <v>Any</v>
      </c>
    </row>
    <row r="199" spans="4:8" x14ac:dyDescent="0.25">
      <c r="D199" s="20" t="str" cm="1">
        <f t="array" ref="D199">Common_InputFunctions.Utility_DisplayArrayInTable(Common_SourceData.Common_SourceData_EFN2O_Data(), Table_SourceData_Common_EFN2O[[#Headers],[Production system j]], 0)</f>
        <v>Forestry</v>
      </c>
      <c r="E199" s="20" cm="1">
        <f t="array" ref="E199">Common_InputFunctions.Utility_DisplayArrayInTable(Common_SourceData.Common_SourceData_EFN2O_Data(), Table_SourceData_Common_EFN2O[[#Headers],[Production system j]], 0)</f>
        <v>1.8E-3</v>
      </c>
      <c r="F199" s="20" t="str" cm="1">
        <f t="array" ref="F199">Common_InputFunctions.Utility_DisplayArrayInTable(Common_SourceData.Common_SourceData_EFN2O_Data(), Table_SourceData_Common_EFN2O[[#Headers],[Production system j]], 0)</f>
        <v>Forestry</v>
      </c>
      <c r="G199" s="20" t="str" cm="1">
        <f t="array" ref="G199">Common_InputFunctions.Utility_DisplayArrayInTable(Common_SourceData.Common_SourceData_EFN2O_Data(), Table_SourceData_Common_EFN2O[[#Headers],[Production system j]], 0)</f>
        <v>Any</v>
      </c>
      <c r="H199" s="2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18" t="str" cm="1">
        <f t="array" ref="D203">Common_SourceData.Common_SourceData_EFPastureRangeAndPaddock_Source()</f>
        <v>VEERG 2026: Table A.2.2.2</v>
      </c>
    </row>
    <row r="204" spans="4:8" x14ac:dyDescent="0.25">
      <c r="D204" s="26" t="str" cm="1">
        <f t="array" ref="D204">Common_SourceData.Common_SourceData_EFPastureRangeAndPaddock_Variation()</f>
        <v>VARIATION FROM SOURCE DATA: Changed 'Dry climate zones' to singular 'Dry climate zone' to aid lookup.</v>
      </c>
    </row>
    <row r="205" spans="4:8" x14ac:dyDescent="0.25">
      <c r="D205" s="10" t="str" cm="1">
        <f t="array" ref="D205">Common_SourceData.Common_SourceData_EFPastureRangeAndPaddock_Unit()</f>
        <v>kg N2O - N / kg N</v>
      </c>
    </row>
    <row r="206" spans="4:8" x14ac:dyDescent="0.25">
      <c r="D206" s="20" t="s">
        <v>32</v>
      </c>
      <c r="E206" s="20" t="s">
        <v>66</v>
      </c>
    </row>
    <row r="207" spans="4:8" x14ac:dyDescent="0.25">
      <c r="D207" s="20" t="str" cm="1">
        <f t="array" ref="D207">Common_InputFunctions.Utility_DisplayArrayInTable(Common_SourceData.Common_SourceData_EFPastureRangeAndPaddock_Data(), Table_SourceData_EFPastureRangeAndPaddock[[#Headers],[Climate zone]], 0)</f>
        <v>Wet climate zone</v>
      </c>
      <c r="E207" s="2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0" t="s">
        <v>67</v>
      </c>
      <c r="E212" s="20" t="s">
        <v>68</v>
      </c>
    </row>
    <row r="213" spans="4:5" x14ac:dyDescent="0.25">
      <c r="D213" s="20" t="str" cm="1">
        <f t="array" ref="D213">Common_InputFunctions.Utility_DisplayArrayInTable(Common_SourceData.Common_SourceData_MonthsToSeasons_Data(), Table_SourceData_Common_MonthToSeason[[#Headers],[Month]], 0)</f>
        <v>January</v>
      </c>
      <c r="E213" s="2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18" t="str" cm="1">
        <f t="array" ref="D228">Common_SourceData.Common_SourceData_MCFTemperatureZone_Source()</f>
        <v>VEERG 2026: Table A.1.8.1</v>
      </c>
    </row>
    <row r="229" spans="4:19" x14ac:dyDescent="0.25">
      <c r="D229" s="2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0" t="s">
        <v>69</v>
      </c>
      <c r="E231" s="20" t="s">
        <v>70</v>
      </c>
      <c r="F231" s="27" t="s">
        <v>71</v>
      </c>
      <c r="G231" s="20" t="s">
        <v>72</v>
      </c>
      <c r="H231" s="20" t="s">
        <v>73</v>
      </c>
      <c r="I231" s="20" t="s">
        <v>74</v>
      </c>
      <c r="J231" s="20" t="s">
        <v>75</v>
      </c>
      <c r="K231" s="20" t="s">
        <v>76</v>
      </c>
      <c r="L231" s="20" t="s">
        <v>77</v>
      </c>
      <c r="M231" s="20" t="s">
        <v>78</v>
      </c>
      <c r="N231" s="20" t="s">
        <v>79</v>
      </c>
      <c r="O231" s="20" t="s">
        <v>80</v>
      </c>
      <c r="P231" s="20" t="s">
        <v>81</v>
      </c>
      <c r="Q231" s="20" t="s">
        <v>82</v>
      </c>
      <c r="R231" s="20" t="s">
        <v>83</v>
      </c>
      <c r="S231" s="20" t="s">
        <v>84</v>
      </c>
    </row>
    <row r="232" spans="4:19" x14ac:dyDescent="0.25">
      <c r="D232" s="20" t="str" cm="1">
        <f t="array" ref="D232">Common_InputFunctions.Utility_DisplayArrayInTable(Common_SourceData.Common_SourceData_MCFTemperatureZone_Data(),Table_SourceData_Common_MCFTemperatureZone[[#Headers],[Temperature zone]],0)</f>
        <v>Cool</v>
      </c>
      <c r="E232" s="20" t="str" cm="1">
        <f t="array" ref="E232">Common_InputFunctions.Utility_DisplayArrayInTable(Common_SourceData.Common_SourceData_MCFTemperatureZone_Data(),Table_SourceData_Common_MCFTemperatureZone[[#Headers],[Temperature zone]],0)</f>
        <v>≤10</v>
      </c>
      <c r="F232" s="20" cm="1">
        <f t="array" ref="F232">Common_InputFunctions.Utility_DisplayArrayInTable(Common_SourceData.Common_SourceData_MCFTemperatureZone_Data(),Table_SourceData_Common_MCFTemperatureZone[[#Headers],[Temperature zone]],0)</f>
        <v>0.66</v>
      </c>
      <c r="G232" s="20" cm="1">
        <f t="array" ref="G232">Common_InputFunctions.Utility_DisplayArrayInTable(Common_SourceData.Common_SourceData_MCFTemperatureZone_Data(),Table_SourceData_Common_MCFTemperatureZone[[#Headers],[Temperature zone]],0)</f>
        <v>0.1</v>
      </c>
      <c r="H232" s="20" cm="1">
        <f t="array" ref="H232">Common_InputFunctions.Utility_DisplayArrayInTable(Common_SourceData.Common_SourceData_MCFTemperatureZone_Data(),Table_SourceData_Common_MCFTemperatureZone[[#Headers],[Temperature zone]],0)</f>
        <v>0.1</v>
      </c>
      <c r="I232" s="20" cm="1">
        <f t="array" ref="I232">Common_InputFunctions.Utility_DisplayArrayInTable(Common_SourceData.Common_SourceData_MCFTemperatureZone_Data(),Table_SourceData_Common_MCFTemperatureZone[[#Headers],[Temperature zone]],0)</f>
        <v>1E-3</v>
      </c>
      <c r="J232" s="20" cm="1">
        <f t="array" ref="J232">Common_InputFunctions.Utility_DisplayArrayInTable(Common_SourceData.Common_SourceData_MCFTemperatureZone_Data(),Table_SourceData_Common_MCFTemperatureZone[[#Headers],[Temperature zone]],0)</f>
        <v>5.0000000000000001E-3</v>
      </c>
      <c r="K232" s="20" cm="1">
        <f t="array" ref="K232">Common_InputFunctions.Utility_DisplayArrayInTable(Common_SourceData.Common_SourceData_MCFTemperatureZone_Data(),Table_SourceData_Common_MCFTemperatureZone[[#Headers],[Temperature zone]],0)</f>
        <v>0.02</v>
      </c>
      <c r="L232" s="20" cm="1">
        <f t="array" ref="L232">Common_InputFunctions.Utility_DisplayArrayInTable(Common_SourceData.Common_SourceData_MCFTemperatureZone_Data(),Table_SourceData_Common_MCFTemperatureZone[[#Headers],[Temperature zone]],0)</f>
        <v>0.03</v>
      </c>
      <c r="M232" s="20" cm="1">
        <f t="array" ref="M232">Common_InputFunctions.Utility_DisplayArrayInTable(Common_SourceData.Common_SourceData_MCFTemperatureZone_Data(),Table_SourceData_Common_MCFTemperatureZone[[#Headers],[Temperature zone]],0)</f>
        <v>0.04</v>
      </c>
      <c r="N232" s="20" cm="1">
        <f t="array" ref="N232">Common_InputFunctions.Utility_DisplayArrayInTable(Common_SourceData.Common_SourceData_MCFTemperatureZone_Data(),Table_SourceData_Common_MCFTemperatureZone[[#Headers],[Temperature zone]],0)</f>
        <v>1.4999999999999999E-2</v>
      </c>
      <c r="O232" s="20" cm="1">
        <f t="array" ref="O232">Common_InputFunctions.Utility_DisplayArrayInTable(Common_SourceData.Common_SourceData_MCFTemperatureZone_Data(),Table_SourceData_Common_MCFTemperatureZone[[#Headers],[Temperature zone]],0)</f>
        <v>1.4999999999999999E-2</v>
      </c>
      <c r="P232" s="20" cm="1">
        <f t="array" ref="P232">Common_InputFunctions.Utility_DisplayArrayInTable(Common_SourceData.Common_SourceData_MCFTemperatureZone_Data(),Table_SourceData_Common_MCFTemperatureZone[[#Headers],[Temperature zone]],0)</f>
        <v>0</v>
      </c>
      <c r="Q232" s="20" cm="1">
        <f t="array" ref="Q232">Common_InputFunctions.Utility_DisplayArrayInTable(Common_SourceData.Common_SourceData_MCFTemperatureZone_Data(),Table_SourceData_Common_MCFTemperatureZone[[#Headers],[Temperature zone]],0)</f>
        <v>0</v>
      </c>
      <c r="R232" s="20" cm="1">
        <f t="array" ref="R232">Common_InputFunctions.Utility_DisplayArrayInTable(Common_SourceData.Common_SourceData_MCFTemperatureZone_Data(),Table_SourceData_Common_MCFTemperatureZone[[#Headers],[Temperature zone]],0)</f>
        <v>4.7000000000000002E-3</v>
      </c>
      <c r="S232" s="2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0" cm="1">
        <f t="array" ref="E233">Common_InputFunctions.Utility_DisplayArrayInTable(Common_SourceData.Common_SourceData_MCFTemperatureZone_Data(),Table_SourceData_Common_MCFTemperatureZone[[#Headers],[Temperature zone]],0)</f>
        <v>11</v>
      </c>
      <c r="F233" s="20" cm="1">
        <f t="array" ref="F233">Common_InputFunctions.Utility_DisplayArrayInTable(Common_SourceData.Common_SourceData_MCFTemperatureZone_Data(),Table_SourceData_Common_MCFTemperatureZone[[#Headers],[Temperature zone]],0)</f>
        <v>0.68</v>
      </c>
      <c r="G233" s="20" cm="1">
        <f t="array" ref="G233">Common_InputFunctions.Utility_DisplayArrayInTable(Common_SourceData.Common_SourceData_MCFTemperatureZone_Data(),Table_SourceData_Common_MCFTemperatureZone[[#Headers],[Temperature zone]],0)</f>
        <v>0.1</v>
      </c>
      <c r="H233" s="20" cm="1">
        <f t="array" ref="H233">Common_InputFunctions.Utility_DisplayArrayInTable(Common_SourceData.Common_SourceData_MCFTemperatureZone_Data(),Table_SourceData_Common_MCFTemperatureZone[[#Headers],[Temperature zone]],0)</f>
        <v>0.11</v>
      </c>
      <c r="I233" s="20" cm="1">
        <f t="array" ref="I233">Common_InputFunctions.Utility_DisplayArrayInTable(Common_SourceData.Common_SourceData_MCFTemperatureZone_Data(),Table_SourceData_Common_MCFTemperatureZone[[#Headers],[Temperature zone]],0)</f>
        <v>1E-3</v>
      </c>
      <c r="J233" s="20" cm="1">
        <f t="array" ref="J233">Common_InputFunctions.Utility_DisplayArrayInTable(Common_SourceData.Common_SourceData_MCFTemperatureZone_Data(),Table_SourceData_Common_MCFTemperatureZone[[#Headers],[Temperature zone]],0)</f>
        <v>5.0000000000000001E-3</v>
      </c>
      <c r="K233" s="20" cm="1">
        <f t="array" ref="K233">Common_InputFunctions.Utility_DisplayArrayInTable(Common_SourceData.Common_SourceData_MCFTemperatureZone_Data(),Table_SourceData_Common_MCFTemperatureZone[[#Headers],[Temperature zone]],0)</f>
        <v>0.02</v>
      </c>
      <c r="L233" s="20" cm="1">
        <f t="array" ref="L233">Common_InputFunctions.Utility_DisplayArrayInTable(Common_SourceData.Common_SourceData_MCFTemperatureZone_Data(),Table_SourceData_Common_MCFTemperatureZone[[#Headers],[Temperature zone]],0)</f>
        <v>0.03</v>
      </c>
      <c r="M233" s="20" cm="1">
        <f t="array" ref="M233">Common_InputFunctions.Utility_DisplayArrayInTable(Common_SourceData.Common_SourceData_MCFTemperatureZone_Data(),Table_SourceData_Common_MCFTemperatureZone[[#Headers],[Temperature zone]],0)</f>
        <v>0.04</v>
      </c>
      <c r="N233" s="20" cm="1">
        <f t="array" ref="N233">Common_InputFunctions.Utility_DisplayArrayInTable(Common_SourceData.Common_SourceData_MCFTemperatureZone_Data(),Table_SourceData_Common_MCFTemperatureZone[[#Headers],[Temperature zone]],0)</f>
        <v>1.4999999999999999E-2</v>
      </c>
      <c r="O233" s="20" cm="1">
        <f t="array" ref="O233">Common_InputFunctions.Utility_DisplayArrayInTable(Common_SourceData.Common_SourceData_MCFTemperatureZone_Data(),Table_SourceData_Common_MCFTemperatureZone[[#Headers],[Temperature zone]],0)</f>
        <v>1.4999999999999999E-2</v>
      </c>
      <c r="P233" s="20" cm="1">
        <f t="array" ref="P233">Common_InputFunctions.Utility_DisplayArrayInTable(Common_SourceData.Common_SourceData_MCFTemperatureZone_Data(),Table_SourceData_Common_MCFTemperatureZone[[#Headers],[Temperature zone]],0)</f>
        <v>0</v>
      </c>
      <c r="Q233" s="20" cm="1">
        <f t="array" ref="Q233">Common_InputFunctions.Utility_DisplayArrayInTable(Common_SourceData.Common_SourceData_MCFTemperatureZone_Data(),Table_SourceData_Common_MCFTemperatureZone[[#Headers],[Temperature zone]],0)</f>
        <v>0</v>
      </c>
      <c r="R233" s="20" cm="1">
        <f t="array" ref="R233">Common_InputFunctions.Utility_DisplayArrayInTable(Common_SourceData.Common_SourceData_MCFTemperatureZone_Data(),Table_SourceData_Common_MCFTemperatureZone[[#Headers],[Temperature zone]],0)</f>
        <v>4.7000000000000002E-3</v>
      </c>
      <c r="S233" s="2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0" cm="1">
        <f t="array" ref="E234">Common_InputFunctions.Utility_DisplayArrayInTable(Common_SourceData.Common_SourceData_MCFTemperatureZone_Data(),Table_SourceData_Common_MCFTemperatureZone[[#Headers],[Temperature zone]],0)</f>
        <v>12</v>
      </c>
      <c r="F234" s="20" cm="1">
        <f t="array" ref="F234">Common_InputFunctions.Utility_DisplayArrayInTable(Common_SourceData.Common_SourceData_MCFTemperatureZone_Data(),Table_SourceData_Common_MCFTemperatureZone[[#Headers],[Temperature zone]],0)</f>
        <v>0.7</v>
      </c>
      <c r="G234" s="20" cm="1">
        <f t="array" ref="G234">Common_InputFunctions.Utility_DisplayArrayInTable(Common_SourceData.Common_SourceData_MCFTemperatureZone_Data(),Table_SourceData_Common_MCFTemperatureZone[[#Headers],[Temperature zone]],0)</f>
        <v>0.1</v>
      </c>
      <c r="H234" s="20" cm="1">
        <f t="array" ref="H234">Common_InputFunctions.Utility_DisplayArrayInTable(Common_SourceData.Common_SourceData_MCFTemperatureZone_Data(),Table_SourceData_Common_MCFTemperatureZone[[#Headers],[Temperature zone]],0)</f>
        <v>0.13</v>
      </c>
      <c r="I234" s="20" cm="1">
        <f t="array" ref="I234">Common_InputFunctions.Utility_DisplayArrayInTable(Common_SourceData.Common_SourceData_MCFTemperatureZone_Data(),Table_SourceData_Common_MCFTemperatureZone[[#Headers],[Temperature zone]],0)</f>
        <v>1E-3</v>
      </c>
      <c r="J234" s="20" cm="1">
        <f t="array" ref="J234">Common_InputFunctions.Utility_DisplayArrayInTable(Common_SourceData.Common_SourceData_MCFTemperatureZone_Data(),Table_SourceData_Common_MCFTemperatureZone[[#Headers],[Temperature zone]],0)</f>
        <v>5.0000000000000001E-3</v>
      </c>
      <c r="K234" s="20" cm="1">
        <f t="array" ref="K234">Common_InputFunctions.Utility_DisplayArrayInTable(Common_SourceData.Common_SourceData_MCFTemperatureZone_Data(),Table_SourceData_Common_MCFTemperatureZone[[#Headers],[Temperature zone]],0)</f>
        <v>0.02</v>
      </c>
      <c r="L234" s="20" cm="1">
        <f t="array" ref="L234">Common_InputFunctions.Utility_DisplayArrayInTable(Common_SourceData.Common_SourceData_MCFTemperatureZone_Data(),Table_SourceData_Common_MCFTemperatureZone[[#Headers],[Temperature zone]],0)</f>
        <v>0.03</v>
      </c>
      <c r="M234" s="20" cm="1">
        <f t="array" ref="M234">Common_InputFunctions.Utility_DisplayArrayInTable(Common_SourceData.Common_SourceData_MCFTemperatureZone_Data(),Table_SourceData_Common_MCFTemperatureZone[[#Headers],[Temperature zone]],0)</f>
        <v>0.04</v>
      </c>
      <c r="N234" s="20" cm="1">
        <f t="array" ref="N234">Common_InputFunctions.Utility_DisplayArrayInTable(Common_SourceData.Common_SourceData_MCFTemperatureZone_Data(),Table_SourceData_Common_MCFTemperatureZone[[#Headers],[Temperature zone]],0)</f>
        <v>1.4999999999999999E-2</v>
      </c>
      <c r="O234" s="20" cm="1">
        <f t="array" ref="O234">Common_InputFunctions.Utility_DisplayArrayInTable(Common_SourceData.Common_SourceData_MCFTemperatureZone_Data(),Table_SourceData_Common_MCFTemperatureZone[[#Headers],[Temperature zone]],0)</f>
        <v>1.4999999999999999E-2</v>
      </c>
      <c r="P234" s="20" cm="1">
        <f t="array" ref="P234">Common_InputFunctions.Utility_DisplayArrayInTable(Common_SourceData.Common_SourceData_MCFTemperatureZone_Data(),Table_SourceData_Common_MCFTemperatureZone[[#Headers],[Temperature zone]],0)</f>
        <v>0</v>
      </c>
      <c r="Q234" s="20" cm="1">
        <f t="array" ref="Q234">Common_InputFunctions.Utility_DisplayArrayInTable(Common_SourceData.Common_SourceData_MCFTemperatureZone_Data(),Table_SourceData_Common_MCFTemperatureZone[[#Headers],[Temperature zone]],0)</f>
        <v>0</v>
      </c>
      <c r="R234" s="20" cm="1">
        <f t="array" ref="R234">Common_InputFunctions.Utility_DisplayArrayInTable(Common_SourceData.Common_SourceData_MCFTemperatureZone_Data(),Table_SourceData_Common_MCFTemperatureZone[[#Headers],[Temperature zone]],0)</f>
        <v>4.7000000000000002E-3</v>
      </c>
      <c r="S234" s="2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0" cm="1">
        <f t="array" ref="E235">Common_InputFunctions.Utility_DisplayArrayInTable(Common_SourceData.Common_SourceData_MCFTemperatureZone_Data(),Table_SourceData_Common_MCFTemperatureZone[[#Headers],[Temperature zone]],0)</f>
        <v>13</v>
      </c>
      <c r="F235" s="20" cm="1">
        <f t="array" ref="F235">Common_InputFunctions.Utility_DisplayArrayInTable(Common_SourceData.Common_SourceData_MCFTemperatureZone_Data(),Table_SourceData_Common_MCFTemperatureZone[[#Headers],[Temperature zone]],0)</f>
        <v>0.71</v>
      </c>
      <c r="G235" s="20" cm="1">
        <f t="array" ref="G235">Common_InputFunctions.Utility_DisplayArrayInTable(Common_SourceData.Common_SourceData_MCFTemperatureZone_Data(),Table_SourceData_Common_MCFTemperatureZone[[#Headers],[Temperature zone]],0)</f>
        <v>0.1</v>
      </c>
      <c r="H235" s="20" cm="1">
        <f t="array" ref="H235">Common_InputFunctions.Utility_DisplayArrayInTable(Common_SourceData.Common_SourceData_MCFTemperatureZone_Data(),Table_SourceData_Common_MCFTemperatureZone[[#Headers],[Temperature zone]],0)</f>
        <v>0.14000000000000001</v>
      </c>
      <c r="I235" s="20" cm="1">
        <f t="array" ref="I235">Common_InputFunctions.Utility_DisplayArrayInTable(Common_SourceData.Common_SourceData_MCFTemperatureZone_Data(),Table_SourceData_Common_MCFTemperatureZone[[#Headers],[Temperature zone]],0)</f>
        <v>1E-3</v>
      </c>
      <c r="J235" s="20" cm="1">
        <f t="array" ref="J235">Common_InputFunctions.Utility_DisplayArrayInTable(Common_SourceData.Common_SourceData_MCFTemperatureZone_Data(),Table_SourceData_Common_MCFTemperatureZone[[#Headers],[Temperature zone]],0)</f>
        <v>5.0000000000000001E-3</v>
      </c>
      <c r="K235" s="20" cm="1">
        <f t="array" ref="K235">Common_InputFunctions.Utility_DisplayArrayInTable(Common_SourceData.Common_SourceData_MCFTemperatureZone_Data(),Table_SourceData_Common_MCFTemperatureZone[[#Headers],[Temperature zone]],0)</f>
        <v>0.02</v>
      </c>
      <c r="L235" s="20" cm="1">
        <f t="array" ref="L235">Common_InputFunctions.Utility_DisplayArrayInTable(Common_SourceData.Common_SourceData_MCFTemperatureZone_Data(),Table_SourceData_Common_MCFTemperatureZone[[#Headers],[Temperature zone]],0)</f>
        <v>0.03</v>
      </c>
      <c r="M235" s="20" cm="1">
        <f t="array" ref="M235">Common_InputFunctions.Utility_DisplayArrayInTable(Common_SourceData.Common_SourceData_MCFTemperatureZone_Data(),Table_SourceData_Common_MCFTemperatureZone[[#Headers],[Temperature zone]],0)</f>
        <v>0.04</v>
      </c>
      <c r="N235" s="20" cm="1">
        <f t="array" ref="N235">Common_InputFunctions.Utility_DisplayArrayInTable(Common_SourceData.Common_SourceData_MCFTemperatureZone_Data(),Table_SourceData_Common_MCFTemperatureZone[[#Headers],[Temperature zone]],0)</f>
        <v>1.4999999999999999E-2</v>
      </c>
      <c r="O235" s="20" cm="1">
        <f t="array" ref="O235">Common_InputFunctions.Utility_DisplayArrayInTable(Common_SourceData.Common_SourceData_MCFTemperatureZone_Data(),Table_SourceData_Common_MCFTemperatureZone[[#Headers],[Temperature zone]],0)</f>
        <v>1.4999999999999999E-2</v>
      </c>
      <c r="P235" s="20" cm="1">
        <f t="array" ref="P235">Common_InputFunctions.Utility_DisplayArrayInTable(Common_SourceData.Common_SourceData_MCFTemperatureZone_Data(),Table_SourceData_Common_MCFTemperatureZone[[#Headers],[Temperature zone]],0)</f>
        <v>0</v>
      </c>
      <c r="Q235" s="20" cm="1">
        <f t="array" ref="Q235">Common_InputFunctions.Utility_DisplayArrayInTable(Common_SourceData.Common_SourceData_MCFTemperatureZone_Data(),Table_SourceData_Common_MCFTemperatureZone[[#Headers],[Temperature zone]],0)</f>
        <v>0</v>
      </c>
      <c r="R235" s="20" cm="1">
        <f t="array" ref="R235">Common_InputFunctions.Utility_DisplayArrayInTable(Common_SourceData.Common_SourceData_MCFTemperatureZone_Data(),Table_SourceData_Common_MCFTemperatureZone[[#Headers],[Temperature zone]],0)</f>
        <v>4.7000000000000002E-3</v>
      </c>
      <c r="S235" s="2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0" cm="1">
        <f t="array" ref="E236">Common_InputFunctions.Utility_DisplayArrayInTable(Common_SourceData.Common_SourceData_MCFTemperatureZone_Data(),Table_SourceData_Common_MCFTemperatureZone[[#Headers],[Temperature zone]],0)</f>
        <v>14</v>
      </c>
      <c r="F236" s="20" cm="1">
        <f t="array" ref="F236">Common_InputFunctions.Utility_DisplayArrayInTable(Common_SourceData.Common_SourceData_MCFTemperatureZone_Data(),Table_SourceData_Common_MCFTemperatureZone[[#Headers],[Temperature zone]],0)</f>
        <v>0.73</v>
      </c>
      <c r="G236" s="20" cm="1">
        <f t="array" ref="G236">Common_InputFunctions.Utility_DisplayArrayInTable(Common_SourceData.Common_SourceData_MCFTemperatureZone_Data(),Table_SourceData_Common_MCFTemperatureZone[[#Headers],[Temperature zone]],0)</f>
        <v>0.1</v>
      </c>
      <c r="H236" s="20" cm="1">
        <f t="array" ref="H236">Common_InputFunctions.Utility_DisplayArrayInTable(Common_SourceData.Common_SourceData_MCFTemperatureZone_Data(),Table_SourceData_Common_MCFTemperatureZone[[#Headers],[Temperature zone]],0)</f>
        <v>0.15</v>
      </c>
      <c r="I236" s="20" cm="1">
        <f t="array" ref="I236">Common_InputFunctions.Utility_DisplayArrayInTable(Common_SourceData.Common_SourceData_MCFTemperatureZone_Data(),Table_SourceData_Common_MCFTemperatureZone[[#Headers],[Temperature zone]],0)</f>
        <v>1E-3</v>
      </c>
      <c r="J236" s="20" cm="1">
        <f t="array" ref="J236">Common_InputFunctions.Utility_DisplayArrayInTable(Common_SourceData.Common_SourceData_MCFTemperatureZone_Data(),Table_SourceData_Common_MCFTemperatureZone[[#Headers],[Temperature zone]],0)</f>
        <v>5.0000000000000001E-3</v>
      </c>
      <c r="K236" s="20" cm="1">
        <f t="array" ref="K236">Common_InputFunctions.Utility_DisplayArrayInTable(Common_SourceData.Common_SourceData_MCFTemperatureZone_Data(),Table_SourceData_Common_MCFTemperatureZone[[#Headers],[Temperature zone]],0)</f>
        <v>0.02</v>
      </c>
      <c r="L236" s="20" cm="1">
        <f t="array" ref="L236">Common_InputFunctions.Utility_DisplayArrayInTable(Common_SourceData.Common_SourceData_MCFTemperatureZone_Data(),Table_SourceData_Common_MCFTemperatureZone[[#Headers],[Temperature zone]],0)</f>
        <v>0.03</v>
      </c>
      <c r="M236" s="20" cm="1">
        <f t="array" ref="M236">Common_InputFunctions.Utility_DisplayArrayInTable(Common_SourceData.Common_SourceData_MCFTemperatureZone_Data(),Table_SourceData_Common_MCFTemperatureZone[[#Headers],[Temperature zone]],0)</f>
        <v>0.04</v>
      </c>
      <c r="N236" s="20" cm="1">
        <f t="array" ref="N236">Common_InputFunctions.Utility_DisplayArrayInTable(Common_SourceData.Common_SourceData_MCFTemperatureZone_Data(),Table_SourceData_Common_MCFTemperatureZone[[#Headers],[Temperature zone]],0)</f>
        <v>1.4999999999999999E-2</v>
      </c>
      <c r="O236" s="20" cm="1">
        <f t="array" ref="O236">Common_InputFunctions.Utility_DisplayArrayInTable(Common_SourceData.Common_SourceData_MCFTemperatureZone_Data(),Table_SourceData_Common_MCFTemperatureZone[[#Headers],[Temperature zone]],0)</f>
        <v>1.4999999999999999E-2</v>
      </c>
      <c r="P236" s="20" cm="1">
        <f t="array" ref="P236">Common_InputFunctions.Utility_DisplayArrayInTable(Common_SourceData.Common_SourceData_MCFTemperatureZone_Data(),Table_SourceData_Common_MCFTemperatureZone[[#Headers],[Temperature zone]],0)</f>
        <v>0</v>
      </c>
      <c r="Q236" s="20" cm="1">
        <f t="array" ref="Q236">Common_InputFunctions.Utility_DisplayArrayInTable(Common_SourceData.Common_SourceData_MCFTemperatureZone_Data(),Table_SourceData_Common_MCFTemperatureZone[[#Headers],[Temperature zone]],0)</f>
        <v>0</v>
      </c>
      <c r="R236" s="20" cm="1">
        <f t="array" ref="R236">Common_InputFunctions.Utility_DisplayArrayInTable(Common_SourceData.Common_SourceData_MCFTemperatureZone_Data(),Table_SourceData_Common_MCFTemperatureZone[[#Headers],[Temperature zone]],0)</f>
        <v>4.7000000000000002E-3</v>
      </c>
      <c r="S236" s="2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0" cm="1">
        <f t="array" ref="E237">Common_InputFunctions.Utility_DisplayArrayInTable(Common_SourceData.Common_SourceData_MCFTemperatureZone_Data(),Table_SourceData_Common_MCFTemperatureZone[[#Headers],[Temperature zone]],0)</f>
        <v>15</v>
      </c>
      <c r="F237" s="20" cm="1">
        <f t="array" ref="F237">Common_InputFunctions.Utility_DisplayArrayInTable(Common_SourceData.Common_SourceData_MCFTemperatureZone_Data(),Table_SourceData_Common_MCFTemperatureZone[[#Headers],[Temperature zone]],0)</f>
        <v>0.74</v>
      </c>
      <c r="G237" s="20" cm="1">
        <f t="array" ref="G237">Common_InputFunctions.Utility_DisplayArrayInTable(Common_SourceData.Common_SourceData_MCFTemperatureZone_Data(),Table_SourceData_Common_MCFTemperatureZone[[#Headers],[Temperature zone]],0)</f>
        <v>0.1</v>
      </c>
      <c r="H237" s="20" cm="1">
        <f t="array" ref="H237">Common_InputFunctions.Utility_DisplayArrayInTable(Common_SourceData.Common_SourceData_MCFTemperatureZone_Data(),Table_SourceData_Common_MCFTemperatureZone[[#Headers],[Temperature zone]],0)</f>
        <v>0.17</v>
      </c>
      <c r="I237" s="20" cm="1">
        <f t="array" ref="I237">Common_InputFunctions.Utility_DisplayArrayInTable(Common_SourceData.Common_SourceData_MCFTemperatureZone_Data(),Table_SourceData_Common_MCFTemperatureZone[[#Headers],[Temperature zone]],0)</f>
        <v>5.0000000000000001E-3</v>
      </c>
      <c r="J237" s="20" cm="1">
        <f t="array" ref="J237">Common_InputFunctions.Utility_DisplayArrayInTable(Common_SourceData.Common_SourceData_MCFTemperatureZone_Data(),Table_SourceData_Common_MCFTemperatureZone[[#Headers],[Temperature zone]],0)</f>
        <v>0.01</v>
      </c>
      <c r="K237" s="20" cm="1">
        <f t="array" ref="K237">Common_InputFunctions.Utility_DisplayArrayInTable(Common_SourceData.Common_SourceData_MCFTemperatureZone_Data(),Table_SourceData_Common_MCFTemperatureZone[[#Headers],[Temperature zone]],0)</f>
        <v>0.02</v>
      </c>
      <c r="L237" s="20" cm="1">
        <f t="array" ref="L237">Common_InputFunctions.Utility_DisplayArrayInTable(Common_SourceData.Common_SourceData_MCFTemperatureZone_Data(),Table_SourceData_Common_MCFTemperatureZone[[#Headers],[Temperature zone]],0)</f>
        <v>0.03</v>
      </c>
      <c r="M237" s="20" cm="1">
        <f t="array" ref="M237">Common_InputFunctions.Utility_DisplayArrayInTable(Common_SourceData.Common_SourceData_MCFTemperatureZone_Data(),Table_SourceData_Common_MCFTemperatureZone[[#Headers],[Temperature zone]],0)</f>
        <v>0.04</v>
      </c>
      <c r="N237" s="20" cm="1">
        <f t="array" ref="N237">Common_InputFunctions.Utility_DisplayArrayInTable(Common_SourceData.Common_SourceData_MCFTemperatureZone_Data(),Table_SourceData_Common_MCFTemperatureZone[[#Headers],[Temperature zone]],0)</f>
        <v>1.4999999999999999E-2</v>
      </c>
      <c r="O237" s="20" cm="1">
        <f t="array" ref="O237">Common_InputFunctions.Utility_DisplayArrayInTable(Common_SourceData.Common_SourceData_MCFTemperatureZone_Data(),Table_SourceData_Common_MCFTemperatureZone[[#Headers],[Temperature zone]],0)</f>
        <v>1.4999999999999999E-2</v>
      </c>
      <c r="P237" s="20" cm="1">
        <f t="array" ref="P237">Common_InputFunctions.Utility_DisplayArrayInTable(Common_SourceData.Common_SourceData_MCFTemperatureZone_Data(),Table_SourceData_Common_MCFTemperatureZone[[#Headers],[Temperature zone]],0)</f>
        <v>0</v>
      </c>
      <c r="Q237" s="20" cm="1">
        <f t="array" ref="Q237">Common_InputFunctions.Utility_DisplayArrayInTable(Common_SourceData.Common_SourceData_MCFTemperatureZone_Data(),Table_SourceData_Common_MCFTemperatureZone[[#Headers],[Temperature zone]],0)</f>
        <v>0</v>
      </c>
      <c r="R237" s="20" cm="1">
        <f t="array" ref="R237">Common_InputFunctions.Utility_DisplayArrayInTable(Common_SourceData.Common_SourceData_MCFTemperatureZone_Data(),Table_SourceData_Common_MCFTemperatureZone[[#Headers],[Temperature zone]],0)</f>
        <v>4.7000000000000002E-3</v>
      </c>
      <c r="S237" s="2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0" cm="1">
        <f t="array" ref="E238">Common_InputFunctions.Utility_DisplayArrayInTable(Common_SourceData.Common_SourceData_MCFTemperatureZone_Data(),Table_SourceData_Common_MCFTemperatureZone[[#Headers],[Temperature zone]],0)</f>
        <v>16</v>
      </c>
      <c r="F238" s="20" cm="1">
        <f t="array" ref="F238">Common_InputFunctions.Utility_DisplayArrayInTable(Common_SourceData.Common_SourceData_MCFTemperatureZone_Data(),Table_SourceData_Common_MCFTemperatureZone[[#Headers],[Temperature zone]],0)</f>
        <v>0.75</v>
      </c>
      <c r="G238" s="20" cm="1">
        <f t="array" ref="G238">Common_InputFunctions.Utility_DisplayArrayInTable(Common_SourceData.Common_SourceData_MCFTemperatureZone_Data(),Table_SourceData_Common_MCFTemperatureZone[[#Headers],[Temperature zone]],0)</f>
        <v>0.1</v>
      </c>
      <c r="H238" s="20" cm="1">
        <f t="array" ref="H238">Common_InputFunctions.Utility_DisplayArrayInTable(Common_SourceData.Common_SourceData_MCFTemperatureZone_Data(),Table_SourceData_Common_MCFTemperatureZone[[#Headers],[Temperature zone]],0)</f>
        <v>0.18</v>
      </c>
      <c r="I238" s="20" cm="1">
        <f t="array" ref="I238">Common_InputFunctions.Utility_DisplayArrayInTable(Common_SourceData.Common_SourceData_MCFTemperatureZone_Data(),Table_SourceData_Common_MCFTemperatureZone[[#Headers],[Temperature zone]],0)</f>
        <v>5.0000000000000001E-3</v>
      </c>
      <c r="J238" s="20" cm="1">
        <f t="array" ref="J238">Common_InputFunctions.Utility_DisplayArrayInTable(Common_SourceData.Common_SourceData_MCFTemperatureZone_Data(),Table_SourceData_Common_MCFTemperatureZone[[#Headers],[Temperature zone]],0)</f>
        <v>0.01</v>
      </c>
      <c r="K238" s="20" cm="1">
        <f t="array" ref="K238">Common_InputFunctions.Utility_DisplayArrayInTable(Common_SourceData.Common_SourceData_MCFTemperatureZone_Data(),Table_SourceData_Common_MCFTemperatureZone[[#Headers],[Temperature zone]],0)</f>
        <v>0.02</v>
      </c>
      <c r="L238" s="20" cm="1">
        <f t="array" ref="L238">Common_InputFunctions.Utility_DisplayArrayInTable(Common_SourceData.Common_SourceData_MCFTemperatureZone_Data(),Table_SourceData_Common_MCFTemperatureZone[[#Headers],[Temperature zone]],0)</f>
        <v>0.03</v>
      </c>
      <c r="M238" s="20" cm="1">
        <f t="array" ref="M238">Common_InputFunctions.Utility_DisplayArrayInTable(Common_SourceData.Common_SourceData_MCFTemperatureZone_Data(),Table_SourceData_Common_MCFTemperatureZone[[#Headers],[Temperature zone]],0)</f>
        <v>0.04</v>
      </c>
      <c r="N238" s="20" cm="1">
        <f t="array" ref="N238">Common_InputFunctions.Utility_DisplayArrayInTable(Common_SourceData.Common_SourceData_MCFTemperatureZone_Data(),Table_SourceData_Common_MCFTemperatureZone[[#Headers],[Temperature zone]],0)</f>
        <v>1.4999999999999999E-2</v>
      </c>
      <c r="O238" s="20" cm="1">
        <f t="array" ref="O238">Common_InputFunctions.Utility_DisplayArrayInTable(Common_SourceData.Common_SourceData_MCFTemperatureZone_Data(),Table_SourceData_Common_MCFTemperatureZone[[#Headers],[Temperature zone]],0)</f>
        <v>1.4999999999999999E-2</v>
      </c>
      <c r="P238" s="20" cm="1">
        <f t="array" ref="P238">Common_InputFunctions.Utility_DisplayArrayInTable(Common_SourceData.Common_SourceData_MCFTemperatureZone_Data(),Table_SourceData_Common_MCFTemperatureZone[[#Headers],[Temperature zone]],0)</f>
        <v>0</v>
      </c>
      <c r="Q238" s="20" cm="1">
        <f t="array" ref="Q238">Common_InputFunctions.Utility_DisplayArrayInTable(Common_SourceData.Common_SourceData_MCFTemperatureZone_Data(),Table_SourceData_Common_MCFTemperatureZone[[#Headers],[Temperature zone]],0)</f>
        <v>0</v>
      </c>
      <c r="R238" s="20" cm="1">
        <f t="array" ref="R238">Common_InputFunctions.Utility_DisplayArrayInTable(Common_SourceData.Common_SourceData_MCFTemperatureZone_Data(),Table_SourceData_Common_MCFTemperatureZone[[#Headers],[Temperature zone]],0)</f>
        <v>4.7000000000000002E-3</v>
      </c>
      <c r="S238" s="2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0" cm="1">
        <f t="array" ref="E239">Common_InputFunctions.Utility_DisplayArrayInTable(Common_SourceData.Common_SourceData_MCFTemperatureZone_Data(),Table_SourceData_Common_MCFTemperatureZone[[#Headers],[Temperature zone]],0)</f>
        <v>17</v>
      </c>
      <c r="F239" s="20" cm="1">
        <f t="array" ref="F239">Common_InputFunctions.Utility_DisplayArrayInTable(Common_SourceData.Common_SourceData_MCFTemperatureZone_Data(),Table_SourceData_Common_MCFTemperatureZone[[#Headers],[Temperature zone]],0)</f>
        <v>0.76</v>
      </c>
      <c r="G239" s="20" cm="1">
        <f t="array" ref="G239">Common_InputFunctions.Utility_DisplayArrayInTable(Common_SourceData.Common_SourceData_MCFTemperatureZone_Data(),Table_SourceData_Common_MCFTemperatureZone[[#Headers],[Temperature zone]],0)</f>
        <v>0.1</v>
      </c>
      <c r="H239" s="20" cm="1">
        <f t="array" ref="H239">Common_InputFunctions.Utility_DisplayArrayInTable(Common_SourceData.Common_SourceData_MCFTemperatureZone_Data(),Table_SourceData_Common_MCFTemperatureZone[[#Headers],[Temperature zone]],0)</f>
        <v>0.2</v>
      </c>
      <c r="I239" s="20" cm="1">
        <f t="array" ref="I239">Common_InputFunctions.Utility_DisplayArrayInTable(Common_SourceData.Common_SourceData_MCFTemperatureZone_Data(),Table_SourceData_Common_MCFTemperatureZone[[#Headers],[Temperature zone]],0)</f>
        <v>5.0000000000000001E-3</v>
      </c>
      <c r="J239" s="20" cm="1">
        <f t="array" ref="J239">Common_InputFunctions.Utility_DisplayArrayInTable(Common_SourceData.Common_SourceData_MCFTemperatureZone_Data(),Table_SourceData_Common_MCFTemperatureZone[[#Headers],[Temperature zone]],0)</f>
        <v>0.01</v>
      </c>
      <c r="K239" s="20" cm="1">
        <f t="array" ref="K239">Common_InputFunctions.Utility_DisplayArrayInTable(Common_SourceData.Common_SourceData_MCFTemperatureZone_Data(),Table_SourceData_Common_MCFTemperatureZone[[#Headers],[Temperature zone]],0)</f>
        <v>0.02</v>
      </c>
      <c r="L239" s="20" cm="1">
        <f t="array" ref="L239">Common_InputFunctions.Utility_DisplayArrayInTable(Common_SourceData.Common_SourceData_MCFTemperatureZone_Data(),Table_SourceData_Common_MCFTemperatureZone[[#Headers],[Temperature zone]],0)</f>
        <v>0.03</v>
      </c>
      <c r="M239" s="20" cm="1">
        <f t="array" ref="M239">Common_InputFunctions.Utility_DisplayArrayInTable(Common_SourceData.Common_SourceData_MCFTemperatureZone_Data(),Table_SourceData_Common_MCFTemperatureZone[[#Headers],[Temperature zone]],0)</f>
        <v>0.04</v>
      </c>
      <c r="N239" s="20" cm="1">
        <f t="array" ref="N239">Common_InputFunctions.Utility_DisplayArrayInTable(Common_SourceData.Common_SourceData_MCFTemperatureZone_Data(),Table_SourceData_Common_MCFTemperatureZone[[#Headers],[Temperature zone]],0)</f>
        <v>1.4999999999999999E-2</v>
      </c>
      <c r="O239" s="20" cm="1">
        <f t="array" ref="O239">Common_InputFunctions.Utility_DisplayArrayInTable(Common_SourceData.Common_SourceData_MCFTemperatureZone_Data(),Table_SourceData_Common_MCFTemperatureZone[[#Headers],[Temperature zone]],0)</f>
        <v>1.4999999999999999E-2</v>
      </c>
      <c r="P239" s="20" cm="1">
        <f t="array" ref="P239">Common_InputFunctions.Utility_DisplayArrayInTable(Common_SourceData.Common_SourceData_MCFTemperatureZone_Data(),Table_SourceData_Common_MCFTemperatureZone[[#Headers],[Temperature zone]],0)</f>
        <v>0</v>
      </c>
      <c r="Q239" s="20" cm="1">
        <f t="array" ref="Q239">Common_InputFunctions.Utility_DisplayArrayInTable(Common_SourceData.Common_SourceData_MCFTemperatureZone_Data(),Table_SourceData_Common_MCFTemperatureZone[[#Headers],[Temperature zone]],0)</f>
        <v>0</v>
      </c>
      <c r="R239" s="20" cm="1">
        <f t="array" ref="R239">Common_InputFunctions.Utility_DisplayArrayInTable(Common_SourceData.Common_SourceData_MCFTemperatureZone_Data(),Table_SourceData_Common_MCFTemperatureZone[[#Headers],[Temperature zone]],0)</f>
        <v>4.7000000000000002E-3</v>
      </c>
      <c r="S239" s="2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0" cm="1">
        <f t="array" ref="E240">Common_InputFunctions.Utility_DisplayArrayInTable(Common_SourceData.Common_SourceData_MCFTemperatureZone_Data(),Table_SourceData_Common_MCFTemperatureZone[[#Headers],[Temperature zone]],0)</f>
        <v>18</v>
      </c>
      <c r="F240" s="20" cm="1">
        <f t="array" ref="F240">Common_InputFunctions.Utility_DisplayArrayInTable(Common_SourceData.Common_SourceData_MCFTemperatureZone_Data(),Table_SourceData_Common_MCFTemperatureZone[[#Headers],[Temperature zone]],0)</f>
        <v>0.77</v>
      </c>
      <c r="G240" s="20" cm="1">
        <f t="array" ref="G240">Common_InputFunctions.Utility_DisplayArrayInTable(Common_SourceData.Common_SourceData_MCFTemperatureZone_Data(),Table_SourceData_Common_MCFTemperatureZone[[#Headers],[Temperature zone]],0)</f>
        <v>0.1</v>
      </c>
      <c r="H240" s="20" cm="1">
        <f t="array" ref="H240">Common_InputFunctions.Utility_DisplayArrayInTable(Common_SourceData.Common_SourceData_MCFTemperatureZone_Data(),Table_SourceData_Common_MCFTemperatureZone[[#Headers],[Temperature zone]],0)</f>
        <v>0.22</v>
      </c>
      <c r="I240" s="20" cm="1">
        <f t="array" ref="I240">Common_InputFunctions.Utility_DisplayArrayInTable(Common_SourceData.Common_SourceData_MCFTemperatureZone_Data(),Table_SourceData_Common_MCFTemperatureZone[[#Headers],[Temperature zone]],0)</f>
        <v>5.0000000000000001E-3</v>
      </c>
      <c r="J240" s="20" cm="1">
        <f t="array" ref="J240">Common_InputFunctions.Utility_DisplayArrayInTable(Common_SourceData.Common_SourceData_MCFTemperatureZone_Data(),Table_SourceData_Common_MCFTemperatureZone[[#Headers],[Temperature zone]],0)</f>
        <v>0.01</v>
      </c>
      <c r="K240" s="20" cm="1">
        <f t="array" ref="K240">Common_InputFunctions.Utility_DisplayArrayInTable(Common_SourceData.Common_SourceData_MCFTemperatureZone_Data(),Table_SourceData_Common_MCFTemperatureZone[[#Headers],[Temperature zone]],0)</f>
        <v>0.02</v>
      </c>
      <c r="L240" s="20" cm="1">
        <f t="array" ref="L240">Common_InputFunctions.Utility_DisplayArrayInTable(Common_SourceData.Common_SourceData_MCFTemperatureZone_Data(),Table_SourceData_Common_MCFTemperatureZone[[#Headers],[Temperature zone]],0)</f>
        <v>0.03</v>
      </c>
      <c r="M240" s="20" cm="1">
        <f t="array" ref="M240">Common_InputFunctions.Utility_DisplayArrayInTable(Common_SourceData.Common_SourceData_MCFTemperatureZone_Data(),Table_SourceData_Common_MCFTemperatureZone[[#Headers],[Temperature zone]],0)</f>
        <v>0.04</v>
      </c>
      <c r="N240" s="20" cm="1">
        <f t="array" ref="N240">Common_InputFunctions.Utility_DisplayArrayInTable(Common_SourceData.Common_SourceData_MCFTemperatureZone_Data(),Table_SourceData_Common_MCFTemperatureZone[[#Headers],[Temperature zone]],0)</f>
        <v>1.4999999999999999E-2</v>
      </c>
      <c r="O240" s="20" cm="1">
        <f t="array" ref="O240">Common_InputFunctions.Utility_DisplayArrayInTable(Common_SourceData.Common_SourceData_MCFTemperatureZone_Data(),Table_SourceData_Common_MCFTemperatureZone[[#Headers],[Temperature zone]],0)</f>
        <v>1.4999999999999999E-2</v>
      </c>
      <c r="P240" s="20" cm="1">
        <f t="array" ref="P240">Common_InputFunctions.Utility_DisplayArrayInTable(Common_SourceData.Common_SourceData_MCFTemperatureZone_Data(),Table_SourceData_Common_MCFTemperatureZone[[#Headers],[Temperature zone]],0)</f>
        <v>0</v>
      </c>
      <c r="Q240" s="20" cm="1">
        <f t="array" ref="Q240">Common_InputFunctions.Utility_DisplayArrayInTable(Common_SourceData.Common_SourceData_MCFTemperatureZone_Data(),Table_SourceData_Common_MCFTemperatureZone[[#Headers],[Temperature zone]],0)</f>
        <v>0</v>
      </c>
      <c r="R240" s="20" cm="1">
        <f t="array" ref="R240">Common_InputFunctions.Utility_DisplayArrayInTable(Common_SourceData.Common_SourceData_MCFTemperatureZone_Data(),Table_SourceData_Common_MCFTemperatureZone[[#Headers],[Temperature zone]],0)</f>
        <v>4.7000000000000002E-3</v>
      </c>
      <c r="S240" s="2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0" cm="1">
        <f t="array" ref="E241">Common_InputFunctions.Utility_DisplayArrayInTable(Common_SourceData.Common_SourceData_MCFTemperatureZone_Data(),Table_SourceData_Common_MCFTemperatureZone[[#Headers],[Temperature zone]],0)</f>
        <v>19</v>
      </c>
      <c r="F241" s="20" cm="1">
        <f t="array" ref="F241">Common_InputFunctions.Utility_DisplayArrayInTable(Common_SourceData.Common_SourceData_MCFTemperatureZone_Data(),Table_SourceData_Common_MCFTemperatureZone[[#Headers],[Temperature zone]],0)</f>
        <v>0.77</v>
      </c>
      <c r="G241" s="20" cm="1">
        <f t="array" ref="G241">Common_InputFunctions.Utility_DisplayArrayInTable(Common_SourceData.Common_SourceData_MCFTemperatureZone_Data(),Table_SourceData_Common_MCFTemperatureZone[[#Headers],[Temperature zone]],0)</f>
        <v>0.1</v>
      </c>
      <c r="H241" s="20" cm="1">
        <f t="array" ref="H241">Common_InputFunctions.Utility_DisplayArrayInTable(Common_SourceData.Common_SourceData_MCFTemperatureZone_Data(),Table_SourceData_Common_MCFTemperatureZone[[#Headers],[Temperature zone]],0)</f>
        <v>0.24</v>
      </c>
      <c r="I241" s="20" cm="1">
        <f t="array" ref="I241">Common_InputFunctions.Utility_DisplayArrayInTable(Common_SourceData.Common_SourceData_MCFTemperatureZone_Data(),Table_SourceData_Common_MCFTemperatureZone[[#Headers],[Temperature zone]],0)</f>
        <v>5.0000000000000001E-3</v>
      </c>
      <c r="J241" s="20" cm="1">
        <f t="array" ref="J241">Common_InputFunctions.Utility_DisplayArrayInTable(Common_SourceData.Common_SourceData_MCFTemperatureZone_Data(),Table_SourceData_Common_MCFTemperatureZone[[#Headers],[Temperature zone]],0)</f>
        <v>0.01</v>
      </c>
      <c r="K241" s="20" cm="1">
        <f t="array" ref="K241">Common_InputFunctions.Utility_DisplayArrayInTable(Common_SourceData.Common_SourceData_MCFTemperatureZone_Data(),Table_SourceData_Common_MCFTemperatureZone[[#Headers],[Temperature zone]],0)</f>
        <v>0.02</v>
      </c>
      <c r="L241" s="20" cm="1">
        <f t="array" ref="L241">Common_InputFunctions.Utility_DisplayArrayInTable(Common_SourceData.Common_SourceData_MCFTemperatureZone_Data(),Table_SourceData_Common_MCFTemperatureZone[[#Headers],[Temperature zone]],0)</f>
        <v>0.03</v>
      </c>
      <c r="M241" s="20" cm="1">
        <f t="array" ref="M241">Common_InputFunctions.Utility_DisplayArrayInTable(Common_SourceData.Common_SourceData_MCFTemperatureZone_Data(),Table_SourceData_Common_MCFTemperatureZone[[#Headers],[Temperature zone]],0)</f>
        <v>0.04</v>
      </c>
      <c r="N241" s="20" cm="1">
        <f t="array" ref="N241">Common_InputFunctions.Utility_DisplayArrayInTable(Common_SourceData.Common_SourceData_MCFTemperatureZone_Data(),Table_SourceData_Common_MCFTemperatureZone[[#Headers],[Temperature zone]],0)</f>
        <v>1.4999999999999999E-2</v>
      </c>
      <c r="O241" s="20" cm="1">
        <f t="array" ref="O241">Common_InputFunctions.Utility_DisplayArrayInTable(Common_SourceData.Common_SourceData_MCFTemperatureZone_Data(),Table_SourceData_Common_MCFTemperatureZone[[#Headers],[Temperature zone]],0)</f>
        <v>1.4999999999999999E-2</v>
      </c>
      <c r="P241" s="20" cm="1">
        <f t="array" ref="P241">Common_InputFunctions.Utility_DisplayArrayInTable(Common_SourceData.Common_SourceData_MCFTemperatureZone_Data(),Table_SourceData_Common_MCFTemperatureZone[[#Headers],[Temperature zone]],0)</f>
        <v>0</v>
      </c>
      <c r="Q241" s="20" cm="1">
        <f t="array" ref="Q241">Common_InputFunctions.Utility_DisplayArrayInTable(Common_SourceData.Common_SourceData_MCFTemperatureZone_Data(),Table_SourceData_Common_MCFTemperatureZone[[#Headers],[Temperature zone]],0)</f>
        <v>0</v>
      </c>
      <c r="R241" s="20" cm="1">
        <f t="array" ref="R241">Common_InputFunctions.Utility_DisplayArrayInTable(Common_SourceData.Common_SourceData_MCFTemperatureZone_Data(),Table_SourceData_Common_MCFTemperatureZone[[#Headers],[Temperature zone]],0)</f>
        <v>4.7000000000000002E-3</v>
      </c>
      <c r="S241" s="2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0" cm="1">
        <f t="array" ref="E242">Common_InputFunctions.Utility_DisplayArrayInTable(Common_SourceData.Common_SourceData_MCFTemperatureZone_Data(),Table_SourceData_Common_MCFTemperatureZone[[#Headers],[Temperature zone]],0)</f>
        <v>20</v>
      </c>
      <c r="F242" s="20" cm="1">
        <f t="array" ref="F242">Common_InputFunctions.Utility_DisplayArrayInTable(Common_SourceData.Common_SourceData_MCFTemperatureZone_Data(),Table_SourceData_Common_MCFTemperatureZone[[#Headers],[Temperature zone]],0)</f>
        <v>0.78</v>
      </c>
      <c r="G242" s="20" cm="1">
        <f t="array" ref="G242">Common_InputFunctions.Utility_DisplayArrayInTable(Common_SourceData.Common_SourceData_MCFTemperatureZone_Data(),Table_SourceData_Common_MCFTemperatureZone[[#Headers],[Temperature zone]],0)</f>
        <v>0.1</v>
      </c>
      <c r="H242" s="20" cm="1">
        <f t="array" ref="H242">Common_InputFunctions.Utility_DisplayArrayInTable(Common_SourceData.Common_SourceData_MCFTemperatureZone_Data(),Table_SourceData_Common_MCFTemperatureZone[[#Headers],[Temperature zone]],0)</f>
        <v>0.26</v>
      </c>
      <c r="I242" s="20" cm="1">
        <f t="array" ref="I242">Common_InputFunctions.Utility_DisplayArrayInTable(Common_SourceData.Common_SourceData_MCFTemperatureZone_Data(),Table_SourceData_Common_MCFTemperatureZone[[#Headers],[Temperature zone]],0)</f>
        <v>5.0000000000000001E-3</v>
      </c>
      <c r="J242" s="20" cm="1">
        <f t="array" ref="J242">Common_InputFunctions.Utility_DisplayArrayInTable(Common_SourceData.Common_SourceData_MCFTemperatureZone_Data(),Table_SourceData_Common_MCFTemperatureZone[[#Headers],[Temperature zone]],0)</f>
        <v>0.01</v>
      </c>
      <c r="K242" s="20" cm="1">
        <f t="array" ref="K242">Common_InputFunctions.Utility_DisplayArrayInTable(Common_SourceData.Common_SourceData_MCFTemperatureZone_Data(),Table_SourceData_Common_MCFTemperatureZone[[#Headers],[Temperature zone]],0)</f>
        <v>0.02</v>
      </c>
      <c r="L242" s="20" cm="1">
        <f t="array" ref="L242">Common_InputFunctions.Utility_DisplayArrayInTable(Common_SourceData.Common_SourceData_MCFTemperatureZone_Data(),Table_SourceData_Common_MCFTemperatureZone[[#Headers],[Temperature zone]],0)</f>
        <v>0.03</v>
      </c>
      <c r="M242" s="20" cm="1">
        <f t="array" ref="M242">Common_InputFunctions.Utility_DisplayArrayInTable(Common_SourceData.Common_SourceData_MCFTemperatureZone_Data(),Table_SourceData_Common_MCFTemperatureZone[[#Headers],[Temperature zone]],0)</f>
        <v>0.04</v>
      </c>
      <c r="N242" s="20" cm="1">
        <f t="array" ref="N242">Common_InputFunctions.Utility_DisplayArrayInTable(Common_SourceData.Common_SourceData_MCFTemperatureZone_Data(),Table_SourceData_Common_MCFTemperatureZone[[#Headers],[Temperature zone]],0)</f>
        <v>1.4999999999999999E-2</v>
      </c>
      <c r="O242" s="20" cm="1">
        <f t="array" ref="O242">Common_InputFunctions.Utility_DisplayArrayInTable(Common_SourceData.Common_SourceData_MCFTemperatureZone_Data(),Table_SourceData_Common_MCFTemperatureZone[[#Headers],[Temperature zone]],0)</f>
        <v>1.4999999999999999E-2</v>
      </c>
      <c r="P242" s="20" cm="1">
        <f t="array" ref="P242">Common_InputFunctions.Utility_DisplayArrayInTable(Common_SourceData.Common_SourceData_MCFTemperatureZone_Data(),Table_SourceData_Common_MCFTemperatureZone[[#Headers],[Temperature zone]],0)</f>
        <v>0</v>
      </c>
      <c r="Q242" s="20" cm="1">
        <f t="array" ref="Q242">Common_InputFunctions.Utility_DisplayArrayInTable(Common_SourceData.Common_SourceData_MCFTemperatureZone_Data(),Table_SourceData_Common_MCFTemperatureZone[[#Headers],[Temperature zone]],0)</f>
        <v>0</v>
      </c>
      <c r="R242" s="20" cm="1">
        <f t="array" ref="R242">Common_InputFunctions.Utility_DisplayArrayInTable(Common_SourceData.Common_SourceData_MCFTemperatureZone_Data(),Table_SourceData_Common_MCFTemperatureZone[[#Headers],[Temperature zone]],0)</f>
        <v>4.7000000000000002E-3</v>
      </c>
      <c r="S242" s="2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0" cm="1">
        <f t="array" ref="E243">Common_InputFunctions.Utility_DisplayArrayInTable(Common_SourceData.Common_SourceData_MCFTemperatureZone_Data(),Table_SourceData_Common_MCFTemperatureZone[[#Headers],[Temperature zone]],0)</f>
        <v>21</v>
      </c>
      <c r="F243" s="20" cm="1">
        <f t="array" ref="F243">Common_InputFunctions.Utility_DisplayArrayInTable(Common_SourceData.Common_SourceData_MCFTemperatureZone_Data(),Table_SourceData_Common_MCFTemperatureZone[[#Headers],[Temperature zone]],0)</f>
        <v>0.78</v>
      </c>
      <c r="G243" s="20" cm="1">
        <f t="array" ref="G243">Common_InputFunctions.Utility_DisplayArrayInTable(Common_SourceData.Common_SourceData_MCFTemperatureZone_Data(),Table_SourceData_Common_MCFTemperatureZone[[#Headers],[Temperature zone]],0)</f>
        <v>0.1</v>
      </c>
      <c r="H243" s="20" cm="1">
        <f t="array" ref="H243">Common_InputFunctions.Utility_DisplayArrayInTable(Common_SourceData.Common_SourceData_MCFTemperatureZone_Data(),Table_SourceData_Common_MCFTemperatureZone[[#Headers],[Temperature zone]],0)</f>
        <v>0.28999999999999998</v>
      </c>
      <c r="I243" s="20" cm="1">
        <f t="array" ref="I243">Common_InputFunctions.Utility_DisplayArrayInTable(Common_SourceData.Common_SourceData_MCFTemperatureZone_Data(),Table_SourceData_Common_MCFTemperatureZone[[#Headers],[Temperature zone]],0)</f>
        <v>5.0000000000000001E-3</v>
      </c>
      <c r="J243" s="20" cm="1">
        <f t="array" ref="J243">Common_InputFunctions.Utility_DisplayArrayInTable(Common_SourceData.Common_SourceData_MCFTemperatureZone_Data(),Table_SourceData_Common_MCFTemperatureZone[[#Headers],[Temperature zone]],0)</f>
        <v>0.01</v>
      </c>
      <c r="K243" s="20" cm="1">
        <f t="array" ref="K243">Common_InputFunctions.Utility_DisplayArrayInTable(Common_SourceData.Common_SourceData_MCFTemperatureZone_Data(),Table_SourceData_Common_MCFTemperatureZone[[#Headers],[Temperature zone]],0)</f>
        <v>0.02</v>
      </c>
      <c r="L243" s="20" cm="1">
        <f t="array" ref="L243">Common_InputFunctions.Utility_DisplayArrayInTable(Common_SourceData.Common_SourceData_MCFTemperatureZone_Data(),Table_SourceData_Common_MCFTemperatureZone[[#Headers],[Temperature zone]],0)</f>
        <v>0.03</v>
      </c>
      <c r="M243" s="20" cm="1">
        <f t="array" ref="M243">Common_InputFunctions.Utility_DisplayArrayInTable(Common_SourceData.Common_SourceData_MCFTemperatureZone_Data(),Table_SourceData_Common_MCFTemperatureZone[[#Headers],[Temperature zone]],0)</f>
        <v>0.04</v>
      </c>
      <c r="N243" s="20" cm="1">
        <f t="array" ref="N243">Common_InputFunctions.Utility_DisplayArrayInTable(Common_SourceData.Common_SourceData_MCFTemperatureZone_Data(),Table_SourceData_Common_MCFTemperatureZone[[#Headers],[Temperature zone]],0)</f>
        <v>1.4999999999999999E-2</v>
      </c>
      <c r="O243" s="20" cm="1">
        <f t="array" ref="O243">Common_InputFunctions.Utility_DisplayArrayInTable(Common_SourceData.Common_SourceData_MCFTemperatureZone_Data(),Table_SourceData_Common_MCFTemperatureZone[[#Headers],[Temperature zone]],0)</f>
        <v>1.4999999999999999E-2</v>
      </c>
      <c r="P243" s="20" cm="1">
        <f t="array" ref="P243">Common_InputFunctions.Utility_DisplayArrayInTable(Common_SourceData.Common_SourceData_MCFTemperatureZone_Data(),Table_SourceData_Common_MCFTemperatureZone[[#Headers],[Temperature zone]],0)</f>
        <v>0</v>
      </c>
      <c r="Q243" s="20" cm="1">
        <f t="array" ref="Q243">Common_InputFunctions.Utility_DisplayArrayInTable(Common_SourceData.Common_SourceData_MCFTemperatureZone_Data(),Table_SourceData_Common_MCFTemperatureZone[[#Headers],[Temperature zone]],0)</f>
        <v>0</v>
      </c>
      <c r="R243" s="20" cm="1">
        <f t="array" ref="R243">Common_InputFunctions.Utility_DisplayArrayInTable(Common_SourceData.Common_SourceData_MCFTemperatureZone_Data(),Table_SourceData_Common_MCFTemperatureZone[[#Headers],[Temperature zone]],0)</f>
        <v>4.7000000000000002E-3</v>
      </c>
      <c r="S243" s="2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0" cm="1">
        <f t="array" ref="E244">Common_InputFunctions.Utility_DisplayArrayInTable(Common_SourceData.Common_SourceData_MCFTemperatureZone_Data(),Table_SourceData_Common_MCFTemperatureZone[[#Headers],[Temperature zone]],0)</f>
        <v>22</v>
      </c>
      <c r="F244" s="20" cm="1">
        <f t="array" ref="F244">Common_InputFunctions.Utility_DisplayArrayInTable(Common_SourceData.Common_SourceData_MCFTemperatureZone_Data(),Table_SourceData_Common_MCFTemperatureZone[[#Headers],[Temperature zone]],0)</f>
        <v>0.78</v>
      </c>
      <c r="G244" s="20" cm="1">
        <f t="array" ref="G244">Common_InputFunctions.Utility_DisplayArrayInTable(Common_SourceData.Common_SourceData_MCFTemperatureZone_Data(),Table_SourceData_Common_MCFTemperatureZone[[#Headers],[Temperature zone]],0)</f>
        <v>0.1</v>
      </c>
      <c r="H244" s="20" cm="1">
        <f t="array" ref="H244">Common_InputFunctions.Utility_DisplayArrayInTable(Common_SourceData.Common_SourceData_MCFTemperatureZone_Data(),Table_SourceData_Common_MCFTemperatureZone[[#Headers],[Temperature zone]],0)</f>
        <v>0.31</v>
      </c>
      <c r="I244" s="20" cm="1">
        <f t="array" ref="I244">Common_InputFunctions.Utility_DisplayArrayInTable(Common_SourceData.Common_SourceData_MCFTemperatureZone_Data(),Table_SourceData_Common_MCFTemperatureZone[[#Headers],[Temperature zone]],0)</f>
        <v>5.0000000000000001E-3</v>
      </c>
      <c r="J244" s="20" cm="1">
        <f t="array" ref="J244">Common_InputFunctions.Utility_DisplayArrayInTable(Common_SourceData.Common_SourceData_MCFTemperatureZone_Data(),Table_SourceData_Common_MCFTemperatureZone[[#Headers],[Temperature zone]],0)</f>
        <v>0.01</v>
      </c>
      <c r="K244" s="20" cm="1">
        <f t="array" ref="K244">Common_InputFunctions.Utility_DisplayArrayInTable(Common_SourceData.Common_SourceData_MCFTemperatureZone_Data(),Table_SourceData_Common_MCFTemperatureZone[[#Headers],[Temperature zone]],0)</f>
        <v>0.02</v>
      </c>
      <c r="L244" s="20" cm="1">
        <f t="array" ref="L244">Common_InputFunctions.Utility_DisplayArrayInTable(Common_SourceData.Common_SourceData_MCFTemperatureZone_Data(),Table_SourceData_Common_MCFTemperatureZone[[#Headers],[Temperature zone]],0)</f>
        <v>0.03</v>
      </c>
      <c r="M244" s="20" cm="1">
        <f t="array" ref="M244">Common_InputFunctions.Utility_DisplayArrayInTable(Common_SourceData.Common_SourceData_MCFTemperatureZone_Data(),Table_SourceData_Common_MCFTemperatureZone[[#Headers],[Temperature zone]],0)</f>
        <v>0.04</v>
      </c>
      <c r="N244" s="20" cm="1">
        <f t="array" ref="N244">Common_InputFunctions.Utility_DisplayArrayInTable(Common_SourceData.Common_SourceData_MCFTemperatureZone_Data(),Table_SourceData_Common_MCFTemperatureZone[[#Headers],[Temperature zone]],0)</f>
        <v>1.4999999999999999E-2</v>
      </c>
      <c r="O244" s="20" cm="1">
        <f t="array" ref="O244">Common_InputFunctions.Utility_DisplayArrayInTable(Common_SourceData.Common_SourceData_MCFTemperatureZone_Data(),Table_SourceData_Common_MCFTemperatureZone[[#Headers],[Temperature zone]],0)</f>
        <v>1.4999999999999999E-2</v>
      </c>
      <c r="P244" s="20" cm="1">
        <f t="array" ref="P244">Common_InputFunctions.Utility_DisplayArrayInTable(Common_SourceData.Common_SourceData_MCFTemperatureZone_Data(),Table_SourceData_Common_MCFTemperatureZone[[#Headers],[Temperature zone]],0)</f>
        <v>0</v>
      </c>
      <c r="Q244" s="20" cm="1">
        <f t="array" ref="Q244">Common_InputFunctions.Utility_DisplayArrayInTable(Common_SourceData.Common_SourceData_MCFTemperatureZone_Data(),Table_SourceData_Common_MCFTemperatureZone[[#Headers],[Temperature zone]],0)</f>
        <v>0</v>
      </c>
      <c r="R244" s="20" cm="1">
        <f t="array" ref="R244">Common_InputFunctions.Utility_DisplayArrayInTable(Common_SourceData.Common_SourceData_MCFTemperatureZone_Data(),Table_SourceData_Common_MCFTemperatureZone[[#Headers],[Temperature zone]],0)</f>
        <v>4.7000000000000002E-3</v>
      </c>
      <c r="S244" s="2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0" cm="1">
        <f t="array" ref="E245">Common_InputFunctions.Utility_DisplayArrayInTable(Common_SourceData.Common_SourceData_MCFTemperatureZone_Data(),Table_SourceData_Common_MCFTemperatureZone[[#Headers],[Temperature zone]],0)</f>
        <v>23</v>
      </c>
      <c r="F245" s="20" cm="1">
        <f t="array" ref="F245">Common_InputFunctions.Utility_DisplayArrayInTable(Common_SourceData.Common_SourceData_MCFTemperatureZone_Data(),Table_SourceData_Common_MCFTemperatureZone[[#Headers],[Temperature zone]],0)</f>
        <v>0.79</v>
      </c>
      <c r="G245" s="20" cm="1">
        <f t="array" ref="G245">Common_InputFunctions.Utility_DisplayArrayInTable(Common_SourceData.Common_SourceData_MCFTemperatureZone_Data(),Table_SourceData_Common_MCFTemperatureZone[[#Headers],[Temperature zone]],0)</f>
        <v>0.1</v>
      </c>
      <c r="H245" s="20" cm="1">
        <f t="array" ref="H245">Common_InputFunctions.Utility_DisplayArrayInTable(Common_SourceData.Common_SourceData_MCFTemperatureZone_Data(),Table_SourceData_Common_MCFTemperatureZone[[#Headers],[Temperature zone]],0)</f>
        <v>0.34</v>
      </c>
      <c r="I245" s="20" cm="1">
        <f t="array" ref="I245">Common_InputFunctions.Utility_DisplayArrayInTable(Common_SourceData.Common_SourceData_MCFTemperatureZone_Data(),Table_SourceData_Common_MCFTemperatureZone[[#Headers],[Temperature zone]],0)</f>
        <v>5.0000000000000001E-3</v>
      </c>
      <c r="J245" s="20" cm="1">
        <f t="array" ref="J245">Common_InputFunctions.Utility_DisplayArrayInTable(Common_SourceData.Common_SourceData_MCFTemperatureZone_Data(),Table_SourceData_Common_MCFTemperatureZone[[#Headers],[Temperature zone]],0)</f>
        <v>0.01</v>
      </c>
      <c r="K245" s="20" cm="1">
        <f t="array" ref="K245">Common_InputFunctions.Utility_DisplayArrayInTable(Common_SourceData.Common_SourceData_MCFTemperatureZone_Data(),Table_SourceData_Common_MCFTemperatureZone[[#Headers],[Temperature zone]],0)</f>
        <v>0.02</v>
      </c>
      <c r="L245" s="20" cm="1">
        <f t="array" ref="L245">Common_InputFunctions.Utility_DisplayArrayInTable(Common_SourceData.Common_SourceData_MCFTemperatureZone_Data(),Table_SourceData_Common_MCFTemperatureZone[[#Headers],[Temperature zone]],0)</f>
        <v>0.03</v>
      </c>
      <c r="M245" s="20" cm="1">
        <f t="array" ref="M245">Common_InputFunctions.Utility_DisplayArrayInTable(Common_SourceData.Common_SourceData_MCFTemperatureZone_Data(),Table_SourceData_Common_MCFTemperatureZone[[#Headers],[Temperature zone]],0)</f>
        <v>0.04</v>
      </c>
      <c r="N245" s="20" cm="1">
        <f t="array" ref="N245">Common_InputFunctions.Utility_DisplayArrayInTable(Common_SourceData.Common_SourceData_MCFTemperatureZone_Data(),Table_SourceData_Common_MCFTemperatureZone[[#Headers],[Temperature zone]],0)</f>
        <v>1.4999999999999999E-2</v>
      </c>
      <c r="O245" s="20" cm="1">
        <f t="array" ref="O245">Common_InputFunctions.Utility_DisplayArrayInTable(Common_SourceData.Common_SourceData_MCFTemperatureZone_Data(),Table_SourceData_Common_MCFTemperatureZone[[#Headers],[Temperature zone]],0)</f>
        <v>1.4999999999999999E-2</v>
      </c>
      <c r="P245" s="20" cm="1">
        <f t="array" ref="P245">Common_InputFunctions.Utility_DisplayArrayInTable(Common_SourceData.Common_SourceData_MCFTemperatureZone_Data(),Table_SourceData_Common_MCFTemperatureZone[[#Headers],[Temperature zone]],0)</f>
        <v>0</v>
      </c>
      <c r="Q245" s="20" cm="1">
        <f t="array" ref="Q245">Common_InputFunctions.Utility_DisplayArrayInTable(Common_SourceData.Common_SourceData_MCFTemperatureZone_Data(),Table_SourceData_Common_MCFTemperatureZone[[#Headers],[Temperature zone]],0)</f>
        <v>0</v>
      </c>
      <c r="R245" s="20" cm="1">
        <f t="array" ref="R245">Common_InputFunctions.Utility_DisplayArrayInTable(Common_SourceData.Common_SourceData_MCFTemperatureZone_Data(),Table_SourceData_Common_MCFTemperatureZone[[#Headers],[Temperature zone]],0)</f>
        <v>4.7000000000000002E-3</v>
      </c>
      <c r="S245" s="2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0" cm="1">
        <f t="array" ref="E246">Common_InputFunctions.Utility_DisplayArrayInTable(Common_SourceData.Common_SourceData_MCFTemperatureZone_Data(),Table_SourceData_Common_MCFTemperatureZone[[#Headers],[Temperature zone]],0)</f>
        <v>24</v>
      </c>
      <c r="F246" s="20" cm="1">
        <f t="array" ref="F246">Common_InputFunctions.Utility_DisplayArrayInTable(Common_SourceData.Common_SourceData_MCFTemperatureZone_Data(),Table_SourceData_Common_MCFTemperatureZone[[#Headers],[Temperature zone]],0)</f>
        <v>0.79</v>
      </c>
      <c r="G246" s="20" cm="1">
        <f t="array" ref="G246">Common_InputFunctions.Utility_DisplayArrayInTable(Common_SourceData.Common_SourceData_MCFTemperatureZone_Data(),Table_SourceData_Common_MCFTemperatureZone[[#Headers],[Temperature zone]],0)</f>
        <v>0.1</v>
      </c>
      <c r="H246" s="20" cm="1">
        <f t="array" ref="H246">Common_InputFunctions.Utility_DisplayArrayInTable(Common_SourceData.Common_SourceData_MCFTemperatureZone_Data(),Table_SourceData_Common_MCFTemperatureZone[[#Headers],[Temperature zone]],0)</f>
        <v>0.37</v>
      </c>
      <c r="I246" s="20" cm="1">
        <f t="array" ref="I246">Common_InputFunctions.Utility_DisplayArrayInTable(Common_SourceData.Common_SourceData_MCFTemperatureZone_Data(),Table_SourceData_Common_MCFTemperatureZone[[#Headers],[Temperature zone]],0)</f>
        <v>5.0000000000000001E-3</v>
      </c>
      <c r="J246" s="20" cm="1">
        <f t="array" ref="J246">Common_InputFunctions.Utility_DisplayArrayInTable(Common_SourceData.Common_SourceData_MCFTemperatureZone_Data(),Table_SourceData_Common_MCFTemperatureZone[[#Headers],[Temperature zone]],0)</f>
        <v>0.01</v>
      </c>
      <c r="K246" s="20" cm="1">
        <f t="array" ref="K246">Common_InputFunctions.Utility_DisplayArrayInTable(Common_SourceData.Common_SourceData_MCFTemperatureZone_Data(),Table_SourceData_Common_MCFTemperatureZone[[#Headers],[Temperature zone]],0)</f>
        <v>0.02</v>
      </c>
      <c r="L246" s="20" cm="1">
        <f t="array" ref="L246">Common_InputFunctions.Utility_DisplayArrayInTable(Common_SourceData.Common_SourceData_MCFTemperatureZone_Data(),Table_SourceData_Common_MCFTemperatureZone[[#Headers],[Temperature zone]],0)</f>
        <v>0.03</v>
      </c>
      <c r="M246" s="20" cm="1">
        <f t="array" ref="M246">Common_InputFunctions.Utility_DisplayArrayInTable(Common_SourceData.Common_SourceData_MCFTemperatureZone_Data(),Table_SourceData_Common_MCFTemperatureZone[[#Headers],[Temperature zone]],0)</f>
        <v>0.04</v>
      </c>
      <c r="N246" s="20" cm="1">
        <f t="array" ref="N246">Common_InputFunctions.Utility_DisplayArrayInTable(Common_SourceData.Common_SourceData_MCFTemperatureZone_Data(),Table_SourceData_Common_MCFTemperatureZone[[#Headers],[Temperature zone]],0)</f>
        <v>1.4999999999999999E-2</v>
      </c>
      <c r="O246" s="20" cm="1">
        <f t="array" ref="O246">Common_InputFunctions.Utility_DisplayArrayInTable(Common_SourceData.Common_SourceData_MCFTemperatureZone_Data(),Table_SourceData_Common_MCFTemperatureZone[[#Headers],[Temperature zone]],0)</f>
        <v>1.4999999999999999E-2</v>
      </c>
      <c r="P246" s="20" cm="1">
        <f t="array" ref="P246">Common_InputFunctions.Utility_DisplayArrayInTable(Common_SourceData.Common_SourceData_MCFTemperatureZone_Data(),Table_SourceData_Common_MCFTemperatureZone[[#Headers],[Temperature zone]],0)</f>
        <v>0</v>
      </c>
      <c r="Q246" s="20" cm="1">
        <f t="array" ref="Q246">Common_InputFunctions.Utility_DisplayArrayInTable(Common_SourceData.Common_SourceData_MCFTemperatureZone_Data(),Table_SourceData_Common_MCFTemperatureZone[[#Headers],[Temperature zone]],0)</f>
        <v>0</v>
      </c>
      <c r="R246" s="20" cm="1">
        <f t="array" ref="R246">Common_InputFunctions.Utility_DisplayArrayInTable(Common_SourceData.Common_SourceData_MCFTemperatureZone_Data(),Table_SourceData_Common_MCFTemperatureZone[[#Headers],[Temperature zone]],0)</f>
        <v>4.7000000000000002E-3</v>
      </c>
      <c r="S246" s="2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0" cm="1">
        <f t="array" ref="E247">Common_InputFunctions.Utility_DisplayArrayInTable(Common_SourceData.Common_SourceData_MCFTemperatureZone_Data(),Table_SourceData_Common_MCFTemperatureZone[[#Headers],[Temperature zone]],0)</f>
        <v>25</v>
      </c>
      <c r="F247" s="20" cm="1">
        <f t="array" ref="F247">Common_InputFunctions.Utility_DisplayArrayInTable(Common_SourceData.Common_SourceData_MCFTemperatureZone_Data(),Table_SourceData_Common_MCFTemperatureZone[[#Headers],[Temperature zone]],0)</f>
        <v>0.79</v>
      </c>
      <c r="G247" s="20" cm="1">
        <f t="array" ref="G247">Common_InputFunctions.Utility_DisplayArrayInTable(Common_SourceData.Common_SourceData_MCFTemperatureZone_Data(),Table_SourceData_Common_MCFTemperatureZone[[#Headers],[Temperature zone]],0)</f>
        <v>0.1</v>
      </c>
      <c r="H247" s="20" cm="1">
        <f t="array" ref="H247">Common_InputFunctions.Utility_DisplayArrayInTable(Common_SourceData.Common_SourceData_MCFTemperatureZone_Data(),Table_SourceData_Common_MCFTemperatureZone[[#Headers],[Temperature zone]],0)</f>
        <v>0.41</v>
      </c>
      <c r="I247" s="20" cm="1">
        <f t="array" ref="I247">Common_InputFunctions.Utility_DisplayArrayInTable(Common_SourceData.Common_SourceData_MCFTemperatureZone_Data(),Table_SourceData_Common_MCFTemperatureZone[[#Headers],[Temperature zone]],0)</f>
        <v>5.0000000000000001E-3</v>
      </c>
      <c r="J247" s="20" cm="1">
        <f t="array" ref="J247">Common_InputFunctions.Utility_DisplayArrayInTable(Common_SourceData.Common_SourceData_MCFTemperatureZone_Data(),Table_SourceData_Common_MCFTemperatureZone[[#Headers],[Temperature zone]],0)</f>
        <v>0.01</v>
      </c>
      <c r="K247" s="20" cm="1">
        <f t="array" ref="K247">Common_InputFunctions.Utility_DisplayArrayInTable(Common_SourceData.Common_SourceData_MCFTemperatureZone_Data(),Table_SourceData_Common_MCFTemperatureZone[[#Headers],[Temperature zone]],0)</f>
        <v>0.02</v>
      </c>
      <c r="L247" s="20" cm="1">
        <f t="array" ref="L247">Common_InputFunctions.Utility_DisplayArrayInTable(Common_SourceData.Common_SourceData_MCFTemperatureZone_Data(),Table_SourceData_Common_MCFTemperatureZone[[#Headers],[Temperature zone]],0)</f>
        <v>0.03</v>
      </c>
      <c r="M247" s="20" cm="1">
        <f t="array" ref="M247">Common_InputFunctions.Utility_DisplayArrayInTable(Common_SourceData.Common_SourceData_MCFTemperatureZone_Data(),Table_SourceData_Common_MCFTemperatureZone[[#Headers],[Temperature zone]],0)</f>
        <v>0.04</v>
      </c>
      <c r="N247" s="20" cm="1">
        <f t="array" ref="N247">Common_InputFunctions.Utility_DisplayArrayInTable(Common_SourceData.Common_SourceData_MCFTemperatureZone_Data(),Table_SourceData_Common_MCFTemperatureZone[[#Headers],[Temperature zone]],0)</f>
        <v>1.4999999999999999E-2</v>
      </c>
      <c r="O247" s="20" cm="1">
        <f t="array" ref="O247">Common_InputFunctions.Utility_DisplayArrayInTable(Common_SourceData.Common_SourceData_MCFTemperatureZone_Data(),Table_SourceData_Common_MCFTemperatureZone[[#Headers],[Temperature zone]],0)</f>
        <v>1.4999999999999999E-2</v>
      </c>
      <c r="P247" s="20" cm="1">
        <f t="array" ref="P247">Common_InputFunctions.Utility_DisplayArrayInTable(Common_SourceData.Common_SourceData_MCFTemperatureZone_Data(),Table_SourceData_Common_MCFTemperatureZone[[#Headers],[Temperature zone]],0)</f>
        <v>0</v>
      </c>
      <c r="Q247" s="20" cm="1">
        <f t="array" ref="Q247">Common_InputFunctions.Utility_DisplayArrayInTable(Common_SourceData.Common_SourceData_MCFTemperatureZone_Data(),Table_SourceData_Common_MCFTemperatureZone[[#Headers],[Temperature zone]],0)</f>
        <v>0</v>
      </c>
      <c r="R247" s="20" cm="1">
        <f t="array" ref="R247">Common_InputFunctions.Utility_DisplayArrayInTable(Common_SourceData.Common_SourceData_MCFTemperatureZone_Data(),Table_SourceData_Common_MCFTemperatureZone[[#Headers],[Temperature zone]],0)</f>
        <v>4.7000000000000002E-3</v>
      </c>
      <c r="S247" s="2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0" cm="1">
        <f t="array" ref="E248">Common_InputFunctions.Utility_DisplayArrayInTable(Common_SourceData.Common_SourceData_MCFTemperatureZone_Data(),Table_SourceData_Common_MCFTemperatureZone[[#Headers],[Temperature zone]],0)</f>
        <v>26</v>
      </c>
      <c r="F248" s="20" cm="1">
        <f t="array" ref="F248">Common_InputFunctions.Utility_DisplayArrayInTable(Common_SourceData.Common_SourceData_MCFTemperatureZone_Data(),Table_SourceData_Common_MCFTemperatureZone[[#Headers],[Temperature zone]],0)</f>
        <v>0.79</v>
      </c>
      <c r="G248" s="20" cm="1">
        <f t="array" ref="G248">Common_InputFunctions.Utility_DisplayArrayInTable(Common_SourceData.Common_SourceData_MCFTemperatureZone_Data(),Table_SourceData_Common_MCFTemperatureZone[[#Headers],[Temperature zone]],0)</f>
        <v>0.1</v>
      </c>
      <c r="H248" s="20" cm="1">
        <f t="array" ref="H248">Common_InputFunctions.Utility_DisplayArrayInTable(Common_SourceData.Common_SourceData_MCFTemperatureZone_Data(),Table_SourceData_Common_MCFTemperatureZone[[#Headers],[Temperature zone]],0)</f>
        <v>0.44</v>
      </c>
      <c r="I248" s="20" cm="1">
        <f t="array" ref="I248">Common_InputFunctions.Utility_DisplayArrayInTable(Common_SourceData.Common_SourceData_MCFTemperatureZone_Data(),Table_SourceData_Common_MCFTemperatureZone[[#Headers],[Temperature zone]],0)</f>
        <v>0.01</v>
      </c>
      <c r="J248" s="20" cm="1">
        <f t="array" ref="J248">Common_InputFunctions.Utility_DisplayArrayInTable(Common_SourceData.Common_SourceData_MCFTemperatureZone_Data(),Table_SourceData_Common_MCFTemperatureZone[[#Headers],[Temperature zone]],0)</f>
        <v>1.4999999999999999E-2</v>
      </c>
      <c r="K248" s="20" cm="1">
        <f t="array" ref="K248">Common_InputFunctions.Utility_DisplayArrayInTable(Common_SourceData.Common_SourceData_MCFTemperatureZone_Data(),Table_SourceData_Common_MCFTemperatureZone[[#Headers],[Temperature zone]],0)</f>
        <v>0.02</v>
      </c>
      <c r="L248" s="20" cm="1">
        <f t="array" ref="L248">Common_InputFunctions.Utility_DisplayArrayInTable(Common_SourceData.Common_SourceData_MCFTemperatureZone_Data(),Table_SourceData_Common_MCFTemperatureZone[[#Headers],[Temperature zone]],0)</f>
        <v>0.03</v>
      </c>
      <c r="M248" s="20" cm="1">
        <f t="array" ref="M248">Common_InputFunctions.Utility_DisplayArrayInTable(Common_SourceData.Common_SourceData_MCFTemperatureZone_Data(),Table_SourceData_Common_MCFTemperatureZone[[#Headers],[Temperature zone]],0)</f>
        <v>0.04</v>
      </c>
      <c r="N248" s="20" cm="1">
        <f t="array" ref="N248">Common_InputFunctions.Utility_DisplayArrayInTable(Common_SourceData.Common_SourceData_MCFTemperatureZone_Data(),Table_SourceData_Common_MCFTemperatureZone[[#Headers],[Temperature zone]],0)</f>
        <v>1.4999999999999999E-2</v>
      </c>
      <c r="O248" s="20" cm="1">
        <f t="array" ref="O248">Common_InputFunctions.Utility_DisplayArrayInTable(Common_SourceData.Common_SourceData_MCFTemperatureZone_Data(),Table_SourceData_Common_MCFTemperatureZone[[#Headers],[Temperature zone]],0)</f>
        <v>1.4999999999999999E-2</v>
      </c>
      <c r="P248" s="20" cm="1">
        <f t="array" ref="P248">Common_InputFunctions.Utility_DisplayArrayInTable(Common_SourceData.Common_SourceData_MCFTemperatureZone_Data(),Table_SourceData_Common_MCFTemperatureZone[[#Headers],[Temperature zone]],0)</f>
        <v>0</v>
      </c>
      <c r="Q248" s="20" cm="1">
        <f t="array" ref="Q248">Common_InputFunctions.Utility_DisplayArrayInTable(Common_SourceData.Common_SourceData_MCFTemperatureZone_Data(),Table_SourceData_Common_MCFTemperatureZone[[#Headers],[Temperature zone]],0)</f>
        <v>0</v>
      </c>
      <c r="R248" s="20" cm="1">
        <f t="array" ref="R248">Common_InputFunctions.Utility_DisplayArrayInTable(Common_SourceData.Common_SourceData_MCFTemperatureZone_Data(),Table_SourceData_Common_MCFTemperatureZone[[#Headers],[Temperature zone]],0)</f>
        <v>4.7000000000000002E-3</v>
      </c>
      <c r="S248" s="2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0" cm="1">
        <f t="array" ref="E249">Common_InputFunctions.Utility_DisplayArrayInTable(Common_SourceData.Common_SourceData_MCFTemperatureZone_Data(),Table_SourceData_Common_MCFTemperatureZone[[#Headers],[Temperature zone]],0)</f>
        <v>27</v>
      </c>
      <c r="F249" s="20" cm="1">
        <f t="array" ref="F249">Common_InputFunctions.Utility_DisplayArrayInTable(Common_SourceData.Common_SourceData_MCFTemperatureZone_Data(),Table_SourceData_Common_MCFTemperatureZone[[#Headers],[Temperature zone]],0)</f>
        <v>0.8</v>
      </c>
      <c r="G249" s="20" cm="1">
        <f t="array" ref="G249">Common_InputFunctions.Utility_DisplayArrayInTable(Common_SourceData.Common_SourceData_MCFTemperatureZone_Data(),Table_SourceData_Common_MCFTemperatureZone[[#Headers],[Temperature zone]],0)</f>
        <v>0.1</v>
      </c>
      <c r="H249" s="20" cm="1">
        <f t="array" ref="H249">Common_InputFunctions.Utility_DisplayArrayInTable(Common_SourceData.Common_SourceData_MCFTemperatureZone_Data(),Table_SourceData_Common_MCFTemperatureZone[[#Headers],[Temperature zone]],0)</f>
        <v>0.48</v>
      </c>
      <c r="I249" s="20" cm="1">
        <f t="array" ref="I249">Common_InputFunctions.Utility_DisplayArrayInTable(Common_SourceData.Common_SourceData_MCFTemperatureZone_Data(),Table_SourceData_Common_MCFTemperatureZone[[#Headers],[Temperature zone]],0)</f>
        <v>0.01</v>
      </c>
      <c r="J249" s="20" cm="1">
        <f t="array" ref="J249">Common_InputFunctions.Utility_DisplayArrayInTable(Common_SourceData.Common_SourceData_MCFTemperatureZone_Data(),Table_SourceData_Common_MCFTemperatureZone[[#Headers],[Temperature zone]],0)</f>
        <v>1.4999999999999999E-2</v>
      </c>
      <c r="K249" s="20" cm="1">
        <f t="array" ref="K249">Common_InputFunctions.Utility_DisplayArrayInTable(Common_SourceData.Common_SourceData_MCFTemperatureZone_Data(),Table_SourceData_Common_MCFTemperatureZone[[#Headers],[Temperature zone]],0)</f>
        <v>0.02</v>
      </c>
      <c r="L249" s="20" cm="1">
        <f t="array" ref="L249">Common_InputFunctions.Utility_DisplayArrayInTable(Common_SourceData.Common_SourceData_MCFTemperatureZone_Data(),Table_SourceData_Common_MCFTemperatureZone[[#Headers],[Temperature zone]],0)</f>
        <v>0.03</v>
      </c>
      <c r="M249" s="20" cm="1">
        <f t="array" ref="M249">Common_InputFunctions.Utility_DisplayArrayInTable(Common_SourceData.Common_SourceData_MCFTemperatureZone_Data(),Table_SourceData_Common_MCFTemperatureZone[[#Headers],[Temperature zone]],0)</f>
        <v>0.04</v>
      </c>
      <c r="N249" s="20" cm="1">
        <f t="array" ref="N249">Common_InputFunctions.Utility_DisplayArrayInTable(Common_SourceData.Common_SourceData_MCFTemperatureZone_Data(),Table_SourceData_Common_MCFTemperatureZone[[#Headers],[Temperature zone]],0)</f>
        <v>1.4999999999999999E-2</v>
      </c>
      <c r="O249" s="20" cm="1">
        <f t="array" ref="O249">Common_InputFunctions.Utility_DisplayArrayInTable(Common_SourceData.Common_SourceData_MCFTemperatureZone_Data(),Table_SourceData_Common_MCFTemperatureZone[[#Headers],[Temperature zone]],0)</f>
        <v>1.4999999999999999E-2</v>
      </c>
      <c r="P249" s="20" cm="1">
        <f t="array" ref="P249">Common_InputFunctions.Utility_DisplayArrayInTable(Common_SourceData.Common_SourceData_MCFTemperatureZone_Data(),Table_SourceData_Common_MCFTemperatureZone[[#Headers],[Temperature zone]],0)</f>
        <v>0</v>
      </c>
      <c r="Q249" s="20" cm="1">
        <f t="array" ref="Q249">Common_InputFunctions.Utility_DisplayArrayInTable(Common_SourceData.Common_SourceData_MCFTemperatureZone_Data(),Table_SourceData_Common_MCFTemperatureZone[[#Headers],[Temperature zone]],0)</f>
        <v>0</v>
      </c>
      <c r="R249" s="20" cm="1">
        <f t="array" ref="R249">Common_InputFunctions.Utility_DisplayArrayInTable(Common_SourceData.Common_SourceData_MCFTemperatureZone_Data(),Table_SourceData_Common_MCFTemperatureZone[[#Headers],[Temperature zone]],0)</f>
        <v>4.7000000000000002E-3</v>
      </c>
      <c r="S249" s="2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0" t="str" cm="1">
        <f t="array" ref="E250">Common_InputFunctions.Utility_DisplayArrayInTable(Common_SourceData.Common_SourceData_MCFTemperatureZone_Data(),Table_SourceData_Common_MCFTemperatureZone[[#Headers],[Temperature zone]],0)</f>
        <v>≥28</v>
      </c>
      <c r="F250" s="20" cm="1">
        <f t="array" ref="F250">Common_InputFunctions.Utility_DisplayArrayInTable(Common_SourceData.Common_SourceData_MCFTemperatureZone_Data(),Table_SourceData_Common_MCFTemperatureZone[[#Headers],[Temperature zone]],0)</f>
        <v>0.8</v>
      </c>
      <c r="G250" s="20" cm="1">
        <f t="array" ref="G250">Common_InputFunctions.Utility_DisplayArrayInTable(Common_SourceData.Common_SourceData_MCFTemperatureZone_Data(),Table_SourceData_Common_MCFTemperatureZone[[#Headers],[Temperature zone]],0)</f>
        <v>0.1</v>
      </c>
      <c r="H250" s="20" cm="1">
        <f t="array" ref="H250">Common_InputFunctions.Utility_DisplayArrayInTable(Common_SourceData.Common_SourceData_MCFTemperatureZone_Data(),Table_SourceData_Common_MCFTemperatureZone[[#Headers],[Temperature zone]],0)</f>
        <v>0.5</v>
      </c>
      <c r="I250" s="20" cm="1">
        <f t="array" ref="I250">Common_InputFunctions.Utility_DisplayArrayInTable(Common_SourceData.Common_SourceData_MCFTemperatureZone_Data(),Table_SourceData_Common_MCFTemperatureZone[[#Headers],[Temperature zone]],0)</f>
        <v>0.01</v>
      </c>
      <c r="J250" s="20" cm="1">
        <f t="array" ref="J250">Common_InputFunctions.Utility_DisplayArrayInTable(Common_SourceData.Common_SourceData_MCFTemperatureZone_Data(),Table_SourceData_Common_MCFTemperatureZone[[#Headers],[Temperature zone]],0)</f>
        <v>1.4999999999999999E-2</v>
      </c>
      <c r="K250" s="20" cm="1">
        <f t="array" ref="K250">Common_InputFunctions.Utility_DisplayArrayInTable(Common_SourceData.Common_SourceData_MCFTemperatureZone_Data(),Table_SourceData_Common_MCFTemperatureZone[[#Headers],[Temperature zone]],0)</f>
        <v>0.02</v>
      </c>
      <c r="L250" s="20" cm="1">
        <f t="array" ref="L250">Common_InputFunctions.Utility_DisplayArrayInTable(Common_SourceData.Common_SourceData_MCFTemperatureZone_Data(),Table_SourceData_Common_MCFTemperatureZone[[#Headers],[Temperature zone]],0)</f>
        <v>0.03</v>
      </c>
      <c r="M250" s="20" cm="1">
        <f t="array" ref="M250">Common_InputFunctions.Utility_DisplayArrayInTable(Common_SourceData.Common_SourceData_MCFTemperatureZone_Data(),Table_SourceData_Common_MCFTemperatureZone[[#Headers],[Temperature zone]],0)</f>
        <v>0.04</v>
      </c>
      <c r="N250" s="20" cm="1">
        <f t="array" ref="N250">Common_InputFunctions.Utility_DisplayArrayInTable(Common_SourceData.Common_SourceData_MCFTemperatureZone_Data(),Table_SourceData_Common_MCFTemperatureZone[[#Headers],[Temperature zone]],0)</f>
        <v>1.4999999999999999E-2</v>
      </c>
      <c r="O250" s="20" cm="1">
        <f t="array" ref="O250">Common_InputFunctions.Utility_DisplayArrayInTable(Common_SourceData.Common_SourceData_MCFTemperatureZone_Data(),Table_SourceData_Common_MCFTemperatureZone[[#Headers],[Temperature zone]],0)</f>
        <v>1.4999999999999999E-2</v>
      </c>
      <c r="P250" s="20" cm="1">
        <f t="array" ref="P250">Common_InputFunctions.Utility_DisplayArrayInTable(Common_SourceData.Common_SourceData_MCFTemperatureZone_Data(),Table_SourceData_Common_MCFTemperatureZone[[#Headers],[Temperature zone]],0)</f>
        <v>0</v>
      </c>
      <c r="Q250" s="20" cm="1">
        <f t="array" ref="Q250">Common_InputFunctions.Utility_DisplayArrayInTable(Common_SourceData.Common_SourceData_MCFTemperatureZone_Data(),Table_SourceData_Common_MCFTemperatureZone[[#Headers],[Temperature zone]],0)</f>
        <v>0</v>
      </c>
      <c r="R250" s="20" cm="1">
        <f t="array" ref="R250">Common_InputFunctions.Utility_DisplayArrayInTable(Common_SourceData.Common_SourceData_MCFTemperatureZone_Data(),Table_SourceData_Common_MCFTemperatureZone[[#Headers],[Temperature zone]],0)</f>
        <v>4.7000000000000002E-3</v>
      </c>
      <c r="S250" s="2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1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0" t="str" cm="1">
        <f t="array" ref="D256">Common_SourceData.Common_SourceData_EFOrganicFertiliserAndCropResidues_Unit()</f>
        <v>kg N2O - N / kg N</v>
      </c>
    </row>
    <row r="257" spans="4:66" x14ac:dyDescent="0.25">
      <c r="D257" s="20" t="s">
        <v>85</v>
      </c>
      <c r="E257" s="20" t="s">
        <v>86</v>
      </c>
    </row>
    <row r="258" spans="4:66" x14ac:dyDescent="0.25">
      <c r="D258" s="20" t="str" cm="1">
        <f t="array" ref="D258">Common_InputFunctions.Utility_DisplayArrayInTable(Common_SourceData.Common_SourceData_EFOrganicFertiliserAndCropResidues_Data(), Table_SourceData_Common_EFOrganicFertCropResidues[[#Headers],[Climate Zone]], 0)</f>
        <v>Wet climate zone</v>
      </c>
      <c r="E258" s="20"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0" cm="1">
        <f t="array" ref="E259">Common_InputFunctions.Utility_DisplayArrayInTable(Common_SourceData.Common_SourceData_EFOrganicFertiliserAndCropResidues_Data(), Table_SourceData_Common_EFOrganicFertCropResidues[[#Headers],[Climate Zone]], 0)</f>
        <v>5.0000000000000001E-3</v>
      </c>
    </row>
    <row r="263" spans="4:66" ht="23.25" x14ac:dyDescent="0.25">
      <c r="D263" s="2" t="s">
        <v>194</v>
      </c>
    </row>
    <row r="264" spans="4:66" x14ac:dyDescent="0.25">
      <c r="D264" s="1" t="s">
        <v>195</v>
      </c>
    </row>
    <row r="265" spans="4:66" x14ac:dyDescent="0.25">
      <c r="D265" s="20" t="s">
        <v>310</v>
      </c>
      <c r="E265" s="20" t="s">
        <v>196</v>
      </c>
      <c r="F265" s="20" t="s">
        <v>197</v>
      </c>
      <c r="G265" s="20" t="s">
        <v>190</v>
      </c>
      <c r="V265" s="1"/>
      <c r="BN265" s="22"/>
    </row>
    <row r="266" spans="4:66" x14ac:dyDescent="0.25">
      <c r="D266" s="20" t="s">
        <v>288</v>
      </c>
      <c r="E266" s="20" t="s">
        <v>198</v>
      </c>
      <c r="F266" s="20" t="s">
        <v>199</v>
      </c>
      <c r="G266" s="20">
        <v>5</v>
      </c>
      <c r="V266" s="1"/>
      <c r="BN266" s="22"/>
    </row>
    <row r="267" spans="4:66" x14ac:dyDescent="0.25">
      <c r="D267" s="20" t="s">
        <v>291</v>
      </c>
      <c r="E267" s="20" t="s">
        <v>200</v>
      </c>
      <c r="F267" s="20" t="s">
        <v>191</v>
      </c>
      <c r="G267" s="20">
        <v>4</v>
      </c>
      <c r="V267" s="1"/>
      <c r="BN267" s="22"/>
    </row>
    <row r="268" spans="4:66" x14ac:dyDescent="0.25">
      <c r="D268" s="20" t="s">
        <v>294</v>
      </c>
      <c r="E268" s="20" t="s">
        <v>201</v>
      </c>
      <c r="F268" s="20" t="s">
        <v>202</v>
      </c>
      <c r="G268" s="20">
        <v>3</v>
      </c>
      <c r="V268" s="1"/>
      <c r="BN268" s="22"/>
    </row>
    <row r="269" spans="4:66" x14ac:dyDescent="0.25">
      <c r="D269" s="20" t="s">
        <v>296</v>
      </c>
      <c r="E269" s="20" t="s">
        <v>203</v>
      </c>
      <c r="F269" s="20" t="s">
        <v>204</v>
      </c>
      <c r="G269" s="20">
        <v>2</v>
      </c>
      <c r="V269" s="1"/>
      <c r="BN269" s="22"/>
    </row>
    <row r="270" spans="4:66" x14ac:dyDescent="0.25">
      <c r="D270" s="20" t="s">
        <v>299</v>
      </c>
      <c r="E270" s="20" t="s">
        <v>205</v>
      </c>
      <c r="F270" s="20" t="s">
        <v>206</v>
      </c>
      <c r="G270" s="20">
        <v>1</v>
      </c>
      <c r="V270" s="1"/>
      <c r="BN270" s="22"/>
    </row>
    <row r="273" spans="4:66" x14ac:dyDescent="0.25">
      <c r="D273" s="1" t="s">
        <v>207</v>
      </c>
    </row>
    <row r="274" spans="4:66" x14ac:dyDescent="0.25">
      <c r="D274" s="20" t="s">
        <v>310</v>
      </c>
      <c r="E274" s="20" t="s">
        <v>196</v>
      </c>
      <c r="F274" s="20" t="s">
        <v>197</v>
      </c>
      <c r="G274" s="20" t="s">
        <v>190</v>
      </c>
      <c r="V274" s="1"/>
      <c r="BN274" s="22"/>
    </row>
    <row r="275" spans="4:66" x14ac:dyDescent="0.25">
      <c r="D275" s="20" t="s">
        <v>289</v>
      </c>
      <c r="E275" s="20" t="s">
        <v>208</v>
      </c>
      <c r="F275" s="20" t="s">
        <v>192</v>
      </c>
      <c r="G275" s="20">
        <v>5</v>
      </c>
      <c r="V275" s="1"/>
      <c r="BN275" s="22"/>
    </row>
    <row r="276" spans="4:66" x14ac:dyDescent="0.25">
      <c r="D276" s="20" t="s">
        <v>292</v>
      </c>
      <c r="E276" s="20" t="s">
        <v>209</v>
      </c>
      <c r="F276" s="20" t="s">
        <v>210</v>
      </c>
      <c r="G276" s="20">
        <v>4</v>
      </c>
      <c r="V276" s="1"/>
      <c r="BN276" s="22"/>
    </row>
    <row r="277" spans="4:66" x14ac:dyDescent="0.25">
      <c r="D277" s="20" t="s">
        <v>295</v>
      </c>
      <c r="E277" s="20" t="s">
        <v>211</v>
      </c>
      <c r="F277" s="20" t="s">
        <v>212</v>
      </c>
      <c r="G277" s="20">
        <v>3</v>
      </c>
      <c r="V277" s="1"/>
      <c r="BN277" s="22"/>
    </row>
    <row r="278" spans="4:66" x14ac:dyDescent="0.25">
      <c r="D278" s="20" t="s">
        <v>297</v>
      </c>
      <c r="E278" s="20" t="s">
        <v>213</v>
      </c>
      <c r="F278" s="20" t="s">
        <v>214</v>
      </c>
      <c r="G278" s="20">
        <v>2</v>
      </c>
      <c r="V278" s="1"/>
      <c r="BN278" s="22"/>
    </row>
    <row r="279" spans="4:66" x14ac:dyDescent="0.25">
      <c r="D279" s="20" t="s">
        <v>300</v>
      </c>
      <c r="E279" s="20" t="s">
        <v>215</v>
      </c>
      <c r="F279" s="20" t="s">
        <v>216</v>
      </c>
      <c r="G279" s="20">
        <v>1</v>
      </c>
      <c r="V279" s="1"/>
      <c r="BN279" s="22"/>
    </row>
    <row r="282" spans="4:66" x14ac:dyDescent="0.25">
      <c r="D282" s="1" t="s">
        <v>217</v>
      </c>
    </row>
    <row r="283" spans="4:66" x14ac:dyDescent="0.25">
      <c r="D283" s="20" t="s">
        <v>310</v>
      </c>
      <c r="E283" s="20" t="s">
        <v>196</v>
      </c>
      <c r="F283" s="20" t="s">
        <v>197</v>
      </c>
      <c r="G283" s="20" t="s">
        <v>190</v>
      </c>
      <c r="V283" s="1"/>
      <c r="BN283" s="22"/>
    </row>
    <row r="284" spans="4:66" x14ac:dyDescent="0.25">
      <c r="D284" s="20" t="s">
        <v>290</v>
      </c>
      <c r="E284" s="20" t="s">
        <v>218</v>
      </c>
      <c r="F284" s="20" t="s">
        <v>219</v>
      </c>
      <c r="G284" s="20">
        <v>5</v>
      </c>
      <c r="V284" s="1"/>
      <c r="BN284" s="22"/>
    </row>
    <row r="285" spans="4:66" x14ac:dyDescent="0.25">
      <c r="D285" s="20" t="s">
        <v>293</v>
      </c>
      <c r="E285" s="20" t="s">
        <v>220</v>
      </c>
      <c r="F285" s="20" t="s">
        <v>221</v>
      </c>
      <c r="G285" s="20">
        <v>4</v>
      </c>
      <c r="V285" s="1"/>
      <c r="BN285" s="22"/>
    </row>
    <row r="286" spans="4:66" x14ac:dyDescent="0.25">
      <c r="D286" s="20" t="s">
        <v>303</v>
      </c>
      <c r="E286" s="20" t="s">
        <v>222</v>
      </c>
      <c r="F286" s="20" t="s">
        <v>193</v>
      </c>
      <c r="G286" s="20">
        <v>3</v>
      </c>
      <c r="V286" s="1"/>
      <c r="BN286" s="22"/>
    </row>
    <row r="287" spans="4:66" x14ac:dyDescent="0.25">
      <c r="D287" s="20" t="s">
        <v>298</v>
      </c>
      <c r="E287" s="20" t="s">
        <v>223</v>
      </c>
      <c r="F287" s="20" t="s">
        <v>224</v>
      </c>
      <c r="G287" s="20">
        <v>2</v>
      </c>
      <c r="V287" s="1"/>
      <c r="BN287" s="22"/>
    </row>
    <row r="288" spans="4:66" x14ac:dyDescent="0.25">
      <c r="D288" s="20" t="s">
        <v>301</v>
      </c>
      <c r="E288" s="20" t="s">
        <v>225</v>
      </c>
      <c r="F288" s="20" t="s">
        <v>226</v>
      </c>
      <c r="G288" s="20">
        <v>1</v>
      </c>
      <c r="V288" s="1"/>
      <c r="BN288" s="22"/>
    </row>
    <row r="291" spans="4:66" x14ac:dyDescent="0.25">
      <c r="D291" s="1" t="s">
        <v>227</v>
      </c>
    </row>
    <row r="292" spans="4:66" x14ac:dyDescent="0.25">
      <c r="D292" s="20" t="s">
        <v>310</v>
      </c>
      <c r="E292" s="20" t="s">
        <v>196</v>
      </c>
      <c r="F292" s="20" t="s">
        <v>197</v>
      </c>
      <c r="G292" s="20" t="s">
        <v>190</v>
      </c>
      <c r="V292" s="1"/>
      <c r="BN292" s="22"/>
    </row>
    <row r="293" spans="4:66" x14ac:dyDescent="0.25">
      <c r="D293" s="20" t="s">
        <v>311</v>
      </c>
      <c r="E293" s="20" t="s">
        <v>228</v>
      </c>
      <c r="F293" s="20" t="s">
        <v>229</v>
      </c>
      <c r="G293" s="20">
        <v>5</v>
      </c>
      <c r="V293" s="1"/>
      <c r="BN293" s="22"/>
    </row>
    <row r="294" spans="4:66" x14ac:dyDescent="0.25">
      <c r="D294" s="20" t="s">
        <v>312</v>
      </c>
      <c r="E294" s="20" t="s">
        <v>230</v>
      </c>
      <c r="F294" s="20" t="s">
        <v>231</v>
      </c>
      <c r="G294" s="20">
        <v>4</v>
      </c>
      <c r="V294" s="1"/>
      <c r="BN294" s="22"/>
    </row>
    <row r="295" spans="4:66" x14ac:dyDescent="0.25">
      <c r="D295" s="20" t="s">
        <v>313</v>
      </c>
      <c r="E295" s="20" t="s">
        <v>232</v>
      </c>
      <c r="F295" s="20" t="s">
        <v>233</v>
      </c>
      <c r="G295" s="20">
        <v>3</v>
      </c>
      <c r="V295" s="1"/>
      <c r="BN295" s="22"/>
    </row>
    <row r="296" spans="4:66" x14ac:dyDescent="0.25">
      <c r="D296" s="20" t="s">
        <v>314</v>
      </c>
      <c r="E296" s="20" t="s">
        <v>234</v>
      </c>
      <c r="F296" s="20" t="s">
        <v>235</v>
      </c>
      <c r="G296" s="20">
        <v>2</v>
      </c>
      <c r="V296" s="1"/>
      <c r="BN296" s="22"/>
    </row>
    <row r="297" spans="4:66" x14ac:dyDescent="0.25">
      <c r="D297" s="20" t="s">
        <v>315</v>
      </c>
      <c r="E297" s="20" t="s">
        <v>236</v>
      </c>
      <c r="F297" s="20" t="s">
        <v>237</v>
      </c>
      <c r="G297" s="20">
        <v>1</v>
      </c>
      <c r="V297" s="1"/>
      <c r="BN297" s="22"/>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z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0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F0ALAAiAHAAcgBvAGoAZQBjAHQATgBhAG0AZQBzACIAOgBb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53</vt:i4>
      </vt:variant>
    </vt:vector>
  </HeadingPairs>
  <TitlesOfParts>
    <vt:vector size="62" baseType="lpstr">
      <vt:lpstr>Home</vt:lpstr>
      <vt:lpstr>Results - Activity period</vt:lpstr>
      <vt:lpstr>Results - Product EI</vt:lpstr>
      <vt:lpstr>Input - Site</vt:lpstr>
      <vt:lpstr>Input - Enterprise</vt:lpstr>
      <vt:lpstr>Input - Livestock sales</vt:lpstr>
      <vt:lpstr>Input - Fert Prod System</vt:lpstr>
      <vt:lpstr>Input - Data quality</vt:lpstr>
      <vt:lpstr>Constants - Common</vt:lpstr>
      <vt:lpstr>Common_SourceData_DensityOfMethane_Data</vt:lpstr>
      <vt:lpstr>Result_CarbonRemovalsFromPlantings</vt:lpstr>
      <vt:lpstr>Result_EmissionsForWholeProductionCycle_Gross_Method1</vt:lpstr>
      <vt:lpstr>Result_EmissionsForWholeProductionCycle_Gross_Method2</vt:lpstr>
      <vt:lpstr>Result_EmissionsForWholeProductionCycle_Method1</vt:lpstr>
      <vt:lpstr>Result_EmissionsForWholeProductionCycle_Method2</vt:lpstr>
      <vt:lpstr>Result_EmissionsForWholeProductionCycle_Net_Method1</vt:lpstr>
      <vt:lpstr>Result_EmissionsForWholeProductionCycle_Net_Method2</vt:lpstr>
      <vt:lpstr>Result_Enterprise_Gross_Method1</vt:lpstr>
      <vt:lpstr>Result_Enterprise_Gross_Method2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Result_NetEmissions_Method1</vt:lpstr>
      <vt:lpstr>Result_NetEmissions_Method2</vt:lpstr>
      <vt:lpstr>X_Cell_Enterprise_LiveweightSold</vt:lpstr>
      <vt:lpstr>X_Cell_Enterprise_ManureSoldTonnes</vt:lpstr>
      <vt:lpstr>X_Cell_Enterprise_ManureUsedAsFertiliserTonnes</vt:lpstr>
      <vt:lpstr>X_Cell_Enterprise_MilkProduced</vt:lpstr>
      <vt:lpstr>X_Cell_Enterprise_MilkProducedUnit</vt:lpstr>
      <vt:lpstr>X_Cell_Enterprise_PercentIncomeFromLiveweight</vt:lpstr>
      <vt:lpstr>X_Cell_Enterprise_PercentIncomeFromManure</vt:lpstr>
      <vt:lpstr>X_Cell_Enterprise_PercentIncomeFromMilk</vt:lpstr>
      <vt:lpstr>X_Cell_Enterprise_ProductionTimeframeEnd</vt:lpstr>
      <vt:lpstr>X_Cell_Enterprise_ProductionTimeframeStart</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2026-09-01T01:46:34Z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