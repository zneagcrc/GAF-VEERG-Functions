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htdocs\zneagcrc\GAF-VEERG-Functions\Excel\Enterprises\"/>
    </mc:Choice>
  </mc:AlternateContent>
  <xr:revisionPtr revIDLastSave="0" documentId="13_ncr:1_{BE5FDDDC-5F22-4A6F-8E7A-2EC97EF9A937}" xr6:coauthVersionLast="47" xr6:coauthVersionMax="47" xr10:uidLastSave="{00000000-0000-0000-0000-000000000000}"/>
  <bookViews>
    <workbookView xWindow="2370" yWindow="225" windowWidth="36060" windowHeight="19710" activeTab="1" xr2:uid="{992023F3-CAB7-4E5B-A348-08D563A0EF40}"/>
  </bookViews>
  <sheets>
    <sheet name="Home" sheetId="71" r:id="rId1"/>
    <sheet name="Results - Activity period" sheetId="13" r:id="rId2"/>
    <sheet name="Results - Product EI" sheetId="80" r:id="rId3"/>
    <sheet name="Input - Site" sheetId="75" r:id="rId4"/>
    <sheet name="Input - Enterprise" sheetId="72" r:id="rId5"/>
    <sheet name="Input - Livestock sales" sheetId="77" r:id="rId6"/>
    <sheet name="Input - Fert Prod System" sheetId="76" r:id="rId7"/>
    <sheet name="Input - Data quality" sheetId="78" r:id="rId8"/>
    <sheet name="Constants - Common" sheetId="79"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_xlpm.rows, IF(_xlpm.n = 0, "", _xlfn.HSTACK(_xlpm.startsText &amp; " to " &amp; _xlpm.endsText &amp; _xlpm.tag)), _xlpm.rows))</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[0]!Common_InputFunctions.Utility_GetArrayTableRowStartNumber(_xlpm.TableheaderCell, _xlpm.RowsBetweenHeaderandArray), COLUMN() - [0]!Common_InputFunctions.Utility_GetArrayTableColumnStartNumber(_xlpm.TableheaderCell)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8">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8">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8">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8">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8">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Result_CarbonRemovalsFromPlantings">'Results - Activity period'!$E$99</definedName>
    <definedName name="Result_EmissionsForWholeProductionCycle_Gross_Method1">'Results - Activity period'!$E$73</definedName>
    <definedName name="Result_EmissionsForWholeProductionCycle_Gross_Method2">'Results - Activity period'!$F$73</definedName>
    <definedName name="Result_EmissionsForWholeProductionCycle_Method1">'Results - Activity period'!$E$88</definedName>
    <definedName name="Result_EmissionsForWholeProductionCycle_Method2">'Results - Activity period'!$F$88</definedName>
    <definedName name="Result_EmissionsForWholeProductionCycle_Net_Method1">'Results - Activity period'!$E$74</definedName>
    <definedName name="Result_EmissionsForWholeProductionCycle_Net_Method2">'Results - Activity period'!$F$74</definedName>
    <definedName name="Result_Enterprise_Gross_Method1">'Results - Activity period'!$E$73</definedName>
    <definedName name="Result_Enterprise_Gross_Method2">'Results - Activity period'!$F$73</definedName>
    <definedName name="Result_Enterprise_Net_Method1">'Results - Activity period'!$E$74</definedName>
    <definedName name="Result_Enterprise_Net_Method2">'Results - Activity period'!$F$73</definedName>
    <definedName name="Result_Enterprise_Removals">'Results - Activity period'!$E$67</definedName>
    <definedName name="Result_Enterprise_Scope1_Method1">'Results - Activity period'!$H$34</definedName>
    <definedName name="Result_Enterprise_Scope1_Method2">'Results - Activity period'!$I$34</definedName>
    <definedName name="Result_Enterprise_Scope2_Method1">'Results - Activity period'!$H$41</definedName>
    <definedName name="Result_Enterprise_Scope2_Method2">'Results - Activity period'!$I$41</definedName>
    <definedName name="Result_Enterprise_Scope3_Method1">'Results - Activity period'!$H$62</definedName>
    <definedName name="Result_Enterprise_Scope3_Method2">'Results - Activity period'!$I$56</definedName>
    <definedName name="Result_NetEmissions_Method1">'Results - Activity period'!$E$105</definedName>
    <definedName name="Result_NetEmissions_Method2">'Results - Activity period'!$F$105</definedName>
    <definedName name="X_Cell_Enterprise_LiveweightSold">'Input - Enterprise'!$E$22</definedName>
    <definedName name="X_Cell_Enterprise_ManureSoldTonnes">'Input - Enterprise'!$E$25</definedName>
    <definedName name="X_Cell_Enterprise_ManureUsedAsFertiliserTonnes">'Input - Enterprise'!$E$26</definedName>
    <definedName name="X_Cell_Enterprise_MilkProduced">'Input - Enterprise'!$E$24</definedName>
    <definedName name="X_Cell_Enterprise_MilkProducedUnit">'Input - Enterprise'!$E$23</definedName>
    <definedName name="X_Cell_Enterprise_PercentIncomeFromLiveweight">'Input - Enterprise'!$E$29</definedName>
    <definedName name="X_Cell_Enterprise_PercentIncomeFromManure">'Input - Enterprise'!$E$30</definedName>
    <definedName name="X_Cell_Enterprise_PercentIncomeFromMilk">'Input - Enterprise'!$E$28</definedName>
    <definedName name="X_Cell_Enterprise_ProductionTimeframeEnd">'Input - Enterprise'!$E$19</definedName>
    <definedName name="X_Cell_Enterprise_ProductionTimeframeStart">'Input - Enterprise'!$E$18</definedName>
    <definedName name="X_Cell_Fertiliser_AreaUnderCropping">'Input - Fert Prod System'!$E$10</definedName>
    <definedName name="X_Cell_Fertiliser_CropType">'Input - Fert Prod System'!$E$8</definedName>
    <definedName name="X_Cell_Fertiliser_IrrigationMethod">'Input - Fert Prod System'!$E$9</definedName>
    <definedName name="X_Cell_Fertiliser_ProductionSystem">'Input - Fert Prod System'!$E$7</definedName>
    <definedName name="X_Cell_Site_AverageTemperature">'Input - Site'!$E$14</definedName>
    <definedName name="X_Cell_Site_ClimateZone">'Input - Site'!$E$20</definedName>
    <definedName name="X_Cell_Site_Elevation">'Input - Site'!$E$13</definedName>
    <definedName name="X_Cell_Site_EndDate">'Input - Enterprise'!$E$13</definedName>
    <definedName name="X_Cell_Site_FarmName">'Input - Enterprise'!$E$7</definedName>
    <definedName name="X_Cell_Site_FrostDays">'Input - Site'!$E$17</definedName>
    <definedName name="X_Cell_Site_LeachingZone">'Input - Site'!$E$12</definedName>
    <definedName name="X_Cell_Site_MapPetRatio">'Input - Site'!$E$18</definedName>
    <definedName name="X_Cell_Site_PotentialEvapotranspiration">'Input - Site'!$E$16</definedName>
    <definedName name="X_Cell_Site_RainfallZone">'Input - Site'!$E$19</definedName>
    <definedName name="X_Cell_Site_Region">'Input - Site'!$E$11</definedName>
    <definedName name="X_Cell_Site_ReportingEntityName">'Input - Enterprise'!$E$8</definedName>
    <definedName name="X_Cell_Site_StartDate">'Input - Enterprise'!$E$12</definedName>
    <definedName name="X_Cell_Site_State">'Input - Site'!$E$10</definedName>
    <definedName name="X_Cell_Site_TemperatureZone">'Input - Site'!$E$22</definedName>
    <definedName name="X_Cell_Site_TotalRainfall">'Input - Site'!$E$15</definedName>
    <definedName name="X_Cell_Site_WetOrDryClimateZone">'Input - Site'!$E$21</definedName>
    <definedName name="X_Table_Result_ActivityPeriodEmissions_RowsToCols">'Results - Activity period'!$D$82:$F$87</definedName>
    <definedName name="X_Table_Result_CarbonRemovalsFromPlantings_RowsToCols">'Results - Activity period'!$D$93:$E$98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9" i="80" l="1"/>
  <c r="I48" i="80"/>
  <c r="H49" i="80"/>
  <c r="H48" i="80"/>
  <c r="F44" i="80"/>
  <c r="G48" i="80" s="1"/>
  <c r="I59" i="80"/>
  <c r="I58" i="80"/>
  <c r="H59" i="80"/>
  <c r="H58" i="80"/>
  <c r="H57" i="80"/>
  <c r="I57" i="80"/>
  <c r="I56" i="80"/>
  <c r="H56" i="80"/>
  <c r="G59" i="80"/>
  <c r="G58" i="80"/>
  <c r="G57" i="80"/>
  <c r="G56" i="80"/>
  <c r="G54" i="80"/>
  <c r="F60" i="80"/>
  <c r="F58" i="80"/>
  <c r="F59" i="80" s="1"/>
  <c r="F56" i="80"/>
  <c r="F57" i="80" s="1"/>
  <c r="F54" i="80"/>
  <c r="F55" i="80" s="1"/>
  <c r="F46" i="80"/>
  <c r="F50" i="80"/>
  <c r="F49" i="80"/>
  <c r="F48" i="80"/>
  <c r="E23" i="72" a="1"/>
  <c r="E23" i="72"/>
  <c r="G44" i="80" l="1"/>
  <c r="G46" i="80"/>
  <c r="G49" i="80"/>
  <c r="E67" i="13" l="1"/>
  <c r="F74" i="13" s="1"/>
  <c r="G55" i="80" l="1"/>
  <c r="F47" i="80"/>
  <c r="F45" i="80"/>
  <c r="D39" i="80"/>
  <c r="D32" i="80"/>
  <c r="F80" i="72"/>
  <c r="E80" i="72"/>
  <c r="F79" i="72"/>
  <c r="E79" i="72"/>
  <c r="D76" i="72" a="1"/>
  <c r="F78" i="72" s="1"/>
  <c r="D73" i="72"/>
  <c r="E69" i="72"/>
  <c r="E68" i="72"/>
  <c r="D65" i="72" a="1"/>
  <c r="E66" i="72" s="1"/>
  <c r="D62" i="72"/>
  <c r="F56" i="72"/>
  <c r="E56" i="72"/>
  <c r="F55" i="72"/>
  <c r="E55" i="72"/>
  <c r="D52" i="72" a="1"/>
  <c r="F54" i="72" s="1"/>
  <c r="D48" i="72" a="1"/>
  <c r="D48" i="72" s="1"/>
  <c r="D46" i="72"/>
  <c r="G40" i="72"/>
  <c r="D37" i="72"/>
  <c r="G45" i="80" l="1"/>
  <c r="E67" i="72"/>
  <c r="E54" i="72"/>
  <c r="E78" i="72"/>
  <c r="G47" i="80"/>
  <c r="D52" i="72"/>
  <c r="D76" i="72"/>
  <c r="D65" i="72"/>
  <c r="E65" i="72" s="1"/>
  <c r="E70" i="72" s="1"/>
  <c r="F52" i="72" l="1"/>
  <c r="E52" i="72"/>
  <c r="E76" i="72"/>
  <c r="F76" i="72"/>
  <c r="D70" i="13" l="1"/>
  <c r="D65" i="13"/>
  <c r="F61" i="13" a="1"/>
  <c r="F61" i="13" s="1"/>
  <c r="I61" i="13" s="1"/>
  <c r="E61" i="13" a="1"/>
  <c r="E61" i="13" s="1"/>
  <c r="H61" i="13" s="1"/>
  <c r="E60" i="13" a="1"/>
  <c r="E60" i="13" s="1"/>
  <c r="H60" i="13" s="1"/>
  <c r="F59" i="13" a="1"/>
  <c r="F59" i="13" s="1"/>
  <c r="I59" i="13" s="1"/>
  <c r="E59" i="13" a="1"/>
  <c r="E59" i="13" s="1"/>
  <c r="H59" i="13" s="1"/>
  <c r="E58" i="13" a="1"/>
  <c r="E58" i="13" s="1"/>
  <c r="H58" i="13" s="1"/>
  <c r="D58" i="13" a="1"/>
  <c r="D58" i="13" s="1"/>
  <c r="E57" i="13" a="1"/>
  <c r="E57" i="13" s="1"/>
  <c r="F56" i="13" a="1"/>
  <c r="F56" i="13" s="1"/>
  <c r="I56" i="13" s="1"/>
  <c r="E56" i="13" a="1"/>
  <c r="E56" i="13" s="1"/>
  <c r="H56" i="13" s="1"/>
  <c r="F55" i="13"/>
  <c r="I55" i="13" s="1"/>
  <c r="F55" i="13" a="1"/>
  <c r="E55" i="13" a="1"/>
  <c r="E55" i="13" s="1"/>
  <c r="H55" i="13" s="1"/>
  <c r="F54" i="13" a="1"/>
  <c r="F54" i="13" s="1"/>
  <c r="I54" i="13" s="1"/>
  <c r="E54" i="13" a="1"/>
  <c r="E54" i="13" s="1"/>
  <c r="H54" i="13" s="1"/>
  <c r="F53" i="13" a="1"/>
  <c r="F53" i="13" s="1"/>
  <c r="I53" i="13" s="1"/>
  <c r="E53" i="13" a="1"/>
  <c r="E53" i="13" s="1"/>
  <c r="H53" i="13" s="1"/>
  <c r="F52" i="13" a="1"/>
  <c r="F52" i="13" s="1"/>
  <c r="I52" i="13" s="1"/>
  <c r="E52" i="13" a="1"/>
  <c r="E52" i="13" s="1"/>
  <c r="H52" i="13" s="1"/>
  <c r="F51" i="13" a="1"/>
  <c r="F51" i="13" s="1"/>
  <c r="I51" i="13" s="1"/>
  <c r="E51" i="13" a="1"/>
  <c r="E51" i="13" s="1"/>
  <c r="H51" i="13" s="1"/>
  <c r="F50" i="13" a="1"/>
  <c r="F50" i="13" s="1"/>
  <c r="I50" i="13" s="1"/>
  <c r="E50" i="13" a="1"/>
  <c r="E50" i="13" s="1"/>
  <c r="H50" i="13" s="1"/>
  <c r="F49" i="13" a="1"/>
  <c r="F49" i="13" s="1"/>
  <c r="I49" i="13" s="1"/>
  <c r="E49" i="13" a="1"/>
  <c r="E49" i="13" s="1"/>
  <c r="H49" i="13" s="1"/>
  <c r="F48" i="13" a="1"/>
  <c r="F48" i="13" s="1"/>
  <c r="I48" i="13" s="1"/>
  <c r="E48" i="13" a="1"/>
  <c r="E48" i="13" s="1"/>
  <c r="H48" i="13" s="1"/>
  <c r="F47" i="13" a="1"/>
  <c r="F47" i="13" s="1"/>
  <c r="I47" i="13" s="1"/>
  <c r="E47" i="13" a="1"/>
  <c r="E47" i="13" s="1"/>
  <c r="H47" i="13" s="1"/>
  <c r="F46" i="13" a="1"/>
  <c r="F46" i="13" s="1"/>
  <c r="I46" i="13" s="1"/>
  <c r="E46" i="13" a="1"/>
  <c r="E46" i="13" s="1"/>
  <c r="H46" i="13" s="1"/>
  <c r="F57" i="13" l="1"/>
  <c r="I57" i="13" s="1"/>
  <c r="H57" i="13"/>
  <c r="H62" i="13" s="1"/>
  <c r="F60" i="13"/>
  <c r="I60" i="13" s="1"/>
  <c r="F58" i="13"/>
  <c r="I58" i="13" s="1"/>
  <c r="I62" i="13" l="1"/>
  <c r="I40" i="13" l="1"/>
  <c r="H40" i="13"/>
  <c r="F40" i="13"/>
  <c r="E40" i="13" a="1"/>
  <c r="E40" i="13" s="1"/>
  <c r="D40" i="13" a="1"/>
  <c r="D40" i="13" s="1"/>
  <c r="J7" i="78" l="1"/>
  <c r="E259" i="79" a="1"/>
  <c r="E259" i="79" s="1"/>
  <c r="D259" i="79" a="1"/>
  <c r="D259" i="79" s="1"/>
  <c r="E258" i="79" a="1"/>
  <c r="E258" i="79" s="1"/>
  <c r="D258" i="79" a="1"/>
  <c r="D258" i="79" s="1"/>
  <c r="D256" i="79" a="1"/>
  <c r="D256" i="79" s="1"/>
  <c r="D255" i="79" a="1"/>
  <c r="D255" i="79" s="1"/>
  <c r="D254" i="79" a="1"/>
  <c r="D254" i="79" s="1"/>
  <c r="D253" i="79" a="1"/>
  <c r="D253" i="79" s="1"/>
  <c r="S250" i="79" a="1"/>
  <c r="S250" i="79" s="1"/>
  <c r="R250" i="79" a="1"/>
  <c r="R250" i="79" s="1"/>
  <c r="Q250" i="79" a="1"/>
  <c r="Q250" i="79" s="1"/>
  <c r="P250" i="79" a="1"/>
  <c r="P250" i="79" s="1"/>
  <c r="O250" i="79" a="1"/>
  <c r="O250" i="79" s="1"/>
  <c r="N250" i="79" a="1"/>
  <c r="N250" i="79" s="1"/>
  <c r="M250" i="79" a="1"/>
  <c r="M250" i="79" s="1"/>
  <c r="L250" i="79" a="1"/>
  <c r="L250" i="79" s="1"/>
  <c r="K250" i="79" a="1"/>
  <c r="K250" i="79" s="1"/>
  <c r="J250" i="79" a="1"/>
  <c r="J250" i="79" s="1"/>
  <c r="I250" i="79" a="1"/>
  <c r="I250" i="79" s="1"/>
  <c r="H250" i="79" a="1"/>
  <c r="H250" i="79" s="1"/>
  <c r="G250" i="79" a="1"/>
  <c r="G250" i="79" s="1"/>
  <c r="F250" i="79" a="1"/>
  <c r="F250" i="79" s="1"/>
  <c r="E250" i="79" a="1"/>
  <c r="E250" i="79" s="1"/>
  <c r="D250" i="79" a="1"/>
  <c r="D250" i="79" s="1"/>
  <c r="S249" i="79" a="1"/>
  <c r="S249" i="79" s="1"/>
  <c r="R249" i="79" a="1"/>
  <c r="R249" i="79" s="1"/>
  <c r="Q249" i="79" a="1"/>
  <c r="Q249" i="79" s="1"/>
  <c r="P249" i="79" a="1"/>
  <c r="P249" i="79" s="1"/>
  <c r="O249" i="79" a="1"/>
  <c r="O249" i="79" s="1"/>
  <c r="N249" i="79" a="1"/>
  <c r="N249" i="79" s="1"/>
  <c r="M249" i="79" a="1"/>
  <c r="M249" i="79" s="1"/>
  <c r="L249" i="79" a="1"/>
  <c r="L249" i="79" s="1"/>
  <c r="K249" i="79" a="1"/>
  <c r="K249" i="79" s="1"/>
  <c r="J249" i="79" a="1"/>
  <c r="J249" i="79" s="1"/>
  <c r="I249" i="79" a="1"/>
  <c r="I249" i="79" s="1"/>
  <c r="H249" i="79" a="1"/>
  <c r="H249" i="79" s="1"/>
  <c r="G249" i="79" a="1"/>
  <c r="G249" i="79" s="1"/>
  <c r="F249" i="79" a="1"/>
  <c r="F249" i="79" s="1"/>
  <c r="E249" i="79" a="1"/>
  <c r="E249" i="79" s="1"/>
  <c r="D249" i="79" a="1"/>
  <c r="D249" i="79" s="1"/>
  <c r="S248" i="79" a="1"/>
  <c r="S248" i="79" s="1"/>
  <c r="R248" i="79" a="1"/>
  <c r="R248" i="79" s="1"/>
  <c r="Q248" i="79" a="1"/>
  <c r="Q248" i="79" s="1"/>
  <c r="P248" i="79" a="1"/>
  <c r="P248" i="79" s="1"/>
  <c r="O248" i="79" a="1"/>
  <c r="O248" i="79" s="1"/>
  <c r="N248" i="79" a="1"/>
  <c r="N248" i="79" s="1"/>
  <c r="M248" i="79" a="1"/>
  <c r="M248" i="79" s="1"/>
  <c r="L248" i="79" a="1"/>
  <c r="L248" i="79" s="1"/>
  <c r="K248" i="79" a="1"/>
  <c r="K248" i="79" s="1"/>
  <c r="J248" i="79" a="1"/>
  <c r="J248" i="79" s="1"/>
  <c r="I248" i="79" a="1"/>
  <c r="I248" i="79" s="1"/>
  <c r="H248" i="79" a="1"/>
  <c r="H248" i="79" s="1"/>
  <c r="G248" i="79" a="1"/>
  <c r="G248" i="79" s="1"/>
  <c r="F248" i="79" a="1"/>
  <c r="F248" i="79" s="1"/>
  <c r="E248" i="79" a="1"/>
  <c r="E248" i="79" s="1"/>
  <c r="D248" i="79" a="1"/>
  <c r="D248" i="79" s="1"/>
  <c r="S247" i="79" a="1"/>
  <c r="S247" i="79" s="1"/>
  <c r="R247" i="79" a="1"/>
  <c r="R247" i="79" s="1"/>
  <c r="Q247" i="79" a="1"/>
  <c r="Q247" i="79" s="1"/>
  <c r="P247" i="79" a="1"/>
  <c r="P247" i="79" s="1"/>
  <c r="O247" i="79" a="1"/>
  <c r="O247" i="79" s="1"/>
  <c r="N247" i="79" a="1"/>
  <c r="N247" i="79" s="1"/>
  <c r="M247" i="79" a="1"/>
  <c r="M247" i="79" s="1"/>
  <c r="L247" i="79" a="1"/>
  <c r="L247" i="79" s="1"/>
  <c r="K247" i="79" a="1"/>
  <c r="K247" i="79" s="1"/>
  <c r="J247" i="79" a="1"/>
  <c r="J247" i="79" s="1"/>
  <c r="I247" i="79" a="1"/>
  <c r="I247" i="79" s="1"/>
  <c r="H247" i="79" a="1"/>
  <c r="H247" i="79" s="1"/>
  <c r="G247" i="79" a="1"/>
  <c r="G247" i="79" s="1"/>
  <c r="F247" i="79" a="1"/>
  <c r="F247" i="79" s="1"/>
  <c r="E247" i="79" a="1"/>
  <c r="E247" i="79" s="1"/>
  <c r="D247" i="79" a="1"/>
  <c r="D247" i="79" s="1"/>
  <c r="S246" i="79" a="1"/>
  <c r="S246" i="79" s="1"/>
  <c r="R246" i="79" a="1"/>
  <c r="R246" i="79" s="1"/>
  <c r="Q246" i="79" a="1"/>
  <c r="Q246" i="79" s="1"/>
  <c r="P246" i="79" a="1"/>
  <c r="P246" i="79" s="1"/>
  <c r="O246" i="79" a="1"/>
  <c r="O246" i="79" s="1"/>
  <c r="N246" i="79" a="1"/>
  <c r="N246" i="79" s="1"/>
  <c r="M246" i="79" a="1"/>
  <c r="M246" i="79" s="1"/>
  <c r="L246" i="79" a="1"/>
  <c r="L246" i="79" s="1"/>
  <c r="K246" i="79" a="1"/>
  <c r="K246" i="79" s="1"/>
  <c r="J246" i="79" a="1"/>
  <c r="J246" i="79" s="1"/>
  <c r="I246" i="79" a="1"/>
  <c r="I246" i="79" s="1"/>
  <c r="H246" i="79" a="1"/>
  <c r="H246" i="79" s="1"/>
  <c r="G246" i="79" a="1"/>
  <c r="G246" i="79" s="1"/>
  <c r="F246" i="79" a="1"/>
  <c r="F246" i="79" s="1"/>
  <c r="E246" i="79" a="1"/>
  <c r="E246" i="79" s="1"/>
  <c r="D246" i="79" a="1"/>
  <c r="D246" i="79" s="1"/>
  <c r="S245" i="79" a="1"/>
  <c r="S245" i="79" s="1"/>
  <c r="R245" i="79" a="1"/>
  <c r="R245" i="79" s="1"/>
  <c r="Q245" i="79" a="1"/>
  <c r="Q245" i="79" s="1"/>
  <c r="P245" i="79" a="1"/>
  <c r="P245" i="79" s="1"/>
  <c r="O245" i="79" a="1"/>
  <c r="O245" i="79" s="1"/>
  <c r="N245" i="79" a="1"/>
  <c r="N245" i="79" s="1"/>
  <c r="M245" i="79" a="1"/>
  <c r="M245" i="79" s="1"/>
  <c r="L245" i="79" a="1"/>
  <c r="L245" i="79" s="1"/>
  <c r="K245" i="79" a="1"/>
  <c r="K245" i="79" s="1"/>
  <c r="J245" i="79" a="1"/>
  <c r="J245" i="79" s="1"/>
  <c r="I245" i="79" a="1"/>
  <c r="I245" i="79" s="1"/>
  <c r="H245" i="79" a="1"/>
  <c r="H245" i="79" s="1"/>
  <c r="G245" i="79" a="1"/>
  <c r="G245" i="79" s="1"/>
  <c r="F245" i="79" a="1"/>
  <c r="F245" i="79" s="1"/>
  <c r="E245" i="79" a="1"/>
  <c r="E245" i="79" s="1"/>
  <c r="D245" i="79" a="1"/>
  <c r="D245" i="79" s="1"/>
  <c r="S244" i="79" a="1"/>
  <c r="S244" i="79" s="1"/>
  <c r="R244" i="79" a="1"/>
  <c r="R244" i="79" s="1"/>
  <c r="Q244" i="79" a="1"/>
  <c r="Q244" i="79" s="1"/>
  <c r="P244" i="79" a="1"/>
  <c r="P244" i="79" s="1"/>
  <c r="O244" i="79" a="1"/>
  <c r="O244" i="79" s="1"/>
  <c r="N244" i="79" a="1"/>
  <c r="N244" i="79" s="1"/>
  <c r="M244" i="79" a="1"/>
  <c r="M244" i="79" s="1"/>
  <c r="L244" i="79" a="1"/>
  <c r="L244" i="79" s="1"/>
  <c r="K244" i="79" a="1"/>
  <c r="K244" i="79" s="1"/>
  <c r="J244" i="79" a="1"/>
  <c r="J244" i="79" s="1"/>
  <c r="I244" i="79" a="1"/>
  <c r="I244" i="79" s="1"/>
  <c r="H244" i="79" a="1"/>
  <c r="H244" i="79" s="1"/>
  <c r="G244" i="79" a="1"/>
  <c r="G244" i="79" s="1"/>
  <c r="F244" i="79" a="1"/>
  <c r="F244" i="79" s="1"/>
  <c r="E244" i="79" a="1"/>
  <c r="E244" i="79" s="1"/>
  <c r="D244" i="79" a="1"/>
  <c r="D244" i="79" s="1"/>
  <c r="S243" i="79" a="1"/>
  <c r="S243" i="79" s="1"/>
  <c r="R243" i="79" a="1"/>
  <c r="R243" i="79" s="1"/>
  <c r="Q243" i="79" a="1"/>
  <c r="Q243" i="79" s="1"/>
  <c r="P243" i="79" a="1"/>
  <c r="P243" i="79" s="1"/>
  <c r="O243" i="79" a="1"/>
  <c r="O243" i="79" s="1"/>
  <c r="N243" i="79" a="1"/>
  <c r="N243" i="79" s="1"/>
  <c r="M243" i="79" a="1"/>
  <c r="M243" i="79" s="1"/>
  <c r="L243" i="79" a="1"/>
  <c r="L243" i="79" s="1"/>
  <c r="K243" i="79" a="1"/>
  <c r="K243" i="79" s="1"/>
  <c r="J243" i="79" a="1"/>
  <c r="J243" i="79" s="1"/>
  <c r="I243" i="79" a="1"/>
  <c r="I243" i="79" s="1"/>
  <c r="H243" i="79" a="1"/>
  <c r="H243" i="79" s="1"/>
  <c r="G243" i="79" a="1"/>
  <c r="G243" i="79" s="1"/>
  <c r="F243" i="79" a="1"/>
  <c r="F243" i="79" s="1"/>
  <c r="E243" i="79" a="1"/>
  <c r="E243" i="79" s="1"/>
  <c r="D243" i="79" a="1"/>
  <c r="D243" i="79" s="1"/>
  <c r="S242" i="79" a="1"/>
  <c r="S242" i="79" s="1"/>
  <c r="R242" i="79" a="1"/>
  <c r="R242" i="79" s="1"/>
  <c r="Q242" i="79" a="1"/>
  <c r="Q242" i="79" s="1"/>
  <c r="P242" i="79" a="1"/>
  <c r="P242" i="79" s="1"/>
  <c r="O242" i="79" a="1"/>
  <c r="O242" i="79" s="1"/>
  <c r="N242" i="79" a="1"/>
  <c r="N242" i="79" s="1"/>
  <c r="M242" i="79" a="1"/>
  <c r="M242" i="79" s="1"/>
  <c r="L242" i="79" a="1"/>
  <c r="L242" i="79" s="1"/>
  <c r="K242" i="79" a="1"/>
  <c r="K242" i="79" s="1"/>
  <c r="J242" i="79" a="1"/>
  <c r="J242" i="79" s="1"/>
  <c r="I242" i="79" a="1"/>
  <c r="I242" i="79" s="1"/>
  <c r="H242" i="79" a="1"/>
  <c r="H242" i="79" s="1"/>
  <c r="G242" i="79" a="1"/>
  <c r="G242" i="79" s="1"/>
  <c r="F242" i="79" a="1"/>
  <c r="F242" i="79" s="1"/>
  <c r="E242" i="79" a="1"/>
  <c r="E242" i="79" s="1"/>
  <c r="D242" i="79" a="1"/>
  <c r="D242" i="79" s="1"/>
  <c r="S241" i="79" a="1"/>
  <c r="S241" i="79" s="1"/>
  <c r="R241" i="79" a="1"/>
  <c r="R241" i="79" s="1"/>
  <c r="Q241" i="79" a="1"/>
  <c r="Q241" i="79" s="1"/>
  <c r="P241" i="79" a="1"/>
  <c r="P241" i="79" s="1"/>
  <c r="O241" i="79" a="1"/>
  <c r="O241" i="79" s="1"/>
  <c r="N241" i="79" a="1"/>
  <c r="N241" i="79" s="1"/>
  <c r="M241" i="79" a="1"/>
  <c r="M241" i="79" s="1"/>
  <c r="L241" i="79" a="1"/>
  <c r="L241" i="79" s="1"/>
  <c r="K241" i="79" a="1"/>
  <c r="K241" i="79" s="1"/>
  <c r="J241" i="79" a="1"/>
  <c r="J241" i="79" s="1"/>
  <c r="I241" i="79" a="1"/>
  <c r="I241" i="79" s="1"/>
  <c r="H241" i="79" a="1"/>
  <c r="H241" i="79" s="1"/>
  <c r="G241" i="79" a="1"/>
  <c r="G241" i="79" s="1"/>
  <c r="F241" i="79" a="1"/>
  <c r="F241" i="79" s="1"/>
  <c r="E241" i="79" a="1"/>
  <c r="E241" i="79" s="1"/>
  <c r="D241" i="79" a="1"/>
  <c r="D241" i="79" s="1"/>
  <c r="S240" i="79" a="1"/>
  <c r="S240" i="79" s="1"/>
  <c r="R240" i="79" a="1"/>
  <c r="R240" i="79" s="1"/>
  <c r="Q240" i="79" a="1"/>
  <c r="Q240" i="79" s="1"/>
  <c r="P240" i="79" a="1"/>
  <c r="P240" i="79" s="1"/>
  <c r="O240" i="79" a="1"/>
  <c r="O240" i="79" s="1"/>
  <c r="N240" i="79" a="1"/>
  <c r="N240" i="79" s="1"/>
  <c r="M240" i="79" a="1"/>
  <c r="M240" i="79" s="1"/>
  <c r="L240" i="79" a="1"/>
  <c r="L240" i="79" s="1"/>
  <c r="K240" i="79" a="1"/>
  <c r="K240" i="79" s="1"/>
  <c r="J240" i="79" a="1"/>
  <c r="J240" i="79" s="1"/>
  <c r="I240" i="79" a="1"/>
  <c r="I240" i="79" s="1"/>
  <c r="H240" i="79" a="1"/>
  <c r="H240" i="79" s="1"/>
  <c r="G240" i="79" a="1"/>
  <c r="G240" i="79" s="1"/>
  <c r="F240" i="79" a="1"/>
  <c r="F240" i="79" s="1"/>
  <c r="E240" i="79" a="1"/>
  <c r="E240" i="79" s="1"/>
  <c r="D240" i="79" a="1"/>
  <c r="D240" i="79" s="1"/>
  <c r="S239" i="79" a="1"/>
  <c r="S239" i="79" s="1"/>
  <c r="R239" i="79" a="1"/>
  <c r="R239" i="79" s="1"/>
  <c r="Q239" i="79" a="1"/>
  <c r="Q239" i="79" s="1"/>
  <c r="P239" i="79" a="1"/>
  <c r="P239" i="79" s="1"/>
  <c r="O239" i="79" a="1"/>
  <c r="O239" i="79" s="1"/>
  <c r="N239" i="79" a="1"/>
  <c r="N239" i="79" s="1"/>
  <c r="M239" i="79" a="1"/>
  <c r="M239" i="79" s="1"/>
  <c r="L239" i="79" a="1"/>
  <c r="L239" i="79" s="1"/>
  <c r="K239" i="79" a="1"/>
  <c r="K239" i="79" s="1"/>
  <c r="J239" i="79" a="1"/>
  <c r="J239" i="79" s="1"/>
  <c r="I239" i="79" a="1"/>
  <c r="I239" i="79" s="1"/>
  <c r="H239" i="79" a="1"/>
  <c r="H239" i="79" s="1"/>
  <c r="G239" i="79" a="1"/>
  <c r="G239" i="79" s="1"/>
  <c r="F239" i="79" a="1"/>
  <c r="F239" i="79" s="1"/>
  <c r="E239" i="79" a="1"/>
  <c r="E239" i="79" s="1"/>
  <c r="D239" i="79" a="1"/>
  <c r="D239" i="79" s="1"/>
  <c r="S238" i="79" a="1"/>
  <c r="S238" i="79" s="1"/>
  <c r="R238" i="79" a="1"/>
  <c r="R238" i="79" s="1"/>
  <c r="Q238" i="79" a="1"/>
  <c r="Q238" i="79" s="1"/>
  <c r="P238" i="79" a="1"/>
  <c r="P238" i="79" s="1"/>
  <c r="O238" i="79" a="1"/>
  <c r="O238" i="79" s="1"/>
  <c r="N238" i="79" a="1"/>
  <c r="N238" i="79" s="1"/>
  <c r="M238" i="79" a="1"/>
  <c r="M238" i="79" s="1"/>
  <c r="L238" i="79" a="1"/>
  <c r="L238" i="79" s="1"/>
  <c r="K238" i="79" a="1"/>
  <c r="K238" i="79" s="1"/>
  <c r="J238" i="79" a="1"/>
  <c r="J238" i="79" s="1"/>
  <c r="I238" i="79" a="1"/>
  <c r="I238" i="79" s="1"/>
  <c r="H238" i="79" a="1"/>
  <c r="H238" i="79" s="1"/>
  <c r="G238" i="79" a="1"/>
  <c r="G238" i="79" s="1"/>
  <c r="F238" i="79" a="1"/>
  <c r="F238" i="79" s="1"/>
  <c r="E238" i="79" a="1"/>
  <c r="E238" i="79" s="1"/>
  <c r="D238" i="79" a="1"/>
  <c r="D238" i="79" s="1"/>
  <c r="S237" i="79" a="1"/>
  <c r="S237" i="79" s="1"/>
  <c r="R237" i="79" a="1"/>
  <c r="R237" i="79" s="1"/>
  <c r="Q237" i="79" a="1"/>
  <c r="Q237" i="79" s="1"/>
  <c r="P237" i="79" a="1"/>
  <c r="P237" i="79" s="1"/>
  <c r="O237" i="79" a="1"/>
  <c r="O237" i="79" s="1"/>
  <c r="N237" i="79" a="1"/>
  <c r="N237" i="79" s="1"/>
  <c r="M237" i="79" a="1"/>
  <c r="M237" i="79" s="1"/>
  <c r="L237" i="79" a="1"/>
  <c r="L237" i="79" s="1"/>
  <c r="K237" i="79" a="1"/>
  <c r="K237" i="79" s="1"/>
  <c r="J237" i="79" a="1"/>
  <c r="J237" i="79" s="1"/>
  <c r="I237" i="79" a="1"/>
  <c r="I237" i="79" s="1"/>
  <c r="H237" i="79" a="1"/>
  <c r="H237" i="79" s="1"/>
  <c r="G237" i="79" a="1"/>
  <c r="G237" i="79" s="1"/>
  <c r="F237" i="79" a="1"/>
  <c r="F237" i="79" s="1"/>
  <c r="E237" i="79" a="1"/>
  <c r="E237" i="79" s="1"/>
  <c r="D237" i="79" a="1"/>
  <c r="D237" i="79" s="1"/>
  <c r="S236" i="79" a="1"/>
  <c r="S236" i="79" s="1"/>
  <c r="R236" i="79" a="1"/>
  <c r="R236" i="79" s="1"/>
  <c r="Q236" i="79" a="1"/>
  <c r="Q236" i="79" s="1"/>
  <c r="P236" i="79" a="1"/>
  <c r="P236" i="79" s="1"/>
  <c r="O236" i="79" a="1"/>
  <c r="O236" i="79" s="1"/>
  <c r="N236" i="79" a="1"/>
  <c r="N236" i="79" s="1"/>
  <c r="M236" i="79" a="1"/>
  <c r="M236" i="79" s="1"/>
  <c r="L236" i="79" a="1"/>
  <c r="L236" i="79" s="1"/>
  <c r="K236" i="79" a="1"/>
  <c r="K236" i="79" s="1"/>
  <c r="J236" i="79" a="1"/>
  <c r="J236" i="79" s="1"/>
  <c r="I236" i="79" a="1"/>
  <c r="I236" i="79" s="1"/>
  <c r="H236" i="79" a="1"/>
  <c r="H236" i="79" s="1"/>
  <c r="G236" i="79" a="1"/>
  <c r="G236" i="79" s="1"/>
  <c r="F236" i="79" a="1"/>
  <c r="F236" i="79" s="1"/>
  <c r="E236" i="79" a="1"/>
  <c r="E236" i="79" s="1"/>
  <c r="D236" i="79" a="1"/>
  <c r="D236" i="79" s="1"/>
  <c r="S235" i="79" a="1"/>
  <c r="S235" i="79" s="1"/>
  <c r="R235" i="79" a="1"/>
  <c r="R235" i="79" s="1"/>
  <c r="Q235" i="79" a="1"/>
  <c r="Q235" i="79" s="1"/>
  <c r="P235" i="79" a="1"/>
  <c r="P235" i="79" s="1"/>
  <c r="O235" i="79" a="1"/>
  <c r="O235" i="79" s="1"/>
  <c r="N235" i="79" a="1"/>
  <c r="N235" i="79" s="1"/>
  <c r="M235" i="79" a="1"/>
  <c r="M235" i="79" s="1"/>
  <c r="L235" i="79" a="1"/>
  <c r="L235" i="79" s="1"/>
  <c r="K235" i="79" a="1"/>
  <c r="K235" i="79" s="1"/>
  <c r="J235" i="79" a="1"/>
  <c r="J235" i="79" s="1"/>
  <c r="I235" i="79" a="1"/>
  <c r="I235" i="79" s="1"/>
  <c r="H235" i="79" a="1"/>
  <c r="H235" i="79" s="1"/>
  <c r="G235" i="79" a="1"/>
  <c r="G235" i="79" s="1"/>
  <c r="F235" i="79" a="1"/>
  <c r="F235" i="79" s="1"/>
  <c r="E235" i="79" a="1"/>
  <c r="E235" i="79" s="1"/>
  <c r="D235" i="79" a="1"/>
  <c r="D235" i="79" s="1"/>
  <c r="S234" i="79" a="1"/>
  <c r="S234" i="79" s="1"/>
  <c r="R234" i="79" a="1"/>
  <c r="R234" i="79" s="1"/>
  <c r="Q234" i="79" a="1"/>
  <c r="Q234" i="79" s="1"/>
  <c r="P234" i="79" a="1"/>
  <c r="P234" i="79" s="1"/>
  <c r="O234" i="79" a="1"/>
  <c r="O234" i="79" s="1"/>
  <c r="N234" i="79" a="1"/>
  <c r="N234" i="79" s="1"/>
  <c r="M234" i="79" a="1"/>
  <c r="M234" i="79" s="1"/>
  <c r="L234" i="79" a="1"/>
  <c r="L234" i="79" s="1"/>
  <c r="K234" i="79" a="1"/>
  <c r="K234" i="79" s="1"/>
  <c r="J234" i="79" a="1"/>
  <c r="J234" i="79" s="1"/>
  <c r="I234" i="79" a="1"/>
  <c r="I234" i="79" s="1"/>
  <c r="H234" i="79" a="1"/>
  <c r="H234" i="79" s="1"/>
  <c r="G234" i="79" a="1"/>
  <c r="G234" i="79" s="1"/>
  <c r="F234" i="79" a="1"/>
  <c r="F234" i="79" s="1"/>
  <c r="E234" i="79" a="1"/>
  <c r="E234" i="79" s="1"/>
  <c r="D234" i="79" a="1"/>
  <c r="D234" i="79" s="1"/>
  <c r="S233" i="79" a="1"/>
  <c r="S233" i="79" s="1"/>
  <c r="R233" i="79" a="1"/>
  <c r="R233" i="79" s="1"/>
  <c r="Q233" i="79" a="1"/>
  <c r="Q233" i="79" s="1"/>
  <c r="P233" i="79" a="1"/>
  <c r="P233" i="79" s="1"/>
  <c r="O233" i="79" a="1"/>
  <c r="O233" i="79" s="1"/>
  <c r="N233" i="79" a="1"/>
  <c r="N233" i="79" s="1"/>
  <c r="M233" i="79" a="1"/>
  <c r="M233" i="79" s="1"/>
  <c r="L233" i="79" a="1"/>
  <c r="L233" i="79" s="1"/>
  <c r="K233" i="79" a="1"/>
  <c r="K233" i="79" s="1"/>
  <c r="J233" i="79" a="1"/>
  <c r="J233" i="79" s="1"/>
  <c r="I233" i="79" a="1"/>
  <c r="I233" i="79" s="1"/>
  <c r="H233" i="79" a="1"/>
  <c r="H233" i="79" s="1"/>
  <c r="G233" i="79" a="1"/>
  <c r="G233" i="79" s="1"/>
  <c r="F233" i="79" a="1"/>
  <c r="F233" i="79" s="1"/>
  <c r="E233" i="79" a="1"/>
  <c r="E233" i="79" s="1"/>
  <c r="D233" i="79" a="1"/>
  <c r="D233" i="79" s="1"/>
  <c r="S232" i="79" a="1"/>
  <c r="S232" i="79" s="1"/>
  <c r="R232" i="79" a="1"/>
  <c r="R232" i="79" s="1"/>
  <c r="Q232" i="79" a="1"/>
  <c r="Q232" i="79" s="1"/>
  <c r="P232" i="79" a="1"/>
  <c r="P232" i="79" s="1"/>
  <c r="O232" i="79" a="1"/>
  <c r="O232" i="79" s="1"/>
  <c r="N232" i="79" a="1"/>
  <c r="N232" i="79" s="1"/>
  <c r="M232" i="79" a="1"/>
  <c r="M232" i="79" s="1"/>
  <c r="L232" i="79" a="1"/>
  <c r="L232" i="79" s="1"/>
  <c r="K232" i="79" a="1"/>
  <c r="K232" i="79" s="1"/>
  <c r="J232" i="79" a="1"/>
  <c r="J232" i="79" s="1"/>
  <c r="I232" i="79" a="1"/>
  <c r="I232" i="79" s="1"/>
  <c r="H232" i="79" a="1"/>
  <c r="H232" i="79" s="1"/>
  <c r="G232" i="79" a="1"/>
  <c r="G232" i="79" s="1"/>
  <c r="F232" i="79" a="1"/>
  <c r="F232" i="79" s="1"/>
  <c r="E232" i="79" a="1"/>
  <c r="E232" i="79" s="1"/>
  <c r="D232" i="79" a="1"/>
  <c r="D232" i="79" s="1"/>
  <c r="D229" i="79" a="1"/>
  <c r="D229" i="79" s="1"/>
  <c r="D228" i="79" a="1"/>
  <c r="D228" i="79" s="1"/>
  <c r="D227" i="79" a="1"/>
  <c r="D227" i="79" s="1"/>
  <c r="E224" i="79" a="1"/>
  <c r="E224" i="79" s="1"/>
  <c r="D224" i="79" a="1"/>
  <c r="D224" i="79" s="1"/>
  <c r="E223" i="79" a="1"/>
  <c r="E223" i="79" s="1"/>
  <c r="D223" i="79" a="1"/>
  <c r="D223" i="79" s="1"/>
  <c r="E222" i="79" a="1"/>
  <c r="E222" i="79" s="1"/>
  <c r="D222" i="79" a="1"/>
  <c r="D222" i="79" s="1"/>
  <c r="E221" i="79" a="1"/>
  <c r="E221" i="79" s="1"/>
  <c r="D221" i="79" a="1"/>
  <c r="D221" i="79" s="1"/>
  <c r="E220" i="79" a="1"/>
  <c r="E220" i="79" s="1"/>
  <c r="D220" i="79" a="1"/>
  <c r="D220" i="79" s="1"/>
  <c r="E219" i="79" a="1"/>
  <c r="E219" i="79" s="1"/>
  <c r="D219" i="79" a="1"/>
  <c r="D219" i="79" s="1"/>
  <c r="E218" i="79" a="1"/>
  <c r="E218" i="79" s="1"/>
  <c r="D218" i="79" a="1"/>
  <c r="D218" i="79" s="1"/>
  <c r="E217" i="79" a="1"/>
  <c r="E217" i="79" s="1"/>
  <c r="D217" i="79" a="1"/>
  <c r="D217" i="79" s="1"/>
  <c r="E216" i="79" a="1"/>
  <c r="E216" i="79" s="1"/>
  <c r="D216" i="79" a="1"/>
  <c r="D216" i="79" s="1"/>
  <c r="E215" i="79" a="1"/>
  <c r="E215" i="79" s="1"/>
  <c r="D215" i="79" a="1"/>
  <c r="D215" i="79" s="1"/>
  <c r="E214" i="79" a="1"/>
  <c r="E214" i="79" s="1"/>
  <c r="D214" i="79" a="1"/>
  <c r="D214" i="79" s="1"/>
  <c r="E213" i="79" a="1"/>
  <c r="E213" i="79" s="1"/>
  <c r="D213" i="79" a="1"/>
  <c r="D213" i="79" s="1"/>
  <c r="D211" i="79" a="1"/>
  <c r="D211" i="79" s="1"/>
  <c r="E208" i="79" a="1"/>
  <c r="E208" i="79" s="1"/>
  <c r="D208" i="79" a="1"/>
  <c r="D208" i="79" s="1"/>
  <c r="E207" i="79" a="1"/>
  <c r="E207" i="79" s="1"/>
  <c r="D207" i="79" a="1"/>
  <c r="D207" i="79" s="1"/>
  <c r="D205" i="79" a="1"/>
  <c r="D205" i="79" s="1"/>
  <c r="D204" i="79" a="1"/>
  <c r="D204" i="79" s="1"/>
  <c r="D203" i="79" a="1"/>
  <c r="D203" i="79" s="1"/>
  <c r="D202" i="79" a="1"/>
  <c r="D202" i="79" s="1"/>
  <c r="H199" i="79" a="1"/>
  <c r="H199" i="79" s="1"/>
  <c r="G199" i="79" a="1"/>
  <c r="G199" i="79" s="1"/>
  <c r="F199" i="79" a="1"/>
  <c r="F199" i="79" s="1"/>
  <c r="E199" i="79" a="1"/>
  <c r="E199" i="79" s="1"/>
  <c r="D199" i="79" a="1"/>
  <c r="D199" i="79" s="1"/>
  <c r="H198" i="79" a="1"/>
  <c r="H198" i="79" s="1"/>
  <c r="G198" i="79" a="1"/>
  <c r="G198" i="79" s="1"/>
  <c r="F198" i="79" a="1"/>
  <c r="F198" i="79" s="1"/>
  <c r="E198" i="79" a="1"/>
  <c r="E198" i="79" s="1"/>
  <c r="D198" i="79" a="1"/>
  <c r="D198" i="79" s="1"/>
  <c r="H197" i="79" a="1"/>
  <c r="H197" i="79" s="1"/>
  <c r="G197" i="79" a="1"/>
  <c r="G197" i="79" s="1"/>
  <c r="F197" i="79" a="1"/>
  <c r="F197" i="79" s="1"/>
  <c r="E197" i="79" a="1"/>
  <c r="E197" i="79" s="1"/>
  <c r="D197" i="79" a="1"/>
  <c r="D197" i="79" s="1"/>
  <c r="H196" i="79" a="1"/>
  <c r="H196" i="79" s="1"/>
  <c r="G196" i="79" a="1"/>
  <c r="G196" i="79" s="1"/>
  <c r="F196" i="79" a="1"/>
  <c r="F196" i="79" s="1"/>
  <c r="E196" i="79" a="1"/>
  <c r="E196" i="79" s="1"/>
  <c r="D196" i="79" a="1"/>
  <c r="D196" i="79" s="1"/>
  <c r="H195" i="79" a="1"/>
  <c r="H195" i="79" s="1"/>
  <c r="G195" i="79" a="1"/>
  <c r="G195" i="79" s="1"/>
  <c r="F195" i="79" a="1"/>
  <c r="F195" i="79" s="1"/>
  <c r="E195" i="79" a="1"/>
  <c r="E195" i="79" s="1"/>
  <c r="D195" i="79" a="1"/>
  <c r="D195" i="79" s="1"/>
  <c r="H194" i="79" a="1"/>
  <c r="H194" i="79" s="1"/>
  <c r="G194" i="79" a="1"/>
  <c r="G194" i="79" s="1"/>
  <c r="F194" i="79" a="1"/>
  <c r="F194" i="79" s="1"/>
  <c r="E194" i="79" a="1"/>
  <c r="E194" i="79" s="1"/>
  <c r="D194" i="79" a="1"/>
  <c r="D194" i="79" s="1"/>
  <c r="H193" i="79" a="1"/>
  <c r="H193" i="79" s="1"/>
  <c r="G193" i="79" a="1"/>
  <c r="G193" i="79" s="1"/>
  <c r="F193" i="79" a="1"/>
  <c r="F193" i="79" s="1"/>
  <c r="E193" i="79" a="1"/>
  <c r="E193" i="79" s="1"/>
  <c r="D193" i="79" a="1"/>
  <c r="D193" i="79" s="1"/>
  <c r="H192" i="79" a="1"/>
  <c r="H192" i="79" s="1"/>
  <c r="G192" i="79" a="1"/>
  <c r="G192" i="79" s="1"/>
  <c r="F192" i="79" a="1"/>
  <c r="F192" i="79" s="1"/>
  <c r="E192" i="79" a="1"/>
  <c r="E192" i="79" s="1"/>
  <c r="D192" i="79" a="1"/>
  <c r="D192" i="79" s="1"/>
  <c r="H191" i="79" a="1"/>
  <c r="H191" i="79" s="1"/>
  <c r="G191" i="79" a="1"/>
  <c r="G191" i="79" s="1"/>
  <c r="F191" i="79" a="1"/>
  <c r="F191" i="79" s="1"/>
  <c r="E191" i="79" a="1"/>
  <c r="E191" i="79" s="1"/>
  <c r="D191" i="79" a="1"/>
  <c r="D191" i="79" s="1"/>
  <c r="H190" i="79" a="1"/>
  <c r="H190" i="79" s="1"/>
  <c r="G190" i="79" a="1"/>
  <c r="G190" i="79" s="1"/>
  <c r="F190" i="79" a="1"/>
  <c r="F190" i="79" s="1"/>
  <c r="E190" i="79" a="1"/>
  <c r="E190" i="79" s="1"/>
  <c r="D190" i="79" a="1"/>
  <c r="D190" i="79" s="1"/>
  <c r="H189" i="79" a="1"/>
  <c r="H189" i="79" s="1"/>
  <c r="G189" i="79" a="1"/>
  <c r="G189" i="79" s="1"/>
  <c r="F189" i="79" a="1"/>
  <c r="F189" i="79" s="1"/>
  <c r="E189" i="79" a="1"/>
  <c r="E189" i="79" s="1"/>
  <c r="D189" i="79" a="1"/>
  <c r="D189" i="79" s="1"/>
  <c r="H188" i="79" a="1"/>
  <c r="H188" i="79" s="1"/>
  <c r="G188" i="79" a="1"/>
  <c r="G188" i="79" s="1"/>
  <c r="F188" i="79" a="1"/>
  <c r="F188" i="79" s="1"/>
  <c r="E188" i="79" a="1"/>
  <c r="E188" i="79" s="1"/>
  <c r="D188" i="79" a="1"/>
  <c r="D188" i="79" s="1"/>
  <c r="H187" i="79" a="1"/>
  <c r="H187" i="79" s="1"/>
  <c r="G187" i="79" a="1"/>
  <c r="G187" i="79" s="1"/>
  <c r="F187" i="79" a="1"/>
  <c r="F187" i="79" s="1"/>
  <c r="E187" i="79" a="1"/>
  <c r="E187" i="79" s="1"/>
  <c r="D187" i="79" a="1"/>
  <c r="D187" i="79" s="1"/>
  <c r="D181" i="79" a="1"/>
  <c r="D181" i="79" s="1"/>
  <c r="D180" i="79"/>
  <c r="D180" i="79" a="1"/>
  <c r="D179" i="79" a="1"/>
  <c r="D179" i="79" s="1"/>
  <c r="D178" i="79" a="1"/>
  <c r="D178" i="79" s="1"/>
  <c r="E175" i="79" a="1"/>
  <c r="E175" i="79" s="1"/>
  <c r="D175" i="79" a="1"/>
  <c r="D175" i="79" s="1"/>
  <c r="D174" i="79" a="1"/>
  <c r="D174" i="79" s="1"/>
  <c r="D173" i="79" a="1"/>
  <c r="D173" i="79" s="1"/>
  <c r="D170" i="79" a="1"/>
  <c r="D170" i="79" s="1"/>
  <c r="D169" i="79" a="1"/>
  <c r="D169" i="79" s="1"/>
  <c r="D168" i="79" a="1"/>
  <c r="D168" i="79" s="1"/>
  <c r="D167" i="79" a="1"/>
  <c r="D167" i="79" s="1"/>
  <c r="D164" i="79" a="1"/>
  <c r="D164" i="79" s="1"/>
  <c r="D163" i="79" a="1"/>
  <c r="D163" i="79" s="1"/>
  <c r="D162" i="79" a="1"/>
  <c r="D162" i="79" s="1"/>
  <c r="D161" i="79" a="1"/>
  <c r="D161" i="79" s="1"/>
  <c r="E158" i="79" a="1"/>
  <c r="E158" i="79" s="1"/>
  <c r="D158" i="79" a="1"/>
  <c r="D158" i="79" s="1"/>
  <c r="E157" i="79" a="1"/>
  <c r="E157" i="79" s="1"/>
  <c r="D157" i="79" a="1"/>
  <c r="D157" i="79" s="1"/>
  <c r="E156" i="79" a="1"/>
  <c r="E156" i="79" s="1"/>
  <c r="D156" i="79" a="1"/>
  <c r="D156" i="79" s="1"/>
  <c r="E155" i="79" a="1"/>
  <c r="E155" i="79" s="1"/>
  <c r="D155" i="79" a="1"/>
  <c r="D155" i="79" s="1"/>
  <c r="E154" i="79" a="1"/>
  <c r="E154" i="79" s="1"/>
  <c r="D154" i="79" a="1"/>
  <c r="D154" i="79" s="1"/>
  <c r="D151" i="79" a="1"/>
  <c r="D151" i="79" s="1"/>
  <c r="D150" i="79" a="1"/>
  <c r="D150" i="79" s="1"/>
  <c r="E147" i="79" a="1"/>
  <c r="E147" i="79" s="1"/>
  <c r="D147" i="79" a="1"/>
  <c r="D147" i="79" s="1"/>
  <c r="E146" i="79" a="1"/>
  <c r="E146" i="79" s="1"/>
  <c r="D146" i="79" a="1"/>
  <c r="D146" i="79" s="1"/>
  <c r="E145" i="79" a="1"/>
  <c r="E145" i="79" s="1"/>
  <c r="D145" i="79" a="1"/>
  <c r="D145" i="79" s="1"/>
  <c r="E144" i="79" a="1"/>
  <c r="E144" i="79" s="1"/>
  <c r="D144" i="79" a="1"/>
  <c r="D144" i="79" s="1"/>
  <c r="E143" i="79" a="1"/>
  <c r="E143" i="79" s="1"/>
  <c r="D143" i="79" a="1"/>
  <c r="D143" i="79" s="1"/>
  <c r="D141" i="79" a="1"/>
  <c r="D141" i="79" s="1"/>
  <c r="D140" i="79" a="1"/>
  <c r="D140" i="79" s="1"/>
  <c r="D139" i="79" a="1"/>
  <c r="D139" i="79" s="1"/>
  <c r="E136" i="79" a="1"/>
  <c r="E136" i="79" s="1"/>
  <c r="D136" i="79" a="1"/>
  <c r="D136" i="79" s="1"/>
  <c r="E135" i="79" a="1"/>
  <c r="E135" i="79" s="1"/>
  <c r="D135" i="79" a="1"/>
  <c r="D135" i="79" s="1"/>
  <c r="D133" i="79" a="1"/>
  <c r="D133" i="79" s="1"/>
  <c r="D132" i="79" a="1"/>
  <c r="D132" i="79" s="1"/>
  <c r="E129" i="79" a="1"/>
  <c r="E129" i="79" s="1"/>
  <c r="D129" i="79" a="1"/>
  <c r="D129" i="79" s="1"/>
  <c r="E128" i="79" a="1"/>
  <c r="E128" i="79" s="1"/>
  <c r="D128" i="79" a="1"/>
  <c r="D128" i="79" s="1"/>
  <c r="D125" i="79" a="1"/>
  <c r="D125" i="79" s="1"/>
  <c r="D124" i="79" a="1"/>
  <c r="D124" i="79" s="1"/>
  <c r="G121" i="79" a="1"/>
  <c r="G121" i="79" s="1"/>
  <c r="F121" i="79" a="1"/>
  <c r="F121" i="79" s="1"/>
  <c r="E121" i="79" a="1"/>
  <c r="E121" i="79" s="1"/>
  <c r="D121" i="79" a="1"/>
  <c r="D121" i="79" s="1"/>
  <c r="G120" i="79" a="1"/>
  <c r="G120" i="79" s="1"/>
  <c r="F120" i="79" a="1"/>
  <c r="F120" i="79" s="1"/>
  <c r="E120" i="79" a="1"/>
  <c r="E120" i="79" s="1"/>
  <c r="D120" i="79" a="1"/>
  <c r="D120" i="79" s="1"/>
  <c r="D117" i="79" a="1"/>
  <c r="D117" i="79" s="1"/>
  <c r="D116" i="79" a="1"/>
  <c r="D116" i="79" s="1"/>
  <c r="D115" i="79" a="1"/>
  <c r="D115" i="79" s="1"/>
  <c r="G112" i="79" a="1"/>
  <c r="G112" i="79" s="1"/>
  <c r="F112" i="79" a="1"/>
  <c r="F112" i="79" s="1"/>
  <c r="E112" i="79" a="1"/>
  <c r="E112" i="79" s="1"/>
  <c r="D112" i="79" a="1"/>
  <c r="D112" i="79" s="1"/>
  <c r="G111" i="79" a="1"/>
  <c r="G111" i="79" s="1"/>
  <c r="F111" i="79" a="1"/>
  <c r="F111" i="79" s="1"/>
  <c r="E111" i="79" a="1"/>
  <c r="E111" i="79" s="1"/>
  <c r="D111" i="79" a="1"/>
  <c r="D111" i="79" s="1"/>
  <c r="G110" i="79" a="1"/>
  <c r="G110" i="79" s="1"/>
  <c r="F110" i="79" a="1"/>
  <c r="F110" i="79" s="1"/>
  <c r="E110" i="79" a="1"/>
  <c r="E110" i="79" s="1"/>
  <c r="D110" i="79" a="1"/>
  <c r="D110" i="79" s="1"/>
  <c r="D107" i="79" a="1"/>
  <c r="D107" i="79" s="1"/>
  <c r="D106" i="79" a="1"/>
  <c r="D106" i="79" s="1"/>
  <c r="D105" i="79" a="1"/>
  <c r="D105" i="79" s="1"/>
  <c r="D99" i="79" a="1"/>
  <c r="D99" i="79" s="1"/>
  <c r="S97" i="79" a="1"/>
  <c r="S97" i="79" s="1"/>
  <c r="R97" i="79" a="1"/>
  <c r="R97" i="79" s="1"/>
  <c r="Q97" i="79" a="1"/>
  <c r="Q97" i="79" s="1"/>
  <c r="P97" i="79" a="1"/>
  <c r="P97" i="79" s="1"/>
  <c r="O97" i="79" a="1"/>
  <c r="O97" i="79" s="1"/>
  <c r="N97" i="79" a="1"/>
  <c r="N97" i="79" s="1"/>
  <c r="M97" i="79" a="1"/>
  <c r="M97" i="79" s="1"/>
  <c r="L97" i="79" a="1"/>
  <c r="L97" i="79" s="1"/>
  <c r="K97" i="79" a="1"/>
  <c r="K97" i="79" s="1"/>
  <c r="J97" i="79" a="1"/>
  <c r="J97" i="79" s="1"/>
  <c r="I97" i="79" a="1"/>
  <c r="I97" i="79" s="1"/>
  <c r="H97" i="79" a="1"/>
  <c r="H97" i="79" s="1"/>
  <c r="G97" i="79" a="1"/>
  <c r="G97" i="79" s="1"/>
  <c r="F97" i="79" a="1"/>
  <c r="F97" i="79" s="1"/>
  <c r="E97" i="79" a="1"/>
  <c r="E97" i="79" s="1"/>
  <c r="D97" i="79" a="1"/>
  <c r="D97" i="79" s="1"/>
  <c r="S96" i="79" a="1"/>
  <c r="S96" i="79" s="1"/>
  <c r="R96" i="79" a="1"/>
  <c r="R96" i="79" s="1"/>
  <c r="Q96" i="79" a="1"/>
  <c r="Q96" i="79" s="1"/>
  <c r="P96" i="79" a="1"/>
  <c r="P96" i="79" s="1"/>
  <c r="O96" i="79" a="1"/>
  <c r="O96" i="79" s="1"/>
  <c r="N96" i="79" a="1"/>
  <c r="N96" i="79" s="1"/>
  <c r="M96" i="79" a="1"/>
  <c r="M96" i="79" s="1"/>
  <c r="L96" i="79" a="1"/>
  <c r="L96" i="79" s="1"/>
  <c r="K96" i="79" a="1"/>
  <c r="K96" i="79" s="1"/>
  <c r="J96" i="79" a="1"/>
  <c r="J96" i="79" s="1"/>
  <c r="I96" i="79" a="1"/>
  <c r="I96" i="79" s="1"/>
  <c r="H96" i="79" a="1"/>
  <c r="H96" i="79" s="1"/>
  <c r="G96" i="79" a="1"/>
  <c r="G96" i="79" s="1"/>
  <c r="F96" i="79" a="1"/>
  <c r="F96" i="79" s="1"/>
  <c r="E96" i="79" a="1"/>
  <c r="E96" i="79" s="1"/>
  <c r="D96" i="79" a="1"/>
  <c r="D96" i="79" s="1"/>
  <c r="S95" i="79" a="1"/>
  <c r="S95" i="79" s="1"/>
  <c r="R95" i="79" a="1"/>
  <c r="R95" i="79" s="1"/>
  <c r="Q95" i="79" a="1"/>
  <c r="Q95" i="79" s="1"/>
  <c r="P95" i="79" a="1"/>
  <c r="P95" i="79" s="1"/>
  <c r="O95" i="79" a="1"/>
  <c r="O95" i="79" s="1"/>
  <c r="N95" i="79" a="1"/>
  <c r="N95" i="79" s="1"/>
  <c r="M95" i="79" a="1"/>
  <c r="M95" i="79" s="1"/>
  <c r="L95" i="79" a="1"/>
  <c r="L95" i="79" s="1"/>
  <c r="K95" i="79" a="1"/>
  <c r="K95" i="79" s="1"/>
  <c r="J95" i="79" a="1"/>
  <c r="J95" i="79" s="1"/>
  <c r="I95" i="79" a="1"/>
  <c r="I95" i="79" s="1"/>
  <c r="H95" i="79" a="1"/>
  <c r="H95" i="79" s="1"/>
  <c r="G95" i="79" a="1"/>
  <c r="G95" i="79" s="1"/>
  <c r="F95" i="79" a="1"/>
  <c r="F95" i="79" s="1"/>
  <c r="E95" i="79" a="1"/>
  <c r="E95" i="79" s="1"/>
  <c r="D95" i="79" a="1"/>
  <c r="D95" i="79" s="1"/>
  <c r="S94" i="79" a="1"/>
  <c r="S94" i="79" s="1"/>
  <c r="R94" i="79" a="1"/>
  <c r="R94" i="79" s="1"/>
  <c r="Q94" i="79" a="1"/>
  <c r="Q94" i="79" s="1"/>
  <c r="P94" i="79" a="1"/>
  <c r="P94" i="79" s="1"/>
  <c r="O94" i="79" a="1"/>
  <c r="O94" i="79" s="1"/>
  <c r="N94" i="79" a="1"/>
  <c r="N94" i="79" s="1"/>
  <c r="M94" i="79" a="1"/>
  <c r="M94" i="79" s="1"/>
  <c r="L94" i="79" a="1"/>
  <c r="L94" i="79" s="1"/>
  <c r="K94" i="79" a="1"/>
  <c r="K94" i="79" s="1"/>
  <c r="J94" i="79" a="1"/>
  <c r="J94" i="79" s="1"/>
  <c r="I94" i="79" a="1"/>
  <c r="I94" i="79" s="1"/>
  <c r="H94" i="79" a="1"/>
  <c r="H94" i="79" s="1"/>
  <c r="G94" i="79" a="1"/>
  <c r="G94" i="79" s="1"/>
  <c r="F94" i="79" a="1"/>
  <c r="F94" i="79" s="1"/>
  <c r="E94" i="79" a="1"/>
  <c r="E94" i="79" s="1"/>
  <c r="D94" i="79" a="1"/>
  <c r="D94" i="79" s="1"/>
  <c r="S93" i="79" a="1"/>
  <c r="S93" i="79" s="1"/>
  <c r="R93" i="79" a="1"/>
  <c r="R93" i="79" s="1"/>
  <c r="Q93" i="79" a="1"/>
  <c r="Q93" i="79" s="1"/>
  <c r="P93" i="79" a="1"/>
  <c r="P93" i="79" s="1"/>
  <c r="O93" i="79" a="1"/>
  <c r="O93"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S92" i="79" a="1"/>
  <c r="S92" i="79" s="1"/>
  <c r="R92" i="79" a="1"/>
  <c r="R92" i="79" s="1"/>
  <c r="Q92" i="79" a="1"/>
  <c r="Q92" i="79" s="1"/>
  <c r="P92" i="79" a="1"/>
  <c r="P92" i="79" s="1"/>
  <c r="O92" i="79" a="1"/>
  <c r="O92"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S91" i="79" a="1"/>
  <c r="S91" i="79" s="1"/>
  <c r="R91" i="79" a="1"/>
  <c r="R91" i="79" s="1"/>
  <c r="Q91" i="79" a="1"/>
  <c r="Q91" i="79" s="1"/>
  <c r="P91" i="79" a="1"/>
  <c r="P91" i="79" s="1"/>
  <c r="O91" i="79" a="1"/>
  <c r="O91"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S90" i="79" a="1"/>
  <c r="S90" i="79" s="1"/>
  <c r="R90" i="79" a="1"/>
  <c r="R90" i="79" s="1"/>
  <c r="Q90" i="79" a="1"/>
  <c r="Q90" i="79" s="1"/>
  <c r="P90" i="79" a="1"/>
  <c r="P90" i="79" s="1"/>
  <c r="O90" i="79" a="1"/>
  <c r="O90"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D83" i="79" a="1"/>
  <c r="D83" i="79" s="1"/>
  <c r="D82" i="79" a="1"/>
  <c r="D82" i="79" s="1"/>
  <c r="D81" i="79" a="1"/>
  <c r="D81" i="79" s="1"/>
  <c r="E77" i="79" a="1"/>
  <c r="E77" i="79" s="1"/>
  <c r="D77" i="79" a="1"/>
  <c r="D77" i="79" s="1"/>
  <c r="E76" i="79" a="1"/>
  <c r="E76" i="79" s="1"/>
  <c r="D76" i="79" a="1"/>
  <c r="D76" i="79" s="1"/>
  <c r="E75" i="79" a="1"/>
  <c r="E75" i="79" s="1"/>
  <c r="D75" i="79" a="1"/>
  <c r="D75" i="79" s="1"/>
  <c r="E74" i="79" a="1"/>
  <c r="E74" i="79" s="1"/>
  <c r="D74" i="79" a="1"/>
  <c r="D74" i="79" s="1"/>
  <c r="E73" i="79" a="1"/>
  <c r="E73" i="79" s="1"/>
  <c r="D73" i="79" a="1"/>
  <c r="D73" i="79" s="1"/>
  <c r="E72" i="79" a="1"/>
  <c r="E72" i="79" s="1"/>
  <c r="D72" i="79" a="1"/>
  <c r="D72" i="79" s="1"/>
  <c r="E71" i="79" a="1"/>
  <c r="E71" i="79" s="1"/>
  <c r="D71" i="79" a="1"/>
  <c r="D71" i="79" s="1"/>
  <c r="E70" i="79" a="1"/>
  <c r="E70" i="79" s="1"/>
  <c r="D70" i="79" a="1"/>
  <c r="D70" i="79" s="1"/>
  <c r="E69" i="79" a="1"/>
  <c r="E69" i="79" s="1"/>
  <c r="D69" i="79" a="1"/>
  <c r="D69" i="79" s="1"/>
  <c r="E68" i="79" a="1"/>
  <c r="E68" i="79" s="1"/>
  <c r="D68" i="79" a="1"/>
  <c r="D68" i="79" s="1"/>
  <c r="E67" i="79" a="1"/>
  <c r="E67" i="79" s="1"/>
  <c r="D67" i="79" a="1"/>
  <c r="D67" i="79" s="1"/>
  <c r="E66" i="79" a="1"/>
  <c r="E66" i="79" s="1"/>
  <c r="D66" i="79" a="1"/>
  <c r="D66" i="79" s="1"/>
  <c r="E65" i="79" a="1"/>
  <c r="E65" i="79" s="1"/>
  <c r="D65" i="79" a="1"/>
  <c r="D65" i="79" s="1"/>
  <c r="E64" i="79" a="1"/>
  <c r="E64" i="79" s="1"/>
  <c r="D64" i="79" a="1"/>
  <c r="D64" i="79" s="1"/>
  <c r="D59" i="79" a="1"/>
  <c r="D59" i="79" s="1"/>
  <c r="D58" i="79" a="1"/>
  <c r="D58" i="79" s="1"/>
  <c r="D57" i="79" a="1"/>
  <c r="D57" i="79" s="1"/>
  <c r="G54" i="79" a="1"/>
  <c r="G54" i="79" s="1"/>
  <c r="F54" i="79" a="1"/>
  <c r="F54" i="79" s="1"/>
  <c r="E54" i="79" a="1"/>
  <c r="E54" i="79" s="1"/>
  <c r="D54" i="79" a="1"/>
  <c r="D54" i="79" s="1"/>
  <c r="G53" i="79" a="1"/>
  <c r="G53" i="79" s="1"/>
  <c r="F53" i="79" a="1"/>
  <c r="F53" i="79" s="1"/>
  <c r="E53" i="79" a="1"/>
  <c r="E53" i="79" s="1"/>
  <c r="D53" i="79" a="1"/>
  <c r="D53" i="79" s="1"/>
  <c r="G52" i="79" a="1"/>
  <c r="G52" i="79" s="1"/>
  <c r="F52" i="79" a="1"/>
  <c r="F52" i="79" s="1"/>
  <c r="E52" i="79" a="1"/>
  <c r="E52" i="79" s="1"/>
  <c r="D52" i="79" a="1"/>
  <c r="D52" i="79" s="1"/>
  <c r="G51" i="79" a="1"/>
  <c r="G51" i="79" s="1"/>
  <c r="F51" i="79" a="1"/>
  <c r="F51" i="79" s="1"/>
  <c r="E51" i="79" a="1"/>
  <c r="E51" i="79" s="1"/>
  <c r="D51" i="79" a="1"/>
  <c r="D51" i="79" s="1"/>
  <c r="G50" i="79" a="1"/>
  <c r="G50" i="79" s="1"/>
  <c r="F50" i="79" a="1"/>
  <c r="F50" i="79" s="1"/>
  <c r="E50" i="79" a="1"/>
  <c r="E50" i="79" s="1"/>
  <c r="D50" i="79" a="1"/>
  <c r="D50" i="79" s="1"/>
  <c r="G49" i="79" a="1"/>
  <c r="G49" i="79" s="1"/>
  <c r="F49" i="79" a="1"/>
  <c r="F49" i="79" s="1"/>
  <c r="E49" i="79" a="1"/>
  <c r="E49" i="79" s="1"/>
  <c r="D49" i="79" a="1"/>
  <c r="D49" i="79" s="1"/>
  <c r="G48" i="79" a="1"/>
  <c r="G48" i="79" s="1"/>
  <c r="F48" i="79" a="1"/>
  <c r="F48" i="79" s="1"/>
  <c r="E48" i="79" a="1"/>
  <c r="E48" i="79" s="1"/>
  <c r="D48" i="79" a="1"/>
  <c r="D48" i="79" s="1"/>
  <c r="D46" i="79" a="1"/>
  <c r="D46" i="79" s="1"/>
  <c r="D45" i="79" a="1"/>
  <c r="D45" i="79" s="1"/>
  <c r="E43" i="79" a="1"/>
  <c r="E43" i="79" s="1"/>
  <c r="D43" i="79" a="1"/>
  <c r="D43" i="79" s="1"/>
  <c r="E42" i="79" a="1"/>
  <c r="E42" i="79" s="1"/>
  <c r="D42" i="79" a="1"/>
  <c r="D42" i="79" s="1"/>
  <c r="E41" i="79" a="1"/>
  <c r="E41" i="79" s="1"/>
  <c r="D41" i="79" a="1"/>
  <c r="D41" i="79" s="1"/>
  <c r="E40" i="79" a="1"/>
  <c r="E40" i="79" s="1"/>
  <c r="D40" i="79" a="1"/>
  <c r="D40" i="79" s="1"/>
  <c r="E39" i="79" a="1"/>
  <c r="E39" i="79" s="1"/>
  <c r="D39" i="79" a="1"/>
  <c r="D39" i="79" s="1"/>
  <c r="E38" i="79" a="1"/>
  <c r="E38" i="79" s="1"/>
  <c r="D38" i="79" a="1"/>
  <c r="D38" i="79" s="1"/>
  <c r="E37" i="79" a="1"/>
  <c r="E37" i="79" s="1"/>
  <c r="D37" i="79" a="1"/>
  <c r="D37" i="79" s="1"/>
  <c r="D35" i="79" a="1"/>
  <c r="D35" i="79" s="1"/>
  <c r="D34" i="79" a="1"/>
  <c r="D34" i="79" s="1"/>
  <c r="D30" i="79" a="1"/>
  <c r="D30" i="79" s="1"/>
  <c r="D29" i="79" a="1"/>
  <c r="D29" i="79" s="1"/>
  <c r="D28" i="79" a="1"/>
  <c r="D28" i="79" s="1"/>
  <c r="D27" i="79" a="1"/>
  <c r="D27" i="79" s="1"/>
  <c r="D26" i="79" a="1"/>
  <c r="D26" i="79" s="1"/>
  <c r="D25" i="79" a="1"/>
  <c r="D25" i="79" s="1"/>
  <c r="D24" i="79" a="1"/>
  <c r="D24" i="79" s="1"/>
  <c r="D23" i="79" a="1"/>
  <c r="D23" i="79" s="1"/>
  <c r="D22" i="79" a="1"/>
  <c r="D22" i="79" s="1"/>
  <c r="D21" i="79" a="1"/>
  <c r="D21" i="79" s="1"/>
  <c r="D19" i="79" a="1"/>
  <c r="D19" i="79" s="1"/>
  <c r="D18" i="79" a="1"/>
  <c r="D18" i="79" s="1"/>
  <c r="F14" i="79" a="1"/>
  <c r="F14" i="79" s="1"/>
  <c r="E14" i="79" a="1"/>
  <c r="E14" i="79" s="1"/>
  <c r="D14" i="79" a="1"/>
  <c r="D14" i="79" s="1"/>
  <c r="F13" i="79" a="1"/>
  <c r="F13" i="79" s="1"/>
  <c r="E13" i="79" a="1"/>
  <c r="E13" i="79" s="1"/>
  <c r="D13" i="79" a="1"/>
  <c r="D13" i="79" s="1"/>
  <c r="F12" i="79" a="1"/>
  <c r="F12" i="79" s="1"/>
  <c r="E12" i="79" a="1"/>
  <c r="E12" i="79" s="1"/>
  <c r="D12" i="79" a="1"/>
  <c r="D12" i="79" s="1"/>
  <c r="F11" i="79" a="1"/>
  <c r="F11" i="79" s="1"/>
  <c r="E11" i="79" a="1"/>
  <c r="E11" i="79" s="1"/>
  <c r="D11" i="79" a="1"/>
  <c r="D11" i="79" s="1"/>
  <c r="F10" i="79" a="1"/>
  <c r="F10" i="79" s="1"/>
  <c r="E10" i="79" a="1"/>
  <c r="E10" i="79" s="1"/>
  <c r="D10" i="79" a="1"/>
  <c r="D10" i="79" s="1"/>
  <c r="F9" i="79" a="1"/>
  <c r="F9" i="79" s="1"/>
  <c r="E9" i="79" a="1"/>
  <c r="E9" i="79" s="1"/>
  <c r="D9" i="79" a="1"/>
  <c r="D9" i="79" s="1"/>
  <c r="F8" i="79" a="1"/>
  <c r="F8" i="79" s="1"/>
  <c r="E8" i="79" a="1"/>
  <c r="E8" i="79" s="1"/>
  <c r="D8" i="79" a="1"/>
  <c r="D8" i="79" s="1"/>
  <c r="A8" i="79"/>
  <c r="F7" i="79" a="1"/>
  <c r="F7" i="79" s="1"/>
  <c r="E7" i="79" a="1"/>
  <c r="E7" i="79" s="1"/>
  <c r="D7" i="79" a="1"/>
  <c r="D7" i="79" s="1"/>
  <c r="A7" i="79"/>
  <c r="D5" i="79" a="1"/>
  <c r="D5" i="79" s="1"/>
  <c r="A3" i="79"/>
  <c r="A8" i="71"/>
  <c r="A7" i="71"/>
  <c r="A3" i="71"/>
  <c r="E19" i="75" l="1"/>
  <c r="H51" i="79"/>
  <c r="E22" i="75"/>
  <c r="E20" i="75"/>
  <c r="E21" i="75" s="1"/>
  <c r="H50" i="79"/>
  <c r="H48" i="79"/>
  <c r="H54" i="79"/>
  <c r="H49" i="79"/>
  <c r="H52" i="79"/>
  <c r="H53" i="79"/>
  <c r="E22" i="72"/>
  <c r="E24" i="72" l="1" a="1"/>
  <c r="E24" i="72" s="1"/>
  <c r="F24" i="72"/>
  <c r="I16" i="77" l="1"/>
  <c r="I15" i="77"/>
  <c r="I14" i="77"/>
  <c r="I13" i="77"/>
  <c r="I12" i="77"/>
  <c r="I11" i="77"/>
  <c r="I10" i="77"/>
  <c r="I9" i="77"/>
  <c r="I8" i="77"/>
  <c r="I7" i="77"/>
  <c r="F17" i="13" l="1" a="1"/>
  <c r="F17" i="13" s="1"/>
  <c r="I17" i="13" s="1" a="1"/>
  <c r="I17" i="13" s="1"/>
  <c r="E17" i="13" a="1"/>
  <c r="E17" i="13" s="1"/>
  <c r="H17" i="13" s="1" a="1"/>
  <c r="H17" i="13" s="1"/>
  <c r="F16" i="13" a="1"/>
  <c r="F16" i="13" s="1"/>
  <c r="I16" i="13" s="1" a="1"/>
  <c r="I16" i="13" s="1"/>
  <c r="E16" i="13" a="1"/>
  <c r="E16" i="13" s="1"/>
  <c r="H16" i="13" s="1" a="1"/>
  <c r="H16" i="13" s="1"/>
  <c r="F15" i="13" a="1"/>
  <c r="F15" i="13" s="1"/>
  <c r="I15" i="13" s="1" a="1"/>
  <c r="I15" i="13" s="1"/>
  <c r="E15" i="13" a="1"/>
  <c r="E15" i="13" s="1"/>
  <c r="H15" i="13" s="1" a="1"/>
  <c r="H15" i="13" s="1"/>
  <c r="F14" i="13" a="1"/>
  <c r="F14" i="13" s="1"/>
  <c r="I14" i="13" s="1" a="1"/>
  <c r="I14" i="13" s="1"/>
  <c r="E14" i="13" a="1"/>
  <c r="E14" i="13" s="1"/>
  <c r="H14" i="13" s="1" a="1"/>
  <c r="H14" i="13" s="1"/>
  <c r="F13" i="13" a="1"/>
  <c r="F13" i="13" s="1"/>
  <c r="I13" i="13" s="1" a="1"/>
  <c r="I13" i="13" s="1"/>
  <c r="E13" i="13" a="1"/>
  <c r="E13" i="13" s="1"/>
  <c r="H13" i="13" s="1" a="1"/>
  <c r="H13" i="13" s="1"/>
  <c r="F12" i="13" a="1"/>
  <c r="F12" i="13" s="1"/>
  <c r="I12" i="13" s="1" a="1"/>
  <c r="I12" i="13" s="1"/>
  <c r="E12" i="13" a="1"/>
  <c r="E12" i="13" s="1"/>
  <c r="H12" i="13" s="1" a="1"/>
  <c r="H12" i="13" s="1"/>
  <c r="F11" i="13" a="1"/>
  <c r="F11" i="13" s="1"/>
  <c r="I11" i="13" s="1" a="1"/>
  <c r="I11" i="13" s="1"/>
  <c r="E11" i="13" a="1"/>
  <c r="E11" i="13" s="1"/>
  <c r="H11" i="13" s="1" a="1"/>
  <c r="H11" i="13" s="1"/>
  <c r="F10" i="13" l="1" a="1"/>
  <c r="F10" i="13" s="1"/>
  <c r="I10" i="13" s="1" a="1"/>
  <c r="I10" i="13" s="1"/>
  <c r="E10" i="13" a="1"/>
  <c r="E10" i="13" s="1"/>
  <c r="H10" i="13" s="1" a="1"/>
  <c r="H10" i="13" s="1"/>
  <c r="E10" i="76" l="1" a="1"/>
  <c r="E10" i="76" s="1"/>
  <c r="E9" i="76" a="1"/>
  <c r="E9" i="76" s="1"/>
  <c r="E33" i="13" l="1" a="1"/>
  <c r="E33" i="13" s="1"/>
  <c r="E32" i="13" a="1"/>
  <c r="E32" i="13" s="1"/>
  <c r="H32" i="13" s="1"/>
  <c r="E31" i="13" a="1"/>
  <c r="E31" i="13" s="1"/>
  <c r="H31" i="13" s="1" a="1"/>
  <c r="H31" i="13" s="1"/>
  <c r="E30" i="13" a="1"/>
  <c r="E30" i="13" s="1"/>
  <c r="E29" i="13" a="1"/>
  <c r="E29" i="13" s="1"/>
  <c r="H29" i="13" s="1"/>
  <c r="E28" i="13" a="1"/>
  <c r="E28" i="13" s="1"/>
  <c r="E27" i="13" a="1"/>
  <c r="E27" i="13" s="1"/>
  <c r="H27" i="13" s="1" a="1"/>
  <c r="H27" i="13" s="1"/>
  <c r="E26" i="13" a="1"/>
  <c r="E26" i="13" s="1"/>
  <c r="H26" i="13" s="1"/>
  <c r="F25" i="13" a="1"/>
  <c r="F25" i="13" s="1"/>
  <c r="I25" i="13" s="1" a="1"/>
  <c r="I25" i="13" s="1"/>
  <c r="E25" i="13" a="1"/>
  <c r="E25" i="13" s="1"/>
  <c r="H25" i="13" s="1" a="1"/>
  <c r="H25" i="13" s="1"/>
  <c r="F24" i="13" a="1"/>
  <c r="F24" i="13" s="1"/>
  <c r="I24" i="13" s="1" a="1"/>
  <c r="I24" i="13" s="1"/>
  <c r="E24" i="13" a="1"/>
  <c r="E24" i="13" s="1"/>
  <c r="H24" i="13" s="1" a="1"/>
  <c r="H24" i="13" s="1"/>
  <c r="E23" i="13" a="1"/>
  <c r="E23" i="13" s="1"/>
  <c r="H23" i="13" s="1" a="1"/>
  <c r="H23" i="13" s="1"/>
  <c r="E22" i="13" a="1"/>
  <c r="E22" i="13" s="1"/>
  <c r="H22" i="13" s="1" a="1"/>
  <c r="H22" i="13" s="1"/>
  <c r="E21" i="13" a="1"/>
  <c r="E21" i="13" s="1"/>
  <c r="E20" i="13" a="1"/>
  <c r="E20" i="13" s="1"/>
  <c r="H20" i="13" s="1" a="1"/>
  <c r="H20" i="13" s="1"/>
  <c r="E19" i="13" a="1"/>
  <c r="E19" i="13" s="1"/>
  <c r="F19" i="13" s="1"/>
  <c r="I19" i="13" s="1"/>
  <c r="F18" i="13" a="1"/>
  <c r="F18" i="13" s="1"/>
  <c r="I18" i="13" s="1" a="1"/>
  <c r="I18" i="13" s="1"/>
  <c r="E18" i="13" a="1"/>
  <c r="E18" i="13" s="1"/>
  <c r="H18" i="13" s="1" a="1"/>
  <c r="H18" i="13" s="1"/>
  <c r="E13" i="72"/>
  <c r="D5" i="13" s="1"/>
  <c r="E18" i="75"/>
  <c r="A20" i="75"/>
  <c r="A19" i="75"/>
  <c r="A18" i="75"/>
  <c r="A17" i="75"/>
  <c r="A14" i="75"/>
  <c r="A13" i="75"/>
  <c r="A12" i="75"/>
  <c r="A11" i="75"/>
  <c r="A8" i="75"/>
  <c r="A7" i="75"/>
  <c r="A4" i="75"/>
  <c r="A3" i="75"/>
  <c r="E20" i="72"/>
  <c r="F30" i="13" l="1"/>
  <c r="I30" i="13" s="1" a="1"/>
  <c r="I30" i="13" s="1"/>
  <c r="H30" i="13" a="1"/>
  <c r="H30" i="13" s="1"/>
  <c r="F28" i="13"/>
  <c r="I28" i="13" s="1" a="1"/>
  <c r="I28" i="13" s="1"/>
  <c r="H28" i="13" a="1"/>
  <c r="H28" i="13" s="1"/>
  <c r="H34" i="13"/>
  <c r="I34" i="13"/>
  <c r="F26" i="13"/>
  <c r="I26" i="13" s="1"/>
  <c r="F22" i="13"/>
  <c r="I22" i="13" s="1" a="1"/>
  <c r="I22" i="13" s="1"/>
  <c r="F32" i="13"/>
  <c r="I32" i="13" s="1"/>
  <c r="F27" i="13"/>
  <c r="I27" i="13" s="1" a="1"/>
  <c r="I27" i="13" s="1"/>
  <c r="H33" i="13"/>
  <c r="F33" i="13"/>
  <c r="I33" i="13" s="1"/>
  <c r="F21" i="13"/>
  <c r="I21" i="13" s="1"/>
  <c r="H21" i="13"/>
  <c r="F23" i="13"/>
  <c r="I23" i="13" s="1" a="1"/>
  <c r="I23" i="13" s="1"/>
  <c r="H19" i="13"/>
  <c r="F29" i="13"/>
  <c r="I29" i="13" s="1"/>
  <c r="F31" i="13"/>
  <c r="I31" i="13" s="1" a="1"/>
  <c r="I31" i="13" s="1"/>
  <c r="F20" i="13"/>
  <c r="I20" i="13" s="1" a="1"/>
  <c r="I20" i="13" s="1"/>
  <c r="E73" i="13" l="1"/>
  <c r="E36" i="80" s="1"/>
  <c r="I41" i="13"/>
  <c r="F73" i="13" s="1"/>
  <c r="F36" i="80" s="1"/>
  <c r="H41" i="13"/>
  <c r="A20" i="13"/>
  <c r="A19" i="13"/>
  <c r="A18" i="13"/>
  <c r="A17" i="13"/>
  <c r="A14" i="13"/>
  <c r="A13" i="13"/>
  <c r="A12" i="13"/>
  <c r="A11" i="13"/>
  <c r="A8" i="13"/>
  <c r="A7" i="13"/>
  <c r="A4" i="13"/>
  <c r="A3" i="13"/>
  <c r="I54" i="80" l="1"/>
  <c r="I46" i="80"/>
  <c r="I44" i="80"/>
  <c r="H54" i="80"/>
  <c r="H44" i="80"/>
  <c r="H46" i="80"/>
  <c r="E53" i="72"/>
  <c r="E74" i="13"/>
  <c r="F53" i="72"/>
  <c r="F37" i="80"/>
  <c r="I55" i="80" l="1"/>
  <c r="I47" i="80"/>
  <c r="I45" i="80"/>
  <c r="E37" i="80"/>
  <c r="F77" i="72"/>
  <c r="F81" i="72" s="1"/>
  <c r="F57" i="72"/>
  <c r="E77" i="72"/>
  <c r="E81" i="72" s="1"/>
  <c r="E57" i="72"/>
  <c r="H55" i="80" l="1"/>
  <c r="H45" i="80"/>
  <c r="H47" i="8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<sst xmlns="http://schemas.openxmlformats.org/spreadsheetml/2006/main" count="487" uniqueCount="292">
  <si>
    <t>Home</t>
  </si>
  <si>
    <t>INPUTS</t>
  </si>
  <si>
    <t>APPENDICES</t>
  </si>
  <si>
    <t>CALCULATIONS</t>
  </si>
  <si>
    <t>Scope 1 source</t>
  </si>
  <si>
    <t>GHG Unit</t>
  </si>
  <si>
    <t>t CH4</t>
  </si>
  <si>
    <t>t CO2e</t>
  </si>
  <si>
    <t>GHG emissions method 1</t>
  </si>
  <si>
    <t>GHG emissions method 2</t>
  </si>
  <si>
    <t>CO2-e emissions method 1</t>
  </si>
  <si>
    <t>CO2-e emissions method 2</t>
  </si>
  <si>
    <t>t N2O</t>
  </si>
  <si>
    <t>Production timeframe start</t>
  </si>
  <si>
    <t>Production timeframe end</t>
  </si>
  <si>
    <t>Production timeframe length</t>
  </si>
  <si>
    <t>Emissions calculation period start date</t>
  </si>
  <si>
    <t>Emissions calculation period end date</t>
  </si>
  <si>
    <t>Production</t>
  </si>
  <si>
    <t>Liveweight sold</t>
  </si>
  <si>
    <t>tonnes</t>
  </si>
  <si>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</si>
  <si>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</si>
  <si>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</si>
  <si>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</si>
  <si>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</si>
  <si>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</si>
  <si>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</si>
  <si>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</si>
  <si>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</si>
  <si>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</si>
  <si>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</si>
  <si>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</si>
  <si>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</si>
  <si>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</si>
  <si>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</si>
  <si>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</si>
  <si>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</si>
  <si>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</si>
  <si>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</si>
  <si>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</si>
  <si>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</si>
  <si>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</si>
  <si>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</si>
  <si>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</si>
  <si>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</si>
  <si>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</si>
  <si>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</si>
  <si>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</si>
  <si>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</si>
  <si>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</si>
  <si>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</si>
  <si>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</si>
  <si>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</si>
  <si>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</si>
  <si>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</si>
  <si>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</si>
  <si>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</si>
  <si>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</si>
  <si>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</si>
  <si>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</si>
  <si>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</si>
  <si>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</si>
  <si>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</si>
  <si>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</si>
  <si>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</si>
  <si>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</si>
  <si>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</si>
  <si>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</si>
  <si>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</si>
  <si>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</si>
  <si>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</si>
  <si>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</si>
  <si>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</si>
  <si>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</si>
  <si>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</si>
  <si>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</si>
  <si>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</si>
  <si>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</si>
  <si>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</si>
  <si>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</si>
  <si>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</si>
  <si>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</si>
  <si>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</si>
  <si>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</si>
  <si>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</si>
  <si>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</si>
  <si>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</si>
  <si>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</si>
  <si>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</si>
  <si>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</si>
  <si>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</si>
  <si>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</si>
  <si>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</si>
  <si>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r>
      <rPr>
        <sz val="12"/>
        <color theme="1" tint="0.34998626667073579"/>
        <rFont val="Times New Roman"/>
        <family val="1"/>
      </rPr>
      <t xml:space="preserve">← </t>
    </r>
    <r>
      <rPr>
        <i/>
        <sz val="12"/>
        <color theme="1" tint="0.34998626667073579"/>
        <rFont val="Times New Roman"/>
        <family val="1"/>
      </rPr>
      <t>DD/MM/YYYY or DD Month YYYY</t>
    </r>
  </si>
  <si>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</si>
  <si>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</si>
  <si>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</si>
  <si>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</si>
  <si>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</si>
  <si>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</si>
  <si>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r>
      <rPr>
        <sz val="12"/>
        <color theme="1" tint="0.34998626667073579"/>
        <rFont val="Times New Roman"/>
        <family val="1"/>
      </rPr>
      <t xml:space="preserve">← </t>
    </r>
    <r>
      <rPr>
        <i/>
        <sz val="12"/>
        <color theme="1" tint="0.34998626667073579"/>
        <rFont val="Times New Roman"/>
        <family val="1"/>
      </rPr>
      <t>Please select</t>
    </r>
  </si>
  <si>
    <t>Region (ABS Statistical area level 4) if state is WA</t>
  </si>
  <si>
    <t>Western Australia - Outback (South)</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</si>
  <si>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</si>
  <si>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</si>
  <si>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</si>
  <si>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</si>
  <si>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</si>
  <si>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</si>
  <si>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</si>
  <si>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</si>
  <si>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</si>
  <si>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</si>
  <si>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</si>
  <si>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</si>
  <si>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t>Emissions calculation cycle</t>
  </si>
  <si>
    <t>Months</t>
  </si>
  <si>
    <t>Amount (tonnnes)</t>
  </si>
  <si>
    <t>Unit</t>
  </si>
  <si>
    <t>t co2e/t liveweight sold</t>
  </si>
  <si>
    <t>Emissions intensity (Method 1)</t>
  </si>
  <si>
    <t>Emissions intensity (Method 2)</t>
  </si>
  <si>
    <t>Product type</t>
  </si>
  <si>
    <t>Main product</t>
  </si>
  <si>
    <t>Co-product</t>
  </si>
  <si>
    <t>CO2 removed attributed to this enterprise</t>
  </si>
  <si>
    <t>t CO2</t>
  </si>
  <si>
    <t>Total emissions for production cycle</t>
  </si>
  <si>
    <t>Total carbon removals for production cycle</t>
  </si>
  <si>
    <t>Method 1</t>
  </si>
  <si>
    <t>Method 2</t>
  </si>
  <si>
    <t>Product</t>
  </si>
  <si>
    <t>5.1.1.1-2 Inorganic fert N2O</t>
  </si>
  <si>
    <t>5.1.1.3-4 Inorganic fert CO2</t>
  </si>
  <si>
    <t>5.2.1.1-2 Organic fert N2O</t>
  </si>
  <si>
    <t>5.3.1.1-2 Lime CO2</t>
  </si>
  <si>
    <t>5.4.1.1-4 Atmos. deposition</t>
  </si>
  <si>
    <t>5.5.1.1-2 Leaching &amp; runoff</t>
  </si>
  <si>
    <t>6.2.1.1-2 Pasture residue N2O</t>
  </si>
  <si>
    <t>6.3.1.1-2 Leach &amp; runoff (pasture)</t>
  </si>
  <si>
    <t>8.1.1.1-2 Transport fuel CO2</t>
  </si>
  <si>
    <t>8.1.1.1-2 Transport fuel N2O</t>
  </si>
  <si>
    <t>8.1.1.1-2 Transport fuel CH4</t>
  </si>
  <si>
    <t>8.2.1.1-2 Stationary fuel CO2</t>
  </si>
  <si>
    <t>8.2.1.1-2 Stationary fuel CH4</t>
  </si>
  <si>
    <t>8.2.1.1-2 Stationary fuel N2O</t>
  </si>
  <si>
    <t>14.1.1-2 Purchased electricity (Location-based)</t>
  </si>
  <si>
    <t>14.1.1-2 Purchased electricity (Market-based)</t>
  </si>
  <si>
    <t>Input - Enterprise</t>
  </si>
  <si>
    <t>percent</t>
  </si>
  <si>
    <t>Percentage of income from liveweight sold</t>
  </si>
  <si>
    <t>Percentage of income from manure sold</t>
  </si>
  <si>
    <t>Product emissions - Mass</t>
  </si>
  <si>
    <t>Product emissions - Economic</t>
  </si>
  <si>
    <t>Mass emissions assignment</t>
  </si>
  <si>
    <t>Economic emissions assignment</t>
  </si>
  <si>
    <t>Liveweight sold - excluding removals</t>
  </si>
  <si>
    <t>Liveweight sold - net emissions</t>
  </si>
  <si>
    <t>Manure sold - excluding removals</t>
  </si>
  <si>
    <t>Manure sold - net emissions</t>
  </si>
  <si>
    <t>Input - Fertiliser Production System</t>
  </si>
  <si>
    <t>Production system</t>
  </si>
  <si>
    <t>Crop type</t>
  </si>
  <si>
    <t>Area under cropping</t>
  </si>
  <si>
    <t>Pasture</t>
  </si>
  <si>
    <t>These inputs are used for fertiliser calculations, and they take their values from the "Input - Pasture" sheet. Do not edit these cells.</t>
  </si>
  <si>
    <t>3.3.1.1-2 Enteric methane</t>
  </si>
  <si>
    <t>4.3.1.1-2 Manure methane</t>
  </si>
  <si>
    <t>4.3.1.3-4 Manure direct N2O</t>
  </si>
  <si>
    <t>4.3.1.5 Manure atmospheric deposition</t>
  </si>
  <si>
    <t>4.3.1.6-7 Manure leaching and runoff</t>
  </si>
  <si>
    <t>4.3.1.9 Soil direct N2O</t>
  </si>
  <si>
    <t>4.3.1.10-11 Soil atmospheric deposition</t>
  </si>
  <si>
    <t>4.3.1.12-13 Soil leaching and runoff</t>
  </si>
  <si>
    <t>Input - Livestock sales</t>
  </si>
  <si>
    <t>⚠️ Livestock sales are not automatically reflected in the duration and head tables - you will need to manually adjust head count and average liveweight</t>
  </si>
  <si>
    <t>Transaction name</t>
  </si>
  <si>
    <t>Class (select)</t>
  </si>
  <si>
    <t>Sale date</t>
  </si>
  <si>
    <t>Head sold</t>
  </si>
  <si>
    <t>Average weight per head (kg)</t>
  </si>
  <si>
    <t>Total liveweight sold</t>
  </si>
  <si>
    <t>Milk produced</t>
  </si>
  <si>
    <t>Milk produced unit</t>
  </si>
  <si>
    <t>Percentage of income from milk sold</t>
  </si>
  <si>
    <t>Manure sold</t>
  </si>
  <si>
    <t>Milk sold - excluding removals</t>
  </si>
  <si>
    <t>Milk sold - net emissions</t>
  </si>
  <si>
    <t>Input - Data quality</t>
  </si>
  <si>
    <t>Input</t>
  </si>
  <si>
    <t>Temporal representativeness</t>
  </si>
  <si>
    <t>Spatial resolution</t>
  </si>
  <si>
    <t>Sample size</t>
  </si>
  <si>
    <t>Notes</t>
  </si>
  <si>
    <t>Evidence files</t>
  </si>
  <si>
    <t>Score</t>
  </si>
  <si>
    <t>Input name</t>
  </si>
  <si>
    <t>TR4</t>
  </si>
  <si>
    <t>SR5</t>
  </si>
  <si>
    <t>SS3</t>
  </si>
  <si>
    <t>Data quality scoring</t>
  </si>
  <si>
    <t>Table_SourceData_DataQuality_TemporalRepresentativeness</t>
  </si>
  <si>
    <t>Description</t>
  </si>
  <si>
    <t>ID</t>
  </si>
  <si>
    <t>Data collected covers the time-period for which emissions are being estimated  </t>
  </si>
  <si>
    <t>TR5</t>
  </si>
  <si>
    <t>Data collected represents activities that occurred within 2 years of the time-period being assessed  </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</si>
  <si>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</si>
  <si>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</si>
  <si>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</si>
  <si>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</si>
  <si>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</si>
  <si>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</si>
  <si>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</si>
  <si>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</si>
  <si>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</si>
  <si>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</si>
  <si>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</si>
  <si>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</si>
  <si>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</si>
  <si>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</si>
  <si>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</si>
  <si>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</si>
  <si>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</si>
  <si>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</si>
  <si>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</si>
  <si>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</si>
  <si>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</si>
  <si>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</si>
  <si>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</si>
  <si>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</si>
  <si>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</si>
  <si>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</si>
  <si>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</si>
  <si>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</si>
  <si>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</si>
  <si>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</si>
  <si>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</si>
  <si>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</si>
  <si>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</si>
  <si>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</si>
  <si>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</si>
  <si>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</si>
  <si>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</si>
  <si>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Manure used as fertiliser on own farm</t>
  </si>
  <si>
    <t>Results - Activity period</t>
  </si>
  <si>
    <t>Scope 1</t>
  </si>
  <si>
    <t>Total scope 1</t>
  </si>
  <si>
    <t>Scope 2</t>
  </si>
  <si>
    <t>Scope 2 source</t>
  </si>
  <si>
    <t>Total scope 2</t>
  </si>
  <si>
    <t>Scope 3</t>
  </si>
  <si>
    <t>Scope 3 source</t>
  </si>
  <si>
    <t>15.1.1.1 Purchased livestock</t>
  </si>
  <si>
    <t>15.2.1.1 Purchased feed</t>
  </si>
  <si>
    <t>15.3.1.1 Mineral supplements</t>
  </si>
  <si>
    <t>15.4.1.1 Fertiliser</t>
  </si>
  <si>
    <t>15.5.1.1 Agrichemicals</t>
  </si>
  <si>
    <t>15.6.1.1 Lime</t>
  </si>
  <si>
    <t>15.7.1.1 Services and contractor operations</t>
  </si>
  <si>
    <t>15.10.1.1 Other: Cleaning chemicals</t>
  </si>
  <si>
    <t>15.10.1.1 Other: Pharmacy chemicals</t>
  </si>
  <si>
    <t>15.10.1.1 Other: Miscellaneous</t>
  </si>
  <si>
    <t>15.10.1.1 Other: Uncategorised</t>
  </si>
  <si>
    <t>15.11.1.1 Fuel</t>
  </si>
  <si>
    <t>15.14.1.1 Incoming freight</t>
  </si>
  <si>
    <t>15.13.1.1 Waste sent to treatment facility</t>
  </si>
  <si>
    <t>15.14.1.1 Outgoing freight</t>
  </si>
  <si>
    <t>Total scope 3</t>
  </si>
  <si>
    <t>Total removals</t>
  </si>
  <si>
    <t>Total emissions excluding removals</t>
  </si>
  <si>
    <t>t CO2-e</t>
  </si>
  <si>
    <t>Total net emissions</t>
  </si>
  <si>
    <t>Carbon removals</t>
  </si>
  <si>
    <t>Planting name</t>
  </si>
  <si>
    <t>Total removed CO2</t>
  </si>
  <si>
    <t>Percent allocated to this enterprise</t>
  </si>
  <si>
    <t>Removal allocated to this enterprise</t>
  </si>
  <si>
    <t>Production cycle emissions and removals</t>
  </si>
  <si>
    <t>Enter the method 1 and 2 CO2e emissions (excluding removals) from previous emissions calculation periods if applicable.</t>
  </si>
  <si>
    <t>Results - Product emissions intensity</t>
  </si>
  <si>
    <t>Emissions for production cycle excluding removals</t>
  </si>
  <si>
    <t>Net emissions for production cycle</t>
  </si>
  <si>
    <t>t co2e/t grain sold</t>
  </si>
  <si>
    <t>Residual product</t>
  </si>
  <si>
    <t>N/A</t>
  </si>
  <si>
    <t>t co2e/t baled hay/silage</t>
  </si>
  <si>
    <t>Emissions intestity (Method 1)</t>
  </si>
  <si>
    <t>Emissions intestity (Method 2)</t>
  </si>
  <si>
    <t>t co2e/t milk sold</t>
  </si>
  <si>
    <t>t co2e/t manure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</si>
</sst>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C09]dd\-mmmm\-yyyy;@"/>
    <numFmt numFmtId="168" formatCode="#,##0.000000"/>
    <numFmt numFmtId="169" formatCode="_-* #,##0_-;\-* #,##0_-;_-* &quot;-&quot;??_-;_-@_-"/>
    <numFmt numFmtId="170" formatCode="[$-F800]dddd\,\ mmmm\ dd\,\ yyyy"/>
    <numFmt numFmtId="171" formatCode="0.00000000000"/>
  </numFmts>
  <fonts count="55"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11"/>
      <color theme="1" tint="0.499984740745262"/>
      <name val="Times New Roman"/>
      <family val="1"/>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
      <u/>
      <sz val="11"/>
      <color theme="10"/>
      <name val="Times New Roman"/>
      <family val="2"/>
      <scheme val="minor"/>
    </font>
    <font>
      <b/>
      <sz val="12"/>
      <color theme="1" tint="0.24994659260841701"/>
      <name val="Times New Roman"/>
      <family val="1"/>
    </font>
    <font>
      <i/>
      <sz val="10"/>
      <color theme="1" tint="0.34998626667073579"/>
      <name val="Times New Roman"/>
      <family val="1"/>
    </font>
    <font>
      <b/>
      <sz val="12"/>
      <color rgb="FF0070C0"/>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sz val="11"/>
      <color rgb="FF242424"/>
      <name val="Consolas"/>
      <family val="3"/>
    </font>
    <font>
      <sz val="9"/>
      <color rgb="FF404040"/>
      <name val="Times New Roman"/>
      <family val="1"/>
    </font>
    <font>
      <b/>
      <sz val="20"/>
      <color rgb="FF0C769E"/>
      <name val="Times New Roman"/>
      <family val="1"/>
    </font>
    <font>
      <b/>
      <sz val="16"/>
      <color theme="1" tint="0.24994659260841701"/>
      <name val="Times New Roman"/>
      <family val="1"/>
    </font>
    <font>
      <i/>
      <sz val="16"/>
      <color theme="1" tint="0.34998626667073579"/>
      <name val="Times New Roman"/>
      <family val="1"/>
    </font>
    <font>
      <sz val="16"/>
      <color theme="1" tint="0.24994659260841701"/>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DCECD0"/>
        <bgColor indexed="64"/>
      </patternFill>
    </fill>
    <fill>
      <patternFill patternType="solid">
        <fgColor theme="9" tint="0.59999389629810485"/>
        <bgColor indexed="64"/>
      </patternFill>
    </fill>
  </fills>
  <borders count="17">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5" fillId="4" borderId="0">
      <alignment horizontal="left" vertical="center"/>
    </xf>
    <xf numFmtId="0" fontId="29" fillId="4" borderId="0">
      <alignment vertical="center"/>
    </xf>
    <xf numFmtId="0" fontId="3" fillId="4" borderId="0">
      <alignment horizontal="left" vertical="center"/>
    </xf>
    <xf numFmtId="0" fontId="27"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1" fillId="0" borderId="0">
      <alignment horizontal="left" vertical="center" indent="2"/>
    </xf>
    <xf numFmtId="0" fontId="30" fillId="13" borderId="5">
      <alignment horizontal="left" vertical="center"/>
    </xf>
    <xf numFmtId="3" fontId="23" fillId="4" borderId="2">
      <alignment horizontal="center" vertical="center"/>
    </xf>
    <xf numFmtId="167" fontId="2" fillId="0" borderId="2">
      <alignment horizontal="center" vertical="center"/>
    </xf>
    <xf numFmtId="0" fontId="24" fillId="0" borderId="0"/>
    <xf numFmtId="0" fontId="9" fillId="0" borderId="0"/>
    <xf numFmtId="0" fontId="24" fillId="0" borderId="0"/>
    <xf numFmtId="166" fontId="23" fillId="4" borderId="2">
      <alignment horizontal="center" vertical="center"/>
    </xf>
    <xf numFmtId="4" fontId="23" fillId="4" borderId="2">
      <alignment horizontal="center" vertical="center"/>
    </xf>
    <xf numFmtId="0" fontId="34" fillId="4" borderId="0">
      <alignment horizontal="left" vertical="center"/>
    </xf>
    <xf numFmtId="0" fontId="26" fillId="4" borderId="0" applyNumberFormat="0">
      <alignment horizontal="center" vertical="center"/>
    </xf>
    <xf numFmtId="165" fontId="23" fillId="4" borderId="2">
      <alignment horizontal="center" vertical="center"/>
    </xf>
    <xf numFmtId="0" fontId="22" fillId="4" borderId="0">
      <alignment horizontal="left" vertical="center"/>
    </xf>
    <xf numFmtId="168" fontId="23" fillId="4" borderId="2">
      <alignment horizontal="center" vertical="center"/>
    </xf>
    <xf numFmtId="0" fontId="23" fillId="4" borderId="2">
      <alignment horizontal="center" vertical="center"/>
    </xf>
    <xf numFmtId="0" fontId="6" fillId="4" borderId="0">
      <alignment horizontal="left" vertical="center"/>
    </xf>
    <xf numFmtId="0" fontId="28" fillId="4" borderId="0">
      <alignment horizontal="left" vertical="center"/>
    </xf>
    <xf numFmtId="0" fontId="9" fillId="0" borderId="0"/>
    <xf numFmtId="0" fontId="2" fillId="0" borderId="2">
      <alignment horizontal="center" vertical="center"/>
    </xf>
    <xf numFmtId="0" fontId="32" fillId="4" borderId="0">
      <alignment horizontal="left" vertical="center"/>
    </xf>
    <xf numFmtId="0" fontId="33" fillId="4" borderId="0">
      <alignment horizontal="left" vertical="center"/>
    </xf>
    <xf numFmtId="0" fontId="35" fillId="4" borderId="0">
      <alignment horizontal="left" vertical="center"/>
    </xf>
    <xf numFmtId="0" fontId="31" fillId="11" borderId="0">
      <alignment horizontal="center" vertical="center"/>
    </xf>
    <xf numFmtId="0" fontId="20" fillId="11" borderId="0">
      <alignment horizontal="left" vertical="center" indent="1"/>
    </xf>
    <xf numFmtId="0" fontId="36" fillId="4" borderId="2">
      <alignment horizontal="left" vertical="center"/>
    </xf>
    <xf numFmtId="0" fontId="23" fillId="4" borderId="2">
      <alignment horizontal="left" vertical="center"/>
    </xf>
    <xf numFmtId="0" fontId="37" fillId="14" borderId="2">
      <alignment horizontal="center" vertical="center"/>
    </xf>
    <xf numFmtId="0" fontId="38" fillId="15" borderId="2">
      <alignment horizontal="center" vertical="center"/>
    </xf>
    <xf numFmtId="0" fontId="39"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cellStyleXfs>
  <cellXfs count="99">
    <xf numFmtId="0" fontId="0" fillId="0" borderId="0" xfId="0"/>
    <xf numFmtId="0" fontId="27" fillId="4" borderId="0" xfId="8">
      <alignment horizontal="left" vertical="center"/>
    </xf>
    <xf numFmtId="0" fontId="25" fillId="4" borderId="0" xfId="5">
      <alignment horizontal="left" vertical="center"/>
    </xf>
    <xf numFmtId="0" fontId="1" fillId="0" borderId="0" xfId="3">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0" fillId="4" borderId="0" xfId="0" applyFill="1"/>
    <xf numFmtId="0" fontId="6" fillId="4" borderId="0" xfId="53">
      <alignment horizontal="left" vertical="center"/>
    </xf>
    <xf numFmtId="0" fontId="10" fillId="0" borderId="0" xfId="32"/>
    <xf numFmtId="0" fontId="31" fillId="11" borderId="0" xfId="60">
      <alignment horizontal="center" vertical="center"/>
    </xf>
    <xf numFmtId="0" fontId="2" fillId="4" borderId="0" xfId="7" applyFont="1">
      <alignment horizontal="left" vertical="center"/>
    </xf>
    <xf numFmtId="0" fontId="3" fillId="12" borderId="2" xfId="15">
      <alignment horizontal="center" vertical="center"/>
    </xf>
    <xf numFmtId="167" fontId="2" fillId="0" borderId="2" xfId="41">
      <alignment horizontal="center" vertical="center"/>
    </xf>
    <xf numFmtId="0" fontId="23" fillId="4" borderId="2" xfId="52">
      <alignment horizontal="center" vertical="center"/>
    </xf>
    <xf numFmtId="0" fontId="6" fillId="4" borderId="0" xfId="12">
      <alignment horizontal="left" vertical="center" indent="1"/>
    </xf>
    <xf numFmtId="0" fontId="29" fillId="4" borderId="0" xfId="6">
      <alignment vertical="center"/>
    </xf>
    <xf numFmtId="9" fontId="2" fillId="0" borderId="2" xfId="16">
      <alignment horizontal="center" vertical="center"/>
    </xf>
    <xf numFmtId="0" fontId="0" fillId="0" borderId="0" xfId="8" applyFont="1" applyFill="1">
      <alignment horizontal="left" vertical="center"/>
    </xf>
    <xf numFmtId="0" fontId="4" fillId="0" borderId="0" xfId="2"/>
    <xf numFmtId="0" fontId="3" fillId="0" borderId="0" xfId="7" applyFill="1">
      <alignment horizontal="left" vertical="center"/>
    </xf>
    <xf numFmtId="0" fontId="16" fillId="3" borderId="0" xfId="4">
      <alignment vertical="center"/>
    </xf>
    <xf numFmtId="0" fontId="16" fillId="0" borderId="0" xfId="4" applyFill="1">
      <alignment vertical="center"/>
    </xf>
    <xf numFmtId="0" fontId="3" fillId="4" borderId="0" xfId="7">
      <alignment horizontal="left" vertical="center"/>
    </xf>
    <xf numFmtId="0" fontId="28" fillId="4" borderId="0" xfId="54">
      <alignment horizontal="left" vertical="center"/>
    </xf>
    <xf numFmtId="0" fontId="0" fillId="0" borderId="0" xfId="7" applyFont="1" applyFill="1">
      <alignment horizontal="left" vertical="center"/>
    </xf>
    <xf numFmtId="0" fontId="10" fillId="0" borderId="0" xfId="2" applyFont="1"/>
    <xf numFmtId="0" fontId="16" fillId="7" borderId="0" xfId="31">
      <alignment vertical="center"/>
    </xf>
    <xf numFmtId="0" fontId="3" fillId="4" borderId="6" xfId="7" applyBorder="1">
      <alignment horizontal="left" vertical="center"/>
    </xf>
    <xf numFmtId="0" fontId="25" fillId="0" borderId="0" xfId="5" applyFill="1">
      <alignment horizontal="left" vertical="center"/>
    </xf>
    <xf numFmtId="0" fontId="11" fillId="4" borderId="0" xfId="30">
      <alignment vertical="center"/>
    </xf>
    <xf numFmtId="0" fontId="29" fillId="0" borderId="0" xfId="6" applyFill="1">
      <alignment vertical="center"/>
    </xf>
    <xf numFmtId="0" fontId="2" fillId="0" borderId="2" xfId="14">
      <alignment horizontal="center" vertical="center"/>
    </xf>
    <xf numFmtId="0" fontId="27" fillId="0" borderId="0" xfId="8" applyFill="1">
      <alignment horizontal="left" vertical="center"/>
    </xf>
    <xf numFmtId="0" fontId="30" fillId="13" borderId="7" xfId="39" applyBorder="1">
      <alignment horizontal="left" vertical="center"/>
    </xf>
    <xf numFmtId="0" fontId="30" fillId="13" borderId="8" xfId="39" applyBorder="1">
      <alignment horizontal="left" vertical="center"/>
    </xf>
    <xf numFmtId="0" fontId="30" fillId="13" borderId="9" xfId="39" applyBorder="1">
      <alignment horizontal="left" vertical="center"/>
    </xf>
    <xf numFmtId="0" fontId="30" fillId="13" borderId="10" xfId="39" applyBorder="1">
      <alignment horizontal="left" vertical="center"/>
    </xf>
    <xf numFmtId="0" fontId="41" fillId="0" borderId="0" xfId="12" applyFont="1" applyFill="1" applyAlignment="1">
      <alignment horizontal="left" vertical="center"/>
    </xf>
    <xf numFmtId="166" fontId="23" fillId="4" borderId="2" xfId="40" applyNumberFormat="1">
      <alignment horizontal="center" vertical="center"/>
    </xf>
    <xf numFmtId="0" fontId="2" fillId="0" borderId="0" xfId="7" applyFont="1" applyFill="1">
      <alignment horizontal="left" vertical="center"/>
    </xf>
    <xf numFmtId="0" fontId="42" fillId="13" borderId="11" xfId="39" applyFont="1" applyBorder="1">
      <alignment horizontal="left" vertical="center"/>
    </xf>
    <xf numFmtId="0" fontId="30" fillId="13" borderId="12" xfId="39" applyBorder="1">
      <alignment horizontal="left" vertical="center"/>
    </xf>
    <xf numFmtId="0" fontId="30" fillId="13" borderId="13" xfId="39" applyBorder="1">
      <alignment horizontal="left" vertical="center"/>
    </xf>
    <xf numFmtId="0" fontId="30" fillId="13" borderId="14" xfId="39" applyBorder="1">
      <alignment horizontal="left" vertical="center"/>
    </xf>
    <xf numFmtId="0" fontId="30" fillId="13" borderId="15" xfId="39" applyBorder="1">
      <alignment horizontal="left" vertical="center"/>
    </xf>
    <xf numFmtId="0" fontId="30" fillId="13" borderId="16" xfId="39" applyBorder="1">
      <alignment horizontal="left" vertical="center"/>
    </xf>
    <xf numFmtId="4" fontId="2" fillId="4" borderId="0" xfId="17" applyFill="1" applyBorder="1">
      <alignment horizontal="center" vertical="center"/>
    </xf>
    <xf numFmtId="0" fontId="12" fillId="4" borderId="0" xfId="29" applyFill="1">
      <alignment horizontal="center" vertical="center"/>
      <protection locked="0"/>
    </xf>
    <xf numFmtId="0" fontId="43" fillId="0" borderId="0" xfId="0" applyFont="1" applyAlignment="1" applyProtection="1">
      <alignment horizontal="center" vertical="center"/>
      <protection locked="0"/>
    </xf>
    <xf numFmtId="4" fontId="44" fillId="0" borderId="0" xfId="17" applyFont="1" applyBorder="1">
      <alignment horizontal="center" vertical="center"/>
    </xf>
    <xf numFmtId="164" fontId="8" fillId="4" borderId="0" xfId="26" applyBorder="1">
      <alignment horizontal="center" vertical="center"/>
    </xf>
    <xf numFmtId="4" fontId="44" fillId="4" borderId="0" xfId="17" applyFont="1" applyFill="1" applyBorder="1">
      <alignment horizontal="center" vertical="center"/>
    </xf>
    <xf numFmtId="0" fontId="44" fillId="4" borderId="0" xfId="12" applyFont="1" applyAlignment="1">
      <alignment horizontal="center" vertical="center"/>
    </xf>
    <xf numFmtId="0" fontId="44" fillId="4" borderId="0" xfId="8" applyFont="1" applyAlignment="1">
      <alignment horizontal="center" vertical="center"/>
    </xf>
    <xf numFmtId="166" fontId="44" fillId="4" borderId="0" xfId="8" applyNumberFormat="1" applyFont="1" applyAlignment="1">
      <alignment horizontal="center" vertical="center"/>
    </xf>
    <xf numFmtId="9" fontId="44" fillId="4" borderId="0" xfId="68" applyFont="1" applyFill="1" applyBorder="1" applyAlignment="1">
      <alignment horizontal="center" vertical="center"/>
    </xf>
    <xf numFmtId="0" fontId="45" fillId="4" borderId="0" xfId="0" applyFont="1" applyFill="1" applyAlignment="1">
      <alignment horizontal="center" vertical="center"/>
    </xf>
    <xf numFmtId="0" fontId="45" fillId="4" borderId="0" xfId="0" applyFont="1" applyFill="1"/>
    <xf numFmtId="0" fontId="44" fillId="4" borderId="0" xfId="0" applyFont="1" applyFill="1"/>
    <xf numFmtId="0" fontId="44" fillId="0" borderId="0" xfId="0" applyFont="1"/>
    <xf numFmtId="0" fontId="46" fillId="4" borderId="0" xfId="7" applyFont="1" applyAlignment="1">
      <alignment horizontal="center" vertical="center"/>
    </xf>
    <xf numFmtId="0" fontId="47" fillId="4" borderId="0" xfId="7" applyFont="1" applyAlignment="1">
      <alignment horizontal="center" vertical="center"/>
    </xf>
    <xf numFmtId="166" fontId="47" fillId="4" borderId="0" xfId="7" applyNumberFormat="1" applyFont="1" applyAlignment="1">
      <alignment horizontal="center" vertical="center"/>
    </xf>
    <xf numFmtId="0" fontId="47" fillId="4" borderId="0" xfId="0" applyFont="1" applyFill="1" applyAlignment="1">
      <alignment horizontal="center" vertical="center"/>
    </xf>
    <xf numFmtId="0" fontId="48" fillId="4" borderId="0" xfId="0" applyFont="1" applyFill="1" applyAlignment="1">
      <alignment horizontal="center" vertical="center"/>
    </xf>
    <xf numFmtId="0" fontId="48" fillId="4" borderId="0" xfId="0" applyFont="1" applyFill="1" applyAlignment="1">
      <alignment horizontal="left" vertical="center"/>
    </xf>
    <xf numFmtId="14" fontId="3" fillId="4" borderId="0" xfId="7" applyNumberFormat="1">
      <alignment horizontal="left" vertical="center"/>
    </xf>
    <xf numFmtId="0" fontId="30" fillId="13" borderId="5" xfId="39">
      <alignment horizontal="left" vertical="center"/>
    </xf>
    <xf numFmtId="0" fontId="39" fillId="4" borderId="0" xfId="66" applyFill="1" applyBorder="1"/>
    <xf numFmtId="166" fontId="2" fillId="4" borderId="0" xfId="18" applyNumberFormat="1" applyFill="1" applyBorder="1">
      <alignment horizontal="center" vertical="center"/>
    </xf>
    <xf numFmtId="169" fontId="3" fillId="4" borderId="0" xfId="67" applyNumberFormat="1" applyFont="1" applyFill="1" applyBorder="1" applyAlignment="1">
      <alignment horizontal="center" vertical="center"/>
    </xf>
    <xf numFmtId="0" fontId="0" fillId="4" borderId="0" xfId="7" applyFont="1">
      <alignment horizontal="left" vertical="center"/>
    </xf>
    <xf numFmtId="0" fontId="49" fillId="4" borderId="0" xfId="0" applyFont="1" applyFill="1"/>
    <xf numFmtId="0" fontId="2" fillId="0" borderId="2" xfId="56">
      <alignment horizontal="center" vertical="center"/>
    </xf>
    <xf numFmtId="0" fontId="40" fillId="4" borderId="0" xfId="8" applyFont="1">
      <alignment horizontal="left" vertical="center"/>
    </xf>
    <xf numFmtId="0" fontId="23" fillId="4" borderId="2" xfId="52" quotePrefix="1">
      <alignment horizontal="center" vertical="center"/>
    </xf>
    <xf numFmtId="0" fontId="34" fillId="4" borderId="0" xfId="47">
      <alignment horizontal="left" vertical="center"/>
    </xf>
    <xf numFmtId="0" fontId="35" fillId="4" borderId="0" xfId="59">
      <alignment horizontal="left" vertical="center"/>
    </xf>
    <xf numFmtId="170" fontId="0" fillId="0" borderId="0" xfId="8" applyNumberFormat="1" applyFont="1" applyFill="1">
      <alignment horizontal="left" vertical="center"/>
    </xf>
    <xf numFmtId="0" fontId="12" fillId="6" borderId="0" xfId="29">
      <alignment horizontal="center" vertical="center"/>
      <protection locked="0"/>
    </xf>
    <xf numFmtId="0" fontId="0" fillId="0" borderId="0" xfId="14" applyFont="1" applyBorder="1">
      <alignment horizontal="center" vertical="center"/>
    </xf>
    <xf numFmtId="0" fontId="39" fillId="0" borderId="0" xfId="66"/>
    <xf numFmtId="0" fontId="50" fillId="9" borderId="4" xfId="34" applyFont="1">
      <alignment horizontal="left" vertical="center" indent="1"/>
    </xf>
    <xf numFmtId="0" fontId="20" fillId="10" borderId="0" xfId="35">
      <alignment horizontal="left" vertical="center" indent="1"/>
    </xf>
    <xf numFmtId="0" fontId="51" fillId="0" borderId="0" xfId="32" applyFont="1"/>
    <xf numFmtId="0" fontId="52" fillId="4" borderId="0" xfId="8" applyFont="1">
      <alignment horizontal="left" vertical="center"/>
    </xf>
    <xf numFmtId="0" fontId="53" fillId="4" borderId="0" xfId="53" applyFont="1">
      <alignment horizontal="left" vertical="center"/>
    </xf>
    <xf numFmtId="0" fontId="52" fillId="4" borderId="1" xfId="8" applyFont="1" applyBorder="1">
      <alignment horizontal="left" vertical="center"/>
    </xf>
    <xf numFmtId="0" fontId="27" fillId="4" borderId="1" xfId="8" applyBorder="1">
      <alignment horizontal="left" vertical="center"/>
    </xf>
    <xf numFmtId="0" fontId="53" fillId="4" borderId="1" xfId="53" applyFont="1" applyBorder="1">
      <alignment horizontal="left" vertical="center"/>
    </xf>
    <xf numFmtId="0" fontId="54" fillId="4" borderId="1" xfId="8" applyFont="1" applyBorder="1">
      <alignment horizontal="left" vertical="center"/>
    </xf>
    <xf numFmtId="0" fontId="54" fillId="4" borderId="0" xfId="8" applyFont="1">
      <alignment horizontal="left" vertical="center"/>
    </xf>
    <xf numFmtId="0" fontId="40" fillId="4" borderId="1" xfId="8" applyFont="1" applyBorder="1">
      <alignment horizontal="left" vertical="center"/>
    </xf>
    <xf numFmtId="0" fontId="6" fillId="4" borderId="1" xfId="53" applyBorder="1">
      <alignment horizontal="left" vertical="center"/>
    </xf>
    <xf numFmtId="0" fontId="27" fillId="11" borderId="0" xfId="8" applyFill="1">
      <alignment horizontal="left" vertical="center"/>
    </xf>
    <xf numFmtId="171" fontId="27" fillId="4" borderId="0" xfId="8" applyNumberFormat="1">
      <alignment horizontal="left" vertical="center"/>
    </xf>
  </cellXfs>
  <cellStyles count="69">
    <cellStyle name="Alert" xfId="59" xr:uid="{34EFE908-8095-4010-8F93-8CFE88055637}"/>
    <cellStyle name="Arguments" xfId="63" xr:uid="{D74147AB-B374-43DE-928A-C20FDAA7023A}"/>
    <cellStyle name="Arguments hyperlink" xfId="62" xr:uid="{E9A63CA8-EB4E-4FD6-930A-AD1711340AFB}"/>
    <cellStyle name="Block heading" xfId="5" xr:uid="{74527274-3B4A-494A-B37C-EA50686E114C}"/>
    <cellStyle name="Block subheading" xfId="47" xr:uid="{34E62905-A3E0-4883-B81A-BDB58FC88DA7}"/>
    <cellStyle name="Code" xfId="24" xr:uid="{99B3520F-01DD-4F8E-A8D0-24EAA04E90EB}"/>
    <cellStyle name="Comma" xfId="67"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6"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8"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5" xr:uid="{69904D21-1566-4CAB-9A42-C86AC6535120}"/>
    <cellStyle name="Variable type other" xfId="64" xr:uid="{105BD9DE-B567-4DA0-87E6-C60A0ECC1C65}"/>
  </cellStyles>
  <dxfs count="50">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numFmt numFmtId="170" formatCode="[$-F800]dddd\,\ mmmm\ dd\,\ yyyy"/>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49"/>
      <tableStyleElement type="headerRow" dxfId="48"/>
      <tableStyleElement type="totalRow" dxfId="47"/>
      <tableStyleElement type="firstColumn" dxfId="46"/>
      <tableStyleElement type="firstRowStripe" dxfId="45"/>
      <tableStyleElement type="secondRowStripe" dxfId="44"/>
    </tableStyle>
    <tableStyle name="Equation table" pivot="0" count="6" xr9:uid="{B247698E-E41D-4CCD-AA0A-C14817E9DE65}">
      <tableStyleElement type="wholeTable" dxfId="43"/>
      <tableStyleElement type="headerRow" dxfId="42"/>
      <tableStyleElement type="totalRow" dxfId="41"/>
      <tableStyleElement type="firstColumn" dxfId="40"/>
      <tableStyleElement type="firstRowStripe" dxfId="39"/>
      <tableStyleElement type="secondRowStripe" dxfId="38"/>
    </tableStyle>
    <tableStyle name="Table Style 1" pivot="0" count="0" xr9:uid="{97B370DB-5463-4A31-9160-5A96BD6A559D}"/>
  </tableStyles>
  <colors>
    <mruColors>
      <color rgb="FF0C769E"/>
      <color rgb="FFCC6600"/>
      <color rgb="FFC44340"/>
      <color rgb="FF008000"/>
      <color rgb="FFFFCCCC"/>
      <color rgb="FFC4433F"/>
      <color rgb="FFE9F2FB"/>
      <color rgb="FF183C1B"/>
      <color rgb="FFB2D498"/>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chart" Target="../charts/chart1.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8</xdr:col>
      <xdr:colOff>938212</xdr:colOff>
      <xdr:row>44</xdr:row>
      <xdr:rowOff>200025</xdr:rowOff>
    </xdr:from>
    <xdr:to>
      <xdr:col>9</xdr:col>
      <xdr:colOff>1443037</xdr:colOff>
      <xdr:row>56</xdr:row>
      <xdr:rowOff>85725</xdr:rowOff>
    </xdr:to>
    <xdr:graphicFrame macro="">
      <xdr:nvGraphicFramePr>
        <xdr:cNvPr id="2" name="Chart 1">
          <a:extLst>
            <a:ext uri="{FF2B5EF4-FFF2-40B4-BE49-F238E27FC236}">
              <a16:creationId xmlns:a16="http://schemas.microsoft.com/office/drawing/2014/main" id="{BE232CA8-6F05-4062-8274-F6BE831232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14</xdr:row>
      <xdr:rowOff>71157</xdr:rowOff>
    </xdr:from>
    <xdr:to>
      <xdr:col>3</xdr:col>
      <xdr:colOff>1875865</xdr:colOff>
      <xdr:row>16</xdr:row>
      <xdr:rowOff>144555</xdr:rowOff>
    </xdr:to>
    <xdr:sp macro="" textlink="$H$44">
      <xdr:nvSpPr>
        <xdr:cNvPr id="3" name="TextBox 2">
          <a:extLst>
            <a:ext uri="{FF2B5EF4-FFF2-40B4-BE49-F238E27FC236}">
              <a16:creationId xmlns:a16="http://schemas.microsoft.com/office/drawing/2014/main" id="{78B0D3CB-BA4C-49D2-8AB5-FDA06BCA1A89}"/>
            </a:ext>
          </a:extLst>
        </xdr:cNvPr>
        <xdr:cNvSpPr txBox="1"/>
      </xdr:nvSpPr>
      <xdr:spPr>
        <a:xfrm>
          <a:off x="2686050" y="2995332"/>
          <a:ext cx="1866340"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6496CA75-FED4-4E21-A81D-BDC20736B7B5}"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5</xdr:col>
      <xdr:colOff>180414</xdr:colOff>
      <xdr:row>14</xdr:row>
      <xdr:rowOff>42582</xdr:rowOff>
    </xdr:from>
    <xdr:to>
      <xdr:col>6</xdr:col>
      <xdr:colOff>43141</xdr:colOff>
      <xdr:row>16</xdr:row>
      <xdr:rowOff>144555</xdr:rowOff>
    </xdr:to>
    <xdr:sp macro="" textlink="$I$44">
      <xdr:nvSpPr>
        <xdr:cNvPr id="4" name="TextBox 3">
          <a:extLst>
            <a:ext uri="{FF2B5EF4-FFF2-40B4-BE49-F238E27FC236}">
              <a16:creationId xmlns:a16="http://schemas.microsoft.com/office/drawing/2014/main" id="{B79AC6DC-1203-4AF1-A412-AEE4BCC48FBC}"/>
            </a:ext>
          </a:extLst>
        </xdr:cNvPr>
        <xdr:cNvSpPr txBox="1"/>
      </xdr:nvSpPr>
      <xdr:spPr>
        <a:xfrm>
          <a:off x="8352864" y="2966757"/>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A778010-8EF6-4986-9F7A-ED1F5F66D6A5}"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3</xdr:col>
      <xdr:colOff>9525</xdr:colOff>
      <xdr:row>25</xdr:row>
      <xdr:rowOff>155762</xdr:rowOff>
    </xdr:from>
    <xdr:to>
      <xdr:col>3</xdr:col>
      <xdr:colOff>1961590</xdr:colOff>
      <xdr:row>28</xdr:row>
      <xdr:rowOff>108696</xdr:rowOff>
    </xdr:to>
    <xdr:sp macro="" textlink="$H$54">
      <xdr:nvSpPr>
        <xdr:cNvPr id="5" name="TextBox 4">
          <a:extLst>
            <a:ext uri="{FF2B5EF4-FFF2-40B4-BE49-F238E27FC236}">
              <a16:creationId xmlns:a16="http://schemas.microsoft.com/office/drawing/2014/main" id="{8606D01F-4738-4521-B74D-63263D45F688}"/>
            </a:ext>
          </a:extLst>
        </xdr:cNvPr>
        <xdr:cNvSpPr txBox="1"/>
      </xdr:nvSpPr>
      <xdr:spPr>
        <a:xfrm>
          <a:off x="2686050" y="5280212"/>
          <a:ext cx="195206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7DC837A9-60D0-4FEE-9D60-F5F33C8747DB}"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5</xdr:col>
      <xdr:colOff>180414</xdr:colOff>
      <xdr:row>25</xdr:row>
      <xdr:rowOff>184337</xdr:rowOff>
    </xdr:from>
    <xdr:to>
      <xdr:col>6</xdr:col>
      <xdr:colOff>109816</xdr:colOff>
      <xdr:row>28</xdr:row>
      <xdr:rowOff>89646</xdr:rowOff>
    </xdr:to>
    <xdr:sp macro="" textlink="$I$54">
      <xdr:nvSpPr>
        <xdr:cNvPr id="6" name="TextBox 5">
          <a:extLst>
            <a:ext uri="{FF2B5EF4-FFF2-40B4-BE49-F238E27FC236}">
              <a16:creationId xmlns:a16="http://schemas.microsoft.com/office/drawing/2014/main" id="{4E5E4FC2-3E1B-409E-9125-222B728CB256}"/>
            </a:ext>
          </a:extLst>
        </xdr:cNvPr>
        <xdr:cNvSpPr txBox="1"/>
      </xdr:nvSpPr>
      <xdr:spPr>
        <a:xfrm>
          <a:off x="8352864" y="5308787"/>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1C4261C-1106-48B4-9C10-E82D60412011}"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3</xdr:col>
      <xdr:colOff>2352115</xdr:colOff>
      <xdr:row>14</xdr:row>
      <xdr:rowOff>42582</xdr:rowOff>
    </xdr:from>
    <xdr:to>
      <xdr:col>4</xdr:col>
      <xdr:colOff>1256740</xdr:colOff>
      <xdr:row>16</xdr:row>
      <xdr:rowOff>154080</xdr:rowOff>
    </xdr:to>
    <xdr:sp macro="" textlink="$H$45">
      <xdr:nvSpPr>
        <xdr:cNvPr id="7" name="TextBox 6">
          <a:extLst>
            <a:ext uri="{FF2B5EF4-FFF2-40B4-BE49-F238E27FC236}">
              <a16:creationId xmlns:a16="http://schemas.microsoft.com/office/drawing/2014/main" id="{C4E923B1-3F7C-4408-AD1D-A000198E4E7D}"/>
            </a:ext>
          </a:extLst>
        </xdr:cNvPr>
        <xdr:cNvSpPr txBox="1"/>
      </xdr:nvSpPr>
      <xdr:spPr>
        <a:xfrm>
          <a:off x="5028640" y="3643032"/>
          <a:ext cx="2486025" cy="6067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E965B10-5BD0-44CC-8118-41596A6F15E2}"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6</xdr:col>
      <xdr:colOff>617444</xdr:colOff>
      <xdr:row>14</xdr:row>
      <xdr:rowOff>61632</xdr:rowOff>
    </xdr:from>
    <xdr:to>
      <xdr:col>7</xdr:col>
      <xdr:colOff>477371</xdr:colOff>
      <xdr:row>16</xdr:row>
      <xdr:rowOff>144555</xdr:rowOff>
    </xdr:to>
    <xdr:sp macro="" textlink="$I$45">
      <xdr:nvSpPr>
        <xdr:cNvPr id="8" name="TextBox 7">
          <a:extLst>
            <a:ext uri="{FF2B5EF4-FFF2-40B4-BE49-F238E27FC236}">
              <a16:creationId xmlns:a16="http://schemas.microsoft.com/office/drawing/2014/main" id="{3A3C8740-AD3E-4747-B1C2-090EFB174033}"/>
            </a:ext>
          </a:extLst>
        </xdr:cNvPr>
        <xdr:cNvSpPr txBox="1"/>
      </xdr:nvSpPr>
      <xdr:spPr>
        <a:xfrm>
          <a:off x="10837769" y="2985807"/>
          <a:ext cx="190780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304D704D-8D75-4B25-B661-1CD4BF80A14D}"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3</xdr:col>
      <xdr:colOff>9525</xdr:colOff>
      <xdr:row>12</xdr:row>
      <xdr:rowOff>150158</xdr:rowOff>
    </xdr:from>
    <xdr:to>
      <xdr:col>3</xdr:col>
      <xdr:colOff>1542490</xdr:colOff>
      <xdr:row>14</xdr:row>
      <xdr:rowOff>33056</xdr:rowOff>
    </xdr:to>
    <xdr:sp macro="" textlink="$J$44">
      <xdr:nvSpPr>
        <xdr:cNvPr id="9" name="TextBox 8">
          <a:extLst>
            <a:ext uri="{FF2B5EF4-FFF2-40B4-BE49-F238E27FC236}">
              <a16:creationId xmlns:a16="http://schemas.microsoft.com/office/drawing/2014/main" id="{8D698C23-A440-44D6-A7A6-A5156D304D67}"/>
            </a:ext>
          </a:extLst>
        </xdr:cNvPr>
        <xdr:cNvSpPr txBox="1"/>
      </xdr:nvSpPr>
      <xdr:spPr>
        <a:xfrm>
          <a:off x="2686050" y="2674283"/>
          <a:ext cx="1532965"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3</xdr:col>
      <xdr:colOff>2333065</xdr:colOff>
      <xdr:row>12</xdr:row>
      <xdr:rowOff>150158</xdr:rowOff>
    </xdr:from>
    <xdr:to>
      <xdr:col>4</xdr:col>
      <xdr:colOff>1457243</xdr:colOff>
      <xdr:row>14</xdr:row>
      <xdr:rowOff>33056</xdr:rowOff>
    </xdr:to>
    <xdr:sp macro="" textlink="$J$44">
      <xdr:nvSpPr>
        <xdr:cNvPr id="10" name="TextBox 9">
          <a:extLst>
            <a:ext uri="{FF2B5EF4-FFF2-40B4-BE49-F238E27FC236}">
              <a16:creationId xmlns:a16="http://schemas.microsoft.com/office/drawing/2014/main" id="{F98F9FF4-5CB1-42A3-B4EF-6EFDBA9EDACF}"/>
            </a:ext>
          </a:extLst>
        </xdr:cNvPr>
        <xdr:cNvSpPr txBox="1"/>
      </xdr:nvSpPr>
      <xdr:spPr>
        <a:xfrm>
          <a:off x="5009590" y="2674283"/>
          <a:ext cx="2572228"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3</xdr:col>
      <xdr:colOff>9525</xdr:colOff>
      <xdr:row>10</xdr:row>
      <xdr:rowOff>172010</xdr:rowOff>
    </xdr:from>
    <xdr:to>
      <xdr:col>3</xdr:col>
      <xdr:colOff>1542490</xdr:colOff>
      <xdr:row>12</xdr:row>
      <xdr:rowOff>54907</xdr:rowOff>
    </xdr:to>
    <xdr:sp macro="" textlink="$J$44">
      <xdr:nvSpPr>
        <xdr:cNvPr id="11" name="TextBox 10">
          <a:extLst>
            <a:ext uri="{FF2B5EF4-FFF2-40B4-BE49-F238E27FC236}">
              <a16:creationId xmlns:a16="http://schemas.microsoft.com/office/drawing/2014/main" id="{A8F458F7-D36B-4180-9607-A56BBD8611B7}"/>
            </a:ext>
          </a:extLst>
        </xdr:cNvPr>
        <xdr:cNvSpPr txBox="1"/>
      </xdr:nvSpPr>
      <xdr:spPr>
        <a:xfrm>
          <a:off x="2686050" y="2296085"/>
          <a:ext cx="1532965"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twoCellAnchor>
    <xdr:from>
      <xdr:col>3</xdr:col>
      <xdr:colOff>47625</xdr:colOff>
      <xdr:row>8</xdr:row>
      <xdr:rowOff>174812</xdr:rowOff>
    </xdr:from>
    <xdr:to>
      <xdr:col>3</xdr:col>
      <xdr:colOff>2228290</xdr:colOff>
      <xdr:row>10</xdr:row>
      <xdr:rowOff>143435</xdr:rowOff>
    </xdr:to>
    <xdr:sp macro="" textlink="">
      <xdr:nvSpPr>
        <xdr:cNvPr id="12" name="TextBox 11">
          <a:extLst>
            <a:ext uri="{FF2B5EF4-FFF2-40B4-BE49-F238E27FC236}">
              <a16:creationId xmlns:a16="http://schemas.microsoft.com/office/drawing/2014/main" id="{2D565D1A-AD43-488B-AD2B-4750EF75FBFF}"/>
            </a:ext>
          </a:extLst>
        </xdr:cNvPr>
        <xdr:cNvSpPr txBox="1"/>
      </xdr:nvSpPr>
      <xdr:spPr>
        <a:xfrm>
          <a:off x="2724150" y="1898837"/>
          <a:ext cx="2180665"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0C769E"/>
              </a:solidFill>
            </a:rPr>
            <a:t>Mass allocation</a:t>
          </a:r>
        </a:p>
      </xdr:txBody>
    </xdr:sp>
    <xdr:clientData/>
  </xdr:twoCellAnchor>
  <xdr:twoCellAnchor>
    <xdr:from>
      <xdr:col>3</xdr:col>
      <xdr:colOff>57150</xdr:colOff>
      <xdr:row>10</xdr:row>
      <xdr:rowOff>147552</xdr:rowOff>
    </xdr:from>
    <xdr:to>
      <xdr:col>7</xdr:col>
      <xdr:colOff>949698</xdr:colOff>
      <xdr:row>10</xdr:row>
      <xdr:rowOff>162485</xdr:rowOff>
    </xdr:to>
    <xdr:cxnSp macro="">
      <xdr:nvCxnSpPr>
        <xdr:cNvPr id="13" name="Straight Connector 12">
          <a:extLst>
            <a:ext uri="{FF2B5EF4-FFF2-40B4-BE49-F238E27FC236}">
              <a16:creationId xmlns:a16="http://schemas.microsoft.com/office/drawing/2014/main" id="{0D9F4D46-A489-4DC2-A877-89E77C038142}"/>
            </a:ext>
          </a:extLst>
        </xdr:cNvPr>
        <xdr:cNvCxnSpPr/>
      </xdr:nvCxnSpPr>
      <xdr:spPr>
        <a:xfrm flipV="1">
          <a:off x="2733675" y="2271627"/>
          <a:ext cx="1048422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12</xdr:row>
      <xdr:rowOff>150158</xdr:rowOff>
    </xdr:from>
    <xdr:to>
      <xdr:col>5</xdr:col>
      <xdr:colOff>1719541</xdr:colOff>
      <xdr:row>14</xdr:row>
      <xdr:rowOff>33056</xdr:rowOff>
    </xdr:to>
    <xdr:sp macro="" textlink="$J$44">
      <xdr:nvSpPr>
        <xdr:cNvPr id="14" name="TextBox 13">
          <a:extLst>
            <a:ext uri="{FF2B5EF4-FFF2-40B4-BE49-F238E27FC236}">
              <a16:creationId xmlns:a16="http://schemas.microsoft.com/office/drawing/2014/main" id="{664EA25F-A54A-41DB-B5EE-347FFC975000}"/>
            </a:ext>
          </a:extLst>
        </xdr:cNvPr>
        <xdr:cNvSpPr txBox="1"/>
      </xdr:nvSpPr>
      <xdr:spPr>
        <a:xfrm>
          <a:off x="8352864" y="2674283"/>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6</xdr:col>
      <xdr:colOff>617444</xdr:colOff>
      <xdr:row>12</xdr:row>
      <xdr:rowOff>150158</xdr:rowOff>
    </xdr:from>
    <xdr:to>
      <xdr:col>7</xdr:col>
      <xdr:colOff>1150201</xdr:colOff>
      <xdr:row>14</xdr:row>
      <xdr:rowOff>33056</xdr:rowOff>
    </xdr:to>
    <xdr:sp macro="" textlink="$J$44">
      <xdr:nvSpPr>
        <xdr:cNvPr id="15" name="TextBox 14">
          <a:extLst>
            <a:ext uri="{FF2B5EF4-FFF2-40B4-BE49-F238E27FC236}">
              <a16:creationId xmlns:a16="http://schemas.microsoft.com/office/drawing/2014/main" id="{D1330543-EAA9-429E-96B9-1D38E776272C}"/>
            </a:ext>
          </a:extLst>
        </xdr:cNvPr>
        <xdr:cNvSpPr txBox="1"/>
      </xdr:nvSpPr>
      <xdr:spPr>
        <a:xfrm>
          <a:off x="10837769" y="2674283"/>
          <a:ext cx="25806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5</xdr:col>
      <xdr:colOff>180414</xdr:colOff>
      <xdr:row>10</xdr:row>
      <xdr:rowOff>172010</xdr:rowOff>
    </xdr:from>
    <xdr:to>
      <xdr:col>5</xdr:col>
      <xdr:colOff>1719541</xdr:colOff>
      <xdr:row>12</xdr:row>
      <xdr:rowOff>54907</xdr:rowOff>
    </xdr:to>
    <xdr:sp macro="" textlink="$J$44">
      <xdr:nvSpPr>
        <xdr:cNvPr id="16" name="TextBox 15">
          <a:extLst>
            <a:ext uri="{FF2B5EF4-FFF2-40B4-BE49-F238E27FC236}">
              <a16:creationId xmlns:a16="http://schemas.microsoft.com/office/drawing/2014/main" id="{40D8909C-9A30-4D51-AE86-D78FECC4CCD5}"/>
            </a:ext>
          </a:extLst>
        </xdr:cNvPr>
        <xdr:cNvSpPr txBox="1"/>
      </xdr:nvSpPr>
      <xdr:spPr>
        <a:xfrm>
          <a:off x="8352864" y="2296085"/>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3</xdr:col>
      <xdr:colOff>9525</xdr:colOff>
      <xdr:row>12</xdr:row>
      <xdr:rowOff>73958</xdr:rowOff>
    </xdr:from>
    <xdr:to>
      <xdr:col>4</xdr:col>
      <xdr:colOff>1428190</xdr:colOff>
      <xdr:row>12</xdr:row>
      <xdr:rowOff>73958</xdr:rowOff>
    </xdr:to>
    <xdr:cxnSp macro="">
      <xdr:nvCxnSpPr>
        <xdr:cNvPr id="17" name="Straight Connector 16">
          <a:extLst>
            <a:ext uri="{FF2B5EF4-FFF2-40B4-BE49-F238E27FC236}">
              <a16:creationId xmlns:a16="http://schemas.microsoft.com/office/drawing/2014/main" id="{2906587F-0EE4-4B86-B4AC-EDFECE39F252}"/>
            </a:ext>
          </a:extLst>
        </xdr:cNvPr>
        <xdr:cNvCxnSpPr/>
      </xdr:nvCxnSpPr>
      <xdr:spPr>
        <a:xfrm>
          <a:off x="2686050" y="2598083"/>
          <a:ext cx="486671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12</xdr:row>
      <xdr:rowOff>73958</xdr:rowOff>
    </xdr:from>
    <xdr:to>
      <xdr:col>7</xdr:col>
      <xdr:colOff>968747</xdr:colOff>
      <xdr:row>12</xdr:row>
      <xdr:rowOff>73958</xdr:rowOff>
    </xdr:to>
    <xdr:cxnSp macro="">
      <xdr:nvCxnSpPr>
        <xdr:cNvPr id="18" name="Straight Connector 17">
          <a:extLst>
            <a:ext uri="{FF2B5EF4-FFF2-40B4-BE49-F238E27FC236}">
              <a16:creationId xmlns:a16="http://schemas.microsoft.com/office/drawing/2014/main" id="{D58C6125-361D-422A-8EDB-F0E2CECD4B9E}"/>
            </a:ext>
          </a:extLst>
        </xdr:cNvPr>
        <xdr:cNvCxnSpPr/>
      </xdr:nvCxnSpPr>
      <xdr:spPr>
        <a:xfrm>
          <a:off x="8352864" y="2598083"/>
          <a:ext cx="48840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xdr:colOff>
      <xdr:row>24</xdr:row>
      <xdr:rowOff>45944</xdr:rowOff>
    </xdr:from>
    <xdr:to>
      <xdr:col>3</xdr:col>
      <xdr:colOff>1542490</xdr:colOff>
      <xdr:row>25</xdr:row>
      <xdr:rowOff>127186</xdr:rowOff>
    </xdr:to>
    <xdr:sp macro="" textlink="$J$44">
      <xdr:nvSpPr>
        <xdr:cNvPr id="19" name="TextBox 18">
          <a:extLst>
            <a:ext uri="{FF2B5EF4-FFF2-40B4-BE49-F238E27FC236}">
              <a16:creationId xmlns:a16="http://schemas.microsoft.com/office/drawing/2014/main" id="{03DA92B1-C429-48F4-9458-6C91E93C5E37}"/>
            </a:ext>
          </a:extLst>
        </xdr:cNvPr>
        <xdr:cNvSpPr txBox="1"/>
      </xdr:nvSpPr>
      <xdr:spPr>
        <a:xfrm>
          <a:off x="2686050" y="4970369"/>
          <a:ext cx="1532965"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3</xdr:col>
      <xdr:colOff>2418312</xdr:colOff>
      <xdr:row>24</xdr:row>
      <xdr:rowOff>45944</xdr:rowOff>
    </xdr:from>
    <xdr:to>
      <xdr:col>4</xdr:col>
      <xdr:colOff>1542490</xdr:colOff>
      <xdr:row>25</xdr:row>
      <xdr:rowOff>127186</xdr:rowOff>
    </xdr:to>
    <xdr:sp macro="" textlink="$J$44">
      <xdr:nvSpPr>
        <xdr:cNvPr id="20" name="TextBox 19">
          <a:extLst>
            <a:ext uri="{FF2B5EF4-FFF2-40B4-BE49-F238E27FC236}">
              <a16:creationId xmlns:a16="http://schemas.microsoft.com/office/drawing/2014/main" id="{B6B09905-CB21-4518-9846-CBCE010398FE}"/>
            </a:ext>
          </a:extLst>
        </xdr:cNvPr>
        <xdr:cNvSpPr txBox="1"/>
      </xdr:nvSpPr>
      <xdr:spPr>
        <a:xfrm>
          <a:off x="5094837" y="4970369"/>
          <a:ext cx="2572228"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3</xdr:col>
      <xdr:colOff>9525</xdr:colOff>
      <xdr:row>22</xdr:row>
      <xdr:rowOff>69476</xdr:rowOff>
    </xdr:from>
    <xdr:to>
      <xdr:col>3</xdr:col>
      <xdr:colOff>1542490</xdr:colOff>
      <xdr:row>23</xdr:row>
      <xdr:rowOff>149037</xdr:rowOff>
    </xdr:to>
    <xdr:sp macro="" textlink="$J$44">
      <xdr:nvSpPr>
        <xdr:cNvPr id="21" name="TextBox 20">
          <a:extLst>
            <a:ext uri="{FF2B5EF4-FFF2-40B4-BE49-F238E27FC236}">
              <a16:creationId xmlns:a16="http://schemas.microsoft.com/office/drawing/2014/main" id="{81A42E93-BE91-4128-BBAA-459E6DA89607}"/>
            </a:ext>
          </a:extLst>
        </xdr:cNvPr>
        <xdr:cNvSpPr txBox="1"/>
      </xdr:nvSpPr>
      <xdr:spPr>
        <a:xfrm>
          <a:off x="2686050" y="4593851"/>
          <a:ext cx="1532965"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oneCellAnchor>
    <xdr:from>
      <xdr:col>3</xdr:col>
      <xdr:colOff>9525</xdr:colOff>
      <xdr:row>16</xdr:row>
      <xdr:rowOff>49306</xdr:rowOff>
    </xdr:from>
    <xdr:ext cx="1978747" cy="254493"/>
    <xdr:sp macro="" textlink="">
      <xdr:nvSpPr>
        <xdr:cNvPr id="22" name="TextBox 21">
          <a:extLst>
            <a:ext uri="{FF2B5EF4-FFF2-40B4-BE49-F238E27FC236}">
              <a16:creationId xmlns:a16="http://schemas.microsoft.com/office/drawing/2014/main" id="{7845BEA1-E468-4A60-8EB3-46836D53964C}"/>
            </a:ext>
          </a:extLst>
        </xdr:cNvPr>
        <xdr:cNvSpPr txBox="1"/>
      </xdr:nvSpPr>
      <xdr:spPr>
        <a:xfrm>
          <a:off x="2686050"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3</xdr:col>
      <xdr:colOff>47625</xdr:colOff>
      <xdr:row>20</xdr:row>
      <xdr:rowOff>72277</xdr:rowOff>
    </xdr:from>
    <xdr:to>
      <xdr:col>3</xdr:col>
      <xdr:colOff>2228290</xdr:colOff>
      <xdr:row>22</xdr:row>
      <xdr:rowOff>39220</xdr:rowOff>
    </xdr:to>
    <xdr:sp macro="" textlink="">
      <xdr:nvSpPr>
        <xdr:cNvPr id="23" name="TextBox 22">
          <a:extLst>
            <a:ext uri="{FF2B5EF4-FFF2-40B4-BE49-F238E27FC236}">
              <a16:creationId xmlns:a16="http://schemas.microsoft.com/office/drawing/2014/main" id="{8AA9119C-2A3A-4AC0-9558-9CADB28E1D59}"/>
            </a:ext>
          </a:extLst>
        </xdr:cNvPr>
        <xdr:cNvSpPr txBox="1"/>
      </xdr:nvSpPr>
      <xdr:spPr>
        <a:xfrm>
          <a:off x="2724150" y="4196602"/>
          <a:ext cx="2180665"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4F4789"/>
              </a:solidFill>
            </a:rPr>
            <a:t>Economic allocation</a:t>
          </a:r>
        </a:p>
      </xdr:txBody>
    </xdr:sp>
    <xdr:clientData/>
  </xdr:twoCellAnchor>
  <xdr:twoCellAnchor>
    <xdr:from>
      <xdr:col>3</xdr:col>
      <xdr:colOff>57150</xdr:colOff>
      <xdr:row>22</xdr:row>
      <xdr:rowOff>43269</xdr:rowOff>
    </xdr:from>
    <xdr:to>
      <xdr:col>7</xdr:col>
      <xdr:colOff>997323</xdr:colOff>
      <xdr:row>22</xdr:row>
      <xdr:rowOff>59951</xdr:rowOff>
    </xdr:to>
    <xdr:cxnSp macro="">
      <xdr:nvCxnSpPr>
        <xdr:cNvPr id="24" name="Straight Connector 23">
          <a:extLst>
            <a:ext uri="{FF2B5EF4-FFF2-40B4-BE49-F238E27FC236}">
              <a16:creationId xmlns:a16="http://schemas.microsoft.com/office/drawing/2014/main" id="{8D64E034-B0D2-4A8E-ADA8-44431DC4E0C5}"/>
            </a:ext>
          </a:extLst>
        </xdr:cNvPr>
        <xdr:cNvCxnSpPr/>
      </xdr:nvCxnSpPr>
      <xdr:spPr>
        <a:xfrm flipV="1">
          <a:off x="2733675" y="4567644"/>
          <a:ext cx="1053184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24</xdr:row>
      <xdr:rowOff>45944</xdr:rowOff>
    </xdr:from>
    <xdr:to>
      <xdr:col>5</xdr:col>
      <xdr:colOff>1719541</xdr:colOff>
      <xdr:row>25</xdr:row>
      <xdr:rowOff>127186</xdr:rowOff>
    </xdr:to>
    <xdr:sp macro="" textlink="$J$44">
      <xdr:nvSpPr>
        <xdr:cNvPr id="25" name="TextBox 24">
          <a:extLst>
            <a:ext uri="{FF2B5EF4-FFF2-40B4-BE49-F238E27FC236}">
              <a16:creationId xmlns:a16="http://schemas.microsoft.com/office/drawing/2014/main" id="{35144003-582E-4774-8D3E-CD478B4A4459}"/>
            </a:ext>
          </a:extLst>
        </xdr:cNvPr>
        <xdr:cNvSpPr txBox="1"/>
      </xdr:nvSpPr>
      <xdr:spPr>
        <a:xfrm>
          <a:off x="8352864" y="4970369"/>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6</xdr:col>
      <xdr:colOff>617444</xdr:colOff>
      <xdr:row>24</xdr:row>
      <xdr:rowOff>45944</xdr:rowOff>
    </xdr:from>
    <xdr:to>
      <xdr:col>7</xdr:col>
      <xdr:colOff>1150201</xdr:colOff>
      <xdr:row>25</xdr:row>
      <xdr:rowOff>127186</xdr:rowOff>
    </xdr:to>
    <xdr:sp macro="" textlink="$J$44">
      <xdr:nvSpPr>
        <xdr:cNvPr id="26" name="TextBox 25">
          <a:extLst>
            <a:ext uri="{FF2B5EF4-FFF2-40B4-BE49-F238E27FC236}">
              <a16:creationId xmlns:a16="http://schemas.microsoft.com/office/drawing/2014/main" id="{22C9F784-E8E8-4377-87AC-2F4B911997E6}"/>
            </a:ext>
          </a:extLst>
        </xdr:cNvPr>
        <xdr:cNvSpPr txBox="1"/>
      </xdr:nvSpPr>
      <xdr:spPr>
        <a:xfrm>
          <a:off x="10837769" y="4970369"/>
          <a:ext cx="25806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5</xdr:col>
      <xdr:colOff>180414</xdr:colOff>
      <xdr:row>22</xdr:row>
      <xdr:rowOff>69476</xdr:rowOff>
    </xdr:from>
    <xdr:to>
      <xdr:col>5</xdr:col>
      <xdr:colOff>1719541</xdr:colOff>
      <xdr:row>23</xdr:row>
      <xdr:rowOff>149037</xdr:rowOff>
    </xdr:to>
    <xdr:sp macro="" textlink="$J$44">
      <xdr:nvSpPr>
        <xdr:cNvPr id="27" name="TextBox 26">
          <a:extLst>
            <a:ext uri="{FF2B5EF4-FFF2-40B4-BE49-F238E27FC236}">
              <a16:creationId xmlns:a16="http://schemas.microsoft.com/office/drawing/2014/main" id="{07D7150C-4955-44CD-9F64-B65C25394D35}"/>
            </a:ext>
          </a:extLst>
        </xdr:cNvPr>
        <xdr:cNvSpPr txBox="1"/>
      </xdr:nvSpPr>
      <xdr:spPr>
        <a:xfrm>
          <a:off x="8352864" y="4593851"/>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3</xdr:col>
      <xdr:colOff>9525</xdr:colOff>
      <xdr:row>23</xdr:row>
      <xdr:rowOff>168088</xdr:rowOff>
    </xdr:from>
    <xdr:to>
      <xdr:col>4</xdr:col>
      <xdr:colOff>1456765</xdr:colOff>
      <xdr:row>23</xdr:row>
      <xdr:rowOff>168088</xdr:rowOff>
    </xdr:to>
    <xdr:cxnSp macro="">
      <xdr:nvCxnSpPr>
        <xdr:cNvPr id="28" name="Straight Connector 27">
          <a:extLst>
            <a:ext uri="{FF2B5EF4-FFF2-40B4-BE49-F238E27FC236}">
              <a16:creationId xmlns:a16="http://schemas.microsoft.com/office/drawing/2014/main" id="{DBF57A93-D5E3-4AD1-84FE-5F5F173F1C47}"/>
            </a:ext>
          </a:extLst>
        </xdr:cNvPr>
        <xdr:cNvCxnSpPr/>
      </xdr:nvCxnSpPr>
      <xdr:spPr>
        <a:xfrm>
          <a:off x="2686050" y="4892488"/>
          <a:ext cx="4895290"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23</xdr:row>
      <xdr:rowOff>168088</xdr:rowOff>
    </xdr:from>
    <xdr:to>
      <xdr:col>7</xdr:col>
      <xdr:colOff>1006847</xdr:colOff>
      <xdr:row>23</xdr:row>
      <xdr:rowOff>168088</xdr:rowOff>
    </xdr:to>
    <xdr:cxnSp macro="">
      <xdr:nvCxnSpPr>
        <xdr:cNvPr id="29" name="Straight Connector 28">
          <a:extLst>
            <a:ext uri="{FF2B5EF4-FFF2-40B4-BE49-F238E27FC236}">
              <a16:creationId xmlns:a16="http://schemas.microsoft.com/office/drawing/2014/main" id="{9B909584-D1D3-48E3-B164-7CA41F1E8361}"/>
            </a:ext>
          </a:extLst>
        </xdr:cNvPr>
        <xdr:cNvCxnSpPr/>
      </xdr:nvCxnSpPr>
      <xdr:spPr>
        <a:xfrm>
          <a:off x="8352864" y="4892488"/>
          <a:ext cx="4922183"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2333065</xdr:colOff>
      <xdr:row>16</xdr:row>
      <xdr:rowOff>49306</xdr:rowOff>
    </xdr:from>
    <xdr:ext cx="1978747" cy="254493"/>
    <xdr:sp macro="" textlink="">
      <xdr:nvSpPr>
        <xdr:cNvPr id="30" name="TextBox 29">
          <a:extLst>
            <a:ext uri="{FF2B5EF4-FFF2-40B4-BE49-F238E27FC236}">
              <a16:creationId xmlns:a16="http://schemas.microsoft.com/office/drawing/2014/main" id="{74E84307-1461-4D97-A9BB-C6242587B450}"/>
            </a:ext>
          </a:extLst>
        </xdr:cNvPr>
        <xdr:cNvSpPr txBox="1"/>
      </xdr:nvSpPr>
      <xdr:spPr>
        <a:xfrm>
          <a:off x="5009590"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5</xdr:col>
      <xdr:colOff>180414</xdr:colOff>
      <xdr:row>16</xdr:row>
      <xdr:rowOff>49306</xdr:rowOff>
    </xdr:from>
    <xdr:ext cx="1978747" cy="254493"/>
    <xdr:sp macro="" textlink="">
      <xdr:nvSpPr>
        <xdr:cNvPr id="31" name="TextBox 30">
          <a:extLst>
            <a:ext uri="{FF2B5EF4-FFF2-40B4-BE49-F238E27FC236}">
              <a16:creationId xmlns:a16="http://schemas.microsoft.com/office/drawing/2014/main" id="{B1B70FF3-9F14-49FB-B374-784B2F16D448}"/>
            </a:ext>
          </a:extLst>
        </xdr:cNvPr>
        <xdr:cNvSpPr txBox="1"/>
      </xdr:nvSpPr>
      <xdr:spPr>
        <a:xfrm>
          <a:off x="8352864"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6</xdr:col>
      <xdr:colOff>617444</xdr:colOff>
      <xdr:row>16</xdr:row>
      <xdr:rowOff>49306</xdr:rowOff>
    </xdr:from>
    <xdr:ext cx="1978747" cy="254493"/>
    <xdr:sp macro="" textlink="">
      <xdr:nvSpPr>
        <xdr:cNvPr id="32" name="TextBox 31">
          <a:extLst>
            <a:ext uri="{FF2B5EF4-FFF2-40B4-BE49-F238E27FC236}">
              <a16:creationId xmlns:a16="http://schemas.microsoft.com/office/drawing/2014/main" id="{C245D905-3AF6-4459-AE06-18CCCC382746}"/>
            </a:ext>
          </a:extLst>
        </xdr:cNvPr>
        <xdr:cNvSpPr txBox="1"/>
      </xdr:nvSpPr>
      <xdr:spPr>
        <a:xfrm>
          <a:off x="10837769"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3</xdr:col>
      <xdr:colOff>9525</xdr:colOff>
      <xdr:row>28</xdr:row>
      <xdr:rowOff>38660</xdr:rowOff>
    </xdr:from>
    <xdr:ext cx="1978747" cy="254493"/>
    <xdr:sp macro="" textlink="">
      <xdr:nvSpPr>
        <xdr:cNvPr id="33" name="TextBox 32">
          <a:extLst>
            <a:ext uri="{FF2B5EF4-FFF2-40B4-BE49-F238E27FC236}">
              <a16:creationId xmlns:a16="http://schemas.microsoft.com/office/drawing/2014/main" id="{3F6A1A88-4FA8-4872-8AAB-BA4222F619B3}"/>
            </a:ext>
          </a:extLst>
        </xdr:cNvPr>
        <xdr:cNvSpPr txBox="1"/>
      </xdr:nvSpPr>
      <xdr:spPr>
        <a:xfrm>
          <a:off x="2686050"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3</xdr:col>
      <xdr:colOff>2342590</xdr:colOff>
      <xdr:row>28</xdr:row>
      <xdr:rowOff>38660</xdr:rowOff>
    </xdr:from>
    <xdr:ext cx="1978747" cy="254493"/>
    <xdr:sp macro="" textlink="">
      <xdr:nvSpPr>
        <xdr:cNvPr id="34" name="TextBox 33">
          <a:extLst>
            <a:ext uri="{FF2B5EF4-FFF2-40B4-BE49-F238E27FC236}">
              <a16:creationId xmlns:a16="http://schemas.microsoft.com/office/drawing/2014/main" id="{CFF100AC-8D9F-4845-80C9-97ED083ACEB1}"/>
            </a:ext>
          </a:extLst>
        </xdr:cNvPr>
        <xdr:cNvSpPr txBox="1"/>
      </xdr:nvSpPr>
      <xdr:spPr>
        <a:xfrm>
          <a:off x="5019115"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5</xdr:col>
      <xdr:colOff>180414</xdr:colOff>
      <xdr:row>28</xdr:row>
      <xdr:rowOff>38660</xdr:rowOff>
    </xdr:from>
    <xdr:ext cx="1978747" cy="254493"/>
    <xdr:sp macro="" textlink="">
      <xdr:nvSpPr>
        <xdr:cNvPr id="35" name="TextBox 34">
          <a:extLst>
            <a:ext uri="{FF2B5EF4-FFF2-40B4-BE49-F238E27FC236}">
              <a16:creationId xmlns:a16="http://schemas.microsoft.com/office/drawing/2014/main" id="{0FAE8ED8-FA5A-400C-9BC4-6689D2F1CA82}"/>
            </a:ext>
          </a:extLst>
        </xdr:cNvPr>
        <xdr:cNvSpPr txBox="1"/>
      </xdr:nvSpPr>
      <xdr:spPr>
        <a:xfrm>
          <a:off x="8352864"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6</xdr:col>
      <xdr:colOff>617444</xdr:colOff>
      <xdr:row>28</xdr:row>
      <xdr:rowOff>38660</xdr:rowOff>
    </xdr:from>
    <xdr:ext cx="1978747" cy="254493"/>
    <xdr:sp macro="" textlink="">
      <xdr:nvSpPr>
        <xdr:cNvPr id="36" name="TextBox 35">
          <a:extLst>
            <a:ext uri="{FF2B5EF4-FFF2-40B4-BE49-F238E27FC236}">
              <a16:creationId xmlns:a16="http://schemas.microsoft.com/office/drawing/2014/main" id="{BE161644-3676-4831-B2F1-BDCB060BC5A8}"/>
            </a:ext>
          </a:extLst>
        </xdr:cNvPr>
        <xdr:cNvSpPr txBox="1"/>
      </xdr:nvSpPr>
      <xdr:spPr>
        <a:xfrm>
          <a:off x="10837769"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3</xdr:col>
      <xdr:colOff>2371165</xdr:colOff>
      <xdr:row>25</xdr:row>
      <xdr:rowOff>155762</xdr:rowOff>
    </xdr:from>
    <xdr:to>
      <xdr:col>4</xdr:col>
      <xdr:colOff>875740</xdr:colOff>
      <xdr:row>28</xdr:row>
      <xdr:rowOff>108696</xdr:rowOff>
    </xdr:to>
    <xdr:sp macro="" textlink="$H$55">
      <xdr:nvSpPr>
        <xdr:cNvPr id="37" name="TextBox 36">
          <a:extLst>
            <a:ext uri="{FF2B5EF4-FFF2-40B4-BE49-F238E27FC236}">
              <a16:creationId xmlns:a16="http://schemas.microsoft.com/office/drawing/2014/main" id="{E2794362-FD00-4B0E-8CCC-73C4691E02BC}"/>
            </a:ext>
          </a:extLst>
        </xdr:cNvPr>
        <xdr:cNvSpPr txBox="1"/>
      </xdr:nvSpPr>
      <xdr:spPr>
        <a:xfrm>
          <a:off x="5047690" y="5280212"/>
          <a:ext cx="195262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325659CC-BF18-4027-9C39-6B59F0E2F578}"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6</xdr:col>
      <xdr:colOff>500341</xdr:colOff>
      <xdr:row>25</xdr:row>
      <xdr:rowOff>184337</xdr:rowOff>
    </xdr:from>
    <xdr:to>
      <xdr:col>7</xdr:col>
      <xdr:colOff>429745</xdr:colOff>
      <xdr:row>28</xdr:row>
      <xdr:rowOff>89646</xdr:rowOff>
    </xdr:to>
    <xdr:sp macro="" textlink="$I$55">
      <xdr:nvSpPr>
        <xdr:cNvPr id="38" name="TextBox 37">
          <a:extLst>
            <a:ext uri="{FF2B5EF4-FFF2-40B4-BE49-F238E27FC236}">
              <a16:creationId xmlns:a16="http://schemas.microsoft.com/office/drawing/2014/main" id="{D20C5A59-6475-4866-9AF4-C4CB44B06895}"/>
            </a:ext>
          </a:extLst>
        </xdr:cNvPr>
        <xdr:cNvSpPr txBox="1"/>
      </xdr:nvSpPr>
      <xdr:spPr>
        <a:xfrm>
          <a:off x="10720666" y="5308787"/>
          <a:ext cx="1977279"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9E71E38-28CF-40B4-A787-CD2A933BF092}"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8</xdr:col>
      <xdr:colOff>619125</xdr:colOff>
      <xdr:row>14</xdr:row>
      <xdr:rowOff>71157</xdr:rowOff>
    </xdr:from>
    <xdr:to>
      <xdr:col>9</xdr:col>
      <xdr:colOff>440952</xdr:colOff>
      <xdr:row>16</xdr:row>
      <xdr:rowOff>144555</xdr:rowOff>
    </xdr:to>
    <xdr:sp macro="" textlink="$H$46">
      <xdr:nvSpPr>
        <xdr:cNvPr id="39" name="TextBox 38">
          <a:extLst>
            <a:ext uri="{FF2B5EF4-FFF2-40B4-BE49-F238E27FC236}">
              <a16:creationId xmlns:a16="http://schemas.microsoft.com/office/drawing/2014/main" id="{30B44379-00BA-40AB-9D25-A93340A53236}"/>
            </a:ext>
          </a:extLst>
        </xdr:cNvPr>
        <xdr:cNvSpPr txBox="1"/>
      </xdr:nvSpPr>
      <xdr:spPr>
        <a:xfrm>
          <a:off x="14935200" y="2995332"/>
          <a:ext cx="1869702"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BAAA7CE-3F73-42A7-B887-E644937F7159}"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11</xdr:col>
      <xdr:colOff>156882</xdr:colOff>
      <xdr:row>14</xdr:row>
      <xdr:rowOff>42582</xdr:rowOff>
    </xdr:from>
    <xdr:to>
      <xdr:col>12</xdr:col>
      <xdr:colOff>19609</xdr:colOff>
      <xdr:row>16</xdr:row>
      <xdr:rowOff>144555</xdr:rowOff>
    </xdr:to>
    <xdr:sp macro="" textlink="$I$46">
      <xdr:nvSpPr>
        <xdr:cNvPr id="40" name="TextBox 39">
          <a:extLst>
            <a:ext uri="{FF2B5EF4-FFF2-40B4-BE49-F238E27FC236}">
              <a16:creationId xmlns:a16="http://schemas.microsoft.com/office/drawing/2014/main" id="{B40A6A85-0C67-445A-BE0B-D8EC55AB578A}"/>
            </a:ext>
          </a:extLst>
        </xdr:cNvPr>
        <xdr:cNvSpPr txBox="1"/>
      </xdr:nvSpPr>
      <xdr:spPr>
        <a:xfrm>
          <a:off x="20616582" y="2966757"/>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E266E2BA-6A96-4903-9E52-5C6BCFEF9FF1}"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8</xdr:col>
      <xdr:colOff>619125</xdr:colOff>
      <xdr:row>25</xdr:row>
      <xdr:rowOff>155762</xdr:rowOff>
    </xdr:from>
    <xdr:to>
      <xdr:col>9</xdr:col>
      <xdr:colOff>526677</xdr:colOff>
      <xdr:row>28</xdr:row>
      <xdr:rowOff>108696</xdr:rowOff>
    </xdr:to>
    <xdr:sp macro="" textlink="$H$56">
      <xdr:nvSpPr>
        <xdr:cNvPr id="41" name="TextBox 40">
          <a:extLst>
            <a:ext uri="{FF2B5EF4-FFF2-40B4-BE49-F238E27FC236}">
              <a16:creationId xmlns:a16="http://schemas.microsoft.com/office/drawing/2014/main" id="{87672113-DEF9-43EF-B481-26CA4A855BF9}"/>
            </a:ext>
          </a:extLst>
        </xdr:cNvPr>
        <xdr:cNvSpPr txBox="1"/>
      </xdr:nvSpPr>
      <xdr:spPr>
        <a:xfrm>
          <a:off x="14935200" y="5280212"/>
          <a:ext cx="1955427"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04829A4-655E-4A93-964B-29A986B4CF47}"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11</xdr:col>
      <xdr:colOff>156882</xdr:colOff>
      <xdr:row>25</xdr:row>
      <xdr:rowOff>184337</xdr:rowOff>
    </xdr:from>
    <xdr:to>
      <xdr:col>12</xdr:col>
      <xdr:colOff>86284</xdr:colOff>
      <xdr:row>28</xdr:row>
      <xdr:rowOff>89646</xdr:rowOff>
    </xdr:to>
    <xdr:sp macro="" textlink="$I$56">
      <xdr:nvSpPr>
        <xdr:cNvPr id="42" name="TextBox 41">
          <a:extLst>
            <a:ext uri="{FF2B5EF4-FFF2-40B4-BE49-F238E27FC236}">
              <a16:creationId xmlns:a16="http://schemas.microsoft.com/office/drawing/2014/main" id="{41D3BB0D-B017-4934-86D6-FFC93C0AD3FC}"/>
            </a:ext>
          </a:extLst>
        </xdr:cNvPr>
        <xdr:cNvSpPr txBox="1"/>
      </xdr:nvSpPr>
      <xdr:spPr>
        <a:xfrm>
          <a:off x="20616582" y="5308787"/>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EBBBCB15-12D1-4F38-83A0-0D71BCF1AE39}"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9</xdr:col>
      <xdr:colOff>903754</xdr:colOff>
      <xdr:row>14</xdr:row>
      <xdr:rowOff>33057</xdr:rowOff>
    </xdr:from>
    <xdr:to>
      <xdr:col>10</xdr:col>
      <xdr:colOff>1214158</xdr:colOff>
      <xdr:row>16</xdr:row>
      <xdr:rowOff>144555</xdr:rowOff>
    </xdr:to>
    <xdr:sp macro="" textlink="$H$47">
      <xdr:nvSpPr>
        <xdr:cNvPr id="43" name="TextBox 42">
          <a:extLst>
            <a:ext uri="{FF2B5EF4-FFF2-40B4-BE49-F238E27FC236}">
              <a16:creationId xmlns:a16="http://schemas.microsoft.com/office/drawing/2014/main" id="{51EF60C6-ED4F-40AB-A1E7-D320FE1526D8}"/>
            </a:ext>
          </a:extLst>
        </xdr:cNvPr>
        <xdr:cNvSpPr txBox="1"/>
      </xdr:nvSpPr>
      <xdr:spPr>
        <a:xfrm>
          <a:off x="17267704" y="2957232"/>
          <a:ext cx="2358279"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FBD39D1-A40C-4D41-815F-1614BABEEB25}"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12</xdr:col>
      <xdr:colOff>593912</xdr:colOff>
      <xdr:row>14</xdr:row>
      <xdr:rowOff>61632</xdr:rowOff>
    </xdr:from>
    <xdr:to>
      <xdr:col>13</xdr:col>
      <xdr:colOff>434789</xdr:colOff>
      <xdr:row>16</xdr:row>
      <xdr:rowOff>144555</xdr:rowOff>
    </xdr:to>
    <xdr:sp macro="" textlink="$I$47">
      <xdr:nvSpPr>
        <xdr:cNvPr id="44" name="TextBox 43">
          <a:extLst>
            <a:ext uri="{FF2B5EF4-FFF2-40B4-BE49-F238E27FC236}">
              <a16:creationId xmlns:a16="http://schemas.microsoft.com/office/drawing/2014/main" id="{93E7B2ED-53E2-4F5D-AE47-CDF5229A23F4}"/>
            </a:ext>
          </a:extLst>
        </xdr:cNvPr>
        <xdr:cNvSpPr txBox="1"/>
      </xdr:nvSpPr>
      <xdr:spPr>
        <a:xfrm>
          <a:off x="23101487" y="2985807"/>
          <a:ext cx="188875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48E1D669-5050-474F-B029-B219812AC417}"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8</xdr:col>
      <xdr:colOff>619125</xdr:colOff>
      <xdr:row>12</xdr:row>
      <xdr:rowOff>150158</xdr:rowOff>
    </xdr:from>
    <xdr:to>
      <xdr:col>9</xdr:col>
      <xdr:colOff>107577</xdr:colOff>
      <xdr:row>14</xdr:row>
      <xdr:rowOff>33056</xdr:rowOff>
    </xdr:to>
    <xdr:sp macro="" textlink="$J$44">
      <xdr:nvSpPr>
        <xdr:cNvPr id="45" name="TextBox 44">
          <a:extLst>
            <a:ext uri="{FF2B5EF4-FFF2-40B4-BE49-F238E27FC236}">
              <a16:creationId xmlns:a16="http://schemas.microsoft.com/office/drawing/2014/main" id="{0119FC38-7A77-48C8-9A9E-51739ECFCE68}"/>
            </a:ext>
          </a:extLst>
        </xdr:cNvPr>
        <xdr:cNvSpPr txBox="1"/>
      </xdr:nvSpPr>
      <xdr:spPr>
        <a:xfrm>
          <a:off x="14935200" y="2674283"/>
          <a:ext cx="15363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9</xdr:col>
      <xdr:colOff>903754</xdr:colOff>
      <xdr:row>12</xdr:row>
      <xdr:rowOff>150158</xdr:rowOff>
    </xdr:from>
    <xdr:to>
      <xdr:col>10</xdr:col>
      <xdr:colOff>1433711</xdr:colOff>
      <xdr:row>14</xdr:row>
      <xdr:rowOff>33056</xdr:rowOff>
    </xdr:to>
    <xdr:sp macro="" textlink="$J$44">
      <xdr:nvSpPr>
        <xdr:cNvPr id="46" name="TextBox 45">
          <a:extLst>
            <a:ext uri="{FF2B5EF4-FFF2-40B4-BE49-F238E27FC236}">
              <a16:creationId xmlns:a16="http://schemas.microsoft.com/office/drawing/2014/main" id="{A0D87528-A936-4C70-B734-8806D5941F90}"/>
            </a:ext>
          </a:extLst>
        </xdr:cNvPr>
        <xdr:cNvSpPr txBox="1"/>
      </xdr:nvSpPr>
      <xdr:spPr>
        <a:xfrm>
          <a:off x="17267704" y="2674283"/>
          <a:ext cx="25778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8</xdr:col>
      <xdr:colOff>619125</xdr:colOff>
      <xdr:row>10</xdr:row>
      <xdr:rowOff>172010</xdr:rowOff>
    </xdr:from>
    <xdr:to>
      <xdr:col>9</xdr:col>
      <xdr:colOff>107577</xdr:colOff>
      <xdr:row>12</xdr:row>
      <xdr:rowOff>54907</xdr:rowOff>
    </xdr:to>
    <xdr:sp macro="" textlink="$J$44">
      <xdr:nvSpPr>
        <xdr:cNvPr id="47" name="TextBox 46">
          <a:extLst>
            <a:ext uri="{FF2B5EF4-FFF2-40B4-BE49-F238E27FC236}">
              <a16:creationId xmlns:a16="http://schemas.microsoft.com/office/drawing/2014/main" id="{BBAA6DE7-AA21-4A37-A377-7C16A05149A8}"/>
            </a:ext>
          </a:extLst>
        </xdr:cNvPr>
        <xdr:cNvSpPr txBox="1"/>
      </xdr:nvSpPr>
      <xdr:spPr>
        <a:xfrm>
          <a:off x="14935200" y="2296085"/>
          <a:ext cx="15363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twoCellAnchor>
    <xdr:from>
      <xdr:col>8</xdr:col>
      <xdr:colOff>657225</xdr:colOff>
      <xdr:row>8</xdr:row>
      <xdr:rowOff>174812</xdr:rowOff>
    </xdr:from>
    <xdr:to>
      <xdr:col>9</xdr:col>
      <xdr:colOff>798979</xdr:colOff>
      <xdr:row>10</xdr:row>
      <xdr:rowOff>143435</xdr:rowOff>
    </xdr:to>
    <xdr:sp macro="" textlink="">
      <xdr:nvSpPr>
        <xdr:cNvPr id="48" name="TextBox 47">
          <a:extLst>
            <a:ext uri="{FF2B5EF4-FFF2-40B4-BE49-F238E27FC236}">
              <a16:creationId xmlns:a16="http://schemas.microsoft.com/office/drawing/2014/main" id="{A12A3AE8-8EAC-43D5-82A3-214395B77E1C}"/>
            </a:ext>
          </a:extLst>
        </xdr:cNvPr>
        <xdr:cNvSpPr txBox="1"/>
      </xdr:nvSpPr>
      <xdr:spPr>
        <a:xfrm>
          <a:off x="14973300" y="1898837"/>
          <a:ext cx="2189629"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0C769E"/>
              </a:solidFill>
            </a:rPr>
            <a:t>Mass allocation</a:t>
          </a:r>
        </a:p>
      </xdr:txBody>
    </xdr:sp>
    <xdr:clientData/>
  </xdr:twoCellAnchor>
  <xdr:twoCellAnchor>
    <xdr:from>
      <xdr:col>8</xdr:col>
      <xdr:colOff>666750</xdr:colOff>
      <xdr:row>10</xdr:row>
      <xdr:rowOff>147552</xdr:rowOff>
    </xdr:from>
    <xdr:to>
      <xdr:col>14</xdr:col>
      <xdr:colOff>282948</xdr:colOff>
      <xdr:row>10</xdr:row>
      <xdr:rowOff>162485</xdr:rowOff>
    </xdr:to>
    <xdr:cxnSp macro="">
      <xdr:nvCxnSpPr>
        <xdr:cNvPr id="49" name="Straight Connector 48">
          <a:extLst>
            <a:ext uri="{FF2B5EF4-FFF2-40B4-BE49-F238E27FC236}">
              <a16:creationId xmlns:a16="http://schemas.microsoft.com/office/drawing/2014/main" id="{C6AD53B5-0EBC-4D2B-AC1A-8ADAABE52B72}"/>
            </a:ext>
          </a:extLst>
        </xdr:cNvPr>
        <xdr:cNvCxnSpPr/>
      </xdr:nvCxnSpPr>
      <xdr:spPr>
        <a:xfrm flipV="1">
          <a:off x="14982825" y="2271627"/>
          <a:ext cx="1046517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12</xdr:row>
      <xdr:rowOff>150158</xdr:rowOff>
    </xdr:from>
    <xdr:to>
      <xdr:col>11</xdr:col>
      <xdr:colOff>1696009</xdr:colOff>
      <xdr:row>14</xdr:row>
      <xdr:rowOff>33056</xdr:rowOff>
    </xdr:to>
    <xdr:sp macro="" textlink="$J$44">
      <xdr:nvSpPr>
        <xdr:cNvPr id="50" name="TextBox 49">
          <a:extLst>
            <a:ext uri="{FF2B5EF4-FFF2-40B4-BE49-F238E27FC236}">
              <a16:creationId xmlns:a16="http://schemas.microsoft.com/office/drawing/2014/main" id="{627282BF-3C86-4D34-BEFF-03C2F8DFAA65}"/>
            </a:ext>
          </a:extLst>
        </xdr:cNvPr>
        <xdr:cNvSpPr txBox="1"/>
      </xdr:nvSpPr>
      <xdr:spPr>
        <a:xfrm>
          <a:off x="20616582" y="2674283"/>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12</xdr:col>
      <xdr:colOff>593912</xdr:colOff>
      <xdr:row>12</xdr:row>
      <xdr:rowOff>150158</xdr:rowOff>
    </xdr:from>
    <xdr:to>
      <xdr:col>14</xdr:col>
      <xdr:colOff>483451</xdr:colOff>
      <xdr:row>14</xdr:row>
      <xdr:rowOff>33056</xdr:rowOff>
    </xdr:to>
    <xdr:sp macro="" textlink="$J$44">
      <xdr:nvSpPr>
        <xdr:cNvPr id="51" name="TextBox 50">
          <a:extLst>
            <a:ext uri="{FF2B5EF4-FFF2-40B4-BE49-F238E27FC236}">
              <a16:creationId xmlns:a16="http://schemas.microsoft.com/office/drawing/2014/main" id="{622F2FF7-6F0F-4B7F-9322-2581A83B66EE}"/>
            </a:ext>
          </a:extLst>
        </xdr:cNvPr>
        <xdr:cNvSpPr txBox="1"/>
      </xdr:nvSpPr>
      <xdr:spPr>
        <a:xfrm>
          <a:off x="23101487" y="2674283"/>
          <a:ext cx="2547014"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11</xdr:col>
      <xdr:colOff>156882</xdr:colOff>
      <xdr:row>10</xdr:row>
      <xdr:rowOff>172010</xdr:rowOff>
    </xdr:from>
    <xdr:to>
      <xdr:col>11</xdr:col>
      <xdr:colOff>1696009</xdr:colOff>
      <xdr:row>12</xdr:row>
      <xdr:rowOff>54907</xdr:rowOff>
    </xdr:to>
    <xdr:sp macro="" textlink="$J$44">
      <xdr:nvSpPr>
        <xdr:cNvPr id="52" name="TextBox 51">
          <a:extLst>
            <a:ext uri="{FF2B5EF4-FFF2-40B4-BE49-F238E27FC236}">
              <a16:creationId xmlns:a16="http://schemas.microsoft.com/office/drawing/2014/main" id="{26260320-09A3-4A85-B538-03E1C8002E0E}"/>
            </a:ext>
          </a:extLst>
        </xdr:cNvPr>
        <xdr:cNvSpPr txBox="1"/>
      </xdr:nvSpPr>
      <xdr:spPr>
        <a:xfrm>
          <a:off x="20616582" y="2296085"/>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8</xdr:col>
      <xdr:colOff>619125</xdr:colOff>
      <xdr:row>12</xdr:row>
      <xdr:rowOff>73958</xdr:rowOff>
    </xdr:from>
    <xdr:to>
      <xdr:col>10</xdr:col>
      <xdr:colOff>1404658</xdr:colOff>
      <xdr:row>12</xdr:row>
      <xdr:rowOff>73958</xdr:rowOff>
    </xdr:to>
    <xdr:cxnSp macro="">
      <xdr:nvCxnSpPr>
        <xdr:cNvPr id="53" name="Straight Connector 52">
          <a:extLst>
            <a:ext uri="{FF2B5EF4-FFF2-40B4-BE49-F238E27FC236}">
              <a16:creationId xmlns:a16="http://schemas.microsoft.com/office/drawing/2014/main" id="{6E93A7C8-1231-494D-A4B2-6435EE296095}"/>
            </a:ext>
          </a:extLst>
        </xdr:cNvPr>
        <xdr:cNvCxnSpPr/>
      </xdr:nvCxnSpPr>
      <xdr:spPr>
        <a:xfrm>
          <a:off x="14935200" y="2598083"/>
          <a:ext cx="48812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12</xdr:row>
      <xdr:rowOff>73958</xdr:rowOff>
    </xdr:from>
    <xdr:to>
      <xdr:col>14</xdr:col>
      <xdr:colOff>301997</xdr:colOff>
      <xdr:row>12</xdr:row>
      <xdr:rowOff>73958</xdr:rowOff>
    </xdr:to>
    <xdr:cxnSp macro="">
      <xdr:nvCxnSpPr>
        <xdr:cNvPr id="54" name="Straight Connector 53">
          <a:extLst>
            <a:ext uri="{FF2B5EF4-FFF2-40B4-BE49-F238E27FC236}">
              <a16:creationId xmlns:a16="http://schemas.microsoft.com/office/drawing/2014/main" id="{A7ABEB87-732C-4110-9F49-635B9C930D9C}"/>
            </a:ext>
          </a:extLst>
        </xdr:cNvPr>
        <xdr:cNvCxnSpPr/>
      </xdr:nvCxnSpPr>
      <xdr:spPr>
        <a:xfrm>
          <a:off x="20616582" y="2598083"/>
          <a:ext cx="485046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619125</xdr:colOff>
      <xdr:row>24</xdr:row>
      <xdr:rowOff>45944</xdr:rowOff>
    </xdr:from>
    <xdr:to>
      <xdr:col>9</xdr:col>
      <xdr:colOff>107577</xdr:colOff>
      <xdr:row>25</xdr:row>
      <xdr:rowOff>127186</xdr:rowOff>
    </xdr:to>
    <xdr:sp macro="" textlink="$J$44">
      <xdr:nvSpPr>
        <xdr:cNvPr id="55" name="TextBox 54">
          <a:extLst>
            <a:ext uri="{FF2B5EF4-FFF2-40B4-BE49-F238E27FC236}">
              <a16:creationId xmlns:a16="http://schemas.microsoft.com/office/drawing/2014/main" id="{7A9DFCD6-354F-4DC0-AC0C-79D0D8176EE0}"/>
            </a:ext>
          </a:extLst>
        </xdr:cNvPr>
        <xdr:cNvSpPr txBox="1"/>
      </xdr:nvSpPr>
      <xdr:spPr>
        <a:xfrm>
          <a:off x="14935200" y="4970369"/>
          <a:ext cx="15363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9</xdr:col>
      <xdr:colOff>989001</xdr:colOff>
      <xdr:row>24</xdr:row>
      <xdr:rowOff>45944</xdr:rowOff>
    </xdr:from>
    <xdr:to>
      <xdr:col>10</xdr:col>
      <xdr:colOff>1518958</xdr:colOff>
      <xdr:row>25</xdr:row>
      <xdr:rowOff>127186</xdr:rowOff>
    </xdr:to>
    <xdr:sp macro="" textlink="$J$44">
      <xdr:nvSpPr>
        <xdr:cNvPr id="56" name="TextBox 55">
          <a:extLst>
            <a:ext uri="{FF2B5EF4-FFF2-40B4-BE49-F238E27FC236}">
              <a16:creationId xmlns:a16="http://schemas.microsoft.com/office/drawing/2014/main" id="{DFE36D00-C565-40A3-853E-49D79A8B26D6}"/>
            </a:ext>
          </a:extLst>
        </xdr:cNvPr>
        <xdr:cNvSpPr txBox="1"/>
      </xdr:nvSpPr>
      <xdr:spPr>
        <a:xfrm>
          <a:off x="17352951" y="4970369"/>
          <a:ext cx="25778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8</xdr:col>
      <xdr:colOff>619125</xdr:colOff>
      <xdr:row>22</xdr:row>
      <xdr:rowOff>69476</xdr:rowOff>
    </xdr:from>
    <xdr:to>
      <xdr:col>9</xdr:col>
      <xdr:colOff>107577</xdr:colOff>
      <xdr:row>23</xdr:row>
      <xdr:rowOff>149037</xdr:rowOff>
    </xdr:to>
    <xdr:sp macro="" textlink="$J$44">
      <xdr:nvSpPr>
        <xdr:cNvPr id="57" name="TextBox 56">
          <a:extLst>
            <a:ext uri="{FF2B5EF4-FFF2-40B4-BE49-F238E27FC236}">
              <a16:creationId xmlns:a16="http://schemas.microsoft.com/office/drawing/2014/main" id="{92AA1009-2D5B-4D65-AFB9-238713C7CDBB}"/>
            </a:ext>
          </a:extLst>
        </xdr:cNvPr>
        <xdr:cNvSpPr txBox="1"/>
      </xdr:nvSpPr>
      <xdr:spPr>
        <a:xfrm>
          <a:off x="14935200" y="4593851"/>
          <a:ext cx="15363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oneCellAnchor>
    <xdr:from>
      <xdr:col>8</xdr:col>
      <xdr:colOff>619125</xdr:colOff>
      <xdr:row>16</xdr:row>
      <xdr:rowOff>49306</xdr:rowOff>
    </xdr:from>
    <xdr:ext cx="1978747" cy="254493"/>
    <xdr:sp macro="" textlink="">
      <xdr:nvSpPr>
        <xdr:cNvPr id="58" name="TextBox 57">
          <a:extLst>
            <a:ext uri="{FF2B5EF4-FFF2-40B4-BE49-F238E27FC236}">
              <a16:creationId xmlns:a16="http://schemas.microsoft.com/office/drawing/2014/main" id="{383F350A-F491-4B1E-8F6C-D675C3A83E4E}"/>
            </a:ext>
          </a:extLst>
        </xdr:cNvPr>
        <xdr:cNvSpPr txBox="1"/>
      </xdr:nvSpPr>
      <xdr:spPr>
        <a:xfrm>
          <a:off x="14935200"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8</xdr:col>
      <xdr:colOff>657225</xdr:colOff>
      <xdr:row>20</xdr:row>
      <xdr:rowOff>72277</xdr:rowOff>
    </xdr:from>
    <xdr:to>
      <xdr:col>9</xdr:col>
      <xdr:colOff>798979</xdr:colOff>
      <xdr:row>22</xdr:row>
      <xdr:rowOff>39220</xdr:rowOff>
    </xdr:to>
    <xdr:sp macro="" textlink="">
      <xdr:nvSpPr>
        <xdr:cNvPr id="59" name="TextBox 58">
          <a:extLst>
            <a:ext uri="{FF2B5EF4-FFF2-40B4-BE49-F238E27FC236}">
              <a16:creationId xmlns:a16="http://schemas.microsoft.com/office/drawing/2014/main" id="{7646FA67-4297-4372-B223-6BD542F21F60}"/>
            </a:ext>
          </a:extLst>
        </xdr:cNvPr>
        <xdr:cNvSpPr txBox="1"/>
      </xdr:nvSpPr>
      <xdr:spPr>
        <a:xfrm>
          <a:off x="14973300" y="4196602"/>
          <a:ext cx="2189629"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4F4789"/>
              </a:solidFill>
            </a:rPr>
            <a:t>Economic allocation</a:t>
          </a:r>
        </a:p>
      </xdr:txBody>
    </xdr:sp>
    <xdr:clientData/>
  </xdr:twoCellAnchor>
  <xdr:twoCellAnchor>
    <xdr:from>
      <xdr:col>8</xdr:col>
      <xdr:colOff>666750</xdr:colOff>
      <xdr:row>22</xdr:row>
      <xdr:rowOff>43269</xdr:rowOff>
    </xdr:from>
    <xdr:to>
      <xdr:col>14</xdr:col>
      <xdr:colOff>330573</xdr:colOff>
      <xdr:row>22</xdr:row>
      <xdr:rowOff>59951</xdr:rowOff>
    </xdr:to>
    <xdr:cxnSp macro="">
      <xdr:nvCxnSpPr>
        <xdr:cNvPr id="60" name="Straight Connector 59">
          <a:extLst>
            <a:ext uri="{FF2B5EF4-FFF2-40B4-BE49-F238E27FC236}">
              <a16:creationId xmlns:a16="http://schemas.microsoft.com/office/drawing/2014/main" id="{F41B62DE-975E-4D07-B304-F80B7633B754}"/>
            </a:ext>
          </a:extLst>
        </xdr:cNvPr>
        <xdr:cNvCxnSpPr/>
      </xdr:nvCxnSpPr>
      <xdr:spPr>
        <a:xfrm flipV="1">
          <a:off x="14982825" y="4567644"/>
          <a:ext cx="1051279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24</xdr:row>
      <xdr:rowOff>45944</xdr:rowOff>
    </xdr:from>
    <xdr:to>
      <xdr:col>11</xdr:col>
      <xdr:colOff>1696009</xdr:colOff>
      <xdr:row>25</xdr:row>
      <xdr:rowOff>127186</xdr:rowOff>
    </xdr:to>
    <xdr:sp macro="" textlink="$J$44">
      <xdr:nvSpPr>
        <xdr:cNvPr id="61" name="TextBox 60">
          <a:extLst>
            <a:ext uri="{FF2B5EF4-FFF2-40B4-BE49-F238E27FC236}">
              <a16:creationId xmlns:a16="http://schemas.microsoft.com/office/drawing/2014/main" id="{9651F736-7D84-4B5E-85E0-567A855476CF}"/>
            </a:ext>
          </a:extLst>
        </xdr:cNvPr>
        <xdr:cNvSpPr txBox="1"/>
      </xdr:nvSpPr>
      <xdr:spPr>
        <a:xfrm>
          <a:off x="20616582" y="4970369"/>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11</xdr:col>
      <xdr:colOff>156882</xdr:colOff>
      <xdr:row>22</xdr:row>
      <xdr:rowOff>69476</xdr:rowOff>
    </xdr:from>
    <xdr:to>
      <xdr:col>11</xdr:col>
      <xdr:colOff>1696009</xdr:colOff>
      <xdr:row>23</xdr:row>
      <xdr:rowOff>149037</xdr:rowOff>
    </xdr:to>
    <xdr:sp macro="" textlink="$J$44">
      <xdr:nvSpPr>
        <xdr:cNvPr id="62" name="TextBox 61">
          <a:extLst>
            <a:ext uri="{FF2B5EF4-FFF2-40B4-BE49-F238E27FC236}">
              <a16:creationId xmlns:a16="http://schemas.microsoft.com/office/drawing/2014/main" id="{27674019-B56E-44A5-9E02-AD4A76367199}"/>
            </a:ext>
          </a:extLst>
        </xdr:cNvPr>
        <xdr:cNvSpPr txBox="1"/>
      </xdr:nvSpPr>
      <xdr:spPr>
        <a:xfrm>
          <a:off x="20616582" y="4593851"/>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8</xdr:col>
      <xdr:colOff>619125</xdr:colOff>
      <xdr:row>23</xdr:row>
      <xdr:rowOff>168088</xdr:rowOff>
    </xdr:from>
    <xdr:to>
      <xdr:col>10</xdr:col>
      <xdr:colOff>1433233</xdr:colOff>
      <xdr:row>23</xdr:row>
      <xdr:rowOff>168088</xdr:rowOff>
    </xdr:to>
    <xdr:cxnSp macro="">
      <xdr:nvCxnSpPr>
        <xdr:cNvPr id="63" name="Straight Connector 62">
          <a:extLst>
            <a:ext uri="{FF2B5EF4-FFF2-40B4-BE49-F238E27FC236}">
              <a16:creationId xmlns:a16="http://schemas.microsoft.com/office/drawing/2014/main" id="{5EFDD5AC-6929-4EFA-B107-5A80D33BB742}"/>
            </a:ext>
          </a:extLst>
        </xdr:cNvPr>
        <xdr:cNvCxnSpPr/>
      </xdr:nvCxnSpPr>
      <xdr:spPr>
        <a:xfrm>
          <a:off x="14935200" y="4892488"/>
          <a:ext cx="490985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23</xdr:row>
      <xdr:rowOff>168088</xdr:rowOff>
    </xdr:from>
    <xdr:to>
      <xdr:col>14</xdr:col>
      <xdr:colOff>340097</xdr:colOff>
      <xdr:row>23</xdr:row>
      <xdr:rowOff>168088</xdr:rowOff>
    </xdr:to>
    <xdr:cxnSp macro="">
      <xdr:nvCxnSpPr>
        <xdr:cNvPr id="64" name="Straight Connector 63">
          <a:extLst>
            <a:ext uri="{FF2B5EF4-FFF2-40B4-BE49-F238E27FC236}">
              <a16:creationId xmlns:a16="http://schemas.microsoft.com/office/drawing/2014/main" id="{FB61A9E9-8D02-4583-95EE-20CB78A3D6F2}"/>
            </a:ext>
          </a:extLst>
        </xdr:cNvPr>
        <xdr:cNvCxnSpPr/>
      </xdr:nvCxnSpPr>
      <xdr:spPr>
        <a:xfrm>
          <a:off x="20616582" y="4892488"/>
          <a:ext cx="4888565"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9</xdr:col>
      <xdr:colOff>903754</xdr:colOff>
      <xdr:row>16</xdr:row>
      <xdr:rowOff>49306</xdr:rowOff>
    </xdr:from>
    <xdr:ext cx="1978747" cy="254493"/>
    <xdr:sp macro="" textlink="">
      <xdr:nvSpPr>
        <xdr:cNvPr id="65" name="TextBox 64">
          <a:extLst>
            <a:ext uri="{FF2B5EF4-FFF2-40B4-BE49-F238E27FC236}">
              <a16:creationId xmlns:a16="http://schemas.microsoft.com/office/drawing/2014/main" id="{49D16235-366F-41AA-86CA-221B92F7E305}"/>
            </a:ext>
          </a:extLst>
        </xdr:cNvPr>
        <xdr:cNvSpPr txBox="1"/>
      </xdr:nvSpPr>
      <xdr:spPr>
        <a:xfrm>
          <a:off x="17267704"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11</xdr:col>
      <xdr:colOff>156882</xdr:colOff>
      <xdr:row>16</xdr:row>
      <xdr:rowOff>49306</xdr:rowOff>
    </xdr:from>
    <xdr:ext cx="1978747" cy="254493"/>
    <xdr:sp macro="" textlink="">
      <xdr:nvSpPr>
        <xdr:cNvPr id="66" name="TextBox 65">
          <a:extLst>
            <a:ext uri="{FF2B5EF4-FFF2-40B4-BE49-F238E27FC236}">
              <a16:creationId xmlns:a16="http://schemas.microsoft.com/office/drawing/2014/main" id="{26A80387-390D-4364-A3D1-879279F6AB3E}"/>
            </a:ext>
          </a:extLst>
        </xdr:cNvPr>
        <xdr:cNvSpPr txBox="1"/>
      </xdr:nvSpPr>
      <xdr:spPr>
        <a:xfrm>
          <a:off x="20616582"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12</xdr:col>
      <xdr:colOff>593912</xdr:colOff>
      <xdr:row>16</xdr:row>
      <xdr:rowOff>49306</xdr:rowOff>
    </xdr:from>
    <xdr:ext cx="1978747" cy="254493"/>
    <xdr:sp macro="" textlink="">
      <xdr:nvSpPr>
        <xdr:cNvPr id="67" name="TextBox 66">
          <a:extLst>
            <a:ext uri="{FF2B5EF4-FFF2-40B4-BE49-F238E27FC236}">
              <a16:creationId xmlns:a16="http://schemas.microsoft.com/office/drawing/2014/main" id="{F03A9E52-D0BB-4B90-B515-4338C98F1A3A}"/>
            </a:ext>
          </a:extLst>
        </xdr:cNvPr>
        <xdr:cNvSpPr txBox="1"/>
      </xdr:nvSpPr>
      <xdr:spPr>
        <a:xfrm>
          <a:off x="23101487"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8</xdr:col>
      <xdr:colOff>619125</xdr:colOff>
      <xdr:row>28</xdr:row>
      <xdr:rowOff>38660</xdr:rowOff>
    </xdr:from>
    <xdr:ext cx="1978747" cy="254493"/>
    <xdr:sp macro="" textlink="">
      <xdr:nvSpPr>
        <xdr:cNvPr id="68" name="TextBox 67">
          <a:extLst>
            <a:ext uri="{FF2B5EF4-FFF2-40B4-BE49-F238E27FC236}">
              <a16:creationId xmlns:a16="http://schemas.microsoft.com/office/drawing/2014/main" id="{A7154D4B-6532-4827-A858-06228134784A}"/>
            </a:ext>
          </a:extLst>
        </xdr:cNvPr>
        <xdr:cNvSpPr txBox="1"/>
      </xdr:nvSpPr>
      <xdr:spPr>
        <a:xfrm>
          <a:off x="14935200"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9</xdr:col>
      <xdr:colOff>913279</xdr:colOff>
      <xdr:row>28</xdr:row>
      <xdr:rowOff>38660</xdr:rowOff>
    </xdr:from>
    <xdr:ext cx="1978747" cy="254493"/>
    <xdr:sp macro="" textlink="">
      <xdr:nvSpPr>
        <xdr:cNvPr id="69" name="TextBox 68">
          <a:extLst>
            <a:ext uri="{FF2B5EF4-FFF2-40B4-BE49-F238E27FC236}">
              <a16:creationId xmlns:a16="http://schemas.microsoft.com/office/drawing/2014/main" id="{5FC31ABD-E0E2-4051-9433-F568AF3A7F34}"/>
            </a:ext>
          </a:extLst>
        </xdr:cNvPr>
        <xdr:cNvSpPr txBox="1"/>
      </xdr:nvSpPr>
      <xdr:spPr>
        <a:xfrm>
          <a:off x="17277229"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11</xdr:col>
      <xdr:colOff>156882</xdr:colOff>
      <xdr:row>28</xdr:row>
      <xdr:rowOff>38660</xdr:rowOff>
    </xdr:from>
    <xdr:ext cx="1978747" cy="254493"/>
    <xdr:sp macro="" textlink="">
      <xdr:nvSpPr>
        <xdr:cNvPr id="70" name="TextBox 69">
          <a:extLst>
            <a:ext uri="{FF2B5EF4-FFF2-40B4-BE49-F238E27FC236}">
              <a16:creationId xmlns:a16="http://schemas.microsoft.com/office/drawing/2014/main" id="{AAF44FA9-3B7E-4F00-A78C-61984CFA77C8}"/>
            </a:ext>
          </a:extLst>
        </xdr:cNvPr>
        <xdr:cNvSpPr txBox="1"/>
      </xdr:nvSpPr>
      <xdr:spPr>
        <a:xfrm>
          <a:off x="20616582"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12</xdr:col>
      <xdr:colOff>660587</xdr:colOff>
      <xdr:row>28</xdr:row>
      <xdr:rowOff>29135</xdr:rowOff>
    </xdr:from>
    <xdr:ext cx="1978747" cy="254493"/>
    <xdr:sp macro="" textlink="">
      <xdr:nvSpPr>
        <xdr:cNvPr id="71" name="TextBox 70">
          <a:extLst>
            <a:ext uri="{FF2B5EF4-FFF2-40B4-BE49-F238E27FC236}">
              <a16:creationId xmlns:a16="http://schemas.microsoft.com/office/drawing/2014/main" id="{00FF77AD-FE62-4281-9EAB-92AE0B68F507}"/>
            </a:ext>
          </a:extLst>
        </xdr:cNvPr>
        <xdr:cNvSpPr txBox="1"/>
      </xdr:nvSpPr>
      <xdr:spPr>
        <a:xfrm>
          <a:off x="23168162" y="5753660"/>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9</xdr:col>
      <xdr:colOff>941854</xdr:colOff>
      <xdr:row>25</xdr:row>
      <xdr:rowOff>155762</xdr:rowOff>
    </xdr:from>
    <xdr:to>
      <xdr:col>10</xdr:col>
      <xdr:colOff>852208</xdr:colOff>
      <xdr:row>28</xdr:row>
      <xdr:rowOff>108696</xdr:rowOff>
    </xdr:to>
    <xdr:sp macro="" textlink="$H$57">
      <xdr:nvSpPr>
        <xdr:cNvPr id="72" name="TextBox 71">
          <a:extLst>
            <a:ext uri="{FF2B5EF4-FFF2-40B4-BE49-F238E27FC236}">
              <a16:creationId xmlns:a16="http://schemas.microsoft.com/office/drawing/2014/main" id="{FDD776B0-6BD5-4A9C-A8F8-21088F62BA87}"/>
            </a:ext>
          </a:extLst>
        </xdr:cNvPr>
        <xdr:cNvSpPr txBox="1"/>
      </xdr:nvSpPr>
      <xdr:spPr>
        <a:xfrm>
          <a:off x="17305804" y="5280212"/>
          <a:ext cx="1958229"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85047ED-CBF8-4719-9134-5BB20C92AD4F}"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12</xdr:col>
      <xdr:colOff>651061</xdr:colOff>
      <xdr:row>25</xdr:row>
      <xdr:rowOff>174812</xdr:rowOff>
    </xdr:from>
    <xdr:to>
      <xdr:col>13</xdr:col>
      <xdr:colOff>558613</xdr:colOff>
      <xdr:row>28</xdr:row>
      <xdr:rowOff>80121</xdr:rowOff>
    </xdr:to>
    <xdr:sp macro="" textlink="$I$57">
      <xdr:nvSpPr>
        <xdr:cNvPr id="73" name="TextBox 72">
          <a:extLst>
            <a:ext uri="{FF2B5EF4-FFF2-40B4-BE49-F238E27FC236}">
              <a16:creationId xmlns:a16="http://schemas.microsoft.com/office/drawing/2014/main" id="{683A1B7D-E638-41A7-8E76-A98B56DAD3A6}"/>
            </a:ext>
          </a:extLst>
        </xdr:cNvPr>
        <xdr:cNvSpPr txBox="1"/>
      </xdr:nvSpPr>
      <xdr:spPr>
        <a:xfrm>
          <a:off x="23158636" y="5299262"/>
          <a:ext cx="195542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4B499BF7-EBD0-4E79-A816-6137BC9BCCC9}"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3</xdr:col>
      <xdr:colOff>1066240</xdr:colOff>
      <xdr:row>5</xdr:row>
      <xdr:rowOff>60512</xdr:rowOff>
    </xdr:from>
    <xdr:to>
      <xdr:col>4</xdr:col>
      <xdr:colOff>1113865</xdr:colOff>
      <xdr:row>7</xdr:row>
      <xdr:rowOff>42583</xdr:rowOff>
    </xdr:to>
    <xdr:sp macro="" textlink="">
      <xdr:nvSpPr>
        <xdr:cNvPr id="74" name="TextBox 73">
          <a:extLst>
            <a:ext uri="{FF2B5EF4-FFF2-40B4-BE49-F238E27FC236}">
              <a16:creationId xmlns:a16="http://schemas.microsoft.com/office/drawing/2014/main" id="{704B110F-434F-48F6-9C99-23652D2F1A99}"/>
            </a:ext>
          </a:extLst>
        </xdr:cNvPr>
        <xdr:cNvSpPr txBox="1"/>
      </xdr:nvSpPr>
      <xdr:spPr>
        <a:xfrm>
          <a:off x="3742765" y="1184462"/>
          <a:ext cx="3495675"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000"/>
            <a:t>Milk sold</a:t>
          </a:r>
        </a:p>
      </xdr:txBody>
    </xdr:sp>
    <xdr:clientData/>
  </xdr:twoCellAnchor>
  <xdr:twoCellAnchor editAs="oneCell">
    <xdr:from>
      <xdr:col>3</xdr:col>
      <xdr:colOff>113741</xdr:colOff>
      <xdr:row>4</xdr:row>
      <xdr:rowOff>38099</xdr:rowOff>
    </xdr:from>
    <xdr:to>
      <xdr:col>3</xdr:col>
      <xdr:colOff>954995</xdr:colOff>
      <xdr:row>7</xdr:row>
      <xdr:rowOff>89088</xdr:rowOff>
    </xdr:to>
    <xdr:pic>
      <xdr:nvPicPr>
        <xdr:cNvPr id="75" name="Picture 74">
          <a:extLst>
            <a:ext uri="{FF2B5EF4-FFF2-40B4-BE49-F238E27FC236}">
              <a16:creationId xmlns:a16="http://schemas.microsoft.com/office/drawing/2014/main" id="{485FBA4E-4C13-4DC8-9363-BC4F7B4E129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5449" r="5449"/>
        <a:stretch/>
      </xdr:blipFill>
      <xdr:spPr>
        <a:xfrm>
          <a:off x="2790266" y="1162049"/>
          <a:ext cx="841254" cy="793939"/>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1669677</xdr:colOff>
      <xdr:row>5</xdr:row>
      <xdr:rowOff>41462</xdr:rowOff>
    </xdr:from>
    <xdr:to>
      <xdr:col>10</xdr:col>
      <xdr:colOff>1080808</xdr:colOff>
      <xdr:row>7</xdr:row>
      <xdr:rowOff>23533</xdr:rowOff>
    </xdr:to>
    <xdr:sp macro="" textlink="">
      <xdr:nvSpPr>
        <xdr:cNvPr id="76" name="TextBox 75">
          <a:extLst>
            <a:ext uri="{FF2B5EF4-FFF2-40B4-BE49-F238E27FC236}">
              <a16:creationId xmlns:a16="http://schemas.microsoft.com/office/drawing/2014/main" id="{80F76DBA-A216-4C00-9FE7-C57A9F30E72D}"/>
            </a:ext>
          </a:extLst>
        </xdr:cNvPr>
        <xdr:cNvSpPr txBox="1"/>
      </xdr:nvSpPr>
      <xdr:spPr>
        <a:xfrm>
          <a:off x="15985752" y="1165412"/>
          <a:ext cx="3506881"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000"/>
            <a:t>Liveweight sold</a:t>
          </a:r>
        </a:p>
      </xdr:txBody>
    </xdr:sp>
    <xdr:clientData/>
  </xdr:twoCellAnchor>
  <xdr:twoCellAnchor editAs="oneCell">
    <xdr:from>
      <xdr:col>8</xdr:col>
      <xdr:colOff>660061</xdr:colOff>
      <xdr:row>4</xdr:row>
      <xdr:rowOff>0</xdr:rowOff>
    </xdr:from>
    <xdr:to>
      <xdr:col>8</xdr:col>
      <xdr:colOff>1587703</xdr:colOff>
      <xdr:row>7</xdr:row>
      <xdr:rowOff>136712</xdr:rowOff>
    </xdr:to>
    <xdr:pic>
      <xdr:nvPicPr>
        <xdr:cNvPr id="77" name="Picture 76">
          <a:extLst>
            <a:ext uri="{FF2B5EF4-FFF2-40B4-BE49-F238E27FC236}">
              <a16:creationId xmlns:a16="http://schemas.microsoft.com/office/drawing/2014/main" id="{FD1C4F22-2E79-4681-92AB-AFA0F61510A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t="1444" b="1444"/>
        <a:stretch/>
      </xdr:blipFill>
      <xdr:spPr>
        <a:xfrm flipH="1">
          <a:off x="15109486" y="1123950"/>
          <a:ext cx="927642" cy="879662"/>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938212</xdr:colOff>
      <xdr:row>44</xdr:row>
      <xdr:rowOff>200025</xdr:rowOff>
    </xdr:from>
    <xdr:to>
      <xdr:col>9</xdr:col>
      <xdr:colOff>1443037</xdr:colOff>
      <xdr:row>56</xdr:row>
      <xdr:rowOff>85725</xdr:rowOff>
    </xdr:to>
    <xdr:graphicFrame macro="">
      <xdr:nvGraphicFramePr>
        <xdr:cNvPr id="78" name="Chart 77">
          <a:extLst>
            <a:ext uri="{FF2B5EF4-FFF2-40B4-BE49-F238E27FC236}">
              <a16:creationId xmlns:a16="http://schemas.microsoft.com/office/drawing/2014/main" id="{A77066F2-41B1-4020-99E9-DE2BF39F85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69A8A72-3CE5-4227-BDCD-1353ACE6C13A}" name="Table_Input_Enterprise_PlantingRemovals" displayName="Table_Input_Enterprise_PlantingRemovals" ref="D39:G40" totalsRowShown="0">
  <autoFilter ref="D39:G40" xr:uid="{069A8A72-3CE5-4227-BDCD-1353ACE6C13A}"/>
  <tableColumns count="4">
    <tableColumn id="1" xr3:uid="{5836E445-9CFC-4A97-8DDE-4C249E943537}" name="Planting name" dataCellStyle="Input text"/>
    <tableColumn id="2" xr3:uid="{365B899D-C571-4ECB-96CB-13C89774EE3C}" name="Total removed CO2" dataCellStyle="Input number general"/>
    <tableColumn id="3" xr3:uid="{13C8816C-5A9D-4FC0-AFF7-A72C96BBC8FB}" name="Percent allocated to this enterprise" dataCellStyle="Input percent"/>
    <tableColumn id="4" xr3:uid="{E46B1659-4CAC-423C-A977-D1FEDC0B6B19}" name="Removal allocated to this enterprise" dataCellStyle="Content normal">
      <calculatedColumnFormula>Table_Input_Enterprise_PlantingRemovals[[#This Row],[Total removed CO2]]*Table_Input_Enterprise_PlantingRemovals[[#This Row],[Percent allocated to this enterprise]]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EA1C81-FBB6-43DC-BB35-9A0347A24CF8}" name="Table_Input_LivestockSales" displayName="Table_Input_LivestockSales" ref="D6:I16" totalsRowShown="0">
  <autoFilter ref="D6:I16" xr:uid="{AD1E1097-C0F0-4392-9D6D-AFBC08E76915}">
    <filterColumn colId="0" hiddenButton="1"/>
    <filterColumn colId="1" hiddenButton="1"/>
    <filterColumn colId="2" hiddenButton="1"/>
    <filterColumn colId="3" hiddenButton="1"/>
    <filterColumn colId="4" hiddenButton="1"/>
    <filterColumn colId="5" hiddenButton="1"/>
  </autoFilter>
  <tableColumns count="6">
    <tableColumn id="6" xr3:uid="{84D8E3C0-97CA-4CF1-A63F-3CF6AAE07330}" name="Transaction name" dataCellStyle="Input text"/>
    <tableColumn id="1" xr3:uid="{E41B3FA3-55C1-4BBF-A477-D8EDBC89025E}" name="Class (select)" dataCellStyle="Input select"/>
    <tableColumn id="2" xr3:uid="{3F9F09B6-E6B3-4323-AB6A-249C77DAFA51}" name="Sale date" dataDxfId="37"/>
    <tableColumn id="3" xr3:uid="{48DB24D2-2F89-4EEB-911F-2F24089C3918}" name="Head sold"/>
    <tableColumn id="4" xr3:uid="{879FC871-5C62-44BF-952F-ACBA1C3B6AE4}" name="Average weight per head (kg)"/>
    <tableColumn id="5" xr3:uid="{B8588D76-BACA-4516-8963-B7E8E5A87B93}" name="Total liveweight sold" dataCellStyle="Input number general calculated">
      <calculatedColumnFormula>G7*H7</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CA0A1CD-8E5B-46C1-9B1B-A6414BB18D09}" name="Table_Input_DataQuality" displayName="Table_Input_DataQuality" ref="D6:J7" totalsRowShown="0" headerRowCellStyle="Input table column header">
  <autoFilter ref="D6:J7" xr:uid="{13023411-FAD9-40B6-9366-7826422CBF8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2D91677-2A2D-42DA-8119-4ECEF8794C8C}" name="Input"/>
    <tableColumn id="2" xr3:uid="{D0F60017-C58D-42ED-9BF1-8D01902E8D4D}" name="Temporal representativeness" dataCellStyle="Input select"/>
    <tableColumn id="3" xr3:uid="{08DBDF97-0155-4B2F-8291-54B61FF408BD}" name="Spatial resolution" dataCellStyle="Input select"/>
    <tableColumn id="4" xr3:uid="{022C6E4C-4A1B-4829-929A-D1AA689758A2}" name="Sample size" dataCellStyle="Input select"/>
    <tableColumn id="5" xr3:uid="{28F01E09-BECE-484C-81F3-93DFF53DC900}" name="Notes"/>
    <tableColumn id="6" xr3:uid="{DDF62FEF-8F18-4588-8C64-94585E6BFF74}" name="Evidence files"/>
    <tableColumn id="7" xr3:uid="{05442818-31FF-4B7D-911F-5A30BA48670D}" name="Score" dataCellStyle="Input number general calculated"/>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C478747-1F5D-47EE-BF4A-E425947C11C0}"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8A287FA3-800B-4A3C-B890-EE3EB2C92498}" name="State/Territory">
      <calculatedColumnFormula array="1">Common_InputFunctions.Utility_DisplayArrayInTable(Common_SourceData.Common_SourceData_AustralianStatesTerritories_Data(),Table_AustralianStates[[#Headers],[State/Territory]],0)</calculatedColumnFormula>
    </tableColumn>
    <tableColumn id="2" xr3:uid="{96370351-02C0-481B-ABA4-01406FE3BD55}" name="Common Name">
      <calculatedColumnFormula array="1">Common_InputFunctions.Utility_DisplayArrayInTable(Common_SourceData.Common_SourceData_AustralianStatesTerritories_Data(),Table_AustralianStates[[#Headers],[State/Territory]],0)</calculatedColumnFormula>
    </tableColumn>
    <tableColumn id="3" xr3:uid="{842546B1-B984-44F3-AC64-198425448805}"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39DC0B0-B96D-42DE-A74F-9666165298BB}" name="Table_WASA4Areas" displayName="Table_WASA4Areas" ref="D20:D30" totalsRowShown="0">
  <autoFilter ref="D20:D30" xr:uid="{5FA81339-C6C8-4D36-BEEA-6C4AEDD9E676}">
    <filterColumn colId="0" hiddenButton="1"/>
  </autoFilter>
  <tableColumns count="1">
    <tableColumn id="1" xr3:uid="{CEB26DE3-6D08-4488-BCC5-CAF66DA0743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088AC4D-D2BB-4119-86D0-5C4ECEF277E6}" name="Table_GWPData" displayName="Table_GWPData" ref="D36:E43" totalsRowShown="0">
  <autoFilter ref="D36:E43" xr:uid="{B8E87A66-3E41-4AD3-925D-01EE21B43D7A}">
    <filterColumn colId="0" hiddenButton="1"/>
    <filterColumn colId="1" hiddenButton="1"/>
  </autoFilter>
  <tableColumns count="2">
    <tableColumn id="1" xr3:uid="{8B79CC01-3ECE-4E13-BCFA-D269536A7BCE}" name="Gas">
      <calculatedColumnFormula array="1">Common_InputFunctions.Utility_DisplayArrayInTable(Common_SourceData.Common_SourceData_GWP_Data(), Table_GWPData[[#Headers],[Gas]], 0)</calculatedColumnFormula>
    </tableColumn>
    <tableColumn id="2" xr3:uid="{1429926F-63F9-41B0-922F-6ECBEB0F51C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7082FF7C-D65B-40DD-A145-3895A8DB7C1F}"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4DBA2455-78CB-4D98-AA3F-09E76468921A}" name="Gas">
      <calculatedColumnFormula array="1">Common_InputFunctions.Utility_DisplayArrayInTable(Common_SourceData.Common_SourceData_ConvertGasElementalToMolecular_Data(),Table_GasToMolecularConversionFactor[[#Headers],[Gas]], 0)</calculatedColumnFormula>
    </tableColumn>
    <tableColumn id="5" xr3:uid="{847F9075-C0C3-424A-89AD-B0E0C46CC2B7}" name="Conversion factor">
      <calculatedColumnFormula array="1">Common_InputFunctions.Utility_DisplayArrayInTable(Common_SourceData.Common_SourceData_ConvertGasElementalToMolecular_Data(),Table_GasToMolecularConversionFactor[[#Headers],[Gas]], 0)</calculatedColumnFormula>
    </tableColumn>
    <tableColumn id="2" xr3:uid="{B3F423E7-5422-4AB0-8E9F-FE964D1AB28C}" name="Conversion factor 1">
      <calculatedColumnFormula array="1">Common_InputFunctions.Utility_DisplayArrayInTable(Common_SourceData.Common_SourceData_ConvertGasElementalToMolecular_Data(),Table_GasToMolecularConversionFactor[[#Headers],[Gas]], 0)</calculatedColumnFormula>
    </tableColumn>
    <tableColumn id="3" xr3:uid="{70878C27-AF09-4C3E-AA84-4643A115F4B8}"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AA59925-0E1E-4C81-A2FE-508039861BCA}"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D0CB345A-1C1C-4903-883E-95B118EE9D5B}"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622A5368-2115-4AFA-9E1B-55763DE89670}"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85395033-5600-477B-B2A8-F9DD6340CCA7}" name="MAT"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3" xr3:uid="{CFC93F08-2BC7-4BBC-A029-A0CEEFC4A386}" name="MAP"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4" xr3:uid="{7EEE0652-905E-4C60-9EA8-BB1B972258D1}" name="Frost days per year"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5" xr3:uid="{097C0B4C-AE79-4AEF-9D0C-8729F8FD7AE7}" name="Elevation"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6" xr3:uid="{FEB741F7-AC5C-4AEE-9552-9D4B6ECAE991}" name="MAP:PET"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7" xr3:uid="{D5410FE5-B548-4931-A6AC-14C2144A60DA}" name="Min temp"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8" xr3:uid="{5A1A3BF3-FC1C-49D4-864A-417D756978EB}" name="Max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9" xr3:uid="{2C3E4891-FDD2-45D8-9E12-D7E20AB2C942}" name="Min rainfall"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0" xr3:uid="{5C2EEE10-BE60-43AB-BD46-3D5857E233F0}" name="Max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1" xr3:uid="{B8D4FB2A-E41F-41E4-A1B0-B50B6F4B8222}" name="Min frost days"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5" xr3:uid="{D1F195A5-29D3-4872-B840-5C2B982B31D3}" name="Max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2" xr3:uid="{D7C29537-FEDC-4D4C-ACE3-42DDEEA677B7}" name="Min elevation"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6" xr3:uid="{958174B2-155C-4F21-8FC1-CAED3FC453D2}" name="Max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3" xr3:uid="{17E613AB-F9F0-404A-8CFE-A6BE09D2A63F}" name="Min MAP:PET"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7" xr3:uid="{1E04DA75-1873-41D6-92F5-FFC40E85975A}" name="Max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8EA0F00-70EE-4353-B983-2572CEB0F04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18F355FA-9E18-4624-B96F-3F7C85E0C75C}"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1E23F64E-887D-4EF9-9FE8-07F603CE353D}" name="Wet or Dry Zone" totalsRowDxfId="21"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C3AFA370-8738-4E34-8DE5-34791278D8CA}"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D028E416-FD0D-4083-A9D9-9CDCBCBAB5EC}" name="Temperature Zone">
      <calculatedColumnFormula array="1">Common_InputFunctions.Utility_DisplayArrayInTable(Common_SourceData.Common_SourceData_TemperatureZones_Data(),Table_SourceData_TemperatureZones[[#Headers],[Temperature Zone]],0)</calculatedColumnFormula>
    </tableColumn>
    <tableColumn id="2" xr3:uid="{3213D349-5EBF-4936-AAA8-D15F4B964FB1}" name="MAT">
      <calculatedColumnFormula array="1">Common_InputFunctions.Utility_DisplayArrayInTable(Common_SourceData.Common_SourceData_TemperatureZones_Data(),Table_SourceData_TemperatureZones[[#Headers],[Temperature Zone]],0)</calculatedColumnFormula>
    </tableColumn>
    <tableColumn id="3" xr3:uid="{E0EBBFC7-A140-40A8-8E12-520D0626130C}" name="Min MAT">
      <calculatedColumnFormula array="1">Common_InputFunctions.Utility_DisplayArrayInTable(Common_SourceData.Common_SourceData_TemperatureZones_Data(),Table_SourceData_TemperatureZones[[#Headers],[Temperature Zone]],0)</calculatedColumnFormula>
    </tableColumn>
    <tableColumn id="4" xr3:uid="{D697D416-FDA5-4372-8BBC-3176E3922018}"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04C603B-B6F6-4EF5-BD98-BFD203645EBE}"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2ADDB08F-80D5-4814-A2A0-D98870369EC7}" name="Rainfall Zone">
      <calculatedColumnFormula array="1">Common_InputFunctions.Utility_DisplayArrayInTable(Common_SourceData.Common_SourceData_RainfallZones_Data(),Table_SourceData_RainfallZones[[#Headers],[Rainfall Zone]],0)</calculatedColumnFormula>
    </tableColumn>
    <tableColumn id="2" xr3:uid="{E0DE79E3-5186-40AE-AFE3-FF55A6EEA374}" name="Annual rainfall">
      <calculatedColumnFormula array="1">Common_InputFunctions.Utility_DisplayArrayInTable(Common_SourceData.Common_SourceData_RainfallZones_Data(),Table_SourceData_RainfallZones[[#Headers],[Rainfall Zone]],0)</calculatedColumnFormula>
    </tableColumn>
    <tableColumn id="3" xr3:uid="{31804A76-4AC7-4705-A77D-2CCE1E9337BE}" name="Min rainfall">
      <calculatedColumnFormula array="1">Common_InputFunctions.Utility_DisplayArrayInTable(Common_SourceData.Common_SourceData_RainfallZones_Data(),Table_SourceData_RainfallZones[[#Headers],[Rainfall Zone]],0)</calculatedColumnFormula>
    </tableColumn>
    <tableColumn id="4" xr3:uid="{D9EF56B1-0415-4006-AE4F-4DB80FEDB329}"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7AA4CFA5-F9FD-4055-8934-17ECCA2F6C85}"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81F7D022-6B55-4D8B-932F-227988594410}" name="Leaching Zone">
      <calculatedColumnFormula array="1">Common_InputFunctions.Utility_DisplayArrayInTable(Common_SourceData.Common_SourceData_LeachingZones_Data(), Table_SourceData_LeachingZones[[#Headers],[Leaching Zone]], 0)</calculatedColumnFormula>
    </tableColumn>
    <tableColumn id="2" xr3:uid="{2F08230F-DF28-4379-B8D2-B1FBE7194F94}"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231C3C94-FBA2-41C7-A91E-9959E5819B6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3A7BCDD8-83C0-455D-9496-7FEF773FF5E2}" name="Data source">
      <calculatedColumnFormula array="1">Common_InputFunctions.Utility_DisplayArrayInTable(Common_SourceData.Common_SourceData_DataScores_Scope3_Data(), Table_SourceData_DataScores_Scope3[[#Headers],[Data source]], 0)</calculatedColumnFormula>
    </tableColumn>
    <tableColumn id="2" xr3:uid="{E2BCFC54-9252-41C2-9D03-980F90A46BF2}"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2280D15C-3F73-4E88-9643-0E3B7226C575}" name="Table_SourceData_FracWET" displayName="Table_SourceData_FracWET" ref="D134:E136" totalsRowShown="0">
  <autoFilter ref="D134:E136" xr:uid="{308E99BE-FE1F-47A4-B2CA-97217277C4E9}">
    <filterColumn colId="0" hiddenButton="1"/>
    <filterColumn colId="1" hiddenButton="1"/>
  </autoFilter>
  <tableColumns count="2">
    <tableColumn id="1" xr3:uid="{52D54B98-3F5C-4DAD-91D8-47209B1CBF0F}" name="Is in leaching zone">
      <calculatedColumnFormula array="1">Common_InputFunctions.Utility_DisplayArrayInTable(Common_SourceData.Common_SourceData_FracWET_Data(),Table_SourceData_FracWET[[#Headers],[Is in leaching zone]],0)</calculatedColumnFormula>
    </tableColumn>
    <tableColumn id="2" xr3:uid="{9A57EC7B-E1C2-4105-B13E-4EB510230417}" name="FracWET" dataDxfId="20">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17F96F76-16B5-4D2C-B2C0-0677F9A62AAD}"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877D4AE1-5BBD-45EF-BFCD-46D4274DEA0D}" name="Production system j">
      <calculatedColumnFormula array="1">Common_InputFunctions.Utility_DisplayArrayInTable(Common_SourceData.Common_SourceData_EFN2O_Data(), Table_SourceData_Common_EFN2O[[#Headers],[Production system j]], 0)</calculatedColumnFormula>
    </tableColumn>
    <tableColumn id="2" xr3:uid="{C6CCA8D0-AB73-4541-AA09-167B095E7B82}" name="EFN2O">
      <calculatedColumnFormula array="1">Common_InputFunctions.Utility_DisplayArrayInTable(Common_SourceData.Common_SourceData_EFN2O_Data(), Table_SourceData_Common_EFN2O[[#Headers],[Production system j]], 0)</calculatedColumnFormula>
    </tableColumn>
    <tableColumn id="3" xr3:uid="{204083C8-C399-4D6B-B0B2-8991D4E5A8F7}" name="Production system only">
      <calculatedColumnFormula array="1">Common_InputFunctions.Utility_DisplayArrayInTable(Common_SourceData.Common_SourceData_EFN2O_Data(), Table_SourceData_Common_EFN2O[[#Headers],[Production system j]], 0)</calculatedColumnFormula>
    </tableColumn>
    <tableColumn id="4" xr3:uid="{973DD926-23DF-46A2-AD58-D64F34F24EFA}" name="Irrigation method">
      <calculatedColumnFormula array="1">Common_InputFunctions.Utility_DisplayArrayInTable(Common_SourceData.Common_SourceData_EFN2O_Data(), Table_SourceData_Common_EFN2O[[#Headers],[Production system j]], 0)</calculatedColumnFormula>
    </tableColumn>
    <tableColumn id="5" xr3:uid="{E046B314-7010-4676-A5EB-F80F38D4F3A9}"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4EBC22D0-6B32-4611-AF7D-E42A8F1055F4}"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7C001083-286C-4E7A-AD5C-B894196CEE00}" name="Irrigation type i">
      <calculatedColumnFormula array="1">Common_InputFunctions.Utility_DisplayArrayInTable(Common_SourceData.Common_SourceData_FracWETIrrigation_Data(), Table_SourceData_FracWETIrrigation[[#Headers],[Irrigation type i]], 0)</calculatedColumnFormula>
    </tableColumn>
    <tableColumn id="2" xr3:uid="{DE1A60AE-C5D5-49AC-95C8-8D0AAEB02582}" name="FracWET" dataDxfId="19"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5BD8BBAD-D110-4F14-9BA3-022B7AA72A94}"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A9596886-0825-40AB-8B15-2DDEA3CCEB30}"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7A08677F-AAE3-40D4-BEDE-23058A375EDA}" name="EFPRP" dataDxfId="18"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362327E-5357-47F6-8F2F-705B458BCC4B}"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57C75E7A-19E3-47ED-8896-2766A83C634A}" name="Month">
      <calculatedColumnFormula array="1">Common_InputFunctions.Utility_DisplayArrayInTable(Common_SourceData.Common_SourceData_MonthsToSeasons_Data(), Table_SourceData_Common_MonthToSeason[[#Headers],[Month]], 0)</calculatedColumnFormula>
    </tableColumn>
    <tableColumn id="2" xr3:uid="{812BD67D-F33D-41B3-8A9B-8A4DB75F9B83}" name="Season" dataDxfId="17"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A1C8652F-8FA0-4F1A-AD28-C3BA994322F5}"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4C72E13-EE2E-41C7-BA47-EFB29BF9831F}"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2CDB234B-55CD-4F04-ABCC-7C1B9BE9C5EA}" name="MAT (ºC)"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31FC9592-470C-4745-BE0C-801EDB73B364}" name="Anaerobic lago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0BBADFC2-AD9E-45A1-A477-BCBE2A443483}" name="Digester / covered lagoons"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1489AD5-67B7-4E73-8CF6-B6524734B20F}" name="Liquid system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C11525F1-D92E-45C7-9BF8-3E33E56C8730}" name="Daily spread"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A24CB689-3CDB-4700-9377-C73EB2656DE1}" name="Composting (passive windrow)"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90D646B5-9BD0-4389-90A1-3149EF4602EE}" name="Solid storage"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253D8404-CF61-4D43-BB93-FA9A02F1F766}" name="Pit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9A04ED5B-4BC1-4A37-9DD3-B2528AAD7D05}" name="Deep litter"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BAA791DA-F3A0-4954-BB53-8C5671397221}" name="Poultry manure with bedding"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0CE6F09E-7C27-49A4-B2A7-6B3A0CF05769}" name="Poultry manure without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02162768-ACCE-48D5-8771-DFE30DA7454E}" name="Direct process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D0F00B85-C8DF-42B4-9E3D-CEE67B91738F}" name="Direct application"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69065A74-641E-40D6-BB3B-C46C0998BA8B}" name="Pasture range and paddock"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E8697876-07FA-45DD-A420-6BD64684FC66}" name="MAT raw"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94AA6F70-552D-46BB-96AE-FD3E2133B44B}"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FAA3D460-A09A-40D0-9FC4-A7902DA21DBF}"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396FB2E9-CFF3-46A0-BF64-8B8E1F7DF6B8}" name="EFNi &amp; EFN2Oi" dataDxfId="1"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42CC366-20A9-444B-A561-C804E2F99D16}" name="Table_SourceData_DataQuality_TemporalRepresentativeness" displayName="Table_SourceData_DataQuality_TemporalRepresentativeness" ref="D265:F270" totalsRowShown="0">
  <autoFilter ref="D265:F270" xr:uid="{9AD44602-D2F2-4D97-923C-A32E98F8C17A}">
    <filterColumn colId="0" hiddenButton="1"/>
    <filterColumn colId="1" hiddenButton="1"/>
    <filterColumn colId="2" hiddenButton="1"/>
  </autoFilter>
  <tableColumns count="3">
    <tableColumn id="2" xr3:uid="{7148520C-28F0-4874-9F7C-976B826B4A88}" name="Description" dataDxfId="0" dataCellStyle="Content normal"/>
    <tableColumn id="1" xr3:uid="{4E13974D-F616-49F2-8E9F-954EDBFEB1DF}" name="ID"/>
    <tableColumn id="3" xr3:uid="{D4828A0E-47E2-4749-9825-94EC16B5A930}" name="Score"/>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3AA6D4A1-4ED8-4C02-AA02-CEDDB7739BB5}" name="Table_SourceData_DataQuality_SpatialRepresentativeness" displayName="Table_SourceData_DataQuality_SpatialRepresentativeness" ref="D274:F279" totalsRowShown="0">
  <autoFilter ref="D274:F279" xr:uid="{95094D65-3E0E-45CE-A3F4-F41E74C11901}">
    <filterColumn colId="0" hiddenButton="1"/>
    <filterColumn colId="1" hiddenButton="1"/>
    <filterColumn colId="2" hiddenButton="1"/>
  </autoFilter>
  <tableColumns count="3">
    <tableColumn id="1" xr3:uid="{5314C418-FE67-4ED2-AFCE-B99D3B3384BF}" name="Description"/>
    <tableColumn id="2" xr3:uid="{C480E577-2F78-4D53-BB14-47F2D4CB7F6B}" name="ID"/>
    <tableColumn id="3" xr3:uid="{27AA2D04-9437-4C31-9825-9D3DEF675DE3}" name="Score"/>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EE7EF91D-C903-4E93-8374-8181D0B54E94}" name="Table_SourceData_DataQuality_SampleSize" displayName="Table_SourceData_DataQuality_SampleSize" ref="D283:F288" totalsRowShown="0">
  <autoFilter ref="D283:F288" xr:uid="{DE8F748C-E65A-4AA2-81BB-D28A432CF334}">
    <filterColumn colId="0" hiddenButton="1"/>
    <filterColumn colId="1" hiddenButton="1"/>
    <filterColumn colId="2" hiddenButton="1"/>
  </autoFilter>
  <tableColumns count="3">
    <tableColumn id="1" xr3:uid="{855C20E7-2F1D-46E4-BCBB-B0560AC9FFBE}" name="Description"/>
    <tableColumn id="2" xr3:uid="{63747E18-1861-4B36-BC18-2372100BAEB5}" name="ID"/>
    <tableColumn id="3" xr3:uid="{60790537-9A08-4B5B-8242-4A2FBE180FEA}" name="Score"/>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FC3C5FC3-6328-4E26-A1B1-2FF540B251A3}" name="Table_SourceData_DataQuality_Scope3" displayName="Table_SourceData_DataQuality_Scope3" ref="D292:F297" totalsRowShown="0">
  <autoFilter ref="D292:F297" xr:uid="{43A1C4DA-75D1-45DF-BA9A-1798C2CC5A4B}">
    <filterColumn colId="0" hiddenButton="1"/>
    <filterColumn colId="1" hiddenButton="1"/>
    <filterColumn colId="2" hiddenButton="1"/>
  </autoFilter>
  <tableColumns count="3">
    <tableColumn id="1" xr3:uid="{1E03ECF4-A79D-42E7-943F-CF1494573C20}" name="Description"/>
    <tableColumn id="2" xr3:uid="{001CA177-D95B-4CDB-8087-179AE22145B9}" name="ID"/>
    <tableColumn id="3" xr3:uid="{4F4BC539-FCC4-4BE3-BF64-C433A1418A06}" name="Score"/>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8" Type="http://schemas.openxmlformats.org/officeDocument/2006/relationships/table" Target="../tables/table10.xml"/><Relationship Id="rId13" Type="http://schemas.openxmlformats.org/officeDocument/2006/relationships/table" Target="../tables/table15.xml"/><Relationship Id="rId18" Type="http://schemas.openxmlformats.org/officeDocument/2006/relationships/table" Target="../tables/table20.xml"/><Relationship Id="rId3" Type="http://schemas.openxmlformats.org/officeDocument/2006/relationships/table" Target="../tables/table5.xml"/><Relationship Id="rId21" Type="http://schemas.openxmlformats.org/officeDocument/2006/relationships/table" Target="../tables/table23.xml"/><Relationship Id="rId7" Type="http://schemas.openxmlformats.org/officeDocument/2006/relationships/table" Target="../tables/table9.xml"/><Relationship Id="rId12" Type="http://schemas.openxmlformats.org/officeDocument/2006/relationships/table" Target="../tables/table14.xml"/><Relationship Id="rId17" Type="http://schemas.openxmlformats.org/officeDocument/2006/relationships/table" Target="../tables/table19.xml"/><Relationship Id="rId2" Type="http://schemas.openxmlformats.org/officeDocument/2006/relationships/table" Target="../tables/table4.xml"/><Relationship Id="rId16" Type="http://schemas.openxmlformats.org/officeDocument/2006/relationships/table" Target="../tables/table18.xml"/><Relationship Id="rId20" Type="http://schemas.openxmlformats.org/officeDocument/2006/relationships/table" Target="../tables/table22.xml"/><Relationship Id="rId1" Type="http://schemas.openxmlformats.org/officeDocument/2006/relationships/printerSettings" Target="../printerSettings/printerSettings2.bin"/><Relationship Id="rId6" Type="http://schemas.openxmlformats.org/officeDocument/2006/relationships/table" Target="../tables/table8.xml"/><Relationship Id="rId11" Type="http://schemas.openxmlformats.org/officeDocument/2006/relationships/table" Target="../tables/table13.xml"/><Relationship Id="rId5" Type="http://schemas.openxmlformats.org/officeDocument/2006/relationships/table" Target="../tables/table7.xml"/><Relationship Id="rId15" Type="http://schemas.openxmlformats.org/officeDocument/2006/relationships/table" Target="../tables/table17.xml"/><Relationship Id="rId10" Type="http://schemas.openxmlformats.org/officeDocument/2006/relationships/table" Target="../tables/table12.xml"/><Relationship Id="rId19" Type="http://schemas.openxmlformats.org/officeDocument/2006/relationships/table" Target="../tables/table21.xml"/><Relationship Id="rId4" Type="http://schemas.openxmlformats.org/officeDocument/2006/relationships/table" Target="../tables/table6.xml"/><Relationship Id="rId9" Type="http://schemas.openxmlformats.org/officeDocument/2006/relationships/table" Target="../tables/table11.xml"/><Relationship Id="rId14" Type="http://schemas.openxmlformats.org/officeDocument/2006/relationships/table" Target="../tables/table16.xml"/><Relationship Id="rId22"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8"/>
  <sheetViews>
    <sheetView zoomScaleNormal="100" workbookViewId="0"/>
  </sheetViews>
  <sheetFormatPr defaultRowHeight="15" x14ac:dyDescent="0.25"/>
  <sheetData>
    <row r="1" spans="1:1" x14ac:dyDescent="0.25">
      <c r="A1" t="s">
        <v>0</v>
      </c>
    </row>
    <row r="3" spans="1:1" x14ac:dyDescent="0.25">
      <c r="A3" s="84" t="str">
        <f>HYPERLINK("#'Home'!A1", "Home")</f>
        <v>Home</v>
      </c>
    </row>
    <row r="6" spans="1:1" x14ac:dyDescent="0.25">
      <c r="A6" s="85" t="s">
        <v>2</v>
      </c>
    </row>
    <row r="7" spans="1:1" ht="15.75" x14ac:dyDescent="0.25">
      <c r="A7" s="5" t="str">
        <f>HYPERLINK("#'Constants - Common'!A1", "Constants - Common")</f>
        <v>Constants - Common</v>
      </c>
    </row>
    <row r="8" spans="1:1" ht="15.75" x14ac:dyDescent="0.25">
      <c r="A8" s="5"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75"/>
  <sheetViews>
    <sheetView showGridLines="0" tabSelected="1" topLeftCell="A59" zoomScaleNormal="100" workbookViewId="0">
      <selection activeCell="G83" sqref="G83"/>
    </sheetView>
  </sheetViews>
  <sheetFormatPr defaultRowHeight="15.75" x14ac:dyDescent="0.25"/>
  <cols>
    <col min="1" max="1" width="30.7109375" customWidth="1"/>
    <col min="2" max="2" width="2.7109375" customWidth="1"/>
    <col min="3" max="3" width="2.7109375" style="1" customWidth="1"/>
    <col min="4" max="4" width="78.42578125" style="1" customWidth="1"/>
    <col min="5" max="10" width="30.7109375" style="1" customWidth="1"/>
    <col min="11" max="11" width="7.42578125" style="1" customWidth="1"/>
    <col min="12" max="26" width="28.7109375" customWidth="1"/>
  </cols>
  <sheetData>
    <row r="1" spans="1:11" ht="30" customHeight="1" x14ac:dyDescent="0.35">
      <c r="A1" s="11" t="e" vm="1">
        <v>#VALUE!</v>
      </c>
      <c r="C1" s="87" t="s">
        <v>246</v>
      </c>
      <c r="D1" s="87"/>
      <c r="E1" s="87"/>
      <c r="F1" s="87"/>
      <c r="G1" s="87"/>
      <c r="H1" s="87"/>
      <c r="I1" s="87"/>
      <c r="J1" s="87"/>
      <c r="K1" s="87"/>
    </row>
    <row r="2" spans="1:11" s="3" customFormat="1" ht="20.100000000000001" customHeight="1" x14ac:dyDescent="0.25"/>
    <row r="3" spans="1:11" ht="20.100000000000001" customHeight="1" x14ac:dyDescent="0.25">
      <c r="A3" s="5" t="str">
        <f>HYPERLINK("#'Home'!A1", "Home")</f>
        <v>Home</v>
      </c>
      <c r="C3" s="12"/>
      <c r="D3" s="12"/>
      <c r="E3" s="12"/>
      <c r="F3" s="12"/>
      <c r="G3" s="12"/>
      <c r="H3" s="12"/>
      <c r="I3" s="12"/>
      <c r="J3" s="12"/>
      <c r="K3" s="12"/>
    </row>
    <row r="4" spans="1:11" ht="20.100000000000001" customHeight="1" x14ac:dyDescent="0.25">
      <c r="A4" s="5" t="str">
        <f>HYPERLINK("#'Results'!A1", "Results")</f>
        <v>Results</v>
      </c>
    </row>
    <row r="5" spans="1:11" ht="20.100000000000001" customHeight="1" x14ac:dyDescent="0.25">
      <c r="A5" s="4"/>
      <c r="D5" s="2" t="str">
        <f>"Emissions breakdown for activities running between " &amp; TEXT(X_Cell_Site_StartDate, "dd mmmm yyyy") &amp; " and " &amp; TEXT('Input - Enterprise'!E13, "dd mmmm yyyy")</f>
        <v>Emissions breakdown for activities running between 01 January 2024 and 31 December 2024</v>
      </c>
    </row>
    <row r="6" spans="1:11" ht="20.100000000000001" customHeight="1" x14ac:dyDescent="0.25">
      <c r="A6" s="8" t="s">
        <v>1</v>
      </c>
    </row>
    <row r="7" spans="1:11" ht="20.100000000000001" customHeight="1" x14ac:dyDescent="0.25">
      <c r="A7" s="5" t="str">
        <f>HYPERLINK("#'Input - Site'!A1", "Site")</f>
        <v>Site</v>
      </c>
      <c r="D7" s="79" t="s">
        <v>247</v>
      </c>
    </row>
    <row r="8" spans="1:11" ht="20.100000000000001" customHeight="1" x14ac:dyDescent="0.25">
      <c r="A8" s="5" t="str">
        <f>HYPERLINK("#'Input - Pasture Beef'!A1", "Pasture Beef")</f>
        <v>Pasture Beef</v>
      </c>
    </row>
    <row r="9" spans="1:11" ht="20.100000000000001" customHeight="1" x14ac:dyDescent="0.25">
      <c r="A9" s="5"/>
      <c r="D9" s="12" t="s">
        <v>4</v>
      </c>
      <c r="E9" s="12" t="s">
        <v>8</v>
      </c>
      <c r="F9" s="12" t="s">
        <v>9</v>
      </c>
      <c r="G9" s="12" t="s">
        <v>5</v>
      </c>
      <c r="H9" s="12" t="s">
        <v>10</v>
      </c>
      <c r="I9" s="12" t="s">
        <v>11</v>
      </c>
      <c r="J9" s="12"/>
    </row>
    <row r="10" spans="1:11" ht="20.100000000000001" customHeight="1" x14ac:dyDescent="0.25">
      <c r="A10" s="7" t="s">
        <v>3</v>
      </c>
      <c r="D10" s="1" t="s">
        <v>167</v>
      </c>
      <c r="E10" s="1" t="e" cm="1">
        <f t="array" ref="E10">VEERG_3_3_1_1__1_TotalAnnualMethaneFromEntericFermentationVariation_Result_Method1</f>
        <v>#NAME?</v>
      </c>
      <c r="F10" s="1" t="e" cm="1">
        <f t="array" ref="F10">VEERG_3_3_1_1__1_TotalAnnualMethaneFromEntericFermentationVariation_Result_Method2</f>
        <v>#NAME?</v>
      </c>
      <c r="G10" s="1" t="s">
        <v>6</v>
      </c>
      <c r="H10" s="1" t="e" cm="1">
        <f t="array" ref="H10">Common_Equations.Common_ConvertCH4ToCO2e(E10,_xlfn.XLOOKUP("CH4", Table_GWPData[Gas],Table_GWPData[CO2-e factor]))</f>
        <v>#NAME?</v>
      </c>
      <c r="I10" s="1" t="e" cm="1">
        <f t="array" ref="I10">Common_Equations.Common_ConvertCH4ToCO2e(F10,_xlfn.XLOOKUP("CH4", Table_GWPData[Gas],Table_GWPData[CO2-e factor]))</f>
        <v>#NAME?</v>
      </c>
      <c r="J10" s="10" t="s">
        <v>7</v>
      </c>
    </row>
    <row r="11" spans="1:11" ht="20.100000000000001" customHeight="1" x14ac:dyDescent="0.25">
      <c r="A11" s="5" t="str">
        <f>HYPERLINK("#'4.2.1.1-2 Methane'!A1", "4.2.1.1-2 Methane")</f>
        <v>4.2.1.1-2 Methane</v>
      </c>
      <c r="D11" s="1" t="s">
        <v>168</v>
      </c>
      <c r="E11" s="1" t="e" cm="1">
        <f t="array" ref="E11">VEERG_4_3_1_1__1_TotalAnnualMethaneFromManureManagement_Result_Method1</f>
        <v>#NAME?</v>
      </c>
      <c r="F11" s="1" t="e" cm="1">
        <f t="array" ref="F11">VEERG_4_3_1_1__1_TotalAnnualMethaneFromManureManagement_Result_Method2</f>
        <v>#NAME?</v>
      </c>
      <c r="G11" s="1" t="s">
        <v>6</v>
      </c>
      <c r="H11" s="1" t="e" cm="1">
        <f t="array" ref="H11">Common_Equations.Common_ConvertCH4ToCO2e(E11,_xlfn.XLOOKUP("CH4", Table_GWPData[Gas],Table_GWPData[CO2-e factor]))</f>
        <v>#NAME?</v>
      </c>
      <c r="I11" s="1" t="e" cm="1">
        <f t="array" ref="I11">Common_Equations.Common_ConvertCH4ToCO2e(F11,_xlfn.XLOOKUP("CH4", Table_GWPData[Gas],Table_GWPData[CO2-e factor]))</f>
        <v>#NAME?</v>
      </c>
      <c r="J11" s="10" t="s">
        <v>7</v>
      </c>
    </row>
    <row r="12" spans="1:11" ht="20.100000000000001" customHeight="1" x14ac:dyDescent="0.25">
      <c r="A12" s="5" t="str">
        <f>HYPERLINK("#'4.2.1.3-4 Soil direct N2O'!A1", "4.2.1.3-4 Soil direct N2O")</f>
        <v>4.2.1.3-4 Soil direct N2O</v>
      </c>
      <c r="D12" s="1" t="s">
        <v>169</v>
      </c>
      <c r="E12" s="1" t="e" cm="1">
        <f t="array" ref="E12">VEERG_4_3_1_3__1_TotalAnnualDirectNitrousOxideEmissionsFromMMS_Result_Method1</f>
        <v>#NAME?</v>
      </c>
      <c r="F12" s="1" t="e" cm="1">
        <f t="array" ref="F12">VEERG_4_3_1_3__1_TotalAnnualDirectNitrousOxideEmissionsFromMMS_Result_Method2</f>
        <v>#NAME?</v>
      </c>
      <c r="G12" s="1" t="s">
        <v>12</v>
      </c>
      <c r="H12" s="1" t="e" cm="1">
        <f t="array" ref="H12">Common_Equations.Common_ConvertN2OToCO2e(E12,_xlfn.XLOOKUP("N2O", Table_GWPData[Gas],Table_GWPData[CO2-e factor]))</f>
        <v>#NAME?</v>
      </c>
      <c r="I12" s="1" t="e" cm="1">
        <f t="array" ref="I12">Common_Equations.Common_ConvertN2OToCO2e(F12,_xlfn.XLOOKUP("N2O", Table_GWPData[Gas],Table_GWPData[CO2-e factor]))</f>
        <v>#NAME?</v>
      </c>
      <c r="J12" s="10" t="s">
        <v>7</v>
      </c>
    </row>
    <row r="13" spans="1:11" ht="20.100000000000001" customHeight="1" x14ac:dyDescent="0.25">
      <c r="A13" s="5" t="str">
        <f>HYPERLINK("#'4.2.1.5-6 Soil Atmos Dep'!A1", "4.2.1.5-6 Soil atm. deposition")</f>
        <v>4.2.1.5-6 Soil atm. deposition</v>
      </c>
      <c r="D13" s="1" t="s">
        <v>170</v>
      </c>
      <c r="E13" s="1" t="e" cm="1">
        <f t="array" ref="E13">VEERG_4_3_1_5__1_AnnualAtmosphericDepositionEmissionsFromMMS_Result_Method1</f>
        <v>#NAME?</v>
      </c>
      <c r="F13" s="1" t="e" cm="1">
        <f t="array" ref="F13">VEERG_4_3_1_5__1_AnnualAtmosphericDepositionEmissionsFromMMS_Result_Method2</f>
        <v>#NAME?</v>
      </c>
      <c r="G13" s="1" t="s">
        <v>12</v>
      </c>
      <c r="H13" s="1" t="e" cm="1">
        <f t="array" ref="H13">Common_Equations.Common_ConvertN2OToCO2e(E13,_xlfn.XLOOKUP("N2O", Table_GWPData[Gas],Table_GWPData[CO2-e factor]))</f>
        <v>#NAME?</v>
      </c>
      <c r="I13" s="1" t="e" cm="1">
        <f t="array" ref="I13">Common_Equations.Common_ConvertN2OToCO2e(F13,_xlfn.XLOOKUP("N2O", Table_GWPData[Gas],Table_GWPData[CO2-e factor]))</f>
        <v>#NAME?</v>
      </c>
      <c r="J13" s="10" t="s">
        <v>7</v>
      </c>
    </row>
    <row r="14" spans="1:11" ht="20.100000000000001" customHeight="1" x14ac:dyDescent="0.25">
      <c r="A14" s="5" t="str">
        <f>HYPERLINK("#'4.2.1.7-8 Soil leach runoff'!A1", "4.2.1.7-8 Soil leach &amp; runoff")</f>
        <v>4.2.1.7-8 Soil leach &amp; runoff</v>
      </c>
      <c r="D14" s="1" t="s">
        <v>171</v>
      </c>
      <c r="E14" s="1" t="e" cm="1">
        <f t="array" ref="E14">VEERG_4_3_1_6__1_AnnualEmissionsFromLeachingAndRunoffFromMMS_Result_Method1</f>
        <v>#NAME?</v>
      </c>
      <c r="F14" s="1" t="e" cm="1">
        <f t="array" ref="F14">VEERG_4_3_1_6__1_AnnualEmissionsFromLeachingAndRunoffFromMMS_Result_Method2</f>
        <v>#NAME?</v>
      </c>
      <c r="G14" s="1" t="s">
        <v>12</v>
      </c>
      <c r="H14" s="1" t="e" cm="1">
        <f t="array" ref="H14">Common_Equations.Common_ConvertN2OToCO2e(E14,_xlfn.XLOOKUP("N2O", Table_GWPData[Gas],Table_GWPData[CO2-e factor]))</f>
        <v>#NAME?</v>
      </c>
      <c r="I14" s="1" t="e" cm="1">
        <f t="array" ref="I14">Common_Equations.Common_ConvertN2OToCO2e(F14,_xlfn.XLOOKUP("N2O", Table_GWPData[Gas],Table_GWPData[CO2-e factor]))</f>
        <v>#NAME?</v>
      </c>
      <c r="J14" s="10" t="s">
        <v>7</v>
      </c>
    </row>
    <row r="15" spans="1:11" ht="20.100000000000001" customHeight="1" x14ac:dyDescent="0.25">
      <c r="A15" s="5"/>
      <c r="D15" s="1" t="s">
        <v>172</v>
      </c>
      <c r="E15" s="1" t="e" cm="1">
        <f t="array" ref="E15">VEERG_4_3_1_9__1_DirectNitrousOxideEmissionsOnPasture_Result_Method1</f>
        <v>#NAME?</v>
      </c>
      <c r="F15" s="1" t="e" cm="1">
        <f t="array" ref="F15">VEERG_4_3_1_9__1_DirectNitrousOxideEmissionsOnPasture_Result_Method2</f>
        <v>#NAME?</v>
      </c>
      <c r="G15" s="1" t="s">
        <v>12</v>
      </c>
      <c r="H15" s="1" t="e" cm="1">
        <f t="array" ref="H15">Common_Equations.Common_ConvertN2OToCO2e(E15,_xlfn.XLOOKUP("N2O", Table_GWPData[Gas],Table_GWPData[CO2-e factor]))</f>
        <v>#NAME?</v>
      </c>
      <c r="I15" s="1" t="e" cm="1">
        <f t="array" ref="I15">Common_Equations.Common_ConvertN2OToCO2e(F15,_xlfn.XLOOKUP("N2O", Table_GWPData[Gas],Table_GWPData[CO2-e factor]))</f>
        <v>#NAME?</v>
      </c>
      <c r="J15" s="10" t="s">
        <v>7</v>
      </c>
    </row>
    <row r="16" spans="1:11" ht="20.100000000000001" customHeight="1" x14ac:dyDescent="0.25">
      <c r="A16" s="6" t="s">
        <v>2</v>
      </c>
      <c r="D16" s="1" t="s">
        <v>173</v>
      </c>
      <c r="E16" s="1" t="e" cm="1">
        <f t="array" ref="E16">VEERG_4_3_1_10__1_AtmosphericDepositionEmissionsFromUrineAndDungOnPasture_Result_Method1</f>
        <v>#NAME?</v>
      </c>
      <c r="F16" s="1" t="e" cm="1">
        <f t="array" ref="F16">VEERG_4_3_1_10__1_AtmosphericDepositionEmissionsFromUrineAndDungOnPasture_Result_Method2</f>
        <v>#NAME?</v>
      </c>
      <c r="G16" s="1" t="s">
        <v>12</v>
      </c>
      <c r="H16" s="1" t="e" cm="1">
        <f t="array" ref="H16">Common_Equations.Common_ConvertN2OToCO2e(E16,_xlfn.XLOOKUP("N2O", Table_GWPData[Gas],Table_GWPData[CO2-e factor]))</f>
        <v>#NAME?</v>
      </c>
      <c r="I16" s="1" t="e" cm="1">
        <f t="array" ref="I16">Common_Equations.Common_ConvertN2OToCO2e(F16,_xlfn.XLOOKUP("N2O", Table_GWPData[Gas],Table_GWPData[CO2-e factor]))</f>
        <v>#NAME?</v>
      </c>
      <c r="J16" s="10" t="s">
        <v>7</v>
      </c>
    </row>
    <row r="17" spans="1:10" ht="20.100000000000001" customHeight="1" x14ac:dyDescent="0.25">
      <c r="A17" s="5" t="str">
        <f>HYPERLINK("#'Constants - Pasture Beef'!A1", "Constants - Pasture Beef")</f>
        <v>Constants - Pasture Beef</v>
      </c>
      <c r="D17" s="1" t="s">
        <v>174</v>
      </c>
      <c r="E17" s="1" t="e" cm="1">
        <f t="array" ref="E17">VEERG_4_3_1_12__1_LeachingAndRunoffEmissionsFromUrineAndDungOnPasture_Result_Method1</f>
        <v>#NAME?</v>
      </c>
      <c r="F17" s="1" t="e" cm="1">
        <f t="array" ref="F17">VEERG_4_3_1_12__1_LeachingAndRunoffEmissionsFromUrineAndDungOnPasture_Result_Method2</f>
        <v>#NAME?</v>
      </c>
      <c r="G17" s="1" t="s">
        <v>12</v>
      </c>
      <c r="H17" s="1" t="e" cm="1">
        <f t="array" ref="H17">Common_Equations.Common_ConvertN2OToCO2e(E17,_xlfn.XLOOKUP("N2O", Table_GWPData[Gas],Table_GWPData[CO2-e factor]))</f>
        <v>#NAME?</v>
      </c>
      <c r="I17" s="1" t="e" cm="1">
        <f t="array" ref="I17">Common_Equations.Common_ConvertN2OToCO2e(F17,_xlfn.XLOOKUP("N2O", Table_GWPData[Gas],Table_GWPData[CO2-e factor]))</f>
        <v>#NAME?</v>
      </c>
      <c r="J17" s="10" t="s">
        <v>7</v>
      </c>
    </row>
    <row r="18" spans="1:10" ht="20.100000000000001" customHeight="1" x14ac:dyDescent="0.25">
      <c r="A18" s="5" t="str">
        <f>HYPERLINK("#'Constants - Livestock'!A1", "Constants - Livestock")</f>
        <v>Constants - Livestock</v>
      </c>
      <c r="D18" s="1" t="s">
        <v>133</v>
      </c>
      <c r="E18" s="1" t="e" cm="1">
        <f t="array" ref="E18">VEERG_5_1_1_1__1_InorganicFertiliserApplicationN2OEmissions_Result_Method1</f>
        <v>#NAME?</v>
      </c>
      <c r="F18" s="1" t="e" cm="1">
        <f t="array" ref="F18">VEERG_5_1_1_1__1_InorganicFertiliserApplicationN2OEmissions_Result_Method2</f>
        <v>#NAME?</v>
      </c>
      <c r="G18" s="1" t="s">
        <v>12</v>
      </c>
      <c r="H18" s="1" t="e" cm="1">
        <f t="array" ref="H18">Common_Equations.Common_ConvertN2OToCO2e(E18,_xlfn.XLOOKUP("N2O", Table_GWPData[Gas],Table_GWPData[CO2-e factor]))</f>
        <v>#NAME?</v>
      </c>
      <c r="I18" s="1" t="e" cm="1">
        <f t="array" ref="I18">Common_Equations.Common_ConvertN2OToCO2e(F18,_xlfn.XLOOKUP("N2O", Table_GWPData[Gas],Table_GWPData[CO2-e factor]))</f>
        <v>#NAME?</v>
      </c>
      <c r="J18" s="10" t="s">
        <v>7</v>
      </c>
    </row>
    <row r="19" spans="1:10" ht="20.100000000000001" customHeight="1" x14ac:dyDescent="0.25">
      <c r="A19" s="5" t="str">
        <f>HYPERLINK("#'Constants - Common'!A1", "Constants - Common")</f>
        <v>Constants - Common</v>
      </c>
      <c r="D19" s="1" t="s">
        <v>134</v>
      </c>
      <c r="E19" s="1" t="e" cm="1">
        <f t="array" ref="E19">VEERG_5_1_1_3__1_InorganicFertiliserApplicationCO2Emissions_Result_Method1</f>
        <v>#NAME?</v>
      </c>
      <c r="F19" s="1" t="e">
        <f>E19</f>
        <v>#NAME?</v>
      </c>
      <c r="G19" s="1" t="s">
        <v>127</v>
      </c>
      <c r="H19" s="1" t="e">
        <f>E19</f>
        <v>#NAME?</v>
      </c>
      <c r="I19" s="1" t="e">
        <f>F19</f>
        <v>#NAME?</v>
      </c>
      <c r="J19" s="10" t="s">
        <v>7</v>
      </c>
    </row>
    <row r="20" spans="1:10" ht="20.100000000000001" customHeight="1" x14ac:dyDescent="0.25">
      <c r="A20" s="5" t="str">
        <f>HYPERLINK("#'Acknowledgements'!A1", "Acknowledgements")</f>
        <v>Acknowledgements</v>
      </c>
      <c r="D20" s="1" t="s">
        <v>135</v>
      </c>
      <c r="E20" s="1" t="e" cm="1">
        <f t="array" ref="E20">VEERG_5_2_1_1__2_MassOfNitrogenInOrganicFertiliser_Result_Method1</f>
        <v>#NAME?</v>
      </c>
      <c r="F20" s="1" t="e">
        <f>E20</f>
        <v>#NAME?</v>
      </c>
      <c r="G20" s="1" t="s">
        <v>12</v>
      </c>
      <c r="H20" s="1" t="e" cm="1">
        <f t="array" ref="H20">Common_Equations.Common_ConvertN2OToCO2e(E20,_xlfn.XLOOKUP("N2O", Table_GWPData[Gas],Table_GWPData[CO2-e factor]))</f>
        <v>#NAME?</v>
      </c>
      <c r="I20" s="1" t="e" cm="1">
        <f t="array" ref="I20">Common_Equations.Common_ConvertN2OToCO2e(F20,_xlfn.XLOOKUP("N2O", Table_GWPData[Gas],Table_GWPData[CO2-e factor]))</f>
        <v>#NAME?</v>
      </c>
      <c r="J20" s="10" t="s">
        <v>7</v>
      </c>
    </row>
    <row r="21" spans="1:10" ht="20.100000000000001" customHeight="1" x14ac:dyDescent="0.25">
      <c r="D21" s="1" t="s">
        <v>136</v>
      </c>
      <c r="E21" s="1" t="e" cm="1">
        <f t="array" ref="E21">VEERG_5_3_1_1__1_LimeApplicationCO2Emissions_Result_Method1</f>
        <v>#NAME?</v>
      </c>
      <c r="F21" s="1" t="e">
        <f>E21</f>
        <v>#NAME?</v>
      </c>
      <c r="G21" s="1" t="s">
        <v>127</v>
      </c>
      <c r="H21" s="1" t="e">
        <f>E21</f>
        <v>#NAME?</v>
      </c>
      <c r="I21" s="1" t="e">
        <f>F21</f>
        <v>#NAME?</v>
      </c>
      <c r="J21" s="10" t="s">
        <v>7</v>
      </c>
    </row>
    <row r="22" spans="1:10" ht="20.100000000000001" customHeight="1" x14ac:dyDescent="0.25">
      <c r="A22" s="5"/>
      <c r="D22" s="1" t="s">
        <v>137</v>
      </c>
      <c r="E22" s="1" t="e" cm="1">
        <f t="array" ref="E22">VEERG_5_4_1_3__1_OrganicFertiliserAtmosphericDepositionN2OEmissions_Result_Method1</f>
        <v>#NAME?</v>
      </c>
      <c r="F22" s="1" t="e">
        <f>E22</f>
        <v>#NAME?</v>
      </c>
      <c r="G22" s="1" t="s">
        <v>12</v>
      </c>
      <c r="H22" s="1" t="e" cm="1">
        <f t="array" ref="H22">Common_Equations.Common_ConvertN2OToCO2e(E22,_xlfn.XLOOKUP("N2O", Table_GWPData[Gas],Table_GWPData[CO2-e factor]))</f>
        <v>#NAME?</v>
      </c>
      <c r="I22" s="1" t="e" cm="1">
        <f t="array" ref="I22">Common_Equations.Common_ConvertN2OToCO2e(F22,_xlfn.XLOOKUP("N2O", Table_GWPData[Gas],Table_GWPData[CO2-e factor]))</f>
        <v>#NAME?</v>
      </c>
      <c r="J22" s="10" t="s">
        <v>7</v>
      </c>
    </row>
    <row r="23" spans="1:10" ht="20.100000000000001" customHeight="1" x14ac:dyDescent="0.25">
      <c r="A23" s="5"/>
      <c r="D23" s="1" t="s">
        <v>138</v>
      </c>
      <c r="E23" s="1" t="e" cm="1">
        <f t="array" ref="E23">VEERG_5_5_1_1__1_FertiliserLeachingAndRunoffN2OEmissions_result_Method1</f>
        <v>#NAME?</v>
      </c>
      <c r="F23" s="1" t="e">
        <f>E23</f>
        <v>#NAME?</v>
      </c>
      <c r="G23" s="1" t="s">
        <v>12</v>
      </c>
      <c r="H23" s="1" t="e" cm="1">
        <f t="array" ref="H23">Common_Equations.Common_ConvertN2OToCO2e(E23,_xlfn.XLOOKUP("N2O", Table_GWPData[Gas],Table_GWPData[CO2-e factor]))</f>
        <v>#NAME?</v>
      </c>
      <c r="I23" s="1" t="e" cm="1">
        <f t="array" ref="I23">Common_Equations.Common_ConvertN2OToCO2e(F23,_xlfn.XLOOKUP("N2O", Table_GWPData[Gas],Table_GWPData[CO2-e factor]))</f>
        <v>#NAME?</v>
      </c>
      <c r="J23" s="10" t="s">
        <v>7</v>
      </c>
    </row>
    <row r="24" spans="1:10" ht="20.100000000000001" customHeight="1" x14ac:dyDescent="0.25">
      <c r="A24" s="5"/>
      <c r="D24" s="1" t="s">
        <v>139</v>
      </c>
      <c r="E24" s="1" t="e" cm="1">
        <f t="array" ref="E24">VEERG_6_2_1_1__1__NitrousOxideEmissionsFromPastureResidues_Result_Method1</f>
        <v>#NAME?</v>
      </c>
      <c r="F24" s="1" t="e" cm="1">
        <f t="array" ref="F24">VEERG_6_2_1_1__1__NitrousOxideEmissionsFromPastureResidues_Result_Method2</f>
        <v>#NAME?</v>
      </c>
      <c r="G24" s="1" t="s">
        <v>12</v>
      </c>
      <c r="H24" s="1" t="e" cm="1">
        <f t="array" ref="H24">Common_Equations.Common_ConvertN2OToCO2e(E24,_xlfn.XLOOKUP("N2O", Table_GWPData[Gas],Table_GWPData[CO2-e factor]))</f>
        <v>#NAME?</v>
      </c>
      <c r="I24" s="1" t="e" cm="1">
        <f t="array" ref="I24">Common_Equations.Common_ConvertN2OToCO2e(F24,_xlfn.XLOOKUP("N2O", Table_GWPData[Gas],Table_GWPData[CO2-e factor]))</f>
        <v>#NAME?</v>
      </c>
      <c r="J24" s="10" t="s">
        <v>7</v>
      </c>
    </row>
    <row r="25" spans="1:10" ht="20.100000000000001" customHeight="1" x14ac:dyDescent="0.25">
      <c r="D25" s="1" t="s">
        <v>140</v>
      </c>
      <c r="E25" s="1" t="e" cm="1">
        <f t="array" ref="E25">VEERG_6_3_1_1__1__LeachingAndRunoffEmissionsCropAndPastureResidue_PastureOnly_Result_Method1</f>
        <v>#NAME?</v>
      </c>
      <c r="F25" s="1" t="e" cm="1">
        <f t="array" ref="F25">VEERG_6_3_1_1__1__LeachingAndRunoffEmissionsCropAndPastureResidue_PastureOnly_Result_Method2</f>
        <v>#NAME?</v>
      </c>
      <c r="G25" s="1" t="s">
        <v>12</v>
      </c>
      <c r="H25" s="1" t="e" cm="1">
        <f t="array" ref="H25">Common_Equations.Common_ConvertN2OToCO2e(E25,_xlfn.XLOOKUP("N2O", Table_GWPData[Gas],Table_GWPData[CO2-e factor]))</f>
        <v>#NAME?</v>
      </c>
      <c r="I25" s="1" t="e" cm="1">
        <f t="array" ref="I25">Common_Equations.Common_ConvertN2OToCO2e(F25,_xlfn.XLOOKUP("N2O", Table_GWPData[Gas],Table_GWPData[CO2-e factor]))</f>
        <v>#NAME?</v>
      </c>
      <c r="J25" s="10" t="s">
        <v>7</v>
      </c>
    </row>
    <row r="26" spans="1:10" ht="20.100000000000001" customHeight="1" x14ac:dyDescent="0.25">
      <c r="D26" s="1" t="s">
        <v>141</v>
      </c>
      <c r="E26" s="1" t="e" cm="1">
        <f t="array" ref="E26">VEERG_8_1_1_1__1_FuelCombustionTransport_Result_CO2</f>
        <v>#NAME?</v>
      </c>
      <c r="F26" s="1" t="e">
        <f>E26</f>
        <v>#NAME?</v>
      </c>
      <c r="G26" s="1" t="s">
        <v>127</v>
      </c>
      <c r="H26" s="1" t="e">
        <f>E26</f>
        <v>#NAME?</v>
      </c>
      <c r="I26" s="1" t="e">
        <f>F26</f>
        <v>#NAME?</v>
      </c>
      <c r="J26" s="10" t="s">
        <v>7</v>
      </c>
    </row>
    <row r="27" spans="1:10" ht="20.100000000000001" customHeight="1" x14ac:dyDescent="0.25">
      <c r="D27" s="1" t="s">
        <v>143</v>
      </c>
      <c r="E27" s="1" t="e" cm="1">
        <f t="array" ref="E27">VEERG_8_1_1_1__1_FuelCombustionTransport_Result_CH4</f>
        <v>#NAME?</v>
      </c>
      <c r="F27" s="1" t="e">
        <f>E27</f>
        <v>#NAME?</v>
      </c>
      <c r="G27" s="1" t="s">
        <v>6</v>
      </c>
      <c r="H27" s="1" t="e" cm="1">
        <f t="array" ref="H27">Common_Equations.Common_ConvertCH4ToCO2e(E27,_xlfn.XLOOKUP("CH4", Table_GWPData[Gas],Table_GWPData[CO2-e factor]))</f>
        <v>#NAME?</v>
      </c>
      <c r="I27" s="1" t="e" cm="1">
        <f t="array" ref="I27">Common_Equations.Common_ConvertCH4ToCO2e(F27,_xlfn.XLOOKUP("CH4", Table_GWPData[Gas],Table_GWPData[CO2-e factor]))</f>
        <v>#NAME?</v>
      </c>
      <c r="J27" s="10" t="s">
        <v>7</v>
      </c>
    </row>
    <row r="28" spans="1:10" ht="20.100000000000001" customHeight="1" x14ac:dyDescent="0.25">
      <c r="D28" s="1" t="s">
        <v>142</v>
      </c>
      <c r="E28" s="1" t="e" cm="1">
        <f t="array" ref="E28">VEERG_8_1_1_1__1_FuelCombustionTransport_Result_N2O</f>
        <v>#NAME?</v>
      </c>
      <c r="F28" s="1" t="e">
        <f>E28</f>
        <v>#NAME?</v>
      </c>
      <c r="G28" s="1" t="s">
        <v>12</v>
      </c>
      <c r="H28" s="1" t="e" cm="1">
        <f t="array" ref="H28">Common_Equations.Common_ConvertN2OToCO2e(E28,_xlfn.XLOOKUP("N2O", Table_GWPData[Gas],Table_GWPData[CO2-e factor]))</f>
        <v>#NAME?</v>
      </c>
      <c r="I28" s="1" t="e" cm="1">
        <f t="array" ref="I28">Common_Equations.Common_ConvertN2OToCO2e(F28,_xlfn.XLOOKUP("N2O", Table_GWPData[Gas],Table_GWPData[CO2-e factor]))</f>
        <v>#NAME?</v>
      </c>
      <c r="J28" s="10" t="s">
        <v>7</v>
      </c>
    </row>
    <row r="29" spans="1:10" ht="20.100000000000001" customHeight="1" x14ac:dyDescent="0.25">
      <c r="D29" s="1" t="s">
        <v>144</v>
      </c>
      <c r="E29" s="1" t="e" cm="1">
        <f t="array" ref="E29">VEERG_8_2_1_1__1_FuelCombustionStationary_Result_CO2</f>
        <v>#NAME?</v>
      </c>
      <c r="F29" s="1" t="e">
        <f>E29</f>
        <v>#NAME?</v>
      </c>
      <c r="G29" s="1" t="s">
        <v>127</v>
      </c>
      <c r="H29" s="1" t="e">
        <f>E29</f>
        <v>#NAME?</v>
      </c>
      <c r="I29" s="1" t="e">
        <f>F29</f>
        <v>#NAME?</v>
      </c>
      <c r="J29" s="10" t="s">
        <v>7</v>
      </c>
    </row>
    <row r="30" spans="1:10" ht="20.100000000000001" customHeight="1" x14ac:dyDescent="0.25">
      <c r="D30" s="1" t="s">
        <v>145</v>
      </c>
      <c r="E30" s="1" t="e" cm="1">
        <f t="array" ref="E30">VEERG_8_2_1_1__1_FuelCombustionStationary_Result_CH4</f>
        <v>#NAME?</v>
      </c>
      <c r="F30" s="1" t="e">
        <f t="shared" ref="F30:F33" si="0">E30</f>
        <v>#NAME?</v>
      </c>
      <c r="G30" s="1" t="s">
        <v>6</v>
      </c>
      <c r="H30" s="1" t="e" cm="1">
        <f t="array" ref="H30">Common_Equations.Common_ConvertCH4ToCO2e(E30,_xlfn.XLOOKUP("CH4", Table_GWPData[Gas],Table_GWPData[CO2-e factor]))</f>
        <v>#NAME?</v>
      </c>
      <c r="I30" s="1" t="e" cm="1">
        <f t="array" ref="I30">Common_Equations.Common_ConvertCH4ToCO2e(F30,_xlfn.XLOOKUP("CH4", Table_GWPData[Gas],Table_GWPData[CO2-e factor]))</f>
        <v>#NAME?</v>
      </c>
      <c r="J30" s="10" t="s">
        <v>7</v>
      </c>
    </row>
    <row r="31" spans="1:10" ht="20.100000000000001" customHeight="1" x14ac:dyDescent="0.25">
      <c r="D31" s="1" t="s">
        <v>146</v>
      </c>
      <c r="E31" s="1" t="e" cm="1">
        <f t="array" ref="E31">VEERG_8_2_1_1__1_FuelCombustionStationary_Result_N2O</f>
        <v>#NAME?</v>
      </c>
      <c r="F31" s="1" t="e">
        <f t="shared" si="0"/>
        <v>#NAME?</v>
      </c>
      <c r="G31" s="1" t="s">
        <v>12</v>
      </c>
      <c r="H31" s="1" t="e" cm="1">
        <f t="array" ref="H31">Common_Equations.Common_ConvertN2OToCO2e(E31,_xlfn.XLOOKUP("N2O", Table_GWPData[Gas],Table_GWPData[CO2-e factor]))</f>
        <v>#NAME?</v>
      </c>
      <c r="I31" s="1" t="e" cm="1">
        <f t="array" ref="I31">Common_Equations.Common_ConvertN2OToCO2e(F31,_xlfn.XLOOKUP("N2O", Table_GWPData[Gas],Table_GWPData[CO2-e factor]))</f>
        <v>#NAME?</v>
      </c>
      <c r="J31" s="10" t="s">
        <v>7</v>
      </c>
    </row>
    <row r="32" spans="1:10" ht="20.100000000000001" customHeight="1" x14ac:dyDescent="0.25">
      <c r="D32" s="1" t="s">
        <v>147</v>
      </c>
      <c r="E32" s="1" t="e" cm="1">
        <f t="array" ref="E32">VEERG_14_1_1__1_LocationBasedScopeElectricityEmissions_Result_Method1</f>
        <v>#REF!</v>
      </c>
      <c r="F32" s="1" t="e">
        <f t="shared" si="0"/>
        <v>#REF!</v>
      </c>
      <c r="G32" s="1" t="s">
        <v>7</v>
      </c>
      <c r="H32" s="1" t="e">
        <f>E32</f>
        <v>#REF!</v>
      </c>
      <c r="I32" s="1" t="e">
        <f>F32</f>
        <v>#REF!</v>
      </c>
      <c r="J32" s="10" t="s">
        <v>7</v>
      </c>
    </row>
    <row r="33" spans="4:10" ht="20.100000000000001" customHeight="1" x14ac:dyDescent="0.25">
      <c r="D33" s="1" t="s">
        <v>148</v>
      </c>
      <c r="E33" s="1" t="e" cm="1">
        <f t="array" ref="E33">VEERG_14_1_2__1_MarketBasedScopeElectricityEmissionsVariation_Result_Method1</f>
        <v>#REF!</v>
      </c>
      <c r="F33" s="1" t="e">
        <f t="shared" si="0"/>
        <v>#REF!</v>
      </c>
      <c r="G33" s="1" t="s">
        <v>7</v>
      </c>
      <c r="H33" s="1" t="e">
        <f>E33</f>
        <v>#REF!</v>
      </c>
      <c r="I33" s="1" t="e">
        <f>F33</f>
        <v>#REF!</v>
      </c>
      <c r="J33" s="10" t="s">
        <v>7</v>
      </c>
    </row>
    <row r="34" spans="4:10" ht="20.100000000000001" customHeight="1" x14ac:dyDescent="0.25">
      <c r="D34" s="90" t="s">
        <v>248</v>
      </c>
      <c r="E34" s="91"/>
      <c r="F34" s="91"/>
      <c r="G34" s="91"/>
      <c r="H34" s="90" t="e">
        <f>SUM(H10:H33)</f>
        <v>#NAME?</v>
      </c>
      <c r="I34" s="90" t="e">
        <f>SUM(I10:I33)</f>
        <v>#NAME?</v>
      </c>
      <c r="J34" s="92" t="s">
        <v>7</v>
      </c>
    </row>
    <row r="35" spans="4:10" ht="20.100000000000001" customHeight="1" x14ac:dyDescent="0.25"/>
    <row r="36" spans="4:10" ht="20.100000000000001" customHeight="1" x14ac:dyDescent="0.25"/>
    <row r="37" spans="4:10" ht="20.100000000000001" customHeight="1" x14ac:dyDescent="0.25">
      <c r="D37" s="79" t="s">
        <v>249</v>
      </c>
    </row>
    <row r="38" spans="4:10" ht="20.100000000000001" customHeight="1" x14ac:dyDescent="0.25"/>
    <row r="39" spans="4:10" ht="20.100000000000001" customHeight="1" x14ac:dyDescent="0.25">
      <c r="D39" s="12" t="s">
        <v>250</v>
      </c>
      <c r="E39" s="12" t="s">
        <v>8</v>
      </c>
      <c r="F39" s="12" t="s">
        <v>9</v>
      </c>
      <c r="G39" s="12" t="s">
        <v>5</v>
      </c>
      <c r="H39" s="12" t="s">
        <v>10</v>
      </c>
      <c r="I39" s="12" t="s">
        <v>11</v>
      </c>
      <c r="J39" s="12"/>
    </row>
    <row r="40" spans="4:10" ht="20.100000000000001" customHeight="1" x14ac:dyDescent="0.25">
      <c r="D40" s="1" t="e" cm="1">
        <f t="array" ref="D40">"14.1.1-2 Purchased electricity " &amp; IF(X_Cell_Electricity_CalculationMethod="Location-based (simpler)", "(Location-based)", "(Market-based)")</f>
        <v>#REF!</v>
      </c>
      <c r="E40" s="1" t="e" cm="1">
        <f t="array" ref="E40">IF(X_Cell_Electricity_CalculationMethod="Location-based (simpler)", VEERG_14_1_1__1_LocationBasedScopeElectricityEmissions_Result_Method1, VEERG_14_1_2__1_MarketBasedScopeElectricityEmissionsVariation_Result_Method1)</f>
        <v>#REF!</v>
      </c>
      <c r="F40" s="1">
        <f>E34</f>
        <v>0</v>
      </c>
      <c r="G40" s="10" t="s">
        <v>7</v>
      </c>
      <c r="H40" s="1">
        <f>E34</f>
        <v>0</v>
      </c>
      <c r="I40" s="1">
        <f>F34</f>
        <v>0</v>
      </c>
      <c r="J40" s="10" t="s">
        <v>7</v>
      </c>
    </row>
    <row r="41" spans="4:10" ht="20.100000000000001" customHeight="1" x14ac:dyDescent="0.25">
      <c r="D41" s="90" t="s">
        <v>251</v>
      </c>
      <c r="E41" s="93"/>
      <c r="F41" s="93"/>
      <c r="G41" s="93"/>
      <c r="H41" s="90" t="e">
        <f>SUM(H34:H34)</f>
        <v>#NAME?</v>
      </c>
      <c r="I41" s="90" t="e">
        <f>SUM(I34:I34)</f>
        <v>#NAME?</v>
      </c>
      <c r="J41" s="92" t="s">
        <v>7</v>
      </c>
    </row>
    <row r="42" spans="4:10" ht="20.100000000000001" customHeight="1" x14ac:dyDescent="0.25"/>
    <row r="43" spans="4:10" ht="20.100000000000001" customHeight="1" x14ac:dyDescent="0.25"/>
    <row r="44" spans="4:10" ht="20.100000000000001" customHeight="1" x14ac:dyDescent="0.25">
      <c r="D44" s="79" t="s">
        <v>252</v>
      </c>
    </row>
    <row r="45" spans="4:10" ht="20.100000000000001" customHeight="1" x14ac:dyDescent="0.25">
      <c r="D45" s="12" t="s">
        <v>253</v>
      </c>
      <c r="E45" s="12" t="s">
        <v>8</v>
      </c>
      <c r="F45" s="12" t="s">
        <v>9</v>
      </c>
      <c r="G45" s="12" t="s">
        <v>5</v>
      </c>
      <c r="H45" s="12" t="s">
        <v>10</v>
      </c>
      <c r="I45" s="12" t="s">
        <v>11</v>
      </c>
      <c r="J45" s="12"/>
    </row>
    <row r="46" spans="4:10" ht="20.100000000000001" customHeight="1" x14ac:dyDescent="0.25">
      <c r="D46" s="1" t="s">
        <v>254</v>
      </c>
      <c r="E46" s="1" t="e" cm="1">
        <f t="array" ref="E46">VEERG_15_1_1_1__1_EmissionsFromPurchasedLivestock_Result_Method1</f>
        <v>#REF!</v>
      </c>
      <c r="F46" s="1" t="e" cm="1">
        <f t="array" ref="F46">VEERG_15_1_1_1__1_EmissionsFromPurchasedLivestock_Result_Method2</f>
        <v>#REF!</v>
      </c>
      <c r="G46" s="10" t="s">
        <v>7</v>
      </c>
      <c r="H46" s="1" t="e">
        <f>E46</f>
        <v>#REF!</v>
      </c>
      <c r="I46" s="1" t="e">
        <f>F46</f>
        <v>#REF!</v>
      </c>
      <c r="J46" s="10" t="s">
        <v>7</v>
      </c>
    </row>
    <row r="47" spans="4:10" ht="20.100000000000001" customHeight="1" x14ac:dyDescent="0.25">
      <c r="D47" s="1" t="s">
        <v>255</v>
      </c>
      <c r="E47" s="1" t="e" cm="1">
        <f t="array" ref="E47">VEERG_15_2_1_1__1_EmissionsFromPurchasedFeed_Result_Method1</f>
        <v>#REF!</v>
      </c>
      <c r="F47" s="1" t="e" cm="1">
        <f t="array" ref="F47">VEERG_15_2_1_1__1_EmissionsFromPurchasedFeed_Result_Method2</f>
        <v>#REF!</v>
      </c>
      <c r="G47" s="10" t="s">
        <v>7</v>
      </c>
      <c r="H47" s="1" t="e">
        <f t="shared" ref="H47:I58" si="1">E47</f>
        <v>#REF!</v>
      </c>
      <c r="I47" s="1" t="e">
        <f t="shared" si="1"/>
        <v>#REF!</v>
      </c>
      <c r="J47" s="10" t="s">
        <v>7</v>
      </c>
    </row>
    <row r="48" spans="4:10" ht="20.100000000000001" customHeight="1" x14ac:dyDescent="0.25">
      <c r="D48" s="1" t="s">
        <v>256</v>
      </c>
      <c r="E48" s="1" t="e" cm="1">
        <f t="array" ref="E48">VEERG_15_3_1_1__1_EmissionsFromPurchasedMineralSupplements_Result_Method1</f>
        <v>#REF!</v>
      </c>
      <c r="F48" s="1" t="e" cm="1">
        <f t="array" ref="F48">VEERG_15_3_1_1__1_EmissionsFromPurchasedMineralSupplements_Result_Method2</f>
        <v>#REF!</v>
      </c>
      <c r="G48" s="10" t="s">
        <v>7</v>
      </c>
      <c r="H48" s="1" t="e">
        <f t="shared" si="1"/>
        <v>#REF!</v>
      </c>
      <c r="I48" s="1" t="e">
        <f t="shared" si="1"/>
        <v>#REF!</v>
      </c>
      <c r="J48" s="10" t="s">
        <v>7</v>
      </c>
    </row>
    <row r="49" spans="4:10" ht="20.100000000000001" customHeight="1" x14ac:dyDescent="0.25">
      <c r="D49" s="1" t="s">
        <v>257</v>
      </c>
      <c r="E49" s="1" t="e" cm="1">
        <f t="array" ref="E49">VEERG_15_4_1_1__2_EmissionsFromPurchasedFertiliserComponentsVariation_Result_Method1</f>
        <v>#REF!</v>
      </c>
      <c r="F49" s="1" t="e" cm="1">
        <f t="array" ref="F49">VEERG_15_4_1_1__2_EmissionsFromPurchasedFertiliserComponentsVariation_Result_Method2</f>
        <v>#REF!</v>
      </c>
      <c r="G49" s="10" t="s">
        <v>7</v>
      </c>
      <c r="H49" s="1" t="e">
        <f t="shared" si="1"/>
        <v>#REF!</v>
      </c>
      <c r="I49" s="1" t="e">
        <f t="shared" si="1"/>
        <v>#REF!</v>
      </c>
      <c r="J49" s="10" t="s">
        <v>7</v>
      </c>
    </row>
    <row r="50" spans="4:10" ht="20.100000000000001" customHeight="1" x14ac:dyDescent="0.25">
      <c r="D50" s="1" t="s">
        <v>258</v>
      </c>
      <c r="E50" s="1" t="e" cm="1">
        <f t="array" ref="E50">VEERG_15_5_1_1__1_EmissionsFromPurchasedAgrichemicals_Result_Method1</f>
        <v>#REF!</v>
      </c>
      <c r="F50" s="1" t="e" cm="1">
        <f t="array" ref="F50">VEERG_15_5_1_1__1_EmissionsFromPurchasedAgrichemicals_Result_Method2</f>
        <v>#REF!</v>
      </c>
      <c r="G50" s="10" t="s">
        <v>7</v>
      </c>
      <c r="H50" s="1" t="e">
        <f t="shared" si="1"/>
        <v>#REF!</v>
      </c>
      <c r="I50" s="1" t="e">
        <f t="shared" si="1"/>
        <v>#REF!</v>
      </c>
      <c r="J50" s="10" t="s">
        <v>7</v>
      </c>
    </row>
    <row r="51" spans="4:10" ht="20.100000000000001" customHeight="1" x14ac:dyDescent="0.25">
      <c r="D51" s="1" t="s">
        <v>259</v>
      </c>
      <c r="E51" s="1" t="e" cm="1">
        <f t="array" ref="E51">VEERG_15_6_1_1__1_EmissionsFromPurchasedLime_Result_Method1</f>
        <v>#REF!</v>
      </c>
      <c r="F51" s="1" t="e" cm="1">
        <f t="array" ref="F51">VEERG_15_6_1_1__1_EmissionsFromPurchasedLime_Result_Method2</f>
        <v>#REF!</v>
      </c>
      <c r="G51" s="10" t="s">
        <v>7</v>
      </c>
      <c r="H51" s="1" t="e">
        <f t="shared" si="1"/>
        <v>#REF!</v>
      </c>
      <c r="I51" s="1" t="e">
        <f t="shared" si="1"/>
        <v>#REF!</v>
      </c>
      <c r="J51" s="10" t="s">
        <v>7</v>
      </c>
    </row>
    <row r="52" spans="4:10" ht="20.100000000000001" customHeight="1" x14ac:dyDescent="0.25">
      <c r="D52" s="1" t="s">
        <v>260</v>
      </c>
      <c r="E52" s="1" t="e" cm="1">
        <f t="array" ref="E52">VEERG_15_7_1_1__1_EmissionsFromPurchasedServices_Result_Method1</f>
        <v>#REF!</v>
      </c>
      <c r="F52" s="1" t="e" cm="1">
        <f t="array" ref="F52">VEERG_15_7_1_1__1_EmissionsFromPurchasedServices_Result_Method2</f>
        <v>#REF!</v>
      </c>
      <c r="G52" s="10" t="s">
        <v>7</v>
      </c>
      <c r="H52" s="1" t="e">
        <f t="shared" si="1"/>
        <v>#REF!</v>
      </c>
      <c r="I52" s="1" t="e">
        <f t="shared" si="1"/>
        <v>#REF!</v>
      </c>
      <c r="J52" s="10" t="s">
        <v>7</v>
      </c>
    </row>
    <row r="53" spans="4:10" ht="20.100000000000001" customHeight="1" x14ac:dyDescent="0.25">
      <c r="D53" s="1" t="s">
        <v>261</v>
      </c>
      <c r="E53" s="1" t="e" cm="1">
        <f t="array" ref="E53">VEERG_15_10_1_1__1_OtherPurchasedGoodsAndServices_CleaningChemicals_Result_Method1</f>
        <v>#REF!</v>
      </c>
      <c r="F53" s="1" t="e" cm="1">
        <f t="array" ref="F53">VEERG_15_10_1_1__1_OtherPurchasedGoodsAndServices_CleaningChemicals_Result_Method2</f>
        <v>#REF!</v>
      </c>
      <c r="G53" s="10" t="s">
        <v>7</v>
      </c>
      <c r="H53" s="1" t="e">
        <f t="shared" si="1"/>
        <v>#REF!</v>
      </c>
      <c r="I53" s="1" t="e">
        <f t="shared" si="1"/>
        <v>#REF!</v>
      </c>
      <c r="J53" s="10" t="s">
        <v>7</v>
      </c>
    </row>
    <row r="54" spans="4:10" ht="20.100000000000001" customHeight="1" x14ac:dyDescent="0.25">
      <c r="D54" s="1" t="s">
        <v>262</v>
      </c>
      <c r="E54" s="1" t="e" cm="1">
        <f t="array" ref="E54">VEERG_15_10_1_1__1_OtherPurchasedGoodsAndServices_PharmacyChemicals_Result_Method1</f>
        <v>#REF!</v>
      </c>
      <c r="F54" s="1" t="e" cm="1">
        <f t="array" ref="F54">VEERG_15_10_1_1__1_OtherPurchasedGoodsAndServices_PharmacyChemicals_Result_Method2</f>
        <v>#REF!</v>
      </c>
      <c r="G54" s="10" t="s">
        <v>7</v>
      </c>
      <c r="H54" s="1" t="e">
        <f t="shared" si="1"/>
        <v>#REF!</v>
      </c>
      <c r="I54" s="1" t="e">
        <f t="shared" si="1"/>
        <v>#REF!</v>
      </c>
      <c r="J54" s="10" t="s">
        <v>7</v>
      </c>
    </row>
    <row r="55" spans="4:10" ht="20.100000000000001" customHeight="1" x14ac:dyDescent="0.25">
      <c r="D55" s="1" t="s">
        <v>263</v>
      </c>
      <c r="E55" s="1" t="e" cm="1">
        <f t="array" ref="E55">VEERG_15_10_1_1__1_OtherPurchasedGoodsAndServices_Misc_Result_Method1</f>
        <v>#REF!</v>
      </c>
      <c r="F55" s="1" t="e" cm="1">
        <f t="array" ref="F55">VEERG_15_10_1_1__1_OtherPurchasedGoodsAndServices_Misc_Result_Method2</f>
        <v>#REF!</v>
      </c>
      <c r="G55" s="10" t="s">
        <v>7</v>
      </c>
      <c r="H55" s="1" t="e">
        <f t="shared" si="1"/>
        <v>#REF!</v>
      </c>
      <c r="I55" s="1" t="e">
        <f t="shared" si="1"/>
        <v>#REF!</v>
      </c>
      <c r="J55" s="10" t="s">
        <v>7</v>
      </c>
    </row>
    <row r="56" spans="4:10" ht="20.100000000000001" customHeight="1" x14ac:dyDescent="0.25">
      <c r="D56" s="1" t="s">
        <v>264</v>
      </c>
      <c r="E56" s="1" t="e" cm="1">
        <f t="array" ref="E56">VEERG_15_10_1_1__1_OtherPurchasedGoodsAndServices_Uncategorised_Result_Method1</f>
        <v>#REF!</v>
      </c>
      <c r="F56" s="1" t="e" cm="1">
        <f t="array" ref="F56">VEERG_15_10_1_1__1_OtherPurchasedGoodsAndServices_Uncategorised_Result_Method2</f>
        <v>#REF!</v>
      </c>
      <c r="G56" s="10" t="s">
        <v>7</v>
      </c>
      <c r="H56" s="1" t="e">
        <f t="shared" si="1"/>
        <v>#REF!</v>
      </c>
      <c r="I56" s="1" t="e">
        <f t="shared" si="1"/>
        <v>#REF!</v>
      </c>
      <c r="J56" s="10" t="s">
        <v>7</v>
      </c>
    </row>
    <row r="57" spans="4:10" ht="20.100000000000001" customHeight="1" x14ac:dyDescent="0.25">
      <c r="D57" s="1" t="s">
        <v>265</v>
      </c>
      <c r="E57" s="1" t="e" cm="1">
        <f t="array" ref="E57">VEERG_15_11_1_1__1_TotalUpstreamEmissionsFromFuel_Result</f>
        <v>#REF!</v>
      </c>
      <c r="F57" s="1" t="e">
        <f>E57</f>
        <v>#REF!</v>
      </c>
      <c r="G57" s="10" t="s">
        <v>7</v>
      </c>
      <c r="H57" s="1" t="e">
        <f t="shared" si="1"/>
        <v>#REF!</v>
      </c>
      <c r="I57" s="1" t="e">
        <f t="shared" si="1"/>
        <v>#REF!</v>
      </c>
      <c r="J57" s="10" t="s">
        <v>7</v>
      </c>
    </row>
    <row r="58" spans="4:10" ht="20.100000000000001" customHeight="1" x14ac:dyDescent="0.25">
      <c r="D58" s="1" t="e" cm="1">
        <f t="array" ref="D58">"15.12.1.1 Purchased electricity " &amp; IF(X_Cell_Electricity_CalculationMethod="Location-based (simpler)", "(Location-based)", "(Market-based)")</f>
        <v>#REF!</v>
      </c>
      <c r="E58" s="1" t="e" cm="1">
        <f t="array" ref="E58">IF(X_Cell_Electricity_CalculationMethod="Location-based (simpler)", VEERG_15_12_1_1__1_UpstreamPurchasedElectricityLocationBased_Result, VEERG_15_12_1_1__1_UpstreamPurchasedElectricityMarketBased_Result)</f>
        <v>#REF!</v>
      </c>
      <c r="F58" s="1" t="e">
        <f>E58</f>
        <v>#REF!</v>
      </c>
      <c r="G58" s="10" t="s">
        <v>7</v>
      </c>
      <c r="H58" s="1" t="e">
        <f t="shared" si="1"/>
        <v>#REF!</v>
      </c>
      <c r="I58" s="1" t="e">
        <f t="shared" si="1"/>
        <v>#REF!</v>
      </c>
      <c r="J58" s="10" t="s">
        <v>7</v>
      </c>
    </row>
    <row r="59" spans="4:10" ht="20.100000000000001" customHeight="1" x14ac:dyDescent="0.25">
      <c r="D59" s="1" t="s">
        <v>266</v>
      </c>
      <c r="E59" s="1" t="e" cm="1">
        <f t="array" ref="E59">VEERG_15_14_1_1__1_EmbeddedEmissionsFromUpstreamFreight_Incoming_Result_Method1</f>
        <v>#REF!</v>
      </c>
      <c r="F59" s="1" t="e" cm="1">
        <f t="array" ref="F59">VEERG_15_14_1_1__1_EmbeddedEmissionsFromUpstreamFreight_Incoming_Result_Method2</f>
        <v>#REF!</v>
      </c>
      <c r="G59" s="10" t="s">
        <v>7</v>
      </c>
      <c r="H59" s="1" t="e">
        <f>E59</f>
        <v>#REF!</v>
      </c>
      <c r="I59" s="1" t="e">
        <f>F59</f>
        <v>#REF!</v>
      </c>
      <c r="J59" s="10" t="s">
        <v>7</v>
      </c>
    </row>
    <row r="60" spans="4:10" ht="20.100000000000001" customHeight="1" x14ac:dyDescent="0.25">
      <c r="D60" s="1" t="s">
        <v>267</v>
      </c>
      <c r="E60" s="1" t="e" cm="1">
        <f t="array" ref="E60">VEERG_10_1_1_1__1_EmissionsFromWasteManagement_Scope3_Result_Method1</f>
        <v>#REF!</v>
      </c>
      <c r="F60" s="1" t="e">
        <f>E60</f>
        <v>#REF!</v>
      </c>
      <c r="G60" s="10" t="s">
        <v>7</v>
      </c>
      <c r="H60" s="1" t="e">
        <f t="shared" ref="H60:I61" si="2">E60</f>
        <v>#REF!</v>
      </c>
      <c r="I60" s="1" t="e">
        <f t="shared" si="2"/>
        <v>#REF!</v>
      </c>
      <c r="J60" s="10" t="s">
        <v>7</v>
      </c>
    </row>
    <row r="61" spans="4:10" ht="20.100000000000001" customHeight="1" x14ac:dyDescent="0.25">
      <c r="D61" s="1" t="s">
        <v>268</v>
      </c>
      <c r="E61" s="1" t="e" cm="1">
        <f t="array" ref="E61">VEERG_15_14_1_1__1_EmbeddedEmissionsFromUpstreamFreight_Outgoing_Result_Method1</f>
        <v>#REF!</v>
      </c>
      <c r="F61" s="1" t="e" cm="1">
        <f t="array" ref="F61">VEERG_15_14_1_1__1_EmbeddedEmissionsFromUpstreamFreight_Outgoing_Result_Method2</f>
        <v>#REF!</v>
      </c>
      <c r="G61" s="10" t="s">
        <v>7</v>
      </c>
      <c r="H61" s="1" t="e">
        <f t="shared" si="2"/>
        <v>#REF!</v>
      </c>
      <c r="I61" s="1" t="e">
        <f t="shared" si="2"/>
        <v>#REF!</v>
      </c>
      <c r="J61" s="10" t="s">
        <v>7</v>
      </c>
    </row>
    <row r="62" spans="4:10" ht="20.100000000000001" customHeight="1" x14ac:dyDescent="0.25">
      <c r="D62" s="90" t="s">
        <v>269</v>
      </c>
      <c r="E62" s="93"/>
      <c r="F62" s="93"/>
      <c r="G62" s="93"/>
      <c r="H62" s="90" t="e">
        <f>SUM(H46:H61)</f>
        <v>#REF!</v>
      </c>
      <c r="I62" s="90" t="e">
        <f>SUM(I46:I61)</f>
        <v>#REF!</v>
      </c>
      <c r="J62" s="92" t="s">
        <v>7</v>
      </c>
    </row>
    <row r="63" spans="4:10" ht="20.100000000000001" customHeight="1" x14ac:dyDescent="0.25"/>
    <row r="64" spans="4:10" ht="20.100000000000001" customHeight="1" x14ac:dyDescent="0.25"/>
    <row r="65" spans="4:7" ht="20.100000000000001" customHeight="1" x14ac:dyDescent="0.25">
      <c r="D65" s="79" t="str">
        <f>"Carbon removals from plantings for the activity period " &amp; TEXT(X_Cell_Site_StartDate, "d mmmm yyyy") &amp; " and " &amp; TEXT(X_Cell_Site_EndDate, "d mmmm yyyy")</f>
        <v>Carbon removals from plantings for the activity period 1 January 2024 and 31 December 2024</v>
      </c>
    </row>
    <row r="66" spans="4:7" ht="20.100000000000001" customHeight="1" x14ac:dyDescent="0.25"/>
    <row r="67" spans="4:7" ht="20.100000000000001" customHeight="1" x14ac:dyDescent="0.25">
      <c r="D67" s="90" t="s">
        <v>270</v>
      </c>
      <c r="E67" s="93">
        <f>SUM(Table_Input_Enterprise_PlantingRemovals[Removal allocated to this enterprise])</f>
        <v>0</v>
      </c>
      <c r="F67" s="92" t="s">
        <v>127</v>
      </c>
    </row>
    <row r="68" spans="4:7" ht="20.100000000000001" customHeight="1" x14ac:dyDescent="0.25"/>
    <row r="69" spans="4:7" ht="20.100000000000001" customHeight="1" x14ac:dyDescent="0.25"/>
    <row r="70" spans="4:7" ht="20.100000000000001" customHeight="1" x14ac:dyDescent="0.25">
      <c r="D70" s="79" t="str">
        <f>"Net emissions for the activity period " &amp; TEXT(X_Cell_Site_StartDate, "d mmmm yyyy") &amp; " and " &amp; TEXT(X_Cell_Site_EndDate, "d mmmm yyyy")</f>
        <v>Net emissions for the activity period 1 January 2024 and 31 December 2024</v>
      </c>
    </row>
    <row r="71" spans="4:7" ht="20.100000000000001" customHeight="1" x14ac:dyDescent="0.25"/>
    <row r="72" spans="4:7" ht="20.100000000000001" customHeight="1" x14ac:dyDescent="0.25">
      <c r="D72" s="12"/>
      <c r="E72" s="12" t="s">
        <v>130</v>
      </c>
      <c r="F72" s="12" t="s">
        <v>131</v>
      </c>
    </row>
    <row r="73" spans="4:7" ht="20.100000000000001" customHeight="1" x14ac:dyDescent="0.25">
      <c r="D73" s="88" t="s">
        <v>271</v>
      </c>
      <c r="E73" s="94" t="e">
        <f>Result_Enterprise_Scope1_Method1+Result_Enterprise_Scope2_Method1+Result_Enterprise_Scope3_Method1</f>
        <v>#NAME?</v>
      </c>
      <c r="F73" s="94" t="e">
        <f>Result_Enterprise_Scope1_Method2+Result_Enterprise_Scope2_Method2+Result_Enterprise_Scope3_Method2</f>
        <v>#NAME?</v>
      </c>
      <c r="G73" s="89" t="s">
        <v>272</v>
      </c>
    </row>
    <row r="74" spans="4:7" ht="20.100000000000001" customHeight="1" x14ac:dyDescent="0.25">
      <c r="D74" s="88" t="s">
        <v>273</v>
      </c>
      <c r="E74" s="94" t="e">
        <f>Result_Enterprise_Gross_Method1-Result_Enterprise_Removals</f>
        <v>#NAME?</v>
      </c>
      <c r="F74" s="94" t="e">
        <f>Result_Enterprise_Gross_Method2-Result_Enterprise_Removals</f>
        <v>#NAME?</v>
      </c>
      <c r="G74" s="89" t="s">
        <v>272</v>
      </c>
    </row>
    <row r="75" spans="4:7" ht="20.100000000000001" customHeight="1" x14ac:dyDescent="0.25"/>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8DCBC-EA61-418F-9ACB-B83379D3C733}">
  <sheetPr>
    <tabColor rgb="FF0C769E"/>
  </sheetPr>
  <dimension ref="A1:N72"/>
  <sheetViews>
    <sheetView showGridLines="0" topLeftCell="A32" workbookViewId="0">
      <selection activeCell="E56" sqref="E56:E59"/>
    </sheetView>
  </sheetViews>
  <sheetFormatPr defaultRowHeight="15" x14ac:dyDescent="0.25"/>
  <cols>
    <col min="1" max="1" width="30.7109375" customWidth="1"/>
    <col min="2" max="3" width="4.7109375" customWidth="1"/>
    <col min="4" max="4" width="53.7109375" customWidth="1"/>
    <col min="5" max="14" width="30.7109375" customWidth="1"/>
  </cols>
  <sheetData>
    <row r="1" spans="1:14" ht="30" customHeight="1" x14ac:dyDescent="0.35">
      <c r="A1" s="11" t="e" vm="1">
        <v>#VALUE!</v>
      </c>
      <c r="C1" s="87" t="s">
        <v>281</v>
      </c>
      <c r="D1" s="87"/>
      <c r="E1" s="87"/>
      <c r="F1" s="87"/>
      <c r="G1" s="87"/>
      <c r="H1" s="87"/>
      <c r="I1" s="87"/>
      <c r="J1" s="87"/>
      <c r="K1" s="87"/>
      <c r="L1" s="87"/>
      <c r="M1" s="87"/>
      <c r="N1" s="87"/>
    </row>
    <row r="2" spans="1:14" ht="20.100000000000001" customHeight="1" x14ac:dyDescent="0.25">
      <c r="C2" s="3"/>
      <c r="D2" s="3"/>
      <c r="E2" s="3"/>
      <c r="F2" s="3"/>
      <c r="G2" s="3"/>
      <c r="H2" s="3"/>
      <c r="I2" s="3"/>
      <c r="J2" s="3"/>
      <c r="K2" s="3"/>
      <c r="L2" s="3"/>
      <c r="M2" s="3"/>
      <c r="N2" s="3"/>
    </row>
    <row r="3" spans="1:14" ht="20.100000000000001" customHeight="1" x14ac:dyDescent="0.25">
      <c r="C3" s="97"/>
      <c r="D3" s="97"/>
      <c r="E3" s="97"/>
      <c r="F3" s="97"/>
      <c r="G3" s="97"/>
      <c r="H3" s="97"/>
      <c r="I3" s="97"/>
      <c r="J3" s="97"/>
      <c r="K3" s="97"/>
      <c r="L3" s="97"/>
      <c r="M3" s="97"/>
      <c r="N3" s="97"/>
    </row>
    <row r="4" spans="1:14" ht="20.100000000000001" customHeight="1" x14ac:dyDescent="0.25">
      <c r="C4" s="1"/>
      <c r="D4" s="1"/>
      <c r="E4" s="1"/>
      <c r="F4" s="1"/>
      <c r="G4" s="1"/>
      <c r="H4" s="1"/>
      <c r="I4" s="1"/>
      <c r="J4" s="1"/>
      <c r="K4" s="1"/>
      <c r="L4" s="1"/>
      <c r="M4" s="1"/>
      <c r="N4" s="1"/>
    </row>
    <row r="5" spans="1:14" ht="20.100000000000001" customHeight="1" x14ac:dyDescent="0.25">
      <c r="C5" s="1"/>
      <c r="D5" s="1"/>
      <c r="E5" s="1"/>
      <c r="F5" s="1"/>
      <c r="G5" s="1"/>
      <c r="H5" s="1"/>
      <c r="I5" s="1"/>
      <c r="J5" s="1"/>
      <c r="K5" s="1"/>
      <c r="L5" s="1"/>
      <c r="M5" s="1"/>
      <c r="N5" s="1"/>
    </row>
    <row r="6" spans="1:14" ht="20.100000000000001" customHeight="1" x14ac:dyDescent="0.25">
      <c r="C6" s="1"/>
      <c r="D6" s="1"/>
      <c r="E6" s="1"/>
      <c r="F6" s="1"/>
      <c r="G6" s="1"/>
      <c r="H6" s="1"/>
      <c r="I6" s="1"/>
      <c r="J6" s="1"/>
      <c r="K6" s="1"/>
      <c r="L6" s="1"/>
      <c r="M6" s="1"/>
      <c r="N6" s="1"/>
    </row>
    <row r="7" spans="1:14" ht="20.100000000000001" customHeight="1" x14ac:dyDescent="0.25">
      <c r="C7" s="1"/>
      <c r="D7" s="1"/>
      <c r="E7" s="1"/>
      <c r="F7" s="1"/>
      <c r="G7" s="1"/>
      <c r="H7" s="1"/>
      <c r="I7" s="1"/>
      <c r="J7" s="1"/>
      <c r="K7" s="1"/>
      <c r="L7" s="1"/>
      <c r="M7" s="1"/>
      <c r="N7" s="1"/>
    </row>
    <row r="8" spans="1:14" ht="20.100000000000001" customHeight="1" x14ac:dyDescent="0.25">
      <c r="C8" s="1"/>
      <c r="D8" s="1"/>
      <c r="E8" s="1"/>
      <c r="F8" s="1"/>
      <c r="G8" s="1"/>
      <c r="H8" s="1"/>
      <c r="I8" s="1"/>
      <c r="J8" s="1"/>
      <c r="K8" s="1"/>
      <c r="L8" s="1"/>
      <c r="M8" s="1"/>
      <c r="N8" s="1"/>
    </row>
    <row r="9" spans="1:14" ht="20.100000000000001" customHeight="1" x14ac:dyDescent="0.25">
      <c r="C9" s="1"/>
      <c r="D9" s="1"/>
      <c r="E9" s="1"/>
      <c r="F9" s="1"/>
      <c r="G9" s="1"/>
      <c r="H9" s="1"/>
      <c r="I9" s="1"/>
      <c r="J9" s="1"/>
      <c r="K9" s="1"/>
      <c r="L9" s="1"/>
      <c r="M9" s="1"/>
      <c r="N9" s="1"/>
    </row>
    <row r="10" spans="1:14" ht="20.100000000000001" customHeight="1" x14ac:dyDescent="0.25">
      <c r="C10" s="1"/>
      <c r="D10" s="1"/>
      <c r="E10" s="1"/>
      <c r="F10" s="1"/>
      <c r="G10" s="1"/>
      <c r="H10" s="1"/>
      <c r="I10" s="1"/>
      <c r="J10" s="1"/>
      <c r="K10" s="1"/>
      <c r="L10" s="1"/>
      <c r="M10" s="1"/>
      <c r="N10" s="1"/>
    </row>
    <row r="11" spans="1:14" ht="20.100000000000001" customHeight="1" x14ac:dyDescent="0.25">
      <c r="C11" s="1"/>
      <c r="D11" s="1"/>
      <c r="E11" s="1"/>
      <c r="F11" s="1"/>
      <c r="G11" s="1"/>
      <c r="H11" s="1"/>
      <c r="I11" s="1"/>
      <c r="J11" s="1"/>
      <c r="K11" s="1"/>
      <c r="L11" s="1"/>
      <c r="M11" s="1"/>
      <c r="N11" s="1"/>
    </row>
    <row r="12" spans="1:14" ht="20.100000000000001" customHeight="1" x14ac:dyDescent="0.25">
      <c r="C12" s="1"/>
      <c r="D12" s="1"/>
      <c r="E12" s="1"/>
      <c r="F12" s="1"/>
      <c r="G12" s="1"/>
      <c r="H12" s="1"/>
      <c r="I12" s="1"/>
      <c r="J12" s="1"/>
      <c r="K12" s="1"/>
      <c r="L12" s="1"/>
      <c r="M12" s="1"/>
      <c r="N12" s="1"/>
    </row>
    <row r="13" spans="1:14" ht="20.100000000000001" customHeight="1" x14ac:dyDescent="0.25">
      <c r="C13" s="1"/>
      <c r="D13" s="1"/>
      <c r="E13" s="1"/>
      <c r="F13" s="1"/>
      <c r="G13" s="1"/>
      <c r="H13" s="1"/>
      <c r="I13" s="1"/>
      <c r="J13" s="1"/>
      <c r="K13" s="1"/>
      <c r="L13" s="1"/>
      <c r="M13" s="1"/>
      <c r="N13" s="1"/>
    </row>
    <row r="14" spans="1:14" ht="20.100000000000001" customHeight="1" x14ac:dyDescent="0.25">
      <c r="C14" s="1"/>
      <c r="D14" s="1"/>
      <c r="E14" s="1"/>
      <c r="F14" s="1"/>
      <c r="G14" s="1"/>
      <c r="H14" s="1"/>
      <c r="I14" s="1"/>
      <c r="J14" s="1"/>
      <c r="K14" s="1"/>
      <c r="L14" s="1"/>
      <c r="M14" s="1"/>
      <c r="N14" s="1"/>
    </row>
    <row r="15" spans="1:14" ht="20.100000000000001" customHeight="1" x14ac:dyDescent="0.25">
      <c r="C15" s="1"/>
      <c r="D15" s="1"/>
      <c r="E15" s="1"/>
      <c r="F15" s="1"/>
      <c r="G15" s="1"/>
      <c r="H15" s="1"/>
      <c r="I15" s="1"/>
      <c r="J15" s="1"/>
      <c r="K15" s="1"/>
      <c r="L15" s="1"/>
      <c r="M15" s="1"/>
      <c r="N15" s="1"/>
    </row>
    <row r="16" spans="1:14" ht="20.100000000000001" customHeight="1" x14ac:dyDescent="0.25">
      <c r="C16" s="1"/>
      <c r="D16" s="1"/>
      <c r="E16" s="1"/>
      <c r="F16" s="1"/>
      <c r="G16" s="1"/>
      <c r="H16" s="1"/>
      <c r="I16" s="1"/>
      <c r="J16" s="1"/>
      <c r="K16" s="1"/>
      <c r="L16" s="1"/>
      <c r="M16" s="1"/>
      <c r="N16" s="1"/>
    </row>
    <row r="17" spans="3:14" ht="20.100000000000001" customHeight="1" x14ac:dyDescent="0.25">
      <c r="C17" s="1"/>
      <c r="D17" s="1"/>
      <c r="E17" s="1"/>
      <c r="F17" s="1"/>
      <c r="G17" s="1"/>
      <c r="H17" s="1"/>
      <c r="I17" s="1"/>
      <c r="J17" s="1"/>
      <c r="K17" s="1"/>
      <c r="L17" s="1"/>
      <c r="M17" s="1"/>
      <c r="N17" s="1"/>
    </row>
    <row r="18" spans="3:14" ht="20.100000000000001" customHeight="1" x14ac:dyDescent="0.25">
      <c r="C18" s="1"/>
      <c r="D18" s="1"/>
      <c r="E18" s="1"/>
      <c r="F18" s="1"/>
      <c r="G18" s="1"/>
      <c r="H18" s="1"/>
      <c r="I18" s="1"/>
      <c r="J18" s="1"/>
      <c r="K18" s="1"/>
      <c r="L18" s="1"/>
      <c r="M18" s="1"/>
      <c r="N18" s="1"/>
    </row>
    <row r="19" spans="3:14" ht="20.100000000000001" customHeight="1" x14ac:dyDescent="0.25">
      <c r="C19" s="1"/>
      <c r="D19" s="1"/>
      <c r="E19" s="1"/>
      <c r="F19" s="1"/>
      <c r="G19" s="1"/>
      <c r="H19" s="1"/>
      <c r="I19" s="1"/>
      <c r="J19" s="1"/>
      <c r="K19" s="1"/>
      <c r="L19" s="1"/>
      <c r="M19" s="1"/>
      <c r="N19" s="1"/>
    </row>
    <row r="20" spans="3:14" ht="20.100000000000001" customHeight="1" x14ac:dyDescent="0.25">
      <c r="C20" s="1"/>
      <c r="D20" s="1"/>
      <c r="E20" s="1"/>
      <c r="F20" s="1"/>
      <c r="G20" s="1"/>
      <c r="H20" s="1"/>
      <c r="I20" s="1"/>
      <c r="J20" s="1"/>
      <c r="K20" s="1"/>
      <c r="L20" s="1"/>
      <c r="M20" s="1"/>
      <c r="N20" s="1"/>
    </row>
    <row r="21" spans="3:14" ht="20.100000000000001" customHeight="1" x14ac:dyDescent="0.25">
      <c r="C21" s="1"/>
      <c r="D21" s="1"/>
      <c r="E21" s="1"/>
      <c r="F21" s="1"/>
      <c r="G21" s="1"/>
      <c r="H21" s="1"/>
      <c r="I21" s="1"/>
      <c r="J21" s="1"/>
      <c r="K21" s="1"/>
      <c r="L21" s="1"/>
      <c r="M21" s="1"/>
      <c r="N21" s="1"/>
    </row>
    <row r="22" spans="3:14" ht="20.100000000000001" customHeight="1" x14ac:dyDescent="0.25">
      <c r="C22" s="1"/>
      <c r="D22" s="1"/>
      <c r="E22" s="1"/>
      <c r="F22" s="1"/>
      <c r="G22" s="1"/>
      <c r="H22" s="1"/>
      <c r="I22" s="1"/>
      <c r="J22" s="1"/>
      <c r="K22" s="1"/>
      <c r="L22" s="1"/>
      <c r="M22" s="1"/>
      <c r="N22" s="1"/>
    </row>
    <row r="23" spans="3:14" ht="20.100000000000001" customHeight="1" x14ac:dyDescent="0.25">
      <c r="C23" s="1"/>
      <c r="D23" s="1"/>
      <c r="E23" s="1"/>
      <c r="F23" s="1"/>
      <c r="G23" s="1"/>
      <c r="H23" s="1"/>
      <c r="I23" s="1"/>
      <c r="J23" s="1"/>
      <c r="K23" s="1"/>
      <c r="L23" s="1"/>
      <c r="M23" s="1"/>
      <c r="N23" s="1"/>
    </row>
    <row r="24" spans="3:14" ht="20.100000000000001" customHeight="1" x14ac:dyDescent="0.25">
      <c r="C24" s="1"/>
      <c r="D24" s="1"/>
      <c r="E24" s="1"/>
      <c r="F24" s="1"/>
      <c r="G24" s="1"/>
      <c r="H24" s="1"/>
      <c r="I24" s="1"/>
      <c r="J24" s="1"/>
      <c r="K24" s="1"/>
      <c r="L24" s="1"/>
      <c r="M24" s="1"/>
      <c r="N24" s="1"/>
    </row>
    <row r="25" spans="3:14" ht="20.100000000000001" customHeight="1" x14ac:dyDescent="0.25">
      <c r="C25" s="1"/>
      <c r="D25" s="1"/>
      <c r="E25" s="1"/>
      <c r="F25" s="1"/>
      <c r="G25" s="1"/>
      <c r="H25" s="1"/>
      <c r="I25" s="1"/>
      <c r="J25" s="1"/>
      <c r="K25" s="1"/>
      <c r="L25" s="1"/>
      <c r="M25" s="1"/>
      <c r="N25" s="1"/>
    </row>
    <row r="26" spans="3:14" ht="20.100000000000001" customHeight="1" x14ac:dyDescent="0.25">
      <c r="C26" s="1"/>
      <c r="D26" s="1"/>
      <c r="E26" s="1"/>
      <c r="F26" s="1"/>
      <c r="G26" s="1"/>
      <c r="H26" s="1"/>
      <c r="I26" s="1"/>
      <c r="J26" s="1"/>
      <c r="K26" s="1"/>
      <c r="L26" s="1"/>
      <c r="M26" s="1"/>
      <c r="N26" s="1"/>
    </row>
    <row r="27" spans="3:14" ht="20.100000000000001" customHeight="1" x14ac:dyDescent="0.25">
      <c r="C27" s="1"/>
      <c r="D27" s="1"/>
      <c r="E27" s="1"/>
      <c r="F27" s="1"/>
      <c r="G27" s="1"/>
      <c r="H27" s="1"/>
      <c r="I27" s="1"/>
      <c r="J27" s="1"/>
      <c r="K27" s="1"/>
      <c r="L27" s="1"/>
      <c r="M27" s="1"/>
      <c r="N27" s="1"/>
    </row>
    <row r="28" spans="3:14" ht="20.100000000000001" customHeight="1" x14ac:dyDescent="0.25">
      <c r="C28" s="1"/>
      <c r="D28" s="1"/>
      <c r="E28" s="1"/>
      <c r="F28" s="1"/>
      <c r="G28" s="1"/>
      <c r="H28" s="1"/>
      <c r="I28" s="1"/>
      <c r="J28" s="1"/>
      <c r="K28" s="1"/>
      <c r="L28" s="1"/>
      <c r="M28" s="1"/>
      <c r="N28" s="1"/>
    </row>
    <row r="29" spans="3:14" ht="20.100000000000001" customHeight="1" x14ac:dyDescent="0.25">
      <c r="C29" s="1"/>
      <c r="D29" s="1"/>
      <c r="E29" s="1"/>
      <c r="F29" s="1"/>
      <c r="G29" s="1"/>
      <c r="H29" s="1"/>
      <c r="I29" s="1"/>
      <c r="J29" s="1"/>
      <c r="K29" s="1"/>
      <c r="L29" s="1"/>
      <c r="M29" s="1"/>
      <c r="N29" s="1"/>
    </row>
    <row r="30" spans="3:14" ht="20.100000000000001" customHeight="1" x14ac:dyDescent="0.25">
      <c r="C30" s="1"/>
      <c r="D30" s="1"/>
      <c r="E30" s="1"/>
      <c r="F30" s="1"/>
      <c r="G30" s="1"/>
      <c r="H30" s="1"/>
      <c r="I30" s="1"/>
      <c r="J30" s="1"/>
      <c r="K30" s="1"/>
      <c r="L30" s="1"/>
      <c r="M30" s="1"/>
      <c r="N30" s="1"/>
    </row>
    <row r="31" spans="3:14" ht="20.100000000000001" customHeight="1" x14ac:dyDescent="0.25">
      <c r="C31" s="1"/>
      <c r="D31" s="1"/>
      <c r="E31" s="1"/>
      <c r="F31" s="1"/>
      <c r="G31" s="1"/>
      <c r="H31" s="1"/>
      <c r="I31" s="1"/>
      <c r="J31" s="1"/>
      <c r="K31" s="1"/>
      <c r="L31" s="1"/>
      <c r="M31" s="1"/>
      <c r="N31" s="1"/>
    </row>
    <row r="32" spans="3:14" ht="20.100000000000001" customHeight="1" x14ac:dyDescent="0.25">
      <c r="C32" s="1"/>
      <c r="D32" s="2" t="str">
        <f>"Emissions for whole production cycle running between " &amp; TEXT(X_Cell_Enterprise_ProductionTimeframeStart, "d mmmm yyyy") &amp; " and " &amp; TEXT(X_Cell_Enterprise_ProductionTimeframeEnd, "d mmmm yyyy")</f>
        <v>Emissions for whole production cycle running between 1 November 2023 and 31 March 2025</v>
      </c>
      <c r="E32" s="1"/>
      <c r="F32" s="1"/>
      <c r="G32" s="1"/>
      <c r="H32" s="1"/>
      <c r="I32" s="1"/>
      <c r="J32" s="1"/>
      <c r="K32" s="1"/>
      <c r="L32" s="1"/>
      <c r="M32" s="1"/>
      <c r="N32" s="1"/>
    </row>
    <row r="33" spans="3:14" ht="20.100000000000001" customHeight="1" x14ac:dyDescent="0.25">
      <c r="C33" s="1"/>
      <c r="D33" s="1"/>
      <c r="E33" s="1"/>
      <c r="F33" s="1"/>
      <c r="G33" s="1"/>
      <c r="H33" s="1"/>
      <c r="I33" s="1"/>
      <c r="J33" s="1"/>
      <c r="K33" s="1"/>
      <c r="L33" s="1"/>
      <c r="M33" s="1"/>
      <c r="N33" s="1"/>
    </row>
    <row r="34" spans="3:14" ht="20.100000000000001" customHeight="1" x14ac:dyDescent="0.25">
      <c r="C34" s="1"/>
      <c r="D34" s="1"/>
      <c r="E34" s="1"/>
      <c r="F34" s="1"/>
      <c r="G34" s="1"/>
      <c r="H34" s="1"/>
      <c r="I34" s="1"/>
      <c r="J34" s="1"/>
      <c r="K34" s="1"/>
      <c r="L34" s="1"/>
      <c r="M34" s="1"/>
      <c r="N34" s="1"/>
    </row>
    <row r="35" spans="3:14" ht="20.100000000000001" customHeight="1" x14ac:dyDescent="0.25">
      <c r="C35" s="1"/>
      <c r="D35" s="12"/>
      <c r="E35" s="12" t="s">
        <v>130</v>
      </c>
      <c r="F35" s="12" t="s">
        <v>131</v>
      </c>
      <c r="G35" s="12"/>
      <c r="H35" s="1"/>
      <c r="I35" s="1"/>
      <c r="J35" s="1"/>
      <c r="K35" s="1"/>
      <c r="L35" s="1"/>
      <c r="M35" s="1"/>
      <c r="N35" s="1"/>
    </row>
    <row r="36" spans="3:14" ht="20.100000000000001" customHeight="1" x14ac:dyDescent="0.25">
      <c r="C36" s="1"/>
      <c r="D36" s="77" t="s">
        <v>282</v>
      </c>
      <c r="E36" s="1" t="e">
        <f>Result_EmissionsForWholeProductionCycle_Gross_Method1</f>
        <v>#NAME?</v>
      </c>
      <c r="F36" s="1" t="e">
        <f>Result_EmissionsForWholeProductionCycle_Gross_Method2</f>
        <v>#NAME?</v>
      </c>
      <c r="G36" s="10" t="s">
        <v>7</v>
      </c>
      <c r="H36" s="1"/>
      <c r="I36" s="1"/>
      <c r="J36" s="1"/>
      <c r="K36" s="1"/>
      <c r="L36" s="1"/>
      <c r="M36" s="1"/>
      <c r="N36" s="1"/>
    </row>
    <row r="37" spans="3:14" ht="20.100000000000001" customHeight="1" x14ac:dyDescent="0.25">
      <c r="C37" s="1"/>
      <c r="D37" s="77" t="s">
        <v>283</v>
      </c>
      <c r="E37" s="1" t="e">
        <f>Result_EmissionsForWholeProductionCycle_Net_Method1</f>
        <v>#NAME?</v>
      </c>
      <c r="F37" s="1" t="e">
        <f>Result_EmissionsForWholeProductionCycle_Net_Method2</f>
        <v>#NAME?</v>
      </c>
      <c r="G37" s="10" t="s">
        <v>7</v>
      </c>
      <c r="H37" s="1"/>
      <c r="I37" s="1"/>
      <c r="J37" s="1"/>
      <c r="K37" s="1"/>
      <c r="L37" s="1"/>
      <c r="M37" s="1"/>
      <c r="N37" s="1"/>
    </row>
    <row r="38" spans="3:14" ht="20.100000000000001" customHeight="1" x14ac:dyDescent="0.25">
      <c r="C38" s="1"/>
      <c r="D38" s="1"/>
      <c r="E38" s="1"/>
      <c r="F38" s="1"/>
      <c r="G38" s="1"/>
      <c r="H38" s="1"/>
      <c r="I38" s="1"/>
      <c r="J38" s="1"/>
      <c r="K38" s="1"/>
      <c r="L38" s="1"/>
      <c r="M38" s="1"/>
      <c r="N38" s="1"/>
    </row>
    <row r="39" spans="3:14" ht="20.100000000000001" customHeight="1" x14ac:dyDescent="0.25">
      <c r="C39" s="1"/>
      <c r="D39" s="2" t="str">
        <f>"Product emissions intensity for whole production cycle running between " &amp; TEXT(X_Cell_Enterprise_ProductionTimeframeStart, "d mmmm yyyy") &amp; " and " &amp; TEXT(X_Cell_Enterprise_ProductionTimeframeEnd, "d mmmm yyyy")</f>
        <v>Product emissions intensity for whole production cycle running between 1 November 2023 and 31 March 2025</v>
      </c>
      <c r="E39" s="1"/>
      <c r="F39" s="1"/>
      <c r="G39" s="1"/>
      <c r="H39" s="1"/>
      <c r="I39" s="1"/>
      <c r="J39" s="1"/>
      <c r="K39" s="1"/>
      <c r="L39" s="1"/>
      <c r="M39" s="1"/>
      <c r="N39" s="1"/>
    </row>
    <row r="40" spans="3:14" ht="20.100000000000001" customHeight="1" x14ac:dyDescent="0.25">
      <c r="C40" s="1"/>
      <c r="D40" s="1"/>
      <c r="E40" s="1"/>
      <c r="F40" s="1"/>
      <c r="G40" s="1"/>
      <c r="H40" s="1"/>
      <c r="I40" s="1"/>
      <c r="J40" s="1"/>
      <c r="K40" s="1"/>
      <c r="L40" s="1"/>
      <c r="M40" s="1"/>
      <c r="N40" s="1"/>
    </row>
    <row r="41" spans="3:14" ht="20.100000000000001" customHeight="1" x14ac:dyDescent="0.25">
      <c r="C41" s="1"/>
      <c r="D41" s="1"/>
      <c r="E41" s="1"/>
      <c r="F41" s="1"/>
      <c r="G41" s="1"/>
      <c r="H41" s="1"/>
      <c r="I41" s="1"/>
      <c r="J41" s="1"/>
      <c r="K41" s="1"/>
      <c r="L41" s="1"/>
      <c r="M41" s="1"/>
      <c r="N41" s="1"/>
    </row>
    <row r="42" spans="3:14" ht="20.100000000000001" customHeight="1" x14ac:dyDescent="0.25">
      <c r="C42" s="1"/>
      <c r="D42" s="79" t="s">
        <v>153</v>
      </c>
      <c r="E42" s="1"/>
      <c r="F42" s="1"/>
      <c r="G42" s="1"/>
      <c r="H42" s="1"/>
      <c r="I42" s="1"/>
      <c r="J42" s="1"/>
      <c r="K42" s="1"/>
      <c r="L42" s="1"/>
      <c r="M42" s="1"/>
      <c r="N42" s="1"/>
    </row>
    <row r="43" spans="3:14" ht="20.100000000000001" customHeight="1" x14ac:dyDescent="0.25">
      <c r="C43" s="1"/>
      <c r="D43" s="12" t="s">
        <v>132</v>
      </c>
      <c r="E43" s="12" t="s">
        <v>123</v>
      </c>
      <c r="F43" s="12" t="s">
        <v>118</v>
      </c>
      <c r="G43" s="12" t="s">
        <v>155</v>
      </c>
      <c r="H43" s="12" t="s">
        <v>121</v>
      </c>
      <c r="I43" s="12" t="s">
        <v>122</v>
      </c>
      <c r="J43" s="12" t="s">
        <v>119</v>
      </c>
      <c r="K43" s="1"/>
      <c r="L43" s="1"/>
      <c r="M43" s="1"/>
      <c r="N43" s="1"/>
    </row>
    <row r="44" spans="3:14" ht="20.100000000000001" customHeight="1" x14ac:dyDescent="0.25">
      <c r="C44" s="1"/>
      <c r="D44" s="1" t="s">
        <v>187</v>
      </c>
      <c r="E44" s="1" t="s">
        <v>124</v>
      </c>
      <c r="F44" s="1" t="e">
        <f>X_Cell_Enterprise_MilkProduced*(IF(X_Cell_Enterprise_MilkProducedUnit="Litres of milk", 1.03, 1))*10^-3</f>
        <v>#NAME?</v>
      </c>
      <c r="G44" s="1" t="e">
        <f>F44/(F44+F46+F48)</f>
        <v>#NAME?</v>
      </c>
      <c r="H44" s="1" t="e">
        <f>(E36/F44)*G44</f>
        <v>#NAME?</v>
      </c>
      <c r="I44" s="1" t="e">
        <f>(F36/F44)*G44</f>
        <v>#NAME?</v>
      </c>
      <c r="J44" s="10" t="s">
        <v>290</v>
      </c>
      <c r="K44" s="1"/>
      <c r="L44" s="1"/>
      <c r="M44" s="1"/>
      <c r="N44" s="1"/>
    </row>
    <row r="45" spans="3:14" ht="20.100000000000001" customHeight="1" x14ac:dyDescent="0.25">
      <c r="C45" s="1"/>
      <c r="D45" s="1" t="s">
        <v>188</v>
      </c>
      <c r="E45" s="1" t="s">
        <v>124</v>
      </c>
      <c r="F45" s="1" t="e">
        <f>F44</f>
        <v>#NAME?</v>
      </c>
      <c r="G45" s="1" t="e">
        <f>G44</f>
        <v>#NAME?</v>
      </c>
      <c r="H45" s="1" t="e">
        <f>(E37/F45)*G45</f>
        <v>#NAME?</v>
      </c>
      <c r="I45" s="1" t="e">
        <f>(F37/F45)*G45</f>
        <v>#NAME?</v>
      </c>
      <c r="J45" s="10" t="s">
        <v>290</v>
      </c>
      <c r="K45" s="1"/>
      <c r="L45" s="1"/>
      <c r="M45" s="1"/>
      <c r="N45" s="1"/>
    </row>
    <row r="46" spans="3:14" ht="20.100000000000001" customHeight="1" x14ac:dyDescent="0.25">
      <c r="C46" s="1"/>
      <c r="D46" s="1" t="s">
        <v>157</v>
      </c>
      <c r="E46" s="1" t="s">
        <v>125</v>
      </c>
      <c r="F46" s="1">
        <f>X_Cell_Enterprise_LiveweightSold</f>
        <v>5</v>
      </c>
      <c r="G46" s="1" t="e">
        <f>F46/(F44+F46+F48)</f>
        <v>#NAME?</v>
      </c>
      <c r="H46" s="1" t="e">
        <f>(E36/F46)*G46</f>
        <v>#NAME?</v>
      </c>
      <c r="I46" s="1" t="e">
        <f>(F36/F46)*G46</f>
        <v>#NAME?</v>
      </c>
      <c r="J46" s="10" t="s">
        <v>120</v>
      </c>
      <c r="K46" s="1"/>
      <c r="L46" s="1"/>
      <c r="M46" s="1"/>
      <c r="N46" s="1"/>
    </row>
    <row r="47" spans="3:14" ht="20.100000000000001" customHeight="1" x14ac:dyDescent="0.25">
      <c r="C47" s="1"/>
      <c r="D47" s="1" t="s">
        <v>158</v>
      </c>
      <c r="E47" s="1" t="s">
        <v>125</v>
      </c>
      <c r="F47" s="1">
        <f>F46</f>
        <v>5</v>
      </c>
      <c r="G47" s="1" t="e">
        <f>G46</f>
        <v>#NAME?</v>
      </c>
      <c r="H47" s="98" t="e">
        <f>(E37/F47)*G47</f>
        <v>#NAME?</v>
      </c>
      <c r="I47" s="98" t="e">
        <f>(F37/F47)*G47</f>
        <v>#NAME?</v>
      </c>
      <c r="J47" s="10" t="s">
        <v>120</v>
      </c>
      <c r="K47" s="1"/>
      <c r="L47" s="1"/>
      <c r="M47" s="1"/>
      <c r="N47" s="1"/>
    </row>
    <row r="48" spans="3:14" ht="20.100000000000001" customHeight="1" x14ac:dyDescent="0.25">
      <c r="C48" s="1"/>
      <c r="D48" s="1" t="s">
        <v>159</v>
      </c>
      <c r="E48" s="1" t="s">
        <v>125</v>
      </c>
      <c r="F48" s="1">
        <f>X_Cell_Enterprise_ManureSoldTonnes</f>
        <v>1</v>
      </c>
      <c r="G48" s="1" t="e">
        <f>F48/(F44+F46+F48)</f>
        <v>#NAME?</v>
      </c>
      <c r="H48" s="1" t="e">
        <f>(E36/F48)*G48</f>
        <v>#NAME?</v>
      </c>
      <c r="I48" s="1" t="e">
        <f>(F36/F48)*G48</f>
        <v>#NAME?</v>
      </c>
      <c r="J48" s="10" t="s">
        <v>291</v>
      </c>
      <c r="K48" s="1"/>
      <c r="L48" s="1"/>
      <c r="M48" s="1"/>
      <c r="N48" s="1"/>
    </row>
    <row r="49" spans="3:14" ht="20.100000000000001" customHeight="1" x14ac:dyDescent="0.25">
      <c r="C49" s="1"/>
      <c r="D49" s="1" t="s">
        <v>160</v>
      </c>
      <c r="E49" s="1" t="s">
        <v>125</v>
      </c>
      <c r="F49" s="1">
        <f>F48</f>
        <v>1</v>
      </c>
      <c r="G49" s="1" t="e">
        <f>G48</f>
        <v>#NAME?</v>
      </c>
      <c r="H49" s="1" t="e">
        <f>(E37/F49)*G49</f>
        <v>#NAME?</v>
      </c>
      <c r="I49" s="1" t="e">
        <f>(F37/F49)*G49</f>
        <v>#NAME?</v>
      </c>
      <c r="J49" s="10" t="s">
        <v>291</v>
      </c>
      <c r="K49" s="1"/>
      <c r="L49" s="1"/>
      <c r="M49" s="1"/>
      <c r="N49" s="1"/>
    </row>
    <row r="50" spans="3:14" ht="20.100000000000001" customHeight="1" x14ac:dyDescent="0.25">
      <c r="C50" s="1"/>
      <c r="D50" s="1" t="s">
        <v>245</v>
      </c>
      <c r="E50" s="1" t="s">
        <v>285</v>
      </c>
      <c r="F50" s="1">
        <f>X_Cell_Enterprise_ManureUsedAsFertiliserTonnes</f>
        <v>1</v>
      </c>
      <c r="G50" s="1" t="s">
        <v>286</v>
      </c>
      <c r="H50" s="1" t="s">
        <v>286</v>
      </c>
      <c r="I50" s="1" t="s">
        <v>286</v>
      </c>
      <c r="J50" s="10"/>
      <c r="K50" s="1"/>
      <c r="L50" s="1"/>
      <c r="M50" s="1"/>
      <c r="N50" s="1"/>
    </row>
    <row r="51" spans="3:14" ht="20.100000000000001" customHeight="1" x14ac:dyDescent="0.25">
      <c r="C51" s="1"/>
      <c r="D51" s="1"/>
      <c r="E51" s="1"/>
      <c r="F51" s="1"/>
      <c r="G51" s="1"/>
      <c r="H51" s="1"/>
      <c r="I51" s="1"/>
      <c r="J51" s="1"/>
      <c r="K51" s="1"/>
      <c r="L51" s="1"/>
      <c r="M51" s="1"/>
      <c r="N51" s="1"/>
    </row>
    <row r="52" spans="3:14" ht="20.100000000000001" customHeight="1" x14ac:dyDescent="0.25">
      <c r="C52" s="1"/>
      <c r="D52" s="79" t="s">
        <v>154</v>
      </c>
      <c r="E52" s="1"/>
      <c r="F52" s="1"/>
      <c r="G52" s="1"/>
      <c r="H52" s="1"/>
      <c r="I52" s="1"/>
      <c r="J52" s="1"/>
      <c r="K52" s="1"/>
      <c r="L52" s="1"/>
      <c r="M52" s="1"/>
      <c r="N52" s="1"/>
    </row>
    <row r="53" spans="3:14" ht="20.100000000000001" customHeight="1" x14ac:dyDescent="0.25">
      <c r="C53" s="1"/>
      <c r="D53" s="12" t="s">
        <v>132</v>
      </c>
      <c r="E53" s="12" t="s">
        <v>123</v>
      </c>
      <c r="F53" s="12" t="s">
        <v>118</v>
      </c>
      <c r="G53" s="12" t="s">
        <v>156</v>
      </c>
      <c r="H53" s="12" t="s">
        <v>288</v>
      </c>
      <c r="I53" s="12" t="s">
        <v>289</v>
      </c>
      <c r="J53" s="12" t="s">
        <v>119</v>
      </c>
      <c r="K53" s="1"/>
      <c r="L53" s="1"/>
      <c r="M53" s="1"/>
      <c r="N53" s="1"/>
    </row>
    <row r="54" spans="3:14" ht="20.100000000000001" customHeight="1" x14ac:dyDescent="0.25">
      <c r="C54" s="1"/>
      <c r="D54" s="1" t="s">
        <v>187</v>
      </c>
      <c r="E54" s="1" t="s">
        <v>124</v>
      </c>
      <c r="F54" s="1" t="e">
        <f>X_Cell_Enterprise_MilkProduced*(IF(X_Cell_Enterprise_MilkProducedUnit="Litres", 1.03, 1))*10^-3</f>
        <v>#NAME?</v>
      </c>
      <c r="G54" s="1">
        <f>X_Cell_Enterprise_PercentIncomeFromMilk</f>
        <v>0.8</v>
      </c>
      <c r="H54" s="1" t="e">
        <f>E36*G54/F54</f>
        <v>#NAME?</v>
      </c>
      <c r="I54" s="1" t="e">
        <f>F36*G54/F54</f>
        <v>#NAME?</v>
      </c>
      <c r="J54" s="10" t="s">
        <v>284</v>
      </c>
      <c r="K54" s="1"/>
      <c r="L54" s="1"/>
      <c r="M54" s="1"/>
      <c r="N54" s="1"/>
    </row>
    <row r="55" spans="3:14" ht="20.100000000000001" customHeight="1" x14ac:dyDescent="0.25">
      <c r="C55" s="1"/>
      <c r="D55" s="1" t="s">
        <v>188</v>
      </c>
      <c r="E55" s="1" t="s">
        <v>124</v>
      </c>
      <c r="F55" s="1" t="e">
        <f>F54</f>
        <v>#NAME?</v>
      </c>
      <c r="G55" s="1">
        <f>G54</f>
        <v>0.8</v>
      </c>
      <c r="H55" s="1" t="e">
        <f>E37*G55/F55</f>
        <v>#NAME?</v>
      </c>
      <c r="I55" s="1" t="e">
        <f>F37*G55/F55</f>
        <v>#NAME?</v>
      </c>
      <c r="J55" s="10" t="s">
        <v>284</v>
      </c>
      <c r="K55" s="1"/>
      <c r="L55" s="1"/>
      <c r="M55" s="1"/>
      <c r="N55" s="1"/>
    </row>
    <row r="56" spans="3:14" ht="20.100000000000001" customHeight="1" x14ac:dyDescent="0.25">
      <c r="C56" s="1"/>
      <c r="D56" s="1" t="s">
        <v>157</v>
      </c>
      <c r="E56" s="1" t="s">
        <v>125</v>
      </c>
      <c r="F56" s="1">
        <f>X_Cell_Enterprise_LiveweightSold</f>
        <v>5</v>
      </c>
      <c r="G56" s="1">
        <f>X_Cell_Enterprise_PercentIncomeFromLiveweight</f>
        <v>0.15</v>
      </c>
      <c r="H56" s="1" t="e">
        <f>E36*G56/F56</f>
        <v>#NAME?</v>
      </c>
      <c r="I56" s="1" t="e">
        <f>F36*G56/F56</f>
        <v>#NAME?</v>
      </c>
      <c r="J56" s="10"/>
      <c r="K56" s="1"/>
      <c r="L56" s="1"/>
      <c r="M56" s="1"/>
      <c r="N56" s="1"/>
    </row>
    <row r="57" spans="3:14" ht="20.100000000000001" customHeight="1" x14ac:dyDescent="0.25">
      <c r="C57" s="1"/>
      <c r="D57" s="1" t="s">
        <v>158</v>
      </c>
      <c r="E57" s="1" t="s">
        <v>125</v>
      </c>
      <c r="F57" s="1">
        <f>F56</f>
        <v>5</v>
      </c>
      <c r="G57" s="1">
        <f>G56</f>
        <v>0.15</v>
      </c>
      <c r="H57" s="1" t="e">
        <f>E37*G57/F57</f>
        <v>#NAME?</v>
      </c>
      <c r="I57" s="1" t="e">
        <f>F37*G57/F57</f>
        <v>#NAME?</v>
      </c>
      <c r="J57" s="10" t="s">
        <v>287</v>
      </c>
      <c r="K57" s="1"/>
      <c r="L57" s="1"/>
      <c r="M57" s="1"/>
      <c r="N57" s="1"/>
    </row>
    <row r="58" spans="3:14" ht="20.100000000000001" customHeight="1" x14ac:dyDescent="0.25">
      <c r="C58" s="1"/>
      <c r="D58" s="1" t="s">
        <v>159</v>
      </c>
      <c r="E58" s="1" t="s">
        <v>125</v>
      </c>
      <c r="F58" s="1">
        <f>X_Cell_Enterprise_ManureSoldTonnes</f>
        <v>1</v>
      </c>
      <c r="G58" s="1">
        <f>X_Cell_Enterprise_PercentIncomeFromManure</f>
        <v>0.05</v>
      </c>
      <c r="H58" s="1" t="e">
        <f>E36*G58/F58</f>
        <v>#NAME?</v>
      </c>
      <c r="I58" s="1" t="e">
        <f>F36*G58/F58</f>
        <v>#NAME?</v>
      </c>
      <c r="J58" s="10" t="s">
        <v>287</v>
      </c>
      <c r="K58" s="1"/>
      <c r="L58" s="1"/>
      <c r="M58" s="1"/>
      <c r="N58" s="1"/>
    </row>
    <row r="59" spans="3:14" ht="20.100000000000001" customHeight="1" x14ac:dyDescent="0.25">
      <c r="C59" s="1"/>
      <c r="D59" s="1" t="s">
        <v>160</v>
      </c>
      <c r="E59" s="1" t="s">
        <v>125</v>
      </c>
      <c r="F59" s="1">
        <f>F58</f>
        <v>1</v>
      </c>
      <c r="G59" s="1">
        <f>G58</f>
        <v>0.05</v>
      </c>
      <c r="H59" s="1" t="e">
        <f>E37*G59/F59</f>
        <v>#NAME?</v>
      </c>
      <c r="I59" s="1" t="e">
        <f>F37*G59/F59</f>
        <v>#NAME?</v>
      </c>
      <c r="J59" s="10"/>
      <c r="K59" s="1"/>
      <c r="L59" s="1"/>
      <c r="M59" s="1"/>
      <c r="N59" s="1"/>
    </row>
    <row r="60" spans="3:14" ht="20.100000000000001" customHeight="1" x14ac:dyDescent="0.25">
      <c r="C60" s="1"/>
      <c r="D60" s="1" t="s">
        <v>245</v>
      </c>
      <c r="E60" s="1" t="s">
        <v>285</v>
      </c>
      <c r="F60" s="1">
        <f>X_Cell_Enterprise_ManureUsedAsFertiliserTonnes</f>
        <v>1</v>
      </c>
      <c r="G60" s="1" t="s">
        <v>286</v>
      </c>
      <c r="H60" s="1" t="s">
        <v>286</v>
      </c>
      <c r="I60" s="1" t="s">
        <v>286</v>
      </c>
      <c r="J60" s="1"/>
      <c r="K60" s="1"/>
      <c r="L60" s="1"/>
      <c r="M60" s="1"/>
      <c r="N60" s="1"/>
    </row>
    <row r="61" spans="3:14" ht="20.100000000000001" customHeight="1" x14ac:dyDescent="0.25">
      <c r="C61" s="1"/>
      <c r="D61" s="1"/>
      <c r="E61" s="1"/>
      <c r="F61" s="1"/>
      <c r="G61" s="1"/>
      <c r="H61" s="1"/>
      <c r="I61" s="1"/>
      <c r="J61" s="1"/>
      <c r="K61" s="1"/>
      <c r="L61" s="1"/>
      <c r="M61" s="1"/>
      <c r="N61" s="1"/>
    </row>
    <row r="62" spans="3:14" ht="20.100000000000001" customHeight="1" x14ac:dyDescent="0.25">
      <c r="C62" s="1"/>
      <c r="D62" s="1"/>
      <c r="E62" s="1"/>
      <c r="F62" s="1"/>
      <c r="G62" s="1"/>
      <c r="H62" s="1"/>
      <c r="I62" s="1"/>
      <c r="J62" s="1"/>
      <c r="K62" s="1"/>
      <c r="L62" s="1"/>
      <c r="M62" s="1"/>
      <c r="N62" s="1"/>
    </row>
    <row r="63" spans="3:14" ht="20.100000000000001" customHeight="1" x14ac:dyDescent="0.25">
      <c r="C63" s="1"/>
      <c r="D63" s="1"/>
      <c r="E63" s="1"/>
      <c r="F63" s="1"/>
      <c r="G63" s="1"/>
      <c r="H63" s="1"/>
      <c r="I63" s="1"/>
      <c r="J63" s="1"/>
      <c r="K63" s="1"/>
      <c r="L63" s="1"/>
      <c r="M63" s="1"/>
      <c r="N63" s="1"/>
    </row>
    <row r="64" spans="3:14" ht="20.100000000000001" customHeight="1" x14ac:dyDescent="0.25">
      <c r="C64" s="1"/>
      <c r="D64" s="1"/>
      <c r="E64" s="1"/>
      <c r="F64" s="1"/>
      <c r="G64" s="1"/>
      <c r="H64" s="1"/>
      <c r="I64" s="1"/>
      <c r="J64" s="1"/>
      <c r="K64" s="1"/>
      <c r="L64" s="1"/>
      <c r="M64" s="1"/>
      <c r="N64" s="1"/>
    </row>
    <row r="65" spans="3:14" ht="20.100000000000001" customHeight="1" x14ac:dyDescent="0.25">
      <c r="C65" s="1"/>
      <c r="D65" s="1"/>
      <c r="E65" s="1"/>
      <c r="F65" s="1"/>
      <c r="G65" s="1"/>
      <c r="H65" s="1"/>
      <c r="I65" s="1"/>
      <c r="J65" s="1"/>
      <c r="K65" s="1"/>
      <c r="L65" s="1"/>
      <c r="M65" s="1"/>
      <c r="N65" s="1"/>
    </row>
    <row r="66" spans="3:14" ht="20.100000000000001" customHeight="1" x14ac:dyDescent="0.25">
      <c r="C66" s="1"/>
      <c r="D66" s="1"/>
      <c r="E66" s="1"/>
      <c r="F66" s="1"/>
      <c r="G66" s="1"/>
      <c r="H66" s="1"/>
      <c r="I66" s="1"/>
      <c r="J66" s="1"/>
      <c r="K66" s="1"/>
      <c r="L66" s="1"/>
      <c r="M66" s="1"/>
      <c r="N66" s="1"/>
    </row>
    <row r="67" spans="3:14" ht="20.100000000000001" customHeight="1" x14ac:dyDescent="0.25">
      <c r="C67" s="1"/>
      <c r="D67" s="1"/>
      <c r="E67" s="1"/>
      <c r="F67" s="1"/>
      <c r="G67" s="1"/>
      <c r="H67" s="1"/>
      <c r="I67" s="1"/>
      <c r="J67" s="1"/>
      <c r="K67" s="1"/>
      <c r="L67" s="1"/>
      <c r="M67" s="1"/>
      <c r="N67" s="1"/>
    </row>
    <row r="68" spans="3:14" ht="20.100000000000001" customHeight="1" x14ac:dyDescent="0.25">
      <c r="C68" s="1"/>
      <c r="K68" s="1"/>
      <c r="L68" s="1"/>
      <c r="M68" s="1"/>
      <c r="N68" s="1"/>
    </row>
    <row r="69" spans="3:14" ht="20.100000000000001" customHeight="1" x14ac:dyDescent="0.25"/>
    <row r="70" spans="3:14" ht="20.100000000000001" customHeight="1" x14ac:dyDescent="0.25"/>
    <row r="71" spans="3:14" ht="20.100000000000001" customHeight="1" x14ac:dyDescent="0.25"/>
    <row r="72" spans="3:14" ht="20.100000000000001" customHeight="1"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91D62-75BF-4814-B1FA-242161A163DA}">
  <sheetPr>
    <tabColor rgb="FFCC6600"/>
    <pageSetUpPr autoPageBreaks="0"/>
  </sheetPr>
  <dimension ref="A1:AA115"/>
  <sheetViews>
    <sheetView showGridLines="0" zoomScaleNormal="100" workbookViewId="0">
      <selection activeCell="E34" sqref="E34"/>
    </sheetView>
  </sheetViews>
  <sheetFormatPr defaultColWidth="9.140625" defaultRowHeight="15.75" x14ac:dyDescent="0.25"/>
  <cols>
    <col min="1" max="1" width="30.7109375" style="4" customWidth="1"/>
    <col min="2" max="2" width="4.7109375" style="22" customWidth="1"/>
    <col min="3" max="3" width="4.7109375" style="25" customWidth="1"/>
    <col min="4" max="4" width="60.7109375" style="25" customWidth="1"/>
    <col min="5" max="5" width="50.7109375" style="25" customWidth="1"/>
    <col min="6" max="11" width="28.7109375" style="25" customWidth="1"/>
    <col min="12" max="25" width="28.7109375" style="22" customWidth="1"/>
    <col min="26" max="27" width="9.140625" style="22"/>
    <col min="28" max="16384" width="9.140625" style="25"/>
  </cols>
  <sheetData>
    <row r="1" spans="1:24" s="22" customFormat="1" ht="30" customHeight="1" x14ac:dyDescent="0.35">
      <c r="A1" s="11" t="e" vm="1">
        <v>#VALUE!</v>
      </c>
      <c r="C1" s="28" t="s">
        <v>87</v>
      </c>
    </row>
    <row r="2" spans="1:24" s="22" customFormat="1" ht="20.100000000000001" customHeight="1" x14ac:dyDescent="0.25">
      <c r="A2" s="3"/>
      <c r="C2" s="3"/>
      <c r="D2" s="3"/>
      <c r="E2" s="3"/>
      <c r="F2" s="3"/>
      <c r="G2" s="3"/>
      <c r="H2" s="3"/>
      <c r="I2" s="3"/>
      <c r="J2" s="3"/>
    </row>
    <row r="3" spans="1:24" ht="20.100000000000001" customHeight="1" x14ac:dyDescent="0.25">
      <c r="A3" s="5" t="str">
        <f>HYPERLINK("#'Home'!A1", "Home")</f>
        <v>Home</v>
      </c>
      <c r="C3" s="29"/>
      <c r="D3" s="29"/>
      <c r="E3" s="29"/>
      <c r="F3" s="29"/>
      <c r="G3" s="29"/>
      <c r="H3" s="29"/>
      <c r="I3" s="29"/>
      <c r="J3" s="29"/>
      <c r="K3" s="29"/>
      <c r="M3" s="24"/>
      <c r="N3" s="24"/>
      <c r="O3" s="24"/>
      <c r="P3" s="24"/>
      <c r="Q3" s="24"/>
      <c r="R3" s="24"/>
      <c r="S3" s="24"/>
      <c r="T3" s="24"/>
      <c r="U3" s="24"/>
      <c r="V3" s="24"/>
      <c r="W3" s="24"/>
      <c r="X3" s="24"/>
    </row>
    <row r="4" spans="1:24" ht="20.100000000000001" customHeight="1" x14ac:dyDescent="0.25">
      <c r="A4" s="5" t="str">
        <f>HYPERLINK("#'Results'!A1", "Results")</f>
        <v>Results</v>
      </c>
      <c r="C4" s="30"/>
      <c r="D4" s="30"/>
      <c r="E4" s="30"/>
      <c r="F4" s="30"/>
      <c r="G4" s="30"/>
      <c r="H4" s="30"/>
      <c r="I4" s="30"/>
      <c r="J4" s="30"/>
      <c r="K4" s="30"/>
    </row>
    <row r="5" spans="1:24" ht="20.100000000000001" customHeight="1" x14ac:dyDescent="0.25">
      <c r="D5" s="2" t="s">
        <v>96</v>
      </c>
      <c r="N5" s="31"/>
    </row>
    <row r="6" spans="1:24" ht="20.100000000000001" customHeight="1" x14ac:dyDescent="0.25">
      <c r="A6" s="8" t="s">
        <v>1</v>
      </c>
      <c r="N6" s="33"/>
    </row>
    <row r="7" spans="1:24" ht="20.100000000000001" customHeight="1" x14ac:dyDescent="0.25">
      <c r="A7" s="5" t="str">
        <f>HYPERLINK("#'Input - Site'!A1", "Site")</f>
        <v>Site</v>
      </c>
      <c r="D7" s="43" t="s">
        <v>97</v>
      </c>
      <c r="E7" s="44"/>
      <c r="F7" s="44"/>
      <c r="G7" s="45"/>
    </row>
    <row r="8" spans="1:24" ht="20.100000000000001" customHeight="1" x14ac:dyDescent="0.25">
      <c r="A8" s="5" t="str">
        <f>HYPERLINK("#'Input - Pasture Beef'!A1", "Pasture Beef")</f>
        <v>Pasture Beef</v>
      </c>
      <c r="D8" s="46" t="s">
        <v>98</v>
      </c>
      <c r="E8" s="47"/>
      <c r="F8" s="47"/>
      <c r="G8" s="48"/>
    </row>
    <row r="9" spans="1:24" ht="20.100000000000001" customHeight="1" x14ac:dyDescent="0.25">
      <c r="A9" s="5"/>
      <c r="D9" s="1"/>
      <c r="E9" s="49"/>
      <c r="F9" s="17"/>
      <c r="N9" s="35"/>
    </row>
    <row r="10" spans="1:24" ht="20.100000000000001" customHeight="1" x14ac:dyDescent="0.25">
      <c r="A10" s="7" t="s">
        <v>3</v>
      </c>
      <c r="D10" s="1" t="s">
        <v>99</v>
      </c>
      <c r="E10" s="14" t="s">
        <v>100</v>
      </c>
      <c r="F10" s="17" t="s">
        <v>101</v>
      </c>
      <c r="N10" s="35"/>
    </row>
    <row r="11" spans="1:24" ht="20.100000000000001" customHeight="1" x14ac:dyDescent="0.25">
      <c r="A11" s="5" t="str">
        <f>HYPERLINK("#'4.2.1.1-2 Methane'!A1", "4.2.1.1-2 Methane")</f>
        <v>4.2.1.1-2 Methane</v>
      </c>
      <c r="D11" s="1" t="s">
        <v>102</v>
      </c>
      <c r="E11" s="14" t="s">
        <v>103</v>
      </c>
      <c r="F11" s="17" t="s">
        <v>101</v>
      </c>
      <c r="G11" s="1"/>
      <c r="N11" s="40"/>
    </row>
    <row r="12" spans="1:24" ht="20.100000000000001" customHeight="1" x14ac:dyDescent="0.25">
      <c r="A12" s="5" t="str">
        <f>HYPERLINK("#'4.2.1.3-4 Soil direct N2O'!A1", "4.2.1.3-4 Soil direct N2O")</f>
        <v>4.2.1.3-4 Soil direct N2O</v>
      </c>
      <c r="D12" s="1" t="s">
        <v>104</v>
      </c>
      <c r="E12" s="14" t="s">
        <v>105</v>
      </c>
      <c r="F12" s="17" t="s">
        <v>101</v>
      </c>
    </row>
    <row r="13" spans="1:24" ht="20.100000000000001" customHeight="1" x14ac:dyDescent="0.25">
      <c r="A13" s="5" t="str">
        <f>HYPERLINK("#'4.2.1.5-6 Soil Atmos Dep'!A1", "4.2.1.5-6 Soil atm. deposition")</f>
        <v>4.2.1.5-6 Soil atm. deposition</v>
      </c>
      <c r="D13" s="1" t="s">
        <v>37</v>
      </c>
      <c r="E13" s="34">
        <v>307.7</v>
      </c>
      <c r="F13" s="17" t="s">
        <v>106</v>
      </c>
      <c r="N13" s="42"/>
      <c r="O13" s="42"/>
    </row>
    <row r="14" spans="1:24" ht="20.100000000000001" customHeight="1" x14ac:dyDescent="0.25">
      <c r="A14" s="5" t="str">
        <f>HYPERLINK("#'4.2.1.7-8 Soil leach runoff'!A1", "4.2.1.7-8 Soil leach &amp; runoff")</f>
        <v>4.2.1.7-8 Soil leach &amp; runoff</v>
      </c>
      <c r="D14" s="1" t="s">
        <v>107</v>
      </c>
      <c r="E14" s="34">
        <v>18</v>
      </c>
      <c r="F14" s="17" t="s">
        <v>108</v>
      </c>
      <c r="N14" s="42"/>
      <c r="O14" s="42"/>
    </row>
    <row r="15" spans="1:24" ht="20.100000000000001" customHeight="1" x14ac:dyDescent="0.25">
      <c r="A15" s="5"/>
      <c r="D15" s="1" t="s">
        <v>109</v>
      </c>
      <c r="E15" s="34">
        <v>601</v>
      </c>
      <c r="F15" s="17" t="s">
        <v>110</v>
      </c>
      <c r="N15" s="42"/>
      <c r="O15" s="42"/>
    </row>
    <row r="16" spans="1:24" ht="20.100000000000001" customHeight="1" x14ac:dyDescent="0.25">
      <c r="A16" s="6" t="s">
        <v>2</v>
      </c>
      <c r="D16" s="13" t="s">
        <v>111</v>
      </c>
      <c r="E16" s="34">
        <v>1326</v>
      </c>
      <c r="F16" s="17" t="s">
        <v>110</v>
      </c>
      <c r="N16" s="42"/>
      <c r="O16" s="42"/>
    </row>
    <row r="17" spans="1:25" ht="20.100000000000001" customHeight="1" x14ac:dyDescent="0.25">
      <c r="A17" s="5" t="str">
        <f>HYPERLINK("#'Constants - Pasture Beef'!A1", "Constants - Pasture Beef")</f>
        <v>Constants - Pasture Beef</v>
      </c>
      <c r="D17" s="1" t="s">
        <v>112</v>
      </c>
      <c r="E17" s="34">
        <v>7</v>
      </c>
      <c r="F17" s="17" t="s">
        <v>113</v>
      </c>
    </row>
    <row r="18" spans="1:25" ht="20.100000000000001" customHeight="1" x14ac:dyDescent="0.25">
      <c r="A18" s="5" t="str">
        <f>HYPERLINK("#'Constants - Livestock'!A1", "Constants - Livestock")</f>
        <v>Constants - Livestock</v>
      </c>
      <c r="D18" s="13" t="s">
        <v>114</v>
      </c>
      <c r="E18" s="16">
        <f>E15/E16</f>
        <v>0.45324283559577677</v>
      </c>
      <c r="F18" s="17"/>
    </row>
    <row r="19" spans="1:25" ht="20.100000000000001" customHeight="1" x14ac:dyDescent="0.25">
      <c r="A19" s="5" t="str">
        <f>HYPERLINK("#'Constants - Common'!A1", "Constants - Common")</f>
        <v>Constants - Common</v>
      </c>
      <c r="D19" s="13" t="s">
        <v>65</v>
      </c>
      <c r="E19" s="16" t="str">
        <f>Common_InputFunctions.Utility_LookupItemFromMinMax(E15,Table_SourceData_RainfallZones[Min rainfall],Table_SourceData_RainfallZones[Max rainfall],Table_SourceData_RainfallZones[Rainfall Zone])</f>
        <v>High rainfall</v>
      </c>
      <c r="G19" s="50"/>
      <c r="N19" s="31"/>
    </row>
    <row r="20" spans="1:25" ht="20.100000000000001" customHeight="1" x14ac:dyDescent="0.25">
      <c r="A20" s="5" t="str">
        <f>HYPERLINK("#'Acknowledgements'!A1", "Acknowledgements")</f>
        <v>Acknowledgements</v>
      </c>
      <c r="D20" s="1" t="s">
        <v>32</v>
      </c>
      <c r="E20" s="16" t="str">
        <f>Common_InputFunctions.Utility_GetClimateZone(E14,E15,E17,E13,E18,Table_SourceData_ClimateZones[Min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20" s="1"/>
      <c r="G20" s="49"/>
      <c r="N20" s="33"/>
    </row>
    <row r="21" spans="1:25" ht="20.100000000000001" customHeight="1" x14ac:dyDescent="0.25">
      <c r="A21"/>
      <c r="D21" s="1" t="s">
        <v>115</v>
      </c>
      <c r="E21" s="16" t="str">
        <f>Common_InputFunctions.Utility_LookupValueInTable($E$20,Table_SourceData_WetDryZones[Climate zone],Table_SourceData_WetDryZones[Wet or Dry Zone])</f>
        <v>Dry climate zone</v>
      </c>
      <c r="F21" s="1"/>
      <c r="G21" s="49"/>
    </row>
    <row r="22" spans="1:25" ht="20.100000000000001" customHeight="1" x14ac:dyDescent="0.25">
      <c r="A22" s="5"/>
      <c r="D22" s="1" t="s">
        <v>69</v>
      </c>
      <c r="E22" s="16" t="str">
        <f>Common_InputFunctions.Utility_LookupItemFromMinMax(E14,Table_SourceData_TemperatureZones[Min MAT],Table_SourceData_TemperatureZones[Max MAT],Table_SourceData_TemperatureZones[Temperature Zone])</f>
        <v>Temperate</v>
      </c>
      <c r="G22" s="53"/>
    </row>
    <row r="23" spans="1:25" ht="20.100000000000001" customHeight="1" x14ac:dyDescent="0.25">
      <c r="A23" s="5"/>
    </row>
    <row r="24" spans="1:25" ht="20.100000000000001" customHeight="1" x14ac:dyDescent="0.25">
      <c r="A24" s="5"/>
    </row>
    <row r="25" spans="1:25" ht="20.100000000000001" customHeight="1" x14ac:dyDescent="0.25">
      <c r="A25"/>
      <c r="N25" s="33"/>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51"/>
      <c r="M30" s="51"/>
      <c r="N30" s="51"/>
      <c r="O30" s="51"/>
      <c r="P30" s="51"/>
      <c r="Q30" s="51"/>
      <c r="R30" s="51"/>
      <c r="S30" s="51"/>
      <c r="T30" s="51"/>
      <c r="U30" s="51"/>
      <c r="V30" s="51"/>
      <c r="W30" s="51"/>
      <c r="X30" s="51"/>
      <c r="Y30" s="51"/>
    </row>
    <row r="31" spans="1:25" ht="20.100000000000001" customHeight="1" x14ac:dyDescent="0.25">
      <c r="A31"/>
      <c r="L31" s="52"/>
      <c r="M31" s="52"/>
      <c r="N31" s="52"/>
      <c r="O31" s="52"/>
      <c r="P31" s="52"/>
      <c r="Q31" s="52"/>
      <c r="R31" s="52"/>
      <c r="S31" s="52"/>
      <c r="T31" s="52"/>
      <c r="U31" s="52"/>
      <c r="V31" s="52"/>
      <c r="W31" s="52"/>
      <c r="X31" s="52"/>
      <c r="Y31" s="52"/>
    </row>
    <row r="32" spans="1:25" ht="20.100000000000001" customHeight="1" x14ac:dyDescent="0.25">
      <c r="A32"/>
      <c r="L32" s="52"/>
      <c r="M32" s="52"/>
      <c r="N32" s="52"/>
      <c r="O32" s="52"/>
      <c r="P32" s="52"/>
      <c r="Q32" s="52"/>
      <c r="R32" s="52"/>
      <c r="S32" s="52"/>
      <c r="T32" s="52"/>
      <c r="U32" s="52"/>
      <c r="V32" s="52"/>
      <c r="W32" s="52"/>
      <c r="X32" s="52"/>
      <c r="Y32" s="52"/>
    </row>
    <row r="33" spans="1:25" ht="20.100000000000001" customHeight="1" x14ac:dyDescent="0.25">
      <c r="A33"/>
      <c r="L33" s="52"/>
      <c r="M33" s="52"/>
      <c r="N33" s="52"/>
      <c r="O33" s="52"/>
      <c r="P33" s="52"/>
      <c r="Q33" s="52"/>
      <c r="R33" s="52"/>
      <c r="S33" s="52"/>
      <c r="T33" s="52"/>
      <c r="U33" s="52"/>
      <c r="V33" s="52"/>
      <c r="W33" s="52"/>
      <c r="X33" s="52"/>
      <c r="Y33" s="52"/>
    </row>
    <row r="34" spans="1:25" ht="20.100000000000001" customHeight="1" x14ac:dyDescent="0.25">
      <c r="A34"/>
      <c r="J34" s="54"/>
      <c r="K34" s="55"/>
      <c r="L34" s="52"/>
      <c r="M34" s="52"/>
      <c r="N34" s="52"/>
      <c r="O34" s="52"/>
      <c r="P34" s="52"/>
      <c r="Q34" s="52"/>
      <c r="R34" s="52"/>
      <c r="S34" s="52"/>
      <c r="T34" s="52"/>
      <c r="U34" s="52"/>
      <c r="V34" s="52"/>
      <c r="W34" s="52"/>
      <c r="X34" s="52"/>
      <c r="Y34" s="52"/>
    </row>
    <row r="35" spans="1:25" ht="20.100000000000001" customHeight="1" x14ac:dyDescent="0.25">
      <c r="A35"/>
      <c r="J35" s="54"/>
      <c r="K35" s="55"/>
      <c r="L35" s="52"/>
      <c r="M35" s="52"/>
      <c r="N35" s="52"/>
      <c r="O35" s="52"/>
      <c r="P35" s="52"/>
      <c r="Q35" s="52"/>
      <c r="R35" s="52"/>
      <c r="S35" s="52"/>
      <c r="T35" s="52"/>
      <c r="U35" s="52"/>
      <c r="V35" s="52"/>
      <c r="W35" s="52"/>
      <c r="X35" s="52"/>
      <c r="Y35" s="52"/>
    </row>
    <row r="36" spans="1:25" ht="20.100000000000001" customHeight="1" x14ac:dyDescent="0.25">
      <c r="A36"/>
      <c r="D36" s="56"/>
      <c r="E36" s="56"/>
      <c r="F36" s="57"/>
      <c r="G36" s="54"/>
      <c r="H36" s="54"/>
      <c r="I36" s="58"/>
      <c r="J36" s="54"/>
      <c r="K36" s="55"/>
      <c r="L36" s="52"/>
      <c r="M36" s="52"/>
      <c r="N36" s="52"/>
      <c r="O36" s="52"/>
      <c r="P36" s="52"/>
      <c r="Q36" s="52"/>
      <c r="R36" s="52"/>
      <c r="S36" s="52"/>
      <c r="T36" s="52"/>
      <c r="U36" s="52"/>
      <c r="V36" s="52"/>
      <c r="W36" s="52"/>
      <c r="X36" s="52"/>
      <c r="Y36" s="52"/>
    </row>
    <row r="37" spans="1:25" ht="20.100000000000001" customHeight="1" x14ac:dyDescent="0.25">
      <c r="A37"/>
      <c r="D37" s="56"/>
      <c r="E37" s="56"/>
      <c r="F37" s="57"/>
      <c r="G37" s="54"/>
      <c r="H37" s="54"/>
      <c r="I37" s="58"/>
      <c r="J37" s="54"/>
      <c r="K37" s="55"/>
      <c r="L37" s="52"/>
      <c r="M37" s="52"/>
      <c r="N37" s="52"/>
      <c r="O37" s="52"/>
      <c r="P37" s="52"/>
      <c r="Q37" s="52"/>
      <c r="R37" s="52"/>
      <c r="S37" s="52"/>
      <c r="T37" s="52"/>
      <c r="U37" s="52"/>
      <c r="V37" s="52"/>
      <c r="W37" s="52"/>
      <c r="X37" s="52"/>
      <c r="Y37" s="52"/>
    </row>
    <row r="38" spans="1:25" ht="20.100000000000001" customHeight="1" x14ac:dyDescent="0.25">
      <c r="A38"/>
      <c r="D38" s="56"/>
      <c r="E38" s="56"/>
      <c r="F38" s="57"/>
      <c r="G38" s="54"/>
      <c r="H38" s="54"/>
      <c r="I38" s="58"/>
      <c r="J38" s="54"/>
      <c r="K38" s="55"/>
      <c r="L38" s="52"/>
      <c r="M38" s="52"/>
      <c r="N38" s="52"/>
      <c r="O38" s="52"/>
      <c r="P38" s="52"/>
      <c r="Q38" s="52"/>
      <c r="R38" s="52"/>
      <c r="S38" s="52"/>
      <c r="T38" s="52"/>
      <c r="U38" s="52"/>
      <c r="V38" s="52"/>
      <c r="W38" s="52"/>
      <c r="X38" s="52"/>
      <c r="Y38" s="52"/>
    </row>
    <row r="39" spans="1:25" ht="20.100000000000001" customHeight="1" x14ac:dyDescent="0.25">
      <c r="A39"/>
      <c r="D39" s="56"/>
      <c r="E39" s="56"/>
      <c r="F39" s="57"/>
      <c r="G39" s="54"/>
      <c r="H39" s="54"/>
      <c r="I39" s="58"/>
      <c r="J39" s="54"/>
      <c r="K39" s="55"/>
      <c r="L39" s="52"/>
      <c r="M39" s="52"/>
      <c r="N39" s="52"/>
      <c r="O39" s="52"/>
      <c r="P39" s="52"/>
      <c r="Q39" s="52"/>
      <c r="R39" s="52"/>
      <c r="S39" s="52"/>
      <c r="T39" s="52"/>
      <c r="U39" s="52"/>
      <c r="V39" s="52"/>
      <c r="W39" s="52"/>
      <c r="X39" s="52"/>
      <c r="Y39" s="52"/>
    </row>
    <row r="40" spans="1:25" ht="20.100000000000001" customHeight="1" x14ac:dyDescent="0.25">
      <c r="A40"/>
      <c r="D40" s="59"/>
      <c r="E40" s="59"/>
      <c r="F40" s="59"/>
      <c r="G40" s="60"/>
      <c r="H40" s="61"/>
      <c r="I40" s="61"/>
      <c r="J40" s="61"/>
      <c r="K40" s="61"/>
      <c r="L40" s="62"/>
      <c r="M40" s="62"/>
      <c r="N40" s="62"/>
      <c r="O40" s="62"/>
      <c r="P40" s="62"/>
      <c r="Q40" s="62"/>
      <c r="R40" s="62"/>
      <c r="S40" s="62"/>
      <c r="T40" s="62"/>
      <c r="U40" s="62"/>
      <c r="V40" s="62"/>
      <c r="W40" s="62"/>
      <c r="X40" s="62"/>
      <c r="Y40" s="62"/>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2"/>
    </row>
    <row r="46" spans="1:25" ht="20.100000000000001" customHeight="1" x14ac:dyDescent="0.25">
      <c r="D46" s="2"/>
    </row>
    <row r="47" spans="1:25" ht="20.100000000000001" customHeight="1" x14ac:dyDescent="0.25">
      <c r="D47" s="63"/>
      <c r="E47" s="63"/>
      <c r="F47" s="63"/>
      <c r="G47" s="63"/>
      <c r="H47" s="63"/>
    </row>
    <row r="48" spans="1:25" ht="20.100000000000001" customHeight="1" x14ac:dyDescent="0.25">
      <c r="D48" s="64"/>
      <c r="E48" s="64"/>
      <c r="F48" s="65"/>
      <c r="G48" s="65"/>
      <c r="H48" s="64"/>
    </row>
    <row r="49" spans="4:8" ht="20.100000000000001" customHeight="1" x14ac:dyDescent="0.25">
      <c r="D49" s="64"/>
      <c r="E49" s="64"/>
      <c r="F49" s="65"/>
      <c r="G49" s="65"/>
      <c r="H49" s="64"/>
    </row>
    <row r="50" spans="4:8" ht="20.100000000000001" customHeight="1" x14ac:dyDescent="0.25">
      <c r="D50" s="64"/>
      <c r="E50" s="64"/>
      <c r="F50" s="65"/>
      <c r="G50" s="65"/>
      <c r="H50" s="64"/>
    </row>
    <row r="51" spans="4:8" ht="20.100000000000001" customHeight="1" x14ac:dyDescent="0.25">
      <c r="D51" s="66"/>
      <c r="E51" s="67"/>
      <c r="F51" s="67"/>
      <c r="G51" s="67"/>
      <c r="H51" s="68"/>
    </row>
    <row r="52" spans="4:8" ht="20.100000000000001" customHeight="1" x14ac:dyDescent="0.25"/>
    <row r="53" spans="4:8" ht="20.100000000000001" customHeight="1" x14ac:dyDescent="0.25"/>
    <row r="54" spans="4:8" ht="20.100000000000001" customHeight="1" x14ac:dyDescent="0.25">
      <c r="G54" s="69"/>
    </row>
    <row r="55" spans="4:8" ht="20.100000000000001" customHeight="1" x14ac:dyDescent="0.25">
      <c r="D55" s="2"/>
    </row>
    <row r="56" spans="4:8" ht="20.100000000000001" customHeight="1" x14ac:dyDescent="0.25"/>
    <row r="57" spans="4:8" ht="20.100000000000001" customHeight="1" x14ac:dyDescent="0.25">
      <c r="D57" s="70"/>
      <c r="F57" s="71"/>
    </row>
    <row r="58" spans="4:8" ht="20.100000000000001" customHeight="1" x14ac:dyDescent="0.25">
      <c r="D58" s="1"/>
      <c r="E58" s="72"/>
    </row>
    <row r="59" spans="4:8" ht="20.100000000000001" customHeight="1" x14ac:dyDescent="0.25">
      <c r="D59" s="1"/>
      <c r="E59" s="72"/>
    </row>
    <row r="60" spans="4:8" ht="20.100000000000001" customHeight="1" x14ac:dyDescent="0.25">
      <c r="D60" s="1"/>
      <c r="E60" s="73"/>
    </row>
    <row r="61" spans="4:8" ht="20.100000000000001" customHeight="1" x14ac:dyDescent="0.25">
      <c r="D61" s="1"/>
    </row>
    <row r="62" spans="4:8" ht="20.100000000000001" customHeight="1" x14ac:dyDescent="0.25"/>
    <row r="63" spans="4:8" ht="20.100000000000001" customHeight="1" x14ac:dyDescent="0.25">
      <c r="D63" s="70"/>
    </row>
    <row r="64" spans="4:8" ht="20.100000000000001" customHeight="1" x14ac:dyDescent="0.25">
      <c r="D64" s="1"/>
      <c r="E64" s="72"/>
    </row>
    <row r="65" spans="4:9" ht="20.100000000000001" customHeight="1" x14ac:dyDescent="0.25">
      <c r="D65" s="1"/>
      <c r="E65" s="72"/>
    </row>
    <row r="66" spans="4:9" ht="20.100000000000001" customHeight="1" x14ac:dyDescent="0.25">
      <c r="D66" s="1"/>
      <c r="E66" s="73"/>
    </row>
    <row r="67" spans="4:9" ht="20.100000000000001" customHeight="1" x14ac:dyDescent="0.25"/>
    <row r="68" spans="4:9" ht="20.100000000000001" customHeight="1" x14ac:dyDescent="0.25"/>
    <row r="69" spans="4:9" ht="20.100000000000001" customHeight="1" x14ac:dyDescent="0.25">
      <c r="D69" s="74"/>
      <c r="E69" s="74"/>
      <c r="F69" s="74"/>
      <c r="G69" s="74"/>
      <c r="H69" s="74"/>
      <c r="I69" s="74"/>
    </row>
    <row r="70" spans="4:9" ht="20.100000000000001" customHeight="1" x14ac:dyDescent="0.25">
      <c r="D70" s="74"/>
      <c r="E70" s="74"/>
      <c r="F70" s="74"/>
      <c r="G70" s="74"/>
      <c r="H70" s="74"/>
      <c r="I70" s="74"/>
    </row>
    <row r="71" spans="4:9" ht="20.100000000000001" customHeight="1" x14ac:dyDescent="0.25">
      <c r="D71" s="74"/>
      <c r="E71" s="74"/>
      <c r="F71" s="74"/>
      <c r="G71" s="74"/>
      <c r="H71" s="74"/>
      <c r="I71" s="74"/>
    </row>
    <row r="72" spans="4:9" ht="20.100000000000001" customHeight="1" x14ac:dyDescent="0.25">
      <c r="D72" s="74"/>
      <c r="E72" s="74"/>
      <c r="F72" s="74"/>
      <c r="G72" s="74"/>
      <c r="H72" s="74"/>
      <c r="I72" s="74"/>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75"/>
    </row>
    <row r="79" spans="4:9" ht="20.100000000000001" customHeight="1" x14ac:dyDescent="0.25">
      <c r="D79" s="75"/>
    </row>
    <row r="80" spans="4:9" ht="20.100000000000001" customHeight="1" x14ac:dyDescent="0.25">
      <c r="D80" s="75"/>
    </row>
    <row r="81" spans="4:4" ht="20.100000000000001" customHeight="1" x14ac:dyDescent="0.25">
      <c r="D81" s="75"/>
    </row>
    <row r="82" spans="4:4" ht="20.100000000000001" customHeight="1" x14ac:dyDescent="0.25">
      <c r="D82" s="75"/>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dataValidations count="4">
    <dataValidation type="list" allowBlank="1" showInputMessage="1" showErrorMessage="1" sqref="E12" xr:uid="{620909BD-05B7-4260-BB85-4888DFAEE1F3}">
      <formula1>"YES - In leaching zone, NO - Not in leaching zone"</formula1>
    </dataValidation>
    <dataValidation type="list" allowBlank="1" showInputMessage="1" showErrorMessage="1" sqref="G36:G39" xr:uid="{FC4F355F-8194-44E7-BAB7-2E788D632391}">
      <formula1>$D$41:$D$43</formula1>
    </dataValidation>
    <dataValidation type="list" allowBlank="1" showInputMessage="1" showErrorMessage="1" sqref="E11" xr:uid="{674A5993-80C6-40F8-9C7E-8360EE985D6D}">
      <formula1>INDIRECT("Table_WASA4Areas[SA 4 Name]")</formula1>
    </dataValidation>
    <dataValidation type="list" allowBlank="1" showInputMessage="1" showErrorMessage="1" sqref="E10" xr:uid="{3E5D42A7-7A09-4510-8DDD-588AA6407F0E}">
      <formula1>INDIRECT("Table_AustralianStates[Common Name]")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71F5-957D-4D10-AA21-0CE17EC217CD}">
  <sheetPr>
    <tabColor rgb="FFCC6600"/>
  </sheetPr>
  <dimension ref="C1:J81"/>
  <sheetViews>
    <sheetView showGridLines="0" topLeftCell="A5" zoomScaleNormal="100" workbookViewId="0">
      <selection activeCell="E23" sqref="E23"/>
      <extLst>
        <ext xmlns:xlsdti="http://schemas.microsoft.com/office/spreadsheetml/2023/showDataTypeIcons" uri="{77bfe23e-c014-4d31-8a63-9c772dbf06b6}">
          <xlsdti:showDataTypeIcons visible="0"/>
        </ext>
      </extLst>
    </sheetView>
  </sheetViews>
  <sheetFormatPr defaultRowHeight="15.75" x14ac:dyDescent="0.25"/>
  <cols>
    <col min="1" max="1" width="30.7109375" customWidth="1"/>
    <col min="2" max="2" width="4.7109375" customWidth="1"/>
    <col min="3" max="3" width="4.7109375" style="1" customWidth="1"/>
    <col min="4" max="4" width="69.28515625" style="1" customWidth="1"/>
    <col min="5" max="9" width="30.7109375" style="1" customWidth="1"/>
    <col min="10" max="10" width="4.7109375" style="1" customWidth="1"/>
    <col min="11" max="11" width="30.7109375" customWidth="1"/>
  </cols>
  <sheetData>
    <row r="1" spans="3:10" ht="25.5" x14ac:dyDescent="0.35">
      <c r="C1" s="28" t="s">
        <v>149</v>
      </c>
      <c r="D1" s="22"/>
      <c r="E1" s="22"/>
      <c r="F1" s="22"/>
      <c r="G1" s="22"/>
      <c r="H1" s="22"/>
      <c r="I1" s="22"/>
      <c r="J1" s="22"/>
    </row>
    <row r="2" spans="3:10" x14ac:dyDescent="0.25">
      <c r="C2" s="3"/>
      <c r="D2" s="3"/>
      <c r="E2" s="3"/>
      <c r="F2" s="3"/>
      <c r="G2" s="3"/>
      <c r="H2" s="3"/>
      <c r="I2" s="3"/>
      <c r="J2" s="3"/>
    </row>
    <row r="3" spans="3:10" ht="20.25" x14ac:dyDescent="0.25">
      <c r="C3" s="29"/>
      <c r="D3" s="29"/>
      <c r="E3" s="29"/>
      <c r="F3" s="29"/>
      <c r="G3" s="29"/>
      <c r="H3" s="29"/>
      <c r="I3" s="29"/>
      <c r="J3" s="29"/>
    </row>
    <row r="5" spans="3:10" ht="23.25" x14ac:dyDescent="0.25">
      <c r="D5" s="2" t="s">
        <v>88</v>
      </c>
      <c r="E5" s="25"/>
      <c r="F5" s="25"/>
      <c r="G5" s="25"/>
    </row>
    <row r="6" spans="3:10" x14ac:dyDescent="0.25">
      <c r="D6" s="32"/>
      <c r="E6" s="25"/>
      <c r="F6" s="25"/>
      <c r="G6" s="25"/>
    </row>
    <row r="7" spans="3:10" x14ac:dyDescent="0.25">
      <c r="D7" s="1" t="s">
        <v>89</v>
      </c>
      <c r="E7" s="34" t="s">
        <v>90</v>
      </c>
      <c r="F7" s="17"/>
      <c r="G7" s="25"/>
    </row>
    <row r="8" spans="3:10" x14ac:dyDescent="0.25">
      <c r="D8" s="13" t="s">
        <v>91</v>
      </c>
      <c r="E8" s="34" t="s">
        <v>92</v>
      </c>
      <c r="F8" s="25"/>
      <c r="G8" s="25"/>
    </row>
    <row r="9" spans="3:10" x14ac:dyDescent="0.25">
      <c r="D9" s="25"/>
      <c r="E9" s="25"/>
      <c r="F9" s="25"/>
      <c r="G9" s="25"/>
    </row>
    <row r="10" spans="3:10" x14ac:dyDescent="0.25">
      <c r="D10" s="36" t="s">
        <v>93</v>
      </c>
      <c r="E10" s="37"/>
      <c r="F10" s="38"/>
      <c r="G10" s="39"/>
    </row>
    <row r="11" spans="3:10" x14ac:dyDescent="0.25">
      <c r="D11" s="25"/>
      <c r="E11" s="25"/>
      <c r="F11" s="25"/>
      <c r="G11" s="25"/>
    </row>
    <row r="12" spans="3:10" x14ac:dyDescent="0.25">
      <c r="D12" s="13" t="s">
        <v>16</v>
      </c>
      <c r="E12" s="15">
        <v>45292</v>
      </c>
      <c r="F12" s="17" t="s">
        <v>94</v>
      </c>
      <c r="G12" s="25"/>
    </row>
    <row r="13" spans="3:10" x14ac:dyDescent="0.25">
      <c r="D13" s="13" t="s">
        <v>17</v>
      </c>
      <c r="E13" s="41">
        <f>DATE(YEAR(E12)+1,MONTH(E12),DAY(E12))-1</f>
        <v>45657</v>
      </c>
      <c r="F13" s="17" t="s">
        <v>95</v>
      </c>
      <c r="G13" s="25"/>
    </row>
    <row r="14" spans="3:10" x14ac:dyDescent="0.25">
      <c r="F14" s="25"/>
      <c r="G14" s="25"/>
    </row>
    <row r="16" spans="3:10" ht="23.25" x14ac:dyDescent="0.25">
      <c r="D16" s="2" t="s">
        <v>18</v>
      </c>
    </row>
    <row r="18" spans="4:6" x14ac:dyDescent="0.25">
      <c r="D18" s="1" t="s">
        <v>13</v>
      </c>
      <c r="E18" s="15">
        <v>45231</v>
      </c>
      <c r="F18" s="17" t="s">
        <v>94</v>
      </c>
    </row>
    <row r="19" spans="4:6" x14ac:dyDescent="0.25">
      <c r="D19" s="1" t="s">
        <v>14</v>
      </c>
      <c r="E19" s="15">
        <v>45747</v>
      </c>
      <c r="F19" s="17" t="s">
        <v>94</v>
      </c>
    </row>
    <row r="20" spans="4:6" x14ac:dyDescent="0.25">
      <c r="D20" s="1" t="s">
        <v>15</v>
      </c>
      <c r="E20" s="16">
        <f>DATEDIF(E18,E19+1,"m")</f>
        <v>17</v>
      </c>
      <c r="F20" s="17" t="s">
        <v>117</v>
      </c>
    </row>
    <row r="22" spans="4:6" x14ac:dyDescent="0.25">
      <c r="D22" s="1" t="s">
        <v>19</v>
      </c>
      <c r="E22" s="78">
        <f>SUM(Table_Input_LivestockSales[Total liveweight sold])*10^-3</f>
        <v>5</v>
      </c>
      <c r="F22" s="17" t="s">
        <v>20</v>
      </c>
    </row>
    <row r="23" spans="4:6" x14ac:dyDescent="0.25">
      <c r="D23" s="1" t="s">
        <v>184</v>
      </c>
      <c r="E23" s="78" t="e" cm="1">
        <f t="array" ref="E23">X_Cell_Dairy_MilkProductionUnit</f>
        <v>#NAME?</v>
      </c>
      <c r="F23" s="17"/>
    </row>
    <row r="24" spans="4:6" x14ac:dyDescent="0.25">
      <c r="D24" s="1" t="s">
        <v>183</v>
      </c>
      <c r="E24" s="78" t="e" cm="1">
        <f t="array" ref="E24">X_Cell_Dairy_MilkProductionAmount*365*IF(E23="Milk solds", 1, 1.03)</f>
        <v>#NAME?</v>
      </c>
      <c r="F24" s="17" t="e">
        <f>E23</f>
        <v>#NAME?</v>
      </c>
    </row>
    <row r="25" spans="4:6" x14ac:dyDescent="0.25">
      <c r="D25" s="1" t="s">
        <v>186</v>
      </c>
      <c r="E25" s="76">
        <v>1</v>
      </c>
      <c r="F25" s="17" t="s">
        <v>20</v>
      </c>
    </row>
    <row r="26" spans="4:6" x14ac:dyDescent="0.25">
      <c r="D26" s="1" t="s">
        <v>245</v>
      </c>
      <c r="E26" s="76">
        <v>1</v>
      </c>
      <c r="F26" s="17" t="s">
        <v>20</v>
      </c>
    </row>
    <row r="28" spans="4:6" x14ac:dyDescent="0.25">
      <c r="D28" s="1" t="s">
        <v>185</v>
      </c>
      <c r="E28" s="19">
        <v>0.8</v>
      </c>
      <c r="F28" s="17" t="s">
        <v>150</v>
      </c>
    </row>
    <row r="29" spans="4:6" x14ac:dyDescent="0.25">
      <c r="D29" s="1" t="s">
        <v>151</v>
      </c>
      <c r="E29" s="19">
        <v>0.15</v>
      </c>
      <c r="F29" s="17" t="s">
        <v>150</v>
      </c>
    </row>
    <row r="30" spans="4:6" x14ac:dyDescent="0.25">
      <c r="D30" s="1" t="s">
        <v>152</v>
      </c>
      <c r="E30" s="19">
        <v>0.05</v>
      </c>
      <c r="F30" s="17" t="s">
        <v>150</v>
      </c>
    </row>
    <row r="34" spans="4:7" ht="23.25" x14ac:dyDescent="0.25">
      <c r="D34" s="2" t="s">
        <v>274</v>
      </c>
    </row>
    <row r="37" spans="4:7" ht="18.75" x14ac:dyDescent="0.25">
      <c r="D37" s="79" t="str">
        <f>"Carbon captured from " &amp; TEXT(X_Cell_Site_StartDate, "d mmmm yyyy") &amp; " to " &amp; TEXT(X_Cell_Site_EndDate, "d, mmmm, yyyy") &amp; " from environmental plantings"</f>
        <v>Carbon captured from 1 January 2024 to 31, December, 2024 from environmental plantings</v>
      </c>
    </row>
    <row r="39" spans="4:7" x14ac:dyDescent="0.25">
      <c r="D39" s="20" t="s">
        <v>275</v>
      </c>
      <c r="E39" s="20" t="s">
        <v>276</v>
      </c>
      <c r="F39" s="20" t="s">
        <v>277</v>
      </c>
      <c r="G39" s="82" t="s">
        <v>278</v>
      </c>
    </row>
    <row r="40" spans="4:7" x14ac:dyDescent="0.25">
      <c r="D40" s="34"/>
      <c r="E40" s="76"/>
      <c r="F40" s="19"/>
      <c r="G40" s="1">
        <f>Table_Input_Enterprise_PlantingRemovals[[#This Row],[Total removed CO2]]*Table_Input_Enterprise_PlantingRemovals[[#This Row],[Percent allocated to this enterprise]]</f>
        <v>0</v>
      </c>
    </row>
    <row r="44" spans="4:7" ht="23.25" x14ac:dyDescent="0.25">
      <c r="D44" s="2" t="s">
        <v>279</v>
      </c>
    </row>
    <row r="46" spans="4:7" ht="18.75" x14ac:dyDescent="0.25">
      <c r="D46" s="79" t="str">
        <f>"Gross emissions from other activity periods in the production timeframe " &amp; TEXT(X_Cell_Enterprise_ProductionTimeframeStart, "d mmmm yyyy") &amp; " to " &amp; TEXT(X_Cell_Enterprise_ProductionTimeframeEnd, "d mmmm yyyy")</f>
        <v>Gross emissions from other activity periods in the production timeframe 1 November 2023 to 31 March 2025</v>
      </c>
    </row>
    <row r="48" spans="4:7" x14ac:dyDescent="0.25">
      <c r="D48" s="80" t="str" cm="1">
        <f t="array" ref="D48">"There are " &amp; Common_InputFunctions.getOverlappingReportingCycles(X_Cell_Enterprise_ProductionTimeframeStart,X_Cell_Enterprise_ProductionTimeframeEnd,X_Cell_Site_StartDate) &amp; " emissions calculation periods that need to be completed before total product emissions can be determined."</f>
        <v>There are 3 emissions calculation periods that need to be completed before total product emissions can be determined.</v>
      </c>
    </row>
    <row r="49" spans="4:7" x14ac:dyDescent="0.25">
      <c r="D49" s="1" t="s">
        <v>280</v>
      </c>
    </row>
    <row r="51" spans="4:7" x14ac:dyDescent="0.25">
      <c r="D51" s="82" t="s">
        <v>116</v>
      </c>
      <c r="E51" s="82" t="s">
        <v>10</v>
      </c>
      <c r="F51" s="82" t="s">
        <v>11</v>
      </c>
    </row>
    <row r="52" spans="4:7" x14ac:dyDescent="0.25">
      <c r="D52" s="1" t="str" cm="1">
        <f t="array" ref="D52:D54">Common_InputFunctions.getOverlappingReportingPeriods(X_Cell_Enterprise_ProductionTimeframeStart,X_Cell_Enterprise_ProductionTimeframeEnd,X_Cell_Site_StartDate)</f>
        <v>01 Jan 2023 to 31 Dec 2023</v>
      </c>
      <c r="E52" s="76" t="str">
        <f>IF(ISBLANK($D52), 0, IF(ISNUMBER(SEARCH("reporting", $D52)), Result_Enterprise_Gross_Method1, "Enter value"))</f>
        <v>Enter value</v>
      </c>
      <c r="F52" s="76" t="str">
        <f>IF(ISBLANK($D52), 0, IF(ISNUMBER(SEARCH("reporting", $D52)), Result_Enterprise_Gross_Method2, "Enter value"))</f>
        <v>Enter value</v>
      </c>
      <c r="G52" s="10" t="s">
        <v>7</v>
      </c>
    </row>
    <row r="53" spans="4:7" x14ac:dyDescent="0.25">
      <c r="D53" s="1" t="str">
        <v>01 Jan 2024 to 31 Dec 2024 (This reporting cycle)</v>
      </c>
      <c r="E53" s="76" t="e">
        <f>IF(ISBLANK($D53), 0, IF(ISNUMBER(SEARCH("reporting", $D53)), Result_Enterprise_Gross_Method1, "Enter value"))</f>
        <v>#NAME?</v>
      </c>
      <c r="F53" s="76" t="e">
        <f>IF(ISBLANK($D53), 0, IF(ISNUMBER(SEARCH("reporting", $D53)), Result_Enterprise_Gross_Method2, "Enter value"))</f>
        <v>#NAME?</v>
      </c>
      <c r="G53" s="10" t="s">
        <v>7</v>
      </c>
    </row>
    <row r="54" spans="4:7" x14ac:dyDescent="0.25">
      <c r="D54" s="1" t="str">
        <v>01 Jan 2025 to 31 Dec 2025</v>
      </c>
      <c r="E54" s="76" t="str">
        <f>IF(ISBLANK($D54), 0, IF(ISNUMBER(SEARCH("reporting", $D54)), Result_Enterprise_Gross_Method1, "Enter value"))</f>
        <v>Enter value</v>
      </c>
      <c r="F54" s="76" t="str">
        <f>IF(ISBLANK($D54), 0, IF(ISNUMBER(SEARCH("reporting", $D54)), Result_Enterprise_Gross_Method2, "Enter value"))</f>
        <v>Enter value</v>
      </c>
      <c r="G54" s="10" t="s">
        <v>7</v>
      </c>
    </row>
    <row r="55" spans="4:7" x14ac:dyDescent="0.25">
      <c r="E55" s="76">
        <f>IF(ISBLANK($D55), 0, IF(ISNUMBER(SEARCH("reporting", $D55)), Result_Enterprise_Gross_Method1, "Enter value"))</f>
        <v>0</v>
      </c>
      <c r="F55" s="76">
        <f>IF(ISBLANK($D55), 0, IF(ISNUMBER(SEARCH("reporting", $D55)), Result_Enterprise_Gross_Method2, "Enter value"))</f>
        <v>0</v>
      </c>
      <c r="G55" s="10" t="s">
        <v>7</v>
      </c>
    </row>
    <row r="56" spans="4:7" x14ac:dyDescent="0.25">
      <c r="E56" s="76">
        <f>IF(ISBLANK($D56), 0, IF(ISNUMBER(SEARCH("reporting", $D56)), Result_Enterprise_Gross_Method1, "Enter value"))</f>
        <v>0</v>
      </c>
      <c r="F56" s="76">
        <f>IF(ISBLANK($D56), 0, IF(ISNUMBER(SEARCH("reporting", $D56)), Result_Enterprise_Gross_Method2, "Enter value"))</f>
        <v>0</v>
      </c>
      <c r="G56" s="10" t="s">
        <v>7</v>
      </c>
    </row>
    <row r="57" spans="4:7" x14ac:dyDescent="0.25">
      <c r="D57" s="95" t="s">
        <v>128</v>
      </c>
      <c r="E57" s="91" t="e">
        <f>SUM(E52:E56)</f>
        <v>#NAME?</v>
      </c>
      <c r="F57" s="91" t="e">
        <f>SUM(F52:F56)</f>
        <v>#NAME?</v>
      </c>
      <c r="G57" s="96" t="s">
        <v>7</v>
      </c>
    </row>
    <row r="62" spans="4:7" ht="18.75" x14ac:dyDescent="0.25">
      <c r="D62" s="79" t="str">
        <f>"Carbon removals from environmental plantings for whole production cycle running between " &amp; TEXT(X_Cell_Enterprise_ProductionTimeframeStart, "d mmmm yyyy") &amp; " and " &amp; TEXT(X_Cell_Enterprise_ProductionTimeframeEnd, "d mmmm yyyy")</f>
        <v>Carbon removals from environmental plantings for whole production cycle running between 1 November 2023 and 31 March 2025</v>
      </c>
    </row>
    <row r="64" spans="4:7" x14ac:dyDescent="0.25">
      <c r="D64" s="82" t="s">
        <v>116</v>
      </c>
      <c r="E64" s="82" t="s">
        <v>126</v>
      </c>
      <c r="F64" s="82"/>
    </row>
    <row r="65" spans="4:7" x14ac:dyDescent="0.25">
      <c r="D65" s="1" t="str" cm="1">
        <f t="array" ref="D65:D67">Common_InputFunctions.getOverlappingReportingPeriods(X_Cell_Enterprise_ProductionTimeframeStart,X_Cell_Enterprise_ProductionTimeframeEnd,X_Cell_Site_StartDate)</f>
        <v>01 Jan 2023 to 31 Dec 2023</v>
      </c>
      <c r="E65" s="76" t="str">
        <f>IF(ISBLANK($D65), 0, IF(ISNUMBER(SEARCH("reporting", $D65)), SUM(Table_Input_Enterprise_PlantingRemovals[Removal allocated to this enterprise]), "Enter value"))</f>
        <v>Enter value</v>
      </c>
      <c r="F65" s="10" t="s">
        <v>127</v>
      </c>
    </row>
    <row r="66" spans="4:7" x14ac:dyDescent="0.25">
      <c r="D66" s="1" t="str">
        <v>01 Jan 2024 to 31 Dec 2024 (This reporting cycle)</v>
      </c>
      <c r="E66" s="76">
        <f>IF(ISBLANK($D66), 0, IF(ISNUMBER(SEARCH("reporting", $D66)), SUM(Table_Input_Enterprise_PlantingRemovals[Removal allocated to this enterprise]), "Enter value"))</f>
        <v>0</v>
      </c>
      <c r="F66" s="10" t="s">
        <v>127</v>
      </c>
    </row>
    <row r="67" spans="4:7" x14ac:dyDescent="0.25">
      <c r="D67" s="1" t="str">
        <v>01 Jan 2025 to 31 Dec 2025</v>
      </c>
      <c r="E67" s="76" t="str">
        <f>IF(ISBLANK($D67), 0, IF(ISNUMBER(SEARCH("reporting", $D67)), SUM(Table_Input_Enterprise_PlantingRemovals[Removal allocated to this enterprise]), "Enter value"))</f>
        <v>Enter value</v>
      </c>
      <c r="F67" s="10" t="s">
        <v>127</v>
      </c>
    </row>
    <row r="68" spans="4:7" x14ac:dyDescent="0.25">
      <c r="E68" s="76">
        <f>IF(ISBLANK($D68), 0, IF(ISNUMBER(SEARCH("reporting", $D68)), SUM(Table_Input_Enterprise_PlantingRemovals[Removal allocated to this enterprise]), "Enter value"))</f>
        <v>0</v>
      </c>
      <c r="F68" s="10" t="s">
        <v>127</v>
      </c>
    </row>
    <row r="69" spans="4:7" x14ac:dyDescent="0.25">
      <c r="E69" s="76">
        <f>IF(ISBLANK($D69), 0, IF(ISNUMBER(SEARCH("reporting", $D69)), SUM(Table_Input_Enterprise_PlantingRemovals[Removal allocated to this enterprise]), "Enter value"))</f>
        <v>0</v>
      </c>
      <c r="F69" s="10" t="s">
        <v>127</v>
      </c>
    </row>
    <row r="70" spans="4:7" x14ac:dyDescent="0.25">
      <c r="D70" s="95" t="s">
        <v>129</v>
      </c>
      <c r="E70" s="91">
        <f>SUM(E65:E69)</f>
        <v>0</v>
      </c>
      <c r="F70" s="96" t="s">
        <v>127</v>
      </c>
    </row>
    <row r="73" spans="4:7" ht="18.75" x14ac:dyDescent="0.25">
      <c r="D73" s="79" t="str">
        <f>"Net emissions from other activity periods in the production timeframe " &amp; TEXT(X_Cell_Enterprise_ProductionTimeframeStart, "d mmmm yyyy") &amp; " to " &amp; TEXT(X_Cell_Enterprise_ProductionTimeframeEnd, "d mmmm yyyy")</f>
        <v>Net emissions from other activity periods in the production timeframe 1 November 2023 to 31 March 2025</v>
      </c>
    </row>
    <row r="75" spans="4:7" x14ac:dyDescent="0.25">
      <c r="D75" s="82" t="s">
        <v>116</v>
      </c>
      <c r="E75" s="82" t="s">
        <v>10</v>
      </c>
      <c r="F75" s="82" t="s">
        <v>11</v>
      </c>
    </row>
    <row r="76" spans="4:7" x14ac:dyDescent="0.25">
      <c r="D76" s="1" t="str" cm="1">
        <f t="array" ref="D76:D78">Common_InputFunctions.getOverlappingReportingPeriods(X_Cell_Enterprise_ProductionTimeframeStart,X_Cell_Enterprise_ProductionTimeframeEnd,X_Cell_Site_StartDate)</f>
        <v>01 Jan 2023 to 31 Dec 2023</v>
      </c>
      <c r="E76" s="76" t="str">
        <f>IF(ISBLANK($D76), 0, IF(ISNUMBER(SEARCH("reporting", $D76)), E52-$E$67, "Enter value"))</f>
        <v>Enter value</v>
      </c>
      <c r="F76" s="76" t="str">
        <f>IF(ISBLANK($D76), 0, IF(ISNUMBER(SEARCH("reporting", $D76)), F52-$E$67, "Enter value"))</f>
        <v>Enter value</v>
      </c>
      <c r="G76" s="10" t="s">
        <v>7</v>
      </c>
    </row>
    <row r="77" spans="4:7" x14ac:dyDescent="0.25">
      <c r="D77" s="1" t="str">
        <v>01 Jan 2024 to 31 Dec 2024 (This reporting cycle)</v>
      </c>
      <c r="E77" s="76" t="e">
        <f t="shared" ref="E77:F80" si="0">IF(ISBLANK($D77), 0, IF(ISNUMBER(SEARCH("reporting", $D77)), E53-$E$67, "Enter value"))</f>
        <v>#NAME?</v>
      </c>
      <c r="F77" s="76" t="e">
        <f t="shared" si="0"/>
        <v>#NAME?</v>
      </c>
      <c r="G77" s="10" t="s">
        <v>7</v>
      </c>
    </row>
    <row r="78" spans="4:7" x14ac:dyDescent="0.25">
      <c r="D78" s="1" t="str">
        <v>01 Jan 2025 to 31 Dec 2025</v>
      </c>
      <c r="E78" s="76" t="str">
        <f t="shared" si="0"/>
        <v>Enter value</v>
      </c>
      <c r="F78" s="76" t="str">
        <f t="shared" si="0"/>
        <v>Enter value</v>
      </c>
      <c r="G78" s="10" t="s">
        <v>7</v>
      </c>
    </row>
    <row r="79" spans="4:7" x14ac:dyDescent="0.25">
      <c r="E79" s="76">
        <f t="shared" si="0"/>
        <v>0</v>
      </c>
      <c r="F79" s="76">
        <f t="shared" si="0"/>
        <v>0</v>
      </c>
      <c r="G79" s="10" t="s">
        <v>7</v>
      </c>
    </row>
    <row r="80" spans="4:7" x14ac:dyDescent="0.25">
      <c r="E80" s="76">
        <f t="shared" si="0"/>
        <v>0</v>
      </c>
      <c r="F80" s="76">
        <f t="shared" si="0"/>
        <v>0</v>
      </c>
      <c r="G80" s="10" t="s">
        <v>7</v>
      </c>
    </row>
    <row r="81" spans="4:7" x14ac:dyDescent="0.25">
      <c r="D81" s="95" t="s">
        <v>128</v>
      </c>
      <c r="E81" s="91" t="e">
        <f>SUM(E76:E80)</f>
        <v>#NAME?</v>
      </c>
      <c r="F81" s="91" t="e">
        <f>SUM(F76:F80)</f>
        <v>#NAME?</v>
      </c>
      <c r="G81" s="96" t="s">
        <v>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F1B67-59B8-47EB-891E-BAA3B5DA183C}">
  <sheetPr>
    <tabColor rgb="FFCC6600"/>
  </sheetPr>
  <dimension ref="A1:M16"/>
  <sheetViews>
    <sheetView showGridLines="0" zoomScaleNormal="100" workbookViewId="0">
      <selection activeCell="E16" sqref="E7:E16"/>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4.7109375" style="1" customWidth="1"/>
  </cols>
  <sheetData>
    <row r="1" spans="1:13" s="11" customFormat="1" ht="25.5" x14ac:dyDescent="0.35">
      <c r="A1" s="11" t="e" vm="1">
        <v>#VALUE!</v>
      </c>
      <c r="C1" s="11" t="s">
        <v>175</v>
      </c>
    </row>
    <row r="2" spans="1:13" s="3" customFormat="1" x14ac:dyDescent="0.25"/>
    <row r="3" spans="1:13" ht="20.25" x14ac:dyDescent="0.25">
      <c r="C3" s="29"/>
      <c r="D3" s="29"/>
      <c r="E3" s="29"/>
      <c r="F3" s="29"/>
      <c r="G3" s="29"/>
      <c r="H3" s="29"/>
      <c r="I3" s="29"/>
      <c r="J3" s="29"/>
      <c r="K3" s="29"/>
      <c r="L3" s="29"/>
      <c r="M3" s="29"/>
    </row>
    <row r="5" spans="1:13" x14ac:dyDescent="0.25">
      <c r="D5" s="80" t="s">
        <v>176</v>
      </c>
    </row>
    <row r="6" spans="1:13" x14ac:dyDescent="0.25">
      <c r="D6" s="20" t="s">
        <v>177</v>
      </c>
      <c r="E6" s="20" t="s">
        <v>178</v>
      </c>
      <c r="F6" s="20" t="s">
        <v>179</v>
      </c>
      <c r="G6" s="20" t="s">
        <v>180</v>
      </c>
      <c r="H6" s="20" t="s">
        <v>181</v>
      </c>
      <c r="I6" s="20" t="s">
        <v>182</v>
      </c>
    </row>
    <row r="7" spans="1:13" x14ac:dyDescent="0.25">
      <c r="D7" s="34"/>
      <c r="E7" s="14"/>
      <c r="F7" s="81">
        <v>45566</v>
      </c>
      <c r="G7" s="20">
        <v>10</v>
      </c>
      <c r="H7" s="20">
        <v>500</v>
      </c>
      <c r="I7" s="16">
        <f t="shared" ref="I7:I16" si="0">G7*H7</f>
        <v>5000</v>
      </c>
    </row>
    <row r="8" spans="1:13" x14ac:dyDescent="0.25">
      <c r="D8" s="34"/>
      <c r="E8" s="14"/>
      <c r="F8" s="81"/>
      <c r="G8" s="20"/>
      <c r="H8" s="20"/>
      <c r="I8" s="16">
        <f t="shared" si="0"/>
        <v>0</v>
      </c>
    </row>
    <row r="9" spans="1:13" x14ac:dyDescent="0.25">
      <c r="D9" s="34"/>
      <c r="E9" s="14"/>
      <c r="F9" s="81"/>
      <c r="G9" s="20"/>
      <c r="H9" s="20"/>
      <c r="I9" s="16">
        <f t="shared" si="0"/>
        <v>0</v>
      </c>
    </row>
    <row r="10" spans="1:13" x14ac:dyDescent="0.25">
      <c r="D10" s="34"/>
      <c r="E10" s="14"/>
      <c r="F10" s="81"/>
      <c r="G10" s="20"/>
      <c r="H10" s="20"/>
      <c r="I10" s="16">
        <f t="shared" si="0"/>
        <v>0</v>
      </c>
    </row>
    <row r="11" spans="1:13" x14ac:dyDescent="0.25">
      <c r="D11" s="34"/>
      <c r="E11" s="14"/>
      <c r="F11" s="81"/>
      <c r="G11" s="20"/>
      <c r="H11" s="20"/>
      <c r="I11" s="16">
        <f t="shared" si="0"/>
        <v>0</v>
      </c>
    </row>
    <row r="12" spans="1:13" x14ac:dyDescent="0.25">
      <c r="D12" s="34"/>
      <c r="E12" s="14"/>
      <c r="F12" s="81"/>
      <c r="G12" s="20"/>
      <c r="H12" s="20"/>
      <c r="I12" s="16">
        <f t="shared" si="0"/>
        <v>0</v>
      </c>
    </row>
    <row r="13" spans="1:13" x14ac:dyDescent="0.25">
      <c r="D13" s="34"/>
      <c r="E13" s="14"/>
      <c r="F13" s="81"/>
      <c r="G13" s="20"/>
      <c r="H13" s="20"/>
      <c r="I13" s="16">
        <f t="shared" si="0"/>
        <v>0</v>
      </c>
    </row>
    <row r="14" spans="1:13" x14ac:dyDescent="0.25">
      <c r="D14" s="34"/>
      <c r="E14" s="14"/>
      <c r="F14" s="81"/>
      <c r="G14" s="20"/>
      <c r="H14" s="20"/>
      <c r="I14" s="16">
        <f t="shared" si="0"/>
        <v>0</v>
      </c>
    </row>
    <row r="15" spans="1:13" x14ac:dyDescent="0.25">
      <c r="D15" s="34"/>
      <c r="E15" s="14"/>
      <c r="F15" s="81"/>
      <c r="G15" s="20"/>
      <c r="H15" s="20"/>
      <c r="I15" s="16">
        <f t="shared" si="0"/>
        <v>0</v>
      </c>
    </row>
    <row r="16" spans="1:13" x14ac:dyDescent="0.25">
      <c r="D16" s="34"/>
      <c r="E16" s="14"/>
      <c r="F16" s="81"/>
      <c r="G16" s="20"/>
      <c r="H16" s="20"/>
      <c r="I16" s="16">
        <f t="shared" si="0"/>
        <v>0</v>
      </c>
    </row>
  </sheetData>
  <dataValidations count="1">
    <dataValidation type="list" allowBlank="1" showInputMessage="1" showErrorMessage="1" sqref="E7:E16" xr:uid="{59D43099-548A-4C77-BC2D-53C0ECC78E95}">
      <formula1>INDIRECT("Table_LivestockClasses_Dairy[Livestock class]")</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CDB01-675B-437E-9BE1-C7A5D3E87BF1}">
  <sheetPr>
    <tabColor rgb="FFCC6600"/>
  </sheetPr>
  <dimension ref="A1:K10"/>
  <sheetViews>
    <sheetView showGridLines="0" zoomScaleNormal="100" workbookViewId="0">
      <selection activeCell="E11" sqref="E11"/>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s>
  <sheetData>
    <row r="1" spans="1:11" s="11" customFormat="1" ht="25.5" x14ac:dyDescent="0.35">
      <c r="A1" s="11" t="e" vm="1">
        <v>#VALUE!</v>
      </c>
      <c r="C1" s="11" t="s">
        <v>161</v>
      </c>
    </row>
    <row r="2" spans="1:11" s="3" customFormat="1" x14ac:dyDescent="0.25"/>
    <row r="3" spans="1:11" ht="20.25" x14ac:dyDescent="0.25">
      <c r="C3" s="29"/>
      <c r="D3" s="29"/>
      <c r="E3" s="29"/>
      <c r="F3" s="29"/>
      <c r="G3" s="29"/>
      <c r="H3" s="29"/>
      <c r="I3" s="29"/>
      <c r="J3" s="29"/>
      <c r="K3" s="29"/>
    </row>
    <row r="5" spans="1:11" x14ac:dyDescent="0.25">
      <c r="D5" s="70" t="s">
        <v>166</v>
      </c>
      <c r="E5" s="70"/>
      <c r="F5" s="70"/>
      <c r="G5" s="70"/>
    </row>
    <row r="6" spans="1:11" x14ac:dyDescent="0.25">
      <c r="F6" s="17"/>
    </row>
    <row r="7" spans="1:11" x14ac:dyDescent="0.25">
      <c r="D7" s="1" t="s">
        <v>162</v>
      </c>
      <c r="E7" s="16" t="s">
        <v>165</v>
      </c>
      <c r="F7" s="17"/>
    </row>
    <row r="8" spans="1:11" x14ac:dyDescent="0.25">
      <c r="D8" s="1" t="s">
        <v>163</v>
      </c>
      <c r="E8" s="16" t="s">
        <v>165</v>
      </c>
      <c r="F8" s="17"/>
    </row>
    <row r="9" spans="1:11" x14ac:dyDescent="0.25">
      <c r="D9" s="1" t="s">
        <v>64</v>
      </c>
      <c r="E9" s="16" t="e" cm="1">
        <f t="array" ref="E9">X_Cell_Pasture_IrrigationMethod</f>
        <v>#NAME?</v>
      </c>
    </row>
    <row r="10" spans="1:11" x14ac:dyDescent="0.25">
      <c r="D10" s="1" t="s">
        <v>164</v>
      </c>
      <c r="E10" s="16" t="e" cm="1">
        <f t="array" ref="E10">X_Cell_Pasture_AreaUnderPasture</f>
        <v>#NAME?</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7532C-8540-44E5-8090-E452C3E8BF20}">
  <sheetPr>
    <tabColor rgb="FFCC6600"/>
  </sheetPr>
  <dimension ref="C1:M7"/>
  <sheetViews>
    <sheetView showGridLines="0" zoomScaleNormal="100" workbookViewId="0">
      <selection activeCell="J7" sqref="J7"/>
    </sheetView>
  </sheetViews>
  <sheetFormatPr defaultRowHeight="15.75" x14ac:dyDescent="0.25"/>
  <cols>
    <col min="1" max="1" width="30.7109375" customWidth="1"/>
    <col min="2" max="2" width="4.7109375" customWidth="1"/>
    <col min="3" max="3" width="4.7109375" style="1" customWidth="1"/>
    <col min="4" max="4" width="49" style="1" customWidth="1"/>
    <col min="5" max="7" width="30.7109375" style="1" customWidth="1"/>
    <col min="8" max="8" width="101.28515625" style="1" customWidth="1"/>
    <col min="9" max="9" width="74.5703125" style="1" customWidth="1"/>
    <col min="10" max="13" width="30.7109375" style="1" customWidth="1"/>
    <col min="14" max="14" width="30.7109375" customWidth="1"/>
  </cols>
  <sheetData>
    <row r="1" spans="3:13" s="11" customFormat="1" ht="25.5" x14ac:dyDescent="0.35">
      <c r="C1" s="11" t="s">
        <v>189</v>
      </c>
    </row>
    <row r="2" spans="3:13" s="3" customFormat="1" x14ac:dyDescent="0.25"/>
    <row r="3" spans="3:13" ht="20.25" x14ac:dyDescent="0.25">
      <c r="C3" s="29"/>
      <c r="D3" s="29"/>
      <c r="E3" s="29"/>
      <c r="F3" s="29"/>
      <c r="G3" s="29"/>
      <c r="H3" s="29"/>
      <c r="I3" s="29"/>
      <c r="J3" s="29"/>
      <c r="K3" s="29"/>
      <c r="L3" s="29"/>
      <c r="M3" s="29"/>
    </row>
    <row r="6" spans="3:13" x14ac:dyDescent="0.25">
      <c r="D6" s="82" t="s">
        <v>190</v>
      </c>
      <c r="E6" s="82" t="s">
        <v>191</v>
      </c>
      <c r="F6" s="82" t="s">
        <v>192</v>
      </c>
      <c r="G6" s="82" t="s">
        <v>193</v>
      </c>
      <c r="H6" s="82" t="s">
        <v>194</v>
      </c>
      <c r="I6" s="82" t="s">
        <v>195</v>
      </c>
      <c r="J6" s="82" t="s">
        <v>196</v>
      </c>
    </row>
    <row r="7" spans="3:13" x14ac:dyDescent="0.25">
      <c r="D7" s="83" t="s">
        <v>197</v>
      </c>
      <c r="E7" s="14" t="s">
        <v>198</v>
      </c>
      <c r="F7" s="14" t="s">
        <v>199</v>
      </c>
      <c r="G7" s="14" t="s">
        <v>200</v>
      </c>
      <c r="H7" s="83"/>
      <c r="I7" s="83"/>
      <c r="J7" s="16">
        <f>_xlfn.XLOOKUP(Table_Input_DataQuality[[#This Row],[Temporal representativeness]],Table_SourceData_DataQuality_TemporalRepresentativeness[ID],Table_SourceData_DataQuality_TemporalRepresentativeness[Score])+_xlfn.XLOOKUP(Table_Input_DataQuality[[#This Row],[Spatial resolution]],Table_SourceData_DataQuality_SpatialRepresentativeness[ID],Table_SourceData_DataQuality_SpatialRepresentativeness[Score])+_xlfn.XLOOKUP(Table_Input_DataQuality[[#This Row],[Sample size]],Table_SourceData_DataQuality_SampleSize[ID],Table_SourceData_DataQuality_SampleSize[Score])</f>
        <v>12</v>
      </c>
    </row>
  </sheetData>
  <dataValidations count="3">
    <dataValidation type="list" allowBlank="1" showInputMessage="1" showErrorMessage="1" sqref="G7" xr:uid="{023991CC-ACAB-4CCA-BF6E-5B4983A34A68}">
      <formula1>INDIRECT("Table_SourceData_DataQuality_SampleSize[ID]")</formula1>
    </dataValidation>
    <dataValidation type="list" allowBlank="1" showInputMessage="1" showErrorMessage="1" sqref="F7" xr:uid="{D85C1557-4D18-4B87-9B82-D7755813B359}">
      <formula1>INDIRECT("Table_SourceData_DataQuality_SpatialRepresentativeness[ID]")</formula1>
    </dataValidation>
    <dataValidation type="list" allowBlank="1" showInputMessage="1" showErrorMessage="1" sqref="E7" xr:uid="{D7C04A1D-8792-4527-94D7-0D838FC14D35}">
      <formula1>INDIRECT("Table_SourceData_DataQuality_TemporalRepresentativeness[ID]")</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BCD3A-3A3D-4316-924F-18DA0DDB7C4E}">
  <sheetPr>
    <tabColor theme="2" tint="-0.499984740745262"/>
  </sheetPr>
  <dimension ref="A1:BY297"/>
  <sheetViews>
    <sheetView showGridLines="0" topLeftCell="A239" zoomScaleNormal="100" workbookViewId="0">
      <selection activeCell="I279" sqref="I279"/>
    </sheetView>
  </sheetViews>
  <sheetFormatPr defaultColWidth="9.140625" defaultRowHeight="15.75" x14ac:dyDescent="0.25"/>
  <cols>
    <col min="1" max="1" width="30.7109375" style="22" customWidth="1"/>
    <col min="2" max="2" width="2.7109375" style="22"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22" customWidth="1"/>
    <col min="34" max="39" width="21.85546875" style="22" customWidth="1"/>
    <col min="40" max="44" width="20.7109375" style="22" customWidth="1"/>
    <col min="45" max="65" width="9.140625" style="22"/>
    <col min="66" max="16384" width="9.140625" style="25"/>
  </cols>
  <sheetData>
    <row r="1" spans="1:65" s="21" customFormat="1" ht="30" customHeight="1" x14ac:dyDescent="0.35">
      <c r="A1" s="21" t="e" vm="1">
        <v>#VALUE!</v>
      </c>
      <c r="C1" s="21" t="s">
        <v>21</v>
      </c>
    </row>
    <row r="2" spans="1:65" s="3" customFormat="1" ht="20.100000000000001" customHeight="1" x14ac:dyDescent="0.25">
      <c r="A2"/>
    </row>
    <row r="3" spans="1:65" ht="20.100000000000001" customHeight="1" x14ac:dyDescent="0.25">
      <c r="A3" s="5" t="str">
        <f>HYPERLINK("#'Home'!A1", "Home")</f>
        <v>Home</v>
      </c>
      <c r="C3" s="23"/>
      <c r="D3" s="23"/>
      <c r="E3" s="23"/>
      <c r="F3" s="23"/>
      <c r="G3" s="23"/>
      <c r="H3" s="23"/>
      <c r="I3" s="23"/>
      <c r="J3" s="23"/>
      <c r="K3" s="23"/>
      <c r="L3" s="23"/>
      <c r="M3" s="23"/>
      <c r="N3" s="23"/>
      <c r="O3" s="23"/>
      <c r="P3" s="23"/>
      <c r="Q3" s="23"/>
      <c r="R3" s="23"/>
      <c r="S3" s="23"/>
      <c r="T3" s="23"/>
      <c r="U3" s="23"/>
      <c r="V3" s="24"/>
      <c r="W3" s="24"/>
    </row>
    <row r="4" spans="1:65" ht="20.100000000000001" customHeight="1" x14ac:dyDescent="0.25">
      <c r="A4"/>
      <c r="BM4" s="25"/>
    </row>
    <row r="5" spans="1:65" ht="20.100000000000001" customHeight="1" x14ac:dyDescent="0.25">
      <c r="A5"/>
      <c r="D5" s="2" t="str" cm="1">
        <f t="array" ref="D5">Common_SourceData.Common_SourceData_AustralianStatesTerritories_Title()</f>
        <v>Australian states and territories</v>
      </c>
      <c r="BM5" s="25"/>
    </row>
    <row r="6" spans="1:65" ht="20.100000000000001" customHeight="1" x14ac:dyDescent="0.25">
      <c r="A6" s="85" t="s">
        <v>2</v>
      </c>
      <c r="D6" s="20" t="s">
        <v>22</v>
      </c>
      <c r="E6" s="20" t="s">
        <v>23</v>
      </c>
      <c r="F6" s="20" t="s">
        <v>24</v>
      </c>
    </row>
    <row r="7" spans="1:65" ht="20.100000000000001" customHeight="1" x14ac:dyDescent="0.25">
      <c r="A7" s="86" t="str">
        <f>HYPERLINK("#'Constants - Common'!A1", "Constants - Common")</f>
        <v>Constants - Common</v>
      </c>
      <c r="D7" s="20" t="str" cm="1">
        <f t="array" ref="D7">Common_InputFunctions.Utility_DisplayArrayInTable(Common_SourceData.Common_SourceData_AustralianStatesTerritories_Data(),Table_AustralianStates[[#Headers],[State/Territory]],0)</f>
        <v>New South Wales</v>
      </c>
      <c r="E7" s="20" t="str" cm="1">
        <f t="array" ref="E7">Common_InputFunctions.Utility_DisplayArrayInTable(Common_SourceData.Common_SourceData_AustralianStatesTerritories_Data(),Table_AustralianStates[[#Headers],[State/Territory]],0)</f>
        <v>New South Wales</v>
      </c>
      <c r="F7" s="20" t="str" cm="1">
        <f t="array" ref="F7">Common_InputFunctions.Utility_DisplayArrayInTable(Common_SourceData.Common_SourceData_AustralianStatesTerritories_Data(),Table_AustralianStates[[#Headers],[State/Territory]],0)</f>
        <v>NSW</v>
      </c>
    </row>
    <row r="8" spans="1:65" ht="20.100000000000001" customHeight="1" x14ac:dyDescent="0.25">
      <c r="A8" s="5" t="str">
        <f>HYPERLINK("#'Acknowledgements'!A1", "Acknowledgements")</f>
        <v>Acknowledgements</v>
      </c>
      <c r="D8" s="20" t="str" cm="1">
        <f t="array" ref="D8">Common_InputFunctions.Utility_DisplayArrayInTable(Common_SourceData.Common_SourceData_AustralianStatesTerritories_Data(),Table_AustralianStates[[#Headers],[State/Territory]],0)</f>
        <v>Australian Capital Territory</v>
      </c>
      <c r="E8" s="20" t="str" cm="1">
        <f t="array" ref="E8">Common_InputFunctions.Utility_DisplayArrayInTable(Common_SourceData.Common_SourceData_AustralianStatesTerritories_Data(),Table_AustralianStates[[#Headers],[State/Territory]],0)</f>
        <v>ACT</v>
      </c>
      <c r="F8" s="20" t="str" cm="1">
        <f t="array" ref="F8">Common_InputFunctions.Utility_DisplayArrayInTable(Common_SourceData.Common_SourceData_AustralianStatesTerritories_Data(),Table_AustralianStates[[#Headers],[State/Territory]],0)</f>
        <v>ACT</v>
      </c>
    </row>
    <row r="9" spans="1:65" ht="20.100000000000001" customHeight="1" x14ac:dyDescent="0.25">
      <c r="A9"/>
      <c r="D9" s="20" t="str" cm="1">
        <f t="array" ref="D9">Common_InputFunctions.Utility_DisplayArrayInTable(Common_SourceData.Common_SourceData_AustralianStatesTerritories_Data(),Table_AustralianStates[[#Headers],[State/Territory]],0)</f>
        <v>Victoria</v>
      </c>
      <c r="E9" s="20" t="str" cm="1">
        <f t="array" ref="E9">Common_InputFunctions.Utility_DisplayArrayInTable(Common_SourceData.Common_SourceData_AustralianStatesTerritories_Data(),Table_AustralianStates[[#Headers],[State/Territory]],0)</f>
        <v>Victoria</v>
      </c>
      <c r="F9" s="20"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20" t="str" cm="1">
        <f t="array" ref="D10">Common_InputFunctions.Utility_DisplayArrayInTable(Common_SourceData.Common_SourceData_AustralianStatesTerritories_Data(),Table_AustralianStates[[#Headers],[State/Territory]],0)</f>
        <v>Queensland</v>
      </c>
      <c r="E10" s="20" t="str" cm="1">
        <f t="array" ref="E10">Common_InputFunctions.Utility_DisplayArrayInTable(Common_SourceData.Common_SourceData_AustralianStatesTerritories_Data(),Table_AustralianStates[[#Headers],[State/Territory]],0)</f>
        <v>Queensland</v>
      </c>
      <c r="F10" s="20"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20" t="str" cm="1">
        <f t="array" ref="D11">Common_InputFunctions.Utility_DisplayArrayInTable(Common_SourceData.Common_SourceData_AustralianStatesTerritories_Data(),Table_AustralianStates[[#Headers],[State/Territory]],0)</f>
        <v>South Australia</v>
      </c>
      <c r="E11" s="20" t="str" cm="1">
        <f t="array" ref="E11">Common_InputFunctions.Utility_DisplayArrayInTable(Common_SourceData.Common_SourceData_AustralianStatesTerritories_Data(),Table_AustralianStates[[#Headers],[State/Territory]],0)</f>
        <v>South Australia</v>
      </c>
      <c r="F11" s="20" t="str" cm="1">
        <f t="array" ref="F11">Common_InputFunctions.Utility_DisplayArrayInTable(Common_SourceData.Common_SourceData_AustralianStatesTerritories_Data(),Table_AustralianStates[[#Headers],[State/Territory]],0)</f>
        <v>SA</v>
      </c>
      <c r="BM11" s="25"/>
    </row>
    <row r="12" spans="1:65" ht="20.100000000000001" customHeight="1" x14ac:dyDescent="0.25">
      <c r="A12"/>
      <c r="D12" s="20" t="str" cm="1">
        <f t="array" ref="D12">Common_InputFunctions.Utility_DisplayArrayInTable(Common_SourceData.Common_SourceData_AustralianStatesTerritories_Data(),Table_AustralianStates[[#Headers],[State/Territory]],0)</f>
        <v>Western Australia</v>
      </c>
      <c r="E12" s="20" t="str" cm="1">
        <f t="array" ref="E12">Common_InputFunctions.Utility_DisplayArrayInTable(Common_SourceData.Common_SourceData_AustralianStatesTerritories_Data(),Table_AustralianStates[[#Headers],[State/Territory]],0)</f>
        <v>Western Australia</v>
      </c>
      <c r="F12" s="20" t="str" cm="1">
        <f t="array" ref="F12">Common_InputFunctions.Utility_DisplayArrayInTable(Common_SourceData.Common_SourceData_AustralianStatesTerritories_Data(),Table_AustralianStates[[#Headers],[State/Territory]],0)</f>
        <v>WA</v>
      </c>
      <c r="BM12" s="25"/>
    </row>
    <row r="13" spans="1:65" ht="20.100000000000001" customHeight="1" x14ac:dyDescent="0.25">
      <c r="A13"/>
      <c r="D13" s="20" t="str" cm="1">
        <f t="array" ref="D13">Common_InputFunctions.Utility_DisplayArrayInTable(Common_SourceData.Common_SourceData_AustralianStatesTerritories_Data(),Table_AustralianStates[[#Headers],[State/Territory]],0)</f>
        <v>Tasmania</v>
      </c>
      <c r="E13" s="20" t="str" cm="1">
        <f t="array" ref="E13">Common_InputFunctions.Utility_DisplayArrayInTable(Common_SourceData.Common_SourceData_AustralianStatesTerritories_Data(),Table_AustralianStates[[#Headers],[State/Territory]],0)</f>
        <v>Tasmania</v>
      </c>
      <c r="F13" s="20"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20" t="str" cm="1">
        <f t="array" ref="D14">Common_InputFunctions.Utility_DisplayArrayInTable(Common_SourceData.Common_SourceData_AustralianStatesTerritories_Data(),Table_AustralianStates[[#Headers],[State/Territory]],0)</f>
        <v>Northern Territory</v>
      </c>
      <c r="E14" s="20" t="str" cm="1">
        <f t="array" ref="E14">Common_InputFunctions.Utility_DisplayArrayInTable(Common_SourceData.Common_SourceData_AustralianStatesTerritories_Data(),Table_AustralianStates[[#Headers],[State/Territory]],0)</f>
        <v>Northern Territory</v>
      </c>
      <c r="F14" s="20"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2" t="str" cm="1">
        <f t="array" ref="D18">Common_SourceData.Common_SourceData_WASA4Areas_Title()</f>
        <v>ABS Statistcal Areas Level 4 - Western Australia</v>
      </c>
    </row>
    <row r="19" spans="1:4" ht="20.100000000000001" customHeight="1" x14ac:dyDescent="0.25">
      <c r="A19"/>
      <c r="D19" s="18" t="str" cm="1">
        <f t="array" ref="D19">Common_SourceData.Common_SourceData_WASA4Areas_Source()</f>
        <v>Australian Bureau of Statistics (ABS) - Statistical Areas Level 2 - 2021 - Shapefile</v>
      </c>
    </row>
    <row r="20" spans="1:4" ht="20.100000000000001" customHeight="1" x14ac:dyDescent="0.25">
      <c r="A20"/>
      <c r="D20" s="20" t="s">
        <v>25</v>
      </c>
    </row>
    <row r="21" spans="1:4" ht="20.100000000000001" customHeight="1" x14ac:dyDescent="0.25">
      <c r="A21"/>
      <c r="D21" s="20" t="str" cm="1">
        <f t="array" ref="D21">Common_InputFunctions.Utility_DisplayArrayInTable(Common_SourceData.Common_SourceData_WASA4Areas_Data(), Table_WASA4Areas[[#Headers],[SA 4 Name]], 0)</f>
        <v>Bunbury</v>
      </c>
    </row>
    <row r="22" spans="1:4" ht="20.100000000000001" customHeight="1" x14ac:dyDescent="0.25">
      <c r="A22"/>
      <c r="D22" s="20" t="str" cm="1">
        <f t="array" ref="D22">Common_InputFunctions.Utility_DisplayArrayInTable(Common_SourceData.Common_SourceData_WASA4Areas_Data(), Table_WASA4Areas[[#Headers],[SA 4 Name]], 0)</f>
        <v>Mandurah</v>
      </c>
    </row>
    <row r="23" spans="1:4" ht="20.100000000000001" customHeight="1" x14ac:dyDescent="0.25">
      <c r="A23"/>
      <c r="D23" s="20" t="str" cm="1">
        <f t="array" ref="D23">Common_InputFunctions.Utility_DisplayArrayInTable(Common_SourceData.Common_SourceData_WASA4Areas_Data(), Table_WASA4Areas[[#Headers],[SA 4 Name]], 0)</f>
        <v>Perth - Inner</v>
      </c>
    </row>
    <row r="24" spans="1:4" ht="20.100000000000001" customHeight="1" x14ac:dyDescent="0.25">
      <c r="A24"/>
      <c r="D24" s="20" t="str" cm="1">
        <f t="array" ref="D24">Common_InputFunctions.Utility_DisplayArrayInTable(Common_SourceData.Common_SourceData_WASA4Areas_Data(), Table_WASA4Areas[[#Headers],[SA 4 Name]], 0)</f>
        <v>Perth - North East</v>
      </c>
    </row>
    <row r="25" spans="1:4" ht="20.100000000000001" customHeight="1" x14ac:dyDescent="0.25">
      <c r="A25"/>
      <c r="D25" s="20" t="str" cm="1">
        <f t="array" ref="D25">Common_InputFunctions.Utility_DisplayArrayInTable(Common_SourceData.Common_SourceData_WASA4Areas_Data(), Table_WASA4Areas[[#Headers],[SA 4 Name]], 0)</f>
        <v>Perth - North West</v>
      </c>
    </row>
    <row r="26" spans="1:4" ht="20.100000000000001" customHeight="1" x14ac:dyDescent="0.25">
      <c r="A26"/>
      <c r="D26" s="20" t="str" cm="1">
        <f t="array" ref="D26">Common_InputFunctions.Utility_DisplayArrayInTable(Common_SourceData.Common_SourceData_WASA4Areas_Data(), Table_WASA4Areas[[#Headers],[SA 4 Name]], 0)</f>
        <v>Perth - South East</v>
      </c>
    </row>
    <row r="27" spans="1:4" ht="20.100000000000001" customHeight="1" x14ac:dyDescent="0.25">
      <c r="A27"/>
      <c r="D27" s="20" t="str" cm="1">
        <f t="array" ref="D27">Common_InputFunctions.Utility_DisplayArrayInTable(Common_SourceData.Common_SourceData_WASA4Areas_Data(), Table_WASA4Areas[[#Headers],[SA 4 Name]], 0)</f>
        <v>Perth - South West</v>
      </c>
    </row>
    <row r="28" spans="1:4" ht="20.100000000000001" customHeight="1" x14ac:dyDescent="0.25">
      <c r="A28"/>
      <c r="D28" s="20"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20"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20"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2" t="str" cm="1">
        <f t="array" ref="D34">Common_SourceData.Common_SourceData_GWP_Title()</f>
        <v>Global warming potential for greenhouse gases</v>
      </c>
    </row>
    <row r="35" spans="1:8" ht="20.100000000000001" customHeight="1" x14ac:dyDescent="0.25">
      <c r="A35"/>
      <c r="D35" s="18" t="str" cm="1">
        <f t="array" ref="D35">Common_SourceData.Common_SourceData_GWP_Source()</f>
        <v>XXXXXXX</v>
      </c>
    </row>
    <row r="36" spans="1:8" ht="20.100000000000001" customHeight="1" x14ac:dyDescent="0.25">
      <c r="A36"/>
      <c r="D36" s="20" t="s">
        <v>26</v>
      </c>
      <c r="E36" s="20" t="s">
        <v>27</v>
      </c>
    </row>
    <row r="37" spans="1:8" ht="20.100000000000001" customHeight="1" x14ac:dyDescent="0.25">
      <c r="A37"/>
      <c r="D37" s="20" t="str" cm="1">
        <f t="array" ref="D37">Common_InputFunctions.Utility_DisplayArrayInTable(Common_SourceData.Common_SourceData_GWP_Data(), Table_GWPData[[#Headers],[Gas]], 0)</f>
        <v>CO2</v>
      </c>
      <c r="E37" s="20" cm="1">
        <f t="array" ref="E37">Common_InputFunctions.Utility_DisplayArrayInTable(Common_SourceData.Common_SourceData_GWP_Data(), Table_GWPData[[#Headers],[Gas]], 0)</f>
        <v>1</v>
      </c>
    </row>
    <row r="38" spans="1:8" ht="20.100000000000001" customHeight="1" x14ac:dyDescent="0.25">
      <c r="A38"/>
      <c r="D38" s="20" t="str" cm="1">
        <f t="array" ref="D38">Common_InputFunctions.Utility_DisplayArrayInTable(Common_SourceData.Common_SourceData_GWP_Data(), Table_GWPData[[#Headers],[Gas]], 0)</f>
        <v>CH4</v>
      </c>
      <c r="E38" s="20" cm="1">
        <f t="array" ref="E38">Common_InputFunctions.Utility_DisplayArrayInTable(Common_SourceData.Common_SourceData_GWP_Data(), Table_GWPData[[#Headers],[Gas]], 0)</f>
        <v>28</v>
      </c>
    </row>
    <row r="39" spans="1:8" ht="20.100000000000001" customHeight="1" x14ac:dyDescent="0.25">
      <c r="A39"/>
      <c r="D39" s="20" t="str" cm="1">
        <f t="array" ref="D39">Common_InputFunctions.Utility_DisplayArrayInTable(Common_SourceData.Common_SourceData_GWP_Data(), Table_GWPData[[#Headers],[Gas]], 0)</f>
        <v>N2O</v>
      </c>
      <c r="E39" s="20" cm="1">
        <f t="array" ref="E39">Common_InputFunctions.Utility_DisplayArrayInTable(Common_SourceData.Common_SourceData_GWP_Data(), Table_GWPData[[#Headers],[Gas]], 0)</f>
        <v>265</v>
      </c>
    </row>
    <row r="40" spans="1:8" ht="20.100000000000001" customHeight="1" x14ac:dyDescent="0.25">
      <c r="A40"/>
      <c r="D40" s="20" t="str" cm="1">
        <f t="array" ref="D40">Common_InputFunctions.Utility_DisplayArrayInTable(Common_SourceData.Common_SourceData_GWP_Data(), Table_GWPData[[#Headers],[Gas]], 0)</f>
        <v>CF4</v>
      </c>
      <c r="E40" s="20" cm="1">
        <f t="array" ref="E40">Common_InputFunctions.Utility_DisplayArrayInTable(Common_SourceData.Common_SourceData_GWP_Data(), Table_GWPData[[#Headers],[Gas]], 0)</f>
        <v>6630</v>
      </c>
    </row>
    <row r="41" spans="1:8" ht="20.100000000000001" customHeight="1" x14ac:dyDescent="0.25">
      <c r="A41"/>
      <c r="D41" s="20" t="str" cm="1">
        <f t="array" ref="D41">Common_InputFunctions.Utility_DisplayArrayInTable(Common_SourceData.Common_SourceData_GWP_Data(), Table_GWPData[[#Headers],[Gas]], 0)</f>
        <v>C2F6</v>
      </c>
      <c r="E41" s="20" cm="1">
        <f t="array" ref="E41">Common_InputFunctions.Utility_DisplayArrayInTable(Common_SourceData.Common_SourceData_GWP_Data(), Table_GWPData[[#Headers],[Gas]], 0)</f>
        <v>12200</v>
      </c>
    </row>
    <row r="42" spans="1:8" ht="20.100000000000001" customHeight="1" x14ac:dyDescent="0.25">
      <c r="A42"/>
      <c r="D42" s="20" t="str" cm="1">
        <f t="array" ref="D42">Common_InputFunctions.Utility_DisplayArrayInTable(Common_SourceData.Common_SourceData_GWP_Data(), Table_GWPData[[#Headers],[Gas]], 0)</f>
        <v>SF6</v>
      </c>
      <c r="E42" s="20" cm="1">
        <f t="array" ref="E42">Common_InputFunctions.Utility_DisplayArrayInTable(Common_SourceData.Common_SourceData_GWP_Data(), Table_GWPData[[#Headers],[Gas]], 0)</f>
        <v>22800</v>
      </c>
    </row>
    <row r="43" spans="1:8" ht="20.100000000000001" customHeight="1" x14ac:dyDescent="0.25">
      <c r="A43"/>
      <c r="D43" s="20" t="str" cm="1">
        <f t="array" ref="D43">Common_InputFunctions.Utility_DisplayArrayInTable(Common_SourceData.Common_SourceData_GWP_Data(), Table_GWPData[[#Headers],[Gas]], 0)</f>
        <v>NF3</v>
      </c>
      <c r="E43" s="20"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2" t="str" cm="1">
        <f t="array" ref="D45">Common_SourceData.Common_SourceData_ConvertGasElementalToMolecular_Title()</f>
        <v>Factor to convert elemental mass of gas to molecular mass</v>
      </c>
    </row>
    <row r="46" spans="1:8" ht="20.100000000000001" customHeight="1" x14ac:dyDescent="0.25">
      <c r="A46"/>
      <c r="D46" s="18" t="str" cm="1">
        <f t="array" ref="D46">Common_SourceData.Common_SourceData_ConvertGasElementalToMolecular_Source()</f>
        <v>XXXXXXX</v>
      </c>
    </row>
    <row r="47" spans="1:8" ht="20.100000000000001" customHeight="1" x14ac:dyDescent="0.25">
      <c r="A47"/>
      <c r="D47" s="20" t="s">
        <v>26</v>
      </c>
      <c r="E47" s="20" t="s">
        <v>28</v>
      </c>
      <c r="F47" s="20" t="s">
        <v>29</v>
      </c>
      <c r="G47" s="20" t="s">
        <v>30</v>
      </c>
      <c r="H47" s="20" t="s">
        <v>31</v>
      </c>
    </row>
    <row r="48" spans="1:8" ht="20.100000000000001" customHeight="1" x14ac:dyDescent="0.25">
      <c r="A48"/>
      <c r="D48" s="20" t="str" cm="1">
        <f t="array" ref="D48">Common_InputFunctions.Utility_DisplayArrayInTable(Common_SourceData.Common_SourceData_ConvertGasElementalToMolecular_Data(),Table_GasToMolecularConversionFactor[[#Headers],[Gas]], 0)</f>
        <v>CO2</v>
      </c>
      <c r="E48" s="20" t="str" cm="1">
        <f t="array" ref="E48">Common_InputFunctions.Utility_DisplayArrayInTable(Common_SourceData.Common_SourceData_ConvertGasElementalToMolecular_Data(),Table_GasToMolecularConversionFactor[[#Headers],[Gas]], 0)</f>
        <v>44/12</v>
      </c>
      <c r="F48" s="20" cm="1">
        <f t="array" ref="F48">Common_InputFunctions.Utility_DisplayArrayInTable(Common_SourceData.Common_SourceData_ConvertGasElementalToMolecular_Data(),Table_GasToMolecularConversionFactor[[#Headers],[Gas]], 0)</f>
        <v>44</v>
      </c>
      <c r="G48" s="20" cm="1">
        <f t="array" ref="G48">Common_InputFunctions.Utility_DisplayArrayInTable(Common_SourceData.Common_SourceData_ConvertGasElementalToMolecular_Data(),Table_GasToMolecularConversionFactor[[#Headers],[Gas]], 0)</f>
        <v>12</v>
      </c>
      <c r="H48" s="20">
        <f>Table_GasToMolecularConversionFactor[[#This Row],[Conversion factor 1]]/Table_GasToMolecularConversionFactor[[#This Row],[Conversion factor 2]]</f>
        <v>3.6666666666666665</v>
      </c>
    </row>
    <row r="49" spans="1:8" ht="20.100000000000001" customHeight="1" x14ac:dyDescent="0.25">
      <c r="A49"/>
      <c r="D49" s="20" t="str" cm="1">
        <f t="array" ref="D49">Common_InputFunctions.Utility_DisplayArrayInTable(Common_SourceData.Common_SourceData_ConvertGasElementalToMolecular_Data(),Table_GasToMolecularConversionFactor[[#Headers],[Gas]], 0)</f>
        <v>CH4</v>
      </c>
      <c r="E49" s="20" t="str" cm="1">
        <f t="array" ref="E49">Common_InputFunctions.Utility_DisplayArrayInTable(Common_SourceData.Common_SourceData_ConvertGasElementalToMolecular_Data(),Table_GasToMolecularConversionFactor[[#Headers],[Gas]], 0)</f>
        <v>16/12</v>
      </c>
      <c r="F49" s="20" cm="1">
        <f t="array" ref="F49">Common_InputFunctions.Utility_DisplayArrayInTable(Common_SourceData.Common_SourceData_ConvertGasElementalToMolecular_Data(),Table_GasToMolecularConversionFactor[[#Headers],[Gas]], 0)</f>
        <v>16</v>
      </c>
      <c r="G49" s="20" cm="1">
        <f t="array" ref="G49">Common_InputFunctions.Utility_DisplayArrayInTable(Common_SourceData.Common_SourceData_ConvertGasElementalToMolecular_Data(),Table_GasToMolecularConversionFactor[[#Headers],[Gas]], 0)</f>
        <v>12</v>
      </c>
      <c r="H49" s="20">
        <f>Table_GasToMolecularConversionFactor[[#This Row],[Conversion factor 1]]/Table_GasToMolecularConversionFactor[[#This Row],[Conversion factor 2]]</f>
        <v>1.3333333333333333</v>
      </c>
    </row>
    <row r="50" spans="1:8" ht="20.100000000000001" customHeight="1" x14ac:dyDescent="0.25">
      <c r="A50"/>
      <c r="D50" s="20" t="str" cm="1">
        <f t="array" ref="D50">Common_InputFunctions.Utility_DisplayArrayInTable(Common_SourceData.Common_SourceData_ConvertGasElementalToMolecular_Data(),Table_GasToMolecularConversionFactor[[#Headers],[Gas]], 0)</f>
        <v>N2O</v>
      </c>
      <c r="E50" s="20" t="str" cm="1">
        <f t="array" ref="E50">Common_InputFunctions.Utility_DisplayArrayInTable(Common_SourceData.Common_SourceData_ConvertGasElementalToMolecular_Data(),Table_GasToMolecularConversionFactor[[#Headers],[Gas]], 0)</f>
        <v>44/28</v>
      </c>
      <c r="F50" s="20" cm="1">
        <f t="array" ref="F50">Common_InputFunctions.Utility_DisplayArrayInTable(Common_SourceData.Common_SourceData_ConvertGasElementalToMolecular_Data(),Table_GasToMolecularConversionFactor[[#Headers],[Gas]], 0)</f>
        <v>44</v>
      </c>
      <c r="G50" s="20" cm="1">
        <f t="array" ref="G50">Common_InputFunctions.Utility_DisplayArrayInTable(Common_SourceData.Common_SourceData_ConvertGasElementalToMolecular_Data(),Table_GasToMolecularConversionFactor[[#Headers],[Gas]], 0)</f>
        <v>28</v>
      </c>
      <c r="H50" s="20">
        <f>Table_GasToMolecularConversionFactor[[#This Row],[Conversion factor 1]]/Table_GasToMolecularConversionFactor[[#This Row],[Conversion factor 2]]</f>
        <v>1.5714285714285714</v>
      </c>
    </row>
    <row r="51" spans="1:8" ht="20.100000000000001" customHeight="1" x14ac:dyDescent="0.25">
      <c r="A51"/>
      <c r="D51" s="20" t="str" cm="1">
        <f t="array" ref="D51">Common_InputFunctions.Utility_DisplayArrayInTable(Common_SourceData.Common_SourceData_ConvertGasElementalToMolecular_Data(),Table_GasToMolecularConversionFactor[[#Headers],[Gas]], 0)</f>
        <v>Nox</v>
      </c>
      <c r="E51" s="20" t="str" cm="1">
        <f t="array" ref="E51">Common_InputFunctions.Utility_DisplayArrayInTable(Common_SourceData.Common_SourceData_ConvertGasElementalToMolecular_Data(),Table_GasToMolecularConversionFactor[[#Headers],[Gas]], 0)</f>
        <v>46/14</v>
      </c>
      <c r="F51" s="20" cm="1">
        <f t="array" ref="F51">Common_InputFunctions.Utility_DisplayArrayInTable(Common_SourceData.Common_SourceData_ConvertGasElementalToMolecular_Data(),Table_GasToMolecularConversionFactor[[#Headers],[Gas]], 0)</f>
        <v>46</v>
      </c>
      <c r="G51" s="20" cm="1">
        <f t="array" ref="G51">Common_InputFunctions.Utility_DisplayArrayInTable(Common_SourceData.Common_SourceData_ConvertGasElementalToMolecular_Data(),Table_GasToMolecularConversionFactor[[#Headers],[Gas]], 0)</f>
        <v>14</v>
      </c>
      <c r="H51" s="20">
        <f>Table_GasToMolecularConversionFactor[[#This Row],[Conversion factor 1]]/Table_GasToMolecularConversionFactor[[#This Row],[Conversion factor 2]]</f>
        <v>3.2857142857142856</v>
      </c>
    </row>
    <row r="52" spans="1:8" ht="20.100000000000001" customHeight="1" x14ac:dyDescent="0.25">
      <c r="A52"/>
      <c r="D52" s="20" t="str" cm="1">
        <f t="array" ref="D52">Common_InputFunctions.Utility_DisplayArrayInTable(Common_SourceData.Common_SourceData_ConvertGasElementalToMolecular_Data(),Table_GasToMolecularConversionFactor[[#Headers],[Gas]], 0)</f>
        <v>CO</v>
      </c>
      <c r="E52" s="20" t="str" cm="1">
        <f t="array" ref="E52">Common_InputFunctions.Utility_DisplayArrayInTable(Common_SourceData.Common_SourceData_ConvertGasElementalToMolecular_Data(),Table_GasToMolecularConversionFactor[[#Headers],[Gas]], 0)</f>
        <v>28/12</v>
      </c>
      <c r="F52" s="20" cm="1">
        <f t="array" ref="F52">Common_InputFunctions.Utility_DisplayArrayInTable(Common_SourceData.Common_SourceData_ConvertGasElementalToMolecular_Data(),Table_GasToMolecularConversionFactor[[#Headers],[Gas]], 0)</f>
        <v>28</v>
      </c>
      <c r="G52" s="20" cm="1">
        <f t="array" ref="G52">Common_InputFunctions.Utility_DisplayArrayInTable(Common_SourceData.Common_SourceData_ConvertGasElementalToMolecular_Data(),Table_GasToMolecularConversionFactor[[#Headers],[Gas]], 0)</f>
        <v>12</v>
      </c>
      <c r="H52" s="20">
        <f>Table_GasToMolecularConversionFactor[[#This Row],[Conversion factor 1]]/Table_GasToMolecularConversionFactor[[#This Row],[Conversion factor 2]]</f>
        <v>2.3333333333333335</v>
      </c>
    </row>
    <row r="53" spans="1:8" ht="20.100000000000001" customHeight="1" x14ac:dyDescent="0.25">
      <c r="A53"/>
      <c r="D53" s="20" t="str" cm="1">
        <f t="array" ref="D53">Common_InputFunctions.Utility_DisplayArrayInTable(Common_SourceData.Common_SourceData_ConvertGasElementalToMolecular_Data(),Table_GasToMolecularConversionFactor[[#Headers],[Gas]], 0)</f>
        <v>CO2 Lime</v>
      </c>
      <c r="E53" s="20" t="str" cm="1">
        <f t="array" ref="E53">Common_InputFunctions.Utility_DisplayArrayInTable(Common_SourceData.Common_SourceData_ConvertGasElementalToMolecular_Data(),Table_GasToMolecularConversionFactor[[#Headers],[Gas]], 0)</f>
        <v>44/12</v>
      </c>
      <c r="F53" s="20" cm="1">
        <f t="array" ref="F53">Common_InputFunctions.Utility_DisplayArrayInTable(Common_SourceData.Common_SourceData_ConvertGasElementalToMolecular_Data(),Table_GasToMolecularConversionFactor[[#Headers],[Gas]], 0)</f>
        <v>44</v>
      </c>
      <c r="G53" s="20" cm="1">
        <f t="array" ref="G53">Common_InputFunctions.Utility_DisplayArrayInTable(Common_SourceData.Common_SourceData_ConvertGasElementalToMolecular_Data(),Table_GasToMolecularConversionFactor[[#Headers],[Gas]], 0)</f>
        <v>12</v>
      </c>
      <c r="H53" s="20">
        <f>Table_GasToMolecularConversionFactor[[#This Row],[Conversion factor 1]]/Table_GasToMolecularConversionFactor[[#This Row],[Conversion factor 2]]</f>
        <v>3.6666666666666665</v>
      </c>
    </row>
    <row r="54" spans="1:8" ht="20.100000000000001" customHeight="1" x14ac:dyDescent="0.25">
      <c r="A54"/>
      <c r="D54" s="20" t="str" cm="1">
        <f t="array" ref="D54">Common_InputFunctions.Utility_DisplayArrayInTable(Common_SourceData.Common_SourceData_ConvertGasElementalToMolecular_Data(),Table_GasToMolecularConversionFactor[[#Headers],[Gas]], 0)</f>
        <v>NMVOC</v>
      </c>
      <c r="E54" s="20" t="str" cm="1">
        <f t="array" ref="E54">Common_InputFunctions.Utility_DisplayArrayInTable(Common_SourceData.Common_SourceData_ConvertGasElementalToMolecular_Data(),Table_GasToMolecularConversionFactor[[#Headers],[Gas]], 0)</f>
        <v>14/12</v>
      </c>
      <c r="F54" s="20" cm="1">
        <f t="array" ref="F54">Common_InputFunctions.Utility_DisplayArrayInTable(Common_SourceData.Common_SourceData_ConvertGasElementalToMolecular_Data(),Table_GasToMolecularConversionFactor[[#Headers],[Gas]], 0)</f>
        <v>14</v>
      </c>
      <c r="G54" s="20" cm="1">
        <f t="array" ref="G54">Common_InputFunctions.Utility_DisplayArrayInTable(Common_SourceData.Common_SourceData_ConvertGasElementalToMolecular_Data(),Table_GasToMolecularConversionFactor[[#Headers],[Gas]], 0)</f>
        <v>12</v>
      </c>
      <c r="H54" s="20">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2" t="str" cm="1">
        <f t="array" ref="D57">Common_SourceData.Common_SourceData_WetAndDryZones_Title()</f>
        <v>VEERG Australian wet and dry zones</v>
      </c>
    </row>
    <row r="58" spans="1:8" ht="20.100000000000001" customHeight="1" x14ac:dyDescent="0.25">
      <c r="A58"/>
      <c r="D58" s="18" t="str" cm="1">
        <f t="array" ref="D58">Common_SourceData.Common_SourceData_WetAndDryZones_Source()</f>
        <v>VEERG 2026: Table 1.2: Translating climate zones to wet and dry zones</v>
      </c>
    </row>
    <row r="59" spans="1:8" ht="20.100000000000001" customHeight="1" x14ac:dyDescent="0.25">
      <c r="A59"/>
      <c r="D59" s="26" t="str" cm="1">
        <f t="array" ref="D59:D61">"⚠️" &amp; Common_SourceData.Common_SourceData_WetAndDryZones_Variation()</f>
        <v>⚠️VARIATION OF SOURCE DATA:</v>
      </c>
    </row>
    <row r="60" spans="1:8" ht="20.100000000000001" customHeight="1" x14ac:dyDescent="0.25">
      <c r="A60"/>
      <c r="D60" s="26" t="str">
        <v>⚠️Added warm / cool temperate moist / dry - low frost and high temp classes to accommodate climate scenarios excluded by VEERG criteria.</v>
      </c>
    </row>
    <row r="61" spans="1:8" ht="20.100000000000001" customHeight="1" x14ac:dyDescent="0.25">
      <c r="A61"/>
      <c r="D61" s="26" t="str">
        <v>⚠️Fixed typo - Changed 'Fry' to 'Dry'.</v>
      </c>
    </row>
    <row r="62" spans="1:8" ht="20.100000000000001" customHeight="1" x14ac:dyDescent="0.25">
      <c r="A62"/>
    </row>
    <row r="63" spans="1:8" ht="20.100000000000001" customHeight="1" x14ac:dyDescent="0.25">
      <c r="A63"/>
      <c r="D63" s="20" t="s">
        <v>32</v>
      </c>
      <c r="E63" s="20" t="s">
        <v>33</v>
      </c>
    </row>
    <row r="64" spans="1:8" ht="20.100000000000001" customHeight="1" x14ac:dyDescent="0.25">
      <c r="A64"/>
      <c r="D64" s="20" t="str" cm="1">
        <f t="array" ref="D64">Common_InputFunctions.Utility_DisplayArrayInTable(Common_SourceData.Common_SourceData_WetAndDryZones_Data(), Table_SourceData_WetDryZones[[#Headers],[Climate zone]], 0)</f>
        <v>Tropical montane</v>
      </c>
      <c r="E64" s="20"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20" t="str" cm="1">
        <f t="array" ref="D65">Common_InputFunctions.Utility_DisplayArrayInTable(Common_SourceData.Common_SourceData_WetAndDryZones_Data(), Table_SourceData_WetDryZones[[#Headers],[Climate zone]], 0)</f>
        <v>Tropical wet</v>
      </c>
      <c r="E65" s="20"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20" t="str" cm="1">
        <f t="array" ref="D66">Common_InputFunctions.Utility_DisplayArrayInTable(Common_SourceData.Common_SourceData_WetAndDryZones_Data(), Table_SourceData_WetDryZones[[#Headers],[Climate zone]], 0)</f>
        <v>Tropical moist</v>
      </c>
      <c r="E66" s="20"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20" t="str" cm="1">
        <f t="array" ref="D67">Common_InputFunctions.Utility_DisplayArrayInTable(Common_SourceData.Common_SourceData_WetAndDryZones_Data(), Table_SourceData_WetDryZones[[#Headers],[Climate zone]], 0)</f>
        <v>Tropical dry</v>
      </c>
      <c r="E67" s="20"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20" t="str" cm="1">
        <f t="array" ref="D68">Common_InputFunctions.Utility_DisplayArrayInTable(Common_SourceData.Common_SourceData_WetAndDryZones_Data(), Table_SourceData_WetDryZones[[#Headers],[Climate zone]], 0)</f>
        <v>Warm temperate moist</v>
      </c>
      <c r="E68" s="20"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20" t="str" cm="1">
        <f t="array" ref="D69">Common_InputFunctions.Utility_DisplayArrayInTable(Common_SourceData.Common_SourceData_WetAndDryZones_Data(), Table_SourceData_WetDryZones[[#Headers],[Climate zone]], 0)</f>
        <v>Warm temperate dry</v>
      </c>
      <c r="E69" s="20"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20" t="str" cm="1">
        <f t="array" ref="D70">Common_InputFunctions.Utility_DisplayArrayInTable(Common_SourceData.Common_SourceData_WetAndDryZones_Data(), Table_SourceData_WetDryZones[[#Headers],[Climate zone]], 0)</f>
        <v>Cool temperate moist</v>
      </c>
      <c r="E70" s="20"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20" t="str" cm="1">
        <f t="array" ref="D71">Common_InputFunctions.Utility_DisplayArrayInTable(Common_SourceData.Common_SourceData_WetAndDryZones_Data(), Table_SourceData_WetDryZones[[#Headers],[Climate zone]], 0)</f>
        <v>Cool temperate dry</v>
      </c>
      <c r="E71" s="20"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20" t="str" cm="1">
        <f t="array" ref="D72">Common_InputFunctions.Utility_DisplayArrayInTable(Common_SourceData.Common_SourceData_WetAndDryZones_Data(), Table_SourceData_WetDryZones[[#Headers],[Climate zone]], 0)</f>
        <v>Warm temperate moist - low frost</v>
      </c>
      <c r="E72" s="20"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20" t="str" cm="1">
        <f t="array" ref="D73">Common_InputFunctions.Utility_DisplayArrayInTable(Common_SourceData.Common_SourceData_WetAndDryZones_Data(), Table_SourceData_WetDryZones[[#Headers],[Climate zone]], 0)</f>
        <v>Warm temperate dry - low frost</v>
      </c>
      <c r="E73" s="20"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20" t="str" cm="1">
        <f t="array" ref="D74">Common_InputFunctions.Utility_DisplayArrayInTable(Common_SourceData.Common_SourceData_WetAndDryZones_Data(), Table_SourceData_WetDryZones[[#Headers],[Climate zone]], 0)</f>
        <v>Warm temperate moist - high temp</v>
      </c>
      <c r="E74" s="20"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20" t="str" cm="1">
        <f t="array" ref="D75">Common_InputFunctions.Utility_DisplayArrayInTable(Common_SourceData.Common_SourceData_WetAndDryZones_Data(), Table_SourceData_WetDryZones[[#Headers],[Climate zone]], 0)</f>
        <v>Warm temperate dry - high temp</v>
      </c>
      <c r="E75" s="20"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20" t="str" cm="1">
        <f t="array" ref="D76">Common_InputFunctions.Utility_DisplayArrayInTable(Common_SourceData.Common_SourceData_WetAndDryZones_Data(), Table_SourceData_WetDryZones[[#Headers],[Climate zone]], 0)</f>
        <v>Cool temperate moist - low frost</v>
      </c>
      <c r="E76" s="20"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20" t="str" cm="1">
        <f t="array" ref="D77">Common_InputFunctions.Utility_DisplayArrayInTable(Common_SourceData.Common_SourceData_WetAndDryZones_Data(), Table_SourceData_WetDryZones[[#Headers],[Climate zone]], 0)</f>
        <v>Cool temperate dry - low frost</v>
      </c>
      <c r="E77" s="20"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2" t="str" cm="1">
        <f t="array" ref="D81">Common_SourceData.Common_SourceData_ClimateZones_Title()</f>
        <v>VEERG Australian climate zones</v>
      </c>
    </row>
    <row r="82" spans="1:20" ht="20.100000000000001" customHeight="1" x14ac:dyDescent="0.25">
      <c r="A82"/>
      <c r="D82" s="18" t="str" cm="1">
        <f t="array" ref="D82">Common_SourceData.Common_SourceData_ClimateZones_Source()</f>
        <v>VEERG 2026: Table 1.3: Climate and Rainfall zone classifications and definitions</v>
      </c>
    </row>
    <row r="83" spans="1:20" ht="20.100000000000001" customHeight="1" x14ac:dyDescent="0.25">
      <c r="A83"/>
      <c r="D83" s="26" t="str" cm="1">
        <f t="array" ref="D83:D87">"⚠️" &amp; Common_SourceData.Common_SourceData_ClimateZones_Variation()</f>
        <v>⚠️VARIATION OF SOURCE DATA:</v>
      </c>
    </row>
    <row r="84" spans="1:20" ht="20.100000000000001" customHeight="1" x14ac:dyDescent="0.25">
      <c r="A84"/>
      <c r="D84" s="26" t="str">
        <v>⚠️Added warm / cool temperate moist / dry - low frost and high temp classes to accommodate climate scenarios excluded by VEERG criteria.</v>
      </c>
    </row>
    <row r="85" spans="1:20" ht="20.100000000000001" customHeight="1" x14ac:dyDescent="0.25">
      <c r="A85"/>
      <c r="D85" s="26" t="str">
        <v>⚠️Fixed typo in MAT value for warm temperate dry - changed 10 to 11.</v>
      </c>
    </row>
    <row r="86" spans="1:20" ht="20.100000000000001" customHeight="1" x14ac:dyDescent="0.25">
      <c r="A86"/>
      <c r="D86" s="26" t="str">
        <v>⚠️Added min and max columns for MAT, MAP, frost days per year, elevation, MAP:PET to calculate zones from real climate data.</v>
      </c>
    </row>
    <row r="87" spans="1:20" ht="20.100000000000001" customHeight="1" x14ac:dyDescent="0.25">
      <c r="A87"/>
      <c r="D87" s="26" t="str">
        <v>⚠️GAF accepts rainfall as a proxy for precipitation.</v>
      </c>
    </row>
    <row r="88" spans="1:20" ht="20.100000000000001" customHeight="1" x14ac:dyDescent="0.25">
      <c r="A88"/>
    </row>
    <row r="89" spans="1:20" ht="20.100000000000001" customHeight="1" x14ac:dyDescent="0.25">
      <c r="A89"/>
      <c r="D89" s="20" t="s">
        <v>32</v>
      </c>
      <c r="E89" s="20" t="s">
        <v>34</v>
      </c>
      <c r="F89" s="20" t="s">
        <v>35</v>
      </c>
      <c r="G89" s="20" t="s">
        <v>36</v>
      </c>
      <c r="H89" s="20" t="s">
        <v>37</v>
      </c>
      <c r="I89" s="20" t="s">
        <v>38</v>
      </c>
      <c r="J89" s="20" t="s">
        <v>39</v>
      </c>
      <c r="K89" s="20" t="s">
        <v>40</v>
      </c>
      <c r="L89" s="20" t="s">
        <v>41</v>
      </c>
      <c r="M89" s="20" t="s">
        <v>42</v>
      </c>
      <c r="N89" s="20" t="s">
        <v>43</v>
      </c>
      <c r="O89" s="20" t="s">
        <v>44</v>
      </c>
      <c r="P89" s="20" t="s">
        <v>45</v>
      </c>
      <c r="Q89" s="20" t="s">
        <v>46</v>
      </c>
      <c r="R89" s="20" t="s">
        <v>47</v>
      </c>
      <c r="S89" s="20" t="s">
        <v>48</v>
      </c>
      <c r="T89" s="20"/>
    </row>
    <row r="90" spans="1:20" ht="20.100000000000001" customHeight="1" x14ac:dyDescent="0.25">
      <c r="A90"/>
      <c r="D90" s="20" t="str" cm="1">
        <f t="array" ref="D90">Common_InputFunctions.Utility_DisplayArrayInTable(Common_SourceData.Common_SourceData_ClimateZones_Data(), Table_SourceData_ClimateZones[[#Headers],[Climate zone]], 0)</f>
        <v>Tropical montane</v>
      </c>
      <c r="E90" s="20" t="str" cm="1">
        <f t="array" ref="E90">Common_InputFunctions.Utility_DisplayArrayInTable(Common_SourceData.Common_SourceData_ClimateZones_Data(), Table_SourceData_ClimateZones[[#Headers],[Climate zone]], 0)</f>
        <v>&gt; 18 C</v>
      </c>
      <c r="F90" s="20" t="str" cm="1">
        <f t="array" ref="F90">Common_InputFunctions.Utility_DisplayArrayInTable(Common_SourceData.Common_SourceData_ClimateZones_Data(), Table_SourceData_ClimateZones[[#Headers],[Climate zone]], 0)</f>
        <v>Any</v>
      </c>
      <c r="G90" s="20" t="str" cm="1">
        <f t="array" ref="G90">Common_InputFunctions.Utility_DisplayArrayInTable(Common_SourceData.Common_SourceData_ClimateZones_Data(), Table_SourceData_ClimateZones[[#Headers],[Climate zone]], 0)</f>
        <v>≤ 7</v>
      </c>
      <c r="H90" s="20" t="str" cm="1">
        <f t="array" ref="H90">Common_InputFunctions.Utility_DisplayArrayInTable(Common_SourceData.Common_SourceData_ClimateZones_Data(), Table_SourceData_ClimateZones[[#Headers],[Climate zone]], 0)</f>
        <v>&gt; 1000 m</v>
      </c>
      <c r="I90" s="20" t="str" cm="1">
        <f t="array" ref="I90">Common_InputFunctions.Utility_DisplayArrayInTable(Common_SourceData.Common_SourceData_ClimateZones_Data(), Table_SourceData_ClimateZones[[#Headers],[Climate zone]], 0)</f>
        <v>Any</v>
      </c>
      <c r="J90" s="20" cm="1">
        <f t="array" ref="J90">Common_InputFunctions.Utility_DisplayArrayInTable(Common_SourceData.Common_SourceData_ClimateZones_Data(), Table_SourceData_ClimateZones[[#Headers],[Climate zone]], 0)</f>
        <v>18.001000000000001</v>
      </c>
      <c r="K90" s="20" cm="1">
        <f t="array" ref="K90">Common_InputFunctions.Utility_DisplayArrayInTable(Common_SourceData.Common_SourceData_ClimateZones_Data(), Table_SourceData_ClimateZones[[#Headers],[Climate zone]], 0)</f>
        <v>999999</v>
      </c>
      <c r="L90" s="20" cm="1">
        <f t="array" ref="L90">Common_InputFunctions.Utility_DisplayArrayInTable(Common_SourceData.Common_SourceData_ClimateZones_Data(), Table_SourceData_ClimateZones[[#Headers],[Climate zone]], 0)</f>
        <v>-999999</v>
      </c>
      <c r="M90" s="20" cm="1">
        <f t="array" ref="M90">Common_InputFunctions.Utility_DisplayArrayInTable(Common_SourceData.Common_SourceData_ClimateZones_Data(), Table_SourceData_ClimateZones[[#Headers],[Climate zone]], 0)</f>
        <v>999999</v>
      </c>
      <c r="N90" s="20" cm="1">
        <f t="array" ref="N90">Common_InputFunctions.Utility_DisplayArrayInTable(Common_SourceData.Common_SourceData_ClimateZones_Data(), Table_SourceData_ClimateZones[[#Headers],[Climate zone]], 0)</f>
        <v>-999999</v>
      </c>
      <c r="O90" s="20" cm="1">
        <f t="array" ref="O90">Common_InputFunctions.Utility_DisplayArrayInTable(Common_SourceData.Common_SourceData_ClimateZones_Data(), Table_SourceData_ClimateZones[[#Headers],[Climate zone]], 0)</f>
        <v>7</v>
      </c>
      <c r="P90" s="20" cm="1">
        <f t="array" ref="P90">Common_InputFunctions.Utility_DisplayArrayInTable(Common_SourceData.Common_SourceData_ClimateZones_Data(), Table_SourceData_ClimateZones[[#Headers],[Climate zone]], 0)</f>
        <v>1000</v>
      </c>
      <c r="Q90" s="20" cm="1">
        <f t="array" ref="Q90">Common_InputFunctions.Utility_DisplayArrayInTable(Common_SourceData.Common_SourceData_ClimateZones_Data(), Table_SourceData_ClimateZones[[#Headers],[Climate zone]], 0)</f>
        <v>999999</v>
      </c>
      <c r="R90" s="20" cm="1">
        <f t="array" ref="R90">Common_InputFunctions.Utility_DisplayArrayInTable(Common_SourceData.Common_SourceData_ClimateZones_Data(), Table_SourceData_ClimateZones[[#Headers],[Climate zone]], 0)</f>
        <v>-999999</v>
      </c>
      <c r="S90" s="20" cm="1">
        <f t="array" ref="S90">Common_InputFunctions.Utility_DisplayArrayInTable(Common_SourceData.Common_SourceData_ClimateZones_Data(), Table_SourceData_ClimateZones[[#Headers],[Climate zone]], 0)</f>
        <v>999999</v>
      </c>
      <c r="T90" s="20"/>
    </row>
    <row r="91" spans="1:20" ht="20.100000000000001" customHeight="1" x14ac:dyDescent="0.25">
      <c r="A91"/>
      <c r="D91" s="20" t="str" cm="1">
        <f t="array" ref="D91">Common_InputFunctions.Utility_DisplayArrayInTable(Common_SourceData.Common_SourceData_ClimateZones_Data(), Table_SourceData_ClimateZones[[#Headers],[Climate zone]], 0)</f>
        <v>Tropical wet</v>
      </c>
      <c r="E91" s="20" t="str" cm="1">
        <f t="array" ref="E91">Common_InputFunctions.Utility_DisplayArrayInTable(Common_SourceData.Common_SourceData_ClimateZones_Data(), Table_SourceData_ClimateZones[[#Headers],[Climate zone]], 0)</f>
        <v>&gt; 18 C</v>
      </c>
      <c r="F91" s="20" t="str" cm="1">
        <f t="array" ref="F91">Common_InputFunctions.Utility_DisplayArrayInTable(Common_SourceData.Common_SourceData_ClimateZones_Data(), Table_SourceData_ClimateZones[[#Headers],[Climate zone]], 0)</f>
        <v>&gt; 2000 mm</v>
      </c>
      <c r="G91" s="20" t="str" cm="1">
        <f t="array" ref="G91">Common_InputFunctions.Utility_DisplayArrayInTable(Common_SourceData.Common_SourceData_ClimateZones_Data(), Table_SourceData_ClimateZones[[#Headers],[Climate zone]], 0)</f>
        <v>≤ 7</v>
      </c>
      <c r="H91" s="20" t="str" cm="1">
        <f t="array" ref="H91">Common_InputFunctions.Utility_DisplayArrayInTable(Common_SourceData.Common_SourceData_ClimateZones_Data(), Table_SourceData_ClimateZones[[#Headers],[Climate zone]], 0)</f>
        <v>≤ 1000 m</v>
      </c>
      <c r="I91" s="20" t="str" cm="1">
        <f t="array" ref="I91">Common_InputFunctions.Utility_DisplayArrayInTable(Common_SourceData.Common_SourceData_ClimateZones_Data(), Table_SourceData_ClimateZones[[#Headers],[Climate zone]], 0)</f>
        <v>Any</v>
      </c>
      <c r="J91" s="20" cm="1">
        <f t="array" ref="J91">Common_InputFunctions.Utility_DisplayArrayInTable(Common_SourceData.Common_SourceData_ClimateZones_Data(), Table_SourceData_ClimateZones[[#Headers],[Climate zone]], 0)</f>
        <v>18.001000000000001</v>
      </c>
      <c r="K91" s="20" cm="1">
        <f t="array" ref="K91">Common_InputFunctions.Utility_DisplayArrayInTable(Common_SourceData.Common_SourceData_ClimateZones_Data(), Table_SourceData_ClimateZones[[#Headers],[Climate zone]], 0)</f>
        <v>999999</v>
      </c>
      <c r="L91" s="20" cm="1">
        <f t="array" ref="L91">Common_InputFunctions.Utility_DisplayArrayInTable(Common_SourceData.Common_SourceData_ClimateZones_Data(), Table_SourceData_ClimateZones[[#Headers],[Climate zone]], 0)</f>
        <v>2000.001</v>
      </c>
      <c r="M91" s="20" cm="1">
        <f t="array" ref="M91">Common_InputFunctions.Utility_DisplayArrayInTable(Common_SourceData.Common_SourceData_ClimateZones_Data(), Table_SourceData_ClimateZones[[#Headers],[Climate zone]], 0)</f>
        <v>999999</v>
      </c>
      <c r="N91" s="20" cm="1">
        <f t="array" ref="N91">Common_InputFunctions.Utility_DisplayArrayInTable(Common_SourceData.Common_SourceData_ClimateZones_Data(), Table_SourceData_ClimateZones[[#Headers],[Climate zone]], 0)</f>
        <v>-999999</v>
      </c>
      <c r="O91" s="20" cm="1">
        <f t="array" ref="O91">Common_InputFunctions.Utility_DisplayArrayInTable(Common_SourceData.Common_SourceData_ClimateZones_Data(), Table_SourceData_ClimateZones[[#Headers],[Climate zone]], 0)</f>
        <v>7</v>
      </c>
      <c r="P91" s="20" cm="1">
        <f t="array" ref="P91">Common_InputFunctions.Utility_DisplayArrayInTable(Common_SourceData.Common_SourceData_ClimateZones_Data(), Table_SourceData_ClimateZones[[#Headers],[Climate zone]], 0)</f>
        <v>-999999</v>
      </c>
      <c r="Q91" s="20" cm="1">
        <f t="array" ref="Q91">Common_InputFunctions.Utility_DisplayArrayInTable(Common_SourceData.Common_SourceData_ClimateZones_Data(), Table_SourceData_ClimateZones[[#Headers],[Climate zone]], 0)</f>
        <v>999.99900000000002</v>
      </c>
      <c r="R91" s="20" cm="1">
        <f t="array" ref="R91">Common_InputFunctions.Utility_DisplayArrayInTable(Common_SourceData.Common_SourceData_ClimateZones_Data(), Table_SourceData_ClimateZones[[#Headers],[Climate zone]], 0)</f>
        <v>-999999</v>
      </c>
      <c r="S91" s="20" cm="1">
        <f t="array" ref="S91">Common_InputFunctions.Utility_DisplayArrayInTable(Common_SourceData.Common_SourceData_ClimateZones_Data(), Table_SourceData_ClimateZones[[#Headers],[Climate zone]], 0)</f>
        <v>999999</v>
      </c>
      <c r="T91" s="20"/>
    </row>
    <row r="92" spans="1:20" ht="20.100000000000001" customHeight="1" x14ac:dyDescent="0.25">
      <c r="A92"/>
      <c r="D92" s="20" t="str" cm="1">
        <f t="array" ref="D92">Common_InputFunctions.Utility_DisplayArrayInTable(Common_SourceData.Common_SourceData_ClimateZones_Data(), Table_SourceData_ClimateZones[[#Headers],[Climate zone]], 0)</f>
        <v>Tropical moist</v>
      </c>
      <c r="E92" s="20" t="str" cm="1">
        <f t="array" ref="E92">Common_InputFunctions.Utility_DisplayArrayInTable(Common_SourceData.Common_SourceData_ClimateZones_Data(), Table_SourceData_ClimateZones[[#Headers],[Climate zone]], 0)</f>
        <v>&gt; 18 C</v>
      </c>
      <c r="F92" s="20" t="str" cm="1">
        <f t="array" ref="F92">Common_InputFunctions.Utility_DisplayArrayInTable(Common_SourceData.Common_SourceData_ClimateZones_Data(), Table_SourceData_ClimateZones[[#Headers],[Climate zone]], 0)</f>
        <v>&gt; 1000 mm - ≤ 2000 mm</v>
      </c>
      <c r="G92" s="20" t="str" cm="1">
        <f t="array" ref="G92">Common_InputFunctions.Utility_DisplayArrayInTable(Common_SourceData.Common_SourceData_ClimateZones_Data(), Table_SourceData_ClimateZones[[#Headers],[Climate zone]], 0)</f>
        <v>≤ 7</v>
      </c>
      <c r="H92" s="20" t="str" cm="1">
        <f t="array" ref="H92">Common_InputFunctions.Utility_DisplayArrayInTable(Common_SourceData.Common_SourceData_ClimateZones_Data(), Table_SourceData_ClimateZones[[#Headers],[Climate zone]], 0)</f>
        <v>≤ 1000 m</v>
      </c>
      <c r="I92" s="20" t="str" cm="1">
        <f t="array" ref="I92">Common_InputFunctions.Utility_DisplayArrayInTable(Common_SourceData.Common_SourceData_ClimateZones_Data(), Table_SourceData_ClimateZones[[#Headers],[Climate zone]], 0)</f>
        <v>Any</v>
      </c>
      <c r="J92" s="20" cm="1">
        <f t="array" ref="J92">Common_InputFunctions.Utility_DisplayArrayInTable(Common_SourceData.Common_SourceData_ClimateZones_Data(), Table_SourceData_ClimateZones[[#Headers],[Climate zone]], 0)</f>
        <v>18.001000000000001</v>
      </c>
      <c r="K92" s="20" cm="1">
        <f t="array" ref="K92">Common_InputFunctions.Utility_DisplayArrayInTable(Common_SourceData.Common_SourceData_ClimateZones_Data(), Table_SourceData_ClimateZones[[#Headers],[Climate zone]], 0)</f>
        <v>999999</v>
      </c>
      <c r="L92" s="20" cm="1">
        <f t="array" ref="L92">Common_InputFunctions.Utility_DisplayArrayInTable(Common_SourceData.Common_SourceData_ClimateZones_Data(), Table_SourceData_ClimateZones[[#Headers],[Climate zone]], 0)</f>
        <v>1000.001</v>
      </c>
      <c r="M92" s="20" cm="1">
        <f t="array" ref="M92">Common_InputFunctions.Utility_DisplayArrayInTable(Common_SourceData.Common_SourceData_ClimateZones_Data(), Table_SourceData_ClimateZones[[#Headers],[Climate zone]], 0)</f>
        <v>2000</v>
      </c>
      <c r="N92" s="20" cm="1">
        <f t="array" ref="N92">Common_InputFunctions.Utility_DisplayArrayInTable(Common_SourceData.Common_SourceData_ClimateZones_Data(), Table_SourceData_ClimateZones[[#Headers],[Climate zone]], 0)</f>
        <v>-999999</v>
      </c>
      <c r="O92" s="20" cm="1">
        <f t="array" ref="O92">Common_InputFunctions.Utility_DisplayArrayInTable(Common_SourceData.Common_SourceData_ClimateZones_Data(), Table_SourceData_ClimateZones[[#Headers],[Climate zone]], 0)</f>
        <v>7</v>
      </c>
      <c r="P92" s="20" cm="1">
        <f t="array" ref="P92">Common_InputFunctions.Utility_DisplayArrayInTable(Common_SourceData.Common_SourceData_ClimateZones_Data(), Table_SourceData_ClimateZones[[#Headers],[Climate zone]], 0)</f>
        <v>-999999</v>
      </c>
      <c r="Q92" s="20" cm="1">
        <f t="array" ref="Q92">Common_InputFunctions.Utility_DisplayArrayInTable(Common_SourceData.Common_SourceData_ClimateZones_Data(), Table_SourceData_ClimateZones[[#Headers],[Climate zone]], 0)</f>
        <v>999.99900000000002</v>
      </c>
      <c r="R92" s="20" cm="1">
        <f t="array" ref="R92">Common_InputFunctions.Utility_DisplayArrayInTable(Common_SourceData.Common_SourceData_ClimateZones_Data(), Table_SourceData_ClimateZones[[#Headers],[Climate zone]], 0)</f>
        <v>-999999</v>
      </c>
      <c r="S92" s="20" cm="1">
        <f t="array" ref="S92">Common_InputFunctions.Utility_DisplayArrayInTable(Common_SourceData.Common_SourceData_ClimateZones_Data(), Table_SourceData_ClimateZones[[#Headers],[Climate zone]], 0)</f>
        <v>999999</v>
      </c>
      <c r="T92" s="20"/>
    </row>
    <row r="93" spans="1:20" ht="20.100000000000001" customHeight="1" x14ac:dyDescent="0.25">
      <c r="A93"/>
      <c r="D93" s="20" t="str" cm="1">
        <f t="array" ref="D93">Common_InputFunctions.Utility_DisplayArrayInTable(Common_SourceData.Common_SourceData_ClimateZones_Data(), Table_SourceData_ClimateZones[[#Headers],[Climate zone]], 0)</f>
        <v>Tropical dry</v>
      </c>
      <c r="E93" s="20" t="str" cm="1">
        <f t="array" ref="E93">Common_InputFunctions.Utility_DisplayArrayInTable(Common_SourceData.Common_SourceData_ClimateZones_Data(), Table_SourceData_ClimateZones[[#Headers],[Climate zone]], 0)</f>
        <v>&gt; 18 C</v>
      </c>
      <c r="F93" s="20" t="str" cm="1">
        <f t="array" ref="F93">Common_InputFunctions.Utility_DisplayArrayInTable(Common_SourceData.Common_SourceData_ClimateZones_Data(), Table_SourceData_ClimateZones[[#Headers],[Climate zone]], 0)</f>
        <v>≤ 1000 mm</v>
      </c>
      <c r="G93" s="20" t="str" cm="1">
        <f t="array" ref="G93">Common_InputFunctions.Utility_DisplayArrayInTable(Common_SourceData.Common_SourceData_ClimateZones_Data(), Table_SourceData_ClimateZones[[#Headers],[Climate zone]], 0)</f>
        <v>≤ 7</v>
      </c>
      <c r="H93" s="20" t="str" cm="1">
        <f t="array" ref="H93">Common_InputFunctions.Utility_DisplayArrayInTable(Common_SourceData.Common_SourceData_ClimateZones_Data(), Table_SourceData_ClimateZones[[#Headers],[Climate zone]], 0)</f>
        <v>≤ 1000 m</v>
      </c>
      <c r="I93" s="20" t="str" cm="1">
        <f t="array" ref="I93">Common_InputFunctions.Utility_DisplayArrayInTable(Common_SourceData.Common_SourceData_ClimateZones_Data(), Table_SourceData_ClimateZones[[#Headers],[Climate zone]], 0)</f>
        <v>Any</v>
      </c>
      <c r="J93" s="20" cm="1">
        <f t="array" ref="J93">Common_InputFunctions.Utility_DisplayArrayInTable(Common_SourceData.Common_SourceData_ClimateZones_Data(), Table_SourceData_ClimateZones[[#Headers],[Climate zone]], 0)</f>
        <v>18.001000000000001</v>
      </c>
      <c r="K93" s="20" cm="1">
        <f t="array" ref="K93">Common_InputFunctions.Utility_DisplayArrayInTable(Common_SourceData.Common_SourceData_ClimateZones_Data(), Table_SourceData_ClimateZones[[#Headers],[Climate zone]], 0)</f>
        <v>999999</v>
      </c>
      <c r="L93" s="20" cm="1">
        <f t="array" ref="L93">Common_InputFunctions.Utility_DisplayArrayInTable(Common_SourceData.Common_SourceData_ClimateZones_Data(), Table_SourceData_ClimateZones[[#Headers],[Climate zone]], 0)</f>
        <v>-999999</v>
      </c>
      <c r="M93" s="20" cm="1">
        <f t="array" ref="M93">Common_InputFunctions.Utility_DisplayArrayInTable(Common_SourceData.Common_SourceData_ClimateZones_Data(), Table_SourceData_ClimateZones[[#Headers],[Climate zone]], 0)</f>
        <v>1000</v>
      </c>
      <c r="N93" s="20" cm="1">
        <f t="array" ref="N93">Common_InputFunctions.Utility_DisplayArrayInTable(Common_SourceData.Common_SourceData_ClimateZones_Data(), Table_SourceData_ClimateZones[[#Headers],[Climate zone]], 0)</f>
        <v>-999999</v>
      </c>
      <c r="O93" s="20" cm="1">
        <f t="array" ref="O93">Common_InputFunctions.Utility_DisplayArrayInTable(Common_SourceData.Common_SourceData_ClimateZones_Data(), Table_SourceData_ClimateZones[[#Headers],[Climate zone]], 0)</f>
        <v>7</v>
      </c>
      <c r="P93" s="20" cm="1">
        <f t="array" ref="P93">Common_InputFunctions.Utility_DisplayArrayInTable(Common_SourceData.Common_SourceData_ClimateZones_Data(), Table_SourceData_ClimateZones[[#Headers],[Climate zone]], 0)</f>
        <v>-999999</v>
      </c>
      <c r="Q93" s="20" cm="1">
        <f t="array" ref="Q93">Common_InputFunctions.Utility_DisplayArrayInTable(Common_SourceData.Common_SourceData_ClimateZones_Data(), Table_SourceData_ClimateZones[[#Headers],[Climate zone]], 0)</f>
        <v>999.99900000000002</v>
      </c>
      <c r="R93" s="20" cm="1">
        <f t="array" ref="R93">Common_InputFunctions.Utility_DisplayArrayInTable(Common_SourceData.Common_SourceData_ClimateZones_Data(), Table_SourceData_ClimateZones[[#Headers],[Climate zone]], 0)</f>
        <v>-999999</v>
      </c>
      <c r="S93" s="20" cm="1">
        <f t="array" ref="S93">Common_InputFunctions.Utility_DisplayArrayInTable(Common_SourceData.Common_SourceData_ClimateZones_Data(), Table_SourceData_ClimateZones[[#Headers],[Climate zone]], 0)</f>
        <v>999999</v>
      </c>
      <c r="T93" s="20"/>
    </row>
    <row r="94" spans="1:20" ht="20.100000000000001" customHeight="1" x14ac:dyDescent="0.25">
      <c r="A94"/>
      <c r="D94" s="20" t="str" cm="1">
        <f t="array" ref="D94">Common_InputFunctions.Utility_DisplayArrayInTable(Common_SourceData.Common_SourceData_ClimateZones_Data(), Table_SourceData_ClimateZones[[#Headers],[Climate zone]], 0)</f>
        <v>Warm temperate moist</v>
      </c>
      <c r="E94" s="20" t="str" cm="1">
        <f t="array" ref="E94">Common_InputFunctions.Utility_DisplayArrayInTable(Common_SourceData.Common_SourceData_ClimateZones_Data(), Table_SourceData_ClimateZones[[#Headers],[Climate zone]], 0)</f>
        <v>&gt; 10 C</v>
      </c>
      <c r="F94" s="20" t="str" cm="1">
        <f t="array" ref="F94">Common_InputFunctions.Utility_DisplayArrayInTable(Common_SourceData.Common_SourceData_ClimateZones_Data(), Table_SourceData_ClimateZones[[#Headers],[Climate zone]], 0)</f>
        <v>Any</v>
      </c>
      <c r="G94" s="20" t="str" cm="1">
        <f t="array" ref="G94">Common_InputFunctions.Utility_DisplayArrayInTable(Common_SourceData.Common_SourceData_ClimateZones_Data(), Table_SourceData_ClimateZones[[#Headers],[Climate zone]], 0)</f>
        <v>Any</v>
      </c>
      <c r="H94" s="20" t="str" cm="1">
        <f t="array" ref="H94">Common_InputFunctions.Utility_DisplayArrayInTable(Common_SourceData.Common_SourceData_ClimateZones_Data(), Table_SourceData_ClimateZones[[#Headers],[Climate zone]], 0)</f>
        <v>Any</v>
      </c>
      <c r="I94" s="20" t="str" cm="1">
        <f t="array" ref="I94">Common_InputFunctions.Utility_DisplayArrayInTable(Common_SourceData.Common_SourceData_ClimateZones_Data(), Table_SourceData_ClimateZones[[#Headers],[Climate zone]], 0)</f>
        <v>&gt; 1</v>
      </c>
      <c r="J94" s="20" cm="1">
        <f t="array" ref="J94">Common_InputFunctions.Utility_DisplayArrayInTable(Common_SourceData.Common_SourceData_ClimateZones_Data(), Table_SourceData_ClimateZones[[#Headers],[Climate zone]], 0)</f>
        <v>10.000999999999999</v>
      </c>
      <c r="K94" s="20" cm="1">
        <f t="array" ref="K94">Common_InputFunctions.Utility_DisplayArrayInTable(Common_SourceData.Common_SourceData_ClimateZones_Data(), Table_SourceData_ClimateZones[[#Headers],[Climate zone]], 0)</f>
        <v>999999</v>
      </c>
      <c r="L94" s="20" cm="1">
        <f t="array" ref="L94">Common_InputFunctions.Utility_DisplayArrayInTable(Common_SourceData.Common_SourceData_ClimateZones_Data(), Table_SourceData_ClimateZones[[#Headers],[Climate zone]], 0)</f>
        <v>-999999</v>
      </c>
      <c r="M94" s="20" cm="1">
        <f t="array" ref="M94">Common_InputFunctions.Utility_DisplayArrayInTable(Common_SourceData.Common_SourceData_ClimateZones_Data(), Table_SourceData_ClimateZones[[#Headers],[Climate zone]], 0)</f>
        <v>999999</v>
      </c>
      <c r="N94" s="20" cm="1">
        <f t="array" ref="N94">Common_InputFunctions.Utility_DisplayArrayInTable(Common_SourceData.Common_SourceData_ClimateZones_Data(), Table_SourceData_ClimateZones[[#Headers],[Climate zone]], 0)</f>
        <v>-999999</v>
      </c>
      <c r="O94" s="20" cm="1">
        <f t="array" ref="O94">Common_InputFunctions.Utility_DisplayArrayInTable(Common_SourceData.Common_SourceData_ClimateZones_Data(), Table_SourceData_ClimateZones[[#Headers],[Climate zone]], 0)</f>
        <v>999999</v>
      </c>
      <c r="P94" s="20" cm="1">
        <f t="array" ref="P94">Common_InputFunctions.Utility_DisplayArrayInTable(Common_SourceData.Common_SourceData_ClimateZones_Data(), Table_SourceData_ClimateZones[[#Headers],[Climate zone]], 0)</f>
        <v>-999999</v>
      </c>
      <c r="Q94" s="20" cm="1">
        <f t="array" ref="Q94">Common_InputFunctions.Utility_DisplayArrayInTable(Common_SourceData.Common_SourceData_ClimateZones_Data(), Table_SourceData_ClimateZones[[#Headers],[Climate zone]], 0)</f>
        <v>999999</v>
      </c>
      <c r="R94" s="20" cm="1">
        <f t="array" ref="R94">Common_InputFunctions.Utility_DisplayArrayInTable(Common_SourceData.Common_SourceData_ClimateZones_Data(), Table_SourceData_ClimateZones[[#Headers],[Climate zone]], 0)</f>
        <v>1.0009999999999999</v>
      </c>
      <c r="S94" s="20" cm="1">
        <f t="array" ref="S94">Common_InputFunctions.Utility_DisplayArrayInTable(Common_SourceData.Common_SourceData_ClimateZones_Data(), Table_SourceData_ClimateZones[[#Headers],[Climate zone]], 0)</f>
        <v>999999</v>
      </c>
      <c r="T94" s="20"/>
    </row>
    <row r="95" spans="1:20" ht="20.100000000000001" customHeight="1" x14ac:dyDescent="0.25">
      <c r="A95"/>
      <c r="D95" s="20" t="str" cm="1">
        <f t="array" ref="D95">Common_InputFunctions.Utility_DisplayArrayInTable(Common_SourceData.Common_SourceData_ClimateZones_Data(), Table_SourceData_ClimateZones[[#Headers],[Climate zone]], 0)</f>
        <v>Warm temperate dry</v>
      </c>
      <c r="E95" s="20" t="str" cm="1">
        <f t="array" ref="E95">Common_InputFunctions.Utility_DisplayArrayInTable(Common_SourceData.Common_SourceData_ClimateZones_Data(), Table_SourceData_ClimateZones[[#Headers],[Climate zone]], 0)</f>
        <v>&gt; 10 C</v>
      </c>
      <c r="F95" s="20" t="str" cm="1">
        <f t="array" ref="F95">Common_InputFunctions.Utility_DisplayArrayInTable(Common_SourceData.Common_SourceData_ClimateZones_Data(), Table_SourceData_ClimateZones[[#Headers],[Climate zone]], 0)</f>
        <v>Any</v>
      </c>
      <c r="G95" s="20" t="str" cm="1">
        <f t="array" ref="G95">Common_InputFunctions.Utility_DisplayArrayInTable(Common_SourceData.Common_SourceData_ClimateZones_Data(), Table_SourceData_ClimateZones[[#Headers],[Climate zone]], 0)</f>
        <v>Any</v>
      </c>
      <c r="H95" s="20" t="str" cm="1">
        <f t="array" ref="H95">Common_InputFunctions.Utility_DisplayArrayInTable(Common_SourceData.Common_SourceData_ClimateZones_Data(), Table_SourceData_ClimateZones[[#Headers],[Climate zone]], 0)</f>
        <v>Any</v>
      </c>
      <c r="I95" s="20" t="str" cm="1">
        <f t="array" ref="I95">Common_InputFunctions.Utility_DisplayArrayInTable(Common_SourceData.Common_SourceData_ClimateZones_Data(), Table_SourceData_ClimateZones[[#Headers],[Climate zone]], 0)</f>
        <v>≤ 1</v>
      </c>
      <c r="J95" s="20" cm="1">
        <f t="array" ref="J95">Common_InputFunctions.Utility_DisplayArrayInTable(Common_SourceData.Common_SourceData_ClimateZones_Data(), Table_SourceData_ClimateZones[[#Headers],[Climate zone]], 0)</f>
        <v>10.000999999999999</v>
      </c>
      <c r="K95" s="20" cm="1">
        <f t="array" ref="K95">Common_InputFunctions.Utility_DisplayArrayInTable(Common_SourceData.Common_SourceData_ClimateZones_Data(), Table_SourceData_ClimateZones[[#Headers],[Climate zone]], 0)</f>
        <v>999999</v>
      </c>
      <c r="L95" s="20" cm="1">
        <f t="array" ref="L95">Common_InputFunctions.Utility_DisplayArrayInTable(Common_SourceData.Common_SourceData_ClimateZones_Data(), Table_SourceData_ClimateZones[[#Headers],[Climate zone]], 0)</f>
        <v>-999999</v>
      </c>
      <c r="M95" s="20" cm="1">
        <f t="array" ref="M95">Common_InputFunctions.Utility_DisplayArrayInTable(Common_SourceData.Common_SourceData_ClimateZones_Data(), Table_SourceData_ClimateZones[[#Headers],[Climate zone]], 0)</f>
        <v>999999</v>
      </c>
      <c r="N95" s="20" cm="1">
        <f t="array" ref="N95">Common_InputFunctions.Utility_DisplayArrayInTable(Common_SourceData.Common_SourceData_ClimateZones_Data(), Table_SourceData_ClimateZones[[#Headers],[Climate zone]], 0)</f>
        <v>-999999</v>
      </c>
      <c r="O95" s="20" cm="1">
        <f t="array" ref="O95">Common_InputFunctions.Utility_DisplayArrayInTable(Common_SourceData.Common_SourceData_ClimateZones_Data(), Table_SourceData_ClimateZones[[#Headers],[Climate zone]], 0)</f>
        <v>999999</v>
      </c>
      <c r="P95" s="20" cm="1">
        <f t="array" ref="P95">Common_InputFunctions.Utility_DisplayArrayInTable(Common_SourceData.Common_SourceData_ClimateZones_Data(), Table_SourceData_ClimateZones[[#Headers],[Climate zone]], 0)</f>
        <v>-999999</v>
      </c>
      <c r="Q95" s="20" cm="1">
        <f t="array" ref="Q95">Common_InputFunctions.Utility_DisplayArrayInTable(Common_SourceData.Common_SourceData_ClimateZones_Data(), Table_SourceData_ClimateZones[[#Headers],[Climate zone]], 0)</f>
        <v>999999</v>
      </c>
      <c r="R95" s="20" cm="1">
        <f t="array" ref="R95">Common_InputFunctions.Utility_DisplayArrayInTable(Common_SourceData.Common_SourceData_ClimateZones_Data(), Table_SourceData_ClimateZones[[#Headers],[Climate zone]], 0)</f>
        <v>-999999</v>
      </c>
      <c r="S95" s="20" cm="1">
        <f t="array" ref="S95">Common_InputFunctions.Utility_DisplayArrayInTable(Common_SourceData.Common_SourceData_ClimateZones_Data(), Table_SourceData_ClimateZones[[#Headers],[Climate zone]], 0)</f>
        <v>1</v>
      </c>
      <c r="T95" s="20"/>
    </row>
    <row r="96" spans="1:20" ht="20.100000000000001" customHeight="1" x14ac:dyDescent="0.25">
      <c r="A96"/>
      <c r="D96" s="20" t="str" cm="1">
        <f t="array" ref="D96">Common_InputFunctions.Utility_DisplayArrayInTable(Common_SourceData.Common_SourceData_ClimateZones_Data(), Table_SourceData_ClimateZones[[#Headers],[Climate zone]], 0)</f>
        <v>Cool temperate moist</v>
      </c>
      <c r="E96" s="20" t="str" cm="1">
        <f t="array" ref="E96">Common_InputFunctions.Utility_DisplayArrayInTable(Common_SourceData.Common_SourceData_ClimateZones_Data(), Table_SourceData_ClimateZones[[#Headers],[Climate zone]], 0)</f>
        <v>&gt; 0 C - ≤ 10 C</v>
      </c>
      <c r="F96" s="20" t="str" cm="1">
        <f t="array" ref="F96">Common_InputFunctions.Utility_DisplayArrayInTable(Common_SourceData.Common_SourceData_ClimateZones_Data(), Table_SourceData_ClimateZones[[#Headers],[Climate zone]], 0)</f>
        <v>Any</v>
      </c>
      <c r="G96" s="20" t="str" cm="1">
        <f t="array" ref="G96">Common_InputFunctions.Utility_DisplayArrayInTable(Common_SourceData.Common_SourceData_ClimateZones_Data(), Table_SourceData_ClimateZones[[#Headers],[Climate zone]], 0)</f>
        <v>Any</v>
      </c>
      <c r="H96" s="20" t="str" cm="1">
        <f t="array" ref="H96">Common_InputFunctions.Utility_DisplayArrayInTable(Common_SourceData.Common_SourceData_ClimateZones_Data(), Table_SourceData_ClimateZones[[#Headers],[Climate zone]], 0)</f>
        <v>Any</v>
      </c>
      <c r="I96" s="20" t="str" cm="1">
        <f t="array" ref="I96">Common_InputFunctions.Utility_DisplayArrayInTable(Common_SourceData.Common_SourceData_ClimateZones_Data(), Table_SourceData_ClimateZones[[#Headers],[Climate zone]], 0)</f>
        <v>&gt; 1</v>
      </c>
      <c r="J96" s="20" cm="1">
        <f t="array" ref="J96">Common_InputFunctions.Utility_DisplayArrayInTable(Common_SourceData.Common_SourceData_ClimateZones_Data(), Table_SourceData_ClimateZones[[#Headers],[Climate zone]], 0)</f>
        <v>-999999</v>
      </c>
      <c r="K96" s="20" cm="1">
        <f t="array" ref="K96">Common_InputFunctions.Utility_DisplayArrayInTable(Common_SourceData.Common_SourceData_ClimateZones_Data(), Table_SourceData_ClimateZones[[#Headers],[Climate zone]], 0)</f>
        <v>10</v>
      </c>
      <c r="L96" s="20" cm="1">
        <f t="array" ref="L96">Common_InputFunctions.Utility_DisplayArrayInTable(Common_SourceData.Common_SourceData_ClimateZones_Data(), Table_SourceData_ClimateZones[[#Headers],[Climate zone]], 0)</f>
        <v>-999999</v>
      </c>
      <c r="M96" s="20" cm="1">
        <f t="array" ref="M96">Common_InputFunctions.Utility_DisplayArrayInTable(Common_SourceData.Common_SourceData_ClimateZones_Data(), Table_SourceData_ClimateZones[[#Headers],[Climate zone]], 0)</f>
        <v>999999</v>
      </c>
      <c r="N96" s="20" cm="1">
        <f t="array" ref="N96">Common_InputFunctions.Utility_DisplayArrayInTable(Common_SourceData.Common_SourceData_ClimateZones_Data(), Table_SourceData_ClimateZones[[#Headers],[Climate zone]], 0)</f>
        <v>-999999</v>
      </c>
      <c r="O96" s="20" cm="1">
        <f t="array" ref="O96">Common_InputFunctions.Utility_DisplayArrayInTable(Common_SourceData.Common_SourceData_ClimateZones_Data(), Table_SourceData_ClimateZones[[#Headers],[Climate zone]], 0)</f>
        <v>999999</v>
      </c>
      <c r="P96" s="20" cm="1">
        <f t="array" ref="P96">Common_InputFunctions.Utility_DisplayArrayInTable(Common_SourceData.Common_SourceData_ClimateZones_Data(), Table_SourceData_ClimateZones[[#Headers],[Climate zone]], 0)</f>
        <v>-999999</v>
      </c>
      <c r="Q96" s="20" cm="1">
        <f t="array" ref="Q96">Common_InputFunctions.Utility_DisplayArrayInTable(Common_SourceData.Common_SourceData_ClimateZones_Data(), Table_SourceData_ClimateZones[[#Headers],[Climate zone]], 0)</f>
        <v>999999</v>
      </c>
      <c r="R96" s="20" cm="1">
        <f t="array" ref="R96">Common_InputFunctions.Utility_DisplayArrayInTable(Common_SourceData.Common_SourceData_ClimateZones_Data(), Table_SourceData_ClimateZones[[#Headers],[Climate zone]], 0)</f>
        <v>1.0009999999999999</v>
      </c>
      <c r="S96" s="20" cm="1">
        <f t="array" ref="S96">Common_InputFunctions.Utility_DisplayArrayInTable(Common_SourceData.Common_SourceData_ClimateZones_Data(), Table_SourceData_ClimateZones[[#Headers],[Climate zone]], 0)</f>
        <v>999999</v>
      </c>
      <c r="T96" s="20"/>
    </row>
    <row r="97" spans="1:20" ht="20.100000000000001" customHeight="1" x14ac:dyDescent="0.25">
      <c r="A97"/>
      <c r="D97" s="20" t="str" cm="1">
        <f t="array" ref="D97">Common_InputFunctions.Utility_DisplayArrayInTable(Common_SourceData.Common_SourceData_ClimateZones_Data(), Table_SourceData_ClimateZones[[#Headers],[Climate zone]], 0)</f>
        <v>Cool temperate dry</v>
      </c>
      <c r="E97" s="20" t="str" cm="1">
        <f t="array" ref="E97">Common_InputFunctions.Utility_DisplayArrayInTable(Common_SourceData.Common_SourceData_ClimateZones_Data(), Table_SourceData_ClimateZones[[#Headers],[Climate zone]], 0)</f>
        <v>&gt; 0 C - ≤ 10 C</v>
      </c>
      <c r="F97" s="20" t="str" cm="1">
        <f t="array" ref="F97">Common_InputFunctions.Utility_DisplayArrayInTable(Common_SourceData.Common_SourceData_ClimateZones_Data(), Table_SourceData_ClimateZones[[#Headers],[Climate zone]], 0)</f>
        <v>Any</v>
      </c>
      <c r="G97" s="20" t="str" cm="1">
        <f t="array" ref="G97">Common_InputFunctions.Utility_DisplayArrayInTable(Common_SourceData.Common_SourceData_ClimateZones_Data(), Table_SourceData_ClimateZones[[#Headers],[Climate zone]], 0)</f>
        <v>Any</v>
      </c>
      <c r="H97" s="20" t="str" cm="1">
        <f t="array" ref="H97">Common_InputFunctions.Utility_DisplayArrayInTable(Common_SourceData.Common_SourceData_ClimateZones_Data(), Table_SourceData_ClimateZones[[#Headers],[Climate zone]], 0)</f>
        <v>Any</v>
      </c>
      <c r="I97" s="20" t="str" cm="1">
        <f t="array" ref="I97">Common_InputFunctions.Utility_DisplayArrayInTable(Common_SourceData.Common_SourceData_ClimateZones_Data(), Table_SourceData_ClimateZones[[#Headers],[Climate zone]], 0)</f>
        <v>≤ 1</v>
      </c>
      <c r="J97" s="20" cm="1">
        <f t="array" ref="J97">Common_InputFunctions.Utility_DisplayArrayInTable(Common_SourceData.Common_SourceData_ClimateZones_Data(), Table_SourceData_ClimateZones[[#Headers],[Climate zone]], 0)</f>
        <v>-999999</v>
      </c>
      <c r="K97" s="20" cm="1">
        <f t="array" ref="K97">Common_InputFunctions.Utility_DisplayArrayInTable(Common_SourceData.Common_SourceData_ClimateZones_Data(), Table_SourceData_ClimateZones[[#Headers],[Climate zone]], 0)</f>
        <v>10</v>
      </c>
      <c r="L97" s="20" cm="1">
        <f t="array" ref="L97">Common_InputFunctions.Utility_DisplayArrayInTable(Common_SourceData.Common_SourceData_ClimateZones_Data(), Table_SourceData_ClimateZones[[#Headers],[Climate zone]], 0)</f>
        <v>-999999</v>
      </c>
      <c r="M97" s="20" cm="1">
        <f t="array" ref="M97">Common_InputFunctions.Utility_DisplayArrayInTable(Common_SourceData.Common_SourceData_ClimateZones_Data(), Table_SourceData_ClimateZones[[#Headers],[Climate zone]], 0)</f>
        <v>999999</v>
      </c>
      <c r="N97" s="20" cm="1">
        <f t="array" ref="N97">Common_InputFunctions.Utility_DisplayArrayInTable(Common_SourceData.Common_SourceData_ClimateZones_Data(), Table_SourceData_ClimateZones[[#Headers],[Climate zone]], 0)</f>
        <v>-999999</v>
      </c>
      <c r="O97" s="20" cm="1">
        <f t="array" ref="O97">Common_InputFunctions.Utility_DisplayArrayInTable(Common_SourceData.Common_SourceData_ClimateZones_Data(), Table_SourceData_ClimateZones[[#Headers],[Climate zone]], 0)</f>
        <v>999999</v>
      </c>
      <c r="P97" s="20" cm="1">
        <f t="array" ref="P97">Common_InputFunctions.Utility_DisplayArrayInTable(Common_SourceData.Common_SourceData_ClimateZones_Data(), Table_SourceData_ClimateZones[[#Headers],[Climate zone]], 0)</f>
        <v>-999999</v>
      </c>
      <c r="Q97" s="20" cm="1">
        <f t="array" ref="Q97">Common_InputFunctions.Utility_DisplayArrayInTable(Common_SourceData.Common_SourceData_ClimateZones_Data(), Table_SourceData_ClimateZones[[#Headers],[Climate zone]], 0)</f>
        <v>999999</v>
      </c>
      <c r="R97" s="20" cm="1">
        <f t="array" ref="R97">Common_InputFunctions.Utility_DisplayArrayInTable(Common_SourceData.Common_SourceData_ClimateZones_Data(), Table_SourceData_ClimateZones[[#Headers],[Climate zone]], 0)</f>
        <v>-999999</v>
      </c>
      <c r="S97" s="20" cm="1">
        <f t="array" ref="S97">Common_InputFunctions.Utility_DisplayArrayInTable(Common_SourceData.Common_SourceData_ClimateZones_Data(), Table_SourceData_ClimateZones[[#Headers],[Climate zone]], 0)</f>
        <v>1</v>
      </c>
      <c r="T97" s="20"/>
    </row>
    <row r="98" spans="1:20" ht="20.100000000000001" customHeight="1" x14ac:dyDescent="0.25">
      <c r="A98"/>
    </row>
    <row r="99" spans="1:20" ht="20.100000000000001" customHeight="1" x14ac:dyDescent="0.25">
      <c r="A99"/>
      <c r="D99" s="10" t="str" cm="1">
        <f t="array" ref="D99:D102">Common_SourceData.Common_SourceData_ClimateZones_Appendices()</f>
        <v>Note:</v>
      </c>
    </row>
    <row r="100" spans="1:20" ht="20.100000000000001" customHeight="1" x14ac:dyDescent="0.25">
      <c r="A100"/>
      <c r="D100" s="10" t="str">
        <v>MAT = mean annual temperature</v>
      </c>
    </row>
    <row r="101" spans="1:20" ht="20.100000000000001" customHeight="1" x14ac:dyDescent="0.25">
      <c r="A101"/>
      <c r="D101" s="10" t="str">
        <v>MAP = mean annual precipitation</v>
      </c>
    </row>
    <row r="102" spans="1:20" ht="20.100000000000001" customHeight="1" x14ac:dyDescent="0.25">
      <c r="A102"/>
      <c r="D102" s="10" t="str">
        <v>PET = potential evapotranspiration</v>
      </c>
    </row>
    <row r="103" spans="1:20" ht="20.100000000000001" customHeight="1" x14ac:dyDescent="0.25">
      <c r="A103"/>
      <c r="D103" s="10"/>
    </row>
    <row r="104" spans="1:20" ht="20.100000000000001" customHeight="1" x14ac:dyDescent="0.25">
      <c r="A104"/>
    </row>
    <row r="105" spans="1:20" ht="20.100000000000001" customHeight="1" x14ac:dyDescent="0.25">
      <c r="A105"/>
      <c r="D105" s="2" t="str" cm="1">
        <f t="array" ref="D105">Common_SourceData.Common_SourceData_TemperatureZones_Title()</f>
        <v>VEERG Australian temperature zones</v>
      </c>
    </row>
    <row r="106" spans="1:20" ht="20.100000000000001" customHeight="1" x14ac:dyDescent="0.25">
      <c r="A106"/>
      <c r="D106" s="18" t="str" cm="1">
        <f t="array" ref="D106">Common_SourceData.Common_SourceData_TemperatureZones_Source()</f>
        <v>VEERG 2026: Table 1.3: Climate and Rainfall zone classifications and definitions</v>
      </c>
    </row>
    <row r="107" spans="1:20" ht="20.100000000000001" customHeight="1" x14ac:dyDescent="0.25">
      <c r="A107"/>
      <c r="D107" s="26"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20" t="s">
        <v>49</v>
      </c>
      <c r="E109" s="20" t="s">
        <v>34</v>
      </c>
      <c r="F109" s="20" t="s">
        <v>50</v>
      </c>
      <c r="G109" s="20" t="s">
        <v>51</v>
      </c>
    </row>
    <row r="110" spans="1:20" ht="20.100000000000001" customHeight="1" x14ac:dyDescent="0.25">
      <c r="A110"/>
      <c r="D110" s="20" t="str" cm="1">
        <f t="array" ref="D110">Common_InputFunctions.Utility_DisplayArrayInTable(Common_SourceData.Common_SourceData_TemperatureZones_Data(),Table_SourceData_TemperatureZones[[#Headers],[Temperature Zone]],0)</f>
        <v>Warm</v>
      </c>
      <c r="E110" s="20" t="str" cm="1">
        <f t="array" ref="E110">Common_InputFunctions.Utility_DisplayArrayInTable(Common_SourceData.Common_SourceData_TemperatureZones_Data(),Table_SourceData_TemperatureZones[[#Headers],[Temperature Zone]],0)</f>
        <v>≥ 26 C</v>
      </c>
      <c r="F110" s="20" cm="1">
        <f t="array" ref="F110">Common_InputFunctions.Utility_DisplayArrayInTable(Common_SourceData.Common_SourceData_TemperatureZones_Data(),Table_SourceData_TemperatureZones[[#Headers],[Temperature Zone]],0)</f>
        <v>26</v>
      </c>
      <c r="G110" s="20"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20" t="str" cm="1">
        <f t="array" ref="D111">Common_InputFunctions.Utility_DisplayArrayInTable(Common_SourceData.Common_SourceData_TemperatureZones_Data(),Table_SourceData_TemperatureZones[[#Headers],[Temperature Zone]],0)</f>
        <v>Temperate</v>
      </c>
      <c r="E111" s="20" t="str" cm="1">
        <f t="array" ref="E111">Common_InputFunctions.Utility_DisplayArrayInTable(Common_SourceData.Common_SourceData_TemperatureZones_Data(),Table_SourceData_TemperatureZones[[#Headers],[Temperature Zone]],0)</f>
        <v>15 - 25 C</v>
      </c>
      <c r="F111" s="20" cm="1">
        <f t="array" ref="F111">Common_InputFunctions.Utility_DisplayArrayInTable(Common_SourceData.Common_SourceData_TemperatureZones_Data(),Table_SourceData_TemperatureZones[[#Headers],[Temperature Zone]],0)</f>
        <v>15</v>
      </c>
      <c r="G111" s="20"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20" t="str" cm="1">
        <f t="array" ref="D112">Common_InputFunctions.Utility_DisplayArrayInTable(Common_SourceData.Common_SourceData_TemperatureZones_Data(),Table_SourceData_TemperatureZones[[#Headers],[Temperature Zone]],0)</f>
        <v>Cool</v>
      </c>
      <c r="E112" s="20" t="str" cm="1">
        <f t="array" ref="E112">Common_InputFunctions.Utility_DisplayArrayInTable(Common_SourceData.Common_SourceData_TemperatureZones_Data(),Table_SourceData_TemperatureZones[[#Headers],[Temperature Zone]],0)</f>
        <v>≤ 14 C</v>
      </c>
      <c r="F112" s="20" cm="1">
        <f t="array" ref="F112">Common_InputFunctions.Utility_DisplayArrayInTable(Common_SourceData.Common_SourceData_TemperatureZones_Data(),Table_SourceData_TemperatureZones[[#Headers],[Temperature Zone]],0)</f>
        <v>-999999</v>
      </c>
      <c r="G112" s="20"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2" t="str" cm="1">
        <f t="array" ref="D115">Common_SourceData.Common_SourceData_RainfallZones_Title()</f>
        <v>VEERG Australian rainfall zones</v>
      </c>
      <c r="BN115" s="22"/>
    </row>
    <row r="116" spans="1:66" ht="20.100000000000001" customHeight="1" x14ac:dyDescent="0.25">
      <c r="A116"/>
      <c r="D116" s="18" t="str" cm="1">
        <f t="array" ref="D116">Common_SourceData.Common_SourceData_RainfallZones_Source()</f>
        <v>VEERG 2026: Table 1.3: Climate and Rainfall zone classifications and definitions</v>
      </c>
      <c r="BN116" s="22"/>
    </row>
    <row r="117" spans="1:66" ht="20.100000000000001" customHeight="1" x14ac:dyDescent="0.25">
      <c r="A117"/>
      <c r="D117" s="26" t="str" cm="1">
        <f t="array" ref="D117">"⚠️" &amp; Common_SourceData.Common_SourceData_RainfallZones_Variation()</f>
        <v>⚠️VARIATION OF SOURCE DATA: Added extra Rainfall min and Rainfall max columns to calculate zone from real rainfall data.</v>
      </c>
      <c r="BN117" s="22"/>
    </row>
    <row r="118" spans="1:66" ht="20.100000000000001" customHeight="1" x14ac:dyDescent="0.25">
      <c r="A118"/>
      <c r="BN118" s="22"/>
    </row>
    <row r="119" spans="1:66" ht="20.100000000000001" customHeight="1" x14ac:dyDescent="0.25">
      <c r="A119"/>
      <c r="D119" s="20" t="s">
        <v>52</v>
      </c>
      <c r="E119" s="20" t="s">
        <v>53</v>
      </c>
      <c r="F119" s="20" t="s">
        <v>41</v>
      </c>
      <c r="G119" s="20" t="s">
        <v>42</v>
      </c>
      <c r="BN119" s="22"/>
    </row>
    <row r="120" spans="1:66" ht="20.100000000000001" customHeight="1" x14ac:dyDescent="0.25">
      <c r="A120"/>
      <c r="D120" s="20" t="str" cm="1">
        <f t="array" ref="D120">Common_InputFunctions.Utility_DisplayArrayInTable(Common_SourceData.Common_SourceData_RainfallZones_Data(),Table_SourceData_RainfallZones[[#Headers],[Rainfall Zone]],0)</f>
        <v>High rainfall</v>
      </c>
      <c r="E120" s="20" t="str" cm="1">
        <f t="array" ref="E120">Common_InputFunctions.Utility_DisplayArrayInTable(Common_SourceData.Common_SourceData_RainfallZones_Data(),Table_SourceData_RainfallZones[[#Headers],[Rainfall Zone]],0)</f>
        <v>Annual rainfall &gt; 600mm</v>
      </c>
      <c r="F120" s="20" cm="1">
        <f t="array" ref="F120">Common_InputFunctions.Utility_DisplayArrayInTable(Common_SourceData.Common_SourceData_RainfallZones_Data(),Table_SourceData_RainfallZones[[#Headers],[Rainfall Zone]],0)</f>
        <v>600.00099999999998</v>
      </c>
      <c r="G120" s="20" cm="1">
        <f t="array" ref="G120">Common_InputFunctions.Utility_DisplayArrayInTable(Common_SourceData.Common_SourceData_RainfallZones_Data(),Table_SourceData_RainfallZones[[#Headers],[Rainfall Zone]],0)</f>
        <v>999999</v>
      </c>
      <c r="BN120" s="22"/>
    </row>
    <row r="121" spans="1:66" ht="20.100000000000001" customHeight="1" x14ac:dyDescent="0.25">
      <c r="A121"/>
      <c r="D121" s="20" t="str" cm="1">
        <f t="array" ref="D121">Common_InputFunctions.Utility_DisplayArrayInTable(Common_SourceData.Common_SourceData_RainfallZones_Data(),Table_SourceData_RainfallZones[[#Headers],[Rainfall Zone]],0)</f>
        <v>Low rainfall</v>
      </c>
      <c r="E121" s="20" t="str" cm="1">
        <f t="array" ref="E121">Common_InputFunctions.Utility_DisplayArrayInTable(Common_SourceData.Common_SourceData_RainfallZones_Data(),Table_SourceData_RainfallZones[[#Headers],[Rainfall Zone]],0)</f>
        <v>Annual rainfall ≤ 600mm</v>
      </c>
      <c r="F121" s="20" cm="1">
        <f t="array" ref="F121">Common_InputFunctions.Utility_DisplayArrayInTable(Common_SourceData.Common_SourceData_RainfallZones_Data(),Table_SourceData_RainfallZones[[#Headers],[Rainfall Zone]],0)</f>
        <v>-999999</v>
      </c>
      <c r="G121" s="20" cm="1">
        <f t="array" ref="G121">Common_InputFunctions.Utility_DisplayArrayInTable(Common_SourceData.Common_SourceData_RainfallZones_Data(),Table_SourceData_RainfallZones[[#Headers],[Rainfall Zone]],0)</f>
        <v>600</v>
      </c>
      <c r="BN121" s="22"/>
    </row>
    <row r="122" spans="1:66" ht="20.100000000000001" customHeight="1" x14ac:dyDescent="0.25">
      <c r="A122"/>
      <c r="BN122" s="22"/>
    </row>
    <row r="123" spans="1:66" ht="20.100000000000001" customHeight="1" x14ac:dyDescent="0.25">
      <c r="A123"/>
    </row>
    <row r="124" spans="1:66" ht="20.100000000000001" customHeight="1" x14ac:dyDescent="0.25">
      <c r="A124"/>
      <c r="D124" s="2" t="str" cm="1">
        <f t="array" ref="D124">Common_SourceData.Common_SourceData_LeachingZones_Title()</f>
        <v>VEERG Australian leaching zones</v>
      </c>
    </row>
    <row r="125" spans="1:66" ht="20.100000000000001" customHeight="1" x14ac:dyDescent="0.25">
      <c r="A125"/>
      <c r="D125" s="18"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20" t="s">
        <v>54</v>
      </c>
      <c r="E127" s="20" t="s">
        <v>55</v>
      </c>
    </row>
    <row r="128" spans="1:66" ht="20.100000000000001" customHeight="1" x14ac:dyDescent="0.25">
      <c r="A128"/>
      <c r="D128" s="20" t="str" cm="1">
        <f t="array" ref="D128">Common_InputFunctions.Utility_DisplayArrayInTable(Common_SourceData.Common_SourceData_LeachingZones_Data(), Table_SourceData_LeachingZones[[#Headers],[Leaching Zone]], 0)</f>
        <v>Leaching occurs</v>
      </c>
      <c r="E128" s="20"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20" t="str" cm="1">
        <f t="array" ref="D129">Common_InputFunctions.Utility_DisplayArrayInTable(Common_SourceData.Common_SourceData_LeachingZones_Data(), Table_SourceData_LeachingZones[[#Headers],[Leaching Zone]], 0)</f>
        <v>Leaching does not occur</v>
      </c>
      <c r="E129" s="20"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2" t="str" cm="1">
        <f t="array" ref="D132">Common_SourceData.Common_SourceData_FracWET_Title()</f>
        <v>Fraction of N that is available for leaching and runoff</v>
      </c>
      <c r="E132" s="9"/>
    </row>
    <row r="133" spans="1:77" ht="20.100000000000001" customHeight="1" x14ac:dyDescent="0.25">
      <c r="A133"/>
      <c r="D133" s="18" t="str" cm="1">
        <f t="array" ref="D133">Common_SourceData.Common_SourceData_FracWET_Source()</f>
        <v>VEERG 2026:5.5.2.3 Constant Parameters</v>
      </c>
      <c r="E133" s="9"/>
    </row>
    <row r="134" spans="1:77" ht="20.100000000000001" customHeight="1" x14ac:dyDescent="0.25">
      <c r="A134"/>
      <c r="D134" t="s">
        <v>56</v>
      </c>
      <c r="E134" t="s">
        <v>57</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20"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22"/>
      <c r="BO138" s="22"/>
      <c r="BP138" s="22"/>
      <c r="BQ138" s="22"/>
      <c r="BR138" s="22"/>
      <c r="BS138" s="22"/>
      <c r="BT138" s="22"/>
      <c r="BU138" s="22"/>
      <c r="BV138" s="22"/>
      <c r="BW138" s="22"/>
      <c r="BX138" s="22"/>
      <c r="BY138" s="22"/>
    </row>
    <row r="139" spans="1:77" ht="20.100000000000001" customHeight="1" x14ac:dyDescent="0.25">
      <c r="A139"/>
      <c r="D139" s="2" t="str" cm="1">
        <f t="array" ref="D139">Common_SourceData.Common_SourceData_FracWETIrrigation_Title()</f>
        <v>FracWET for irrigation types</v>
      </c>
      <c r="BN139" s="22"/>
      <c r="BO139" s="22"/>
      <c r="BP139" s="22"/>
      <c r="BQ139" s="22"/>
      <c r="BR139" s="22"/>
      <c r="BS139" s="22"/>
      <c r="BT139" s="22"/>
      <c r="BU139" s="22"/>
      <c r="BV139" s="22"/>
      <c r="BW139" s="22"/>
      <c r="BX139" s="22"/>
      <c r="BY139" s="22"/>
    </row>
    <row r="140" spans="1:77" ht="20.100000000000001" customHeight="1" x14ac:dyDescent="0.25">
      <c r="A140"/>
      <c r="D140" s="18" t="str" cm="1">
        <f t="array" ref="D140">Common_SourceData.Common_SourceData_FracWETIrrigation_Source()</f>
        <v>VEERG 2026: Chapter 1, section 1.8.2 Leaching, climate and rainfall zones</v>
      </c>
      <c r="BN140" s="22"/>
      <c r="BO140" s="22"/>
      <c r="BP140" s="22"/>
      <c r="BQ140" s="22"/>
      <c r="BR140" s="22"/>
      <c r="BS140" s="22"/>
      <c r="BT140" s="22"/>
      <c r="BU140" s="22"/>
      <c r="BV140" s="22"/>
      <c r="BW140" s="22"/>
      <c r="BX140" s="22"/>
      <c r="BY140" s="22"/>
    </row>
    <row r="141" spans="1:77" ht="20.100000000000001" customHeight="1" x14ac:dyDescent="0.25">
      <c r="A141"/>
      <c r="D141" s="26" t="str" cm="1">
        <f t="array" ref="D141">Common_SourceData.Common_SourceData_FracWETIrrigation_Variation()</f>
        <v>VARIATION FROM SOURCE DATA: Table created based on VEERG text 'Areas are subject to leaching (i.e., in the leaching zone) when... the land is irrigated (except drip irrigation).'</v>
      </c>
      <c r="BN141" s="22"/>
    </row>
    <row r="142" spans="1:77" ht="20.100000000000001" customHeight="1" x14ac:dyDescent="0.25">
      <c r="A142"/>
      <c r="D142" s="20" t="s">
        <v>58</v>
      </c>
      <c r="E142" s="20" t="s">
        <v>57</v>
      </c>
      <c r="BN142" s="22"/>
    </row>
    <row r="143" spans="1:77" ht="20.100000000000001" customHeight="1" x14ac:dyDescent="0.25">
      <c r="A143"/>
      <c r="D143" s="20" t="str" cm="1">
        <f t="array" ref="D143">Common_InputFunctions.Utility_DisplayArrayInTable(Common_SourceData.Common_SourceData_FracWETIrrigation_Data(), Table_SourceData_FracWETIrrigation[[#Headers],[Irrigation type i]], 0)</f>
        <v>Not irrigated</v>
      </c>
      <c r="E143" s="20" cm="1">
        <f t="array" ref="E143">Common_InputFunctions.Utility_DisplayArrayInTable(Common_SourceData.Common_SourceData_FracWETIrrigation_Data(), Table_SourceData_FracWETIrrigation[[#Headers],[Irrigation type i]], 0)</f>
        <v>0</v>
      </c>
      <c r="BN143" s="22"/>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20" cm="1">
        <f t="array" ref="E144">Common_InputFunctions.Utility_DisplayArrayInTable(Common_SourceData.Common_SourceData_FracWETIrrigation_Data(), Table_SourceData_FracWETIrrigation[[#Headers],[Irrigation type i]], 0)</f>
        <v>0</v>
      </c>
      <c r="BN144" s="22"/>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20" cm="1">
        <f t="array" ref="E145">Common_InputFunctions.Utility_DisplayArrayInTable(Common_SourceData.Common_SourceData_FracWETIrrigation_Data(), Table_SourceData_FracWETIrrigation[[#Headers],[Irrigation type i]], 0)</f>
        <v>1</v>
      </c>
      <c r="BN145" s="22"/>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20" cm="1">
        <f t="array" ref="E146">Common_InputFunctions.Utility_DisplayArrayInTable(Common_SourceData.Common_SourceData_FracWETIrrigation_Data(), Table_SourceData_FracWETIrrigation[[#Headers],[Irrigation type i]], 0)</f>
        <v>1</v>
      </c>
      <c r="BN146" s="22"/>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20" cm="1">
        <f t="array" ref="E147">Common_InputFunctions.Utility_DisplayArrayInTable(Common_SourceData.Common_SourceData_FracWETIrrigation_Data(), Table_SourceData_FracWETIrrigation[[#Headers],[Irrigation type i]], 0)</f>
        <v>1</v>
      </c>
      <c r="BN147" s="22"/>
    </row>
    <row r="148" spans="1:66" ht="20.100000000000001" customHeight="1" x14ac:dyDescent="0.25">
      <c r="A148"/>
      <c r="BN148" s="22"/>
    </row>
    <row r="149" spans="1:66" ht="20.100000000000001" customHeight="1" x14ac:dyDescent="0.25">
      <c r="A149"/>
      <c r="BN149" s="22"/>
    </row>
    <row r="150" spans="1:66" ht="20.100000000000001" customHeight="1" x14ac:dyDescent="0.25">
      <c r="A150"/>
      <c r="D150" s="2" t="str" cm="1">
        <f t="array" ref="D150">Common_SourceData.Common_SourceData_DataScores_Scope3_Title()</f>
        <v>Australian data scores for scope 3</v>
      </c>
      <c r="BN150" s="22"/>
    </row>
    <row r="151" spans="1:66" ht="20.100000000000001" customHeight="1" x14ac:dyDescent="0.25">
      <c r="A151"/>
      <c r="D151" s="18" t="str" cm="1">
        <f t="array" ref="D151">Common_SourceData.Common_SourceData_DataScores_Scope3_Source()</f>
        <v>VEERG 2026: XXXXXXXX</v>
      </c>
      <c r="BN151" s="22"/>
    </row>
    <row r="152" spans="1:66" ht="20.100000000000001" customHeight="1" x14ac:dyDescent="0.25">
      <c r="A152"/>
      <c r="BN152" s="22"/>
    </row>
    <row r="153" spans="1:66" ht="20.100000000000001" customHeight="1" x14ac:dyDescent="0.25">
      <c r="A153"/>
      <c r="D153" s="20" t="s">
        <v>59</v>
      </c>
      <c r="E153" s="20" t="s">
        <v>60</v>
      </c>
      <c r="BC153" s="25"/>
      <c r="BD153" s="25"/>
      <c r="BE153" s="25"/>
      <c r="BF153" s="25"/>
      <c r="BG153" s="25"/>
      <c r="BH153" s="25"/>
      <c r="BI153" s="25"/>
      <c r="BJ153" s="25"/>
      <c r="BK153" s="25"/>
      <c r="BL153" s="25"/>
      <c r="BM153" s="25"/>
    </row>
    <row r="154" spans="1:66" ht="20.100000000000001" customHeight="1" x14ac:dyDescent="0.25">
      <c r="A154"/>
      <c r="D154" s="20" t="str" cm="1">
        <f t="array" ref="D154">Common_InputFunctions.Utility_DisplayArrayInTable(Common_SourceData.Common_SourceData_DataScores_Scope3_Data(), Table_SourceData_DataScores_Scope3[[#Headers],[Data source]], 0)</f>
        <v>International scope 3 database</v>
      </c>
      <c r="E154" s="20" cm="1">
        <f t="array" ref="E154">Common_InputFunctions.Utility_DisplayArrayInTable(Common_SourceData.Common_SourceData_DataScores_Scope3_Data(), Table_SourceData_DataScores_Scope3[[#Headers],[Data source]], 0)</f>
        <v>1</v>
      </c>
      <c r="BC154" s="25"/>
      <c r="BD154" s="25"/>
      <c r="BE154" s="25"/>
      <c r="BF154" s="25"/>
      <c r="BG154" s="25"/>
      <c r="BH154" s="25"/>
      <c r="BI154" s="25"/>
      <c r="BJ154" s="25"/>
      <c r="BK154" s="25"/>
      <c r="BL154" s="25"/>
      <c r="BM154" s="25"/>
    </row>
    <row r="155" spans="1:66" ht="20.100000000000001" customHeight="1" x14ac:dyDescent="0.25">
      <c r="A155"/>
      <c r="D155" s="20" t="str" cm="1">
        <f t="array" ref="D155">Common_InputFunctions.Utility_DisplayArrayInTable(Common_SourceData.Common_SourceData_DataScores_Scope3_Data(), Table_SourceData_DataScores_Scope3[[#Headers],[Data source]], 0)</f>
        <v>Australian scope 3 database</v>
      </c>
      <c r="E155" s="20" cm="1">
        <f t="array" ref="E155">Common_InputFunctions.Utility_DisplayArrayInTable(Common_SourceData.Common_SourceData_DataScores_Scope3_Data(), Table_SourceData_DataScores_Scope3[[#Headers],[Data source]], 0)</f>
        <v>2</v>
      </c>
      <c r="BC155" s="25"/>
      <c r="BD155" s="25"/>
      <c r="BE155" s="25"/>
      <c r="BF155" s="25"/>
      <c r="BG155" s="25"/>
      <c r="BH155" s="25"/>
      <c r="BI155" s="25"/>
      <c r="BJ155" s="25"/>
      <c r="BK155" s="25"/>
      <c r="BL155" s="25"/>
      <c r="BM155" s="25"/>
    </row>
    <row r="156" spans="1:66" ht="20.100000000000001" customHeight="1" x14ac:dyDescent="0.25">
      <c r="A156"/>
      <c r="D156" s="20" t="str" cm="1">
        <f t="array" ref="D156">Common_InputFunctions.Utility_DisplayArrayInTable(Common_SourceData.Common_SourceData_DataScores_Scope3_Data(), Table_SourceData_DataScores_Scope3[[#Headers],[Data source]], 0)</f>
        <v>State or regional scope 3 database</v>
      </c>
      <c r="E156" s="20"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20" t="str" cm="1">
        <f t="array" ref="D157">Common_InputFunctions.Utility_DisplayArrayInTable(Common_SourceData.Common_SourceData_DataScores_Scope3_Data(), Table_SourceData_DataScores_Scope3[[#Headers],[Data source]], 0)</f>
        <v>Emissions intensity calculated from approved method</v>
      </c>
      <c r="E157" s="20"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20" t="str" cm="1">
        <f t="array" ref="D158">Common_InputFunctions.Utility_DisplayArrayInTable(Common_SourceData.Common_SourceData_DataScores_Scope3_Data(), Table_SourceData_DataScores_Scope3[[#Headers],[Data source]], 0)</f>
        <v>Verified credential matching ISO14067</v>
      </c>
      <c r="E158" s="20"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2" t="str" cm="1">
        <f t="array" ref="D161">Common_SourceData.Common_SourceData_FracLEACH_Title()</f>
        <v>Fraction of N that is available for leaching and runoff</v>
      </c>
      <c r="E161" s="9"/>
    </row>
    <row r="162" spans="4:68" ht="20.100000000000001" customHeight="1" x14ac:dyDescent="0.25">
      <c r="D162" s="18" t="str" cm="1">
        <f t="array" ref="D162">Common_SourceData.Common_SourceData_FracLEACH_Source()</f>
        <v>VEERG 2026:5.5.2.3 Constant Parameters</v>
      </c>
      <c r="E162" s="9"/>
    </row>
    <row r="163" spans="4:68" ht="20.100000000000001" customHeight="1" x14ac:dyDescent="0.25">
      <c r="D163" s="18" t="str" cm="1">
        <f t="array" ref="D163">Common_SourceData.Common_SourceData_FracLEACH_NIRReference()</f>
        <v>National Inventory Report Volume 1: Leaching and runoff (3.D.b.2)</v>
      </c>
      <c r="E163" s="9"/>
    </row>
    <row r="164" spans="4:68" ht="20.100000000000001" customHeight="1" x14ac:dyDescent="0.25">
      <c r="D164" s="9" t="str" cm="1">
        <f t="array" ref="D164:E164">Common_SourceData.Common_SourceData_FracLEACH_Data()</f>
        <v>FracLEACH</v>
      </c>
      <c r="E164" s="9">
        <v>0.24</v>
      </c>
    </row>
    <row r="165" spans="4:68" ht="20.100000000000001" customHeight="1" x14ac:dyDescent="0.25">
      <c r="BN165" s="22"/>
      <c r="BO165" s="22"/>
      <c r="BP165" s="22"/>
    </row>
    <row r="166" spans="4:68" ht="20.100000000000001" customHeight="1" x14ac:dyDescent="0.25">
      <c r="BN166" s="22"/>
      <c r="BO166" s="22"/>
      <c r="BP166" s="22"/>
    </row>
    <row r="167" spans="4:68" ht="20.100000000000001" customHeight="1" x14ac:dyDescent="0.25">
      <c r="D167" s="2" t="str" cm="1">
        <f t="array" ref="D167">Common_SourceData.Common_SourceData_EFleach_Title()</f>
        <v>Emission factor for nitrogen leaching and runoff</v>
      </c>
      <c r="BN167" s="22"/>
      <c r="BO167" s="22"/>
      <c r="BP167" s="22"/>
    </row>
    <row r="168" spans="4:68" ht="20.100000000000001" customHeight="1" x14ac:dyDescent="0.25">
      <c r="D168" s="18" t="str" cm="1">
        <f t="array" ref="D168">Common_SourceData.Common_SourceData_EFleach_Source()</f>
        <v>VEERG 2026:5.5.2.3 Constant Parameters</v>
      </c>
      <c r="BN168" s="22"/>
      <c r="BO168" s="22"/>
      <c r="BP168" s="22"/>
    </row>
    <row r="169" spans="4:68" ht="20.100000000000001" customHeight="1" x14ac:dyDescent="0.25">
      <c r="D169" s="18" t="str" cm="1">
        <f t="array" ref="D169">Common_SourceData.Common_SourceData_EFleach_NIRReference()</f>
        <v>National Inventory Report Volume 1: Equation 3.D.B_10</v>
      </c>
      <c r="BN169" s="22"/>
      <c r="BO169" s="22"/>
      <c r="BP169" s="22"/>
    </row>
    <row r="170" spans="4:68" ht="20.100000000000001" customHeight="1" x14ac:dyDescent="0.25">
      <c r="D170" s="1" t="str" cm="1">
        <f t="array" ref="D170:E170">Common_SourceData.Common_SourceData_EFleach_Data()</f>
        <v>EFleach</v>
      </c>
      <c r="E170" s="1">
        <v>1.0999999999999999E-2</v>
      </c>
      <c r="BN170" s="22"/>
      <c r="BO170" s="22"/>
      <c r="BP170" s="22"/>
    </row>
    <row r="171" spans="4:68" ht="20.100000000000001" customHeight="1" x14ac:dyDescent="0.25">
      <c r="BN171" s="22"/>
      <c r="BO171" s="22"/>
      <c r="BP171" s="22"/>
    </row>
    <row r="172" spans="4:68" ht="20.100000000000001" customHeight="1" x14ac:dyDescent="0.25">
      <c r="BN172" s="22"/>
      <c r="BO172" s="22"/>
      <c r="BP172" s="22"/>
    </row>
    <row r="173" spans="4:68" ht="20.100000000000001" customHeight="1" x14ac:dyDescent="0.25">
      <c r="D173" s="2" t="str" cm="1">
        <f t="array" ref="D173">Common_SourceData.Common_SourceData_DensityOfMethane_Title()</f>
        <v>p = density of methane</v>
      </c>
      <c r="BN173" s="22"/>
      <c r="BO173" s="22"/>
      <c r="BP173" s="22"/>
    </row>
    <row r="174" spans="4:68" ht="20.100000000000001" customHeight="1" x14ac:dyDescent="0.25">
      <c r="D174" s="18" t="str" cm="1">
        <f t="array" ref="D174">Common_SourceData.Common_SourceData_DensityOfMethane_Source()</f>
        <v>National Inventory Report 2023 Volume 1: Equations 3.B.1a_2, 3.B.1c_2, 3.B.3_1, 3.B.4g_2</v>
      </c>
      <c r="BN174" s="22"/>
      <c r="BO174" s="22"/>
      <c r="BP174" s="22"/>
    </row>
    <row r="175" spans="4:68" ht="20.100000000000001" customHeight="1" x14ac:dyDescent="0.25">
      <c r="D175" s="1" cm="1">
        <f t="array" ref="D175">Common_SourceData.Common_SourceData_DensityOfMethane_Data()</f>
        <v>0.6784</v>
      </c>
      <c r="E175" s="10" t="str" cm="1">
        <f t="array" ref="E175">Common_SourceData.Common_SourceData_DensityOfMethane_Unit()</f>
        <v>kg/m3</v>
      </c>
      <c r="BN175" s="22"/>
      <c r="BO175" s="22"/>
      <c r="BP175" s="22"/>
    </row>
    <row r="176" spans="4:68" ht="20.100000000000001" customHeight="1" x14ac:dyDescent="0.25">
      <c r="BN176" s="22"/>
      <c r="BO176" s="22"/>
      <c r="BP176" s="22"/>
    </row>
    <row r="177" spans="4:68" ht="20.100000000000001" customHeight="1" x14ac:dyDescent="0.25">
      <c r="BN177" s="22"/>
      <c r="BO177" s="22"/>
      <c r="BP177" s="22"/>
    </row>
    <row r="178" spans="4:68" ht="20.100000000000001" customHeight="1" x14ac:dyDescent="0.25">
      <c r="D178" s="2" t="str" cm="1">
        <f t="array" ref="D178">Common_SourceData.Common_SourceData_EFN2O_Title()</f>
        <v>Nitrous oxide emission factors for inorganic fertiliser application</v>
      </c>
      <c r="BN178" s="22"/>
      <c r="BO178" s="22"/>
      <c r="BP178" s="22"/>
    </row>
    <row r="179" spans="4:68" ht="20.100000000000001" customHeight="1" x14ac:dyDescent="0.25">
      <c r="D179" s="18" t="str" cm="1">
        <f t="array" ref="D179">Common_SourceData.Common_SourceData_EFN2O_Source()</f>
        <v>VEERG 2026: Table A.2.2.1</v>
      </c>
      <c r="BN179" s="22"/>
      <c r="BO179" s="22"/>
      <c r="BP179" s="22"/>
    </row>
    <row r="180" spans="4:68" ht="20.100000000000001" customHeight="1" x14ac:dyDescent="0.25">
      <c r="D180" s="10" t="str" cm="1">
        <f t="array" ref="D180">Common_SourceData.Common_SourceData_EFN2O_Unit()</f>
        <v>(kg N2O-N / kg N</v>
      </c>
    </row>
    <row r="181" spans="4:68" ht="20.100000000000001" customHeight="1" x14ac:dyDescent="0.25">
      <c r="D181" s="26" t="str" cm="1">
        <f t="array" ref="D181:D185">Common_SourceData.Common_SourceData_EFN2O_Variation()</f>
        <v>VARIATION OF SOURCE DATA:</v>
      </c>
    </row>
    <row r="182" spans="4:68" ht="20.100000000000001" customHeight="1" x14ac:dyDescent="0.25">
      <c r="D182" s="26" t="str">
        <v>Removed duplicate 'Aquaculture' row.</v>
      </c>
    </row>
    <row r="183" spans="4:68" ht="20.100000000000001" customHeight="1" x14ac:dyDescent="0.25">
      <c r="D183" s="26" t="str">
        <v>Removed asterisks to aid lookup.</v>
      </c>
    </row>
    <row r="184" spans="4:68" ht="20.100000000000001" customHeight="1" x14ac:dyDescent="0.25">
      <c r="D184" s="26" t="str">
        <v>Added 'production system only', 'rainfall zone' and 'irrigation method' columns to aid lookup.</v>
      </c>
    </row>
    <row r="185" spans="4:68" ht="20.100000000000001" customHeight="1" x14ac:dyDescent="0.25">
      <c r="D185" s="26" t="str">
        <v>Duplicated 'non-irrigated pasture' row with same EF for low and high rainfall zones to aid lookup.</v>
      </c>
    </row>
    <row r="186" spans="4:68" ht="20.100000000000001" customHeight="1" x14ac:dyDescent="0.25">
      <c r="D186" s="20" t="s">
        <v>61</v>
      </c>
      <c r="E186" s="20" t="s">
        <v>62</v>
      </c>
      <c r="F186" s="20" t="s">
        <v>63</v>
      </c>
      <c r="G186" s="20" t="s">
        <v>64</v>
      </c>
      <c r="H186" s="20" t="s">
        <v>65</v>
      </c>
    </row>
    <row r="187" spans="4:68" ht="20.100000000000001" customHeight="1" x14ac:dyDescent="0.25">
      <c r="D187" s="20" t="str" cm="1">
        <f t="array" ref="D187">Common_InputFunctions.Utility_DisplayArrayInTable(Common_SourceData.Common_SourceData_EFN2O_Data(), Table_SourceData_Common_EFN2O[[#Headers],[Production system j]], 0)</f>
        <v>Irrigated pasture</v>
      </c>
      <c r="E187" s="20" cm="1">
        <f t="array" ref="E187">Common_InputFunctions.Utility_DisplayArrayInTable(Common_SourceData.Common_SourceData_EFN2O_Data(), Table_SourceData_Common_EFN2O[[#Headers],[Production system j]], 0)</f>
        <v>5.8999999999999999E-3</v>
      </c>
      <c r="F187" s="20" t="str" cm="1">
        <f t="array" ref="F187">Common_InputFunctions.Utility_DisplayArrayInTable(Common_SourceData.Common_SourceData_EFN2O_Data(), Table_SourceData_Common_EFN2O[[#Headers],[Production system j]], 0)</f>
        <v>Pasture</v>
      </c>
      <c r="G187" s="20" t="str" cm="1">
        <f t="array" ref="G187">Common_InputFunctions.Utility_DisplayArrayInTable(Common_SourceData.Common_SourceData_EFN2O_Data(), Table_SourceData_Common_EFN2O[[#Headers],[Production system j]], 0)</f>
        <v>Any</v>
      </c>
      <c r="H187" s="20" t="str" cm="1">
        <f t="array" ref="H187">Common_InputFunctions.Utility_DisplayArrayInTable(Common_SourceData.Common_SourceData_EFN2O_Data(), Table_SourceData_Common_EFN2O[[#Headers],[Production system j]], 0)</f>
        <v>Any</v>
      </c>
    </row>
    <row r="188" spans="4:68" ht="20.100000000000001" customHeight="1" x14ac:dyDescent="0.25">
      <c r="D188" s="20" t="str" cm="1">
        <f t="array" ref="D188">Common_InputFunctions.Utility_DisplayArrayInTable(Common_SourceData.Common_SourceData_EFN2O_Data(), Table_SourceData_Common_EFN2O[[#Headers],[Production system j]], 0)</f>
        <v>Irrigated crop</v>
      </c>
      <c r="E188" s="20" cm="1">
        <f t="array" ref="E188">Common_InputFunctions.Utility_DisplayArrayInTable(Common_SourceData.Common_SourceData_EFN2O_Data(), Table_SourceData_Common_EFN2O[[#Headers],[Production system j]], 0)</f>
        <v>7.0000000000000001E-3</v>
      </c>
      <c r="F188" s="20" t="str" cm="1">
        <f t="array" ref="F188">Common_InputFunctions.Utility_DisplayArrayInTable(Common_SourceData.Common_SourceData_EFN2O_Data(), Table_SourceData_Common_EFN2O[[#Headers],[Production system j]], 0)</f>
        <v>Crop</v>
      </c>
      <c r="G188" s="20" t="str" cm="1">
        <f t="array" ref="G188">Common_InputFunctions.Utility_DisplayArrayInTable(Common_SourceData.Common_SourceData_EFN2O_Data(), Table_SourceData_Common_EFN2O[[#Headers],[Production system j]], 0)</f>
        <v>Any</v>
      </c>
      <c r="H188" s="20" t="str" cm="1">
        <f t="array" ref="H188">Common_InputFunctions.Utility_DisplayArrayInTable(Common_SourceData.Common_SourceData_EFN2O_Data(), Table_SourceData_Common_EFN2O[[#Headers],[Production system j]], 0)</f>
        <v>Any</v>
      </c>
    </row>
    <row r="189" spans="4:68" ht="20.100000000000001" customHeight="1" x14ac:dyDescent="0.25">
      <c r="D189" s="20" t="str" cm="1">
        <f t="array" ref="D189">Common_InputFunctions.Utility_DisplayArrayInTable(Common_SourceData.Common_SourceData_EFN2O_Data(), Table_SourceData_Common_EFN2O[[#Headers],[Production system j]], 0)</f>
        <v>Non-irrigated pasture</v>
      </c>
      <c r="E189" s="20" cm="1">
        <f t="array" ref="E189">Common_InputFunctions.Utility_DisplayArrayInTable(Common_SourceData.Common_SourceData_EFN2O_Data(), Table_SourceData_Common_EFN2O[[#Headers],[Production system j]], 0)</f>
        <v>1.8E-3</v>
      </c>
      <c r="F189" s="20" t="str" cm="1">
        <f t="array" ref="F189">Common_InputFunctions.Utility_DisplayArrayInTable(Common_SourceData.Common_SourceData_EFN2O_Data(), Table_SourceData_Common_EFN2O[[#Headers],[Production system j]], 0)</f>
        <v>Pasture</v>
      </c>
      <c r="G189" s="20" t="str" cm="1">
        <f t="array" ref="G189">Common_InputFunctions.Utility_DisplayArrayInTable(Common_SourceData.Common_SourceData_EFN2O_Data(), Table_SourceData_Common_EFN2O[[#Headers],[Production system j]], 0)</f>
        <v>Not irrigated</v>
      </c>
      <c r="H189" s="20"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0" t="str" cm="1">
        <f t="array" ref="D190">Common_InputFunctions.Utility_DisplayArrayInTable(Common_SourceData.Common_SourceData_EFN2O_Data(), Table_SourceData_Common_EFN2O[[#Headers],[Production system j]], 0)</f>
        <v>Non-irrigated pasture</v>
      </c>
      <c r="E190" s="20" cm="1">
        <f t="array" ref="E190">Common_InputFunctions.Utility_DisplayArrayInTable(Common_SourceData.Common_SourceData_EFN2O_Data(), Table_SourceData_Common_EFN2O[[#Headers],[Production system j]], 0)</f>
        <v>1.8E-3</v>
      </c>
      <c r="F190" s="20" t="str" cm="1">
        <f t="array" ref="F190">Common_InputFunctions.Utility_DisplayArrayInTable(Common_SourceData.Common_SourceData_EFN2O_Data(), Table_SourceData_Common_EFN2O[[#Headers],[Production system j]], 0)</f>
        <v>Pasture</v>
      </c>
      <c r="G190" s="20" t="str" cm="1">
        <f t="array" ref="G190">Common_InputFunctions.Utility_DisplayArrayInTable(Common_SourceData.Common_SourceData_EFN2O_Data(), Table_SourceData_Common_EFN2O[[#Headers],[Production system j]], 0)</f>
        <v>Not irrigated</v>
      </c>
      <c r="H190" s="20"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0" t="str" cm="1">
        <f t="array" ref="D191">Common_InputFunctions.Utility_DisplayArrayInTable(Common_SourceData.Common_SourceData_EFN2O_Data(), Table_SourceData_Common_EFN2O[[#Headers],[Production system j]], 0)</f>
        <v>Non-irrigated crop (low rainfall)</v>
      </c>
      <c r="E191" s="20" cm="1">
        <f t="array" ref="E191">Common_InputFunctions.Utility_DisplayArrayInTable(Common_SourceData.Common_SourceData_EFN2O_Data(), Table_SourceData_Common_EFN2O[[#Headers],[Production system j]], 0)</f>
        <v>2.8999999999999998E-3</v>
      </c>
      <c r="F191" s="20" t="str" cm="1">
        <f t="array" ref="F191">Common_InputFunctions.Utility_DisplayArrayInTable(Common_SourceData.Common_SourceData_EFN2O_Data(), Table_SourceData_Common_EFN2O[[#Headers],[Production system j]], 0)</f>
        <v>Crop</v>
      </c>
      <c r="G191" s="20" t="str" cm="1">
        <f t="array" ref="G191">Common_InputFunctions.Utility_DisplayArrayInTable(Common_SourceData.Common_SourceData_EFN2O_Data(), Table_SourceData_Common_EFN2O[[#Headers],[Production system j]], 0)</f>
        <v>Not irrigated</v>
      </c>
      <c r="H191" s="20"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0" t="str" cm="1">
        <f t="array" ref="D192">Common_InputFunctions.Utility_DisplayArrayInTable(Common_SourceData.Common_SourceData_EFN2O_Data(), Table_SourceData_Common_EFN2O[[#Headers],[Production system j]], 0)</f>
        <v>Non-irrigated crop (high rainfall)</v>
      </c>
      <c r="E192" s="20" cm="1">
        <f t="array" ref="E192">Common_InputFunctions.Utility_DisplayArrayInTable(Common_SourceData.Common_SourceData_EFN2O_Data(), Table_SourceData_Common_EFN2O[[#Headers],[Production system j]], 0)</f>
        <v>8.0000000000000002E-3</v>
      </c>
      <c r="F192" s="20" t="str" cm="1">
        <f t="array" ref="F192">Common_InputFunctions.Utility_DisplayArrayInTable(Common_SourceData.Common_SourceData_EFN2O_Data(), Table_SourceData_Common_EFN2O[[#Headers],[Production system j]], 0)</f>
        <v>Crop</v>
      </c>
      <c r="G192" s="20" t="str" cm="1">
        <f t="array" ref="G192">Common_InputFunctions.Utility_DisplayArrayInTable(Common_SourceData.Common_SourceData_EFN2O_Data(), Table_SourceData_Common_EFN2O[[#Headers],[Production system j]], 0)</f>
        <v>Not irrigated</v>
      </c>
      <c r="H192" s="20"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0" t="str" cm="1">
        <f t="array" ref="D193">Common_InputFunctions.Utility_DisplayArrayInTable(Common_SourceData.Common_SourceData_EFN2O_Data(), Table_SourceData_Common_EFN2O[[#Headers],[Production system j]], 0)</f>
        <v>Sugar</v>
      </c>
      <c r="E193" s="20" cm="1">
        <f t="array" ref="E193">Common_InputFunctions.Utility_DisplayArrayInTable(Common_SourceData.Common_SourceData_EFN2O_Data(), Table_SourceData_Common_EFN2O[[#Headers],[Production system j]], 0)</f>
        <v>1.9900000000000001E-2</v>
      </c>
      <c r="F193" s="20" t="str" cm="1">
        <f t="array" ref="F193">Common_InputFunctions.Utility_DisplayArrayInTable(Common_SourceData.Common_SourceData_EFN2O_Data(), Table_SourceData_Common_EFN2O[[#Headers],[Production system j]], 0)</f>
        <v>Sugar</v>
      </c>
      <c r="G193" s="20" t="str" cm="1">
        <f t="array" ref="G193">Common_InputFunctions.Utility_DisplayArrayInTable(Common_SourceData.Common_SourceData_EFN2O_Data(), Table_SourceData_Common_EFN2O[[#Headers],[Production system j]], 0)</f>
        <v>Any</v>
      </c>
      <c r="H193" s="20" t="str" cm="1">
        <f t="array" ref="H193">Common_InputFunctions.Utility_DisplayArrayInTable(Common_SourceData.Common_SourceData_EFN2O_Data(), Table_SourceData_Common_EFN2O[[#Headers],[Production system j]], 0)</f>
        <v>Any</v>
      </c>
    </row>
    <row r="194" spans="4:8" ht="20.100000000000001" customHeight="1" x14ac:dyDescent="0.25">
      <c r="D194" s="20" t="str" cm="1">
        <f t="array" ref="D194">Common_InputFunctions.Utility_DisplayArrayInTable(Common_SourceData.Common_SourceData_EFN2O_Data(), Table_SourceData_Common_EFN2O[[#Headers],[Production system j]], 0)</f>
        <v>Cotton</v>
      </c>
      <c r="E194" s="20" cm="1">
        <f t="array" ref="E194">Common_InputFunctions.Utility_DisplayArrayInTable(Common_SourceData.Common_SourceData_EFN2O_Data(), Table_SourceData_Common_EFN2O[[#Headers],[Production system j]], 0)</f>
        <v>5.3E-3</v>
      </c>
      <c r="F194" s="20" t="str" cm="1">
        <f t="array" ref="F194">Common_InputFunctions.Utility_DisplayArrayInTable(Common_SourceData.Common_SourceData_EFN2O_Data(), Table_SourceData_Common_EFN2O[[#Headers],[Production system j]], 0)</f>
        <v>Cotton</v>
      </c>
      <c r="G194" s="20" t="str" cm="1">
        <f t="array" ref="G194">Common_InputFunctions.Utility_DisplayArrayInTable(Common_SourceData.Common_SourceData_EFN2O_Data(), Table_SourceData_Common_EFN2O[[#Headers],[Production system j]], 0)</f>
        <v>Any</v>
      </c>
      <c r="H194" s="20" t="str" cm="1">
        <f t="array" ref="H194">Common_InputFunctions.Utility_DisplayArrayInTable(Common_SourceData.Common_SourceData_EFN2O_Data(), Table_SourceData_Common_EFN2O[[#Headers],[Production system j]], 0)</f>
        <v>Any</v>
      </c>
    </row>
    <row r="195" spans="4:8" ht="20.100000000000001" customHeight="1" x14ac:dyDescent="0.25">
      <c r="D195" s="20" t="str" cm="1">
        <f t="array" ref="D195">Common_InputFunctions.Utility_DisplayArrayInTable(Common_SourceData.Common_SourceData_EFN2O_Data(), Table_SourceData_Common_EFN2O[[#Headers],[Production system j]], 0)</f>
        <v>Horticultural crops</v>
      </c>
      <c r="E195" s="20" cm="1">
        <f t="array" ref="E195">Common_InputFunctions.Utility_DisplayArrayInTable(Common_SourceData.Common_SourceData_EFN2O_Data(), Table_SourceData_Common_EFN2O[[#Headers],[Production system j]], 0)</f>
        <v>6.4000000000000003E-3</v>
      </c>
      <c r="F195" s="20" t="str" cm="1">
        <f t="array" ref="F195">Common_InputFunctions.Utility_DisplayArrayInTable(Common_SourceData.Common_SourceData_EFN2O_Data(), Table_SourceData_Common_EFN2O[[#Headers],[Production system j]], 0)</f>
        <v>Horticultural crops</v>
      </c>
      <c r="G195" s="20" t="str" cm="1">
        <f t="array" ref="G195">Common_InputFunctions.Utility_DisplayArrayInTable(Common_SourceData.Common_SourceData_EFN2O_Data(), Table_SourceData_Common_EFN2O[[#Headers],[Production system j]], 0)</f>
        <v>Any</v>
      </c>
      <c r="H195" s="20" t="str" cm="1">
        <f t="array" ref="H195">Common_InputFunctions.Utility_DisplayArrayInTable(Common_SourceData.Common_SourceData_EFN2O_Data(), Table_SourceData_Common_EFN2O[[#Headers],[Production system j]], 0)</f>
        <v>Any</v>
      </c>
    </row>
    <row r="196" spans="4:8" ht="20.100000000000001" customHeight="1" x14ac:dyDescent="0.25">
      <c r="D196" s="20" t="str" cm="1">
        <f t="array" ref="D196">Common_InputFunctions.Utility_DisplayArrayInTable(Common_SourceData.Common_SourceData_EFN2O_Data(), Table_SourceData_Common_EFN2O[[#Headers],[Production system j]], 0)</f>
        <v>Rice (continuous flooding)</v>
      </c>
      <c r="E196" s="20" cm="1">
        <f t="array" ref="E196">Common_InputFunctions.Utility_DisplayArrayInTable(Common_SourceData.Common_SourceData_EFN2O_Data(), Table_SourceData_Common_EFN2O[[#Headers],[Production system j]], 0)</f>
        <v>3.0000000000000001E-3</v>
      </c>
      <c r="F196" s="20" t="str" cm="1">
        <f t="array" ref="F196">Common_InputFunctions.Utility_DisplayArrayInTable(Common_SourceData.Common_SourceData_EFN2O_Data(), Table_SourceData_Common_EFN2O[[#Headers],[Production system j]], 0)</f>
        <v>Rice</v>
      </c>
      <c r="G196" s="20" t="str" cm="1">
        <f t="array" ref="G196">Common_InputFunctions.Utility_DisplayArrayInTable(Common_SourceData.Common_SourceData_EFN2O_Data(), Table_SourceData_Common_EFN2O[[#Headers],[Production system j]], 0)</f>
        <v>Continuous flooding</v>
      </c>
      <c r="H196" s="20" t="str" cm="1">
        <f t="array" ref="H196">Common_InputFunctions.Utility_DisplayArrayInTable(Common_SourceData.Common_SourceData_EFN2O_Data(), Table_SourceData_Common_EFN2O[[#Headers],[Production system j]], 0)</f>
        <v>Any</v>
      </c>
    </row>
    <row r="197" spans="4:8" x14ac:dyDescent="0.25">
      <c r="D197" s="20" t="str" cm="1">
        <f t="array" ref="D197">Common_InputFunctions.Utility_DisplayArrayInTable(Common_SourceData.Common_SourceData_EFN2O_Data(), Table_SourceData_Common_EFN2O[[#Headers],[Production system j]], 0)</f>
        <v>Rice (single and multiple drainage, or alternate wetting and drying)</v>
      </c>
      <c r="E197" s="20" cm="1">
        <f t="array" ref="E197">Common_InputFunctions.Utility_DisplayArrayInTable(Common_SourceData.Common_SourceData_EFN2O_Data(), Table_SourceData_Common_EFN2O[[#Headers],[Production system j]], 0)</f>
        <v>5.0000000000000001E-3</v>
      </c>
      <c r="F197" s="20" t="str" cm="1">
        <f t="array" ref="F197">Common_InputFunctions.Utility_DisplayArrayInTable(Common_SourceData.Common_SourceData_EFN2O_Data(), Table_SourceData_Common_EFN2O[[#Headers],[Production system j]], 0)</f>
        <v>Rice</v>
      </c>
      <c r="G197" s="20" t="str" cm="1">
        <f t="array" ref="G197">Common_InputFunctions.Utility_DisplayArrayInTable(Common_SourceData.Common_SourceData_EFN2O_Data(), Table_SourceData_Common_EFN2O[[#Headers],[Production system j]], 0)</f>
        <v>Single and multiple drainage, or alternate wetting and drying</v>
      </c>
      <c r="H197" s="20" t="str" cm="1">
        <f t="array" ref="H197">Common_InputFunctions.Utility_DisplayArrayInTable(Common_SourceData.Common_SourceData_EFN2O_Data(), Table_SourceData_Common_EFN2O[[#Headers],[Production system j]], 0)</f>
        <v>Any</v>
      </c>
    </row>
    <row r="198" spans="4:8" x14ac:dyDescent="0.25">
      <c r="D198" s="20" t="str" cm="1">
        <f t="array" ref="D198">Common_InputFunctions.Utility_DisplayArrayInTable(Common_SourceData.Common_SourceData_EFN2O_Data(), Table_SourceData_Common_EFN2O[[#Headers],[Production system j]], 0)</f>
        <v>Aquaculture</v>
      </c>
      <c r="E198" s="20" cm="1">
        <f t="array" ref="E198">Common_InputFunctions.Utility_DisplayArrayInTable(Common_SourceData.Common_SourceData_EFN2O_Data(), Table_SourceData_Common_EFN2O[[#Headers],[Production system j]], 0)</f>
        <v>2.5999999999999999E-3</v>
      </c>
      <c r="F198" s="20" t="str" cm="1">
        <f t="array" ref="F198">Common_InputFunctions.Utility_DisplayArrayInTable(Common_SourceData.Common_SourceData_EFN2O_Data(), Table_SourceData_Common_EFN2O[[#Headers],[Production system j]], 0)</f>
        <v>Aquaculture</v>
      </c>
      <c r="G198" s="20" t="str" cm="1">
        <f t="array" ref="G198">Common_InputFunctions.Utility_DisplayArrayInTable(Common_SourceData.Common_SourceData_EFN2O_Data(), Table_SourceData_Common_EFN2O[[#Headers],[Production system j]], 0)</f>
        <v>Any</v>
      </c>
      <c r="H198" s="20" t="str" cm="1">
        <f t="array" ref="H198">Common_InputFunctions.Utility_DisplayArrayInTable(Common_SourceData.Common_SourceData_EFN2O_Data(), Table_SourceData_Common_EFN2O[[#Headers],[Production system j]], 0)</f>
        <v>Any</v>
      </c>
    </row>
    <row r="199" spans="4:8" x14ac:dyDescent="0.25">
      <c r="D199" s="20" t="str" cm="1">
        <f t="array" ref="D199">Common_InputFunctions.Utility_DisplayArrayInTable(Common_SourceData.Common_SourceData_EFN2O_Data(), Table_SourceData_Common_EFN2O[[#Headers],[Production system j]], 0)</f>
        <v>Forestry</v>
      </c>
      <c r="E199" s="20" cm="1">
        <f t="array" ref="E199">Common_InputFunctions.Utility_DisplayArrayInTable(Common_SourceData.Common_SourceData_EFN2O_Data(), Table_SourceData_Common_EFN2O[[#Headers],[Production system j]], 0)</f>
        <v>1.8E-3</v>
      </c>
      <c r="F199" s="20" t="str" cm="1">
        <f t="array" ref="F199">Common_InputFunctions.Utility_DisplayArrayInTable(Common_SourceData.Common_SourceData_EFN2O_Data(), Table_SourceData_Common_EFN2O[[#Headers],[Production system j]], 0)</f>
        <v>Forestry</v>
      </c>
      <c r="G199" s="20" t="str" cm="1">
        <f t="array" ref="G199">Common_InputFunctions.Utility_DisplayArrayInTable(Common_SourceData.Common_SourceData_EFN2O_Data(), Table_SourceData_Common_EFN2O[[#Headers],[Production system j]], 0)</f>
        <v>Any</v>
      </c>
      <c r="H199" s="20" t="str" cm="1">
        <f t="array" ref="H199">Common_InputFunctions.Utility_DisplayArrayInTable(Common_SourceData.Common_SourceData_EFN2O_Data(), Table_SourceData_Common_EFN2O[[#Headers],[Production system j]], 0)</f>
        <v>Any</v>
      </c>
    </row>
    <row r="202" spans="4:8" ht="23.25" x14ac:dyDescent="0.25">
      <c r="D202" s="2" t="str" cm="1">
        <f t="array" ref="D202">Common_SourceData.Common_SourceData_EFPastureRangeAndPaddock_Title()</f>
        <v>Emission factor for urine and dung deposited on pasture, range or paddock</v>
      </c>
    </row>
    <row r="203" spans="4:8" x14ac:dyDescent="0.25">
      <c r="D203" s="18" t="str" cm="1">
        <f t="array" ref="D203">Common_SourceData.Common_SourceData_EFPastureRangeAndPaddock_Source()</f>
        <v>VEERG 2026: Table A.2.2.2</v>
      </c>
    </row>
    <row r="204" spans="4:8" x14ac:dyDescent="0.25">
      <c r="D204" s="26" t="str" cm="1">
        <f t="array" ref="D204">Common_SourceData.Common_SourceData_EFPastureRangeAndPaddock_Variation()</f>
        <v>VARIATION FROM SOURCE DATA: Changed 'Dry climate zones' to singular 'Dry climate zone' to aid lookup.</v>
      </c>
    </row>
    <row r="205" spans="4:8" x14ac:dyDescent="0.25">
      <c r="D205" s="10" t="str" cm="1">
        <f t="array" ref="D205">Common_SourceData.Common_SourceData_EFPastureRangeAndPaddock_Unit()</f>
        <v>kg N2O - N / kg N</v>
      </c>
    </row>
    <row r="206" spans="4:8" x14ac:dyDescent="0.25">
      <c r="D206" s="20" t="s">
        <v>32</v>
      </c>
      <c r="E206" s="20" t="s">
        <v>66</v>
      </c>
    </row>
    <row r="207" spans="4:8" x14ac:dyDescent="0.25">
      <c r="D207" s="20" t="str" cm="1">
        <f t="array" ref="D207">Common_InputFunctions.Utility_DisplayArrayInTable(Common_SourceData.Common_SourceData_EFPastureRangeAndPaddock_Data(), Table_SourceData_EFPastureRangeAndPaddock[[#Headers],[Climate zone]], 0)</f>
        <v>Wet climate zone</v>
      </c>
      <c r="E207" s="20"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0"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0" t="s">
        <v>67</v>
      </c>
      <c r="E212" s="20" t="s">
        <v>68</v>
      </c>
    </row>
    <row r="213" spans="4:5" x14ac:dyDescent="0.25">
      <c r="D213" s="20" t="str" cm="1">
        <f t="array" ref="D213">Common_InputFunctions.Utility_DisplayArrayInTable(Common_SourceData.Common_SourceData_MonthsToSeasons_Data(), Table_SourceData_Common_MonthToSeason[[#Headers],[Month]], 0)</f>
        <v>January</v>
      </c>
      <c r="E213" s="20"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0"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0"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0"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0"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0"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0"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0"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0"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0"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0"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0" t="str" cm="1">
        <f t="array" ref="E224">Common_InputFunctions.Utility_DisplayArrayInTable(Common_SourceData.Common_SourceData_MonthsToSeasons_Data(), Table_SourceData_Common_MonthToSeason[[#Headers],[Month]], 0)</f>
        <v>Summer</v>
      </c>
    </row>
    <row r="227" spans="4:19" ht="23.25" x14ac:dyDescent="0.25">
      <c r="D227" s="2" t="str" cm="1">
        <f t="array" ref="D227">Common_SourceData.Common_SourceData_MCFTemperatureZone_Title()</f>
        <v>Manure Management – Methane conversion factor per temperature zone (fraction) (MCFim)</v>
      </c>
    </row>
    <row r="228" spans="4:19" x14ac:dyDescent="0.25">
      <c r="D228" s="18" t="str" cm="1">
        <f t="array" ref="D228">Common_SourceData.Common_SourceData_MCFTemperatureZone_Source()</f>
        <v>VEERG 2026: Table A.1.8.1</v>
      </c>
    </row>
    <row r="229" spans="4:19" x14ac:dyDescent="0.25">
      <c r="D229" s="26"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0" t="s">
        <v>69</v>
      </c>
      <c r="E231" s="20" t="s">
        <v>70</v>
      </c>
      <c r="F231" s="27" t="s">
        <v>71</v>
      </c>
      <c r="G231" s="20" t="s">
        <v>72</v>
      </c>
      <c r="H231" s="20" t="s">
        <v>73</v>
      </c>
      <c r="I231" s="20" t="s">
        <v>74</v>
      </c>
      <c r="J231" s="20" t="s">
        <v>75</v>
      </c>
      <c r="K231" s="20" t="s">
        <v>76</v>
      </c>
      <c r="L231" s="20" t="s">
        <v>77</v>
      </c>
      <c r="M231" s="20" t="s">
        <v>78</v>
      </c>
      <c r="N231" s="20" t="s">
        <v>79</v>
      </c>
      <c r="O231" s="20" t="s">
        <v>80</v>
      </c>
      <c r="P231" s="20" t="s">
        <v>81</v>
      </c>
      <c r="Q231" s="20" t="s">
        <v>82</v>
      </c>
      <c r="R231" s="20" t="s">
        <v>83</v>
      </c>
      <c r="S231" s="20" t="s">
        <v>84</v>
      </c>
    </row>
    <row r="232" spans="4:19" x14ac:dyDescent="0.25">
      <c r="D232" s="20" t="str" cm="1">
        <f t="array" ref="D232">Common_InputFunctions.Utility_DisplayArrayInTable(Common_SourceData.Common_SourceData_MCFTemperatureZone_Data(),Table_SourceData_Common_MCFTemperatureZone[[#Headers],[Temperature zone]],0)</f>
        <v>Cool</v>
      </c>
      <c r="E232" s="20" t="str" cm="1">
        <f t="array" ref="E232">Common_InputFunctions.Utility_DisplayArrayInTable(Common_SourceData.Common_SourceData_MCFTemperatureZone_Data(),Table_SourceData_Common_MCFTemperatureZone[[#Headers],[Temperature zone]],0)</f>
        <v>≤10</v>
      </c>
      <c r="F232" s="20" cm="1">
        <f t="array" ref="F232">Common_InputFunctions.Utility_DisplayArrayInTable(Common_SourceData.Common_SourceData_MCFTemperatureZone_Data(),Table_SourceData_Common_MCFTemperatureZone[[#Headers],[Temperature zone]],0)</f>
        <v>0.66</v>
      </c>
      <c r="G232" s="20" cm="1">
        <f t="array" ref="G232">Common_InputFunctions.Utility_DisplayArrayInTable(Common_SourceData.Common_SourceData_MCFTemperatureZone_Data(),Table_SourceData_Common_MCFTemperatureZone[[#Headers],[Temperature zone]],0)</f>
        <v>0.1</v>
      </c>
      <c r="H232" s="20" cm="1">
        <f t="array" ref="H232">Common_InputFunctions.Utility_DisplayArrayInTable(Common_SourceData.Common_SourceData_MCFTemperatureZone_Data(),Table_SourceData_Common_MCFTemperatureZone[[#Headers],[Temperature zone]],0)</f>
        <v>0.1</v>
      </c>
      <c r="I232" s="20" cm="1">
        <f t="array" ref="I232">Common_InputFunctions.Utility_DisplayArrayInTable(Common_SourceData.Common_SourceData_MCFTemperatureZone_Data(),Table_SourceData_Common_MCFTemperatureZone[[#Headers],[Temperature zone]],0)</f>
        <v>1E-3</v>
      </c>
      <c r="J232" s="20" cm="1">
        <f t="array" ref="J232">Common_InputFunctions.Utility_DisplayArrayInTable(Common_SourceData.Common_SourceData_MCFTemperatureZone_Data(),Table_SourceData_Common_MCFTemperatureZone[[#Headers],[Temperature zone]],0)</f>
        <v>5.0000000000000001E-3</v>
      </c>
      <c r="K232" s="20" cm="1">
        <f t="array" ref="K232">Common_InputFunctions.Utility_DisplayArrayInTable(Common_SourceData.Common_SourceData_MCFTemperatureZone_Data(),Table_SourceData_Common_MCFTemperatureZone[[#Headers],[Temperature zone]],0)</f>
        <v>0.02</v>
      </c>
      <c r="L232" s="20" cm="1">
        <f t="array" ref="L232">Common_InputFunctions.Utility_DisplayArrayInTable(Common_SourceData.Common_SourceData_MCFTemperatureZone_Data(),Table_SourceData_Common_MCFTemperatureZone[[#Headers],[Temperature zone]],0)</f>
        <v>0.03</v>
      </c>
      <c r="M232" s="20" cm="1">
        <f t="array" ref="M232">Common_InputFunctions.Utility_DisplayArrayInTable(Common_SourceData.Common_SourceData_MCFTemperatureZone_Data(),Table_SourceData_Common_MCFTemperatureZone[[#Headers],[Temperature zone]],0)</f>
        <v>0.04</v>
      </c>
      <c r="N232" s="20" cm="1">
        <f t="array" ref="N232">Common_InputFunctions.Utility_DisplayArrayInTable(Common_SourceData.Common_SourceData_MCFTemperatureZone_Data(),Table_SourceData_Common_MCFTemperatureZone[[#Headers],[Temperature zone]],0)</f>
        <v>1.4999999999999999E-2</v>
      </c>
      <c r="O232" s="20" cm="1">
        <f t="array" ref="O232">Common_InputFunctions.Utility_DisplayArrayInTable(Common_SourceData.Common_SourceData_MCFTemperatureZone_Data(),Table_SourceData_Common_MCFTemperatureZone[[#Headers],[Temperature zone]],0)</f>
        <v>1.4999999999999999E-2</v>
      </c>
      <c r="P232" s="20" cm="1">
        <f t="array" ref="P232">Common_InputFunctions.Utility_DisplayArrayInTable(Common_SourceData.Common_SourceData_MCFTemperatureZone_Data(),Table_SourceData_Common_MCFTemperatureZone[[#Headers],[Temperature zone]],0)</f>
        <v>0</v>
      </c>
      <c r="Q232" s="20" cm="1">
        <f t="array" ref="Q232">Common_InputFunctions.Utility_DisplayArrayInTable(Common_SourceData.Common_SourceData_MCFTemperatureZone_Data(),Table_SourceData_Common_MCFTemperatureZone[[#Headers],[Temperature zone]],0)</f>
        <v>0</v>
      </c>
      <c r="R232" s="20" cm="1">
        <f t="array" ref="R232">Common_InputFunctions.Utility_DisplayArrayInTable(Common_SourceData.Common_SourceData_MCFTemperatureZone_Data(),Table_SourceData_Common_MCFTemperatureZone[[#Headers],[Temperature zone]],0)</f>
        <v>4.7000000000000002E-3</v>
      </c>
      <c r="S232" s="20"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0" cm="1">
        <f t="array" ref="E233">Common_InputFunctions.Utility_DisplayArrayInTable(Common_SourceData.Common_SourceData_MCFTemperatureZone_Data(),Table_SourceData_Common_MCFTemperatureZone[[#Headers],[Temperature zone]],0)</f>
        <v>11</v>
      </c>
      <c r="F233" s="20" cm="1">
        <f t="array" ref="F233">Common_InputFunctions.Utility_DisplayArrayInTable(Common_SourceData.Common_SourceData_MCFTemperatureZone_Data(),Table_SourceData_Common_MCFTemperatureZone[[#Headers],[Temperature zone]],0)</f>
        <v>0.68</v>
      </c>
      <c r="G233" s="20" cm="1">
        <f t="array" ref="G233">Common_InputFunctions.Utility_DisplayArrayInTable(Common_SourceData.Common_SourceData_MCFTemperatureZone_Data(),Table_SourceData_Common_MCFTemperatureZone[[#Headers],[Temperature zone]],0)</f>
        <v>0.1</v>
      </c>
      <c r="H233" s="20" cm="1">
        <f t="array" ref="H233">Common_InputFunctions.Utility_DisplayArrayInTable(Common_SourceData.Common_SourceData_MCFTemperatureZone_Data(),Table_SourceData_Common_MCFTemperatureZone[[#Headers],[Temperature zone]],0)</f>
        <v>0.11</v>
      </c>
      <c r="I233" s="20" cm="1">
        <f t="array" ref="I233">Common_InputFunctions.Utility_DisplayArrayInTable(Common_SourceData.Common_SourceData_MCFTemperatureZone_Data(),Table_SourceData_Common_MCFTemperatureZone[[#Headers],[Temperature zone]],0)</f>
        <v>1E-3</v>
      </c>
      <c r="J233" s="20" cm="1">
        <f t="array" ref="J233">Common_InputFunctions.Utility_DisplayArrayInTable(Common_SourceData.Common_SourceData_MCFTemperatureZone_Data(),Table_SourceData_Common_MCFTemperatureZone[[#Headers],[Temperature zone]],0)</f>
        <v>5.0000000000000001E-3</v>
      </c>
      <c r="K233" s="20" cm="1">
        <f t="array" ref="K233">Common_InputFunctions.Utility_DisplayArrayInTable(Common_SourceData.Common_SourceData_MCFTemperatureZone_Data(),Table_SourceData_Common_MCFTemperatureZone[[#Headers],[Temperature zone]],0)</f>
        <v>0.02</v>
      </c>
      <c r="L233" s="20" cm="1">
        <f t="array" ref="L233">Common_InputFunctions.Utility_DisplayArrayInTable(Common_SourceData.Common_SourceData_MCFTemperatureZone_Data(),Table_SourceData_Common_MCFTemperatureZone[[#Headers],[Temperature zone]],0)</f>
        <v>0.03</v>
      </c>
      <c r="M233" s="20" cm="1">
        <f t="array" ref="M233">Common_InputFunctions.Utility_DisplayArrayInTable(Common_SourceData.Common_SourceData_MCFTemperatureZone_Data(),Table_SourceData_Common_MCFTemperatureZone[[#Headers],[Temperature zone]],0)</f>
        <v>0.04</v>
      </c>
      <c r="N233" s="20" cm="1">
        <f t="array" ref="N233">Common_InputFunctions.Utility_DisplayArrayInTable(Common_SourceData.Common_SourceData_MCFTemperatureZone_Data(),Table_SourceData_Common_MCFTemperatureZone[[#Headers],[Temperature zone]],0)</f>
        <v>1.4999999999999999E-2</v>
      </c>
      <c r="O233" s="20" cm="1">
        <f t="array" ref="O233">Common_InputFunctions.Utility_DisplayArrayInTable(Common_SourceData.Common_SourceData_MCFTemperatureZone_Data(),Table_SourceData_Common_MCFTemperatureZone[[#Headers],[Temperature zone]],0)</f>
        <v>1.4999999999999999E-2</v>
      </c>
      <c r="P233" s="20" cm="1">
        <f t="array" ref="P233">Common_InputFunctions.Utility_DisplayArrayInTable(Common_SourceData.Common_SourceData_MCFTemperatureZone_Data(),Table_SourceData_Common_MCFTemperatureZone[[#Headers],[Temperature zone]],0)</f>
        <v>0</v>
      </c>
      <c r="Q233" s="20" cm="1">
        <f t="array" ref="Q233">Common_InputFunctions.Utility_DisplayArrayInTable(Common_SourceData.Common_SourceData_MCFTemperatureZone_Data(),Table_SourceData_Common_MCFTemperatureZone[[#Headers],[Temperature zone]],0)</f>
        <v>0</v>
      </c>
      <c r="R233" s="20" cm="1">
        <f t="array" ref="R233">Common_InputFunctions.Utility_DisplayArrayInTable(Common_SourceData.Common_SourceData_MCFTemperatureZone_Data(),Table_SourceData_Common_MCFTemperatureZone[[#Headers],[Temperature zone]],0)</f>
        <v>4.7000000000000002E-3</v>
      </c>
      <c r="S233" s="20"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0" cm="1">
        <f t="array" ref="E234">Common_InputFunctions.Utility_DisplayArrayInTable(Common_SourceData.Common_SourceData_MCFTemperatureZone_Data(),Table_SourceData_Common_MCFTemperatureZone[[#Headers],[Temperature zone]],0)</f>
        <v>12</v>
      </c>
      <c r="F234" s="20" cm="1">
        <f t="array" ref="F234">Common_InputFunctions.Utility_DisplayArrayInTable(Common_SourceData.Common_SourceData_MCFTemperatureZone_Data(),Table_SourceData_Common_MCFTemperatureZone[[#Headers],[Temperature zone]],0)</f>
        <v>0.7</v>
      </c>
      <c r="G234" s="20" cm="1">
        <f t="array" ref="G234">Common_InputFunctions.Utility_DisplayArrayInTable(Common_SourceData.Common_SourceData_MCFTemperatureZone_Data(),Table_SourceData_Common_MCFTemperatureZone[[#Headers],[Temperature zone]],0)</f>
        <v>0.1</v>
      </c>
      <c r="H234" s="20" cm="1">
        <f t="array" ref="H234">Common_InputFunctions.Utility_DisplayArrayInTable(Common_SourceData.Common_SourceData_MCFTemperatureZone_Data(),Table_SourceData_Common_MCFTemperatureZone[[#Headers],[Temperature zone]],0)</f>
        <v>0.13</v>
      </c>
      <c r="I234" s="20" cm="1">
        <f t="array" ref="I234">Common_InputFunctions.Utility_DisplayArrayInTable(Common_SourceData.Common_SourceData_MCFTemperatureZone_Data(),Table_SourceData_Common_MCFTemperatureZone[[#Headers],[Temperature zone]],0)</f>
        <v>1E-3</v>
      </c>
      <c r="J234" s="20" cm="1">
        <f t="array" ref="J234">Common_InputFunctions.Utility_DisplayArrayInTable(Common_SourceData.Common_SourceData_MCFTemperatureZone_Data(),Table_SourceData_Common_MCFTemperatureZone[[#Headers],[Temperature zone]],0)</f>
        <v>5.0000000000000001E-3</v>
      </c>
      <c r="K234" s="20" cm="1">
        <f t="array" ref="K234">Common_InputFunctions.Utility_DisplayArrayInTable(Common_SourceData.Common_SourceData_MCFTemperatureZone_Data(),Table_SourceData_Common_MCFTemperatureZone[[#Headers],[Temperature zone]],0)</f>
        <v>0.02</v>
      </c>
      <c r="L234" s="20" cm="1">
        <f t="array" ref="L234">Common_InputFunctions.Utility_DisplayArrayInTable(Common_SourceData.Common_SourceData_MCFTemperatureZone_Data(),Table_SourceData_Common_MCFTemperatureZone[[#Headers],[Temperature zone]],0)</f>
        <v>0.03</v>
      </c>
      <c r="M234" s="20" cm="1">
        <f t="array" ref="M234">Common_InputFunctions.Utility_DisplayArrayInTable(Common_SourceData.Common_SourceData_MCFTemperatureZone_Data(),Table_SourceData_Common_MCFTemperatureZone[[#Headers],[Temperature zone]],0)</f>
        <v>0.04</v>
      </c>
      <c r="N234" s="20" cm="1">
        <f t="array" ref="N234">Common_InputFunctions.Utility_DisplayArrayInTable(Common_SourceData.Common_SourceData_MCFTemperatureZone_Data(),Table_SourceData_Common_MCFTemperatureZone[[#Headers],[Temperature zone]],0)</f>
        <v>1.4999999999999999E-2</v>
      </c>
      <c r="O234" s="20" cm="1">
        <f t="array" ref="O234">Common_InputFunctions.Utility_DisplayArrayInTable(Common_SourceData.Common_SourceData_MCFTemperatureZone_Data(),Table_SourceData_Common_MCFTemperatureZone[[#Headers],[Temperature zone]],0)</f>
        <v>1.4999999999999999E-2</v>
      </c>
      <c r="P234" s="20" cm="1">
        <f t="array" ref="P234">Common_InputFunctions.Utility_DisplayArrayInTable(Common_SourceData.Common_SourceData_MCFTemperatureZone_Data(),Table_SourceData_Common_MCFTemperatureZone[[#Headers],[Temperature zone]],0)</f>
        <v>0</v>
      </c>
      <c r="Q234" s="20" cm="1">
        <f t="array" ref="Q234">Common_InputFunctions.Utility_DisplayArrayInTable(Common_SourceData.Common_SourceData_MCFTemperatureZone_Data(),Table_SourceData_Common_MCFTemperatureZone[[#Headers],[Temperature zone]],0)</f>
        <v>0</v>
      </c>
      <c r="R234" s="20" cm="1">
        <f t="array" ref="R234">Common_InputFunctions.Utility_DisplayArrayInTable(Common_SourceData.Common_SourceData_MCFTemperatureZone_Data(),Table_SourceData_Common_MCFTemperatureZone[[#Headers],[Temperature zone]],0)</f>
        <v>4.7000000000000002E-3</v>
      </c>
      <c r="S234" s="20"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0" cm="1">
        <f t="array" ref="E235">Common_InputFunctions.Utility_DisplayArrayInTable(Common_SourceData.Common_SourceData_MCFTemperatureZone_Data(),Table_SourceData_Common_MCFTemperatureZone[[#Headers],[Temperature zone]],0)</f>
        <v>13</v>
      </c>
      <c r="F235" s="20" cm="1">
        <f t="array" ref="F235">Common_InputFunctions.Utility_DisplayArrayInTable(Common_SourceData.Common_SourceData_MCFTemperatureZone_Data(),Table_SourceData_Common_MCFTemperatureZone[[#Headers],[Temperature zone]],0)</f>
        <v>0.71</v>
      </c>
      <c r="G235" s="20" cm="1">
        <f t="array" ref="G235">Common_InputFunctions.Utility_DisplayArrayInTable(Common_SourceData.Common_SourceData_MCFTemperatureZone_Data(),Table_SourceData_Common_MCFTemperatureZone[[#Headers],[Temperature zone]],0)</f>
        <v>0.1</v>
      </c>
      <c r="H235" s="20" cm="1">
        <f t="array" ref="H235">Common_InputFunctions.Utility_DisplayArrayInTable(Common_SourceData.Common_SourceData_MCFTemperatureZone_Data(),Table_SourceData_Common_MCFTemperatureZone[[#Headers],[Temperature zone]],0)</f>
        <v>0.14000000000000001</v>
      </c>
      <c r="I235" s="20" cm="1">
        <f t="array" ref="I235">Common_InputFunctions.Utility_DisplayArrayInTable(Common_SourceData.Common_SourceData_MCFTemperatureZone_Data(),Table_SourceData_Common_MCFTemperatureZone[[#Headers],[Temperature zone]],0)</f>
        <v>1E-3</v>
      </c>
      <c r="J235" s="20" cm="1">
        <f t="array" ref="J235">Common_InputFunctions.Utility_DisplayArrayInTable(Common_SourceData.Common_SourceData_MCFTemperatureZone_Data(),Table_SourceData_Common_MCFTemperatureZone[[#Headers],[Temperature zone]],0)</f>
        <v>5.0000000000000001E-3</v>
      </c>
      <c r="K235" s="20" cm="1">
        <f t="array" ref="K235">Common_InputFunctions.Utility_DisplayArrayInTable(Common_SourceData.Common_SourceData_MCFTemperatureZone_Data(),Table_SourceData_Common_MCFTemperatureZone[[#Headers],[Temperature zone]],0)</f>
        <v>0.02</v>
      </c>
      <c r="L235" s="20" cm="1">
        <f t="array" ref="L235">Common_InputFunctions.Utility_DisplayArrayInTable(Common_SourceData.Common_SourceData_MCFTemperatureZone_Data(),Table_SourceData_Common_MCFTemperatureZone[[#Headers],[Temperature zone]],0)</f>
        <v>0.03</v>
      </c>
      <c r="M235" s="20" cm="1">
        <f t="array" ref="M235">Common_InputFunctions.Utility_DisplayArrayInTable(Common_SourceData.Common_SourceData_MCFTemperatureZone_Data(),Table_SourceData_Common_MCFTemperatureZone[[#Headers],[Temperature zone]],0)</f>
        <v>0.04</v>
      </c>
      <c r="N235" s="20" cm="1">
        <f t="array" ref="N235">Common_InputFunctions.Utility_DisplayArrayInTable(Common_SourceData.Common_SourceData_MCFTemperatureZone_Data(),Table_SourceData_Common_MCFTemperatureZone[[#Headers],[Temperature zone]],0)</f>
        <v>1.4999999999999999E-2</v>
      </c>
      <c r="O235" s="20" cm="1">
        <f t="array" ref="O235">Common_InputFunctions.Utility_DisplayArrayInTable(Common_SourceData.Common_SourceData_MCFTemperatureZone_Data(),Table_SourceData_Common_MCFTemperatureZone[[#Headers],[Temperature zone]],0)</f>
        <v>1.4999999999999999E-2</v>
      </c>
      <c r="P235" s="20" cm="1">
        <f t="array" ref="P235">Common_InputFunctions.Utility_DisplayArrayInTable(Common_SourceData.Common_SourceData_MCFTemperatureZone_Data(),Table_SourceData_Common_MCFTemperatureZone[[#Headers],[Temperature zone]],0)</f>
        <v>0</v>
      </c>
      <c r="Q235" s="20" cm="1">
        <f t="array" ref="Q235">Common_InputFunctions.Utility_DisplayArrayInTable(Common_SourceData.Common_SourceData_MCFTemperatureZone_Data(),Table_SourceData_Common_MCFTemperatureZone[[#Headers],[Temperature zone]],0)</f>
        <v>0</v>
      </c>
      <c r="R235" s="20" cm="1">
        <f t="array" ref="R235">Common_InputFunctions.Utility_DisplayArrayInTable(Common_SourceData.Common_SourceData_MCFTemperatureZone_Data(),Table_SourceData_Common_MCFTemperatureZone[[#Headers],[Temperature zone]],0)</f>
        <v>4.7000000000000002E-3</v>
      </c>
      <c r="S235" s="20"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0" cm="1">
        <f t="array" ref="E236">Common_InputFunctions.Utility_DisplayArrayInTable(Common_SourceData.Common_SourceData_MCFTemperatureZone_Data(),Table_SourceData_Common_MCFTemperatureZone[[#Headers],[Temperature zone]],0)</f>
        <v>14</v>
      </c>
      <c r="F236" s="20" cm="1">
        <f t="array" ref="F236">Common_InputFunctions.Utility_DisplayArrayInTable(Common_SourceData.Common_SourceData_MCFTemperatureZone_Data(),Table_SourceData_Common_MCFTemperatureZone[[#Headers],[Temperature zone]],0)</f>
        <v>0.73</v>
      </c>
      <c r="G236" s="20" cm="1">
        <f t="array" ref="G236">Common_InputFunctions.Utility_DisplayArrayInTable(Common_SourceData.Common_SourceData_MCFTemperatureZone_Data(),Table_SourceData_Common_MCFTemperatureZone[[#Headers],[Temperature zone]],0)</f>
        <v>0.1</v>
      </c>
      <c r="H236" s="20" cm="1">
        <f t="array" ref="H236">Common_InputFunctions.Utility_DisplayArrayInTable(Common_SourceData.Common_SourceData_MCFTemperatureZone_Data(),Table_SourceData_Common_MCFTemperatureZone[[#Headers],[Temperature zone]],0)</f>
        <v>0.15</v>
      </c>
      <c r="I236" s="20" cm="1">
        <f t="array" ref="I236">Common_InputFunctions.Utility_DisplayArrayInTable(Common_SourceData.Common_SourceData_MCFTemperatureZone_Data(),Table_SourceData_Common_MCFTemperatureZone[[#Headers],[Temperature zone]],0)</f>
        <v>1E-3</v>
      </c>
      <c r="J236" s="20" cm="1">
        <f t="array" ref="J236">Common_InputFunctions.Utility_DisplayArrayInTable(Common_SourceData.Common_SourceData_MCFTemperatureZone_Data(),Table_SourceData_Common_MCFTemperatureZone[[#Headers],[Temperature zone]],0)</f>
        <v>5.0000000000000001E-3</v>
      </c>
      <c r="K236" s="20" cm="1">
        <f t="array" ref="K236">Common_InputFunctions.Utility_DisplayArrayInTable(Common_SourceData.Common_SourceData_MCFTemperatureZone_Data(),Table_SourceData_Common_MCFTemperatureZone[[#Headers],[Temperature zone]],0)</f>
        <v>0.02</v>
      </c>
      <c r="L236" s="20" cm="1">
        <f t="array" ref="L236">Common_InputFunctions.Utility_DisplayArrayInTable(Common_SourceData.Common_SourceData_MCFTemperatureZone_Data(),Table_SourceData_Common_MCFTemperatureZone[[#Headers],[Temperature zone]],0)</f>
        <v>0.03</v>
      </c>
      <c r="M236" s="20" cm="1">
        <f t="array" ref="M236">Common_InputFunctions.Utility_DisplayArrayInTable(Common_SourceData.Common_SourceData_MCFTemperatureZone_Data(),Table_SourceData_Common_MCFTemperatureZone[[#Headers],[Temperature zone]],0)</f>
        <v>0.04</v>
      </c>
      <c r="N236" s="20" cm="1">
        <f t="array" ref="N236">Common_InputFunctions.Utility_DisplayArrayInTable(Common_SourceData.Common_SourceData_MCFTemperatureZone_Data(),Table_SourceData_Common_MCFTemperatureZone[[#Headers],[Temperature zone]],0)</f>
        <v>1.4999999999999999E-2</v>
      </c>
      <c r="O236" s="20" cm="1">
        <f t="array" ref="O236">Common_InputFunctions.Utility_DisplayArrayInTable(Common_SourceData.Common_SourceData_MCFTemperatureZone_Data(),Table_SourceData_Common_MCFTemperatureZone[[#Headers],[Temperature zone]],0)</f>
        <v>1.4999999999999999E-2</v>
      </c>
      <c r="P236" s="20" cm="1">
        <f t="array" ref="P236">Common_InputFunctions.Utility_DisplayArrayInTable(Common_SourceData.Common_SourceData_MCFTemperatureZone_Data(),Table_SourceData_Common_MCFTemperatureZone[[#Headers],[Temperature zone]],0)</f>
        <v>0</v>
      </c>
      <c r="Q236" s="20" cm="1">
        <f t="array" ref="Q236">Common_InputFunctions.Utility_DisplayArrayInTable(Common_SourceData.Common_SourceData_MCFTemperatureZone_Data(),Table_SourceData_Common_MCFTemperatureZone[[#Headers],[Temperature zone]],0)</f>
        <v>0</v>
      </c>
      <c r="R236" s="20" cm="1">
        <f t="array" ref="R236">Common_InputFunctions.Utility_DisplayArrayInTable(Common_SourceData.Common_SourceData_MCFTemperatureZone_Data(),Table_SourceData_Common_MCFTemperatureZone[[#Headers],[Temperature zone]],0)</f>
        <v>4.7000000000000002E-3</v>
      </c>
      <c r="S236" s="20"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0" cm="1">
        <f t="array" ref="E237">Common_InputFunctions.Utility_DisplayArrayInTable(Common_SourceData.Common_SourceData_MCFTemperatureZone_Data(),Table_SourceData_Common_MCFTemperatureZone[[#Headers],[Temperature zone]],0)</f>
        <v>15</v>
      </c>
      <c r="F237" s="20" cm="1">
        <f t="array" ref="F237">Common_InputFunctions.Utility_DisplayArrayInTable(Common_SourceData.Common_SourceData_MCFTemperatureZone_Data(),Table_SourceData_Common_MCFTemperatureZone[[#Headers],[Temperature zone]],0)</f>
        <v>0.74</v>
      </c>
      <c r="G237" s="20" cm="1">
        <f t="array" ref="G237">Common_InputFunctions.Utility_DisplayArrayInTable(Common_SourceData.Common_SourceData_MCFTemperatureZone_Data(),Table_SourceData_Common_MCFTemperatureZone[[#Headers],[Temperature zone]],0)</f>
        <v>0.1</v>
      </c>
      <c r="H237" s="20" cm="1">
        <f t="array" ref="H237">Common_InputFunctions.Utility_DisplayArrayInTable(Common_SourceData.Common_SourceData_MCFTemperatureZone_Data(),Table_SourceData_Common_MCFTemperatureZone[[#Headers],[Temperature zone]],0)</f>
        <v>0.17</v>
      </c>
      <c r="I237" s="20" cm="1">
        <f t="array" ref="I237">Common_InputFunctions.Utility_DisplayArrayInTable(Common_SourceData.Common_SourceData_MCFTemperatureZone_Data(),Table_SourceData_Common_MCFTemperatureZone[[#Headers],[Temperature zone]],0)</f>
        <v>5.0000000000000001E-3</v>
      </c>
      <c r="J237" s="20" cm="1">
        <f t="array" ref="J237">Common_InputFunctions.Utility_DisplayArrayInTable(Common_SourceData.Common_SourceData_MCFTemperatureZone_Data(),Table_SourceData_Common_MCFTemperatureZone[[#Headers],[Temperature zone]],0)</f>
        <v>0.01</v>
      </c>
      <c r="K237" s="20" cm="1">
        <f t="array" ref="K237">Common_InputFunctions.Utility_DisplayArrayInTable(Common_SourceData.Common_SourceData_MCFTemperatureZone_Data(),Table_SourceData_Common_MCFTemperatureZone[[#Headers],[Temperature zone]],0)</f>
        <v>0.02</v>
      </c>
      <c r="L237" s="20" cm="1">
        <f t="array" ref="L237">Common_InputFunctions.Utility_DisplayArrayInTable(Common_SourceData.Common_SourceData_MCFTemperatureZone_Data(),Table_SourceData_Common_MCFTemperatureZone[[#Headers],[Temperature zone]],0)</f>
        <v>0.03</v>
      </c>
      <c r="M237" s="20" cm="1">
        <f t="array" ref="M237">Common_InputFunctions.Utility_DisplayArrayInTable(Common_SourceData.Common_SourceData_MCFTemperatureZone_Data(),Table_SourceData_Common_MCFTemperatureZone[[#Headers],[Temperature zone]],0)</f>
        <v>0.04</v>
      </c>
      <c r="N237" s="20" cm="1">
        <f t="array" ref="N237">Common_InputFunctions.Utility_DisplayArrayInTable(Common_SourceData.Common_SourceData_MCFTemperatureZone_Data(),Table_SourceData_Common_MCFTemperatureZone[[#Headers],[Temperature zone]],0)</f>
        <v>1.4999999999999999E-2</v>
      </c>
      <c r="O237" s="20" cm="1">
        <f t="array" ref="O237">Common_InputFunctions.Utility_DisplayArrayInTable(Common_SourceData.Common_SourceData_MCFTemperatureZone_Data(),Table_SourceData_Common_MCFTemperatureZone[[#Headers],[Temperature zone]],0)</f>
        <v>1.4999999999999999E-2</v>
      </c>
      <c r="P237" s="20" cm="1">
        <f t="array" ref="P237">Common_InputFunctions.Utility_DisplayArrayInTable(Common_SourceData.Common_SourceData_MCFTemperatureZone_Data(),Table_SourceData_Common_MCFTemperatureZone[[#Headers],[Temperature zone]],0)</f>
        <v>0</v>
      </c>
      <c r="Q237" s="20" cm="1">
        <f t="array" ref="Q237">Common_InputFunctions.Utility_DisplayArrayInTable(Common_SourceData.Common_SourceData_MCFTemperatureZone_Data(),Table_SourceData_Common_MCFTemperatureZone[[#Headers],[Temperature zone]],0)</f>
        <v>0</v>
      </c>
      <c r="R237" s="20" cm="1">
        <f t="array" ref="R237">Common_InputFunctions.Utility_DisplayArrayInTable(Common_SourceData.Common_SourceData_MCFTemperatureZone_Data(),Table_SourceData_Common_MCFTemperatureZone[[#Headers],[Temperature zone]],0)</f>
        <v>4.7000000000000002E-3</v>
      </c>
      <c r="S237" s="20"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0" cm="1">
        <f t="array" ref="E238">Common_InputFunctions.Utility_DisplayArrayInTable(Common_SourceData.Common_SourceData_MCFTemperatureZone_Data(),Table_SourceData_Common_MCFTemperatureZone[[#Headers],[Temperature zone]],0)</f>
        <v>16</v>
      </c>
      <c r="F238" s="20" cm="1">
        <f t="array" ref="F238">Common_InputFunctions.Utility_DisplayArrayInTable(Common_SourceData.Common_SourceData_MCFTemperatureZone_Data(),Table_SourceData_Common_MCFTemperatureZone[[#Headers],[Temperature zone]],0)</f>
        <v>0.75</v>
      </c>
      <c r="G238" s="20" cm="1">
        <f t="array" ref="G238">Common_InputFunctions.Utility_DisplayArrayInTable(Common_SourceData.Common_SourceData_MCFTemperatureZone_Data(),Table_SourceData_Common_MCFTemperatureZone[[#Headers],[Temperature zone]],0)</f>
        <v>0.1</v>
      </c>
      <c r="H238" s="20" cm="1">
        <f t="array" ref="H238">Common_InputFunctions.Utility_DisplayArrayInTable(Common_SourceData.Common_SourceData_MCFTemperatureZone_Data(),Table_SourceData_Common_MCFTemperatureZone[[#Headers],[Temperature zone]],0)</f>
        <v>0.18</v>
      </c>
      <c r="I238" s="20" cm="1">
        <f t="array" ref="I238">Common_InputFunctions.Utility_DisplayArrayInTable(Common_SourceData.Common_SourceData_MCFTemperatureZone_Data(),Table_SourceData_Common_MCFTemperatureZone[[#Headers],[Temperature zone]],0)</f>
        <v>5.0000000000000001E-3</v>
      </c>
      <c r="J238" s="20" cm="1">
        <f t="array" ref="J238">Common_InputFunctions.Utility_DisplayArrayInTable(Common_SourceData.Common_SourceData_MCFTemperatureZone_Data(),Table_SourceData_Common_MCFTemperatureZone[[#Headers],[Temperature zone]],0)</f>
        <v>0.01</v>
      </c>
      <c r="K238" s="20" cm="1">
        <f t="array" ref="K238">Common_InputFunctions.Utility_DisplayArrayInTable(Common_SourceData.Common_SourceData_MCFTemperatureZone_Data(),Table_SourceData_Common_MCFTemperatureZone[[#Headers],[Temperature zone]],0)</f>
        <v>0.02</v>
      </c>
      <c r="L238" s="20" cm="1">
        <f t="array" ref="L238">Common_InputFunctions.Utility_DisplayArrayInTable(Common_SourceData.Common_SourceData_MCFTemperatureZone_Data(),Table_SourceData_Common_MCFTemperatureZone[[#Headers],[Temperature zone]],0)</f>
        <v>0.03</v>
      </c>
      <c r="M238" s="20" cm="1">
        <f t="array" ref="M238">Common_InputFunctions.Utility_DisplayArrayInTable(Common_SourceData.Common_SourceData_MCFTemperatureZone_Data(),Table_SourceData_Common_MCFTemperatureZone[[#Headers],[Temperature zone]],0)</f>
        <v>0.04</v>
      </c>
      <c r="N238" s="20" cm="1">
        <f t="array" ref="N238">Common_InputFunctions.Utility_DisplayArrayInTable(Common_SourceData.Common_SourceData_MCFTemperatureZone_Data(),Table_SourceData_Common_MCFTemperatureZone[[#Headers],[Temperature zone]],0)</f>
        <v>1.4999999999999999E-2</v>
      </c>
      <c r="O238" s="20" cm="1">
        <f t="array" ref="O238">Common_InputFunctions.Utility_DisplayArrayInTable(Common_SourceData.Common_SourceData_MCFTemperatureZone_Data(),Table_SourceData_Common_MCFTemperatureZone[[#Headers],[Temperature zone]],0)</f>
        <v>1.4999999999999999E-2</v>
      </c>
      <c r="P238" s="20" cm="1">
        <f t="array" ref="P238">Common_InputFunctions.Utility_DisplayArrayInTable(Common_SourceData.Common_SourceData_MCFTemperatureZone_Data(),Table_SourceData_Common_MCFTemperatureZone[[#Headers],[Temperature zone]],0)</f>
        <v>0</v>
      </c>
      <c r="Q238" s="20" cm="1">
        <f t="array" ref="Q238">Common_InputFunctions.Utility_DisplayArrayInTable(Common_SourceData.Common_SourceData_MCFTemperatureZone_Data(),Table_SourceData_Common_MCFTemperatureZone[[#Headers],[Temperature zone]],0)</f>
        <v>0</v>
      </c>
      <c r="R238" s="20" cm="1">
        <f t="array" ref="R238">Common_InputFunctions.Utility_DisplayArrayInTable(Common_SourceData.Common_SourceData_MCFTemperatureZone_Data(),Table_SourceData_Common_MCFTemperatureZone[[#Headers],[Temperature zone]],0)</f>
        <v>4.7000000000000002E-3</v>
      </c>
      <c r="S238" s="20"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0" cm="1">
        <f t="array" ref="E239">Common_InputFunctions.Utility_DisplayArrayInTable(Common_SourceData.Common_SourceData_MCFTemperatureZone_Data(),Table_SourceData_Common_MCFTemperatureZone[[#Headers],[Temperature zone]],0)</f>
        <v>17</v>
      </c>
      <c r="F239" s="20" cm="1">
        <f t="array" ref="F239">Common_InputFunctions.Utility_DisplayArrayInTable(Common_SourceData.Common_SourceData_MCFTemperatureZone_Data(),Table_SourceData_Common_MCFTemperatureZone[[#Headers],[Temperature zone]],0)</f>
        <v>0.76</v>
      </c>
      <c r="G239" s="20" cm="1">
        <f t="array" ref="G239">Common_InputFunctions.Utility_DisplayArrayInTable(Common_SourceData.Common_SourceData_MCFTemperatureZone_Data(),Table_SourceData_Common_MCFTemperatureZone[[#Headers],[Temperature zone]],0)</f>
        <v>0.1</v>
      </c>
      <c r="H239" s="20" cm="1">
        <f t="array" ref="H239">Common_InputFunctions.Utility_DisplayArrayInTable(Common_SourceData.Common_SourceData_MCFTemperatureZone_Data(),Table_SourceData_Common_MCFTemperatureZone[[#Headers],[Temperature zone]],0)</f>
        <v>0.2</v>
      </c>
      <c r="I239" s="20" cm="1">
        <f t="array" ref="I239">Common_InputFunctions.Utility_DisplayArrayInTable(Common_SourceData.Common_SourceData_MCFTemperatureZone_Data(),Table_SourceData_Common_MCFTemperatureZone[[#Headers],[Temperature zone]],0)</f>
        <v>5.0000000000000001E-3</v>
      </c>
      <c r="J239" s="20" cm="1">
        <f t="array" ref="J239">Common_InputFunctions.Utility_DisplayArrayInTable(Common_SourceData.Common_SourceData_MCFTemperatureZone_Data(),Table_SourceData_Common_MCFTemperatureZone[[#Headers],[Temperature zone]],0)</f>
        <v>0.01</v>
      </c>
      <c r="K239" s="20" cm="1">
        <f t="array" ref="K239">Common_InputFunctions.Utility_DisplayArrayInTable(Common_SourceData.Common_SourceData_MCFTemperatureZone_Data(),Table_SourceData_Common_MCFTemperatureZone[[#Headers],[Temperature zone]],0)</f>
        <v>0.02</v>
      </c>
      <c r="L239" s="20" cm="1">
        <f t="array" ref="L239">Common_InputFunctions.Utility_DisplayArrayInTable(Common_SourceData.Common_SourceData_MCFTemperatureZone_Data(),Table_SourceData_Common_MCFTemperatureZone[[#Headers],[Temperature zone]],0)</f>
        <v>0.03</v>
      </c>
      <c r="M239" s="20" cm="1">
        <f t="array" ref="M239">Common_InputFunctions.Utility_DisplayArrayInTable(Common_SourceData.Common_SourceData_MCFTemperatureZone_Data(),Table_SourceData_Common_MCFTemperatureZone[[#Headers],[Temperature zone]],0)</f>
        <v>0.04</v>
      </c>
      <c r="N239" s="20" cm="1">
        <f t="array" ref="N239">Common_InputFunctions.Utility_DisplayArrayInTable(Common_SourceData.Common_SourceData_MCFTemperatureZone_Data(),Table_SourceData_Common_MCFTemperatureZone[[#Headers],[Temperature zone]],0)</f>
        <v>1.4999999999999999E-2</v>
      </c>
      <c r="O239" s="20" cm="1">
        <f t="array" ref="O239">Common_InputFunctions.Utility_DisplayArrayInTable(Common_SourceData.Common_SourceData_MCFTemperatureZone_Data(),Table_SourceData_Common_MCFTemperatureZone[[#Headers],[Temperature zone]],0)</f>
        <v>1.4999999999999999E-2</v>
      </c>
      <c r="P239" s="20" cm="1">
        <f t="array" ref="P239">Common_InputFunctions.Utility_DisplayArrayInTable(Common_SourceData.Common_SourceData_MCFTemperatureZone_Data(),Table_SourceData_Common_MCFTemperatureZone[[#Headers],[Temperature zone]],0)</f>
        <v>0</v>
      </c>
      <c r="Q239" s="20" cm="1">
        <f t="array" ref="Q239">Common_InputFunctions.Utility_DisplayArrayInTable(Common_SourceData.Common_SourceData_MCFTemperatureZone_Data(),Table_SourceData_Common_MCFTemperatureZone[[#Headers],[Temperature zone]],0)</f>
        <v>0</v>
      </c>
      <c r="R239" s="20" cm="1">
        <f t="array" ref="R239">Common_InputFunctions.Utility_DisplayArrayInTable(Common_SourceData.Common_SourceData_MCFTemperatureZone_Data(),Table_SourceData_Common_MCFTemperatureZone[[#Headers],[Temperature zone]],0)</f>
        <v>4.7000000000000002E-3</v>
      </c>
      <c r="S239" s="20"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0" cm="1">
        <f t="array" ref="E240">Common_InputFunctions.Utility_DisplayArrayInTable(Common_SourceData.Common_SourceData_MCFTemperatureZone_Data(),Table_SourceData_Common_MCFTemperatureZone[[#Headers],[Temperature zone]],0)</f>
        <v>18</v>
      </c>
      <c r="F240" s="20" cm="1">
        <f t="array" ref="F240">Common_InputFunctions.Utility_DisplayArrayInTable(Common_SourceData.Common_SourceData_MCFTemperatureZone_Data(),Table_SourceData_Common_MCFTemperatureZone[[#Headers],[Temperature zone]],0)</f>
        <v>0.77</v>
      </c>
      <c r="G240" s="20" cm="1">
        <f t="array" ref="G240">Common_InputFunctions.Utility_DisplayArrayInTable(Common_SourceData.Common_SourceData_MCFTemperatureZone_Data(),Table_SourceData_Common_MCFTemperatureZone[[#Headers],[Temperature zone]],0)</f>
        <v>0.1</v>
      </c>
      <c r="H240" s="20" cm="1">
        <f t="array" ref="H240">Common_InputFunctions.Utility_DisplayArrayInTable(Common_SourceData.Common_SourceData_MCFTemperatureZone_Data(),Table_SourceData_Common_MCFTemperatureZone[[#Headers],[Temperature zone]],0)</f>
        <v>0.22</v>
      </c>
      <c r="I240" s="20" cm="1">
        <f t="array" ref="I240">Common_InputFunctions.Utility_DisplayArrayInTable(Common_SourceData.Common_SourceData_MCFTemperatureZone_Data(),Table_SourceData_Common_MCFTemperatureZone[[#Headers],[Temperature zone]],0)</f>
        <v>5.0000000000000001E-3</v>
      </c>
      <c r="J240" s="20" cm="1">
        <f t="array" ref="J240">Common_InputFunctions.Utility_DisplayArrayInTable(Common_SourceData.Common_SourceData_MCFTemperatureZone_Data(),Table_SourceData_Common_MCFTemperatureZone[[#Headers],[Temperature zone]],0)</f>
        <v>0.01</v>
      </c>
      <c r="K240" s="20" cm="1">
        <f t="array" ref="K240">Common_InputFunctions.Utility_DisplayArrayInTable(Common_SourceData.Common_SourceData_MCFTemperatureZone_Data(),Table_SourceData_Common_MCFTemperatureZone[[#Headers],[Temperature zone]],0)</f>
        <v>0.02</v>
      </c>
      <c r="L240" s="20" cm="1">
        <f t="array" ref="L240">Common_InputFunctions.Utility_DisplayArrayInTable(Common_SourceData.Common_SourceData_MCFTemperatureZone_Data(),Table_SourceData_Common_MCFTemperatureZone[[#Headers],[Temperature zone]],0)</f>
        <v>0.03</v>
      </c>
      <c r="M240" s="20" cm="1">
        <f t="array" ref="M240">Common_InputFunctions.Utility_DisplayArrayInTable(Common_SourceData.Common_SourceData_MCFTemperatureZone_Data(),Table_SourceData_Common_MCFTemperatureZone[[#Headers],[Temperature zone]],0)</f>
        <v>0.04</v>
      </c>
      <c r="N240" s="20" cm="1">
        <f t="array" ref="N240">Common_InputFunctions.Utility_DisplayArrayInTable(Common_SourceData.Common_SourceData_MCFTemperatureZone_Data(),Table_SourceData_Common_MCFTemperatureZone[[#Headers],[Temperature zone]],0)</f>
        <v>1.4999999999999999E-2</v>
      </c>
      <c r="O240" s="20" cm="1">
        <f t="array" ref="O240">Common_InputFunctions.Utility_DisplayArrayInTable(Common_SourceData.Common_SourceData_MCFTemperatureZone_Data(),Table_SourceData_Common_MCFTemperatureZone[[#Headers],[Temperature zone]],0)</f>
        <v>1.4999999999999999E-2</v>
      </c>
      <c r="P240" s="20" cm="1">
        <f t="array" ref="P240">Common_InputFunctions.Utility_DisplayArrayInTable(Common_SourceData.Common_SourceData_MCFTemperatureZone_Data(),Table_SourceData_Common_MCFTemperatureZone[[#Headers],[Temperature zone]],0)</f>
        <v>0</v>
      </c>
      <c r="Q240" s="20" cm="1">
        <f t="array" ref="Q240">Common_InputFunctions.Utility_DisplayArrayInTable(Common_SourceData.Common_SourceData_MCFTemperatureZone_Data(),Table_SourceData_Common_MCFTemperatureZone[[#Headers],[Temperature zone]],0)</f>
        <v>0</v>
      </c>
      <c r="R240" s="20" cm="1">
        <f t="array" ref="R240">Common_InputFunctions.Utility_DisplayArrayInTable(Common_SourceData.Common_SourceData_MCFTemperatureZone_Data(),Table_SourceData_Common_MCFTemperatureZone[[#Headers],[Temperature zone]],0)</f>
        <v>4.7000000000000002E-3</v>
      </c>
      <c r="S240" s="20"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0" cm="1">
        <f t="array" ref="E241">Common_InputFunctions.Utility_DisplayArrayInTable(Common_SourceData.Common_SourceData_MCFTemperatureZone_Data(),Table_SourceData_Common_MCFTemperatureZone[[#Headers],[Temperature zone]],0)</f>
        <v>19</v>
      </c>
      <c r="F241" s="20" cm="1">
        <f t="array" ref="F241">Common_InputFunctions.Utility_DisplayArrayInTable(Common_SourceData.Common_SourceData_MCFTemperatureZone_Data(),Table_SourceData_Common_MCFTemperatureZone[[#Headers],[Temperature zone]],0)</f>
        <v>0.77</v>
      </c>
      <c r="G241" s="20" cm="1">
        <f t="array" ref="G241">Common_InputFunctions.Utility_DisplayArrayInTable(Common_SourceData.Common_SourceData_MCFTemperatureZone_Data(),Table_SourceData_Common_MCFTemperatureZone[[#Headers],[Temperature zone]],0)</f>
        <v>0.1</v>
      </c>
      <c r="H241" s="20" cm="1">
        <f t="array" ref="H241">Common_InputFunctions.Utility_DisplayArrayInTable(Common_SourceData.Common_SourceData_MCFTemperatureZone_Data(),Table_SourceData_Common_MCFTemperatureZone[[#Headers],[Temperature zone]],0)</f>
        <v>0.24</v>
      </c>
      <c r="I241" s="20" cm="1">
        <f t="array" ref="I241">Common_InputFunctions.Utility_DisplayArrayInTable(Common_SourceData.Common_SourceData_MCFTemperatureZone_Data(),Table_SourceData_Common_MCFTemperatureZone[[#Headers],[Temperature zone]],0)</f>
        <v>5.0000000000000001E-3</v>
      </c>
      <c r="J241" s="20" cm="1">
        <f t="array" ref="J241">Common_InputFunctions.Utility_DisplayArrayInTable(Common_SourceData.Common_SourceData_MCFTemperatureZone_Data(),Table_SourceData_Common_MCFTemperatureZone[[#Headers],[Temperature zone]],0)</f>
        <v>0.01</v>
      </c>
      <c r="K241" s="20" cm="1">
        <f t="array" ref="K241">Common_InputFunctions.Utility_DisplayArrayInTable(Common_SourceData.Common_SourceData_MCFTemperatureZone_Data(),Table_SourceData_Common_MCFTemperatureZone[[#Headers],[Temperature zone]],0)</f>
        <v>0.02</v>
      </c>
      <c r="L241" s="20" cm="1">
        <f t="array" ref="L241">Common_InputFunctions.Utility_DisplayArrayInTable(Common_SourceData.Common_SourceData_MCFTemperatureZone_Data(),Table_SourceData_Common_MCFTemperatureZone[[#Headers],[Temperature zone]],0)</f>
        <v>0.03</v>
      </c>
      <c r="M241" s="20" cm="1">
        <f t="array" ref="M241">Common_InputFunctions.Utility_DisplayArrayInTable(Common_SourceData.Common_SourceData_MCFTemperatureZone_Data(),Table_SourceData_Common_MCFTemperatureZone[[#Headers],[Temperature zone]],0)</f>
        <v>0.04</v>
      </c>
      <c r="N241" s="20" cm="1">
        <f t="array" ref="N241">Common_InputFunctions.Utility_DisplayArrayInTable(Common_SourceData.Common_SourceData_MCFTemperatureZone_Data(),Table_SourceData_Common_MCFTemperatureZone[[#Headers],[Temperature zone]],0)</f>
        <v>1.4999999999999999E-2</v>
      </c>
      <c r="O241" s="20" cm="1">
        <f t="array" ref="O241">Common_InputFunctions.Utility_DisplayArrayInTable(Common_SourceData.Common_SourceData_MCFTemperatureZone_Data(),Table_SourceData_Common_MCFTemperatureZone[[#Headers],[Temperature zone]],0)</f>
        <v>1.4999999999999999E-2</v>
      </c>
      <c r="P241" s="20" cm="1">
        <f t="array" ref="P241">Common_InputFunctions.Utility_DisplayArrayInTable(Common_SourceData.Common_SourceData_MCFTemperatureZone_Data(),Table_SourceData_Common_MCFTemperatureZone[[#Headers],[Temperature zone]],0)</f>
        <v>0</v>
      </c>
      <c r="Q241" s="20" cm="1">
        <f t="array" ref="Q241">Common_InputFunctions.Utility_DisplayArrayInTable(Common_SourceData.Common_SourceData_MCFTemperatureZone_Data(),Table_SourceData_Common_MCFTemperatureZone[[#Headers],[Temperature zone]],0)</f>
        <v>0</v>
      </c>
      <c r="R241" s="20" cm="1">
        <f t="array" ref="R241">Common_InputFunctions.Utility_DisplayArrayInTable(Common_SourceData.Common_SourceData_MCFTemperatureZone_Data(),Table_SourceData_Common_MCFTemperatureZone[[#Headers],[Temperature zone]],0)</f>
        <v>4.7000000000000002E-3</v>
      </c>
      <c r="S241" s="20"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0" cm="1">
        <f t="array" ref="E242">Common_InputFunctions.Utility_DisplayArrayInTable(Common_SourceData.Common_SourceData_MCFTemperatureZone_Data(),Table_SourceData_Common_MCFTemperatureZone[[#Headers],[Temperature zone]],0)</f>
        <v>20</v>
      </c>
      <c r="F242" s="20" cm="1">
        <f t="array" ref="F242">Common_InputFunctions.Utility_DisplayArrayInTable(Common_SourceData.Common_SourceData_MCFTemperatureZone_Data(),Table_SourceData_Common_MCFTemperatureZone[[#Headers],[Temperature zone]],0)</f>
        <v>0.78</v>
      </c>
      <c r="G242" s="20" cm="1">
        <f t="array" ref="G242">Common_InputFunctions.Utility_DisplayArrayInTable(Common_SourceData.Common_SourceData_MCFTemperatureZone_Data(),Table_SourceData_Common_MCFTemperatureZone[[#Headers],[Temperature zone]],0)</f>
        <v>0.1</v>
      </c>
      <c r="H242" s="20" cm="1">
        <f t="array" ref="H242">Common_InputFunctions.Utility_DisplayArrayInTable(Common_SourceData.Common_SourceData_MCFTemperatureZone_Data(),Table_SourceData_Common_MCFTemperatureZone[[#Headers],[Temperature zone]],0)</f>
        <v>0.26</v>
      </c>
      <c r="I242" s="20" cm="1">
        <f t="array" ref="I242">Common_InputFunctions.Utility_DisplayArrayInTable(Common_SourceData.Common_SourceData_MCFTemperatureZone_Data(),Table_SourceData_Common_MCFTemperatureZone[[#Headers],[Temperature zone]],0)</f>
        <v>5.0000000000000001E-3</v>
      </c>
      <c r="J242" s="20" cm="1">
        <f t="array" ref="J242">Common_InputFunctions.Utility_DisplayArrayInTable(Common_SourceData.Common_SourceData_MCFTemperatureZone_Data(),Table_SourceData_Common_MCFTemperatureZone[[#Headers],[Temperature zone]],0)</f>
        <v>0.01</v>
      </c>
      <c r="K242" s="20" cm="1">
        <f t="array" ref="K242">Common_InputFunctions.Utility_DisplayArrayInTable(Common_SourceData.Common_SourceData_MCFTemperatureZone_Data(),Table_SourceData_Common_MCFTemperatureZone[[#Headers],[Temperature zone]],0)</f>
        <v>0.02</v>
      </c>
      <c r="L242" s="20" cm="1">
        <f t="array" ref="L242">Common_InputFunctions.Utility_DisplayArrayInTable(Common_SourceData.Common_SourceData_MCFTemperatureZone_Data(),Table_SourceData_Common_MCFTemperatureZone[[#Headers],[Temperature zone]],0)</f>
        <v>0.03</v>
      </c>
      <c r="M242" s="20" cm="1">
        <f t="array" ref="M242">Common_InputFunctions.Utility_DisplayArrayInTable(Common_SourceData.Common_SourceData_MCFTemperatureZone_Data(),Table_SourceData_Common_MCFTemperatureZone[[#Headers],[Temperature zone]],0)</f>
        <v>0.04</v>
      </c>
      <c r="N242" s="20" cm="1">
        <f t="array" ref="N242">Common_InputFunctions.Utility_DisplayArrayInTable(Common_SourceData.Common_SourceData_MCFTemperatureZone_Data(),Table_SourceData_Common_MCFTemperatureZone[[#Headers],[Temperature zone]],0)</f>
        <v>1.4999999999999999E-2</v>
      </c>
      <c r="O242" s="20" cm="1">
        <f t="array" ref="O242">Common_InputFunctions.Utility_DisplayArrayInTable(Common_SourceData.Common_SourceData_MCFTemperatureZone_Data(),Table_SourceData_Common_MCFTemperatureZone[[#Headers],[Temperature zone]],0)</f>
        <v>1.4999999999999999E-2</v>
      </c>
      <c r="P242" s="20" cm="1">
        <f t="array" ref="P242">Common_InputFunctions.Utility_DisplayArrayInTable(Common_SourceData.Common_SourceData_MCFTemperatureZone_Data(),Table_SourceData_Common_MCFTemperatureZone[[#Headers],[Temperature zone]],0)</f>
        <v>0</v>
      </c>
      <c r="Q242" s="20" cm="1">
        <f t="array" ref="Q242">Common_InputFunctions.Utility_DisplayArrayInTable(Common_SourceData.Common_SourceData_MCFTemperatureZone_Data(),Table_SourceData_Common_MCFTemperatureZone[[#Headers],[Temperature zone]],0)</f>
        <v>0</v>
      </c>
      <c r="R242" s="20" cm="1">
        <f t="array" ref="R242">Common_InputFunctions.Utility_DisplayArrayInTable(Common_SourceData.Common_SourceData_MCFTemperatureZone_Data(),Table_SourceData_Common_MCFTemperatureZone[[#Headers],[Temperature zone]],0)</f>
        <v>4.7000000000000002E-3</v>
      </c>
      <c r="S242" s="20"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0" cm="1">
        <f t="array" ref="E243">Common_InputFunctions.Utility_DisplayArrayInTable(Common_SourceData.Common_SourceData_MCFTemperatureZone_Data(),Table_SourceData_Common_MCFTemperatureZone[[#Headers],[Temperature zone]],0)</f>
        <v>21</v>
      </c>
      <c r="F243" s="20" cm="1">
        <f t="array" ref="F243">Common_InputFunctions.Utility_DisplayArrayInTable(Common_SourceData.Common_SourceData_MCFTemperatureZone_Data(),Table_SourceData_Common_MCFTemperatureZone[[#Headers],[Temperature zone]],0)</f>
        <v>0.78</v>
      </c>
      <c r="G243" s="20" cm="1">
        <f t="array" ref="G243">Common_InputFunctions.Utility_DisplayArrayInTable(Common_SourceData.Common_SourceData_MCFTemperatureZone_Data(),Table_SourceData_Common_MCFTemperatureZone[[#Headers],[Temperature zone]],0)</f>
        <v>0.1</v>
      </c>
      <c r="H243" s="20" cm="1">
        <f t="array" ref="H243">Common_InputFunctions.Utility_DisplayArrayInTable(Common_SourceData.Common_SourceData_MCFTemperatureZone_Data(),Table_SourceData_Common_MCFTemperatureZone[[#Headers],[Temperature zone]],0)</f>
        <v>0.28999999999999998</v>
      </c>
      <c r="I243" s="20" cm="1">
        <f t="array" ref="I243">Common_InputFunctions.Utility_DisplayArrayInTable(Common_SourceData.Common_SourceData_MCFTemperatureZone_Data(),Table_SourceData_Common_MCFTemperatureZone[[#Headers],[Temperature zone]],0)</f>
        <v>5.0000000000000001E-3</v>
      </c>
      <c r="J243" s="20" cm="1">
        <f t="array" ref="J243">Common_InputFunctions.Utility_DisplayArrayInTable(Common_SourceData.Common_SourceData_MCFTemperatureZone_Data(),Table_SourceData_Common_MCFTemperatureZone[[#Headers],[Temperature zone]],0)</f>
        <v>0.01</v>
      </c>
      <c r="K243" s="20" cm="1">
        <f t="array" ref="K243">Common_InputFunctions.Utility_DisplayArrayInTable(Common_SourceData.Common_SourceData_MCFTemperatureZone_Data(),Table_SourceData_Common_MCFTemperatureZone[[#Headers],[Temperature zone]],0)</f>
        <v>0.02</v>
      </c>
      <c r="L243" s="20" cm="1">
        <f t="array" ref="L243">Common_InputFunctions.Utility_DisplayArrayInTable(Common_SourceData.Common_SourceData_MCFTemperatureZone_Data(),Table_SourceData_Common_MCFTemperatureZone[[#Headers],[Temperature zone]],0)</f>
        <v>0.03</v>
      </c>
      <c r="M243" s="20" cm="1">
        <f t="array" ref="M243">Common_InputFunctions.Utility_DisplayArrayInTable(Common_SourceData.Common_SourceData_MCFTemperatureZone_Data(),Table_SourceData_Common_MCFTemperatureZone[[#Headers],[Temperature zone]],0)</f>
        <v>0.04</v>
      </c>
      <c r="N243" s="20" cm="1">
        <f t="array" ref="N243">Common_InputFunctions.Utility_DisplayArrayInTable(Common_SourceData.Common_SourceData_MCFTemperatureZone_Data(),Table_SourceData_Common_MCFTemperatureZone[[#Headers],[Temperature zone]],0)</f>
        <v>1.4999999999999999E-2</v>
      </c>
      <c r="O243" s="20" cm="1">
        <f t="array" ref="O243">Common_InputFunctions.Utility_DisplayArrayInTable(Common_SourceData.Common_SourceData_MCFTemperatureZone_Data(),Table_SourceData_Common_MCFTemperatureZone[[#Headers],[Temperature zone]],0)</f>
        <v>1.4999999999999999E-2</v>
      </c>
      <c r="P243" s="20" cm="1">
        <f t="array" ref="P243">Common_InputFunctions.Utility_DisplayArrayInTable(Common_SourceData.Common_SourceData_MCFTemperatureZone_Data(),Table_SourceData_Common_MCFTemperatureZone[[#Headers],[Temperature zone]],0)</f>
        <v>0</v>
      </c>
      <c r="Q243" s="20" cm="1">
        <f t="array" ref="Q243">Common_InputFunctions.Utility_DisplayArrayInTable(Common_SourceData.Common_SourceData_MCFTemperatureZone_Data(),Table_SourceData_Common_MCFTemperatureZone[[#Headers],[Temperature zone]],0)</f>
        <v>0</v>
      </c>
      <c r="R243" s="20" cm="1">
        <f t="array" ref="R243">Common_InputFunctions.Utility_DisplayArrayInTable(Common_SourceData.Common_SourceData_MCFTemperatureZone_Data(),Table_SourceData_Common_MCFTemperatureZone[[#Headers],[Temperature zone]],0)</f>
        <v>4.7000000000000002E-3</v>
      </c>
      <c r="S243" s="20"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0" cm="1">
        <f t="array" ref="E244">Common_InputFunctions.Utility_DisplayArrayInTable(Common_SourceData.Common_SourceData_MCFTemperatureZone_Data(),Table_SourceData_Common_MCFTemperatureZone[[#Headers],[Temperature zone]],0)</f>
        <v>22</v>
      </c>
      <c r="F244" s="20" cm="1">
        <f t="array" ref="F244">Common_InputFunctions.Utility_DisplayArrayInTable(Common_SourceData.Common_SourceData_MCFTemperatureZone_Data(),Table_SourceData_Common_MCFTemperatureZone[[#Headers],[Temperature zone]],0)</f>
        <v>0.78</v>
      </c>
      <c r="G244" s="20" cm="1">
        <f t="array" ref="G244">Common_InputFunctions.Utility_DisplayArrayInTable(Common_SourceData.Common_SourceData_MCFTemperatureZone_Data(),Table_SourceData_Common_MCFTemperatureZone[[#Headers],[Temperature zone]],0)</f>
        <v>0.1</v>
      </c>
      <c r="H244" s="20" cm="1">
        <f t="array" ref="H244">Common_InputFunctions.Utility_DisplayArrayInTable(Common_SourceData.Common_SourceData_MCFTemperatureZone_Data(),Table_SourceData_Common_MCFTemperatureZone[[#Headers],[Temperature zone]],0)</f>
        <v>0.31</v>
      </c>
      <c r="I244" s="20" cm="1">
        <f t="array" ref="I244">Common_InputFunctions.Utility_DisplayArrayInTable(Common_SourceData.Common_SourceData_MCFTemperatureZone_Data(),Table_SourceData_Common_MCFTemperatureZone[[#Headers],[Temperature zone]],0)</f>
        <v>5.0000000000000001E-3</v>
      </c>
      <c r="J244" s="20" cm="1">
        <f t="array" ref="J244">Common_InputFunctions.Utility_DisplayArrayInTable(Common_SourceData.Common_SourceData_MCFTemperatureZone_Data(),Table_SourceData_Common_MCFTemperatureZone[[#Headers],[Temperature zone]],0)</f>
        <v>0.01</v>
      </c>
      <c r="K244" s="20" cm="1">
        <f t="array" ref="K244">Common_InputFunctions.Utility_DisplayArrayInTable(Common_SourceData.Common_SourceData_MCFTemperatureZone_Data(),Table_SourceData_Common_MCFTemperatureZone[[#Headers],[Temperature zone]],0)</f>
        <v>0.02</v>
      </c>
      <c r="L244" s="20" cm="1">
        <f t="array" ref="L244">Common_InputFunctions.Utility_DisplayArrayInTable(Common_SourceData.Common_SourceData_MCFTemperatureZone_Data(),Table_SourceData_Common_MCFTemperatureZone[[#Headers],[Temperature zone]],0)</f>
        <v>0.03</v>
      </c>
      <c r="M244" s="20" cm="1">
        <f t="array" ref="M244">Common_InputFunctions.Utility_DisplayArrayInTable(Common_SourceData.Common_SourceData_MCFTemperatureZone_Data(),Table_SourceData_Common_MCFTemperatureZone[[#Headers],[Temperature zone]],0)</f>
        <v>0.04</v>
      </c>
      <c r="N244" s="20" cm="1">
        <f t="array" ref="N244">Common_InputFunctions.Utility_DisplayArrayInTable(Common_SourceData.Common_SourceData_MCFTemperatureZone_Data(),Table_SourceData_Common_MCFTemperatureZone[[#Headers],[Temperature zone]],0)</f>
        <v>1.4999999999999999E-2</v>
      </c>
      <c r="O244" s="20" cm="1">
        <f t="array" ref="O244">Common_InputFunctions.Utility_DisplayArrayInTable(Common_SourceData.Common_SourceData_MCFTemperatureZone_Data(),Table_SourceData_Common_MCFTemperatureZone[[#Headers],[Temperature zone]],0)</f>
        <v>1.4999999999999999E-2</v>
      </c>
      <c r="P244" s="20" cm="1">
        <f t="array" ref="P244">Common_InputFunctions.Utility_DisplayArrayInTable(Common_SourceData.Common_SourceData_MCFTemperatureZone_Data(),Table_SourceData_Common_MCFTemperatureZone[[#Headers],[Temperature zone]],0)</f>
        <v>0</v>
      </c>
      <c r="Q244" s="20" cm="1">
        <f t="array" ref="Q244">Common_InputFunctions.Utility_DisplayArrayInTable(Common_SourceData.Common_SourceData_MCFTemperatureZone_Data(),Table_SourceData_Common_MCFTemperatureZone[[#Headers],[Temperature zone]],0)</f>
        <v>0</v>
      </c>
      <c r="R244" s="20" cm="1">
        <f t="array" ref="R244">Common_InputFunctions.Utility_DisplayArrayInTable(Common_SourceData.Common_SourceData_MCFTemperatureZone_Data(),Table_SourceData_Common_MCFTemperatureZone[[#Headers],[Temperature zone]],0)</f>
        <v>4.7000000000000002E-3</v>
      </c>
      <c r="S244" s="20"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0" cm="1">
        <f t="array" ref="E245">Common_InputFunctions.Utility_DisplayArrayInTable(Common_SourceData.Common_SourceData_MCFTemperatureZone_Data(),Table_SourceData_Common_MCFTemperatureZone[[#Headers],[Temperature zone]],0)</f>
        <v>23</v>
      </c>
      <c r="F245" s="20" cm="1">
        <f t="array" ref="F245">Common_InputFunctions.Utility_DisplayArrayInTable(Common_SourceData.Common_SourceData_MCFTemperatureZone_Data(),Table_SourceData_Common_MCFTemperatureZone[[#Headers],[Temperature zone]],0)</f>
        <v>0.79</v>
      </c>
      <c r="G245" s="20" cm="1">
        <f t="array" ref="G245">Common_InputFunctions.Utility_DisplayArrayInTable(Common_SourceData.Common_SourceData_MCFTemperatureZone_Data(),Table_SourceData_Common_MCFTemperatureZone[[#Headers],[Temperature zone]],0)</f>
        <v>0.1</v>
      </c>
      <c r="H245" s="20" cm="1">
        <f t="array" ref="H245">Common_InputFunctions.Utility_DisplayArrayInTable(Common_SourceData.Common_SourceData_MCFTemperatureZone_Data(),Table_SourceData_Common_MCFTemperatureZone[[#Headers],[Temperature zone]],0)</f>
        <v>0.34</v>
      </c>
      <c r="I245" s="20" cm="1">
        <f t="array" ref="I245">Common_InputFunctions.Utility_DisplayArrayInTable(Common_SourceData.Common_SourceData_MCFTemperatureZone_Data(),Table_SourceData_Common_MCFTemperatureZone[[#Headers],[Temperature zone]],0)</f>
        <v>5.0000000000000001E-3</v>
      </c>
      <c r="J245" s="20" cm="1">
        <f t="array" ref="J245">Common_InputFunctions.Utility_DisplayArrayInTable(Common_SourceData.Common_SourceData_MCFTemperatureZone_Data(),Table_SourceData_Common_MCFTemperatureZone[[#Headers],[Temperature zone]],0)</f>
        <v>0.01</v>
      </c>
      <c r="K245" s="20" cm="1">
        <f t="array" ref="K245">Common_InputFunctions.Utility_DisplayArrayInTable(Common_SourceData.Common_SourceData_MCFTemperatureZone_Data(),Table_SourceData_Common_MCFTemperatureZone[[#Headers],[Temperature zone]],0)</f>
        <v>0.02</v>
      </c>
      <c r="L245" s="20" cm="1">
        <f t="array" ref="L245">Common_InputFunctions.Utility_DisplayArrayInTable(Common_SourceData.Common_SourceData_MCFTemperatureZone_Data(),Table_SourceData_Common_MCFTemperatureZone[[#Headers],[Temperature zone]],0)</f>
        <v>0.03</v>
      </c>
      <c r="M245" s="20" cm="1">
        <f t="array" ref="M245">Common_InputFunctions.Utility_DisplayArrayInTable(Common_SourceData.Common_SourceData_MCFTemperatureZone_Data(),Table_SourceData_Common_MCFTemperatureZone[[#Headers],[Temperature zone]],0)</f>
        <v>0.04</v>
      </c>
      <c r="N245" s="20" cm="1">
        <f t="array" ref="N245">Common_InputFunctions.Utility_DisplayArrayInTable(Common_SourceData.Common_SourceData_MCFTemperatureZone_Data(),Table_SourceData_Common_MCFTemperatureZone[[#Headers],[Temperature zone]],0)</f>
        <v>1.4999999999999999E-2</v>
      </c>
      <c r="O245" s="20" cm="1">
        <f t="array" ref="O245">Common_InputFunctions.Utility_DisplayArrayInTable(Common_SourceData.Common_SourceData_MCFTemperatureZone_Data(),Table_SourceData_Common_MCFTemperatureZone[[#Headers],[Temperature zone]],0)</f>
        <v>1.4999999999999999E-2</v>
      </c>
      <c r="P245" s="20" cm="1">
        <f t="array" ref="P245">Common_InputFunctions.Utility_DisplayArrayInTable(Common_SourceData.Common_SourceData_MCFTemperatureZone_Data(),Table_SourceData_Common_MCFTemperatureZone[[#Headers],[Temperature zone]],0)</f>
        <v>0</v>
      </c>
      <c r="Q245" s="20" cm="1">
        <f t="array" ref="Q245">Common_InputFunctions.Utility_DisplayArrayInTable(Common_SourceData.Common_SourceData_MCFTemperatureZone_Data(),Table_SourceData_Common_MCFTemperatureZone[[#Headers],[Temperature zone]],0)</f>
        <v>0</v>
      </c>
      <c r="R245" s="20" cm="1">
        <f t="array" ref="R245">Common_InputFunctions.Utility_DisplayArrayInTable(Common_SourceData.Common_SourceData_MCFTemperatureZone_Data(),Table_SourceData_Common_MCFTemperatureZone[[#Headers],[Temperature zone]],0)</f>
        <v>4.7000000000000002E-3</v>
      </c>
      <c r="S245" s="20"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0" cm="1">
        <f t="array" ref="E246">Common_InputFunctions.Utility_DisplayArrayInTable(Common_SourceData.Common_SourceData_MCFTemperatureZone_Data(),Table_SourceData_Common_MCFTemperatureZone[[#Headers],[Temperature zone]],0)</f>
        <v>24</v>
      </c>
      <c r="F246" s="20" cm="1">
        <f t="array" ref="F246">Common_InputFunctions.Utility_DisplayArrayInTable(Common_SourceData.Common_SourceData_MCFTemperatureZone_Data(),Table_SourceData_Common_MCFTemperatureZone[[#Headers],[Temperature zone]],0)</f>
        <v>0.79</v>
      </c>
      <c r="G246" s="20" cm="1">
        <f t="array" ref="G246">Common_InputFunctions.Utility_DisplayArrayInTable(Common_SourceData.Common_SourceData_MCFTemperatureZone_Data(),Table_SourceData_Common_MCFTemperatureZone[[#Headers],[Temperature zone]],0)</f>
        <v>0.1</v>
      </c>
      <c r="H246" s="20" cm="1">
        <f t="array" ref="H246">Common_InputFunctions.Utility_DisplayArrayInTable(Common_SourceData.Common_SourceData_MCFTemperatureZone_Data(),Table_SourceData_Common_MCFTemperatureZone[[#Headers],[Temperature zone]],0)</f>
        <v>0.37</v>
      </c>
      <c r="I246" s="20" cm="1">
        <f t="array" ref="I246">Common_InputFunctions.Utility_DisplayArrayInTable(Common_SourceData.Common_SourceData_MCFTemperatureZone_Data(),Table_SourceData_Common_MCFTemperatureZone[[#Headers],[Temperature zone]],0)</f>
        <v>5.0000000000000001E-3</v>
      </c>
      <c r="J246" s="20" cm="1">
        <f t="array" ref="J246">Common_InputFunctions.Utility_DisplayArrayInTable(Common_SourceData.Common_SourceData_MCFTemperatureZone_Data(),Table_SourceData_Common_MCFTemperatureZone[[#Headers],[Temperature zone]],0)</f>
        <v>0.01</v>
      </c>
      <c r="K246" s="20" cm="1">
        <f t="array" ref="K246">Common_InputFunctions.Utility_DisplayArrayInTable(Common_SourceData.Common_SourceData_MCFTemperatureZone_Data(),Table_SourceData_Common_MCFTemperatureZone[[#Headers],[Temperature zone]],0)</f>
        <v>0.02</v>
      </c>
      <c r="L246" s="20" cm="1">
        <f t="array" ref="L246">Common_InputFunctions.Utility_DisplayArrayInTable(Common_SourceData.Common_SourceData_MCFTemperatureZone_Data(),Table_SourceData_Common_MCFTemperatureZone[[#Headers],[Temperature zone]],0)</f>
        <v>0.03</v>
      </c>
      <c r="M246" s="20" cm="1">
        <f t="array" ref="M246">Common_InputFunctions.Utility_DisplayArrayInTable(Common_SourceData.Common_SourceData_MCFTemperatureZone_Data(),Table_SourceData_Common_MCFTemperatureZone[[#Headers],[Temperature zone]],0)</f>
        <v>0.04</v>
      </c>
      <c r="N246" s="20" cm="1">
        <f t="array" ref="N246">Common_InputFunctions.Utility_DisplayArrayInTable(Common_SourceData.Common_SourceData_MCFTemperatureZone_Data(),Table_SourceData_Common_MCFTemperatureZone[[#Headers],[Temperature zone]],0)</f>
        <v>1.4999999999999999E-2</v>
      </c>
      <c r="O246" s="20" cm="1">
        <f t="array" ref="O246">Common_InputFunctions.Utility_DisplayArrayInTable(Common_SourceData.Common_SourceData_MCFTemperatureZone_Data(),Table_SourceData_Common_MCFTemperatureZone[[#Headers],[Temperature zone]],0)</f>
        <v>1.4999999999999999E-2</v>
      </c>
      <c r="P246" s="20" cm="1">
        <f t="array" ref="P246">Common_InputFunctions.Utility_DisplayArrayInTable(Common_SourceData.Common_SourceData_MCFTemperatureZone_Data(),Table_SourceData_Common_MCFTemperatureZone[[#Headers],[Temperature zone]],0)</f>
        <v>0</v>
      </c>
      <c r="Q246" s="20" cm="1">
        <f t="array" ref="Q246">Common_InputFunctions.Utility_DisplayArrayInTable(Common_SourceData.Common_SourceData_MCFTemperatureZone_Data(),Table_SourceData_Common_MCFTemperatureZone[[#Headers],[Temperature zone]],0)</f>
        <v>0</v>
      </c>
      <c r="R246" s="20" cm="1">
        <f t="array" ref="R246">Common_InputFunctions.Utility_DisplayArrayInTable(Common_SourceData.Common_SourceData_MCFTemperatureZone_Data(),Table_SourceData_Common_MCFTemperatureZone[[#Headers],[Temperature zone]],0)</f>
        <v>4.7000000000000002E-3</v>
      </c>
      <c r="S246" s="20"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0" cm="1">
        <f t="array" ref="E247">Common_InputFunctions.Utility_DisplayArrayInTable(Common_SourceData.Common_SourceData_MCFTemperatureZone_Data(),Table_SourceData_Common_MCFTemperatureZone[[#Headers],[Temperature zone]],0)</f>
        <v>25</v>
      </c>
      <c r="F247" s="20" cm="1">
        <f t="array" ref="F247">Common_InputFunctions.Utility_DisplayArrayInTable(Common_SourceData.Common_SourceData_MCFTemperatureZone_Data(),Table_SourceData_Common_MCFTemperatureZone[[#Headers],[Temperature zone]],0)</f>
        <v>0.79</v>
      </c>
      <c r="G247" s="20" cm="1">
        <f t="array" ref="G247">Common_InputFunctions.Utility_DisplayArrayInTable(Common_SourceData.Common_SourceData_MCFTemperatureZone_Data(),Table_SourceData_Common_MCFTemperatureZone[[#Headers],[Temperature zone]],0)</f>
        <v>0.1</v>
      </c>
      <c r="H247" s="20" cm="1">
        <f t="array" ref="H247">Common_InputFunctions.Utility_DisplayArrayInTable(Common_SourceData.Common_SourceData_MCFTemperatureZone_Data(),Table_SourceData_Common_MCFTemperatureZone[[#Headers],[Temperature zone]],0)</f>
        <v>0.41</v>
      </c>
      <c r="I247" s="20" cm="1">
        <f t="array" ref="I247">Common_InputFunctions.Utility_DisplayArrayInTable(Common_SourceData.Common_SourceData_MCFTemperatureZone_Data(),Table_SourceData_Common_MCFTemperatureZone[[#Headers],[Temperature zone]],0)</f>
        <v>5.0000000000000001E-3</v>
      </c>
      <c r="J247" s="20" cm="1">
        <f t="array" ref="J247">Common_InputFunctions.Utility_DisplayArrayInTable(Common_SourceData.Common_SourceData_MCFTemperatureZone_Data(),Table_SourceData_Common_MCFTemperatureZone[[#Headers],[Temperature zone]],0)</f>
        <v>0.01</v>
      </c>
      <c r="K247" s="20" cm="1">
        <f t="array" ref="K247">Common_InputFunctions.Utility_DisplayArrayInTable(Common_SourceData.Common_SourceData_MCFTemperatureZone_Data(),Table_SourceData_Common_MCFTemperatureZone[[#Headers],[Temperature zone]],0)</f>
        <v>0.02</v>
      </c>
      <c r="L247" s="20" cm="1">
        <f t="array" ref="L247">Common_InputFunctions.Utility_DisplayArrayInTable(Common_SourceData.Common_SourceData_MCFTemperatureZone_Data(),Table_SourceData_Common_MCFTemperatureZone[[#Headers],[Temperature zone]],0)</f>
        <v>0.03</v>
      </c>
      <c r="M247" s="20" cm="1">
        <f t="array" ref="M247">Common_InputFunctions.Utility_DisplayArrayInTable(Common_SourceData.Common_SourceData_MCFTemperatureZone_Data(),Table_SourceData_Common_MCFTemperatureZone[[#Headers],[Temperature zone]],0)</f>
        <v>0.04</v>
      </c>
      <c r="N247" s="20" cm="1">
        <f t="array" ref="N247">Common_InputFunctions.Utility_DisplayArrayInTable(Common_SourceData.Common_SourceData_MCFTemperatureZone_Data(),Table_SourceData_Common_MCFTemperatureZone[[#Headers],[Temperature zone]],0)</f>
        <v>1.4999999999999999E-2</v>
      </c>
      <c r="O247" s="20" cm="1">
        <f t="array" ref="O247">Common_InputFunctions.Utility_DisplayArrayInTable(Common_SourceData.Common_SourceData_MCFTemperatureZone_Data(),Table_SourceData_Common_MCFTemperatureZone[[#Headers],[Temperature zone]],0)</f>
        <v>1.4999999999999999E-2</v>
      </c>
      <c r="P247" s="20" cm="1">
        <f t="array" ref="P247">Common_InputFunctions.Utility_DisplayArrayInTable(Common_SourceData.Common_SourceData_MCFTemperatureZone_Data(),Table_SourceData_Common_MCFTemperatureZone[[#Headers],[Temperature zone]],0)</f>
        <v>0</v>
      </c>
      <c r="Q247" s="20" cm="1">
        <f t="array" ref="Q247">Common_InputFunctions.Utility_DisplayArrayInTable(Common_SourceData.Common_SourceData_MCFTemperatureZone_Data(),Table_SourceData_Common_MCFTemperatureZone[[#Headers],[Temperature zone]],0)</f>
        <v>0</v>
      </c>
      <c r="R247" s="20" cm="1">
        <f t="array" ref="R247">Common_InputFunctions.Utility_DisplayArrayInTable(Common_SourceData.Common_SourceData_MCFTemperatureZone_Data(),Table_SourceData_Common_MCFTemperatureZone[[#Headers],[Temperature zone]],0)</f>
        <v>4.7000000000000002E-3</v>
      </c>
      <c r="S247" s="20"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0" cm="1">
        <f t="array" ref="E248">Common_InputFunctions.Utility_DisplayArrayInTable(Common_SourceData.Common_SourceData_MCFTemperatureZone_Data(),Table_SourceData_Common_MCFTemperatureZone[[#Headers],[Temperature zone]],0)</f>
        <v>26</v>
      </c>
      <c r="F248" s="20" cm="1">
        <f t="array" ref="F248">Common_InputFunctions.Utility_DisplayArrayInTable(Common_SourceData.Common_SourceData_MCFTemperatureZone_Data(),Table_SourceData_Common_MCFTemperatureZone[[#Headers],[Temperature zone]],0)</f>
        <v>0.79</v>
      </c>
      <c r="G248" s="20" cm="1">
        <f t="array" ref="G248">Common_InputFunctions.Utility_DisplayArrayInTable(Common_SourceData.Common_SourceData_MCFTemperatureZone_Data(),Table_SourceData_Common_MCFTemperatureZone[[#Headers],[Temperature zone]],0)</f>
        <v>0.1</v>
      </c>
      <c r="H248" s="20" cm="1">
        <f t="array" ref="H248">Common_InputFunctions.Utility_DisplayArrayInTable(Common_SourceData.Common_SourceData_MCFTemperatureZone_Data(),Table_SourceData_Common_MCFTemperatureZone[[#Headers],[Temperature zone]],0)</f>
        <v>0.44</v>
      </c>
      <c r="I248" s="20" cm="1">
        <f t="array" ref="I248">Common_InputFunctions.Utility_DisplayArrayInTable(Common_SourceData.Common_SourceData_MCFTemperatureZone_Data(),Table_SourceData_Common_MCFTemperatureZone[[#Headers],[Temperature zone]],0)</f>
        <v>0.01</v>
      </c>
      <c r="J248" s="20" cm="1">
        <f t="array" ref="J248">Common_InputFunctions.Utility_DisplayArrayInTable(Common_SourceData.Common_SourceData_MCFTemperatureZone_Data(),Table_SourceData_Common_MCFTemperatureZone[[#Headers],[Temperature zone]],0)</f>
        <v>1.4999999999999999E-2</v>
      </c>
      <c r="K248" s="20" cm="1">
        <f t="array" ref="K248">Common_InputFunctions.Utility_DisplayArrayInTable(Common_SourceData.Common_SourceData_MCFTemperatureZone_Data(),Table_SourceData_Common_MCFTemperatureZone[[#Headers],[Temperature zone]],0)</f>
        <v>0.02</v>
      </c>
      <c r="L248" s="20" cm="1">
        <f t="array" ref="L248">Common_InputFunctions.Utility_DisplayArrayInTable(Common_SourceData.Common_SourceData_MCFTemperatureZone_Data(),Table_SourceData_Common_MCFTemperatureZone[[#Headers],[Temperature zone]],0)</f>
        <v>0.03</v>
      </c>
      <c r="M248" s="20" cm="1">
        <f t="array" ref="M248">Common_InputFunctions.Utility_DisplayArrayInTable(Common_SourceData.Common_SourceData_MCFTemperatureZone_Data(),Table_SourceData_Common_MCFTemperatureZone[[#Headers],[Temperature zone]],0)</f>
        <v>0.04</v>
      </c>
      <c r="N248" s="20" cm="1">
        <f t="array" ref="N248">Common_InputFunctions.Utility_DisplayArrayInTable(Common_SourceData.Common_SourceData_MCFTemperatureZone_Data(),Table_SourceData_Common_MCFTemperatureZone[[#Headers],[Temperature zone]],0)</f>
        <v>1.4999999999999999E-2</v>
      </c>
      <c r="O248" s="20" cm="1">
        <f t="array" ref="O248">Common_InputFunctions.Utility_DisplayArrayInTable(Common_SourceData.Common_SourceData_MCFTemperatureZone_Data(),Table_SourceData_Common_MCFTemperatureZone[[#Headers],[Temperature zone]],0)</f>
        <v>1.4999999999999999E-2</v>
      </c>
      <c r="P248" s="20" cm="1">
        <f t="array" ref="P248">Common_InputFunctions.Utility_DisplayArrayInTable(Common_SourceData.Common_SourceData_MCFTemperatureZone_Data(),Table_SourceData_Common_MCFTemperatureZone[[#Headers],[Temperature zone]],0)</f>
        <v>0</v>
      </c>
      <c r="Q248" s="20" cm="1">
        <f t="array" ref="Q248">Common_InputFunctions.Utility_DisplayArrayInTable(Common_SourceData.Common_SourceData_MCFTemperatureZone_Data(),Table_SourceData_Common_MCFTemperatureZone[[#Headers],[Temperature zone]],0)</f>
        <v>0</v>
      </c>
      <c r="R248" s="20" cm="1">
        <f t="array" ref="R248">Common_InputFunctions.Utility_DisplayArrayInTable(Common_SourceData.Common_SourceData_MCFTemperatureZone_Data(),Table_SourceData_Common_MCFTemperatureZone[[#Headers],[Temperature zone]],0)</f>
        <v>4.7000000000000002E-3</v>
      </c>
      <c r="S248" s="20"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0" cm="1">
        <f t="array" ref="E249">Common_InputFunctions.Utility_DisplayArrayInTable(Common_SourceData.Common_SourceData_MCFTemperatureZone_Data(),Table_SourceData_Common_MCFTemperatureZone[[#Headers],[Temperature zone]],0)</f>
        <v>27</v>
      </c>
      <c r="F249" s="20" cm="1">
        <f t="array" ref="F249">Common_InputFunctions.Utility_DisplayArrayInTable(Common_SourceData.Common_SourceData_MCFTemperatureZone_Data(),Table_SourceData_Common_MCFTemperatureZone[[#Headers],[Temperature zone]],0)</f>
        <v>0.8</v>
      </c>
      <c r="G249" s="20" cm="1">
        <f t="array" ref="G249">Common_InputFunctions.Utility_DisplayArrayInTable(Common_SourceData.Common_SourceData_MCFTemperatureZone_Data(),Table_SourceData_Common_MCFTemperatureZone[[#Headers],[Temperature zone]],0)</f>
        <v>0.1</v>
      </c>
      <c r="H249" s="20" cm="1">
        <f t="array" ref="H249">Common_InputFunctions.Utility_DisplayArrayInTable(Common_SourceData.Common_SourceData_MCFTemperatureZone_Data(),Table_SourceData_Common_MCFTemperatureZone[[#Headers],[Temperature zone]],0)</f>
        <v>0.48</v>
      </c>
      <c r="I249" s="20" cm="1">
        <f t="array" ref="I249">Common_InputFunctions.Utility_DisplayArrayInTable(Common_SourceData.Common_SourceData_MCFTemperatureZone_Data(),Table_SourceData_Common_MCFTemperatureZone[[#Headers],[Temperature zone]],0)</f>
        <v>0.01</v>
      </c>
      <c r="J249" s="20" cm="1">
        <f t="array" ref="J249">Common_InputFunctions.Utility_DisplayArrayInTable(Common_SourceData.Common_SourceData_MCFTemperatureZone_Data(),Table_SourceData_Common_MCFTemperatureZone[[#Headers],[Temperature zone]],0)</f>
        <v>1.4999999999999999E-2</v>
      </c>
      <c r="K249" s="20" cm="1">
        <f t="array" ref="K249">Common_InputFunctions.Utility_DisplayArrayInTable(Common_SourceData.Common_SourceData_MCFTemperatureZone_Data(),Table_SourceData_Common_MCFTemperatureZone[[#Headers],[Temperature zone]],0)</f>
        <v>0.02</v>
      </c>
      <c r="L249" s="20" cm="1">
        <f t="array" ref="L249">Common_InputFunctions.Utility_DisplayArrayInTable(Common_SourceData.Common_SourceData_MCFTemperatureZone_Data(),Table_SourceData_Common_MCFTemperatureZone[[#Headers],[Temperature zone]],0)</f>
        <v>0.03</v>
      </c>
      <c r="M249" s="20" cm="1">
        <f t="array" ref="M249">Common_InputFunctions.Utility_DisplayArrayInTable(Common_SourceData.Common_SourceData_MCFTemperatureZone_Data(),Table_SourceData_Common_MCFTemperatureZone[[#Headers],[Temperature zone]],0)</f>
        <v>0.04</v>
      </c>
      <c r="N249" s="20" cm="1">
        <f t="array" ref="N249">Common_InputFunctions.Utility_DisplayArrayInTable(Common_SourceData.Common_SourceData_MCFTemperatureZone_Data(),Table_SourceData_Common_MCFTemperatureZone[[#Headers],[Temperature zone]],0)</f>
        <v>1.4999999999999999E-2</v>
      </c>
      <c r="O249" s="20" cm="1">
        <f t="array" ref="O249">Common_InputFunctions.Utility_DisplayArrayInTable(Common_SourceData.Common_SourceData_MCFTemperatureZone_Data(),Table_SourceData_Common_MCFTemperatureZone[[#Headers],[Temperature zone]],0)</f>
        <v>1.4999999999999999E-2</v>
      </c>
      <c r="P249" s="20" cm="1">
        <f t="array" ref="P249">Common_InputFunctions.Utility_DisplayArrayInTable(Common_SourceData.Common_SourceData_MCFTemperatureZone_Data(),Table_SourceData_Common_MCFTemperatureZone[[#Headers],[Temperature zone]],0)</f>
        <v>0</v>
      </c>
      <c r="Q249" s="20" cm="1">
        <f t="array" ref="Q249">Common_InputFunctions.Utility_DisplayArrayInTable(Common_SourceData.Common_SourceData_MCFTemperatureZone_Data(),Table_SourceData_Common_MCFTemperatureZone[[#Headers],[Temperature zone]],0)</f>
        <v>0</v>
      </c>
      <c r="R249" s="20" cm="1">
        <f t="array" ref="R249">Common_InputFunctions.Utility_DisplayArrayInTable(Common_SourceData.Common_SourceData_MCFTemperatureZone_Data(),Table_SourceData_Common_MCFTemperatureZone[[#Headers],[Temperature zone]],0)</f>
        <v>4.7000000000000002E-3</v>
      </c>
      <c r="S249" s="20"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0" t="str" cm="1">
        <f t="array" ref="E250">Common_InputFunctions.Utility_DisplayArrayInTable(Common_SourceData.Common_SourceData_MCFTemperatureZone_Data(),Table_SourceData_Common_MCFTemperatureZone[[#Headers],[Temperature zone]],0)</f>
        <v>≥28</v>
      </c>
      <c r="F250" s="20" cm="1">
        <f t="array" ref="F250">Common_InputFunctions.Utility_DisplayArrayInTable(Common_SourceData.Common_SourceData_MCFTemperatureZone_Data(),Table_SourceData_Common_MCFTemperatureZone[[#Headers],[Temperature zone]],0)</f>
        <v>0.8</v>
      </c>
      <c r="G250" s="20" cm="1">
        <f t="array" ref="G250">Common_InputFunctions.Utility_DisplayArrayInTable(Common_SourceData.Common_SourceData_MCFTemperatureZone_Data(),Table_SourceData_Common_MCFTemperatureZone[[#Headers],[Temperature zone]],0)</f>
        <v>0.1</v>
      </c>
      <c r="H250" s="20" cm="1">
        <f t="array" ref="H250">Common_InputFunctions.Utility_DisplayArrayInTable(Common_SourceData.Common_SourceData_MCFTemperatureZone_Data(),Table_SourceData_Common_MCFTemperatureZone[[#Headers],[Temperature zone]],0)</f>
        <v>0.5</v>
      </c>
      <c r="I250" s="20" cm="1">
        <f t="array" ref="I250">Common_InputFunctions.Utility_DisplayArrayInTable(Common_SourceData.Common_SourceData_MCFTemperatureZone_Data(),Table_SourceData_Common_MCFTemperatureZone[[#Headers],[Temperature zone]],0)</f>
        <v>0.01</v>
      </c>
      <c r="J250" s="20" cm="1">
        <f t="array" ref="J250">Common_InputFunctions.Utility_DisplayArrayInTable(Common_SourceData.Common_SourceData_MCFTemperatureZone_Data(),Table_SourceData_Common_MCFTemperatureZone[[#Headers],[Temperature zone]],0)</f>
        <v>1.4999999999999999E-2</v>
      </c>
      <c r="K250" s="20" cm="1">
        <f t="array" ref="K250">Common_InputFunctions.Utility_DisplayArrayInTable(Common_SourceData.Common_SourceData_MCFTemperatureZone_Data(),Table_SourceData_Common_MCFTemperatureZone[[#Headers],[Temperature zone]],0)</f>
        <v>0.02</v>
      </c>
      <c r="L250" s="20" cm="1">
        <f t="array" ref="L250">Common_InputFunctions.Utility_DisplayArrayInTable(Common_SourceData.Common_SourceData_MCFTemperatureZone_Data(),Table_SourceData_Common_MCFTemperatureZone[[#Headers],[Temperature zone]],0)</f>
        <v>0.03</v>
      </c>
      <c r="M250" s="20" cm="1">
        <f t="array" ref="M250">Common_InputFunctions.Utility_DisplayArrayInTable(Common_SourceData.Common_SourceData_MCFTemperatureZone_Data(),Table_SourceData_Common_MCFTemperatureZone[[#Headers],[Temperature zone]],0)</f>
        <v>0.04</v>
      </c>
      <c r="N250" s="20" cm="1">
        <f t="array" ref="N250">Common_InputFunctions.Utility_DisplayArrayInTable(Common_SourceData.Common_SourceData_MCFTemperatureZone_Data(),Table_SourceData_Common_MCFTemperatureZone[[#Headers],[Temperature zone]],0)</f>
        <v>1.4999999999999999E-2</v>
      </c>
      <c r="O250" s="20" cm="1">
        <f t="array" ref="O250">Common_InputFunctions.Utility_DisplayArrayInTable(Common_SourceData.Common_SourceData_MCFTemperatureZone_Data(),Table_SourceData_Common_MCFTemperatureZone[[#Headers],[Temperature zone]],0)</f>
        <v>1.4999999999999999E-2</v>
      </c>
      <c r="P250" s="20" cm="1">
        <f t="array" ref="P250">Common_InputFunctions.Utility_DisplayArrayInTable(Common_SourceData.Common_SourceData_MCFTemperatureZone_Data(),Table_SourceData_Common_MCFTemperatureZone[[#Headers],[Temperature zone]],0)</f>
        <v>0</v>
      </c>
      <c r="Q250" s="20" cm="1">
        <f t="array" ref="Q250">Common_InputFunctions.Utility_DisplayArrayInTable(Common_SourceData.Common_SourceData_MCFTemperatureZone_Data(),Table_SourceData_Common_MCFTemperatureZone[[#Headers],[Temperature zone]],0)</f>
        <v>0</v>
      </c>
      <c r="R250" s="20" cm="1">
        <f t="array" ref="R250">Common_InputFunctions.Utility_DisplayArrayInTable(Common_SourceData.Common_SourceData_MCFTemperatureZone_Data(),Table_SourceData_Common_MCFTemperatureZone[[#Headers],[Temperature zone]],0)</f>
        <v>4.7000000000000002E-3</v>
      </c>
      <c r="S250" s="20" cm="1">
        <f t="array" ref="S250">Common_InputFunctions.Utility_DisplayArrayInTable(Common_SourceData.Common_SourceData_MCFTemperatureZone_Data(),Table_SourceData_Common_MCFTemperatureZone[[#Headers],[Temperature zone]],0)</f>
        <v>28</v>
      </c>
    </row>
    <row r="253" spans="4:19" ht="23.25" x14ac:dyDescent="0.25">
      <c r="D253" s="2" t="str" cm="1">
        <f t="array" ref="D253">Common_SourceData.Common_SourceData_EFOrganicFertiliserAndCropResidues_Title()</f>
        <v>Emission factor for organic fertiliser and crop residues returned to the soil</v>
      </c>
    </row>
    <row r="254" spans="4:19" x14ac:dyDescent="0.25">
      <c r="D254" s="18"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10" t="str" cm="1">
        <f t="array" ref="D256">Common_SourceData.Common_SourceData_EFOrganicFertiliserAndCropResidues_Unit()</f>
        <v>kg N2O - N / kg N</v>
      </c>
    </row>
    <row r="257" spans="4:6" x14ac:dyDescent="0.25">
      <c r="D257" s="20" t="s">
        <v>85</v>
      </c>
      <c r="E257" s="20" t="s">
        <v>86</v>
      </c>
    </row>
    <row r="258" spans="4:6" x14ac:dyDescent="0.25">
      <c r="D258" s="20" t="str" cm="1">
        <f t="array" ref="D258">Common_InputFunctions.Utility_DisplayArrayInTable(Common_SourceData.Common_SourceData_EFOrganicFertiliserAndCropResidues_Data(), Table_SourceData_Common_EFOrganicFertCropResidues[[#Headers],[Climate Zone]], 0)</f>
        <v>Wet climate zone</v>
      </c>
      <c r="E258" s="20" cm="1">
        <f t="array" ref="E258">Common_InputFunctions.Utility_DisplayArrayInTable(Common_SourceData.Common_SourceData_EFOrganicFertiliserAndCropResidues_Data(), Table_SourceData_Common_EFOrganicFertCropResidues[[#Headers],[Climate Zone]], 0)</f>
        <v>6.0000000000000001E-3</v>
      </c>
    </row>
    <row r="259" spans="4:6"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0" cm="1">
        <f t="array" ref="E259">Common_InputFunctions.Utility_DisplayArrayInTable(Common_SourceData.Common_SourceData_EFOrganicFertiliserAndCropResidues_Data(), Table_SourceData_Common_EFOrganicFertCropResidues[[#Headers],[Climate Zone]], 0)</f>
        <v>5.0000000000000001E-3</v>
      </c>
    </row>
    <row r="263" spans="4:6" ht="23.25" x14ac:dyDescent="0.25">
      <c r="D263" s="2" t="s">
        <v>201</v>
      </c>
    </row>
    <row r="264" spans="4:6" x14ac:dyDescent="0.25">
      <c r="D264" s="1" t="s">
        <v>202</v>
      </c>
    </row>
    <row r="265" spans="4:6" x14ac:dyDescent="0.25">
      <c r="D265" s="20" t="s">
        <v>203</v>
      </c>
      <c r="E265" s="20" t="s">
        <v>204</v>
      </c>
      <c r="F265" s="20" t="s">
        <v>196</v>
      </c>
    </row>
    <row r="266" spans="4:6" x14ac:dyDescent="0.25">
      <c r="D266" s="20" t="s">
        <v>205</v>
      </c>
      <c r="E266" s="20" t="s">
        <v>206</v>
      </c>
      <c r="F266" s="20">
        <v>5</v>
      </c>
    </row>
    <row r="267" spans="4:6" x14ac:dyDescent="0.25">
      <c r="D267" s="20" t="s">
        <v>207</v>
      </c>
      <c r="E267" s="20" t="s">
        <v>198</v>
      </c>
      <c r="F267" s="20">
        <v>4</v>
      </c>
    </row>
    <row r="268" spans="4:6" x14ac:dyDescent="0.25">
      <c r="D268" s="20" t="s">
        <v>208</v>
      </c>
      <c r="E268" s="20" t="s">
        <v>209</v>
      </c>
      <c r="F268" s="20">
        <v>3</v>
      </c>
    </row>
    <row r="269" spans="4:6" x14ac:dyDescent="0.25">
      <c r="D269" s="20" t="s">
        <v>210</v>
      </c>
      <c r="E269" s="20" t="s">
        <v>211</v>
      </c>
      <c r="F269" s="20">
        <v>2</v>
      </c>
    </row>
    <row r="270" spans="4:6" x14ac:dyDescent="0.25">
      <c r="D270" s="20" t="s">
        <v>212</v>
      </c>
      <c r="E270" s="20" t="s">
        <v>213</v>
      </c>
      <c r="F270" s="20">
        <v>1</v>
      </c>
    </row>
    <row r="273" spans="4:6" x14ac:dyDescent="0.25">
      <c r="D273" s="1" t="s">
        <v>214</v>
      </c>
    </row>
    <row r="274" spans="4:6" x14ac:dyDescent="0.25">
      <c r="D274" s="20" t="s">
        <v>203</v>
      </c>
      <c r="E274" s="20" t="s">
        <v>204</v>
      </c>
      <c r="F274" s="20" t="s">
        <v>196</v>
      </c>
    </row>
    <row r="275" spans="4:6" x14ac:dyDescent="0.25">
      <c r="D275" s="20" t="s">
        <v>215</v>
      </c>
      <c r="E275" s="20" t="s">
        <v>199</v>
      </c>
      <c r="F275" s="20">
        <v>5</v>
      </c>
    </row>
    <row r="276" spans="4:6" x14ac:dyDescent="0.25">
      <c r="D276" s="20" t="s">
        <v>216</v>
      </c>
      <c r="E276" s="20" t="s">
        <v>217</v>
      </c>
      <c r="F276" s="20">
        <v>4</v>
      </c>
    </row>
    <row r="277" spans="4:6" x14ac:dyDescent="0.25">
      <c r="D277" s="20" t="s">
        <v>218</v>
      </c>
      <c r="E277" s="20" t="s">
        <v>219</v>
      </c>
      <c r="F277" s="20">
        <v>3</v>
      </c>
    </row>
    <row r="278" spans="4:6" x14ac:dyDescent="0.25">
      <c r="D278" s="20" t="s">
        <v>220</v>
      </c>
      <c r="E278" s="20" t="s">
        <v>221</v>
      </c>
      <c r="F278" s="20">
        <v>2</v>
      </c>
    </row>
    <row r="279" spans="4:6" x14ac:dyDescent="0.25">
      <c r="D279" s="20" t="s">
        <v>222</v>
      </c>
      <c r="E279" s="20" t="s">
        <v>223</v>
      </c>
      <c r="F279" s="20">
        <v>1</v>
      </c>
    </row>
    <row r="282" spans="4:6" x14ac:dyDescent="0.25">
      <c r="D282" s="1" t="s">
        <v>224</v>
      </c>
    </row>
    <row r="283" spans="4:6" x14ac:dyDescent="0.25">
      <c r="D283" s="20" t="s">
        <v>203</v>
      </c>
      <c r="E283" s="20" t="s">
        <v>204</v>
      </c>
      <c r="F283" s="20" t="s">
        <v>196</v>
      </c>
    </row>
    <row r="284" spans="4:6" x14ac:dyDescent="0.25">
      <c r="D284" s="20" t="s">
        <v>225</v>
      </c>
      <c r="E284" s="20" t="s">
        <v>226</v>
      </c>
      <c r="F284" s="20">
        <v>5</v>
      </c>
    </row>
    <row r="285" spans="4:6" x14ac:dyDescent="0.25">
      <c r="D285" s="20" t="s">
        <v>227</v>
      </c>
      <c r="E285" s="20" t="s">
        <v>228</v>
      </c>
      <c r="F285" s="20">
        <v>4</v>
      </c>
    </row>
    <row r="286" spans="4:6" x14ac:dyDescent="0.25">
      <c r="D286" s="20" t="s">
        <v>229</v>
      </c>
      <c r="E286" s="20" t="s">
        <v>200</v>
      </c>
      <c r="F286" s="20">
        <v>3</v>
      </c>
    </row>
    <row r="287" spans="4:6" x14ac:dyDescent="0.25">
      <c r="D287" s="20" t="s">
        <v>230</v>
      </c>
      <c r="E287" s="20" t="s">
        <v>231</v>
      </c>
      <c r="F287" s="20">
        <v>2</v>
      </c>
    </row>
    <row r="288" spans="4:6" x14ac:dyDescent="0.25">
      <c r="D288" s="20" t="s">
        <v>232</v>
      </c>
      <c r="E288" s="20" t="s">
        <v>233</v>
      </c>
      <c r="F288" s="20">
        <v>1</v>
      </c>
    </row>
    <row r="291" spans="4:6" x14ac:dyDescent="0.25">
      <c r="D291" s="1" t="s">
        <v>234</v>
      </c>
    </row>
    <row r="292" spans="4:6" x14ac:dyDescent="0.25">
      <c r="D292" s="20" t="s">
        <v>203</v>
      </c>
      <c r="E292" s="20" t="s">
        <v>204</v>
      </c>
      <c r="F292" s="20" t="s">
        <v>196</v>
      </c>
    </row>
    <row r="293" spans="4:6" x14ac:dyDescent="0.25">
      <c r="D293" s="20" t="s">
        <v>235</v>
      </c>
      <c r="E293" s="20" t="s">
        <v>236</v>
      </c>
      <c r="F293" s="20">
        <v>5</v>
      </c>
    </row>
    <row r="294" spans="4:6" x14ac:dyDescent="0.25">
      <c r="D294" s="20" t="s">
        <v>237</v>
      </c>
      <c r="E294" s="20" t="s">
        <v>238</v>
      </c>
      <c r="F294" s="20">
        <v>4</v>
      </c>
    </row>
    <row r="295" spans="4:6" x14ac:dyDescent="0.25">
      <c r="D295" s="20" t="s">
        <v>239</v>
      </c>
      <c r="E295" s="20" t="s">
        <v>240</v>
      </c>
      <c r="F295" s="20">
        <v>3</v>
      </c>
    </row>
    <row r="296" spans="4:6" x14ac:dyDescent="0.25">
      <c r="D296" s="20" t="s">
        <v>241</v>
      </c>
      <c r="E296" s="20" t="s">
        <v>242</v>
      </c>
      <c r="F296" s="20">
        <v>2</v>
      </c>
    </row>
    <row r="297" spans="4:6" x14ac:dyDescent="0.25">
      <c r="D297" s="20" t="s">
        <v>243</v>
      </c>
      <c r="E297" s="20" t="s">
        <v>244</v>
      </c>
      <c r="F297" s="20">
        <v>1</v>
      </c>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CAAWwBWAGEAbAB1AGUASQBGAEYAYQBsAHMAZQBdACwAXABuACAAIAAgACAAWABMAE8ATwBLAFUAUAAoADEALAAgACgATABvAG8AawB1AHAAQQByAHIAYQB5ADEAPQBMAG8AbwBrAHUAcABWAGEAbAB1AGUAMQApACoAKABMAG8AbwBrAHUAcABBAHIAcgBhAHkAMgA9AEwAbwBvAGsAdQBwAFYAYQBsAHUAZQAyACkALAAgAFIAZQB0AHUAcgBuAEEAcgByAGEAeQAsACAASQBGACgASQBTAE8ATQBJAFQAVABFAEQAKABWAGEAbAB1AGUASQBGAEYAYQBsAHMAZQApACwAIABcACIAXAAiACwAIABWAGEAbAB1AGUASQBGAEYAYQBsAHMAZQAp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AgAFsAVgBhAGwAdQBlAEkAZgBGAGEAbABzAGUAXQAsAFwAbgAgACAAIAAgAEkARgBFAFIAUgBPAFIAKABcAG4AIAAgACAAIAAgACAAIAAgAFgATABPAE8ASwBVAFAAKABMAG8AbwBrAHUAcABWAGEAbAB1AGUAMQAsACAATABvAG8AawB1AHAAQQByAHIAYQB5ADEALABcAG4AIAAgACAAIAAgACAAIAAgACAAIAAgACAAWABMAE8ATwBLAFUAUAAoAEwAbwBvAGsAdQBwAFYAYQBsAHUAZQAyACwAIABMAG8AbwBrAHUAcABBAHIAcgBhAHkAMgAsACAAUgBlAHQAdQByAG4AQQByAHIAYQB5ACkAXABuACAAIAAgACAAIAAgACAAIAApACwAXABuACAAIAAgACAAIAAgACAAIABJAEYAKABJAFMATwBNAEkAVABUAEUARAAoAFYAYQBsAHUAZQBJAGYARgBhAGwAcwBlACkALAAgAFwAIgBcACIALAAgAFYAYQBsAHUAZQBJAGYARgBhAGwAcwBl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FwAdQAwADAAMwBjAD0AYQB2AGcAVABlAG0AcAApACoAXABuACAAIAAgACAAIAAgACAAIAAoAFYAQQBMAFUARQAoAG0AYQB4AFQAZQBtAHAAQQByAHIAYQB5ACkAXAB1ADAAMAAzAGUAPQBhAHYAZwBUAGUAbQBwACkAKgBcAG4AIAAgACAAIAAgACAAIAAgACgAVgBBAEwAVQBFACgAbQBpAG4AUgBhAGkAbgBmAGEAbABsAEEAcgByAGEAeQApAFwAdQAwADAAMwBjAD0AYQB2AGcAUgBhAGkAbgApACoAXABuACAAIAAgACAAIAAgACAAIAAoAFYAQQBMAFUARQAoAG0AYQB4AFIAYQBpAG4AZgBhAGwAbABBAHIAcgBhAHkAKQBcAHUAMAAwADMAZQA9AGEAdgBnAFIAYQBpAG4AKQAqAFwAbgAgACAAIAAgACAAIAAgACAAKABWAEEATABVAEUAKABtAGkAbgBGAHIAbwBzAHQAQQByAHIAYQB5ACkAXAB1ADAAMAAzAGMAPQBmAHIAbwBzAHQARABhAHkAcwApACoAXABuACAAIAAgACAAIAAgACAAIAAoAFYAQQBMAFUARQAoAG0AYQB4AEYAcgBvAHMAdABBAHIAcgBhAHkAKQBcAHUAMAAwADMAZQA9AGYAcgBvAHMAdABEAGEAeQBzACkAKgBcAG4AIAAgACAAIAAgACAAIAAgACgAVgBBAEwAVQBFACgAbQBpAG4ARQBsAGUAdgBhAHQAaQBvAG4AQQByAHIAYQB5ACkAXAB1ADAAMAAzAGMAPQBlAGwAZQB2ACkAKgBcAG4AIAAgACAAIAAgACAAIAAgACgAVgBBAEwAVQBFACgAbQBhAHgARQBsAGUAdgBhAHQAaQBvAG4AQQByAHIAYQB5ACkAXAB1ADAAMAAzAGUAPQBlAGwAZQB2ACkAKgBcAG4AIAAgACAAIAAgACAAIAAgACgAVgBBAEwAVQBFACgAbQBpAG4AUABFAFQAQQByAHIAYQB5ACkAXAB1ADAAMAAzAGMAPQBtAGEAcABfAHAAZQB0ACkAKgBcAG4AIAAgACAAIAAgACAAIAAgACgAVgBBAEwAVQBFACgAbQBhAHgAUABFAFQAQQByAHIAYQB5ACkAXAB1ADAAMAAzAGU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BcAHUAMAAwADMAYwA9AEwAbwBvAGsAdQBwAFYAYQBsAHUAZQApACoAXABuACAAIAAgACAAIAAgACAAIAAoAFYAQQBMAFUARQAoAE0AYQB4AEEAcgByAGEAeQApAFwAdQAwADAAMwBl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BcAHUAMAAwADMAYwAgAFMAKQAsAFwAbgAgACAAIAAgACAAIAAgACAAbABhAHMAdABZAGUAYQByACwAeQBiAC0AKABEAEEAVABFACgAeQBiACwAbQAsAGQAKQBcAHUAMAAwADMAZQ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XAB1ADAAMAAyADcAdAAgAG8AdgBlAHIAbABhAHAAOwAgAG0AbwB2AGUAIAB0AG8AIABuAGUAeAB0ACAAeQBlAGEAcgAqAC8AXABuACAAIAAgACAAIAAgACAAIABmAGkAcgBzAHQAWQBlAGEAcgAsAHkAYQArACgAUABlAHIAaQBvAGQARQBuAGQAKABEAEEAVABFACgAeQBhACwAbQAsAGQAKQApAFwAdQAwADAAMwBjAFMAKQAsACAALwAqAGkAZgAgAHQAaABlACAAYQBuAGMAaABvAHIAIABmAG8AcgAgAHkAYgAgAHMAdABhAHIAdABzACAAYQBmAHQAZQByACAARQAsAGkAdAAgAGMAYQBuAFwAdQAwADAAMgA3AHQAIABvAHYAZQByAGwAYQBwADsAIABtAG8AdgBlACAAdABvACAAcAByAGUAdgBpAG8AdQBzACAAeQBlAGEAcgAqAC8AXABuACAAIAAgACAAIAAgACAAIABsAGEAcwB0AFkAZQBhAHIALAB5AGIALQAoAEQAQQBUAEUAKAB5AGIALABtACwAZAApAFwAdQAwADAAMwBl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BcAHUAMAAwADIANgAgAFwAIgAgAHQAbwAgAFwAIgAgAFwAdQAwADAAMgA2ACAAZQBuAGQAcwBUAGUAeAB0ACAAXAB1ADAAMAAyAD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HUAMAAwADIANwBcACIAIABcAHUAMAAwADIANgAgAHMAaAAgAFwAdQAwADAAMgA2ACAAXAAiAFwAdQAwADAAMgA3ACEAXAAiACAAXAB1ADAAMAAyADYAIABhAGQAZAByAFwAbgAgACAAKQBcAG4AKQA7AFwAbgBcAG4AVQB0AGkAbABpAHQAeQBfAFMAbwB1AHIAYwBlAEgAeQBwAGUAcgBsAGkAbgBrAEQAaQBmAGYAZQByAGUAbgB0AFMAaABlAGUAdA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IgAgAFwAdQAwADAAMgA2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IATwBVAE4ARAAoAFQAZQBtAHAAZQByAGEAdAB1AHIAZQAsACAAMAAp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QwBvAG0AbQBvAG4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ZQBuAHQAZQByAHAAcgBpAHMAZQAgAHQAeQBwAGUAcwBcAG4ARQB4AGMAZQBsACAAbQBvAGQAdQBsAGUAIABuAGEAbQBlADoAIABDAG8AbQBtAG8AbgBfAFMAbwB1AHIAYwBlAEQAYQB0AGE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EMAbwBtAG0AbwBuAF8AUwBvAHUAcgBjAGUARABhAHQAYQBfAEQAZQBuAHMAaQB0AHkATwBmAE0AZQB0AGgAYQBuAGUAXABuAHAAIAA9ACAAZABlAG4AcwBpAHQAeQAgAG8AZgAgAG0AZQB0AGgAYQBuAGUAIAAoADAALgA2ADcAOAA0ACAAawBnAC8AbQAzACkAXABuAFQAYQBrAGUAbgAgAGYAcgBvAG0AIAB0AGgAZQAgAE4AYQB0AGkAbwBuAGEAbAAgAEcAcgBlAGUAbgBoAG8AdQBzAGUAIABhAG4AZAAgAEUAbgBlAHIAZwB5ACAAUgBlAHAAbwByAHQAaQBuAGcAIABcAG4AKABNAGUAYQBzAHUAcgBlAG0AZQBuAHQAKQAgAEQAZQB0AGUAcgBtAGkAbgBhAHQAaQBvAG4AIAAyADAAMAA4AFwAbgAtAC0ALQAtAC0ALQAtAC0ALQAtAC0ALQAtAC0ALQAtAC0ALQAtAC0ALQAtAC0ALQAtAC0ALQAtAC0ALQAtAC0ALQAtAC0ALQAtAC0AXABuACoALwBcAG4AXABuAEMAbwBtAG0AbwBuAF8AUwBvAHUAcgBjAGUARABhAHQAYQBfAEQAZQBuAHMAaQB0AHkATwBmAE0AZQB0AGgAYQBuAGUAXwBUAGkAdABsAGUAXABuACAAIAA9AEwAQQBNAEIARABBACgAXAAiAHAAIAA9ACAAZABlAG4AcwBpAHQAeQAgAG8AZgAgAG0AZQB0AGgAYQBuAGUAXAAiACkAOwBcAG4AXABuAEMAbwBtAG0AbwBuAF8AUwBvAHUAcgBjAGUARABhAHQAYQBfAEQAZQBuAHMAaQB0AHkATwBmAE0AZQB0AGgAYQBuAGUAXwBVAG4AaQB0AFwAbgAgACAAPQBMAEEATQBCAEQAQQAoAFwAIgBrAGcALwBtADMAXAAiACkAOwBcAG4AXABuAEMAbwBtAG0AbwBuAF8AUwBvAHUAcgBjAGUARABhAHQAYQBfAEQAZQBuAHMAaQB0AHkATwBmAE0AZQB0AGgAYQBuAGUAXwBTAG8AdQByAGMAZQBcAG4AIAAgAD0ATABBAE0AQgBEAEEAKABcACIATgBhAHQAaQBvAG4AYQBsACAASQBuAHYAZQBuAHQAbwByAHkAIABSAGUAcABvAHIAdAAgADIAMAAyADMAIABWAG8AbAB1AG0AZQAgADEAOgAgAEUAcQB1AGEAdABpAG8AbgBzACAAMwAuAEIALgAxAGEAXwAyACwAIAAzAC4AQgAuADEAYwBfADIALAAgADMALgBCAC4AMwBfADEALAAgADMALgBCAC4ANABnAF8AMgBcACIAKQA7AFwAbgBcAG4AQwBvAG0AbQBvAG4AXwBTAG8AdQByAGMAZQBEAGEAdABhAF8ARABlAG4AcwBpAHQAeQBPAGYATQBlAHQAaABhAG4AZQBfAEQAYQB0AGEAXABuACAAIAA9AEwAQQBNAEIARABBACgAMAAuADYANwA4ADQAKQA7AFwAbgBcAG4ALwAqACAAXABuAC0ALQAtAC0ALQAtAC0ALQAtAC0ALQAtAC0ALQAtAC0ALQAtAC0ALQAtAC0ALQAtAC0ALQAtAC0ALQAtAC0ALQAtAC0ALQAtAC0ALQBcAG4AQwBvAG0AbQBvAG4AXwBTAG8AdQByAGMAZQBEAGEAdABhAF8AQwBvAG4AdgBlAHIAdABOADIAbwBFAGwAZQBtAGUAbgB0AGEAbABUAG8ATQBvAGwAZQBjAHUAbABhAHIAQwBnAFwAbgBDAGcAIAA9ACAANAA0AC8AMgA4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QwBvAG0AbQBvAG4AXwBTAG8AdQByAGMAZQBEAGEAdABhAF8AQwBvAG4AdgBlAHIAdABOADIAbwBFAGwAZQBtAGUAbgB0AGEAbABUAG8ATQBvAGwAZQBjAHUAbABhAHIAQwBnAF8AVABpAHQAbABlAFwAbgAgACAAPQBMAEEATQBCAEQAQQAoAFwAIgBGAGEAYwB0AG8AcgAgAHQAbwAgAGMAbwBuAHYAZQByAHQAIABlAGwAZQBtAGUAbgB0AGEAbAAgAG0AYQBzAHMAIABvAGYAIABOADIATwAgAHQAbwAgAG0AbwBsAGUAYwB1AGwAYQByACAAbQBhAHMAcwBcACIAKQA7AFwAbgBcAG4AQwBvAG0AbQBvAG4AXwBTAG8AdQByAGMAZQBEAGEAdABhAF8AQwBvAG4AdgBlAHIAdABOADIAbwBFAGwAZQBtAGUAbgB0AGEAbABUAG8ATQBvAGwAZQBjAHUAbABhAHIAQwBnAF8AVgBhAHIAaQBhAGIAbABlAFwAbgAgACAAPQBMAEEATQBCAEQAQQAoAFwAIgBDAGcATgAyAE8AXAAiACkAOwBcAG4AXABuAEMAbwBtAG0AbwBuAF8AUwBvAHUAcgBjAGUARABhAHQAYQBfAEMAbwBuAHYAZQByAHQATgAyAG8ARQBsAGUAbQBlAG4AdABhAGwAVABvAE0AbwBsAGUAYwB1AGwAYQByAEMAZwBfAFUAbgBpAHQAXABuACAAIAA9AEwAQQBNAEIARABBACgAXAAiAGYAYQBjAHQAbwByAFwAIgApADsAXABuAFwAbgBDAG8AbQBtAG8AbgBfAFMAbwB1AHIAYwBlAEQAYQB0AGEAXwBDAG8AbgB2AGUAcgB0AE4AMgBvAEUAbABlAG0AZQBuAHQAYQBsAFQAbwBNAG8AbABlAGMAdQBsAGEAcgBDAGcAXwBTAG8AdQByAGMAZQBcAG4AIAAgAD0ATABBAE0AQgBEAEEAKABcACIATgBhAHQAaQBvAG4AYQBsACAASQBuAHYAZQBuAHQAbwByAHkAIABSAGUAcABvAHIAdAAgADIAMAAyADMAIABWAG8AbAB1AG0AZQAgADEAXAAiACkAOwBcAG4AXABuAEMAbwBtAG0AbwBuAF8AUwBvAHUAcgBjAGUARABhAHQAYQBfAEMAbwBuAHYAZQByAHQATgAyAG8ARQBsAGUAbQBlAG4AdABhAGwAVABvAE0AbwBsAGUAYwB1AGwAYQByAEMAZwBfAEQAYQB0AGEAXABuACAAIAA9AEwAQQBNAEIARABBACgANAA0AC8AMgA4ACkAOwBcAG4AXABuAC8AKgAgAFwAbgAtAC0ALQAtAC0ALQAtAC0ALQAtAC0ALQAtAC0ALQAtAC0ALQAtAC0ALQAtAC0ALQAtAC0ALQAtAC0ALQAtAC0ALQAtAC0ALQAtAC0AXABuAEMAbwBtAG0AbwBuAF8AUwBvAHUAcgBjAGUARABhAHQAYQBfAEMAbwBuAHYAZQByAHQARwBhAHMARQBsAGUAbQBlAG4AdABhAGwAVABvAE0AbwBsAGUAYwB1AGwAYQByAFwAbgBGAGEAYwB0AG8AcgAgAHQAbwAgAGMAbwBuAHYAZQByAHQAIABlAGwAZQBtAGUAbgB0AGEAbAAgAG0AYQBzAHMAIABvAGYAIABnAGEAcwAgAHQAbwAgAG0AbwBsAGUAYwB1AGwAYQByACAAbQBhAHMAcwBcAG4ALQAtAC0ALQAtAC0ALQAtAC0ALQAtAC0ALQAtAC0ALQAtAC0ALQAtAC0ALQAtAC0ALQAtAC0ALQAtAC0ALQAtAC0ALQAtAC0ALQAtAFwAbgAqAC8AXABuAFwAbgBDAG8AbQBtAG8AbgBfAFMAbwB1AHIAYwBlAEQAYQB0AGEAXwBDAG8AbgB2AGUAcgB0AEcAYQBzAEUAbABlAG0AZQBuAHQAYQBsAFQAbwBNAG8AbABlAGMAdQBsAGEAcgBfAFQAaQB0AGwAZQBcAG4AIAAgAD0ATABBAE0AQgBEAEEAKABcACIARgBhAGMAdABvAHIAIAB0AG8AIABjAG8AbgB2AGUAcgB0ACAAZQBsAGUAbQBlAG4AdABhAGwAIABtAGEAcwBzACAAbwBmACAAZwBhAHMAIAB0AG8AIABtAG8AbABlAGMAdQBsAGEAcgAgAG0AYQBzAHMAXAAiACkAOwBcAG4AXABuAEMAbwBtAG0AbwBuAF8AUwBvAHUAcgBjAGUARABhAHQAYQBfAEMAbwBuAHYAZQByAHQARwBhAHMARQBsAGUAbQBlAG4AdABhAGwAVABvAE0AbwBsAGUAYwB1AGwAYQByAF8AVgBhAHIAaQBhAGIAbABlAFwAbgAgACAAPQBMAEEATQBCAEQAQQAoAFwAIgBDAGcAXAAiACkAOwBcAG4AXABuAEMAbwBtAG0AbwBuAF8AUwBvAHUAcgBjAGUARABhAHQAYQBfAEMAbwBuAHYAZQByAHQARwBhAHMARQBsAGUAbQBlAG4AdABhAGwAVABvAE0AbwBsAGUAYwB1AGwAYQByAF8AVQBuAGkAdABcAG4AIAAgAD0ATABBAE0AQgBEAEEAKABcACIAZgBhAGMAdABvAHIAXAAiACkAOwBcAG4AXABuAEMAbwBtAG0AbwBuAF8AUwBvAHUAcgBjAGUARABhAHQAYQBfAEMAbwBuAHYAZQByAHQARwBhAHMARQBsAGUAbQBlAG4AdABhAGwAVABvAE0AbwBsAGUAYwB1AGwAYQByAF8AUwBvAHUAcgBjAGUAXABuACAAIAA9AEwAQQBNAEIARABBACgAXAAiAFgAWABYAFgAWABYAFgAXAAiACkAOwBcAG4AXABuAEMAbwBtAG0AbwBuAF8AUwBvAHUAcgBjAGUARABhAHQAYQBfAEMAbwBuAHYAZQByAHQARwBhAHMARQBsAGUAbQBlAG4AdABhAGwAVABvAE0AbwBsAGUAYwB1AGwAYQByAF8ARABhAHQAYQBcAG4AIAAgAD0ATABBAE0AQgBEAEEAKABcAG4AIAAgACAAIABNAEEASwBFAEEAUgBSAEEAWQAoADgALAAgADQALAAgAFwAbgAgACAAIAAgACAAIABMAEEATQBCAEQAQQAoAHIALABjACwAIABcAG4AIAAgACAAIAAgACAAIAAgAEkATgBEAEUAWAAoAHsAXABuACAAIAAgACAAIAAgACAAIAAgACAAXAAiAEcAYQBzAFwAIgAsACAAXAAiAEMAbwBuAHYAZQByAHMAaQBvAG4AIABmAGEAYwB0AG8AcgBcACIALAAgAFwAIgBDAG8AbgB2AGUAcgBzAGkAbwBuACAAZgBhAGMAdABvAHIAIAAxAFwAIgAsACAAXAAiAEMAbwBuAHYAZQByAHMAaQBvAG4AIABmAGEAYwB0AG8AcgAgADIAXAAiADsAXABuACAAIAAgACAAIAAgACAAIAAgACAAXAAiAEMATwAyAFwAIgAsACAAXAAiADQANAAvADEAMgBcACIALAAgADQANAAsACAAMQAyADsAXABuACAAIAAgACAAIAAgACAAIAAgACAAXAAiAEMASAA0AFwAIgAsACAAXAAiADEANgAvADEAMgBcACIALAAgADEANgAsACAAMQAyADsAXABuACAAIAAgACAAIAAgACAAIAAgACAAXAAiAE4AMgBPAFwAIgAsACAAXAAiADQANAAvADIAOABcACIALAAgADQANAAsACAAMgA4ADsAXABuACAAIAAgACAAIAAgACAAIAAgACAAXAAiAE4AbwB4AFwAIgAsACAAXAAiADQANgAvADEANABcACIALAAgADQANgAsACAAMQA0ADsAXABuACAAIAAgACAAIAAgACAAIAAgACAAXAAiAEMATwBcACIALAAgAFwAIgAyADgALwAxADIAXAAiACwAIAAyADgALAAgADEAMgA7AFwAbgAgACAAIAAgACAAIAAgACAAIAAgAFwAIgBDAE8AMgAgAEwAaQBtAGUAXAAiACwAIABcACIANAA0AC8AMQAyAFwAIgAsACAANAA0ACwAIAAxADIAOwBcAG4AIAAgACAAIAAgACAAIAAgACAAIABcACIATgBNAFYATwBDAFwAIgAsACAAXAAiADEANAAvADEAMgBcACIALAAgADEANAAsACAAMQAy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HAFcAUABOADIATwBcAG4ARwBsAG8AYgBhAGwAIAB3AGEAcgBtAGkAbgBnACAAcABvAHQAZQBuAHQAaQBhAGwAIABmAG8AcgAgAGcAcgBlAGUAbgBoAG8AdQBzAGUAIABnAGEAcwBlAHMAXABuAC0ALQAtAC0ALQAtAC0ALQAtAC0ALQAtAC0ALQAtAC0ALQAtAC0ALQAtAC0ALQAtAC0ALQAtAC0ALQAtAC0ALQAtAC0ALQAtAC0ALQBcAG4AKgAvAFwAbgBcAG4AQwBvAG0AbQBvAG4AXwBTAG8AdQByAGMAZQBEAGEAdABhAF8ARwBXAFAAXwBUAGkAdABsAGUAXABuACAAIAA9AEwAQQBNAEIARABBACgAXAAiAEcAbABvAGIAYQBsACAAdwBhAHIAbQBpAG4AZwAgAHAAbwB0AGUAbgB0AGkAYQBsACAAZgBvAHIAIABnAHIAZQBlAG4AaABvAHUAcwBlACAAZwBhAHMAZQBzAFwAIgApADsAXABuAFwAbgBDAG8AbQBtAG8AbgBfAFMAbwB1AHIAYwBlAEQAYQB0AGEAXwBHAFcAUABfAFYAYQByAGkAYQBiAGwAZQBcAG4AIAAgAD0ATABBAE0AQgBEAEEAKABcACIARwBXAFAATgAyAE8AXAAiACkAOwBcAG4AXABuAEMAbwBtAG0AbwBuAF8AUwBvAHUAcgBjAGUARABhAHQAYQBfAEcAVwBQAF8AVQBuAGkAdABcAG4AIAAgAD0ATABBAE0AQgBEAEEAKABcACIAZgBhAGMAdABvAHIAXAAiACkAOwBcAG4AXABuAEMAbwBtAG0AbwBuAF8AUwBvAHUAcgBjAGUARABhAHQAYQBfAEcAVwBQAF8AUwBvAHUAcgBjAGUAXABuACAAIAA9AEwAQQBNAEIARABBACgAXAAiAFgAWABYAFgAWABYAFgAXAAiACkAOwBcAG4AXABuAEMAbwBtAG0AbwBuAF8AUwBvAHUAcgBjAGUARABhAHQAYQBfAEcAVwBQAF8ARABhAHQAYQBcAG4AIAAgAD0ATABBAE0AQgBEAEEAKABcAG4AIAAgACAAIABNAEEASwBFAEEAUgBSAEEAWQAoADgALAAgADIALAAgAFwAbgAgACAAIAAgACAAIABMAEEATQBCAEQAQQAoAHIALABjACwAIABcAG4AIAAgACAAIAAgACAAIAAgAEkATgBEAEUAWAAoAHsAXABuACAAIAAgACAAIAAgACAAIAAgACAAXAAiAEcAYQBzAFwAIgAsACAAXAAiAEMATwAyAC0AZQAgAGYAYQBjAHQAbwByAFwAIgA7AFwAbgAgACAAIAAgACAAIAAgACAAIAAgAFwAIgBDAE8AMgBcACIALAAgADEAOwBcAG4AIAAgACAAIAAgACAAIAAgACAAIABcACIAQwBIADQAXAAiACwAIAAyADgAOwBcAG4AIAAgACAAIAAgACAAIAAgACAAIABcACIATgAyAE8AXAAiACwAIAAyADYANQA7AFwAbgAgACAAIAAgACAAIAAgACAAIAAgAFwAIgBDAEYANABcACIALAAgADYANgAzADAAOwBcAG4AIAAgACAAIAAgACAAIAAgACAAIABcACIAQwAyAEYANgBcACIALAAgADEAMgAyADAAMAA7AFwAbgAgACAAIAAgACAAIAAgACAAIAAgAFwAIgBTAEYANgBcACIALAAgADIAMgA4ADAAMAA7AFwAbgAgACAAIAAgACAAIAAgACAAIAAgAFwAIgBOAEYAMwBcACIALAAgADEANwAyADAAMA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EAdQBzAHQAcgBhAGwAaQBhAG4AUwB0AGEAdABlAHMAVABlAHIAcgBpAHQAbwByAGkAZQBzAFwAbgAtAC0ALQAtAC0ALQAtAC0ALQAtAC0ALQAtAC0ALQAtAC0ALQAtAC0ALQAtAC0ALQAtAC0ALQAtAC0ALQAtAC0ALQAtAC0ALQAtAC0AXABuACoALwBcAG4AXABuAEMAbwBtAG0AbwBuAF8AUwBvAHUAcgBjAGUARABhAHQAYQBfAEEAdQBzAHQAcgBhAGwAaQBhAG4AUwB0AGEAdABlAHMAVABlAHIAcgBpAHQAbwByAGkAZQBzAF8AVABpAHQAbABlAFwAbgAgACAAPQBMAEEATQBCAEQAQQAoAFwAIgBBAHUAcwB0AHIAYQBsAGkAYQBuACAAcwB0AGEAdABlAHMAIABhAG4AZAAgAHQAZQByAHIAaQB0AG8AcgBpAGUAcwBcACIAKQA7AFwAbgBcAG4AQwBvAG0AbQBvAG4AXwBTAG8AdQByAGMAZQBEAGEAdABhAF8AQQB1AHMAdAByAGEAbABpAGEAbgBTAHQAYQB0AGUAcwBUAGUAcgByAGkAdABvAHIAaQBlAHMAXwBWAGEAcgBpAGEAYgBsAGUAXABuACAAIAA9AEwAQQBNAEIARABBACgAXAAiAFwAIgApADsAXABuAFwAbgBDAG8AbQBtAG8AbgBfAFMAbwB1AHIAYwBlAEQAYQB0AGEAXwBBAHUAcwB0AHIAYQBsAGkAYQBuAFMAdABhAHQAZQBzAFQAZQByAHIAaQB0AG8AcgBpAGUAcwBfAFUAbgBpAHQAXABuACAAIAA9AEwAQQBNAEIARABBACgAXAAiAFwAIgApADsAXABuAFwAbgBDAG8AbQBtAG8AbgBfAFMAbwB1AHIAYwBlAEQAYQB0AGEAXwBBAHUAcwB0AHIAYQBsAGkAYQBuAFMAdABhAHQAZQBzAFQAZQByAHIAaQB0AG8AcgBpAGUAcwBfAFMAbwB1AHIAYwBlAFwAbgAgACAAPQBMAEEATQBCAEQAQQAoAFwAIgBcACIAKQA7AFwAbgBcAG4AQwBvAG0AbQBvAG4AXwBTAG8AdQByAGMAZQBEAGEAdABhAF8AQQB1AHMAdAByAGEAbABpAGEAbgBTAHQAYQB0AGUAcwBUAGUAcgByAGkAdABvAHIAaQBlAHMAXwBEAGEAdABhAFwAbgAgACAAIAA9AEwAQQBNAEIARABBACgAXABuACAAIAAgACAATQBBAEsARQBBAFIAUgBBAFkAKAA5ACwAIAAzACwAIABcAG4AIAAgACAAIAAgACAATABBAE0AQgBEAEEAKAByACwAYwAsACAAXABuACAAIAAgACAAIAAgACAAIABJAE4ARABFAFgAKAB7AFwAbgAgACAAIAAgACAAIAAgACAAIAAgAFwAIgBTAHQAYQB0AGUALwBUAGUAcgByAGkAdABvAHIAeQBcACIALAAgAFwAIgBDAG8AbQBtAG8AbgAgAE4AYQBtAGUAXAAiACwAIABcACIAQQBiAGIAcgBlAHYAaQBhAHQAaQBvAG4AXAAiADsAXABuACAAIAAgACAAIAAgACAAIAAgACAAXAAiAE4AZQB3ACAAUwBvAHUAdABoACAAVwBhAGwAZQBzAFwAIgAsACAAXAAiAE4AZQB3ACAAUwBvAHUAdABoACAAVwBhAGwAZQBzAFwAIgAsACAAXAAiAE4AUwBXAFwAIgA7AFwAbgAgACAAIAAgACAAIAAgACAAIAAgAFwAIgBBAHUAcwB0AHIAYQBsAGkAYQBuACAAQwBhAHAAaQB0AGEAbAAgAFQAZQByAHIAaQB0AG8AcgB5AFwAIgAsACAAXAAiAEEAQwBUAFwAIgAsACAAXAAiAEEAQwBUAFwAIgA7AFwAbgAgACAAIAAgACAAIAAgACAAIAAgAFwAIgBWAGkAYwB0AG8AcgBpAGEAXAAiACwAIABcACIAVgBpAGMAdABvAHIAaQBhAFwAIgAsACAAXAAiAFYASQBDAFwAIgA7AFwAbgAgACAAIAAgACAAIAAgACAAIAAgAFwAIgBRAHUAZQBlAG4AcwBsAGEAbgBkAFwAIgAsACAAXAAiAFEAdQBlAGUAbgBzAGwAYQBuAGQAXAAiACwAIABcACIAUQBMAEQAXAAiADsAXABuACAAIAAgACAAIAAgACAAIAAgACAAXAAiAFMAbwB1AHQAaAAgAEEAdQBzAHQAcgBhAGwAaQBhAFwAIgAsACAAXAAiAFMAbwB1AHQAaAAgAEEAdQBzAHQAcgBhAGwAaQBhAFwAIgAsACAAXAAiAFMAQQBcACIAOwBcAG4AIAAgACAAIAAgACAAIAAgACAAIABcACIAVwBlAHMAdABlAHIAbgAgAEEAdQBzAHQAcgBhAGwAaQBhAFwAIgAsACAAXAAiAFcAZQBzAHQAZQByAG4AIABBAHUAcwB0AHIAYQBsAGkAYQBcACIALAAgAFwAIgBXAEEAXAAiADsAXABuACAAIAAgACAAIAAgACAAIAAgACAAXAAiAFQAYQBzAG0AYQBuAGkAYQBcACIALAAgAFwAIgBUAGEAcwBtAGEAbgBpAGEAXAAiACwAIABcACIAVABBAFMAXAAiADsAXABuACAAIAAgACAAIAAgACAAIAAgACAAXAAiAE4AbwByAHQAaABlAHIAbgAgAFQAZQByAHIAaQB0AG8AcgB5AFwAIgAsACAAXAAiAE4AbwByAHQAaABlAHIAbgAgAFQAZQByAHIAaQB0AG8AcgB5AFwAIgAsACAAXAAiAE4AVA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QQBTAEEANABBAHIAZQBhAHMAXABuAC0ALQAtAC0ALQAtAC0ALQAtAC0ALQAtAC0ALQAtAC0ALQAtAC0ALQAtAC0ALQAtAC0ALQAtAC0ALQAtAC0ALQAtAC0ALQAtAC0ALQBcAG4AKgAvAFwAbgBcAG4AQwBvAG0AbQBvAG4AXwBTAG8AdQByAGMAZQBEAGEAdABhAF8AVwBBAFMAQQA0AEEAcgBlAGEAcwBfAFQAaQB0AGwAZQBcAG4AIAAgAD0ATABBAE0AQgBEAEEAKABcACIAQQBCAFMAIABTAHQAYQB0AGkAcwB0AGMAYQBsACAAQQByAGUAYQBzACAATABlAHYAZQBsACAANAAgAC0AIABXAGUAcwB0AGUAcgBuACAAQQB1AHMAdAByAGEAbABpAGEAXAAiACkAOwBcAG4AXABuAEMAbwBtAG0AbwBuAF8AUwBvAHUAcgBjAGUARABhAHQAYQBfAFcAQQBTAEEANABBAHIAZQBhAHMAXwBWAGEAcgBpAGEAYgBsAGUAXABuACAAIAA9AEwAQQBNAEIARABBACgAXAAiAFwAIgApADsAXABuAFwAbgBDAG8AbQBtAG8AbgBfAFMAbwB1AHIAYwBlAEQAYQB0AGEAXwBXAEEAUwBBADQAQQByAGUAYQBzAF8AVQBuAGkAdABcAG4AIAAgAD0ATABBAE0AQgBEAEEAKABcACIAXAAiACkAOwBcAG4AXABuAEMAbwBtAG0AbwBuAF8AUwBvAHUAcgBjAGUARABhAHQAYQBfAFcAQQBTAEEANABBAHIAZQBhAHMAXwBTAG8AdQByAGMAZQBcAG4AIAAgAD0ATABBAE0AQgBEAEEAKABcACIAQQB1AHMAdAByAGEAbABpAGEAbgAgAEIAdQByAGUAYQB1ACAAbwBmACAAUwB0AGEAdABpAHMAdABpAGMAcwAgACgAQQBCAFMAKQAgAC0AIABTAHQAYQB0AGkAcwB0AGkAYwBhAGwAIABBAHIAZQBhAHMAIABMAGUAdgBlAGwAIAAyACAALQAgADIAMAAyADEAIAAtACAAUwBoAGEAcABlAGYAaQBsAGUAXAAiACkAOwBcAG4AXABuAEMAbwBtAG0AbwBuAF8AUwBvAHUAcgBjAGUARABhAHQAYQBfAFcAQQBTAEEANABBAHIAZQBhAHMAXwBEAGEAdABhAFwAbgAgACAAIAA9AEwAQQBNAEIARABBACgAXABuACAAIAAgACAATQBBAEsARQBBAFIAUgBBAFkAKAAxADEALAAgADEALAAgAFwAbgAgACAAIAAgACAAIABMAEEATQBCAEQAQQAoAHIALABjACwAIABcAG4AIAAgACAAIAAgACAAIAAgAEkATgBEAEUAWAAoAHsAXABuACAAIAAgACAAIAAgACAAIAAgACAAXAAiAFMAQQAgADQAIABOAGEAbQBlAFwAIgA7AFwAbgAgACAAIAAgACAAIAAgACAAIAAgAFwAIgBCAHUAbgBiAHUAcgB5AFwAIgA7AFwAbgAgACAAIAAgACAAIAAgACAAIAAgAFwAIgBNAGEAbgBkAHUAcgBhAGgAXAAiADsAXABuACAAIAAgACAAIAAgACAAIAAgACAAXAAiAFAAZQByAHQAaAAgAC0AIABJAG4AbgBlAHIAXAAiADsAXABuACAAIAAgACAAIAAgACAAIAAgACAAXAAiAFAAZQByAHQAaAAgAC0AIABOAG8AcgB0AGgAIABFAGEAcwB0AFwAIgA7AFwAbgAgACAAIAAgACAAIAAgACAAIAAgAFwAIgBQAGUAcgB0AGgAIAAtACAATgBvAHIAdABoACAAVwBlAHMAdABcACIAOwBcAG4AIAAgACAAIAAgACAAIAAgACAAIABcACIAUABlAHIAdABoACAALQAgAFMAbwB1AHQAaAAgAEUAYQBzAHQAXAAiADsAXABuACAAIAAgACAAIAAgACAAIAAgACAAXAAiAFAAZQByAHQAaAAgAC0AIABTAG8AdQB0AGgAIABXAGUAcwB0AFwAIgA7AFwAbgAgACAAIAAgACAAIAAgACAAIAAgAFwAIgBXAGUAcwB0AGUAcgBuACAAQQB1AHMAdAByAGEAbABpAGEAIAAtACAAVwBoAGUAYQB0ACAAQgBlAGwAdABcACIAOwBcAG4AIAAgACAAIAAgACAAIAAgACAAIABcACIAVwBlAHMAdABlAHIAbgAgAEEAdQBzAHQAcgBhAGwAaQBhACAALQAgAE8AdQB0AGIAYQBjAGsAIAAoAE4AbwByAHQAaAApAFwAIgA7AFwAbgAgACAAIAAgACAAIAAgACAAIAAgAFwAIgBXAGUAcwB0AGUAcgBuACAAQQB1AHMAdAByAGEAbABpAGEAIAAtACAATwB1AHQAYgBhAGMAawAgACgAUwBvAHUAdABoACk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GUAdABBAG4AZABEAHIAeQBaAG8AbgBlAHMAXABuAC0ALQAtAC0ALQAtAC0ALQAtAC0ALQAtAC0ALQAtAC0ALQAtAC0ALQAtAC0ALQAtAC0ALQAtAC0ALQAtAC0ALQAtAC0ALQAtAC0ALQBcAG4AKgAvAFwAbgBcAG4AQwBvAG0AbQBvAG4AXwBTAG8AdQByAGMAZQBEAGEAdABhAF8AVwBlAHQAQQBuAGQARAByAHkAWgBvAG4AZQBzAF8AVABpAHQAbABlAFwAbgAgACAAPQBMAEEATQBCAEQAQQAoAFwAIgBWAEUARQBSAEcAIABBAHUAcwB0AHIAYQBsAGkAYQBuACAAdwBlAHQAIABhAG4AZAAgAGQAcgB5ACAAegBvAG4AZQBzAFwAIgApADsAXABuAFwAbgBDAG8AbQBtAG8AbgBfAFMAbwB1AHIAYwBlAEQAYQB0AGEAXwBXAGUAdABBAG4AZABEAHIAeQBaAG8AbgBlAHMAXwBWAGEAcgBpAGEAYgBsAGUAXABuACAAIAA9AEwAQQBNAEIARABBACgAXAAiAFwAIgApADsAXABuAFwAbgBDAG8AbQBtAG8AbgBfAFMAbwB1AHIAYwBlAEQAYQB0AGEAXwBXAGUAdABBAG4AZABEAHIAeQBaAG8AbgBlAHMAXwBVAG4AaQB0AFwAbgAgACAAPQBMAEEATQBCAEQAQQAoAFwAIgBcACIAKQA7AFwAbgBcAG4AQwBvAG0AbQBvAG4AXwBTAG8AdQByAGMAZQBEAGEAdABhAF8AVwBlAHQAQQBuAGQARAByAHkAWgBvAG4AZQBzAF8AUwBvAHUAcgBjAGUAXABuACAAIAA9AEwAQQBNAEIARABBACgAXAAiAFYARQBFAFIARwAgADIAMAAyADYAOgAgAFQAYQBiAGwAZQAgADEALgAyADoAIABUAHIAYQBuAHMAbABhAHQAaQBuAGcAIABjAGwAaQBtAGEAdABlACAAegBvAG4AZQBzACAAdABvACAAdwBlAHQAIABhAG4AZAAgAGQAcgB5ACAAegBvAG4AZQBzAFwAIgApADsAXABuAFwAbgBDAG8AbQBtAG8AbgBfAFMAbwB1AHIAYwBlAEQAYQB0AGEAXwBXAGUAdABBAG4AZABEAHIAeQBaAG8AbgBlAHMAXwBWAGEAcgBpAGEAdABpAG8AbgBcAG4AIAAgACAAPQBMAEEATQBCAEQAQQAoAFwAbgAgACAAIAAgAE0AQQBLAEUAQQBSAFIAQQBZACgAMw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LQAgAEMAaABhAG4AZwBlAGQAIABcAHUAMAAwADIANwBGAHIAeQBcAHUAMAAwADIANwAgAHQAbwAgAFwAdQAwADAAMgA3AEQAcgB5AFwAdQAwADAAMgA3AC4AXAAiAFwAbgAgACAAIAAgACAAIAAgACAAfQAsACAAcgAsACAAYwApAFwAbgAgACAAIAAgACAAIAApAFwAbgAgACAAIAAgACkAXABuACAAIAApADsAXABuAFwAbgBDAG8AbQBtAG8AbgBfAFMAbwB1AHIAYwBlAEQAYQB0AGEAXwBXAGUAdABBAG4AZABEAHIAeQBaAG8AbgBlAHMAXwBEAGEAdABhAFwAbgAgACAAIAA9AEwAQQBNAEIARABBACgAXABuACAAIAAgACAATQBBAEsARQBBAFIAUgBBAFkAKAAxADUALAAgADIALAAgAFwAbgAgACAAIAAgACAAIABMAEEATQBCAEQAQQAoAHIALABjACwAIABcAG4AIAAgACAAIAAgACAAIAAgAEkATgBEAEUAWAAoAHsAXABuACAAIAAgACAAIAAgACAAIAAgACAAXAAiAEMAbABpAG0AYQB0AGUAIABaAG8AbgBlAFwAIgAsACAAXAAiAFcAZQB0ACAAbwByACAARAByAHkAIABaAG8AbgBlAFwAIgA7AFwAbgAgACAAIAAgACAAIAAgACAAIAAgAFwAIgBUAHIAbwBwAGkAYwBhAGwAIABtAG8AbgB0AGEAbgBlAFwAIgAsACAAXAAiAFcAZQB0ACAAYwBsAGkAbQBhAHQAZQAgAHoAbwBuAGUAXAAiADsAXABuACAAIAAgACAAIAAgACAAIAAgACAAXAAiAFQAcgBvAHAAaQBjAGEAbAAgAHcAZQB0AFwAIgAsACAAXAAiAFcAZQB0ACAAYwBsAGkAbQBhAHQAZQAgAHoAbwBuAGUAXAAiADsAXABuACAAIAAgACAAIAAgACAAIAAgACAAXAAiAFQAcgBvAHAAaQBjAGEAbAAgAG0AbwBpAHMAdABcACIALAAgAFwAIgBXAGUAdAAgAGMAbABpAG0AYQB0AGUAIAB6AG8AbgBlAFwAIgA7AFwAbgAgACAAIAAgACAAIAAgACAAIAAgAFwAIgBUAHIAbwBwAGkAYwBhAGwAIABkAHIAeQBcACIALAAgAFwAIgBEAHIAeQAgAGMAbABpAG0AYQB0AGUAIAB6AG8AbgBlAFwAIgA7AFwAbgAgACAAIAAgACAAIAAgACAAIAAgAFwAIgBXAGEAcgBtACAAdABlAG0AcABlAHIAYQB0AGUAIABtAG8AaQBzAHQAXAAiACwAIABcACIAVwBlAHQAIABjAGwAaQBtAGEAdABlACAAegBvAG4AZQBcACIAOwBcAG4AIAAgACAAIAAgACAAIAAgACAAIABcACIAVwBhAHIAbQAgAHQAZQBtAHAAZQByAGEAdABlACAAZAByAHkAXAAiACwAIABcACIARAByAHkAIABjAGwAaQBtAGEAdABlACAAegBvAG4AZQBcACIAOwBcAG4AIAAgACAAIAAgACAAIAAgACAAIABcACIAQwBvAG8AbAAgAHQAZQBtAHAAZQByAGEAdABlACAAbQBvAGkAcwB0AFwAIgAsACAAXAAiAFcAZQB0ACAAYwBsAGkAbQBhAHQAZQAgAHoAbwBuAGUAXAAiADsAXABuACAAIAAgACAAIAAgACAAIAAgACAAXAAiAEMAbwBvAGwAIAB0AGUAbQBwAGUAcgBhAHQAZQAgAGQAcgB5AFwAIgAsACAAXAAiAEQAcgB5ACAAYwBsAGkAbQBhAHQAZQAgAHoAbwBuAGUAXAAiADsAXABuACAAIAAgACAAIAAgACAAIAAgACAAXAAiAFcAYQByAG0AIAB0AGUAbQBwAGUAcgBhAHQAZQAgAG0AbwBpAHMAdAAgAC0AIABsAG8AdwAgAGYAcgBvAHMAdABcACIALAAgAFwAIgBXAGUAdAAgAGMAbABpAG0AYQB0AGUAIAB6AG8AbgBlAFwAIgA7AFwAbgAgACAAIAAgACAAIAAgACAAIAAgAFwAIgBXAGEAcgBtACAAdABlAG0AcABlAHIAYQB0AGUAIABkAHIAeQAgAC0AIABsAG8AdwAgAGYAcgBvAHMAdABcACIALAAgAFwAIgBEAHIAeQAgAGMAbABpAG0AYQB0AGUAIAB6AG8AbgBlAFwAIgA7AFwAbgAgACAAIAAgACAAIAAgACAAIAAgAFwAIgBXAGEAcgBtACAAdABlAG0AcABlAHIAYQB0AGUAIABtAG8AaQBzAHQAIAAtACAAaABpAGcAaAAgAHQAZQBtAHAAXAAiACwAIABcACIAVwBlAHQAIABjAGwAaQBtAGEAdABlACAAegBvAG4AZQBcACIAOwBcAG4AIAAgACAAIAAgACAAIAAgACAAIABcACIAVwBhAHIAbQAgAHQAZQBtAHAAZQByAGEAdABlACAAZAByAHkAIAAtACAAaABpAGcAaAAgAHQAZQBtAHAAXAAiACwAIABcACIARAByAHkAIABjAGwAaQBtAGEAdABlACAAegBvAG4AZQBcACIAOwBcAG4AIAAgACAAIAAgACAAIAAgACAAIABcACIAQwBvAG8AbAAgAHQAZQBtAHAAZQByAGEAdABlACAAbQBvAGkAcwB0ACAALQAgAGwAbwB3ACAAZgByAG8AcwB0AFwAIgAsACAAXAAiAFcAZQB0ACAAYwBsAGkAbQBhAHQAZQAgAHoAbwBuAGUAXAAiADsAXABuACAAIAAgACAAIAAgACAAIAAgACAAXAAiAEMAbwBvAGwAIAB0AGUAbQBwAGUAcgBhAHQAZQAgAGQAcgB5ACAALQAgAGwAbwB3ACAAZgByAG8AcwB0AFwAIgAsACAAXAAiAEQAcgB5ACAAYwBsAGkAbQBhAHQAZQAgAHoAbwBuAGU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DAGwAaQBtAGEAdABlAFoAbwBuAGUAcwBcAG4ALQAtAC0ALQAtAC0ALQAtAC0ALQAtAC0ALQAtAC0ALQAtAC0ALQAtAC0ALQAtAC0ALQAtAC0ALQAtAC0ALQAtAC0ALQAtAC0ALQAtAFwAbgAqAC8AXABuAFwAbgBDAG8AbQBtAG8AbgBfAFMAbwB1AHIAYwBlAEQAYQB0AGEAXwBDAGwAaQBtAGEAdABlAFoAbwBuAGUAcwBfAFQAaQB0AGwAZQBcAG4AIAAgAD0ATABBAE0AQgBEAEEAKABcACIAVgBFAEUAUgBHACAAQQB1AHMAdAByAGEAbABpAGEAbgAgAGMAbABpAG0AYQB0AGUAIAB6AG8AbgBlAHMAXAAiACkAOwBcAG4AXABuAEMAbwBtAG0AbwBuAF8AUwBvAHUAcgBjAGUARABhAHQAYQBfAEMAbABpAG0AYQB0AGUAWgBvAG4AZQBzAF8AVgBhAHIAaQBhAGIAbABlAFwAbgAgACAAPQBMAEEATQBCAEQAQQAoAFwAIgBcACIAKQA7AFwAbgBcAG4AQwBvAG0AbQBvAG4AXwBTAG8AdQByAGMAZQBEAGEAdABhAF8AQwBsAGkAbQBhAHQAZQBaAG8AbgBlAHMAXwBVAG4AaQB0AFwAbgAgACAAPQBMAEEATQBCAEQAQQAoAFwAIgBcACIAKQA7AFwAbgBcAG4AQwBvAG0AbQBvAG4AXwBTAG8AdQByAGMAZQBEAGEAdABhAF8AQwBsAGkAbQBhAHQ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DAGwAaQBtAGEAdABlAFoAbwBuAGUAcwBfAFYAYQByAGkAYQB0AGkAbwBuAFwAbgAg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BpAG4AIABNAEEAVAAgAHYAYQBsAHUAZQAgAGYAbwByACAAdwBhAHIAbQAgAHQAZQBtAHAAZQByAGEAdABlACAAZAByAHkAIAAtACAAYwBoAGEAbgBnAGUAZAAgADEAMAAgAHQAbwAgADEAMQAuAFwAIgA7AFwAbgAgACAAIAAgACAAIAAgACAAIAAgAFwAIgBBAGQAZABlAGQAIABtAGkAbgAgAGEAbgBkACAAbQBhAHgAIABjAG8AbAB1AG0AbgBzACAAZgBvAHIAIABNAEEAVAAsACAATQBBAFAALAAgAGYAcgBvAHMAdAAgAGQAYQB5AHMAIABwAGUAcgAgAHkAZQBhAHIALAAgAGUAbABlAHYAYQB0AGkAbwBuACwAIABNAEEAUAA6AFAARQBUACAAdABvACAAYwBhAGwAYwB1AGwAYQB0AGUAIAB6AG8AbgBlAHMAIABmAHIAbwBtACAAcgBlAGEAbAAgAGMAbABpAG0AYQB0AGUAIABkAGEAdABhAC4AXAAiADsAXABuACAAIAAgACAAIAAgACAAIAAgACAAXAAiAEcAQQBGACAAYQBjAGMAZQBwAHQAcwAgAHIAYQBpAG4AZgBhAGwAbAAgAGEAcwAgAGEAIABwAHIAbwB4AHkAIABmAG8AcgAgAHAAcgBlAGMAaQBwAGkAdABhAHQAaQBvAG4ALgBcACIAXABuACAAIAAgACAAIAAgACAAIAB9ACwAIAByACwAIABjACkAXABuACAAIAAgACAAIAAgACkAXABuACAAIAAgACAAKQBcAG4AIAAgACkAOwBcAG4AXABuAEMAbwBtAG0AbwBuAF8AUwBvAHUAcgBjAGUARABhAHQAYQBfAEMAbABpAG0AYQB0AGUAWgBvAG4AZQBzAF8ARABhAHQAYQBcAG4AIAAgACAAPQBMAEEATQBCAEQAQQAoAFwAbgAgACAAIAAgAE0AQQBLAEUAQQBSAFIAQQBZACgAOQAsACAAMQA2ACwAIABcAG4AIAAgACAAIAAgACAATABBAE0AQgBEAEEAKAByACwAYwAsACAAXABuACAAIAAgACAAIAAgACAAIABJAE4ARABFAFgAKAB7AFwAbgAgACAAIAAgACAAIAAgACAAIAAgAFwAIgBDAGwAaQBtAGEAdABlACAAWgBvAG4AZQBcACIALAAgAFwAIgBNAEEAVABcACIALAAgAFwAIgBNAEEAUABcACIALAAgAFwAIgBGAHIAbwBzAHQAIABkAGEAeQBzACAAcABlAHIAIAB5AGUAYQByAFwAIgAsACAAXAAiAEUAbABlAHYAYQB0AGkAbwBuAFwAIgAsACAAXAAiAE0AQQBQADoAUABFAFQAXAAiACwAIABcACIATQBpAG4AIAB0AGUAbQBwAFwAIgAsACAAXAAiAE0AYQB4ACAAdABlAG0AcABcACIALAAgAFwAIgBNAGkAbgAgAHIAYQBpAG4AZgBhAGwAbABcACIALAAgAFwAIgBNAGEAeAAgAHIAYQBpAG4AZgBhAGwAbABcACIALAAgAFwAIgBNAGkAbgAgAGYAcgBvAHMAdAAgAGQAYQB5AHMAXAAiACwAIABcACIATQBhAHgAIABmAHIAbwBzAHQAIABkAGEAeQBzAFwAIgAsACAAXAAiAE0AaQBuACAAZQBsAGUAdgBhAHQAaQBvAG4AXAAiACwAIABcACIATQBhAHgAIABlAGwAZQB2AGEAdABpAG8AbgBcACIALAAgAFwAIgBNAGkAbgAgAE0AQQBQADoAUABFAFQAXAAiACwAIABcACIATQBpAG4AIABNAEEAUAA6AFAARQBUAFwAIgA7AFwAbgAgACAAIAAgACAAIAAgACAAIAAgAFwAIgBUAHIAbwBwAGkAYwBhAGwAIABtAG8AbgB0AGEAbgBlAFwAIgAsACAAXAAiAFwAdQAwADAAMwBlACAAMQA4ACAAQwBcACIALAAgAFwAIgBBAG4AeQBcACIALAAgAFwAIgBkIiAANwBcACIALAAgAFwAIgBcAHUAMAAwADMAZQAgADEAMAAwADAAIABtAFwAIgAsACAAXAAiAEEAbgB5AFwAIgAsACAAMQA4AC4AMAAwADEALAAgADkAOQA5ADkAOQA5ACwAIAAtADkAOQA5ADkAOQA5ACwAIAA5ADkAOQA5ADkAOQAsACAALQA5ADkAOQA5ADkAOQAsACAANwAsACAAMQAwADAAMAAsACAAOQA5ADkAOQA5ADkALAAgAC0AOQA5ADkAOQA5ADkALAAgADkAOQA5ADkAOQA5ADsAXABuACAAIAAgACAAIAAgACAAIAAgACAAXAAiAFQAcgBvAHAAaQBjAGEAbAAgAHcAZQB0AFwAIgAsACAAXAAiAFwAdQAwADAAMwBlACAAMQA4ACAAQwBcACIALAAgAFwAIgBcAHUAMAAwADMAZQ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BcAHUAMAAwADMAZQAgADEAOAAgAEMAXAAiACwAIABcACIAXAB1ADAAMAAzAGUAIAAxADAAMAAwACAAbQBtACAALQAgAGQiIAAyADAAMAAwACAAbQBtAFwAIgAsACAAXAAiAGQiIAA3AFwAIgAsACAAXAAiAGQiIAAxADAAMAAwACAAbQBcACIALAAgAFwAIgBBAG4AeQBcACIALAAgADEAOAAuADAAMAAxACwAIAA5ADkAOQA5ADkAOQAsACAAMQAwADAAMAAuADAAMAAxACwAIAAyADAAMAAwACwAIAAtADkAOQA5ADkAOQA5ACwAIAA3ACwAIAAtADkAOQA5ADkAOQA5ACwAIAA5ADkAOQAuADkAOQA5ACwAIAAgAC0AOQA5ADkAOQA5ADkALAAgADkAOQA5ADkAOQA5ADsAXABuACAAIAAgACAAIAAgACAAIAAgACAAXAAiAFQAcgBvAHAAaQBjAGEAbAAgAGQAcgB5AFwAIgAsACAAXAAiAFwAdQAwADAAMwBl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FwAdQAwADAAMwBlACAAMQAwACAAQwBcACIALAAgAFwAIgBBAG4AeQBcACIALAAgAFwAIgBBAG4AeQBcACIALAAgAFwAIgBBAG4AeQBcACIALAAgAFwAIgBcAHUAMAAwADMAZQAgADEAXAAiACwAIAAxADAALgAwADAAMQAsACAAOQA5ADkAOQA5ADkALAAgAC0AOQA5ADkAOQA5ADkALAAgADkAOQA5ADkAOQA5ACwAIAAtADkAOQA5ADkAOQA5ACwAIAA5ADkAOQA5ADkAOQAsACAALQA5ADkAOQA5ADkAOQAsACAAOQA5ADkAOQA5ADkALAAgADEALgAwADAAMQAsACAAOQA5ADkAOQA5ADkAOwBcAG4AIAAgACAAIAAgACAAIAAgACAAIABcACIAVwBhAHIAbQAgAHQAZQBtAHAAZQByAGEAdABlACAAZAByAHkAXAAiACwAIABcACIAXAB1ADAAMAAzAGU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FwAdQAwADAAMwBlACAAMAAgAEMAIAAtACAAZCIgADEAMAAgAEMAXAAiACwAIABcACIAQQBuAHkAXAAiACwAIABcACIAQQBuAHkAXAAiACwAIABcACIAQQBuAHkAXAAiACwAIABcACIAXAB1ADAAMAAzAGUAIAAxAFwAIgAsACAALQA5ADkAOQA5ADkAOQAsACAAMQAwACwAIAAtADkAOQA5ADkAOQA5ACwAIAA5ADkAOQA5ADkAOQAsACAALQA5ADkAOQA5ADkAOQAsACAAOQA5ADkAOQA5ADkALAAgAC0AOQA5ADkAOQA5ADkALAAgADkAOQA5ADkAOQA5ACwAIAAxAC4AMAAwADEALAAgADkAOQA5ADkAOQA5ADsAXABuACAAIAAgACAAIAAgACAAIAAgACAAXAAiAEMAbwBvAGwAIAB0AGUAbQBwAGUAcgBhAHQAZQAgAGQAcgB5AFwAIgAsACAAXAAiAFwAdQAwADAAMwBl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FwAdQAwADAAMwBlACAANgAwADAAbQBtAFwAIgAsACAANgAwADAALgAwADAAMQAsACAAOQA5ADkAOQA5ADkAOwBcAG4AIAAgACAAIAAgACAAIAAgACAAIABcACIATABvAHcAIAByAGEAaQBuAGYAYQBsAGwAXAAiACwAIABcACIAQQBuAG4AdQBhAGwAIAByAGEAaQBuAGYAYQBsAGwAIABkIiAANgAwADAAbQBtAFwAIgAsACAALQA5ADkAOQA5ADkAOQAsACAANgAwADA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wAZQBhAGMAaABpAG4AZwBaAG8AbgBlAHMAXABuAC0ALQAtAC0ALQAtAC0ALQAtAC0ALQAtAC0ALQAtAC0ALQAtAC0ALQAtAC0ALQAtAC0ALQAtAC0ALQAtAC0ALQAtAC0ALQAtAC0ALQBcAG4AKgAvAFwAbgBcAG4AQwBvAG0AbQBvAG4AXwBTAG8AdQByAGMAZQBEAGEAdABhAF8ATABlAGEAYwBoAGkAbgBnAFoAbwBuAGUAcwBfAFQAaQB0AGwAZQBcAG4AIAAgAD0ATABBAE0AQgBEAEEAKABcACIAVgBFAEUAUgBHACAAQQB1AHMAdAByAGEAbABpAGEAbgAgAGwAZQBhAGMAaABpAG4AZwAgAHoAbwBuAGUAcwBcACIAKQA7AFwAbgBcAG4AQwBvAG0AbQBvAG4AXwBTAG8AdQByAGMAZQBEAGEAdABhAF8ATABlAGEAYwBoAGkAbgBnAFoAbwBuAGUAcwBfAFYAYQByAGkAYQBiAGwAZQBcAG4AIAAgAD0ATABBAE0AQgBEAEEAKABcACIAXAAiACkAOwBcAG4AXABuAEMAbwBtAG0AbwBuAF8AUwBvAHUAcgBjAGUARABhAHQAYQBfAEwAZQBhAGMAaABpAG4AZwBaAG8AbgBlAHMAXwBVAG4AaQB0AFwAbgAgACAAPQBMAEEATQBCAEQAQQAoAFwAIgBcACIAKQA7AFwAbgBcAG4AQwBvAG0AbQBvAG4AXwBTAG8AdQByAGMAZQBEAGEAdABhAF8ATABlAGEAYwBoAGkAbgBn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wAZQBhAGMAaABpAG4AZwBaAG8AbgBlAHMAXwBWAGEAcgBpAGEAdABpAG8AbgBcAG4AIAAgAD0ATABBAE0AQgBEAEEAKABcACIAXAAiACkAOwBcAG4AXABuAEMAbwBtAG0AbwBuAF8AUwBvAHUAcgBjAGUARABhAHQAYQBfAEwAZQBhAGMAaABpAG4AZwBaAG8AbgBlAHMAXwBEAGEAdABhAFwAbgAgACAAIAA9AEwAQQBNAEIARABBACgAXABuACAAIAAgACAATQBBAEsARQBBAFIAUgBBAFkAKAAzACwAIAAyACwAIABcAG4AIAAgACAAIAAgACAATABBAE0AQgBEAEEAKAByACwAYwAsACAAXABuACAAIAAgACAAIAAgACAAIABJAE4ARABFAFgAKAB7AFwAbgAgACAAIAAgACAAIAAgACAAIAAgAFwAIgBMAGUAYQBjAGgAaQBuAGcAIABaAG8AbgBlAFwAIgAsACAAXAAiAEwAZQBhAGMAaABpAG4AZwAgAGMAcgBpAHQAZQByAGkAYQBcACIAOwBcAG4AIAAgACAAIAAgACAAIAAgACAAIABcACIATABlAGEAYwBoAGkAbgBnACAAbwBjAGMAdQByAHMAXAAiACwAIABcACIAowMoADXYX9w12E7cNdhW3DXYW9wpAFwAdQAwADAAMwBlAKMDKAA12DjcNdhH3DAAKQArADXYYNw12FzcNdhW3DXYWdwgADXYZNw12E7cNdhh3DXYUtw12F/cIAAOITXYXNw12FncNdhR3DXYVtw12FvcNdhU3CAANdhQ3DXYTtw12F3cNdhO3DXYUNw12FbcNdhh3DXYZtxcACIAOwBcAG4AIAAgACAAIAAgACAAIAAgACAAIABcACIATABlAGEAYwBoAGkAbgBnACAAZABvAGUAcwAgAG4AbwB0ACAAbwBjAGMAdQByAFwAIgAsACAAXAAiAKMDKAA12F/cNdhO3DXYVtw12FvcKQBkIqMDKAA12DjcNdhH3DAAKQArADXYYNw12FzcNdhW3DXYWdwgADXYZNw12E7cNdhh3DXYUtw12F/cIAAOITXYXNw12FncNdhR3DXYVtw12FvcNdhU3CAANdhQ3DXYTtw12F3cNdhO3DXYUNw12FbcNdhh3DXYZtx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VwBFAFQ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VwBFAFQAXwBVAG4AaQB0AFwAbgAgACAAPQBMAEEATQBCAEQAQQAoAFwAIgAoAEQAaQBtAGUAbgBzAGkAbwBuAGwAZQBzAHMAXAAiACkAOwBcAG4AXABuAEMAbwBtAG0AbwBuAF8AUwBvAHUAcgBjAGUARABhAHQAYQBfAEYAcgBhAGMAVwBFAFQAXwBTAG8AdQByAGMAZQBcAG4AIAAgAD0ATABBAE0AQgBEAEEAKABcACIAVgBFAEUAUgBHACAAMgAwADIANgA6ADUALgA1AC4AMgAuADMAIABDAG8AbgBzAHQAYQBuAHQAIABQAGEAcgBhAG0AZQB0AGUAcgBzAFwAIgApADsAXABuAFwAbgBDAG8AbQBtAG8AbgBfAFMAbwB1AHIAYwBlAEQAYQB0AGEAXwBGAHIAYQBjAFcARQBUAF8ATgBJAFIAUgBlAGYAZQByAGUAbgBjAGUAXABuACAAIAA9AEwAQQBNAEIARABBACgAXAAiAFwAIgApADsAXABuAFwAbgBDAG8AbQBtAG8AbgBfAFMAbwB1AHIAYwBlAEQAYQB0AGEAXwBGAHIAYQBjAFcARQBUAF8ARABhAHQAYQBcAG4AIAAgAD0ATABBAE0AQgBEAEEAKABcAG4AIAAgACAAIABNAEEASwBFAEEAUgBSAEEAWQAoADMALAAgADIALAAgAFwAbgAgACAAIAAgACAAIABMAEEATQBCAEQAQQAoAHIALABjACwAIABcAG4AIAAgACAAIAAgACAAIAAgAEkATgBEAEUAWAAoAHsAXABuACAAIAAgACAAIAAgACAAIAAgACAAXAAiAEkAcwAgAGkAbgAgAGwAZQBhAGMAaABpAG4AZwAgAHoAbwBuAGUAXAAiACwAXAAiAEYAcgBhAGMAVwBFAFQAXAAiADsAXABuACAAIAAgACAAIAAgACAAIAAgACAAXAAiAFkAZQBzACAALQAgAGkAbgAgAGwAZQBhAGMAaABpAG4AZwAgAHoAbwBuAGUAXAAiACwAIAAxADsAXABuACAAIAAgACAAIAAgACAAIAAgACAAXAAiAE4AbwAgAC0AIABuAG8AdAAgAGkAbgAgAGwAZQBhAGMAaABpAG4AZwAgAHoAbwBuAGUAXAAiACwAIAAwAFwAbgAgACAAIAAgACAAIAAgACAAfQAsACAAcgAsACAAYwApAFwAbgAgACAAIAAgACAAIAApAFwAbgAgACAAIAAgACkAXABuACAAIAApADsAXABuAFwAbgAgACAAQwBvAG0AbQBvAG4AXwBTAG8AdQByAGMAZQBEAGEAdABhAF8ARgByAGEAYwBXAEUAVABfAFYAYQByAGkAYQB0AGkAbwBuAFwAbgAgACAAPQBMAEEATQBCAEQAQQAoACgAXAAiAFwAIgApACkAOwBcAG4AXABuAFwAbgBcAG4ALwAqACAAXABuAC0ALQAtAC0ALQAtAC0ALQAtAC0ALQAtAC0ALQAtAC0ALQAtAC0ALQAtAC0ALQAtAC0ALQAtAC0ALQAtAC0ALQAtAC0ALQAtAC0ALQBcAG4AQwBvAG0AbQBvAG4AXwBTAG8AdQByAGMAZQBEAGEAdABhAF8ARABhAHQAYQBTAGMAbwByAGUAcwBfAFMAYwBvAHAAZQAzAFwAbgAtAC0ALQAtAC0ALQAtAC0ALQAtAC0ALQAtAC0ALQAtAC0ALQAtAC0ALQAtAC0ALQAtAC0ALQAtAC0ALQAtAC0ALQAtAC0ALQAtAC0AXABuACoALwBcAG4AXABuAEMAbwBtAG0AbwBuAF8AUwBvAHUAcgBjAGUARABhAHQAYQBfAEQAYQB0AGEAUwBjAG8AcgBlAHMAXwBTAGMAbwBwAGUAMwBfAFQAaQB0AGwAZQBcAG4AIAAgAD0ATABBAE0AQgBEAEEAKABcACIAQQB1AHMAdAByAGEAbABpAGEAbgAgAGQAYQB0AGEAIABzAGMAbwByAGUAcwAgAGYAbwByACAAcwBjAG8AcABlACAAMwBcACIAKQA7AFwAbgBcAG4AQwBvAG0AbQBvAG4AXwBTAG8AdQByAGMAZQBEAGEAdABhAF8ARABhAHQAYQBTAGMAbwByAGUAcwBfAFMAYwBvAHAAZQAzAF8AVgBhAHIAaQBhAGIAbABlAFwAbgAgACAAPQBMAEEATQBCAEQAQQAoAFwAIgBcACIAKQA7AFwAbgBcAG4AQwBvAG0AbQBvAG4AXwBTAG8AdQByAGMAZQBEAGEAdABhAF8ARABhAHQAYQBTAGMAbwByAGUAcwBfAFMAYwBvAHAAZQAzAF8AVQBuAGkAdABcAG4AIAAgAD0ATABBAE0AQgBEAEEAKABcACIAXAAiACkAOwBcAG4AXABuAEMAbwBtAG0AbwBuAF8AUwBvAHUAcgBjAGUARABhAHQAYQBfAEQAYQB0AGEAUwBjAG8AcgBlAHMAXwBTAGMAbwBwAGUAMwBfAFMAbwB1AHIAYwBlAFwAbgAgACAAPQBMAEEATQBCAEQAQQAoAFwAIgBWAEUARQBSAEcAIAAyADAAMgA2ADoAIABYAFgAWABYAFgAWABYAFgAXAAiACkAOwBcAG4AXABuAEMAbwBtAG0AbwBuAF8AUwBvAHUAcgBjAGUARABhAHQAYQBfAEQAYQB0AGEAUwBjAG8AcgBlAHMAXwBTAGMAbwBwAGUAMwBfAFYAYQByAGkAYQB0AGkAbwBuAFwAbgAgACAAPQBMAEEATQBCAEQAQQAoAFwAIgBcACIAKQA7AFwAbgBcAG4AQwBvAG0AbQBvAG4AXwBTAG8AdQByAGMAZQBEAGEAdABhAF8ARABhAHQAYQBTAGMAbwByAGUAcwBfAFMAYwBvAHAAZQAzAF8ARABhAHQAYQBcAG4AIAAgACAAPQBMAEEATQBCAEQAQQAoAFwAbgAgACAAIAAgAE0AQQBLAEUAQQBSAFIAQQBZACgANgAsACAAMgAsACAAXABuACAAIAAgACAAIAAgAEwAQQBNAEIARABBACgAcgAsAGMALAAgAFwAbgAgACAAIAAgACAAIAAgACAASQBOAEQARQBYACgAewBcAG4AIAAgACAAIAAgACAAIAAgACAAIABcACIARABhAHQAYQAgAHMAbwB1AHIAYwBlAFwAIgAsACAAXAAiAEQAYQB0AGEAIABzAGMAbwByAGUAXAAiADsAXABuACAAIAAgACAAIAAgACAAIAAgACAAXAAiAEkAbgB0AGUAcgBuAGEAdABpAG8AbgBhAGwAIABzAGMAbwBwAGUAIAAzACAAZABhAHQAYQBiAGEAcwBlAFwAIgAsACAAMQA7AFwAbgAgACAAIAAgACAAIAAgACAAIAAgAFwAIgBBAHUAcwB0AHIAYQBsAGkAYQBuACAAcwBjAG8AcABlACAAMwAgAGQAYQB0AGEAYgBhAHMAZQBcACIALAAgADIAOwBcAG4AIAAgACAAIAAgACAAIAAgACAAIABcACIAUwB0AGEAdABlACAAbwByACAAcgBlAGcAaQBvAG4AYQBsACAAcwBjAG8AcABlACAAMwAgAGQAYQB0AGEAYgBhAHMAZQBcACIALAAgADMAOwBcAG4AIAAgACAAIAAgACAAIAAgACAAIABcACIARQBtAGkAcwBzAGkAbwBuAHMAIABpAG4AdABlAG4AcwBpAHQAeQAgAGMAYQBsAGMAdQBsAGEAdABlAGQAIABmAHIAbwBtACAAYQBwAHAAcgBvAHYAZQBkACAAbQBlAHQAaABvAGQAXAAiACwAIAA0ADsAXABuACAAIAAgACAAIAAgACAAIAAgACAAXAAiAFYAZQByAGkAZgBpAGUAZAAgAGMAcgBlAGQAZQBuAHQAaQBhAGwAIABtAGEAdABjAGgAaQBuAGcAIABJAFMATwAxADQAMAA2ADcAXAAiACwAIAA1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RgByAGEAYwBMAEUAQQBDAEg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TABFAEEAQwBI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EwARQBBAEMASABfAFUAbgBpAHQAXABuACAAIAA9AEwAQQBNAEIARABBACgAXAAiACgARABpAG0AZQBuAHMAaQBvAG4AbABlAHMAcwBcACIAKQA7AFwAbgBcAG4AQwBvAG0AbQBvAG4AXwBTAG8AdQByAGMAZQBEAGEAdABhAF8ARgByAGEAYwBMAEUAQQBDAEgAXwBTAG8AdQByAGMAZQBcAG4AIAAgAD0ATABBAE0AQgBEAEEAKABcACIAVgBFAEUAUgBHACAAMgAwADIANgA6ADUALgA1AC4AMgAuADMAIABDAG8AbgBzAHQAYQBuAHQAIABQAGEAcgBhAG0AZQB0AGUAcgBzAFwAIgApADsAXABuAFwAbgBDAG8AbQBtAG8AbgBfAFMAbwB1AHIAYwBlAEQAYQB0AGEAXwBGAHIAYQBjAEwARQBBAEMASABfAE4ASQBSAFIAZQBmAGUAcgBlAG4AYwBlAFwAbgAgACAAPQBMAEEATQBCAEQAQQAoAFwAIgBOAGEAdABpAG8AbgBhAGwAIABJAG4AdgBlAG4AdABvAHIAeQAgAFIAZQBwAG8AcgB0ACAAVgBvAGwAdQBtAGUAIAAxADoAIABMAGUAYQBjAGgAaQBuAGcAIABhAG4AZAAgAHIAdQBuAG8AZgBmACAAKAAzAC4ARAAuAGIALgAyACkAXAAiACkAOwBcAG4AXABuAEMAbwBtAG0AbwBuAF8AUwBvAHUAcgBjAGUARABhAHQAYQBfAEYAcgBhAGMATABFAEEAQwBIAF8ARABhAHQAYQBcAG4AIAAgAD0ATABBAE0AQgBEAEEAKABcAG4AIAAgACAAIABNAEEASwBFAEEAUgBSAEEAWQAoADEALAAgADIALAAgAFwAbgAgACAAIAAgACAAIABMAEEATQBCAEQAQQAoAHIALABjACwAIABcAG4AIAAgACAAIAAgACAAIAAgAEkATgBEAEUAWAAoAHsAXABuACAAIAAgACAAIAAgACAAIAAgACAAXAAiAEYAcgBhAGMATABFAEEAQwBIAFwAIgAsADAALgAyADQAXABuACAAIAAgACAAIAAgACAAIAB9ACwAIAByACwAIABjACkAXABuACAAIAAgACAAIAAgACkAXABuACAAIAAgACAAKQBcAG4AIAAgACkAOwBcAG4AXABuACAAIABDAG8AbQBtAG8AbgBfAFMAbwB1AHIAYwBlAEQAYQB0AGEAXwBGAHIAYQBjAEwARQBBAEMASABfAFYAYQByAGkAYQB0AGkAbwBuAFwAbgAgACAAPQBMAEEATQBCAEQAQQAoACgAXAAiAFwAIgApACkAOwBcAG4AXABuAFwAbgBcAG4ALwAqACAAXABuAC0ALQAtAC0ALQAtAC0ALQAtAC0ALQAtAC0ALQAtAC0ALQAtAC0ALQAtAC0ALQAtAC0ALQAtAC0ALQAtAC0ALQAtAC0ALQAtAC0ALQBcAG4AQwBvAG0AbQBvAG4AXwBTAG8AdQByAGMAZQBEAGEAdABhAF8ARQBGAGwAZQBhAGMAaABcAG4ANQAuADUALgAyAC4AMwAgAEMAbwBuAHMAdABhAG4AdAAgAFAAYQByAGEAbQBlAHQAZQByAHMAXABuAEUAbQBpAHMAcwBpAG8AbgAgAGYAYQBjAHQAbwByACAAZgBvAHIAIABuAGkAdAByAG8AZwBlAG4AIABsAGUAYQBjAGgAaQBuAGcAIABhAG4AZAAgAHIAdQBuAG8AZgBmAFwAbgAtAC0ALQAtAC0ALQAtAC0ALQAtAC0ALQAtAC0ALQAtAC0ALQAtAC0ALQAtAC0ALQAtAC0ALQAtAC0ALQAtAC0ALQAtAC0ALQAtAC0AXABuACoALwBcAG4AXABuAEMAbwBtAG0AbwBuAF8AUwBvAHUAcgBjAGUARABhAHQAYQBfAEUARgBsAGUAYQBjAGgAXwBUAGkAdABsAGUAXABuACAAIAA9AEwAQQBNAEIARABBACgAXAAiAEUAbQBpAHMAcwBpAG8AbgAgAGYAYQBjAHQAbwByACAAZgBvAHIAIABuAGkAdAByAG8AZwBlAG4AIABsAGUAYQBjAGgAaQBuAGcAIABhAG4AZAAgAHIAdQBuAG8AZgBmAFwAIgApADsAXABuAFwAbgBDAG8AbQBtAG8AbgBfAFMAbwB1AHIAYwBlAEQAYQB0AGEAXwBFAEYAbABlAGEAYwBoAF8AVQBuAGkAdABcAG4AIAAgAD0ATABBAE0AQgBEAEEAKABcACIAKABrAGcAIABOADIATwAtAE4AIAAvACAAawBnACAATgBcACIAKQA7AFwAbgBcAG4AQwBvAG0AbQBvAG4AXwBTAG8AdQByAGMAZQBEAGEAdABhAF8ARQBGAGwAZQBhAGMAaABfAFMAbwB1AHIAYwBlAFwAbgAgACAAPQBMAEEATQBCAEQAQQAoAFwAIgBWAEUARQBSAEcAIAAyADAAMgA2ADoANQAuADUALgAyAC4AMwAgAEMAbwBuAHMAdABhAG4AdAAgAFAAYQByAGEAbQBlAHQAZQByAHMAXAAiACkAOwBcAG4AXABuAEMAbwBtAG0AbwBuAF8AUwBvAHUAcgBjAGUARABhAHQAYQBfAEUARgBsAGUAYQBjAGgAXwBOAEkAUgBSAGUAZgBlAHIAZQBuAGMAZQBcAG4AIAAgAD0ATABBAE0AQgBEAEEAKABcACIATgBhAHQAaQBvAG4AYQBsACAASQBuAHYAZQBuAHQAbwByAHkAIABSAGUAcABvAHIAdAAgAFYAbwBsAHUAbQBlACAAMQA6ACAARQBxAHUAYQB0AGkAbwBuACAAMwAuAEQALgBCAF8AMQAwAFwAIgApADsAXABuAFwAbgBDAG8AbQBtAG8AbgBfAFMAbwB1AHIAYwBlAEQAYQB0AGEAXwBFAEYAbABlAGEAYwBoAF8ARABhAHQAYQBcAG4AIAAgAD0ATABBAE0AQgBEAEEAKABcAG4AIAAgACAAIABNAEEASwBFAEEAUgBSAEEAWQAoADEALAAgADIALAAgAFwAbgAgACAAIAAgACAAIABMAEEATQBCAEQAQQAoAHIALABjACwAIABcAG4AIAAgACAAIAAgACAAIAAgAEkATgBEAEUAWAAoAHsAXABuACAAIAAgACAAIAAgACAAIAAgACAAXAAiAEUARgBsAGUAYQBjAGgAXAAiACwAMAAuADAAMQAxAFwAbgAgACAAIAAgACAAIAAgACAAfQAsACAAcgAsACAAYwApAFwAbgAgACAAIAAgACAAIAApAFwAbgAgACAAIAAgACkAXABuACAAIAApADsAXABuAFwAbgAgACAAQwBvAG0AbQBvAG4AXwBTAG8AdQByAGMAZQBEAGEAdABhAF8ARQBGAGwAZQBhAGMAaABfAFYAYQByAGkAYQB0AGkAbwBuAFwAbgAgACAAPQBMAEEATQBCAEQAQQAoACgAXAAiAFwAIgApACkAOwBcAG4AXABuAFwAbgAvACoAIABcAG4ALQAtAC0ALQAtAC0ALQAtAC0ALQAtAC0ALQAtAC0ALQAtAC0ALQAtAC0ALQAtAC0ALQAtAC0ALQAtAC0ALQAtAC0ALQAtAC0ALQAtAFwAbgBDAG8AbQBtAG8AbgBfAFMAbwB1AHIAYwBlAEQAYQB0AGEAXwBFAEYATgAyAE8AXABuAFQAYQBiAGwAZQAgAEEALgAyAC4AMgAuADEAXABuAE4AaQB0AHIAbwB1AHMAIABvAHgAaQBkAGUAIABlAG0AaQBzAHMAaQBvAG4AIABmAGEAYwB0AG8AcgBzACAAZgBvAHIAIABpAG4AbwByAGcAYQBuAGkAYwAgAGYAZQByAHQAaQBsAGkAcwBlAHIAIABhAHAAcABsAGkAYwBhAHQAaQBvAG4AIAAoAGsAZwAgAE4AMgBPAC0ATgAvAGsAZwAgAE4AKQAgACgARQBGAE4AMgBPACkAXABuAC0ALQAtAC0ALQAtAC0ALQAtAC0ALQAtAC0ALQAtAC0ALQAtAC0ALQAtAC0ALQAtAC0ALQAtAC0ALQAtAC0ALQAtAC0ALQAtAC0ALQBcAG4AKgAvAFwAbgBcAG4AQwBvAG0AbQBvAG4AXwBTAG8AdQByAGMAZQBEAGEAdABhAF8ARQBGAE4AMgBPAF8AVABpAHQAbABlAFwAbgAgACAAPQBMAEEATQBCAEQAQQAoAFwAIgBOAGkAdAByAG8AdQBzACAAbwB4AGkAZABlACAAZQBtAGkAcwBzAGkAbwBuACAAZgBhAGMAdABvAHIAcwAgAGYAbwByACAAaQBuAG8AcgBnAGEAbgBpAGMAIABmAGUAcgB0AGkAbABpAHMAZQByACAAYQBwAHAAbABpAGMAYQB0AGkAbwBuAFwAIgApADsAXABuAFwAbgBDAG8AbQBtAG8AbgBfAFMAbwB1AHIAYwBlAEQAYQB0AGEAXwBFAEYATgAyAE8AXwBVAG4AaQB0AFwAbgAgACAAPQBMAEEATQBCAEQAQQAoAFwAIgAoAGsAZwAgAE4AMgBPAC0ATgAgAC8AIABrAGcAIABOAFwAIgApADsAXABuAFwAbgBDAG8AbQBtAG8AbgBfAFMAbwB1AHIAYwBlAEQAYQB0AGEAXwBFAEYATgAyAE8AXwBTAG8AdQByAGMAZQBcAG4AIAAgAD0ATABBAE0AQgBEAEEAKABcACIAVgBFAEUAUgBHACAAMgAwADIANgA6ACAAVABhAGIAbABlACAAQQAuADIALgAyAC4AMQBcACIAKQA7AFwAbgBcAG4AQwBvAG0AbQBvAG4AXwBTAG8AdQByAGMAZQBEAGEAdABhAF8ARQBGAE4AMgBPAF8ATgBJAFIAUgBlAGYAZQByAGUAbgBjAGUAXABuACAAIAA9AEwAQQBNAEIARABBACgAXAAiAFwAIgApADsAXABuAFwAbgBDAG8AbQBtAG8AbgBfAFMAbwB1AHIAYwBlAEQAYQB0AGEAXwBFAEYATgAyAE8AXwBEAGEAdABhAFwAbgAgACAAPQBMAEEATQBCAEQAQQAoAFwAbgAgACAAIAAgAE0AQQBLAEUAQQBSAFIAQQBZACgAMQA0ACwAIAA1ACwAIABcAG4AIAAgACAAIAAgACAATABBAE0AQgBEAEEAKAByACwAYwAsACAAXABuACAAIAAgACAAIAAgACAAIABJAE4ARABFAFgAKAB7AFwAbgAgACAAIAAgACAAIAAgACAAIAAgAFwAIgBQAHIAbwBkAHUAYwB0AGkAbwBuACAAcwB5AHMAdABlAG0AIABqAFwAIgAsAFwAIgBFAEYATgAyAE8AXAAiACwAIABcACIAUAByAG8AZAB1AGMAdABpAG8AbgAgAHMAeQBzAHQAZQBtACAAbwBuAGwAeQBcACIALAAgAFwAIgBJAHIAcgBpAGcAYQB0AGkAbwBuACAAbQBlAHQAaABvAGQAXAAiACwAIABcACIAUgBhAGkAbgBmAGEAbABsACAAegBvAG4AZQBcACIAOwBcAG4AIAAgACAAIAAgACAAIAAgACAAIABcACIASQByAHIAaQBnAGEAdABlAGQAIABwAGEAcwB0AHUAcgBlAFwAIgAsADAALgAwADAANQA5ACwAIABcACIAUABhAHMAdAB1AHIAZQBcACIALAAgAFwAIgBBAG4AeQBcACIALAAgAFwAIgBBAG4AeQBcACIAOwBcAG4AIAAgACAAIAAgACAAIAAgACAAIABcACIASQByAHIAaQBnAGEAdABlAGQAIABjAHIAbwBwAFwAIgAsADAALgAwADAANwAsACAAXAAiAEMAcgBvAHAAXAAiACwAIABcACIAQQBuAHkAXAAiACwAIABcACIAQQBuAHkAXAAiADsAXABuACAAIAAgACAAIAAgACAAIAAgACAAXAAiAE4AbwBuAC0AaQByAHIAaQBnAGEAdABlAGQAIABwAGEAcwB0AHUAcgBlAFwAIgAsADAALgAwADAAMQA4ACwAIABcACIAUABhAHMAdAB1AHIAZQBcACIALAAgAFwAIgBOAG8AdAAgAGkAcgByAGkAZwBhAHQAZQBkAFwAIgAsACAAXAAiAEwAbwB3ACAAcgBhAGkAbgBmAGEAbABsAFwAIgA7AFwAbgAgACAAIAAgACAAIAAgACAAIAAgAFwAIgBOAG8AbgAtAGkAcgByAGkAZwBhAHQAZQBkACAAcABhAHMAdAB1AHIAZQBcACIALAAwAC4AMAAwADEAOAAsACAAXAAiAFAAYQBzAHQAdQByAGUAXAAiACwAIABcACIATgBvAHQAIABpAHIAcgBpAGcAYQB0AGUAZABcACIALAAgAFwAIgBIAGkAZwBoACAAcgBhAGkAbgBmAGEAbABsAFwAIgA7AFwAbgAgACAAIAAgACAAIAAgACAAIAAgAFwAIgBOAG8AbgAtAGkAcgByAGkAZwBhAHQAZQBkACAAYwByAG8AcAAgACgAbABvAHcAIAByAGEAaQBuAGYAYQBsAGwAKQBcACIALAAwAC4AMAAwADIAOQAsACAAXAAiAEMAcgBvAHAAXAAiACwAIABcACIATgBvAHQAIABpAHIAcgBpAGcAYQB0AGUAZABcACIALAAgAFwAIgBMAG8AdwAgAHIAYQBpAG4AZgBhAGwAbABcACIAOwBcAG4AIAAgACAAIAAgACAAIAAgACAAIABcACIATgBvAG4ALQBpAHIAcgBpAGcAYQB0AGUAZAAgAGMAcgBvAHAAIAAoAGgAaQBnAGgAIAByAGEAaQBuAGYAYQBsAGwAKQBcACIALAAwAC4AMAAwADgALAAgAFwAIgBDAHIAbwBwAFwAIgAsACAAXAAiAE4AbwB0ACAAaQByAHIAaQBnAGEAdABlAGQAXAAiACwAIABcACIASABpAGcAaAAgAHIAYQBpAG4AZgBhAGwAbABcACIAOwBcAG4AIAAgACAAIAAgACAAIAAgACAAIABcACIAUwB1AGcAYQByAFwAIgAsADAALgAwADEAOQA5ACwAIABcACIAUwB1AGcAYQByAFwAIgAsACAAXAAiAEEAbgB5AFwAIgAsACAAXAAiAEEAbgB5AFwAIgA7AFwAbgAgACAAIAAgACAAIAAgACAAIAAgAFwAIgBDAG8AdAB0AG8AbgBcACIALAAwAC4AMAAwADUAMwAsACAAXAAiAEMAbwB0AHQAbwBuAFwAIgAsACAAXAAiAEEAbgB5AFwAIgAsACAAXAAiAEEAbgB5AFwAIgA7AFwAbgAgACAAIAAgACAAIAAgACAAIAAgAFwAIgBIAG8AcgB0AGkAYwB1AGwAdAB1AHIAYQBsACAAYwByAG8AcABzAFwAIgAsADAALgAwADAANgA0ACwAIABcACIASABvAHIAdABpAGMAdQBsAHQAdQByAGEAbAAgAGMAcgBvAHAAcwBcACIALAAgAFwAIgBBAG4AeQBcACIALAAgAFwAIgBBAG4AeQBcACIAOwBcAG4AIAAgACAAIAAgACAAIAAgACAAIABcACIAUgBpAGMAZQAgACgAYwBvAG4AdABpAG4AdQBvAHUAcwAgAGYAbABvAG8AZABpAG4AZwApAFwAIgAsADAALgAwADAAMwAsACAAXAAiAFIAaQBjAGUAXAAiACwAIABcACIAQwBvAG4AdABpAG4AdQBvAHUAcwAgAGYAbABvAG8AZABpAG4AZwBcACIALAAgAFwAIgBBAG4AeQBcACIAOwBcAG4AIAAgACAAIAAgACAAIAAgACAAIABcACIAUgBpAGMAZQAgACgAcwBpAG4AZwBsAGUAIABhAG4AZAAgAG0AdQBsAHQAaQBwAGwAZQAgAGQAcgBhAGkAbgBhAGcAZQAsACAAbwByACAAYQBsAHQAZQByAG4AYQB0AGUAIAB3AGUAdAB0AGkAbgBnACAAYQBuAGQAIABkAHIAeQBpAG4AZwApAFwAIgAsADAALgAwADAANQAsACAAXAAiAFIAaQBjAGUAXAAiACwAIABcACIAUwBpAG4AZwBsAGUAIABhAG4AZAAgAG0AdQBsAHQAaQBwAGwAZQAgAGQAcgBhAGkAbgBhAGcAZQAsACAAbwByACAAYQBsAHQAZQByAG4AYQB0AGUAIAB3AGUAdAB0AGkAbgBnACAAYQBuAGQAIABkAHIAeQBpAG4AZwBcACIALAAgAFwAIgBBAG4AeQBcACIAOwBcAG4AIAAgACAAIAAgACAAIAAgACAAIABcACIAQQBxAHUAYQBjAHUAbAB0AHUAcgBlAFwAIgAsADAALgAwADAAMgA2ACwAIABcACIAQQBxAHUAYQBjAHUAbAB0AHUAcgBlAFwAIgAsACAAXAAiAEEAbgB5AFwAIgAsACAAXAAiAEEAbgB5AFwAIgA7AFwAbgAgACAAIAAgACAAIAAgACAAIAAgAFwAIgBGAG8AcgBlAHMAdAByAHkAXAAiACwAMAAuADAAMAAxADgALAAgAFwAIgBGAG8AcgBlAHMAdAByAHkAXAAiACwAIABcACIAQQBuAHkAXAAiACwAIABcACIAQQBuAHkAXAAiAFwAbgAgACAAIAAgACAAIAAgACAAfQAsACAAcgAsACAAYwApAFwAbgAgACAAIAAgACAAIAApAFwAbgAgACAAIAAgACkAXABuACAAIAApADsAXABuAFwAbgAgACAAQwBvAG0AbQBvAG4AXwBTAG8AdQByAGMAZQBEAGEAdABhAF8ARQBGAE4AMgBP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SAGUAbQBvAHYAZQBkACAAZAB1AHAAbABpAGMAYQB0AGUAIABcAHUAMAAwADIANwBBAHEAdQBhAGMAdQBsAHQAdQByAGUAXAB1ADAAMAAyADcAIAByAG8AdwAuAFwAIgA7AFwAbgAgACAAIAAgACAAIAAgACAAIAAgAFwAIgBSAGUAbQBvAHYAZQBkACAAYQBzAHQAZQByAGkAcwBrAHMAIAB0AG8AIABhAGkAZAAgAGwAbwBvAGsAdQBwAC4AXAAiADsAXABuACAAIAAgACAAIAAgACAAIAAgACAAXAAiAEEAZABkAGUAZAAgAFwAdQAwADAAMgA3AHAAcgBvAGQAdQBjAHQAaQBvAG4AIABzAHkAcwB0AGUAbQAgAG8AbgBsAHkAXAB1ADAAMAAyADcALAAgAFwAdQAwADAAMgA3AHIAYQBpAG4AZgBhAGwAbAAgAHoAbwBuAGUAXAB1ADAAMAAyADcAIABhAG4AZAAgAFwAdQAwADAAMgA3AGkAcgByAGkAZwBhAHQAaQBvAG4AIABtAGUAdABoAG8AZABcAHUAMAAwADIANwAgAGMAbwBsAHUAbQBuAHMAIAB0AG8AIABhAGkAZAAgAGwAbwBvAGsAdQBwAC4AXAAiADsAXABuACAAIAAgACAAIAAgACAAIAAgACAAXAAiAEQAdQBwAGwAaQBjAGEAdABlAGQAIABcAHUAMAAwADIANwBuAG8AbgAtAGkAcgByAGkAZwBhAHQAZQBkACAAcABhAHMAdAB1AHIAZQBcAHUAMAAwADIAN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BcAHUAMAAwADIANwBBAHIAZQBhAHMAIABhAHIAZQAgAHMAdQBiAGoAZQBjAHQAIAB0AG8AIABsAGUAYQBjAGgAaQBuAGcAIAAoAGkALgBlAC4ALAAgAGkAbgAgAHQAaABlACAAbABlAGEAYwBoAGkAbgBnACAAegBvAG4AZQApACAAdwBoAGUAbgAuAC4ALgAgAHQAaABlACAAbABhAG4AZAAgAGkAcwAgAGkAcgByAGkAZwBhAHQAZQBkACAAKABlAHgAYwBlAHAAdAAgAGQAcgBpAHAAIABpAHIAcgBpAGcAYQB0AGkAbwBuACkALgBcAHUAMAAwADIANwBcACIAKQA7AFwAbgBcAG4AXABuAC8AKgAgAFwAbgAtAC0ALQAtAC0ALQAtAC0ALQAtAC0ALQAtAC0ALQAtAC0ALQAtAC0ALQAtAC0ALQAtAC0ALQAtAC0ALQAtAC0ALQAtAC0ALQAtAC0AXABuAEMAbwBtAG0AbwBuAF8AUwBvAHUAcgBjAGUARABhAHQAYQBfAEUARgBQAGEAcwB0AHUAcgBlAFIAYQBuAGcAZQBBAG4AZABQAGEAZABkAG8AYwBrAFwAbgBUAGEAYgBsAGUAIABBAC4AMgAuADIALgAyADoAIABFAG0AaQBzAHMAaQBvAG4AIABmAGEAYwB0AG8AcgAgAGYAbwByACAAdQByAGkAbgBlACAAYQBuAGQAIABkAHUAbgBnACAAZABlAHAAbwBzAGkAdABlAGQAIABvAG4AIABwAGEAcwB0AHUAcgBlACwAIAByAGEAbgBnAGUAIABvAHIAIABwAGEAZABkAG8AYwBrACAAKABrAGcAIABOADIATwAtAE4ALwBrAGcAIABOACkAIAAoAEUARgBQAFIAUAApAFwAbgAtAC0ALQAtAC0ALQAtAC0ALQAtAC0ALQAtAC0ALQAtAC0ALQAtAC0ALQAtAC0ALQAtAC0ALQAtAC0ALQAtAC0ALQAtAC0ALQAtAC0AXABuACoALwBcAG4AXABuAEMAbwBtAG0AbwBuAF8AUwBvAHUAcgBjAGUARABhAHQAYQBfAEUARgBQAGEAcwB0AHUAcgBlAFIAYQBuAGcAZQBBAG4AZABQAGEAZABkAG8AYwBrAF8AVABpAHQAbABlAFwAbgAgACAAPQBMAEEATQBCAEQAQQAoAFwAIgBFAG0AaQBzAHMAaQBvAG4AIABmAGEAYwB0AG8AcgAgAGYAbwByACAAdQByAGkAbgBlACAAYQBuAGQAIABkAHUAbgBnACAAZABlAHAAbwBzAGkAdABlAGQAIABvAG4AIABwAGEAcwB0AHUAcgBlACwAIAByAGEAbgBnAGUAIABvAHIAIABwAGEAZABkAG8AYwBrAFwAIgApADsAXABuAFwAbgBDAG8AbQBtAG8AbgBfAFMAbwB1AHIAYwBlAEQAYQB0AGEAXwBFAEYAUABhAHMAdAB1AHIAZQBSAGEAbgBnAGUAQQBuAGQAUABhAGQAZABvAGMAawBfAFUAbgBpAHQAXABuACAAIAA9AEwAQQBNAEIARABBACgAXAAiAGsAZwAgAE4AMgBPACAALQAgAE4AIAAvACAAawBnACAATgBcACIAKQA7AFwAbgBcAG4AQwBvAG0AbQBvAG4AXwBTAG8AdQByAGMAZQBEAGEAdABhAF8ARQBGAFAAYQBzAHQAdQByAGUAUgBhAG4AZwBlAEEAbgBkAFAAYQBkAGQAbwBjAGsAXwBTAG8AdQByAGMAZQBcAG4AIAAgAD0ATABBAE0AQgBEAEEAKABcACIAVgBFAEUAUgBHACAAMgAwADIANgA6ACAAVABhAGIAbABlACAAQQAuADIALgAyAC4AMgBcACIAKQA7AFwAbgBcAG4AQwBvAG0AbQBvAG4AXwBTAG8AdQByAGMAZQBEAGEAdABhAF8ARQBGAFAAYQBzAHQAdQByAGUAUgBhAG4AZwBlAEEAbgBkAFAAYQBkAGQAbwBjAGsAXwBOAEkAUgBSAGUAZgBlAHIAZQBuAGMAZQBcAG4AIAAgAD0ATABBAE0AQgBEAEEAKABcACIAXAAiACkAOwBcAG4AXABuAEMAbwBtAG0AbwBuAF8AUwBvAHUAcgBjAGUARABhAHQAYQBfAEUARgBQAGEAcwB0AHUAcgBlAFIAYQBuAGcAZQBBAG4AZABQAGEAZABkAG8AYwBr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QAFIAUABcACIAOwBcAG4AIAAgACAAIAAgACAAIAAgACAAIABcACIAVwBlAHQAIABjAGwAaQBtAGEAdABlACAAegBvAG4AZQBcACIALAAgADAALgAwADAANgA7AFwAbgAgACAAIAAgACAAIAAgACAAIAAgAFwAIgBEAHIAeQAgAGMAbABpAG0AYQB0AGUAIAB6AG8AbgBlAFwAIgAsACAAMAAuADAAMAAyAFwAbgAgACAAIAAgACAAIAAgACAAfQAsACAAcgAsACAAYwApAFwAbgAgACAAIAAgACAAIAApAFwAbgAgACAAIAAgACkAXABuACAAIAApADsAXABuAFwAbgAgACAAQwBvAG0AbQBvAG4AXwBTAG8AdQByAGMAZQBEAGEAdABhAF8ARQBGAFAAYQBzAHQAdQByAGUAUgBhAG4AZwBlAEEAbgBkAFAAYQBkAGQAbwBjAGsAXwBWAGEAcgBpAGEAdABpAG8AbgBcAG4AIAAgAD0ATABBAE0AQgBEAEEAKABcACIAVgBBAFIASQBBAFQASQBPAE4AIABGAFIATwBNACAAUwBPAFUAUgBDAEUAIABEAEEAVABBADoAIABDAGgAYQBuAGcAZQBkACAAXAB1ADAAMAAyADcARAByAHkAIABjAGwAaQBtAGEAdABlACAAegBvAG4AZQBzAFwAdQAwADAAMgA3ACAAdABvACAAcwBpAG4AZwB1AGwAYQByACAAXAB1ADAAMAAyADcARAByAHkAIABjAGwAaQBtAGEAdABlACAAegBvAG4AZQBcAHUAMAAwADIAN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Q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FwAdQAwADAAMwBjADEAIABtAG8AbgB0AGgAXAAiACwAIABcACIARABlAGUAcAAgAEwAaQB0AHQAZQByAFwAIgAsACAAXAAiAFAAbwB1AGwAdAByAHkAIABNAGEAbgB1AHIAZQAgACgAdwBpAHQAaAAvAHcAaQB0AGgAbwB1AHQAIABsAGkAdAB0AGUAcgApAFwAIgAsACAAXAAiAFwAIgAsACAAXAAiAEQAaQByAGUAYwB0ACAAcAByAG8AYwBlAHMAcwBpAG4AZwAgAGkAbgB0AG8AIABwAGUAbABsAGUAdABpAHoAZQBkACAAZgBlAHIAdABpAGwAaQBzAGUAcgBcACIALAAgAFwAIgBEAGkAcgBlAGMAdAAgAGEAcABwAGwAaQBjAGEAdABpAG8AbgAgAHQAbwAgAHMAbwBpAGwAXAAiACwAIABcACIAUABhAHMAdAB1AHIAZQAsACAAUgBhAG4AZwBlACAAYQBuAGQAIABQAGEAZABkAG8AYwBrACAAKABjACkAKABkACkAXAAiACwAIABcACIATQBBAFQAIAByAGEAdwBcACIAOwBcAG4AIAAgACAAIAAgACAAIAAgACAAIABcACIAQwBvAG8AbABcACIALAAgAFwAIgBkIjEAMABcACIALAAgADAALgA2ADYALAAgADAALgAxACwAIAAwAC4AMQAsACAAMAAuADAAMAAxACwAIAAwAC4AMAAwADUALAAgADAALgAwADIALAAgADAALgAwADMALAAgADAALgAwADQALAAgADAALgAwADEANQAsACAAMAAuADAAMQA1ACwAIAAwACwAIAAwACwAIAAwAC4AMAAwADQANwAsACAAMQAwADsAXABuACAAIAAgACAAIAAgACAAIAAgACAAXAAiAEMAbwBvAGwAXAAiACwAIAAxADEALAAgADAALgA2ADgALAAgADAALgAxACwAIAAwAC4AMQAxACwAIAAwAC4AMAAwADEALAAgADAALgAwADAANQAsACAAMAAuADAAMgAsACAAMAAuADAAMwAsACAAMAAuADAANAAsACAAMAAuADAAMQA1ACwAIAAwAC4AMAAxADUALAAgADAALAAgADAALAAgADAALgAwADAANAA3ACwAIAAxADEAOwBcAG4AIAAgACAAIAAgACAAIAAgACAAIABcACIAQwBvAG8AbABcACIALAAgADEAMgAsACAAMAAuADcALAAgADAALgAxACwAIAAwAC4AMQAzACwAIAAwAC4AMAAwADEALAAgADAALgAwADAANQAsACAAMAAuADAAMgAsACAAMAAuADAAMwAsACAAMAAuADAANAAsACAAMAAuADAAMQA1ACwAIAAwAC4AMAAxADUALAAgADAALAAgADAALAAgADAALgAwADAANAA3ACwAIAAxADIAOwBcAG4AIAAgACAAIAAgACAAIAAgACAAIABcACIAQwBvAG8AbABcACIALAAgADEAMwAsACAAMAAuADcAMQAsACAAMAAuADEALAAgADAALgAxADQALAAgADAALgAwADAAMQAsACAAMAAuADAAMAA1ACwAIAAwAC4AMAAyACwAIAAwAC4AMAAzACwAIAAwAC4AMAA0ACwAIAAwAC4AMAAxADUALAAgADAALgAwADEANQAsACAAMAAsACAAMAAsACAAMAAuADAAMAA0ADcALAAgADEAMwA7AFwAbgAgACAAIAAgACAAIAAgACAAIAAgAFwAIgBDAG8AbwBsAFwAIgAsACAAMQA0ACwAIAAwAC4ANwAzACwAIAAwAC4AMQAsACAAMAAuADEANQAsACAAMAAuADAAMAAxACwAIAAwAC4AMAAwADUALAAgADAALgAwADIALAAgADAALgAwADMALAAgADAALgAwADQALAAgADAALgAwADEANQAsACAAMAAuADAAMQA1ACwAIAAwACwAIAAwACwAIAAwAC4AMAAwADQANwAsACAAMQA0ADsAXABuACAAIAAgACAAIAAgACAAIAAgACAAXAAiAFQAZQBtAHAAZQByAGEAdABlAFwAIgAsACAAMQA1ACwAIAAwAC4ANwA0ACwAIAAwAC4AMQAsACAAMAAuADEANwAsACAAMAAuADAAMAA1ACwAIAAwAC4AMAAxACwAIAAwAC4AMAAyACwAIAAwAC4AMAAzACwAIAAwAC4AMAA0ACwAIAAwAC4AMAAxADUALAAgADAALgAwADEANQAsACAAMAAsACAAMAAsACAAMAAuADAAMAA0ADcALAAgADEANQA7AFwAbgAgACAAIAAgACAAIAAgACAAIAAgAFwAIgBUAGUAbQBwAGUAcgBhAHQAZQBcACIALAAgADEANgAsACAAMAAuADcANQAsACAAMAAuADEALAAgADAALgAxADgALAAgADAALgAwADAANQAsACAAMAAuADAAMQAsACAAMAAuADAAMgAsACAAMAAuADAAMwAsACAAMAAuADAANAAsACAAMAAuADAAMQA1ACwAIAAwAC4AMAAxADUALAAgADAALAAgADAALAAgADAALgAwADAANAA3ACwAIAAxADYAOwBcAG4AIAAgACAAIAAgACAAIAAgACAAIABcACIAVABlAG0AcABlAHIAYQB0AGUAXAAiACwAIAAxADcALAAgADAALgA3ADYALAAgADAALgAxACwAIAAwAC4AMgAsACAAMAAuADAAMAA1ACwAIAAwAC4AMAAxACwAIAAwAC4AMAAyACwAIAAwAC4AMAAzACwAIAAwAC4AMAA0ACwAIAAwAC4AMAAxADUALAAgADAALgAwADEANQAsACAAMAAsACAAMAAsACAAMAAuADAAMAA0ADcALAAgADEANwA7AFwAbgAgACAAIAAgACAAIAAgACAAIAAgAFwAIgBUAGUAbQBwAGUAcgBhAHQAZQBcACIALAAgADEAOAAsACAAMAAuADcANwAsACAAMAAuADEALAAgADAALgAyADIALAAgADAALgAwADAANQAsACAAMAAuADAAMQAsACAAMAAuADAAMgAsACAAMAAuADAAMwAsACAAMAAuADAANAAsACAAMAAuADAAMQA1ACwAIAAwAC4AMAAxADUALAAgADAALAAgADAALAAgADAALgAwADAANAA3ACwAIAAxADgAOwBcAG4AIAAgACAAIAAgACAAIAAgACAAIABcACIAVABlAG0AcABlAHIAYQB0AGUAXAAiACwAIAAxADkALAAgADAALgA3ADcALAAgADAALgAxACwAIAAwAC4AMgA0ACwAIAAwAC4AMAAwADUALAAgADAALgAwADEALAAgADAALgAwADIALAAgADAALgAwADMALAAgADAALgAwADQALAAgADAALgAwADEANQAsACAAMAAuADAAMQA1ACwAIAAwACwAIAAwACwAIAAwAC4AMAAwADQANwAsACAAMQA5ADsAXABuACAAIAAgACAAIAAgACAAIAAgACAAXAAiAFQAZQBtAHAAZQByAGEAdABlAFwAIgAsACAAMgAwACwAIAAwAC4ANwA4ACwAIAAwAC4AMQAsACAAMAAuADIANgAsACAAMAAuADAAMAA1ACwAIAAwAC4AMAAxACwAIAAwAC4AMAAyACwAIAAwAC4AMAAzACwAIAAwAC4AMAA0ACwAIAAwAC4AMAAxADUALAAgADAALgAwADEANQAsACAAMAAsACAAMAAsACAAMAAuADAAMAA0ADcALAAgADIAMAA7AFwAbgAgACAAIAAgACAAIAAgACAAIAAgAFwAIgBUAGUAbQBwAGUAcgBhAHQAZQBcACIALAAgADIAMQAsACAAMAAuADcAOAAsACAAMAAuADEALAAgADAALgAyADkALAAgADAALgAwADAANQAsACAAMAAuADAAMQAsACAAMAAuADAAMgAsACAAMAAuADAAMwAsACAAMAAuADAANAAsACAAMAAuADAAMQA1ACwAIAAwAC4AMAAxADUALAAgADAALAAgADAALAAgADAALgAwADAANAA3ACwAIAAyADEAOwBcAG4AIAAgACAAIAAgACAAIAAgACAAIABcACIAVABlAG0AcABlAHIAYQB0AGUAXAAiACwAIAAyADIALAAgADAALgA3ADgALAAgADAALgAxACwAIAAwAC4AMwAxACwAIAAwAC4AMAAwADUALAAgADAALgAwADEALAAgADAALgAwADIALAAgADAALgAwADMALAAgADAALgAwADQALAAgADAALgAwADEANQAsACAAMAAuADAAMQA1ACwAIAAwACwAIAAwACwAIAAwAC4AMAAwADQANwAsACAAMgAyADsAXABuACAAIAAgACAAIAAgACAAIAAgACAAXAAiAFQAZQBtAHAAZQByAGEAdABlAFwAIgAsACAAMgAzACwAIAAwAC4ANwA5ACwAIAAwAC4AMQAsACAAMAAuADMANAAsACAAMAAuADAAMAA1ACwAIAAwAC4AMAAxACwAIAAwAC4AMAAyACwAIAAwAC4AMAAzACwAIAAwAC4AMAA0ACwAIAAwAC4AMAAxADUALAAgADAALgAwADEANQAsACAAMAAsACAAMAAsACAAMAAuADAAMAA0ADcALAAgADIAMwA7AFwAbgAgACAAIAAgACAAIAAgACAAIAAgAFwAIgBUAGUAbQBwAGUAcgBhAHQAZQBcACIALAAgADIANAAsACAAMAAuADcAOQAsACAAMAAuADEALAAgADAALgAzADcALAAgADAALgAwADAANQAsACAAMAAuADAAMQAsACAAMAAuADAAMgAsACAAMAAuADAAMwAsACAAMAAuADAANAAsACAAMAAuADAAMQA1ACwAIAAwAC4AMAAxADUALAAgADAALAAgADAALAAgADAALgAwADAANAA3ACwAIAAyADQAOwBcAG4AIAAgACAAIAAgACAAIAAgACAAIABcACIAVABlAG0AcABlAHIAYQB0AGUAXAAiACwAIAAyADUALAAgADAALgA3ADkALAAgADAALgAxACwAIAAwAC4ANAAxACwAIAAwAC4AMAAwADUALAAgADAALgAwADEALAAgADAALgAwADIALAAgADAALgAwADMALAAgADAALgAwADQALAAgADAALgAwADEANQAsACAAMAAuADAAMQA1ACwAIAAwACwAIAAwACwAIAAwAC4AMAAwADQANwAsACAAMgA1ADsAXABuACAAIAAgACAAIAAgACAAIAAgACAAXAAiAFcAYQByAG0AXAAiACwAIAAyADYALAAgADAALgA3ADkALAAgADAALgAxACwAIAAwAC4ANAA0ACwAIAAwAC4AMAAxACwAIAAwAC4AMAAxADUALAAgADAALgAwADIALAAgADAALgAwADMALAAgADAALgAwADQALAAgADAALgAwADEANQAsACAAMAAuADAAMQA1ACwAIAAwACwAIAAwACwAIAAwAC4AMAAwADQANwAsACAAMgA2ADsAXABuACAAIAAgACAAIAAgACAAIAAgACAAXAAiAFcAYQByAG0AXAAiACwAIAAyADcALAAgADAALgA4ACwAIAAwAC4AMQAsACAAMAAuADQAOAAsACAAMAAuADAAMQAsACAAMAAuADAAMQA1ACwAIAAwAC4AMAAyACwAIAAwAC4AMAAzACwAIAAwAC4AMAA0ACwAIAAwAC4AMAAxADUALAAgADAALgAwADEANQAsACAAMAAsACAAMAAsACAAMAAuADAAMAA0ADcALAAgADIANwA7AFwAbgAgACAAIAAgACAAIAAgACAAIAAgAFwAIgBXAGEAcgBtAFwAIgAsACAAXAAiAGUiMgA4AFwAIgAsACAAMAAuADgALAAgADAALgAxACwAIAAwAC4ANQAsACAAMAAuADAAMQAsACAAMAAuADAAMQA1ACwAIAAwAC4AMAAyACwAIAAwAC4AMAAzACwAIAAwAC4AMAA0ACwAIAAwAC4AMAAxADUALAAgADAALgAwADEANQAsACAAMAAsACAAMAAsACAAMAAuADAAMAA0ADcALAAgADIAOAA7AFwAbgAgACAAIAAgACAAIAAgACAAIAAgAFwAIgBcACIALAAgAFwAIgBcACIALAAgAFwAIgBBAG4AYQBlAHIAbwBiAGkAYwAgAGwAYQBnAG8AbwBuAFwAIgAsACAAXAAiAEQAaQBnAGUAcwB0AGUAcgAgAC8AIABjAG8AdgBlAHIAZQBkACAAbABhAGcAbwBvAG4AcwBcACIALAAgAFwAIgBMAGkAcQB1AGkAZAAgAHMAeQBzAHQAZQBtAHMAXAAiACwAIABcACIARABhAGkAbAB5ACAAcwBwAHIAZQBhAGQAXAAiACwAIABcACIAQwBvAG0AcABvAHMAdABpAG4AZwAgACgAcABhAHMAcwBpAHYAZQAgAHcAaQBuAGQAcgBvAHcAKQBcACIALAAgAFwAIgBTAG8AbABpAGQAIABzAHQAbwByAGEAZwBlAFwAIgAsACAAXAAiAFAAaQB0ACAAcwB0AG8AcgBhAGcAZQBcACIALAAgAFwAIgBEAGUAZQBwACAAbABpAHQAdABlAHIAXAAiACwAIABcACIAUABvAHUAbAB0AHIAeQAgAG0AYQBuAHUAcgBlACAAdwBpAHQAaAAgAGIAZQBkAGQAaQBuAGcAXAAiACwAIABcACIAUABvAHUAbAB0AHIAeQAgAG0AYQBuAHUAcgBlACAAdwBpAHQAaABvAHUAdAAgAGIAZQBkAGQAaQBuAGcAXAAiACwAIABcACIARABpAHIAZQBjAHQAIABwAHIAbwBjAGUAcwBzAGkAbgBnAFwAIgAsACAAXAAiAEQAaQByAGUAYwB0ACAAYQBwAHAAbABpAGMAYQB0AGkAbwBuAFwAIgAsACAAXAAiAFAAYQBzAHQAdQByAGUAIAByAGEAbgBnAGUAIABhAG4AZAAgAHAAYQBkAGQAbwBjAGsAXAAiACwAIABcACIATQBBAFQAIAByAGEAdwBcACIAIABcAG4AIAAgACAAIAAgACAAIAAgAH0ALAAgAHIALAAgAGMAKQBcAG4AIAAgACAAIAAgACAAKQBcAG4AIAAgACAAIAApAFwAbgAgACAAKQA7AFwAbgBcAG4AQwBvAG0AbQBvAG4AXwBTAG8AdQByAGMAZQBEAGEAdABhAF8ATQBDAEYAVABlAG0AcABlAHIAYQB0AHUAcgBlAFoAbwBuAGUAXwBWAGEAcgBpAGEAdABpAG8AbgBcAG4AIAAgAD0ATABBAE0AQgBEAEEAKABcACIAVgBBAFIASQBBAFQASQBPAE4AIABGAFIATwBNACAAUwBPAFUAUgBDAEUAOgAgAEEAZABkAGUAZAAgAHIAbwB3ACAAbwBmACAATgBJAFIAIABNAE0AQQAgAGQAZQBmAGkAbgBpAHQAaQBvAG4AcwAgAHQAbwAgAGEAaQBkACAAbABvAG8AawB1AHAALgAgAEQAdQBwAGwAaQBjAGEAdABlAGQAIABcAHUAMAAwADIANwBQAG8AdQBsAHQAcgB5ACAAdwBpAHQAaAAgAGEAbgBkACAAdwBpAHQAaABvAHUAdAAgAGwAaQB0AHQAZQByAFwAdQAwADAAMgA3ACAAYwBvAGwAdQBtAG4AIAB3AGkAdABoACAAcwBlAHAAYQByAGEAdABlACAATgBJAFIAIABkAGUAZgBpAG4AaQB0AGkAbwBuAHMAIAB0AG8AIABhAGkAZAAgAGwAbwBvAGsAdQBwAC4AIABBAGQAZABlAGQAIABcAHUAMAAwADIANwBNAEEAVAAgAHIAYQB3AFwAdQAwADAAMgA3ACAAYwBvAGwAdQBtAG4AIAB0AG8AIABhAGwAbABvAHcAIABsAG8AbwBrAHUAcAAgAG8AZgAgAG4AdQBtAGIAZQByAHMALgBcACIAKQA7AFwAbgBcAG4AXABuAFwAbgAvACoAIABcAG4ALQAtAC0ALQAtAC0ALQAtAC0ALQAtAC0ALQAtAC0ALQAtAC0ALQAtAC0ALQAtAC0ALQAtAC0ALQAtAC0ALQAtAC0ALQAtAC0ALQAtAFwAbgBDAG8AbQBtAG8AbgBfAFMAbwB1AHIAYwBlAEQAYQB0AGEAXwBFAEYATwByAGcAYQBuAGkAYwBGAGUAcgB0AGkAbABpAHMAZQByAEEAbgBkAEMAcgBvAHAAUgBlAHMAaQBkAHUAZQBzAFwAbgAtAC0ALQAtAC0ALQAtAC0ALQAtAC0ALQAtAC0ALQAtAC0ALQAtAC0ALQAtAC0ALQAtAC0ALQAtAC0ALQAtAC0ALQAtAC0ALQAtAC0AXABuACoALwBcAG4AXABuAEMAbwBtAG0AbwBuAF8AUwBvAHUAcgBjAGUARABhAHQAYQBfAEUARgBPAHIAZwBhAG4AaQBjAEYAZQByAHQAaQBsAGkAcwBlAHIAQQBuAGQAQwByAG8AcABSAGUAcwBpAGQAdQBlAHM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QwBvAG0AbQBvAG4AXwBTAG8AdQByAGMAZQBEAGEAdABhAF8ARQBGAE8AcgBnAGEAbgBpAGMARgBlAHIAdABpAGwAaQBzAGUAcgBBAG4AZABDAHIAbwBwAFIAZQBzAGkAZAB1AGUAcwBfAFYAYQByAGkAYQBiAGwAZQBcAG4AIAAgAD0ATABBAE0AQgBEAEEAKABcACIARQBGAE4AaQAgAFwAdQAwADAAMgA2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XAB1ADAAMAAyADYAIABFAEYATgAyAE8AXAAiADsAXABuACAAIAAgACAAIAAgACAAIAAgACAAXAAiAFcAZQB0ACAAYwBsAGkAbQBhAHQAZQAgAHoAbwBuAGUAXAAiACwAIAAwAC4AMAAwADYAOwBcAG4AIAAgACAAIAAgACAAIAAgACAAIABcACIARAByAHkAIABjAGwAaQBtAGEAdABlACAAegBvAG4AZQBcACIALAAgADAALgAwADAANQBcAG4AIAAgACAAIAAgACAAIAAgAH0ALAAgAHIALAAgAGMAKQBcAG4AIAAgACAAIAAgACAAKQBcAG4AIAAgACAAIAApAFwAbgAgACAAKQA7AFwAbgBcAG4AQwBvAG0AbQBvAG4AXwBTAG8AdQByAGMAZQBEAGEAdABhAF8ARQBGAE8AcgBnAGEAbgBpAGMARgBlAHIAdABpAGwAaQBzAGUAcgBBAG4AZABDAHIAbwBwAFIAZQBzAGkAZAB1AGUAcwBfAFYAYQByAGkAYQB0AGkAbwBuAFwAbgAgACAAPQBMAEEATQBCAEQAQQAoAFwAIgBcACIAKQA7AFwAbgBcAG4AXABuAFwAbgBcAG4AXABuAFwAbgBcAG4AXABuAFwAbgBcAG4AXABuAFwAbgBcAG4AXABuAFwAbgBcAG4AIgB9AF0ALAAiAHAAcgBvAGoAZQBjAHQATgBhAG0AZQBzACIAOgBb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54</vt:i4>
      </vt:variant>
    </vt:vector>
  </HeadingPairs>
  <TitlesOfParts>
    <vt:vector size="63" baseType="lpstr">
      <vt:lpstr>Home</vt:lpstr>
      <vt:lpstr>Results - Activity period</vt:lpstr>
      <vt:lpstr>Results - Product EI</vt:lpstr>
      <vt:lpstr>Input - Site</vt:lpstr>
      <vt:lpstr>Input - Enterprise</vt:lpstr>
      <vt:lpstr>Input - Livestock sales</vt:lpstr>
      <vt:lpstr>Input - Fert Prod System</vt:lpstr>
      <vt:lpstr>Input - Data quality</vt:lpstr>
      <vt:lpstr>Constants - Common</vt:lpstr>
      <vt:lpstr>Common_SourceData_DensityOfMethane_Data</vt:lpstr>
      <vt:lpstr>Result_CarbonRemovalsFromPlantings</vt:lpstr>
      <vt:lpstr>Result_EmissionsForWholeProductionCycle_Gross_Method1</vt:lpstr>
      <vt:lpstr>Result_EmissionsForWholeProductionCycle_Gross_Method2</vt:lpstr>
      <vt:lpstr>Result_EmissionsForWholeProductionCycle_Method1</vt:lpstr>
      <vt:lpstr>Result_EmissionsForWholeProductionCycle_Method2</vt:lpstr>
      <vt:lpstr>Result_EmissionsForWholeProductionCycle_Net_Method1</vt:lpstr>
      <vt:lpstr>Result_EmissionsForWholeProductionCycle_Net_Method2</vt:lpstr>
      <vt:lpstr>Result_Enterprise_Gross_Method1</vt:lpstr>
      <vt:lpstr>Result_Enterprise_Gross_Method2</vt:lpstr>
      <vt:lpstr>Result_Enterprise_Net_Method1</vt:lpstr>
      <vt:lpstr>Result_Enterprise_Net_Method2</vt:lpstr>
      <vt:lpstr>Result_Enterprise_Removals</vt:lpstr>
      <vt:lpstr>Result_Enterprise_Scope1_Method1</vt:lpstr>
      <vt:lpstr>Result_Enterprise_Scope1_Method2</vt:lpstr>
      <vt:lpstr>Result_Enterprise_Scope2_Method1</vt:lpstr>
      <vt:lpstr>Result_Enterprise_Scope2_Method2</vt:lpstr>
      <vt:lpstr>Result_Enterprise_Scope3_Method1</vt:lpstr>
      <vt:lpstr>Result_Enterprise_Scope3_Method2</vt:lpstr>
      <vt:lpstr>Result_NetEmissions_Method1</vt:lpstr>
      <vt:lpstr>Result_NetEmissions_Method2</vt:lpstr>
      <vt:lpstr>X_Cell_Enterprise_LiveweightSold</vt:lpstr>
      <vt:lpstr>X_Cell_Enterprise_ManureSoldTonnes</vt:lpstr>
      <vt:lpstr>X_Cell_Enterprise_ManureUsedAsFertiliserTonnes</vt:lpstr>
      <vt:lpstr>X_Cell_Enterprise_MilkProduced</vt:lpstr>
      <vt:lpstr>X_Cell_Enterprise_MilkProducedUnit</vt:lpstr>
      <vt:lpstr>X_Cell_Enterprise_PercentIncomeFromLiveweight</vt:lpstr>
      <vt:lpstr>X_Cell_Enterprise_PercentIncomeFromManure</vt:lpstr>
      <vt:lpstr>X_Cell_Enterprise_PercentIncomeFromMilk</vt:lpstr>
      <vt:lpstr>X_Cell_Enterprise_ProductionTimeframeEnd</vt:lpstr>
      <vt:lpstr>X_Cell_Enterprise_ProductionTimeframeStart</vt:lpstr>
      <vt:lpstr>X_Cell_Fertiliser_AreaUnderCropping</vt:lpstr>
      <vt:lpstr>X_Cell_Fertiliser_CropType</vt:lpstr>
      <vt:lpstr>X_Cell_Fertiliser_IrrigationMethod</vt:lpstr>
      <vt:lpstr>X_Cell_Fertiliser_ProductionSystem</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X_Table_Result_ActivityPeriodEmissions_RowsToCols</vt:lpstr>
      <vt:lpstr>X_Table_Result_CarbonRemovalsFromPlantings_RowsToCols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2026-08-26T07:52:08Z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