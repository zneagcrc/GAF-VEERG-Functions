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7CE8981-2BA5-4F6C-9348-49CEB96E176F}" xr6:coauthVersionLast="47" xr6:coauthVersionMax="47" xr10:uidLastSave="{00000000-0000-0000-0000-000000000000}"/>
  <bookViews>
    <workbookView xWindow="1110" yWindow="465" windowWidth="36330" windowHeight="19485" activeTab="7"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Crop" sheetId="81" r:id="rId6"/>
    <sheet name="Input - Fert Prod System" sheetId="76" r:id="rId7"/>
    <sheet name="Input - Data quality" sheetId="78" r:id="rId8"/>
    <sheet name="Constants - Common" sheetId="79"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X_Cell_BaledHayYield">'Input - Enterprise'!$E$27</definedName>
    <definedName name="X_Cell_Crop_AreaUnderCropping">'Input - Crop'!$E$12</definedName>
    <definedName name="X_Cell_Crop_AverageWeightPerBale">'Input - Crop'!$E$34</definedName>
    <definedName name="X_Cell_Crop_CropPurpose">'Input - Crop'!$E$10</definedName>
    <definedName name="X_Cell_Crop_CropType">'Input - Crop'!$E$9</definedName>
    <definedName name="X_Cell_Crop_PercentResidueBaled">'Input - Crop'!$E$33</definedName>
    <definedName name="X_Cell_Crop_PercentResidueBurned">'Input - Crop'!$E$39</definedName>
    <definedName name="X_Cell_Crop_TotalResidueBaled">'Input - Crop'!$E$36</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81" l="1"/>
  <c r="E29" i="81" a="1"/>
  <c r="E29" i="81" s="1"/>
  <c r="E43" i="81" l="1"/>
  <c r="E38" i="81"/>
  <c r="E35" i="81"/>
  <c r="E44" i="81" l="1"/>
  <c r="E48" i="81"/>
  <c r="E50" i="81" s="1"/>
  <c r="E17" i="81" l="1"/>
  <c r="D35" i="81"/>
  <c r="E20" i="81" l="1"/>
  <c r="E25" i="81"/>
  <c r="D10" i="78" l="1"/>
  <c r="D11" i="78"/>
  <c r="D12" i="78"/>
  <c r="D14" i="78"/>
  <c r="D13" i="78"/>
  <c r="J10" i="78"/>
  <c r="D9" i="78"/>
  <c r="J9" i="78"/>
  <c r="D8" i="78"/>
  <c r="D33" i="78"/>
  <c r="F82" i="72" l="1"/>
  <c r="F81" i="72"/>
  <c r="F80" i="72"/>
  <c r="E82" i="72"/>
  <c r="E81" i="72"/>
  <c r="E80" i="72"/>
  <c r="D32" i="78" l="1"/>
  <c r="G56" i="80" l="1"/>
  <c r="G57" i="80" s="1"/>
  <c r="G53" i="80"/>
  <c r="G54" i="80" s="1"/>
  <c r="D39" i="80" l="1"/>
  <c r="D32" i="80"/>
  <c r="D78" i="72" a="1"/>
  <c r="F58" i="72"/>
  <c r="E58" i="72"/>
  <c r="F57" i="72"/>
  <c r="E57" i="72"/>
  <c r="F56" i="72"/>
  <c r="E56" i="72"/>
  <c r="D75" i="72"/>
  <c r="D59" i="13"/>
  <c r="E56" i="13"/>
  <c r="D54" i="13"/>
  <c r="H51" i="13"/>
  <c r="F50" i="13" a="1"/>
  <c r="F50" i="13" s="1"/>
  <c r="I50" i="13" s="1"/>
  <c r="E50" i="13" a="1"/>
  <c r="E50" i="13" s="1"/>
  <c r="H50" i="13" s="1"/>
  <c r="E49" i="13" a="1"/>
  <c r="E49" i="13" s="1"/>
  <c r="F48" i="13" a="1"/>
  <c r="F48" i="13" s="1"/>
  <c r="I48" i="13" s="1"/>
  <c r="E48" i="13" a="1"/>
  <c r="E48" i="13" s="1"/>
  <c r="H48" i="13" s="1"/>
  <c r="E47" i="13" a="1"/>
  <c r="E47" i="13" s="1"/>
  <c r="E46" i="13" a="1"/>
  <c r="E46" i="13" s="1"/>
  <c r="F45" i="13" a="1"/>
  <c r="F45" i="13" s="1"/>
  <c r="I45" i="13" s="1"/>
  <c r="E45" i="13" a="1"/>
  <c r="E45" i="13" s="1"/>
  <c r="H45" i="13" s="1"/>
  <c r="F44" i="13" a="1"/>
  <c r="F44" i="13" s="1"/>
  <c r="I44" i="13" s="1"/>
  <c r="E44" i="13" a="1"/>
  <c r="E44" i="13" s="1"/>
  <c r="H44" i="13" s="1"/>
  <c r="F43" i="13" a="1"/>
  <c r="F43" i="13" s="1"/>
  <c r="I43" i="13" s="1"/>
  <c r="E43" i="13" a="1"/>
  <c r="E43" i="13" s="1"/>
  <c r="H43" i="13" s="1"/>
  <c r="F42" i="13" a="1"/>
  <c r="F42" i="13" s="1"/>
  <c r="I42" i="13" s="1"/>
  <c r="E42" i="13" a="1"/>
  <c r="E42" i="13" s="1"/>
  <c r="H42" i="13" s="1"/>
  <c r="F41" i="13" a="1"/>
  <c r="F41" i="13" s="1"/>
  <c r="I41" i="13" s="1"/>
  <c r="E41" i="13" a="1"/>
  <c r="E41" i="13" s="1"/>
  <c r="H41" i="13" s="1"/>
  <c r="F40" i="13" a="1"/>
  <c r="F40" i="13" s="1"/>
  <c r="E40" i="13" a="1"/>
  <c r="E40" i="13" s="1"/>
  <c r="H40" i="13" s="1"/>
  <c r="I40" i="13" l="1"/>
  <c r="I51" i="13" s="1"/>
  <c r="F79" i="72"/>
  <c r="E79" i="72"/>
  <c r="D78" i="72"/>
  <c r="F46" i="13"/>
  <c r="I46" i="13" s="1"/>
  <c r="H46" i="13"/>
  <c r="F49" i="13"/>
  <c r="I49" i="13" s="1"/>
  <c r="H49" i="13"/>
  <c r="F47" i="13"/>
  <c r="I47" i="13" s="1"/>
  <c r="H47" i="13"/>
  <c r="D47" i="13" l="1" a="1"/>
  <c r="D47" i="13" s="1"/>
  <c r="E33" i="13" a="1"/>
  <c r="E33" i="13" s="1"/>
  <c r="D33" i="13" a="1"/>
  <c r="D33" i="13" s="1"/>
  <c r="E71" i="72"/>
  <c r="E70" i="72"/>
  <c r="D67" i="72" a="1"/>
  <c r="D67" i="72" s="1"/>
  <c r="E67" i="72" s="1"/>
  <c r="D64" i="72"/>
  <c r="D54" i="72" a="1"/>
  <c r="D50" i="72" a="1"/>
  <c r="D50" i="72" s="1"/>
  <c r="D48" i="72"/>
  <c r="G42" i="72"/>
  <c r="D39" i="72"/>
  <c r="J61" i="78"/>
  <c r="J60" i="78"/>
  <c r="J59" i="78"/>
  <c r="J58" i="78"/>
  <c r="J51" i="78"/>
  <c r="J50" i="78"/>
  <c r="J49" i="78"/>
  <c r="J48" i="78"/>
  <c r="J42" i="78"/>
  <c r="J41" i="78"/>
  <c r="J40" i="78"/>
  <c r="J39" i="78"/>
  <c r="J33" i="78"/>
  <c r="J32" i="78"/>
  <c r="J31" i="78"/>
  <c r="J25" i="78"/>
  <c r="J24" i="78"/>
  <c r="J23" i="78"/>
  <c r="J22" i="78"/>
  <c r="J21" i="78"/>
  <c r="J20" i="78"/>
  <c r="J14" i="78"/>
  <c r="J13" i="78"/>
  <c r="J12" i="78"/>
  <c r="J11" i="78"/>
  <c r="J8" i="78"/>
  <c r="D61" i="78"/>
  <c r="D60" i="78"/>
  <c r="D59" i="78"/>
  <c r="D58" i="78"/>
  <c r="D51" i="78"/>
  <c r="D50" i="78"/>
  <c r="D49" i="78"/>
  <c r="D48" i="78"/>
  <c r="D42" i="78"/>
  <c r="D41" i="78"/>
  <c r="D40" i="78"/>
  <c r="D39" i="78"/>
  <c r="D31" i="78"/>
  <c r="D25" i="78"/>
  <c r="D24" i="78"/>
  <c r="D23" i="78"/>
  <c r="D22" i="78"/>
  <c r="D21" i="78"/>
  <c r="D2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55" i="72" l="1"/>
  <c r="F55" i="72"/>
  <c r="J53" i="78"/>
  <c r="F33" i="13"/>
  <c r="I33" i="13" s="1"/>
  <c r="I34" i="13" s="1"/>
  <c r="H33" i="13"/>
  <c r="H34" i="13" s="1"/>
  <c r="J63" i="78"/>
  <c r="J35" i="78"/>
  <c r="J16" i="78"/>
  <c r="J27" i="78"/>
  <c r="J44" i="78"/>
  <c r="D54" i="72"/>
  <c r="E68" i="72"/>
  <c r="E72" i="72" s="1"/>
  <c r="E69" i="72"/>
  <c r="H48" i="79"/>
  <c r="E22" i="75"/>
  <c r="H51" i="79"/>
  <c r="E19" i="75"/>
  <c r="E20" i="75"/>
  <c r="E21" i="75" s="1"/>
  <c r="H53" i="79"/>
  <c r="H50" i="79"/>
  <c r="H54" i="79"/>
  <c r="H52" i="79"/>
  <c r="H49" i="79"/>
  <c r="E8" i="76" a="1"/>
  <c r="E8" i="76" s="1"/>
  <c r="E10" i="76" a="1"/>
  <c r="E10" i="76" s="1"/>
  <c r="E9" i="76" a="1"/>
  <c r="E9" i="76" s="1"/>
  <c r="E65" i="78" l="1"/>
  <c r="F15" i="13" a="1"/>
  <c r="F15" i="13" s="1"/>
  <c r="I15" i="13" s="1" a="1"/>
  <c r="I15" i="13" s="1"/>
  <c r="E15" i="13" a="1"/>
  <c r="E15" i="13" s="1"/>
  <c r="H15" i="13" s="1" a="1"/>
  <c r="H15" i="13" s="1"/>
  <c r="E17" i="13" a="1"/>
  <c r="E17" i="13" s="1"/>
  <c r="E18" i="13" a="1"/>
  <c r="E18" i="13" s="1"/>
  <c r="H18" i="13" s="1" a="1"/>
  <c r="H18" i="13" s="1"/>
  <c r="F16" i="13" a="1"/>
  <c r="F16" i="13" s="1"/>
  <c r="I16" i="13" s="1" a="1"/>
  <c r="I16" i="13" s="1"/>
  <c r="E16" i="13" a="1"/>
  <c r="E16" i="13" s="1"/>
  <c r="H16" i="13" s="1" a="1"/>
  <c r="H16" i="13" s="1"/>
  <c r="F17" i="13" l="1"/>
  <c r="I17" i="13" s="1" a="1"/>
  <c r="I17" i="13" s="1"/>
  <c r="H17" i="13" a="1"/>
  <c r="H17" i="13" s="1"/>
  <c r="F18" i="13"/>
  <c r="I18" i="13" s="1" a="1"/>
  <c r="I18" i="13" s="1"/>
  <c r="E30" i="72" l="1"/>
  <c r="E25" i="72"/>
  <c r="E27" i="72" l="1" a="1"/>
  <c r="E27" i="72" s="1"/>
  <c r="E22" i="72" a="1"/>
  <c r="E22" i="72" s="1"/>
  <c r="F46" i="80" l="1"/>
  <c r="F55" i="80"/>
  <c r="F53" i="80"/>
  <c r="F54" i="80" s="1"/>
  <c r="F44" i="80"/>
  <c r="F58" i="80"/>
  <c r="F49" i="80"/>
  <c r="F47" i="80"/>
  <c r="F56" i="80"/>
  <c r="F57" i="80" s="1"/>
  <c r="E26" i="13" a="1"/>
  <c r="E26" i="13" s="1"/>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E14" i="13" a="1"/>
  <c r="E14" i="13" s="1"/>
  <c r="H14" i="13" s="1" a="1"/>
  <c r="H14" i="13" s="1"/>
  <c r="E13" i="13" a="1"/>
  <c r="E13" i="13" s="1"/>
  <c r="H13" i="13" s="1" a="1"/>
  <c r="H13" i="13" s="1"/>
  <c r="E12" i="13" a="1"/>
  <c r="E12" i="13" s="1"/>
  <c r="E11" i="13" a="1"/>
  <c r="E11" i="13" s="1"/>
  <c r="H11" i="13" s="1" a="1"/>
  <c r="H11" i="13" s="1"/>
  <c r="E10" i="13" a="1"/>
  <c r="E10" i="13" s="1"/>
  <c r="F10" i="13" s="1"/>
  <c r="I10" i="13" s="1"/>
  <c r="F9" i="13" a="1"/>
  <c r="F9" i="13" s="1"/>
  <c r="I9" i="13" s="1" a="1"/>
  <c r="I9" i="13" s="1"/>
  <c r="E9" i="13" a="1"/>
  <c r="E9" i="13" s="1"/>
  <c r="H9" i="13" s="1" a="1"/>
  <c r="H9" i="13" s="1"/>
  <c r="E13" i="72"/>
  <c r="D4" i="13" s="1"/>
  <c r="E18" i="75"/>
  <c r="A20" i="75"/>
  <c r="A19" i="75"/>
  <c r="A18" i="75"/>
  <c r="A17" i="75"/>
  <c r="A14" i="75"/>
  <c r="A13" i="75"/>
  <c r="A12" i="75"/>
  <c r="A11" i="75"/>
  <c r="A8" i="75"/>
  <c r="A7" i="75"/>
  <c r="A4" i="75"/>
  <c r="A3" i="75"/>
  <c r="E20" i="72"/>
  <c r="F48" i="80" l="1"/>
  <c r="G47" i="80"/>
  <c r="G48" i="80" s="1"/>
  <c r="F45" i="80"/>
  <c r="G44" i="80"/>
  <c r="G45" i="80" s="1"/>
  <c r="F21" i="13"/>
  <c r="I21" i="13" s="1" a="1"/>
  <c r="I21" i="13" s="1"/>
  <c r="H21" i="13" a="1"/>
  <c r="H21" i="13" s="1"/>
  <c r="F23" i="13"/>
  <c r="I23" i="13" s="1" a="1"/>
  <c r="I23" i="13" s="1"/>
  <c r="H23" i="13" a="1"/>
  <c r="H23" i="13" s="1"/>
  <c r="H27" i="13"/>
  <c r="I27" i="13"/>
  <c r="F19" i="13"/>
  <c r="I19" i="13" s="1"/>
  <c r="F25" i="13"/>
  <c r="I25" i="13" s="1"/>
  <c r="F20" i="13"/>
  <c r="I20" i="13" s="1" a="1"/>
  <c r="I20" i="13" s="1"/>
  <c r="H26" i="13"/>
  <c r="F26" i="13"/>
  <c r="I26" i="13" s="1"/>
  <c r="F13" i="13"/>
  <c r="I13" i="13" s="1" a="1"/>
  <c r="I13" i="13" s="1"/>
  <c r="F12" i="13"/>
  <c r="I12" i="13" s="1"/>
  <c r="H12" i="13"/>
  <c r="F14" i="13"/>
  <c r="I14" i="13" s="1" a="1"/>
  <c r="I14" i="13" s="1"/>
  <c r="H10" i="13"/>
  <c r="F22" i="13"/>
  <c r="I22" i="13" s="1"/>
  <c r="F24" i="13"/>
  <c r="I24" i="13" s="1" a="1"/>
  <c r="I24" i="13" s="1"/>
  <c r="F11" i="13"/>
  <c r="I11" i="13" s="1" a="1"/>
  <c r="I11" i="13" s="1"/>
  <c r="E62" i="13" l="1"/>
  <c r="F62" i="13"/>
  <c r="A20" i="13"/>
  <c r="A19" i="13"/>
  <c r="A18" i="13"/>
  <c r="A17" i="13"/>
  <c r="A14" i="13"/>
  <c r="A13" i="13"/>
  <c r="A12" i="13"/>
  <c r="A11" i="13"/>
  <c r="A8" i="13"/>
  <c r="A7" i="13"/>
  <c r="A4" i="13"/>
  <c r="A3" i="13"/>
  <c r="F54" i="72" l="1"/>
  <c r="F63" i="13"/>
  <c r="E63" i="13"/>
  <c r="E54" i="72"/>
  <c r="E78" i="72" l="1"/>
  <c r="E83" i="72" s="1"/>
  <c r="E37" i="80" s="1"/>
  <c r="E59" i="72"/>
  <c r="E36" i="80" s="1"/>
  <c r="F78" i="72"/>
  <c r="F83" i="72" s="1"/>
  <c r="F37" i="80" s="1"/>
  <c r="F59" i="72"/>
  <c r="F36" i="80" s="1"/>
  <c r="H53" i="80" l="1"/>
  <c r="H44" i="80"/>
  <c r="H47" i="80"/>
  <c r="H56" i="80"/>
  <c r="H45" i="80"/>
  <c r="H57" i="80"/>
  <c r="H54" i="80"/>
  <c r="H48" i="80"/>
  <c r="I53" i="80"/>
  <c r="I56" i="80"/>
  <c r="I44" i="80"/>
  <c r="I47"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<sst xmlns="http://schemas.openxmlformats.org/spreadsheetml/2006/main" count="639" uniqueCount="335">
  <si>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</si>
  <si>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</si>
  <si>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</si>
  <si>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</si>
  <si>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</si>
  <si>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</si>
  <si>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</si>
  <si>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</si>
  <si>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</si>
  <si>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</si>
  <si>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</si>
  <si>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</si>
  <si>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</si>
  <si>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</si>
  <si>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</si>
  <si>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</si>
  <si>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</si>
  <si>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</si>
  <si>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</si>
  <si>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</si>
  <si>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</si>
  <si>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</si>
  <si>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</si>
  <si>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</si>
  <si>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</si>
  <si>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</si>
  <si>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</si>
  <si>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</si>
  <si>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</si>
  <si>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</si>
  <si>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</si>
  <si>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</si>
  <si>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</si>
  <si>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</si>
  <si>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</si>
  <si>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</si>
  <si>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</si>
  <si>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</si>
  <si>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</si>
  <si>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</si>
  <si>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</si>
  <si>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</si>
  <si>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</si>
  <si>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</si>
  <si>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</si>
  <si>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</si>
  <si>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</si>
  <si>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</si>
  <si>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</si>
  <si>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</si>
  <si>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</si>
  <si>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</si>
  <si>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</si>
  <si>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</si>
  <si>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</si>
  <si>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</si>
  <si>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</si>
  <si>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</si>
  <si>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</si>
  <si>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</si>
  <si>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</si>
  <si>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</si>
  <si>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</si>
  <si>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</si>
  <si>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</si>
  <si>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</si>
  <si>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</si>
  <si>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</si>
  <si>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</si>
  <si>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</si>
  <si>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</si>
  <si>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</si>
  <si>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</si>
  <si>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</si>
  <si>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</si>
  <si>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</si>
  <si>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</si>
  <si>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</si>
  <si>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</si>
  <si>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</si>
  <si>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</si>
  <si>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</si>
  <si>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</si>
  <si>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</si>
  <si>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</si>
  <si>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</si>
  <si>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</si>
  <si>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</si>
  <si>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</si>
  <si>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</si>
  <si>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</si>
  <si>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</si>
  <si>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</si>
  <si>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</si>
  <si>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</si>
  <si>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</si>
  <si>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</si>
  <si>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</si>
  <si>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</si>
  <si>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</si>
  <si>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</si>
  <si>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</si>
  <si>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</si>
  <si>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</si>
  <si>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</si>
  <si>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</si>
  <si>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</si>
  <si>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</si>
  <si>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</si>
  <si>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</si>
  <si>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</si>
  <si>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</si>
  <si>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</si>
  <si>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</si>
  <si>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</si>
  <si>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</si>
  <si>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</si>
  <si>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</si>
  <si>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</si>
  <si>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</si>
  <si>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</si>
  <si>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</si>
  <si>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</si>
  <si>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</si>
  <si>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</si>
  <si>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</si>
  <si>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</si>
  <si>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</si>
  <si>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</si>
  <si>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</si>
  <si>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</si>
  <si>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</si>
  <si>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</si>
  <si>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</si>
  <si>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</si>
  <si>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</si>
  <si>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</si>
  <si>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</si>
  <si>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</si>
  <si>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</si>
  <si>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</si>
  <si>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</si>
  <si>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</si>
  <si>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</si>
  <si>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</si>
  <si>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</si>
  <si>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</si>
  <si>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</si>
  <si>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</si>
  <si>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</si>
  <si>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</si>
  <si>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</si>
  <si>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</si>
  <si>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</si>
  <si>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</si>
  <si>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</si>
  <si>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</si>
  <si>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</si>
  <si>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</si>
  <si>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</si>
  <si>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</si>
  <si>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</si>
  <si>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</si>
  <si>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</si>
  <si>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</si>
  <si>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</si>
  <si>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</si>
  <si>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</si>
  <si>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</si>
  <si>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</si>
  <si>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</si>
  <si>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</si>
  <si>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</si>
  <si>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</si>
  <si>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</si>
  <si>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</si>
  <si>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</si>
  <si>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</si>
  <si>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</si>
  <si>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</si>
  <si>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</si>
  <si>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</si>
  <si>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</si>
  <si>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</si>
  <si>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</si>
  <si>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</si>
  <si>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</si>
  <si>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</si>
  <si>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</si>
  <si>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</si>
  <si>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</si>
  <si>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</si>
  <si>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</si>
  <si>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</si>
  <si>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</si>
  <si>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</si>
  <si>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</si>
  <si>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</si>
  <si>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</si>
  <si>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</si>
  <si>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</si>
  <si>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</si>
  <si>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</si>
  <si>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</si>
  <si>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</si>
  <si>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</si>
  <si>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</si>
  <si>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</si>
  <si>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</si>
  <si>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</si>
  <si>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</si>
  <si>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</si>
  <si>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</si>
  <si>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</si>
  <si>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</si>
  <si>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</si>
  <si>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</si>
  <si>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</si>
  <si>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</si>
  <si>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</si>
  <si>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</si>
  <si>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</si>
  <si>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</si>
  <si>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</si>
  <si>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</si>
  <si>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</si>
  <si>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</si>
  <si>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</si>
  <si>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</si>
  <si>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</si>
  <si>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</si>
  <si>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</si>
  <si>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</si>
  <si>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</si>
  <si>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</si>
  <si>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</si>
  <si>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</si>
  <si>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</si>
  <si>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</si>
  <si>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</si>
  <si>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</si>
  <si>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</si>
  <si>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</si>
  <si>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</si>
  <si>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</si>
  <si>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</si>
  <si>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</si>
  <si>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</si>
  <si>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</si>
  <si>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</si>
  <si>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</si>
  <si>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</si>
  <si>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</si>
  <si>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</si>
  <si>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</si>
  <si>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</si>
  <si>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</si>
  <si>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</si>
  <si>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</si>
  <si>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</si>
  <si>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</si>
  <si>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</si>
  <si>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</si>
  <si>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</si>
  <si>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</si>
  <si>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</si>
  <si>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</si>
  <si>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</si>
  <si>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</si>
  <si>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</si>
  <si>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</si>
  <si>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</si>
  <si>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</si>
  <si>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</si>
  <si>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</si>
  <si>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</si>
  <si>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</si>
  <si>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</si>
  <si>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</si>
  <si>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</si>
  <si>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</si>
  <si>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</si>
  <si>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</si>
  <si>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</si>
  <si>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</si>
  <si>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</si>
  <si>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</si>
  <si>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</si>
  <si>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</si>
  <si>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</si>
  <si>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</si>
  <si>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</si>
  <si>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</si>
  <si>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</si>
  <si>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</si>
  <si>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</si>
  <si>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</si>
  <si>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</si>
  <si>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Area</t>
  </si>
  <si>
    <t>If multiple paddocks were managed in the same way at the same time, you can enter information for them all together.</t>
  </si>
  <si>
    <t>Yield</t>
  </si>
  <si>
    <t>Residue management</t>
  </si>
  <si>
    <t>Baled residue</t>
  </si>
  <si>
    <t>Percentage of residue that was baled</t>
  </si>
  <si>
    <t>Average weight per bale</t>
  </si>
  <si>
    <t>Number of bales</t>
  </si>
  <si>
    <t>Total residue baled</t>
  </si>
  <si>
    <t>Burned residue</t>
  </si>
  <si>
    <t>Percentage of residue that was burned</t>
  </si>
  <si>
    <t>Total residue burned</t>
  </si>
  <si>
    <t>Residue retained on paddocks</t>
  </si>
  <si>
    <t>Cotton</t>
  </si>
  <si>
    <t>Sprinkler irrigation</t>
  </si>
  <si>
    <r>
      <rPr>
        <sz val="10"/>
        <color theme="1" tint="0.34998626667073579"/>
        <rFont val="Arial"/>
        <family val="1"/>
      </rPr>
      <t>←</t>
    </r>
    <r>
      <rPr>
        <i/>
        <sz val="10"/>
        <color theme="1" tint="0.34998626667073579"/>
        <rFont val="Arial"/>
        <family val="1"/>
      </rPr>
      <t xml:space="preserve"> Please select</t>
    </r>
  </si>
  <si>
    <t>Turnout rate</t>
  </si>
  <si>
    <t>Average weight per round module</t>
  </si>
  <si>
    <t>kg / round module</t>
  </si>
  <si>
    <t>round modules</t>
  </si>
  <si>
    <t>Average amount of cottonseed produced per round module</t>
  </si>
  <si>
    <t>lint bales / round module</t>
  </si>
  <si>
    <t>Average weight per lint bale</t>
  </si>
  <si>
    <t>kg / lint bale</t>
  </si>
  <si>
    <t>Total number of round modules</t>
  </si>
  <si>
    <t>round modules / ha</t>
  </si>
  <si>
    <t>Round modules produced per hectare</t>
  </si>
  <si>
    <t>Number of lint bales per round module</t>
  </si>
  <si>
    <t>Residue:crop ratio</t>
  </si>
  <si>
    <t>Tonnes</t>
  </si>
  <si>
    <t>Percent</t>
  </si>
  <si>
    <t>Kilograms</t>
  </si>
  <si>
    <t>Bales</t>
  </si>
  <si>
    <t>hectares</t>
  </si>
  <si>
    <t>Total lint yield</t>
  </si>
  <si>
    <t>Total unprocessed cotton yield (excluding trash)</t>
  </si>
  <si>
    <t>Total cottonseed produced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</si>
</sst>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s>
  <fonts count="5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3">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4" fontId="2" fillId="0" borderId="2" xfId="17">
      <alignment horizontal="center" vertical="center"/>
    </xf>
    <xf numFmtId="3" fontId="23" fillId="4" borderId="2" xfId="40">
      <alignment horizontal="center" vertical="center"/>
    </xf>
    <xf numFmtId="10" fontId="2" fillId="0" borderId="2" xfId="16" applyNumberFormat="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6">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#NAME?</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6_AgriculturalResidue_WIP_v04.xlsx" TargetMode="External"/><Relationship Id="rId2" Type="http://schemas.openxmlformats.org/officeDocument/2006/relationships/externalLinkPath" Target="file:///C:\htdocs\zneagcrc\GAF-VEERG-Functions\Excel\6_AgriculturalResidue_WIP_v04.xlsx" TargetMode="External"/><Relationship Id="rId1" Type="http://schemas.openxmlformats.org/officeDocument/2006/relationships/externalLinkPath" Target="/htdocs/zneagcrc/GAF-VEERG-Functions/Excel/6_AgriculturalResidue_WIP_v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8">
          <cell r="D8" t="str">
            <v>Cash grain crop</v>
          </cell>
          <cell r="E8" t="str">
            <v>grain</v>
          </cell>
          <cell r="F8" t="str">
            <v>yield</v>
          </cell>
          <cell r="G8" t="str">
            <v>harvest</v>
          </cell>
        </row>
        <row r="9">
          <cell r="D9" t="str">
            <v>Cash crop for hay/silage</v>
          </cell>
          <cell r="E9" t="str">
            <v>above ground biomass</v>
          </cell>
          <cell r="F9" t="str">
            <v>yield</v>
          </cell>
          <cell r="G9" t="str">
            <v>harvest</v>
          </cell>
        </row>
        <row r="10">
          <cell r="D10" t="str">
            <v>Cover crop</v>
          </cell>
          <cell r="E10" t="str">
            <v>above ground biomass</v>
          </cell>
          <cell r="F10" t="str">
            <v>mass</v>
          </cell>
          <cell r="G10" t="str">
            <v>end of crop cycle</v>
          </cell>
        </row>
      </sheetData>
      <sheetData sheetId="13"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4" totalsRowShown="0" headerRowCellStyle="Input table column header">
  <autoFilter ref="D7:J14"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3"/>
    <tableColumn id="6" xr3:uid="{1219F6AC-7C79-4EDD-8C55-F7A78277AE3F}" name="Evidence files" dataDxfId="52"/>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9:J25" totalsRowShown="0" headerRowCellStyle="Input table column header">
  <autoFilter ref="D19:J25"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51"/>
    <tableColumn id="6" xr3:uid="{73F97399-8A3B-4EFB-9481-CBD7CB1C44EB}" name="Evidence files" dataDxfId="50"/>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30:J33" totalsRowShown="0" headerRowCellStyle="Input table column header">
  <autoFilter ref="D30: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9"/>
    <tableColumn id="6" xr3:uid="{865FA280-4A36-4101-BD09-20356916B4D5}" name="Evidence files" dataDxfId="48"/>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47"/>
    <tableColumn id="6" xr3:uid="{410620E5-5948-4B74-B5C6-B017CD8C09FE}" name="Evidence files" dataDxfId="46"/>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5"/>
    <tableColumn id="6" xr3:uid="{690D112F-6792-478E-99EE-B77B520B2164}" name="Evidence files" dataDxfId="44"/>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3"/>
    <tableColumn id="6" xr3:uid="{16D79CDB-80AA-4F28-B5E0-282205F97C41}" name="Evidence files" dataDxfId="42"/>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5" dataCellStyle="Content normal"/>
    <tableColumn id="2" xr3:uid="{A467D3D2-FAE8-4B4F-AD2F-273B449008EF}" name="Description" dataDxfId="4"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3"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2"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 x14ac:dyDescent="0.25" customHeight="1"/>
  <sheetData>
    <row r="1" spans="1:1" x14ac:dyDescent="0.25" ht="30" customHeight="1">
      <c r="A1" t="s">
        <v>0</v>
      </c>
    </row>
    <row r="3" spans="1:1" x14ac:dyDescent="0.25" ht="20" customHeight="1">
      <c r="A3" s="82" t="str">
        <f>HYPERLINK("#'Home'!A1", "Home")</f>
        <v>Home</v>
      </c>
    </row>
    <row r="6" spans="1:1" x14ac:dyDescent="0.25" ht="20" customHeight="1">
      <c r="A6" s="83" t="s">
        <v>2</v>
      </c>
    </row>
    <row r="7" spans="1:1" ht="20" x14ac:dyDescent="0.25" customHeight="1">
      <c r="A7" s="5" t="str">
        <f>HYPERLINK("#'Constants - Common'!A1", "Constants - Common")</f>
        <v>Constants - Common</v>
      </c>
    </row>
    <row r="8" spans="1:1" ht="20" x14ac:dyDescent="0.25" customHeight="1">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31" zoomScaleNormal="100" workbookViewId="0">
      <selection activeCell="E52" sqref="E52"/>
    </sheetView>
  </sheetViews>
  <sheetFormatPr defaultRowHeight="20" x14ac:dyDescent="0.25" customHeight="1"/>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3" t="s">
        <v>296</v>
      </c>
      <c r="D1" s="93"/>
      <c r="E1" s="93"/>
      <c r="F1" s="93"/>
      <c r="G1" s="93"/>
      <c r="H1" s="93"/>
      <c r="I1" s="93"/>
      <c r="J1" s="93"/>
      <c r="K1" s="93"/>
    </row>
    <row r="2" spans="1:11" ht="20" customHeight="1" x14ac:dyDescent="0.25">
      <c r="A2" s="3"/>
      <c r="C2" s="3"/>
      <c r="D2" s="3"/>
      <c r="E2" s="3"/>
      <c r="F2" s="3"/>
      <c r="G2" s="3"/>
      <c r="H2" s="3"/>
      <c r="I2" s="3"/>
      <c r="J2" s="3"/>
      <c r="K2" s="3"/>
    </row>
    <row r="3" spans="1:11" ht="20" customHeight="1" x14ac:dyDescent="0.25">
      <c r="A3" s="5" t="str">
        <f>HYPERLINK("#'Home'!A1", "Home")</f>
        <v>Home</v>
      </c>
      <c r="C3" s="94"/>
      <c r="D3" s="94"/>
      <c r="E3" s="94"/>
      <c r="F3" s="94"/>
      <c r="G3" s="94"/>
      <c r="H3" s="94"/>
      <c r="I3" s="94"/>
      <c r="J3" s="94"/>
      <c r="K3" s="94"/>
    </row>
    <row r="4" spans="1:11" ht="20"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4"/>
    </row>
    <row r="6" spans="1:11" ht="20" customHeight="1" x14ac:dyDescent="0.25">
      <c r="A6" s="8" t="s">
        <v>1</v>
      </c>
      <c r="D6" s="80" t="s">
        <v>272</v>
      </c>
    </row>
    <row r="7" spans="1:11" ht="20" customHeight="1" x14ac:dyDescent="0.25">
      <c r="A7" s="5" t="str">
        <f>HYPERLINK("#'Input - Site'!A1", "Site")</f>
        <v>Site</v>
      </c>
    </row>
    <row r="8" spans="1:11" ht="20" customHeight="1" x14ac:dyDescent="0.25">
      <c r="A8" s="5" t="str">
        <f>HYPERLINK("#'Input - Pasture Beef'!A1", "Pasture Beef")</f>
        <v>Pasture Beef</v>
      </c>
      <c r="D8" s="12" t="s">
        <v>4</v>
      </c>
      <c r="E8" s="12" t="s">
        <v>9</v>
      </c>
      <c r="F8" s="12" t="s">
        <v>10</v>
      </c>
      <c r="G8" s="12" t="s">
        <v>6</v>
      </c>
      <c r="H8" s="12" t="s">
        <v>11</v>
      </c>
      <c r="I8" s="12" t="s">
        <v>12</v>
      </c>
      <c r="J8" s="12"/>
    </row>
    <row r="9" spans="1:11" ht="20" customHeight="1" x14ac:dyDescent="0.25">
      <c r="A9" s="5"/>
      <c r="D9" s="1" t="s">
        <v>134</v>
      </c>
      <c r="E9" s="1" t="e" cm="1">
        <f t="array" ref="E9">VEERG_5_1_1_1__1_InorganicFertiliserApplicationN2OEmissions_Result_Method1</f>
        <v>#NAME?</v>
      </c>
      <c r="F9" s="1" t="e" cm="1">
        <f t="array" ref="F9">VEERG_5_1_1_1__1_InorganicFertiliserApplicationN2OEmissions_Result_Method2</f>
        <v>#NAME?</v>
      </c>
      <c r="G9" s="10" t="s">
        <v>13</v>
      </c>
      <c r="H9" s="1" t="e" cm="1">
        <f t="array" ref="H9">Common_Equations.Common_ConvertN2OToCO2e(E9,_xlfn.XLOOKUP("N2O", Table_GWPData[Gas],Table_GWPData[CO2-e factor]))</f>
        <v>#NAME?</v>
      </c>
      <c r="I9" s="1" t="e" cm="1">
        <f t="array" ref="I9">Common_Equations.Common_ConvertN2OToCO2e(F9,_xlfn.XLOOKUP("N2O", Table_GWPData[Gas],Table_GWPData[CO2-e factor]))</f>
        <v>#NAME?</v>
      </c>
      <c r="J9" s="10" t="s">
        <v>8</v>
      </c>
    </row>
    <row r="10" spans="1:11" ht="20" customHeight="1" x14ac:dyDescent="0.25">
      <c r="A10" s="7" t="s">
        <v>3</v>
      </c>
      <c r="D10" s="1" t="s">
        <v>135</v>
      </c>
      <c r="E10" s="1" t="e" cm="1">
        <f t="array" ref="E10">VEERG_5_1_1_3__1_InorganicFertiliserApplicationCO2Emissions_Result_Method1</f>
        <v>#NAME?</v>
      </c>
      <c r="F10" s="1" t="e">
        <f>E10</f>
        <v>#NAME?</v>
      </c>
      <c r="G10" s="10" t="s">
        <v>128</v>
      </c>
      <c r="H10" s="1" t="e">
        <f>E10</f>
        <v>#NAME?</v>
      </c>
      <c r="I10" s="1" t="e">
        <f>F10</f>
        <v>#NAME?</v>
      </c>
      <c r="J10" s="10" t="s">
        <v>8</v>
      </c>
    </row>
    <row r="11" spans="1:11" ht="20" customHeight="1" x14ac:dyDescent="0.25">
      <c r="A11" s="5" t="str">
        <f>HYPERLINK("#'4.2.1.1-2 Methane'!A1", "4.2.1.1-2 Methane")</f>
        <v>4.2.1.1-2 Methane</v>
      </c>
      <c r="D11" s="1" t="s">
        <v>136</v>
      </c>
      <c r="E11" s="1" t="e" cm="1">
        <f t="array" ref="E11">VEERG_5_2_1_1__2_MassOfNitrogenInOrganicFertiliser_Result_Method1</f>
        <v>#NAME?</v>
      </c>
      <c r="F11" s="1" t="e">
        <f>E11</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 customHeight="1" x14ac:dyDescent="0.25">
      <c r="A12" s="5" t="str">
        <f>HYPERLINK("#'4.2.1.3-4 Soil direct N2O'!A1", "4.2.1.3-4 Soil direct N2O")</f>
        <v>4.2.1.3-4 Soil direct N2O</v>
      </c>
      <c r="D12" s="1" t="s">
        <v>137</v>
      </c>
      <c r="E12" s="1" t="e" cm="1">
        <f t="array" ref="E12">VEERG_5_3_1_1__1_LimeApplicationCO2Emissions_Result_Method1</f>
        <v>#NAME?</v>
      </c>
      <c r="F12" s="1" t="e">
        <f>E12</f>
        <v>#NAME?</v>
      </c>
      <c r="G12" s="10" t="s">
        <v>128</v>
      </c>
      <c r="H12" s="1" t="e">
        <f>E12</f>
        <v>#NAME?</v>
      </c>
      <c r="I12" s="1" t="e">
        <f>F12</f>
        <v>#NAME?</v>
      </c>
      <c r="J12" s="10" t="s">
        <v>8</v>
      </c>
    </row>
    <row r="13" spans="1:11" ht="20" customHeight="1" x14ac:dyDescent="0.25">
      <c r="A13" s="5" t="str">
        <f>HYPERLINK("#'4.2.1.5-6 Soil Atmos Dep'!A1", "4.2.1.5-6 Soil atm. deposition")</f>
        <v>4.2.1.5-6 Soil atm. deposition</v>
      </c>
      <c r="D13" s="1" t="s">
        <v>138</v>
      </c>
      <c r="E13" s="1" t="e" cm="1">
        <f t="array" ref="E13">VEERG_5_4_1_3__1_OrganicFertiliserAtmosphericDepositionN2OEmissions_Result_Method1</f>
        <v>#NAME?</v>
      </c>
      <c r="F13" s="1" t="e">
        <f>E13</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 customHeight="1" x14ac:dyDescent="0.25">
      <c r="A14" s="5" t="str">
        <f>HYPERLINK("#'4.2.1.7-8 Soil leach runoff'!A1", "4.2.1.7-8 Soil leach &amp; runoff")</f>
        <v>4.2.1.7-8 Soil leach &amp; runoff</v>
      </c>
      <c r="D14" s="1" t="s">
        <v>139</v>
      </c>
      <c r="E14" s="1" t="e" cm="1">
        <f t="array" ref="E14">VEERG_5_5_1_1__1_FertiliserLeachingAndRunoffN2OEmissions_result_Method1</f>
        <v>#NAME?</v>
      </c>
      <c r="F14" s="1" t="e">
        <f>E14</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8</v>
      </c>
    </row>
    <row r="15" spans="1:11" ht="20" customHeight="1" x14ac:dyDescent="0.25">
      <c r="A15" s="5"/>
      <c r="D15" s="1" t="s">
        <v>174</v>
      </c>
      <c r="E15" s="1" t="e" cm="1">
        <f t="array" ref="E15">VEERG_6_1_1_1__1__NitrousOxideEmissionsFromCropResidues_Result_Method1</f>
        <v>#NAME?</v>
      </c>
      <c r="F15" s="1" t="e" cm="1">
        <f t="array" ref="F15">VEERG_6_1_1_1__1__NitrousOxideEmissionsFromCropResidues_Result_Method2</f>
        <v>#NAME?</v>
      </c>
      <c r="G15" s="10" t="s">
        <v>13</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8</v>
      </c>
    </row>
    <row r="16" spans="1:11" ht="20" customHeight="1" x14ac:dyDescent="0.25">
      <c r="A16" s="6" t="s">
        <v>2</v>
      </c>
      <c r="D16" s="1" t="s">
        <v>173</v>
      </c>
      <c r="E16" s="1" t="e" cm="1">
        <f t="array" ref="E16">VEERG_6_3_1_1__1__LeachingAndRunoffEmissionsCropAndPastureResidue_CropOnly_Result_Method1</f>
        <v>#NAME?</v>
      </c>
      <c r="F16" s="1" t="e" cm="1">
        <f t="array" ref="F16">VEERG_6_3_1_1__1__LeachingAndRunoffEmissionsCropAndPastureResidue_CropOnly_Result_Method2</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 customHeight="1" x14ac:dyDescent="0.25">
      <c r="A17" s="5" t="str">
        <f>HYPERLINK("#'Constants - Pasture Beef'!A1", "Constants - Pasture Beef")</f>
        <v>Constants - Pasture Beef</v>
      </c>
      <c r="D17" s="1" t="s">
        <v>176</v>
      </c>
      <c r="E17" s="1" t="e" cm="1">
        <f t="array" ref="E17">VEERG_6_4_1_1__2__NitrousOxideEmissionsFromBurningOfCropResidues_Result_Method1</f>
        <v>#NAME?</v>
      </c>
      <c r="F17" s="1" t="e">
        <f t="shared" ref="F17:F22" si="0">E17</f>
        <v>#NAME?</v>
      </c>
      <c r="G17" s="10" t="s">
        <v>13</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8</v>
      </c>
    </row>
    <row r="18" spans="1:10" ht="20" customHeight="1" x14ac:dyDescent="0.25">
      <c r="A18" s="5" t="str">
        <f>HYPERLINK("#'Constants - Livestock'!A1", "Constants - Livestock")</f>
        <v>Constants - Livestock</v>
      </c>
      <c r="D18" s="1" t="s">
        <v>175</v>
      </c>
      <c r="E18" s="1" t="e" cm="1">
        <f t="array" ref="E18">VEERG_6_4_1_1__1__MethaneEmissionsFromBurningOfCropResidues_Result_Method1</f>
        <v>#NAME?</v>
      </c>
      <c r="F18" s="1" t="e">
        <f t="shared" si="0"/>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 customHeight="1" x14ac:dyDescent="0.25">
      <c r="A19" s="5" t="str">
        <f>HYPERLINK("#'Constants - Common'!A1", "Constants - Common")</f>
        <v>Constants - Common</v>
      </c>
      <c r="D19" s="1" t="s">
        <v>140</v>
      </c>
      <c r="E19" s="1" t="e" cm="1">
        <f t="array" ref="E19">VEERG_8_1_1_1__1_FuelCombustionTransport_Result_CO2</f>
        <v>#NAME?</v>
      </c>
      <c r="F19" s="1" t="e">
        <f t="shared" si="0"/>
        <v>#NAME?</v>
      </c>
      <c r="G19" s="10" t="s">
        <v>128</v>
      </c>
      <c r="H19" s="1" t="e">
        <f>E19</f>
        <v>#NAME?</v>
      </c>
      <c r="I19" s="1" t="e">
        <f>F19</f>
        <v>#NAME?</v>
      </c>
      <c r="J19" s="10" t="s">
        <v>8</v>
      </c>
    </row>
    <row r="20" spans="1:10" ht="20" customHeight="1" x14ac:dyDescent="0.25">
      <c r="A20" s="5" t="str">
        <f>HYPERLINK("#'Acknowledgements'!A1", "Acknowledgements")</f>
        <v>Acknowledgements</v>
      </c>
      <c r="D20" s="1" t="s">
        <v>142</v>
      </c>
      <c r="E20" s="1" t="e" cm="1">
        <f t="array" ref="E20">VEERG_8_1_1_1__1_FuelCombustionTransport_Result_CH4</f>
        <v>#NAME?</v>
      </c>
      <c r="F20" s="1" t="e">
        <f t="shared" si="0"/>
        <v>#NAME?</v>
      </c>
      <c r="G20" s="10" t="s">
        <v>7</v>
      </c>
      <c r="H20" s="1" t="e" cm="1">
        <f t="array" ref="H20">Common_Equations.Common_ConvertCH4ToCO2e(E20,_xlfn.XLOOKUP("CH4", Table_GWPData[Gas],Table_GWPData[CO2-e factor]))</f>
        <v>#NAME?</v>
      </c>
      <c r="I20" s="1" t="e" cm="1">
        <f t="array" ref="I20">Common_Equations.Common_ConvertCH4ToCO2e(F20,_xlfn.XLOOKUP("CH4", Table_GWPData[Gas],Table_GWPData[CO2-e factor]))</f>
        <v>#NAME?</v>
      </c>
      <c r="J20" s="10" t="s">
        <v>8</v>
      </c>
    </row>
    <row r="21" spans="1:10" ht="20" customHeight="1" x14ac:dyDescent="0.25">
      <c r="D21" s="1" t="s">
        <v>141</v>
      </c>
      <c r="E21" s="1" t="e" cm="1">
        <f t="array" ref="E21">VEERG_8_1_1_1__1_FuelCombustionTransport_Result_N2O</f>
        <v>#NAME?</v>
      </c>
      <c r="F21" s="1" t="e">
        <f t="shared" si="0"/>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8</v>
      </c>
    </row>
    <row r="22" spans="1:10" ht="20" customHeight="1" x14ac:dyDescent="0.25">
      <c r="A22" s="5"/>
      <c r="D22" s="1" t="s">
        <v>143</v>
      </c>
      <c r="E22" s="1" t="e" cm="1">
        <f t="array" ref="E22">VEERG_8_2_1_1__1_FuelCombustionStationary_Result_CO2</f>
        <v>#NAME?</v>
      </c>
      <c r="F22" s="1" t="e">
        <f t="shared" si="0"/>
        <v>#NAME?</v>
      </c>
      <c r="G22" s="10" t="s">
        <v>128</v>
      </c>
      <c r="H22" s="1" t="e">
        <f>E22</f>
        <v>#NAME?</v>
      </c>
      <c r="I22" s="1" t="e">
        <f>F22</f>
        <v>#NAME?</v>
      </c>
      <c r="J22" s="10" t="s">
        <v>8</v>
      </c>
    </row>
    <row r="23" spans="1:10" ht="20" customHeight="1" x14ac:dyDescent="0.25">
      <c r="A23" s="5"/>
      <c r="D23" s="1" t="s">
        <v>144</v>
      </c>
      <c r="E23" s="1" t="e" cm="1">
        <f t="array" ref="E23">VEERG_8_2_1_1__1_FuelCombustionStationary_Result_CH4</f>
        <v>#NAME?</v>
      </c>
      <c r="F23" s="1" t="e">
        <f t="shared" ref="F23:F26" si="1">E23</f>
        <v>#NAME?</v>
      </c>
      <c r="G23" s="10" t="s">
        <v>7</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8</v>
      </c>
    </row>
    <row r="24" spans="1:10" ht="20" customHeight="1" x14ac:dyDescent="0.25">
      <c r="A24" s="5"/>
      <c r="D24" s="1" t="s">
        <v>145</v>
      </c>
      <c r="E24" s="1" t="e" cm="1">
        <f t="array" ref="E24">VEERG_8_2_1_1__1_FuelCombustionStationary_Result_N2O</f>
        <v>#NAME?</v>
      </c>
      <c r="F24" s="1" t="e">
        <f t="shared" si="1"/>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8</v>
      </c>
    </row>
    <row r="25" spans="1:10" ht="20" customHeight="1" x14ac:dyDescent="0.25">
      <c r="D25" s="1" t="s">
        <v>146</v>
      </c>
      <c r="E25" s="1" t="e" cm="1">
        <f t="array" ref="E25">VEERG_14_1_1__1_LocationBasedScopeElectricityEmissions_Result_Method1</f>
        <v>#NAME?</v>
      </c>
      <c r="F25" s="1" t="e">
        <f t="shared" si="1"/>
        <v>#NAME?</v>
      </c>
      <c r="G25" s="10" t="s">
        <v>8</v>
      </c>
      <c r="H25" s="1" t="e">
        <f>E25</f>
        <v>#NAME?</v>
      </c>
      <c r="I25" s="1" t="e">
        <f>F25</f>
        <v>#NAME?</v>
      </c>
      <c r="J25" s="10" t="s">
        <v>8</v>
      </c>
    </row>
    <row r="26" spans="1:10" ht="20" customHeight="1" x14ac:dyDescent="0.25">
      <c r="D26" s="1" t="s">
        <v>147</v>
      </c>
      <c r="E26" s="1" t="e" cm="1">
        <f t="array" ref="E26">VEERG_14_1_2__1_MarketBasedScopeElectricityEmissionsVariation_Result_Method1</f>
        <v>#NAME?</v>
      </c>
      <c r="F26" s="1" t="e">
        <f t="shared" si="1"/>
        <v>#NAME?</v>
      </c>
      <c r="G26" s="10" t="s">
        <v>8</v>
      </c>
      <c r="H26" s="1" t="e">
        <f>E26</f>
        <v>#NAME?</v>
      </c>
      <c r="I26" s="1" t="e">
        <f>F26</f>
        <v>#NAME?</v>
      </c>
      <c r="J26" s="10" t="s">
        <v>8</v>
      </c>
    </row>
    <row r="27" spans="1:10" ht="20" customHeight="1" x14ac:dyDescent="0.25">
      <c r="D27" s="88" t="s">
        <v>5</v>
      </c>
      <c r="E27" s="89"/>
      <c r="F27" s="89"/>
      <c r="G27" s="89"/>
      <c r="H27" s="88" t="e">
        <f>SUM(H9:H26)</f>
        <v>#NAME?</v>
      </c>
      <c r="I27" s="88" t="e">
        <f>SUM(I9:I26)</f>
        <v>#NAME?</v>
      </c>
      <c r="J27" s="98" t="s">
        <v>8</v>
      </c>
    </row>
    <row r="28" spans="1:10" ht="20" customHeight="1" x14ac:dyDescent="0.25"/>
    <row r="29" spans="1:10" ht="20" customHeight="1" x14ac:dyDescent="0.25"/>
    <row r="30" spans="1:10" ht="20" customHeight="1" x14ac:dyDescent="0.25">
      <c r="D30" s="80" t="s">
        <v>273</v>
      </c>
    </row>
    <row r="31" spans="1:10" ht="20" customHeight="1" x14ac:dyDescent="0.25"/>
    <row r="32" spans="1:10" ht="20" customHeight="1" x14ac:dyDescent="0.25">
      <c r="D32" s="12" t="s">
        <v>274</v>
      </c>
      <c r="E32" s="12" t="s">
        <v>9</v>
      </c>
      <c r="F32" s="12" t="s">
        <v>10</v>
      </c>
      <c r="G32" s="12" t="s">
        <v>6</v>
      </c>
      <c r="H32" s="12" t="s">
        <v>11</v>
      </c>
      <c r="I32" s="12" t="s">
        <v>12</v>
      </c>
      <c r="J32" s="12"/>
    </row>
    <row r="33" spans="4:10" ht="20" customHeight="1" x14ac:dyDescent="0.25">
      <c r="D33" s="1" t="e" cm="1">
        <f t="array" ref="D33">"14.1.1-2 Purchased electricity " &amp; IF(X_Cell_Electricity_CalculationMethod="Location-based (simpler)", "(Location-based)", "(Market-based)")</f>
        <v>#NAME?</v>
      </c>
      <c r="E33" s="1" t="e" cm="1">
        <f t="array" ref="E33">IF(X_Cell_Electricity_CalculationMethod="Location-based (simpler)", VEERG_14_1_1__1_LocationBasedScopeElectricityEmissions_Result_Method1, VEERG_14_1_2__1_MarketBasedScopeElectricityEmissionsVariation_Result_Method1)</f>
        <v>#NAME?</v>
      </c>
      <c r="F33" s="1" t="e">
        <f>E33</f>
        <v>#NAME?</v>
      </c>
      <c r="G33" s="10" t="s">
        <v>8</v>
      </c>
      <c r="H33" s="1" t="e">
        <f>E33</f>
        <v>#NAME?</v>
      </c>
      <c r="I33" s="1" t="e">
        <f>F33</f>
        <v>#NAME?</v>
      </c>
      <c r="J33" s="10" t="s">
        <v>8</v>
      </c>
    </row>
    <row r="34" spans="4:10" ht="20" customHeight="1" x14ac:dyDescent="0.25">
      <c r="D34" s="88" t="s">
        <v>275</v>
      </c>
      <c r="E34" s="89"/>
      <c r="F34" s="89"/>
      <c r="G34" s="89"/>
      <c r="H34" s="88" t="e">
        <f>SUM(H33:H33)</f>
        <v>#NAME?</v>
      </c>
      <c r="I34" s="88" t="e">
        <f>SUM(I33:I33)</f>
        <v>#NAME?</v>
      </c>
      <c r="J34" s="98" t="s">
        <v>8</v>
      </c>
    </row>
    <row r="35" spans="4:10" ht="20" customHeight="1" x14ac:dyDescent="0.25"/>
    <row r="36" spans="4:10" ht="20" customHeight="1" x14ac:dyDescent="0.25"/>
    <row r="37" spans="4:10" ht="20" customHeight="1" x14ac:dyDescent="0.25">
      <c r="D37" s="80" t="s">
        <v>276</v>
      </c>
    </row>
    <row r="38" spans="4:10" ht="20" customHeight="1" x14ac:dyDescent="0.25"/>
    <row r="39" spans="4:10" ht="20" customHeight="1" x14ac:dyDescent="0.25">
      <c r="D39" s="12" t="s">
        <v>277</v>
      </c>
      <c r="E39" s="12" t="s">
        <v>9</v>
      </c>
      <c r="F39" s="12" t="s">
        <v>10</v>
      </c>
      <c r="G39" s="12" t="s">
        <v>6</v>
      </c>
      <c r="H39" s="12" t="s">
        <v>11</v>
      </c>
      <c r="I39" s="12" t="s">
        <v>12</v>
      </c>
      <c r="J39" s="12"/>
    </row>
    <row r="40" spans="4:10" ht="20" customHeight="1" x14ac:dyDescent="0.25">
      <c r="D40" s="1" t="s">
        <v>278</v>
      </c>
      <c r="E40" s="1" t="e" cm="1">
        <f t="array" ref="E40">VEERG_15_4_1_1__2_EmissionsFromPurchasedFertiliserComponentsVariation_Result_Method1</f>
        <v>#NAME?</v>
      </c>
      <c r="F40" s="1" t="e" cm="1">
        <f t="array" ref="F40">VEERG_15_4_1_1__2_EmissionsFromPurchasedFertiliserComponentsVariation_Result_Method2</f>
        <v>#NAME?</v>
      </c>
      <c r="G40" s="10" t="s">
        <v>8</v>
      </c>
      <c r="H40" s="1" t="e">
        <f t="shared" ref="H40:H47" si="2">E40</f>
        <v>#NAME?</v>
      </c>
      <c r="I40" s="1" t="e">
        <f t="shared" ref="I40:I50" si="3">F40</f>
        <v>#NAME?</v>
      </c>
      <c r="J40" s="10" t="s">
        <v>8</v>
      </c>
    </row>
    <row r="41" spans="4:10" ht="20" customHeight="1" x14ac:dyDescent="0.25">
      <c r="D41" s="1" t="s">
        <v>279</v>
      </c>
      <c r="E41" s="1" t="e" cm="1">
        <f t="array" ref="E41">VEERG_15_5_1_1__1_EmissionsFromPurchasedAgrichemicals_Result_Method1</f>
        <v>#NAME?</v>
      </c>
      <c r="F41" s="1" t="e" cm="1">
        <f t="array" ref="F41">VEERG_15_5_1_1__1_EmissionsFromPurchasedAgrichemicals_Result_Method2</f>
        <v>#NAME?</v>
      </c>
      <c r="G41" s="10" t="s">
        <v>8</v>
      </c>
      <c r="H41" s="1" t="e">
        <f t="shared" si="2"/>
        <v>#NAME?</v>
      </c>
      <c r="I41" s="1" t="e">
        <f t="shared" si="3"/>
        <v>#NAME?</v>
      </c>
      <c r="J41" s="10" t="s">
        <v>8</v>
      </c>
    </row>
    <row r="42" spans="4:10" ht="20" customHeight="1" x14ac:dyDescent="0.25">
      <c r="D42" s="1" t="s">
        <v>280</v>
      </c>
      <c r="E42" s="1" t="e" cm="1">
        <f t="array" ref="E42">VEERG_15_6_1_1__1_EmissionsFromPurchasedLime_Result_Method1</f>
        <v>#NAME?</v>
      </c>
      <c r="F42" s="1" t="e" cm="1">
        <f t="array" ref="F42">VEERG_15_6_1_1__1_EmissionsFromPurchasedLime_Result_Method2</f>
        <v>#NAME?</v>
      </c>
      <c r="G42" s="10" t="s">
        <v>8</v>
      </c>
      <c r="H42" s="1" t="e">
        <f t="shared" si="2"/>
        <v>#NAME?</v>
      </c>
      <c r="I42" s="1" t="e">
        <f t="shared" si="3"/>
        <v>#NAME?</v>
      </c>
      <c r="J42" s="10" t="s">
        <v>8</v>
      </c>
    </row>
    <row r="43" spans="4:10" ht="20" customHeight="1" x14ac:dyDescent="0.25">
      <c r="D43" s="1" t="s">
        <v>281</v>
      </c>
      <c r="E43" s="1" t="e" cm="1">
        <f t="array" ref="E43">VEERG_15_7_1_1__1_EmissionsFromPurchasedServices_Result_Method1</f>
        <v>#NAME?</v>
      </c>
      <c r="F43" s="1" t="e" cm="1">
        <f t="array" ref="F43">VEERG_15_7_1_1__1_EmissionsFromPurchasedServices_Result_Method2</f>
        <v>#NAME?</v>
      </c>
      <c r="G43" s="10" t="s">
        <v>8</v>
      </c>
      <c r="H43" s="1" t="e">
        <f t="shared" si="2"/>
        <v>#NAME?</v>
      </c>
      <c r="I43" s="1" t="e">
        <f t="shared" si="3"/>
        <v>#NAME?</v>
      </c>
      <c r="J43" s="10" t="s">
        <v>8</v>
      </c>
    </row>
    <row r="44" spans="4:10" ht="20" customHeight="1" x14ac:dyDescent="0.25">
      <c r="D44" s="1" t="s">
        <v>282</v>
      </c>
      <c r="E44" s="1" t="e" cm="1">
        <f t="array" ref="E44">VEERG_15_10_1_1__1_OtherPurchasedGoodsAndServices_CleaningChemicals_Result_Method1</f>
        <v>#NAME?</v>
      </c>
      <c r="F44" s="1" t="e" cm="1">
        <f t="array" ref="F44">VEERG_15_10_1_1__1_OtherPurchasedGoodsAndServices_CleaningChemicals_Result_Method2</f>
        <v>#NAME?</v>
      </c>
      <c r="G44" s="10" t="s">
        <v>8</v>
      </c>
      <c r="H44" s="1" t="e">
        <f t="shared" si="2"/>
        <v>#NAME?</v>
      </c>
      <c r="I44" s="1" t="e">
        <f t="shared" si="3"/>
        <v>#NAME?</v>
      </c>
      <c r="J44" s="10" t="s">
        <v>8</v>
      </c>
    </row>
    <row r="45" spans="4:10" ht="20" customHeight="1" x14ac:dyDescent="0.25">
      <c r="D45" s="1" t="s">
        <v>283</v>
      </c>
      <c r="E45" s="1" t="e" cm="1">
        <f t="array" ref="E45">VEERG_15_10_1_1__1_OtherPurchasedGoodsAndServices_Uncategorised_Result_Method1</f>
        <v>#NAME?</v>
      </c>
      <c r="F45" s="1" t="e" cm="1">
        <f t="array" ref="F45">VEERG_15_10_1_1__1_OtherPurchasedGoodsAndServices_Uncategorised_Result_Method2</f>
        <v>#NAME?</v>
      </c>
      <c r="G45" s="10" t="s">
        <v>8</v>
      </c>
      <c r="H45" s="1" t="e">
        <f t="shared" si="2"/>
        <v>#NAME?</v>
      </c>
      <c r="I45" s="1" t="e">
        <f t="shared" si="3"/>
        <v>#NAME?</v>
      </c>
      <c r="J45" s="10" t="s">
        <v>8</v>
      </c>
    </row>
    <row r="46" spans="4:10" ht="20" customHeight="1" x14ac:dyDescent="0.25">
      <c r="D46" s="1" t="s">
        <v>284</v>
      </c>
      <c r="E46" s="1" t="e" cm="1">
        <f t="array" ref="E46">VEERG_15_11_1_1__1_TotalUpstreamEmissionsFromFuel_Result</f>
        <v>#NAME?</v>
      </c>
      <c r="F46" s="1" t="e">
        <f>E46</f>
        <v>#NAME?</v>
      </c>
      <c r="G46" s="10" t="s">
        <v>8</v>
      </c>
      <c r="H46" s="1" t="e">
        <f t="shared" si="2"/>
        <v>#NAME?</v>
      </c>
      <c r="I46" s="1" t="e">
        <f t="shared" si="3"/>
        <v>#NAME?</v>
      </c>
      <c r="J46" s="10" t="s">
        <v>8</v>
      </c>
    </row>
    <row r="47" spans="4:10" ht="20" customHeight="1" x14ac:dyDescent="0.25">
      <c r="D47" s="1" t="e" cm="1">
        <f t="array" ref="D47">"15.12.1.1 Purchased electricity " &amp; IF(X_Cell_Electricity_CalculationMethod="Location-based (simpler)", "(Location-based)", "(Market-based)")</f>
        <v>#NAME?</v>
      </c>
      <c r="E47" s="1" t="e" cm="1">
        <f t="array" ref="E47">IF(X_Cell_Electricity_CalculationMethod="Location-based (simpler)", VEERG_15_12_1_1__1_UpstreamPurchasedElectricityLocationBased_Result, VEERG_15_12_1_1__1_UpstreamPurchasedElectricityMarketBased_Result)</f>
        <v>#NAME?</v>
      </c>
      <c r="F47" s="1" t="e">
        <f>E47</f>
        <v>#NAME?</v>
      </c>
      <c r="G47" s="10" t="s">
        <v>8</v>
      </c>
      <c r="H47" s="1" t="e">
        <f t="shared" si="2"/>
        <v>#NAME?</v>
      </c>
      <c r="I47" s="1" t="e">
        <f t="shared" si="3"/>
        <v>#NAME?</v>
      </c>
      <c r="J47" s="10" t="s">
        <v>8</v>
      </c>
    </row>
    <row r="48" spans="4:10" ht="20" customHeight="1" x14ac:dyDescent="0.25">
      <c r="D48" s="1" t="s">
        <v>285</v>
      </c>
      <c r="E48" s="1" t="e" cm="1">
        <f t="array" ref="E48">VEERG_15_14_1_1__1_EmbeddedEmissionsFromUpstreamFreight_Incoming_Result_Method1</f>
        <v>#NAME?</v>
      </c>
      <c r="F48" s="1" t="e" cm="1">
        <f t="array" ref="F48">VEERG_15_14_1_1__1_EmbeddedEmissionsFromUpstreamFreight_Incoming_Result_Method2</f>
        <v>#NAME?</v>
      </c>
      <c r="G48" s="10" t="s">
        <v>8</v>
      </c>
      <c r="H48" s="1" t="e">
        <f>E48</f>
        <v>#NAME?</v>
      </c>
      <c r="I48" s="1" t="e">
        <f t="shared" si="3"/>
        <v>#NAME?</v>
      </c>
      <c r="J48" s="10" t="s">
        <v>8</v>
      </c>
    </row>
    <row r="49" spans="4:10" ht="20" customHeight="1" x14ac:dyDescent="0.25">
      <c r="D49" s="1" t="s">
        <v>286</v>
      </c>
      <c r="E49" s="1" t="e" cm="1">
        <f t="array" ref="E49">VEERG_10_1_1_1__1_EmissionsFromWasteManagement_Scope3_Result_Method1</f>
        <v>#NAME?</v>
      </c>
      <c r="F49" s="1" t="e">
        <f>E49</f>
        <v>#NAME?</v>
      </c>
      <c r="G49" s="10" t="s">
        <v>8</v>
      </c>
      <c r="H49" s="1" t="e">
        <f t="shared" ref="H49:H50" si="4">E49</f>
        <v>#NAME?</v>
      </c>
      <c r="I49" s="1" t="e">
        <f t="shared" si="3"/>
        <v>#NAME?</v>
      </c>
      <c r="J49" s="10" t="s">
        <v>8</v>
      </c>
    </row>
    <row r="50" spans="4:10" ht="20" customHeight="1" x14ac:dyDescent="0.25">
      <c r="D50" s="1" t="s">
        <v>287</v>
      </c>
      <c r="E50" s="1" t="e" cm="1">
        <f t="array" ref="E50">VEERG_15_14_1_1__1_EmbeddedEmissionsFromUpstreamFreight_Outgoing_Result_Method1</f>
        <v>#NAME?</v>
      </c>
      <c r="F50" s="1" t="e" cm="1">
        <f t="array" ref="F50">VEERG_15_14_1_1__1_EmbeddedEmissionsFromUpstreamFreight_Outgoing_Result_Method2</f>
        <v>#NAME?</v>
      </c>
      <c r="G50" s="10" t="s">
        <v>8</v>
      </c>
      <c r="H50" s="1" t="e">
        <f t="shared" si="4"/>
        <v>#NAME?</v>
      </c>
      <c r="I50" s="1" t="e">
        <f t="shared" si="3"/>
        <v>#NAME?</v>
      </c>
      <c r="J50" s="10" t="s">
        <v>8</v>
      </c>
    </row>
    <row r="51" spans="4:10" ht="20" customHeight="1" x14ac:dyDescent="0.25">
      <c r="D51" s="88" t="s">
        <v>288</v>
      </c>
      <c r="E51" s="89"/>
      <c r="F51" s="89"/>
      <c r="G51" s="89"/>
      <c r="H51" s="88" t="e">
        <f>SUM(H40:H50)</f>
        <v>#NAME?</v>
      </c>
      <c r="I51" s="88" t="e">
        <f>SUM(I40:I50)</f>
        <v>#NAME?</v>
      </c>
      <c r="J51" s="98" t="s">
        <v>8</v>
      </c>
    </row>
    <row r="52" spans="4:10" ht="20" customHeight="1" x14ac:dyDescent="0.25"/>
    <row r="53" spans="4:10" ht="20" customHeight="1" x14ac:dyDescent="0.25"/>
    <row r="54" spans="4:10" ht="20" customHeight="1" x14ac:dyDescent="0.25">
      <c r="D54" s="80" t="str">
        <f>"Carbon removals from plantings for the activity period " &amp; TEXT(X_Cell_Site_StartDate, "d mmmm yyyy") &amp; " and " &amp; TEXT(X_Cell_Site_EndDate, "d mmmm yyyy")</f>
        <v>Carbon removals from plantings for the activity period 1 January 2025 and 31 December 2025</v>
      </c>
    </row>
    <row r="55" spans="4:10" ht="20" customHeight="1" x14ac:dyDescent="0.25"/>
    <row r="56" spans="4:10" ht="20" customHeight="1" x14ac:dyDescent="0.25">
      <c r="D56" s="88" t="s">
        <v>289</v>
      </c>
      <c r="E56" s="89">
        <f>SUM(Table_Input_Enterprise_PlantingRemovals[Removal allocated to this enterprise])</f>
        <v>0</v>
      </c>
      <c r="F56" s="98" t="s">
        <v>128</v>
      </c>
    </row>
    <row r="57" spans="4:10" ht="20" customHeight="1" x14ac:dyDescent="0.25"/>
    <row r="58" spans="4:10" ht="20" customHeight="1" x14ac:dyDescent="0.25"/>
    <row r="59" spans="4:10" ht="20" customHeight="1" x14ac:dyDescent="0.25">
      <c r="D59" s="80" t="str">
        <f>"Net emissions for the activity period " &amp; TEXT(X_Cell_Site_StartDate, "d mmmm yyyy") &amp; " and " &amp; TEXT(X_Cell_Site_EndDate, "d mmmm yyyy")</f>
        <v>Net emissions for the activity period 1 January 2025 and 31 December 2025</v>
      </c>
    </row>
    <row r="60" spans="4:10" ht="20" customHeight="1" x14ac:dyDescent="0.25"/>
    <row r="61" spans="4:10" ht="20" customHeight="1" x14ac:dyDescent="0.25">
      <c r="D61" s="12"/>
      <c r="E61" s="12" t="s">
        <v>131</v>
      </c>
      <c r="F61" s="12" t="s">
        <v>132</v>
      </c>
      <c r="G61" s="12"/>
    </row>
    <row r="62" spans="4:10" ht="20" customHeight="1" x14ac:dyDescent="0.25">
      <c r="D62" s="97" t="s">
        <v>290</v>
      </c>
      <c r="E62" s="95" t="e">
        <f>Result_Enterprise_Scope1_Method1+Result_Enterprise_Scope2_Method1+Result_Enterprise_Scope3_Method1</f>
        <v>#NAME?</v>
      </c>
      <c r="F62" s="95" t="e">
        <f>Result_Enterprise_Scope1_Method2+Result_Enterprise_Scope2_Method2+Result_Enterprise_Scope3_Method2</f>
        <v>#NAME?</v>
      </c>
      <c r="G62" s="96" t="s">
        <v>291</v>
      </c>
    </row>
    <row r="63" spans="4:10" ht="20" customHeight="1" x14ac:dyDescent="0.25">
      <c r="D63" s="97" t="s">
        <v>292</v>
      </c>
      <c r="E63" s="95" t="e">
        <f>Result_Enterprise_Gross_Method1-Result_Enterprise_Removals</f>
        <v>#NAME?</v>
      </c>
      <c r="F63" s="95" t="e">
        <f>Result_Enterprise_Gross_Method2-Result_Enterprise_Removals</f>
        <v>#NAME?</v>
      </c>
      <c r="G63" s="96" t="s">
        <v>291</v>
      </c>
    </row>
    <row r="64" spans="4:10"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topLeftCell="A27" workbookViewId="0">
      <selection activeCell="E36" sqref="E36"/>
    </sheetView>
  </sheetViews>
  <sheetFormatPr defaultRowHeight="20" x14ac:dyDescent="0.25" customHeight="1"/>
  <cols>
    <col min="1" max="1" width="30.7109375" customWidth="1"/>
    <col min="2" max="2" width="4.7109375" customWidth="1"/>
    <col min="3" max="3" width="4.7109375" style="1" customWidth="1"/>
    <col min="4" max="4" width="51.7109375" style="1" customWidth="1"/>
    <col min="5" max="13" width="30.7109375" style="1" customWidth="1"/>
    <col min="14" max="14" width="9.140625" style="1"/>
  </cols>
  <sheetData>
    <row r="1" spans="1:14" s="93" customFormat="1" ht="30" x14ac:dyDescent="0.35" customHeight="1">
      <c r="A1" s="11" t="e" vm="1">
        <v>#VALUE!</v>
      </c>
      <c r="C1" s="93" t="s">
        <v>295</v>
      </c>
    </row>
    <row r="2" spans="1:14" s="3" customFormat="1" x14ac:dyDescent="0.25" ht="20" customHeight="1"/>
    <row r="3" spans="1:14" x14ac:dyDescent="0.25" ht="20" customHeight="1">
      <c r="C3" s="94"/>
      <c r="D3" s="94"/>
      <c r="E3" s="94"/>
      <c r="F3" s="94"/>
      <c r="G3" s="94"/>
      <c r="H3" s="94"/>
      <c r="I3" s="94"/>
      <c r="J3" s="94"/>
      <c r="K3" s="94"/>
      <c r="L3" s="94"/>
      <c r="M3" s="94"/>
      <c r="N3" s="94"/>
    </row>
    <row r="32" spans="4:4" ht="20" x14ac:dyDescent="0.25" customHeight="1">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ht="20" customHeight="1">
      <c r="D35" s="12"/>
      <c r="E35" s="12" t="s">
        <v>131</v>
      </c>
      <c r="F35" s="12" t="s">
        <v>132</v>
      </c>
      <c r="G35" s="12"/>
    </row>
    <row r="36" spans="4:10" x14ac:dyDescent="0.25" ht="20" customHeight="1">
      <c r="D36" s="78" t="s">
        <v>293</v>
      </c>
      <c r="E36" s="1" t="e">
        <f>Result_EmissionsForWholeProductionCycle_Gross_Method1</f>
        <v>#NAME?</v>
      </c>
      <c r="F36" s="1" t="e">
        <f>Result_EmissionsForWholeProductionCycle_Gross_Method2</f>
        <v>#NAME?</v>
      </c>
      <c r="G36" s="10" t="s">
        <v>8</v>
      </c>
    </row>
    <row r="37" spans="4:10" x14ac:dyDescent="0.25" ht="20" customHeight="1">
      <c r="D37" s="78" t="s">
        <v>294</v>
      </c>
      <c r="E37" s="1" t="e">
        <f>Result_EmissionsForWholeProductionCycle_Net_Method1</f>
        <v>#NAME?</v>
      </c>
      <c r="F37" s="1" t="e">
        <f>Result_EmissionsForWholeProductionCycle_Net_Method2</f>
        <v>#NAME?</v>
      </c>
      <c r="G37" s="10" t="s">
        <v>8</v>
      </c>
    </row>
    <row r="39" spans="4:10" ht="20" x14ac:dyDescent="0.25" customHeight="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x14ac:dyDescent="0.25" ht="20" customHeight="1">
      <c r="D42" s="1" t="s">
        <v>167</v>
      </c>
    </row>
    <row r="43" spans="4:10" x14ac:dyDescent="0.25" ht="20" customHeight="1">
      <c r="D43" s="12" t="s">
        <v>133</v>
      </c>
      <c r="E43" s="12" t="s">
        <v>122</v>
      </c>
      <c r="F43" s="12" t="s">
        <v>118</v>
      </c>
      <c r="G43" s="12" t="s">
        <v>164</v>
      </c>
      <c r="H43" s="12" t="s">
        <v>120</v>
      </c>
      <c r="I43" s="12" t="s">
        <v>121</v>
      </c>
      <c r="J43" s="12" t="s">
        <v>119</v>
      </c>
    </row>
    <row r="44" spans="4:10" x14ac:dyDescent="0.25" ht="20" customHeight="1">
      <c r="D44" s="1" t="s">
        <v>169</v>
      </c>
      <c r="E44" s="1" t="s">
        <v>123</v>
      </c>
      <c r="F44" s="1">
        <f>X_Cell_Enterprise_GrainYield*X_Cell_Enterprise_PercentGrainSold</f>
        <v>0</v>
      </c>
      <c r="G44" s="1" t="e">
        <f>F44/(F44+F47)</f>
        <v>#DIV/0!</v>
      </c>
      <c r="H44" s="1" t="e">
        <f>(E36/F44)*G44</f>
        <v>#NAME?</v>
      </c>
      <c r="I44" s="1" t="e">
        <f>(F36/F44)*G44</f>
        <v>#NAME?</v>
      </c>
      <c r="J44" s="10" t="s">
        <v>161</v>
      </c>
    </row>
    <row r="45" spans="4:10" x14ac:dyDescent="0.25" ht="20" customHeight="1">
      <c r="D45" s="1" t="s">
        <v>170</v>
      </c>
      <c r="E45" s="1" t="s">
        <v>123</v>
      </c>
      <c r="F45" s="1">
        <f>F44</f>
        <v>0</v>
      </c>
      <c r="G45" s="1" t="e">
        <f>G44</f>
        <v>#DIV/0!</v>
      </c>
      <c r="H45" s="1" t="e">
        <f>(E37/F45)*G45</f>
        <v>#NAME?</v>
      </c>
      <c r="I45" s="1" t="e">
        <f>(F37/F45)*G45</f>
        <v>#NAME?</v>
      </c>
      <c r="J45" s="10" t="s">
        <v>161</v>
      </c>
    </row>
    <row r="46" spans="4:10" x14ac:dyDescent="0.25" ht="20" customHeight="1">
      <c r="D46" s="1" t="s">
        <v>159</v>
      </c>
      <c r="E46" s="1" t="s">
        <v>126</v>
      </c>
      <c r="F46" s="1">
        <f>X_Cell_Enterprise_GrainYield*X_Cell_Enterprise_PercentGrainUsedAsFeed</f>
        <v>0</v>
      </c>
      <c r="G46" s="1" t="s">
        <v>125</v>
      </c>
      <c r="H46" s="1" t="s">
        <v>125</v>
      </c>
      <c r="I46" s="1" t="s">
        <v>125</v>
      </c>
      <c r="J46" s="10"/>
    </row>
    <row r="47" spans="4:10" x14ac:dyDescent="0.25" ht="20" customHeight="1">
      <c r="D47" s="1" t="s">
        <v>171</v>
      </c>
      <c r="E47" s="1" t="s">
        <v>124</v>
      </c>
      <c r="F47" s="1">
        <f>X_Cell_BaledHayYield*X_Cell_PercentBaledHaySold</f>
        <v>0</v>
      </c>
      <c r="G47" s="1" t="e">
        <f>F47/(F44+F47)</f>
        <v>#DIV/0!</v>
      </c>
      <c r="H47" s="1" t="e">
        <f>(E36/F47)*G47</f>
        <v>#NAME?</v>
      </c>
      <c r="I47" s="1" t="e">
        <f>(F36/F47)*G47</f>
        <v>#NAME?</v>
      </c>
      <c r="J47" s="10" t="s">
        <v>162</v>
      </c>
    </row>
    <row r="48" spans="4:10" x14ac:dyDescent="0.25" ht="20" customHeight="1">
      <c r="D48" s="1" t="s">
        <v>172</v>
      </c>
      <c r="E48" s="1" t="s">
        <v>124</v>
      </c>
      <c r="F48" s="1">
        <f>F47</f>
        <v>0</v>
      </c>
      <c r="G48" s="1" t="e">
        <f>G47</f>
        <v>#DIV/0!</v>
      </c>
      <c r="H48" s="99" t="e">
        <f>(E37/F48)*G48</f>
        <v>#NAME?</v>
      </c>
      <c r="I48" s="99" t="e">
        <f>(F37/F48)*G48</f>
        <v>#NAME?</v>
      </c>
      <c r="J48" s="10" t="s">
        <v>162</v>
      </c>
    </row>
    <row r="49" spans="4:10" x14ac:dyDescent="0.25" ht="20" customHeight="1">
      <c r="D49" s="1" t="s">
        <v>160</v>
      </c>
      <c r="E49" s="1" t="s">
        <v>126</v>
      </c>
      <c r="F49" s="1">
        <f>X_Cell_BaledHayYield*X_Cell_PercentBaledHayUsedOnFarm</f>
        <v>0</v>
      </c>
      <c r="G49" s="1" t="s">
        <v>125</v>
      </c>
      <c r="H49" s="1" t="s">
        <v>125</v>
      </c>
      <c r="I49" s="1" t="s">
        <v>125</v>
      </c>
      <c r="J49" s="10"/>
    </row>
    <row r="51" spans="4:10" x14ac:dyDescent="0.25" ht="20" customHeight="1">
      <c r="D51" s="1" t="s">
        <v>168</v>
      </c>
    </row>
    <row r="52" spans="4:10" x14ac:dyDescent="0.25" ht="20" customHeight="1">
      <c r="D52" s="12" t="s">
        <v>133</v>
      </c>
      <c r="E52" s="12" t="s">
        <v>122</v>
      </c>
      <c r="F52" s="12" t="s">
        <v>118</v>
      </c>
      <c r="G52" s="12" t="s">
        <v>163</v>
      </c>
      <c r="H52" s="12" t="s">
        <v>165</v>
      </c>
      <c r="I52" s="12" t="s">
        <v>166</v>
      </c>
      <c r="J52" s="12" t="s">
        <v>119</v>
      </c>
    </row>
    <row r="53" spans="4:10" x14ac:dyDescent="0.25" ht="20" customHeight="1">
      <c r="D53" s="1" t="s">
        <v>169</v>
      </c>
      <c r="E53" s="1" t="s">
        <v>123</v>
      </c>
      <c r="F53" s="1">
        <f>X_Cell_Enterprise_GrainYield*X_Cell_Enterprise_PercentGrainSold</f>
        <v>0</v>
      </c>
      <c r="G53" s="1">
        <f>X_Cell_Enterprise_PercentIncomeFromGrain</f>
        <v>0.8</v>
      </c>
      <c r="H53" s="1" t="e">
        <f>E36*G53/F53</f>
        <v>#NAME?</v>
      </c>
      <c r="I53" s="1" t="e">
        <f>F36*G53/F53</f>
        <v>#NAME?</v>
      </c>
      <c r="J53" s="10" t="s">
        <v>161</v>
      </c>
    </row>
    <row r="54" spans="4:10" x14ac:dyDescent="0.25" ht="20" customHeight="1">
      <c r="D54" s="1" t="s">
        <v>170</v>
      </c>
      <c r="E54" s="1" t="s">
        <v>123</v>
      </c>
      <c r="F54" s="1">
        <f>F53</f>
        <v>0</v>
      </c>
      <c r="G54" s="1">
        <f>G53</f>
        <v>0.8</v>
      </c>
      <c r="H54" s="1" t="e">
        <f>E37*G54/F54</f>
        <v>#NAME?</v>
      </c>
      <c r="I54" s="1" t="e">
        <f>F37*G54/F54</f>
        <v>#NAME?</v>
      </c>
      <c r="J54" s="10" t="s">
        <v>161</v>
      </c>
    </row>
    <row r="55" spans="4:10" x14ac:dyDescent="0.25" ht="20" customHeight="1">
      <c r="D55" s="1" t="s">
        <v>159</v>
      </c>
      <c r="E55" s="1" t="s">
        <v>126</v>
      </c>
      <c r="F55" s="1">
        <f>X_Cell_Enterprise_GrainYield*X_Cell_Enterprise_PercentGrainUsedAsFeed</f>
        <v>0</v>
      </c>
      <c r="G55" s="1" t="s">
        <v>125</v>
      </c>
      <c r="H55" s="1" t="s">
        <v>125</v>
      </c>
      <c r="I55" s="1" t="s">
        <v>125</v>
      </c>
      <c r="J55" s="10"/>
    </row>
    <row r="56" spans="4:10" x14ac:dyDescent="0.25" ht="20" customHeight="1">
      <c r="D56" s="1" t="s">
        <v>171</v>
      </c>
      <c r="E56" s="1" t="s">
        <v>124</v>
      </c>
      <c r="F56" s="1">
        <f>X_Cell_BaledHayYield*X_Cell_PercentBaledHaySold</f>
        <v>0</v>
      </c>
      <c r="G56" s="1">
        <f>X_Cell_Enterprise_PercentIncomeFromGrain</f>
        <v>0.8</v>
      </c>
      <c r="H56" s="1" t="e">
        <f>E36*G56/F56</f>
        <v>#NAME?</v>
      </c>
      <c r="I56" s="1" t="e">
        <f>F36*G56/F56</f>
        <v>#NAME?</v>
      </c>
      <c r="J56" s="10" t="s">
        <v>162</v>
      </c>
    </row>
    <row r="57" spans="4:10" x14ac:dyDescent="0.25" ht="20" customHeight="1">
      <c r="D57" s="1" t="s">
        <v>172</v>
      </c>
      <c r="E57" s="1" t="s">
        <v>124</v>
      </c>
      <c r="F57" s="1">
        <f>F56</f>
        <v>0</v>
      </c>
      <c r="G57" s="1">
        <f>G56</f>
        <v>0.8</v>
      </c>
      <c r="H57" s="1" t="e">
        <f>E37*G57/F57</f>
        <v>#NAME?</v>
      </c>
      <c r="I57" s="1" t="e">
        <f>F37*G57/F57</f>
        <v>#NAME?</v>
      </c>
      <c r="J57" s="10" t="s">
        <v>162</v>
      </c>
    </row>
    <row r="58" spans="4:10" x14ac:dyDescent="0.25" ht="20" customHeight="1">
      <c r="D58" s="1" t="s">
        <v>160</v>
      </c>
      <c r="E58" s="1" t="s">
        <v>126</v>
      </c>
      <c r="F58" s="1">
        <f>X_Cell_BaledHayYield*X_Cell_PercentBaledHayUsedOnFarm</f>
        <v>0</v>
      </c>
      <c r="G58" s="1" t="s">
        <v>125</v>
      </c>
      <c r="H58" s="1" t="s">
        <v>125</v>
      </c>
      <c r="I58" s="1" t="s">
        <v>125</v>
      </c>
      <c r="J58"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20" x14ac:dyDescent="0.25" customHeight="1"/>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87</v>
      </c>
    </row>
    <row r="2" spans="1:24" s="23" customFormat="1" ht="20" customHeight="1" x14ac:dyDescent="0.25">
      <c r="A2" s="3"/>
      <c r="C2" s="3"/>
      <c r="D2" s="3"/>
      <c r="E2" s="3"/>
      <c r="F2" s="3"/>
      <c r="G2" s="3"/>
      <c r="H2" s="3"/>
      <c r="I2" s="3"/>
      <c r="J2" s="3"/>
    </row>
    <row r="3" spans="1:24" ht="20"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 customHeight="1" x14ac:dyDescent="0.25">
      <c r="A4" s="5" t="str">
        <f>HYPERLINK("#'Results'!A1", "Results")</f>
        <v>Results</v>
      </c>
      <c r="C4" s="31"/>
      <c r="D4" s="31"/>
      <c r="E4" s="31"/>
      <c r="F4" s="31"/>
      <c r="G4" s="31"/>
      <c r="H4" s="31"/>
      <c r="I4" s="31"/>
      <c r="J4" s="31"/>
      <c r="K4" s="31"/>
    </row>
    <row r="5" spans="1:24" ht="20" customHeight="1" x14ac:dyDescent="0.25">
      <c r="D5" s="2" t="s">
        <v>96</v>
      </c>
      <c r="N5" s="32"/>
    </row>
    <row r="6" spans="1:24" ht="20" customHeight="1" x14ac:dyDescent="0.25">
      <c r="A6" s="8" t="s">
        <v>1</v>
      </c>
      <c r="N6" s="34"/>
    </row>
    <row r="7" spans="1:24" ht="20" customHeight="1" x14ac:dyDescent="0.25">
      <c r="A7" s="5" t="str">
        <f>HYPERLINK("#'Input - Site'!A1", "Site")</f>
        <v>Site</v>
      </c>
      <c r="D7" s="44" t="s">
        <v>97</v>
      </c>
      <c r="E7" s="45"/>
      <c r="F7" s="45"/>
      <c r="G7" s="46"/>
    </row>
    <row r="8" spans="1:24" ht="20" customHeight="1" x14ac:dyDescent="0.25">
      <c r="A8" s="5" t="str">
        <f>HYPERLINK("#'Input - Pasture Beef'!A1", "Pasture Beef")</f>
        <v>Pasture Beef</v>
      </c>
      <c r="D8" s="47" t="s">
        <v>98</v>
      </c>
      <c r="E8" s="48"/>
      <c r="F8" s="48"/>
      <c r="G8" s="49"/>
    </row>
    <row r="9" spans="1:24" ht="20" customHeight="1" x14ac:dyDescent="0.25">
      <c r="A9" s="5"/>
      <c r="D9" s="1"/>
      <c r="E9" s="50"/>
      <c r="F9" s="17"/>
      <c r="N9" s="36"/>
    </row>
    <row r="10" spans="1:24" ht="20" customHeight="1" x14ac:dyDescent="0.25">
      <c r="A10" s="7" t="s">
        <v>3</v>
      </c>
      <c r="D10" s="1" t="s">
        <v>99</v>
      </c>
      <c r="E10" s="14" t="s">
        <v>100</v>
      </c>
      <c r="F10" s="17" t="s">
        <v>101</v>
      </c>
      <c r="N10" s="36"/>
    </row>
    <row r="11" spans="1:24" ht="20" customHeight="1" x14ac:dyDescent="0.25">
      <c r="A11" s="5" t="str">
        <f>HYPERLINK("#'4.2.1.1-2 Methane'!A1", "4.2.1.1-2 Methane")</f>
        <v>4.2.1.1-2 Methane</v>
      </c>
      <c r="D11" s="1" t="s">
        <v>102</v>
      </c>
      <c r="E11" s="14" t="s">
        <v>103</v>
      </c>
      <c r="F11" s="17" t="s">
        <v>101</v>
      </c>
      <c r="G11" s="1"/>
      <c r="N11" s="41"/>
    </row>
    <row r="12" spans="1:24" ht="20" customHeight="1" x14ac:dyDescent="0.25">
      <c r="A12" s="5" t="str">
        <f>HYPERLINK("#'4.2.1.3-4 Soil direct N2O'!A1", "4.2.1.3-4 Soil direct N2O")</f>
        <v>4.2.1.3-4 Soil direct N2O</v>
      </c>
      <c r="D12" s="1" t="s">
        <v>104</v>
      </c>
      <c r="E12" s="14" t="s">
        <v>105</v>
      </c>
      <c r="F12" s="17" t="s">
        <v>101</v>
      </c>
    </row>
    <row r="13" spans="1:24" ht="20" customHeight="1" x14ac:dyDescent="0.25">
      <c r="A13" s="5" t="str">
        <f>HYPERLINK("#'4.2.1.5-6 Soil Atmos Dep'!A1", "4.2.1.5-6 Soil atm. deposition")</f>
        <v>4.2.1.5-6 Soil atm. deposition</v>
      </c>
      <c r="D13" s="1" t="s">
        <v>37</v>
      </c>
      <c r="E13" s="35">
        <v>307.7</v>
      </c>
      <c r="F13" s="17" t="s">
        <v>106</v>
      </c>
      <c r="N13" s="43"/>
      <c r="O13" s="43"/>
    </row>
    <row r="14" spans="1:24" ht="20" customHeight="1" x14ac:dyDescent="0.25">
      <c r="A14" s="5" t="str">
        <f>HYPERLINK("#'4.2.1.7-8 Soil leach runoff'!A1", "4.2.1.7-8 Soil leach &amp; runoff")</f>
        <v>4.2.1.7-8 Soil leach &amp; runoff</v>
      </c>
      <c r="D14" s="1" t="s">
        <v>107</v>
      </c>
      <c r="E14" s="35">
        <v>18</v>
      </c>
      <c r="F14" s="17" t="s">
        <v>108</v>
      </c>
      <c r="N14" s="43"/>
      <c r="O14" s="43"/>
    </row>
    <row r="15" spans="1:24" ht="20" customHeight="1" x14ac:dyDescent="0.25">
      <c r="A15" s="5"/>
      <c r="D15" s="1" t="s">
        <v>109</v>
      </c>
      <c r="E15" s="35">
        <v>601</v>
      </c>
      <c r="F15" s="17" t="s">
        <v>110</v>
      </c>
      <c r="N15" s="43"/>
      <c r="O15" s="43"/>
    </row>
    <row r="16" spans="1:24" ht="20" customHeight="1" x14ac:dyDescent="0.25">
      <c r="A16" s="6" t="s">
        <v>2</v>
      </c>
      <c r="D16" s="13" t="s">
        <v>111</v>
      </c>
      <c r="E16" s="35">
        <v>1326</v>
      </c>
      <c r="F16" s="17" t="s">
        <v>110</v>
      </c>
      <c r="N16" s="43"/>
      <c r="O16" s="43"/>
    </row>
    <row r="17" spans="1:25" ht="20" customHeight="1" x14ac:dyDescent="0.25">
      <c r="A17" s="5" t="str">
        <f>HYPERLINK("#'Constants - Pasture Beef'!A1", "Constants - Pasture Beef")</f>
        <v>Constants - Pasture Beef</v>
      </c>
      <c r="D17" s="1" t="s">
        <v>112</v>
      </c>
      <c r="E17" s="35">
        <v>7</v>
      </c>
      <c r="F17" s="17" t="s">
        <v>113</v>
      </c>
    </row>
    <row r="18" spans="1:25" ht="20" customHeight="1" x14ac:dyDescent="0.25">
      <c r="A18" s="5" t="str">
        <f>HYPERLINK("#'Constants - Livestock'!A1", "Constants - Livestock")</f>
        <v>Constants - Livestock</v>
      </c>
      <c r="D18" s="13" t="s">
        <v>114</v>
      </c>
      <c r="E18" s="16">
        <f>E15/E16</f>
        <v>0.45324283559577677</v>
      </c>
      <c r="F18" s="17"/>
    </row>
    <row r="19" spans="1:25" ht="20"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1"/>
      <c r="N19" s="32"/>
    </row>
    <row r="20" spans="1:25" ht="20"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 customHeight="1" x14ac:dyDescent="0.25">
      <c r="A21"/>
      <c r="D21" s="1" t="s">
        <v>115</v>
      </c>
      <c r="E21" s="16" t="str">
        <f>Common_InputFunctions.Utility_LookupValueInTable($E$20,Table_SourceData_WetDryZones[Climate zone],Table_SourceData_WetDryZones[Wet or Dry Zone])</f>
        <v>Dry climate zone</v>
      </c>
      <c r="F21" s="1"/>
      <c r="G21" s="50"/>
    </row>
    <row r="22" spans="1:25" ht="20"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4"/>
    </row>
    <row r="23" spans="1:25" ht="20" customHeight="1" x14ac:dyDescent="0.25">
      <c r="A23" s="5"/>
    </row>
    <row r="24" spans="1:25" ht="20" customHeight="1" x14ac:dyDescent="0.25">
      <c r="A24" s="5"/>
    </row>
    <row r="25" spans="1:25" ht="20" customHeight="1" x14ac:dyDescent="0.25">
      <c r="A25"/>
      <c r="N25" s="34"/>
    </row>
    <row r="26" spans="1:25" ht="20" customHeight="1" x14ac:dyDescent="0.25">
      <c r="A26"/>
    </row>
    <row r="27" spans="1:25" ht="20" customHeight="1" x14ac:dyDescent="0.25">
      <c r="A27"/>
    </row>
    <row r="28" spans="1:25" ht="20" customHeight="1" x14ac:dyDescent="0.25">
      <c r="A28"/>
    </row>
    <row r="29" spans="1:25" ht="20" customHeight="1" x14ac:dyDescent="0.25">
      <c r="A29"/>
    </row>
    <row r="30" spans="1:25" ht="20" customHeight="1" x14ac:dyDescent="0.25">
      <c r="A30"/>
      <c r="L30" s="52"/>
      <c r="M30" s="52"/>
      <c r="N30" s="52"/>
      <c r="O30" s="52"/>
      <c r="P30" s="52"/>
      <c r="Q30" s="52"/>
      <c r="R30" s="52"/>
      <c r="S30" s="52"/>
      <c r="T30" s="52"/>
      <c r="U30" s="52"/>
      <c r="V30" s="52"/>
      <c r="W30" s="52"/>
      <c r="X30" s="52"/>
      <c r="Y30" s="52"/>
    </row>
    <row r="31" spans="1:25" ht="20" customHeight="1" x14ac:dyDescent="0.25">
      <c r="A31"/>
      <c r="L31" s="53"/>
      <c r="M31" s="53"/>
      <c r="N31" s="53"/>
      <c r="O31" s="53"/>
      <c r="P31" s="53"/>
      <c r="Q31" s="53"/>
      <c r="R31" s="53"/>
      <c r="S31" s="53"/>
      <c r="T31" s="53"/>
      <c r="U31" s="53"/>
      <c r="V31" s="53"/>
      <c r="W31" s="53"/>
      <c r="X31" s="53"/>
      <c r="Y31" s="53"/>
    </row>
    <row r="32" spans="1:25" ht="20" customHeight="1" x14ac:dyDescent="0.25">
      <c r="A32"/>
      <c r="L32" s="53"/>
      <c r="M32" s="53"/>
      <c r="N32" s="53"/>
      <c r="O32" s="53"/>
      <c r="P32" s="53"/>
      <c r="Q32" s="53"/>
      <c r="R32" s="53"/>
      <c r="S32" s="53"/>
      <c r="T32" s="53"/>
      <c r="U32" s="53"/>
      <c r="V32" s="53"/>
      <c r="W32" s="53"/>
      <c r="X32" s="53"/>
      <c r="Y32" s="53"/>
    </row>
    <row r="33" spans="1:25" ht="20" customHeight="1" x14ac:dyDescent="0.25">
      <c r="A33"/>
      <c r="L33" s="53"/>
      <c r="M33" s="53"/>
      <c r="N33" s="53"/>
      <c r="O33" s="53"/>
      <c r="P33" s="53"/>
      <c r="Q33" s="53"/>
      <c r="R33" s="53"/>
      <c r="S33" s="53"/>
      <c r="T33" s="53"/>
      <c r="U33" s="53"/>
      <c r="V33" s="53"/>
      <c r="W33" s="53"/>
      <c r="X33" s="53"/>
      <c r="Y33" s="53"/>
    </row>
    <row r="34" spans="1:25" ht="20" customHeight="1" x14ac:dyDescent="0.25">
      <c r="A34"/>
      <c r="J34" s="55"/>
      <c r="K34" s="56"/>
      <c r="L34" s="53"/>
      <c r="M34" s="53"/>
      <c r="N34" s="53"/>
      <c r="O34" s="53"/>
      <c r="P34" s="53"/>
      <c r="Q34" s="53"/>
      <c r="R34" s="53"/>
      <c r="S34" s="53"/>
      <c r="T34" s="53"/>
      <c r="U34" s="53"/>
      <c r="V34" s="53"/>
      <c r="W34" s="53"/>
      <c r="X34" s="53"/>
      <c r="Y34" s="53"/>
    </row>
    <row r="35" spans="1:25" ht="20" customHeight="1" x14ac:dyDescent="0.25">
      <c r="A35"/>
      <c r="J35" s="55"/>
      <c r="K35" s="56"/>
      <c r="L35" s="53"/>
      <c r="M35" s="53"/>
      <c r="N35" s="53"/>
      <c r="O35" s="53"/>
      <c r="P35" s="53"/>
      <c r="Q35" s="53"/>
      <c r="R35" s="53"/>
      <c r="S35" s="53"/>
      <c r="T35" s="53"/>
      <c r="U35" s="53"/>
      <c r="V35" s="53"/>
      <c r="W35" s="53"/>
      <c r="X35" s="53"/>
      <c r="Y35" s="53"/>
    </row>
    <row r="36" spans="1:25" ht="20"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 customHeight="1" x14ac:dyDescent="0.25">
      <c r="A41"/>
    </row>
    <row r="42" spans="1:25" ht="20" customHeight="1" x14ac:dyDescent="0.25">
      <c r="A42"/>
    </row>
    <row r="43" spans="1:25" ht="20" customHeight="1" x14ac:dyDescent="0.25">
      <c r="A43"/>
    </row>
    <row r="44" spans="1:25" ht="20" customHeight="1" x14ac:dyDescent="0.25"/>
    <row r="45" spans="1:25" ht="20" customHeight="1" x14ac:dyDescent="0.25">
      <c r="D45" s="2"/>
    </row>
    <row r="46" spans="1:25" ht="20" customHeight="1" x14ac:dyDescent="0.25">
      <c r="D46" s="2"/>
    </row>
    <row r="47" spans="1:25" ht="20" customHeight="1" x14ac:dyDescent="0.25">
      <c r="D47" s="64"/>
      <c r="E47" s="64"/>
      <c r="F47" s="64"/>
      <c r="G47" s="64"/>
      <c r="H47" s="64"/>
    </row>
    <row r="48" spans="1:25" ht="20" customHeight="1" x14ac:dyDescent="0.25">
      <c r="D48" s="65"/>
      <c r="E48" s="65"/>
      <c r="F48" s="66"/>
      <c r="G48" s="66"/>
      <c r="H48" s="65"/>
    </row>
    <row r="49" spans="4:8" ht="20" customHeight="1" x14ac:dyDescent="0.25">
      <c r="D49" s="65"/>
      <c r="E49" s="65"/>
      <c r="F49" s="66"/>
      <c r="G49" s="66"/>
      <c r="H49" s="65"/>
    </row>
    <row r="50" spans="4:8" ht="20" customHeight="1" x14ac:dyDescent="0.25">
      <c r="D50" s="65"/>
      <c r="E50" s="65"/>
      <c r="F50" s="66"/>
      <c r="G50" s="66"/>
      <c r="H50" s="65"/>
    </row>
    <row r="51" spans="4:8" ht="20" customHeight="1" x14ac:dyDescent="0.25">
      <c r="D51" s="67"/>
      <c r="E51" s="68"/>
      <c r="F51" s="68"/>
      <c r="G51" s="68"/>
      <c r="H51" s="69"/>
    </row>
    <row r="52" spans="4:8" ht="20" customHeight="1" x14ac:dyDescent="0.25"/>
    <row r="53" spans="4:8" ht="20" customHeight="1" x14ac:dyDescent="0.25"/>
    <row r="54" spans="4:8" ht="20" customHeight="1" x14ac:dyDescent="0.25">
      <c r="G54" s="70"/>
    </row>
    <row r="55" spans="4:8" ht="20" customHeight="1" x14ac:dyDescent="0.25">
      <c r="D55" s="2"/>
    </row>
    <row r="56" spans="4:8" ht="20" customHeight="1" x14ac:dyDescent="0.25"/>
    <row r="57" spans="4:8" ht="20" customHeight="1" x14ac:dyDescent="0.25">
      <c r="D57" s="71"/>
      <c r="F57" s="72"/>
    </row>
    <row r="58" spans="4:8" ht="20" customHeight="1" x14ac:dyDescent="0.25">
      <c r="D58" s="1"/>
      <c r="E58" s="73"/>
    </row>
    <row r="59" spans="4:8" ht="20" customHeight="1" x14ac:dyDescent="0.25">
      <c r="D59" s="1"/>
      <c r="E59" s="73"/>
    </row>
    <row r="60" spans="4:8" ht="20" customHeight="1" x14ac:dyDescent="0.25">
      <c r="D60" s="1"/>
      <c r="E60" s="74"/>
    </row>
    <row r="61" spans="4:8" ht="20" customHeight="1" x14ac:dyDescent="0.25">
      <c r="D61" s="1"/>
    </row>
    <row r="62" spans="4:8" ht="20" customHeight="1" x14ac:dyDescent="0.25"/>
    <row r="63" spans="4:8" ht="20" customHeight="1" x14ac:dyDescent="0.25">
      <c r="D63" s="71"/>
    </row>
    <row r="64" spans="4:8" ht="20" customHeight="1" x14ac:dyDescent="0.25">
      <c r="D64" s="1"/>
      <c r="E64" s="73"/>
    </row>
    <row r="65" spans="4:9" ht="20" customHeight="1" x14ac:dyDescent="0.25">
      <c r="D65" s="1"/>
      <c r="E65" s="73"/>
    </row>
    <row r="66" spans="4:9" ht="20" customHeight="1" x14ac:dyDescent="0.25">
      <c r="D66" s="1"/>
      <c r="E66" s="74"/>
    </row>
    <row r="67" spans="4:9" ht="20" customHeight="1" x14ac:dyDescent="0.25"/>
    <row r="68" spans="4:9" ht="20" customHeight="1" x14ac:dyDescent="0.25"/>
    <row r="69" spans="4:9" ht="20" customHeight="1" x14ac:dyDescent="0.25">
      <c r="D69" s="75"/>
      <c r="E69" s="75"/>
      <c r="F69" s="75"/>
      <c r="G69" s="75"/>
      <c r="H69" s="75"/>
      <c r="I69" s="75"/>
    </row>
    <row r="70" spans="4:9" ht="20" customHeight="1" x14ac:dyDescent="0.25">
      <c r="D70" s="75"/>
      <c r="E70" s="75"/>
      <c r="F70" s="75"/>
      <c r="G70" s="75"/>
      <c r="H70" s="75"/>
      <c r="I70" s="75"/>
    </row>
    <row r="71" spans="4:9" ht="20" customHeight="1" x14ac:dyDescent="0.25">
      <c r="D71" s="75"/>
      <c r="E71" s="75"/>
      <c r="F71" s="75"/>
      <c r="G71" s="75"/>
      <c r="H71" s="75"/>
      <c r="I71" s="75"/>
    </row>
    <row r="72" spans="4:9" ht="20" customHeight="1" x14ac:dyDescent="0.25">
      <c r="D72" s="75"/>
      <c r="E72" s="75"/>
      <c r="F72" s="75"/>
      <c r="G72" s="75"/>
      <c r="H72" s="75"/>
      <c r="I72" s="75"/>
    </row>
    <row r="73" spans="4:9" ht="20" customHeight="1" x14ac:dyDescent="0.25"/>
    <row r="74" spans="4:9" ht="20" customHeight="1" x14ac:dyDescent="0.25"/>
    <row r="75" spans="4:9" ht="20" customHeight="1" x14ac:dyDescent="0.25"/>
    <row r="76" spans="4:9" ht="20" customHeight="1" x14ac:dyDescent="0.25"/>
    <row r="77" spans="4:9" ht="20" customHeight="1" x14ac:dyDescent="0.25"/>
    <row r="78" spans="4:9" ht="20" customHeight="1" x14ac:dyDescent="0.25">
      <c r="D78" s="76"/>
    </row>
    <row r="79" spans="4:9" ht="20" customHeight="1" x14ac:dyDescent="0.25">
      <c r="D79" s="76"/>
    </row>
    <row r="80" spans="4:9" ht="20" customHeight="1" x14ac:dyDescent="0.25">
      <c r="D80" s="76"/>
    </row>
    <row r="81" spans="4:4" ht="20" customHeight="1" x14ac:dyDescent="0.25">
      <c r="D81" s="76"/>
    </row>
    <row r="82" spans="4:4" ht="20" customHeight="1" x14ac:dyDescent="0.25">
      <c r="D82" s="76"/>
    </row>
    <row r="83" spans="4:4" ht="20" customHeight="1" x14ac:dyDescent="0.25"/>
    <row r="84" spans="4:4" ht="20" customHeight="1" x14ac:dyDescent="0.25"/>
    <row r="85" spans="4:4" ht="20" customHeight="1" x14ac:dyDescent="0.25"/>
    <row r="86" spans="4:4" ht="20" customHeight="1" x14ac:dyDescent="0.25"/>
    <row r="87" spans="4:4" ht="20" customHeight="1" x14ac:dyDescent="0.25"/>
    <row r="88" spans="4:4" ht="20" customHeight="1" x14ac:dyDescent="0.25"/>
    <row r="89" spans="4:4" ht="20" customHeight="1" x14ac:dyDescent="0.25"/>
    <row r="90" spans="4:4" ht="20" customHeight="1" x14ac:dyDescent="0.25"/>
    <row r="91" spans="4:4" ht="20" customHeight="1" x14ac:dyDescent="0.25"/>
    <row r="92" spans="4:4" ht="20" customHeight="1" x14ac:dyDescent="0.25"/>
    <row r="93" spans="4:4" ht="20" customHeight="1" x14ac:dyDescent="0.25"/>
    <row r="94" spans="4:4" ht="20" customHeight="1" x14ac:dyDescent="0.25"/>
    <row r="95" spans="4:4" ht="20" customHeight="1" x14ac:dyDescent="0.25"/>
    <row r="96" spans="4:4"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3"/>
  <sheetViews>
    <sheetView showGridLines="0" zoomScaleNormal="100" workbookViewId="0">
      <selection activeCell="E59" sqref="E59"/>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30" x14ac:dyDescent="0.35" customHeight="1">
      <c r="C1" s="29" t="s">
        <v>148</v>
      </c>
      <c r="D1" s="23"/>
      <c r="E1" s="23"/>
      <c r="F1" s="23"/>
      <c r="G1" s="23"/>
      <c r="H1" s="23"/>
      <c r="I1" s="23"/>
      <c r="J1" s="23"/>
    </row>
    <row r="2" spans="3:10" x14ac:dyDescent="0.25" ht="20" customHeight="1">
      <c r="C2" s="3"/>
      <c r="D2" s="3"/>
      <c r="E2" s="3"/>
      <c r="F2" s="3"/>
      <c r="G2" s="3"/>
      <c r="H2" s="3"/>
      <c r="I2" s="3"/>
      <c r="J2" s="3"/>
    </row>
    <row r="3" spans="3:10" ht="20" x14ac:dyDescent="0.25" customHeight="1">
      <c r="C3" s="30"/>
      <c r="D3" s="30"/>
      <c r="E3" s="30"/>
      <c r="F3" s="30"/>
      <c r="G3" s="30"/>
      <c r="H3" s="30"/>
      <c r="I3" s="30"/>
      <c r="J3" s="30"/>
    </row>
    <row r="5" spans="3:10" ht="20" x14ac:dyDescent="0.25" customHeight="1">
      <c r="D5" s="2" t="s">
        <v>88</v>
      </c>
      <c r="E5" s="26"/>
      <c r="F5" s="26"/>
      <c r="G5" s="26"/>
    </row>
    <row r="6" spans="3:10" x14ac:dyDescent="0.25" ht="20" customHeight="1">
      <c r="D6" s="33"/>
      <c r="E6" s="26"/>
      <c r="F6" s="26"/>
      <c r="G6" s="26"/>
    </row>
    <row r="7" spans="3:10" x14ac:dyDescent="0.25" ht="20" customHeight="1">
      <c r="D7" s="1" t="s">
        <v>89</v>
      </c>
      <c r="E7" s="35" t="s">
        <v>90</v>
      </c>
      <c r="F7" s="17"/>
      <c r="G7" s="26"/>
    </row>
    <row r="8" spans="3:10" x14ac:dyDescent="0.25" ht="20" customHeight="1">
      <c r="D8" s="13" t="s">
        <v>91</v>
      </c>
      <c r="E8" s="35" t="s">
        <v>92</v>
      </c>
      <c r="F8" s="26"/>
      <c r="G8" s="26"/>
    </row>
    <row r="9" spans="3:10" x14ac:dyDescent="0.25" ht="20" customHeight="1">
      <c r="D9" s="26"/>
      <c r="E9" s="26"/>
      <c r="F9" s="26"/>
      <c r="G9" s="26"/>
    </row>
    <row r="10" spans="3:10" x14ac:dyDescent="0.25" ht="20" customHeight="1">
      <c r="D10" s="37" t="s">
        <v>93</v>
      </c>
      <c r="E10" s="38"/>
      <c r="F10" s="39"/>
      <c r="G10" s="40"/>
    </row>
    <row r="11" spans="3:10" x14ac:dyDescent="0.25" ht="20" customHeight="1">
      <c r="D11" s="26"/>
      <c r="E11" s="26"/>
      <c r="F11" s="26"/>
      <c r="G11" s="26"/>
    </row>
    <row r="12" spans="3:10" x14ac:dyDescent="0.25" ht="20" customHeight="1">
      <c r="D12" s="13" t="s">
        <v>17</v>
      </c>
      <c r="E12" s="15">
        <v>45658</v>
      </c>
      <c r="F12" s="17" t="s">
        <v>94</v>
      </c>
      <c r="G12" s="26"/>
    </row>
    <row r="13" spans="3:10" x14ac:dyDescent="0.25" ht="20" customHeight="1">
      <c r="D13" s="13" t="s">
        <v>18</v>
      </c>
      <c r="E13" s="42">
        <f>DATE(YEAR(E12)+1,MONTH(E12),DAY(E12))-1</f>
        <v>46022</v>
      </c>
      <c r="F13" s="17" t="s">
        <v>95</v>
      </c>
      <c r="G13" s="26"/>
    </row>
    <row r="14" spans="3:10" x14ac:dyDescent="0.25" ht="20" customHeight="1">
      <c r="F14" s="26"/>
      <c r="G14" s="26"/>
    </row>
    <row r="16" spans="3:10" ht="20" x14ac:dyDescent="0.25" customHeight="1">
      <c r="D16" s="2" t="s">
        <v>19</v>
      </c>
    </row>
    <row r="18" spans="4:6" x14ac:dyDescent="0.25" ht="20" customHeight="1">
      <c r="D18" s="1" t="s">
        <v>14</v>
      </c>
      <c r="E18" s="15">
        <v>45962</v>
      </c>
      <c r="F18" s="17" t="s">
        <v>94</v>
      </c>
    </row>
    <row r="19" spans="4:6" x14ac:dyDescent="0.25" ht="20" customHeight="1">
      <c r="D19" s="1" t="s">
        <v>15</v>
      </c>
      <c r="E19" s="15">
        <v>46112</v>
      </c>
      <c r="F19" s="17" t="s">
        <v>94</v>
      </c>
    </row>
    <row r="20" spans="4:6" x14ac:dyDescent="0.25" ht="20" customHeight="1">
      <c r="D20" s="1" t="s">
        <v>16</v>
      </c>
      <c r="E20" s="16">
        <f>DATEDIF(E18,E19+1,"m")</f>
        <v>5</v>
      </c>
      <c r="F20" s="17" t="s">
        <v>117</v>
      </c>
    </row>
    <row r="22" spans="4:6" x14ac:dyDescent="0.25" ht="20" customHeight="1">
      <c r="D22" s="1" t="s">
        <v>150</v>
      </c>
      <c r="E22" s="79" cm="1">
        <f t="array" ref="E22">IF(X_Cell_Crop_CropPurpose = "Cash grain crop", X_Cell_Crop_TotalProductionOfCrop, 0)</f>
        <v>0</v>
      </c>
      <c r="F22" s="17" t="s">
        <v>20</v>
      </c>
    </row>
    <row r="23" spans="4:6" x14ac:dyDescent="0.25" ht="20" customHeight="1">
      <c r="D23" s="1" t="s">
        <v>154</v>
      </c>
      <c r="E23" s="19">
        <v>0.1</v>
      </c>
      <c r="F23" s="17" t="s">
        <v>149</v>
      </c>
    </row>
    <row r="24" spans="4:6" x14ac:dyDescent="0.25" ht="20" customHeight="1">
      <c r="D24" s="1" t="s">
        <v>155</v>
      </c>
      <c r="E24" s="19">
        <v>0.1</v>
      </c>
      <c r="F24" s="17" t="s">
        <v>149</v>
      </c>
    </row>
    <row r="25" spans="4:6" x14ac:dyDescent="0.25" ht="20" customHeight="1">
      <c r="D25" s="1" t="s">
        <v>156</v>
      </c>
      <c r="E25" s="20">
        <f>100%-E23-E24</f>
        <v>0.8</v>
      </c>
      <c r="F25" s="17" t="s">
        <v>149</v>
      </c>
    </row>
    <row r="27" spans="4:6" x14ac:dyDescent="0.25" ht="20" customHeight="1">
      <c r="D27" s="1" t="s">
        <v>152</v>
      </c>
      <c r="E27" s="79" cm="1">
        <f t="array" ref="E27">X_Cell_Crop_TotalResidueBaled</f>
        <v>0</v>
      </c>
      <c r="F27" s="17" t="s">
        <v>20</v>
      </c>
    </row>
    <row r="28" spans="4:6" x14ac:dyDescent="0.25" ht="20" customHeight="1">
      <c r="D28" s="1" t="s">
        <v>157</v>
      </c>
      <c r="E28" s="19">
        <v>0.2</v>
      </c>
      <c r="F28" s="17" t="s">
        <v>149</v>
      </c>
    </row>
    <row r="29" spans="4:6" x14ac:dyDescent="0.25" ht="20" customHeight="1">
      <c r="D29" s="1" t="s">
        <v>158</v>
      </c>
      <c r="E29" s="19">
        <v>0.1</v>
      </c>
      <c r="F29" s="17" t="s">
        <v>149</v>
      </c>
    </row>
    <row r="30" spans="4:6" x14ac:dyDescent="0.25" ht="20" customHeight="1">
      <c r="D30" s="1" t="s">
        <v>156</v>
      </c>
      <c r="E30" s="20">
        <f>100%-E28-E29</f>
        <v>0.70000000000000007</v>
      </c>
      <c r="F30" s="17" t="s">
        <v>149</v>
      </c>
    </row>
    <row r="32" spans="4:6" x14ac:dyDescent="0.25" ht="20" customHeight="1">
      <c r="D32" s="1" t="s">
        <v>151</v>
      </c>
      <c r="E32" s="19">
        <v>0.8</v>
      </c>
      <c r="F32" s="17" t="s">
        <v>149</v>
      </c>
    </row>
    <row r="33" spans="4:7" x14ac:dyDescent="0.25" ht="20" customHeight="1">
      <c r="D33" s="1" t="s">
        <v>153</v>
      </c>
      <c r="E33" s="19">
        <v>0.2</v>
      </c>
      <c r="F33" s="17" t="s">
        <v>149</v>
      </c>
    </row>
    <row r="36" spans="4:7" ht="20" x14ac:dyDescent="0.25" customHeight="1">
      <c r="D36" s="2" t="s">
        <v>265</v>
      </c>
    </row>
    <row r="39" spans="4:7" ht="20" x14ac:dyDescent="0.25" customHeight="1">
      <c r="D39" s="80" t="str">
        <f>"Carbon captured from " &amp; TEXT(X_Cell_Site_StartDate, "d mmmm yyyy") &amp; " to " &amp; TEXT(X_Cell_Site_EndDate, "d, mmmm, yyyy") &amp; " from environmental plantings"</f>
        <v>Carbon captured from 1 January 2025 to 31, December, 2025 from environmental plantings</v>
      </c>
    </row>
    <row r="41" spans="4:7" x14ac:dyDescent="0.25" ht="20" customHeight="1">
      <c r="D41" s="21" t="s">
        <v>266</v>
      </c>
      <c r="E41" s="21" t="s">
        <v>267</v>
      </c>
      <c r="F41" s="21" t="s">
        <v>268</v>
      </c>
      <c r="G41" s="81" t="s">
        <v>269</v>
      </c>
    </row>
    <row r="42" spans="4:7" x14ac:dyDescent="0.25" ht="20" customHeight="1">
      <c r="D42" s="35"/>
      <c r="E42" s="77"/>
      <c r="F42" s="19"/>
      <c r="G42" s="1">
        <f>Table_Input_Enterprise_PlantingRemovals[[#This Row],[Total removed CO2]]*Table_Input_Enterprise_PlantingRemovals[[#This Row],[Percent allocated to this enterprise]]</f>
        <v>0</v>
      </c>
    </row>
    <row r="46" spans="4:7" ht="20" x14ac:dyDescent="0.25" customHeight="1">
      <c r="D46" s="2" t="s">
        <v>270</v>
      </c>
    </row>
    <row r="48" spans="4:7" ht="20" x14ac:dyDescent="0.25" customHeight="1">
      <c r="D48"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x14ac:dyDescent="0.25" ht="20" customHeight="1">
      <c r="D50" s="90"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x14ac:dyDescent="0.25" ht="20" customHeight="1">
      <c r="D51" s="1" t="s">
        <v>271</v>
      </c>
    </row>
    <row r="53" spans="4:7" x14ac:dyDescent="0.25" ht="20" customHeight="1">
      <c r="D53" s="81" t="s">
        <v>116</v>
      </c>
      <c r="E53" s="81" t="s">
        <v>11</v>
      </c>
      <c r="F53" s="81" t="s">
        <v>12</v>
      </c>
    </row>
    <row r="54" spans="4:7" x14ac:dyDescent="0.25" ht="20" customHeight="1">
      <c r="D54" s="1" t="str" cm="1">
        <f t="array" ref="D54:D55">Common_InputFunctions.getOverlappingReportingPeriods(X_Cell_Enterprise_ProductionTimeframeStart,X_Cell_Enterprise_ProductionTimeframeEnd,X_Cell_Site_StartDate)</f>
        <v>01 Jan 2025 to 31 Dec 2025 (This reporting cycle)</v>
      </c>
      <c r="E54" s="77" t="e">
        <f>IF(ISBLANK($D54), 0, IF(ISNUMBER(SEARCH("reporting", $D54)), Result_Enterprise_Gross_Method1, "Enter value"))</f>
        <v>#NAME?</v>
      </c>
      <c r="F54" s="77" t="e">
        <f>IF(ISBLANK($D54), 0, IF(ISNUMBER(SEARCH("reporting", $D54)), Result_Enterprise_Gross_Method2, "Enter value"))</f>
        <v>#NAME?</v>
      </c>
      <c r="G54" s="10" t="s">
        <v>8</v>
      </c>
    </row>
    <row r="55" spans="4:7" x14ac:dyDescent="0.25" ht="20" customHeight="1">
      <c r="D55" s="1" t="str">
        <v>01 Jan 2026 to 31 Dec 2026</v>
      </c>
      <c r="E55" s="77" t="str">
        <f>IF(ISBLANK($D55), 0, IF(ISNUMBER(SEARCH("reporting", $D55)), Result_Enterprise_Gross_Method1, "Enter value"))</f>
        <v>Enter value</v>
      </c>
      <c r="F55" s="77" t="str">
        <f>IF(ISBLANK($D55), 0, IF(ISNUMBER(SEARCH("reporting", $D55)), Result_Enterprise_Gross_Method2, "Enter value"))</f>
        <v>Enter value</v>
      </c>
      <c r="G55" s="10" t="s">
        <v>8</v>
      </c>
    </row>
    <row r="56" spans="4:7" x14ac:dyDescent="0.25" ht="20" customHeight="1">
      <c r="E56" s="77">
        <f>IF(ISBLANK($D56), 0, IF(ISNUMBER(SEARCH("reporting", $D56)), Result_Enterprise_Gross_Method1, "Enter value"))</f>
        <v>0</v>
      </c>
      <c r="F56" s="77">
        <f>IF(ISBLANK($D56), 0, IF(ISNUMBER(SEARCH("reporting", $D56)), Result_Enterprise_Gross_Method2, "Enter value"))</f>
        <v>0</v>
      </c>
      <c r="G56" s="10" t="s">
        <v>8</v>
      </c>
    </row>
    <row r="57" spans="4:7" x14ac:dyDescent="0.25" ht="20" customHeight="1">
      <c r="E57" s="77">
        <f>IF(ISBLANK($D57), 0, IF(ISNUMBER(SEARCH("reporting", $D57)), Result_Enterprise_Gross_Method1, "Enter value"))</f>
        <v>0</v>
      </c>
      <c r="F57" s="77">
        <f>IF(ISBLANK($D57), 0, IF(ISNUMBER(SEARCH("reporting", $D57)), Result_Enterprise_Gross_Method2, "Enter value"))</f>
        <v>0</v>
      </c>
      <c r="G57" s="10" t="s">
        <v>8</v>
      </c>
    </row>
    <row r="58" spans="4:7" x14ac:dyDescent="0.25" ht="20" customHeight="1">
      <c r="E58" s="77">
        <f>IF(ISBLANK($D58), 0, IF(ISNUMBER(SEARCH("reporting", $D58)), Result_Enterprise_Gross_Method1, "Enter value"))</f>
        <v>0</v>
      </c>
      <c r="F58" s="77">
        <f>IF(ISBLANK($D58), 0, IF(ISNUMBER(SEARCH("reporting", $D58)), Result_Enterprise_Gross_Method2, "Enter value"))</f>
        <v>0</v>
      </c>
      <c r="G58" s="10" t="s">
        <v>8</v>
      </c>
    </row>
    <row r="59" spans="4:7" x14ac:dyDescent="0.25" ht="20" customHeight="1">
      <c r="D59" s="91" t="s">
        <v>129</v>
      </c>
      <c r="E59" s="86" t="e">
        <f>SUM(E54:E58)</f>
        <v>#NAME?</v>
      </c>
      <c r="F59" s="86" t="e">
        <f>SUM(F54:F58)</f>
        <v>#NAME?</v>
      </c>
      <c r="G59" s="92" t="s">
        <v>8</v>
      </c>
    </row>
    <row r="64" spans="4:7" ht="20" x14ac:dyDescent="0.25" customHeight="1">
      <c r="D64"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x14ac:dyDescent="0.25" ht="20" customHeight="1">
      <c r="D66" s="81" t="s">
        <v>116</v>
      </c>
      <c r="E66" s="81" t="s">
        <v>127</v>
      </c>
      <c r="F66" s="81"/>
    </row>
    <row r="67" spans="4:7" x14ac:dyDescent="0.25" ht="20" customHeight="1">
      <c r="D67" s="1" t="str" cm="1">
        <f t="array" ref="D67:D68">Common_InputFunctions.getOverlappingReportingPeriods(X_Cell_Enterprise_ProductionTimeframeStart,X_Cell_Enterprise_ProductionTimeframeEnd,X_Cell_Site_StartDate)</f>
        <v>01 Jan 2025 to 31 Dec 2025 (This reporting cycle)</v>
      </c>
      <c r="E67" s="77">
        <f>IF(ISBLANK($D67), 0, IF(ISNUMBER(SEARCH("reporting", $D67)), SUM(Table_Input_Enterprise_PlantingRemovals[Removal allocated to this enterprise]), "Enter value"))</f>
        <v>0</v>
      </c>
      <c r="F67" s="10" t="s">
        <v>128</v>
      </c>
    </row>
    <row r="68" spans="4:7" x14ac:dyDescent="0.25" ht="20" customHeight="1">
      <c r="D68" s="1" t="str">
        <v>01 Jan 2026 to 31 Dec 2026</v>
      </c>
      <c r="E68" s="77" t="str">
        <f>IF(ISBLANK($D68), 0, IF(ISNUMBER(SEARCH("reporting", $D68)), SUM(Table_Input_Enterprise_PlantingRemovals[Removal allocated to this enterprise]), "Enter value"))</f>
        <v>Enter value</v>
      </c>
      <c r="F68" s="10" t="s">
        <v>128</v>
      </c>
    </row>
    <row r="69" spans="4:7" x14ac:dyDescent="0.25" ht="20" customHeight="1">
      <c r="E69" s="77">
        <f>IF(ISBLANK($D69), 0, IF(ISNUMBER(SEARCH("reporting", $D69)), SUM(Table_Input_Enterprise_PlantingRemovals[Removal allocated to this enterprise]), "Enter value"))</f>
        <v>0</v>
      </c>
      <c r="F69" s="10" t="s">
        <v>128</v>
      </c>
    </row>
    <row r="70" spans="4:7" x14ac:dyDescent="0.25" ht="20" customHeight="1">
      <c r="E70" s="77">
        <f>IF(ISBLANK($D70), 0, IF(ISNUMBER(SEARCH("reporting", $D70)), SUM(Table_Input_Enterprise_PlantingRemovals[Removal allocated to this enterprise]), "Enter value"))</f>
        <v>0</v>
      </c>
      <c r="F70" s="10" t="s">
        <v>128</v>
      </c>
    </row>
    <row r="71" spans="4:7" x14ac:dyDescent="0.25" ht="20" customHeight="1">
      <c r="E71" s="77">
        <f>IF(ISBLANK($D71), 0, IF(ISNUMBER(SEARCH("reporting", $D71)), SUM(Table_Input_Enterprise_PlantingRemovals[Removal allocated to this enterprise]), "Enter value"))</f>
        <v>0</v>
      </c>
      <c r="F71" s="10" t="s">
        <v>128</v>
      </c>
    </row>
    <row r="72" spans="4:7" x14ac:dyDescent="0.25" ht="20" customHeight="1">
      <c r="D72" s="91" t="s">
        <v>130</v>
      </c>
      <c r="E72" s="86">
        <f>SUM(E67:E71)</f>
        <v>0</v>
      </c>
      <c r="F72" s="92" t="s">
        <v>128</v>
      </c>
    </row>
    <row r="75" spans="4:7" ht="20" x14ac:dyDescent="0.25" customHeight="1">
      <c r="D75" s="80"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x14ac:dyDescent="0.25" ht="20" customHeight="1">
      <c r="D77" s="81" t="s">
        <v>116</v>
      </c>
      <c r="E77" s="81" t="s">
        <v>11</v>
      </c>
      <c r="F77" s="81" t="s">
        <v>12</v>
      </c>
    </row>
    <row r="78" spans="4:7" x14ac:dyDescent="0.25" ht="20" customHeight="1">
      <c r="D78" s="1" t="str" cm="1">
        <f t="array" ref="D78:D79">Common_InputFunctions.getOverlappingReportingPeriods(X_Cell_Enterprise_ProductionTimeframeStart,X_Cell_Enterprise_ProductionTimeframeEnd,X_Cell_Site_StartDate)</f>
        <v>01 Jan 2025 to 31 Dec 2025 (This reporting cycle)</v>
      </c>
      <c r="E78" s="77" t="e">
        <f>IF(ISBLANK($D78), 0, IF(ISNUMBER(SEARCH("reporting", $D78)), E54-$E$67, "Enter value"))</f>
        <v>#NAME?</v>
      </c>
      <c r="F78" s="77" t="e">
        <f>IF(ISBLANK($D78), 0, IF(ISNUMBER(SEARCH("reporting", $D78)), F54-$E$67, "Enter value"))</f>
        <v>#NAME?</v>
      </c>
      <c r="G78" s="10" t="s">
        <v>8</v>
      </c>
    </row>
    <row r="79" spans="4:7" x14ac:dyDescent="0.25" ht="20" customHeight="1">
      <c r="D79" s="1" t="str">
        <v>01 Jan 2026 to 31 Dec 2026</v>
      </c>
      <c r="E79" s="77" t="str">
        <f>IF(ISBLANK($D79), 0, IF(ISNUMBER(SEARCH("reporting", $D79)), E55-$E$68, "Enter value"))</f>
        <v>Enter value</v>
      </c>
      <c r="F79" s="77" t="str">
        <f>IF(ISBLANK($D79), 0, IF(ISNUMBER(SEARCH("reporting", $D79)), F55-$E$68, "Enter value"))</f>
        <v>Enter value</v>
      </c>
      <c r="G79" s="10" t="s">
        <v>8</v>
      </c>
    </row>
    <row r="80" spans="4:7" x14ac:dyDescent="0.25" ht="20" customHeight="1">
      <c r="E80" s="77">
        <f>IF(ISBLANK($D80), 0, IF(ISNUMBER(SEARCH("reporting", $D80)), E56-$E$69, "Enter value"))</f>
        <v>0</v>
      </c>
      <c r="F80" s="77">
        <f>IF(ISBLANK($D80), 0, IF(ISNUMBER(SEARCH("reporting", $D80)), F56-$E$69, "Enter value"))</f>
        <v>0</v>
      </c>
      <c r="G80" s="10" t="s">
        <v>8</v>
      </c>
    </row>
    <row r="81" spans="4:7" x14ac:dyDescent="0.25" ht="20" customHeight="1">
      <c r="E81" s="77">
        <f>IF(ISBLANK($D81), 0, IF(ISNUMBER(SEARCH("reporting", $D81)), E57-$E$70, "Enter value"))</f>
        <v>0</v>
      </c>
      <c r="F81" s="77">
        <f>IF(ISBLANK($D81), 0, IF(ISNUMBER(SEARCH("reporting", $D81)), F57-$E$70, "Enter value"))</f>
        <v>0</v>
      </c>
      <c r="G81" s="10" t="s">
        <v>8</v>
      </c>
    </row>
    <row r="82" spans="4:7" x14ac:dyDescent="0.25" ht="20" customHeight="1">
      <c r="E82" s="77">
        <f>IF(ISBLANK($D82), 0, IF(ISNUMBER(SEARCH("reporting", $D82)), E58-$E$71, "Enter value"))</f>
        <v>0</v>
      </c>
      <c r="F82" s="77">
        <f>IF(ISBLANK($D82), 0, IF(ISNUMBER(SEARCH("reporting", $D82)), F58-$E$71, "Enter value"))</f>
        <v>0</v>
      </c>
      <c r="G82" s="10" t="s">
        <v>8</v>
      </c>
    </row>
    <row r="83" spans="4:7" x14ac:dyDescent="0.25" ht="20" customHeight="1">
      <c r="D83" s="91" t="s">
        <v>129</v>
      </c>
      <c r="E83" s="86" t="e">
        <f>SUM(E78:E82)</f>
        <v>#NAME?</v>
      </c>
      <c r="F83" s="86" t="e">
        <f>SUM(F78:F82)</f>
        <v>#NAME?</v>
      </c>
      <c r="G83" s="92"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358B0-3547-450A-B366-699B2B08FF33}">
  <sheetPr>
    <tabColor rgb="FFCC6600"/>
  </sheetPr>
  <dimension ref="C1:K59"/>
  <sheetViews>
    <sheetView topLeftCell="A7" workbookViewId="0">
      <selection activeCell="E29" sqref="E29"/>
    </sheetView>
  </sheetViews>
  <sheetFormatPr defaultRowHeight="20" x14ac:dyDescent="0.25" customHeight="1"/>
  <cols>
    <col min="1" max="1" width="30.7109375" customWidth="1"/>
    <col min="2" max="2" width="4.7109375" customWidth="1"/>
    <col min="3" max="3" width="4.7109375" style="1" customWidth="1"/>
    <col min="4" max="4" width="59.5703125" style="1" customWidth="1"/>
    <col min="5" max="10" width="30.7109375" style="1" customWidth="1"/>
    <col min="11" max="11" width="4.7109375" style="1" customWidth="1"/>
    <col min="12" max="12" width="30.7109375" customWidth="1"/>
  </cols>
  <sheetData>
    <row r="1" spans="3:11" s="11" customFormat="1" ht="30" x14ac:dyDescent="0.35" customHeight="1"/>
    <row r="2" spans="3:11" s="3" customFormat="1" ht="20" customHeight="1" x14ac:dyDescent="0.25"/>
    <row r="3" spans="3:11" ht="20" customHeight="1" x14ac:dyDescent="0.25">
      <c r="C3" s="30"/>
      <c r="D3" s="30"/>
      <c r="E3" s="30"/>
      <c r="F3" s="30"/>
      <c r="G3" s="30"/>
      <c r="H3" s="30"/>
      <c r="I3" s="30"/>
      <c r="J3" s="30"/>
      <c r="K3" s="30"/>
    </row>
    <row r="4" spans="3:11" ht="20" customHeight="1" x14ac:dyDescent="0.25"/>
    <row r="5" spans="3:11" ht="20" customHeight="1" x14ac:dyDescent="0.25">
      <c r="D5" s="2" t="s">
        <v>298</v>
      </c>
    </row>
    <row r="6" spans="3:11" ht="20" customHeight="1" x14ac:dyDescent="0.25"/>
    <row r="7" spans="3:11" ht="20" customHeight="1" x14ac:dyDescent="0.25">
      <c r="D7" s="71" t="s">
        <v>299</v>
      </c>
      <c r="E7" s="71"/>
      <c r="F7" s="71"/>
    </row>
    <row r="8" spans="3:11" ht="20" customHeight="1" x14ac:dyDescent="0.25"/>
    <row r="9" spans="3:11" ht="20" customHeight="1" x14ac:dyDescent="0.25">
      <c r="D9" s="1" t="s">
        <v>180</v>
      </c>
      <c r="E9" s="16" t="s">
        <v>311</v>
      </c>
    </row>
    <row r="10" spans="3:11" ht="20" customHeight="1" x14ac:dyDescent="0.25">
      <c r="D10" s="13" t="s">
        <v>64</v>
      </c>
      <c r="E10" s="14" t="s">
        <v>312</v>
      </c>
      <c r="F10" s="17" t="s">
        <v>313</v>
      </c>
    </row>
    <row r="11" spans="3:11" ht="20" customHeight="1" x14ac:dyDescent="0.25"/>
    <row r="12" spans="3:11" ht="20" customHeight="1" x14ac:dyDescent="0.25">
      <c r="D12" s="1" t="s">
        <v>181</v>
      </c>
      <c r="E12" s="100">
        <v>1000</v>
      </c>
      <c r="F12" s="17" t="s">
        <v>331</v>
      </c>
    </row>
    <row r="13" spans="3:11" ht="20" customHeight="1" x14ac:dyDescent="0.25"/>
    <row r="14" spans="3:11" ht="20" customHeight="1" x14ac:dyDescent="0.25">
      <c r="D14" s="2" t="s">
        <v>300</v>
      </c>
    </row>
    <row r="15" spans="3:11" ht="20" customHeight="1" x14ac:dyDescent="0.25"/>
    <row r="16" spans="3:11" ht="20" customHeight="1" x14ac:dyDescent="0.25">
      <c r="D16" s="1" t="s">
        <v>324</v>
      </c>
      <c r="E16" s="77">
        <v>2</v>
      </c>
      <c r="F16" s="17" t="s">
        <v>323</v>
      </c>
    </row>
    <row r="17" spans="4:6" ht="20" customHeight="1" x14ac:dyDescent="0.25">
      <c r="D17" s="1" t="s">
        <v>322</v>
      </c>
      <c r="E17" s="16">
        <f>X_Cell_Crop_AreaUnderCropping*E16</f>
        <v>2000</v>
      </c>
      <c r="F17" s="17" t="s">
        <v>317</v>
      </c>
    </row>
    <row r="18" spans="4:6" ht="20" customHeight="1" x14ac:dyDescent="0.25">
      <c r="D18" s="1" t="s">
        <v>325</v>
      </c>
      <c r="E18" s="77">
        <v>4.41</v>
      </c>
      <c r="F18" s="17" t="s">
        <v>319</v>
      </c>
    </row>
    <row r="19" spans="4:6" ht="20" customHeight="1" x14ac:dyDescent="0.25">
      <c r="D19" s="1" t="s">
        <v>320</v>
      </c>
      <c r="E19" s="77">
        <v>227</v>
      </c>
      <c r="F19" s="17" t="s">
        <v>321</v>
      </c>
    </row>
    <row r="20" spans="4:6" ht="20" customHeight="1" x14ac:dyDescent="0.25">
      <c r="D20" s="1" t="s">
        <v>332</v>
      </c>
      <c r="E20" s="16">
        <f>(E17*E18)*E19*10^-3</f>
        <v>2002.14</v>
      </c>
      <c r="F20" s="17" t="s">
        <v>20</v>
      </c>
    </row>
    <row r="21" spans="4:6" ht="20" customHeight="1" x14ac:dyDescent="0.25">
      <c r="D21" s="1" t="s">
        <v>314</v>
      </c>
      <c r="E21" s="102">
        <v>0.41839999999999999</v>
      </c>
      <c r="F21" s="17" t="s">
        <v>149</v>
      </c>
    </row>
    <row r="22" spans="4:6" ht="20" customHeight="1" x14ac:dyDescent="0.25">
      <c r="D22" s="1" t="s">
        <v>315</v>
      </c>
      <c r="E22" s="16">
        <f>(E19*E18)/E21</f>
        <v>2392.6147227533461</v>
      </c>
      <c r="F22" s="17" t="s">
        <v>316</v>
      </c>
    </row>
    <row r="23" spans="4:6" ht="20" customHeight="1" x14ac:dyDescent="0.25"/>
    <row r="24" spans="4:6" ht="20" customHeight="1" x14ac:dyDescent="0.25">
      <c r="D24" s="1" t="s">
        <v>318</v>
      </c>
      <c r="E24" s="77">
        <v>250</v>
      </c>
      <c r="F24" s="17" t="s">
        <v>316</v>
      </c>
    </row>
    <row r="25" spans="4:6" ht="20" customHeight="1" x14ac:dyDescent="0.25">
      <c r="D25" s="1" t="s">
        <v>334</v>
      </c>
      <c r="E25" s="16">
        <f>E24*E17*10^-3</f>
        <v>500</v>
      </c>
      <c r="F25" s="17" t="s">
        <v>20</v>
      </c>
    </row>
    <row r="26" spans="4:6" ht="20" customHeight="1" x14ac:dyDescent="0.25"/>
    <row r="27" spans="4:6" ht="20" customHeight="1" x14ac:dyDescent="0.25">
      <c r="D27" s="1" t="s">
        <v>333</v>
      </c>
    </row>
    <row r="28" spans="4:6" ht="20" customHeight="1" x14ac:dyDescent="0.25">
      <c r="D28" s="78"/>
    </row>
    <row r="29" spans="4:6" ht="20" customHeight="1" x14ac:dyDescent="0.25">
      <c r="D29" s="1" t="s">
        <v>326</v>
      </c>
      <c r="E29" s="16" cm="1">
        <f t="array" ref="E29">Common_InputFunctions.Utility_LookupValueInTableNumber(X_Cell_Crop_CropType, [1]!Table_SourceData_CropAttributes[Crop type],[1]!Table_SourceData_CropAttributes[Residue: Crop ratio])</f>
        <v>1.9</v>
      </c>
    </row>
    <row r="30" spans="4:6" ht="20" customHeight="1" x14ac:dyDescent="0.25">
      <c r="D30" s="90"/>
    </row>
    <row r="31" spans="4:6" ht="20" customHeight="1" x14ac:dyDescent="0.25">
      <c r="D31" s="90"/>
    </row>
    <row r="32" spans="4:6" ht="20" customHeight="1" x14ac:dyDescent="0.25"/>
    <row r="33" spans="4:6" ht="20" customHeight="1" x14ac:dyDescent="0.25">
      <c r="D33" s="2" t="s">
        <v>301</v>
      </c>
    </row>
    <row r="34" spans="4:6" ht="20" customHeight="1" x14ac:dyDescent="0.25"/>
    <row r="35" spans="4:6" ht="20" customHeight="1" x14ac:dyDescent="0.25">
      <c r="D35" s="1" t="e">
        <f>"Residue after " &amp; VLOOKUP(X_Cell_Crop_CropPurpose,'[1]Constants - Ag Residue'!D8:G10, 4, FALSE)</f>
        <v>#N/A</v>
      </c>
      <c r="E35" s="16">
        <f>E29*X_Cell_Crop_AreaUnderCropping</f>
        <v>1900</v>
      </c>
      <c r="F35" s="17" t="s">
        <v>327</v>
      </c>
    </row>
    <row r="36" spans="4:6" ht="20" customHeight="1" x14ac:dyDescent="0.25"/>
    <row r="37" spans="4:6" ht="20" customHeight="1" x14ac:dyDescent="0.25">
      <c r="D37" s="80" t="s">
        <v>302</v>
      </c>
    </row>
    <row r="38" spans="4:6" ht="20" customHeight="1" x14ac:dyDescent="0.25">
      <c r="D38" s="1" t="s">
        <v>303</v>
      </c>
      <c r="E38" s="16">
        <f>E28*X_Cell_Crop_AreaUnderCropping</f>
        <v>0</v>
      </c>
      <c r="F38" s="17" t="s">
        <v>328</v>
      </c>
    </row>
    <row r="39" spans="4:6" ht="20" customHeight="1" x14ac:dyDescent="0.25">
      <c r="D39" s="1" t="s">
        <v>304</v>
      </c>
      <c r="F39" s="17" t="s">
        <v>329</v>
      </c>
    </row>
    <row r="40" spans="4:6" ht="20" customHeight="1" x14ac:dyDescent="0.25">
      <c r="D40" s="78" t="s">
        <v>305</v>
      </c>
      <c r="F40" s="17" t="s">
        <v>330</v>
      </c>
    </row>
    <row r="41" spans="4:6" ht="20" customHeight="1" x14ac:dyDescent="0.25">
      <c r="D41" s="78" t="s">
        <v>306</v>
      </c>
      <c r="E41" s="19">
        <v>0.11</v>
      </c>
      <c r="F41" s="17" t="s">
        <v>327</v>
      </c>
    </row>
    <row r="42" spans="4:6" ht="20" customHeight="1" x14ac:dyDescent="0.25">
      <c r="E42" s="77">
        <v>60</v>
      </c>
    </row>
    <row r="43" spans="4:6" ht="20" customHeight="1" x14ac:dyDescent="0.25">
      <c r="D43" s="80" t="s">
        <v>307</v>
      </c>
      <c r="E43" s="101">
        <f>IFERROR((X_Cell_Crop_TotalResidueBaled*10^3)/X_Cell_Crop_AverageWeightPerBale, 0)</f>
        <v>0</v>
      </c>
    </row>
    <row r="44" spans="4:6" ht="20" customHeight="1" x14ac:dyDescent="0.25">
      <c r="D44" s="1" t="s">
        <v>308</v>
      </c>
      <c r="E44" s="16">
        <f>E38*X_Cell_Crop_PercentResidueBaled</f>
        <v>0</v>
      </c>
      <c r="F44" s="17" t="s">
        <v>328</v>
      </c>
    </row>
    <row r="45" spans="4:6" ht="20" customHeight="1" x14ac:dyDescent="0.25">
      <c r="D45" s="1" t="s">
        <v>309</v>
      </c>
      <c r="F45" s="17" t="s">
        <v>327</v>
      </c>
    </row>
    <row r="46" spans="4:6" ht="20" customHeight="1" x14ac:dyDescent="0.25"/>
    <row r="47" spans="4:6" ht="20" customHeight="1" x14ac:dyDescent="0.25">
      <c r="D47" s="1" t="s">
        <v>310</v>
      </c>
      <c r="E47" s="19">
        <v>0.3</v>
      </c>
      <c r="F47" s="17" t="s">
        <v>327</v>
      </c>
    </row>
    <row r="48" spans="4:6" ht="20" customHeight="1" x14ac:dyDescent="0.25">
      <c r="E48" s="16">
        <f>E38*X_Cell_Crop_PercentResidueBurned</f>
        <v>0</v>
      </c>
    </row>
    <row r="49" spans="5:5" ht="20" customHeight="1" x14ac:dyDescent="0.25"/>
    <row r="50" spans="5:5" ht="20" customHeight="1" x14ac:dyDescent="0.25">
      <c r="E50" s="16">
        <f>E38-X_Cell_Crop_TotalResidueBaled-E48</f>
        <v>0</v>
      </c>
    </row>
    <row r="51" spans="5:5" ht="20" customHeight="1" x14ac:dyDescent="0.25"/>
    <row r="52" spans="5:5" ht="20" customHeight="1" x14ac:dyDescent="0.25"/>
    <row r="53" spans="5:5" ht="20" customHeight="1" x14ac:dyDescent="0.25"/>
    <row r="54" spans="5:5" ht="20" customHeight="1" x14ac:dyDescent="0.25"/>
    <row r="55" spans="5:5" ht="20" customHeight="1" x14ac:dyDescent="0.25"/>
    <row r="56" spans="5:5" ht="20" customHeight="1" x14ac:dyDescent="0.25"/>
    <row r="57" spans="5:5" ht="20" customHeight="1" x14ac:dyDescent="0.25"/>
    <row r="58" spans="5:5" ht="20" customHeight="1" x14ac:dyDescent="0.25"/>
    <row r="59" spans="5:5" ht="20" customHeight="1" x14ac:dyDescent="0.25"/>
  </sheetData>
  <conditionalFormatting sqref="F47">
    <cfRule type="cellIs" dxfId="0" priority="1" operator="lessThan">
      <formula>0</formula>
    </cfRule>
  </conditionalFormatting>
  <dataValidations count="1">
    <dataValidation type="list" allowBlank="1" showInputMessage="1" showErrorMessage="1" sqref="E10" xr:uid="{17671CC9-537C-4730-851C-300987B94431}">
      <formula1>INDIRECT("Table_SourceData_Fertiliser_IrrigationMethods[Irrigation method]")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E23" sqref="E23"/>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30" x14ac:dyDescent="0.35" customHeight="1">
      <c r="A1" s="11" t="e" vm="1">
        <v>#VALUE!</v>
      </c>
      <c r="C1" s="11" t="s">
        <v>177</v>
      </c>
    </row>
    <row r="2" spans="1:11" s="3" customFormat="1" x14ac:dyDescent="0.25" ht="20" customHeight="1"/>
    <row r="3" spans="1:11" ht="20" x14ac:dyDescent="0.25" customHeight="1">
      <c r="C3" s="30"/>
      <c r="D3" s="30"/>
      <c r="E3" s="30"/>
      <c r="F3" s="30"/>
      <c r="G3" s="30"/>
      <c r="H3" s="30"/>
      <c r="I3" s="30"/>
      <c r="J3" s="30"/>
      <c r="K3" s="30"/>
    </row>
    <row r="5" spans="1:11" x14ac:dyDescent="0.25" ht="20" customHeight="1">
      <c r="D5" s="71" t="s">
        <v>182</v>
      </c>
      <c r="E5" s="71"/>
      <c r="F5" s="71"/>
      <c r="G5" s="71"/>
    </row>
    <row r="6" spans="1:11" x14ac:dyDescent="0.25" ht="20" customHeight="1">
      <c r="F6" s="17"/>
    </row>
    <row r="7" spans="1:11" x14ac:dyDescent="0.25" ht="20" customHeight="1">
      <c r="D7" s="1" t="s">
        <v>178</v>
      </c>
      <c r="E7" s="16" t="s">
        <v>179</v>
      </c>
      <c r="F7" s="17"/>
    </row>
    <row r="8" spans="1:11" x14ac:dyDescent="0.25" ht="20" customHeight="1">
      <c r="D8" s="1" t="s">
        <v>180</v>
      </c>
      <c r="E8" s="16" t="str" cm="1">
        <f t="array" ref="E8">_xlfn.IFS(X_Cell_Crop_CropType="Maize", "Maize", X_Cell_Crop_CropType="Cotton", "Cotton", TRUE, "Grains")</f>
        <v>Cotton</v>
      </c>
      <c r="F8" s="17"/>
    </row>
    <row r="9" spans="1:11" x14ac:dyDescent="0.25" ht="20" customHeight="1">
      <c r="D9" s="1" t="s">
        <v>64</v>
      </c>
      <c r="E9" s="16" t="e" cm="1">
        <f t="array" ref="E9">X_Cell_Crop_IrrigationMethod</f>
        <v>#NAME?</v>
      </c>
    </row>
    <row r="10" spans="1:11" x14ac:dyDescent="0.25" ht="20" customHeight="1">
      <c r="D10" s="1" t="s">
        <v>181</v>
      </c>
      <c r="E10" s="16" cm="1">
        <f t="array" ref="E10">X_Cell_Crop_AreaUnderCropping</f>
        <v>1000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65"/>
  <sheetViews>
    <sheetView showGridLines="0" tabSelected="1" topLeftCell="A8" zoomScaleNormal="100" workbookViewId="0">
      <selection activeCell="E14" sqref="E14"/>
    </sheetView>
  </sheetViews>
  <sheetFormatPr defaultRowHeight="20" x14ac:dyDescent="0.25" customHeight="1"/>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30" x14ac:dyDescent="0.35" customHeight="1">
      <c r="C1" s="11" t="s">
        <v>183</v>
      </c>
    </row>
    <row r="2" spans="3:13" s="3" customFormat="1" x14ac:dyDescent="0.25" ht="20" customHeight="1"/>
    <row r="3" spans="3:13" ht="20" x14ac:dyDescent="0.25" customHeight="1">
      <c r="C3" s="30"/>
      <c r="D3" s="30"/>
      <c r="E3" s="30"/>
      <c r="F3" s="30"/>
      <c r="G3" s="30"/>
      <c r="H3" s="30"/>
      <c r="I3" s="30"/>
      <c r="J3" s="30"/>
      <c r="K3" s="30"/>
      <c r="L3" s="30"/>
      <c r="M3" s="30"/>
    </row>
    <row r="5" spans="3:13" ht="20" x14ac:dyDescent="0.25" customHeight="1">
      <c r="D5" s="2" t="s">
        <v>255</v>
      </c>
    </row>
    <row r="7" spans="3:13" x14ac:dyDescent="0.25" ht="20" customHeight="1">
      <c r="D7" s="81" t="s">
        <v>256</v>
      </c>
      <c r="E7" s="81" t="s">
        <v>257</v>
      </c>
      <c r="F7" s="81" t="s">
        <v>258</v>
      </c>
      <c r="G7" s="81" t="s">
        <v>259</v>
      </c>
      <c r="H7" s="81" t="s">
        <v>184</v>
      </c>
      <c r="I7" s="81" t="s">
        <v>185</v>
      </c>
      <c r="J7" s="81" t="s">
        <v>186</v>
      </c>
    </row>
    <row r="8" spans="3:13" x14ac:dyDescent="0.25" ht="20" customHeight="1">
      <c r="D8" s="1" t="str">
        <f>"Unprocessed cotton yield"</f>
        <v>Unprocessed cotton yield</v>
      </c>
      <c r="E8" s="14" t="s">
        <v>235</v>
      </c>
      <c r="F8" s="14" t="s">
        <v>240</v>
      </c>
      <c r="G8" s="14" t="s">
        <v>245</v>
      </c>
      <c r="H8" s="85"/>
      <c r="I8" s="85"/>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ht="20" customHeight="1">
      <c r="D9" s="1" t="str">
        <f>"Processed cotton lint yield"</f>
        <v>Processed cotton lint yield</v>
      </c>
      <c r="E9" s="14"/>
      <c r="F9" s="14"/>
      <c r="G9" s="14"/>
      <c r="H9" s="85"/>
      <c r="I9" s="85"/>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3:13" x14ac:dyDescent="0.25" ht="20" customHeight="1">
      <c r="D10" s="1" t="str">
        <f>"Cottonseed yield"</f>
        <v>Cottonseed yield</v>
      </c>
      <c r="E10" s="14"/>
      <c r="F10" s="14"/>
      <c r="G10" s="14"/>
      <c r="H10" s="85"/>
      <c r="I10" s="85"/>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1" spans="3:13" x14ac:dyDescent="0.25" ht="20" customHeight="1">
      <c r="D11" s="1" t="str">
        <f>"Cotton lint sold"</f>
        <v>Cotton lint sold</v>
      </c>
      <c r="E11" s="14" t="s">
        <v>236</v>
      </c>
      <c r="F11" s="14" t="s">
        <v>241</v>
      </c>
      <c r="G11" s="14" t="s">
        <v>246</v>
      </c>
      <c r="H11" s="85"/>
      <c r="I11" s="85"/>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2" spans="3:13" x14ac:dyDescent="0.25" ht="20" customHeight="1">
      <c r="D12" s="1" t="str">
        <f>"Cottonseed sold"</f>
        <v>Cottonseed sold</v>
      </c>
      <c r="E12" s="14" t="s">
        <v>237</v>
      </c>
      <c r="F12" s="14" t="s">
        <v>242</v>
      </c>
      <c r="G12" s="14" t="s">
        <v>246</v>
      </c>
      <c r="H12" s="85"/>
      <c r="I12" s="85"/>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3" spans="3:13" x14ac:dyDescent="0.25" ht="20" customHeight="1">
      <c r="D13" s="1" t="str">
        <f>"Percent income from cotton lint sold"</f>
        <v>Percent income from cotton lint sold</v>
      </c>
      <c r="E13" s="14" t="s">
        <v>239</v>
      </c>
      <c r="F13" s="14" t="s">
        <v>244</v>
      </c>
      <c r="G13" s="14" t="s">
        <v>249</v>
      </c>
      <c r="H13" s="85"/>
      <c r="I13" s="85"/>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4" spans="3:13" x14ac:dyDescent="0.25" ht="20" customHeight="1">
      <c r="D14" s="1" t="str">
        <f>"Percent income from cotton seed sold"</f>
        <v>Percent income from cotton seed sold</v>
      </c>
      <c r="E14" s="14" t="s">
        <v>236</v>
      </c>
      <c r="F14" s="14" t="s">
        <v>241</v>
      </c>
      <c r="G14" s="14" t="s">
        <v>245</v>
      </c>
      <c r="H14" s="85"/>
      <c r="I14" s="85"/>
      <c r="J14"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13</v>
      </c>
    </row>
    <row r="16" spans="3:13" x14ac:dyDescent="0.25" ht="20" customHeight="1">
      <c r="J16" s="86">
        <f>SUM(Table_Input_DataQuality_Enterprise[Score])</f>
        <v>53</v>
      </c>
    </row>
    <row r="17" spans="4:10" ht="20" x14ac:dyDescent="0.25" customHeight="1">
      <c r="D17" s="2" t="s">
        <v>260</v>
      </c>
    </row>
    <row r="19" spans="4:10" x14ac:dyDescent="0.25" ht="20" customHeight="1">
      <c r="D19" s="81" t="s">
        <v>256</v>
      </c>
      <c r="E19" s="81" t="s">
        <v>257</v>
      </c>
      <c r="F19" s="81" t="s">
        <v>258</v>
      </c>
      <c r="G19" s="81" t="s">
        <v>259</v>
      </c>
      <c r="H19" s="81" t="s">
        <v>184</v>
      </c>
      <c r="I19" s="81" t="s">
        <v>185</v>
      </c>
      <c r="J19" s="81" t="s">
        <v>186</v>
      </c>
    </row>
    <row r="20" spans="4:10" x14ac:dyDescent="0.25" ht="20" customHeight="1">
      <c r="D20" s="1" t="str">
        <f>"Leaching zone"</f>
        <v>Leaching zone</v>
      </c>
      <c r="E20" s="14" t="s">
        <v>236</v>
      </c>
      <c r="F20" s="14" t="s">
        <v>242</v>
      </c>
      <c r="G20" s="14" t="s">
        <v>245</v>
      </c>
      <c r="H20" s="85"/>
      <c r="I20" s="85"/>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ht="20" customHeight="1">
      <c r="D21" s="1" t="str">
        <f>"Elevation"</f>
        <v>Elevation</v>
      </c>
      <c r="E21" s="14" t="s">
        <v>236</v>
      </c>
      <c r="F21" s="14" t="s">
        <v>242</v>
      </c>
      <c r="G21" s="14" t="s">
        <v>245</v>
      </c>
      <c r="H21" s="85"/>
      <c r="I21" s="85"/>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ht="20" customHeight="1">
      <c r="D22" s="1" t="str">
        <f>"Average temperature for reporting period"</f>
        <v>Average temperature for reporting period</v>
      </c>
      <c r="E22" s="14" t="s">
        <v>236</v>
      </c>
      <c r="F22" s="14" t="s">
        <v>242</v>
      </c>
      <c r="G22" s="14" t="s">
        <v>245</v>
      </c>
      <c r="H22" s="85"/>
      <c r="I22" s="85"/>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ht="20" customHeight="1">
      <c r="D23" s="1" t="str">
        <f>"Total rainfall for reporting period"</f>
        <v>Total rainfall for reporting period</v>
      </c>
      <c r="E23" s="14" t="s">
        <v>235</v>
      </c>
      <c r="F23" s="14" t="s">
        <v>241</v>
      </c>
      <c r="G23" s="14" t="s">
        <v>245</v>
      </c>
      <c r="H23" s="85"/>
      <c r="I23" s="85"/>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4" spans="4:10" x14ac:dyDescent="0.25" ht="20" customHeight="1">
      <c r="D24" s="1" t="str">
        <f>"Potential evapotranspiration for reporting period"</f>
        <v>Potential evapotranspiration for reporting period</v>
      </c>
      <c r="E24" s="14" t="s">
        <v>236</v>
      </c>
      <c r="F24" s="14" t="s">
        <v>242</v>
      </c>
      <c r="G24" s="14" t="s">
        <v>245</v>
      </c>
      <c r="H24" s="85"/>
      <c r="I24" s="85"/>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5" spans="4:10" x14ac:dyDescent="0.25" ht="20" customHeight="1">
      <c r="D25" s="1" t="str">
        <f>"Number of frost days for reporting period"</f>
        <v>Number of frost days for reporting period</v>
      </c>
      <c r="E25" s="87" t="s">
        <v>237</v>
      </c>
      <c r="F25" s="87" t="s">
        <v>242</v>
      </c>
      <c r="G25" s="87" t="s">
        <v>245</v>
      </c>
      <c r="H25" s="85"/>
      <c r="I25" s="85"/>
      <c r="J25"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4:10" x14ac:dyDescent="0.25" ht="20" customHeight="1">
      <c r="J27" s="86">
        <f>SUM(Table_Input_DataQuality_Site[Score])</f>
        <v>73</v>
      </c>
    </row>
    <row r="28" spans="4:10" ht="20" x14ac:dyDescent="0.25" customHeight="1">
      <c r="D28" s="2" t="s">
        <v>297</v>
      </c>
    </row>
    <row r="30" spans="4:10" x14ac:dyDescent="0.25" ht="20" customHeight="1">
      <c r="D30" s="81" t="s">
        <v>256</v>
      </c>
      <c r="E30" s="81" t="s">
        <v>257</v>
      </c>
      <c r="F30" s="81" t="s">
        <v>258</v>
      </c>
      <c r="G30" s="81" t="s">
        <v>259</v>
      </c>
      <c r="H30" s="81" t="s">
        <v>184</v>
      </c>
      <c r="I30" s="81" t="s">
        <v>185</v>
      </c>
      <c r="J30" s="81" t="s">
        <v>186</v>
      </c>
    </row>
    <row r="31" spans="4:10" x14ac:dyDescent="0.25" ht="20" customHeight="1">
      <c r="D31" s="1" t="str">
        <f>"Irrigation method"</f>
        <v>Irrigation method</v>
      </c>
      <c r="E31" s="14" t="s">
        <v>235</v>
      </c>
      <c r="F31" s="14" t="s">
        <v>241</v>
      </c>
      <c r="G31" s="14" t="s">
        <v>245</v>
      </c>
      <c r="H31" s="85"/>
      <c r="I31" s="85"/>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ht="20" customHeight="1">
      <c r="D32" s="1" t="str">
        <f>"Area under cropping"</f>
        <v>Area under cropping</v>
      </c>
      <c r="E32" s="14" t="s">
        <v>235</v>
      </c>
      <c r="F32" s="14" t="s">
        <v>241</v>
      </c>
      <c r="G32" s="14" t="s">
        <v>245</v>
      </c>
      <c r="H32" s="85"/>
      <c r="I32" s="85"/>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ht="20" customHeight="1">
      <c r="D33" s="1" t="str">
        <f>"Residue management"</f>
        <v>Residue management</v>
      </c>
      <c r="E33" s="14" t="s">
        <v>235</v>
      </c>
      <c r="F33" s="14" t="s">
        <v>241</v>
      </c>
      <c r="G33" s="14" t="s">
        <v>245</v>
      </c>
      <c r="H33" s="85"/>
      <c r="I33" s="85"/>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4:10" x14ac:dyDescent="0.25" ht="20" customHeight="1">
      <c r="J35" s="86">
        <f>SUM(Table_Input_DataQuality_PastureManagement[Score])</f>
        <v>42</v>
      </c>
    </row>
    <row r="36" spans="4:10" ht="20" x14ac:dyDescent="0.25" customHeight="1">
      <c r="D36" s="2" t="s">
        <v>261</v>
      </c>
    </row>
    <row r="38" spans="4:10" x14ac:dyDescent="0.25" ht="20" customHeight="1">
      <c r="D38" s="81" t="s">
        <v>256</v>
      </c>
      <c r="E38" s="81" t="s">
        <v>257</v>
      </c>
      <c r="F38" s="81" t="s">
        <v>258</v>
      </c>
      <c r="G38" s="81" t="s">
        <v>259</v>
      </c>
      <c r="H38" s="81" t="s">
        <v>184</v>
      </c>
      <c r="I38" s="81" t="s">
        <v>185</v>
      </c>
      <c r="J38" s="81" t="s">
        <v>186</v>
      </c>
    </row>
    <row r="39" spans="4:10" x14ac:dyDescent="0.25" ht="20" customHeight="1">
      <c r="D39" s="1" t="str">
        <f>"Branded inorganic fertiliser applications"</f>
        <v>Branded inorganic fertiliser applications</v>
      </c>
      <c r="E39" s="14" t="s">
        <v>235</v>
      </c>
      <c r="F39" s="14" t="s">
        <v>241</v>
      </c>
      <c r="G39" s="14" t="s">
        <v>246</v>
      </c>
      <c r="H39" s="85"/>
      <c r="I39" s="85"/>
      <c r="J3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4:10" x14ac:dyDescent="0.25" ht="20" customHeight="1">
      <c r="D40" s="1" t="str">
        <f>"Custom inorganic fertiliser blend applications"</f>
        <v>Custom inorganic fertiliser blend applications</v>
      </c>
      <c r="E40" s="14" t="s">
        <v>235</v>
      </c>
      <c r="F40" s="14" t="s">
        <v>241</v>
      </c>
      <c r="G40" s="14" t="s">
        <v>245</v>
      </c>
      <c r="H40" s="85"/>
      <c r="I40" s="85"/>
      <c r="J4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4:10" x14ac:dyDescent="0.25" ht="20" customHeight="1">
      <c r="D41" s="1" t="str">
        <f>"Lime applications"</f>
        <v>Lime applications</v>
      </c>
      <c r="E41" s="14" t="s">
        <v>235</v>
      </c>
      <c r="F41" s="14" t="s">
        <v>241</v>
      </c>
      <c r="G41" s="14" t="s">
        <v>245</v>
      </c>
      <c r="H41" s="85"/>
      <c r="I41" s="85"/>
      <c r="J41"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4:10" x14ac:dyDescent="0.25" ht="20" customHeight="1">
      <c r="D42" s="1" t="str">
        <f>"Organic fertiliser applications"</f>
        <v>Organic fertiliser applications</v>
      </c>
      <c r="E42" s="14" t="s">
        <v>235</v>
      </c>
      <c r="F42" s="14" t="s">
        <v>241</v>
      </c>
      <c r="G42" s="14" t="s">
        <v>245</v>
      </c>
      <c r="H42" s="85"/>
      <c r="I42" s="85"/>
      <c r="J42"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4" spans="4:10" x14ac:dyDescent="0.25" ht="20" customHeight="1">
      <c r="J44" s="86">
        <f>SUM(Table_Input_DataQuality_FertiliserApplications[Score])</f>
        <v>55</v>
      </c>
    </row>
    <row r="45" spans="4:10" ht="20" x14ac:dyDescent="0.25" customHeight="1">
      <c r="D45" s="2" t="s">
        <v>262</v>
      </c>
    </row>
    <row r="47" spans="4:10" x14ac:dyDescent="0.25" ht="20" customHeight="1">
      <c r="D47" s="81" t="s">
        <v>256</v>
      </c>
      <c r="E47" s="81" t="s">
        <v>257</v>
      </c>
      <c r="F47" s="81" t="s">
        <v>258</v>
      </c>
      <c r="G47" s="81" t="s">
        <v>259</v>
      </c>
      <c r="H47" s="81" t="s">
        <v>184</v>
      </c>
      <c r="I47" s="81" t="s">
        <v>185</v>
      </c>
      <c r="J47" s="81" t="s">
        <v>186</v>
      </c>
    </row>
    <row r="48" spans="4:10" x14ac:dyDescent="0.25" ht="20" customHeight="1">
      <c r="D48" s="1" t="str">
        <f>"Fuel purchases"</f>
        <v>Fuel purchases</v>
      </c>
      <c r="E48" s="14" t="s">
        <v>235</v>
      </c>
      <c r="F48" s="14" t="s">
        <v>241</v>
      </c>
      <c r="G48" s="14" t="s">
        <v>246</v>
      </c>
      <c r="H48" s="85"/>
      <c r="I48" s="85"/>
      <c r="J4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x14ac:dyDescent="0.25" ht="20" customHeight="1">
      <c r="D49" s="1" t="str">
        <f>"Fuel consumption"</f>
        <v>Fuel consumption</v>
      </c>
      <c r="E49" s="14" t="s">
        <v>235</v>
      </c>
      <c r="F49" s="14" t="s">
        <v>241</v>
      </c>
      <c r="G49" s="14" t="s">
        <v>245</v>
      </c>
      <c r="H49" s="85"/>
      <c r="I49" s="85"/>
      <c r="J4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ht="20" customHeight="1">
      <c r="D50" s="1" t="str">
        <f>"Electricity consumption"</f>
        <v>Electricity consumption</v>
      </c>
      <c r="E50" s="14" t="s">
        <v>235</v>
      </c>
      <c r="F50" s="14" t="s">
        <v>241</v>
      </c>
      <c r="G50" s="14" t="s">
        <v>245</v>
      </c>
      <c r="H50" s="85"/>
      <c r="I50" s="85"/>
      <c r="J50"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x14ac:dyDescent="0.25" ht="20" customHeight="1">
      <c r="D51" s="1" t="str">
        <f>"Electricity generation"</f>
        <v>Electricity generation</v>
      </c>
      <c r="E51" s="14" t="s">
        <v>235</v>
      </c>
      <c r="F51" s="14" t="s">
        <v>241</v>
      </c>
      <c r="G51" s="14" t="s">
        <v>245</v>
      </c>
      <c r="H51" s="85"/>
      <c r="I51" s="85"/>
      <c r="J5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x14ac:dyDescent="0.25" ht="20" customHeight="1">
      <c r="J53" s="86">
        <f>SUM(Table_Input_DataQuality_FuelElectricity[Score])</f>
        <v>55</v>
      </c>
    </row>
    <row r="55" spans="4:10" ht="20" x14ac:dyDescent="0.25" customHeight="1">
      <c r="D55" s="2" t="s">
        <v>263</v>
      </c>
    </row>
    <row r="57" spans="4:10" x14ac:dyDescent="0.25" ht="20" customHeight="1">
      <c r="D57" s="81" t="s">
        <v>256</v>
      </c>
      <c r="E57" s="81" t="s">
        <v>257</v>
      </c>
      <c r="F57" s="81" t="s">
        <v>258</v>
      </c>
      <c r="G57" s="81" t="s">
        <v>259</v>
      </c>
      <c r="H57" s="81" t="s">
        <v>184</v>
      </c>
      <c r="I57" s="81" t="s">
        <v>185</v>
      </c>
      <c r="J57" s="81" t="s">
        <v>186</v>
      </c>
    </row>
    <row r="58" spans="4:10" x14ac:dyDescent="0.25" ht="20" customHeight="1">
      <c r="D58" s="1" t="str">
        <f>"Farm input purchases"</f>
        <v>Farm input purchases</v>
      </c>
      <c r="E58" s="14" t="s">
        <v>235</v>
      </c>
      <c r="F58" s="14" t="s">
        <v>241</v>
      </c>
      <c r="G58" s="14" t="s">
        <v>246</v>
      </c>
      <c r="H58" s="85"/>
      <c r="I58" s="85"/>
      <c r="J5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x14ac:dyDescent="0.25" ht="20" customHeight="1">
      <c r="D59" s="1" t="str">
        <f>"Inbound freight use"</f>
        <v>Inbound freight use</v>
      </c>
      <c r="E59" s="14" t="s">
        <v>235</v>
      </c>
      <c r="F59" s="14" t="s">
        <v>241</v>
      </c>
      <c r="G59" s="14" t="s">
        <v>245</v>
      </c>
      <c r="H59" s="85"/>
      <c r="I59" s="85"/>
      <c r="J5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x14ac:dyDescent="0.25" ht="20" customHeight="1">
      <c r="D60" s="1" t="str">
        <f>"Outbound freight use"</f>
        <v>Outbound freight use</v>
      </c>
      <c r="E60" s="14" t="s">
        <v>235</v>
      </c>
      <c r="F60" s="14" t="s">
        <v>241</v>
      </c>
      <c r="G60" s="14" t="s">
        <v>245</v>
      </c>
      <c r="H60" s="85"/>
      <c r="I60" s="85"/>
      <c r="J60"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ht="20" customHeight="1">
      <c r="D61" s="1" t="str">
        <f>"Solid waste generation and treatment"</f>
        <v>Solid waste generation and treatment</v>
      </c>
      <c r="E61" s="14" t="s">
        <v>235</v>
      </c>
      <c r="F61" s="14" t="s">
        <v>241</v>
      </c>
      <c r="G61" s="14" t="s">
        <v>245</v>
      </c>
      <c r="H61" s="85"/>
      <c r="I61" s="85"/>
      <c r="J6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x14ac:dyDescent="0.25" ht="20" customHeight="1">
      <c r="J63" s="86">
        <f>SUM(Table_Input_DataQuality_FarmInputsFreightWaste[Score])</f>
        <v>55</v>
      </c>
    </row>
    <row r="65" spans="4:5" ht="20" x14ac:dyDescent="0.25" customHeight="1">
      <c r="D65" s="88" t="s">
        <v>264</v>
      </c>
      <c r="E65" s="89" t="str">
        <f>(J16+J27+J35+J44+J53+J63)&amp;"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333 out of 420</v>
      </c>
    </row>
  </sheetData>
  <dataValidations count="3">
    <dataValidation type="list" allowBlank="1" showInputMessage="1" showErrorMessage="1" sqref="G20:G25 G39:G42 G48:G51 G58:G61 G31:G33 G8:G14" xr:uid="{97D978E2-EFFF-4D26-AA9B-97907606C063}">
      <formula1>INDIRECT("Table_SourceData_DataQuality_SampleSize[User friendly description]")</formula1>
    </dataValidation>
    <dataValidation type="list" allowBlank="1" showInputMessage="1" showErrorMessage="1" sqref="E20:E25 E39:E42 E48:E51 E58:E61 E31:E33 E8:E14" xr:uid="{6365A925-6C5F-4576-82C6-82C3A3309F18}">
      <formula1>INDIRECT("Table_SourceData_DataQuality_TemporalRepresentativeness[User friendly description]")</formula1>
    </dataValidation>
    <dataValidation type="list" allowBlank="1" showInputMessage="1" showErrorMessage="1" sqref="F20:F25 F39:F42 F48:F51 F58:F61 F31:F33 F8:F14"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20" x14ac:dyDescent="0.25" customHeight="1"/>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21</v>
      </c>
    </row>
    <row r="2" spans="1:65" s="3" customFormat="1" ht="20" customHeight="1" x14ac:dyDescent="0.25">
      <c r="A2"/>
    </row>
    <row r="3" spans="1:65" ht="20"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 customHeight="1" x14ac:dyDescent="0.25">
      <c r="A4"/>
      <c r="BM4" s="26"/>
    </row>
    <row r="5" spans="1:65" ht="20" customHeight="1" x14ac:dyDescent="0.25">
      <c r="A5"/>
      <c r="D5" s="2" t="str" cm="1">
        <f t="array" ref="D5">Common_SourceData.Common_SourceData_AustralianStatesTerritories_Title()</f>
        <v>Australian states and territories</v>
      </c>
      <c r="BM5" s="26"/>
    </row>
    <row r="6" spans="1:65" ht="20" customHeight="1" x14ac:dyDescent="0.25">
      <c r="A6" s="83" t="s">
        <v>2</v>
      </c>
      <c r="D6" s="21" t="s">
        <v>22</v>
      </c>
      <c r="E6" s="21" t="s">
        <v>23</v>
      </c>
      <c r="F6" s="21" t="s">
        <v>24</v>
      </c>
    </row>
    <row r="7" spans="1:65" ht="20" customHeight="1" x14ac:dyDescent="0.25">
      <c r="A7" s="84"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2" t="str" cm="1">
        <f t="array" ref="D18">Common_SourceData.Common_SourceData_WASA4Areas_Title()</f>
        <v>ABS Statistcal Areas Level 4 - Western Australia</v>
      </c>
    </row>
    <row r="19" spans="1:4" ht="20" customHeight="1" x14ac:dyDescent="0.25">
      <c r="A19"/>
      <c r="D19" s="18" t="str" cm="1">
        <f t="array" ref="D19">Common_SourceData.Common_SourceData_WASA4Areas_Source()</f>
        <v>Australian Bureau of Statistics (ABS) - Statistical Areas Level 2 - 2021 - Shapefile</v>
      </c>
    </row>
    <row r="20" spans="1:4" ht="20" customHeight="1" x14ac:dyDescent="0.25">
      <c r="A20"/>
      <c r="D20" s="21" t="s">
        <v>25</v>
      </c>
    </row>
    <row r="21" spans="1:4" ht="20" customHeight="1" x14ac:dyDescent="0.25">
      <c r="A21"/>
      <c r="D21" s="21" t="str" cm="1">
        <f t="array" ref="D21">Common_InputFunctions.Utility_DisplayArrayInTable(Common_SourceData.Common_SourceData_WASA4Areas_Data(), Table_WASA4Areas[[#Headers],[SA 4 Name]], 0)</f>
        <v>Bunbury</v>
      </c>
    </row>
    <row r="22" spans="1:4" ht="20" customHeight="1" x14ac:dyDescent="0.25">
      <c r="A22"/>
      <c r="D22" s="21" t="str" cm="1">
        <f t="array" ref="D22">Common_InputFunctions.Utility_DisplayArrayInTable(Common_SourceData.Common_SourceData_WASA4Areas_Data(), Table_WASA4Areas[[#Headers],[SA 4 Name]], 0)</f>
        <v>Mandurah</v>
      </c>
    </row>
    <row r="23" spans="1:4" ht="20" customHeight="1" x14ac:dyDescent="0.25">
      <c r="A23"/>
      <c r="D23" s="21" t="str" cm="1">
        <f t="array" ref="D23">Common_InputFunctions.Utility_DisplayArrayInTable(Common_SourceData.Common_SourceData_WASA4Areas_Data(), Table_WASA4Areas[[#Headers],[SA 4 Name]], 0)</f>
        <v>Perth - Inner</v>
      </c>
    </row>
    <row r="24" spans="1:4" ht="20" customHeight="1" x14ac:dyDescent="0.25">
      <c r="A24"/>
      <c r="D24" s="21" t="str" cm="1">
        <f t="array" ref="D24">Common_InputFunctions.Utility_DisplayArrayInTable(Common_SourceData.Common_SourceData_WASA4Areas_Data(), Table_WASA4Areas[[#Headers],[SA 4 Name]], 0)</f>
        <v>Perth - North East</v>
      </c>
    </row>
    <row r="25" spans="1:4" ht="20" customHeight="1" x14ac:dyDescent="0.25">
      <c r="A25"/>
      <c r="D25" s="21" t="str" cm="1">
        <f t="array" ref="D25">Common_InputFunctions.Utility_DisplayArrayInTable(Common_SourceData.Common_SourceData_WASA4Areas_Data(), Table_WASA4Areas[[#Headers],[SA 4 Name]], 0)</f>
        <v>Perth - North West</v>
      </c>
    </row>
    <row r="26" spans="1:4" ht="20" customHeight="1" x14ac:dyDescent="0.25">
      <c r="A26"/>
      <c r="D26" s="21" t="str" cm="1">
        <f t="array" ref="D26">Common_InputFunctions.Utility_DisplayArrayInTable(Common_SourceData.Common_SourceData_WASA4Areas_Data(), Table_WASA4Areas[[#Headers],[SA 4 Name]], 0)</f>
        <v>Perth - South East</v>
      </c>
    </row>
    <row r="27" spans="1:4" ht="20" customHeight="1" x14ac:dyDescent="0.25">
      <c r="A27"/>
      <c r="D27" s="21" t="str" cm="1">
        <f t="array" ref="D27">Common_InputFunctions.Utility_DisplayArrayInTable(Common_SourceData.Common_SourceData_WASA4Areas_Data(), Table_WASA4Areas[[#Headers],[SA 4 Name]], 0)</f>
        <v>Perth - South West</v>
      </c>
    </row>
    <row r="28" spans="1:4" ht="20" customHeight="1" x14ac:dyDescent="0.25">
      <c r="A28"/>
      <c r="D28" s="21" t="str" cm="1">
        <f t="array" ref="D28">Common_InputFunctions.Utility_DisplayArrayInTable(Common_SourceData.Common_SourceData_WASA4Areas_Data(), Table_WASA4Areas[[#Headers],[SA 4 Name]], 0)</f>
        <v>Western Australia - Wheat Belt</v>
      </c>
    </row>
    <row r="29" spans="1:4" ht="20" customHeight="1" x14ac:dyDescent="0.25">
      <c r="A29"/>
      <c r="D29" s="21" t="str" cm="1">
        <f t="array" ref="D29">Common_InputFunctions.Utility_DisplayArrayInTable(Common_SourceData.Common_SourceData_WASA4Areas_Data(), Table_WASA4Areas[[#Headers],[SA 4 Name]], 0)</f>
        <v>Western Australia - Outback (North)</v>
      </c>
    </row>
    <row r="30" spans="1:4" ht="20" customHeight="1" x14ac:dyDescent="0.25">
      <c r="A30"/>
      <c r="D30" s="21"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2" t="str" cm="1">
        <f t="array" ref="D34">Common_SourceData.Common_SourceData_GWP_Title()</f>
        <v>Global warming potential for greenhouse gases</v>
      </c>
    </row>
    <row r="35" spans="1:8" ht="20" customHeight="1" x14ac:dyDescent="0.25">
      <c r="A35"/>
      <c r="D35" s="18" t="str" cm="1">
        <f t="array" ref="D35">Common_SourceData.Common_SourceData_GWP_Source()</f>
        <v>XXXXXXX</v>
      </c>
    </row>
    <row r="36" spans="1:8" ht="20" customHeight="1" x14ac:dyDescent="0.25">
      <c r="A36"/>
      <c r="D36" s="21" t="s">
        <v>26</v>
      </c>
      <c r="E36" s="21" t="s">
        <v>27</v>
      </c>
    </row>
    <row r="37" spans="1:8" ht="20"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c r="D46" s="18" t="str" cm="1">
        <f t="array" ref="D46">Common_SourceData.Common_SourceData_ConvertGasElementalToMolecular_Source()</f>
        <v>XXXXXXX</v>
      </c>
    </row>
    <row r="47" spans="1:8" ht="20" customHeight="1" x14ac:dyDescent="0.25">
      <c r="A47"/>
      <c r="D47" s="21" t="s">
        <v>26</v>
      </c>
      <c r="E47" s="21" t="s">
        <v>28</v>
      </c>
      <c r="F47" s="21" t="s">
        <v>29</v>
      </c>
      <c r="G47" s="21" t="s">
        <v>30</v>
      </c>
      <c r="H47" s="21" t="s">
        <v>31</v>
      </c>
    </row>
    <row r="48" spans="1:8" ht="20"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8" t="str" cm="1">
        <f t="array" ref="D58">Common_SourceData.Common_SourceData_WetAndDryZones_Source()</f>
        <v>VEERG 2026: Table 1.2: Translating climate zones to wet and dry zones</v>
      </c>
    </row>
    <row r="59" spans="1:8" ht="20" customHeight="1" x14ac:dyDescent="0.25">
      <c r="A59"/>
      <c r="D59" s="27" t="str" cm="1">
        <f t="array" ref="D59:D61">"⚠️" &amp; Common_SourceData.Common_SourceData_WetAndDryZones_Variation()</f>
        <v>⚠️VARIATION OF SOURCE DATA:</v>
      </c>
    </row>
    <row r="60" spans="1:8" ht="20" customHeight="1" x14ac:dyDescent="0.25">
      <c r="A60"/>
      <c r="D60" s="27" t="str">
        <v>⚠️Added warm / cool temperate moist / dry - low frost and high temp classes to accommodate climate scenarios excluded by VEERG criteria.</v>
      </c>
    </row>
    <row r="61" spans="1:8" ht="20" customHeight="1" x14ac:dyDescent="0.25">
      <c r="A61"/>
      <c r="D61" s="27" t="str">
        <v>⚠️Fixed typo - Changed 'Fry' to 'Dry'.</v>
      </c>
    </row>
    <row r="62" spans="1:8" ht="20" customHeight="1" x14ac:dyDescent="0.25">
      <c r="A62"/>
    </row>
    <row r="63" spans="1:8" ht="20" customHeight="1" x14ac:dyDescent="0.25">
      <c r="A63"/>
      <c r="D63" s="21" t="s">
        <v>32</v>
      </c>
      <c r="E63" s="21" t="s">
        <v>33</v>
      </c>
    </row>
    <row r="64" spans="1:8" ht="20"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8" t="str" cm="1">
        <f t="array" ref="D82">Common_SourceData.Common_SourceData_ClimateZones_Source()</f>
        <v>VEERG 2026: Table 1.3: Climate and Rainfall zone classifications and definitions</v>
      </c>
    </row>
    <row r="83" spans="1:20" ht="20" customHeight="1" x14ac:dyDescent="0.25">
      <c r="A83"/>
      <c r="D83" s="27" t="str" cm="1">
        <f t="array" ref="D83:D87">"⚠️" &amp; Common_SourceData.Common_SourceData_ClimateZones_Variation()</f>
        <v>⚠️VARIATION OF SOURCE DATA:</v>
      </c>
    </row>
    <row r="84" spans="1:20" ht="20" customHeight="1" x14ac:dyDescent="0.25">
      <c r="A84"/>
      <c r="D84" s="27" t="str">
        <v>⚠️Added warm / cool temperate moist / dry - low frost and high temp classes to accommodate climate scenarios excluded by VEERG criteria.</v>
      </c>
    </row>
    <row r="85" spans="1:20" ht="20" customHeight="1" x14ac:dyDescent="0.25">
      <c r="A85"/>
      <c r="D85" s="27" t="str">
        <v>⚠️Fixed typo in MAT value for warm temperate dry - changed 10 to 11.</v>
      </c>
    </row>
    <row r="86" spans="1:20" ht="20" customHeight="1" x14ac:dyDescent="0.25">
      <c r="A86"/>
      <c r="D86" s="27" t="str">
        <v>⚠️Added min and max columns for MAT, MAP, frost days per year, elevation, MAP:PET to calculate zones from real climate data.</v>
      </c>
    </row>
    <row r="87" spans="1:20" ht="20" customHeight="1" x14ac:dyDescent="0.25">
      <c r="A87"/>
      <c r="D87" s="27" t="str">
        <v>⚠️GAF accepts rainfall as a proxy for precipitation.</v>
      </c>
    </row>
    <row r="88" spans="1:20" ht="20" customHeight="1" x14ac:dyDescent="0.25">
      <c r="A88"/>
    </row>
    <row r="89" spans="1:20" ht="20" customHeight="1" x14ac:dyDescent="0.25">
      <c r="A89"/>
      <c r="D89" s="21" t="s">
        <v>32</v>
      </c>
      <c r="E89" s="21" t="s">
        <v>34</v>
      </c>
      <c r="F89" s="21" t="s">
        <v>35</v>
      </c>
      <c r="G89" s="21" t="s">
        <v>36</v>
      </c>
      <c r="H89" s="21" t="s">
        <v>37</v>
      </c>
      <c r="I89" s="21" t="s">
        <v>38</v>
      </c>
      <c r="J89" s="21" t="s">
        <v>39</v>
      </c>
      <c r="K89" s="21" t="s">
        <v>40</v>
      </c>
      <c r="L89" s="21" t="s">
        <v>41</v>
      </c>
      <c r="M89" s="21" t="s">
        <v>42</v>
      </c>
      <c r="N89" s="21" t="s">
        <v>43</v>
      </c>
      <c r="O89" s="21" t="s">
        <v>44</v>
      </c>
      <c r="P89" s="21" t="s">
        <v>45</v>
      </c>
      <c r="Q89" s="21" t="s">
        <v>46</v>
      </c>
      <c r="R89" s="21" t="s">
        <v>47</v>
      </c>
      <c r="S89" s="21" t="s">
        <v>48</v>
      </c>
      <c r="T89" s="21"/>
    </row>
    <row r="90" spans="1:20" ht="20"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 customHeight="1" x14ac:dyDescent="0.25">
      <c r="A98"/>
    </row>
    <row r="99" spans="1:20" ht="20" customHeight="1" x14ac:dyDescent="0.25">
      <c r="A99"/>
      <c r="D99" s="10" t="str" cm="1">
        <f t="array" ref="D99:D102">Common_SourceData.Common_SourceData_ClimateZones_Appendices()</f>
        <v>Note:</v>
      </c>
    </row>
    <row r="100" spans="1:20" ht="20" customHeight="1" x14ac:dyDescent="0.25">
      <c r="A100"/>
      <c r="D100" s="10" t="str">
        <v>MAT = mean annual temperature</v>
      </c>
    </row>
    <row r="101" spans="1:20" ht="20" customHeight="1" x14ac:dyDescent="0.25">
      <c r="A101"/>
      <c r="D101" s="10" t="str">
        <v>MAP = mean annual precipitation</v>
      </c>
    </row>
    <row r="102" spans="1:20" ht="20" customHeight="1" x14ac:dyDescent="0.25">
      <c r="A102"/>
      <c r="D102" s="10" t="str">
        <v>PET = potential evapotranspiration</v>
      </c>
    </row>
    <row r="103" spans="1:20" ht="20" customHeight="1" x14ac:dyDescent="0.25">
      <c r="A103"/>
      <c r="D103" s="10"/>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8" t="str" cm="1">
        <f t="array" ref="D106">Common_SourceData.Common_SourceData_TemperatureZones_Source()</f>
        <v>VEERG 2026: Table 1.3: Climate and Rainfall zone classifications and definitions</v>
      </c>
    </row>
    <row r="107" spans="1:20" ht="20"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1" t="s">
        <v>49</v>
      </c>
      <c r="E109" s="21" t="s">
        <v>34</v>
      </c>
      <c r="F109" s="21" t="s">
        <v>50</v>
      </c>
      <c r="G109" s="21" t="s">
        <v>51</v>
      </c>
    </row>
    <row r="110" spans="1:20" ht="20"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3"/>
    </row>
    <row r="116" spans="1:66" ht="20" customHeight="1" x14ac:dyDescent="0.25">
      <c r="A116"/>
      <c r="D116" s="18" t="str" cm="1">
        <f t="array" ref="D116">Common_SourceData.Common_SourceData_RainfallZones_Source()</f>
        <v>VEERG 2026: Table 1.3: Climate and Rainfall zone classifications and definitions</v>
      </c>
      <c r="BN116" s="23"/>
    </row>
    <row r="117" spans="1:66" ht="20"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 customHeight="1" x14ac:dyDescent="0.25">
      <c r="A118"/>
      <c r="BN118" s="23"/>
    </row>
    <row r="119" spans="1:66" ht="20" customHeight="1" x14ac:dyDescent="0.25">
      <c r="A119"/>
      <c r="D119" s="21" t="s">
        <v>52</v>
      </c>
      <c r="E119" s="21" t="s">
        <v>53</v>
      </c>
      <c r="F119" s="21" t="s">
        <v>41</v>
      </c>
      <c r="G119" s="21" t="s">
        <v>42</v>
      </c>
      <c r="BN119" s="23"/>
    </row>
    <row r="120" spans="1:66" ht="20"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 customHeight="1" x14ac:dyDescent="0.25">
      <c r="A122"/>
      <c r="BN122" s="23"/>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8"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1" t="s">
        <v>54</v>
      </c>
      <c r="E127" s="21" t="s">
        <v>55</v>
      </c>
    </row>
    <row r="128" spans="1:66" ht="20"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9"/>
    </row>
    <row r="133" spans="1:77" ht="20" customHeight="1" x14ac:dyDescent="0.25">
      <c r="A133"/>
      <c r="D133" s="18" t="str" cm="1">
        <f t="array" ref="D133">Common_SourceData.Common_SourceData_FracWET_Source()</f>
        <v>VEERG 2026:5.5.2.3 Constant Parameters</v>
      </c>
      <c r="E133" s="9"/>
    </row>
    <row r="134" spans="1:77" ht="20" customHeight="1" x14ac:dyDescent="0.25">
      <c r="A134"/>
      <c r="D134" t="s">
        <v>56</v>
      </c>
      <c r="E134" t="s">
        <v>57</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3"/>
      <c r="BO138" s="23"/>
      <c r="BP138" s="23"/>
      <c r="BQ138" s="23"/>
      <c r="BR138" s="23"/>
      <c r="BS138" s="23"/>
      <c r="BT138" s="23"/>
      <c r="BU138" s="23"/>
      <c r="BV138" s="23"/>
      <c r="BW138" s="23"/>
      <c r="BX138" s="23"/>
      <c r="BY138" s="23"/>
    </row>
    <row r="139" spans="1:77" ht="20"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 customHeight="1" x14ac:dyDescent="0.25">
      <c r="A142"/>
      <c r="D142" s="21" t="s">
        <v>58</v>
      </c>
      <c r="E142" s="21" t="s">
        <v>57</v>
      </c>
      <c r="BN142" s="23"/>
    </row>
    <row r="143" spans="1:77" ht="20"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 customHeight="1" x14ac:dyDescent="0.25">
      <c r="A148"/>
      <c r="BN148" s="23"/>
    </row>
    <row r="149" spans="1:66" ht="20" customHeight="1" x14ac:dyDescent="0.25">
      <c r="A149"/>
      <c r="BN149" s="23"/>
    </row>
    <row r="150" spans="1:66" ht="20" customHeight="1" x14ac:dyDescent="0.25">
      <c r="A150"/>
      <c r="D150" s="2" t="str" cm="1">
        <f t="array" ref="D150">Common_SourceData.Common_SourceData_DataScores_Scope3_Title()</f>
        <v>Australian data scores for scope 3</v>
      </c>
      <c r="BN150" s="23"/>
    </row>
    <row r="151" spans="1:66" ht="20" customHeight="1" x14ac:dyDescent="0.25">
      <c r="A151"/>
      <c r="D151" s="18" t="str" cm="1">
        <f t="array" ref="D151">Common_SourceData.Common_SourceData_DataScores_Scope3_Source()</f>
        <v>VEERG 2026: XXXXXXXX</v>
      </c>
      <c r="BN151" s="23"/>
    </row>
    <row r="152" spans="1:66" ht="20" customHeight="1" x14ac:dyDescent="0.25">
      <c r="A152"/>
      <c r="BN152" s="23"/>
    </row>
    <row r="153" spans="1:66" ht="20" customHeight="1" x14ac:dyDescent="0.25">
      <c r="A153"/>
      <c r="D153" s="21" t="s">
        <v>59</v>
      </c>
      <c r="E153" s="21" t="s">
        <v>60</v>
      </c>
      <c r="BC153" s="26"/>
      <c r="BD153" s="26"/>
      <c r="BE153" s="26"/>
      <c r="BF153" s="26"/>
      <c r="BG153" s="26"/>
      <c r="BH153" s="26"/>
      <c r="BI153" s="26"/>
      <c r="BJ153" s="26"/>
      <c r="BK153" s="26"/>
      <c r="BL153" s="26"/>
      <c r="BM153" s="26"/>
    </row>
    <row r="154" spans="1:66" ht="20"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9"/>
    </row>
    <row r="162" spans="4:68" ht="20" customHeight="1" x14ac:dyDescent="0.25">
      <c r="D162" s="18" t="str" cm="1">
        <f t="array" ref="D162">Common_SourceData.Common_SourceData_FracLEACH_Source()</f>
        <v>VEERG 2026:5.5.2.3 Constant Parameters</v>
      </c>
      <c r="E162" s="9"/>
    </row>
    <row r="163" spans="4:68" ht="20" customHeight="1" x14ac:dyDescent="0.25">
      <c r="D163" s="18" t="str" cm="1">
        <f t="array" ref="D163">Common_SourceData.Common_SourceData_FracLEACH_NIRReference()</f>
        <v>National Inventory Report Volume 1: Leaching and runoff (3.D.b.2)</v>
      </c>
      <c r="E163" s="9"/>
    </row>
    <row r="164" spans="4:68" ht="20" customHeight="1" x14ac:dyDescent="0.25">
      <c r="D164" s="9" t="str" cm="1">
        <f t="array" ref="D164:E164">Common_SourceData.Common_SourceData_FracLEACH_Data()</f>
        <v>FracLEACH</v>
      </c>
      <c r="E164" s="9">
        <v>0.24</v>
      </c>
    </row>
    <row r="165" spans="4:68" ht="20" customHeight="1" x14ac:dyDescent="0.25">
      <c r="BN165" s="23"/>
      <c r="BO165" s="23"/>
      <c r="BP165" s="23"/>
    </row>
    <row r="166" spans="4:68" ht="20" customHeight="1" x14ac:dyDescent="0.25">
      <c r="BN166" s="23"/>
      <c r="BO166" s="23"/>
      <c r="BP166" s="23"/>
    </row>
    <row r="167" spans="4:68" ht="20" customHeight="1" x14ac:dyDescent="0.25">
      <c r="D167" s="2" t="str" cm="1">
        <f t="array" ref="D167">Common_SourceData.Common_SourceData_EFleach_Title()</f>
        <v>Emission factor for nitrogen leaching and runoff</v>
      </c>
      <c r="BN167" s="23"/>
      <c r="BO167" s="23"/>
      <c r="BP167" s="23"/>
    </row>
    <row r="168" spans="4:68" ht="20" customHeight="1" x14ac:dyDescent="0.25">
      <c r="D168" s="18" t="str" cm="1">
        <f t="array" ref="D168">Common_SourceData.Common_SourceData_EFleach_Source()</f>
        <v>VEERG 2026:5.5.2.3 Constant Parameters</v>
      </c>
      <c r="BN168" s="23"/>
      <c r="BO168" s="23"/>
      <c r="BP168" s="23"/>
    </row>
    <row r="169" spans="4:68" ht="20" customHeight="1" x14ac:dyDescent="0.25">
      <c r="D169" s="18" t="str" cm="1">
        <f t="array" ref="D169">Common_SourceData.Common_SourceData_EFleach_NIRReference()</f>
        <v>National Inventory Report Volume 1: Equation 3.D.B_10</v>
      </c>
      <c r="BN169" s="23"/>
      <c r="BO169" s="23"/>
      <c r="BP169" s="23"/>
    </row>
    <row r="170" spans="4:68" ht="20" customHeight="1" x14ac:dyDescent="0.25">
      <c r="D170" s="1" t="str" cm="1">
        <f t="array" ref="D170:E170">Common_SourceData.Common_SourceData_EFleach_Data()</f>
        <v>EFleach</v>
      </c>
      <c r="E170" s="1">
        <v>1.0999999999999999E-2</v>
      </c>
      <c r="BN170" s="23"/>
      <c r="BO170" s="23"/>
      <c r="BP170" s="23"/>
    </row>
    <row r="171" spans="4:68" ht="20" customHeight="1" x14ac:dyDescent="0.25">
      <c r="BN171" s="23"/>
      <c r="BO171" s="23"/>
      <c r="BP171" s="23"/>
    </row>
    <row r="172" spans="4:68" ht="20" customHeight="1" x14ac:dyDescent="0.25">
      <c r="BN172" s="23"/>
      <c r="BO172" s="23"/>
      <c r="BP172" s="23"/>
    </row>
    <row r="173" spans="4:68" ht="20" customHeight="1" x14ac:dyDescent="0.25">
      <c r="D173" s="2" t="str" cm="1">
        <f t="array" ref="D173">Common_SourceData.Common_SourceData_DensityOfMethane_Title()</f>
        <v>p = density of methane</v>
      </c>
      <c r="BN173" s="23"/>
      <c r="BO173" s="23"/>
      <c r="BP173" s="23"/>
    </row>
    <row r="174" spans="4:68" ht="20" customHeight="1" x14ac:dyDescent="0.25">
      <c r="D174" s="18" t="str" cm="1">
        <f t="array" ref="D174">Common_SourceData.Common_SourceData_DensityOfMethane_Source()</f>
        <v>National Inventory Report 2023 Volume 1: Equations 3.B.1a_2, 3.B.1c_2, 3.B.3_1, 3.B.4g_2</v>
      </c>
      <c r="BN174" s="23"/>
      <c r="BO174" s="23"/>
      <c r="BP174" s="23"/>
    </row>
    <row r="175" spans="4:68" ht="20"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 customHeight="1" x14ac:dyDescent="0.25">
      <c r="BN176" s="23"/>
      <c r="BO176" s="23"/>
      <c r="BP176" s="23"/>
    </row>
    <row r="177" spans="4:68" ht="20" customHeight="1" x14ac:dyDescent="0.25">
      <c r="BN177" s="23"/>
      <c r="BO177" s="23"/>
      <c r="BP177" s="23"/>
    </row>
    <row r="178" spans="4:68" ht="20" customHeight="1" x14ac:dyDescent="0.25">
      <c r="D178" s="2" t="str" cm="1">
        <f t="array" ref="D178">Common_SourceData.Common_SourceData_EFN2O_Title()</f>
        <v>Nitrous oxide emission factors for inorganic fertiliser application</v>
      </c>
      <c r="BN178" s="23"/>
      <c r="BO178" s="23"/>
      <c r="BP178" s="23"/>
    </row>
    <row r="179" spans="4:68" ht="20" customHeight="1" x14ac:dyDescent="0.25">
      <c r="D179" s="18" t="str" cm="1">
        <f t="array" ref="D179">Common_SourceData.Common_SourceData_EFN2O_Source()</f>
        <v>VEERG 2026: Table A.2.2.1</v>
      </c>
      <c r="BN179" s="23"/>
      <c r="BO179" s="23"/>
      <c r="BP179" s="23"/>
    </row>
    <row r="180" spans="4:68" ht="20" customHeight="1" x14ac:dyDescent="0.25">
      <c r="D180" s="10" t="str" cm="1">
        <f t="array" ref="D180">Common_SourceData.Common_SourceData_EFN2O_Unit()</f>
        <v>(kg N2O-N / kg N</v>
      </c>
    </row>
    <row r="181" spans="4:68" ht="20" customHeight="1" x14ac:dyDescent="0.25">
      <c r="D181" s="27" t="str" cm="1">
        <f t="array" ref="D181:D185">Common_SourceData.Common_SourceData_EFN2O_Variation()</f>
        <v>VARIATION OF SOURCE DATA:</v>
      </c>
    </row>
    <row r="182" spans="4:68" ht="20" customHeight="1" x14ac:dyDescent="0.25">
      <c r="D182" s="27" t="str">
        <v>Removed duplicate 'Aquaculture' row.</v>
      </c>
    </row>
    <row r="183" spans="4:68" ht="20" customHeight="1" x14ac:dyDescent="0.25">
      <c r="D183" s="27" t="str">
        <v>Removed asterisks to aid lookup.</v>
      </c>
    </row>
    <row r="184" spans="4:68" ht="20" customHeight="1" x14ac:dyDescent="0.25">
      <c r="D184" s="27" t="str">
        <v>Added 'production system only', 'rainfall zone' and 'irrigation method' columns to aid lookup.</v>
      </c>
    </row>
    <row r="185" spans="4:68" ht="20" customHeight="1" x14ac:dyDescent="0.25">
      <c r="D185" s="27" t="str">
        <v>Duplicated 'non-irrigated pasture' row with same EF for low and high rainfall zones to aid lookup.</v>
      </c>
    </row>
    <row r="186" spans="4:68" ht="20" customHeight="1" x14ac:dyDescent="0.25">
      <c r="D186" s="21" t="s">
        <v>61</v>
      </c>
      <c r="E186" s="21" t="s">
        <v>62</v>
      </c>
      <c r="F186" s="21" t="s">
        <v>63</v>
      </c>
      <c r="G186" s="21" t="s">
        <v>64</v>
      </c>
      <c r="H186" s="21" t="s">
        <v>65</v>
      </c>
    </row>
    <row r="187" spans="4:68" ht="20"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ht="20" customHeight="1">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ht="20" customHeight="1">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ht="20" customHeight="1">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8" t="str" cm="1">
        <f t="array" ref="D203">Common_SourceData.Common_SourceData_EFPastureRangeAndPaddock_Source()</f>
        <v>VEERG 2026: Table A.2.2.2</v>
      </c>
    </row>
    <row r="204" spans="4:8" x14ac:dyDescent="0.25" ht="20" customHeight="1">
      <c r="D204" s="27" t="str" cm="1">
        <f t="array" ref="D204">Common_SourceData.Common_SourceData_EFPastureRangeAndPaddock_Variation()</f>
        <v>VARIATION FROM SOURCE DATA: Changed 'Dry climate zones' to singular 'Dry climate zone' to aid lookup.</v>
      </c>
    </row>
    <row r="205" spans="4:8" x14ac:dyDescent="0.25" ht="20" customHeight="1">
      <c r="D205" s="10" t="str" cm="1">
        <f t="array" ref="D205">Common_SourceData.Common_SourceData_EFPastureRangeAndPaddock_Unit()</f>
        <v>kg N2O - N / kg N</v>
      </c>
    </row>
    <row r="206" spans="4:8" x14ac:dyDescent="0.25" ht="20" customHeight="1">
      <c r="D206" s="21" t="s">
        <v>32</v>
      </c>
      <c r="E206" s="21" t="s">
        <v>66</v>
      </c>
    </row>
    <row r="207" spans="4:8" x14ac:dyDescent="0.25" ht="20" customHeight="1">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1" t="s">
        <v>67</v>
      </c>
      <c r="E212" s="21" t="s">
        <v>68</v>
      </c>
    </row>
    <row r="213" spans="4:5" x14ac:dyDescent="0.25" ht="20" customHeight="1">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8" t="str" cm="1">
        <f t="array" ref="D228">Common_SourceData.Common_SourceData_MCFTemperatureZone_Source()</f>
        <v>VEERG 2026: Table A.1.8.1</v>
      </c>
    </row>
    <row r="229" spans="4:19" x14ac:dyDescent="0.25" ht="20" customHeight="1">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1" t="s">
        <v>69</v>
      </c>
      <c r="E231" s="21" t="s">
        <v>70</v>
      </c>
      <c r="F231" s="28" t="s">
        <v>71</v>
      </c>
      <c r="G231" s="21" t="s">
        <v>72</v>
      </c>
      <c r="H231" s="21" t="s">
        <v>73</v>
      </c>
      <c r="I231" s="21" t="s">
        <v>74</v>
      </c>
      <c r="J231" s="21" t="s">
        <v>75</v>
      </c>
      <c r="K231" s="21" t="s">
        <v>76</v>
      </c>
      <c r="L231" s="21" t="s">
        <v>77</v>
      </c>
      <c r="M231" s="21" t="s">
        <v>78</v>
      </c>
      <c r="N231" s="21" t="s">
        <v>79</v>
      </c>
      <c r="O231" s="21" t="s">
        <v>80</v>
      </c>
      <c r="P231" s="21" t="s">
        <v>81</v>
      </c>
      <c r="Q231" s="21" t="s">
        <v>82</v>
      </c>
      <c r="R231" s="21" t="s">
        <v>83</v>
      </c>
      <c r="S231" s="21" t="s">
        <v>84</v>
      </c>
    </row>
    <row r="232" spans="4:19" x14ac:dyDescent="0.25" ht="20" customHeight="1">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8"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10" t="str" cm="1">
        <f t="array" ref="D256">Common_SourceData.Common_SourceData_EFOrganicFertiliserAndCropResidues_Unit()</f>
        <v>kg N2O - N / kg N</v>
      </c>
    </row>
    <row r="257" spans="4:66" x14ac:dyDescent="0.25" ht="20" customHeight="1">
      <c r="D257" s="21" t="s">
        <v>85</v>
      </c>
      <c r="E257" s="21" t="s">
        <v>86</v>
      </c>
    </row>
    <row r="258" spans="4:66" x14ac:dyDescent="0.25" ht="20" customHeight="1">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190</v>
      </c>
    </row>
    <row r="264" spans="4:66" x14ac:dyDescent="0.25" ht="20" customHeight="1">
      <c r="D264" s="1" t="s">
        <v>191</v>
      </c>
    </row>
    <row r="265" spans="4:66" x14ac:dyDescent="0.25" ht="20" customHeight="1">
      <c r="D265" s="21" t="s">
        <v>234</v>
      </c>
      <c r="E265" s="21" t="s">
        <v>192</v>
      </c>
      <c r="F265" s="21" t="s">
        <v>193</v>
      </c>
      <c r="G265" s="21" t="s">
        <v>186</v>
      </c>
      <c r="V265" s="1"/>
      <c r="BN265" s="23"/>
    </row>
    <row r="266" spans="4:66" x14ac:dyDescent="0.25" ht="20" customHeight="1">
      <c r="D266" s="21" t="s">
        <v>235</v>
      </c>
      <c r="E266" s="21" t="s">
        <v>194</v>
      </c>
      <c r="F266" s="21" t="s">
        <v>195</v>
      </c>
      <c r="G266" s="21">
        <v>5</v>
      </c>
      <c r="V266" s="1"/>
      <c r="BN266" s="23"/>
    </row>
    <row r="267" spans="4:66" x14ac:dyDescent="0.25" ht="20" customHeight="1">
      <c r="D267" s="21" t="s">
        <v>236</v>
      </c>
      <c r="E267" s="21" t="s">
        <v>196</v>
      </c>
      <c r="F267" s="21" t="s">
        <v>187</v>
      </c>
      <c r="G267" s="21">
        <v>4</v>
      </c>
      <c r="V267" s="1"/>
      <c r="BN267" s="23"/>
    </row>
    <row r="268" spans="4:66" x14ac:dyDescent="0.25" ht="20" customHeight="1">
      <c r="D268" s="21" t="s">
        <v>237</v>
      </c>
      <c r="E268" s="21" t="s">
        <v>197</v>
      </c>
      <c r="F268" s="21" t="s">
        <v>198</v>
      </c>
      <c r="G268" s="21">
        <v>3</v>
      </c>
      <c r="V268" s="1"/>
      <c r="BN268" s="23"/>
    </row>
    <row r="269" spans="4:66" x14ac:dyDescent="0.25" ht="20" customHeight="1">
      <c r="D269" s="21" t="s">
        <v>238</v>
      </c>
      <c r="E269" s="21" t="s">
        <v>199</v>
      </c>
      <c r="F269" s="21" t="s">
        <v>200</v>
      </c>
      <c r="G269" s="21">
        <v>2</v>
      </c>
      <c r="V269" s="1"/>
      <c r="BN269" s="23"/>
    </row>
    <row r="270" spans="4:66" x14ac:dyDescent="0.25" ht="20" customHeight="1">
      <c r="D270" s="21" t="s">
        <v>239</v>
      </c>
      <c r="E270" s="21" t="s">
        <v>201</v>
      </c>
      <c r="F270" s="21" t="s">
        <v>202</v>
      </c>
      <c r="G270" s="21">
        <v>1</v>
      </c>
      <c r="V270" s="1"/>
      <c r="BN270" s="23"/>
    </row>
    <row r="273" spans="4:66" x14ac:dyDescent="0.25" ht="20" customHeight="1">
      <c r="D273" s="1" t="s">
        <v>203</v>
      </c>
    </row>
    <row r="274" spans="4:66" x14ac:dyDescent="0.25" ht="20" customHeight="1">
      <c r="D274" s="21" t="s">
        <v>234</v>
      </c>
      <c r="E274" s="21" t="s">
        <v>192</v>
      </c>
      <c r="F274" s="21" t="s">
        <v>193</v>
      </c>
      <c r="G274" s="21" t="s">
        <v>186</v>
      </c>
      <c r="V274" s="1"/>
      <c r="BN274" s="23"/>
    </row>
    <row r="275" spans="4:66" x14ac:dyDescent="0.25" ht="20" customHeight="1">
      <c r="D275" s="21" t="s">
        <v>240</v>
      </c>
      <c r="E275" s="21" t="s">
        <v>204</v>
      </c>
      <c r="F275" s="21" t="s">
        <v>188</v>
      </c>
      <c r="G275" s="21">
        <v>5</v>
      </c>
      <c r="V275" s="1"/>
      <c r="BN275" s="23"/>
    </row>
    <row r="276" spans="4:66" x14ac:dyDescent="0.25" ht="20" customHeight="1">
      <c r="D276" s="21" t="s">
        <v>241</v>
      </c>
      <c r="E276" s="21" t="s">
        <v>205</v>
      </c>
      <c r="F276" s="21" t="s">
        <v>206</v>
      </c>
      <c r="G276" s="21">
        <v>4</v>
      </c>
      <c r="V276" s="1"/>
      <c r="BN276" s="23"/>
    </row>
    <row r="277" spans="4:66" x14ac:dyDescent="0.25" ht="20" customHeight="1">
      <c r="D277" s="21" t="s">
        <v>242</v>
      </c>
      <c r="E277" s="21" t="s">
        <v>207</v>
      </c>
      <c r="F277" s="21" t="s">
        <v>208</v>
      </c>
      <c r="G277" s="21">
        <v>3</v>
      </c>
      <c r="V277" s="1"/>
      <c r="BN277" s="23"/>
    </row>
    <row r="278" spans="4:66" x14ac:dyDescent="0.25" ht="20" customHeight="1">
      <c r="D278" s="21" t="s">
        <v>243</v>
      </c>
      <c r="E278" s="21" t="s">
        <v>209</v>
      </c>
      <c r="F278" s="21" t="s">
        <v>210</v>
      </c>
      <c r="G278" s="21">
        <v>2</v>
      </c>
      <c r="V278" s="1"/>
      <c r="BN278" s="23"/>
    </row>
    <row r="279" spans="4:66" x14ac:dyDescent="0.25" ht="20" customHeight="1">
      <c r="D279" s="21" t="s">
        <v>244</v>
      </c>
      <c r="E279" s="21" t="s">
        <v>211</v>
      </c>
      <c r="F279" s="21" t="s">
        <v>212</v>
      </c>
      <c r="G279" s="21">
        <v>1</v>
      </c>
      <c r="V279" s="1"/>
      <c r="BN279" s="23"/>
    </row>
    <row r="282" spans="4:66" x14ac:dyDescent="0.25" ht="20" customHeight="1">
      <c r="D282" s="1" t="s">
        <v>213</v>
      </c>
    </row>
    <row r="283" spans="4:66" x14ac:dyDescent="0.25" ht="20" customHeight="1">
      <c r="D283" s="21" t="s">
        <v>234</v>
      </c>
      <c r="E283" s="21" t="s">
        <v>192</v>
      </c>
      <c r="F283" s="21" t="s">
        <v>193</v>
      </c>
      <c r="G283" s="21" t="s">
        <v>186</v>
      </c>
      <c r="V283" s="1"/>
      <c r="BN283" s="23"/>
    </row>
    <row r="284" spans="4:66" x14ac:dyDescent="0.25" ht="20" customHeight="1">
      <c r="D284" s="21" t="s">
        <v>245</v>
      </c>
      <c r="E284" s="21" t="s">
        <v>214</v>
      </c>
      <c r="F284" s="21" t="s">
        <v>215</v>
      </c>
      <c r="G284" s="21">
        <v>5</v>
      </c>
      <c r="V284" s="1"/>
      <c r="BN284" s="23"/>
    </row>
    <row r="285" spans="4:66" x14ac:dyDescent="0.25" ht="20" customHeight="1">
      <c r="D285" s="21" t="s">
        <v>246</v>
      </c>
      <c r="E285" s="21" t="s">
        <v>216</v>
      </c>
      <c r="F285" s="21" t="s">
        <v>217</v>
      </c>
      <c r="G285" s="21">
        <v>4</v>
      </c>
      <c r="V285" s="1"/>
      <c r="BN285" s="23"/>
    </row>
    <row r="286" spans="4:66" x14ac:dyDescent="0.25" ht="20" customHeight="1">
      <c r="D286" s="21" t="s">
        <v>247</v>
      </c>
      <c r="E286" s="21" t="s">
        <v>218</v>
      </c>
      <c r="F286" s="21" t="s">
        <v>189</v>
      </c>
      <c r="G286" s="21">
        <v>3</v>
      </c>
      <c r="V286" s="1"/>
      <c r="BN286" s="23"/>
    </row>
    <row r="287" spans="4:66" x14ac:dyDescent="0.25" ht="20" customHeight="1">
      <c r="D287" s="21" t="s">
        <v>248</v>
      </c>
      <c r="E287" s="21" t="s">
        <v>219</v>
      </c>
      <c r="F287" s="21" t="s">
        <v>220</v>
      </c>
      <c r="G287" s="21">
        <v>2</v>
      </c>
      <c r="V287" s="1"/>
      <c r="BN287" s="23"/>
    </row>
    <row r="288" spans="4:66" x14ac:dyDescent="0.25" ht="20" customHeight="1">
      <c r="D288" s="21" t="s">
        <v>249</v>
      </c>
      <c r="E288" s="21" t="s">
        <v>221</v>
      </c>
      <c r="F288" s="21" t="s">
        <v>222</v>
      </c>
      <c r="G288" s="21">
        <v>1</v>
      </c>
      <c r="V288" s="1"/>
      <c r="BN288" s="23"/>
    </row>
    <row r="291" spans="4:66" x14ac:dyDescent="0.25" ht="20" customHeight="1">
      <c r="D291" s="1" t="s">
        <v>223</v>
      </c>
    </row>
    <row r="292" spans="4:66" x14ac:dyDescent="0.25" ht="20" customHeight="1">
      <c r="D292" s="21" t="s">
        <v>234</v>
      </c>
      <c r="E292" s="21" t="s">
        <v>192</v>
      </c>
      <c r="F292" s="21" t="s">
        <v>193</v>
      </c>
      <c r="G292" s="21" t="s">
        <v>186</v>
      </c>
      <c r="V292" s="1"/>
      <c r="BN292" s="23"/>
    </row>
    <row r="293" spans="4:66" x14ac:dyDescent="0.25" ht="20" customHeight="1">
      <c r="D293" s="21" t="s">
        <v>250</v>
      </c>
      <c r="E293" s="21" t="s">
        <v>224</v>
      </c>
      <c r="F293" s="21" t="s">
        <v>225</v>
      </c>
      <c r="G293" s="21">
        <v>5</v>
      </c>
      <c r="V293" s="1"/>
      <c r="BN293" s="23"/>
    </row>
    <row r="294" spans="4:66" x14ac:dyDescent="0.25" ht="20" customHeight="1">
      <c r="D294" s="21" t="s">
        <v>251</v>
      </c>
      <c r="E294" s="21" t="s">
        <v>226</v>
      </c>
      <c r="F294" s="21" t="s">
        <v>227</v>
      </c>
      <c r="G294" s="21">
        <v>4</v>
      </c>
      <c r="V294" s="1"/>
      <c r="BN294" s="23"/>
    </row>
    <row r="295" spans="4:66" x14ac:dyDescent="0.25" ht="20" customHeight="1">
      <c r="D295" s="21" t="s">
        <v>252</v>
      </c>
      <c r="E295" s="21" t="s">
        <v>228</v>
      </c>
      <c r="F295" s="21" t="s">
        <v>229</v>
      </c>
      <c r="G295" s="21">
        <v>3</v>
      </c>
      <c r="V295" s="1"/>
      <c r="BN295" s="23"/>
    </row>
    <row r="296" spans="4:66" x14ac:dyDescent="0.25" ht="20" customHeight="1">
      <c r="D296" s="21" t="s">
        <v>253</v>
      </c>
      <c r="E296" s="21" t="s">
        <v>230</v>
      </c>
      <c r="F296" s="21" t="s">
        <v>231</v>
      </c>
      <c r="G296" s="21">
        <v>2</v>
      </c>
      <c r="V296" s="1"/>
      <c r="BN296" s="23"/>
    </row>
    <row r="297" spans="4:66" x14ac:dyDescent="0.25" ht="20" customHeight="1">
      <c r="D297" s="21" t="s">
        <v>254</v>
      </c>
      <c r="E297" s="21" t="s">
        <v>232</v>
      </c>
      <c r="F297" s="21" t="s">
        <v>233</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59</vt:i4>
      </vt:variant>
    </vt:vector>
  </HeadingPairs>
  <TitlesOfParts>
    <vt:vector size="68" baseType="lpstr">
      <vt:lpstr>Home</vt:lpstr>
      <vt:lpstr>Results - Activity period</vt:lpstr>
      <vt:lpstr>Results - Product EI</vt:lpstr>
      <vt:lpstr>Input - Site</vt:lpstr>
      <vt:lpstr>Input - Enterprise</vt:lpstr>
      <vt:lpstr>Input - Crop</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X_Cell_BaledHayYield</vt:lpstr>
      <vt:lpstr>X_Cell_Crop_AreaUnderCropping</vt:lpstr>
      <vt:lpstr>X_Cell_Crop_AverageWeightPerBale</vt:lpstr>
      <vt:lpstr>X_Cell_Crop_CropPurpose</vt:lpstr>
      <vt:lpstr>X_Cell_Crop_CropType</vt:lpstr>
      <vt:lpstr>X_Cell_Crop_PercentResidueBaled</vt:lpstr>
      <vt:lpstr>X_Cell_Crop_PercentResidueBurned</vt:lpstr>
      <vt:lpstr>X_Cell_Crop_TotalResidueBaled</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2026-09-02T07:26:12Z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2026-09-02T18:44:14; rename=True resize=True rowheights=True scope=all</vt:lpwstr>
  </property>
</Properties>
</file>